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"/>
    </mc:Choice>
  </mc:AlternateContent>
  <xr:revisionPtr revIDLastSave="0" documentId="13_ncr:1_{66EF79BA-7947-4FFB-8454-201EAB3A7750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Goal-SIPorSU_SIP" sheetId="32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ActYears">'Goal-SIPorSU_SIP'!$L$1</definedName>
    <definedName name="ChartSIP">OFFSET('Goal-SIPorSU_SIP'!$J$15,0,0,'Goal-SIPorSU_SIP'!$K$12,2)</definedName>
    <definedName name="GoalChartSIPSIP">OFFSET('Goal-SIPorSU_SIP'!$J$5,0,0,J+'Goal-SIPorSU_SIP'!$K$12)</definedName>
    <definedName name="GoalChartSIPSIPLbl">OFFSET('Goal-SIPorSU_SIP'!#REF!,0,0,'Goal-SIPorSU_SIP'!$K$12,0)</definedName>
    <definedName name="GoalTenure">'Goal-SIPorSU_SIP'!$C$5</definedName>
    <definedName name="InvMonths">'Goal-SIPorSU_SIP'!$M$28</definedName>
    <definedName name="S1Rate">'Goal-SIPorSU_SIP'!$S$1</definedName>
    <definedName name="SIP1Yield">'Goal-SIPorSU_SIP'!$C$9</definedName>
    <definedName name="SIPPmt">'Goal-SIPorSU_SIP'!$C$13</definedName>
    <definedName name="SU_Amt">'Goal-SIPorSU_SIP'!$O$27</definedName>
    <definedName name="SUSIPPmt">'Goal-SIPorSU_SIP'!$C$20</definedName>
    <definedName name="TaxRate">'Goal-SIPorSU_SIP'!$C$10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9" i="32" l="1"/>
  <c r="AI19" i="32" s="1"/>
  <c r="AH20" i="32"/>
  <c r="AI20" i="32" s="1"/>
  <c r="AH21" i="32"/>
  <c r="AI21" i="32" s="1"/>
  <c r="AH22" i="32"/>
  <c r="AI22" i="32" s="1"/>
  <c r="AH23" i="32"/>
  <c r="AI23" i="32" s="1"/>
  <c r="AH24" i="32"/>
  <c r="AI24" i="32" s="1"/>
  <c r="AH25" i="32"/>
  <c r="AI25" i="32" s="1"/>
  <c r="AH26" i="32"/>
  <c r="AI26" i="32" s="1"/>
  <c r="AH27" i="32"/>
  <c r="AI27" i="32" s="1"/>
  <c r="AH28" i="32"/>
  <c r="AI28" i="32" s="1"/>
  <c r="AH29" i="32"/>
  <c r="AI29" i="32" s="1"/>
  <c r="AH30" i="32"/>
  <c r="AI30" i="32" s="1"/>
  <c r="AH31" i="32"/>
  <c r="AI31" i="32" s="1"/>
  <c r="AH32" i="32"/>
  <c r="AI32" i="32" s="1"/>
  <c r="AH33" i="32"/>
  <c r="AI33" i="32" s="1"/>
  <c r="AH34" i="32"/>
  <c r="AI34" i="32" s="1"/>
  <c r="AH35" i="32"/>
  <c r="AI35" i="32" s="1"/>
  <c r="AH36" i="32"/>
  <c r="AI36" i="32" s="1"/>
  <c r="AH37" i="32"/>
  <c r="AI37" i="32" s="1"/>
  <c r="AH38" i="32"/>
  <c r="AI38" i="32" s="1"/>
  <c r="AH39" i="32"/>
  <c r="AI39" i="32" s="1"/>
  <c r="AH40" i="32"/>
  <c r="AI40" i="32" s="1"/>
  <c r="AH41" i="32"/>
  <c r="AI41" i="32" s="1"/>
  <c r="AH42" i="32"/>
  <c r="AI42" i="32" s="1"/>
  <c r="AH43" i="32"/>
  <c r="AI43" i="32" s="1"/>
  <c r="AH44" i="32"/>
  <c r="AI44" i="32" s="1"/>
  <c r="AH45" i="32"/>
  <c r="AI45" i="32" s="1"/>
  <c r="AH46" i="32"/>
  <c r="AI46" i="32" s="1"/>
  <c r="AH47" i="32"/>
  <c r="AI47" i="32" s="1"/>
  <c r="AH48" i="32"/>
  <c r="AI48" i="32" s="1"/>
  <c r="AH49" i="32"/>
  <c r="AI49" i="32" s="1"/>
  <c r="AH50" i="32"/>
  <c r="AI50" i="32" s="1"/>
  <c r="AH51" i="32"/>
  <c r="AI51" i="32" s="1"/>
  <c r="AH52" i="32"/>
  <c r="AI52" i="32" s="1"/>
  <c r="AH53" i="32"/>
  <c r="AI53" i="32" s="1"/>
  <c r="AH54" i="32"/>
  <c r="AI54" i="32" s="1"/>
  <c r="AH55" i="32"/>
  <c r="AI55" i="32" s="1"/>
  <c r="AH56" i="32"/>
  <c r="AI56" i="32" s="1"/>
  <c r="AH57" i="32"/>
  <c r="AI57" i="32" s="1"/>
  <c r="AH58" i="32"/>
  <c r="AI58" i="32" s="1"/>
  <c r="AH59" i="32"/>
  <c r="AI59" i="32" s="1"/>
  <c r="AH60" i="32"/>
  <c r="AI60" i="32" s="1"/>
  <c r="AH61" i="32"/>
  <c r="AI61" i="32" s="1"/>
  <c r="AH62" i="32"/>
  <c r="AI62" i="32" s="1"/>
  <c r="AH63" i="32"/>
  <c r="AI63" i="32" s="1"/>
  <c r="AH64" i="32"/>
  <c r="AI64" i="32" s="1"/>
  <c r="AH65" i="32"/>
  <c r="AI65" i="32" s="1"/>
  <c r="AH66" i="32"/>
  <c r="AI66" i="32" s="1"/>
  <c r="AH67" i="32"/>
  <c r="AI67" i="32" s="1"/>
  <c r="AH68" i="32"/>
  <c r="AI68" i="32" s="1"/>
  <c r="AH69" i="32"/>
  <c r="AI69" i="32" s="1"/>
  <c r="AH70" i="32"/>
  <c r="AI70" i="32" s="1"/>
  <c r="AH71" i="32"/>
  <c r="AI71" i="32" s="1"/>
  <c r="AH72" i="32"/>
  <c r="AI72" i="32" s="1"/>
  <c r="AH73" i="32"/>
  <c r="AI73" i="32" s="1"/>
  <c r="AH74" i="32"/>
  <c r="AI74" i="32" s="1"/>
  <c r="AH75" i="32"/>
  <c r="AI75" i="32" s="1"/>
  <c r="AH76" i="32"/>
  <c r="AI76" i="32" s="1"/>
  <c r="AH77" i="32"/>
  <c r="AI77" i="32" s="1"/>
  <c r="AH78" i="32"/>
  <c r="AI78" i="32" s="1"/>
  <c r="AE54" i="32" l="1"/>
  <c r="AF54" i="32" s="1"/>
  <c r="AE55" i="32"/>
  <c r="AF55" i="32" s="1"/>
  <c r="AE56" i="32"/>
  <c r="AF56" i="32" s="1"/>
  <c r="AE57" i="32"/>
  <c r="AF57" i="32" s="1"/>
  <c r="AE58" i="32"/>
  <c r="AF58" i="32" s="1"/>
  <c r="AE59" i="32"/>
  <c r="AF59" i="32" s="1"/>
  <c r="AE60" i="32"/>
  <c r="AF60" i="32" s="1"/>
  <c r="AE61" i="32"/>
  <c r="AF61" i="32" s="1"/>
  <c r="AE62" i="32"/>
  <c r="AF62" i="32" s="1"/>
  <c r="AE63" i="32"/>
  <c r="AF63" i="32" s="1"/>
  <c r="AE64" i="32"/>
  <c r="AF64" i="32" s="1"/>
  <c r="AE65" i="32"/>
  <c r="AF65" i="32" s="1"/>
  <c r="AE66" i="32"/>
  <c r="AF66" i="32" s="1"/>
  <c r="AE67" i="32"/>
  <c r="AF67" i="32" s="1"/>
  <c r="AE68" i="32"/>
  <c r="AF68" i="32" s="1"/>
  <c r="AE69" i="32"/>
  <c r="AF69" i="32" s="1"/>
  <c r="AE70" i="32"/>
  <c r="AF70" i="32" s="1"/>
  <c r="AE71" i="32"/>
  <c r="AF71" i="32" s="1"/>
  <c r="AE72" i="32"/>
  <c r="AF72" i="32" s="1"/>
  <c r="AE73" i="32"/>
  <c r="AF73" i="32" s="1"/>
  <c r="AE74" i="32"/>
  <c r="AF74" i="32" s="1"/>
  <c r="AE75" i="32"/>
  <c r="AF75" i="32" s="1"/>
  <c r="AE76" i="32"/>
  <c r="AF76" i="32" s="1"/>
  <c r="AE77" i="32"/>
  <c r="AF77" i="32" s="1"/>
  <c r="AE78" i="32"/>
  <c r="AF78" i="32" s="1"/>
  <c r="B15" i="32" l="1"/>
  <c r="B23" i="32"/>
  <c r="S8" i="32"/>
  <c r="D20" i="32" s="1"/>
  <c r="C20" i="32"/>
  <c r="M635" i="32"/>
  <c r="M636" i="32"/>
  <c r="M637" i="32"/>
  <c r="M638" i="32"/>
  <c r="M639" i="32"/>
  <c r="M640" i="32"/>
  <c r="M641" i="32"/>
  <c r="M642" i="32"/>
  <c r="M643" i="32"/>
  <c r="M644" i="32"/>
  <c r="M645" i="32"/>
  <c r="M646" i="32"/>
  <c r="M647" i="32"/>
  <c r="M648" i="32"/>
  <c r="M649" i="32"/>
  <c r="M650" i="32"/>
  <c r="M651" i="32"/>
  <c r="M652" i="32"/>
  <c r="M653" i="32"/>
  <c r="M654" i="32"/>
  <c r="M655" i="32"/>
  <c r="M656" i="32"/>
  <c r="M657" i="32"/>
  <c r="M658" i="32"/>
  <c r="M659" i="32"/>
  <c r="M660" i="32"/>
  <c r="M661" i="32"/>
  <c r="M662" i="32"/>
  <c r="M663" i="32"/>
  <c r="M664" i="32"/>
  <c r="M665" i="32"/>
  <c r="M666" i="32"/>
  <c r="M667" i="32"/>
  <c r="M668" i="32"/>
  <c r="M669" i="32"/>
  <c r="M670" i="32"/>
  <c r="M671" i="32"/>
  <c r="M672" i="32"/>
  <c r="M673" i="32"/>
  <c r="M674" i="32"/>
  <c r="M675" i="32"/>
  <c r="M676" i="32"/>
  <c r="M677" i="32"/>
  <c r="M678" i="32"/>
  <c r="M679" i="32"/>
  <c r="M680" i="32"/>
  <c r="M681" i="32"/>
  <c r="M682" i="32"/>
  <c r="M683" i="32"/>
  <c r="M684" i="32"/>
  <c r="M685" i="32"/>
  <c r="M686" i="32"/>
  <c r="M687" i="32"/>
  <c r="M688" i="32"/>
  <c r="M689" i="32"/>
  <c r="M690" i="32"/>
  <c r="M691" i="32"/>
  <c r="M692" i="32"/>
  <c r="M693" i="32"/>
  <c r="M694" i="32"/>
  <c r="M695" i="32"/>
  <c r="M696" i="32"/>
  <c r="M697" i="32"/>
  <c r="M698" i="32"/>
  <c r="M699" i="32"/>
  <c r="M700" i="32"/>
  <c r="M701" i="32"/>
  <c r="M702" i="32"/>
  <c r="M703" i="32"/>
  <c r="M704" i="32"/>
  <c r="M705" i="32"/>
  <c r="M706" i="32"/>
  <c r="M707" i="32"/>
  <c r="M708" i="32"/>
  <c r="M709" i="32"/>
  <c r="M710" i="32"/>
  <c r="M711" i="32"/>
  <c r="M712" i="32"/>
  <c r="M713" i="32"/>
  <c r="M714" i="32"/>
  <c r="M715" i="32"/>
  <c r="M716" i="32"/>
  <c r="M717" i="32"/>
  <c r="M718" i="32"/>
  <c r="M719" i="32"/>
  <c r="M720" i="32"/>
  <c r="M721" i="32"/>
  <c r="M722" i="32"/>
  <c r="M723" i="32"/>
  <c r="M724" i="32"/>
  <c r="M725" i="32"/>
  <c r="M726" i="32"/>
  <c r="M727" i="32"/>
  <c r="M728" i="32"/>
  <c r="M729" i="32"/>
  <c r="M730" i="32"/>
  <c r="M731" i="32"/>
  <c r="M732" i="32"/>
  <c r="M733" i="32"/>
  <c r="M734" i="32"/>
  <c r="M735" i="32"/>
  <c r="M736" i="32"/>
  <c r="M737" i="32"/>
  <c r="M738" i="32"/>
  <c r="M739" i="32"/>
  <c r="M740" i="32"/>
  <c r="M741" i="32"/>
  <c r="M742" i="32"/>
  <c r="M743" i="32"/>
  <c r="M744" i="32"/>
  <c r="M745" i="32"/>
  <c r="M746" i="32"/>
  <c r="M747" i="32"/>
  <c r="M748" i="32"/>
  <c r="M749" i="32"/>
  <c r="M750" i="32"/>
  <c r="M751" i="32"/>
  <c r="M752" i="32"/>
  <c r="M753" i="32"/>
  <c r="M754" i="32"/>
  <c r="M755" i="32"/>
  <c r="M756" i="32"/>
  <c r="M757" i="32"/>
  <c r="M758" i="32"/>
  <c r="M759" i="32"/>
  <c r="M760" i="32"/>
  <c r="M761" i="32"/>
  <c r="M762" i="32"/>
  <c r="M763" i="32"/>
  <c r="M764" i="32"/>
  <c r="M765" i="32"/>
  <c r="M766" i="32"/>
  <c r="M767" i="32"/>
  <c r="M768" i="32"/>
  <c r="M769" i="32"/>
  <c r="M770" i="32"/>
  <c r="M771" i="32"/>
  <c r="M772" i="32"/>
  <c r="M773" i="32"/>
  <c r="M774" i="32"/>
  <c r="M775" i="32"/>
  <c r="M776" i="32"/>
  <c r="M777" i="32"/>
  <c r="M778" i="32"/>
  <c r="M779" i="32"/>
  <c r="M780" i="32"/>
  <c r="M781" i="32"/>
  <c r="M782" i="32"/>
  <c r="M783" i="32"/>
  <c r="M784" i="32"/>
  <c r="M785" i="32"/>
  <c r="M786" i="32"/>
  <c r="M787" i="32"/>
  <c r="M788" i="32"/>
  <c r="M789" i="32"/>
  <c r="M790" i="32"/>
  <c r="M791" i="32"/>
  <c r="M792" i="32"/>
  <c r="M793" i="32"/>
  <c r="M794" i="32"/>
  <c r="M795" i="32"/>
  <c r="M796" i="32"/>
  <c r="M797" i="32"/>
  <c r="M798" i="32"/>
  <c r="M799" i="32"/>
  <c r="M800" i="32"/>
  <c r="M801" i="32"/>
  <c r="M802" i="32"/>
  <c r="M803" i="32"/>
  <c r="M804" i="32"/>
  <c r="M805" i="32"/>
  <c r="M806" i="32"/>
  <c r="M807" i="32"/>
  <c r="M808" i="32"/>
  <c r="M809" i="32"/>
  <c r="M810" i="32"/>
  <c r="M811" i="32"/>
  <c r="M812" i="32"/>
  <c r="M813" i="32"/>
  <c r="M814" i="32"/>
  <c r="M815" i="32"/>
  <c r="M816" i="32"/>
  <c r="M817" i="32"/>
  <c r="M818" i="32"/>
  <c r="M819" i="32"/>
  <c r="M820" i="32"/>
  <c r="M821" i="32"/>
  <c r="M822" i="32"/>
  <c r="M823" i="32"/>
  <c r="M824" i="32"/>
  <c r="M825" i="32"/>
  <c r="M826" i="32"/>
  <c r="M827" i="32"/>
  <c r="M828" i="32"/>
  <c r="M829" i="32"/>
  <c r="M830" i="32"/>
  <c r="M831" i="32"/>
  <c r="M832" i="32"/>
  <c r="M833" i="32"/>
  <c r="M834" i="32"/>
  <c r="M835" i="32"/>
  <c r="M836" i="32"/>
  <c r="M837" i="32"/>
  <c r="M838" i="32"/>
  <c r="M839" i="32"/>
  <c r="M840" i="32"/>
  <c r="M841" i="32"/>
  <c r="M842" i="32"/>
  <c r="M843" i="32"/>
  <c r="M844" i="32"/>
  <c r="M845" i="32"/>
  <c r="M846" i="32"/>
  <c r="M847" i="32"/>
  <c r="M848" i="32"/>
  <c r="M849" i="32"/>
  <c r="M850" i="32"/>
  <c r="M851" i="32"/>
  <c r="M852" i="32"/>
  <c r="M853" i="32"/>
  <c r="M854" i="32"/>
  <c r="M855" i="32"/>
  <c r="M856" i="32"/>
  <c r="M857" i="32"/>
  <c r="M858" i="32"/>
  <c r="M859" i="32"/>
  <c r="M860" i="32"/>
  <c r="M861" i="32"/>
  <c r="M862" i="32"/>
  <c r="M863" i="32"/>
  <c r="M864" i="32"/>
  <c r="M865" i="32"/>
  <c r="M866" i="32"/>
  <c r="M867" i="32"/>
  <c r="M868" i="32"/>
  <c r="M869" i="32"/>
  <c r="M870" i="32"/>
  <c r="M871" i="32"/>
  <c r="M872" i="32"/>
  <c r="M873" i="32"/>
  <c r="M874" i="32"/>
  <c r="M875" i="32"/>
  <c r="M876" i="32"/>
  <c r="M877" i="32"/>
  <c r="M878" i="32"/>
  <c r="M879" i="32"/>
  <c r="M880" i="32"/>
  <c r="M881" i="32"/>
  <c r="M882" i="32"/>
  <c r="M883" i="32"/>
  <c r="M884" i="32"/>
  <c r="M885" i="32"/>
  <c r="M886" i="32"/>
  <c r="M887" i="32"/>
  <c r="M888" i="32"/>
  <c r="M889" i="32"/>
  <c r="M890" i="32"/>
  <c r="M891" i="32"/>
  <c r="M892" i="32"/>
  <c r="M893" i="32"/>
  <c r="M894" i="32"/>
  <c r="M895" i="32"/>
  <c r="M896" i="32"/>
  <c r="M897" i="32"/>
  <c r="M898" i="32"/>
  <c r="M899" i="32"/>
  <c r="M900" i="32"/>
  <c r="M901" i="32"/>
  <c r="M902" i="32"/>
  <c r="M903" i="32"/>
  <c r="M904" i="32"/>
  <c r="M905" i="32"/>
  <c r="M906" i="32"/>
  <c r="M907" i="32"/>
  <c r="M908" i="32"/>
  <c r="M909" i="32"/>
  <c r="M910" i="32"/>
  <c r="M911" i="32"/>
  <c r="M912" i="32"/>
  <c r="M913" i="32"/>
  <c r="M914" i="32"/>
  <c r="M915" i="32"/>
  <c r="M916" i="32"/>
  <c r="M917" i="32"/>
  <c r="M918" i="32"/>
  <c r="M919" i="32"/>
  <c r="M920" i="32"/>
  <c r="M921" i="32"/>
  <c r="M922" i="32"/>
  <c r="M923" i="32"/>
  <c r="M924" i="32"/>
  <c r="M925" i="32"/>
  <c r="M926" i="32"/>
  <c r="M927" i="32"/>
  <c r="M928" i="32"/>
  <c r="M929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125" i="32"/>
  <c r="M126" i="32"/>
  <c r="M127" i="32"/>
  <c r="M128" i="32"/>
  <c r="M129" i="32"/>
  <c r="M130" i="32"/>
  <c r="M131" i="32"/>
  <c r="M132" i="32"/>
  <c r="M133" i="32"/>
  <c r="M134" i="32"/>
  <c r="M135" i="32"/>
  <c r="M136" i="32"/>
  <c r="M137" i="32"/>
  <c r="M138" i="32"/>
  <c r="M139" i="32"/>
  <c r="M140" i="32"/>
  <c r="M141" i="32"/>
  <c r="M142" i="32"/>
  <c r="M143" i="32"/>
  <c r="M144" i="32"/>
  <c r="M145" i="32"/>
  <c r="M146" i="32"/>
  <c r="M147" i="32"/>
  <c r="M148" i="32"/>
  <c r="M149" i="32"/>
  <c r="M150" i="32"/>
  <c r="M151" i="32"/>
  <c r="M152" i="32"/>
  <c r="M153" i="32"/>
  <c r="M154" i="32"/>
  <c r="M155" i="32"/>
  <c r="M156" i="32"/>
  <c r="M157" i="32"/>
  <c r="M158" i="32"/>
  <c r="M159" i="32"/>
  <c r="M160" i="32"/>
  <c r="M161" i="32"/>
  <c r="M162" i="32"/>
  <c r="M163" i="32"/>
  <c r="M164" i="32"/>
  <c r="M165" i="32"/>
  <c r="M166" i="32"/>
  <c r="M167" i="32"/>
  <c r="M168" i="32"/>
  <c r="M169" i="32"/>
  <c r="M170" i="32"/>
  <c r="M171" i="32"/>
  <c r="M172" i="32"/>
  <c r="M173" i="32"/>
  <c r="M174" i="32"/>
  <c r="M175" i="32"/>
  <c r="M176" i="32"/>
  <c r="M177" i="32"/>
  <c r="M178" i="32"/>
  <c r="M179" i="32"/>
  <c r="M180" i="32"/>
  <c r="M181" i="32"/>
  <c r="M182" i="32"/>
  <c r="M183" i="32"/>
  <c r="M184" i="32"/>
  <c r="M185" i="32"/>
  <c r="M186" i="32"/>
  <c r="M187" i="32"/>
  <c r="M188" i="32"/>
  <c r="M189" i="32"/>
  <c r="M190" i="32"/>
  <c r="M191" i="32"/>
  <c r="M192" i="32"/>
  <c r="M193" i="32"/>
  <c r="M194" i="32"/>
  <c r="M195" i="32"/>
  <c r="M196" i="32"/>
  <c r="M197" i="32"/>
  <c r="M198" i="32"/>
  <c r="M199" i="32"/>
  <c r="M200" i="32"/>
  <c r="M201" i="32"/>
  <c r="M202" i="32"/>
  <c r="M203" i="32"/>
  <c r="M204" i="32"/>
  <c r="M205" i="32"/>
  <c r="M206" i="32"/>
  <c r="M207" i="32"/>
  <c r="M208" i="32"/>
  <c r="M209" i="32"/>
  <c r="M210" i="32"/>
  <c r="M211" i="32"/>
  <c r="M212" i="32"/>
  <c r="M213" i="32"/>
  <c r="M214" i="32"/>
  <c r="M215" i="32"/>
  <c r="M216" i="32"/>
  <c r="M217" i="32"/>
  <c r="M218" i="32"/>
  <c r="M219" i="32"/>
  <c r="M220" i="32"/>
  <c r="M221" i="32"/>
  <c r="M222" i="32"/>
  <c r="M223" i="32"/>
  <c r="M224" i="32"/>
  <c r="M225" i="32"/>
  <c r="M226" i="32"/>
  <c r="M227" i="32"/>
  <c r="M228" i="32"/>
  <c r="M229" i="32"/>
  <c r="M230" i="32"/>
  <c r="M231" i="32"/>
  <c r="M232" i="32"/>
  <c r="M233" i="32"/>
  <c r="M234" i="32"/>
  <c r="M235" i="32"/>
  <c r="M236" i="32"/>
  <c r="M237" i="32"/>
  <c r="M238" i="32"/>
  <c r="M239" i="32"/>
  <c r="M240" i="32"/>
  <c r="M241" i="32"/>
  <c r="M242" i="32"/>
  <c r="M243" i="32"/>
  <c r="M244" i="32"/>
  <c r="M245" i="32"/>
  <c r="M246" i="32"/>
  <c r="M247" i="32"/>
  <c r="M248" i="32"/>
  <c r="M249" i="32"/>
  <c r="M250" i="32"/>
  <c r="M251" i="32"/>
  <c r="M252" i="32"/>
  <c r="M253" i="32"/>
  <c r="M254" i="32"/>
  <c r="M255" i="32"/>
  <c r="M256" i="32"/>
  <c r="M257" i="32"/>
  <c r="M258" i="32"/>
  <c r="M259" i="32"/>
  <c r="M260" i="32"/>
  <c r="M261" i="32"/>
  <c r="M262" i="32"/>
  <c r="M263" i="32"/>
  <c r="M264" i="32"/>
  <c r="M265" i="32"/>
  <c r="M266" i="32"/>
  <c r="M267" i="32"/>
  <c r="M268" i="32"/>
  <c r="M269" i="32"/>
  <c r="M270" i="32"/>
  <c r="M271" i="32"/>
  <c r="M272" i="32"/>
  <c r="M273" i="32"/>
  <c r="M274" i="32"/>
  <c r="M275" i="32"/>
  <c r="M276" i="32"/>
  <c r="M277" i="32"/>
  <c r="M278" i="32"/>
  <c r="M279" i="32"/>
  <c r="M280" i="32"/>
  <c r="M281" i="32"/>
  <c r="M282" i="32"/>
  <c r="M283" i="32"/>
  <c r="M284" i="32"/>
  <c r="M285" i="32"/>
  <c r="M286" i="32"/>
  <c r="M287" i="32"/>
  <c r="M288" i="32"/>
  <c r="M289" i="32"/>
  <c r="M290" i="32"/>
  <c r="M291" i="32"/>
  <c r="M292" i="32"/>
  <c r="M293" i="32"/>
  <c r="M294" i="32"/>
  <c r="M295" i="32"/>
  <c r="M296" i="32"/>
  <c r="M297" i="32"/>
  <c r="M298" i="32"/>
  <c r="M299" i="32"/>
  <c r="M300" i="32"/>
  <c r="M301" i="32"/>
  <c r="M302" i="32"/>
  <c r="M303" i="32"/>
  <c r="M304" i="32"/>
  <c r="M305" i="32"/>
  <c r="M306" i="32"/>
  <c r="M307" i="32"/>
  <c r="M308" i="32"/>
  <c r="M309" i="32"/>
  <c r="M310" i="32"/>
  <c r="M311" i="32"/>
  <c r="M312" i="32"/>
  <c r="M313" i="32"/>
  <c r="M314" i="32"/>
  <c r="M315" i="32"/>
  <c r="M316" i="32"/>
  <c r="M317" i="32"/>
  <c r="M318" i="32"/>
  <c r="M319" i="32"/>
  <c r="M320" i="32"/>
  <c r="M321" i="32"/>
  <c r="M322" i="32"/>
  <c r="M323" i="32"/>
  <c r="M324" i="32"/>
  <c r="M325" i="32"/>
  <c r="M326" i="32"/>
  <c r="M327" i="32"/>
  <c r="M328" i="32"/>
  <c r="M329" i="32"/>
  <c r="M330" i="32"/>
  <c r="M331" i="32"/>
  <c r="M332" i="32"/>
  <c r="M333" i="32"/>
  <c r="M334" i="32"/>
  <c r="M335" i="32"/>
  <c r="M336" i="32"/>
  <c r="M337" i="32"/>
  <c r="M338" i="32"/>
  <c r="M339" i="32"/>
  <c r="M340" i="32"/>
  <c r="M341" i="32"/>
  <c r="M342" i="32"/>
  <c r="M343" i="32"/>
  <c r="M344" i="32"/>
  <c r="M345" i="32"/>
  <c r="M346" i="32"/>
  <c r="M347" i="32"/>
  <c r="M348" i="32"/>
  <c r="M349" i="32"/>
  <c r="M350" i="32"/>
  <c r="M351" i="32"/>
  <c r="M352" i="32"/>
  <c r="M353" i="32"/>
  <c r="M354" i="32"/>
  <c r="M355" i="32"/>
  <c r="M356" i="32"/>
  <c r="M357" i="32"/>
  <c r="M358" i="32"/>
  <c r="M359" i="32"/>
  <c r="M360" i="32"/>
  <c r="M361" i="32"/>
  <c r="M362" i="32"/>
  <c r="M363" i="32"/>
  <c r="M364" i="32"/>
  <c r="M365" i="32"/>
  <c r="M366" i="32"/>
  <c r="M367" i="32"/>
  <c r="M368" i="32"/>
  <c r="M369" i="32"/>
  <c r="M370" i="32"/>
  <c r="M371" i="32"/>
  <c r="M372" i="32"/>
  <c r="M373" i="32"/>
  <c r="M374" i="32"/>
  <c r="M375" i="32"/>
  <c r="M376" i="32"/>
  <c r="M377" i="32"/>
  <c r="M378" i="32"/>
  <c r="M379" i="32"/>
  <c r="M380" i="32"/>
  <c r="M381" i="32"/>
  <c r="M382" i="32"/>
  <c r="M383" i="32"/>
  <c r="M384" i="32"/>
  <c r="M385" i="32"/>
  <c r="M386" i="32"/>
  <c r="M387" i="32"/>
  <c r="M388" i="32"/>
  <c r="M389" i="32"/>
  <c r="M390" i="32"/>
  <c r="M391" i="32"/>
  <c r="M392" i="32"/>
  <c r="M393" i="32"/>
  <c r="M394" i="32"/>
  <c r="M395" i="32"/>
  <c r="M396" i="32"/>
  <c r="M397" i="32"/>
  <c r="M398" i="32"/>
  <c r="M399" i="32"/>
  <c r="M400" i="32"/>
  <c r="M401" i="32"/>
  <c r="M402" i="32"/>
  <c r="M403" i="32"/>
  <c r="M404" i="32"/>
  <c r="M405" i="32"/>
  <c r="M406" i="32"/>
  <c r="M407" i="32"/>
  <c r="M408" i="32"/>
  <c r="M409" i="32"/>
  <c r="M410" i="32"/>
  <c r="M411" i="32"/>
  <c r="M412" i="32"/>
  <c r="M413" i="32"/>
  <c r="M414" i="32"/>
  <c r="M415" i="32"/>
  <c r="M416" i="32"/>
  <c r="M417" i="32"/>
  <c r="M418" i="32"/>
  <c r="M419" i="32"/>
  <c r="M420" i="32"/>
  <c r="M421" i="32"/>
  <c r="M422" i="32"/>
  <c r="M423" i="32"/>
  <c r="M424" i="32"/>
  <c r="M425" i="32"/>
  <c r="M426" i="32"/>
  <c r="M427" i="32"/>
  <c r="M428" i="32"/>
  <c r="M429" i="32"/>
  <c r="M430" i="32"/>
  <c r="M431" i="32"/>
  <c r="M432" i="32"/>
  <c r="M433" i="32"/>
  <c r="M434" i="32"/>
  <c r="M435" i="32"/>
  <c r="M436" i="32"/>
  <c r="M437" i="32"/>
  <c r="M438" i="32"/>
  <c r="M439" i="32"/>
  <c r="M440" i="32"/>
  <c r="M441" i="32"/>
  <c r="M442" i="32"/>
  <c r="M443" i="32"/>
  <c r="M444" i="32"/>
  <c r="M445" i="32"/>
  <c r="M446" i="32"/>
  <c r="M447" i="32"/>
  <c r="M448" i="32"/>
  <c r="M449" i="32"/>
  <c r="M450" i="32"/>
  <c r="M451" i="32"/>
  <c r="M452" i="32"/>
  <c r="M453" i="32"/>
  <c r="M454" i="32"/>
  <c r="M455" i="32"/>
  <c r="M456" i="32"/>
  <c r="M457" i="32"/>
  <c r="M458" i="32"/>
  <c r="M459" i="32"/>
  <c r="M460" i="32"/>
  <c r="M461" i="32"/>
  <c r="M462" i="32"/>
  <c r="M463" i="32"/>
  <c r="M464" i="32"/>
  <c r="M465" i="32"/>
  <c r="M466" i="32"/>
  <c r="M467" i="32"/>
  <c r="M468" i="32"/>
  <c r="M469" i="32"/>
  <c r="M470" i="32"/>
  <c r="M471" i="32"/>
  <c r="M472" i="32"/>
  <c r="M473" i="32"/>
  <c r="M474" i="32"/>
  <c r="M475" i="32"/>
  <c r="M476" i="32"/>
  <c r="M477" i="32"/>
  <c r="M478" i="32"/>
  <c r="M479" i="32"/>
  <c r="M480" i="32"/>
  <c r="M481" i="32"/>
  <c r="M482" i="32"/>
  <c r="M483" i="32"/>
  <c r="M484" i="32"/>
  <c r="M485" i="32"/>
  <c r="M486" i="32"/>
  <c r="M487" i="32"/>
  <c r="M488" i="32"/>
  <c r="M489" i="32"/>
  <c r="M490" i="32"/>
  <c r="M491" i="32"/>
  <c r="M492" i="32"/>
  <c r="M493" i="32"/>
  <c r="M494" i="32"/>
  <c r="M495" i="32"/>
  <c r="M496" i="32"/>
  <c r="M497" i="32"/>
  <c r="M498" i="32"/>
  <c r="M499" i="32"/>
  <c r="M500" i="32"/>
  <c r="M501" i="32"/>
  <c r="M502" i="32"/>
  <c r="M503" i="32"/>
  <c r="M504" i="32"/>
  <c r="M505" i="32"/>
  <c r="M506" i="32"/>
  <c r="M507" i="32"/>
  <c r="M508" i="32"/>
  <c r="M509" i="32"/>
  <c r="M510" i="32"/>
  <c r="M511" i="32"/>
  <c r="M512" i="32"/>
  <c r="M513" i="32"/>
  <c r="M514" i="32"/>
  <c r="M515" i="32"/>
  <c r="M516" i="32"/>
  <c r="M517" i="32"/>
  <c r="M518" i="32"/>
  <c r="M519" i="32"/>
  <c r="M520" i="32"/>
  <c r="M521" i="32"/>
  <c r="M522" i="32"/>
  <c r="M523" i="32"/>
  <c r="M524" i="32"/>
  <c r="M525" i="32"/>
  <c r="M526" i="32"/>
  <c r="M527" i="32"/>
  <c r="M528" i="32"/>
  <c r="M529" i="32"/>
  <c r="M530" i="32"/>
  <c r="M531" i="32"/>
  <c r="M532" i="32"/>
  <c r="M533" i="32"/>
  <c r="M534" i="32"/>
  <c r="M535" i="32"/>
  <c r="M536" i="32"/>
  <c r="M537" i="32"/>
  <c r="M538" i="32"/>
  <c r="M539" i="32"/>
  <c r="M540" i="32"/>
  <c r="M541" i="32"/>
  <c r="M542" i="32"/>
  <c r="M543" i="32"/>
  <c r="M544" i="32"/>
  <c r="M545" i="32"/>
  <c r="M546" i="32"/>
  <c r="M547" i="32"/>
  <c r="M548" i="32"/>
  <c r="M549" i="32"/>
  <c r="M550" i="32"/>
  <c r="M551" i="32"/>
  <c r="M552" i="32"/>
  <c r="M553" i="32"/>
  <c r="M554" i="32"/>
  <c r="M555" i="32"/>
  <c r="M556" i="32"/>
  <c r="M557" i="32"/>
  <c r="M558" i="32"/>
  <c r="M559" i="32"/>
  <c r="M560" i="32"/>
  <c r="M561" i="32"/>
  <c r="M562" i="32"/>
  <c r="M563" i="32"/>
  <c r="M564" i="32"/>
  <c r="M565" i="32"/>
  <c r="M566" i="32"/>
  <c r="M567" i="32"/>
  <c r="M568" i="32"/>
  <c r="M569" i="32"/>
  <c r="M570" i="32"/>
  <c r="M571" i="32"/>
  <c r="M572" i="32"/>
  <c r="M573" i="32"/>
  <c r="M574" i="32"/>
  <c r="M575" i="32"/>
  <c r="M576" i="32"/>
  <c r="M577" i="32"/>
  <c r="M578" i="32"/>
  <c r="M579" i="32"/>
  <c r="M580" i="32"/>
  <c r="M581" i="32"/>
  <c r="M582" i="32"/>
  <c r="M583" i="32"/>
  <c r="M584" i="32"/>
  <c r="M585" i="32"/>
  <c r="M586" i="32"/>
  <c r="M587" i="32"/>
  <c r="M588" i="32"/>
  <c r="M589" i="32"/>
  <c r="M590" i="32"/>
  <c r="M591" i="32"/>
  <c r="M592" i="32"/>
  <c r="M593" i="32"/>
  <c r="M594" i="32"/>
  <c r="M595" i="32"/>
  <c r="M596" i="32"/>
  <c r="M597" i="32"/>
  <c r="M598" i="32"/>
  <c r="M599" i="32"/>
  <c r="M600" i="32"/>
  <c r="M601" i="32"/>
  <c r="M602" i="32"/>
  <c r="M603" i="32"/>
  <c r="M604" i="32"/>
  <c r="M605" i="32"/>
  <c r="M606" i="32"/>
  <c r="M607" i="32"/>
  <c r="M608" i="32"/>
  <c r="M609" i="32"/>
  <c r="M610" i="32"/>
  <c r="M611" i="32"/>
  <c r="M612" i="32"/>
  <c r="M613" i="32"/>
  <c r="M614" i="32"/>
  <c r="M615" i="32"/>
  <c r="M616" i="32"/>
  <c r="M617" i="32"/>
  <c r="M618" i="32"/>
  <c r="M619" i="32"/>
  <c r="M620" i="32"/>
  <c r="M621" i="32"/>
  <c r="M622" i="32"/>
  <c r="M623" i="32"/>
  <c r="M624" i="32"/>
  <c r="M625" i="32"/>
  <c r="M626" i="32"/>
  <c r="M627" i="32"/>
  <c r="M628" i="32"/>
  <c r="M629" i="32"/>
  <c r="M630" i="32"/>
  <c r="M631" i="32"/>
  <c r="M632" i="32"/>
  <c r="M633" i="32"/>
  <c r="M634" i="32"/>
  <c r="M33" i="32"/>
  <c r="M28" i="32"/>
  <c r="X26" i="32" l="1"/>
  <c r="T268" i="32"/>
  <c r="T447" i="32"/>
  <c r="T446" i="32"/>
  <c r="T219" i="32"/>
  <c r="T656" i="32"/>
  <c r="T853" i="32"/>
  <c r="T810" i="32"/>
  <c r="T653" i="32"/>
  <c r="T445" i="32"/>
  <c r="T401" i="32"/>
  <c r="T920" i="32"/>
  <c r="T770" i="32"/>
  <c r="T571" i="32"/>
  <c r="T354" i="32"/>
  <c r="T919" i="32"/>
  <c r="T745" i="32"/>
  <c r="T524" i="32"/>
  <c r="T353" i="32"/>
  <c r="T355" i="32"/>
  <c r="T894" i="32"/>
  <c r="T740" i="32"/>
  <c r="T523" i="32"/>
  <c r="T313" i="32"/>
  <c r="T893" i="32"/>
  <c r="T728" i="32"/>
  <c r="T487" i="32"/>
  <c r="T308" i="32"/>
  <c r="T616" i="32"/>
  <c r="T808" i="32"/>
  <c r="T772" i="32"/>
  <c r="T356" i="32"/>
  <c r="T771" i="32"/>
  <c r="T307" i="32"/>
  <c r="T809" i="32"/>
  <c r="T615" i="32"/>
  <c r="T614" i="32"/>
  <c r="T572" i="32"/>
  <c r="T892" i="32"/>
  <c r="T662" i="32"/>
  <c r="T484" i="32"/>
  <c r="T856" i="32"/>
  <c r="T661" i="32"/>
  <c r="T483" i="32"/>
  <c r="T269" i="32"/>
  <c r="T848" i="32"/>
  <c r="T702" i="32"/>
  <c r="T570" i="32"/>
  <c r="T400" i="32"/>
  <c r="T267" i="32"/>
  <c r="T847" i="32"/>
  <c r="T701" i="32"/>
  <c r="T569" i="32"/>
  <c r="T399" i="32"/>
  <c r="T230" i="32"/>
  <c r="T846" i="32"/>
  <c r="T686" i="32"/>
  <c r="T533" i="32"/>
  <c r="T361" i="32"/>
  <c r="T224" i="32"/>
  <c r="T918" i="32"/>
  <c r="T812" i="32"/>
  <c r="T739" i="32"/>
  <c r="T652" i="32"/>
  <c r="T532" i="32"/>
  <c r="T440" i="32"/>
  <c r="T317" i="32"/>
  <c r="T223" i="32"/>
  <c r="T917" i="32"/>
  <c r="T811" i="32"/>
  <c r="T738" i="32"/>
  <c r="T617" i="32"/>
  <c r="T529" i="32"/>
  <c r="T437" i="32"/>
  <c r="T316" i="32"/>
  <c r="T222" i="32"/>
  <c r="T880" i="32"/>
  <c r="T785" i="32"/>
  <c r="T700" i="32"/>
  <c r="T613" i="32"/>
  <c r="T486" i="32"/>
  <c r="T398" i="32"/>
  <c r="T271" i="32"/>
  <c r="T879" i="32"/>
  <c r="T784" i="32"/>
  <c r="T699" i="32"/>
  <c r="T577" i="32"/>
  <c r="T485" i="32"/>
  <c r="T397" i="32"/>
  <c r="T270" i="32"/>
  <c r="T232" i="32"/>
  <c r="T255" i="32"/>
  <c r="T277" i="32"/>
  <c r="T301" i="32"/>
  <c r="T319" i="32"/>
  <c r="T341" i="32"/>
  <c r="T363" i="32"/>
  <c r="T385" i="32"/>
  <c r="T409" i="32"/>
  <c r="T427" i="32"/>
  <c r="T449" i="32"/>
  <c r="T471" i="32"/>
  <c r="T493" i="32"/>
  <c r="T517" i="32"/>
  <c r="T535" i="32"/>
  <c r="T557" i="32"/>
  <c r="T579" i="32"/>
  <c r="T601" i="32"/>
  <c r="T625" i="32"/>
  <c r="T643" i="32"/>
  <c r="T665" i="32"/>
  <c r="T687" i="32"/>
  <c r="T709" i="32"/>
  <c r="T733" i="32"/>
  <c r="T751" i="32"/>
  <c r="T773" i="32"/>
  <c r="T795" i="32"/>
  <c r="T817" i="32"/>
  <c r="T841" i="32"/>
  <c r="T859" i="32"/>
  <c r="T881" i="32"/>
  <c r="T903" i="32"/>
  <c r="T925" i="32"/>
  <c r="T235" i="32"/>
  <c r="T282" i="32"/>
  <c r="T326" i="32"/>
  <c r="T368" i="32"/>
  <c r="T412" i="32"/>
  <c r="T476" i="32"/>
  <c r="T542" i="32"/>
  <c r="T584" i="32"/>
  <c r="T628" i="32"/>
  <c r="T692" i="32"/>
  <c r="T758" i="32"/>
  <c r="T800" i="32"/>
  <c r="T866" i="32"/>
  <c r="T908" i="32"/>
  <c r="T283" i="32"/>
  <c r="T305" i="32"/>
  <c r="T391" i="32"/>
  <c r="T413" i="32"/>
  <c r="T481" i="32"/>
  <c r="T521" i="32"/>
  <c r="T589" i="32"/>
  <c r="T629" i="32"/>
  <c r="T673" i="32"/>
  <c r="T737" i="32"/>
  <c r="T805" i="32"/>
  <c r="T845" i="32"/>
  <c r="T889" i="32"/>
  <c r="T460" i="32"/>
  <c r="T568" i="32"/>
  <c r="T630" i="32"/>
  <c r="T698" i="32"/>
  <c r="T716" i="32"/>
  <c r="T233" i="32"/>
  <c r="T256" i="32"/>
  <c r="T280" i="32"/>
  <c r="T302" i="32"/>
  <c r="T320" i="32"/>
  <c r="T342" i="32"/>
  <c r="T364" i="32"/>
  <c r="T388" i="32"/>
  <c r="T410" i="32"/>
  <c r="T428" i="32"/>
  <c r="T450" i="32"/>
  <c r="T472" i="32"/>
  <c r="T496" i="32"/>
  <c r="T518" i="32"/>
  <c r="T536" i="32"/>
  <c r="T558" i="32"/>
  <c r="T580" i="32"/>
  <c r="T604" i="32"/>
  <c r="T626" i="32"/>
  <c r="T644" i="32"/>
  <c r="T666" i="32"/>
  <c r="T688" i="32"/>
  <c r="T712" i="32"/>
  <c r="T734" i="32"/>
  <c r="T752" i="32"/>
  <c r="T774" i="32"/>
  <c r="T796" i="32"/>
  <c r="T820" i="32"/>
  <c r="T842" i="32"/>
  <c r="T860" i="32"/>
  <c r="T882" i="32"/>
  <c r="T904" i="32"/>
  <c r="T928" i="32"/>
  <c r="T452" i="32"/>
  <c r="T668" i="32"/>
  <c r="T822" i="32"/>
  <c r="T265" i="32"/>
  <c r="T349" i="32"/>
  <c r="T435" i="32"/>
  <c r="T543" i="32"/>
  <c r="T651" i="32"/>
  <c r="T781" i="32"/>
  <c r="T218" i="32"/>
  <c r="T266" i="32"/>
  <c r="T284" i="32"/>
  <c r="T328" i="32"/>
  <c r="T374" i="32"/>
  <c r="T414" i="32"/>
  <c r="T482" i="32"/>
  <c r="T522" i="32"/>
  <c r="T590" i="32"/>
  <c r="T676" i="32"/>
  <c r="T234" i="32"/>
  <c r="T257" i="32"/>
  <c r="T281" i="32"/>
  <c r="T303" i="32"/>
  <c r="T325" i="32"/>
  <c r="T343" i="32"/>
  <c r="T365" i="32"/>
  <c r="T389" i="32"/>
  <c r="T411" i="32"/>
  <c r="T433" i="32"/>
  <c r="T451" i="32"/>
  <c r="T473" i="32"/>
  <c r="T497" i="32"/>
  <c r="T519" i="32"/>
  <c r="T541" i="32"/>
  <c r="T559" i="32"/>
  <c r="T581" i="32"/>
  <c r="T605" i="32"/>
  <c r="T627" i="32"/>
  <c r="T649" i="32"/>
  <c r="T667" i="32"/>
  <c r="T689" i="32"/>
  <c r="T713" i="32"/>
  <c r="T735" i="32"/>
  <c r="T757" i="32"/>
  <c r="T775" i="32"/>
  <c r="T797" i="32"/>
  <c r="T821" i="32"/>
  <c r="T843" i="32"/>
  <c r="T865" i="32"/>
  <c r="T883" i="32"/>
  <c r="T905" i="32"/>
  <c r="T929" i="32"/>
  <c r="T260" i="32"/>
  <c r="T304" i="32"/>
  <c r="T344" i="32"/>
  <c r="T390" i="32"/>
  <c r="T434" i="32"/>
  <c r="T498" i="32"/>
  <c r="T520" i="32"/>
  <c r="T560" i="32"/>
  <c r="T606" i="32"/>
  <c r="T650" i="32"/>
  <c r="T714" i="32"/>
  <c r="T736" i="32"/>
  <c r="T776" i="32"/>
  <c r="T844" i="32"/>
  <c r="T884" i="32"/>
  <c r="T236" i="32"/>
  <c r="T327" i="32"/>
  <c r="T373" i="32"/>
  <c r="T457" i="32"/>
  <c r="T499" i="32"/>
  <c r="T565" i="32"/>
  <c r="T607" i="32"/>
  <c r="T697" i="32"/>
  <c r="T715" i="32"/>
  <c r="T759" i="32"/>
  <c r="T823" i="32"/>
  <c r="T867" i="32"/>
  <c r="T913" i="32"/>
  <c r="T244" i="32"/>
  <c r="T306" i="32"/>
  <c r="T352" i="32"/>
  <c r="T392" i="32"/>
  <c r="T436" i="32"/>
  <c r="T500" i="32"/>
  <c r="T544" i="32"/>
  <c r="T608" i="32"/>
  <c r="T916" i="32"/>
  <c r="T836" i="32"/>
  <c r="T769" i="32"/>
  <c r="T725" i="32"/>
  <c r="T642" i="32"/>
  <c r="T596" i="32"/>
  <c r="T512" i="32"/>
  <c r="T470" i="32"/>
  <c r="T426" i="32"/>
  <c r="T380" i="32"/>
  <c r="T340" i="32"/>
  <c r="T296" i="32"/>
  <c r="T254" i="32"/>
  <c r="T915" i="32"/>
  <c r="T764" i="32"/>
  <c r="T641" i="32"/>
  <c r="T872" i="32"/>
  <c r="T794" i="32"/>
  <c r="T723" i="32"/>
  <c r="T640" i="32"/>
  <c r="T554" i="32"/>
  <c r="T464" i="32"/>
  <c r="T378" i="32"/>
  <c r="T292" i="32"/>
  <c r="Q828" i="32"/>
  <c r="T869" i="32"/>
  <c r="T760" i="32"/>
  <c r="T678" i="32"/>
  <c r="T593" i="32"/>
  <c r="T507" i="32"/>
  <c r="T421" i="32"/>
  <c r="T337" i="32"/>
  <c r="T868" i="32"/>
  <c r="T788" i="32"/>
  <c r="T721" i="32"/>
  <c r="T632" i="32"/>
  <c r="T592" i="32"/>
  <c r="T506" i="32"/>
  <c r="T416" i="32"/>
  <c r="T376" i="32"/>
  <c r="T290" i="32"/>
  <c r="T246" i="32"/>
  <c r="Q780" i="32"/>
  <c r="T858" i="32"/>
  <c r="T829" i="32"/>
  <c r="T787" i="32"/>
  <c r="T749" i="32"/>
  <c r="T664" i="32"/>
  <c r="T631" i="32"/>
  <c r="T591" i="32"/>
  <c r="T545" i="32"/>
  <c r="T505" i="32"/>
  <c r="T461" i="32"/>
  <c r="T415" i="32"/>
  <c r="T375" i="32"/>
  <c r="T329" i="32"/>
  <c r="T289" i="32"/>
  <c r="T245" i="32"/>
  <c r="T878" i="32"/>
  <c r="T807" i="32"/>
  <c r="T685" i="32"/>
  <c r="T556" i="32"/>
  <c r="T877" i="32"/>
  <c r="T833" i="32"/>
  <c r="T806" i="32"/>
  <c r="T724" i="32"/>
  <c r="T680" i="32"/>
  <c r="T595" i="32"/>
  <c r="T555" i="32"/>
  <c r="T509" i="32"/>
  <c r="T469" i="32"/>
  <c r="T425" i="32"/>
  <c r="T379" i="32"/>
  <c r="T339" i="32"/>
  <c r="T293" i="32"/>
  <c r="T253" i="32"/>
  <c r="T914" i="32"/>
  <c r="T832" i="32"/>
  <c r="T761" i="32"/>
  <c r="T679" i="32"/>
  <c r="T594" i="32"/>
  <c r="T508" i="32"/>
  <c r="T424" i="32"/>
  <c r="T338" i="32"/>
  <c r="T248" i="32"/>
  <c r="T902" i="32"/>
  <c r="T831" i="32"/>
  <c r="T793" i="32"/>
  <c r="T722" i="32"/>
  <c r="T637" i="32"/>
  <c r="T553" i="32"/>
  <c r="T463" i="32"/>
  <c r="T377" i="32"/>
  <c r="T291" i="32"/>
  <c r="T247" i="32"/>
  <c r="Q799" i="32"/>
  <c r="T901" i="32"/>
  <c r="T830" i="32"/>
  <c r="T750" i="32"/>
  <c r="T677" i="32"/>
  <c r="T548" i="32"/>
  <c r="T462" i="32"/>
  <c r="T332" i="32"/>
  <c r="T896" i="32"/>
  <c r="T704" i="32"/>
  <c r="T895" i="32"/>
  <c r="T857" i="32"/>
  <c r="T824" i="32"/>
  <c r="T786" i="32"/>
  <c r="T748" i="32"/>
  <c r="T703" i="32"/>
  <c r="T663" i="32"/>
  <c r="T620" i="32"/>
  <c r="T578" i="32"/>
  <c r="T534" i="32"/>
  <c r="T488" i="32"/>
  <c r="T448" i="32"/>
  <c r="T404" i="32"/>
  <c r="T362" i="32"/>
  <c r="T318" i="32"/>
  <c r="T272" i="32"/>
  <c r="T231" i="32"/>
  <c r="Q35" i="32"/>
  <c r="T213" i="32"/>
  <c r="T225" i="32"/>
  <c r="T237" i="32"/>
  <c r="T249" i="32"/>
  <c r="T261" i="32"/>
  <c r="T273" i="32"/>
  <c r="T285" i="32"/>
  <c r="T297" i="32"/>
  <c r="T309" i="32"/>
  <c r="T321" i="32"/>
  <c r="T333" i="32"/>
  <c r="T345" i="32"/>
  <c r="T357" i="32"/>
  <c r="T369" i="32"/>
  <c r="T381" i="32"/>
  <c r="T393" i="32"/>
  <c r="T405" i="32"/>
  <c r="T417" i="32"/>
  <c r="T429" i="32"/>
  <c r="T441" i="32"/>
  <c r="T453" i="32"/>
  <c r="T465" i="32"/>
  <c r="T477" i="32"/>
  <c r="T489" i="32"/>
  <c r="T501" i="32"/>
  <c r="T513" i="32"/>
  <c r="T525" i="32"/>
  <c r="T537" i="32"/>
  <c r="T549" i="32"/>
  <c r="T561" i="32"/>
  <c r="T573" i="32"/>
  <c r="T585" i="32"/>
  <c r="T597" i="32"/>
  <c r="T609" i="32"/>
  <c r="T621" i="32"/>
  <c r="T633" i="32"/>
  <c r="T645" i="32"/>
  <c r="T657" i="32"/>
  <c r="T669" i="32"/>
  <c r="T681" i="32"/>
  <c r="T693" i="32"/>
  <c r="T705" i="32"/>
  <c r="T717" i="32"/>
  <c r="T729" i="32"/>
  <c r="T741" i="32"/>
  <c r="T753" i="32"/>
  <c r="T765" i="32"/>
  <c r="T777" i="32"/>
  <c r="T789" i="32"/>
  <c r="T801" i="32"/>
  <c r="T813" i="32"/>
  <c r="T825" i="32"/>
  <c r="T837" i="32"/>
  <c r="T849" i="32"/>
  <c r="T861" i="32"/>
  <c r="T873" i="32"/>
  <c r="T885" i="32"/>
  <c r="T897" i="32"/>
  <c r="T909" i="32"/>
  <c r="T921" i="32"/>
  <c r="Q270" i="32"/>
  <c r="T214" i="32"/>
  <c r="T226" i="32"/>
  <c r="T238" i="32"/>
  <c r="T250" i="32"/>
  <c r="T262" i="32"/>
  <c r="T274" i="32"/>
  <c r="T286" i="32"/>
  <c r="T298" i="32"/>
  <c r="T310" i="32"/>
  <c r="T322" i="32"/>
  <c r="T334" i="32"/>
  <c r="T346" i="32"/>
  <c r="T358" i="32"/>
  <c r="T370" i="32"/>
  <c r="T382" i="32"/>
  <c r="T394" i="32"/>
  <c r="T406" i="32"/>
  <c r="T418" i="32"/>
  <c r="T430" i="32"/>
  <c r="T442" i="32"/>
  <c r="T454" i="32"/>
  <c r="T466" i="32"/>
  <c r="T478" i="32"/>
  <c r="T490" i="32"/>
  <c r="T502" i="32"/>
  <c r="T514" i="32"/>
  <c r="T526" i="32"/>
  <c r="T538" i="32"/>
  <c r="T550" i="32"/>
  <c r="T562" i="32"/>
  <c r="T574" i="32"/>
  <c r="T586" i="32"/>
  <c r="T598" i="32"/>
  <c r="T610" i="32"/>
  <c r="T622" i="32"/>
  <c r="T634" i="32"/>
  <c r="T646" i="32"/>
  <c r="T658" i="32"/>
  <c r="T670" i="32"/>
  <c r="T682" i="32"/>
  <c r="T694" i="32"/>
  <c r="T706" i="32"/>
  <c r="T718" i="32"/>
  <c r="T730" i="32"/>
  <c r="T742" i="32"/>
  <c r="T754" i="32"/>
  <c r="T766" i="32"/>
  <c r="T778" i="32"/>
  <c r="T790" i="32"/>
  <c r="T802" i="32"/>
  <c r="T814" i="32"/>
  <c r="T826" i="32"/>
  <c r="T838" i="32"/>
  <c r="T850" i="32"/>
  <c r="T862" i="32"/>
  <c r="T874" i="32"/>
  <c r="T886" i="32"/>
  <c r="T898" i="32"/>
  <c r="T910" i="32"/>
  <c r="T922" i="32"/>
  <c r="Q326" i="32"/>
  <c r="T215" i="32"/>
  <c r="T227" i="32"/>
  <c r="T239" i="32"/>
  <c r="T251" i="32"/>
  <c r="T263" i="32"/>
  <c r="T275" i="32"/>
  <c r="T287" i="32"/>
  <c r="T299" i="32"/>
  <c r="T311" i="32"/>
  <c r="T323" i="32"/>
  <c r="T335" i="32"/>
  <c r="T347" i="32"/>
  <c r="T359" i="32"/>
  <c r="T371" i="32"/>
  <c r="T383" i="32"/>
  <c r="T395" i="32"/>
  <c r="T407" i="32"/>
  <c r="T419" i="32"/>
  <c r="T431" i="32"/>
  <c r="T443" i="32"/>
  <c r="T455" i="32"/>
  <c r="T467" i="32"/>
  <c r="T479" i="32"/>
  <c r="T491" i="32"/>
  <c r="T503" i="32"/>
  <c r="T515" i="32"/>
  <c r="T527" i="32"/>
  <c r="T539" i="32"/>
  <c r="T551" i="32"/>
  <c r="T563" i="32"/>
  <c r="T575" i="32"/>
  <c r="T587" i="32"/>
  <c r="T599" i="32"/>
  <c r="T611" i="32"/>
  <c r="T623" i="32"/>
  <c r="T635" i="32"/>
  <c r="T647" i="32"/>
  <c r="T659" i="32"/>
  <c r="T671" i="32"/>
  <c r="T683" i="32"/>
  <c r="T695" i="32"/>
  <c r="T707" i="32"/>
  <c r="T719" i="32"/>
  <c r="T731" i="32"/>
  <c r="T743" i="32"/>
  <c r="T755" i="32"/>
  <c r="T767" i="32"/>
  <c r="T779" i="32"/>
  <c r="T791" i="32"/>
  <c r="T803" i="32"/>
  <c r="T815" i="32"/>
  <c r="T827" i="32"/>
  <c r="T839" i="32"/>
  <c r="T851" i="32"/>
  <c r="T863" i="32"/>
  <c r="T875" i="32"/>
  <c r="T887" i="32"/>
  <c r="T899" i="32"/>
  <c r="T911" i="32"/>
  <c r="T923" i="32"/>
  <c r="Q436" i="32"/>
  <c r="T217" i="32"/>
  <c r="T241" i="32"/>
  <c r="T216" i="32"/>
  <c r="T228" i="32"/>
  <c r="T240" i="32"/>
  <c r="T252" i="32"/>
  <c r="T264" i="32"/>
  <c r="T276" i="32"/>
  <c r="T288" i="32"/>
  <c r="T300" i="32"/>
  <c r="T312" i="32"/>
  <c r="T324" i="32"/>
  <c r="T336" i="32"/>
  <c r="T348" i="32"/>
  <c r="T360" i="32"/>
  <c r="T372" i="32"/>
  <c r="T384" i="32"/>
  <c r="T396" i="32"/>
  <c r="T408" i="32"/>
  <c r="T420" i="32"/>
  <c r="T432" i="32"/>
  <c r="T444" i="32"/>
  <c r="T456" i="32"/>
  <c r="T468" i="32"/>
  <c r="T480" i="32"/>
  <c r="T492" i="32"/>
  <c r="T504" i="32"/>
  <c r="T516" i="32"/>
  <c r="T528" i="32"/>
  <c r="T540" i="32"/>
  <c r="T552" i="32"/>
  <c r="T564" i="32"/>
  <c r="T576" i="32"/>
  <c r="T588" i="32"/>
  <c r="T600" i="32"/>
  <c r="T612" i="32"/>
  <c r="T624" i="32"/>
  <c r="T636" i="32"/>
  <c r="T648" i="32"/>
  <c r="T660" i="32"/>
  <c r="T672" i="32"/>
  <c r="T684" i="32"/>
  <c r="T696" i="32"/>
  <c r="T708" i="32"/>
  <c r="T720" i="32"/>
  <c r="T732" i="32"/>
  <c r="T744" i="32"/>
  <c r="T756" i="32"/>
  <c r="T768" i="32"/>
  <c r="T780" i="32"/>
  <c r="T792" i="32"/>
  <c r="T804" i="32"/>
  <c r="T816" i="32"/>
  <c r="T828" i="32"/>
  <c r="T840" i="32"/>
  <c r="T852" i="32"/>
  <c r="T864" i="32"/>
  <c r="T876" i="32"/>
  <c r="T888" i="32"/>
  <c r="T900" i="32"/>
  <c r="T912" i="32"/>
  <c r="T924" i="32"/>
  <c r="Q751" i="32"/>
  <c r="T229" i="32"/>
  <c r="T927" i="32"/>
  <c r="T907" i="32"/>
  <c r="T891" i="32"/>
  <c r="T871" i="32"/>
  <c r="T855" i="32"/>
  <c r="T835" i="32"/>
  <c r="T819" i="32"/>
  <c r="T799" i="32"/>
  <c r="T783" i="32"/>
  <c r="T763" i="32"/>
  <c r="T747" i="32"/>
  <c r="T727" i="32"/>
  <c r="T711" i="32"/>
  <c r="T691" i="32"/>
  <c r="T675" i="32"/>
  <c r="T655" i="32"/>
  <c r="T639" i="32"/>
  <c r="T619" i="32"/>
  <c r="T603" i="32"/>
  <c r="T583" i="32"/>
  <c r="T567" i="32"/>
  <c r="T547" i="32"/>
  <c r="T531" i="32"/>
  <c r="T511" i="32"/>
  <c r="T495" i="32"/>
  <c r="T475" i="32"/>
  <c r="T459" i="32"/>
  <c r="T439" i="32"/>
  <c r="T423" i="32"/>
  <c r="T403" i="32"/>
  <c r="T387" i="32"/>
  <c r="T367" i="32"/>
  <c r="T351" i="32"/>
  <c r="T331" i="32"/>
  <c r="T315" i="32"/>
  <c r="T295" i="32"/>
  <c r="T279" i="32"/>
  <c r="T259" i="32"/>
  <c r="T243" i="32"/>
  <c r="T221" i="32"/>
  <c r="T926" i="32"/>
  <c r="T906" i="32"/>
  <c r="T890" i="32"/>
  <c r="T870" i="32"/>
  <c r="T854" i="32"/>
  <c r="T834" i="32"/>
  <c r="T818" i="32"/>
  <c r="T798" i="32"/>
  <c r="T782" i="32"/>
  <c r="T762" i="32"/>
  <c r="T746" i="32"/>
  <c r="T726" i="32"/>
  <c r="T710" i="32"/>
  <c r="T690" i="32"/>
  <c r="T674" i="32"/>
  <c r="T654" i="32"/>
  <c r="T638" i="32"/>
  <c r="T618" i="32"/>
  <c r="T602" i="32"/>
  <c r="T582" i="32"/>
  <c r="T566" i="32"/>
  <c r="T546" i="32"/>
  <c r="T530" i="32"/>
  <c r="T510" i="32"/>
  <c r="T494" i="32"/>
  <c r="T474" i="32"/>
  <c r="T458" i="32"/>
  <c r="T438" i="32"/>
  <c r="T422" i="32"/>
  <c r="T402" i="32"/>
  <c r="T386" i="32"/>
  <c r="T366" i="32"/>
  <c r="T350" i="32"/>
  <c r="T330" i="32"/>
  <c r="T314" i="32"/>
  <c r="T294" i="32"/>
  <c r="T278" i="32"/>
  <c r="T258" i="32"/>
  <c r="T242" i="32"/>
  <c r="T220" i="32"/>
  <c r="Q302" i="32"/>
  <c r="Q589" i="32"/>
  <c r="Q637" i="32"/>
  <c r="Q608" i="32"/>
  <c r="Q178" i="32"/>
  <c r="Q148" i="32"/>
  <c r="Q924" i="32"/>
  <c r="Q541" i="32"/>
  <c r="Q89" i="32"/>
  <c r="Q876" i="32"/>
  <c r="Q485" i="32"/>
  <c r="Q236" i="32"/>
  <c r="Q202" i="32"/>
  <c r="Q560" i="32"/>
  <c r="Q114" i="32"/>
  <c r="Q895" i="32"/>
  <c r="Q512" i="32"/>
  <c r="Q847" i="32"/>
  <c r="Q463" i="32"/>
  <c r="Q405" i="32"/>
  <c r="Q685" i="32"/>
  <c r="Q382" i="32"/>
  <c r="Q704" i="32"/>
  <c r="Q56" i="32"/>
  <c r="Q656" i="32"/>
  <c r="Q354" i="32"/>
  <c r="Q894" i="32"/>
  <c r="Q820" i="32"/>
  <c r="Q750" i="32"/>
  <c r="Q703" i="32"/>
  <c r="Q629" i="32"/>
  <c r="Q559" i="32"/>
  <c r="Q462" i="32"/>
  <c r="Q381" i="32"/>
  <c r="Q55" i="32"/>
  <c r="Q915" i="32"/>
  <c r="Q845" i="32"/>
  <c r="Q771" i="32"/>
  <c r="Q702" i="32"/>
  <c r="Q654" i="32"/>
  <c r="Q606" i="32"/>
  <c r="Q558" i="32"/>
  <c r="Q510" i="32"/>
  <c r="Q461" i="32"/>
  <c r="Q375" i="32"/>
  <c r="Q321" i="32"/>
  <c r="Q268" i="32"/>
  <c r="Q200" i="32"/>
  <c r="Q142" i="32"/>
  <c r="Q78" i="32"/>
  <c r="Q892" i="32"/>
  <c r="Q844" i="32"/>
  <c r="Q796" i="32"/>
  <c r="Q748" i="32"/>
  <c r="Q701" i="32"/>
  <c r="Q653" i="32"/>
  <c r="Q605" i="32"/>
  <c r="Q557" i="32"/>
  <c r="Q509" i="32"/>
  <c r="Q453" i="32"/>
  <c r="Q402" i="32"/>
  <c r="Q351" i="32"/>
  <c r="Q291" i="32"/>
  <c r="Q233" i="32"/>
  <c r="Q166" i="32"/>
  <c r="Q107" i="32"/>
  <c r="Q77" i="32"/>
  <c r="Q913" i="32"/>
  <c r="Q817" i="32"/>
  <c r="Q769" i="32"/>
  <c r="Q700" i="32"/>
  <c r="Q652" i="32"/>
  <c r="Q556" i="32"/>
  <c r="Q481" i="32"/>
  <c r="Q370" i="32"/>
  <c r="Q76" i="32"/>
  <c r="Q912" i="32"/>
  <c r="Q835" i="32"/>
  <c r="Q787" i="32"/>
  <c r="Q739" i="32"/>
  <c r="Q673" i="32"/>
  <c r="Q625" i="32"/>
  <c r="Q548" i="32"/>
  <c r="Q451" i="32"/>
  <c r="Q369" i="32"/>
  <c r="Q286" i="32"/>
  <c r="Q164" i="32"/>
  <c r="Q43" i="32"/>
  <c r="Q33" i="32"/>
  <c r="Q860" i="32"/>
  <c r="Q812" i="32"/>
  <c r="Q717" i="32"/>
  <c r="Q669" i="32"/>
  <c r="Q595" i="32"/>
  <c r="Q525" i="32"/>
  <c r="Q450" i="32"/>
  <c r="Q399" i="32"/>
  <c r="Q340" i="32"/>
  <c r="Q285" i="32"/>
  <c r="Q196" i="32"/>
  <c r="Q42" i="32"/>
  <c r="Q907" i="32"/>
  <c r="Q833" i="32"/>
  <c r="Q785" i="32"/>
  <c r="Q716" i="32"/>
  <c r="Q668" i="32"/>
  <c r="Q620" i="32"/>
  <c r="Q572" i="32"/>
  <c r="Q524" i="32"/>
  <c r="Q449" i="32"/>
  <c r="Q367" i="32"/>
  <c r="Q284" i="32"/>
  <c r="Q220" i="32"/>
  <c r="Q128" i="32"/>
  <c r="Q69" i="32"/>
  <c r="Q906" i="32"/>
  <c r="Q858" i="32"/>
  <c r="Q832" i="32"/>
  <c r="Q784" i="32"/>
  <c r="Q715" i="32"/>
  <c r="Q667" i="32"/>
  <c r="Q619" i="32"/>
  <c r="Q571" i="32"/>
  <c r="Q523" i="32"/>
  <c r="Q470" i="32"/>
  <c r="Q417" i="32"/>
  <c r="Q366" i="32"/>
  <c r="Q306" i="32"/>
  <c r="Q249" i="32"/>
  <c r="Q186" i="32"/>
  <c r="Q127" i="32"/>
  <c r="Q36" i="32"/>
  <c r="Q901" i="32"/>
  <c r="Q879" i="32"/>
  <c r="Q831" i="32"/>
  <c r="Q805" i="32"/>
  <c r="Q783" i="32"/>
  <c r="Q757" i="32"/>
  <c r="Q735" i="32"/>
  <c r="Q710" i="32"/>
  <c r="Q688" i="32"/>
  <c r="Q662" i="32"/>
  <c r="Q640" i="32"/>
  <c r="Q614" i="32"/>
  <c r="Q592" i="32"/>
  <c r="Q566" i="32"/>
  <c r="Q544" i="32"/>
  <c r="Q518" i="32"/>
  <c r="Q495" i="32"/>
  <c r="Q469" i="32"/>
  <c r="Q447" i="32"/>
  <c r="Q416" i="32"/>
  <c r="Q388" i="32"/>
  <c r="Q357" i="32"/>
  <c r="Q334" i="32"/>
  <c r="Q305" i="32"/>
  <c r="Q273" i="32"/>
  <c r="Q248" i="32"/>
  <c r="Q214" i="32"/>
  <c r="Q185" i="32"/>
  <c r="Q151" i="32"/>
  <c r="Q126" i="32"/>
  <c r="Q92" i="32"/>
  <c r="Q59" i="32"/>
  <c r="N727" i="32"/>
  <c r="Q38" i="32"/>
  <c r="Q50" i="32"/>
  <c r="Q61" i="32"/>
  <c r="Q72" i="32"/>
  <c r="Q84" i="32"/>
  <c r="Q96" i="32"/>
  <c r="Q108" i="32"/>
  <c r="Q120" i="32"/>
  <c r="Q132" i="32"/>
  <c r="Q144" i="32"/>
  <c r="Q156" i="32"/>
  <c r="Q168" i="32"/>
  <c r="Q180" i="32"/>
  <c r="Q192" i="32"/>
  <c r="Q203" i="32"/>
  <c r="Q215" i="32"/>
  <c r="Q227" i="32"/>
  <c r="Q239" i="32"/>
  <c r="Q251" i="32"/>
  <c r="Q263" i="32"/>
  <c r="Q275" i="32"/>
  <c r="Q287" i="32"/>
  <c r="Q299" i="32"/>
  <c r="Q311" i="32"/>
  <c r="Q323" i="32"/>
  <c r="Q335" i="32"/>
  <c r="Q347" i="32"/>
  <c r="Q359" i="32"/>
  <c r="Q371" i="32"/>
  <c r="Q383" i="32"/>
  <c r="Q395" i="32"/>
  <c r="Q407" i="32"/>
  <c r="Q419" i="32"/>
  <c r="Q431" i="32"/>
  <c r="Q443" i="32"/>
  <c r="Q455" i="32"/>
  <c r="Q466" i="32"/>
  <c r="Q478" i="32"/>
  <c r="Q490" i="32"/>
  <c r="Q502" i="32"/>
  <c r="Q514" i="32"/>
  <c r="Q526" i="32"/>
  <c r="Q538" i="32"/>
  <c r="Q550" i="32"/>
  <c r="Q562" i="32"/>
  <c r="Q574" i="32"/>
  <c r="Q586" i="32"/>
  <c r="Q598" i="32"/>
  <c r="Q610" i="32"/>
  <c r="Q622" i="32"/>
  <c r="Q634" i="32"/>
  <c r="Q646" i="32"/>
  <c r="Q658" i="32"/>
  <c r="Q670" i="32"/>
  <c r="Q682" i="32"/>
  <c r="Q694" i="32"/>
  <c r="Q706" i="32"/>
  <c r="Q718" i="32"/>
  <c r="Q730" i="32"/>
  <c r="Q741" i="32"/>
  <c r="Q753" i="32"/>
  <c r="Q765" i="32"/>
  <c r="Q777" i="32"/>
  <c r="Q789" i="32"/>
  <c r="Q801" i="32"/>
  <c r="Q813" i="32"/>
  <c r="Q825" i="32"/>
  <c r="Q837" i="32"/>
  <c r="Q849" i="32"/>
  <c r="Q861" i="32"/>
  <c r="Q873" i="32"/>
  <c r="Q885" i="32"/>
  <c r="Q897" i="32"/>
  <c r="Q909" i="32"/>
  <c r="Q921" i="32"/>
  <c r="Q41" i="32"/>
  <c r="Q99" i="32"/>
  <c r="Q123" i="32"/>
  <c r="Q147" i="32"/>
  <c r="Q171" i="32"/>
  <c r="Q206" i="32"/>
  <c r="Q230" i="32"/>
  <c r="Q254" i="32"/>
  <c r="Q39" i="32"/>
  <c r="Q51" i="32"/>
  <c r="Q62" i="32"/>
  <c r="Q73" i="32"/>
  <c r="Q85" i="32"/>
  <c r="Q97" i="32"/>
  <c r="Q109" i="32"/>
  <c r="Q121" i="32"/>
  <c r="Q133" i="32"/>
  <c r="Q145" i="32"/>
  <c r="Q157" i="32"/>
  <c r="Q169" i="32"/>
  <c r="Q181" i="32"/>
  <c r="Q204" i="32"/>
  <c r="Q216" i="32"/>
  <c r="Q228" i="32"/>
  <c r="Q240" i="32"/>
  <c r="Q252" i="32"/>
  <c r="Q264" i="32"/>
  <c r="Q276" i="32"/>
  <c r="Q288" i="32"/>
  <c r="Q300" i="32"/>
  <c r="Q312" i="32"/>
  <c r="Q324" i="32"/>
  <c r="Q336" i="32"/>
  <c r="Q348" i="32"/>
  <c r="Q360" i="32"/>
  <c r="Q372" i="32"/>
  <c r="Q384" i="32"/>
  <c r="Q396" i="32"/>
  <c r="Q408" i="32"/>
  <c r="Q420" i="32"/>
  <c r="Q432" i="32"/>
  <c r="Q444" i="32"/>
  <c r="Q456" i="32"/>
  <c r="Q467" i="32"/>
  <c r="Q479" i="32"/>
  <c r="Q491" i="32"/>
  <c r="Q503" i="32"/>
  <c r="Q515" i="32"/>
  <c r="Q527" i="32"/>
  <c r="Q539" i="32"/>
  <c r="Q551" i="32"/>
  <c r="Q563" i="32"/>
  <c r="Q575" i="32"/>
  <c r="Q587" i="32"/>
  <c r="Q599" i="32"/>
  <c r="Q611" i="32"/>
  <c r="Q623" i="32"/>
  <c r="Q635" i="32"/>
  <c r="Q647" i="32"/>
  <c r="Q659" i="32"/>
  <c r="Q671" i="32"/>
  <c r="Q683" i="32"/>
  <c r="Q695" i="32"/>
  <c r="Q707" i="32"/>
  <c r="Q719" i="32"/>
  <c r="Q731" i="32"/>
  <c r="Q742" i="32"/>
  <c r="Q754" i="32"/>
  <c r="Q766" i="32"/>
  <c r="Q778" i="32"/>
  <c r="Q790" i="32"/>
  <c r="Q802" i="32"/>
  <c r="Q814" i="32"/>
  <c r="Q826" i="32"/>
  <c r="Q838" i="32"/>
  <c r="Q850" i="32"/>
  <c r="Q862" i="32"/>
  <c r="Q874" i="32"/>
  <c r="Q886" i="32"/>
  <c r="Q898" i="32"/>
  <c r="Q910" i="32"/>
  <c r="Q922" i="32"/>
  <c r="Q52" i="32"/>
  <c r="Q135" i="32"/>
  <c r="Q194" i="32"/>
  <c r="Q278" i="32"/>
  <c r="Q314" i="32"/>
  <c r="Q40" i="32"/>
  <c r="Q63" i="32"/>
  <c r="Q74" i="32"/>
  <c r="Q86" i="32"/>
  <c r="Q98" i="32"/>
  <c r="Q110" i="32"/>
  <c r="Q122" i="32"/>
  <c r="Q134" i="32"/>
  <c r="Q146" i="32"/>
  <c r="Q158" i="32"/>
  <c r="Q170" i="32"/>
  <c r="Q182" i="32"/>
  <c r="Q193" i="32"/>
  <c r="Q205" i="32"/>
  <c r="Q217" i="32"/>
  <c r="Q229" i="32"/>
  <c r="Q241" i="32"/>
  <c r="Q253" i="32"/>
  <c r="Q265" i="32"/>
  <c r="Q277" i="32"/>
  <c r="Q289" i="32"/>
  <c r="Q301" i="32"/>
  <c r="Q313" i="32"/>
  <c r="Q325" i="32"/>
  <c r="Q337" i="32"/>
  <c r="Q349" i="32"/>
  <c r="Q361" i="32"/>
  <c r="Q373" i="32"/>
  <c r="Q385" i="32"/>
  <c r="Q397" i="32"/>
  <c r="Q409" i="32"/>
  <c r="Q421" i="32"/>
  <c r="Q433" i="32"/>
  <c r="Q445" i="32"/>
  <c r="Q468" i="32"/>
  <c r="Q480" i="32"/>
  <c r="Q492" i="32"/>
  <c r="Q504" i="32"/>
  <c r="Q516" i="32"/>
  <c r="Q528" i="32"/>
  <c r="Q540" i="32"/>
  <c r="Q552" i="32"/>
  <c r="Q564" i="32"/>
  <c r="Q576" i="32"/>
  <c r="Q588" i="32"/>
  <c r="Q600" i="32"/>
  <c r="Q612" i="32"/>
  <c r="Q624" i="32"/>
  <c r="Q636" i="32"/>
  <c r="Q648" i="32"/>
  <c r="Q660" i="32"/>
  <c r="Q672" i="32"/>
  <c r="Q684" i="32"/>
  <c r="Q696" i="32"/>
  <c r="Q708" i="32"/>
  <c r="Q720" i="32"/>
  <c r="Q732" i="32"/>
  <c r="Q743" i="32"/>
  <c r="Q755" i="32"/>
  <c r="Q767" i="32"/>
  <c r="Q779" i="32"/>
  <c r="Q791" i="32"/>
  <c r="Q803" i="32"/>
  <c r="Q815" i="32"/>
  <c r="Q827" i="32"/>
  <c r="Q839" i="32"/>
  <c r="Q851" i="32"/>
  <c r="Q863" i="32"/>
  <c r="Q875" i="32"/>
  <c r="Q887" i="32"/>
  <c r="Q899" i="32"/>
  <c r="Q911" i="32"/>
  <c r="Q923" i="32"/>
  <c r="Q75" i="32"/>
  <c r="Q87" i="32"/>
  <c r="Q111" i="32"/>
  <c r="Q159" i="32"/>
  <c r="Q183" i="32"/>
  <c r="Q218" i="32"/>
  <c r="Q242" i="32"/>
  <c r="Q266" i="32"/>
  <c r="Q46" i="32"/>
  <c r="Q64" i="32"/>
  <c r="Q80" i="32"/>
  <c r="Q100" i="32"/>
  <c r="Q116" i="32"/>
  <c r="Q136" i="32"/>
  <c r="Q152" i="32"/>
  <c r="Q172" i="32"/>
  <c r="Q188" i="32"/>
  <c r="Q207" i="32"/>
  <c r="Q223" i="32"/>
  <c r="Q243" i="32"/>
  <c r="Q259" i="32"/>
  <c r="Q279" i="32"/>
  <c r="Q294" i="32"/>
  <c r="Q309" i="32"/>
  <c r="Q328" i="32"/>
  <c r="Q343" i="32"/>
  <c r="Q358" i="32"/>
  <c r="Q376" i="32"/>
  <c r="Q391" i="32"/>
  <c r="Q406" i="32"/>
  <c r="Q424" i="32"/>
  <c r="Q439" i="32"/>
  <c r="Q454" i="32"/>
  <c r="Q471" i="32"/>
  <c r="Q486" i="32"/>
  <c r="Q501" i="32"/>
  <c r="Q519" i="32"/>
  <c r="Q534" i="32"/>
  <c r="Q549" i="32"/>
  <c r="Q567" i="32"/>
  <c r="Q582" i="32"/>
  <c r="Q597" i="32"/>
  <c r="Q615" i="32"/>
  <c r="Q630" i="32"/>
  <c r="Q645" i="32"/>
  <c r="Q663" i="32"/>
  <c r="Q678" i="32"/>
  <c r="Q693" i="32"/>
  <c r="Q711" i="32"/>
  <c r="Q726" i="32"/>
  <c r="Q740" i="32"/>
  <c r="Q758" i="32"/>
  <c r="Q773" i="32"/>
  <c r="Q788" i="32"/>
  <c r="Q806" i="32"/>
  <c r="Q821" i="32"/>
  <c r="Q836" i="32"/>
  <c r="Q854" i="32"/>
  <c r="Q869" i="32"/>
  <c r="Q884" i="32"/>
  <c r="Q902" i="32"/>
  <c r="Q917" i="32"/>
  <c r="Q117" i="32"/>
  <c r="Q362" i="32"/>
  <c r="Q425" i="32"/>
  <c r="Q472" i="32"/>
  <c r="Q505" i="32"/>
  <c r="Q535" i="32"/>
  <c r="Q568" i="32"/>
  <c r="Q583" i="32"/>
  <c r="Q601" i="32"/>
  <c r="Q631" i="32"/>
  <c r="Q649" i="32"/>
  <c r="Q679" i="32"/>
  <c r="Q697" i="32"/>
  <c r="Q727" i="32"/>
  <c r="Q744" i="32"/>
  <c r="Q774" i="32"/>
  <c r="Q792" i="32"/>
  <c r="Q822" i="32"/>
  <c r="Q840" i="32"/>
  <c r="Q870" i="32"/>
  <c r="Q888" i="32"/>
  <c r="Q918" i="32"/>
  <c r="Q66" i="32"/>
  <c r="Q82" i="32"/>
  <c r="Q102" i="32"/>
  <c r="Q118" i="32"/>
  <c r="Q154" i="32"/>
  <c r="Q174" i="32"/>
  <c r="Q209" i="32"/>
  <c r="Q245" i="32"/>
  <c r="Q281" i="32"/>
  <c r="Q315" i="32"/>
  <c r="Q345" i="32"/>
  <c r="Q378" i="32"/>
  <c r="Q426" i="32"/>
  <c r="Q458" i="32"/>
  <c r="Q488" i="32"/>
  <c r="Q521" i="32"/>
  <c r="Q554" i="32"/>
  <c r="Q602" i="32"/>
  <c r="Q632" i="32"/>
  <c r="Q665" i="32"/>
  <c r="Q713" i="32"/>
  <c r="Q728" i="32"/>
  <c r="Q760" i="32"/>
  <c r="Q793" i="32"/>
  <c r="Q823" i="32"/>
  <c r="Q871" i="32"/>
  <c r="Q919" i="32"/>
  <c r="Q282" i="32"/>
  <c r="Q427" i="32"/>
  <c r="Q570" i="32"/>
  <c r="Q666" i="32"/>
  <c r="Q761" i="32"/>
  <c r="Q824" i="32"/>
  <c r="Q890" i="32"/>
  <c r="Q34" i="32"/>
  <c r="Q88" i="32"/>
  <c r="Q104" i="32"/>
  <c r="Q124" i="32"/>
  <c r="Q140" i="32"/>
  <c r="Q160" i="32"/>
  <c r="Q176" i="32"/>
  <c r="Q195" i="32"/>
  <c r="Q211" i="32"/>
  <c r="Q247" i="32"/>
  <c r="Q283" i="32"/>
  <c r="Q332" i="32"/>
  <c r="Q380" i="32"/>
  <c r="Q428" i="32"/>
  <c r="Q47" i="32"/>
  <c r="Q65" i="32"/>
  <c r="Q81" i="32"/>
  <c r="Q101" i="32"/>
  <c r="Q137" i="32"/>
  <c r="Q153" i="32"/>
  <c r="Q173" i="32"/>
  <c r="Q189" i="32"/>
  <c r="Q208" i="32"/>
  <c r="Q224" i="32"/>
  <c r="Q244" i="32"/>
  <c r="Q260" i="32"/>
  <c r="Q280" i="32"/>
  <c r="Q295" i="32"/>
  <c r="Q310" i="32"/>
  <c r="Q329" i="32"/>
  <c r="Q344" i="32"/>
  <c r="Q377" i="32"/>
  <c r="Q392" i="32"/>
  <c r="Q410" i="32"/>
  <c r="Q440" i="32"/>
  <c r="Q457" i="32"/>
  <c r="Q487" i="32"/>
  <c r="Q520" i="32"/>
  <c r="Q553" i="32"/>
  <c r="Q616" i="32"/>
  <c r="Q664" i="32"/>
  <c r="Q712" i="32"/>
  <c r="Q759" i="32"/>
  <c r="Q807" i="32"/>
  <c r="Q855" i="32"/>
  <c r="Q903" i="32"/>
  <c r="Q48" i="32"/>
  <c r="Q138" i="32"/>
  <c r="Q190" i="32"/>
  <c r="Q225" i="32"/>
  <c r="Q261" i="32"/>
  <c r="Q296" i="32"/>
  <c r="Q330" i="32"/>
  <c r="Q363" i="32"/>
  <c r="Q411" i="32"/>
  <c r="Q441" i="32"/>
  <c r="Q473" i="32"/>
  <c r="Q506" i="32"/>
  <c r="Q536" i="32"/>
  <c r="Q569" i="32"/>
  <c r="Q617" i="32"/>
  <c r="Q650" i="32"/>
  <c r="Q680" i="32"/>
  <c r="Q745" i="32"/>
  <c r="Q808" i="32"/>
  <c r="Q856" i="32"/>
  <c r="Q889" i="32"/>
  <c r="Q49" i="32"/>
  <c r="Q83" i="32"/>
  <c r="Q119" i="32"/>
  <c r="Q155" i="32"/>
  <c r="Q191" i="32"/>
  <c r="Q226" i="32"/>
  <c r="Q262" i="32"/>
  <c r="Q316" i="32"/>
  <c r="Q346" i="32"/>
  <c r="Q379" i="32"/>
  <c r="Q412" i="32"/>
  <c r="Q459" i="32"/>
  <c r="Q489" i="32"/>
  <c r="Q522" i="32"/>
  <c r="Q555" i="32"/>
  <c r="Q603" i="32"/>
  <c r="Q633" i="32"/>
  <c r="Q681" i="32"/>
  <c r="Q714" i="32"/>
  <c r="Q746" i="32"/>
  <c r="Q794" i="32"/>
  <c r="Q809" i="32"/>
  <c r="Q857" i="32"/>
  <c r="Q872" i="32"/>
  <c r="Q905" i="32"/>
  <c r="Q68" i="32"/>
  <c r="Q231" i="32"/>
  <c r="Q298" i="32"/>
  <c r="Q350" i="32"/>
  <c r="Q413" i="32"/>
  <c r="Q460" i="32"/>
  <c r="Q393" i="32"/>
  <c r="Q584" i="32"/>
  <c r="Q698" i="32"/>
  <c r="Q775" i="32"/>
  <c r="Q841" i="32"/>
  <c r="Q904" i="32"/>
  <c r="Q67" i="32"/>
  <c r="Q103" i="32"/>
  <c r="Q139" i="32"/>
  <c r="Q175" i="32"/>
  <c r="Q210" i="32"/>
  <c r="Q246" i="32"/>
  <c r="Q297" i="32"/>
  <c r="Q331" i="32"/>
  <c r="Q364" i="32"/>
  <c r="Q394" i="32"/>
  <c r="Q442" i="32"/>
  <c r="Q474" i="32"/>
  <c r="Q507" i="32"/>
  <c r="Q537" i="32"/>
  <c r="Q585" i="32"/>
  <c r="Q618" i="32"/>
  <c r="Q651" i="32"/>
  <c r="Q699" i="32"/>
  <c r="Q729" i="32"/>
  <c r="Q776" i="32"/>
  <c r="Q842" i="32"/>
  <c r="Q920" i="32"/>
  <c r="Q53" i="32"/>
  <c r="Q267" i="32"/>
  <c r="Q317" i="32"/>
  <c r="Q365" i="32"/>
  <c r="Q398" i="32"/>
  <c r="Q446" i="32"/>
  <c r="Q508" i="32"/>
  <c r="Q916" i="32"/>
  <c r="Q798" i="32"/>
  <c r="Q725" i="32"/>
  <c r="Q655" i="32"/>
  <c r="Q581" i="32"/>
  <c r="Q511" i="32"/>
  <c r="Q435" i="32"/>
  <c r="Q404" i="32"/>
  <c r="Q322" i="32"/>
  <c r="Q293" i="32"/>
  <c r="Q269" i="32"/>
  <c r="Q235" i="32"/>
  <c r="Q201" i="32"/>
  <c r="Q177" i="32"/>
  <c r="Q143" i="32"/>
  <c r="Q79" i="32"/>
  <c r="Q867" i="32"/>
  <c r="Q724" i="32"/>
  <c r="Q112" i="32"/>
  <c r="Q865" i="32"/>
  <c r="Q722" i="32"/>
  <c r="Q604" i="32"/>
  <c r="Q530" i="32"/>
  <c r="Q452" i="32"/>
  <c r="Q401" i="32"/>
  <c r="Q342" i="32"/>
  <c r="Q290" i="32"/>
  <c r="Q257" i="32"/>
  <c r="Q232" i="32"/>
  <c r="Q198" i="32"/>
  <c r="Q165" i="32"/>
  <c r="Q131" i="32"/>
  <c r="Q106" i="32"/>
  <c r="Q883" i="32"/>
  <c r="Q721" i="32"/>
  <c r="Q596" i="32"/>
  <c r="Q499" i="32"/>
  <c r="Q423" i="32"/>
  <c r="Q341" i="32"/>
  <c r="Q222" i="32"/>
  <c r="Q105" i="32"/>
  <c r="Q882" i="32"/>
  <c r="Q764" i="32"/>
  <c r="Q691" i="32"/>
  <c r="Q621" i="32"/>
  <c r="Q547" i="32"/>
  <c r="Q498" i="32"/>
  <c r="Q422" i="32"/>
  <c r="Q308" i="32"/>
  <c r="Q221" i="32"/>
  <c r="Q129" i="32"/>
  <c r="Q95" i="32"/>
  <c r="Q881" i="32"/>
  <c r="Q737" i="32"/>
  <c r="Q594" i="32"/>
  <c r="Q497" i="32"/>
  <c r="Q418" i="32"/>
  <c r="Q307" i="32"/>
  <c r="Q187" i="32"/>
  <c r="Q94" i="32"/>
  <c r="Q736" i="32"/>
  <c r="Q93" i="32"/>
  <c r="Q927" i="32"/>
  <c r="Q926" i="32"/>
  <c r="Q900" i="32"/>
  <c r="Q878" i="32"/>
  <c r="Q852" i="32"/>
  <c r="Q830" i="32"/>
  <c r="Q804" i="32"/>
  <c r="Q756" i="32"/>
  <c r="Q734" i="32"/>
  <c r="Q709" i="32"/>
  <c r="Q687" i="32"/>
  <c r="Q661" i="32"/>
  <c r="Q639" i="32"/>
  <c r="Q613" i="32"/>
  <c r="Q591" i="32"/>
  <c r="Q565" i="32"/>
  <c r="Q543" i="32"/>
  <c r="Q517" i="32"/>
  <c r="Q494" i="32"/>
  <c r="Q465" i="32"/>
  <c r="Q438" i="32"/>
  <c r="Q415" i="32"/>
  <c r="Q387" i="32"/>
  <c r="Q356" i="32"/>
  <c r="Q333" i="32"/>
  <c r="Q304" i="32"/>
  <c r="Q272" i="32"/>
  <c r="Q238" i="32"/>
  <c r="Q213" i="32"/>
  <c r="Q184" i="32"/>
  <c r="Q150" i="32"/>
  <c r="Q125" i="32"/>
  <c r="Q91" i="32"/>
  <c r="Q58" i="32"/>
  <c r="Q868" i="32"/>
  <c r="Q846" i="32"/>
  <c r="Q772" i="32"/>
  <c r="Q677" i="32"/>
  <c r="Q607" i="32"/>
  <c r="Q533" i="32"/>
  <c r="Q484" i="32"/>
  <c r="Q353" i="32"/>
  <c r="Q113" i="32"/>
  <c r="Q893" i="32"/>
  <c r="Q819" i="32"/>
  <c r="Q797" i="32"/>
  <c r="Q749" i="32"/>
  <c r="Q676" i="32"/>
  <c r="Q628" i="32"/>
  <c r="Q580" i="32"/>
  <c r="Q532" i="32"/>
  <c r="Q483" i="32"/>
  <c r="Q434" i="32"/>
  <c r="Q403" i="32"/>
  <c r="Q352" i="32"/>
  <c r="Q292" i="32"/>
  <c r="Q234" i="32"/>
  <c r="Q167" i="32"/>
  <c r="Q54" i="32"/>
  <c r="Q914" i="32"/>
  <c r="Q866" i="32"/>
  <c r="Q818" i="32"/>
  <c r="Q770" i="32"/>
  <c r="Q723" i="32"/>
  <c r="Q675" i="32"/>
  <c r="Q627" i="32"/>
  <c r="Q579" i="32"/>
  <c r="Q531" i="32"/>
  <c r="Q482" i="32"/>
  <c r="Q430" i="32"/>
  <c r="Q374" i="32"/>
  <c r="Q320" i="32"/>
  <c r="Q258" i="32"/>
  <c r="Q199" i="32"/>
  <c r="Q141" i="32"/>
  <c r="Q45" i="32"/>
  <c r="Q891" i="32"/>
  <c r="Q843" i="32"/>
  <c r="Q795" i="32"/>
  <c r="Q747" i="32"/>
  <c r="Q674" i="32"/>
  <c r="Q626" i="32"/>
  <c r="Q578" i="32"/>
  <c r="Q500" i="32"/>
  <c r="Q429" i="32"/>
  <c r="Q319" i="32"/>
  <c r="Q44" i="32"/>
  <c r="N33" i="32"/>
  <c r="Q864" i="32"/>
  <c r="Q816" i="32"/>
  <c r="Q768" i="32"/>
  <c r="Q692" i="32"/>
  <c r="Q644" i="32"/>
  <c r="Q577" i="32"/>
  <c r="Q529" i="32"/>
  <c r="Q477" i="32"/>
  <c r="Q400" i="32"/>
  <c r="Q318" i="32"/>
  <c r="Q256" i="32"/>
  <c r="Q197" i="32"/>
  <c r="Q130" i="32"/>
  <c r="Q71" i="32"/>
  <c r="Q908" i="32"/>
  <c r="Q834" i="32"/>
  <c r="Q786" i="32"/>
  <c r="Q738" i="32"/>
  <c r="Q643" i="32"/>
  <c r="Q573" i="32"/>
  <c r="Q476" i="32"/>
  <c r="Q368" i="32"/>
  <c r="Q255" i="32"/>
  <c r="Q163" i="32"/>
  <c r="Q70" i="32"/>
  <c r="Q929" i="32"/>
  <c r="Q859" i="32"/>
  <c r="Q811" i="32"/>
  <c r="Q763" i="32"/>
  <c r="Q690" i="32"/>
  <c r="Q642" i="32"/>
  <c r="Q546" i="32"/>
  <c r="Q475" i="32"/>
  <c r="Q390" i="32"/>
  <c r="Q339" i="32"/>
  <c r="Q250" i="32"/>
  <c r="Q162" i="32"/>
  <c r="Q37" i="32"/>
  <c r="Q928" i="32"/>
  <c r="Q880" i="32"/>
  <c r="Q810" i="32"/>
  <c r="Q762" i="32"/>
  <c r="Q689" i="32"/>
  <c r="Q641" i="32"/>
  <c r="Q593" i="32"/>
  <c r="Q545" i="32"/>
  <c r="Q496" i="32"/>
  <c r="Q448" i="32"/>
  <c r="Q389" i="32"/>
  <c r="Q338" i="32"/>
  <c r="Q274" i="32"/>
  <c r="Q219" i="32"/>
  <c r="Q161" i="32"/>
  <c r="Q60" i="32"/>
  <c r="Q853" i="32"/>
  <c r="Q782" i="32"/>
  <c r="Q925" i="32"/>
  <c r="Q896" i="32"/>
  <c r="Q877" i="32"/>
  <c r="Q848" i="32"/>
  <c r="Q829" i="32"/>
  <c r="Q800" i="32"/>
  <c r="Q781" i="32"/>
  <c r="Q752" i="32"/>
  <c r="Q733" i="32"/>
  <c r="Q705" i="32"/>
  <c r="Q686" i="32"/>
  <c r="Q657" i="32"/>
  <c r="Q638" i="32"/>
  <c r="Q609" i="32"/>
  <c r="Q590" i="32"/>
  <c r="Q561" i="32"/>
  <c r="Q542" i="32"/>
  <c r="Q513" i="32"/>
  <c r="Q493" i="32"/>
  <c r="Q464" i="32"/>
  <c r="Q437" i="32"/>
  <c r="Q414" i="32"/>
  <c r="Q386" i="32"/>
  <c r="Q355" i="32"/>
  <c r="Q327" i="32"/>
  <c r="Q303" i="32"/>
  <c r="Q271" i="32"/>
  <c r="Q237" i="32"/>
  <c r="Q212" i="32"/>
  <c r="Q179" i="32"/>
  <c r="Q149" i="32"/>
  <c r="Q115" i="32"/>
  <c r="Q90" i="32"/>
  <c r="Q57" i="32"/>
  <c r="N356" i="32"/>
  <c r="N910" i="32"/>
  <c r="N93" i="32"/>
  <c r="N357" i="32"/>
  <c r="N607" i="32"/>
  <c r="N110" i="32"/>
  <c r="N461" i="32"/>
  <c r="N358" i="32"/>
  <c r="N720" i="32"/>
  <c r="N92" i="32"/>
  <c r="N608" i="32"/>
  <c r="N56" i="32"/>
  <c r="N320" i="32"/>
  <c r="N319" i="32"/>
  <c r="N564" i="32"/>
  <c r="N475" i="32"/>
  <c r="N214" i="32"/>
  <c r="N462" i="32"/>
  <c r="N108" i="32"/>
  <c r="N812" i="32"/>
  <c r="N574" i="32"/>
  <c r="N251" i="32"/>
  <c r="N563" i="32"/>
  <c r="N464" i="32"/>
  <c r="N213" i="32"/>
  <c r="N902" i="32"/>
  <c r="N215" i="32"/>
  <c r="N903" i="32"/>
  <c r="N463" i="32"/>
  <c r="N198" i="32"/>
  <c r="N664" i="32"/>
  <c r="N425" i="32"/>
  <c r="N729" i="32"/>
  <c r="N561" i="32"/>
  <c r="N44" i="32"/>
  <c r="N528" i="32"/>
  <c r="N423" i="32"/>
  <c r="N302" i="32"/>
  <c r="N150" i="32"/>
  <c r="N43" i="32"/>
  <c r="N864" i="32"/>
  <c r="N318" i="32"/>
  <c r="N856" i="32"/>
  <c r="N161" i="32"/>
  <c r="N527" i="32"/>
  <c r="N407" i="32"/>
  <c r="N266" i="32"/>
  <c r="N149" i="32"/>
  <c r="N42" i="32"/>
  <c r="N874" i="32"/>
  <c r="N760" i="32"/>
  <c r="N562" i="32"/>
  <c r="N197" i="32"/>
  <c r="N424" i="32"/>
  <c r="N624" i="32"/>
  <c r="N526" i="32"/>
  <c r="N406" i="32"/>
  <c r="N255" i="32"/>
  <c r="N148" i="32"/>
  <c r="N863" i="32"/>
  <c r="N45" i="32"/>
  <c r="N303" i="32"/>
  <c r="N623" i="32"/>
  <c r="N512" i="32"/>
  <c r="N370" i="32"/>
  <c r="N254" i="32"/>
  <c r="N147" i="32"/>
  <c r="N781" i="32"/>
  <c r="N759" i="32"/>
  <c r="N622" i="32"/>
  <c r="N511" i="32"/>
  <c r="N359" i="32"/>
  <c r="N252" i="32"/>
  <c r="N111" i="32"/>
  <c r="N894" i="32"/>
  <c r="N597" i="32"/>
  <c r="N460" i="32"/>
  <c r="N355" i="32"/>
  <c r="N250" i="32"/>
  <c r="N186" i="32"/>
  <c r="N81" i="32"/>
  <c r="N41" i="32"/>
  <c r="N799" i="32"/>
  <c r="N768" i="32"/>
  <c r="N672" i="32"/>
  <c r="N559" i="32"/>
  <c r="N459" i="32"/>
  <c r="N394" i="32"/>
  <c r="N249" i="32"/>
  <c r="N185" i="32"/>
  <c r="N40" i="32"/>
  <c r="N542" i="32"/>
  <c r="N440" i="32"/>
  <c r="N288" i="32"/>
  <c r="N184" i="32"/>
  <c r="N126" i="32"/>
  <c r="N850" i="32"/>
  <c r="N798" i="32"/>
  <c r="N671" i="32"/>
  <c r="N638" i="32"/>
  <c r="N591" i="32"/>
  <c r="N541" i="32"/>
  <c r="N494" i="32"/>
  <c r="N439" i="32"/>
  <c r="N389" i="32"/>
  <c r="N334" i="32"/>
  <c r="N284" i="32"/>
  <c r="N230" i="32"/>
  <c r="N179" i="32"/>
  <c r="N125" i="32"/>
  <c r="N75" i="32"/>
  <c r="N858" i="32"/>
  <c r="N713" i="32"/>
  <c r="N679" i="32"/>
  <c r="N627" i="32"/>
  <c r="N590" i="32"/>
  <c r="N531" i="32"/>
  <c r="N492" i="32"/>
  <c r="N428" i="32"/>
  <c r="N388" i="32"/>
  <c r="N323" i="32"/>
  <c r="N283" i="32"/>
  <c r="N219" i="32"/>
  <c r="N178" i="32"/>
  <c r="N114" i="32"/>
  <c r="N74" i="32"/>
  <c r="N897" i="32"/>
  <c r="N888" i="32"/>
  <c r="N849" i="32"/>
  <c r="N670" i="32"/>
  <c r="N560" i="32"/>
  <c r="N500" i="32"/>
  <c r="N395" i="32"/>
  <c r="N291" i="32"/>
  <c r="N146" i="32"/>
  <c r="N920" i="32"/>
  <c r="N820" i="32"/>
  <c r="N789" i="32"/>
  <c r="N596" i="32"/>
  <c r="N499" i="32"/>
  <c r="N354" i="32"/>
  <c r="N290" i="32"/>
  <c r="N144" i="32"/>
  <c r="N80" i="32"/>
  <c r="N595" i="32"/>
  <c r="N498" i="32"/>
  <c r="N393" i="32"/>
  <c r="N335" i="32"/>
  <c r="N231" i="32"/>
  <c r="N79" i="32"/>
  <c r="N819" i="32"/>
  <c r="N626" i="32"/>
  <c r="N589" i="32"/>
  <c r="N530" i="32"/>
  <c r="N491" i="32"/>
  <c r="N427" i="32"/>
  <c r="N387" i="32"/>
  <c r="N322" i="32"/>
  <c r="N282" i="32"/>
  <c r="N218" i="32"/>
  <c r="N177" i="32"/>
  <c r="N113" i="32"/>
  <c r="N72" i="32"/>
  <c r="N926" i="32"/>
  <c r="N857" i="32"/>
  <c r="N826" i="32"/>
  <c r="N743" i="32"/>
  <c r="N721" i="32"/>
  <c r="N688" i="32"/>
  <c r="N678" i="32"/>
  <c r="N625" i="32"/>
  <c r="N575" i="32"/>
  <c r="N529" i="32"/>
  <c r="N476" i="32"/>
  <c r="N426" i="32"/>
  <c r="N371" i="32"/>
  <c r="N321" i="32"/>
  <c r="N267" i="32"/>
  <c r="N216" i="32"/>
  <c r="N162" i="32"/>
  <c r="N112" i="32"/>
  <c r="N57" i="32"/>
  <c r="N904" i="32"/>
  <c r="N896" i="32"/>
  <c r="N887" i="32"/>
  <c r="N836" i="32"/>
  <c r="N773" i="32"/>
  <c r="N753" i="32"/>
  <c r="N612" i="32"/>
  <c r="N579" i="32"/>
  <c r="N516" i="32"/>
  <c r="N480" i="32"/>
  <c r="N448" i="32"/>
  <c r="N412" i="32"/>
  <c r="N376" i="32"/>
  <c r="N343" i="32"/>
  <c r="N307" i="32"/>
  <c r="N271" i="32"/>
  <c r="N238" i="32"/>
  <c r="N202" i="32"/>
  <c r="N166" i="32"/>
  <c r="N134" i="32"/>
  <c r="N98" i="32"/>
  <c r="N62" i="32"/>
  <c r="N775" i="32"/>
  <c r="N767" i="32"/>
  <c r="N549" i="32"/>
  <c r="N611" i="32"/>
  <c r="N578" i="32"/>
  <c r="N548" i="32"/>
  <c r="N515" i="32"/>
  <c r="N479" i="32"/>
  <c r="N447" i="32"/>
  <c r="N411" i="32"/>
  <c r="N375" i="32"/>
  <c r="N342" i="32"/>
  <c r="N306" i="32"/>
  <c r="N270" i="32"/>
  <c r="N237" i="32"/>
  <c r="N201" i="32"/>
  <c r="N165" i="32"/>
  <c r="N132" i="32"/>
  <c r="N96" i="32"/>
  <c r="N60" i="32"/>
  <c r="N909" i="32"/>
  <c r="N843" i="32"/>
  <c r="N805" i="32"/>
  <c r="N736" i="32"/>
  <c r="N644" i="32"/>
  <c r="N650" i="32"/>
  <c r="N656" i="32"/>
  <c r="N662" i="32"/>
  <c r="N668" i="32"/>
  <c r="N674" i="32"/>
  <c r="N680" i="32"/>
  <c r="N686" i="32"/>
  <c r="N692" i="32"/>
  <c r="N698" i="32"/>
  <c r="N704" i="32"/>
  <c r="N710" i="32"/>
  <c r="N716" i="32"/>
  <c r="N722" i="32"/>
  <c r="N728" i="32"/>
  <c r="N734" i="32"/>
  <c r="N740" i="32"/>
  <c r="N746" i="32"/>
  <c r="N752" i="32"/>
  <c r="N758" i="32"/>
  <c r="N764" i="32"/>
  <c r="N770" i="32"/>
  <c r="N776" i="32"/>
  <c r="N782" i="32"/>
  <c r="N788" i="32"/>
  <c r="N794" i="32"/>
  <c r="N800" i="32"/>
  <c r="N806" i="32"/>
  <c r="N829" i="32"/>
  <c r="N835" i="32"/>
  <c r="N841" i="32"/>
  <c r="N847" i="32"/>
  <c r="N853" i="32"/>
  <c r="N859" i="32"/>
  <c r="N865" i="32"/>
  <c r="N871" i="32"/>
  <c r="N877" i="32"/>
  <c r="N883" i="32"/>
  <c r="N889" i="32"/>
  <c r="N895" i="32"/>
  <c r="N901" i="32"/>
  <c r="N907" i="32"/>
  <c r="N913" i="32"/>
  <c r="N919" i="32"/>
  <c r="N925" i="32"/>
  <c r="N37" i="32"/>
  <c r="N49" i="32"/>
  <c r="N61" i="32"/>
  <c r="N73" i="32"/>
  <c r="N85" i="32"/>
  <c r="N97" i="32"/>
  <c r="N109" i="32"/>
  <c r="N121" i="32"/>
  <c r="N133" i="32"/>
  <c r="N145" i="32"/>
  <c r="N157" i="32"/>
  <c r="N169" i="32"/>
  <c r="N181" i="32"/>
  <c r="N193" i="32"/>
  <c r="N205" i="32"/>
  <c r="N217" i="32"/>
  <c r="N229" i="32"/>
  <c r="N241" i="32"/>
  <c r="N253" i="32"/>
  <c r="N265" i="32"/>
  <c r="N277" i="32"/>
  <c r="N289" i="32"/>
  <c r="N301" i="32"/>
  <c r="N313" i="32"/>
  <c r="N325" i="32"/>
  <c r="N337" i="32"/>
  <c r="N349" i="32"/>
  <c r="N361" i="32"/>
  <c r="N373" i="32"/>
  <c r="N385" i="32"/>
  <c r="N397" i="32"/>
  <c r="N409" i="32"/>
  <c r="N421" i="32"/>
  <c r="N433" i="32"/>
  <c r="N445" i="32"/>
  <c r="N457" i="32"/>
  <c r="N469" i="32"/>
  <c r="N481" i="32"/>
  <c r="N493" i="32"/>
  <c r="N505" i="32"/>
  <c r="N645" i="32"/>
  <c r="N651" i="32"/>
  <c r="N657" i="32"/>
  <c r="N663" i="32"/>
  <c r="N669" i="32"/>
  <c r="N675" i="32"/>
  <c r="N681" i="32"/>
  <c r="N687" i="32"/>
  <c r="N693" i="32"/>
  <c r="N699" i="32"/>
  <c r="N705" i="32"/>
  <c r="N711" i="32"/>
  <c r="N717" i="32"/>
  <c r="N639" i="32"/>
  <c r="N724" i="32"/>
  <c r="N737" i="32"/>
  <c r="N750" i="32"/>
  <c r="N763" i="32"/>
  <c r="N783" i="32"/>
  <c r="N796" i="32"/>
  <c r="N839" i="32"/>
  <c r="N852" i="32"/>
  <c r="N872" i="32"/>
  <c r="N885" i="32"/>
  <c r="N898" i="32"/>
  <c r="N911" i="32"/>
  <c r="N924" i="32"/>
  <c r="N36" i="32"/>
  <c r="N50" i="32"/>
  <c r="N63" i="32"/>
  <c r="N76" i="32"/>
  <c r="N89" i="32"/>
  <c r="N102" i="32"/>
  <c r="N115" i="32"/>
  <c r="N128" i="32"/>
  <c r="N141" i="32"/>
  <c r="N154" i="32"/>
  <c r="N167" i="32"/>
  <c r="N180" i="32"/>
  <c r="N194" i="32"/>
  <c r="N207" i="32"/>
  <c r="N220" i="32"/>
  <c r="N233" i="32"/>
  <c r="N246" i="32"/>
  <c r="N259" i="32"/>
  <c r="N272" i="32"/>
  <c r="N285" i="32"/>
  <c r="N298" i="32"/>
  <c r="N311" i="32"/>
  <c r="N324" i="32"/>
  <c r="N338" i="32"/>
  <c r="N351" i="32"/>
  <c r="N364" i="32"/>
  <c r="N377" i="32"/>
  <c r="N390" i="32"/>
  <c r="N403" i="32"/>
  <c r="N416" i="32"/>
  <c r="N429" i="32"/>
  <c r="N442" i="32"/>
  <c r="N455" i="32"/>
  <c r="N468" i="32"/>
  <c r="N482" i="32"/>
  <c r="N495" i="32"/>
  <c r="N508" i="32"/>
  <c r="N520" i="32"/>
  <c r="N532" i="32"/>
  <c r="N544" i="32"/>
  <c r="N556" i="32"/>
  <c r="N568" i="32"/>
  <c r="N580" i="32"/>
  <c r="N592" i="32"/>
  <c r="N604" i="32"/>
  <c r="N616" i="32"/>
  <c r="N628" i="32"/>
  <c r="N647" i="32"/>
  <c r="N646" i="32"/>
  <c r="N653" i="32"/>
  <c r="N660" i="32"/>
  <c r="N667" i="32"/>
  <c r="N682" i="32"/>
  <c r="N689" i="32"/>
  <c r="N696" i="32"/>
  <c r="N703" i="32"/>
  <c r="N718" i="32"/>
  <c r="N731" i="32"/>
  <c r="N744" i="32"/>
  <c r="N757" i="32"/>
  <c r="N777" i="32"/>
  <c r="N790" i="32"/>
  <c r="N803" i="32"/>
  <c r="N809" i="32"/>
  <c r="N815" i="32"/>
  <c r="N821" i="32"/>
  <c r="N827" i="32"/>
  <c r="N833" i="32"/>
  <c r="N846" i="32"/>
  <c r="N866" i="32"/>
  <c r="N879" i="32"/>
  <c r="N892" i="32"/>
  <c r="N905" i="32"/>
  <c r="N918" i="32"/>
  <c r="N38" i="32"/>
  <c r="N51" i="32"/>
  <c r="N64" i="32"/>
  <c r="N77" i="32"/>
  <c r="N90" i="32"/>
  <c r="N103" i="32"/>
  <c r="N116" i="32"/>
  <c r="N129" i="32"/>
  <c r="N142" i="32"/>
  <c r="N155" i="32"/>
  <c r="N168" i="32"/>
  <c r="N182" i="32"/>
  <c r="N195" i="32"/>
  <c r="N208" i="32"/>
  <c r="N221" i="32"/>
  <c r="N234" i="32"/>
  <c r="N247" i="32"/>
  <c r="N260" i="32"/>
  <c r="N273" i="32"/>
  <c r="N286" i="32"/>
  <c r="N299" i="32"/>
  <c r="N312" i="32"/>
  <c r="N326" i="32"/>
  <c r="N339" i="32"/>
  <c r="N352" i="32"/>
  <c r="N365" i="32"/>
  <c r="N378" i="32"/>
  <c r="N391" i="32"/>
  <c r="N404" i="32"/>
  <c r="N417" i="32"/>
  <c r="N430" i="32"/>
  <c r="N443" i="32"/>
  <c r="N456" i="32"/>
  <c r="N470" i="32"/>
  <c r="N483" i="32"/>
  <c r="N496" i="32"/>
  <c r="N509" i="32"/>
  <c r="N521" i="32"/>
  <c r="N533" i="32"/>
  <c r="N545" i="32"/>
  <c r="N557" i="32"/>
  <c r="N569" i="32"/>
  <c r="N581" i="32"/>
  <c r="N593" i="32"/>
  <c r="N605" i="32"/>
  <c r="N617" i="32"/>
  <c r="N629" i="32"/>
  <c r="N635" i="32"/>
  <c r="N661" i="32"/>
  <c r="N683" i="32"/>
  <c r="N697" i="32"/>
  <c r="N719" i="32"/>
  <c r="N745" i="32"/>
  <c r="N778" i="32"/>
  <c r="N791" i="32"/>
  <c r="N810" i="32"/>
  <c r="N822" i="32"/>
  <c r="N834" i="32"/>
  <c r="N867" i="32"/>
  <c r="N640" i="32"/>
  <c r="N725" i="32"/>
  <c r="N738" i="32"/>
  <c r="N751" i="32"/>
  <c r="N771" i="32"/>
  <c r="N784" i="32"/>
  <c r="N797" i="32"/>
  <c r="N840" i="32"/>
  <c r="N860" i="32"/>
  <c r="N873" i="32"/>
  <c r="N886" i="32"/>
  <c r="N899" i="32"/>
  <c r="N912" i="32"/>
  <c r="N39" i="32"/>
  <c r="N52" i="32"/>
  <c r="N65" i="32"/>
  <c r="N78" i="32"/>
  <c r="N91" i="32"/>
  <c r="N104" i="32"/>
  <c r="N117" i="32"/>
  <c r="N130" i="32"/>
  <c r="N143" i="32"/>
  <c r="N156" i="32"/>
  <c r="N170" i="32"/>
  <c r="N183" i="32"/>
  <c r="N196" i="32"/>
  <c r="N209" i="32"/>
  <c r="N222" i="32"/>
  <c r="N235" i="32"/>
  <c r="N248" i="32"/>
  <c r="N261" i="32"/>
  <c r="N274" i="32"/>
  <c r="N287" i="32"/>
  <c r="N300" i="32"/>
  <c r="N314" i="32"/>
  <c r="N327" i="32"/>
  <c r="N340" i="32"/>
  <c r="N353" i="32"/>
  <c r="N366" i="32"/>
  <c r="N379" i="32"/>
  <c r="N392" i="32"/>
  <c r="N405" i="32"/>
  <c r="N418" i="32"/>
  <c r="N431" i="32"/>
  <c r="N444" i="32"/>
  <c r="N458" i="32"/>
  <c r="N471" i="32"/>
  <c r="N484" i="32"/>
  <c r="N497" i="32"/>
  <c r="N510" i="32"/>
  <c r="N522" i="32"/>
  <c r="N534" i="32"/>
  <c r="N546" i="32"/>
  <c r="N558" i="32"/>
  <c r="N570" i="32"/>
  <c r="N582" i="32"/>
  <c r="N594" i="32"/>
  <c r="N606" i="32"/>
  <c r="N618" i="32"/>
  <c r="N630" i="32"/>
  <c r="N654" i="32"/>
  <c r="N676" i="32"/>
  <c r="N690" i="32"/>
  <c r="N712" i="32"/>
  <c r="N732" i="32"/>
  <c r="N765" i="32"/>
  <c r="N804" i="32"/>
  <c r="N816" i="32"/>
  <c r="N828" i="32"/>
  <c r="N854" i="32"/>
  <c r="N880" i="32"/>
  <c r="N893" i="32"/>
  <c r="N648" i="32"/>
  <c r="N665" i="32"/>
  <c r="N714" i="32"/>
  <c r="N730" i="32"/>
  <c r="N754" i="32"/>
  <c r="N761" i="32"/>
  <c r="N792" i="32"/>
  <c r="N807" i="32"/>
  <c r="N814" i="32"/>
  <c r="N844" i="32"/>
  <c r="N851" i="32"/>
  <c r="N882" i="32"/>
  <c r="N890" i="32"/>
  <c r="N46" i="32"/>
  <c r="N66" i="32"/>
  <c r="N82" i="32"/>
  <c r="N99" i="32"/>
  <c r="N118" i="32"/>
  <c r="N135" i="32"/>
  <c r="N151" i="32"/>
  <c r="N171" i="32"/>
  <c r="N187" i="32"/>
  <c r="N203" i="32"/>
  <c r="N223" i="32"/>
  <c r="N239" i="32"/>
  <c r="N256" i="32"/>
  <c r="N275" i="32"/>
  <c r="N292" i="32"/>
  <c r="N308" i="32"/>
  <c r="N328" i="32"/>
  <c r="N344" i="32"/>
  <c r="N360" i="32"/>
  <c r="N380" i="32"/>
  <c r="N396" i="32"/>
  <c r="N413" i="32"/>
  <c r="N432" i="32"/>
  <c r="N449" i="32"/>
  <c r="N465" i="32"/>
  <c r="N485" i="32"/>
  <c r="N501" i="32"/>
  <c r="N517" i="32"/>
  <c r="N535" i="32"/>
  <c r="N550" i="32"/>
  <c r="N565" i="32"/>
  <c r="N583" i="32"/>
  <c r="N598" i="32"/>
  <c r="N613" i="32"/>
  <c r="N631" i="32"/>
  <c r="N632" i="32"/>
  <c r="N523" i="32"/>
  <c r="N211" i="32"/>
  <c r="N620" i="32"/>
  <c r="N709" i="32"/>
  <c r="N772" i="32"/>
  <c r="N795" i="32"/>
  <c r="N862" i="32"/>
  <c r="N916" i="32"/>
  <c r="N35" i="32"/>
  <c r="N71" i="32"/>
  <c r="N107" i="32"/>
  <c r="N140" i="32"/>
  <c r="N176" i="32"/>
  <c r="N212" i="32"/>
  <c r="N245" i="32"/>
  <c r="N281" i="32"/>
  <c r="N350" i="32"/>
  <c r="N386" i="32"/>
  <c r="N422" i="32"/>
  <c r="N454" i="32"/>
  <c r="N490" i="32"/>
  <c r="N525" i="32"/>
  <c r="N555" i="32"/>
  <c r="N588" i="32"/>
  <c r="N621" i="32"/>
  <c r="N643" i="32"/>
  <c r="N641" i="32"/>
  <c r="N673" i="32"/>
  <c r="N707" i="32"/>
  <c r="N723" i="32"/>
  <c r="N739" i="32"/>
  <c r="N747" i="32"/>
  <c r="N769" i="32"/>
  <c r="N785" i="32"/>
  <c r="N837" i="32"/>
  <c r="N875" i="32"/>
  <c r="N906" i="32"/>
  <c r="N914" i="32"/>
  <c r="N921" i="32"/>
  <c r="N928" i="32"/>
  <c r="N47" i="32"/>
  <c r="N67" i="32"/>
  <c r="N83" i="32"/>
  <c r="N100" i="32"/>
  <c r="N119" i="32"/>
  <c r="N136" i="32"/>
  <c r="N152" i="32"/>
  <c r="N172" i="32"/>
  <c r="N188" i="32"/>
  <c r="N204" i="32"/>
  <c r="N224" i="32"/>
  <c r="N240" i="32"/>
  <c r="N257" i="32"/>
  <c r="N276" i="32"/>
  <c r="N293" i="32"/>
  <c r="N309" i="32"/>
  <c r="N329" i="32"/>
  <c r="N345" i="32"/>
  <c r="N362" i="32"/>
  <c r="N381" i="32"/>
  <c r="N398" i="32"/>
  <c r="N414" i="32"/>
  <c r="N434" i="32"/>
  <c r="N450" i="32"/>
  <c r="N466" i="32"/>
  <c r="N486" i="32"/>
  <c r="N502" i="32"/>
  <c r="N518" i="32"/>
  <c r="N536" i="32"/>
  <c r="N551" i="32"/>
  <c r="N566" i="32"/>
  <c r="N584" i="32"/>
  <c r="N599" i="32"/>
  <c r="N614" i="32"/>
  <c r="N488" i="32"/>
  <c r="N636" i="32"/>
  <c r="N824" i="32"/>
  <c r="N139" i="32"/>
  <c r="N506" i="32"/>
  <c r="N726" i="32"/>
  <c r="N749" i="32"/>
  <c r="N787" i="32"/>
  <c r="N855" i="32"/>
  <c r="N923" i="32"/>
  <c r="N55" i="32"/>
  <c r="N88" i="32"/>
  <c r="N124" i="32"/>
  <c r="N160" i="32"/>
  <c r="N192" i="32"/>
  <c r="N228" i="32"/>
  <c r="N264" i="32"/>
  <c r="N317" i="32"/>
  <c r="N369" i="32"/>
  <c r="N402" i="32"/>
  <c r="N438" i="32"/>
  <c r="N474" i="32"/>
  <c r="N507" i="32"/>
  <c r="N540" i="32"/>
  <c r="N573" i="32"/>
  <c r="N603" i="32"/>
  <c r="N637" i="32"/>
  <c r="N818" i="32"/>
  <c r="N649" i="32"/>
  <c r="N658" i="32"/>
  <c r="N666" i="32"/>
  <c r="N691" i="32"/>
  <c r="N700" i="32"/>
  <c r="N715" i="32"/>
  <c r="N755" i="32"/>
  <c r="N762" i="32"/>
  <c r="N793" i="32"/>
  <c r="N801" i="32"/>
  <c r="N808" i="32"/>
  <c r="N823" i="32"/>
  <c r="N830" i="32"/>
  <c r="N845" i="32"/>
  <c r="N868" i="32"/>
  <c r="N891" i="32"/>
  <c r="N48" i="32"/>
  <c r="N68" i="32"/>
  <c r="N84" i="32"/>
  <c r="N101" i="32"/>
  <c r="N120" i="32"/>
  <c r="N137" i="32"/>
  <c r="N153" i="32"/>
  <c r="N173" i="32"/>
  <c r="N189" i="32"/>
  <c r="N206" i="32"/>
  <c r="N225" i="32"/>
  <c r="N242" i="32"/>
  <c r="N258" i="32"/>
  <c r="N278" i="32"/>
  <c r="N294" i="32"/>
  <c r="N310" i="32"/>
  <c r="N330" i="32"/>
  <c r="N346" i="32"/>
  <c r="N363" i="32"/>
  <c r="N382" i="32"/>
  <c r="N399" i="32"/>
  <c r="N415" i="32"/>
  <c r="N435" i="32"/>
  <c r="N451" i="32"/>
  <c r="N467" i="32"/>
  <c r="N487" i="32"/>
  <c r="N503" i="32"/>
  <c r="N519" i="32"/>
  <c r="N537" i="32"/>
  <c r="N552" i="32"/>
  <c r="N567" i="32"/>
  <c r="N585" i="32"/>
  <c r="N600" i="32"/>
  <c r="N615" i="32"/>
  <c r="N633" i="32"/>
  <c r="N367" i="32"/>
  <c r="N553" i="32"/>
  <c r="N601" i="32"/>
  <c r="N619" i="32"/>
  <c r="N684" i="32"/>
  <c r="N701" i="32"/>
  <c r="N741" i="32"/>
  <c r="N779" i="32"/>
  <c r="N817" i="32"/>
  <c r="N869" i="32"/>
  <c r="N908" i="32"/>
  <c r="N54" i="32"/>
  <c r="N87" i="32"/>
  <c r="N123" i="32"/>
  <c r="N175" i="32"/>
  <c r="N227" i="32"/>
  <c r="N263" i="32"/>
  <c r="N296" i="32"/>
  <c r="N332" i="32"/>
  <c r="N368" i="32"/>
  <c r="N401" i="32"/>
  <c r="N437" i="32"/>
  <c r="N473" i="32"/>
  <c r="N524" i="32"/>
  <c r="N554" i="32"/>
  <c r="N587" i="32"/>
  <c r="N333" i="32"/>
  <c r="N677" i="32"/>
  <c r="N685" i="32"/>
  <c r="N702" i="32"/>
  <c r="N780" i="32"/>
  <c r="N825" i="32"/>
  <c r="N870" i="32"/>
  <c r="N642" i="32"/>
  <c r="N708" i="32"/>
  <c r="N748" i="32"/>
  <c r="N786" i="32"/>
  <c r="N838" i="32"/>
  <c r="N861" i="32"/>
  <c r="N876" i="32"/>
  <c r="N884" i="32"/>
  <c r="N900" i="32"/>
  <c r="N915" i="32"/>
  <c r="N922" i="32"/>
  <c r="N929" i="32"/>
  <c r="N53" i="32"/>
  <c r="N69" i="32"/>
  <c r="N86" i="32"/>
  <c r="N105" i="32"/>
  <c r="N122" i="32"/>
  <c r="N138" i="32"/>
  <c r="N158" i="32"/>
  <c r="N174" i="32"/>
  <c r="N190" i="32"/>
  <c r="N210" i="32"/>
  <c r="N226" i="32"/>
  <c r="N243" i="32"/>
  <c r="N262" i="32"/>
  <c r="N279" i="32"/>
  <c r="N295" i="32"/>
  <c r="N315" i="32"/>
  <c r="N331" i="32"/>
  <c r="N347" i="32"/>
  <c r="N383" i="32"/>
  <c r="N400" i="32"/>
  <c r="N419" i="32"/>
  <c r="N436" i="32"/>
  <c r="N452" i="32"/>
  <c r="N472" i="32"/>
  <c r="N504" i="32"/>
  <c r="N538" i="32"/>
  <c r="N571" i="32"/>
  <c r="N586" i="32"/>
  <c r="N634" i="32"/>
  <c r="N659" i="32"/>
  <c r="N733" i="32"/>
  <c r="N756" i="32"/>
  <c r="N802" i="32"/>
  <c r="N831" i="32"/>
  <c r="N34" i="32"/>
  <c r="N70" i="32"/>
  <c r="N106" i="32"/>
  <c r="N159" i="32"/>
  <c r="N191" i="32"/>
  <c r="N244" i="32"/>
  <c r="N280" i="32"/>
  <c r="N316" i="32"/>
  <c r="N348" i="32"/>
  <c r="N384" i="32"/>
  <c r="N420" i="32"/>
  <c r="N453" i="32"/>
  <c r="N489" i="32"/>
  <c r="N539" i="32"/>
  <c r="N572" i="32"/>
  <c r="N602" i="32"/>
  <c r="N297" i="32"/>
  <c r="N652" i="32"/>
  <c r="N694" i="32"/>
  <c r="N742" i="32"/>
  <c r="N811" i="32"/>
  <c r="N832" i="32"/>
  <c r="N848" i="32"/>
  <c r="N878" i="32"/>
  <c r="N610" i="32"/>
  <c r="N577" i="32"/>
  <c r="N547" i="32"/>
  <c r="N514" i="32"/>
  <c r="N478" i="32"/>
  <c r="N446" i="32"/>
  <c r="N410" i="32"/>
  <c r="N374" i="32"/>
  <c r="N341" i="32"/>
  <c r="N305" i="32"/>
  <c r="N269" i="32"/>
  <c r="N236" i="32"/>
  <c r="N200" i="32"/>
  <c r="N164" i="32"/>
  <c r="N131" i="32"/>
  <c r="N95" i="32"/>
  <c r="N59" i="32"/>
  <c r="N927" i="32"/>
  <c r="N881" i="32"/>
  <c r="N813" i="32"/>
  <c r="N774" i="32"/>
  <c r="N766" i="32"/>
  <c r="N706" i="32"/>
  <c r="N695" i="32"/>
  <c r="N655" i="32"/>
  <c r="N609" i="32"/>
  <c r="N576" i="32"/>
  <c r="N543" i="32"/>
  <c r="N513" i="32"/>
  <c r="N477" i="32"/>
  <c r="N441" i="32"/>
  <c r="N408" i="32"/>
  <c r="N372" i="32"/>
  <c r="N336" i="32"/>
  <c r="N304" i="32"/>
  <c r="N268" i="32"/>
  <c r="N232" i="32"/>
  <c r="N199" i="32"/>
  <c r="N163" i="32"/>
  <c r="N127" i="32"/>
  <c r="N94" i="32"/>
  <c r="N58" i="32"/>
  <c r="N917" i="32"/>
  <c r="N842" i="32"/>
  <c r="N735" i="32"/>
  <c r="W273" i="32" l="1"/>
  <c r="W834" i="32"/>
  <c r="W401" i="32"/>
  <c r="W344" i="32"/>
  <c r="W326" i="32"/>
  <c r="W437" i="32"/>
  <c r="W774" i="32"/>
  <c r="W741" i="32"/>
  <c r="W327" i="32"/>
  <c r="W669" i="32"/>
  <c r="W486" i="32"/>
  <c r="W917" i="32"/>
  <c r="W294" i="32"/>
  <c r="W286" i="32"/>
  <c r="W430" i="32"/>
  <c r="W574" i="32"/>
  <c r="W718" i="32"/>
  <c r="W311" i="32"/>
  <c r="W455" i="32"/>
  <c r="W599" i="32"/>
  <c r="W336" i="32"/>
  <c r="W480" i="32"/>
  <c r="W624" i="32"/>
  <c r="W768" i="32"/>
  <c r="W912" i="32"/>
  <c r="W325" i="32"/>
  <c r="W469" i="32"/>
  <c r="W613" i="32"/>
  <c r="W757" i="32"/>
  <c r="W901" i="32"/>
  <c r="W254" i="32"/>
  <c r="W261" i="32"/>
  <c r="W482" i="32"/>
  <c r="W698" i="32"/>
  <c r="W411" i="32"/>
  <c r="W627" i="32"/>
  <c r="W819" i="32"/>
  <c r="W356" i="32"/>
  <c r="W572" i="32"/>
  <c r="W413" i="32"/>
  <c r="W629" i="32"/>
  <c r="W821" i="32"/>
  <c r="W279" i="32"/>
  <c r="W603" i="32"/>
  <c r="W854" i="32"/>
  <c r="W633" i="32"/>
  <c r="W398" i="32"/>
  <c r="W808" i="32"/>
  <c r="W255" i="32"/>
  <c r="W580" i="32"/>
  <c r="W837" i="32"/>
  <c r="W525" i="32"/>
  <c r="W290" i="32"/>
  <c r="W788" i="32"/>
  <c r="W221" i="32"/>
  <c r="W880" i="32"/>
  <c r="W404" i="32"/>
  <c r="W723" i="32"/>
  <c r="W830" i="32"/>
  <c r="W460" i="32"/>
  <c r="W713" i="32"/>
  <c r="W867" i="32"/>
  <c r="W866" i="32"/>
  <c r="W237" i="32"/>
  <c r="W243" i="32"/>
  <c r="W737" i="32"/>
  <c r="W459" i="32"/>
  <c r="W617" i="32"/>
  <c r="W621" i="32"/>
  <c r="W425" i="32"/>
  <c r="W883" i="32"/>
  <c r="W213" i="32"/>
  <c r="W298" i="32"/>
  <c r="W442" i="32"/>
  <c r="W586" i="32"/>
  <c r="W323" i="32"/>
  <c r="W467" i="32"/>
  <c r="W611" i="32"/>
  <c r="W348" i="32"/>
  <c r="W492" i="32"/>
  <c r="W636" i="32"/>
  <c r="W780" i="32"/>
  <c r="W924" i="32"/>
  <c r="W337" i="32"/>
  <c r="W481" i="32"/>
  <c r="W625" i="32"/>
  <c r="W769" i="32"/>
  <c r="W913" i="32"/>
  <c r="W282" i="32"/>
  <c r="W498" i="32"/>
  <c r="W714" i="32"/>
  <c r="W427" i="32"/>
  <c r="W643" i="32"/>
  <c r="W833" i="32"/>
  <c r="W376" i="32"/>
  <c r="W592" i="32"/>
  <c r="W429" i="32"/>
  <c r="W645" i="32"/>
  <c r="W835" i="32"/>
  <c r="W307" i="32"/>
  <c r="W631" i="32"/>
  <c r="W870" i="32"/>
  <c r="W687" i="32"/>
  <c r="W450" i="32"/>
  <c r="W232" i="32"/>
  <c r="W842" i="32"/>
  <c r="W280" i="32"/>
  <c r="W604" i="32"/>
  <c r="W855" i="32"/>
  <c r="W581" i="32"/>
  <c r="W366" i="32"/>
  <c r="W824" i="32"/>
  <c r="W365" i="32"/>
  <c r="W916" i="32"/>
  <c r="W470" i="32"/>
  <c r="W882" i="32"/>
  <c r="W533" i="32"/>
  <c r="W578" i="32"/>
  <c r="W693" i="32"/>
  <c r="W674" i="32"/>
  <c r="W896" i="32"/>
  <c r="W560" i="32"/>
  <c r="W368" i="32"/>
  <c r="W843" i="32"/>
  <c r="W310" i="32"/>
  <c r="W454" i="32"/>
  <c r="W598" i="32"/>
  <c r="W335" i="32"/>
  <c r="W479" i="32"/>
  <c r="W623" i="32"/>
  <c r="W216" i="32"/>
  <c r="W360" i="32"/>
  <c r="W504" i="32"/>
  <c r="W648" i="32"/>
  <c r="W792" i="32"/>
  <c r="W349" i="32"/>
  <c r="W493" i="32"/>
  <c r="W637" i="32"/>
  <c r="W781" i="32"/>
  <c r="W925" i="32"/>
  <c r="W302" i="32"/>
  <c r="W518" i="32"/>
  <c r="W730" i="32"/>
  <c r="W223" i="32"/>
  <c r="W447" i="32"/>
  <c r="W663" i="32"/>
  <c r="W847" i="32"/>
  <c r="W392" i="32"/>
  <c r="W608" i="32"/>
  <c r="W225" i="32"/>
  <c r="W449" i="32"/>
  <c r="W665" i="32"/>
  <c r="W849" i="32"/>
  <c r="W331" i="32"/>
  <c r="W655" i="32"/>
  <c r="W886" i="32"/>
  <c r="W729" i="32"/>
  <c r="W506" i="32"/>
  <c r="W291" i="32"/>
  <c r="W874" i="32"/>
  <c r="W308" i="32"/>
  <c r="W632" i="32"/>
  <c r="W871" i="32"/>
  <c r="W657" i="32"/>
  <c r="W422" i="32"/>
  <c r="W258" i="32"/>
  <c r="W858" i="32"/>
  <c r="W605" i="32"/>
  <c r="W814" i="32"/>
  <c r="W317" i="32"/>
  <c r="W640" i="32"/>
  <c r="W899" i="32"/>
  <c r="W452" i="32"/>
  <c r="W894" i="32"/>
  <c r="W270" i="32"/>
  <c r="W869" i="32"/>
  <c r="W915" i="32"/>
  <c r="W798" i="32"/>
  <c r="W597" i="32"/>
  <c r="W350" i="32"/>
  <c r="W400" i="32"/>
  <c r="W512" i="32"/>
  <c r="W618" i="32"/>
  <c r="W898" i="32"/>
  <c r="W815" i="32"/>
  <c r="W487" i="32"/>
  <c r="W918" i="32"/>
  <c r="W295" i="32"/>
  <c r="W799" i="32"/>
  <c r="W322" i="32"/>
  <c r="W466" i="32"/>
  <c r="W610" i="32"/>
  <c r="W347" i="32"/>
  <c r="W491" i="32"/>
  <c r="W635" i="32"/>
  <c r="W228" i="32"/>
  <c r="W372" i="32"/>
  <c r="W516" i="32"/>
  <c r="W660" i="32"/>
  <c r="W804" i="32"/>
  <c r="W217" i="32"/>
  <c r="W361" i="32"/>
  <c r="W505" i="32"/>
  <c r="W649" i="32"/>
  <c r="W793" i="32"/>
  <c r="W318" i="32"/>
  <c r="W534" i="32"/>
  <c r="W746" i="32"/>
  <c r="W245" i="32"/>
  <c r="W463" i="32"/>
  <c r="W679" i="32"/>
  <c r="W861" i="32"/>
  <c r="W412" i="32"/>
  <c r="W628" i="32"/>
  <c r="W247" i="32"/>
  <c r="W465" i="32"/>
  <c r="W681" i="32"/>
  <c r="W863" i="32"/>
  <c r="W363" i="32"/>
  <c r="W680" i="32"/>
  <c r="W904" i="32"/>
  <c r="W751" i="32"/>
  <c r="W558" i="32"/>
  <c r="W343" i="32"/>
  <c r="W910" i="32"/>
  <c r="W332" i="32"/>
  <c r="W656" i="32"/>
  <c r="W887" i="32"/>
  <c r="W710" i="32"/>
  <c r="W530" i="32"/>
  <c r="W315" i="32"/>
  <c r="W926" i="32"/>
  <c r="W790" i="32"/>
  <c r="W594" i="32"/>
  <c r="W402" i="32"/>
  <c r="W914" i="32"/>
  <c r="W461" i="32"/>
  <c r="W832" i="32"/>
  <c r="W329" i="32"/>
  <c r="W826" i="32"/>
  <c r="W859" i="32"/>
  <c r="W561" i="32"/>
  <c r="W740" i="32"/>
  <c r="W690" i="32"/>
  <c r="W434" i="32"/>
  <c r="W884" i="32"/>
  <c r="W234" i="32"/>
  <c r="W764" i="32"/>
  <c r="W334" i="32"/>
  <c r="W478" i="32"/>
  <c r="W622" i="32"/>
  <c r="W215" i="32"/>
  <c r="W359" i="32"/>
  <c r="W503" i="32"/>
  <c r="W647" i="32"/>
  <c r="W240" i="32"/>
  <c r="W384" i="32"/>
  <c r="W528" i="32"/>
  <c r="W672" i="32"/>
  <c r="W816" i="32"/>
  <c r="W229" i="32"/>
  <c r="W373" i="32"/>
  <c r="W517" i="32"/>
  <c r="W661" i="32"/>
  <c r="W805" i="32"/>
  <c r="W338" i="32"/>
  <c r="W554" i="32"/>
  <c r="W760" i="32"/>
  <c r="W267" i="32"/>
  <c r="W483" i="32"/>
  <c r="W699" i="32"/>
  <c r="W875" i="32"/>
  <c r="W428" i="32"/>
  <c r="W644" i="32"/>
  <c r="W269" i="32"/>
  <c r="W485" i="32"/>
  <c r="W701" i="32"/>
  <c r="W879" i="32"/>
  <c r="W387" i="32"/>
  <c r="W704" i="32"/>
  <c r="W922" i="32"/>
  <c r="W786" i="32"/>
  <c r="W614" i="32"/>
  <c r="W399" i="32"/>
  <c r="W364" i="32"/>
  <c r="W686" i="32"/>
  <c r="W906" i="32"/>
  <c r="W770" i="32"/>
  <c r="W582" i="32"/>
  <c r="W367" i="32"/>
  <c r="W928" i="32"/>
  <c r="W758" i="32"/>
  <c r="W544" i="32"/>
  <c r="W844" i="32"/>
  <c r="W352" i="32"/>
  <c r="W797" i="32"/>
  <c r="W759" i="32"/>
  <c r="W272" i="32"/>
  <c r="W862" i="32"/>
  <c r="W692" i="32"/>
  <c r="W776" i="32"/>
  <c r="W488" i="32"/>
  <c r="W511" i="32"/>
  <c r="W369" i="32"/>
  <c r="W848" i="32"/>
  <c r="W911" i="32"/>
  <c r="W703" i="32"/>
  <c r="W566" i="32"/>
  <c r="W700" i="32"/>
  <c r="W330" i="32"/>
  <c r="W405" i="32"/>
  <c r="W762" i="32"/>
  <c r="W532" i="32"/>
  <c r="W653" i="32"/>
  <c r="W796" i="32"/>
  <c r="W868" i="32"/>
  <c r="W414" i="32"/>
  <c r="W345" i="32"/>
  <c r="W825" i="32"/>
  <c r="W438" i="32"/>
  <c r="W509" i="32"/>
  <c r="W378" i="32"/>
  <c r="W897" i="32"/>
  <c r="W885" i="32"/>
  <c r="W235" i="32"/>
  <c r="W765" i="32"/>
  <c r="W794" i="32"/>
  <c r="W602" i="32"/>
  <c r="W226" i="32"/>
  <c r="W370" i="32"/>
  <c r="W514" i="32"/>
  <c r="W658" i="32"/>
  <c r="W251" i="32"/>
  <c r="W395" i="32"/>
  <c r="W539" i="32"/>
  <c r="W683" i="32"/>
  <c r="W276" i="32"/>
  <c r="W420" i="32"/>
  <c r="W564" i="32"/>
  <c r="W708" i="32"/>
  <c r="W852" i="32"/>
  <c r="W265" i="32"/>
  <c r="W409" i="32"/>
  <c r="W553" i="32"/>
  <c r="W697" i="32"/>
  <c r="W841" i="32"/>
  <c r="W390" i="32"/>
  <c r="W606" i="32"/>
  <c r="W319" i="32"/>
  <c r="W535" i="32"/>
  <c r="W747" i="32"/>
  <c r="W919" i="32"/>
  <c r="W268" i="32"/>
  <c r="W484" i="32"/>
  <c r="W321" i="32"/>
  <c r="W537" i="32"/>
  <c r="W749" i="32"/>
  <c r="W921" i="32"/>
  <c r="W471" i="32"/>
  <c r="W766" i="32"/>
  <c r="W309" i="32"/>
  <c r="W890" i="32"/>
  <c r="W771" i="32"/>
  <c r="W559" i="32"/>
  <c r="W440" i="32"/>
  <c r="W750" i="32"/>
  <c r="W872" i="32"/>
  <c r="W752" i="32"/>
  <c r="W531" i="32"/>
  <c r="W664" i="32"/>
  <c r="W641" i="32"/>
  <c r="W878" i="32"/>
  <c r="W403" i="32"/>
  <c r="W754" i="32"/>
  <c r="W652" i="32"/>
  <c r="W651" i="32"/>
  <c r="W795" i="32"/>
  <c r="W596" i="32"/>
  <c r="W831" i="32"/>
  <c r="W619" i="32"/>
  <c r="W860" i="32"/>
  <c r="W895" i="32"/>
  <c r="W236" i="32"/>
  <c r="W691" i="32"/>
  <c r="W810" i="32"/>
  <c r="W827" i="32"/>
  <c r="W668" i="32"/>
  <c r="W271" i="32"/>
  <c r="W477" i="32"/>
  <c r="W250" i="32"/>
  <c r="W394" i="32"/>
  <c r="W538" i="32"/>
  <c r="W682" i="32"/>
  <c r="W275" i="32"/>
  <c r="W419" i="32"/>
  <c r="W563" i="32"/>
  <c r="W707" i="32"/>
  <c r="W300" i="32"/>
  <c r="W444" i="32"/>
  <c r="W588" i="32"/>
  <c r="W732" i="32"/>
  <c r="W876" i="32"/>
  <c r="W218" i="32"/>
  <c r="W289" i="32"/>
  <c r="W433" i="32"/>
  <c r="W577" i="32"/>
  <c r="W721" i="32"/>
  <c r="W865" i="32"/>
  <c r="W426" i="32"/>
  <c r="W642" i="32"/>
  <c r="W355" i="32"/>
  <c r="W571" i="32"/>
  <c r="W775" i="32"/>
  <c r="W304" i="32"/>
  <c r="W513" i="32"/>
  <c r="W278" i="32"/>
  <c r="W742" i="32"/>
  <c r="W702" i="32"/>
  <c r="W436" i="32"/>
  <c r="W739" i="32"/>
  <c r="W851" i="32"/>
  <c r="W510" i="32"/>
  <c r="W773" i="32"/>
  <c r="W650" i="32"/>
  <c r="W616" i="32"/>
  <c r="W779" i="32"/>
  <c r="W424" i="32"/>
  <c r="W262" i="32"/>
  <c r="W406" i="32"/>
  <c r="W550" i="32"/>
  <c r="W694" i="32"/>
  <c r="W287" i="32"/>
  <c r="W431" i="32"/>
  <c r="W575" i="32"/>
  <c r="W719" i="32"/>
  <c r="W312" i="32"/>
  <c r="W456" i="32"/>
  <c r="W600" i="32"/>
  <c r="W744" i="32"/>
  <c r="W888" i="32"/>
  <c r="W242" i="32"/>
  <c r="W301" i="32"/>
  <c r="W445" i="32"/>
  <c r="W589" i="32"/>
  <c r="W733" i="32"/>
  <c r="W877" i="32"/>
  <c r="W222" i="32"/>
  <c r="W446" i="32"/>
  <c r="W662" i="32"/>
  <c r="W375" i="32"/>
  <c r="W476" i="32"/>
  <c r="W568" i="32"/>
  <c r="W920" i="32"/>
  <c r="W248" i="32"/>
  <c r="W274" i="32"/>
  <c r="W706" i="32"/>
  <c r="W443" i="32"/>
  <c r="W612" i="32"/>
  <c r="W266" i="32"/>
  <c r="W457" i="32"/>
  <c r="W889" i="32"/>
  <c r="W462" i="32"/>
  <c r="W391" i="32"/>
  <c r="W905" i="32"/>
  <c r="W520" i="32"/>
  <c r="W357" i="32"/>
  <c r="W777" i="32"/>
  <c r="W800" i="32"/>
  <c r="W689" i="32"/>
  <c r="W496" i="32"/>
  <c r="W333" i="32"/>
  <c r="W823" i="32"/>
  <c r="W292" i="32"/>
  <c r="W595" i="32"/>
  <c r="W494" i="32"/>
  <c r="W585" i="32"/>
  <c r="W293" i="32"/>
  <c r="W381" i="32"/>
  <c r="W850" i="32"/>
  <c r="W716" i="32"/>
  <c r="W346" i="32"/>
  <c r="W515" i="32"/>
  <c r="W252" i="32"/>
  <c r="W684" i="32"/>
  <c r="W529" i="32"/>
  <c r="W570" i="32"/>
  <c r="W499" i="32"/>
  <c r="W536" i="32"/>
  <c r="W377" i="32"/>
  <c r="W791" i="32"/>
  <c r="W219" i="32"/>
  <c r="W818" i="32"/>
  <c r="W257" i="32"/>
  <c r="W736" i="32"/>
  <c r="W524" i="32"/>
  <c r="W417" i="32"/>
  <c r="W873" i="32"/>
  <c r="W545" i="32"/>
  <c r="W453" i="32"/>
  <c r="W543" i="32"/>
  <c r="W654" i="32"/>
  <c r="W567" i="32"/>
  <c r="W726" i="32"/>
  <c r="W667" i="32"/>
  <c r="W358" i="32"/>
  <c r="W527" i="32"/>
  <c r="W264" i="32"/>
  <c r="W696" i="32"/>
  <c r="W541" i="32"/>
  <c r="W590" i="32"/>
  <c r="W519" i="32"/>
  <c r="W556" i="32"/>
  <c r="W393" i="32"/>
  <c r="W807" i="32"/>
  <c r="W249" i="32"/>
  <c r="W836" i="32"/>
  <c r="W314" i="32"/>
  <c r="W772" i="32"/>
  <c r="W548" i="32"/>
  <c r="W473" i="32"/>
  <c r="W909" i="32"/>
  <c r="W508" i="32"/>
  <c r="W353" i="32"/>
  <c r="W881" i="32"/>
  <c r="W811" i="32"/>
  <c r="W386" i="32"/>
  <c r="W490" i="32"/>
  <c r="W227" i="32"/>
  <c r="W522" i="32"/>
  <c r="W546" i="32"/>
  <c r="W562" i="32"/>
  <c r="W299" i="32"/>
  <c r="W468" i="32"/>
  <c r="W900" i="32"/>
  <c r="W313" i="32"/>
  <c r="W745" i="32"/>
  <c r="W244" i="32"/>
  <c r="W328" i="32"/>
  <c r="W634" i="32"/>
  <c r="W371" i="32"/>
  <c r="W540" i="32"/>
  <c r="W385" i="32"/>
  <c r="W817" i="32"/>
  <c r="W354" i="32"/>
  <c r="W864" i="32"/>
  <c r="W246" i="32"/>
  <c r="W671" i="32"/>
  <c r="W695" i="32"/>
  <c r="W591" i="32"/>
  <c r="W547" i="32"/>
  <c r="W711" i="32"/>
  <c r="W670" i="32"/>
  <c r="W410" i="32"/>
  <c r="W579" i="32"/>
  <c r="W787" i="32"/>
  <c r="W448" i="32"/>
  <c r="W923" i="32"/>
  <c r="W489" i="32"/>
  <c r="W929" i="32"/>
  <c r="W351" i="32"/>
  <c r="W288" i="32"/>
  <c r="W685" i="32"/>
  <c r="W678" i="32"/>
  <c r="W731" i="32"/>
  <c r="W464" i="32"/>
  <c r="W521" i="32"/>
  <c r="W748" i="32"/>
  <c r="W734" i="32"/>
  <c r="W475" i="32"/>
  <c r="W639" i="32"/>
  <c r="W755" i="32"/>
  <c r="W306" i="32"/>
  <c r="W382" i="32"/>
  <c r="W705" i="32"/>
  <c r="W418" i="32"/>
  <c r="W507" i="32"/>
  <c r="W809" i="32"/>
  <c r="W659" i="32"/>
  <c r="W720" i="32"/>
  <c r="W339" i="32"/>
  <c r="W495" i="32"/>
  <c r="W767" i="32"/>
  <c r="W526" i="32"/>
  <c r="W893" i="32"/>
  <c r="W646" i="32"/>
  <c r="W565" i="32"/>
  <c r="W305" i="32"/>
  <c r="W474" i="32"/>
  <c r="W675" i="32"/>
  <c r="W379" i="32"/>
  <c r="W340" i="32"/>
  <c r="W820" i="32"/>
  <c r="W630" i="32"/>
  <c r="W715" i="32"/>
  <c r="W727" i="32"/>
  <c r="W423" i="32"/>
  <c r="W435" i="32"/>
  <c r="W239" i="32"/>
  <c r="W324" i="32"/>
  <c r="W709" i="32"/>
  <c r="W761" i="32"/>
  <c r="W500" i="32"/>
  <c r="W557" i="32"/>
  <c r="W784" i="32"/>
  <c r="W806" i="32"/>
  <c r="W220" i="32"/>
  <c r="W281" i="32"/>
  <c r="W583" i="32"/>
  <c r="W903" i="32"/>
  <c r="W676" i="32"/>
  <c r="W259" i="32"/>
  <c r="W214" i="32"/>
  <c r="W383" i="32"/>
  <c r="W892" i="32"/>
  <c r="W838" i="32"/>
  <c r="W724" i="32"/>
  <c r="W380" i="32"/>
  <c r="W407" i="32"/>
  <c r="W432" i="32"/>
  <c r="W908" i="32"/>
  <c r="W677" i="32"/>
  <c r="W584" i="32"/>
  <c r="W552" i="32"/>
  <c r="W230" i="32"/>
  <c r="W415" i="32"/>
  <c r="W451" i="32"/>
  <c r="W458" i="32"/>
  <c r="W587" i="32"/>
  <c r="W277" i="32"/>
  <c r="W303" i="32"/>
  <c r="W735" i="32"/>
  <c r="W502" i="32"/>
  <c r="W549" i="32"/>
  <c r="W233" i="32"/>
  <c r="W725" i="32"/>
  <c r="W756" i="32"/>
  <c r="W284" i="32"/>
  <c r="W523" i="32"/>
  <c r="W785" i="32"/>
  <c r="W342" i="32"/>
  <c r="W620" i="32"/>
  <c r="W374" i="32"/>
  <c r="W907" i="32"/>
  <c r="W601" i="32"/>
  <c r="W607" i="32"/>
  <c r="W813" i="32"/>
  <c r="W738" i="32"/>
  <c r="W626" i="32"/>
  <c r="W688" i="32"/>
  <c r="W927" i="32"/>
  <c r="W297" i="32"/>
  <c r="W263" i="32"/>
  <c r="W396" i="32"/>
  <c r="W829" i="32"/>
  <c r="W789" i="32"/>
  <c r="W573" i="32"/>
  <c r="W857" i="32"/>
  <c r="W388" i="32"/>
  <c r="W802" i="32"/>
  <c r="W666" i="32"/>
  <c r="W846" i="32"/>
  <c r="W316" i="32"/>
  <c r="W778" i="32"/>
  <c r="W408" i="32"/>
  <c r="W853" i="32"/>
  <c r="W803" i="32"/>
  <c r="W593" i="32"/>
  <c r="W256" i="32"/>
  <c r="W416" i="32"/>
  <c r="W712" i="32"/>
  <c r="W260" i="32"/>
  <c r="W238" i="32"/>
  <c r="W241" i="32"/>
  <c r="W891" i="32"/>
  <c r="W609" i="32"/>
  <c r="W389" i="32"/>
  <c r="W472" i="32"/>
  <c r="W753" i="32"/>
  <c r="W296" i="32"/>
  <c r="W551" i="32"/>
  <c r="W253" i="32"/>
  <c r="W283" i="32"/>
  <c r="W717" i="32"/>
  <c r="W441" i="32"/>
  <c r="W576" i="32"/>
  <c r="W224" i="32"/>
  <c r="W439" i="32"/>
  <c r="W497" i="32"/>
  <c r="W728" i="32"/>
  <c r="W362" i="32"/>
  <c r="W812" i="32"/>
  <c r="W743" i="32"/>
  <c r="W397" i="32"/>
  <c r="W763" i="32"/>
  <c r="W615" i="32"/>
  <c r="W231" i="32"/>
  <c r="W782" i="32"/>
  <c r="W421" i="32"/>
  <c r="W555" i="32"/>
  <c r="W285" i="32"/>
  <c r="W822" i="32"/>
  <c r="W638" i="32"/>
  <c r="W722" i="32"/>
  <c r="W902" i="32"/>
  <c r="W828" i="32"/>
  <c r="W320" i="32"/>
  <c r="W856" i="32"/>
  <c r="W801" i="32"/>
  <c r="W845" i="32"/>
  <c r="W569" i="32"/>
  <c r="W840" i="32"/>
  <c r="W341" i="32"/>
  <c r="W839" i="32"/>
  <c r="W542" i="32"/>
  <c r="W673" i="32"/>
  <c r="W501" i="32"/>
  <c r="W783" i="32"/>
  <c r="R31" i="32"/>
  <c r="C21" i="32"/>
  <c r="S9" i="32"/>
  <c r="O31" i="32"/>
  <c r="C22" i="32" s="1"/>
  <c r="K13" i="32" s="1"/>
  <c r="D21" i="32" l="1"/>
  <c r="K839" i="32" l="1"/>
  <c r="K840" i="32"/>
  <c r="K841" i="32"/>
  <c r="K842" i="32"/>
  <c r="K843" i="32"/>
  <c r="K844" i="32"/>
  <c r="K845" i="32"/>
  <c r="K846" i="32"/>
  <c r="K847" i="32"/>
  <c r="K848" i="32"/>
  <c r="K849" i="32"/>
  <c r="K850" i="32"/>
  <c r="K851" i="32"/>
  <c r="K852" i="32"/>
  <c r="K853" i="32"/>
  <c r="K854" i="32"/>
  <c r="K855" i="32"/>
  <c r="K856" i="32"/>
  <c r="K857" i="32"/>
  <c r="K858" i="32"/>
  <c r="K859" i="32"/>
  <c r="K860" i="32"/>
  <c r="K861" i="32"/>
  <c r="K862" i="32"/>
  <c r="K863" i="32"/>
  <c r="K864" i="32"/>
  <c r="K865" i="32"/>
  <c r="K866" i="32"/>
  <c r="K867" i="32"/>
  <c r="K868" i="32"/>
  <c r="K869" i="32"/>
  <c r="K870" i="32"/>
  <c r="K871" i="32"/>
  <c r="K872" i="32"/>
  <c r="K873" i="32"/>
  <c r="K874" i="32"/>
  <c r="K875" i="32"/>
  <c r="K876" i="32"/>
  <c r="K877" i="32"/>
  <c r="K878" i="32"/>
  <c r="K879" i="32"/>
  <c r="K880" i="32"/>
  <c r="K881" i="32"/>
  <c r="K882" i="32"/>
  <c r="K883" i="32"/>
  <c r="K884" i="32"/>
  <c r="K885" i="32"/>
  <c r="K886" i="32"/>
  <c r="K887" i="32"/>
  <c r="K888" i="32"/>
  <c r="K889" i="32"/>
  <c r="K890" i="32"/>
  <c r="K891" i="32"/>
  <c r="K892" i="32"/>
  <c r="K893" i="32"/>
  <c r="K894" i="32"/>
  <c r="K895" i="32"/>
  <c r="K896" i="32"/>
  <c r="K897" i="32"/>
  <c r="K898" i="32"/>
  <c r="K899" i="32"/>
  <c r="K900" i="32"/>
  <c r="K901" i="32"/>
  <c r="K902" i="32"/>
  <c r="K903" i="32"/>
  <c r="K904" i="32"/>
  <c r="K905" i="32"/>
  <c r="K906" i="32"/>
  <c r="K907" i="32"/>
  <c r="K908" i="32"/>
  <c r="K909" i="32"/>
  <c r="K910" i="32"/>
  <c r="K911" i="32"/>
  <c r="K912" i="32"/>
  <c r="K913" i="32"/>
  <c r="K914" i="32"/>
  <c r="K915" i="32"/>
  <c r="K916" i="32"/>
  <c r="K917" i="32"/>
  <c r="K918" i="32"/>
  <c r="K919" i="32"/>
  <c r="K920" i="32"/>
  <c r="K921" i="32"/>
  <c r="K922" i="32"/>
  <c r="K923" i="32"/>
  <c r="K924" i="32"/>
  <c r="K925" i="32"/>
  <c r="K926" i="32"/>
  <c r="K927" i="32"/>
  <c r="K928" i="32"/>
  <c r="K929" i="32"/>
  <c r="K806" i="32"/>
  <c r="K807" i="32"/>
  <c r="K808" i="32"/>
  <c r="K809" i="32"/>
  <c r="K810" i="32"/>
  <c r="K811" i="32"/>
  <c r="K812" i="32"/>
  <c r="K813" i="32"/>
  <c r="K814" i="32"/>
  <c r="K815" i="32"/>
  <c r="K816" i="32"/>
  <c r="K817" i="32"/>
  <c r="K818" i="32"/>
  <c r="K819" i="32"/>
  <c r="K820" i="32"/>
  <c r="K821" i="32"/>
  <c r="K822" i="32"/>
  <c r="K823" i="32"/>
  <c r="K824" i="32"/>
  <c r="K825" i="32"/>
  <c r="K826" i="32"/>
  <c r="K827" i="32"/>
  <c r="K828" i="32"/>
  <c r="K829" i="32"/>
  <c r="K830" i="32"/>
  <c r="K831" i="32"/>
  <c r="K832" i="32"/>
  <c r="K833" i="32"/>
  <c r="K834" i="32"/>
  <c r="K835" i="32"/>
  <c r="K836" i="32"/>
  <c r="K837" i="32"/>
  <c r="K838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6" i="32"/>
  <c r="K87" i="32"/>
  <c r="K88" i="32"/>
  <c r="K89" i="32"/>
  <c r="K90" i="32"/>
  <c r="K91" i="32"/>
  <c r="K92" i="32"/>
  <c r="K93" i="32"/>
  <c r="K94" i="32"/>
  <c r="K95" i="32"/>
  <c r="K96" i="32"/>
  <c r="K97" i="32"/>
  <c r="K98" i="32"/>
  <c r="K99" i="32"/>
  <c r="K100" i="32"/>
  <c r="K101" i="32"/>
  <c r="K102" i="32"/>
  <c r="K103" i="32"/>
  <c r="K104" i="32"/>
  <c r="K105" i="32"/>
  <c r="K106" i="32"/>
  <c r="K107" i="32"/>
  <c r="K108" i="32"/>
  <c r="K109" i="32"/>
  <c r="K110" i="32"/>
  <c r="K111" i="32"/>
  <c r="K112" i="32"/>
  <c r="K113" i="32"/>
  <c r="K114" i="32"/>
  <c r="K115" i="32"/>
  <c r="K116" i="32"/>
  <c r="K117" i="32"/>
  <c r="K118" i="32"/>
  <c r="K119" i="32"/>
  <c r="K120" i="32"/>
  <c r="K121" i="32"/>
  <c r="K122" i="32"/>
  <c r="K123" i="32"/>
  <c r="K124" i="32"/>
  <c r="K125" i="32"/>
  <c r="K126" i="32"/>
  <c r="K127" i="32"/>
  <c r="K128" i="32"/>
  <c r="K129" i="32"/>
  <c r="K130" i="32"/>
  <c r="K131" i="32"/>
  <c r="K132" i="32"/>
  <c r="K133" i="32"/>
  <c r="K134" i="32"/>
  <c r="K135" i="32"/>
  <c r="K136" i="32"/>
  <c r="K137" i="32"/>
  <c r="K138" i="32"/>
  <c r="K139" i="32"/>
  <c r="K140" i="32"/>
  <c r="K141" i="32"/>
  <c r="K142" i="32"/>
  <c r="K143" i="32"/>
  <c r="K144" i="32"/>
  <c r="K145" i="32"/>
  <c r="K146" i="32"/>
  <c r="K147" i="32"/>
  <c r="K148" i="32"/>
  <c r="K149" i="32"/>
  <c r="K150" i="32"/>
  <c r="K151" i="32"/>
  <c r="K152" i="32"/>
  <c r="K153" i="32"/>
  <c r="K154" i="32"/>
  <c r="K155" i="32"/>
  <c r="K156" i="32"/>
  <c r="K157" i="32"/>
  <c r="K158" i="32"/>
  <c r="K159" i="32"/>
  <c r="K160" i="32"/>
  <c r="K161" i="32"/>
  <c r="K162" i="32"/>
  <c r="K163" i="32"/>
  <c r="K164" i="32"/>
  <c r="K165" i="32"/>
  <c r="K166" i="32"/>
  <c r="K167" i="32"/>
  <c r="K168" i="32"/>
  <c r="K169" i="32"/>
  <c r="K170" i="32"/>
  <c r="K171" i="32"/>
  <c r="K172" i="32"/>
  <c r="K173" i="32"/>
  <c r="K174" i="32"/>
  <c r="K175" i="32"/>
  <c r="K176" i="32"/>
  <c r="K177" i="32"/>
  <c r="K178" i="32"/>
  <c r="K179" i="32"/>
  <c r="K180" i="32"/>
  <c r="K181" i="32"/>
  <c r="K182" i="32"/>
  <c r="K183" i="32"/>
  <c r="K184" i="32"/>
  <c r="K185" i="32"/>
  <c r="K186" i="32"/>
  <c r="K187" i="32"/>
  <c r="K188" i="32"/>
  <c r="K189" i="32"/>
  <c r="K190" i="32"/>
  <c r="K191" i="32"/>
  <c r="K192" i="32"/>
  <c r="K193" i="32"/>
  <c r="K194" i="32"/>
  <c r="K195" i="32"/>
  <c r="K196" i="32"/>
  <c r="K197" i="32"/>
  <c r="K198" i="32"/>
  <c r="K199" i="32"/>
  <c r="K200" i="32"/>
  <c r="K201" i="32"/>
  <c r="K202" i="32"/>
  <c r="K203" i="32"/>
  <c r="K204" i="32"/>
  <c r="K205" i="32"/>
  <c r="K206" i="32"/>
  <c r="K207" i="32"/>
  <c r="K208" i="32"/>
  <c r="K209" i="32"/>
  <c r="K210" i="32"/>
  <c r="K211" i="32"/>
  <c r="K212" i="32"/>
  <c r="K213" i="32"/>
  <c r="K214" i="32"/>
  <c r="K215" i="32"/>
  <c r="K216" i="32"/>
  <c r="K217" i="32"/>
  <c r="K218" i="32"/>
  <c r="K219" i="32"/>
  <c r="K220" i="32"/>
  <c r="K221" i="32"/>
  <c r="K222" i="32"/>
  <c r="K223" i="32"/>
  <c r="K224" i="32"/>
  <c r="K225" i="32"/>
  <c r="K226" i="32"/>
  <c r="K227" i="32"/>
  <c r="K228" i="32"/>
  <c r="K229" i="32"/>
  <c r="K230" i="32"/>
  <c r="K231" i="32"/>
  <c r="K232" i="32"/>
  <c r="K233" i="32"/>
  <c r="K234" i="32"/>
  <c r="K235" i="32"/>
  <c r="K236" i="32"/>
  <c r="K237" i="32"/>
  <c r="K238" i="32"/>
  <c r="K239" i="32"/>
  <c r="K240" i="32"/>
  <c r="K241" i="32"/>
  <c r="K242" i="32"/>
  <c r="K243" i="32"/>
  <c r="K244" i="32"/>
  <c r="K245" i="32"/>
  <c r="K246" i="32"/>
  <c r="K247" i="32"/>
  <c r="K248" i="32"/>
  <c r="K249" i="32"/>
  <c r="K250" i="32"/>
  <c r="K251" i="32"/>
  <c r="K252" i="32"/>
  <c r="K253" i="32"/>
  <c r="K254" i="32"/>
  <c r="K255" i="32"/>
  <c r="K256" i="32"/>
  <c r="K257" i="32"/>
  <c r="K258" i="32"/>
  <c r="K259" i="32"/>
  <c r="K260" i="32"/>
  <c r="K261" i="32"/>
  <c r="K262" i="32"/>
  <c r="K263" i="32"/>
  <c r="K264" i="32"/>
  <c r="K265" i="32"/>
  <c r="K266" i="32"/>
  <c r="K267" i="32"/>
  <c r="K268" i="32"/>
  <c r="K269" i="32"/>
  <c r="K270" i="32"/>
  <c r="K271" i="32"/>
  <c r="K272" i="32"/>
  <c r="K273" i="32"/>
  <c r="K274" i="32"/>
  <c r="K275" i="32"/>
  <c r="K276" i="32"/>
  <c r="K277" i="32"/>
  <c r="K278" i="32"/>
  <c r="K279" i="32"/>
  <c r="K280" i="32"/>
  <c r="K281" i="32"/>
  <c r="K282" i="32"/>
  <c r="K283" i="32"/>
  <c r="K284" i="32"/>
  <c r="K285" i="32"/>
  <c r="K286" i="32"/>
  <c r="K287" i="32"/>
  <c r="K288" i="32"/>
  <c r="K289" i="32"/>
  <c r="K290" i="32"/>
  <c r="K291" i="32"/>
  <c r="K292" i="32"/>
  <c r="K293" i="32"/>
  <c r="K294" i="32"/>
  <c r="K295" i="32"/>
  <c r="K296" i="32"/>
  <c r="K297" i="32"/>
  <c r="K298" i="32"/>
  <c r="K299" i="32"/>
  <c r="K300" i="32"/>
  <c r="K301" i="32"/>
  <c r="K302" i="32"/>
  <c r="K303" i="32"/>
  <c r="K304" i="32"/>
  <c r="K305" i="32"/>
  <c r="K306" i="32"/>
  <c r="K307" i="32"/>
  <c r="K308" i="32"/>
  <c r="K309" i="32"/>
  <c r="K310" i="32"/>
  <c r="K311" i="32"/>
  <c r="K312" i="32"/>
  <c r="K313" i="32"/>
  <c r="K314" i="32"/>
  <c r="K315" i="32"/>
  <c r="K316" i="32"/>
  <c r="K317" i="32"/>
  <c r="K318" i="32"/>
  <c r="K319" i="32"/>
  <c r="K320" i="32"/>
  <c r="K321" i="32"/>
  <c r="K322" i="32"/>
  <c r="K323" i="32"/>
  <c r="K324" i="32"/>
  <c r="K325" i="32"/>
  <c r="K326" i="32"/>
  <c r="K327" i="32"/>
  <c r="K328" i="32"/>
  <c r="K329" i="32"/>
  <c r="K330" i="32"/>
  <c r="K331" i="32"/>
  <c r="K332" i="32"/>
  <c r="K333" i="32"/>
  <c r="K334" i="32"/>
  <c r="K335" i="32"/>
  <c r="K336" i="32"/>
  <c r="K337" i="32"/>
  <c r="K338" i="32"/>
  <c r="K339" i="32"/>
  <c r="K340" i="32"/>
  <c r="K341" i="32"/>
  <c r="K342" i="32"/>
  <c r="K343" i="32"/>
  <c r="K344" i="32"/>
  <c r="K345" i="32"/>
  <c r="K346" i="32"/>
  <c r="K347" i="32"/>
  <c r="K348" i="32"/>
  <c r="K349" i="32"/>
  <c r="K350" i="32"/>
  <c r="K351" i="32"/>
  <c r="K352" i="32"/>
  <c r="K353" i="32"/>
  <c r="K354" i="32"/>
  <c r="K355" i="32"/>
  <c r="K356" i="32"/>
  <c r="K357" i="32"/>
  <c r="K358" i="32"/>
  <c r="K359" i="32"/>
  <c r="K360" i="32"/>
  <c r="K361" i="32"/>
  <c r="K362" i="32"/>
  <c r="K363" i="32"/>
  <c r="K364" i="32"/>
  <c r="K365" i="32"/>
  <c r="K366" i="32"/>
  <c r="K367" i="32"/>
  <c r="K368" i="32"/>
  <c r="K369" i="32"/>
  <c r="K370" i="32"/>
  <c r="K371" i="32"/>
  <c r="K372" i="32"/>
  <c r="K373" i="32"/>
  <c r="K374" i="32"/>
  <c r="K375" i="32"/>
  <c r="K376" i="32"/>
  <c r="K377" i="32"/>
  <c r="K378" i="32"/>
  <c r="K379" i="32"/>
  <c r="K380" i="32"/>
  <c r="K381" i="32"/>
  <c r="K382" i="32"/>
  <c r="K383" i="32"/>
  <c r="K384" i="32"/>
  <c r="K385" i="32"/>
  <c r="K386" i="32"/>
  <c r="K387" i="32"/>
  <c r="K388" i="32"/>
  <c r="K389" i="32"/>
  <c r="K390" i="32"/>
  <c r="K391" i="32"/>
  <c r="K392" i="32"/>
  <c r="K393" i="32"/>
  <c r="K394" i="32"/>
  <c r="K395" i="32"/>
  <c r="K396" i="32"/>
  <c r="K397" i="32"/>
  <c r="K398" i="32"/>
  <c r="K399" i="32"/>
  <c r="K400" i="32"/>
  <c r="K401" i="32"/>
  <c r="K402" i="32"/>
  <c r="K403" i="32"/>
  <c r="K404" i="32"/>
  <c r="K405" i="32"/>
  <c r="K406" i="32"/>
  <c r="K407" i="32"/>
  <c r="K408" i="32"/>
  <c r="K409" i="32"/>
  <c r="K410" i="32"/>
  <c r="K411" i="32"/>
  <c r="K412" i="32"/>
  <c r="K413" i="32"/>
  <c r="K414" i="32"/>
  <c r="K415" i="32"/>
  <c r="K416" i="32"/>
  <c r="K417" i="32"/>
  <c r="K418" i="32"/>
  <c r="K419" i="32"/>
  <c r="K420" i="32"/>
  <c r="K421" i="32"/>
  <c r="K422" i="32"/>
  <c r="K423" i="32"/>
  <c r="K424" i="32"/>
  <c r="K425" i="32"/>
  <c r="K426" i="32"/>
  <c r="K427" i="32"/>
  <c r="K428" i="32"/>
  <c r="K429" i="32"/>
  <c r="K430" i="32"/>
  <c r="K431" i="32"/>
  <c r="K432" i="32"/>
  <c r="K433" i="32"/>
  <c r="K434" i="32"/>
  <c r="K435" i="32"/>
  <c r="K436" i="32"/>
  <c r="K437" i="32"/>
  <c r="K438" i="32"/>
  <c r="K439" i="32"/>
  <c r="K440" i="32"/>
  <c r="K441" i="32"/>
  <c r="K442" i="32"/>
  <c r="K443" i="32"/>
  <c r="K444" i="32"/>
  <c r="K445" i="32"/>
  <c r="K446" i="32"/>
  <c r="K447" i="32"/>
  <c r="K448" i="32"/>
  <c r="K449" i="32"/>
  <c r="K450" i="32"/>
  <c r="K451" i="32"/>
  <c r="K452" i="32"/>
  <c r="K453" i="32"/>
  <c r="K454" i="32"/>
  <c r="K455" i="32"/>
  <c r="K456" i="32"/>
  <c r="K457" i="32"/>
  <c r="K458" i="32"/>
  <c r="K459" i="32"/>
  <c r="K460" i="32"/>
  <c r="K461" i="32"/>
  <c r="K462" i="32"/>
  <c r="K463" i="32"/>
  <c r="K464" i="32"/>
  <c r="K465" i="32"/>
  <c r="K466" i="32"/>
  <c r="K467" i="32"/>
  <c r="K468" i="32"/>
  <c r="K469" i="32"/>
  <c r="K470" i="32"/>
  <c r="K471" i="32"/>
  <c r="K472" i="32"/>
  <c r="K473" i="32"/>
  <c r="K474" i="32"/>
  <c r="K475" i="32"/>
  <c r="K476" i="32"/>
  <c r="K477" i="32"/>
  <c r="K478" i="32"/>
  <c r="K479" i="32"/>
  <c r="K480" i="32"/>
  <c r="K481" i="32"/>
  <c r="K482" i="32"/>
  <c r="K483" i="32"/>
  <c r="K484" i="32"/>
  <c r="K485" i="32"/>
  <c r="K486" i="32"/>
  <c r="K487" i="32"/>
  <c r="K488" i="32"/>
  <c r="K489" i="32"/>
  <c r="K490" i="32"/>
  <c r="K491" i="32"/>
  <c r="K492" i="32"/>
  <c r="K493" i="32"/>
  <c r="K494" i="32"/>
  <c r="K495" i="32"/>
  <c r="K496" i="32"/>
  <c r="K497" i="32"/>
  <c r="K498" i="32"/>
  <c r="K499" i="32"/>
  <c r="K500" i="32"/>
  <c r="K501" i="32"/>
  <c r="K502" i="32"/>
  <c r="K503" i="32"/>
  <c r="K504" i="32"/>
  <c r="K505" i="32"/>
  <c r="K506" i="32"/>
  <c r="K507" i="32"/>
  <c r="K508" i="32"/>
  <c r="K509" i="32"/>
  <c r="K510" i="32"/>
  <c r="K511" i="32"/>
  <c r="K512" i="32"/>
  <c r="K513" i="32"/>
  <c r="K514" i="32"/>
  <c r="K515" i="32"/>
  <c r="K516" i="32"/>
  <c r="K517" i="32"/>
  <c r="K518" i="32"/>
  <c r="K519" i="32"/>
  <c r="K520" i="32"/>
  <c r="K521" i="32"/>
  <c r="K522" i="32"/>
  <c r="K523" i="32"/>
  <c r="K524" i="32"/>
  <c r="K525" i="32"/>
  <c r="K526" i="32"/>
  <c r="K527" i="32"/>
  <c r="K528" i="32"/>
  <c r="K529" i="32"/>
  <c r="K530" i="32"/>
  <c r="K531" i="32"/>
  <c r="K532" i="32"/>
  <c r="K533" i="32"/>
  <c r="K534" i="32"/>
  <c r="K535" i="32"/>
  <c r="K536" i="32"/>
  <c r="K537" i="32"/>
  <c r="K538" i="32"/>
  <c r="K539" i="32"/>
  <c r="K540" i="32"/>
  <c r="K541" i="32"/>
  <c r="K542" i="32"/>
  <c r="K543" i="32"/>
  <c r="K544" i="32"/>
  <c r="K545" i="32"/>
  <c r="K546" i="32"/>
  <c r="K547" i="32"/>
  <c r="K548" i="32"/>
  <c r="K549" i="32"/>
  <c r="K550" i="32"/>
  <c r="K551" i="32"/>
  <c r="K552" i="32"/>
  <c r="K553" i="32"/>
  <c r="K554" i="32"/>
  <c r="K555" i="32"/>
  <c r="K556" i="32"/>
  <c r="K557" i="32"/>
  <c r="K558" i="32"/>
  <c r="K559" i="32"/>
  <c r="K560" i="32"/>
  <c r="K561" i="32"/>
  <c r="K562" i="32"/>
  <c r="K563" i="32"/>
  <c r="K564" i="32"/>
  <c r="K565" i="32"/>
  <c r="K566" i="32"/>
  <c r="K567" i="32"/>
  <c r="K568" i="32"/>
  <c r="K569" i="32"/>
  <c r="K570" i="32"/>
  <c r="K571" i="32"/>
  <c r="K572" i="32"/>
  <c r="K573" i="32"/>
  <c r="K574" i="32"/>
  <c r="K575" i="32"/>
  <c r="K576" i="32"/>
  <c r="K577" i="32"/>
  <c r="K578" i="32"/>
  <c r="K579" i="32"/>
  <c r="K580" i="32"/>
  <c r="K581" i="32"/>
  <c r="K582" i="32"/>
  <c r="K583" i="32"/>
  <c r="K584" i="32"/>
  <c r="K585" i="32"/>
  <c r="K586" i="32"/>
  <c r="K587" i="32"/>
  <c r="K588" i="32"/>
  <c r="K589" i="32"/>
  <c r="K590" i="32"/>
  <c r="K591" i="32"/>
  <c r="K592" i="32"/>
  <c r="K593" i="32"/>
  <c r="K594" i="32"/>
  <c r="K595" i="32"/>
  <c r="K596" i="32"/>
  <c r="K597" i="32"/>
  <c r="K598" i="32"/>
  <c r="K599" i="32"/>
  <c r="K600" i="32"/>
  <c r="K601" i="32"/>
  <c r="K602" i="32"/>
  <c r="K603" i="32"/>
  <c r="K604" i="32"/>
  <c r="K605" i="32"/>
  <c r="K606" i="32"/>
  <c r="K607" i="32"/>
  <c r="K608" i="32"/>
  <c r="K609" i="32"/>
  <c r="K610" i="32"/>
  <c r="K611" i="32"/>
  <c r="K612" i="32"/>
  <c r="K613" i="32"/>
  <c r="K614" i="32"/>
  <c r="K615" i="32"/>
  <c r="K616" i="32"/>
  <c r="K617" i="32"/>
  <c r="K618" i="32"/>
  <c r="K619" i="32"/>
  <c r="K620" i="32"/>
  <c r="K621" i="32"/>
  <c r="K622" i="32"/>
  <c r="K623" i="32"/>
  <c r="K624" i="32"/>
  <c r="K625" i="32"/>
  <c r="K626" i="32"/>
  <c r="K627" i="32"/>
  <c r="K628" i="32"/>
  <c r="K629" i="32"/>
  <c r="K630" i="32"/>
  <c r="K631" i="32"/>
  <c r="K632" i="32"/>
  <c r="K633" i="32"/>
  <c r="K634" i="32"/>
  <c r="K635" i="32"/>
  <c r="K636" i="32"/>
  <c r="K637" i="32"/>
  <c r="K638" i="32"/>
  <c r="K639" i="32"/>
  <c r="K640" i="32"/>
  <c r="K641" i="32"/>
  <c r="K642" i="32"/>
  <c r="K643" i="32"/>
  <c r="K644" i="32"/>
  <c r="K645" i="32"/>
  <c r="K646" i="32"/>
  <c r="K647" i="32"/>
  <c r="K648" i="32"/>
  <c r="K649" i="32"/>
  <c r="K650" i="32"/>
  <c r="K651" i="32"/>
  <c r="K652" i="32"/>
  <c r="K653" i="32"/>
  <c r="K654" i="32"/>
  <c r="K655" i="32"/>
  <c r="K656" i="32"/>
  <c r="K657" i="32"/>
  <c r="K658" i="32"/>
  <c r="K659" i="32"/>
  <c r="K660" i="32"/>
  <c r="K661" i="32"/>
  <c r="K662" i="32"/>
  <c r="K663" i="32"/>
  <c r="K664" i="32"/>
  <c r="K665" i="32"/>
  <c r="K666" i="32"/>
  <c r="K667" i="32"/>
  <c r="K668" i="32"/>
  <c r="K669" i="32"/>
  <c r="K670" i="32"/>
  <c r="K671" i="32"/>
  <c r="K672" i="32"/>
  <c r="K673" i="32"/>
  <c r="K674" i="32"/>
  <c r="K675" i="32"/>
  <c r="K676" i="32"/>
  <c r="K677" i="32"/>
  <c r="K678" i="32"/>
  <c r="K679" i="32"/>
  <c r="K680" i="32"/>
  <c r="K681" i="32"/>
  <c r="K682" i="32"/>
  <c r="K683" i="32"/>
  <c r="K684" i="32"/>
  <c r="K685" i="32"/>
  <c r="K686" i="32"/>
  <c r="K687" i="32"/>
  <c r="K688" i="32"/>
  <c r="K689" i="32"/>
  <c r="K690" i="32"/>
  <c r="K691" i="32"/>
  <c r="K692" i="32"/>
  <c r="K693" i="32"/>
  <c r="K694" i="32"/>
  <c r="K695" i="32"/>
  <c r="K696" i="32"/>
  <c r="K697" i="32"/>
  <c r="K698" i="32"/>
  <c r="K699" i="32"/>
  <c r="K700" i="32"/>
  <c r="K701" i="32"/>
  <c r="K702" i="32"/>
  <c r="K703" i="32"/>
  <c r="K704" i="32"/>
  <c r="K705" i="32"/>
  <c r="K706" i="32"/>
  <c r="K707" i="32"/>
  <c r="K708" i="32"/>
  <c r="K709" i="32"/>
  <c r="K710" i="32"/>
  <c r="K711" i="32"/>
  <c r="K712" i="32"/>
  <c r="K713" i="32"/>
  <c r="K714" i="32"/>
  <c r="K715" i="32"/>
  <c r="K716" i="32"/>
  <c r="K717" i="32"/>
  <c r="K718" i="32"/>
  <c r="K719" i="32"/>
  <c r="K720" i="32"/>
  <c r="K721" i="32"/>
  <c r="K722" i="32"/>
  <c r="K723" i="32"/>
  <c r="K724" i="32"/>
  <c r="K725" i="32"/>
  <c r="K726" i="32"/>
  <c r="K727" i="32"/>
  <c r="K728" i="32"/>
  <c r="K729" i="32"/>
  <c r="K730" i="32"/>
  <c r="K731" i="32"/>
  <c r="K732" i="32"/>
  <c r="K733" i="32"/>
  <c r="K734" i="32"/>
  <c r="K735" i="32"/>
  <c r="K736" i="32"/>
  <c r="K737" i="32"/>
  <c r="K738" i="32"/>
  <c r="K739" i="32"/>
  <c r="K740" i="32"/>
  <c r="K741" i="32"/>
  <c r="K742" i="32"/>
  <c r="K743" i="32"/>
  <c r="K744" i="32"/>
  <c r="K745" i="32"/>
  <c r="K746" i="32"/>
  <c r="K747" i="32"/>
  <c r="K748" i="32"/>
  <c r="K749" i="32"/>
  <c r="K750" i="32"/>
  <c r="K751" i="32"/>
  <c r="K752" i="32"/>
  <c r="K753" i="32"/>
  <c r="K754" i="32"/>
  <c r="K755" i="32"/>
  <c r="K756" i="32"/>
  <c r="K757" i="32"/>
  <c r="K758" i="32"/>
  <c r="K759" i="32"/>
  <c r="K760" i="32"/>
  <c r="K761" i="32"/>
  <c r="K762" i="32"/>
  <c r="K763" i="32"/>
  <c r="K764" i="32"/>
  <c r="K765" i="32"/>
  <c r="K766" i="32"/>
  <c r="K767" i="32"/>
  <c r="K768" i="32"/>
  <c r="K769" i="32"/>
  <c r="K770" i="32"/>
  <c r="K771" i="32"/>
  <c r="K772" i="32"/>
  <c r="K773" i="32"/>
  <c r="K774" i="32"/>
  <c r="K775" i="32"/>
  <c r="K776" i="32"/>
  <c r="K777" i="32"/>
  <c r="K778" i="32"/>
  <c r="K779" i="32"/>
  <c r="K780" i="32"/>
  <c r="K781" i="32"/>
  <c r="K782" i="32"/>
  <c r="K783" i="32"/>
  <c r="K784" i="32"/>
  <c r="K785" i="32"/>
  <c r="K786" i="32"/>
  <c r="K787" i="32"/>
  <c r="K788" i="32"/>
  <c r="K789" i="32"/>
  <c r="K790" i="32"/>
  <c r="K791" i="32"/>
  <c r="K792" i="32"/>
  <c r="K793" i="32"/>
  <c r="K794" i="32"/>
  <c r="K795" i="32"/>
  <c r="K796" i="32"/>
  <c r="K797" i="32"/>
  <c r="K798" i="32"/>
  <c r="K799" i="32"/>
  <c r="K800" i="32"/>
  <c r="K801" i="32"/>
  <c r="K802" i="32"/>
  <c r="K803" i="32"/>
  <c r="K804" i="32"/>
  <c r="K805" i="32"/>
  <c r="K41" i="32"/>
  <c r="S1" i="32" l="1"/>
  <c r="AH4" i="32" l="1"/>
  <c r="AI4" i="32" s="1"/>
  <c r="X311" i="32"/>
  <c r="X600" i="32"/>
  <c r="X317" i="32"/>
  <c r="X633" i="32"/>
  <c r="X444" i="32"/>
  <c r="X427" i="32"/>
  <c r="X256" i="32"/>
  <c r="X554" i="32"/>
  <c r="X439" i="32"/>
  <c r="X716" i="32"/>
  <c r="X927" i="32"/>
  <c r="X222" i="32"/>
  <c r="X499" i="32"/>
  <c r="X605" i="32"/>
  <c r="X809" i="32"/>
  <c r="X777" i="32"/>
  <c r="X606" i="32"/>
  <c r="X332" i="32"/>
  <c r="X366" i="32"/>
  <c r="X828" i="32"/>
  <c r="X663" i="32"/>
  <c r="X576" i="32"/>
  <c r="X418" i="32"/>
  <c r="X691" i="32"/>
  <c r="X815" i="32"/>
  <c r="X573" i="32"/>
  <c r="X301" i="32"/>
  <c r="X302" i="32"/>
  <c r="X508" i="32"/>
  <c r="X911" i="32"/>
  <c r="X298" i="32"/>
  <c r="X420" i="32"/>
  <c r="X649" i="32"/>
  <c r="X492" i="32"/>
  <c r="X564" i="32"/>
  <c r="X835" i="32"/>
  <c r="X507" i="32"/>
  <c r="X537" i="32"/>
  <c r="X587" i="32"/>
  <c r="X559" i="32"/>
  <c r="X740" i="32"/>
  <c r="X917" i="32"/>
  <c r="X214" i="32"/>
  <c r="X567" i="32"/>
  <c r="X895" i="32"/>
  <c r="X925" i="32"/>
  <c r="X757" i="32"/>
  <c r="X393" i="32"/>
  <c r="X419" i="32"/>
  <c r="X849" i="32"/>
  <c r="X629" i="32"/>
  <c r="X246" i="32"/>
  <c r="X739" i="32"/>
  <c r="X692" i="32"/>
  <c r="X899" i="32"/>
  <c r="X723" i="32"/>
  <c r="X407" i="32"/>
  <c r="X406" i="32"/>
  <c r="X405" i="32"/>
  <c r="X466" i="32"/>
  <c r="X323" i="32"/>
  <c r="X588" i="32"/>
  <c r="X506" i="32"/>
  <c r="X325" i="32"/>
  <c r="X471" i="32"/>
  <c r="X329" i="32"/>
  <c r="X700" i="32"/>
  <c r="X856" i="32"/>
  <c r="X296" i="32"/>
  <c r="X446" i="32"/>
  <c r="X374" i="32"/>
  <c r="X620" i="32"/>
  <c r="X475" i="32"/>
  <c r="X706" i="32"/>
  <c r="X708" i="32"/>
  <c r="X247" i="32"/>
  <c r="X763" i="32"/>
  <c r="X853" i="32"/>
  <c r="X489" i="32"/>
  <c r="X754" i="32"/>
  <c r="X871" i="32"/>
  <c r="X756" i="32"/>
  <c r="X839" i="32"/>
  <c r="X510" i="32"/>
  <c r="X458" i="32"/>
  <c r="X386" i="32"/>
  <c r="X290" i="32"/>
  <c r="X540" i="32"/>
  <c r="X635" i="32"/>
  <c r="X547" i="32"/>
  <c r="X345" i="32"/>
  <c r="X636" i="32"/>
  <c r="X351" i="32"/>
  <c r="X848" i="32"/>
  <c r="X484" i="32"/>
  <c r="X790" i="32"/>
  <c r="X533" i="32"/>
  <c r="X341" i="32"/>
  <c r="X761" i="32"/>
  <c r="X219" i="32"/>
  <c r="X878" i="32"/>
  <c r="X216" i="32"/>
  <c r="X358" i="32"/>
  <c r="X810" i="32"/>
  <c r="X517" i="32"/>
  <c r="X518" i="32"/>
  <c r="X261" i="32"/>
  <c r="X367" i="32"/>
  <c r="X874" i="32"/>
  <c r="X259" i="32"/>
  <c r="X328" i="32"/>
  <c r="X436" i="32"/>
  <c r="X862" i="32"/>
  <c r="X381" i="32"/>
  <c r="X801" i="32"/>
  <c r="X658" i="32"/>
  <c r="X221" i="32"/>
  <c r="X863" i="32"/>
  <c r="X338" i="32"/>
  <c r="X803" i="32"/>
  <c r="X857" i="32"/>
  <c r="X262" i="32"/>
  <c r="X552" i="32"/>
  <c r="X838" i="32"/>
  <c r="X327" i="32"/>
  <c r="X411" i="32"/>
  <c r="X288" i="32"/>
  <c r="X877" i="32"/>
  <c r="X370" i="32"/>
  <c r="X879" i="32"/>
  <c r="X759" i="32"/>
  <c r="X753" i="32"/>
  <c r="X535" i="32"/>
  <c r="X832" i="32"/>
  <c r="X300" i="32"/>
  <c r="X724" i="32"/>
  <c r="X906" i="32"/>
  <c r="X490" i="32"/>
  <c r="X795" i="32"/>
  <c r="X442" i="32"/>
  <c r="X626" i="32"/>
  <c r="X465" i="32"/>
  <c r="X718" i="32"/>
  <c r="X794" i="32"/>
  <c r="X883" i="32"/>
  <c r="X257" i="32"/>
  <c r="X280" i="32"/>
  <c r="X462" i="32"/>
  <c r="X668" i="32"/>
  <c r="X581" i="32"/>
  <c r="X811" i="32"/>
  <c r="X399" i="32"/>
  <c r="X730" i="32"/>
  <c r="X344" i="32"/>
  <c r="X651" i="32"/>
  <c r="X866" i="32"/>
  <c r="X807" i="32"/>
  <c r="X229" i="32"/>
  <c r="X842" i="32"/>
  <c r="X283" i="32"/>
  <c r="X448" i="32"/>
  <c r="X851" i="32"/>
  <c r="X704" i="32"/>
  <c r="X843" i="32"/>
  <c r="X646" i="32"/>
  <c r="X920" i="32"/>
  <c r="X868" i="32"/>
  <c r="X869" i="32"/>
  <c r="X480" i="32"/>
  <c r="X654" i="32"/>
  <c r="X890" i="32"/>
  <c r="X363" i="32"/>
  <c r="X467" i="32"/>
  <c r="X820" i="32"/>
  <c r="X380" i="32"/>
  <c r="X377" i="32"/>
  <c r="X747" i="32"/>
  <c r="X746" i="32"/>
  <c r="X404" i="32"/>
  <c r="X334" i="32"/>
  <c r="X459" i="32"/>
  <c r="X701" i="32"/>
  <c r="X688" i="32"/>
  <c r="X378" i="32"/>
  <c r="X318" i="32"/>
  <c r="X443" i="32"/>
  <c r="X548" i="32"/>
  <c r="X324" i="32"/>
  <c r="X528" i="32"/>
  <c r="X696" i="32"/>
  <c r="X472" i="32"/>
  <c r="X836" i="32"/>
  <c r="X872" i="32"/>
  <c r="X228" i="32"/>
  <c r="X237" i="32"/>
  <c r="X303" i="32"/>
  <c r="X372" i="32"/>
  <c r="X320" i="32"/>
  <c r="X299" i="32"/>
  <c r="X511" i="32"/>
  <c r="X294" i="32"/>
  <c r="X292" i="32"/>
  <c r="X913" i="32"/>
  <c r="X893" i="32"/>
  <c r="X476" i="32"/>
  <c r="X498" i="32"/>
  <c r="X428" i="32"/>
  <c r="X792" i="32"/>
  <c r="X749" i="32"/>
  <c r="X524" i="32"/>
  <c r="X891" i="32"/>
  <c r="X592" i="32"/>
  <c r="X260" i="32"/>
  <c r="X355" i="32"/>
  <c r="X483" i="32"/>
  <c r="X882" i="32"/>
  <c r="X445" i="32"/>
  <c r="X369" i="32"/>
  <c r="X657" i="32"/>
  <c r="X791" i="32"/>
  <c r="X919" i="32"/>
  <c r="X245" i="32"/>
  <c r="X617" i="32"/>
  <c r="X767" i="32"/>
  <c r="X676" i="32"/>
  <c r="X346" i="32"/>
  <c r="X265" i="32"/>
  <c r="X398" i="32"/>
  <c r="X880" i="32"/>
  <c r="X584" i="32"/>
  <c r="X453" i="32"/>
  <c r="X887" i="32"/>
  <c r="X264" i="32"/>
  <c r="X921" i="32"/>
  <c r="X350" i="32"/>
  <c r="X353" i="32"/>
  <c r="X275" i="32"/>
  <c r="X705" i="32"/>
  <c r="X390" i="32"/>
  <c r="X529" i="32"/>
  <c r="X454" i="32"/>
  <c r="X844" i="32"/>
  <c r="X494" i="32"/>
  <c r="X236" i="32"/>
  <c r="X769" i="32"/>
  <c r="X561" i="32"/>
  <c r="X734" i="32"/>
  <c r="X401" i="32"/>
  <c r="X409" i="32"/>
  <c r="X356" i="32"/>
  <c r="X709" i="32"/>
  <c r="X251" i="32"/>
  <c r="X534" i="32"/>
  <c r="X224" i="32"/>
  <c r="X281" i="32"/>
  <c r="X729" i="32"/>
  <c r="X426" i="32"/>
  <c r="X400" i="32"/>
  <c r="X735" i="32"/>
  <c r="X825" i="32"/>
  <c r="X279" i="32"/>
  <c r="X886" i="32"/>
  <c r="X667" i="32"/>
  <c r="X822" i="32"/>
  <c r="X226" i="32"/>
  <c r="X520" i="32"/>
  <c r="X644" i="32"/>
  <c r="X248" i="32"/>
  <c r="X403" i="32"/>
  <c r="X926" i="32"/>
  <c r="X929" i="32"/>
  <c r="X614" i="32"/>
  <c r="X840" i="32"/>
  <c r="X395" i="32"/>
  <c r="X613" i="32"/>
  <c r="X340" i="32"/>
  <c r="X897" i="32"/>
  <c r="X469" i="32"/>
  <c r="X660" i="32"/>
  <c r="X817" i="32"/>
  <c r="X349" i="32"/>
  <c r="X831" i="32"/>
  <c r="X854" i="32"/>
  <c r="X677" i="32"/>
  <c r="X703" i="32"/>
  <c r="X684" i="32"/>
  <c r="X717" i="32"/>
  <c r="X923" i="32"/>
  <c r="X805" i="32"/>
  <c r="X575" i="32"/>
  <c r="X855" i="32"/>
  <c r="X589" i="32"/>
  <c r="X697" i="32"/>
  <c r="X425" i="32"/>
  <c r="X680" i="32"/>
  <c r="X695" i="32"/>
  <c r="X503" i="32"/>
  <c r="X215" i="32"/>
  <c r="X804" i="32"/>
  <c r="X710" i="32"/>
  <c r="X770" i="32"/>
  <c r="X312" i="32"/>
  <c r="X675" i="32"/>
  <c r="X799" i="32"/>
  <c r="X834" i="32"/>
  <c r="X342" i="32"/>
  <c r="X758" i="32"/>
  <c r="X908" i="32"/>
  <c r="X698" i="32"/>
  <c r="X661" i="32"/>
  <c r="X806" i="32"/>
  <c r="X430" i="32"/>
  <c r="X904" i="32"/>
  <c r="X666" i="32"/>
  <c r="X218" i="32"/>
  <c r="X232" i="32"/>
  <c r="X431" i="32"/>
  <c r="X648" i="32"/>
  <c r="X464" i="32"/>
  <c r="X689" i="32"/>
  <c r="X640" i="32"/>
  <c r="X297" i="32"/>
  <c r="X681" i="32"/>
  <c r="X512" i="32"/>
  <c r="X424" i="32"/>
  <c r="X755" i="32"/>
  <c r="X741" i="32"/>
  <c r="X873" i="32"/>
  <c r="X597" i="32"/>
  <c r="X638" i="32"/>
  <c r="X875" i="32"/>
  <c r="X615" i="32"/>
  <c r="X460" i="32"/>
  <c r="X435" i="32"/>
  <c r="X768" i="32"/>
  <c r="X647" i="32"/>
  <c r="X305" i="32"/>
  <c r="X902" i="32"/>
  <c r="X679" i="32"/>
  <c r="X396" i="32"/>
  <c r="X682" i="32"/>
  <c r="X376" i="32"/>
  <c r="X773" i="32"/>
  <c r="X310" i="32"/>
  <c r="X496" i="32"/>
  <c r="X610" i="32"/>
  <c r="X546" i="32"/>
  <c r="X266" i="32"/>
  <c r="X291" i="32"/>
  <c r="X516" i="32"/>
  <c r="X819" i="32"/>
  <c r="X742" i="32"/>
  <c r="X410" i="32"/>
  <c r="X774" i="32"/>
  <c r="X570" i="32"/>
  <c r="X858" i="32"/>
  <c r="X486" i="32"/>
  <c r="X812" i="32"/>
  <c r="X359" i="32"/>
  <c r="X441" i="32"/>
  <c r="X580" i="32"/>
  <c r="X673" i="32"/>
  <c r="X884" i="32"/>
  <c r="X900" i="32"/>
  <c r="X813" i="32"/>
  <c r="X217" i="32"/>
  <c r="X607" i="32"/>
  <c r="X771" i="32"/>
  <c r="X625" i="32"/>
  <c r="X339" i="32"/>
  <c r="X870" i="32"/>
  <c r="X824" i="32"/>
  <c r="X227" i="32"/>
  <c r="X314" i="32"/>
  <c r="X782" i="32"/>
  <c r="X659" i="32"/>
  <c r="X892" i="32"/>
  <c r="X852" i="32"/>
  <c r="X603" i="32"/>
  <c r="X289" i="32"/>
  <c r="X273" i="32"/>
  <c r="X796" i="32"/>
  <c r="X357" i="32"/>
  <c r="X609" i="32"/>
  <c r="X544" i="32"/>
  <c r="X482" i="32"/>
  <c r="X650" i="32"/>
  <c r="X632" i="32"/>
  <c r="X451" i="32"/>
  <c r="X694" i="32"/>
  <c r="X452" i="32"/>
  <c r="X881" i="32"/>
  <c r="X434" i="32"/>
  <c r="X213" i="32"/>
  <c r="X622" i="32"/>
  <c r="X388" i="32"/>
  <c r="X744" i="32"/>
  <c r="X826" i="32"/>
  <c r="X669" i="32"/>
  <c r="X541" i="32"/>
  <c r="X800" i="32"/>
  <c r="X593" i="32"/>
  <c r="X797" i="32"/>
  <c r="X438" i="32"/>
  <c r="X671" i="32"/>
  <c r="X523" i="32"/>
  <c r="X286" i="32"/>
  <c r="X827" i="32"/>
  <c r="X553" i="32"/>
  <c r="X837" i="32"/>
  <c r="X315" i="32"/>
  <c r="X583" i="32"/>
  <c r="X456" i="32"/>
  <c r="X230" i="32"/>
  <c r="X244" i="32"/>
  <c r="X670" i="32"/>
  <c r="X364" i="32"/>
  <c r="X780" i="32"/>
  <c r="X485" i="32"/>
  <c r="X594" i="32"/>
  <c r="X690" i="32"/>
  <c r="X634" i="32"/>
  <c r="X721" i="32"/>
  <c r="X412" i="32"/>
  <c r="X249" i="32"/>
  <c r="X645" i="32"/>
  <c r="X765" i="32"/>
  <c r="X360" i="32"/>
  <c r="X526" i="32"/>
  <c r="X539" i="32"/>
  <c r="X611" i="32"/>
  <c r="X595" i="32"/>
  <c r="X555" i="32"/>
  <c r="X876" i="32"/>
  <c r="X608" i="32"/>
  <c r="X802" i="32"/>
  <c r="X495" i="32"/>
  <c r="X394" i="32"/>
  <c r="X392" i="32"/>
  <c r="X766" i="32"/>
  <c r="X720" i="32"/>
  <c r="X785" i="32"/>
  <c r="X903" i="32"/>
  <c r="X772" i="32"/>
  <c r="X745" i="32"/>
  <c r="X711" i="32"/>
  <c r="X912" i="32"/>
  <c r="X384" i="32"/>
  <c r="X751" i="32"/>
  <c r="X656" i="32"/>
  <c r="X861" i="32"/>
  <c r="X562" i="32"/>
  <c r="X234" i="32"/>
  <c r="X784" i="32"/>
  <c r="X417" i="32"/>
  <c r="X542" i="32"/>
  <c r="X830" i="32"/>
  <c r="X235" i="32"/>
  <c r="X905" i="32"/>
  <c r="X253" i="32"/>
  <c r="X781" i="32"/>
  <c r="X637" i="32"/>
  <c r="X354" i="32"/>
  <c r="X678" i="32"/>
  <c r="X379" i="32"/>
  <c r="X437" i="32"/>
  <c r="X361" i="32"/>
  <c r="X347" i="32"/>
  <c r="X910" i="32"/>
  <c r="X915" i="32"/>
  <c r="X778" i="32"/>
  <c r="X488" i="32"/>
  <c r="X521" i="32"/>
  <c r="X491" i="32"/>
  <c r="X860" i="32"/>
  <c r="X601" i="32"/>
  <c r="X664" i="32"/>
  <c r="X272" i="32"/>
  <c r="X896" i="32"/>
  <c r="X326" i="32"/>
  <c r="X501" i="32"/>
  <c r="X557" i="32"/>
  <c r="X818" i="32"/>
  <c r="X304" i="32"/>
  <c r="X274" i="32"/>
  <c r="X743" i="32"/>
  <c r="X776" i="32"/>
  <c r="X368" i="32"/>
  <c r="X787" i="32"/>
  <c r="X536" i="32"/>
  <c r="X579" i="32"/>
  <c r="X752" i="32"/>
  <c r="X764" i="32"/>
  <c r="X504" i="32"/>
  <c r="X413" i="32"/>
  <c r="X295" i="32"/>
  <c r="X277" i="32"/>
  <c r="X922" i="32"/>
  <c r="X515" i="32"/>
  <c r="X572" i="32"/>
  <c r="X693" i="32"/>
  <c r="X885" i="32"/>
  <c r="X569" i="32"/>
  <c r="X582" i="32"/>
  <c r="X493" i="32"/>
  <c r="X319" i="32"/>
  <c r="X389" i="32"/>
  <c r="X391" i="32"/>
  <c r="X823" i="32"/>
  <c r="X652" i="32"/>
  <c r="X513" i="32"/>
  <c r="X463" i="32"/>
  <c r="X321" i="32"/>
  <c r="X450" i="32"/>
  <c r="X473" i="32"/>
  <c r="X687" i="32"/>
  <c r="X814" i="32"/>
  <c r="X702" i="32"/>
  <c r="X330" i="32"/>
  <c r="X686" i="32"/>
  <c r="X655" i="32"/>
  <c r="X586" i="32"/>
  <c r="X336" i="32"/>
  <c r="X223" i="32"/>
  <c r="X867" i="32"/>
  <c r="X423" i="32"/>
  <c r="X889" i="32"/>
  <c r="X727" i="32"/>
  <c r="X429" i="32"/>
  <c r="X387" i="32"/>
  <c r="X497" i="32"/>
  <c r="X760" i="32"/>
  <c r="X560" i="32"/>
  <c r="X502" i="32"/>
  <c r="X231" i="32"/>
  <c r="X278" i="32"/>
  <c r="X287" i="32"/>
  <c r="X371" i="32"/>
  <c r="X527" i="32"/>
  <c r="X461" i="32"/>
  <c r="X276" i="32"/>
  <c r="X864" i="32"/>
  <c r="X643" i="32"/>
  <c r="X627" i="32"/>
  <c r="X545" i="32"/>
  <c r="X845" i="32"/>
  <c r="X639" i="32"/>
  <c r="X220" i="32"/>
  <c r="X271" i="32"/>
  <c r="X674" i="32"/>
  <c r="X566" i="32"/>
  <c r="X241" i="32"/>
  <c r="X786" i="32"/>
  <c r="X500" i="32"/>
  <c r="X733" i="32"/>
  <c r="X789" i="32"/>
  <c r="X914" i="32"/>
  <c r="X624" i="32"/>
  <c r="X798" i="32"/>
  <c r="X577" i="32"/>
  <c r="X571" i="32"/>
  <c r="X449" i="32"/>
  <c r="X432" i="32"/>
  <c r="X268" i="32"/>
  <c r="X308" i="32"/>
  <c r="X736" i="32"/>
  <c r="X402" i="32"/>
  <c r="X713" i="32"/>
  <c r="X888" i="32"/>
  <c r="X859" i="32"/>
  <c r="X549" i="32"/>
  <c r="X642" i="32"/>
  <c r="X530" i="32"/>
  <c r="X783" i="32"/>
  <c r="X907" i="32"/>
  <c r="X352" i="32"/>
  <c r="X714" i="32"/>
  <c r="X316" i="32"/>
  <c r="X841" i="32"/>
  <c r="X373" i="32"/>
  <c r="X616" i="32"/>
  <c r="X343" i="32"/>
  <c r="X331" i="32"/>
  <c r="X683" i="32"/>
  <c r="X630" i="32"/>
  <c r="X225" i="32"/>
  <c r="X558" i="32"/>
  <c r="X550" i="32"/>
  <c r="X712" i="32"/>
  <c r="X732" i="32"/>
  <c r="X269" i="32"/>
  <c r="X918" i="32"/>
  <c r="X653" i="32"/>
  <c r="X621" i="32"/>
  <c r="X505" i="32"/>
  <c r="X538" i="32"/>
  <c r="X263" i="32"/>
  <c r="X619" i="32"/>
  <c r="X596" i="32"/>
  <c r="X385" i="32"/>
  <c r="X574" i="32"/>
  <c r="X829" i="32"/>
  <c r="X726" i="32"/>
  <c r="X565" i="32"/>
  <c r="X585" i="32"/>
  <c r="X722" i="32"/>
  <c r="X255" i="32"/>
  <c r="X532" i="32"/>
  <c r="X433" i="32"/>
  <c r="X233" i="32"/>
  <c r="X731" i="32"/>
  <c r="X623" i="32"/>
  <c r="X522" i="32"/>
  <c r="X306" i="32"/>
  <c r="X850" i="32"/>
  <c r="X313" i="32"/>
  <c r="X240" i="32"/>
  <c r="X307" i="32"/>
  <c r="X665" i="32"/>
  <c r="X270" i="32"/>
  <c r="X793" i="32"/>
  <c r="X422" i="32"/>
  <c r="X738" i="32"/>
  <c r="X519" i="32"/>
  <c r="X808" i="32"/>
  <c r="X487" i="32"/>
  <c r="X641" i="32"/>
  <c r="X415" i="32"/>
  <c r="X309" i="32"/>
  <c r="X322" i="32"/>
  <c r="X631" i="32"/>
  <c r="X531" i="32"/>
  <c r="X293" i="32"/>
  <c r="X715" i="32"/>
  <c r="X252" i="32"/>
  <c r="X563" i="32"/>
  <c r="X719" i="32"/>
  <c r="X284" i="32"/>
  <c r="X901" i="32"/>
  <c r="X928" i="32"/>
  <c r="X440" i="32"/>
  <c r="X382" i="32"/>
  <c r="X470" i="32"/>
  <c r="X916" i="32"/>
  <c r="X612" i="32"/>
  <c r="X514" i="32"/>
  <c r="X924" i="32"/>
  <c r="X578" i="32"/>
  <c r="X254" i="32"/>
  <c r="X258" i="32"/>
  <c r="X282" i="32"/>
  <c r="X699" i="32"/>
  <c r="X333" i="32"/>
  <c r="X728" i="32"/>
  <c r="X604" i="32"/>
  <c r="X762" i="32"/>
  <c r="X421" i="32"/>
  <c r="X479" i="32"/>
  <c r="X737" i="32"/>
  <c r="X509" i="32"/>
  <c r="X779" i="32"/>
  <c r="X408" i="32"/>
  <c r="X568" i="32"/>
  <c r="X748" i="32"/>
  <c r="X750" i="32"/>
  <c r="X707" i="32"/>
  <c r="X285" i="32"/>
  <c r="X909" i="32"/>
  <c r="X833" i="32"/>
  <c r="X847" i="32"/>
  <c r="X250" i="32"/>
  <c r="X672" i="32"/>
  <c r="X447" i="32"/>
  <c r="X243" i="32"/>
  <c r="X846" i="32"/>
  <c r="X362" i="32"/>
  <c r="X598" i="32"/>
  <c r="X525" i="32"/>
  <c r="X591" i="32"/>
  <c r="X898" i="32"/>
  <c r="X375" i="32"/>
  <c r="X365" i="32"/>
  <c r="X383" i="32"/>
  <c r="X242" i="32"/>
  <c r="X551" i="32"/>
  <c r="X335" i="32"/>
  <c r="X556" i="32"/>
  <c r="X618" i="32"/>
  <c r="X416" i="32"/>
  <c r="X685" i="32"/>
  <c r="X238" i="32"/>
  <c r="X543" i="32"/>
  <c r="X474" i="32"/>
  <c r="X602" i="32"/>
  <c r="X662" i="32"/>
  <c r="X397" i="32"/>
  <c r="X816" i="32"/>
  <c r="X239" i="32"/>
  <c r="X414" i="32"/>
  <c r="X348" i="32"/>
  <c r="X821" i="32"/>
  <c r="X590" i="32"/>
  <c r="X337" i="32"/>
  <c r="X628" i="32"/>
  <c r="X455" i="32"/>
  <c r="X267" i="32"/>
  <c r="X788" i="32"/>
  <c r="X481" i="32"/>
  <c r="X725" i="32"/>
  <c r="X478" i="32"/>
  <c r="X865" i="32"/>
  <c r="X457" i="32"/>
  <c r="X468" i="32"/>
  <c r="X477" i="32"/>
  <c r="X894" i="32"/>
  <c r="X775" i="32"/>
  <c r="X599" i="32"/>
  <c r="AE26" i="32"/>
  <c r="AF26" i="32" s="1"/>
  <c r="AE38" i="32"/>
  <c r="AF38" i="32" s="1"/>
  <c r="AE50" i="32"/>
  <c r="AF50" i="32" s="1"/>
  <c r="AE44" i="32"/>
  <c r="AF44" i="32" s="1"/>
  <c r="AE33" i="32"/>
  <c r="AE27" i="32"/>
  <c r="AF27" i="32" s="1"/>
  <c r="AE39" i="32"/>
  <c r="AF39" i="32" s="1"/>
  <c r="AE51" i="32"/>
  <c r="AF51" i="32" s="1"/>
  <c r="AE28" i="32"/>
  <c r="AF28" i="32" s="1"/>
  <c r="AE40" i="32"/>
  <c r="AF40" i="32" s="1"/>
  <c r="AE52" i="32"/>
  <c r="AF52" i="32" s="1"/>
  <c r="AE29" i="32"/>
  <c r="AF29" i="32" s="1"/>
  <c r="AE41" i="32"/>
  <c r="AF41" i="32" s="1"/>
  <c r="AE53" i="32"/>
  <c r="AE30" i="32"/>
  <c r="AF30" i="32" s="1"/>
  <c r="AE42" i="32"/>
  <c r="AF42" i="32" s="1"/>
  <c r="AE19" i="32"/>
  <c r="AF19" i="32" s="1"/>
  <c r="AE31" i="32"/>
  <c r="AF31" i="32" s="1"/>
  <c r="AE43" i="32"/>
  <c r="AF43" i="32" s="1"/>
  <c r="AE20" i="32"/>
  <c r="AF20" i="32" s="1"/>
  <c r="AE32" i="32"/>
  <c r="AF32" i="32" s="1"/>
  <c r="AE21" i="32"/>
  <c r="AF21" i="32" s="1"/>
  <c r="AE45" i="32"/>
  <c r="AF45" i="32" s="1"/>
  <c r="AE22" i="32"/>
  <c r="AF22" i="32" s="1"/>
  <c r="AE34" i="32"/>
  <c r="AF34" i="32" s="1"/>
  <c r="AE46" i="32"/>
  <c r="AF46" i="32" s="1"/>
  <c r="AE23" i="32"/>
  <c r="AE24" i="32"/>
  <c r="AF24" i="32" s="1"/>
  <c r="AE25" i="32"/>
  <c r="AF25" i="32" s="1"/>
  <c r="AE35" i="32"/>
  <c r="AF35" i="32" s="1"/>
  <c r="AE47" i="32"/>
  <c r="AF47" i="32" s="1"/>
  <c r="AE48" i="32"/>
  <c r="AF48" i="32" s="1"/>
  <c r="AE37" i="32"/>
  <c r="AF37" i="32" s="1"/>
  <c r="AE49" i="32"/>
  <c r="AF49" i="32" s="1"/>
  <c r="AE36" i="32"/>
  <c r="AF36" i="32" s="1"/>
  <c r="U905" i="32"/>
  <c r="U343" i="32"/>
  <c r="U364" i="32"/>
  <c r="U471" i="32"/>
  <c r="U642" i="32"/>
  <c r="U771" i="32"/>
  <c r="U770" i="32"/>
  <c r="U769" i="32"/>
  <c r="U808" i="32"/>
  <c r="U289" i="32"/>
  <c r="U841" i="32"/>
  <c r="U704" i="32"/>
  <c r="U293" i="32"/>
  <c r="U740" i="32"/>
  <c r="U677" i="32"/>
  <c r="U630" i="32"/>
  <c r="U306" i="32"/>
  <c r="U867" i="32"/>
  <c r="U607" i="32"/>
  <c r="U305" i="32"/>
  <c r="U843" i="32"/>
  <c r="U325" i="32"/>
  <c r="U320" i="32"/>
  <c r="U277" i="32"/>
  <c r="U253" i="32"/>
  <c r="U397" i="32"/>
  <c r="U736" i="32"/>
  <c r="U412" i="32"/>
  <c r="U532" i="32"/>
  <c r="U548" i="32"/>
  <c r="U821" i="32"/>
  <c r="U233" i="32"/>
  <c r="U488" i="32"/>
  <c r="U616" i="32"/>
  <c r="U614" i="32"/>
  <c r="U733" i="32"/>
  <c r="U362" i="32"/>
  <c r="U809" i="32"/>
  <c r="U591" i="32"/>
  <c r="U590" i="32"/>
  <c r="U823" i="32"/>
  <c r="U565" i="32"/>
  <c r="U236" i="32"/>
  <c r="U902" i="32"/>
  <c r="U878" i="32"/>
  <c r="U219" i="32"/>
  <c r="U344" i="32"/>
  <c r="U908" i="32"/>
  <c r="U892" i="32"/>
  <c r="U476" i="32"/>
  <c r="U757" i="32"/>
  <c r="U319" i="32"/>
  <c r="U577" i="32"/>
  <c r="U553" i="32"/>
  <c r="U524" i="32"/>
  <c r="U665" i="32"/>
  <c r="U723" i="32"/>
  <c r="U545" i="32"/>
  <c r="U544" i="32"/>
  <c r="U805" i="32"/>
  <c r="U857" i="32"/>
  <c r="U787" i="32"/>
  <c r="U869" i="32"/>
  <c r="U650" i="32"/>
  <c r="U445" i="32"/>
  <c r="U424" i="32"/>
  <c r="U389" i="32"/>
  <c r="U440" i="32"/>
  <c r="U713" i="32"/>
  <c r="U232" i="32"/>
  <c r="U464" i="32"/>
  <c r="U666" i="32"/>
  <c r="U918" i="32"/>
  <c r="U505" i="32"/>
  <c r="U522" i="32"/>
  <c r="U781" i="32"/>
  <c r="U904" i="32"/>
  <c r="U750" i="32"/>
  <c r="U680" i="32"/>
  <c r="U786" i="32"/>
  <c r="U304" i="32"/>
  <c r="U865" i="32"/>
  <c r="U303" i="32"/>
  <c r="U302" i="32"/>
  <c r="U427" i="32"/>
  <c r="U578" i="32"/>
  <c r="U703" i="32"/>
  <c r="U702" i="32"/>
  <c r="U679" i="32"/>
  <c r="U700" i="32"/>
  <c r="U773" i="32"/>
  <c r="U556" i="32"/>
  <c r="U230" i="32"/>
  <c r="U877" i="32"/>
  <c r="U678" i="32"/>
  <c r="U631" i="32"/>
  <c r="U608" i="32"/>
  <c r="U284" i="32"/>
  <c r="U845" i="32"/>
  <c r="U589" i="32"/>
  <c r="U283" i="32"/>
  <c r="U797" i="32"/>
  <c r="U234" i="32"/>
  <c r="U256" i="32"/>
  <c r="U917" i="32"/>
  <c r="U329" i="32"/>
  <c r="U714" i="32"/>
  <c r="U390" i="32"/>
  <c r="U496" i="32"/>
  <c r="U461" i="32"/>
  <c r="U928" i="32"/>
  <c r="U512" i="32"/>
  <c r="U257" i="32"/>
  <c r="U363" i="32"/>
  <c r="U641" i="32"/>
  <c r="U615" i="32"/>
  <c r="U882" i="32"/>
  <c r="U592" i="32"/>
  <c r="U914" i="32"/>
  <c r="U266" i="32"/>
  <c r="U775" i="32"/>
  <c r="U901" i="32"/>
  <c r="U853" i="32"/>
  <c r="U915" i="32"/>
  <c r="U668" i="32"/>
  <c r="U481" i="32"/>
  <c r="U460" i="32"/>
  <c r="U425" i="32"/>
  <c r="U448" i="32"/>
  <c r="U554" i="32"/>
  <c r="U752" i="32"/>
  <c r="U506" i="32"/>
  <c r="U868" i="32"/>
  <c r="U218" i="32"/>
  <c r="U543" i="32"/>
  <c r="U735" i="32"/>
  <c r="U858" i="32"/>
  <c r="U788" i="32"/>
  <c r="U894" i="32"/>
  <c r="U326" i="32"/>
  <c r="U872" i="32"/>
  <c r="U856" i="32"/>
  <c r="U380" i="32"/>
  <c r="U509" i="32"/>
  <c r="U529" i="32"/>
  <c r="U416" i="32"/>
  <c r="U601" i="32"/>
  <c r="U879" i="32"/>
  <c r="U661" i="32"/>
  <c r="U484" i="32"/>
  <c r="U846" i="32"/>
  <c r="U521" i="32"/>
  <c r="U689" i="32"/>
  <c r="U925" i="32"/>
  <c r="U793" i="32"/>
  <c r="U745" i="32"/>
  <c r="U807" i="32"/>
  <c r="U628" i="32"/>
  <c r="U409" i="32"/>
  <c r="U388" i="32"/>
  <c r="U667" i="32"/>
  <c r="U536" i="32"/>
  <c r="U880" i="32"/>
  <c r="U447" i="32"/>
  <c r="U895" i="32"/>
  <c r="U449" i="32"/>
  <c r="U361" i="32"/>
  <c r="U375" i="32"/>
  <c r="U500" i="32"/>
  <c r="U913" i="32"/>
  <c r="U413" i="32"/>
  <c r="U605" i="32"/>
  <c r="U428" i="32"/>
  <c r="U426" i="32"/>
  <c r="U446" i="32"/>
  <c r="U722" i="32"/>
  <c r="U523" i="32"/>
  <c r="U520" i="32"/>
  <c r="U337" i="32"/>
  <c r="U620" i="32"/>
  <c r="U223" i="32"/>
  <c r="U404" i="32"/>
  <c r="U627" i="32"/>
  <c r="U450" i="32"/>
  <c r="U812" i="32"/>
  <c r="U379" i="32"/>
  <c r="U831" i="32"/>
  <c r="U341" i="32"/>
  <c r="U810" i="32"/>
  <c r="U916" i="32"/>
  <c r="U307" i="32"/>
  <c r="U482" i="32"/>
  <c r="U889" i="32"/>
  <c r="U391" i="32"/>
  <c r="U559" i="32"/>
  <c r="U859" i="32"/>
  <c r="U340" i="32"/>
  <c r="U400" i="32"/>
  <c r="U632" i="32"/>
  <c r="U437" i="32"/>
  <c r="U498" i="32"/>
  <c r="U301" i="32"/>
  <c r="U568" i="32"/>
  <c r="U368" i="32"/>
  <c r="U581" i="32"/>
  <c r="U794" i="32"/>
  <c r="U271" i="32"/>
  <c r="U463" i="32"/>
  <c r="U829" i="32"/>
  <c r="U255" i="32"/>
  <c r="U724" i="32"/>
  <c r="U830" i="32"/>
  <c r="U267" i="32"/>
  <c r="U436" i="32"/>
  <c r="U759" i="32"/>
  <c r="U349" i="32"/>
  <c r="U519" i="32"/>
  <c r="U795" i="32"/>
  <c r="U231" i="32"/>
  <c r="U338" i="32"/>
  <c r="U570" i="32"/>
  <c r="U452" i="32"/>
  <c r="U265" i="32"/>
  <c r="U352" i="32"/>
  <c r="U332" i="32"/>
  <c r="U903" i="32"/>
  <c r="U399" i="32"/>
  <c r="U662" i="32"/>
  <c r="U414" i="32"/>
  <c r="U327" i="32"/>
  <c r="U473" i="32"/>
  <c r="U709" i="32"/>
  <c r="U248" i="32"/>
  <c r="U462" i="32"/>
  <c r="U884" i="32"/>
  <c r="U316" i="32"/>
  <c r="U296" i="32"/>
  <c r="U817" i="32"/>
  <c r="U260" i="32"/>
  <c r="U451" i="32"/>
  <c r="U269" i="32"/>
  <c r="U920" i="32"/>
  <c r="U486" i="32"/>
  <c r="U246" i="32"/>
  <c r="U824" i="32"/>
  <c r="U374" i="32"/>
  <c r="U697" i="32"/>
  <c r="U701" i="32"/>
  <c r="U235" i="32"/>
  <c r="U784" i="32"/>
  <c r="U222" i="32"/>
  <c r="U411" i="32"/>
  <c r="U272" i="32"/>
  <c r="U832" i="32"/>
  <c r="U410" i="32"/>
  <c r="U811" i="32"/>
  <c r="U356" i="32"/>
  <c r="U893" i="32"/>
  <c r="U806" i="32"/>
  <c r="U328" i="32"/>
  <c r="U673" i="32"/>
  <c r="U493" i="32"/>
  <c r="U533" i="32"/>
  <c r="U637" i="32"/>
  <c r="U822" i="32"/>
  <c r="U836" i="32"/>
  <c r="U254" i="32"/>
  <c r="U378" i="32"/>
  <c r="U342" i="32"/>
  <c r="U749" i="32"/>
  <c r="U270" i="32"/>
  <c r="U847" i="32"/>
  <c r="U760" i="32"/>
  <c r="U651" i="32"/>
  <c r="U774" i="32"/>
  <c r="U385" i="32"/>
  <c r="U469" i="32"/>
  <c r="U593" i="32"/>
  <c r="U776" i="32"/>
  <c r="U800" i="32"/>
  <c r="U712" i="32"/>
  <c r="U860" i="32"/>
  <c r="U292" i="32"/>
  <c r="U848" i="32"/>
  <c r="U725" i="32"/>
  <c r="U571" i="32"/>
  <c r="U785" i="32"/>
  <c r="U738" i="32"/>
  <c r="U629" i="32"/>
  <c r="U688" i="32"/>
  <c r="U664" i="32"/>
  <c r="U541" i="32"/>
  <c r="U772" i="32"/>
  <c r="U721" i="32"/>
  <c r="U398" i="32"/>
  <c r="U737" i="32"/>
  <c r="U685" i="32"/>
  <c r="U434" i="32"/>
  <c r="U497" i="32"/>
  <c r="U686" i="32"/>
  <c r="U355" i="32"/>
  <c r="U580" i="32"/>
  <c r="U572" i="32"/>
  <c r="U308" i="32"/>
  <c r="U392" i="32"/>
  <c r="U715" i="32"/>
  <c r="U433" i="32"/>
  <c r="U625" i="32"/>
  <c r="U617" i="32"/>
  <c r="U376" i="32"/>
  <c r="U866" i="32"/>
  <c r="U282" i="32"/>
  <c r="U280" i="32"/>
  <c r="U820" i="32"/>
  <c r="U751" i="32"/>
  <c r="U318" i="32"/>
  <c r="U896" i="32"/>
  <c r="U518" i="32"/>
  <c r="U365" i="32"/>
  <c r="U557" i="32"/>
  <c r="U595" i="32"/>
  <c r="U268" i="32"/>
  <c r="U844" i="32"/>
  <c r="U244" i="32"/>
  <c r="U687" i="32"/>
  <c r="U842" i="32"/>
  <c r="U748" i="32"/>
  <c r="U643" i="32"/>
  <c r="U761" i="32"/>
  <c r="U796" i="32"/>
  <c r="U291" i="32"/>
  <c r="U435" i="32"/>
  <c r="U594" i="32"/>
  <c r="U560" i="32"/>
  <c r="U281" i="32"/>
  <c r="U644" i="32"/>
  <c r="U483" i="32"/>
  <c r="U883" i="32"/>
  <c r="U507" i="32"/>
  <c r="U676" i="32"/>
  <c r="U579" i="32"/>
  <c r="U415" i="32"/>
  <c r="U649" i="32"/>
  <c r="U421" i="32"/>
  <c r="U640" i="32"/>
  <c r="U535" i="32"/>
  <c r="U716" i="32"/>
  <c r="U626" i="32"/>
  <c r="U313" i="32"/>
  <c r="U604" i="32"/>
  <c r="U698" i="32"/>
  <c r="U558" i="32"/>
  <c r="U247" i="32"/>
  <c r="U373" i="32"/>
  <c r="U584" i="32"/>
  <c r="U663" i="32"/>
  <c r="U596" i="32"/>
  <c r="U653" i="32"/>
  <c r="U728" i="32"/>
  <c r="U919" i="32"/>
  <c r="U534" i="32"/>
  <c r="U613" i="32"/>
  <c r="U692" i="32"/>
  <c r="U833" i="32"/>
  <c r="U470" i="32"/>
  <c r="U656" i="32"/>
  <c r="U224" i="32"/>
  <c r="U401" i="32"/>
  <c r="U758" i="32"/>
  <c r="U353" i="32"/>
  <c r="U377" i="32"/>
  <c r="U457" i="32"/>
  <c r="U339" i="32"/>
  <c r="U606" i="32"/>
  <c r="U317" i="32"/>
  <c r="U734" i="32"/>
  <c r="U354" i="32"/>
  <c r="U739" i="32"/>
  <c r="U929" i="32"/>
  <c r="U508" i="32"/>
  <c r="U542" i="32"/>
  <c r="U245" i="32"/>
  <c r="U290" i="32"/>
  <c r="U881" i="32"/>
  <c r="U517" i="32"/>
  <c r="U652" i="32"/>
  <c r="U472" i="32"/>
  <c r="U699" i="32"/>
  <c r="U764" i="32"/>
  <c r="U555" i="32"/>
  <c r="U487" i="32"/>
  <c r="U569" i="32"/>
  <c r="U485" i="32"/>
  <c r="U499" i="32"/>
  <c r="U220" i="32"/>
  <c r="U921" i="32"/>
  <c r="U588" i="32"/>
  <c r="U582" i="32"/>
  <c r="U537" i="32"/>
  <c r="U612" i="32"/>
  <c r="U717" i="32"/>
  <c r="U744" i="32"/>
  <c r="U331" i="32"/>
  <c r="U646" i="32"/>
  <c r="U386" i="32"/>
  <c r="U719" i="32"/>
  <c r="U669" i="32"/>
  <c r="U819" i="32"/>
  <c r="U419" i="32"/>
  <c r="U513" i="32"/>
  <c r="U263" i="32"/>
  <c r="U213" i="32"/>
  <c r="U383" i="32"/>
  <c r="U360" i="32"/>
  <c r="U294" i="32"/>
  <c r="U262" i="32"/>
  <c r="U804" i="32"/>
  <c r="U278" i="32"/>
  <c r="U227" i="32"/>
  <c r="U279" i="32"/>
  <c r="U779" i="32"/>
  <c r="U873" i="32"/>
  <c r="U225" i="32"/>
  <c r="U803" i="32"/>
  <c r="U885" i="32"/>
  <c r="U562" i="32"/>
  <c r="U491" i="32"/>
  <c r="U539" i="32"/>
  <c r="U489" i="32"/>
  <c r="U295" i="32"/>
  <c r="U330" i="32"/>
  <c r="U311" i="32"/>
  <c r="U864" i="32"/>
  <c r="U818" i="32"/>
  <c r="U514" i="32"/>
  <c r="U287" i="32"/>
  <c r="U898" i="32"/>
  <c r="U540" i="32"/>
  <c r="U574" i="32"/>
  <c r="U741" i="32"/>
  <c r="U441" i="32"/>
  <c r="U395" i="32"/>
  <c r="U546" i="32"/>
  <c r="U922" i="32"/>
  <c r="U754" i="32"/>
  <c r="U910" i="32"/>
  <c r="U359" i="32"/>
  <c r="U705" i="32"/>
  <c r="U708" i="32"/>
  <c r="U309" i="32"/>
  <c r="U586" i="32"/>
  <c r="U789" i="32"/>
  <c r="U314" i="32"/>
  <c r="U442" i="32"/>
  <c r="U458" i="32"/>
  <c r="U335" i="32"/>
  <c r="U782" i="32"/>
  <c r="U778" i="32"/>
  <c r="U511" i="32"/>
  <c r="U747" i="32"/>
  <c r="U350" i="32"/>
  <c r="U681" i="32"/>
  <c r="U851" i="32"/>
  <c r="U403" i="32"/>
  <c r="U690" i="32"/>
  <c r="U674" i="32"/>
  <c r="U551" i="32"/>
  <c r="U890" i="32"/>
  <c r="U382" i="32"/>
  <c r="U756" i="32"/>
  <c r="U288" i="32"/>
  <c r="U654" i="32"/>
  <c r="U827" i="32"/>
  <c r="U777" i="32"/>
  <c r="U855" i="32"/>
  <c r="U573" i="32"/>
  <c r="U324" i="32"/>
  <c r="U429" i="32"/>
  <c r="U600" i="32"/>
  <c r="U802" i="32"/>
  <c r="U763" i="32"/>
  <c r="U358" i="32"/>
  <c r="U875" i="32"/>
  <c r="U602" i="32"/>
  <c r="U575" i="32"/>
  <c r="U525" i="32"/>
  <c r="U275" i="32"/>
  <c r="U369" i="32"/>
  <c r="U828" i="32"/>
  <c r="U510" i="32"/>
  <c r="U516" i="32"/>
  <c r="U494" i="32"/>
  <c r="U850" i="32"/>
  <c r="U495" i="32"/>
  <c r="U635" i="32"/>
  <c r="U729" i="32"/>
  <c r="U242" i="32"/>
  <c r="U683" i="32"/>
  <c r="U633" i="32"/>
  <c r="U285" i="32"/>
  <c r="U743" i="32"/>
  <c r="U567" i="32"/>
  <c r="U456" i="32"/>
  <c r="U658" i="32"/>
  <c r="U837" i="32"/>
  <c r="U587" i="32"/>
  <c r="U431" i="32"/>
  <c r="U381" i="32"/>
  <c r="U840" i="32"/>
  <c r="U684" i="32"/>
  <c r="U886" i="32"/>
  <c r="U474" i="32"/>
  <c r="U718" i="32"/>
  <c r="U726" i="32"/>
  <c r="U791" i="32"/>
  <c r="U228" i="32"/>
  <c r="U710" i="32"/>
  <c r="U711" i="32"/>
  <c r="U585" i="32"/>
  <c r="U423" i="32"/>
  <c r="U911" i="32"/>
  <c r="U312" i="32"/>
  <c r="U732" i="32"/>
  <c r="U299" i="32"/>
  <c r="U583" i="32"/>
  <c r="U237" i="32"/>
  <c r="U696" i="32"/>
  <c r="U742" i="32"/>
  <c r="U906" i="32"/>
  <c r="U371" i="32"/>
  <c r="U259" i="32"/>
  <c r="U647" i="32"/>
  <c r="U926" i="32"/>
  <c r="U927" i="32"/>
  <c r="U347" i="32"/>
  <c r="U639" i="32"/>
  <c r="U727" i="32"/>
  <c r="U226" i="32"/>
  <c r="U502" i="32"/>
  <c r="U432" i="32"/>
  <c r="U367" i="32"/>
  <c r="U623" i="32"/>
  <c r="U370" i="32"/>
  <c r="U366" i="32"/>
  <c r="U799" i="32"/>
  <c r="U552" i="32"/>
  <c r="U396" i="32"/>
  <c r="U598" i="32"/>
  <c r="U286" i="32"/>
  <c r="U503" i="32"/>
  <c r="U671" i="32"/>
  <c r="U753" i="32"/>
  <c r="U297" i="32"/>
  <c r="U251" i="32"/>
  <c r="U900" i="32"/>
  <c r="U214" i="32"/>
  <c r="U852" i="32"/>
  <c r="U762" i="32"/>
  <c r="U798" i="32"/>
  <c r="U408" i="32"/>
  <c r="U422" i="32"/>
  <c r="U252" i="32"/>
  <c r="U655" i="32"/>
  <c r="U706" i="32"/>
  <c r="U453" i="32"/>
  <c r="U891" i="32"/>
  <c r="U768" i="32"/>
  <c r="U874" i="32"/>
  <c r="U468" i="32"/>
  <c r="U731" i="32"/>
  <c r="U351" i="32"/>
  <c r="U622" i="32"/>
  <c r="U264" i="32"/>
  <c r="U638" i="32"/>
  <c r="U418" i="32"/>
  <c r="U215" i="32"/>
  <c r="U792" i="32"/>
  <c r="U624" i="32"/>
  <c r="U672" i="32"/>
  <c r="U273" i="32"/>
  <c r="U443" i="32"/>
  <c r="U755" i="32"/>
  <c r="U887" i="32"/>
  <c r="U478" i="32"/>
  <c r="U854" i="32"/>
  <c r="U333" i="32"/>
  <c r="U924" i="32"/>
  <c r="U504" i="32"/>
  <c r="U480" i="32"/>
  <c r="U243" i="32"/>
  <c r="U765" i="32"/>
  <c r="U240" i="32"/>
  <c r="U547" i="32"/>
  <c r="U346" i="32"/>
  <c r="U238" i="32"/>
  <c r="U323" i="32"/>
  <c r="U393" i="32"/>
  <c r="U707" i="32"/>
  <c r="U619" i="32"/>
  <c r="U815" i="32"/>
  <c r="U550" i="32"/>
  <c r="U477" i="32"/>
  <c r="U746" i="32"/>
  <c r="U861" i="32"/>
  <c r="U345" i="32"/>
  <c r="U444" i="32"/>
  <c r="U221" i="32"/>
  <c r="U475" i="32"/>
  <c r="U597" i="32"/>
  <c r="U459" i="32"/>
  <c r="U912" i="32"/>
  <c r="U849" i="32"/>
  <c r="U479" i="32"/>
  <c r="U241" i="32"/>
  <c r="U300" i="32"/>
  <c r="U634" i="32"/>
  <c r="U610" i="32"/>
  <c r="U454" i="32"/>
  <c r="U909" i="32"/>
  <c r="U691" i="32"/>
  <c r="U239" i="32"/>
  <c r="U465" i="32"/>
  <c r="U816" i="32"/>
  <c r="U561" i="32"/>
  <c r="U899" i="32"/>
  <c r="U217" i="32"/>
  <c r="U490" i="32"/>
  <c r="U402" i="32"/>
  <c r="U466" i="32"/>
  <c r="U310" i="32"/>
  <c r="U621" i="32"/>
  <c r="U907" i="32"/>
  <c r="U862" i="32"/>
  <c r="U321" i="32"/>
  <c r="U826" i="32"/>
  <c r="U730" i="32"/>
  <c r="U438" i="32"/>
  <c r="U693" i="32"/>
  <c r="U766" i="32"/>
  <c r="U315" i="32"/>
  <c r="U417" i="32"/>
  <c r="U783" i="32"/>
  <c r="U564" i="32"/>
  <c r="U618" i="32"/>
  <c r="U322" i="32"/>
  <c r="U660" i="32"/>
  <c r="U274" i="32"/>
  <c r="U430" i="32"/>
  <c r="U682" i="32"/>
  <c r="U528" i="32"/>
  <c r="U870" i="32"/>
  <c r="U767" i="32"/>
  <c r="U549" i="32"/>
  <c r="U670" i="32"/>
  <c r="U531" i="32"/>
  <c r="U611" i="32"/>
  <c r="U599" i="32"/>
  <c r="U825" i="32"/>
  <c r="U420" i="32"/>
  <c r="U334" i="32"/>
  <c r="U834" i="32"/>
  <c r="U839" i="32"/>
  <c r="U372" i="32"/>
  <c r="U897" i="32"/>
  <c r="U780" i="32"/>
  <c r="U838" i="32"/>
  <c r="U258" i="32"/>
  <c r="U216" i="32"/>
  <c r="U336" i="32"/>
  <c r="U538" i="32"/>
  <c r="U384" i="32"/>
  <c r="U405" i="32"/>
  <c r="U526" i="32"/>
  <c r="U467" i="32"/>
  <c r="U455" i="32"/>
  <c r="U720" i="32"/>
  <c r="U276" i="32"/>
  <c r="U695" i="32"/>
  <c r="U645" i="32"/>
  <c r="U609" i="32"/>
  <c r="U636" i="32"/>
  <c r="U694" i="32"/>
  <c r="U530" i="32"/>
  <c r="U394" i="32"/>
  <c r="U298" i="32"/>
  <c r="U814" i="32"/>
  <c r="U261" i="32"/>
  <c r="U229" i="32"/>
  <c r="U566" i="32"/>
  <c r="U576" i="32"/>
  <c r="U387" i="32"/>
  <c r="U801" i="32"/>
  <c r="U501" i="32"/>
  <c r="U675" i="32"/>
  <c r="U492" i="32"/>
  <c r="U439" i="32"/>
  <c r="U659" i="32"/>
  <c r="U250" i="32"/>
  <c r="U876" i="32"/>
  <c r="U888" i="32"/>
  <c r="U790" i="32"/>
  <c r="U249" i="32"/>
  <c r="U863" i="32"/>
  <c r="U406" i="32"/>
  <c r="U657" i="32"/>
  <c r="U835" i="32"/>
  <c r="U407" i="32"/>
  <c r="U527" i="32"/>
  <c r="U813" i="32"/>
  <c r="U871" i="32"/>
  <c r="U603" i="32"/>
  <c r="U563" i="32"/>
  <c r="U515" i="32"/>
  <c r="U923" i="32"/>
  <c r="U357" i="32"/>
  <c r="U648" i="32"/>
  <c r="U348" i="32"/>
  <c r="R63" i="32"/>
  <c r="R192" i="32"/>
  <c r="R51" i="32"/>
  <c r="R456" i="32"/>
  <c r="R732" i="32"/>
  <c r="R35" i="32"/>
  <c r="R302" i="32"/>
  <c r="R895" i="32"/>
  <c r="R114" i="32"/>
  <c r="R589" i="32"/>
  <c r="R178" i="32"/>
  <c r="R847" i="32"/>
  <c r="R541" i="32"/>
  <c r="R89" i="32"/>
  <c r="R799" i="32"/>
  <c r="R436" i="32"/>
  <c r="R924" i="32"/>
  <c r="R354" i="32"/>
  <c r="R828" i="32"/>
  <c r="R202" i="32"/>
  <c r="R751" i="32"/>
  <c r="R704" i="32"/>
  <c r="R560" i="32"/>
  <c r="R656" i="32"/>
  <c r="R405" i="32"/>
  <c r="R512" i="32"/>
  <c r="R270" i="32"/>
  <c r="R780" i="32"/>
  <c r="R685" i="32"/>
  <c r="R148" i="32"/>
  <c r="R637" i="32"/>
  <c r="R56" i="32"/>
  <c r="R485" i="32"/>
  <c r="R608" i="32"/>
  <c r="R382" i="32"/>
  <c r="R326" i="32"/>
  <c r="R463" i="32"/>
  <c r="R236" i="32"/>
  <c r="R876" i="32"/>
  <c r="R307" i="32"/>
  <c r="R41" i="32"/>
  <c r="R189" i="32"/>
  <c r="R777" i="32"/>
  <c r="R134" i="32"/>
  <c r="R602" i="32"/>
  <c r="R724" i="32"/>
  <c r="R437" i="32"/>
  <c r="R859" i="32"/>
  <c r="R166" i="32"/>
  <c r="R454" i="32"/>
  <c r="R830" i="32"/>
  <c r="R52" i="32"/>
  <c r="R597" i="32"/>
  <c r="R759" i="32"/>
  <c r="R482" i="32"/>
  <c r="R71" i="32"/>
  <c r="R48" i="32"/>
  <c r="R150" i="32"/>
  <c r="R439" i="32"/>
  <c r="R507" i="32"/>
  <c r="R622" i="32"/>
  <c r="R409" i="32"/>
  <c r="R744" i="32"/>
  <c r="R811" i="32"/>
  <c r="R70" i="32"/>
  <c r="R257" i="32"/>
  <c r="R81" i="32"/>
  <c r="R894" i="32"/>
  <c r="R351" i="32"/>
  <c r="R791" i="32"/>
  <c r="R524" i="32"/>
  <c r="R631" i="32"/>
  <c r="R395" i="32"/>
  <c r="R476" i="32"/>
  <c r="R210" i="32"/>
  <c r="R601" i="32"/>
  <c r="R314" i="32"/>
  <c r="R239" i="32"/>
  <c r="R55" i="32"/>
  <c r="R857" i="32"/>
  <c r="R523" i="32"/>
  <c r="O33" i="32"/>
  <c r="R44" i="32"/>
  <c r="R133" i="32"/>
  <c r="R319" i="32"/>
  <c r="R707" i="32"/>
  <c r="R400" i="32"/>
  <c r="R530" i="32"/>
  <c r="R332" i="32"/>
  <c r="R755" i="32"/>
  <c r="R99" i="32"/>
  <c r="R595" i="32"/>
  <c r="R168" i="32"/>
  <c r="R355" i="32"/>
  <c r="R333" i="32"/>
  <c r="R346" i="32"/>
  <c r="R567" i="32"/>
  <c r="R611" i="32"/>
  <c r="R416" i="32"/>
  <c r="R686" i="32"/>
  <c r="R661" i="32"/>
  <c r="R680" i="32"/>
  <c r="R549" i="32"/>
  <c r="R599" i="32"/>
  <c r="R735" i="32"/>
  <c r="R705" i="32"/>
  <c r="R736" i="32"/>
  <c r="R225" i="32"/>
  <c r="R136" i="32"/>
  <c r="R300" i="32"/>
  <c r="R417" i="32"/>
  <c r="R770" i="32"/>
  <c r="R837" i="32"/>
  <c r="R818" i="32"/>
  <c r="R420" i="32"/>
  <c r="R258" i="32"/>
  <c r="R269" i="32"/>
  <c r="R890" i="32"/>
  <c r="R612" i="32"/>
  <c r="R801" i="32"/>
  <c r="R625" i="32"/>
  <c r="R388" i="32"/>
  <c r="R657" i="32"/>
  <c r="R639" i="32"/>
  <c r="R745" i="32"/>
  <c r="R376" i="32"/>
  <c r="R467" i="32"/>
  <c r="R710" i="32"/>
  <c r="R853" i="32"/>
  <c r="R93" i="32"/>
  <c r="R261" i="32"/>
  <c r="R358" i="32"/>
  <c r="R366" i="32"/>
  <c r="R60" i="32"/>
  <c r="R308" i="32"/>
  <c r="R520" i="32"/>
  <c r="R87" i="32"/>
  <c r="R145" i="32"/>
  <c r="R128" i="32"/>
  <c r="R411" i="32"/>
  <c r="R715" i="32"/>
  <c r="R363" i="32"/>
  <c r="R426" i="32"/>
  <c r="R428" i="32"/>
  <c r="R618" i="32"/>
  <c r="R313" i="32"/>
  <c r="R249" i="32"/>
  <c r="R129" i="32"/>
  <c r="R169" i="32"/>
  <c r="R642" i="32"/>
  <c r="R280" i="32"/>
  <c r="R833" i="32"/>
  <c r="R401" i="32"/>
  <c r="R849" i="32"/>
  <c r="R440" i="32"/>
  <c r="R403" i="32"/>
  <c r="R209" i="32"/>
  <c r="R397" i="32"/>
  <c r="R364" i="32"/>
  <c r="R197" i="32"/>
  <c r="R575" i="32"/>
  <c r="R450" i="32"/>
  <c r="R617" i="32"/>
  <c r="R408" i="32"/>
  <c r="R712" i="32"/>
  <c r="R619" i="32"/>
  <c r="R592" i="32"/>
  <c r="R709" i="32"/>
  <c r="R870" i="32"/>
  <c r="R371" i="32"/>
  <c r="R546" i="32"/>
  <c r="R295" i="32"/>
  <c r="R254" i="32"/>
  <c r="R643" i="32"/>
  <c r="R815" i="32"/>
  <c r="R812" i="32"/>
  <c r="R201" i="32"/>
  <c r="R516" i="32"/>
  <c r="R824" i="32"/>
  <c r="R883" i="32"/>
  <c r="R204" i="32"/>
  <c r="R353" i="32"/>
  <c r="R231" i="32"/>
  <c r="R49" i="32"/>
  <c r="R910" i="32"/>
  <c r="R698" i="32"/>
  <c r="R45" i="32"/>
  <c r="R303" i="32"/>
  <c r="R451" i="32"/>
  <c r="R190" i="32"/>
  <c r="R784" i="32"/>
  <c r="R329" i="32"/>
  <c r="R711" i="32"/>
  <c r="R918" i="32"/>
  <c r="R244" i="32"/>
  <c r="R278" i="32"/>
  <c r="R381" i="32"/>
  <c r="R573" i="32"/>
  <c r="R684" i="32"/>
  <c r="R717" i="32"/>
  <c r="R604" i="32"/>
  <c r="R646" i="32"/>
  <c r="R761" i="32"/>
  <c r="R203" i="32"/>
  <c r="R647" i="32"/>
  <c r="R472" i="32"/>
  <c r="R442" i="32"/>
  <c r="R810" i="32"/>
  <c r="R908" i="32"/>
  <c r="R796" i="32"/>
  <c r="R887" i="32"/>
  <c r="R131" i="32"/>
  <c r="R360" i="32"/>
  <c r="R218" i="32"/>
  <c r="R176" i="32"/>
  <c r="R219" i="32"/>
  <c r="R816" i="32"/>
  <c r="R283" i="32"/>
  <c r="R418" i="32"/>
  <c r="R266" i="32"/>
  <c r="R522" i="32"/>
  <c r="R852" i="32"/>
  <c r="R778" i="32"/>
  <c r="R582" i="32"/>
  <c r="R747" i="32"/>
  <c r="R130" i="32"/>
  <c r="R79" i="32"/>
  <c r="R214" i="32"/>
  <c r="R561" i="32"/>
  <c r="R271" i="32"/>
  <c r="R504" i="32"/>
  <c r="R369" i="32"/>
  <c r="R693" i="32"/>
  <c r="R108" i="32"/>
  <c r="R429" i="32"/>
  <c r="R413" i="32"/>
  <c r="R869" i="32"/>
  <c r="R838" i="32"/>
  <c r="R96" i="32"/>
  <c r="R272" i="32"/>
  <c r="R412" i="32"/>
  <c r="R284" i="32"/>
  <c r="R312" i="32"/>
  <c r="R891" i="32"/>
  <c r="R825" i="32"/>
  <c r="R159" i="32"/>
  <c r="R230" i="32"/>
  <c r="R104" i="32"/>
  <c r="R860" i="32"/>
  <c r="R630" i="32"/>
  <c r="R404" i="32"/>
  <c r="R478" i="32"/>
  <c r="R122" i="32"/>
  <c r="R137" i="32"/>
  <c r="R115" i="32"/>
  <c r="R579" i="32"/>
  <c r="R465" i="32"/>
  <c r="R814" i="32"/>
  <c r="R473" i="32"/>
  <c r="R213" i="32"/>
  <c r="R922" i="32"/>
  <c r="R928" i="32"/>
  <c r="R259" i="32"/>
  <c r="R537" i="32"/>
  <c r="R904" i="32"/>
  <c r="R675" i="32"/>
  <c r="R142" i="32"/>
  <c r="R127" i="32"/>
  <c r="R538" i="32"/>
  <c r="R858" i="32"/>
  <c r="R47" i="32"/>
  <c r="R706" i="32"/>
  <c r="R243" i="32"/>
  <c r="R67" i="32"/>
  <c r="R50" i="32"/>
  <c r="R635" i="32"/>
  <c r="R554" i="32"/>
  <c r="R352" i="32"/>
  <c r="R384" i="32"/>
  <c r="R594" i="32"/>
  <c r="R33" i="32"/>
  <c r="R515" i="32"/>
  <c r="R42" i="32"/>
  <c r="R288" i="32"/>
  <c r="R80" i="32"/>
  <c r="R340" i="32"/>
  <c r="R583" i="32"/>
  <c r="R290" i="32"/>
  <c r="R585" i="32"/>
  <c r="R215" i="32"/>
  <c r="R245" i="32"/>
  <c r="R184" i="32"/>
  <c r="R62" i="32"/>
  <c r="R406" i="32"/>
  <c r="R872" i="32"/>
  <c r="R644" i="32"/>
  <c r="R768" i="32"/>
  <c r="R606" i="32"/>
  <c r="R600" i="32"/>
  <c r="R317" i="32"/>
  <c r="R909" i="32"/>
  <c r="R564" i="32"/>
  <c r="R154" i="32"/>
  <c r="R834" i="32"/>
  <c r="R843" i="32"/>
  <c r="R713" i="32"/>
  <c r="R106" i="32"/>
  <c r="R433" i="32"/>
  <c r="R855" i="32"/>
  <c r="R764" i="32"/>
  <c r="R348" i="32"/>
  <c r="R188" i="32"/>
  <c r="R893" i="32"/>
  <c r="R864" i="32"/>
  <c r="R655" i="32"/>
  <c r="R544" i="32"/>
  <c r="R848" i="32"/>
  <c r="R877" i="32"/>
  <c r="R349" i="32"/>
  <c r="R556" i="32"/>
  <c r="R309" i="32"/>
  <c r="R614" i="32"/>
  <c r="R866" i="32"/>
  <c r="R681" i="32"/>
  <c r="R678" i="32"/>
  <c r="R695" i="32"/>
  <c r="R334" i="32"/>
  <c r="R591" i="32"/>
  <c r="R856" i="32"/>
  <c r="R196" i="32"/>
  <c r="R723" i="32"/>
  <c r="R532" i="32"/>
  <c r="R550" i="32"/>
  <c r="R677" i="32"/>
  <c r="R121" i="32"/>
  <c r="R628" i="32"/>
  <c r="R446" i="32"/>
  <c r="R728" i="32"/>
  <c r="R468" i="32"/>
  <c r="R658" i="32"/>
  <c r="R769" i="32"/>
  <c r="R688" i="32"/>
  <c r="R782" i="32"/>
  <c r="R927" i="32"/>
  <c r="R296" i="32"/>
  <c r="R172" i="32"/>
  <c r="R324" i="32"/>
  <c r="R306" i="32"/>
  <c r="R689" i="32"/>
  <c r="R221" i="32"/>
  <c r="R553" i="32"/>
  <c r="R152" i="32"/>
  <c r="R157" i="32"/>
  <c r="R69" i="32"/>
  <c r="R762" i="32"/>
  <c r="R499" i="32"/>
  <c r="R260" i="32"/>
  <c r="R803" i="32"/>
  <c r="R206" i="32"/>
  <c r="R907" i="32"/>
  <c r="R155" i="32"/>
  <c r="R494" i="32"/>
  <c r="R535" i="32"/>
  <c r="R497" i="32"/>
  <c r="R765" i="32"/>
  <c r="R851" i="32"/>
  <c r="R234" i="32"/>
  <c r="R795" i="32"/>
  <c r="R750" i="32"/>
  <c r="R301" i="32"/>
  <c r="R68" i="32"/>
  <c r="R335" i="32"/>
  <c r="R265" i="32"/>
  <c r="R425" i="32"/>
  <c r="R531" i="32"/>
  <c r="R627" i="32"/>
  <c r="R836" i="32"/>
  <c r="R322" i="32"/>
  <c r="R146" i="32"/>
  <c r="R211" i="32"/>
  <c r="R435" i="32"/>
  <c r="R897" i="32"/>
  <c r="R839" i="32"/>
  <c r="R493" i="32"/>
  <c r="R842" i="32"/>
  <c r="R831" i="32"/>
  <c r="R250" i="32"/>
  <c r="R339" i="32"/>
  <c r="R719" i="32"/>
  <c r="R402" i="32"/>
  <c r="R923" i="32"/>
  <c r="R772" i="32"/>
  <c r="R226" i="32"/>
  <c r="R486" i="32"/>
  <c r="R551" i="32"/>
  <c r="R640" i="32"/>
  <c r="R900" i="32"/>
  <c r="R43" i="32"/>
  <c r="R566" i="32"/>
  <c r="R120" i="32"/>
  <c r="R58" i="32"/>
  <c r="R315" i="32"/>
  <c r="R514" i="32"/>
  <c r="R557" i="32"/>
  <c r="R641" i="32"/>
  <c r="R616" i="32"/>
  <c r="R906" i="32"/>
  <c r="R423" i="32"/>
  <c r="R111" i="32"/>
  <c r="R690" i="32"/>
  <c r="R660" i="32"/>
  <c r="R804" i="32"/>
  <c r="R391" i="32"/>
  <c r="R802" i="32"/>
  <c r="R466" i="32"/>
  <c r="R113" i="32"/>
  <c r="R571" i="32"/>
  <c r="R256" i="32"/>
  <c r="R636" i="32"/>
  <c r="R415" i="32"/>
  <c r="R294" i="32"/>
  <c r="R881" i="32"/>
  <c r="R76" i="32"/>
  <c r="R649" i="32"/>
  <c r="R793" i="32"/>
  <c r="R175" i="32"/>
  <c r="R170" i="32"/>
  <c r="R321" i="32"/>
  <c r="R341" i="32"/>
  <c r="R827" i="32"/>
  <c r="R785" i="32"/>
  <c r="R342" i="32"/>
  <c r="R861" i="32"/>
  <c r="R738" i="32"/>
  <c r="R871" i="32"/>
  <c r="R835" i="32"/>
  <c r="R621" i="32"/>
  <c r="R464" i="32"/>
  <c r="R173" i="32"/>
  <c r="R696" i="32"/>
  <c r="R743" i="32"/>
  <c r="R505" i="32"/>
  <c r="R878" i="32"/>
  <c r="R434" i="32"/>
  <c r="R367" i="32"/>
  <c r="R141" i="32"/>
  <c r="R337" i="32"/>
  <c r="R94" i="32"/>
  <c r="R264" i="32"/>
  <c r="R105" i="32"/>
  <c r="R233" i="32"/>
  <c r="R667" i="32"/>
  <c r="R251" i="32"/>
  <c r="R350" i="32"/>
  <c r="R227" i="32"/>
  <c r="R716" i="32"/>
  <c r="R65" i="32"/>
  <c r="R873" i="32"/>
  <c r="R840" i="32"/>
  <c r="R875" i="32"/>
  <c r="R543" i="32"/>
  <c r="R773" i="32"/>
  <c r="R151" i="32"/>
  <c r="R240" i="32"/>
  <c r="R112" i="32"/>
  <c r="R253" i="32"/>
  <c r="R125" i="32"/>
  <c r="R119" i="32"/>
  <c r="R223" i="32"/>
  <c r="R198" i="32"/>
  <c r="R212" i="32"/>
  <c r="R809" i="32"/>
  <c r="R483" i="32"/>
  <c r="R171" i="32"/>
  <c r="R193" i="32"/>
  <c r="R422" i="32"/>
  <c r="R911" i="32"/>
  <c r="R620" i="32"/>
  <c r="R101" i="32"/>
  <c r="R432" i="32"/>
  <c r="R40" i="32"/>
  <c r="R721" i="32"/>
  <c r="R899" i="32"/>
  <c r="R668" i="32"/>
  <c r="R462" i="32"/>
  <c r="R794" i="32"/>
  <c r="R754" i="32"/>
  <c r="R386" i="32"/>
  <c r="R393" i="32"/>
  <c r="R373" i="32"/>
  <c r="R787" i="32"/>
  <c r="R387" i="32"/>
  <c r="R917" i="32"/>
  <c r="R419" i="32"/>
  <c r="R547" i="32"/>
  <c r="R808" i="32"/>
  <c r="R563" i="32"/>
  <c r="R624" i="32"/>
  <c r="R282" i="32"/>
  <c r="R845" i="32"/>
  <c r="R191" i="32"/>
  <c r="R885" i="32"/>
  <c r="R521" i="32"/>
  <c r="R578" i="32"/>
  <c r="R86" i="32"/>
  <c r="R916" i="32"/>
  <c r="R132" i="32"/>
  <c r="R135" i="32"/>
  <c r="R905" i="32"/>
  <c r="R470" i="32"/>
  <c r="R807" i="32"/>
  <c r="R293" i="32"/>
  <c r="R790" i="32"/>
  <c r="R829" i="32"/>
  <c r="R879" i="32"/>
  <c r="R276" i="32"/>
  <c r="R480" i="32"/>
  <c r="R185" i="32"/>
  <c r="R609" i="32"/>
  <c r="R569" i="32"/>
  <c r="R741" i="32"/>
  <c r="R118" i="32"/>
  <c r="R374" i="32"/>
  <c r="R886" i="32"/>
  <c r="R699" i="32"/>
  <c r="R126" i="32"/>
  <c r="R659" i="32"/>
  <c r="R441" i="32"/>
  <c r="R220" i="32"/>
  <c r="R570" i="32"/>
  <c r="R139" i="32"/>
  <c r="R503" i="32"/>
  <c r="R389" i="32"/>
  <c r="R449" i="32"/>
  <c r="R273" i="32"/>
  <c r="R508" i="32"/>
  <c r="R509" i="32"/>
  <c r="R590" i="32"/>
  <c r="R638" i="32"/>
  <c r="R396" i="32"/>
  <c r="R914" i="32"/>
  <c r="R299" i="32"/>
  <c r="R919" i="32"/>
  <c r="R629" i="32"/>
  <c r="R361" i="32"/>
  <c r="R527" i="32"/>
  <c r="R336" i="32"/>
  <c r="R347" i="32"/>
  <c r="R763" i="32"/>
  <c r="R821" i="32"/>
  <c r="R427" i="32"/>
  <c r="R310" i="32"/>
  <c r="R901" i="32"/>
  <c r="R651" i="32"/>
  <c r="R268" i="32"/>
  <c r="R496" i="32"/>
  <c r="R925" i="32"/>
  <c r="R252" i="32"/>
  <c r="R676" i="32"/>
  <c r="R362" i="32"/>
  <c r="R749" i="32"/>
  <c r="R718" i="32"/>
  <c r="R460" i="32"/>
  <c r="R757" i="32"/>
  <c r="R83" i="32"/>
  <c r="R491" i="32"/>
  <c r="R880" i="32"/>
  <c r="R398" i="32"/>
  <c r="R753" i="32"/>
  <c r="R158" i="32"/>
  <c r="R377" i="32"/>
  <c r="R484" i="32"/>
  <c r="R607" i="32"/>
  <c r="R652" i="32"/>
  <c r="R109" i="32"/>
  <c r="R844" i="32"/>
  <c r="R318" i="32"/>
  <c r="R224" i="32"/>
  <c r="R311" i="32"/>
  <c r="R758" i="32"/>
  <c r="R102" i="32"/>
  <c r="R414" i="32"/>
  <c r="R74" i="32"/>
  <c r="R365" i="32"/>
  <c r="R692" i="32"/>
  <c r="R792" i="32"/>
  <c r="R513" i="32"/>
  <c r="R634" i="32"/>
  <c r="R161" i="32"/>
  <c r="R164" i="32"/>
  <c r="R368" i="32"/>
  <c r="R380" i="32"/>
  <c r="R867" i="32"/>
  <c r="R328" i="32"/>
  <c r="R91" i="32"/>
  <c r="R84" i="32"/>
  <c r="R143" i="32"/>
  <c r="R739" i="32"/>
  <c r="R697" i="32"/>
  <c r="R577" i="32"/>
  <c r="R874" i="32"/>
  <c r="R103" i="32"/>
  <c r="R292" i="32"/>
  <c r="R806" i="32"/>
  <c r="R800" i="32"/>
  <c r="R61" i="32"/>
  <c r="R786" i="32"/>
  <c r="R370" i="32"/>
  <c r="R199" i="32"/>
  <c r="R34" i="32"/>
  <c r="R581" i="32"/>
  <c r="R75" i="32"/>
  <c r="R438" i="32"/>
  <c r="R357" i="32"/>
  <c r="R725" i="32"/>
  <c r="R913" i="32"/>
  <c r="R117" i="32"/>
  <c r="R626" i="32"/>
  <c r="R731" i="32"/>
  <c r="R555" i="32"/>
  <c r="R149" i="32"/>
  <c r="R424" i="32"/>
  <c r="R338" i="32"/>
  <c r="R517" i="32"/>
  <c r="R674" i="32"/>
  <c r="R291" i="32"/>
  <c r="R580" i="32"/>
  <c r="R760" i="32"/>
  <c r="R920" i="32"/>
  <c r="R648" i="32"/>
  <c r="R734" i="32"/>
  <c r="R662" i="32"/>
  <c r="R776" i="32"/>
  <c r="R241" i="32"/>
  <c r="R798" i="32"/>
  <c r="R144" i="32"/>
  <c r="R458" i="32"/>
  <c r="R703" i="32"/>
  <c r="R242" i="32"/>
  <c r="R238" i="32"/>
  <c r="R281" i="32"/>
  <c r="R53" i="32"/>
  <c r="R359" i="32"/>
  <c r="R207" i="32"/>
  <c r="R95" i="32"/>
  <c r="R519" i="32"/>
  <c r="R327" i="32"/>
  <c r="R526" i="32"/>
  <c r="R448" i="32"/>
  <c r="R779" i="32"/>
  <c r="R279" i="32"/>
  <c r="R605" i="32"/>
  <c r="R98" i="32"/>
  <c r="R729" i="32"/>
  <c r="R92" i="32"/>
  <c r="R82" i="32"/>
  <c r="R576" i="32"/>
  <c r="R568" i="32"/>
  <c r="R459" i="32"/>
  <c r="R72" i="32"/>
  <c r="R708" i="32"/>
  <c r="R222" i="32"/>
  <c r="R116" i="32"/>
  <c r="R593" i="32"/>
  <c r="R383" i="32"/>
  <c r="R163" i="32"/>
  <c r="R862" i="32"/>
  <c r="R64" i="32"/>
  <c r="R375" i="32"/>
  <c r="R898" i="32"/>
  <c r="R297" i="32"/>
  <c r="R447" i="32"/>
  <c r="R679" i="32"/>
  <c r="R645" i="32"/>
  <c r="R588" i="32"/>
  <c r="R165" i="32"/>
  <c r="R183" i="32"/>
  <c r="R495" i="32"/>
  <c r="R502" i="32"/>
  <c r="R474" i="32"/>
  <c r="R766" i="32"/>
  <c r="R756" i="32"/>
  <c r="R410" i="32"/>
  <c r="R720" i="32"/>
  <c r="R511" i="32"/>
  <c r="R379" i="32"/>
  <c r="R533" i="32"/>
  <c r="R694" i="32"/>
  <c r="R850" i="32"/>
  <c r="R596" i="32"/>
  <c r="R767" i="32"/>
  <c r="R525" i="32"/>
  <c r="R160" i="32"/>
  <c r="R481" i="32"/>
  <c r="R399" i="32"/>
  <c r="R305" i="32"/>
  <c r="R633" i="32"/>
  <c r="R826" i="32"/>
  <c r="R39" i="32"/>
  <c r="R477" i="32"/>
  <c r="R140" i="32"/>
  <c r="R730" i="32"/>
  <c r="R529" i="32"/>
  <c r="R746" i="32"/>
  <c r="R229" i="32"/>
  <c r="R77" i="32"/>
  <c r="R687" i="32"/>
  <c r="R726" i="32"/>
  <c r="R275" i="32"/>
  <c r="R46" i="32"/>
  <c r="R289" i="32"/>
  <c r="R267" i="32"/>
  <c r="R552" i="32"/>
  <c r="R783" i="32"/>
  <c r="R372" i="32"/>
  <c r="R489" i="32"/>
  <c r="R479" i="32"/>
  <c r="R247" i="32"/>
  <c r="R277" i="32"/>
  <c r="R841" i="32"/>
  <c r="R542" i="32"/>
  <c r="R248" i="32"/>
  <c r="R407" i="32"/>
  <c r="R452" i="32"/>
  <c r="R548" i="32"/>
  <c r="R78" i="32"/>
  <c r="R36" i="32"/>
  <c r="R683" i="32"/>
  <c r="R500" i="32"/>
  <c r="R586" i="32"/>
  <c r="R316" i="32"/>
  <c r="R701" i="32"/>
  <c r="R534" i="32"/>
  <c r="R445" i="32"/>
  <c r="R110" i="32"/>
  <c r="R921" i="32"/>
  <c r="R90" i="32"/>
  <c r="R665" i="32"/>
  <c r="R889" i="32"/>
  <c r="R330" i="32"/>
  <c r="R263" i="32"/>
  <c r="R235" i="32"/>
  <c r="R700" i="32"/>
  <c r="R771" i="32"/>
  <c r="R572" i="32"/>
  <c r="R539" i="32"/>
  <c r="R320" i="32"/>
  <c r="R443" i="32"/>
  <c r="R124" i="32"/>
  <c r="R510" i="32"/>
  <c r="R343" i="32"/>
  <c r="R194" i="32"/>
  <c r="R623" i="32"/>
  <c r="R490" i="32"/>
  <c r="R733" i="32"/>
  <c r="R822" i="32"/>
  <c r="R344" i="32"/>
  <c r="R664" i="32"/>
  <c r="R147" i="32"/>
  <c r="R325" i="32"/>
  <c r="R518" i="32"/>
  <c r="R896" i="32"/>
  <c r="R138" i="32"/>
  <c r="R598" i="32"/>
  <c r="R727" i="32"/>
  <c r="R54" i="32"/>
  <c r="R742" i="32"/>
  <c r="R246" i="32"/>
  <c r="R469" i="32"/>
  <c r="R228" i="32"/>
  <c r="R153" i="32"/>
  <c r="R912" i="32"/>
  <c r="R774" i="32"/>
  <c r="R603" i="32"/>
  <c r="R216" i="32"/>
  <c r="R162" i="32"/>
  <c r="R286" i="32"/>
  <c r="R682" i="32"/>
  <c r="R182" i="32"/>
  <c r="R805" i="32"/>
  <c r="R390" i="32"/>
  <c r="R457" i="32"/>
  <c r="R455" i="32"/>
  <c r="R156" i="32"/>
  <c r="R488" i="32"/>
  <c r="R57" i="32"/>
  <c r="R217" i="32"/>
  <c r="R722" i="32"/>
  <c r="R666" i="32"/>
  <c r="R179" i="32"/>
  <c r="R73" i="32"/>
  <c r="R181" i="32"/>
  <c r="R285" i="32"/>
  <c r="R545" i="32"/>
  <c r="R487" i="32"/>
  <c r="R232" i="32"/>
  <c r="R255" i="32"/>
  <c r="R475" i="32"/>
  <c r="R97" i="32"/>
  <c r="R846" i="32"/>
  <c r="R59" i="32"/>
  <c r="R868" i="32"/>
  <c r="R574" i="32"/>
  <c r="R714" i="32"/>
  <c r="R107" i="32"/>
  <c r="R392" i="32"/>
  <c r="R610" i="32"/>
  <c r="R298" i="32"/>
  <c r="R323" i="32"/>
  <c r="R671" i="32"/>
  <c r="R195" i="32"/>
  <c r="R304" i="32"/>
  <c r="R823" i="32"/>
  <c r="R453" i="32"/>
  <c r="R123" i="32"/>
  <c r="R654" i="32"/>
  <c r="R884" i="32"/>
  <c r="R854" i="32"/>
  <c r="R669" i="32"/>
  <c r="R540" i="32"/>
  <c r="R356" i="32"/>
  <c r="R431" i="32"/>
  <c r="R262" i="32"/>
  <c r="R748" i="32"/>
  <c r="R632" i="32"/>
  <c r="R180" i="32"/>
  <c r="R536" i="32"/>
  <c r="R565" i="32"/>
  <c r="R85" i="32"/>
  <c r="R174" i="32"/>
  <c r="R613" i="32"/>
  <c r="R66" i="32"/>
  <c r="R200" i="32"/>
  <c r="R813" i="32"/>
  <c r="R820" i="32"/>
  <c r="R501" i="32"/>
  <c r="R663" i="32"/>
  <c r="R673" i="32"/>
  <c r="R385" i="32"/>
  <c r="R177" i="32"/>
  <c r="R287" i="32"/>
  <c r="R650" i="32"/>
  <c r="R558" i="32"/>
  <c r="R615" i="32"/>
  <c r="R38" i="32"/>
  <c r="R208" i="32"/>
  <c r="R882" i="32"/>
  <c r="R789" i="32"/>
  <c r="R788" i="32"/>
  <c r="R926" i="32"/>
  <c r="R902" i="32"/>
  <c r="R915" i="32"/>
  <c r="R670" i="32"/>
  <c r="R237" i="32"/>
  <c r="R100" i="32"/>
  <c r="R471" i="32"/>
  <c r="R817" i="32"/>
  <c r="R653" i="32"/>
  <c r="R740" i="32"/>
  <c r="R430" i="32"/>
  <c r="R587" i="32"/>
  <c r="R506" i="32"/>
  <c r="R781" i="32"/>
  <c r="R863" i="32"/>
  <c r="R37" i="32"/>
  <c r="R691" i="32"/>
  <c r="R819" i="32"/>
  <c r="R892" i="32"/>
  <c r="R88" i="32"/>
  <c r="R345" i="32"/>
  <c r="R394" i="32"/>
  <c r="R205" i="32"/>
  <c r="R187" i="32"/>
  <c r="R186" i="32"/>
  <c r="R331" i="32"/>
  <c r="R461" i="32"/>
  <c r="R672" i="32"/>
  <c r="R167" i="32"/>
  <c r="R444" i="32"/>
  <c r="R903" i="32"/>
  <c r="R737" i="32"/>
  <c r="R274" i="32"/>
  <c r="R421" i="32"/>
  <c r="R929" i="32"/>
  <c r="R865" i="32"/>
  <c r="R752" i="32"/>
  <c r="R702" i="32"/>
  <c r="R378" i="32"/>
  <c r="R888" i="32"/>
  <c r="R775" i="32"/>
  <c r="R492" i="32"/>
  <c r="R498" i="32"/>
  <c r="R832" i="32"/>
  <c r="R584" i="32"/>
  <c r="R559" i="32"/>
  <c r="R528" i="32"/>
  <c r="R797" i="32"/>
  <c r="R562" i="32"/>
  <c r="O642" i="32"/>
  <c r="O806" i="32"/>
  <c r="O828" i="32"/>
  <c r="O637" i="32"/>
  <c r="O727" i="32"/>
  <c r="O781" i="32"/>
  <c r="O896" i="32"/>
  <c r="O75" i="32"/>
  <c r="O910" i="32"/>
  <c r="O926" i="32"/>
  <c r="O530" i="32"/>
  <c r="O284" i="32"/>
  <c r="O720" i="32"/>
  <c r="O302" i="32"/>
  <c r="O149" i="32"/>
  <c r="O903" i="32"/>
  <c r="O144" i="32"/>
  <c r="O858" i="32"/>
  <c r="O857" i="32"/>
  <c r="O864" i="32"/>
  <c r="O863" i="32"/>
  <c r="O371" i="32"/>
  <c r="O395" i="32"/>
  <c r="O426" i="32"/>
  <c r="O542" i="32"/>
  <c r="O743" i="32"/>
  <c r="O819" i="32"/>
  <c r="O560" i="32"/>
  <c r="O759" i="32"/>
  <c r="O574" i="32"/>
  <c r="O394" i="32"/>
  <c r="O147" i="32"/>
  <c r="O678" i="32"/>
  <c r="O230" i="32"/>
  <c r="O887" i="32"/>
  <c r="O670" i="32"/>
  <c r="O920" i="32"/>
  <c r="O820" i="32"/>
  <c r="O625" i="32"/>
  <c r="O527" i="32"/>
  <c r="O512" i="32"/>
  <c r="O498" i="32"/>
  <c r="O355" i="32"/>
  <c r="O627" i="32"/>
  <c r="O178" i="32"/>
  <c r="O231" i="32"/>
  <c r="O476" i="32"/>
  <c r="O597" i="32"/>
  <c r="O595" i="32"/>
  <c r="O424" i="32"/>
  <c r="O439" i="32"/>
  <c r="O290" i="32"/>
  <c r="O42" i="32"/>
  <c r="O622" i="32"/>
  <c r="O92" i="32"/>
  <c r="O671" i="32"/>
  <c r="O623" i="32"/>
  <c r="O672" i="32"/>
  <c r="O357" i="32"/>
  <c r="O904" i="32"/>
  <c r="O387" i="32"/>
  <c r="O319" i="32"/>
  <c r="O335" i="32"/>
  <c r="O500" i="32"/>
  <c r="O462" i="32"/>
  <c r="O283" i="32"/>
  <c r="O334" i="32"/>
  <c r="O113" i="32"/>
  <c r="O856" i="32"/>
  <c r="O526" i="32"/>
  <c r="O531" i="32"/>
  <c r="O562" i="32"/>
  <c r="O460" i="32"/>
  <c r="O321" i="32"/>
  <c r="O214" i="32"/>
  <c r="O197" i="32"/>
  <c r="O760" i="32"/>
  <c r="O359" i="32"/>
  <c r="O126" i="32"/>
  <c r="O185" i="32"/>
  <c r="O459" i="32"/>
  <c r="O303" i="32"/>
  <c r="O79" i="32"/>
  <c r="O40" i="32"/>
  <c r="O407" i="32"/>
  <c r="O218" i="32"/>
  <c r="O688" i="32"/>
  <c r="O291" i="32"/>
  <c r="O461" i="32"/>
  <c r="O423" i="32"/>
  <c r="O186" i="32"/>
  <c r="O318" i="32"/>
  <c r="O215" i="32"/>
  <c r="O370" i="32"/>
  <c r="O874" i="32"/>
  <c r="O894" i="32"/>
  <c r="O789" i="32"/>
  <c r="O575" i="32"/>
  <c r="O393" i="32"/>
  <c r="O768" i="32"/>
  <c r="O798" i="32"/>
  <c r="O729" i="32"/>
  <c r="O812" i="32"/>
  <c r="O44" i="32"/>
  <c r="O354" i="32"/>
  <c r="O162" i="32"/>
  <c r="O721" i="32"/>
  <c r="O267" i="32"/>
  <c r="O288" i="32"/>
  <c r="O491" i="32"/>
  <c r="O114" i="32"/>
  <c r="O356" i="32"/>
  <c r="O713" i="32"/>
  <c r="O428" i="32"/>
  <c r="O528" i="32"/>
  <c r="O323" i="32"/>
  <c r="O492" i="32"/>
  <c r="O389" i="32"/>
  <c r="O850" i="32"/>
  <c r="O254" i="32"/>
  <c r="O559" i="32"/>
  <c r="O888" i="32"/>
  <c r="O388" i="32"/>
  <c r="O251" i="32"/>
  <c r="O80" i="32"/>
  <c r="O320" i="32"/>
  <c r="O150" i="32"/>
  <c r="O81" i="32"/>
  <c r="O216" i="32"/>
  <c r="O45" i="32"/>
  <c r="O146" i="32"/>
  <c r="O463" i="32"/>
  <c r="O638" i="32"/>
  <c r="O322" i="32"/>
  <c r="O607" i="32"/>
  <c r="O184" i="32"/>
  <c r="O249" i="32"/>
  <c r="O56" i="32"/>
  <c r="O561" i="32"/>
  <c r="O93" i="32"/>
  <c r="O148" i="32"/>
  <c r="O282" i="32"/>
  <c r="O179" i="32"/>
  <c r="O679" i="32"/>
  <c r="O590" i="32"/>
  <c r="O511" i="32"/>
  <c r="O57" i="32"/>
  <c r="O427" i="32"/>
  <c r="O624" i="32"/>
  <c r="O773" i="32"/>
  <c r="O541" i="32"/>
  <c r="O753" i="32"/>
  <c r="O112" i="32"/>
  <c r="O596" i="32"/>
  <c r="O529" i="32"/>
  <c r="O626" i="32"/>
  <c r="O72" i="32"/>
  <c r="O499" i="32"/>
  <c r="O440" i="32"/>
  <c r="O252" i="32"/>
  <c r="O177" i="32"/>
  <c r="O608" i="32"/>
  <c r="O358" i="32"/>
  <c r="O475" i="32"/>
  <c r="O43" i="32"/>
  <c r="O108" i="32"/>
  <c r="O564" i="32"/>
  <c r="O425" i="32"/>
  <c r="O664" i="32"/>
  <c r="O799" i="32"/>
  <c r="O198" i="32"/>
  <c r="O563" i="32"/>
  <c r="O41" i="32"/>
  <c r="O266" i="32"/>
  <c r="O826" i="32"/>
  <c r="O125" i="32"/>
  <c r="O406" i="32"/>
  <c r="O494" i="32"/>
  <c r="O255" i="32"/>
  <c r="O219" i="32"/>
  <c r="O250" i="32"/>
  <c r="O111" i="32"/>
  <c r="O74" i="32"/>
  <c r="O849" i="32"/>
  <c r="O213" i="32"/>
  <c r="O110" i="32"/>
  <c r="O161" i="32"/>
  <c r="O836" i="32"/>
  <c r="O897" i="32"/>
  <c r="O902" i="32"/>
  <c r="O589" i="32"/>
  <c r="O464" i="32"/>
  <c r="O591" i="32"/>
  <c r="O766" i="32"/>
  <c r="O434" i="32"/>
  <c r="O684" i="32"/>
  <c r="O268" i="32"/>
  <c r="O433" i="32"/>
  <c r="O520" i="32"/>
  <c r="O432" i="32"/>
  <c r="O367" i="32"/>
  <c r="O602" i="32"/>
  <c r="O921" i="32"/>
  <c r="O690" i="32"/>
  <c r="O503" i="32"/>
  <c r="O122" i="32"/>
  <c r="O652" i="32"/>
  <c r="O62" i="32"/>
  <c r="O757" i="32"/>
  <c r="O641" i="32"/>
  <c r="O762" i="32"/>
  <c r="O196" i="32"/>
  <c r="O140" i="32"/>
  <c r="O467" i="32"/>
  <c r="O668" i="32"/>
  <c r="O253" i="32"/>
  <c r="O271" i="32"/>
  <c r="O764" i="32"/>
  <c r="O52" i="32"/>
  <c r="O294" i="32"/>
  <c r="O767" i="32"/>
  <c r="O653" i="32"/>
  <c r="O168" i="32"/>
  <c r="O314" i="32"/>
  <c r="O190" i="32"/>
  <c r="O450" i="32"/>
  <c r="O392" i="32"/>
  <c r="O416" i="32"/>
  <c r="O270" i="32"/>
  <c r="O342" i="32"/>
  <c r="O615" i="32"/>
  <c r="O916" i="32"/>
  <c r="O443" i="32"/>
  <c r="O373" i="32"/>
  <c r="O536" i="32"/>
  <c r="O70" i="32"/>
  <c r="O502" i="32"/>
  <c r="O431" i="32"/>
  <c r="O455" i="32"/>
  <c r="O644" i="32"/>
  <c r="O605" i="32"/>
  <c r="O610" i="32"/>
  <c r="O823" i="32"/>
  <c r="O135" i="32"/>
  <c r="O103" i="32"/>
  <c r="O61" i="32"/>
  <c r="O458" i="32"/>
  <c r="O695" i="32"/>
  <c r="O363" i="32"/>
  <c r="O328" i="32"/>
  <c r="O247" i="32"/>
  <c r="O193" i="32"/>
  <c r="O617" i="32"/>
  <c r="O286" i="32"/>
  <c r="O472" i="32"/>
  <c r="O274" i="32"/>
  <c r="O843" i="32"/>
  <c r="O489" i="32"/>
  <c r="O792" i="32"/>
  <c r="O871" i="32"/>
  <c r="O236" i="32"/>
  <c r="O118" i="32"/>
  <c r="O49" i="32"/>
  <c r="O755" i="32"/>
  <c r="O175" i="32"/>
  <c r="O646" i="32"/>
  <c r="O515" i="32"/>
  <c r="O667" i="32"/>
  <c r="O875" i="32"/>
  <c r="O554" i="32"/>
  <c r="O64" i="32"/>
  <c r="O763" i="32"/>
  <c r="O893" i="32"/>
  <c r="O524" i="32"/>
  <c r="O677" i="32"/>
  <c r="O465" i="32"/>
  <c r="O105" i="32"/>
  <c r="O397" i="32"/>
  <c r="O281" i="32"/>
  <c r="O693" i="32"/>
  <c r="O547" i="32"/>
  <c r="O814" i="32"/>
  <c r="O869" i="32"/>
  <c r="O791" i="32"/>
  <c r="O612" i="32"/>
  <c r="O226" i="32"/>
  <c r="O418" i="32"/>
  <c r="O909" i="32"/>
  <c r="O831" i="32"/>
  <c r="O558" i="32"/>
  <c r="O704" i="32"/>
  <c r="O221" i="32"/>
  <c r="O715" i="32"/>
  <c r="O36" i="32"/>
  <c r="O132" i="32"/>
  <c r="O725" i="32"/>
  <c r="O242" i="32"/>
  <c r="O913" i="32"/>
  <c r="O170" i="32"/>
  <c r="O101" i="32"/>
  <c r="O553" i="32"/>
  <c r="O709" i="32"/>
  <c r="O572" i="32"/>
  <c r="O482" i="32"/>
  <c r="O163" i="32"/>
  <c r="O405" i="32"/>
  <c r="O714" i="32"/>
  <c r="O88" i="32"/>
  <c r="O391" i="32"/>
  <c r="O639" i="32"/>
  <c r="O104" i="32"/>
  <c r="O479" i="32"/>
  <c r="O665" i="32"/>
  <c r="O632" i="32"/>
  <c r="O901" i="32"/>
  <c r="O477" i="32"/>
  <c r="O847" i="32"/>
  <c r="O912" i="32"/>
  <c r="O345" i="32"/>
  <c r="O341" i="32"/>
  <c r="O304" i="32"/>
  <c r="O777" i="32"/>
  <c r="O548" i="32"/>
  <c r="O204" i="32"/>
  <c r="O195" i="32"/>
  <c r="O269" i="32"/>
  <c r="O308" i="32"/>
  <c r="O181" i="32"/>
  <c r="O504" i="32"/>
  <c r="O287" i="32"/>
  <c r="O241" i="32"/>
  <c r="O273" i="32"/>
  <c r="O329" i="32"/>
  <c r="O401" i="32"/>
  <c r="O797" i="32"/>
  <c r="O915" i="32"/>
  <c r="O115" i="32"/>
  <c r="O685" i="32"/>
  <c r="O848" i="32"/>
  <c r="O116" i="32"/>
  <c r="O51" i="32"/>
  <c r="O258" i="32"/>
  <c r="O109" i="32"/>
  <c r="O692" i="32"/>
  <c r="O289" i="32"/>
  <c r="O203" i="32"/>
  <c r="O599" i="32"/>
  <c r="O775" i="32"/>
  <c r="O312" i="32"/>
  <c r="O485" i="32"/>
  <c r="O497" i="32"/>
  <c r="O71" i="32"/>
  <c r="O754" i="32"/>
  <c r="O911" i="32"/>
  <c r="O100" i="32"/>
  <c r="O898" i="32"/>
  <c r="O807" i="32"/>
  <c r="O877" i="32"/>
  <c r="O585" i="32"/>
  <c r="O493" i="32"/>
  <c r="O164" i="32"/>
  <c r="O350" i="32"/>
  <c r="O701" i="32"/>
  <c r="O278" i="32"/>
  <c r="O145" i="32"/>
  <c r="O732" i="32"/>
  <c r="O810" i="32"/>
  <c r="O788" i="32"/>
  <c r="O598" i="32"/>
  <c r="O445" i="32"/>
  <c r="O837" i="32"/>
  <c r="O95" i="32"/>
  <c r="O66" i="32"/>
  <c r="O694" i="32"/>
  <c r="O409" i="32"/>
  <c r="O488" i="32"/>
  <c r="O46" i="32"/>
  <c r="O786" i="32"/>
  <c r="O549" i="32"/>
  <c r="O522" i="32"/>
  <c r="O752" i="32"/>
  <c r="O471" i="32"/>
  <c r="O636" i="32"/>
  <c r="O698" i="32"/>
  <c r="O454" i="32"/>
  <c r="O305" i="32"/>
  <c r="O245" i="32"/>
  <c r="O310" i="32"/>
  <c r="O374" i="32"/>
  <c r="O841" i="32"/>
  <c r="O750" i="32"/>
  <c r="O630" i="32"/>
  <c r="O787" i="32"/>
  <c r="O538" i="32"/>
  <c r="O501" i="32"/>
  <c r="O366" i="32"/>
  <c r="O55" i="32"/>
  <c r="O601" i="32"/>
  <c r="O315" i="32"/>
  <c r="O735" i="32"/>
  <c r="O338" i="32"/>
  <c r="O82" i="32"/>
  <c r="O614" i="32"/>
  <c r="O509" i="32"/>
  <c r="O890" i="32"/>
  <c r="O438" i="32"/>
  <c r="O372" i="32"/>
  <c r="O895" i="32"/>
  <c r="O330" i="32"/>
  <c r="O306" i="32"/>
  <c r="O683" i="32"/>
  <c r="O507" i="32"/>
  <c r="O364" i="32"/>
  <c r="O508" i="32"/>
  <c r="O900" i="32"/>
  <c r="O240" i="32"/>
  <c r="O235" i="32"/>
  <c r="O259" i="32"/>
  <c r="O307" i="32"/>
  <c r="O516" i="32"/>
  <c r="O415" i="32"/>
  <c r="O583" i="32"/>
  <c r="O229" i="32"/>
  <c r="O769" i="32"/>
  <c r="O293" i="32"/>
  <c r="O298" i="32"/>
  <c r="O879" i="32"/>
  <c r="O818" i="32"/>
  <c r="O833" i="32"/>
  <c r="O822" i="32"/>
  <c r="O153" i="32"/>
  <c r="O90" i="32"/>
  <c r="O914" i="32"/>
  <c r="O674" i="32"/>
  <c r="O618" i="32"/>
  <c r="O533" i="32"/>
  <c r="O510" i="32"/>
  <c r="O566" i="32"/>
  <c r="O842" i="32"/>
  <c r="O813" i="32"/>
  <c r="O790" i="32"/>
  <c r="O402" i="32"/>
  <c r="O620" i="32"/>
  <c r="O544" i="32"/>
  <c r="O487" i="32"/>
  <c r="O571" i="32"/>
  <c r="O741" i="32"/>
  <c r="O719" i="32"/>
  <c r="O35" i="32"/>
  <c r="O658" i="32"/>
  <c r="O794" i="32"/>
  <c r="O422" i="32"/>
  <c r="O711" i="32"/>
  <c r="O728" i="32"/>
  <c r="O486" i="32"/>
  <c r="O442" i="32"/>
  <c r="O324" i="32"/>
  <c r="O824" i="32"/>
  <c r="O580" i="32"/>
  <c r="O400" i="32"/>
  <c r="O448" i="32"/>
  <c r="O834" i="32"/>
  <c r="O815" i="32"/>
  <c r="O107" i="32"/>
  <c r="O514" i="32"/>
  <c r="O50" i="32"/>
  <c r="O96" i="32"/>
  <c r="O233" i="32"/>
  <c r="O748" i="32"/>
  <c r="O545" i="32"/>
  <c r="O317" i="32"/>
  <c r="O600" i="32"/>
  <c r="O261" i="32"/>
  <c r="O523" i="32"/>
  <c r="O613" i="32"/>
  <c r="O517" i="32"/>
  <c r="O650" i="32"/>
  <c r="O67" i="32"/>
  <c r="O248" i="32"/>
  <c r="O209" i="32"/>
  <c r="O586" i="32"/>
  <c r="O495" i="32"/>
  <c r="O457" i="32"/>
  <c r="O660" i="32"/>
  <c r="O327" i="32"/>
  <c r="O441" i="32"/>
  <c r="O227" i="32"/>
  <c r="O907" i="32"/>
  <c r="O880" i="32"/>
  <c r="O378" i="32"/>
  <c r="O301" i="32"/>
  <c r="O588" i="32"/>
  <c r="O137" i="32"/>
  <c r="O234" i="32"/>
  <c r="O299" i="32"/>
  <c r="O518" i="32"/>
  <c r="O311" i="32"/>
  <c r="O360" i="32"/>
  <c r="O217" i="32"/>
  <c r="O243" i="32"/>
  <c r="O723" i="32"/>
  <c r="O543" i="32"/>
  <c r="O47" i="32"/>
  <c r="O91" i="32"/>
  <c r="O238" i="32"/>
  <c r="O853" i="32"/>
  <c r="O239" i="32"/>
  <c r="O830" i="32"/>
  <c r="O852" i="32"/>
  <c r="O661" i="32"/>
  <c r="O340" i="32"/>
  <c r="O480" i="32"/>
  <c r="O578" i="32"/>
  <c r="O376" i="32"/>
  <c r="O905" i="32"/>
  <c r="O158" i="32"/>
  <c r="O634" i="32"/>
  <c r="O737" i="32"/>
  <c r="O89" i="32"/>
  <c r="O675" i="32"/>
  <c r="O223" i="32"/>
  <c r="O420" i="32"/>
  <c r="O821" i="32"/>
  <c r="O53" i="32"/>
  <c r="O860" i="32"/>
  <c r="O736" i="32"/>
  <c r="O846" i="32"/>
  <c r="O396" i="32"/>
  <c r="O795" i="32"/>
  <c r="O119" i="32"/>
  <c r="O368" i="32"/>
  <c r="O699" i="32"/>
  <c r="O383" i="32"/>
  <c r="O263" i="32"/>
  <c r="O275" i="32"/>
  <c r="O160" i="32"/>
  <c r="O747" i="32"/>
  <c r="O718" i="32"/>
  <c r="O349" i="32"/>
  <c r="O481" i="32"/>
  <c r="O220" i="32"/>
  <c r="O918" i="32"/>
  <c r="O86" i="32"/>
  <c r="O124" i="32"/>
  <c r="O861" i="32"/>
  <c r="O336" i="32"/>
  <c r="O470" i="32"/>
  <c r="O519" i="32"/>
  <c r="O829" i="32"/>
  <c r="O313" i="32"/>
  <c r="O333" i="32"/>
  <c r="O339" i="32"/>
  <c r="O419" i="32"/>
  <c r="O568" i="32"/>
  <c r="O656" i="32"/>
  <c r="O832" i="32"/>
  <c r="O292" i="32"/>
  <c r="O540" i="32"/>
  <c r="O138" i="32"/>
  <c r="O410" i="32"/>
  <c r="O421" i="32"/>
  <c r="O899" i="32"/>
  <c r="O785" i="32"/>
  <c r="O708" i="32"/>
  <c r="O712" i="32"/>
  <c r="O738" i="32"/>
  <c r="O176" i="32"/>
  <c r="O68" i="32"/>
  <c r="O123" i="32"/>
  <c r="O297" i="32"/>
  <c r="O657" i="32"/>
  <c r="O379" i="32"/>
  <c r="O212" i="32"/>
  <c r="O803" i="32"/>
  <c r="O183" i="32"/>
  <c r="O152" i="32"/>
  <c r="O191" i="32"/>
  <c r="O159" i="32"/>
  <c r="O573" i="32"/>
  <c r="O343" i="32"/>
  <c r="O365" i="32"/>
  <c r="O398" i="32"/>
  <c r="O280" i="32"/>
  <c r="O133" i="32"/>
  <c r="O121" i="32"/>
  <c r="O892" i="32"/>
  <c r="O702" i="32"/>
  <c r="O928" i="32"/>
  <c r="O78" i="32"/>
  <c r="O102" i="32"/>
  <c r="O225" i="32"/>
  <c r="O127" i="32"/>
  <c r="O206" i="32"/>
  <c r="O380" i="32"/>
  <c r="O129" i="32"/>
  <c r="O85" i="32"/>
  <c r="O187" i="32"/>
  <c r="O870" i="32"/>
  <c r="O83" i="32"/>
  <c r="O117" i="32"/>
  <c r="O141" i="32"/>
  <c r="O411" i="32"/>
  <c r="O167" i="32"/>
  <c r="O34" i="32"/>
  <c r="O228" i="32"/>
  <c r="O804" i="32"/>
  <c r="O703" i="32"/>
  <c r="O782" i="32"/>
  <c r="O142" i="32"/>
  <c r="O878" i="32"/>
  <c r="O808" i="32"/>
  <c r="O761" i="32"/>
  <c r="O827" i="32"/>
  <c r="O865" i="32"/>
  <c r="O756" i="32"/>
  <c r="O456" i="32"/>
  <c r="O211" i="32"/>
  <c r="O76" i="32"/>
  <c r="O403" i="32"/>
  <c r="O136" i="32"/>
  <c r="O676" i="32"/>
  <c r="O662" i="32"/>
  <c r="O854" i="32"/>
  <c r="O616" i="32"/>
  <c r="O722" i="32"/>
  <c r="O581" i="32"/>
  <c r="O633" i="32"/>
  <c r="O276" i="32"/>
  <c r="O447" i="32"/>
  <c r="O436" i="32"/>
  <c r="O429" i="32"/>
  <c r="O174" i="32"/>
  <c r="O927" i="32"/>
  <c r="O155" i="32"/>
  <c r="O246" i="32"/>
  <c r="O352" i="32"/>
  <c r="O882" i="32"/>
  <c r="O69" i="32"/>
  <c r="O347" i="32"/>
  <c r="O669" i="32"/>
  <c r="O483" i="32"/>
  <c r="O917" i="32"/>
  <c r="O783" i="32"/>
  <c r="O381" i="32"/>
  <c r="O451" i="32"/>
  <c r="O346" i="32"/>
  <c r="O873" i="32"/>
  <c r="O726" i="32"/>
  <c r="O468" i="32"/>
  <c r="O565" i="32"/>
  <c r="O361" i="32"/>
  <c r="O577" i="32"/>
  <c r="O128" i="32"/>
  <c r="O889" i="32"/>
  <c r="O257" i="32"/>
  <c r="O884" i="32"/>
  <c r="O891" i="32"/>
  <c r="O189" i="32"/>
  <c r="O435" i="32"/>
  <c r="O521" i="32"/>
  <c r="O587" i="32"/>
  <c r="O724" i="32"/>
  <c r="O925" i="32"/>
  <c r="O63" i="32"/>
  <c r="O629" i="32"/>
  <c r="O201" i="32"/>
  <c r="O84" i="32"/>
  <c r="O746" i="32"/>
  <c r="O886" i="32"/>
  <c r="O682" i="32"/>
  <c r="O919" i="32"/>
  <c r="O555" i="32"/>
  <c r="O801" i="32"/>
  <c r="O77" i="32"/>
  <c r="O628" i="32"/>
  <c r="O309" i="32"/>
  <c r="O154" i="32"/>
  <c r="O800" i="32"/>
  <c r="O73" i="32"/>
  <c r="O199" i="32"/>
  <c r="O386" i="32"/>
  <c r="O705" i="32"/>
  <c r="O576" i="32"/>
  <c r="O707" i="32"/>
  <c r="O296" i="32"/>
  <c r="O611" i="32"/>
  <c r="O758" i="32"/>
  <c r="O859" i="32"/>
  <c r="O649" i="32"/>
  <c r="O569" i="32"/>
  <c r="O38" i="32"/>
  <c r="O635" i="32"/>
  <c r="O59" i="32"/>
  <c r="O537" i="32"/>
  <c r="O316" i="32"/>
  <c r="O680" i="32"/>
  <c r="O277" i="32"/>
  <c r="O156" i="32"/>
  <c r="O621" i="32"/>
  <c r="O265" i="32"/>
  <c r="O237" i="32"/>
  <c r="O659" i="32"/>
  <c r="O484" i="32"/>
  <c r="O802" i="32"/>
  <c r="O770" i="32"/>
  <c r="O473" i="32"/>
  <c r="O579" i="32"/>
  <c r="O264" i="32"/>
  <c r="O606" i="32"/>
  <c r="O382" i="32"/>
  <c r="O417" i="32"/>
  <c r="O772" i="32"/>
  <c r="O876" i="32"/>
  <c r="O584" i="32"/>
  <c r="O867" i="32"/>
  <c r="O384" i="32"/>
  <c r="O534" i="32"/>
  <c r="O414" i="32"/>
  <c r="O619" i="32"/>
  <c r="O331" i="32"/>
  <c r="O835" i="32"/>
  <c r="O326" i="32"/>
  <c r="O413" i="32"/>
  <c r="O54" i="32"/>
  <c r="O222" i="32"/>
  <c r="O208" i="32"/>
  <c r="O256" i="32"/>
  <c r="O923" i="32"/>
  <c r="O48" i="32"/>
  <c r="O295" i="32"/>
  <c r="O734" i="32"/>
  <c r="O697" i="32"/>
  <c r="O681" i="32"/>
  <c r="O377" i="32"/>
  <c r="O496" i="32"/>
  <c r="O631" i="32"/>
  <c r="O87" i="32"/>
  <c r="O279" i="32"/>
  <c r="O224" i="32"/>
  <c r="O348" i="32"/>
  <c r="O809" i="32"/>
  <c r="O906" i="32"/>
  <c r="O838" i="32"/>
  <c r="O446" i="32"/>
  <c r="O478" i="32"/>
  <c r="O180" i="32"/>
  <c r="O332" i="32"/>
  <c r="O673" i="32"/>
  <c r="O771" i="32"/>
  <c r="O839" i="32"/>
  <c r="O749" i="32"/>
  <c r="O131" i="32"/>
  <c r="O845" i="32"/>
  <c r="O171" i="32"/>
  <c r="O866" i="32"/>
  <c r="O883" i="32"/>
  <c r="O300" i="32"/>
  <c r="O437" i="32"/>
  <c r="O739" i="32"/>
  <c r="O840" i="32"/>
  <c r="O885" i="32"/>
  <c r="O166" i="32"/>
  <c r="O385" i="32"/>
  <c r="O452" i="32"/>
  <c r="O139" i="32"/>
  <c r="O570" i="32"/>
  <c r="O592" i="32"/>
  <c r="O710" i="32"/>
  <c r="O744" i="32"/>
  <c r="O453" i="32"/>
  <c r="O192" i="32"/>
  <c r="O765" i="32"/>
  <c r="O696" i="32"/>
  <c r="O776" i="32"/>
  <c r="O751" i="32"/>
  <c r="O731" i="32"/>
  <c r="O188" i="32"/>
  <c r="O449" i="32"/>
  <c r="O742" i="32"/>
  <c r="O730" i="32"/>
  <c r="O474" i="32"/>
  <c r="O552" i="32"/>
  <c r="O469" i="32"/>
  <c r="O594" i="32"/>
  <c r="O862" i="32"/>
  <c r="O505" i="32"/>
  <c r="O922" i="32"/>
  <c r="O285" i="32"/>
  <c r="O651" i="32"/>
  <c r="O466" i="32"/>
  <c r="O60" i="32"/>
  <c r="O556" i="32"/>
  <c r="O172" i="32"/>
  <c r="O663" i="32"/>
  <c r="O58" i="32"/>
  <c r="O157" i="32"/>
  <c r="O654" i="32"/>
  <c r="O691" i="32"/>
  <c r="O169" i="32"/>
  <c r="O412" i="32"/>
  <c r="O65" i="32"/>
  <c r="O39" i="32"/>
  <c r="O700" i="32"/>
  <c r="O706" i="32"/>
  <c r="O325" i="32"/>
  <c r="O106" i="32"/>
  <c r="O444" i="32"/>
  <c r="O399" i="32"/>
  <c r="O430" i="32"/>
  <c r="O666" i="32"/>
  <c r="O825" i="32"/>
  <c r="O202" i="32"/>
  <c r="O210" i="32"/>
  <c r="O272" i="32"/>
  <c r="O796" i="32"/>
  <c r="O362" i="32"/>
  <c r="O805" i="32"/>
  <c r="O872" i="32"/>
  <c r="O353" i="32"/>
  <c r="O648" i="32"/>
  <c r="O740" i="32"/>
  <c r="O165" i="32"/>
  <c r="O686" i="32"/>
  <c r="O182" i="32"/>
  <c r="O525" i="32"/>
  <c r="O733" i="32"/>
  <c r="O881" i="32"/>
  <c r="O194" i="32"/>
  <c r="O94" i="32"/>
  <c r="O643" i="32"/>
  <c r="O532" i="32"/>
  <c r="O551" i="32"/>
  <c r="O99" i="32"/>
  <c r="O37" i="32"/>
  <c r="O262" i="32"/>
  <c r="O130" i="32"/>
  <c r="O375" i="32"/>
  <c r="O151" i="32"/>
  <c r="O490" i="32"/>
  <c r="O817" i="32"/>
  <c r="O778" i="32"/>
  <c r="O369" i="32"/>
  <c r="O780" i="32"/>
  <c r="O784" i="32"/>
  <c r="O811" i="32"/>
  <c r="O207" i="32"/>
  <c r="O513" i="32"/>
  <c r="O603" i="32"/>
  <c r="O134" i="32"/>
  <c r="O609" i="32"/>
  <c r="O745" i="32"/>
  <c r="O390" i="32"/>
  <c r="O855" i="32"/>
  <c r="O408" i="32"/>
  <c r="O774" i="32"/>
  <c r="O351" i="32"/>
  <c r="O120" i="32"/>
  <c r="O244" i="32"/>
  <c r="O647" i="32"/>
  <c r="O687" i="32"/>
  <c r="O640" i="32"/>
  <c r="O851" i="32"/>
  <c r="O689" i="32"/>
  <c r="O97" i="32"/>
  <c r="O717" i="32"/>
  <c r="O98" i="32"/>
  <c r="O816" i="32"/>
  <c r="O655" i="32"/>
  <c r="O550" i="32"/>
  <c r="O929" i="32"/>
  <c r="O779" i="32"/>
  <c r="O557" i="32"/>
  <c r="O793" i="32"/>
  <c r="O924" i="32"/>
  <c r="O546" i="32"/>
  <c r="O173" i="32"/>
  <c r="O908" i="32"/>
  <c r="O344" i="32"/>
  <c r="O593" i="32"/>
  <c r="O260" i="32"/>
  <c r="O645" i="32"/>
  <c r="O205" i="32"/>
  <c r="O868" i="32"/>
  <c r="O844" i="32"/>
  <c r="O539" i="32"/>
  <c r="O232" i="32"/>
  <c r="O506" i="32"/>
  <c r="O567" i="32"/>
  <c r="O582" i="32"/>
  <c r="O604" i="32"/>
  <c r="O404" i="32"/>
  <c r="O716" i="32"/>
  <c r="O337" i="32"/>
  <c r="O200" i="32"/>
  <c r="O535" i="32"/>
  <c r="O143" i="32"/>
  <c r="AH5" i="32" l="1"/>
  <c r="AI5" i="32" s="1"/>
  <c r="R29" i="32"/>
  <c r="O29" i="32"/>
  <c r="AH6" i="32" l="1"/>
  <c r="C23" i="32"/>
  <c r="M13" i="32" s="1"/>
  <c r="K6" i="32"/>
  <c r="S6" i="32" s="1"/>
  <c r="AI6" i="32" l="1"/>
  <c r="AH7" i="32"/>
  <c r="C6" i="32"/>
  <c r="S7" i="32" s="1"/>
  <c r="D13" i="32" s="1"/>
  <c r="AH8" i="32" l="1"/>
  <c r="AI7" i="32"/>
  <c r="K4" i="32"/>
  <c r="J4" i="32" a="1"/>
  <c r="U27" i="32" l="1"/>
  <c r="X27" i="32"/>
  <c r="AI8" i="32"/>
  <c r="AH9" i="32"/>
  <c r="R28" i="32"/>
  <c r="O28" i="32"/>
  <c r="J4" i="32"/>
  <c r="W208" i="32" l="1"/>
  <c r="X208" i="32" s="1"/>
  <c r="W207" i="32"/>
  <c r="X207" i="32" s="1"/>
  <c r="W158" i="32"/>
  <c r="X158" i="32" s="1"/>
  <c r="W171" i="32"/>
  <c r="X171" i="32" s="1"/>
  <c r="W191" i="32"/>
  <c r="X191" i="32" s="1"/>
  <c r="W198" i="32"/>
  <c r="X198" i="32" s="1"/>
  <c r="W211" i="32"/>
  <c r="X211" i="32" s="1"/>
  <c r="W189" i="32"/>
  <c r="X189" i="32" s="1"/>
  <c r="W157" i="32"/>
  <c r="X157" i="32" s="1"/>
  <c r="W194" i="32"/>
  <c r="X194" i="32" s="1"/>
  <c r="W176" i="32"/>
  <c r="X176" i="32" s="1"/>
  <c r="W167" i="32"/>
  <c r="X167" i="32" s="1"/>
  <c r="W197" i="32"/>
  <c r="X197" i="32" s="1"/>
  <c r="W185" i="32"/>
  <c r="X185" i="32" s="1"/>
  <c r="W177" i="32"/>
  <c r="X177" i="32" s="1"/>
  <c r="W166" i="32"/>
  <c r="X166" i="32" s="1"/>
  <c r="W202" i="32"/>
  <c r="X202" i="32" s="1"/>
  <c r="W174" i="32"/>
  <c r="X174" i="32" s="1"/>
  <c r="W192" i="32"/>
  <c r="X192" i="32" s="1"/>
  <c r="W205" i="32"/>
  <c r="X205" i="32" s="1"/>
  <c r="W210" i="32"/>
  <c r="X210" i="32" s="1"/>
  <c r="W195" i="32"/>
  <c r="X195" i="32" s="1"/>
  <c r="W175" i="32"/>
  <c r="X175" i="32" s="1"/>
  <c r="W203" i="32"/>
  <c r="X203" i="32" s="1"/>
  <c r="W212" i="32"/>
  <c r="X212" i="32" s="1"/>
  <c r="W162" i="32"/>
  <c r="X162" i="32" s="1"/>
  <c r="W187" i="32"/>
  <c r="X187" i="32" s="1"/>
  <c r="W200" i="32"/>
  <c r="X200" i="32" s="1"/>
  <c r="W164" i="32"/>
  <c r="X164" i="32" s="1"/>
  <c r="W199" i="32"/>
  <c r="X199" i="32" s="1"/>
  <c r="W201" i="32"/>
  <c r="X201" i="32" s="1"/>
  <c r="W173" i="32"/>
  <c r="X173" i="32" s="1"/>
  <c r="W165" i="32"/>
  <c r="X165" i="32" s="1"/>
  <c r="W161" i="32"/>
  <c r="X161" i="32" s="1"/>
  <c r="W169" i="32"/>
  <c r="X169" i="32" s="1"/>
  <c r="W178" i="32"/>
  <c r="X178" i="32" s="1"/>
  <c r="W209" i="32"/>
  <c r="X209" i="32" s="1"/>
  <c r="W160" i="32"/>
  <c r="X160" i="32" s="1"/>
  <c r="W168" i="32"/>
  <c r="X168" i="32" s="1"/>
  <c r="W193" i="32"/>
  <c r="X193" i="32" s="1"/>
  <c r="W206" i="32"/>
  <c r="X206" i="32" s="1"/>
  <c r="W155" i="32"/>
  <c r="X155" i="32" s="1"/>
  <c r="W179" i="32"/>
  <c r="X179" i="32" s="1"/>
  <c r="W163" i="32"/>
  <c r="X163" i="32" s="1"/>
  <c r="W190" i="32"/>
  <c r="X190" i="32" s="1"/>
  <c r="W170" i="32"/>
  <c r="X170" i="32" s="1"/>
  <c r="W184" i="32"/>
  <c r="X184" i="32" s="1"/>
  <c r="W172" i="32"/>
  <c r="X172" i="32" s="1"/>
  <c r="W156" i="32"/>
  <c r="X156" i="32" s="1"/>
  <c r="W182" i="32"/>
  <c r="X182" i="32" s="1"/>
  <c r="W204" i="32"/>
  <c r="X204" i="32" s="1"/>
  <c r="W181" i="32"/>
  <c r="X181" i="32" s="1"/>
  <c r="W196" i="32"/>
  <c r="X196" i="32" s="1"/>
  <c r="W153" i="32"/>
  <c r="X153" i="32" s="1"/>
  <c r="W159" i="32"/>
  <c r="X159" i="32" s="1"/>
  <c r="W154" i="32"/>
  <c r="X154" i="32" s="1"/>
  <c r="W183" i="32"/>
  <c r="X183" i="32" s="1"/>
  <c r="W180" i="32"/>
  <c r="X180" i="32" s="1"/>
  <c r="W188" i="32"/>
  <c r="X188" i="32" s="1"/>
  <c r="W186" i="32"/>
  <c r="X186" i="32" s="1"/>
  <c r="T172" i="32"/>
  <c r="U172" i="32" s="1"/>
  <c r="T184" i="32"/>
  <c r="U184" i="32" s="1"/>
  <c r="T211" i="32"/>
  <c r="U211" i="32" s="1"/>
  <c r="T209" i="32"/>
  <c r="U209" i="32" s="1"/>
  <c r="T201" i="32"/>
  <c r="U201" i="32" s="1"/>
  <c r="T203" i="32"/>
  <c r="U203" i="32" s="1"/>
  <c r="T157" i="32"/>
  <c r="U157" i="32" s="1"/>
  <c r="T171" i="32"/>
  <c r="U171" i="32" s="1"/>
  <c r="T208" i="32"/>
  <c r="U208" i="32" s="1"/>
  <c r="T164" i="32"/>
  <c r="U164" i="32" s="1"/>
  <c r="T170" i="32"/>
  <c r="U170" i="32" s="1"/>
  <c r="T181" i="32"/>
  <c r="U181" i="32" s="1"/>
  <c r="T173" i="32"/>
  <c r="U173" i="32" s="1"/>
  <c r="T212" i="32"/>
  <c r="U212" i="32" s="1"/>
  <c r="T166" i="32"/>
  <c r="U166" i="32" s="1"/>
  <c r="T193" i="32"/>
  <c r="U193" i="32" s="1"/>
  <c r="T198" i="32"/>
  <c r="U198" i="32" s="1"/>
  <c r="T178" i="32"/>
  <c r="U178" i="32" s="1"/>
  <c r="T176" i="32"/>
  <c r="U176" i="32" s="1"/>
  <c r="T159" i="32"/>
  <c r="U159" i="32" s="1"/>
  <c r="T206" i="32"/>
  <c r="U206" i="32" s="1"/>
  <c r="T202" i="32"/>
  <c r="U202" i="32" s="1"/>
  <c r="T156" i="32"/>
  <c r="U156" i="32" s="1"/>
  <c r="T175" i="32"/>
  <c r="U175" i="32" s="1"/>
  <c r="T153" i="32"/>
  <c r="U153" i="32" s="1"/>
  <c r="T155" i="32"/>
  <c r="U155" i="32" s="1"/>
  <c r="T180" i="32"/>
  <c r="U180" i="32" s="1"/>
  <c r="T194" i="32"/>
  <c r="U194" i="32" s="1"/>
  <c r="T186" i="32"/>
  <c r="U186" i="32" s="1"/>
  <c r="T165" i="32"/>
  <c r="U165" i="32" s="1"/>
  <c r="T167" i="32"/>
  <c r="U167" i="32" s="1"/>
  <c r="T192" i="32"/>
  <c r="U192" i="32" s="1"/>
  <c r="T182" i="32"/>
  <c r="U182" i="32" s="1"/>
  <c r="T174" i="32"/>
  <c r="U174" i="32" s="1"/>
  <c r="T161" i="32"/>
  <c r="U161" i="32" s="1"/>
  <c r="T210" i="32"/>
  <c r="U210" i="32" s="1"/>
  <c r="T196" i="32"/>
  <c r="U196" i="32" s="1"/>
  <c r="T177" i="32"/>
  <c r="U177" i="32" s="1"/>
  <c r="T179" i="32"/>
  <c r="U179" i="32" s="1"/>
  <c r="T204" i="32"/>
  <c r="U204" i="32" s="1"/>
  <c r="T160" i="32"/>
  <c r="U160" i="32" s="1"/>
  <c r="T158" i="32"/>
  <c r="U158" i="32" s="1"/>
  <c r="T163" i="32"/>
  <c r="U163" i="32" s="1"/>
  <c r="T185" i="32"/>
  <c r="U185" i="32" s="1"/>
  <c r="T207" i="32"/>
  <c r="U207" i="32" s="1"/>
  <c r="T200" i="32"/>
  <c r="U200" i="32" s="1"/>
  <c r="T195" i="32"/>
  <c r="U195" i="32" s="1"/>
  <c r="T189" i="32"/>
  <c r="U189" i="32" s="1"/>
  <c r="T191" i="32"/>
  <c r="U191" i="32" s="1"/>
  <c r="T188" i="32"/>
  <c r="U188" i="32" s="1"/>
  <c r="T154" i="32"/>
  <c r="U154" i="32" s="1"/>
  <c r="T169" i="32"/>
  <c r="U169" i="32" s="1"/>
  <c r="T205" i="32"/>
  <c r="U205" i="32" s="1"/>
  <c r="T190" i="32"/>
  <c r="U190" i="32" s="1"/>
  <c r="T183" i="32"/>
  <c r="U183" i="32" s="1"/>
  <c r="T168" i="32"/>
  <c r="U168" i="32" s="1"/>
  <c r="T162" i="32"/>
  <c r="U162" i="32" s="1"/>
  <c r="T187" i="32"/>
  <c r="U187" i="32" s="1"/>
  <c r="T197" i="32"/>
  <c r="U197" i="32" s="1"/>
  <c r="T199" i="32"/>
  <c r="U199" i="32" s="1"/>
  <c r="W152" i="32"/>
  <c r="X152" i="32" s="1"/>
  <c r="W151" i="32"/>
  <c r="X151" i="32" s="1"/>
  <c r="W150" i="32"/>
  <c r="X150" i="32" s="1"/>
  <c r="W144" i="32"/>
  <c r="X144" i="32" s="1"/>
  <c r="W148" i="32"/>
  <c r="X148" i="32" s="1"/>
  <c r="W146" i="32"/>
  <c r="X146" i="32" s="1"/>
  <c r="W147" i="32"/>
  <c r="X147" i="32" s="1"/>
  <c r="W149" i="32"/>
  <c r="X149" i="32" s="1"/>
  <c r="W145" i="32"/>
  <c r="X145" i="32" s="1"/>
  <c r="W142" i="32"/>
  <c r="X142" i="32" s="1"/>
  <c r="W141" i="32"/>
  <c r="X141" i="32" s="1"/>
  <c r="W143" i="32"/>
  <c r="X143" i="32" s="1"/>
  <c r="W92" i="32"/>
  <c r="X92" i="32" s="1"/>
  <c r="W108" i="32"/>
  <c r="X108" i="32" s="1"/>
  <c r="W109" i="32"/>
  <c r="X109" i="32" s="1"/>
  <c r="W73" i="32"/>
  <c r="X73" i="32" s="1"/>
  <c r="W110" i="32"/>
  <c r="X110" i="32" s="1"/>
  <c r="W93" i="32"/>
  <c r="X93" i="32" s="1"/>
  <c r="W35" i="32"/>
  <c r="X35" i="32" s="1"/>
  <c r="W119" i="32"/>
  <c r="X119" i="32" s="1"/>
  <c r="W56" i="32"/>
  <c r="X56" i="32" s="1"/>
  <c r="W96" i="32"/>
  <c r="X96" i="32" s="1"/>
  <c r="W66" i="32"/>
  <c r="X66" i="32" s="1"/>
  <c r="W101" i="32"/>
  <c r="X101" i="32" s="1"/>
  <c r="W139" i="32"/>
  <c r="X139" i="32" s="1"/>
  <c r="W71" i="32"/>
  <c r="X71" i="32" s="1"/>
  <c r="W128" i="32"/>
  <c r="X128" i="32" s="1"/>
  <c r="W34" i="32"/>
  <c r="X34" i="32" s="1"/>
  <c r="W49" i="32"/>
  <c r="X49" i="32" s="1"/>
  <c r="W40" i="32"/>
  <c r="X40" i="32" s="1"/>
  <c r="W116" i="32"/>
  <c r="X116" i="32" s="1"/>
  <c r="W111" i="32"/>
  <c r="X111" i="32" s="1"/>
  <c r="W91" i="32"/>
  <c r="X91" i="32" s="1"/>
  <c r="W88" i="32"/>
  <c r="X88" i="32" s="1"/>
  <c r="W130" i="32"/>
  <c r="X130" i="32" s="1"/>
  <c r="W76" i="32"/>
  <c r="X76" i="32" s="1"/>
  <c r="W78" i="32"/>
  <c r="X78" i="32" s="1"/>
  <c r="W105" i="32"/>
  <c r="X105" i="32" s="1"/>
  <c r="W138" i="32"/>
  <c r="X138" i="32" s="1"/>
  <c r="W131" i="32"/>
  <c r="X131" i="32" s="1"/>
  <c r="W94" i="32"/>
  <c r="X94" i="32" s="1"/>
  <c r="W82" i="32"/>
  <c r="X82" i="32" s="1"/>
  <c r="W124" i="32"/>
  <c r="X124" i="32" s="1"/>
  <c r="W102" i="32"/>
  <c r="X102" i="32" s="1"/>
  <c r="W42" i="32"/>
  <c r="X42" i="32" s="1"/>
  <c r="W112" i="32"/>
  <c r="X112" i="32" s="1"/>
  <c r="W39" i="32"/>
  <c r="X39" i="32" s="1"/>
  <c r="W135" i="32"/>
  <c r="X135" i="32" s="1"/>
  <c r="W95" i="32"/>
  <c r="X95" i="32" s="1"/>
  <c r="W75" i="32"/>
  <c r="X75" i="32" s="1"/>
  <c r="W53" i="32"/>
  <c r="X53" i="32" s="1"/>
  <c r="W46" i="32"/>
  <c r="X46" i="32" s="1"/>
  <c r="W72" i="32"/>
  <c r="X72" i="32" s="1"/>
  <c r="W36" i="32"/>
  <c r="X36" i="32" s="1"/>
  <c r="W80" i="32"/>
  <c r="X80" i="32" s="1"/>
  <c r="W85" i="32"/>
  <c r="X85" i="32" s="1"/>
  <c r="W136" i="32"/>
  <c r="X136" i="32" s="1"/>
  <c r="W98" i="32"/>
  <c r="X98" i="32" s="1"/>
  <c r="W55" i="32"/>
  <c r="X55" i="32" s="1"/>
  <c r="W38" i="32"/>
  <c r="X38" i="32" s="1"/>
  <c r="W113" i="32"/>
  <c r="X113" i="32" s="1"/>
  <c r="W86" i="32"/>
  <c r="X86" i="32" s="1"/>
  <c r="W45" i="32"/>
  <c r="X45" i="32" s="1"/>
  <c r="W133" i="32"/>
  <c r="X133" i="32" s="1"/>
  <c r="W81" i="32"/>
  <c r="X81" i="32" s="1"/>
  <c r="W115" i="32"/>
  <c r="X115" i="32" s="1"/>
  <c r="W89" i="32"/>
  <c r="X89" i="32" s="1"/>
  <c r="W129" i="32"/>
  <c r="X129" i="32" s="1"/>
  <c r="W74" i="32"/>
  <c r="X74" i="32" s="1"/>
  <c r="W51" i="32"/>
  <c r="X51" i="32" s="1"/>
  <c r="W123" i="32"/>
  <c r="X123" i="32" s="1"/>
  <c r="W70" i="32"/>
  <c r="X70" i="32" s="1"/>
  <c r="W114" i="32"/>
  <c r="X114" i="32" s="1"/>
  <c r="C27" i="32"/>
  <c r="C28" i="32" s="1"/>
  <c r="W68" i="32"/>
  <c r="X68" i="32" s="1"/>
  <c r="W106" i="32"/>
  <c r="X106" i="32" s="1"/>
  <c r="W125" i="32"/>
  <c r="X125" i="32" s="1"/>
  <c r="W64" i="32"/>
  <c r="X64" i="32" s="1"/>
  <c r="W58" i="32"/>
  <c r="X58" i="32" s="1"/>
  <c r="W134" i="32"/>
  <c r="X134" i="32" s="1"/>
  <c r="W140" i="32"/>
  <c r="X140" i="32" s="1"/>
  <c r="W99" i="32"/>
  <c r="X99" i="32" s="1"/>
  <c r="W132" i="32"/>
  <c r="X132" i="32" s="1"/>
  <c r="W107" i="32"/>
  <c r="X107" i="32" s="1"/>
  <c r="W63" i="32"/>
  <c r="X63" i="32" s="1"/>
  <c r="W118" i="32"/>
  <c r="X118" i="32" s="1"/>
  <c r="W120" i="32"/>
  <c r="X120" i="32" s="1"/>
  <c r="W126" i="32"/>
  <c r="X126" i="32" s="1"/>
  <c r="W65" i="32"/>
  <c r="X65" i="32" s="1"/>
  <c r="W44" i="32"/>
  <c r="X44" i="32" s="1"/>
  <c r="W83" i="32"/>
  <c r="X83" i="32" s="1"/>
  <c r="W60" i="32"/>
  <c r="X60" i="32" s="1"/>
  <c r="W90" i="32"/>
  <c r="X90" i="32" s="1"/>
  <c r="W121" i="32"/>
  <c r="X121" i="32" s="1"/>
  <c r="W97" i="32"/>
  <c r="X97" i="32" s="1"/>
  <c r="W41" i="32"/>
  <c r="X41" i="32" s="1"/>
  <c r="W48" i="32"/>
  <c r="X48" i="32" s="1"/>
  <c r="W54" i="32"/>
  <c r="X54" i="32" s="1"/>
  <c r="W37" i="32"/>
  <c r="X37" i="32" s="1"/>
  <c r="W117" i="32"/>
  <c r="X117" i="32" s="1"/>
  <c r="W137" i="32"/>
  <c r="X137" i="32" s="1"/>
  <c r="W43" i="32"/>
  <c r="X43" i="32" s="1"/>
  <c r="W61" i="32"/>
  <c r="X61" i="32" s="1"/>
  <c r="W50" i="32"/>
  <c r="X50" i="32" s="1"/>
  <c r="W100" i="32"/>
  <c r="X100" i="32" s="1"/>
  <c r="W59" i="32"/>
  <c r="X59" i="32" s="1"/>
  <c r="W79" i="32"/>
  <c r="X79" i="32" s="1"/>
  <c r="W67" i="32"/>
  <c r="X67" i="32" s="1"/>
  <c r="W84" i="32"/>
  <c r="X84" i="32" s="1"/>
  <c r="W33" i="32"/>
  <c r="W69" i="32"/>
  <c r="X69" i="32" s="1"/>
  <c r="W62" i="32"/>
  <c r="X62" i="32" s="1"/>
  <c r="W122" i="32"/>
  <c r="X122" i="32" s="1"/>
  <c r="W104" i="32"/>
  <c r="X104" i="32" s="1"/>
  <c r="W77" i="32"/>
  <c r="X77" i="32" s="1"/>
  <c r="W57" i="32"/>
  <c r="X57" i="32" s="1"/>
  <c r="W103" i="32"/>
  <c r="X103" i="32" s="1"/>
  <c r="W127" i="32"/>
  <c r="X127" i="32" s="1"/>
  <c r="W52" i="32"/>
  <c r="X52" i="32" s="1"/>
  <c r="W87" i="32"/>
  <c r="X87" i="32" s="1"/>
  <c r="W47" i="32"/>
  <c r="X47" i="32" s="1"/>
  <c r="T78" i="32"/>
  <c r="U78" i="32" s="1"/>
  <c r="T137" i="32"/>
  <c r="U137" i="32" s="1"/>
  <c r="T63" i="32"/>
  <c r="U63" i="32" s="1"/>
  <c r="T87" i="32"/>
  <c r="U87" i="32" s="1"/>
  <c r="T150" i="32"/>
  <c r="U150" i="32" s="1"/>
  <c r="T95" i="32"/>
  <c r="U95" i="32" s="1"/>
  <c r="T96" i="32"/>
  <c r="U96" i="32" s="1"/>
  <c r="T127" i="32"/>
  <c r="U127" i="32" s="1"/>
  <c r="T114" i="32"/>
  <c r="U114" i="32" s="1"/>
  <c r="T77" i="32"/>
  <c r="U77" i="32" s="1"/>
  <c r="T75" i="32"/>
  <c r="U75" i="32" s="1"/>
  <c r="T79" i="32"/>
  <c r="U79" i="32" s="1"/>
  <c r="T136" i="32"/>
  <c r="U136" i="32" s="1"/>
  <c r="T41" i="32"/>
  <c r="U41" i="32" s="1"/>
  <c r="T148" i="32"/>
  <c r="U148" i="32" s="1"/>
  <c r="T61" i="32"/>
  <c r="U61" i="32" s="1"/>
  <c r="T73" i="32"/>
  <c r="U73" i="32" s="1"/>
  <c r="T65" i="32"/>
  <c r="U65" i="32" s="1"/>
  <c r="T64" i="32"/>
  <c r="U64" i="32" s="1"/>
  <c r="T98" i="32"/>
  <c r="U98" i="32" s="1"/>
  <c r="C13" i="32"/>
  <c r="T110" i="32"/>
  <c r="U110" i="32" s="1"/>
  <c r="T39" i="32"/>
  <c r="U39" i="32" s="1"/>
  <c r="T56" i="32"/>
  <c r="U56" i="32" s="1"/>
  <c r="T51" i="32"/>
  <c r="U51" i="32" s="1"/>
  <c r="T130" i="32"/>
  <c r="U130" i="32" s="1"/>
  <c r="T84" i="32"/>
  <c r="U84" i="32" s="1"/>
  <c r="T134" i="32"/>
  <c r="U134" i="32" s="1"/>
  <c r="T90" i="32"/>
  <c r="U90" i="32" s="1"/>
  <c r="T117" i="32"/>
  <c r="U117" i="32" s="1"/>
  <c r="T55" i="32"/>
  <c r="U55" i="32" s="1"/>
  <c r="T86" i="32"/>
  <c r="U86" i="32" s="1"/>
  <c r="T147" i="32"/>
  <c r="U147" i="32" s="1"/>
  <c r="T112" i="32"/>
  <c r="U112" i="32" s="1"/>
  <c r="T100" i="32"/>
  <c r="U100" i="32" s="1"/>
  <c r="T104" i="32"/>
  <c r="U104" i="32" s="1"/>
  <c r="T83" i="32"/>
  <c r="U83" i="32" s="1"/>
  <c r="T37" i="32"/>
  <c r="U37" i="32" s="1"/>
  <c r="T67" i="32"/>
  <c r="U67" i="32" s="1"/>
  <c r="T146" i="32"/>
  <c r="U146" i="32" s="1"/>
  <c r="T70" i="32"/>
  <c r="U70" i="32" s="1"/>
  <c r="T91" i="32"/>
  <c r="U91" i="32" s="1"/>
  <c r="T119" i="32"/>
  <c r="U119" i="32" s="1"/>
  <c r="T131" i="32"/>
  <c r="U131" i="32" s="1"/>
  <c r="T94" i="32"/>
  <c r="U94" i="32" s="1"/>
  <c r="T48" i="32"/>
  <c r="U48" i="32" s="1"/>
  <c r="T60" i="32"/>
  <c r="U60" i="32" s="1"/>
  <c r="T102" i="32"/>
  <c r="U102" i="32" s="1"/>
  <c r="T52" i="32"/>
  <c r="U52" i="32" s="1"/>
  <c r="T46" i="32"/>
  <c r="U46" i="32" s="1"/>
  <c r="T105" i="32"/>
  <c r="U105" i="32" s="1"/>
  <c r="T129" i="32"/>
  <c r="U129" i="32" s="1"/>
  <c r="T109" i="32"/>
  <c r="U109" i="32" s="1"/>
  <c r="T145" i="32"/>
  <c r="U145" i="32" s="1"/>
  <c r="T47" i="32"/>
  <c r="U47" i="32" s="1"/>
  <c r="T38" i="32"/>
  <c r="U38" i="32" s="1"/>
  <c r="T123" i="32"/>
  <c r="U123" i="32" s="1"/>
  <c r="T149" i="32"/>
  <c r="U149" i="32" s="1"/>
  <c r="T101" i="32"/>
  <c r="U101" i="32" s="1"/>
  <c r="T143" i="32"/>
  <c r="U143" i="32" s="1"/>
  <c r="T58" i="32"/>
  <c r="U58" i="32" s="1"/>
  <c r="T140" i="32"/>
  <c r="U140" i="32" s="1"/>
  <c r="T108" i="32"/>
  <c r="U108" i="32" s="1"/>
  <c r="T120" i="32"/>
  <c r="U120" i="32" s="1"/>
  <c r="T36" i="32"/>
  <c r="U36" i="32" s="1"/>
  <c r="T54" i="32"/>
  <c r="U54" i="32" s="1"/>
  <c r="T66" i="32"/>
  <c r="U66" i="32" s="1"/>
  <c r="T50" i="32"/>
  <c r="U50" i="32" s="1"/>
  <c r="T57" i="32"/>
  <c r="U57" i="32" s="1"/>
  <c r="T132" i="32"/>
  <c r="U132" i="32" s="1"/>
  <c r="T144" i="32"/>
  <c r="U144" i="32" s="1"/>
  <c r="T88" i="32"/>
  <c r="U88" i="32" s="1"/>
  <c r="T97" i="32"/>
  <c r="U97" i="32" s="1"/>
  <c r="T121" i="32"/>
  <c r="U121" i="32" s="1"/>
  <c r="T76" i="32"/>
  <c r="U76" i="32" s="1"/>
  <c r="T126" i="32"/>
  <c r="U126" i="32" s="1"/>
  <c r="T111" i="32"/>
  <c r="U111" i="32" s="1"/>
  <c r="T45" i="32"/>
  <c r="U45" i="32" s="1"/>
  <c r="T107" i="32"/>
  <c r="U107" i="32" s="1"/>
  <c r="T133" i="32"/>
  <c r="U133" i="32" s="1"/>
  <c r="T116" i="32"/>
  <c r="U116" i="32" s="1"/>
  <c r="T82" i="32"/>
  <c r="U82" i="32" s="1"/>
  <c r="T74" i="32"/>
  <c r="U74" i="32" s="1"/>
  <c r="T142" i="32"/>
  <c r="U142" i="32" s="1"/>
  <c r="T113" i="32"/>
  <c r="U113" i="32" s="1"/>
  <c r="T128" i="32"/>
  <c r="U128" i="32" s="1"/>
  <c r="T62" i="32"/>
  <c r="U62" i="32" s="1"/>
  <c r="T99" i="32"/>
  <c r="U99" i="32" s="1"/>
  <c r="T103" i="32"/>
  <c r="U103" i="32" s="1"/>
  <c r="T106" i="32"/>
  <c r="U106" i="32" s="1"/>
  <c r="T89" i="32"/>
  <c r="U89" i="32" s="1"/>
  <c r="T115" i="32"/>
  <c r="U115" i="32" s="1"/>
  <c r="T69" i="32"/>
  <c r="U69" i="32" s="1"/>
  <c r="T59" i="32"/>
  <c r="U59" i="32" s="1"/>
  <c r="T151" i="32"/>
  <c r="U151" i="32" s="1"/>
  <c r="T43" i="32"/>
  <c r="U43" i="32" s="1"/>
  <c r="T125" i="32"/>
  <c r="U125" i="32" s="1"/>
  <c r="T124" i="32"/>
  <c r="U124" i="32" s="1"/>
  <c r="T85" i="32"/>
  <c r="U85" i="32" s="1"/>
  <c r="T35" i="32"/>
  <c r="U35" i="32" s="1"/>
  <c r="T53" i="32"/>
  <c r="U53" i="32" s="1"/>
  <c r="T80" i="32"/>
  <c r="U80" i="32" s="1"/>
  <c r="T33" i="32"/>
  <c r="T81" i="32"/>
  <c r="U81" i="32" s="1"/>
  <c r="T118" i="32"/>
  <c r="U118" i="32" s="1"/>
  <c r="T92" i="32"/>
  <c r="U92" i="32" s="1"/>
  <c r="T34" i="32"/>
  <c r="U34" i="32" s="1"/>
  <c r="T71" i="32"/>
  <c r="U71" i="32" s="1"/>
  <c r="T93" i="32"/>
  <c r="U93" i="32" s="1"/>
  <c r="T68" i="32"/>
  <c r="U68" i="32" s="1"/>
  <c r="T139" i="32"/>
  <c r="U139" i="32" s="1"/>
  <c r="T138" i="32"/>
  <c r="U138" i="32" s="1"/>
  <c r="T122" i="32"/>
  <c r="U122" i="32" s="1"/>
  <c r="T49" i="32"/>
  <c r="U49" i="32" s="1"/>
  <c r="T40" i="32"/>
  <c r="U40" i="32" s="1"/>
  <c r="T152" i="32"/>
  <c r="U152" i="32" s="1"/>
  <c r="T72" i="32"/>
  <c r="U72" i="32" s="1"/>
  <c r="T42" i="32"/>
  <c r="U42" i="32" s="1"/>
  <c r="T141" i="32"/>
  <c r="U141" i="32" s="1"/>
  <c r="T135" i="32"/>
  <c r="U135" i="32" s="1"/>
  <c r="T44" i="32"/>
  <c r="U44" i="32" s="1"/>
  <c r="AH10" i="32"/>
  <c r="AI9" i="32"/>
  <c r="AE17" i="32" l="1"/>
  <c r="AF17" i="32" s="1"/>
  <c r="AE14" i="32"/>
  <c r="AF14" i="32" s="1"/>
  <c r="AE15" i="32"/>
  <c r="AF15" i="32" s="1"/>
  <c r="AE18" i="32"/>
  <c r="AE16" i="32"/>
  <c r="AF16" i="32" s="1"/>
  <c r="AE11" i="32"/>
  <c r="AF11" i="32" s="1"/>
  <c r="AE4" i="32"/>
  <c r="AF4" i="32" s="1"/>
  <c r="AE8" i="32"/>
  <c r="AF8" i="32" s="1"/>
  <c r="AE10" i="32"/>
  <c r="AF10" i="32" s="1"/>
  <c r="AE7" i="32"/>
  <c r="AF7" i="32" s="1"/>
  <c r="C14" i="32"/>
  <c r="K12" i="32" s="1"/>
  <c r="AE13" i="32"/>
  <c r="AE5" i="32"/>
  <c r="AF5" i="32" s="1"/>
  <c r="C15" i="32"/>
  <c r="AE6" i="32"/>
  <c r="AF6" i="32" s="1"/>
  <c r="AE9" i="32"/>
  <c r="AF9" i="32" s="1"/>
  <c r="AE12" i="32"/>
  <c r="AF12" i="32" s="1"/>
  <c r="U31" i="32"/>
  <c r="U33" i="32"/>
  <c r="U29" i="32" s="1"/>
  <c r="X31" i="32"/>
  <c r="X33" i="32"/>
  <c r="X29" i="32" s="1"/>
  <c r="AI10" i="32"/>
  <c r="AH11" i="32"/>
  <c r="AF23" i="32"/>
  <c r="AF33" i="32"/>
  <c r="AF53" i="32"/>
  <c r="C24" i="32"/>
  <c r="K5" i="32" l="1"/>
  <c r="S5" i="32" s="1"/>
  <c r="C16" i="32" s="1"/>
  <c r="AF18" i="32" s="1"/>
  <c r="M12" i="32"/>
  <c r="C29" i="32"/>
  <c r="K7" i="32"/>
  <c r="U5" i="32" s="1"/>
  <c r="X28" i="32" s="1"/>
  <c r="AI11" i="32"/>
  <c r="AH12" i="32"/>
  <c r="L13" i="32"/>
  <c r="AF13" i="32" l="1"/>
  <c r="L12" i="32"/>
  <c r="U28" i="32"/>
  <c r="AI12" i="32"/>
  <c r="AH13" i="32"/>
  <c r="AI13" i="32" l="1"/>
  <c r="AH14" i="32"/>
  <c r="AI14" i="32" l="1"/>
  <c r="AH15" i="32"/>
  <c r="AI15" i="32" l="1"/>
  <c r="AH16" i="32"/>
  <c r="AI16" i="32" l="1"/>
  <c r="AH17" i="32"/>
  <c r="AI17" i="32" l="1"/>
  <c r="AH18" i="32"/>
  <c r="AI18" i="3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<sst xmlns="http://schemas.openxmlformats.org/spreadsheetml/2006/main" count="76" uniqueCount="64">
  <si>
    <t>Inflation Rate</t>
  </si>
  <si>
    <t>* For Educational Purposes Only</t>
  </si>
  <si>
    <t>Goal Amount</t>
  </si>
  <si>
    <t>Expected Rate of Return</t>
  </si>
  <si>
    <t>Inflation Adjusted Goal Amount</t>
  </si>
  <si>
    <t>Selected Rate</t>
  </si>
  <si>
    <t>Goal Amount to Use?</t>
  </si>
  <si>
    <t>SIP (Monthly) Required to Reach Goal</t>
  </si>
  <si>
    <t>Total Amount Invested in New SIP</t>
  </si>
  <si>
    <t>Tenure to Achieve Goal</t>
  </si>
  <si>
    <t>Cost of Delay - Additional Amount Paid</t>
  </si>
  <si>
    <t>New SIP (Monthly) due to delay</t>
  </si>
  <si>
    <t>Capital Gains Tax Rate</t>
  </si>
  <si>
    <t>Chart</t>
  </si>
  <si>
    <t>SIP1 Tax</t>
  </si>
  <si>
    <t>No Tax SIP</t>
  </si>
  <si>
    <t>SIP1Rate</t>
  </si>
  <si>
    <t>Capital Gains Tax</t>
  </si>
  <si>
    <t>SIP1 Gain</t>
  </si>
  <si>
    <t>SIP2 Gain</t>
  </si>
  <si>
    <t>Cap. Gains Tax Calc.</t>
  </si>
  <si>
    <t>Delay Calc.</t>
  </si>
  <si>
    <t>Doc Investment Corpus Table (Minus Cap. Gain Tax)</t>
  </si>
  <si>
    <t>Step-Up SIP Percentage per year</t>
  </si>
  <si>
    <t>Month</t>
  </si>
  <si>
    <t>Monthly</t>
  </si>
  <si>
    <t>Starting Amount</t>
  </si>
  <si>
    <t>Months</t>
  </si>
  <si>
    <t>Year</t>
  </si>
  <si>
    <t>Value</t>
  </si>
  <si>
    <t>Total Value</t>
  </si>
  <si>
    <t>GoalSeek</t>
  </si>
  <si>
    <t>SU_SIP Tax</t>
  </si>
  <si>
    <t>Total Amount Invested in SIP</t>
  </si>
  <si>
    <t>Total Amount Invested in Step-Up SIP</t>
  </si>
  <si>
    <t>SU_SIP E NoTax</t>
  </si>
  <si>
    <t>SU_SIP S NoTax</t>
  </si>
  <si>
    <t>NoTax S</t>
  </si>
  <si>
    <t>Step_Up</t>
  </si>
  <si>
    <t>SU NoTax</t>
  </si>
  <si>
    <t>SIP1 Tax Based</t>
  </si>
  <si>
    <t>Delay in Investing in SIP - Months</t>
  </si>
  <si>
    <t>Years (Max 75)</t>
  </si>
  <si>
    <t>SIP</t>
  </si>
  <si>
    <t>StepUP SIP</t>
  </si>
  <si>
    <t>Amount Invested</t>
  </si>
  <si>
    <t>Cap. Gains Tax</t>
  </si>
  <si>
    <t>Final Corpus Value</t>
  </si>
  <si>
    <t>Step-up SIP</t>
  </si>
  <si>
    <t>With Tax</t>
  </si>
  <si>
    <t>With Tax Taken out at the end</t>
  </si>
  <si>
    <t>Delay SIP1 Tax Based</t>
  </si>
  <si>
    <t>Delay SIP Gain</t>
  </si>
  <si>
    <t>Avl. Months</t>
  </si>
  <si>
    <t>SIP Tax</t>
  </si>
  <si>
    <t>Delay SIP Tax</t>
  </si>
  <si>
    <r>
      <rPr>
        <b/>
        <sz val="16"/>
        <color rgb="FF0070C0"/>
        <rFont val="Arial"/>
        <family val="2"/>
      </rPr>
      <t>GOAL with SIP</t>
    </r>
    <r>
      <rPr>
        <b/>
        <sz val="16"/>
        <color theme="8" tint="-0.499984740745262"/>
        <rFont val="Arial"/>
        <family val="2"/>
      </rPr>
      <t xml:space="preserve"> vs Step-Up SIP</t>
    </r>
  </si>
  <si>
    <r>
      <t xml:space="preserve">Step-Up SIP </t>
    </r>
    <r>
      <rPr>
        <b/>
        <sz val="10"/>
        <color theme="5" tint="-0.499984740745262"/>
        <rFont val="Arial"/>
        <family val="2"/>
      </rPr>
      <t>Starting</t>
    </r>
    <r>
      <rPr>
        <sz val="10"/>
        <color theme="5" tint="-0.499984740745262"/>
        <rFont val="Arial"/>
        <family val="2"/>
      </rPr>
      <t xml:space="preserve"> Amount</t>
    </r>
  </si>
  <si>
    <r>
      <t xml:space="preserve">Step-Up SIP </t>
    </r>
    <r>
      <rPr>
        <b/>
        <sz val="10"/>
        <color theme="5" tint="-0.499984740745262"/>
        <rFont val="Arial"/>
        <family val="2"/>
      </rPr>
      <t>Ending</t>
    </r>
    <r>
      <rPr>
        <sz val="10"/>
        <color theme="5" tint="-0.499984740745262"/>
        <rFont val="Arial"/>
        <family val="2"/>
      </rPr>
      <t xml:space="preserve"> Amount</t>
    </r>
  </si>
  <si>
    <t>Step-Up SIP</t>
  </si>
  <si>
    <t>Name:</t>
  </si>
  <si>
    <t>Mr. John Doe</t>
  </si>
  <si>
    <t>Age: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</si>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</sst>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₹&quot;\ #,##0;[Red]&quot;₹&quot;\ \-#,##0"/>
    <numFmt numFmtId="8" formatCode="&quot;₹&quot;\ #,##0.00;[Red]&quot;₹&quot;\ \-#,##0.00"/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  <numFmt numFmtId="166" formatCode="_ * #,##0_ ;_ * \-#,##0_ ;_ * &quot;-&quot;??_ ;_ @_ "/>
    <numFmt numFmtId="167" formatCode="0.0%"/>
    <numFmt numFmtId="168" formatCode="_ [$₹-4009]\ * #,##0.00_ ;_ [$₹-4009]\ * \-#,##0.00_ ;_ [$₹-4009]\ * &quot;-&quot;??_ ;_ @_ 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6"/>
      <color theme="8" tint="-0.499984740745262"/>
      <name val="Arial"/>
      <family val="2"/>
    </font>
    <font>
      <b/>
      <sz val="16"/>
      <color rgb="FF0070C0"/>
      <name val="Arial"/>
      <family val="2"/>
    </font>
    <font>
      <sz val="10"/>
      <color theme="4" tint="-0.499984740745262"/>
      <name val="Arial"/>
      <family val="2"/>
    </font>
    <font>
      <i/>
      <sz val="1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sz val="10"/>
      <color theme="5" tint="-0.499984740745262"/>
      <name val="Arial"/>
      <family val="2"/>
    </font>
    <font>
      <sz val="10"/>
      <color theme="9" tint="-0.499984740745262"/>
      <name val="Arial"/>
      <family val="2"/>
    </font>
    <font>
      <b/>
      <sz val="11"/>
      <color theme="0"/>
      <name val="Arial"/>
      <family val="2"/>
    </font>
    <font>
      <b/>
      <sz val="10"/>
      <color theme="5" tint="-0.499984740745262"/>
      <name val="Arial"/>
      <family val="2"/>
    </font>
    <font>
      <b/>
      <i/>
      <sz val="9"/>
      <color theme="7" tint="-0.24997711111789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F1E6"/>
        <bgColor indexed="64"/>
      </patternFill>
    </fill>
    <fill>
      <patternFill patternType="solid">
        <fgColor rgb="FFFDDDC3"/>
        <bgColor indexed="64"/>
      </patternFill>
    </fill>
    <fill>
      <patternFill patternType="solid">
        <fgColor rgb="FFFBCBA3"/>
        <bgColor indexed="64"/>
      </patternFill>
    </fill>
    <fill>
      <patternFill patternType="solid">
        <fgColor rgb="FFFABF8E"/>
        <bgColor indexed="64"/>
      </patternFill>
    </fill>
    <fill>
      <patternFill patternType="solid">
        <fgColor rgb="FFA8DADC"/>
        <bgColor indexed="64"/>
      </patternFill>
    </fill>
    <fill>
      <patternFill patternType="solid">
        <fgColor rgb="FFD3ECED"/>
        <bgColor indexed="64"/>
      </patternFill>
    </fill>
    <fill>
      <patternFill patternType="solid">
        <fgColor rgb="FF58B7BC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E7F6FD"/>
      </top>
      <bottom style="thin">
        <color rgb="FFE7F6F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E7F6FD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116">
    <xf numFmtId="0" fontId="0" fillId="0" borderId="0" xfId="0"/>
    <xf numFmtId="164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8" fontId="0" fillId="3" borderId="0" xfId="0" applyNumberFormat="1" applyFill="1" applyAlignment="1" applyProtection="1">
      <alignment vertical="center"/>
      <protection hidden="1"/>
    </xf>
    <xf numFmtId="0" fontId="6" fillId="3" borderId="0" xfId="3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6" fontId="0" fillId="3" borderId="0" xfId="0" applyNumberFormat="1" applyFill="1" applyAlignment="1" applyProtection="1">
      <alignment vertical="center"/>
      <protection hidden="1"/>
    </xf>
    <xf numFmtId="10" fontId="0" fillId="3" borderId="0" xfId="1" applyNumberFormat="1" applyFont="1" applyFill="1" applyAlignment="1" applyProtection="1">
      <alignment vertical="center"/>
      <protection hidden="1"/>
    </xf>
    <xf numFmtId="10" fontId="0" fillId="2" borderId="2" xfId="0" applyNumberFormat="1" applyFill="1" applyBorder="1" applyAlignment="1" applyProtection="1">
      <alignment vertical="center"/>
      <protection locked="0"/>
    </xf>
    <xf numFmtId="164" fontId="0" fillId="5" borderId="2" xfId="0" applyNumberFormat="1" applyFill="1" applyBorder="1" applyAlignment="1" applyProtection="1">
      <alignment vertical="center"/>
      <protection hidden="1"/>
    </xf>
    <xf numFmtId="0" fontId="0" fillId="3" borderId="0" xfId="1" applyNumberFormat="1" applyFont="1" applyFill="1" applyAlignment="1" applyProtection="1">
      <alignment vertical="center"/>
      <protection locked="0"/>
    </xf>
    <xf numFmtId="164" fontId="0" fillId="3" borderId="0" xfId="0" applyNumberForma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center" vertical="center"/>
      <protection locked="0"/>
    </xf>
    <xf numFmtId="165" fontId="0" fillId="3" borderId="0" xfId="0" applyNumberFormat="1" applyFill="1" applyAlignment="1" applyProtection="1">
      <alignment vertical="center"/>
      <protection hidden="1"/>
    </xf>
    <xf numFmtId="0" fontId="0" fillId="4" borderId="4" xfId="0" applyFill="1" applyBorder="1" applyAlignment="1" applyProtection="1">
      <alignment vertical="center"/>
      <protection hidden="1"/>
    </xf>
    <xf numFmtId="0" fontId="3" fillId="4" borderId="4" xfId="0" applyFont="1" applyFill="1" applyBorder="1" applyAlignment="1" applyProtection="1">
      <alignment vertical="center"/>
      <protection hidden="1"/>
    </xf>
    <xf numFmtId="166" fontId="0" fillId="3" borderId="0" xfId="2" applyNumberFormat="1" applyFont="1" applyFill="1" applyAlignment="1" applyProtection="1">
      <alignment vertical="center"/>
      <protection hidden="1"/>
    </xf>
    <xf numFmtId="10" fontId="0" fillId="2" borderId="4" xfId="1" applyNumberFormat="1" applyFont="1" applyFill="1" applyBorder="1" applyAlignment="1" applyProtection="1">
      <alignment vertical="center"/>
      <protection locked="0"/>
    </xf>
    <xf numFmtId="0" fontId="10" fillId="3" borderId="0" xfId="0" applyFont="1" applyFill="1" applyAlignment="1" applyProtection="1">
      <alignment vertical="center"/>
      <protection hidden="1"/>
    </xf>
    <xf numFmtId="10" fontId="0" fillId="2" borderId="3" xfId="0" applyNumberForma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hidden="1"/>
    </xf>
    <xf numFmtId="0" fontId="0" fillId="3" borderId="6" xfId="0" applyFill="1" applyBorder="1" applyAlignment="1" applyProtection="1">
      <alignment vertical="center"/>
      <protection hidden="1"/>
    </xf>
    <xf numFmtId="0" fontId="0" fillId="3" borderId="7" xfId="0" applyFill="1" applyBorder="1" applyAlignment="1" applyProtection="1">
      <alignment vertical="center"/>
      <protection hidden="1"/>
    </xf>
    <xf numFmtId="0" fontId="1" fillId="3" borderId="8" xfId="0" applyFont="1" applyFill="1" applyBorder="1" applyAlignment="1" applyProtection="1">
      <alignment vertical="center"/>
      <protection hidden="1"/>
    </xf>
    <xf numFmtId="167" fontId="0" fillId="3" borderId="0" xfId="1" applyNumberFormat="1" applyFont="1" applyFill="1" applyBorder="1" applyAlignment="1" applyProtection="1">
      <alignment vertical="center"/>
      <protection hidden="1"/>
    </xf>
    <xf numFmtId="0" fontId="0" fillId="3" borderId="9" xfId="0" applyFill="1" applyBorder="1" applyAlignment="1" applyProtection="1">
      <alignment vertical="center"/>
      <protection hidden="1"/>
    </xf>
    <xf numFmtId="165" fontId="1" fillId="3" borderId="0" xfId="0" applyNumberFormat="1" applyFont="1" applyFill="1" applyAlignment="1" applyProtection="1">
      <alignment vertical="center"/>
      <protection hidden="1"/>
    </xf>
    <xf numFmtId="0" fontId="0" fillId="3" borderId="8" xfId="0" applyFill="1" applyBorder="1" applyAlignment="1" applyProtection="1">
      <alignment vertical="center"/>
      <protection hidden="1"/>
    </xf>
    <xf numFmtId="0" fontId="0" fillId="3" borderId="10" xfId="0" applyFill="1" applyBorder="1" applyAlignment="1" applyProtection="1">
      <alignment vertical="center"/>
      <protection hidden="1"/>
    </xf>
    <xf numFmtId="164" fontId="0" fillId="3" borderId="11" xfId="0" applyNumberFormat="1" applyFill="1" applyBorder="1" applyAlignment="1" applyProtection="1">
      <alignment vertical="center"/>
      <protection hidden="1"/>
    </xf>
    <xf numFmtId="0" fontId="0" fillId="3" borderId="11" xfId="0" applyFill="1" applyBorder="1" applyAlignment="1" applyProtection="1">
      <alignment vertical="center"/>
      <protection hidden="1"/>
    </xf>
    <xf numFmtId="0" fontId="0" fillId="3" borderId="12" xfId="0" applyFill="1" applyBorder="1" applyAlignment="1" applyProtection="1">
      <alignment vertical="center"/>
      <protection hidden="1"/>
    </xf>
    <xf numFmtId="0" fontId="11" fillId="3" borderId="0" xfId="0" applyFont="1" applyFill="1" applyAlignment="1" applyProtection="1">
      <alignment vertical="center"/>
      <protection hidden="1"/>
    </xf>
    <xf numFmtId="166" fontId="11" fillId="3" borderId="0" xfId="2" applyNumberFormat="1" applyFont="1" applyFill="1" applyAlignment="1" applyProtection="1">
      <alignment vertical="center"/>
      <protection hidden="1"/>
    </xf>
    <xf numFmtId="166" fontId="12" fillId="3" borderId="0" xfId="2" applyNumberFormat="1" applyFont="1" applyFill="1" applyAlignment="1" applyProtection="1">
      <alignment vertical="center"/>
      <protection hidden="1"/>
    </xf>
    <xf numFmtId="166" fontId="12" fillId="3" borderId="0" xfId="0" applyNumberFormat="1" applyFont="1" applyFill="1" applyAlignment="1" applyProtection="1">
      <alignment vertical="center"/>
      <protection hidden="1"/>
    </xf>
    <xf numFmtId="164" fontId="2" fillId="3" borderId="0" xfId="0" applyNumberFormat="1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 vertical="center"/>
      <protection hidden="1"/>
    </xf>
    <xf numFmtId="0" fontId="1" fillId="8" borderId="0" xfId="0" applyFont="1" applyFill="1" applyAlignment="1" applyProtection="1">
      <alignment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1" fontId="0" fillId="3" borderId="0" xfId="0" applyNumberFormat="1" applyFill="1" applyAlignment="1" applyProtection="1">
      <alignment horizontal="left" vertical="center" indent="2"/>
      <protection hidden="1"/>
    </xf>
    <xf numFmtId="0" fontId="13" fillId="3" borderId="0" xfId="0" applyFont="1" applyFill="1" applyAlignment="1" applyProtection="1">
      <alignment vertical="center"/>
      <protection hidden="1"/>
    </xf>
    <xf numFmtId="6" fontId="0" fillId="9" borderId="0" xfId="0" applyNumberFormat="1" applyFill="1" applyAlignment="1" applyProtection="1">
      <alignment vertical="center"/>
      <protection hidden="1"/>
    </xf>
    <xf numFmtId="165" fontId="0" fillId="3" borderId="0" xfId="1" applyNumberFormat="1" applyFont="1" applyFill="1" applyBorder="1" applyAlignment="1" applyProtection="1">
      <alignment vertical="center"/>
      <protection hidden="1"/>
    </xf>
    <xf numFmtId="2" fontId="0" fillId="3" borderId="0" xfId="0" applyNumberFormat="1" applyFill="1" applyAlignment="1" applyProtection="1">
      <alignment vertical="center"/>
      <protection hidden="1"/>
    </xf>
    <xf numFmtId="165" fontId="0" fillId="3" borderId="6" xfId="0" applyNumberForma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vertical="center"/>
      <protection hidden="1"/>
    </xf>
    <xf numFmtId="165" fontId="0" fillId="3" borderId="9" xfId="0" applyNumberFormat="1" applyFill="1" applyBorder="1" applyAlignment="1" applyProtection="1">
      <alignment vertical="center"/>
      <protection hidden="1"/>
    </xf>
    <xf numFmtId="164" fontId="0" fillId="3" borderId="9" xfId="0" applyNumberFormat="1" applyFill="1" applyBorder="1" applyAlignment="1" applyProtection="1">
      <alignment vertical="center"/>
      <protection hidden="1"/>
    </xf>
    <xf numFmtId="0" fontId="2" fillId="3" borderId="8" xfId="0" applyFont="1" applyFill="1" applyBorder="1" applyAlignment="1" applyProtection="1">
      <alignment vertical="center"/>
      <protection hidden="1"/>
    </xf>
    <xf numFmtId="1" fontId="14" fillId="10" borderId="0" xfId="0" applyNumberFormat="1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locked="0"/>
    </xf>
    <xf numFmtId="0" fontId="4" fillId="11" borderId="1" xfId="0" applyFont="1" applyFill="1" applyBorder="1" applyAlignment="1" applyProtection="1">
      <alignment vertical="center"/>
      <protection hidden="1"/>
    </xf>
    <xf numFmtId="0" fontId="5" fillId="12" borderId="1" xfId="0" applyFont="1" applyFill="1" applyBorder="1" applyAlignment="1" applyProtection="1">
      <alignment vertical="center"/>
      <protection hidden="1"/>
    </xf>
    <xf numFmtId="165" fontId="5" fillId="12" borderId="1" xfId="0" applyNumberFormat="1" applyFont="1" applyFill="1" applyBorder="1" applyAlignment="1" applyProtection="1">
      <alignment vertical="center"/>
      <protection hidden="1"/>
    </xf>
    <xf numFmtId="0" fontId="4" fillId="13" borderId="1" xfId="0" applyFont="1" applyFill="1" applyBorder="1" applyAlignment="1" applyProtection="1">
      <alignment vertical="center"/>
      <protection hidden="1"/>
    </xf>
    <xf numFmtId="165" fontId="4" fillId="13" borderId="1" xfId="0" applyNumberFormat="1" applyFont="1" applyFill="1" applyBorder="1" applyAlignment="1" applyProtection="1">
      <alignment vertical="center"/>
      <protection hidden="1"/>
    </xf>
    <xf numFmtId="0" fontId="6" fillId="14" borderId="1" xfId="0" applyFont="1" applyFill="1" applyBorder="1" applyAlignment="1" applyProtection="1">
      <alignment vertical="center"/>
      <protection hidden="1"/>
    </xf>
    <xf numFmtId="165" fontId="6" fillId="14" borderId="1" xfId="0" applyNumberFormat="1" applyFont="1" applyFill="1" applyBorder="1" applyAlignment="1" applyProtection="1">
      <alignment vertical="center"/>
      <protection hidden="1"/>
    </xf>
    <xf numFmtId="165" fontId="16" fillId="15" borderId="0" xfId="0" applyNumberFormat="1" applyFont="1" applyFill="1" applyAlignment="1" applyProtection="1">
      <alignment horizontal="right" vertical="center"/>
      <protection hidden="1"/>
    </xf>
    <xf numFmtId="0" fontId="13" fillId="15" borderId="8" xfId="0" applyFont="1" applyFill="1" applyBorder="1" applyAlignment="1" applyProtection="1">
      <alignment vertical="center"/>
      <protection hidden="1"/>
    </xf>
    <xf numFmtId="0" fontId="13" fillId="16" borderId="8" xfId="0" applyFont="1" applyFill="1" applyBorder="1" applyAlignment="1" applyProtection="1">
      <alignment vertical="center"/>
      <protection hidden="1"/>
    </xf>
    <xf numFmtId="165" fontId="16" fillId="16" borderId="0" xfId="0" applyNumberFormat="1" applyFont="1" applyFill="1" applyAlignment="1" applyProtection="1">
      <alignment vertical="center"/>
      <protection hidden="1"/>
    </xf>
    <xf numFmtId="165" fontId="16" fillId="15" borderId="0" xfId="0" applyNumberFormat="1" applyFont="1" applyFill="1" applyAlignment="1" applyProtection="1">
      <alignment vertical="center"/>
      <protection hidden="1"/>
    </xf>
    <xf numFmtId="0" fontId="3" fillId="6" borderId="19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3" fillId="15" borderId="22" xfId="0" applyFont="1" applyFill="1" applyBorder="1" applyAlignment="1" applyProtection="1">
      <alignment vertical="center"/>
      <protection hidden="1"/>
    </xf>
    <xf numFmtId="164" fontId="16" fillId="15" borderId="23" xfId="0" applyNumberFormat="1" applyFont="1" applyFill="1" applyBorder="1" applyAlignment="1" applyProtection="1">
      <alignment vertical="center"/>
      <protection hidden="1"/>
    </xf>
    <xf numFmtId="9" fontId="13" fillId="2" borderId="0" xfId="1" applyFont="1" applyFill="1" applyBorder="1" applyAlignment="1" applyProtection="1">
      <alignment vertical="center"/>
      <protection locked="0"/>
    </xf>
    <xf numFmtId="164" fontId="16" fillId="16" borderId="0" xfId="0" applyNumberFormat="1" applyFont="1" applyFill="1" applyAlignment="1" applyProtection="1">
      <alignment vertical="center"/>
      <protection hidden="1"/>
    </xf>
    <xf numFmtId="164" fontId="16" fillId="15" borderId="0" xfId="0" applyNumberFormat="1" applyFont="1" applyFill="1" applyAlignment="1" applyProtection="1">
      <alignment vertical="center"/>
      <protection hidden="1"/>
    </xf>
    <xf numFmtId="165" fontId="11" fillId="7" borderId="20" xfId="0" applyNumberFormat="1" applyFont="1" applyFill="1" applyBorder="1" applyAlignment="1" applyProtection="1">
      <alignment vertical="center"/>
      <protection hidden="1"/>
    </xf>
    <xf numFmtId="164" fontId="11" fillId="7" borderId="20" xfId="0" applyNumberFormat="1" applyFont="1" applyFill="1" applyBorder="1" applyAlignment="1" applyProtection="1">
      <alignment vertical="center"/>
      <protection hidden="1"/>
    </xf>
    <xf numFmtId="44" fontId="0" fillId="8" borderId="0" xfId="0" applyNumberFormat="1" applyFill="1" applyAlignment="1" applyProtection="1">
      <alignment vertical="center"/>
      <protection locked="0"/>
    </xf>
    <xf numFmtId="44" fontId="0" fillId="3" borderId="0" xfId="0" applyNumberFormat="1" applyFill="1" applyAlignment="1" applyProtection="1">
      <alignment vertical="center"/>
      <protection hidden="1"/>
    </xf>
    <xf numFmtId="0" fontId="12" fillId="3" borderId="24" xfId="3" applyFont="1" applyFill="1" applyBorder="1" applyAlignment="1" applyProtection="1">
      <alignment vertical="center"/>
      <protection hidden="1"/>
    </xf>
    <xf numFmtId="0" fontId="11" fillId="2" borderId="24" xfId="3" applyFont="1" applyFill="1" applyBorder="1" applyAlignment="1" applyProtection="1">
      <alignment horizontal="center" vertical="center"/>
      <protection locked="0"/>
    </xf>
    <xf numFmtId="0" fontId="2" fillId="3" borderId="24" xfId="3" applyFont="1" applyFill="1" applyBorder="1" applyAlignment="1" applyProtection="1">
      <alignment vertical="center"/>
      <protection hidden="1"/>
    </xf>
    <xf numFmtId="0" fontId="1" fillId="2" borderId="24" xfId="3" applyFill="1" applyBorder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horizontal="right" vertical="center"/>
      <protection hidden="1"/>
    </xf>
    <xf numFmtId="168" fontId="17" fillId="15" borderId="0" xfId="0" applyNumberFormat="1" applyFont="1" applyFill="1" applyAlignment="1" applyProtection="1">
      <alignment horizontal="right" vertical="center"/>
      <protection hidden="1"/>
    </xf>
    <xf numFmtId="168" fontId="17" fillId="15" borderId="9" xfId="0" applyNumberFormat="1" applyFont="1" applyFill="1" applyBorder="1" applyAlignment="1" applyProtection="1">
      <alignment horizontal="right" vertical="center"/>
      <protection hidden="1"/>
    </xf>
    <xf numFmtId="0" fontId="17" fillId="16" borderId="0" xfId="0" applyFont="1" applyFill="1" applyAlignment="1" applyProtection="1">
      <alignment horizontal="right" vertical="center"/>
      <protection hidden="1"/>
    </xf>
    <xf numFmtId="0" fontId="17" fillId="16" borderId="9" xfId="0" applyFont="1" applyFill="1" applyBorder="1" applyAlignment="1" applyProtection="1">
      <alignment horizontal="right" vertical="center"/>
      <protection hidden="1"/>
    </xf>
    <xf numFmtId="0" fontId="15" fillId="17" borderId="15" xfId="0" applyFont="1" applyFill="1" applyBorder="1" applyAlignment="1" applyProtection="1">
      <alignment horizontal="center" vertical="center"/>
      <protection hidden="1"/>
    </xf>
    <xf numFmtId="0" fontId="15" fillId="17" borderId="16" xfId="0" applyFont="1" applyFill="1" applyBorder="1" applyAlignment="1" applyProtection="1">
      <alignment horizontal="center" vertical="center"/>
      <protection hidden="1"/>
    </xf>
    <xf numFmtId="0" fontId="15" fillId="17" borderId="17" xfId="0" applyFont="1" applyFill="1" applyBorder="1" applyAlignment="1" applyProtection="1">
      <alignment horizontal="center" vertical="center"/>
      <protection hidden="1"/>
    </xf>
    <xf numFmtId="0" fontId="15" fillId="17" borderId="5" xfId="0" applyFont="1" applyFill="1" applyBorder="1" applyAlignment="1" applyProtection="1">
      <alignment horizontal="center" vertical="center"/>
      <protection hidden="1"/>
    </xf>
    <xf numFmtId="0" fontId="15" fillId="17" borderId="6" xfId="0" applyFont="1" applyFill="1" applyBorder="1" applyAlignment="1" applyProtection="1">
      <alignment horizontal="center" vertical="center"/>
      <protection hidden="1"/>
    </xf>
    <xf numFmtId="0" fontId="15" fillId="17" borderId="7" xfId="0" applyFon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6" fillId="16" borderId="0" xfId="0" applyFont="1" applyFill="1" applyAlignment="1" applyProtection="1">
      <alignment horizontal="left" vertical="center"/>
      <protection hidden="1"/>
    </xf>
    <xf numFmtId="0" fontId="16" fillId="16" borderId="9" xfId="0" applyFont="1" applyFill="1" applyBorder="1" applyAlignment="1" applyProtection="1">
      <alignment horizontal="left" vertical="center"/>
      <protection hidden="1"/>
    </xf>
    <xf numFmtId="0" fontId="16" fillId="15" borderId="13" xfId="0" applyFont="1" applyFill="1" applyBorder="1" applyAlignment="1" applyProtection="1">
      <alignment horizontal="left" vertical="center"/>
      <protection hidden="1"/>
    </xf>
    <xf numFmtId="0" fontId="16" fillId="15" borderId="18" xfId="0" applyFont="1" applyFill="1" applyBorder="1" applyAlignment="1" applyProtection="1">
      <alignment horizontal="left" vertical="center"/>
      <protection hidden="1"/>
    </xf>
    <xf numFmtId="0" fontId="3" fillId="4" borderId="4" xfId="0" applyFont="1" applyFill="1" applyBorder="1" applyAlignment="1" applyProtection="1">
      <alignment vertical="center"/>
      <protection hidden="1"/>
    </xf>
    <xf numFmtId="0" fontId="0" fillId="3" borderId="14" xfId="0" applyFill="1" applyBorder="1" applyAlignment="1" applyProtection="1">
      <alignment vertical="center"/>
      <protection hidden="1"/>
    </xf>
    <xf numFmtId="0" fontId="0" fillId="4" borderId="4" xfId="0" applyFill="1" applyBorder="1" applyAlignment="1" applyProtection="1">
      <alignment vertical="center"/>
      <protection hidden="1"/>
    </xf>
    <xf numFmtId="0" fontId="0" fillId="11" borderId="2" xfId="0" applyFill="1" applyBorder="1" applyAlignment="1" applyProtection="1">
      <alignment vertical="center"/>
      <protection hidden="1"/>
    </xf>
    <xf numFmtId="0" fontId="6" fillId="12" borderId="2" xfId="0" applyFont="1" applyFill="1" applyBorder="1" applyAlignment="1" applyProtection="1">
      <alignment vertical="center"/>
      <protection hidden="1"/>
    </xf>
    <xf numFmtId="0" fontId="6" fillId="13" borderId="2" xfId="0" applyFont="1" applyFill="1" applyBorder="1" applyAlignment="1" applyProtection="1">
      <alignment vertical="center"/>
      <protection hidden="1"/>
    </xf>
    <xf numFmtId="0" fontId="6" fillId="14" borderId="2" xfId="0" applyFont="1" applyFill="1" applyBorder="1" applyAlignment="1" applyProtection="1">
      <alignment vertical="center"/>
      <protection hidden="1"/>
    </xf>
    <xf numFmtId="0" fontId="13" fillId="15" borderId="0" xfId="0" applyFont="1" applyFill="1" applyAlignment="1" applyProtection="1">
      <alignment vertical="center"/>
      <protection hidden="1"/>
    </xf>
    <xf numFmtId="0" fontId="13" fillId="15" borderId="9" xfId="0" applyFont="1" applyFill="1" applyBorder="1" applyAlignment="1" applyProtection="1">
      <alignment vertical="center"/>
      <protection hidden="1"/>
    </xf>
    <xf numFmtId="0" fontId="13" fillId="15" borderId="13" xfId="0" applyFont="1" applyFill="1" applyBorder="1" applyAlignment="1" applyProtection="1">
      <alignment vertical="center"/>
      <protection hidden="1"/>
    </xf>
    <xf numFmtId="0" fontId="13" fillId="15" borderId="18" xfId="0" applyFont="1" applyFill="1" applyBorder="1" applyAlignment="1" applyProtection="1">
      <alignment vertical="center"/>
      <protection hidden="1"/>
    </xf>
    <xf numFmtId="0" fontId="13" fillId="16" borderId="0" xfId="0" applyFont="1" applyFill="1" applyAlignment="1" applyProtection="1">
      <alignment horizontal="right" vertical="center"/>
      <protection hidden="1"/>
    </xf>
    <xf numFmtId="0" fontId="13" fillId="16" borderId="9" xfId="0" applyFont="1" applyFill="1" applyBorder="1" applyAlignment="1" applyProtection="1">
      <alignment horizontal="right" vertical="center"/>
      <protection hidden="1"/>
    </xf>
    <xf numFmtId="0" fontId="17" fillId="15" borderId="0" xfId="0" applyFont="1" applyFill="1" applyAlignment="1" applyProtection="1">
      <alignment horizontal="right" vertical="center"/>
      <protection hidden="1"/>
    </xf>
    <xf numFmtId="0" fontId="17" fillId="15" borderId="9" xfId="0" applyFont="1" applyFill="1" applyBorder="1" applyAlignment="1" applyProtection="1">
      <alignment horizontal="right" vertical="center"/>
      <protection hidden="1"/>
    </xf>
  </cellXfs>
  <cellStyles count="4">
    <cellStyle name="Comma" xfId="2" builtinId="3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9" defaultPivotStyle="PivotStyleLight16"/>
  <colors>
    <mruColors>
      <color rgb="FF58B7BC"/>
      <color rgb="FF87CCCF"/>
      <color rgb="FFA8DADC"/>
      <color rgb="FFD3ECED"/>
      <color rgb="FFA1C064"/>
      <color rgb="FFFEF1E6"/>
      <color rgb="FFFABF8E"/>
      <color rgb="FFFBCBA3"/>
      <color rgb="FFFDDDC3"/>
      <color rgb="FF5A6E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'Goal-SIPorSU_SIP'!$J$4</c:f>
          <c:strCache>
            <c:ptCount val="1"/>
            <c:pt idx="0">
              <c:v>Goal Amount: Rs. 1,00,00,000</c:v>
            </c:pt>
          </c:strCache>
        </c:strRef>
      </c:tx>
      <c:layout>
        <c:manualLayout>
          <c:xMode val="edge"/>
          <c:yMode val="edge"/>
          <c:x val="0.23528930843392526"/>
          <c:y val="3.8635672398737053E-2"/>
        </c:manualLayout>
      </c:layout>
      <c:overlay val="0"/>
      <c:spPr>
        <a:solidFill>
          <a:schemeClr val="accent5">
            <a:lumMod val="50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39192564935937"/>
          <c:y val="0.27061462594823676"/>
          <c:w val="0.74746004405593447"/>
          <c:h val="0.54793327832823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'Goal-SIPorSU_SIP'!$J$12</c:f>
              <c:strCache>
                <c:ptCount val="1"/>
                <c:pt idx="0">
                  <c:v>SIP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8DAD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79-48FA-9258-A55775B5A82E}"/>
              </c:ext>
            </c:extLst>
          </c:dPt>
          <c:dPt>
            <c:idx val="1"/>
            <c:invertIfNegative val="0"/>
            <c:bubble3D val="0"/>
            <c:spPr>
              <a:solidFill>
                <a:srgbClr val="A8DAD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79-48FA-9258-A55775B5A82E}"/>
              </c:ext>
            </c:extLst>
          </c:dPt>
          <c:dPt>
            <c:idx val="2"/>
            <c:invertIfNegative val="0"/>
            <c:bubble3D val="0"/>
            <c:spPr>
              <a:solidFill>
                <a:srgbClr val="A8DAD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D79-48FA-9258-A55775B5A82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CD79-48FA-9258-A55775B5A82E}"/>
              </c:ext>
            </c:extLst>
          </c:dPt>
          <c:dLbls>
            <c:dLbl>
              <c:idx val="1"/>
              <c:spPr>
                <a:solidFill>
                  <a:srgbClr val="F0FAFE">
                    <a:alpha val="40000"/>
                  </a:srgbClr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accent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79-48FA-9258-A55775B5A82E}"/>
                </c:ext>
              </c:extLst>
            </c:dLbl>
            <c:spPr>
              <a:solidFill>
                <a:srgbClr val="F0FAFE">
                  <a:alpha val="40000"/>
                </a:srgb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'Goal-SIPorSU_SIP'!$K$11:$M$11</c:f>
              <c:strCache>
                <c:ptCount val="3"/>
                <c:pt idx="0">
                  <c:v>Amount Invested</c:v>
                </c:pt>
                <c:pt idx="1">
                  <c:v>Cap. Gains Tax</c:v>
                </c:pt>
                <c:pt idx="2">
                  <c:v>Final Corpus Value</c:v>
                </c:pt>
              </c:strCache>
            </c:strRef>
          </c:cat>
          <c:val>
            <c:numRef>
              <c:f>'Goal-SIPorSU_SIP'!$K$12:$M$12</c:f>
              <c:numCache>
                <c:formatCode>_ "₹"\ * #,##0_ ;_ "₹"\ * \-#,##0_ ;_ "₹"\ * "-"??_ ;_ @_ </c:formatCode>
                <c:ptCount val="3"/>
                <c:pt idx="0">
                  <c:v>4100788.5024322513</c:v>
                </c:pt>
                <c:pt idx="1">
                  <c:v>842744.5</c:v>
                </c:pt>
                <c:pt idx="2">
                  <c:v>10842744.499652535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E5-4140-B289-43214524BFD7}"/>
            </c:ext>
          </c:extLst>
        </c:ser>
        <c:ser>
          <c:idx val="1"/>
          <c:order val="1"/>
          <c:tx>
            <c:strRef>
              <c:f>'Goal-SIPorSU_SIP'!$J$13</c:f>
              <c:strCache>
                <c:ptCount val="1"/>
                <c:pt idx="0">
                  <c:v>StepUP SIP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solidFill>
                <a:sysClr val="windowText" lastClr="000000">
                  <a:lumMod val="75000"/>
                  <a:lumOff val="25000"/>
                  <a:alpha val="38000"/>
                </a:sys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'Goal-SIPorSU_SIP'!$K$11:$M$11</c:f>
              <c:strCache>
                <c:ptCount val="3"/>
                <c:pt idx="0">
                  <c:v>Amount Invested</c:v>
                </c:pt>
                <c:pt idx="1">
                  <c:v>Cap. Gains Tax</c:v>
                </c:pt>
                <c:pt idx="2">
                  <c:v>Final Corpus Value</c:v>
                </c:pt>
              </c:strCache>
            </c:strRef>
          </c:cat>
          <c:val>
            <c:numRef>
              <c:f>'Goal-SIPorSU_SIP'!$K$13:$M$13</c:f>
              <c:numCache>
                <c:formatCode>_ [$₹-4009]\ * #,##0_ ;_ [$₹-4009]\ * \-#,##0_ ;_ [$₹-4009]\ * "-"??_ ;_ @_ </c:formatCode>
                <c:ptCount val="3"/>
                <c:pt idx="0">
                  <c:v>4940669.8466597861</c:v>
                </c:pt>
                <c:pt idx="1">
                  <c:v>722761.5</c:v>
                </c:pt>
                <c:pt idx="2">
                  <c:v>10722761.500000009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8BD-4788-B5ED-D7B179F9A1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64442575"/>
        <c:axId val="1264436815"/>
      </c:barChart>
      <c:catAx>
        <c:axId val="1264442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436815"/>
        <c:crosses val="autoZero"/>
        <c:auto val="1"/>
        <c:lblAlgn val="ctr"/>
        <c:lblOffset val="100"/>
        <c:noMultiLvlLbl val="0"/>
      </c:catAx>
      <c:valAx>
        <c:axId val="12644368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 &quot;₹&quot;\ * #,##0_ ;_ &quot;₹&quot;\ * \-#,##0_ ;_ &quot;₹&quot;\ * &quot;-&quot;??_ ;_ 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442575"/>
        <c:crosses val="autoZero"/>
        <c:crossBetween val="between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0FAFE"/>
    </a:solidFill>
    <a:ln w="19050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4</xdr:col>
          <xdr:colOff>160020</xdr:colOff>
          <xdr:row>6</xdr:row>
          <xdr:rowOff>15240</xdr:rowOff>
        </xdr:to>
        <xdr:sp macro="" textlink="">
          <xdr:nvSpPr>
            <xdr:cNvPr id="16387" name="cbGoalInflRate" descr="cbSIPInflRa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6</xdr:col>
      <xdr:colOff>6226</xdr:colOff>
      <xdr:row>9</xdr:row>
      <xdr:rowOff>83364</xdr:rowOff>
    </xdr:from>
    <xdr:to>
      <xdr:col>8</xdr:col>
      <xdr:colOff>2120046</xdr:colOff>
      <xdr:row>27</xdr:row>
      <xdr:rowOff>3389</xdr:rowOff>
    </xdr:to>
    <xdr:graphicFrame macro="">
      <xdr:nvGraphicFramePr>
        <xdr:cNvPr id="2" name="GoalChart">
          <a:extLst>
            <a:ext uri="{FF2B5EF4-FFF2-40B4-BE49-F238E27FC236}">
              <a16:creationId xmlns:a16="http://schemas.microsoft.com/office/drawing/2014/main" id="{D5AB37AD-57B8-B4EF-6033-74B0BAE067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87199</xdr:colOff>
      <xdr:row>10</xdr:row>
      <xdr:rowOff>4236</xdr:rowOff>
    </xdr:from>
    <xdr:to>
      <xdr:col>7</xdr:col>
      <xdr:colOff>28801</xdr:colOff>
      <xdr:row>11</xdr:row>
      <xdr:rowOff>97377</xdr:rowOff>
    </xdr:to>
    <xdr:sp macro="" textlink="">
      <xdr:nvSpPr>
        <xdr:cNvPr id="4" name="LogoBack">
          <a:extLst>
            <a:ext uri="{FF2B5EF4-FFF2-40B4-BE49-F238E27FC236}">
              <a16:creationId xmlns:a16="http://schemas.microsoft.com/office/drawing/2014/main" id="{44368EDC-EC60-4E5C-BDE4-3C71E71ABB61}"/>
            </a:ext>
          </a:extLst>
        </xdr:cNvPr>
        <xdr:cNvSpPr/>
      </xdr:nvSpPr>
      <xdr:spPr>
        <a:xfrm>
          <a:off x="6479532" y="1807636"/>
          <a:ext cx="568135" cy="27094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132942</xdr:colOff>
      <xdr:row>10</xdr:row>
      <xdr:rowOff>57583</xdr:rowOff>
    </xdr:from>
    <xdr:to>
      <xdr:col>6</xdr:col>
      <xdr:colOff>624838</xdr:colOff>
      <xdr:row>11</xdr:row>
      <xdr:rowOff>56585</xdr:rowOff>
    </xdr:to>
    <xdr:pic>
      <xdr:nvPicPr>
        <xdr:cNvPr id="5" name="LogoChart">
          <a:extLst>
            <a:ext uri="{FF2B5EF4-FFF2-40B4-BE49-F238E27FC236}">
              <a16:creationId xmlns:a16="http://schemas.microsoft.com/office/drawing/2014/main" id="{7A66D9AD-0082-4D9C-9BB1-7F81EF670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5275" y="1860983"/>
          <a:ext cx="491896" cy="1768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5</xdr:row>
          <xdr:rowOff>76200</xdr:rowOff>
        </xdr:from>
        <xdr:to>
          <xdr:col>5</xdr:col>
          <xdr:colOff>327660</xdr:colOff>
          <xdr:row>7</xdr:row>
          <xdr:rowOff>15240</xdr:rowOff>
        </xdr:to>
        <xdr:sp macro="" textlink="">
          <xdr:nvSpPr>
            <xdr:cNvPr id="16388" name="btnPrint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84666</xdr:colOff>
      <xdr:row>0</xdr:row>
      <xdr:rowOff>93133</xdr:rowOff>
    </xdr:from>
    <xdr:to>
      <xdr:col>1</xdr:col>
      <xdr:colOff>1511799</xdr:colOff>
      <xdr:row>2</xdr:row>
      <xdr:rowOff>74698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0C507BD-AD7B-4082-8B1F-8E1CE44AC2A8}"/>
            </a:ext>
          </a:extLst>
        </xdr:cNvPr>
        <xdr:cNvGrpSpPr/>
      </xdr:nvGrpSpPr>
      <xdr:grpSpPr>
        <a:xfrm>
          <a:off x="406399" y="93133"/>
          <a:ext cx="1427133" cy="421832"/>
          <a:chOff x="220134" y="42333"/>
          <a:chExt cx="1427133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1F55D5A7-276A-DF20-D46E-65C374FF71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849B0F8F-7269-0EC1-8A56-22922499529B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</a:rPr>
              <a:t>NIVRA</a:t>
            </a:r>
            <a:r>
              <a:rPr lang="en-US" sz="1100" baseline="0">
                <a:solidFill>
                  <a:srgbClr val="AA9B28"/>
                </a:solidFill>
              </a:rPr>
              <a:t> FINTECH</a:t>
            </a:r>
            <a:endParaRPr lang="en-US" sz="1100">
              <a:solidFill>
                <a:srgbClr val="AA9B28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50C39-C7D8-420E-A138-30CD1DCA7B25}">
  <sheetPr codeName="GoalSIP">
    <tabColor theme="6" tint="-0.249977111117893"/>
    <pageSetUpPr fitToPage="1"/>
  </sheetPr>
  <dimension ref="A1:AJ1209"/>
  <sheetViews>
    <sheetView showGridLines="0" tabSelected="1" topLeftCell="A4" zoomScale="90" zoomScaleNormal="90" workbookViewId="0">
      <selection activeCell="C4" sqref="C4"/>
    </sheetView>
  </sheetViews>
  <sheetFormatPr defaultColWidth="0" defaultRowHeight="0" customHeight="1" zeroHeight="1" x14ac:dyDescent="0.25"/>
  <cols>
    <col min="1" max="1" width="4.6640625" style="3" customWidth="1"/>
    <col min="2" max="2" width="37.88671875" style="3" customWidth="1"/>
    <col min="3" max="3" width="17.6640625" style="3" customWidth="1"/>
    <col min="4" max="4" width="10.88671875" style="3" customWidth="1"/>
    <col min="5" max="5" width="17.109375" style="3" customWidth="1"/>
    <col min="6" max="6" width="5.77734375" style="3" customWidth="1"/>
    <col min="7" max="7" width="9.109375" style="3" customWidth="1"/>
    <col min="8" max="8" width="23.5546875" style="3" customWidth="1"/>
    <col min="9" max="9" width="35.44140625" style="3" customWidth="1"/>
    <col min="10" max="10" width="10.6640625" style="3" hidden="1" customWidth="1"/>
    <col min="11" max="11" width="18.6640625" style="3" hidden="1" customWidth="1"/>
    <col min="12" max="12" width="14.44140625" style="3" hidden="1" customWidth="1"/>
    <col min="13" max="13" width="16.5546875" style="3" hidden="1" customWidth="1"/>
    <col min="14" max="14" width="9.109375" style="3" hidden="1" customWidth="1"/>
    <col min="15" max="15" width="11.5546875" style="3" hidden="1" customWidth="1"/>
    <col min="16" max="16" width="14.88671875" style="3" hidden="1" customWidth="1"/>
    <col min="17" max="17" width="9.109375" style="3" hidden="1" customWidth="1"/>
    <col min="18" max="18" width="12.6640625" style="3" hidden="1" customWidth="1"/>
    <col min="19" max="19" width="19.33203125" style="3" hidden="1" customWidth="1"/>
    <col min="20" max="20" width="13.5546875" style="3" hidden="1" customWidth="1"/>
    <col min="21" max="21" width="12.6640625" style="3" hidden="1" customWidth="1"/>
    <col min="22" max="22" width="14.88671875" style="3" hidden="1" customWidth="1"/>
    <col min="23" max="23" width="9.109375" style="3" hidden="1" customWidth="1"/>
    <col min="24" max="24" width="14.109375" style="3" hidden="1" customWidth="1"/>
    <col min="25" max="25" width="14.88671875" style="3" hidden="1" customWidth="1"/>
    <col min="26" max="26" width="9.109375" style="3" hidden="1" customWidth="1"/>
    <col min="27" max="27" width="14.88671875" style="3" hidden="1" customWidth="1"/>
    <col min="28" max="30" width="9.109375" style="3" hidden="1" customWidth="1"/>
    <col min="31" max="31" width="13.33203125" style="3" hidden="1" customWidth="1"/>
    <col min="32" max="32" width="14.88671875" style="3" hidden="1" customWidth="1"/>
    <col min="33" max="33" width="22.33203125" style="3" hidden="1" customWidth="1"/>
    <col min="34" max="35" width="13.33203125" style="3" hidden="1" customWidth="1"/>
    <col min="36" max="36" width="25.5546875" style="3" hidden="1" customWidth="1"/>
    <col min="37" max="16384" width="9.109375" style="3" hidden="1"/>
  </cols>
  <sheetData>
    <row r="1" spans="2:35" ht="13.2" x14ac:dyDescent="0.25">
      <c r="J1" s="4"/>
      <c r="K1" s="4"/>
      <c r="L1" s="4"/>
      <c r="N1" s="7" t="s">
        <v>5</v>
      </c>
      <c r="O1" s="7" t="s">
        <v>0</v>
      </c>
      <c r="R1" s="7" t="s">
        <v>16</v>
      </c>
      <c r="S1" s="3">
        <f>(1+SIP1Yield)^(1/12)-1</f>
        <v>9.4887929345830457E-3</v>
      </c>
    </row>
    <row r="2" spans="2:35" ht="21" x14ac:dyDescent="0.25">
      <c r="B2" s="84" t="s">
        <v>56</v>
      </c>
      <c r="C2" s="84"/>
      <c r="D2" s="84"/>
      <c r="E2" s="84"/>
      <c r="J2" s="7"/>
      <c r="N2" s="12">
        <v>5.7500001043081284E-2</v>
      </c>
      <c r="O2" s="9">
        <v>0.02</v>
      </c>
      <c r="R2" s="7"/>
      <c r="AD2" s="4" t="s">
        <v>22</v>
      </c>
      <c r="AH2" s="4" t="s">
        <v>59</v>
      </c>
    </row>
    <row r="3" spans="2:35" ht="13.8" thickBot="1" x14ac:dyDescent="0.3">
      <c r="J3" s="4" t="s">
        <v>13</v>
      </c>
      <c r="O3" s="9">
        <v>2.2499999999999999E-2</v>
      </c>
      <c r="S3" s="4" t="s">
        <v>20</v>
      </c>
      <c r="T3" s="4"/>
      <c r="U3" s="4" t="s">
        <v>21</v>
      </c>
      <c r="AE3" s="7" t="s">
        <v>49</v>
      </c>
      <c r="AF3" s="7" t="s">
        <v>50</v>
      </c>
      <c r="AH3" s="7" t="s">
        <v>49</v>
      </c>
      <c r="AI3" s="7" t="s">
        <v>50</v>
      </c>
    </row>
    <row r="4" spans="2:35" ht="13.2" x14ac:dyDescent="0.25">
      <c r="B4" s="17" t="s">
        <v>2</v>
      </c>
      <c r="C4" s="1">
        <v>10000000</v>
      </c>
      <c r="D4" s="103"/>
      <c r="E4" s="103"/>
      <c r="G4" s="80" t="s">
        <v>60</v>
      </c>
      <c r="H4" s="81" t="s">
        <v>61</v>
      </c>
      <c r="J4" s="22" t="str" cm="1">
        <f t="array" ref="J4">"Goal Amount: Rs. "&amp;(convertIndiaFormat(INT(K4)))</f>
        <v>Goal Amount: Rs. 1,00,00,000</v>
      </c>
      <c r="K4" s="49">
        <f>IF(C7="Goal Amount",C4,C6)</f>
        <v>10000000</v>
      </c>
      <c r="L4" s="23"/>
      <c r="M4" s="24"/>
      <c r="O4" s="9">
        <v>2.5000000000000001E-2</v>
      </c>
      <c r="R4" s="7"/>
      <c r="S4" s="18"/>
      <c r="U4" s="35"/>
      <c r="AD4" s="3">
        <v>1</v>
      </c>
      <c r="AE4" s="8">
        <f>IF(AD4&lt;=$C$5,FV($S$1,AD4*12,-$C$13,0,1),0)</f>
        <v>290848.37688277964</v>
      </c>
      <c r="AF4" s="8">
        <f>AE4-IF(AD4=$C$5,IF($C$10&gt;0,$C$16,0),0)</f>
        <v>290848.37688277964</v>
      </c>
      <c r="AH4" s="8">
        <f>IF(AD4&lt;=$C$5,FV($S$1,AD4*12,-(SUSIPPmt*(1+$C$19)^(AD4-1)),0,1),0)</f>
        <v>165434.17421824759</v>
      </c>
      <c r="AI4" s="8">
        <f t="shared" ref="AI4:AI67" si="0">AH4-IF(AD4=$C$5,IF($C$10&gt;0,$C$24,0),0)</f>
        <v>165434.17421824759</v>
      </c>
    </row>
    <row r="5" spans="2:35" ht="13.2" x14ac:dyDescent="0.25">
      <c r="B5" s="17" t="s">
        <v>9</v>
      </c>
      <c r="C5" s="2">
        <v>15</v>
      </c>
      <c r="D5" s="101" t="s">
        <v>42</v>
      </c>
      <c r="E5" s="101"/>
      <c r="G5" s="82" t="s">
        <v>62</v>
      </c>
      <c r="H5" s="83"/>
      <c r="J5" s="25" t="s">
        <v>18</v>
      </c>
      <c r="K5" s="47">
        <f>ROUND(C15-C14,0)</f>
        <v>6741956</v>
      </c>
      <c r="L5" s="26"/>
      <c r="M5" s="27"/>
      <c r="O5" s="9">
        <v>2.75E-2</v>
      </c>
      <c r="R5" s="4" t="s">
        <v>14</v>
      </c>
      <c r="S5" s="8">
        <f>IF(TaxRate&gt;0,K5*TaxRate,0)</f>
        <v>842744.5</v>
      </c>
      <c r="U5" s="35">
        <f>IF(TaxRate&gt;0,K7*TaxRate,0)</f>
        <v>842744.5</v>
      </c>
      <c r="AD5" s="3">
        <v>2</v>
      </c>
      <c r="AE5" s="8">
        <f t="shared" ref="AE5:AE68" si="1">IF(AD5&lt;=$C$5,FV($S$1,AD5*12,-$C$13,0,1),0)</f>
        <v>616598.55899149296</v>
      </c>
      <c r="AF5" s="8">
        <f t="shared" ref="AF5:AF68" si="2">AE5-IF(AD5=$C$5,IF($C$10&gt;0,$C$16,0),0)</f>
        <v>616598.55899149296</v>
      </c>
      <c r="AH5" s="8">
        <f t="shared" ref="AH5:AH36" si="3">IF(AD5&lt;=$C$5,FV($S$1,12,-(SUSIPPmt*(1+$C$19)^(AD5-1)),0,1)+AH4*(1+$C$19),0)</f>
        <v>363955.1832801447</v>
      </c>
      <c r="AI5" s="8">
        <f t="shared" si="0"/>
        <v>363955.1832801447</v>
      </c>
    </row>
    <row r="6" spans="2:35" ht="13.2" x14ac:dyDescent="0.25">
      <c r="B6" s="17" t="s">
        <v>4</v>
      </c>
      <c r="C6" s="11">
        <f>FV($D$6,GoalTenure,0,-C4,1)</f>
        <v>23131598.241650749</v>
      </c>
      <c r="D6" s="19">
        <v>5.7500000000000002E-2</v>
      </c>
      <c r="E6" s="16"/>
      <c r="J6" s="25" t="s">
        <v>19</v>
      </c>
      <c r="K6" s="15">
        <f>ROUND(O29-O31,0)</f>
        <v>5782092</v>
      </c>
      <c r="L6" s="26"/>
      <c r="M6" s="27"/>
      <c r="O6" s="9">
        <v>0.03</v>
      </c>
      <c r="R6" s="45" t="s">
        <v>32</v>
      </c>
      <c r="S6" s="8">
        <f>IF(TaxRate&gt;0,K6*TaxRate,0)</f>
        <v>722761.5</v>
      </c>
      <c r="T6" s="36"/>
      <c r="U6" s="37"/>
      <c r="AD6" s="3">
        <v>3</v>
      </c>
      <c r="AE6" s="8">
        <f t="shared" si="1"/>
        <v>981438.76295325323</v>
      </c>
      <c r="AF6" s="8">
        <f t="shared" si="2"/>
        <v>981438.76295325323</v>
      </c>
      <c r="AH6" s="8">
        <f t="shared" si="3"/>
        <v>600526.0524122389</v>
      </c>
      <c r="AI6" s="8">
        <f t="shared" si="0"/>
        <v>600526.0524122389</v>
      </c>
    </row>
    <row r="7" spans="2:35" ht="13.2" x14ac:dyDescent="0.25">
      <c r="B7" s="17" t="s">
        <v>6</v>
      </c>
      <c r="C7" s="14" t="s">
        <v>2</v>
      </c>
      <c r="D7" s="101"/>
      <c r="E7" s="101"/>
      <c r="J7" s="25" t="s">
        <v>52</v>
      </c>
      <c r="K7" s="28">
        <f>ROUND(X29-X31,0)</f>
        <v>6741956</v>
      </c>
      <c r="L7" s="26"/>
      <c r="M7" s="27"/>
      <c r="O7" s="9">
        <v>3.2500000000000001E-2</v>
      </c>
      <c r="R7" s="7" t="s">
        <v>15</v>
      </c>
      <c r="S7" s="8">
        <f>PMT(S1,GoalTenure*12,0,-(IF(C7="Goal Amount",C4,C6)),1)</f>
        <v>21011.431513097163</v>
      </c>
      <c r="T7" s="34"/>
      <c r="AD7" s="3">
        <v>4</v>
      </c>
      <c r="AE7" s="8">
        <f t="shared" si="1"/>
        <v>1390059.7913904246</v>
      </c>
      <c r="AF7" s="8">
        <f t="shared" si="2"/>
        <v>1390059.7913904246</v>
      </c>
      <c r="AH7" s="8">
        <f t="shared" si="3"/>
        <v>880771.54353795038</v>
      </c>
      <c r="AI7" s="8">
        <f t="shared" si="0"/>
        <v>880771.54353795038</v>
      </c>
    </row>
    <row r="8" spans="2:35" ht="13.2" x14ac:dyDescent="0.25">
      <c r="D8" s="102"/>
      <c r="E8" s="102"/>
      <c r="J8" s="29"/>
      <c r="L8" s="26"/>
      <c r="M8" s="27"/>
      <c r="O8" s="9">
        <v>3.5000000000000003E-2</v>
      </c>
      <c r="R8" s="7" t="s">
        <v>36</v>
      </c>
      <c r="S8" s="8">
        <f>R27</f>
        <v>12085.004131004993</v>
      </c>
      <c r="AD8" s="3">
        <v>5</v>
      </c>
      <c r="AE8" s="8">
        <f t="shared" si="1"/>
        <v>1847715.3432400571</v>
      </c>
      <c r="AF8" s="8">
        <f t="shared" si="2"/>
        <v>1847715.3432400571</v>
      </c>
      <c r="AH8" s="8">
        <f t="shared" si="3"/>
        <v>1211060.8723646819</v>
      </c>
      <c r="AI8" s="8">
        <f t="shared" si="0"/>
        <v>1211060.8723646819</v>
      </c>
    </row>
    <row r="9" spans="2:35" ht="13.2" x14ac:dyDescent="0.25">
      <c r="B9" s="17" t="s">
        <v>3</v>
      </c>
      <c r="C9" s="10">
        <v>0.12</v>
      </c>
      <c r="D9" s="17"/>
      <c r="E9" s="17"/>
      <c r="J9" s="29"/>
      <c r="M9" s="27"/>
      <c r="O9" s="9">
        <v>3.7499999999999999E-2</v>
      </c>
      <c r="R9" s="7" t="s">
        <v>35</v>
      </c>
      <c r="S9" s="8">
        <f ca="1">OFFSET(Q32,InvMonths,0)</f>
        <v>45892.78307601931</v>
      </c>
      <c r="AD9" s="3">
        <v>6</v>
      </c>
      <c r="AE9" s="8">
        <f t="shared" si="1"/>
        <v>2360289.5613116464</v>
      </c>
      <c r="AF9" s="8">
        <f t="shared" si="2"/>
        <v>2360289.5613116464</v>
      </c>
      <c r="AH9" s="8">
        <f t="shared" si="3"/>
        <v>1598600.3515213802</v>
      </c>
      <c r="AI9" s="8">
        <f t="shared" si="0"/>
        <v>1598600.3515213802</v>
      </c>
    </row>
    <row r="10" spans="2:35" ht="13.2" x14ac:dyDescent="0.25">
      <c r="B10" s="17" t="s">
        <v>12</v>
      </c>
      <c r="C10" s="21">
        <v>0.125</v>
      </c>
      <c r="D10" s="17"/>
      <c r="E10" s="17"/>
      <c r="J10" s="53" t="s">
        <v>13</v>
      </c>
      <c r="M10" s="27"/>
      <c r="O10" s="9">
        <v>0.04</v>
      </c>
      <c r="R10" s="7"/>
      <c r="AD10" s="3">
        <v>7</v>
      </c>
      <c r="AE10" s="8">
        <f t="shared" si="1"/>
        <v>2934372.6855518273</v>
      </c>
      <c r="AF10" s="8">
        <f t="shared" si="2"/>
        <v>2934372.6855518273</v>
      </c>
      <c r="AH10" s="8">
        <f t="shared" si="3"/>
        <v>2051537.1177857714</v>
      </c>
      <c r="AI10" s="8">
        <f t="shared" si="0"/>
        <v>2051537.1177857714</v>
      </c>
    </row>
    <row r="11" spans="2:35" ht="13.8" thickBot="1" x14ac:dyDescent="0.3">
      <c r="J11" s="25"/>
      <c r="K11" s="7" t="s">
        <v>45</v>
      </c>
      <c r="L11" s="7" t="s">
        <v>46</v>
      </c>
      <c r="M11" s="50" t="s">
        <v>47</v>
      </c>
      <c r="O11" s="9">
        <v>4.2500000000000003E-2</v>
      </c>
      <c r="AD11" s="3">
        <v>8</v>
      </c>
      <c r="AE11" s="8">
        <f t="shared" si="1"/>
        <v>3577345.7847008309</v>
      </c>
      <c r="AF11" s="8">
        <f t="shared" si="2"/>
        <v>3577345.7847008309</v>
      </c>
      <c r="AH11" s="8">
        <f t="shared" si="3"/>
        <v>2579075.2337878272</v>
      </c>
      <c r="AI11" s="8">
        <f t="shared" si="0"/>
        <v>2579075.2337878272</v>
      </c>
    </row>
    <row r="12" spans="2:35" ht="23.4" customHeight="1" x14ac:dyDescent="0.25">
      <c r="B12" s="89" t="s">
        <v>43</v>
      </c>
      <c r="C12" s="90"/>
      <c r="D12" s="90"/>
      <c r="E12" s="91"/>
      <c r="J12" s="25" t="s">
        <v>43</v>
      </c>
      <c r="K12" s="15">
        <f>C14</f>
        <v>4100788.5024322513</v>
      </c>
      <c r="L12" s="15">
        <f>C16</f>
        <v>842744.5</v>
      </c>
      <c r="M12" s="51">
        <f>C15</f>
        <v>10842744.499652535</v>
      </c>
      <c r="O12" s="9">
        <v>4.4999999999999998E-2</v>
      </c>
      <c r="AD12" s="3">
        <v>9</v>
      </c>
      <c r="AE12" s="8">
        <f t="shared" si="1"/>
        <v>4297475.6557477135</v>
      </c>
      <c r="AF12" s="8">
        <f t="shared" si="2"/>
        <v>4297475.6557477135</v>
      </c>
      <c r="AH12" s="8">
        <f t="shared" si="3"/>
        <v>3191605.6018124362</v>
      </c>
      <c r="AI12" s="8">
        <f t="shared" si="0"/>
        <v>3191605.6018124362</v>
      </c>
    </row>
    <row r="13" spans="2:35" ht="13.2" x14ac:dyDescent="0.25">
      <c r="B13" s="64" t="s">
        <v>7</v>
      </c>
      <c r="C13" s="63">
        <f>IF(TaxRate&gt;0,U27,S7)</f>
        <v>22782.158346845841</v>
      </c>
      <c r="D13" s="85" t="str">
        <f>IF(TaxRate&gt;0,"No-Tax SIP: Rs. " &amp; TEXT(S7,"#,##"),"")</f>
        <v>No-Tax SIP: Rs. 21,011</v>
      </c>
      <c r="E13" s="86"/>
      <c r="J13" s="25" t="s">
        <v>44</v>
      </c>
      <c r="K13" s="13">
        <f>C22</f>
        <v>4940669.8466597861</v>
      </c>
      <c r="L13" s="13">
        <f>C24</f>
        <v>722761.5</v>
      </c>
      <c r="M13" s="52">
        <f>C23</f>
        <v>10722761.500000009</v>
      </c>
      <c r="O13" s="9">
        <v>4.7500000000000001E-2</v>
      </c>
      <c r="AD13" s="3">
        <v>10</v>
      </c>
      <c r="AE13" s="8">
        <f t="shared" si="1"/>
        <v>5104021.1113202255</v>
      </c>
      <c r="AF13" s="8">
        <f t="shared" si="2"/>
        <v>5104021.1113202255</v>
      </c>
      <c r="AH13" s="8">
        <f t="shared" si="3"/>
        <v>3900851.291104089</v>
      </c>
      <c r="AI13" s="8">
        <f>AH13-IF(AD13=$C$5,IF($C$10&gt;0,$C$24,0),0)</f>
        <v>3900851.291104089</v>
      </c>
    </row>
    <row r="14" spans="2:35" ht="13.2" x14ac:dyDescent="0.25">
      <c r="B14" s="65" t="s">
        <v>33</v>
      </c>
      <c r="C14" s="66">
        <f>C13*12*GoalTenure</f>
        <v>4100788.5024322513</v>
      </c>
      <c r="D14" s="97"/>
      <c r="E14" s="98"/>
      <c r="H14" s="13"/>
      <c r="I14" s="13"/>
      <c r="J14" s="29"/>
      <c r="M14" s="27"/>
      <c r="O14" s="9">
        <v>0.05</v>
      </c>
      <c r="AD14" s="3">
        <v>11</v>
      </c>
      <c r="AE14" s="8">
        <f t="shared" si="1"/>
        <v>6007352.0215614401</v>
      </c>
      <c r="AF14" s="8">
        <f t="shared" si="2"/>
        <v>6007352.0215614401</v>
      </c>
      <c r="AH14" s="8">
        <f t="shared" si="3"/>
        <v>4720030.0622359486</v>
      </c>
      <c r="AI14" s="8">
        <f t="shared" si="0"/>
        <v>4720030.0622359486</v>
      </c>
    </row>
    <row r="15" spans="2:35" ht="15.6" customHeight="1" x14ac:dyDescent="0.25">
      <c r="B15" s="64" t="str">
        <f>"SIP Maturity Value After " &amp; GoalTenure &amp; " years"</f>
        <v>SIP Maturity Value After 15 years</v>
      </c>
      <c r="C15" s="67">
        <f>FV(S1,GoalTenure*12,-C13,0,1)</f>
        <v>10842744.499652535</v>
      </c>
      <c r="D15" s="99"/>
      <c r="E15" s="100"/>
      <c r="H15" s="5"/>
      <c r="I15" s="5"/>
      <c r="J15" s="29"/>
      <c r="K15" s="13"/>
      <c r="M15" s="27"/>
      <c r="O15" s="9">
        <v>5.2499999999999998E-2</v>
      </c>
      <c r="AD15" s="3">
        <v>12</v>
      </c>
      <c r="AE15" s="8">
        <f t="shared" si="1"/>
        <v>7019082.6410316015</v>
      </c>
      <c r="AF15" s="8">
        <f t="shared" si="2"/>
        <v>7019082.6410316015</v>
      </c>
      <c r="AH15" s="8">
        <f t="shared" si="3"/>
        <v>5664036.0746831391</v>
      </c>
      <c r="AI15" s="8">
        <f t="shared" si="0"/>
        <v>5664036.0746831391</v>
      </c>
    </row>
    <row r="16" spans="2:35" ht="13.8" thickBot="1" x14ac:dyDescent="0.3">
      <c r="B16" s="68" t="s">
        <v>17</v>
      </c>
      <c r="C16" s="76">
        <f>S5</f>
        <v>842744.5</v>
      </c>
      <c r="D16" s="95"/>
      <c r="E16" s="96"/>
      <c r="J16" s="29"/>
      <c r="K16" s="13"/>
      <c r="M16" s="27"/>
      <c r="O16" s="9">
        <v>5.5E-2</v>
      </c>
      <c r="AD16" s="3">
        <v>13</v>
      </c>
      <c r="AE16" s="8">
        <f t="shared" si="1"/>
        <v>8152220.9348381832</v>
      </c>
      <c r="AF16" s="8">
        <f t="shared" si="2"/>
        <v>8152220.9348381832</v>
      </c>
      <c r="AH16" s="8">
        <f t="shared" si="3"/>
        <v>6749642.9889974082</v>
      </c>
      <c r="AI16" s="8">
        <f t="shared" si="0"/>
        <v>6749642.9889974082</v>
      </c>
    </row>
    <row r="17" spans="2:35" ht="13.8" thickBot="1" x14ac:dyDescent="0.3">
      <c r="J17" s="29"/>
      <c r="K17" s="13"/>
      <c r="M17" s="27"/>
      <c r="O17" s="9">
        <v>5.7500000000000002E-2</v>
      </c>
      <c r="AD17" s="3">
        <v>14</v>
      </c>
      <c r="AE17" s="8">
        <f t="shared" si="1"/>
        <v>9421335.8239015564</v>
      </c>
      <c r="AF17" s="8">
        <f t="shared" si="2"/>
        <v>9421335.8239015564</v>
      </c>
      <c r="AH17" s="8">
        <f t="shared" si="3"/>
        <v>7995730.9254276995</v>
      </c>
      <c r="AI17" s="8">
        <f t="shared" si="0"/>
        <v>7995730.9254276995</v>
      </c>
    </row>
    <row r="18" spans="2:35" ht="21" customHeight="1" thickBot="1" x14ac:dyDescent="0.3">
      <c r="B18" s="92" t="s">
        <v>48</v>
      </c>
      <c r="C18" s="93"/>
      <c r="D18" s="93"/>
      <c r="E18" s="94"/>
      <c r="J18" s="30"/>
      <c r="K18" s="31"/>
      <c r="L18" s="32"/>
      <c r="M18" s="33"/>
      <c r="O18" s="9">
        <v>0.06</v>
      </c>
      <c r="AD18" s="3">
        <v>15</v>
      </c>
      <c r="AE18" s="8">
        <f t="shared" si="1"/>
        <v>10842744.499652535</v>
      </c>
      <c r="AF18" s="8">
        <f t="shared" si="2"/>
        <v>9999999.9996525347</v>
      </c>
      <c r="AH18" s="8">
        <f t="shared" si="3"/>
        <v>9423540.0192540754</v>
      </c>
      <c r="AI18" s="8">
        <f t="shared" si="0"/>
        <v>8700778.5192540754</v>
      </c>
    </row>
    <row r="19" spans="2:35" s="4" customFormat="1" ht="15.75" customHeight="1" x14ac:dyDescent="0.25">
      <c r="B19" s="64" t="s">
        <v>23</v>
      </c>
      <c r="C19" s="73">
        <v>0.1</v>
      </c>
      <c r="D19" s="108"/>
      <c r="E19" s="109"/>
      <c r="J19" s="48"/>
      <c r="O19" s="9">
        <v>6.25E-2</v>
      </c>
      <c r="S19" s="38"/>
      <c r="AD19" s="3">
        <v>16</v>
      </c>
      <c r="AE19" s="8">
        <f t="shared" si="1"/>
        <v>0</v>
      </c>
      <c r="AF19" s="8">
        <f t="shared" si="2"/>
        <v>0</v>
      </c>
      <c r="AH19" s="8">
        <f t="shared" si="3"/>
        <v>0</v>
      </c>
      <c r="AI19" s="8">
        <f t="shared" si="0"/>
        <v>0</v>
      </c>
    </row>
    <row r="20" spans="2:35" ht="15.75" customHeight="1" x14ac:dyDescent="0.25">
      <c r="B20" s="65" t="s">
        <v>57</v>
      </c>
      <c r="C20" s="74">
        <f>SU_Amt</f>
        <v>12958.46170232813</v>
      </c>
      <c r="D20" s="87" t="str">
        <f>IF(TaxRate&gt;0,"No-Tax Start SIP: Rs. " &amp; TEXT(S8,"#,##"),"")</f>
        <v>No-Tax Start SIP: Rs. 12,085</v>
      </c>
      <c r="E20" s="88"/>
      <c r="J20" s="48"/>
      <c r="O20" s="9">
        <v>6.5000000000000002E-2</v>
      </c>
      <c r="S20" s="8"/>
      <c r="AD20" s="3">
        <v>17</v>
      </c>
      <c r="AE20" s="8">
        <f t="shared" si="1"/>
        <v>0</v>
      </c>
      <c r="AF20" s="8">
        <f t="shared" si="2"/>
        <v>0</v>
      </c>
      <c r="AH20" s="8">
        <f t="shared" si="3"/>
        <v>0</v>
      </c>
      <c r="AI20" s="8">
        <f t="shared" si="0"/>
        <v>0</v>
      </c>
    </row>
    <row r="21" spans="2:35" ht="13.2" x14ac:dyDescent="0.25">
      <c r="B21" s="64" t="s">
        <v>58</v>
      </c>
      <c r="C21" s="75">
        <f ca="1">OFFSET(N32,InvMonths,0)</f>
        <v>49209.736749539145</v>
      </c>
      <c r="D21" s="114" t="str">
        <f ca="1">IF(TaxRate&gt;0,"No-Tax End SIP: Rs. "&amp; TEXT(S9,"#,##"),"")</f>
        <v>No-Tax End SIP: Rs. 45,893</v>
      </c>
      <c r="E21" s="115"/>
      <c r="J21" s="48"/>
      <c r="O21" s="9">
        <v>6.7500000000000004E-2</v>
      </c>
      <c r="S21" s="15"/>
      <c r="AD21" s="3">
        <v>18</v>
      </c>
      <c r="AE21" s="8">
        <f t="shared" si="1"/>
        <v>0</v>
      </c>
      <c r="AF21" s="8">
        <f t="shared" si="2"/>
        <v>0</v>
      </c>
      <c r="AH21" s="8">
        <f t="shared" si="3"/>
        <v>0</v>
      </c>
      <c r="AI21" s="8">
        <f t="shared" si="0"/>
        <v>0</v>
      </c>
    </row>
    <row r="22" spans="2:35" ht="13.2" x14ac:dyDescent="0.25">
      <c r="B22" s="65" t="s">
        <v>34</v>
      </c>
      <c r="C22" s="66">
        <f>O31</f>
        <v>4940669.8466597861</v>
      </c>
      <c r="D22" s="112"/>
      <c r="E22" s="113"/>
      <c r="J22" s="4"/>
      <c r="K22" s="5"/>
      <c r="O22" s="9">
        <v>7.0000000000000007E-2</v>
      </c>
      <c r="S22" s="8"/>
      <c r="AD22" s="3">
        <v>19</v>
      </c>
      <c r="AE22" s="8">
        <f t="shared" si="1"/>
        <v>0</v>
      </c>
      <c r="AF22" s="8">
        <f t="shared" si="2"/>
        <v>0</v>
      </c>
      <c r="AH22" s="8">
        <f t="shared" si="3"/>
        <v>0</v>
      </c>
      <c r="AI22" s="8">
        <f t="shared" si="0"/>
        <v>0</v>
      </c>
    </row>
    <row r="23" spans="2:35" ht="13.2" x14ac:dyDescent="0.25">
      <c r="B23" s="71" t="str">
        <f>"SIP Maturity Value After " &amp; GoalTenure &amp; " years"</f>
        <v>SIP Maturity Value After 15 years</v>
      </c>
      <c r="C23" s="72">
        <f>O29</f>
        <v>10722761.500000009</v>
      </c>
      <c r="D23" s="110"/>
      <c r="E23" s="111"/>
      <c r="AD23" s="3">
        <v>20</v>
      </c>
      <c r="AE23" s="8">
        <f t="shared" si="1"/>
        <v>0</v>
      </c>
      <c r="AF23" s="8">
        <f t="shared" si="2"/>
        <v>0</v>
      </c>
      <c r="AH23" s="8">
        <f t="shared" si="3"/>
        <v>0</v>
      </c>
      <c r="AI23" s="8">
        <f t="shared" si="0"/>
        <v>0</v>
      </c>
    </row>
    <row r="24" spans="2:35" ht="13.8" thickBot="1" x14ac:dyDescent="0.3">
      <c r="B24" s="68" t="s">
        <v>17</v>
      </c>
      <c r="C24" s="77">
        <f>S6</f>
        <v>722761.5</v>
      </c>
      <c r="D24" s="69"/>
      <c r="E24" s="70"/>
      <c r="U24" s="15"/>
      <c r="X24" s="79"/>
      <c r="AD24" s="3">
        <v>21</v>
      </c>
      <c r="AE24" s="8">
        <f t="shared" si="1"/>
        <v>0</v>
      </c>
      <c r="AF24" s="8">
        <f t="shared" si="2"/>
        <v>0</v>
      </c>
      <c r="AH24" s="8">
        <f>IF(AD24&lt;=$C$5,FV($S$1,12,-(SUSIPPmt*(1+$C$19)^(AD24-1)),0,1)+AH23*(1+$C$19),0)</f>
        <v>0</v>
      </c>
      <c r="AI24" s="8">
        <f t="shared" si="0"/>
        <v>0</v>
      </c>
    </row>
    <row r="25" spans="2:35" ht="13.2" x14ac:dyDescent="0.25">
      <c r="H25" s="13"/>
      <c r="I25" s="13"/>
      <c r="AD25" s="3">
        <v>22</v>
      </c>
      <c r="AE25" s="8">
        <f t="shared" si="1"/>
        <v>0</v>
      </c>
      <c r="AF25" s="8">
        <f t="shared" si="2"/>
        <v>0</v>
      </c>
      <c r="AH25" s="8">
        <f t="shared" si="3"/>
        <v>0</v>
      </c>
      <c r="AI25" s="8">
        <f t="shared" si="0"/>
        <v>0</v>
      </c>
    </row>
    <row r="26" spans="2:35" ht="13.2" x14ac:dyDescent="0.25">
      <c r="B26" s="56" t="s">
        <v>41</v>
      </c>
      <c r="C26" s="2"/>
      <c r="D26" s="104"/>
      <c r="E26" s="104"/>
      <c r="H26" s="5"/>
      <c r="I26" s="5"/>
      <c r="W26" s="7" t="s">
        <v>53</v>
      </c>
      <c r="X26" s="3">
        <f>InvMonths-$C$26</f>
        <v>180</v>
      </c>
      <c r="AD26" s="3">
        <v>23</v>
      </c>
      <c r="AE26" s="8">
        <f t="shared" si="1"/>
        <v>0</v>
      </c>
      <c r="AF26" s="8">
        <f t="shared" si="2"/>
        <v>0</v>
      </c>
      <c r="AH26" s="8">
        <f t="shared" si="3"/>
        <v>0</v>
      </c>
      <c r="AI26" s="8">
        <f t="shared" si="0"/>
        <v>0</v>
      </c>
    </row>
    <row r="27" spans="2:35" ht="13.2" x14ac:dyDescent="0.25">
      <c r="B27" s="57" t="s">
        <v>11</v>
      </c>
      <c r="C27" s="58" t="str">
        <f>IF(C26&gt;0,IF(TaxRate&gt;0,X27,SIPPmt),"")</f>
        <v/>
      </c>
      <c r="D27" s="105"/>
      <c r="E27" s="105"/>
      <c r="N27" s="41" t="s">
        <v>26</v>
      </c>
      <c r="O27" s="55">
        <v>12958.46170232813</v>
      </c>
      <c r="Q27" s="7" t="s">
        <v>37</v>
      </c>
      <c r="R27" s="55">
        <v>12085.004131004993</v>
      </c>
      <c r="T27" s="7" t="s">
        <v>40</v>
      </c>
      <c r="U27" s="78">
        <f>K4/(((((1+S1Rate)^(GoalTenure*12)-1)/S1Rate)*(1+S1Rate))  - ((((((1+S1Rate)^(GoalTenure*12)-1)/S1Rate)*(1+S1Rate))-(GoalTenure*12))*TaxRate))</f>
        <v>22782.158346845841</v>
      </c>
      <c r="W27" s="7" t="s">
        <v>51</v>
      </c>
      <c r="X27" s="78">
        <f>K4/(((((1+S1Rate)^(X26)-1)/S1Rate)*(1+S1Rate))  - ((((((1+S1Rate)^(X26)-1)/S1Rate)*(1+S1Rate))-(X26))*TaxRate))</f>
        <v>22782.158346845841</v>
      </c>
      <c r="AD27" s="3">
        <v>24</v>
      </c>
      <c r="AE27" s="8">
        <f t="shared" si="1"/>
        <v>0</v>
      </c>
      <c r="AF27" s="8">
        <f t="shared" si="2"/>
        <v>0</v>
      </c>
      <c r="AH27" s="8">
        <f t="shared" si="3"/>
        <v>0</v>
      </c>
      <c r="AI27" s="8">
        <f t="shared" si="0"/>
        <v>0</v>
      </c>
    </row>
    <row r="28" spans="2:35" ht="13.2" x14ac:dyDescent="0.25">
      <c r="B28" s="59" t="s">
        <v>8</v>
      </c>
      <c r="C28" s="60" t="str">
        <f>IF(C26&gt;0,X26*C27,"")</f>
        <v/>
      </c>
      <c r="D28" s="106"/>
      <c r="E28" s="106"/>
      <c r="L28" s="42" t="s">
        <v>27</v>
      </c>
      <c r="M28" s="43">
        <f>GoalTenure*12</f>
        <v>180</v>
      </c>
      <c r="N28" s="7" t="s">
        <v>31</v>
      </c>
      <c r="O28" s="46">
        <f>O29-(K4+S6)</f>
        <v>0</v>
      </c>
      <c r="R28" s="46">
        <f>K4-R29</f>
        <v>0</v>
      </c>
      <c r="U28" s="46">
        <f>U29-(K4+S5)</f>
        <v>-3.4750625491142273E-4</v>
      </c>
      <c r="X28" s="46">
        <f>X29-(K4+U5)</f>
        <v>-3.4750625491142273E-4</v>
      </c>
      <c r="AD28" s="3">
        <v>25</v>
      </c>
      <c r="AE28" s="8">
        <f t="shared" si="1"/>
        <v>0</v>
      </c>
      <c r="AF28" s="8">
        <f t="shared" si="2"/>
        <v>0</v>
      </c>
      <c r="AH28" s="8">
        <f t="shared" si="3"/>
        <v>0</v>
      </c>
      <c r="AI28" s="8">
        <f t="shared" si="0"/>
        <v>0</v>
      </c>
    </row>
    <row r="29" spans="2:35" ht="13.2" x14ac:dyDescent="0.25">
      <c r="B29" s="61" t="s">
        <v>10</v>
      </c>
      <c r="C29" s="62" t="str">
        <f>IF(C26=0,"",C28-C14)</f>
        <v/>
      </c>
      <c r="D29" s="107"/>
      <c r="E29" s="107"/>
      <c r="L29" s="40"/>
      <c r="N29" s="7" t="s">
        <v>30</v>
      </c>
      <c r="O29" s="8">
        <f>SUM(O33:O929)</f>
        <v>10722761.500000009</v>
      </c>
      <c r="R29" s="8">
        <f>SUM(R33:R929)</f>
        <v>10000000.000000002</v>
      </c>
      <c r="U29" s="8">
        <f>SUM(U33:U929)</f>
        <v>10842744.499652494</v>
      </c>
      <c r="X29" s="8">
        <f>SUM(X33:X929)</f>
        <v>10842744.499652494</v>
      </c>
      <c r="AD29" s="3">
        <v>26</v>
      </c>
      <c r="AE29" s="8">
        <f t="shared" si="1"/>
        <v>0</v>
      </c>
      <c r="AF29" s="8">
        <f t="shared" si="2"/>
        <v>0</v>
      </c>
      <c r="AH29" s="8">
        <f t="shared" si="3"/>
        <v>0</v>
      </c>
      <c r="AI29" s="8">
        <f t="shared" si="0"/>
        <v>0</v>
      </c>
    </row>
    <row r="30" spans="2:35" ht="13.2" x14ac:dyDescent="0.25">
      <c r="L30" s="39"/>
      <c r="AD30" s="3">
        <v>27</v>
      </c>
      <c r="AE30" s="8">
        <f t="shared" si="1"/>
        <v>0</v>
      </c>
      <c r="AF30" s="8">
        <f t="shared" si="2"/>
        <v>0</v>
      </c>
      <c r="AH30" s="8">
        <f t="shared" si="3"/>
        <v>0</v>
      </c>
      <c r="AI30" s="8">
        <f t="shared" si="0"/>
        <v>0</v>
      </c>
    </row>
    <row r="31" spans="2:35" ht="13.2" x14ac:dyDescent="0.25">
      <c r="B31" s="6" t="s">
        <v>1</v>
      </c>
      <c r="G31" s="20" t="s">
        <v>63</v>
      </c>
      <c r="L31" s="39"/>
      <c r="N31" s="4" t="s">
        <v>38</v>
      </c>
      <c r="O31" s="54">
        <f>SUM(N33:N929)</f>
        <v>4940669.8466597861</v>
      </c>
      <c r="Q31" s="4" t="s">
        <v>39</v>
      </c>
      <c r="R31" s="54">
        <f>SUM(Q33:Q929)</f>
        <v>4607646.8703139443</v>
      </c>
      <c r="T31" s="4" t="s">
        <v>54</v>
      </c>
      <c r="U31" s="54">
        <f>SUM(T33:T929)</f>
        <v>4100788.5024322425</v>
      </c>
      <c r="W31" s="4" t="s">
        <v>55</v>
      </c>
      <c r="X31" s="54">
        <f>SUM(W33:W929)</f>
        <v>4100788.5024322425</v>
      </c>
      <c r="AD31" s="3">
        <v>28</v>
      </c>
      <c r="AE31" s="8">
        <f t="shared" si="1"/>
        <v>0</v>
      </c>
      <c r="AF31" s="8">
        <f t="shared" si="2"/>
        <v>0</v>
      </c>
      <c r="AH31" s="8">
        <f t="shared" si="3"/>
        <v>0</v>
      </c>
      <c r="AI31" s="8">
        <f t="shared" si="0"/>
        <v>0</v>
      </c>
    </row>
    <row r="32" spans="2:35" ht="13.2" x14ac:dyDescent="0.25">
      <c r="L32" s="40" t="s">
        <v>24</v>
      </c>
      <c r="M32" s="40" t="s">
        <v>28</v>
      </c>
      <c r="N32" s="40" t="s">
        <v>25</v>
      </c>
      <c r="O32" s="40" t="s">
        <v>29</v>
      </c>
      <c r="P32" s="39"/>
      <c r="Q32" s="40" t="s">
        <v>25</v>
      </c>
      <c r="R32" s="40" t="s">
        <v>29</v>
      </c>
      <c r="T32" s="40" t="s">
        <v>25</v>
      </c>
      <c r="U32" s="40" t="s">
        <v>29</v>
      </c>
      <c r="W32" s="40" t="s">
        <v>25</v>
      </c>
      <c r="X32" s="40" t="s">
        <v>29</v>
      </c>
      <c r="AD32" s="3">
        <v>29</v>
      </c>
      <c r="AE32" s="8">
        <f t="shared" si="1"/>
        <v>0</v>
      </c>
      <c r="AF32" s="8">
        <f t="shared" si="2"/>
        <v>0</v>
      </c>
      <c r="AH32" s="8">
        <f t="shared" si="3"/>
        <v>0</v>
      </c>
      <c r="AI32" s="8">
        <f t="shared" si="0"/>
        <v>0</v>
      </c>
    </row>
    <row r="33" spans="11:35" ht="13.2" hidden="1" x14ac:dyDescent="0.25">
      <c r="L33" s="39">
        <v>1</v>
      </c>
      <c r="M33" s="3">
        <f>IF(MOD(L33,12)=0,(L33/12)-1,QUOTIENT(L33,12))</f>
        <v>0</v>
      </c>
      <c r="N33" s="44">
        <f t="shared" ref="N33:N96" si="4">IF(L33&lt;=InvMonths,SU_Amt*(1+$C$19)^M33,0)</f>
        <v>12958.46170232813</v>
      </c>
      <c r="O33" s="8">
        <f t="shared" ref="O33:O96" si="5">FV($S$1,(InvMonths-L33+1),0,-N33,1)</f>
        <v>70928.992266508285</v>
      </c>
      <c r="Q33" s="48">
        <f t="shared" ref="Q33:Q96" si="6">IF(L33&lt;=InvMonths,$R$27*(1+$C$19)^M33,0)</f>
        <v>12085.004131004993</v>
      </c>
      <c r="R33" s="8">
        <f t="shared" ref="R33:R96" si="7">FV($S$1,(InvMonths-L33+1),0,-Q33,1)</f>
        <v>66148.064811950055</v>
      </c>
      <c r="T33" s="48">
        <f t="shared" ref="T33:T96" si="8">IF(L33&lt;=InvMonths,$U$27,0)</f>
        <v>22782.158346845841</v>
      </c>
      <c r="U33" s="8">
        <f t="shared" ref="U33:U96" si="9">FV($S$1,(InvMonths-L33+1),0,-T33,1)</f>
        <v>124699.64184926971</v>
      </c>
      <c r="W33" s="48">
        <f>IF(L33&lt;=$X$26,$X$27,0)</f>
        <v>22782.158346845841</v>
      </c>
      <c r="X33" s="8">
        <f t="shared" ref="X33:X96" si="10">FV($S$1,($X$26-L33+1),0,-W33,1)</f>
        <v>124699.64184926971</v>
      </c>
      <c r="Z33" s="5"/>
      <c r="AD33" s="3">
        <v>30</v>
      </c>
      <c r="AE33" s="8">
        <f t="shared" si="1"/>
        <v>0</v>
      </c>
      <c r="AF33" s="8">
        <f t="shared" si="2"/>
        <v>0</v>
      </c>
      <c r="AH33" s="8">
        <f t="shared" si="3"/>
        <v>0</v>
      </c>
      <c r="AI33" s="8">
        <f t="shared" si="0"/>
        <v>0</v>
      </c>
    </row>
    <row r="34" spans="11:35" ht="13.2" hidden="1" x14ac:dyDescent="0.25">
      <c r="L34" s="39">
        <v>2</v>
      </c>
      <c r="M34" s="3">
        <f t="shared" ref="M34:M97" si="11">IF(MOD(L34,12)=0,(L34/12)-1,QUOTIENT(L34,12))</f>
        <v>0</v>
      </c>
      <c r="N34" s="44">
        <f t="shared" si="4"/>
        <v>12958.46170232813</v>
      </c>
      <c r="O34" s="8">
        <f t="shared" si="5"/>
        <v>70262.287964899326</v>
      </c>
      <c r="Q34" s="48">
        <f t="shared" si="6"/>
        <v>12085.004131004993</v>
      </c>
      <c r="R34" s="8">
        <f t="shared" si="7"/>
        <v>65526.299325877306</v>
      </c>
      <c r="T34" s="48">
        <f t="shared" si="8"/>
        <v>22782.158346845841</v>
      </c>
      <c r="U34" s="8">
        <f t="shared" si="9"/>
        <v>123527.5148392366</v>
      </c>
      <c r="W34" s="48">
        <f t="shared" ref="W34:W97" si="12">IF(L34&lt;=$X$26,$X$27,0)</f>
        <v>22782.158346845841</v>
      </c>
      <c r="X34" s="8">
        <f t="shared" si="10"/>
        <v>123527.5148392366</v>
      </c>
      <c r="AD34" s="3">
        <v>31</v>
      </c>
      <c r="AE34" s="8">
        <f t="shared" si="1"/>
        <v>0</v>
      </c>
      <c r="AF34" s="8">
        <f t="shared" si="2"/>
        <v>0</v>
      </c>
      <c r="AH34" s="8">
        <f t="shared" si="3"/>
        <v>0</v>
      </c>
      <c r="AI34" s="8">
        <f t="shared" si="0"/>
        <v>0</v>
      </c>
    </row>
    <row r="35" spans="11:35" ht="13.2" hidden="1" x14ac:dyDescent="0.25">
      <c r="L35" s="39">
        <v>3</v>
      </c>
      <c r="M35" s="3">
        <f t="shared" si="11"/>
        <v>0</v>
      </c>
      <c r="N35" s="44">
        <f t="shared" si="4"/>
        <v>12958.46170232813</v>
      </c>
      <c r="O35" s="8">
        <f t="shared" si="5"/>
        <v>69601.850418415139</v>
      </c>
      <c r="Q35" s="48">
        <f t="shared" si="6"/>
        <v>12085.004131004993</v>
      </c>
      <c r="R35" s="8">
        <f t="shared" si="7"/>
        <v>64910.3781879464</v>
      </c>
      <c r="T35" s="48">
        <f t="shared" si="8"/>
        <v>22782.158346845841</v>
      </c>
      <c r="U35" s="8">
        <f t="shared" si="9"/>
        <v>122366.40535665798</v>
      </c>
      <c r="W35" s="48">
        <f t="shared" si="12"/>
        <v>22782.158346845841</v>
      </c>
      <c r="X35" s="8">
        <f t="shared" si="10"/>
        <v>122366.40535665798</v>
      </c>
      <c r="AD35" s="3">
        <v>32</v>
      </c>
      <c r="AE35" s="8">
        <f t="shared" si="1"/>
        <v>0</v>
      </c>
      <c r="AF35" s="8">
        <f t="shared" si="2"/>
        <v>0</v>
      </c>
      <c r="AH35" s="8">
        <f t="shared" si="3"/>
        <v>0</v>
      </c>
      <c r="AI35" s="8">
        <f t="shared" si="0"/>
        <v>0</v>
      </c>
    </row>
    <row r="36" spans="11:35" ht="13.2" hidden="1" x14ac:dyDescent="0.25">
      <c r="L36" s="39">
        <v>4</v>
      </c>
      <c r="M36" s="3">
        <f t="shared" si="11"/>
        <v>0</v>
      </c>
      <c r="N36" s="44">
        <f t="shared" si="4"/>
        <v>12958.46170232813</v>
      </c>
      <c r="O36" s="8">
        <f t="shared" si="5"/>
        <v>68947.620722051433</v>
      </c>
      <c r="Q36" s="48">
        <f t="shared" si="6"/>
        <v>12085.004131004993</v>
      </c>
      <c r="R36" s="8">
        <f t="shared" si="7"/>
        <v>64300.246463610536</v>
      </c>
      <c r="T36" s="48">
        <f t="shared" si="8"/>
        <v>22782.158346845841</v>
      </c>
      <c r="U36" s="8">
        <f t="shared" si="9"/>
        <v>121216.20984116025</v>
      </c>
      <c r="W36" s="48">
        <f t="shared" si="12"/>
        <v>22782.158346845841</v>
      </c>
      <c r="X36" s="8">
        <f t="shared" si="10"/>
        <v>121216.20984116025</v>
      </c>
      <c r="AD36" s="3">
        <v>33</v>
      </c>
      <c r="AE36" s="8">
        <f t="shared" si="1"/>
        <v>0</v>
      </c>
      <c r="AF36" s="8">
        <f t="shared" si="2"/>
        <v>0</v>
      </c>
      <c r="AH36" s="8">
        <f t="shared" si="3"/>
        <v>0</v>
      </c>
      <c r="AI36" s="8">
        <f t="shared" si="0"/>
        <v>0</v>
      </c>
    </row>
    <row r="37" spans="11:35" ht="13.2" hidden="1" x14ac:dyDescent="0.25">
      <c r="L37" s="39">
        <v>5</v>
      </c>
      <c r="M37" s="3">
        <f t="shared" si="11"/>
        <v>0</v>
      </c>
      <c r="N37" s="44">
        <f t="shared" si="4"/>
        <v>12958.46170232813</v>
      </c>
      <c r="O37" s="8">
        <f t="shared" si="5"/>
        <v>68299.540524487398</v>
      </c>
      <c r="Q37" s="48">
        <f t="shared" si="6"/>
        <v>12085.004131004993</v>
      </c>
      <c r="R37" s="8">
        <f t="shared" si="7"/>
        <v>63695.849734685791</v>
      </c>
      <c r="T37" s="48">
        <f t="shared" si="8"/>
        <v>22782.158346845841</v>
      </c>
      <c r="U37" s="8">
        <f t="shared" si="9"/>
        <v>120076.82570579593</v>
      </c>
      <c r="W37" s="48">
        <f t="shared" si="12"/>
        <v>22782.158346845841</v>
      </c>
      <c r="X37" s="8">
        <f t="shared" si="10"/>
        <v>120076.82570579593</v>
      </c>
      <c r="AD37" s="3">
        <v>34</v>
      </c>
      <c r="AE37" s="8">
        <f t="shared" si="1"/>
        <v>0</v>
      </c>
      <c r="AF37" s="8">
        <f t="shared" si="2"/>
        <v>0</v>
      </c>
      <c r="AH37" s="8">
        <f t="shared" ref="AH37:AH68" si="13">IF(AD37&lt;=$C$5,FV($S$1,12,-(SUSIPPmt*(1+$C$19)^(AD37-1)),0,1)+AH36*(1+$C$19),0)</f>
        <v>0</v>
      </c>
      <c r="AI37" s="8">
        <f t="shared" si="0"/>
        <v>0</v>
      </c>
    </row>
    <row r="38" spans="11:35" ht="13.2" hidden="1" x14ac:dyDescent="0.25">
      <c r="L38" s="39">
        <v>6</v>
      </c>
      <c r="M38" s="3">
        <f t="shared" si="11"/>
        <v>0</v>
      </c>
      <c r="N38" s="44">
        <f t="shared" si="4"/>
        <v>12958.46170232813</v>
      </c>
      <c r="O38" s="8">
        <f t="shared" si="5"/>
        <v>67657.552022881515</v>
      </c>
      <c r="Q38" s="48">
        <f t="shared" si="6"/>
        <v>12085.004131004993</v>
      </c>
      <c r="R38" s="8">
        <f t="shared" si="7"/>
        <v>63097.134094497495</v>
      </c>
      <c r="T38" s="48">
        <f t="shared" si="8"/>
        <v>22782.158346845841</v>
      </c>
      <c r="U38" s="8">
        <f t="shared" si="9"/>
        <v>118948.15132789411</v>
      </c>
      <c r="W38" s="48">
        <f t="shared" si="12"/>
        <v>22782.158346845841</v>
      </c>
      <c r="X38" s="8">
        <f t="shared" si="10"/>
        <v>118948.15132789411</v>
      </c>
      <c r="AD38" s="3">
        <v>35</v>
      </c>
      <c r="AE38" s="8">
        <f t="shared" si="1"/>
        <v>0</v>
      </c>
      <c r="AF38" s="8">
        <f t="shared" si="2"/>
        <v>0</v>
      </c>
      <c r="AH38" s="8">
        <f t="shared" si="13"/>
        <v>0</v>
      </c>
      <c r="AI38" s="8">
        <f t="shared" si="0"/>
        <v>0</v>
      </c>
    </row>
    <row r="39" spans="11:35" ht="13.2" hidden="1" x14ac:dyDescent="0.25">
      <c r="L39" s="39">
        <v>7</v>
      </c>
      <c r="M39" s="3">
        <f t="shared" si="11"/>
        <v>0</v>
      </c>
      <c r="N39" s="44">
        <f t="shared" si="4"/>
        <v>12958.46170232813</v>
      </c>
      <c r="O39" s="8">
        <f t="shared" si="5"/>
        <v>67021.597957715858</v>
      </c>
      <c r="Q39" s="48">
        <f t="shared" si="6"/>
        <v>12085.004131004993</v>
      </c>
      <c r="R39" s="8">
        <f t="shared" si="7"/>
        <v>62504.046143072243</v>
      </c>
      <c r="T39" s="48">
        <f t="shared" si="8"/>
        <v>22782.158346845841</v>
      </c>
      <c r="U39" s="8">
        <f t="shared" si="9"/>
        <v>117830.08603999646</v>
      </c>
      <c r="W39" s="48">
        <f t="shared" si="12"/>
        <v>22782.158346845841</v>
      </c>
      <c r="X39" s="8">
        <f t="shared" si="10"/>
        <v>117830.08603999646</v>
      </c>
      <c r="AD39" s="3">
        <v>36</v>
      </c>
      <c r="AE39" s="8">
        <f t="shared" si="1"/>
        <v>0</v>
      </c>
      <c r="AF39" s="8">
        <f t="shared" si="2"/>
        <v>0</v>
      </c>
      <c r="AH39" s="8">
        <f t="shared" si="13"/>
        <v>0</v>
      </c>
      <c r="AI39" s="8">
        <f t="shared" si="0"/>
        <v>0</v>
      </c>
    </row>
    <row r="40" spans="11:35" ht="13.2" hidden="1" x14ac:dyDescent="0.25">
      <c r="L40" s="39">
        <v>8</v>
      </c>
      <c r="M40" s="3">
        <f t="shared" si="11"/>
        <v>0</v>
      </c>
      <c r="N40" s="44">
        <f t="shared" si="4"/>
        <v>12958.46170232813</v>
      </c>
      <c r="O40" s="8">
        <f t="shared" si="5"/>
        <v>66391.621607689289</v>
      </c>
      <c r="Q40" s="48">
        <f t="shared" si="6"/>
        <v>12085.004131004993</v>
      </c>
      <c r="R40" s="8">
        <f t="shared" si="7"/>
        <v>61916.532982375196</v>
      </c>
      <c r="T40" s="48">
        <f t="shared" si="8"/>
        <v>22782.158346845841</v>
      </c>
      <c r="U40" s="8">
        <f t="shared" si="9"/>
        <v>116722.53012087879</v>
      </c>
      <c r="W40" s="48">
        <f t="shared" si="12"/>
        <v>22782.158346845841</v>
      </c>
      <c r="X40" s="8">
        <f t="shared" si="10"/>
        <v>116722.53012087879</v>
      </c>
      <c r="AD40" s="3">
        <v>37</v>
      </c>
      <c r="AE40" s="8">
        <f t="shared" si="1"/>
        <v>0</v>
      </c>
      <c r="AF40" s="8">
        <f t="shared" si="2"/>
        <v>0</v>
      </c>
      <c r="AH40" s="8">
        <f t="shared" si="13"/>
        <v>0</v>
      </c>
      <c r="AI40" s="8">
        <f t="shared" si="0"/>
        <v>0</v>
      </c>
    </row>
    <row r="41" spans="11:35" ht="13.2" hidden="1" x14ac:dyDescent="0.25">
      <c r="K41" s="3" t="str">
        <f>IF(MOD(L41,12)=0,L41/12,"")</f>
        <v/>
      </c>
      <c r="L41" s="39">
        <v>9</v>
      </c>
      <c r="M41" s="3">
        <f t="shared" si="11"/>
        <v>0</v>
      </c>
      <c r="N41" s="44">
        <f t="shared" si="4"/>
        <v>12958.46170232813</v>
      </c>
      <c r="O41" s="8">
        <f t="shared" si="5"/>
        <v>65767.566784658324</v>
      </c>
      <c r="Q41" s="48">
        <f t="shared" si="6"/>
        <v>12085.004131004993</v>
      </c>
      <c r="R41" s="8">
        <f t="shared" si="7"/>
        <v>61334.542211591965</v>
      </c>
      <c r="T41" s="48">
        <f t="shared" si="8"/>
        <v>22782.158346845841</v>
      </c>
      <c r="U41" s="8">
        <f t="shared" si="9"/>
        <v>115625.38478665674</v>
      </c>
      <c r="W41" s="48">
        <f t="shared" si="12"/>
        <v>22782.158346845841</v>
      </c>
      <c r="X41" s="8">
        <f t="shared" si="10"/>
        <v>115625.38478665674</v>
      </c>
      <c r="AD41" s="3">
        <v>38</v>
      </c>
      <c r="AE41" s="8">
        <f t="shared" si="1"/>
        <v>0</v>
      </c>
      <c r="AF41" s="8">
        <f t="shared" si="2"/>
        <v>0</v>
      </c>
      <c r="AH41" s="8">
        <f t="shared" si="13"/>
        <v>0</v>
      </c>
      <c r="AI41" s="8">
        <f t="shared" si="0"/>
        <v>0</v>
      </c>
    </row>
    <row r="42" spans="11:35" ht="13.2" hidden="1" x14ac:dyDescent="0.25">
      <c r="K42" s="3" t="str">
        <f t="shared" ref="K42:K105" si="14">IF(MOD(L42,12)=0,L42/12,"")</f>
        <v/>
      </c>
      <c r="L42" s="39">
        <v>10</v>
      </c>
      <c r="M42" s="3">
        <f t="shared" si="11"/>
        <v>0</v>
      </c>
      <c r="N42" s="44">
        <f t="shared" si="4"/>
        <v>12958.46170232813</v>
      </c>
      <c r="O42" s="8">
        <f t="shared" si="5"/>
        <v>65149.377828625577</v>
      </c>
      <c r="Q42" s="48">
        <f t="shared" si="6"/>
        <v>12085.004131004993</v>
      </c>
      <c r="R42" s="8">
        <f t="shared" si="7"/>
        <v>60758.021922454929</v>
      </c>
      <c r="T42" s="48">
        <f t="shared" si="8"/>
        <v>22782.158346845841</v>
      </c>
      <c r="U42" s="8">
        <f t="shared" si="9"/>
        <v>114538.55218197503</v>
      </c>
      <c r="W42" s="48">
        <f t="shared" si="12"/>
        <v>22782.158346845841</v>
      </c>
      <c r="X42" s="8">
        <f t="shared" si="10"/>
        <v>114538.55218197503</v>
      </c>
      <c r="AD42" s="3">
        <v>39</v>
      </c>
      <c r="AE42" s="8">
        <f t="shared" si="1"/>
        <v>0</v>
      </c>
      <c r="AF42" s="8">
        <f t="shared" si="2"/>
        <v>0</v>
      </c>
      <c r="AH42" s="8">
        <f t="shared" si="13"/>
        <v>0</v>
      </c>
      <c r="AI42" s="8">
        <f t="shared" si="0"/>
        <v>0</v>
      </c>
    </row>
    <row r="43" spans="11:35" ht="13.2" hidden="1" x14ac:dyDescent="0.25">
      <c r="K43" s="3" t="str">
        <f t="shared" si="14"/>
        <v/>
      </c>
      <c r="L43" s="39">
        <v>11</v>
      </c>
      <c r="M43" s="3">
        <f t="shared" si="11"/>
        <v>0</v>
      </c>
      <c r="N43" s="44">
        <f t="shared" si="4"/>
        <v>12958.46170232813</v>
      </c>
      <c r="O43" s="8">
        <f t="shared" si="5"/>
        <v>64536.999602775562</v>
      </c>
      <c r="Q43" s="48">
        <f t="shared" si="6"/>
        <v>12085.004131004993</v>
      </c>
      <c r="R43" s="8">
        <f t="shared" si="7"/>
        <v>60186.920694613567</v>
      </c>
      <c r="T43" s="48">
        <f t="shared" si="8"/>
        <v>22782.158346845841</v>
      </c>
      <c r="U43" s="8">
        <f t="shared" si="9"/>
        <v>113461.93537127991</v>
      </c>
      <c r="W43" s="48">
        <f t="shared" si="12"/>
        <v>22782.158346845841</v>
      </c>
      <c r="X43" s="8">
        <f t="shared" si="10"/>
        <v>113461.93537127991</v>
      </c>
      <c r="AD43" s="3">
        <v>40</v>
      </c>
      <c r="AE43" s="8">
        <f t="shared" si="1"/>
        <v>0</v>
      </c>
      <c r="AF43" s="8">
        <f t="shared" si="2"/>
        <v>0</v>
      </c>
      <c r="AH43" s="8">
        <f t="shared" si="13"/>
        <v>0</v>
      </c>
      <c r="AI43" s="8">
        <f t="shared" si="0"/>
        <v>0</v>
      </c>
    </row>
    <row r="44" spans="11:35" ht="13.2" hidden="1" x14ac:dyDescent="0.25">
      <c r="K44" s="3">
        <f t="shared" si="14"/>
        <v>1</v>
      </c>
      <c r="L44" s="39">
        <v>12</v>
      </c>
      <c r="M44" s="3">
        <f t="shared" si="11"/>
        <v>0</v>
      </c>
      <c r="N44" s="44">
        <f t="shared" si="4"/>
        <v>12958.46170232813</v>
      </c>
      <c r="O44" s="8">
        <f t="shared" si="5"/>
        <v>63930.377488556907</v>
      </c>
      <c r="Q44" s="48">
        <f t="shared" si="6"/>
        <v>12085.004131004993</v>
      </c>
      <c r="R44" s="8">
        <f t="shared" si="7"/>
        <v>59621.187591048169</v>
      </c>
      <c r="T44" s="48">
        <f t="shared" si="8"/>
        <v>22782.158346845841</v>
      </c>
      <c r="U44" s="8">
        <f t="shared" si="9"/>
        <v>112395.43833017317</v>
      </c>
      <c r="W44" s="48">
        <f t="shared" si="12"/>
        <v>22782.158346845841</v>
      </c>
      <c r="X44" s="8">
        <f t="shared" si="10"/>
        <v>112395.43833017317</v>
      </c>
      <c r="AD44" s="3">
        <v>41</v>
      </c>
      <c r="AE44" s="8">
        <f t="shared" si="1"/>
        <v>0</v>
      </c>
      <c r="AF44" s="8">
        <f t="shared" si="2"/>
        <v>0</v>
      </c>
      <c r="AH44" s="8">
        <f t="shared" si="13"/>
        <v>0</v>
      </c>
      <c r="AI44" s="8">
        <f t="shared" si="0"/>
        <v>0</v>
      </c>
    </row>
    <row r="45" spans="11:35" ht="13.2" hidden="1" x14ac:dyDescent="0.25">
      <c r="K45" s="3" t="str">
        <f t="shared" si="14"/>
        <v/>
      </c>
      <c r="L45" s="39">
        <v>13</v>
      </c>
      <c r="M45" s="3">
        <f t="shared" si="11"/>
        <v>1</v>
      </c>
      <c r="N45" s="44">
        <f t="shared" si="4"/>
        <v>14254.307872560945</v>
      </c>
      <c r="O45" s="8">
        <f t="shared" si="5"/>
        <v>69662.403118891991</v>
      </c>
      <c r="Q45" s="48">
        <f t="shared" si="6"/>
        <v>13293.504544105494</v>
      </c>
      <c r="R45" s="8">
        <f t="shared" si="7"/>
        <v>64966.849368879448</v>
      </c>
      <c r="T45" s="48">
        <f t="shared" si="8"/>
        <v>22782.158346845841</v>
      </c>
      <c r="U45" s="8">
        <f t="shared" si="9"/>
        <v>111338.96593684783</v>
      </c>
      <c r="W45" s="48">
        <f t="shared" si="12"/>
        <v>22782.158346845841</v>
      </c>
      <c r="X45" s="8">
        <f t="shared" si="10"/>
        <v>111338.96593684783</v>
      </c>
      <c r="AD45" s="3">
        <v>42</v>
      </c>
      <c r="AE45" s="8">
        <f t="shared" si="1"/>
        <v>0</v>
      </c>
      <c r="AF45" s="8">
        <f t="shared" si="2"/>
        <v>0</v>
      </c>
      <c r="AH45" s="8">
        <f t="shared" si="13"/>
        <v>0</v>
      </c>
      <c r="AI45" s="8">
        <f t="shared" si="0"/>
        <v>0</v>
      </c>
    </row>
    <row r="46" spans="11:35" ht="13.2" hidden="1" x14ac:dyDescent="0.25">
      <c r="K46" s="3" t="str">
        <f t="shared" si="14"/>
        <v/>
      </c>
      <c r="L46" s="39">
        <v>14</v>
      </c>
      <c r="M46" s="3">
        <f t="shared" si="11"/>
        <v>1</v>
      </c>
      <c r="N46" s="44">
        <f t="shared" si="4"/>
        <v>14254.307872560945</v>
      </c>
      <c r="O46" s="8">
        <f t="shared" si="5"/>
        <v>69007.604251240322</v>
      </c>
      <c r="Q46" s="48">
        <f t="shared" si="6"/>
        <v>13293.504544105494</v>
      </c>
      <c r="R46" s="8">
        <f t="shared" si="7"/>
        <v>64356.186837915142</v>
      </c>
      <c r="T46" s="48">
        <f t="shared" si="8"/>
        <v>22782.158346845841</v>
      </c>
      <c r="U46" s="8">
        <f t="shared" si="9"/>
        <v>110292.42396360396</v>
      </c>
      <c r="W46" s="48">
        <f t="shared" si="12"/>
        <v>22782.158346845841</v>
      </c>
      <c r="X46" s="8">
        <f t="shared" si="10"/>
        <v>110292.42396360396</v>
      </c>
      <c r="AD46" s="3">
        <v>43</v>
      </c>
      <c r="AE46" s="8">
        <f t="shared" si="1"/>
        <v>0</v>
      </c>
      <c r="AF46" s="8">
        <f t="shared" si="2"/>
        <v>0</v>
      </c>
      <c r="AH46" s="8">
        <f t="shared" si="13"/>
        <v>0</v>
      </c>
      <c r="AI46" s="8">
        <f t="shared" si="0"/>
        <v>0</v>
      </c>
    </row>
    <row r="47" spans="11:35" ht="13.2" hidden="1" x14ac:dyDescent="0.25">
      <c r="K47" s="3" t="str">
        <f t="shared" si="14"/>
        <v/>
      </c>
      <c r="L47" s="39">
        <v>15</v>
      </c>
      <c r="M47" s="3">
        <f t="shared" si="11"/>
        <v>1</v>
      </c>
      <c r="N47" s="44">
        <f t="shared" si="4"/>
        <v>14254.307872560945</v>
      </c>
      <c r="O47" s="8">
        <f t="shared" si="5"/>
        <v>68358.960232371959</v>
      </c>
      <c r="Q47" s="48">
        <f t="shared" si="6"/>
        <v>13293.504544105494</v>
      </c>
      <c r="R47" s="8">
        <f t="shared" si="7"/>
        <v>63751.264291733009</v>
      </c>
      <c r="T47" s="48">
        <f t="shared" si="8"/>
        <v>22782.158346845841</v>
      </c>
      <c r="U47" s="8">
        <f t="shared" si="9"/>
        <v>109255.71906844451</v>
      </c>
      <c r="W47" s="48">
        <f t="shared" si="12"/>
        <v>22782.158346845841</v>
      </c>
      <c r="X47" s="8">
        <f t="shared" si="10"/>
        <v>109255.71906844451</v>
      </c>
      <c r="AD47" s="3">
        <v>44</v>
      </c>
      <c r="AE47" s="8">
        <f t="shared" si="1"/>
        <v>0</v>
      </c>
      <c r="AF47" s="8">
        <f t="shared" si="2"/>
        <v>0</v>
      </c>
      <c r="AH47" s="8">
        <f t="shared" si="13"/>
        <v>0</v>
      </c>
      <c r="AI47" s="8">
        <f t="shared" si="0"/>
        <v>0</v>
      </c>
    </row>
    <row r="48" spans="11:35" ht="13.2" hidden="1" x14ac:dyDescent="0.25">
      <c r="K48" s="3" t="str">
        <f t="shared" si="14"/>
        <v/>
      </c>
      <c r="L48" s="39">
        <v>16</v>
      </c>
      <c r="M48" s="3">
        <f t="shared" si="11"/>
        <v>1</v>
      </c>
      <c r="N48" s="44">
        <f t="shared" si="4"/>
        <v>14254.307872560945</v>
      </c>
      <c r="O48" s="8">
        <f t="shared" si="5"/>
        <v>67716.413209157574</v>
      </c>
      <c r="Q48" s="48">
        <f t="shared" si="6"/>
        <v>13293.504544105494</v>
      </c>
      <c r="R48" s="8">
        <f t="shared" si="7"/>
        <v>63152.027776760275</v>
      </c>
      <c r="T48" s="48">
        <f t="shared" si="8"/>
        <v>22782.158346845841</v>
      </c>
      <c r="U48" s="8">
        <f t="shared" si="9"/>
        <v>108228.75878675008</v>
      </c>
      <c r="W48" s="48">
        <f t="shared" si="12"/>
        <v>22782.158346845841</v>
      </c>
      <c r="X48" s="8">
        <f t="shared" si="10"/>
        <v>108228.75878675008</v>
      </c>
      <c r="AD48" s="3">
        <v>45</v>
      </c>
      <c r="AE48" s="8">
        <f t="shared" si="1"/>
        <v>0</v>
      </c>
      <c r="AF48" s="8">
        <f t="shared" si="2"/>
        <v>0</v>
      </c>
      <c r="AH48" s="8">
        <f t="shared" si="13"/>
        <v>0</v>
      </c>
      <c r="AI48" s="8">
        <f t="shared" si="0"/>
        <v>0</v>
      </c>
    </row>
    <row r="49" spans="11:35" ht="13.2" hidden="1" x14ac:dyDescent="0.25">
      <c r="K49" s="3" t="str">
        <f t="shared" si="14"/>
        <v/>
      </c>
      <c r="L49" s="39">
        <v>17</v>
      </c>
      <c r="M49" s="3">
        <f t="shared" si="11"/>
        <v>1</v>
      </c>
      <c r="N49" s="44">
        <f t="shared" si="4"/>
        <v>14254.307872560945</v>
      </c>
      <c r="O49" s="8">
        <f t="shared" si="5"/>
        <v>67079.905872264339</v>
      </c>
      <c r="Q49" s="48">
        <f t="shared" si="6"/>
        <v>13293.504544105494</v>
      </c>
      <c r="R49" s="8">
        <f t="shared" si="7"/>
        <v>62558.423846566329</v>
      </c>
      <c r="T49" s="48">
        <f t="shared" si="8"/>
        <v>22782.158346845841</v>
      </c>
      <c r="U49" s="8">
        <f t="shared" si="9"/>
        <v>107211.45152303195</v>
      </c>
      <c r="W49" s="48">
        <f t="shared" si="12"/>
        <v>22782.158346845841</v>
      </c>
      <c r="X49" s="8">
        <f t="shared" si="10"/>
        <v>107211.45152303195</v>
      </c>
      <c r="AD49" s="3">
        <v>46</v>
      </c>
      <c r="AE49" s="8">
        <f t="shared" si="1"/>
        <v>0</v>
      </c>
      <c r="AF49" s="8">
        <f t="shared" si="2"/>
        <v>0</v>
      </c>
      <c r="AH49" s="8">
        <f t="shared" si="13"/>
        <v>0</v>
      </c>
      <c r="AI49" s="8">
        <f t="shared" si="0"/>
        <v>0</v>
      </c>
    </row>
    <row r="50" spans="11:35" ht="13.2" hidden="1" x14ac:dyDescent="0.25">
      <c r="K50" s="3" t="str">
        <f t="shared" si="14"/>
        <v/>
      </c>
      <c r="L50" s="39">
        <v>18</v>
      </c>
      <c r="M50" s="3">
        <f t="shared" si="11"/>
        <v>1</v>
      </c>
      <c r="N50" s="44">
        <f t="shared" si="4"/>
        <v>14254.307872560945</v>
      </c>
      <c r="O50" s="8">
        <f t="shared" si="5"/>
        <v>66449.381451044261</v>
      </c>
      <c r="Q50" s="48">
        <f t="shared" si="6"/>
        <v>13293.504544105494</v>
      </c>
      <c r="R50" s="8">
        <f t="shared" si="7"/>
        <v>61970.399557095676</v>
      </c>
      <c r="T50" s="48">
        <f t="shared" si="8"/>
        <v>22782.158346845841</v>
      </c>
      <c r="U50" s="8">
        <f t="shared" si="9"/>
        <v>106203.70654276245</v>
      </c>
      <c r="W50" s="48">
        <f t="shared" si="12"/>
        <v>22782.158346845841</v>
      </c>
      <c r="X50" s="8">
        <f t="shared" si="10"/>
        <v>106203.70654276245</v>
      </c>
      <c r="AD50" s="3">
        <v>47</v>
      </c>
      <c r="AE50" s="8">
        <f t="shared" si="1"/>
        <v>0</v>
      </c>
      <c r="AF50" s="8">
        <f t="shared" si="2"/>
        <v>0</v>
      </c>
      <c r="AH50" s="8">
        <f t="shared" si="13"/>
        <v>0</v>
      </c>
      <c r="AI50" s="8">
        <f t="shared" si="0"/>
        <v>0</v>
      </c>
    </row>
    <row r="51" spans="11:35" ht="13.2" hidden="1" x14ac:dyDescent="0.25">
      <c r="K51" s="3" t="str">
        <f t="shared" si="14"/>
        <v/>
      </c>
      <c r="L51" s="39">
        <v>19</v>
      </c>
      <c r="M51" s="3">
        <f t="shared" si="11"/>
        <v>1</v>
      </c>
      <c r="N51" s="44">
        <f t="shared" si="4"/>
        <v>14254.307872560945</v>
      </c>
      <c r="O51" s="8">
        <f t="shared" si="5"/>
        <v>65824.783708470859</v>
      </c>
      <c r="Q51" s="48">
        <f t="shared" si="6"/>
        <v>13293.504544105494</v>
      </c>
      <c r="R51" s="8">
        <f t="shared" si="7"/>
        <v>61387.90246194588</v>
      </c>
      <c r="T51" s="48">
        <f t="shared" si="8"/>
        <v>22782.158346845841</v>
      </c>
      <c r="U51" s="8">
        <f t="shared" si="9"/>
        <v>105205.43396428242</v>
      </c>
      <c r="W51" s="48">
        <f t="shared" si="12"/>
        <v>22782.158346845841</v>
      </c>
      <c r="X51" s="8">
        <f t="shared" si="10"/>
        <v>105205.43396428242</v>
      </c>
      <c r="AD51" s="3">
        <v>48</v>
      </c>
      <c r="AE51" s="8">
        <f t="shared" si="1"/>
        <v>0</v>
      </c>
      <c r="AF51" s="8">
        <f t="shared" si="2"/>
        <v>0</v>
      </c>
      <c r="AH51" s="8">
        <f t="shared" si="13"/>
        <v>0</v>
      </c>
      <c r="AI51" s="8">
        <f t="shared" si="0"/>
        <v>0</v>
      </c>
    </row>
    <row r="52" spans="11:35" ht="13.2" hidden="1" x14ac:dyDescent="0.25">
      <c r="K52" s="3" t="str">
        <f t="shared" si="14"/>
        <v/>
      </c>
      <c r="L52" s="39">
        <v>20</v>
      </c>
      <c r="M52" s="3">
        <f t="shared" si="11"/>
        <v>1</v>
      </c>
      <c r="N52" s="44">
        <f t="shared" si="4"/>
        <v>14254.307872560945</v>
      </c>
      <c r="O52" s="8">
        <f t="shared" si="5"/>
        <v>65206.056936123343</v>
      </c>
      <c r="Q52" s="48">
        <f t="shared" si="6"/>
        <v>13293.504544105494</v>
      </c>
      <c r="R52" s="8">
        <f t="shared" si="7"/>
        <v>60810.880607689855</v>
      </c>
      <c r="T52" s="48">
        <f t="shared" si="8"/>
        <v>22782.158346845841</v>
      </c>
      <c r="U52" s="8">
        <f t="shared" si="9"/>
        <v>104216.54475078449</v>
      </c>
      <c r="W52" s="48">
        <f t="shared" si="12"/>
        <v>22782.158346845841</v>
      </c>
      <c r="X52" s="8">
        <f t="shared" si="10"/>
        <v>104216.54475078449</v>
      </c>
      <c r="AD52" s="3">
        <v>49</v>
      </c>
      <c r="AE52" s="8">
        <f t="shared" si="1"/>
        <v>0</v>
      </c>
      <c r="AF52" s="8">
        <f t="shared" si="2"/>
        <v>0</v>
      </c>
      <c r="AH52" s="8">
        <f t="shared" si="13"/>
        <v>0</v>
      </c>
      <c r="AI52" s="8">
        <f t="shared" si="0"/>
        <v>0</v>
      </c>
    </row>
    <row r="53" spans="11:35" ht="13.2" hidden="1" x14ac:dyDescent="0.25">
      <c r="K53" s="3" t="str">
        <f t="shared" si="14"/>
        <v/>
      </c>
      <c r="L53" s="39">
        <v>21</v>
      </c>
      <c r="M53" s="3">
        <f t="shared" si="11"/>
        <v>1</v>
      </c>
      <c r="N53" s="44">
        <f t="shared" si="4"/>
        <v>14254.307872560945</v>
      </c>
      <c r="O53" s="8">
        <f t="shared" si="5"/>
        <v>64593.14594921792</v>
      </c>
      <c r="Q53" s="48">
        <f t="shared" si="6"/>
        <v>13293.504544105494</v>
      </c>
      <c r="R53" s="8">
        <f t="shared" si="7"/>
        <v>60239.282529242038</v>
      </c>
      <c r="T53" s="48">
        <f t="shared" si="8"/>
        <v>22782.158346845841</v>
      </c>
      <c r="U53" s="8">
        <f t="shared" si="9"/>
        <v>103236.95070237195</v>
      </c>
      <c r="W53" s="48">
        <f t="shared" si="12"/>
        <v>22782.158346845841</v>
      </c>
      <c r="X53" s="8">
        <f t="shared" si="10"/>
        <v>103236.95070237195</v>
      </c>
      <c r="AD53" s="3">
        <v>50</v>
      </c>
      <c r="AE53" s="8">
        <f t="shared" si="1"/>
        <v>0</v>
      </c>
      <c r="AF53" s="8">
        <f t="shared" si="2"/>
        <v>0</v>
      </c>
      <c r="AH53" s="8">
        <f t="shared" si="13"/>
        <v>0</v>
      </c>
      <c r="AI53" s="8">
        <f t="shared" si="0"/>
        <v>0</v>
      </c>
    </row>
    <row r="54" spans="11:35" ht="13.2" hidden="1" x14ac:dyDescent="0.25">
      <c r="K54" s="3" t="str">
        <f t="shared" si="14"/>
        <v/>
      </c>
      <c r="L54" s="39">
        <v>22</v>
      </c>
      <c r="M54" s="3">
        <f t="shared" si="11"/>
        <v>1</v>
      </c>
      <c r="N54" s="44">
        <f t="shared" si="4"/>
        <v>14254.307872560945</v>
      </c>
      <c r="O54" s="8">
        <f t="shared" si="5"/>
        <v>63985.996081685757</v>
      </c>
      <c r="Q54" s="48">
        <f t="shared" si="6"/>
        <v>13293.504544105494</v>
      </c>
      <c r="R54" s="8">
        <f t="shared" si="7"/>
        <v>59673.057245268166</v>
      </c>
      <c r="T54" s="48">
        <f t="shared" si="8"/>
        <v>22782.158346845841</v>
      </c>
      <c r="U54" s="8">
        <f t="shared" si="9"/>
        <v>102266.56444819186</v>
      </c>
      <c r="W54" s="48">
        <f t="shared" si="12"/>
        <v>22782.158346845841</v>
      </c>
      <c r="X54" s="8">
        <f t="shared" si="10"/>
        <v>102266.56444819186</v>
      </c>
      <c r="AD54" s="3">
        <v>51</v>
      </c>
      <c r="AE54" s="8">
        <f t="shared" si="1"/>
        <v>0</v>
      </c>
      <c r="AF54" s="8">
        <f t="shared" si="2"/>
        <v>0</v>
      </c>
      <c r="AH54" s="8">
        <f t="shared" si="13"/>
        <v>0</v>
      </c>
      <c r="AI54" s="8">
        <f t="shared" si="0"/>
        <v>0</v>
      </c>
    </row>
    <row r="55" spans="11:35" ht="13.2" hidden="1" x14ac:dyDescent="0.25">
      <c r="K55" s="3" t="str">
        <f t="shared" si="14"/>
        <v/>
      </c>
      <c r="L55" s="39">
        <v>23</v>
      </c>
      <c r="M55" s="3">
        <f t="shared" si="11"/>
        <v>1</v>
      </c>
      <c r="N55" s="44">
        <f t="shared" si="4"/>
        <v>14254.307872560945</v>
      </c>
      <c r="O55" s="8">
        <f t="shared" si="5"/>
        <v>63384.55318129735</v>
      </c>
      <c r="Q55" s="48">
        <f t="shared" si="6"/>
        <v>13293.504544105494</v>
      </c>
      <c r="R55" s="8">
        <f t="shared" si="7"/>
        <v>59112.154253638255</v>
      </c>
      <c r="T55" s="48">
        <f t="shared" si="8"/>
        <v>22782.158346845841</v>
      </c>
      <c r="U55" s="8">
        <f t="shared" si="9"/>
        <v>101305.29943864263</v>
      </c>
      <c r="W55" s="48">
        <f t="shared" si="12"/>
        <v>22782.158346845841</v>
      </c>
      <c r="X55" s="8">
        <f t="shared" si="10"/>
        <v>101305.29943864263</v>
      </c>
      <c r="AD55" s="3">
        <v>52</v>
      </c>
      <c r="AE55" s="8">
        <f t="shared" si="1"/>
        <v>0</v>
      </c>
      <c r="AF55" s="8">
        <f t="shared" si="2"/>
        <v>0</v>
      </c>
      <c r="AH55" s="8">
        <f t="shared" si="13"/>
        <v>0</v>
      </c>
      <c r="AI55" s="8">
        <f t="shared" si="0"/>
        <v>0</v>
      </c>
    </row>
    <row r="56" spans="11:35" ht="13.2" hidden="1" x14ac:dyDescent="0.25">
      <c r="K56" s="3">
        <f t="shared" si="14"/>
        <v>2</v>
      </c>
      <c r="L56" s="39">
        <v>24</v>
      </c>
      <c r="M56" s="3">
        <f t="shared" si="11"/>
        <v>1</v>
      </c>
      <c r="N56" s="44">
        <f t="shared" si="4"/>
        <v>14254.307872560945</v>
      </c>
      <c r="O56" s="8">
        <f t="shared" si="5"/>
        <v>62788.763604832595</v>
      </c>
      <c r="Q56" s="48">
        <f t="shared" si="6"/>
        <v>13293.504544105494</v>
      </c>
      <c r="R56" s="8">
        <f t="shared" si="7"/>
        <v>58556.523526922232</v>
      </c>
      <c r="T56" s="48">
        <f t="shared" si="8"/>
        <v>22782.158346845841</v>
      </c>
      <c r="U56" s="8">
        <f t="shared" si="9"/>
        <v>100353.06993765448</v>
      </c>
      <c r="W56" s="48">
        <f t="shared" si="12"/>
        <v>22782.158346845841</v>
      </c>
      <c r="X56" s="8">
        <f t="shared" si="10"/>
        <v>100353.06993765448</v>
      </c>
      <c r="AD56" s="3">
        <v>53</v>
      </c>
      <c r="AE56" s="8">
        <f t="shared" si="1"/>
        <v>0</v>
      </c>
      <c r="AF56" s="8">
        <f t="shared" si="2"/>
        <v>0</v>
      </c>
      <c r="AH56" s="8">
        <f t="shared" si="13"/>
        <v>0</v>
      </c>
      <c r="AI56" s="8">
        <f t="shared" si="0"/>
        <v>0</v>
      </c>
    </row>
    <row r="57" spans="11:35" ht="13.2" hidden="1" x14ac:dyDescent="0.25">
      <c r="K57" s="3" t="str">
        <f t="shared" si="14"/>
        <v/>
      </c>
      <c r="L57" s="39">
        <v>25</v>
      </c>
      <c r="M57" s="3">
        <f t="shared" si="11"/>
        <v>2</v>
      </c>
      <c r="N57" s="44">
        <f t="shared" si="4"/>
        <v>15679.73865981704</v>
      </c>
      <c r="O57" s="8">
        <f t="shared" si="5"/>
        <v>68418.431634625973</v>
      </c>
      <c r="Q57" s="48">
        <f t="shared" si="6"/>
        <v>14622.854998516044</v>
      </c>
      <c r="R57" s="8">
        <f t="shared" si="7"/>
        <v>63806.727058720811</v>
      </c>
      <c r="T57" s="48">
        <f t="shared" si="8"/>
        <v>22782.158346845841</v>
      </c>
      <c r="U57" s="8">
        <f t="shared" si="9"/>
        <v>99409.791015042574</v>
      </c>
      <c r="W57" s="48">
        <f t="shared" si="12"/>
        <v>22782.158346845841</v>
      </c>
      <c r="X57" s="8">
        <f t="shared" si="10"/>
        <v>99409.791015042574</v>
      </c>
      <c r="AD57" s="3">
        <v>54</v>
      </c>
      <c r="AE57" s="8">
        <f t="shared" si="1"/>
        <v>0</v>
      </c>
      <c r="AF57" s="8">
        <f t="shared" si="2"/>
        <v>0</v>
      </c>
      <c r="AH57" s="8">
        <f t="shared" si="13"/>
        <v>0</v>
      </c>
      <c r="AI57" s="8">
        <f t="shared" si="0"/>
        <v>0</v>
      </c>
    </row>
    <row r="58" spans="11:35" ht="13.2" hidden="1" x14ac:dyDescent="0.25">
      <c r="K58" s="3" t="str">
        <f t="shared" si="14"/>
        <v/>
      </c>
      <c r="L58" s="39">
        <v>26</v>
      </c>
      <c r="M58" s="3">
        <f t="shared" si="11"/>
        <v>2</v>
      </c>
      <c r="N58" s="44">
        <f t="shared" si="4"/>
        <v>15679.73865981704</v>
      </c>
      <c r="O58" s="8">
        <f t="shared" si="5"/>
        <v>67775.325603896665</v>
      </c>
      <c r="Q58" s="48">
        <f t="shared" si="6"/>
        <v>14622.854998516044</v>
      </c>
      <c r="R58" s="8">
        <f t="shared" si="7"/>
        <v>63206.96921580944</v>
      </c>
      <c r="T58" s="48">
        <f t="shared" si="8"/>
        <v>22782.158346845841</v>
      </c>
      <c r="U58" s="8">
        <f t="shared" si="9"/>
        <v>98475.378538931982</v>
      </c>
      <c r="W58" s="48">
        <f t="shared" si="12"/>
        <v>22782.158346845841</v>
      </c>
      <c r="X58" s="8">
        <f t="shared" si="10"/>
        <v>98475.378538931982</v>
      </c>
      <c r="AD58" s="3">
        <v>55</v>
      </c>
      <c r="AE58" s="8">
        <f t="shared" si="1"/>
        <v>0</v>
      </c>
      <c r="AF58" s="8">
        <f t="shared" si="2"/>
        <v>0</v>
      </c>
      <c r="AH58" s="8">
        <f t="shared" si="13"/>
        <v>0</v>
      </c>
      <c r="AI58" s="8">
        <f t="shared" si="0"/>
        <v>0</v>
      </c>
    </row>
    <row r="59" spans="11:35" ht="13.2" hidden="1" x14ac:dyDescent="0.25">
      <c r="K59" s="3" t="str">
        <f t="shared" si="14"/>
        <v/>
      </c>
      <c r="L59" s="39">
        <v>27</v>
      </c>
      <c r="M59" s="3">
        <f t="shared" si="11"/>
        <v>2</v>
      </c>
      <c r="N59" s="44">
        <f t="shared" si="4"/>
        <v>15679.73865981704</v>
      </c>
      <c r="O59" s="8">
        <f t="shared" si="5"/>
        <v>67138.264513936636</v>
      </c>
      <c r="Q59" s="48">
        <f t="shared" si="6"/>
        <v>14622.854998516044</v>
      </c>
      <c r="R59" s="8">
        <f t="shared" si="7"/>
        <v>62612.848857951976</v>
      </c>
      <c r="T59" s="48">
        <f t="shared" si="8"/>
        <v>22782.158346845841</v>
      </c>
      <c r="U59" s="8">
        <f t="shared" si="9"/>
        <v>97549.749168253882</v>
      </c>
      <c r="W59" s="48">
        <f t="shared" si="12"/>
        <v>22782.158346845841</v>
      </c>
      <c r="X59" s="8">
        <f t="shared" si="10"/>
        <v>97549.749168253882</v>
      </c>
      <c r="AD59" s="3">
        <v>56</v>
      </c>
      <c r="AE59" s="8">
        <f t="shared" si="1"/>
        <v>0</v>
      </c>
      <c r="AF59" s="8">
        <f t="shared" si="2"/>
        <v>0</v>
      </c>
      <c r="AH59" s="8">
        <f t="shared" si="13"/>
        <v>0</v>
      </c>
      <c r="AI59" s="8">
        <f t="shared" si="0"/>
        <v>0</v>
      </c>
    </row>
    <row r="60" spans="11:35" ht="13.2" hidden="1" x14ac:dyDescent="0.25">
      <c r="K60" s="3" t="str">
        <f t="shared" si="14"/>
        <v/>
      </c>
      <c r="L60" s="39">
        <v>28</v>
      </c>
      <c r="M60" s="3">
        <f t="shared" si="11"/>
        <v>2</v>
      </c>
      <c r="N60" s="44">
        <f t="shared" si="4"/>
        <v>15679.73865981704</v>
      </c>
      <c r="O60" s="8">
        <f t="shared" si="5"/>
        <v>66507.191544708228</v>
      </c>
      <c r="Q60" s="48">
        <f t="shared" si="6"/>
        <v>14622.854998516044</v>
      </c>
      <c r="R60" s="8">
        <f t="shared" si="7"/>
        <v>62024.312995032327</v>
      </c>
      <c r="T60" s="48">
        <f t="shared" si="8"/>
        <v>22782.158346845841</v>
      </c>
      <c r="U60" s="8">
        <f t="shared" si="9"/>
        <v>96632.82034531243</v>
      </c>
      <c r="W60" s="48">
        <f t="shared" si="12"/>
        <v>22782.158346845841</v>
      </c>
      <c r="X60" s="8">
        <f t="shared" si="10"/>
        <v>96632.82034531243</v>
      </c>
      <c r="AD60" s="3">
        <v>57</v>
      </c>
      <c r="AE60" s="8">
        <f t="shared" si="1"/>
        <v>0</v>
      </c>
      <c r="AF60" s="8">
        <f t="shared" si="2"/>
        <v>0</v>
      </c>
      <c r="AH60" s="8">
        <f t="shared" si="13"/>
        <v>0</v>
      </c>
      <c r="AI60" s="8">
        <f t="shared" si="0"/>
        <v>0</v>
      </c>
    </row>
    <row r="61" spans="11:35" ht="13.2" hidden="1" x14ac:dyDescent="0.25">
      <c r="K61" s="3" t="str">
        <f t="shared" si="14"/>
        <v/>
      </c>
      <c r="L61" s="39">
        <v>29</v>
      </c>
      <c r="M61" s="3">
        <f t="shared" si="11"/>
        <v>2</v>
      </c>
      <c r="N61" s="44">
        <f t="shared" si="4"/>
        <v>15679.73865981704</v>
      </c>
      <c r="O61" s="8">
        <f t="shared" si="5"/>
        <v>65882.050410259515</v>
      </c>
      <c r="Q61" s="48">
        <f t="shared" si="6"/>
        <v>14622.854998516044</v>
      </c>
      <c r="R61" s="8">
        <f t="shared" si="7"/>
        <v>61441.309135020412</v>
      </c>
      <c r="T61" s="48">
        <f t="shared" si="8"/>
        <v>22782.158346845841</v>
      </c>
      <c r="U61" s="8">
        <f t="shared" si="9"/>
        <v>95724.510288421239</v>
      </c>
      <c r="W61" s="48">
        <f t="shared" si="12"/>
        <v>22782.158346845841</v>
      </c>
      <c r="X61" s="8">
        <f t="shared" si="10"/>
        <v>95724.510288421239</v>
      </c>
      <c r="AD61" s="3">
        <v>58</v>
      </c>
      <c r="AE61" s="8">
        <f t="shared" si="1"/>
        <v>0</v>
      </c>
      <c r="AF61" s="8">
        <f t="shared" si="2"/>
        <v>0</v>
      </c>
      <c r="AH61" s="8">
        <f t="shared" si="13"/>
        <v>0</v>
      </c>
      <c r="AI61" s="8">
        <f t="shared" si="0"/>
        <v>0</v>
      </c>
    </row>
    <row r="62" spans="11:35" ht="13.2" hidden="1" x14ac:dyDescent="0.25">
      <c r="K62" s="3" t="str">
        <f t="shared" si="14"/>
        <v/>
      </c>
      <c r="L62" s="39">
        <v>30</v>
      </c>
      <c r="M62" s="3">
        <f t="shared" si="11"/>
        <v>2</v>
      </c>
      <c r="N62" s="44">
        <f t="shared" si="4"/>
        <v>15679.73865981704</v>
      </c>
      <c r="O62" s="8">
        <f t="shared" si="5"/>
        <v>65262.785353704094</v>
      </c>
      <c r="Q62" s="48">
        <f t="shared" si="6"/>
        <v>14622.854998516044</v>
      </c>
      <c r="R62" s="8">
        <f t="shared" si="7"/>
        <v>60863.785279290314</v>
      </c>
      <c r="T62" s="48">
        <f t="shared" si="8"/>
        <v>22782.158346845841</v>
      </c>
      <c r="U62" s="8">
        <f t="shared" si="9"/>
        <v>94824.737984609194</v>
      </c>
      <c r="W62" s="48">
        <f t="shared" si="12"/>
        <v>22782.158346845841</v>
      </c>
      <c r="X62" s="8">
        <f t="shared" si="10"/>
        <v>94824.737984609194</v>
      </c>
      <c r="AD62" s="3">
        <v>59</v>
      </c>
      <c r="AE62" s="8">
        <f t="shared" si="1"/>
        <v>0</v>
      </c>
      <c r="AF62" s="8">
        <f t="shared" si="2"/>
        <v>0</v>
      </c>
      <c r="AH62" s="8">
        <f t="shared" si="13"/>
        <v>0</v>
      </c>
      <c r="AI62" s="8">
        <f t="shared" si="0"/>
        <v>0</v>
      </c>
    </row>
    <row r="63" spans="11:35" ht="13.2" hidden="1" x14ac:dyDescent="0.25">
      <c r="K63" s="3" t="str">
        <f t="shared" si="14"/>
        <v/>
      </c>
      <c r="L63" s="39">
        <v>31</v>
      </c>
      <c r="M63" s="3">
        <f t="shared" si="11"/>
        <v>2</v>
      </c>
      <c r="N63" s="44">
        <f t="shared" si="4"/>
        <v>15679.73865981704</v>
      </c>
      <c r="O63" s="8">
        <f t="shared" si="5"/>
        <v>64649.341142248079</v>
      </c>
      <c r="Q63" s="48">
        <f t="shared" si="6"/>
        <v>14622.854998516044</v>
      </c>
      <c r="R63" s="8">
        <f t="shared" si="7"/>
        <v>60291.68991798249</v>
      </c>
      <c r="T63" s="48">
        <f t="shared" si="8"/>
        <v>22782.158346845841</v>
      </c>
      <c r="U63" s="8">
        <f t="shared" si="9"/>
        <v>93933.423182394894</v>
      </c>
      <c r="W63" s="48">
        <f t="shared" si="12"/>
        <v>22782.158346845841</v>
      </c>
      <c r="X63" s="8">
        <f t="shared" si="10"/>
        <v>93933.423182394894</v>
      </c>
      <c r="AD63" s="3">
        <v>60</v>
      </c>
      <c r="AE63" s="8">
        <f t="shared" si="1"/>
        <v>0</v>
      </c>
      <c r="AF63" s="8">
        <f t="shared" si="2"/>
        <v>0</v>
      </c>
      <c r="AH63" s="8">
        <f t="shared" si="13"/>
        <v>0</v>
      </c>
      <c r="AI63" s="8">
        <f t="shared" si="0"/>
        <v>0</v>
      </c>
    </row>
    <row r="64" spans="11:35" ht="13.2" hidden="1" x14ac:dyDescent="0.25">
      <c r="K64" s="3" t="str">
        <f t="shared" si="14"/>
        <v/>
      </c>
      <c r="L64" s="39">
        <v>32</v>
      </c>
      <c r="M64" s="3">
        <f t="shared" si="11"/>
        <v>2</v>
      </c>
      <c r="N64" s="44">
        <f t="shared" si="4"/>
        <v>15679.73865981704</v>
      </c>
      <c r="O64" s="8">
        <f t="shared" si="5"/>
        <v>64041.663062263913</v>
      </c>
      <c r="Q64" s="48">
        <f t="shared" si="6"/>
        <v>14622.854998516044</v>
      </c>
      <c r="R64" s="8">
        <f t="shared" si="7"/>
        <v>59724.97202540961</v>
      </c>
      <c r="T64" s="48">
        <f t="shared" si="8"/>
        <v>22782.158346845841</v>
      </c>
      <c r="U64" s="8">
        <f t="shared" si="9"/>
        <v>93050.486384628908</v>
      </c>
      <c r="W64" s="48">
        <f t="shared" si="12"/>
        <v>22782.158346845841</v>
      </c>
      <c r="X64" s="8">
        <f t="shared" si="10"/>
        <v>93050.486384628908</v>
      </c>
      <c r="AD64" s="3">
        <v>61</v>
      </c>
      <c r="AE64" s="8">
        <f t="shared" si="1"/>
        <v>0</v>
      </c>
      <c r="AF64" s="8">
        <f t="shared" si="2"/>
        <v>0</v>
      </c>
      <c r="AH64" s="8">
        <f t="shared" si="13"/>
        <v>0</v>
      </c>
      <c r="AI64" s="8">
        <f t="shared" si="0"/>
        <v>0</v>
      </c>
    </row>
    <row r="65" spans="11:35" ht="13.2" hidden="1" x14ac:dyDescent="0.25">
      <c r="K65" s="3" t="str">
        <f t="shared" si="14"/>
        <v/>
      </c>
      <c r="L65" s="39">
        <v>33</v>
      </c>
      <c r="M65" s="3">
        <f t="shared" si="11"/>
        <v>2</v>
      </c>
      <c r="N65" s="44">
        <f t="shared" si="4"/>
        <v>15679.73865981704</v>
      </c>
      <c r="O65" s="8">
        <f t="shared" si="5"/>
        <v>63439.696914410371</v>
      </c>
      <c r="Q65" s="48">
        <f t="shared" si="6"/>
        <v>14622.854998516044</v>
      </c>
      <c r="R65" s="8">
        <f t="shared" si="7"/>
        <v>59163.5810555055</v>
      </c>
      <c r="T65" s="48">
        <f t="shared" si="8"/>
        <v>22782.158346845841</v>
      </c>
      <c r="U65" s="8">
        <f t="shared" si="9"/>
        <v>92175.848841403407</v>
      </c>
      <c r="W65" s="48">
        <f t="shared" si="12"/>
        <v>22782.158346845841</v>
      </c>
      <c r="X65" s="8">
        <f t="shared" si="10"/>
        <v>92175.848841403407</v>
      </c>
      <c r="AD65" s="3">
        <v>62</v>
      </c>
      <c r="AE65" s="8">
        <f t="shared" si="1"/>
        <v>0</v>
      </c>
      <c r="AF65" s="8">
        <f t="shared" si="2"/>
        <v>0</v>
      </c>
      <c r="AH65" s="8">
        <f t="shared" si="13"/>
        <v>0</v>
      </c>
      <c r="AI65" s="8">
        <f t="shared" si="0"/>
        <v>0</v>
      </c>
    </row>
    <row r="66" spans="11:35" ht="13.2" hidden="1" x14ac:dyDescent="0.25">
      <c r="K66" s="3" t="str">
        <f t="shared" si="14"/>
        <v/>
      </c>
      <c r="L66" s="39">
        <v>34</v>
      </c>
      <c r="M66" s="3">
        <f t="shared" si="11"/>
        <v>2</v>
      </c>
      <c r="N66" s="44">
        <f t="shared" si="4"/>
        <v>15679.73865981704</v>
      </c>
      <c r="O66" s="8">
        <f t="shared" si="5"/>
        <v>62843.389008798433</v>
      </c>
      <c r="Q66" s="48">
        <f t="shared" si="6"/>
        <v>14622.854998516044</v>
      </c>
      <c r="R66" s="8">
        <f t="shared" si="7"/>
        <v>58607.466937316873</v>
      </c>
      <c r="T66" s="48">
        <f t="shared" si="8"/>
        <v>22782.158346845841</v>
      </c>
      <c r="U66" s="8">
        <f t="shared" si="9"/>
        <v>91309.432543028321</v>
      </c>
      <c r="W66" s="48">
        <f t="shared" si="12"/>
        <v>22782.158346845841</v>
      </c>
      <c r="X66" s="8">
        <f t="shared" si="10"/>
        <v>91309.432543028321</v>
      </c>
      <c r="AD66" s="3">
        <v>63</v>
      </c>
      <c r="AE66" s="8">
        <f t="shared" si="1"/>
        <v>0</v>
      </c>
      <c r="AF66" s="8">
        <f t="shared" si="2"/>
        <v>0</v>
      </c>
      <c r="AH66" s="8">
        <f t="shared" si="13"/>
        <v>0</v>
      </c>
      <c r="AI66" s="8">
        <f t="shared" si="0"/>
        <v>0</v>
      </c>
    </row>
    <row r="67" spans="11:35" ht="13.2" hidden="1" x14ac:dyDescent="0.25">
      <c r="K67" s="3" t="str">
        <f t="shared" si="14"/>
        <v/>
      </c>
      <c r="L67" s="39">
        <v>35</v>
      </c>
      <c r="M67" s="3">
        <f t="shared" si="11"/>
        <v>2</v>
      </c>
      <c r="N67" s="44">
        <f t="shared" si="4"/>
        <v>15679.73865981704</v>
      </c>
      <c r="O67" s="8">
        <f t="shared" si="5"/>
        <v>62252.686160202677</v>
      </c>
      <c r="Q67" s="48">
        <f t="shared" si="6"/>
        <v>14622.854998516044</v>
      </c>
      <c r="R67" s="8">
        <f t="shared" si="7"/>
        <v>58056.580070537493</v>
      </c>
      <c r="T67" s="48">
        <f t="shared" si="8"/>
        <v>22782.158346845841</v>
      </c>
      <c r="U67" s="8">
        <f t="shared" si="9"/>
        <v>90451.160213073657</v>
      </c>
      <c r="W67" s="48">
        <f t="shared" si="12"/>
        <v>22782.158346845841</v>
      </c>
      <c r="X67" s="8">
        <f t="shared" si="10"/>
        <v>90451.160213073657</v>
      </c>
      <c r="AD67" s="3">
        <v>64</v>
      </c>
      <c r="AE67" s="8">
        <f t="shared" si="1"/>
        <v>0</v>
      </c>
      <c r="AF67" s="8">
        <f t="shared" si="2"/>
        <v>0</v>
      </c>
      <c r="AH67" s="8">
        <f t="shared" si="13"/>
        <v>0</v>
      </c>
      <c r="AI67" s="8">
        <f t="shared" si="0"/>
        <v>0</v>
      </c>
    </row>
    <row r="68" spans="11:35" ht="13.2" hidden="1" x14ac:dyDescent="0.25">
      <c r="K68" s="3">
        <f t="shared" si="14"/>
        <v>3</v>
      </c>
      <c r="L68" s="39">
        <v>36</v>
      </c>
      <c r="M68" s="3">
        <f t="shared" si="11"/>
        <v>2</v>
      </c>
      <c r="N68" s="44">
        <f t="shared" si="4"/>
        <v>15679.73865981704</v>
      </c>
      <c r="O68" s="8">
        <f t="shared" si="5"/>
        <v>61667.535683317656</v>
      </c>
      <c r="Q68" s="48">
        <f t="shared" si="6"/>
        <v>14622.854998516044</v>
      </c>
      <c r="R68" s="8">
        <f t="shared" si="7"/>
        <v>57510.871321084276</v>
      </c>
      <c r="T68" s="48">
        <f t="shared" si="8"/>
        <v>22782.158346845841</v>
      </c>
      <c r="U68" s="8">
        <f t="shared" si="9"/>
        <v>89600.955301477108</v>
      </c>
      <c r="W68" s="48">
        <f t="shared" si="12"/>
        <v>22782.158346845841</v>
      </c>
      <c r="X68" s="8">
        <f t="shared" si="10"/>
        <v>89600.955301477108</v>
      </c>
      <c r="AD68" s="3">
        <v>65</v>
      </c>
      <c r="AE68" s="8">
        <f t="shared" si="1"/>
        <v>0</v>
      </c>
      <c r="AF68" s="8">
        <f t="shared" si="2"/>
        <v>0</v>
      </c>
      <c r="AH68" s="8">
        <f t="shared" si="13"/>
        <v>0</v>
      </c>
      <c r="AI68" s="8">
        <f t="shared" ref="AI68:AI78" si="15">AH68-IF(AD68=$C$5,IF($C$10&gt;0,$C$24,0),0)</f>
        <v>0</v>
      </c>
    </row>
    <row r="69" spans="11:35" ht="13.2" hidden="1" x14ac:dyDescent="0.25">
      <c r="K69" s="3" t="str">
        <f t="shared" si="14"/>
        <v/>
      </c>
      <c r="L69" s="39">
        <v>37</v>
      </c>
      <c r="M69" s="3">
        <f t="shared" si="11"/>
        <v>3</v>
      </c>
      <c r="N69" s="44">
        <f t="shared" si="4"/>
        <v>17247.712525798746</v>
      </c>
      <c r="O69" s="8">
        <f t="shared" si="5"/>
        <v>67196.673926864722</v>
      </c>
      <c r="Q69" s="48">
        <f t="shared" si="6"/>
        <v>16085.140498367651</v>
      </c>
      <c r="R69" s="8">
        <f t="shared" si="7"/>
        <v>62667.321218386445</v>
      </c>
      <c r="T69" s="48">
        <f t="shared" si="8"/>
        <v>22782.158346845841</v>
      </c>
      <c r="U69" s="8">
        <f t="shared" si="9"/>
        <v>88758.741977716476</v>
      </c>
      <c r="W69" s="48">
        <f t="shared" si="12"/>
        <v>22782.158346845841</v>
      </c>
      <c r="X69" s="8">
        <f t="shared" si="10"/>
        <v>88758.741977716476</v>
      </c>
      <c r="AD69" s="3">
        <v>66</v>
      </c>
      <c r="AE69" s="8">
        <f t="shared" ref="AE69:AE78" si="16">IF(AD69&lt;=$C$5,FV($S$1,AD69*12,-$C$13,0,1),0)</f>
        <v>0</v>
      </c>
      <c r="AF69" s="8">
        <f t="shared" ref="AF69:AF78" si="17">AE69-IF(AD69=$C$5,IF($C$10&gt;0,$C$16,0),0)</f>
        <v>0</v>
      </c>
      <c r="AH69" s="8">
        <f t="shared" ref="AH69:AH78" si="18">IF(AD69&lt;=$C$5,FV($S$1,12,-(SUSIPPmt*(1+$C$19)^(AD69-1)),0,1)+AH68*(1+$C$19),0)</f>
        <v>0</v>
      </c>
      <c r="AI69" s="8">
        <f t="shared" si="15"/>
        <v>0</v>
      </c>
    </row>
    <row r="70" spans="11:35" ht="13.2" hidden="1" x14ac:dyDescent="0.25">
      <c r="K70" s="3" t="str">
        <f t="shared" si="14"/>
        <v/>
      </c>
      <c r="L70" s="39">
        <v>38</v>
      </c>
      <c r="M70" s="3">
        <f t="shared" si="11"/>
        <v>3</v>
      </c>
      <c r="N70" s="44">
        <f t="shared" si="4"/>
        <v>17247.712525798746</v>
      </c>
      <c r="O70" s="8">
        <f t="shared" si="5"/>
        <v>66565.051932398434</v>
      </c>
      <c r="Q70" s="48">
        <f t="shared" si="6"/>
        <v>16085.140498367651</v>
      </c>
      <c r="R70" s="8">
        <f t="shared" si="7"/>
        <v>62078.27333695563</v>
      </c>
      <c r="T70" s="48">
        <f t="shared" si="8"/>
        <v>22782.158346845841</v>
      </c>
      <c r="U70" s="8">
        <f t="shared" si="9"/>
        <v>87924.445124046295</v>
      </c>
      <c r="W70" s="48">
        <f t="shared" si="12"/>
        <v>22782.158346845841</v>
      </c>
      <c r="X70" s="8">
        <f t="shared" si="10"/>
        <v>87924.445124046295</v>
      </c>
      <c r="AD70" s="3">
        <v>67</v>
      </c>
      <c r="AE70" s="8">
        <f t="shared" si="16"/>
        <v>0</v>
      </c>
      <c r="AF70" s="8">
        <f t="shared" si="17"/>
        <v>0</v>
      </c>
      <c r="AH70" s="8">
        <f t="shared" si="18"/>
        <v>0</v>
      </c>
      <c r="AI70" s="8">
        <f t="shared" si="15"/>
        <v>0</v>
      </c>
    </row>
    <row r="71" spans="11:35" ht="13.2" hidden="1" x14ac:dyDescent="0.25">
      <c r="K71" s="3" t="str">
        <f t="shared" si="14"/>
        <v/>
      </c>
      <c r="L71" s="39">
        <v>39</v>
      </c>
      <c r="M71" s="3">
        <f t="shared" si="11"/>
        <v>3</v>
      </c>
      <c r="N71" s="44">
        <f t="shared" si="4"/>
        <v>17247.712525798746</v>
      </c>
      <c r="O71" s="8">
        <f t="shared" si="5"/>
        <v>65939.366933330559</v>
      </c>
      <c r="Q71" s="48">
        <f t="shared" si="6"/>
        <v>16085.140498367651</v>
      </c>
      <c r="R71" s="8">
        <f t="shared" si="7"/>
        <v>61494.762271202766</v>
      </c>
      <c r="T71" s="48">
        <f t="shared" si="8"/>
        <v>22782.158346845841</v>
      </c>
      <c r="U71" s="8">
        <f t="shared" si="9"/>
        <v>87097.990328797998</v>
      </c>
      <c r="W71" s="48">
        <f t="shared" si="12"/>
        <v>22782.158346845841</v>
      </c>
      <c r="X71" s="8">
        <f t="shared" si="10"/>
        <v>87097.990328797998</v>
      </c>
      <c r="AD71" s="3">
        <v>68</v>
      </c>
      <c r="AE71" s="8">
        <f t="shared" si="16"/>
        <v>0</v>
      </c>
      <c r="AF71" s="8">
        <f t="shared" si="17"/>
        <v>0</v>
      </c>
      <c r="AH71" s="8">
        <f t="shared" si="18"/>
        <v>0</v>
      </c>
      <c r="AI71" s="8">
        <f t="shared" si="15"/>
        <v>0</v>
      </c>
    </row>
    <row r="72" spans="11:35" ht="13.2" hidden="1" x14ac:dyDescent="0.25">
      <c r="K72" s="3" t="str">
        <f t="shared" si="14"/>
        <v/>
      </c>
      <c r="L72" s="39">
        <v>40</v>
      </c>
      <c r="M72" s="3">
        <f t="shared" si="11"/>
        <v>3</v>
      </c>
      <c r="N72" s="44">
        <f t="shared" si="4"/>
        <v>17247.712525798746</v>
      </c>
      <c r="O72" s="8">
        <f t="shared" si="5"/>
        <v>65319.563124266955</v>
      </c>
      <c r="Q72" s="48">
        <f t="shared" si="6"/>
        <v>16085.140498367651</v>
      </c>
      <c r="R72" s="8">
        <f t="shared" si="7"/>
        <v>60916.735977263837</v>
      </c>
      <c r="T72" s="48">
        <f t="shared" si="8"/>
        <v>22782.158346845841</v>
      </c>
      <c r="U72" s="8">
        <f t="shared" si="9"/>
        <v>86279.303879743136</v>
      </c>
      <c r="W72" s="48">
        <f t="shared" si="12"/>
        <v>22782.158346845841</v>
      </c>
      <c r="X72" s="8">
        <f t="shared" si="10"/>
        <v>86279.303879743136</v>
      </c>
      <c r="AD72" s="3">
        <v>69</v>
      </c>
      <c r="AE72" s="8">
        <f t="shared" si="16"/>
        <v>0</v>
      </c>
      <c r="AF72" s="8">
        <f t="shared" si="17"/>
        <v>0</v>
      </c>
      <c r="AH72" s="8">
        <f t="shared" si="18"/>
        <v>0</v>
      </c>
      <c r="AI72" s="8">
        <f t="shared" si="15"/>
        <v>0</v>
      </c>
    </row>
    <row r="73" spans="11:35" ht="13.2" hidden="1" x14ac:dyDescent="0.25">
      <c r="K73" s="3" t="str">
        <f t="shared" si="14"/>
        <v/>
      </c>
      <c r="L73" s="39">
        <v>41</v>
      </c>
      <c r="M73" s="3">
        <f t="shared" si="11"/>
        <v>3</v>
      </c>
      <c r="N73" s="44">
        <f t="shared" si="4"/>
        <v>17247.712525798746</v>
      </c>
      <c r="O73" s="8">
        <f t="shared" si="5"/>
        <v>64705.585224361974</v>
      </c>
      <c r="Q73" s="48">
        <f t="shared" si="6"/>
        <v>16085.140498367651</v>
      </c>
      <c r="R73" s="8">
        <f t="shared" si="7"/>
        <v>60344.142900466424</v>
      </c>
      <c r="T73" s="48">
        <f t="shared" si="8"/>
        <v>22782.158346845841</v>
      </c>
      <c r="U73" s="8">
        <f t="shared" si="9"/>
        <v>85468.31275751887</v>
      </c>
      <c r="W73" s="48">
        <f t="shared" si="12"/>
        <v>22782.158346845841</v>
      </c>
      <c r="X73" s="8">
        <f t="shared" si="10"/>
        <v>85468.31275751887</v>
      </c>
      <c r="AD73" s="3">
        <v>70</v>
      </c>
      <c r="AE73" s="8">
        <f t="shared" si="16"/>
        <v>0</v>
      </c>
      <c r="AF73" s="8">
        <f t="shared" si="17"/>
        <v>0</v>
      </c>
      <c r="AH73" s="8">
        <f t="shared" si="18"/>
        <v>0</v>
      </c>
      <c r="AI73" s="8">
        <f t="shared" si="15"/>
        <v>0</v>
      </c>
    </row>
    <row r="74" spans="11:35" ht="13.2" hidden="1" x14ac:dyDescent="0.25">
      <c r="K74" s="3" t="str">
        <f t="shared" si="14"/>
        <v/>
      </c>
      <c r="L74" s="39">
        <v>42</v>
      </c>
      <c r="M74" s="3">
        <f t="shared" si="11"/>
        <v>3</v>
      </c>
      <c r="N74" s="44">
        <f t="shared" si="4"/>
        <v>17247.712525798746</v>
      </c>
      <c r="O74" s="8">
        <f t="shared" si="5"/>
        <v>64097.378472387885</v>
      </c>
      <c r="Q74" s="48">
        <f t="shared" si="6"/>
        <v>16085.140498367651</v>
      </c>
      <c r="R74" s="8">
        <f t="shared" si="7"/>
        <v>59776.931970731501</v>
      </c>
      <c r="T74" s="48">
        <f t="shared" si="8"/>
        <v>22782.158346845841</v>
      </c>
      <c r="U74" s="8">
        <f t="shared" si="9"/>
        <v>84664.944629115256</v>
      </c>
      <c r="W74" s="48">
        <f t="shared" si="12"/>
        <v>22782.158346845841</v>
      </c>
      <c r="X74" s="8">
        <f t="shared" si="10"/>
        <v>84664.944629115256</v>
      </c>
      <c r="AD74" s="3">
        <v>71</v>
      </c>
      <c r="AE74" s="8">
        <f t="shared" si="16"/>
        <v>0</v>
      </c>
      <c r="AF74" s="8">
        <f t="shared" si="17"/>
        <v>0</v>
      </c>
      <c r="AH74" s="8">
        <f t="shared" si="18"/>
        <v>0</v>
      </c>
      <c r="AI74" s="8">
        <f t="shared" si="15"/>
        <v>0</v>
      </c>
    </row>
    <row r="75" spans="11:35" ht="13.2" hidden="1" x14ac:dyDescent="0.25">
      <c r="K75" s="3" t="str">
        <f t="shared" si="14"/>
        <v/>
      </c>
      <c r="L75" s="39">
        <v>43</v>
      </c>
      <c r="M75" s="3">
        <f t="shared" si="11"/>
        <v>3</v>
      </c>
      <c r="N75" s="44">
        <f t="shared" si="4"/>
        <v>17247.712525798746</v>
      </c>
      <c r="O75" s="8">
        <f t="shared" si="5"/>
        <v>63494.888621850725</v>
      </c>
      <c r="Q75" s="48">
        <f t="shared" si="6"/>
        <v>16085.140498367651</v>
      </c>
      <c r="R75" s="8">
        <f t="shared" si="7"/>
        <v>59215.052598018447</v>
      </c>
      <c r="T75" s="48">
        <f t="shared" si="8"/>
        <v>22782.158346845841</v>
      </c>
      <c r="U75" s="8">
        <f t="shared" si="9"/>
        <v>83869.127841423906</v>
      </c>
      <c r="W75" s="48">
        <f t="shared" si="12"/>
        <v>22782.158346845841</v>
      </c>
      <c r="X75" s="8">
        <f t="shared" si="10"/>
        <v>83869.127841423906</v>
      </c>
      <c r="AD75" s="3">
        <v>72</v>
      </c>
      <c r="AE75" s="8">
        <f t="shared" si="16"/>
        <v>0</v>
      </c>
      <c r="AF75" s="8">
        <f t="shared" si="17"/>
        <v>0</v>
      </c>
      <c r="AH75" s="8">
        <f t="shared" si="18"/>
        <v>0</v>
      </c>
      <c r="AI75" s="8">
        <f t="shared" si="15"/>
        <v>0</v>
      </c>
    </row>
    <row r="76" spans="11:35" ht="13.2" hidden="1" x14ac:dyDescent="0.25">
      <c r="K76" s="3" t="str">
        <f t="shared" si="14"/>
        <v/>
      </c>
      <c r="L76" s="39">
        <v>44</v>
      </c>
      <c r="M76" s="3">
        <f t="shared" si="11"/>
        <v>3</v>
      </c>
      <c r="N76" s="44">
        <f t="shared" si="4"/>
        <v>17247.712525798746</v>
      </c>
      <c r="O76" s="8">
        <f t="shared" si="5"/>
        <v>62898.061936151986</v>
      </c>
      <c r="Q76" s="48">
        <f t="shared" si="6"/>
        <v>16085.140498367651</v>
      </c>
      <c r="R76" s="8">
        <f t="shared" si="7"/>
        <v>58658.454667812941</v>
      </c>
      <c r="T76" s="48">
        <f t="shared" si="8"/>
        <v>22782.158346845841</v>
      </c>
      <c r="U76" s="8">
        <f t="shared" si="9"/>
        <v>83080.791414847117</v>
      </c>
      <c r="W76" s="48">
        <f t="shared" si="12"/>
        <v>22782.158346845841</v>
      </c>
      <c r="X76" s="8">
        <f t="shared" si="10"/>
        <v>83080.791414847117</v>
      </c>
      <c r="AD76" s="3">
        <v>73</v>
      </c>
      <c r="AE76" s="8">
        <f t="shared" si="16"/>
        <v>0</v>
      </c>
      <c r="AF76" s="8">
        <f t="shared" si="17"/>
        <v>0</v>
      </c>
      <c r="AH76" s="8">
        <f t="shared" si="18"/>
        <v>0</v>
      </c>
      <c r="AI76" s="8">
        <f t="shared" si="15"/>
        <v>0</v>
      </c>
    </row>
    <row r="77" spans="11:35" ht="13.2" hidden="1" x14ac:dyDescent="0.25">
      <c r="K77" s="3" t="str">
        <f t="shared" si="14"/>
        <v/>
      </c>
      <c r="L77" s="39">
        <v>45</v>
      </c>
      <c r="M77" s="3">
        <f t="shared" si="11"/>
        <v>3</v>
      </c>
      <c r="N77" s="44">
        <f t="shared" si="4"/>
        <v>17247.712525798746</v>
      </c>
      <c r="O77" s="8">
        <f t="shared" si="5"/>
        <v>62306.845183795835</v>
      </c>
      <c r="Q77" s="48">
        <f t="shared" si="6"/>
        <v>16085.140498367651</v>
      </c>
      <c r="R77" s="8">
        <f t="shared" si="7"/>
        <v>58107.088536657124</v>
      </c>
      <c r="T77" s="48">
        <f t="shared" si="8"/>
        <v>22782.158346845841</v>
      </c>
      <c r="U77" s="8">
        <f t="shared" si="9"/>
        <v>82299.865036967225</v>
      </c>
      <c r="W77" s="48">
        <f t="shared" si="12"/>
        <v>22782.158346845841</v>
      </c>
      <c r="X77" s="8">
        <f t="shared" si="10"/>
        <v>82299.865036967225</v>
      </c>
      <c r="AD77" s="3">
        <v>74</v>
      </c>
      <c r="AE77" s="8">
        <f t="shared" si="16"/>
        <v>0</v>
      </c>
      <c r="AF77" s="8">
        <f t="shared" si="17"/>
        <v>0</v>
      </c>
      <c r="AH77" s="8">
        <f t="shared" si="18"/>
        <v>0</v>
      </c>
      <c r="AI77" s="8">
        <f t="shared" si="15"/>
        <v>0</v>
      </c>
    </row>
    <row r="78" spans="11:35" ht="13.2" hidden="1" x14ac:dyDescent="0.25">
      <c r="K78" s="3" t="str">
        <f t="shared" si="14"/>
        <v/>
      </c>
      <c r="L78" s="39">
        <v>46</v>
      </c>
      <c r="M78" s="3">
        <f t="shared" si="11"/>
        <v>3</v>
      </c>
      <c r="N78" s="44">
        <f t="shared" si="4"/>
        <v>17247.712525798746</v>
      </c>
      <c r="O78" s="8">
        <f t="shared" si="5"/>
        <v>61721.185633641246</v>
      </c>
      <c r="Q78" s="48">
        <f t="shared" si="6"/>
        <v>16085.140498367651</v>
      </c>
      <c r="R78" s="8">
        <f t="shared" si="7"/>
        <v>57560.90502772187</v>
      </c>
      <c r="T78" s="48">
        <f t="shared" si="8"/>
        <v>22782.158346845841</v>
      </c>
      <c r="U78" s="8">
        <f t="shared" si="9"/>
        <v>81526.279056275191</v>
      </c>
      <c r="W78" s="48">
        <f t="shared" si="12"/>
        <v>22782.158346845841</v>
      </c>
      <c r="X78" s="8">
        <f t="shared" si="10"/>
        <v>81526.279056275191</v>
      </c>
      <c r="AD78" s="3">
        <v>75</v>
      </c>
      <c r="AE78" s="8">
        <f t="shared" si="16"/>
        <v>0</v>
      </c>
      <c r="AF78" s="8">
        <f t="shared" si="17"/>
        <v>0</v>
      </c>
      <c r="AH78" s="8">
        <f t="shared" si="18"/>
        <v>0</v>
      </c>
      <c r="AI78" s="8">
        <f t="shared" si="15"/>
        <v>0</v>
      </c>
    </row>
    <row r="79" spans="11:35" ht="13.2" hidden="1" x14ac:dyDescent="0.25">
      <c r="K79" s="3" t="str">
        <f t="shared" si="14"/>
        <v/>
      </c>
      <c r="L79" s="39">
        <v>47</v>
      </c>
      <c r="M79" s="3">
        <f t="shared" si="11"/>
        <v>3</v>
      </c>
      <c r="N79" s="44">
        <f t="shared" si="4"/>
        <v>17247.712525798746</v>
      </c>
      <c r="O79" s="8">
        <f t="shared" si="5"/>
        <v>61141.031050198995</v>
      </c>
      <c r="Q79" s="48">
        <f t="shared" si="6"/>
        <v>16085.140498367651</v>
      </c>
      <c r="R79" s="8">
        <f t="shared" si="7"/>
        <v>57019.855426420698</v>
      </c>
      <c r="T79" s="48">
        <f t="shared" si="8"/>
        <v>22782.158346845841</v>
      </c>
      <c r="U79" s="8">
        <f t="shared" si="9"/>
        <v>80759.964475958535</v>
      </c>
      <c r="W79" s="48">
        <f t="shared" si="12"/>
        <v>22782.158346845841</v>
      </c>
      <c r="X79" s="8">
        <f t="shared" si="10"/>
        <v>80759.964475958535</v>
      </c>
    </row>
    <row r="80" spans="11:35" ht="13.2" hidden="1" x14ac:dyDescent="0.25">
      <c r="K80" s="3">
        <f t="shared" si="14"/>
        <v>4</v>
      </c>
      <c r="L80" s="39">
        <v>48</v>
      </c>
      <c r="M80" s="3">
        <f t="shared" si="11"/>
        <v>3</v>
      </c>
      <c r="N80" s="44">
        <f t="shared" si="4"/>
        <v>17247.712525798746</v>
      </c>
      <c r="O80" s="8">
        <f t="shared" si="5"/>
        <v>60566.329688972633</v>
      </c>
      <c r="Q80" s="48">
        <f t="shared" si="6"/>
        <v>16085.140498367651</v>
      </c>
      <c r="R80" s="8">
        <f t="shared" si="7"/>
        <v>56483.891476064855</v>
      </c>
      <c r="T80" s="48">
        <f t="shared" si="8"/>
        <v>22782.158346845841</v>
      </c>
      <c r="U80" s="8">
        <f t="shared" si="9"/>
        <v>80000.85294774732</v>
      </c>
      <c r="W80" s="48">
        <f t="shared" si="12"/>
        <v>22782.158346845841</v>
      </c>
      <c r="X80" s="8">
        <f t="shared" si="10"/>
        <v>80000.85294774732</v>
      </c>
    </row>
    <row r="81" spans="11:24" ht="13.2" hidden="1" x14ac:dyDescent="0.25">
      <c r="K81" s="3" t="str">
        <f t="shared" si="14"/>
        <v/>
      </c>
      <c r="L81" s="39">
        <v>49</v>
      </c>
      <c r="M81" s="3">
        <f t="shared" si="11"/>
        <v>4</v>
      </c>
      <c r="N81" s="44">
        <f t="shared" si="4"/>
        <v>18972.483778378621</v>
      </c>
      <c r="O81" s="8">
        <f t="shared" si="5"/>
        <v>65996.733321027772</v>
      </c>
      <c r="Q81" s="48">
        <f t="shared" si="6"/>
        <v>17693.654548204417</v>
      </c>
      <c r="R81" s="8">
        <f t="shared" si="7"/>
        <v>61548.261910915178</v>
      </c>
      <c r="T81" s="48">
        <f t="shared" si="8"/>
        <v>22782.158346845841</v>
      </c>
      <c r="U81" s="8">
        <f t="shared" si="9"/>
        <v>79248.876765818175</v>
      </c>
      <c r="W81" s="48">
        <f t="shared" si="12"/>
        <v>22782.158346845841</v>
      </c>
      <c r="X81" s="8">
        <f t="shared" si="10"/>
        <v>79248.876765818175</v>
      </c>
    </row>
    <row r="82" spans="11:24" ht="13.2" hidden="1" x14ac:dyDescent="0.25">
      <c r="K82" s="3" t="str">
        <f t="shared" si="14"/>
        <v/>
      </c>
      <c r="L82" s="39">
        <v>50</v>
      </c>
      <c r="M82" s="3">
        <f t="shared" si="11"/>
        <v>4</v>
      </c>
      <c r="N82" s="44">
        <f t="shared" si="4"/>
        <v>18972.483778378621</v>
      </c>
      <c r="O82" s="8">
        <f t="shared" si="5"/>
        <v>65376.390290748372</v>
      </c>
      <c r="Q82" s="48">
        <f t="shared" si="6"/>
        <v>17693.654548204417</v>
      </c>
      <c r="R82" s="8">
        <f t="shared" si="7"/>
        <v>60969.73274165277</v>
      </c>
      <c r="T82" s="48">
        <f t="shared" si="8"/>
        <v>22782.158346845841</v>
      </c>
      <c r="U82" s="8">
        <f t="shared" si="9"/>
        <v>78503.968860755514</v>
      </c>
      <c r="W82" s="48">
        <f t="shared" si="12"/>
        <v>22782.158346845841</v>
      </c>
      <c r="X82" s="8">
        <f t="shared" si="10"/>
        <v>78503.968860755514</v>
      </c>
    </row>
    <row r="83" spans="11:24" ht="13.2" hidden="1" x14ac:dyDescent="0.25">
      <c r="K83" s="3" t="str">
        <f t="shared" si="14"/>
        <v/>
      </c>
      <c r="L83" s="39">
        <v>51</v>
      </c>
      <c r="M83" s="3">
        <f t="shared" si="11"/>
        <v>4</v>
      </c>
      <c r="N83" s="44">
        <f t="shared" si="4"/>
        <v>18972.483778378621</v>
      </c>
      <c r="O83" s="8">
        <f t="shared" si="5"/>
        <v>64761.878238092431</v>
      </c>
      <c r="Q83" s="48">
        <f t="shared" si="6"/>
        <v>17693.654548204417</v>
      </c>
      <c r="R83" s="8">
        <f t="shared" si="7"/>
        <v>60396.641516359785</v>
      </c>
      <c r="T83" s="48">
        <f t="shared" si="8"/>
        <v>22782.158346845841</v>
      </c>
      <c r="U83" s="8">
        <f t="shared" si="9"/>
        <v>77766.062793569552</v>
      </c>
      <c r="W83" s="48">
        <f t="shared" si="12"/>
        <v>22782.158346845841</v>
      </c>
      <c r="X83" s="8">
        <f t="shared" si="10"/>
        <v>77766.062793569552</v>
      </c>
    </row>
    <row r="84" spans="11:24" ht="13.2" hidden="1" x14ac:dyDescent="0.25">
      <c r="K84" s="3" t="str">
        <f t="shared" si="14"/>
        <v/>
      </c>
      <c r="L84" s="39">
        <v>52</v>
      </c>
      <c r="M84" s="3">
        <f t="shared" si="11"/>
        <v>4</v>
      </c>
      <c r="N84" s="44">
        <f t="shared" si="4"/>
        <v>18972.483778378621</v>
      </c>
      <c r="O84" s="8">
        <f t="shared" si="5"/>
        <v>64153.142354190677</v>
      </c>
      <c r="Q84" s="48">
        <f t="shared" si="6"/>
        <v>17693.654548204417</v>
      </c>
      <c r="R84" s="8">
        <f t="shared" si="7"/>
        <v>59828.937120526905</v>
      </c>
      <c r="T84" s="48">
        <f t="shared" si="8"/>
        <v>22782.158346845841</v>
      </c>
      <c r="U84" s="8">
        <f t="shared" si="9"/>
        <v>77035.092749770571</v>
      </c>
      <c r="W84" s="48">
        <f t="shared" si="12"/>
        <v>22782.158346845841</v>
      </c>
      <c r="X84" s="8">
        <f t="shared" si="10"/>
        <v>77035.092749770571</v>
      </c>
    </row>
    <row r="85" spans="11:24" ht="13.2" hidden="1" x14ac:dyDescent="0.25">
      <c r="K85" s="3" t="str">
        <f t="shared" si="14"/>
        <v/>
      </c>
      <c r="L85" s="39">
        <v>53</v>
      </c>
      <c r="M85" s="3">
        <f t="shared" si="11"/>
        <v>4</v>
      </c>
      <c r="N85" s="44">
        <f t="shared" si="4"/>
        <v>18972.483778378621</v>
      </c>
      <c r="O85" s="8">
        <f t="shared" si="5"/>
        <v>63550.128345355421</v>
      </c>
      <c r="Q85" s="48">
        <f t="shared" si="6"/>
        <v>17693.654548204417</v>
      </c>
      <c r="R85" s="8">
        <f t="shared" si="7"/>
        <v>59266.568920100879</v>
      </c>
      <c r="T85" s="48">
        <f t="shared" si="8"/>
        <v>22782.158346845841</v>
      </c>
      <c r="U85" s="8">
        <f t="shared" si="9"/>
        <v>76310.993533498899</v>
      </c>
      <c r="W85" s="48">
        <f t="shared" si="12"/>
        <v>22782.158346845841</v>
      </c>
      <c r="X85" s="8">
        <f t="shared" si="10"/>
        <v>76310.993533498899</v>
      </c>
    </row>
    <row r="86" spans="11:24" ht="13.2" hidden="1" x14ac:dyDescent="0.25">
      <c r="K86" s="3" t="str">
        <f t="shared" si="14"/>
        <v/>
      </c>
      <c r="L86" s="39">
        <v>54</v>
      </c>
      <c r="M86" s="3">
        <f t="shared" si="11"/>
        <v>4</v>
      </c>
      <c r="N86" s="44">
        <f t="shared" si="4"/>
        <v>18972.483778378621</v>
      </c>
      <c r="O86" s="8">
        <f t="shared" si="5"/>
        <v>62952.782428238017</v>
      </c>
      <c r="Q86" s="48">
        <f t="shared" si="6"/>
        <v>17693.654548204417</v>
      </c>
      <c r="R86" s="8">
        <f t="shared" si="7"/>
        <v>58709.486756968356</v>
      </c>
      <c r="T86" s="48">
        <f t="shared" si="8"/>
        <v>22782.158346845841</v>
      </c>
      <c r="U86" s="8">
        <f t="shared" si="9"/>
        <v>75593.700561709949</v>
      </c>
      <c r="W86" s="48">
        <f t="shared" si="12"/>
        <v>22782.158346845841</v>
      </c>
      <c r="X86" s="8">
        <f t="shared" si="10"/>
        <v>75593.700561709949</v>
      </c>
    </row>
    <row r="87" spans="11:24" ht="13.2" hidden="1" x14ac:dyDescent="0.25">
      <c r="K87" s="3" t="str">
        <f t="shared" si="14"/>
        <v/>
      </c>
      <c r="L87" s="39">
        <v>55</v>
      </c>
      <c r="M87" s="3">
        <f t="shared" si="11"/>
        <v>4</v>
      </c>
      <c r="N87" s="44">
        <f t="shared" si="4"/>
        <v>18972.483778378621</v>
      </c>
      <c r="O87" s="8">
        <f t="shared" si="5"/>
        <v>62361.051325031876</v>
      </c>
      <c r="Q87" s="48">
        <f t="shared" si="6"/>
        <v>17693.654548204417</v>
      </c>
      <c r="R87" s="8">
        <f t="shared" si="7"/>
        <v>58157.640944482329</v>
      </c>
      <c r="T87" s="48">
        <f t="shared" si="8"/>
        <v>22782.158346845841</v>
      </c>
      <c r="U87" s="8">
        <f t="shared" si="9"/>
        <v>74883.149858414108</v>
      </c>
      <c r="W87" s="48">
        <f t="shared" si="12"/>
        <v>22782.158346845841</v>
      </c>
      <c r="X87" s="8">
        <f t="shared" si="10"/>
        <v>74883.149858414108</v>
      </c>
    </row>
    <row r="88" spans="11:24" ht="13.2" hidden="1" x14ac:dyDescent="0.25">
      <c r="K88" s="3" t="str">
        <f t="shared" si="14"/>
        <v/>
      </c>
      <c r="L88" s="39">
        <v>56</v>
      </c>
      <c r="M88" s="3">
        <f t="shared" si="11"/>
        <v>4</v>
      </c>
      <c r="N88" s="44">
        <f t="shared" si="4"/>
        <v>18972.483778378621</v>
      </c>
      <c r="O88" s="8">
        <f t="shared" si="5"/>
        <v>61774.882258720616</v>
      </c>
      <c r="Q88" s="48">
        <f t="shared" si="6"/>
        <v>17693.654548204417</v>
      </c>
      <c r="R88" s="8">
        <f t="shared" si="7"/>
        <v>57610.982263030492</v>
      </c>
      <c r="T88" s="48">
        <f t="shared" si="8"/>
        <v>22782.158346845841</v>
      </c>
      <c r="U88" s="8">
        <f t="shared" si="9"/>
        <v>74179.278048970547</v>
      </c>
      <c r="W88" s="48">
        <f t="shared" si="12"/>
        <v>22782.158346845841</v>
      </c>
      <c r="X88" s="8">
        <f t="shared" si="10"/>
        <v>74179.278048970547</v>
      </c>
    </row>
    <row r="89" spans="11:24" ht="13.2" hidden="1" x14ac:dyDescent="0.25">
      <c r="K89" s="3" t="str">
        <f t="shared" si="14"/>
        <v/>
      </c>
      <c r="L89" s="39">
        <v>57</v>
      </c>
      <c r="M89" s="3">
        <f t="shared" si="11"/>
        <v>4</v>
      </c>
      <c r="N89" s="44">
        <f t="shared" si="4"/>
        <v>18972.483778378621</v>
      </c>
      <c r="O89" s="8">
        <f t="shared" si="5"/>
        <v>61194.222948370829</v>
      </c>
      <c r="Q89" s="48">
        <f t="shared" si="6"/>
        <v>17693.654548204417</v>
      </c>
      <c r="R89" s="8">
        <f t="shared" si="7"/>
        <v>57069.461955645311</v>
      </c>
      <c r="T89" s="48">
        <f t="shared" si="8"/>
        <v>22782.158346845841</v>
      </c>
      <c r="U89" s="8">
        <f t="shared" si="9"/>
        <v>73482.022354434928</v>
      </c>
      <c r="W89" s="48">
        <f t="shared" si="12"/>
        <v>22782.158346845841</v>
      </c>
      <c r="X89" s="8">
        <f t="shared" si="10"/>
        <v>73482.022354434928</v>
      </c>
    </row>
    <row r="90" spans="11:24" ht="13.2" hidden="1" x14ac:dyDescent="0.25">
      <c r="K90" s="3" t="str">
        <f t="shared" si="14"/>
        <v/>
      </c>
      <c r="L90" s="39">
        <v>58</v>
      </c>
      <c r="M90" s="3">
        <f t="shared" si="11"/>
        <v>4</v>
      </c>
      <c r="N90" s="44">
        <f t="shared" si="4"/>
        <v>18972.483778378621</v>
      </c>
      <c r="O90" s="8">
        <f t="shared" si="5"/>
        <v>60619.021604468995</v>
      </c>
      <c r="Q90" s="48">
        <f t="shared" si="6"/>
        <v>17693.654548204417</v>
      </c>
      <c r="R90" s="8">
        <f t="shared" si="7"/>
        <v>56533.031723655331</v>
      </c>
      <c r="T90" s="48">
        <f t="shared" si="8"/>
        <v>22782.158346845841</v>
      </c>
      <c r="U90" s="8">
        <f t="shared" si="9"/>
        <v>72791.320585959897</v>
      </c>
      <c r="W90" s="48">
        <f t="shared" si="12"/>
        <v>22782.158346845841</v>
      </c>
      <c r="X90" s="8">
        <f t="shared" si="10"/>
        <v>72791.320585959897</v>
      </c>
    </row>
    <row r="91" spans="11:24" ht="13.2" hidden="1" x14ac:dyDescent="0.25">
      <c r="K91" s="3" t="str">
        <f t="shared" si="14"/>
        <v/>
      </c>
      <c r="L91" s="39">
        <v>59</v>
      </c>
      <c r="M91" s="3">
        <f t="shared" si="11"/>
        <v>4</v>
      </c>
      <c r="N91" s="44">
        <f t="shared" si="4"/>
        <v>18972.483778378621</v>
      </c>
      <c r="O91" s="8">
        <f t="shared" si="5"/>
        <v>60049.226924302493</v>
      </c>
      <c r="Q91" s="48">
        <f t="shared" si="6"/>
        <v>17693.654548204417</v>
      </c>
      <c r="R91" s="8">
        <f t="shared" si="7"/>
        <v>56001.64372237739</v>
      </c>
      <c r="T91" s="48">
        <f t="shared" si="8"/>
        <v>22782.158346845841</v>
      </c>
      <c r="U91" s="8">
        <f t="shared" si="9"/>
        <v>72107.111139248576</v>
      </c>
      <c r="W91" s="48">
        <f t="shared" si="12"/>
        <v>22782.158346845841</v>
      </c>
      <c r="X91" s="8">
        <f t="shared" si="10"/>
        <v>72107.111139248576</v>
      </c>
    </row>
    <row r="92" spans="11:24" ht="13.2" hidden="1" x14ac:dyDescent="0.25">
      <c r="K92" s="3">
        <f t="shared" si="14"/>
        <v>5</v>
      </c>
      <c r="L92" s="39">
        <v>60</v>
      </c>
      <c r="M92" s="3">
        <f t="shared" si="11"/>
        <v>4</v>
      </c>
      <c r="N92" s="44">
        <f t="shared" si="4"/>
        <v>18972.483778378621</v>
      </c>
      <c r="O92" s="8">
        <f t="shared" si="5"/>
        <v>59484.788087383749</v>
      </c>
      <c r="Q92" s="48">
        <f t="shared" si="6"/>
        <v>17693.654548204417</v>
      </c>
      <c r="R92" s="8">
        <f t="shared" si="7"/>
        <v>55475.250556849322</v>
      </c>
      <c r="T92" s="48">
        <f t="shared" si="8"/>
        <v>22782.158346845841</v>
      </c>
      <c r="U92" s="8">
        <f t="shared" si="9"/>
        <v>71429.33298906</v>
      </c>
      <c r="W92" s="48">
        <f t="shared" si="12"/>
        <v>22782.158346845841</v>
      </c>
      <c r="X92" s="8">
        <f t="shared" si="10"/>
        <v>71429.33298906</v>
      </c>
    </row>
    <row r="93" spans="11:24" ht="13.2" hidden="1" x14ac:dyDescent="0.25">
      <c r="K93" s="3" t="str">
        <f t="shared" si="14"/>
        <v/>
      </c>
      <c r="L93" s="39">
        <v>61</v>
      </c>
      <c r="M93" s="3">
        <f t="shared" si="11"/>
        <v>5</v>
      </c>
      <c r="N93" s="44">
        <f t="shared" si="4"/>
        <v>20869.732156216483</v>
      </c>
      <c r="O93" s="8">
        <f t="shared" si="5"/>
        <v>64818.220226009325</v>
      </c>
      <c r="Q93" s="48">
        <f t="shared" si="6"/>
        <v>19463.020003024856</v>
      </c>
      <c r="R93" s="8">
        <f t="shared" si="7"/>
        <v>60449.185805363028</v>
      </c>
      <c r="T93" s="48">
        <f t="shared" si="8"/>
        <v>22782.158346845841</v>
      </c>
      <c r="U93" s="8">
        <f t="shared" si="9"/>
        <v>70757.925683766138</v>
      </c>
      <c r="W93" s="48">
        <f t="shared" si="12"/>
        <v>22782.158346845841</v>
      </c>
      <c r="X93" s="8">
        <f t="shared" si="10"/>
        <v>70757.925683766138</v>
      </c>
    </row>
    <row r="94" spans="11:24" ht="13.2" hidden="1" x14ac:dyDescent="0.25">
      <c r="K94" s="3" t="str">
        <f t="shared" si="14"/>
        <v/>
      </c>
      <c r="L94" s="39">
        <v>62</v>
      </c>
      <c r="M94" s="3">
        <f t="shared" si="11"/>
        <v>5</v>
      </c>
      <c r="N94" s="44">
        <f t="shared" si="4"/>
        <v>20869.732156216483</v>
      </c>
      <c r="O94" s="8">
        <f t="shared" si="5"/>
        <v>64208.954749842072</v>
      </c>
      <c r="Q94" s="48">
        <f t="shared" si="6"/>
        <v>19463.020003024856</v>
      </c>
      <c r="R94" s="8">
        <f t="shared" si="7"/>
        <v>59880.987514123175</v>
      </c>
      <c r="T94" s="48">
        <f t="shared" si="8"/>
        <v>22782.158346845841</v>
      </c>
      <c r="U94" s="8">
        <f t="shared" si="9"/>
        <v>70092.829339960197</v>
      </c>
      <c r="W94" s="48">
        <f t="shared" si="12"/>
        <v>22782.158346845841</v>
      </c>
      <c r="X94" s="8">
        <f t="shared" si="10"/>
        <v>70092.829339960197</v>
      </c>
    </row>
    <row r="95" spans="11:24" ht="13.2" hidden="1" x14ac:dyDescent="0.25">
      <c r="K95" s="3" t="str">
        <f t="shared" si="14"/>
        <v/>
      </c>
      <c r="L95" s="39">
        <v>63</v>
      </c>
      <c r="M95" s="3">
        <f t="shared" si="11"/>
        <v>5</v>
      </c>
      <c r="N95" s="44">
        <f t="shared" si="4"/>
        <v>20869.732156216483</v>
      </c>
      <c r="O95" s="8">
        <f t="shared" si="5"/>
        <v>63605.416126697834</v>
      </c>
      <c r="Q95" s="48">
        <f t="shared" si="6"/>
        <v>19463.020003024856</v>
      </c>
      <c r="R95" s="8">
        <f t="shared" si="7"/>
        <v>59318.130060710413</v>
      </c>
      <c r="T95" s="48">
        <f t="shared" si="8"/>
        <v>22782.158346845841</v>
      </c>
      <c r="U95" s="8">
        <f t="shared" si="9"/>
        <v>69433.984637115573</v>
      </c>
      <c r="W95" s="48">
        <f t="shared" si="12"/>
        <v>22782.158346845841</v>
      </c>
      <c r="X95" s="8">
        <f t="shared" si="10"/>
        <v>69433.984637115573</v>
      </c>
    </row>
    <row r="96" spans="11:24" ht="13.2" hidden="1" x14ac:dyDescent="0.25">
      <c r="K96" s="3" t="str">
        <f t="shared" si="14"/>
        <v/>
      </c>
      <c r="L96" s="39">
        <v>64</v>
      </c>
      <c r="M96" s="3">
        <f t="shared" si="11"/>
        <v>5</v>
      </c>
      <c r="N96" s="44">
        <f t="shared" si="4"/>
        <v>20869.732156216483</v>
      </c>
      <c r="O96" s="8">
        <f t="shared" si="5"/>
        <v>63007.55052643719</v>
      </c>
      <c r="Q96" s="48">
        <f t="shared" si="6"/>
        <v>19463.020003024856</v>
      </c>
      <c r="R96" s="8">
        <f t="shared" si="7"/>
        <v>58760.563243374556</v>
      </c>
      <c r="T96" s="48">
        <f t="shared" si="8"/>
        <v>22782.158346845841</v>
      </c>
      <c r="U96" s="8">
        <f t="shared" si="9"/>
        <v>68781.332812295062</v>
      </c>
      <c r="W96" s="48">
        <f t="shared" si="12"/>
        <v>22782.158346845841</v>
      </c>
      <c r="X96" s="8">
        <f t="shared" si="10"/>
        <v>68781.332812295062</v>
      </c>
    </row>
    <row r="97" spans="11:24" ht="13.2" hidden="1" x14ac:dyDescent="0.25">
      <c r="K97" s="3" t="str">
        <f t="shared" si="14"/>
        <v/>
      </c>
      <c r="L97" s="39">
        <v>65</v>
      </c>
      <c r="M97" s="3">
        <f t="shared" si="11"/>
        <v>5</v>
      </c>
      <c r="N97" s="44">
        <f t="shared" ref="N97:N160" si="19">IF(L97&lt;=InvMonths,SU_Amt*(1+$C$19)^M97,0)</f>
        <v>20869.732156216483</v>
      </c>
      <c r="O97" s="8">
        <f t="shared" ref="O97:O160" si="20">FV($S$1,(InvMonths-L97+1),0,-N97,1)</f>
        <v>62415.304624902565</v>
      </c>
      <c r="Q97" s="48">
        <f t="shared" ref="Q97:Q160" si="21">IF(L97&lt;=InvMonths,$R$27*(1+$C$19)^M97,0)</f>
        <v>19463.020003024856</v>
      </c>
      <c r="R97" s="8">
        <f t="shared" ref="R97:R160" si="22">FV($S$1,(InvMonths-L97+1),0,-Q97,1)</f>
        <v>58208.237332241843</v>
      </c>
      <c r="T97" s="48">
        <f t="shared" ref="T97:T160" si="23">IF(L97&lt;=InvMonths,$U$27,0)</f>
        <v>22782.158346845841</v>
      </c>
      <c r="U97" s="8">
        <f t="shared" ref="U97:U160" si="24">FV($S$1,(InvMonths-L97+1),0,-T97,1)</f>
        <v>68134.815654909631</v>
      </c>
      <c r="W97" s="48">
        <f t="shared" si="12"/>
        <v>22782.158346845841</v>
      </c>
      <c r="X97" s="8">
        <f t="shared" ref="X97:X160" si="25">FV($S$1,($X$26-L97+1),0,-W97,1)</f>
        <v>68134.815654909631</v>
      </c>
    </row>
    <row r="98" spans="11:24" ht="13.2" hidden="1" x14ac:dyDescent="0.25">
      <c r="K98" s="3" t="str">
        <f t="shared" si="14"/>
        <v/>
      </c>
      <c r="L98" s="39">
        <v>66</v>
      </c>
      <c r="M98" s="3">
        <f t="shared" ref="M98:M161" si="26">IF(MOD(L98,12)=0,(L98/12)-1,QUOTIENT(L98,12))</f>
        <v>5</v>
      </c>
      <c r="N98" s="44">
        <f t="shared" si="19"/>
        <v>20869.732156216483</v>
      </c>
      <c r="O98" s="8">
        <f t="shared" si="20"/>
        <v>61828.62559916226</v>
      </c>
      <c r="Q98" s="48">
        <f t="shared" si="21"/>
        <v>19463.020003024856</v>
      </c>
      <c r="R98" s="8">
        <f t="shared" si="22"/>
        <v>57661.103064879557</v>
      </c>
      <c r="T98" s="48">
        <f t="shared" si="23"/>
        <v>22782.158346845841</v>
      </c>
      <c r="U98" s="8">
        <f t="shared" si="24"/>
        <v>67494.375501526665</v>
      </c>
      <c r="W98" s="48">
        <f t="shared" ref="W98:W161" si="27">IF(L98&lt;=$X$26,$X$27,0)</f>
        <v>22782.158346845841</v>
      </c>
      <c r="X98" s="8">
        <f t="shared" si="25"/>
        <v>67494.375501526665</v>
      </c>
    </row>
    <row r="99" spans="11:24" ht="13.2" hidden="1" x14ac:dyDescent="0.25">
      <c r="K99" s="3" t="str">
        <f t="shared" si="14"/>
        <v/>
      </c>
      <c r="L99" s="39">
        <v>67</v>
      </c>
      <c r="M99" s="3">
        <f t="shared" si="26"/>
        <v>5</v>
      </c>
      <c r="N99" s="44">
        <f t="shared" si="19"/>
        <v>20869.732156216483</v>
      </c>
      <c r="O99" s="8">
        <f t="shared" si="20"/>
        <v>61247.46112279909</v>
      </c>
      <c r="Q99" s="48">
        <f t="shared" si="21"/>
        <v>19463.020003024856</v>
      </c>
      <c r="R99" s="8">
        <f t="shared" si="22"/>
        <v>57119.111641902207</v>
      </c>
      <c r="T99" s="48">
        <f t="shared" si="23"/>
        <v>22782.158346845841</v>
      </c>
      <c r="U99" s="8">
        <f t="shared" si="24"/>
        <v>66859.955230726788</v>
      </c>
      <c r="W99" s="48">
        <f t="shared" si="27"/>
        <v>22782.158346845841</v>
      </c>
      <c r="X99" s="8">
        <f t="shared" si="25"/>
        <v>66859.955230726788</v>
      </c>
    </row>
    <row r="100" spans="11:24" ht="13.2" hidden="1" x14ac:dyDescent="0.25">
      <c r="K100" s="3" t="str">
        <f t="shared" si="14"/>
        <v/>
      </c>
      <c r="L100" s="39">
        <v>68</v>
      </c>
      <c r="M100" s="3">
        <f t="shared" si="26"/>
        <v>5</v>
      </c>
      <c r="N100" s="44">
        <f t="shared" si="19"/>
        <v>20869.732156216483</v>
      </c>
      <c r="O100" s="8">
        <f t="shared" si="20"/>
        <v>60671.759361243392</v>
      </c>
      <c r="Q100" s="48">
        <f t="shared" si="21"/>
        <v>19463.020003024856</v>
      </c>
      <c r="R100" s="8">
        <f t="shared" si="22"/>
        <v>56582.214722619159</v>
      </c>
      <c r="T100" s="48">
        <f t="shared" si="23"/>
        <v>22782.158346845841</v>
      </c>
      <c r="U100" s="8">
        <f t="shared" si="24"/>
        <v>66231.498258009335</v>
      </c>
      <c r="W100" s="48">
        <f t="shared" si="27"/>
        <v>22782.158346845841</v>
      </c>
      <c r="X100" s="8">
        <f t="shared" si="25"/>
        <v>66231.498258009335</v>
      </c>
    </row>
    <row r="101" spans="11:24" ht="13.2" hidden="1" x14ac:dyDescent="0.25">
      <c r="K101" s="3" t="str">
        <f t="shared" si="14"/>
        <v/>
      </c>
      <c r="L101" s="39">
        <v>69</v>
      </c>
      <c r="M101" s="3">
        <f t="shared" si="26"/>
        <v>5</v>
      </c>
      <c r="N101" s="44">
        <f t="shared" si="19"/>
        <v>20869.732156216483</v>
      </c>
      <c r="O101" s="8">
        <f t="shared" si="20"/>
        <v>60101.468967149842</v>
      </c>
      <c r="Q101" s="48">
        <f t="shared" si="21"/>
        <v>19463.020003024856</v>
      </c>
      <c r="R101" s="8">
        <f t="shared" si="22"/>
        <v>56050.364420723003</v>
      </c>
      <c r="T101" s="48">
        <f t="shared" si="23"/>
        <v>22782.158346845841</v>
      </c>
      <c r="U101" s="8">
        <f t="shared" si="24"/>
        <v>65608.948530745387</v>
      </c>
      <c r="W101" s="48">
        <f t="shared" si="27"/>
        <v>22782.158346845841</v>
      </c>
      <c r="X101" s="8">
        <f t="shared" si="25"/>
        <v>65608.948530745387</v>
      </c>
    </row>
    <row r="102" spans="11:24" ht="13.2" hidden="1" x14ac:dyDescent="0.25">
      <c r="K102" s="3" t="str">
        <f t="shared" si="14"/>
        <v/>
      </c>
      <c r="L102" s="39">
        <v>70</v>
      </c>
      <c r="M102" s="3">
        <f t="shared" si="26"/>
        <v>5</v>
      </c>
      <c r="N102" s="44">
        <f t="shared" si="19"/>
        <v>20869.732156216483</v>
      </c>
      <c r="O102" s="8">
        <f t="shared" si="20"/>
        <v>59536.539075817695</v>
      </c>
      <c r="Q102" s="48">
        <f t="shared" si="21"/>
        <v>19463.020003024856</v>
      </c>
      <c r="R102" s="8">
        <f t="shared" si="22"/>
        <v>55523.513300018552</v>
      </c>
      <c r="T102" s="48">
        <f t="shared" si="23"/>
        <v>22782.158346845841</v>
      </c>
      <c r="U102" s="8">
        <f t="shared" si="24"/>
        <v>64992.250523178394</v>
      </c>
      <c r="W102" s="48">
        <f t="shared" si="27"/>
        <v>22782.158346845841</v>
      </c>
      <c r="X102" s="8">
        <f t="shared" si="25"/>
        <v>64992.250523178394</v>
      </c>
    </row>
    <row r="103" spans="11:24" ht="13.2" hidden="1" x14ac:dyDescent="0.25">
      <c r="K103" s="3" t="str">
        <f t="shared" si="14"/>
        <v/>
      </c>
      <c r="L103" s="39">
        <v>71</v>
      </c>
      <c r="M103" s="3">
        <f t="shared" si="26"/>
        <v>5</v>
      </c>
      <c r="N103" s="44">
        <f t="shared" si="19"/>
        <v>20869.732156216483</v>
      </c>
      <c r="O103" s="8">
        <f t="shared" si="20"/>
        <v>58976.919300654168</v>
      </c>
      <c r="Q103" s="48">
        <f t="shared" si="21"/>
        <v>19463.020003024856</v>
      </c>
      <c r="R103" s="8">
        <f t="shared" si="22"/>
        <v>55001.614370192008</v>
      </c>
      <c r="T103" s="48">
        <f t="shared" si="23"/>
        <v>22782.158346845841</v>
      </c>
      <c r="U103" s="8">
        <f t="shared" si="24"/>
        <v>64381.349231471875</v>
      </c>
      <c r="W103" s="48">
        <f t="shared" si="27"/>
        <v>22782.158346845841</v>
      </c>
      <c r="X103" s="8">
        <f t="shared" si="25"/>
        <v>64381.349231471875</v>
      </c>
    </row>
    <row r="104" spans="11:24" ht="13.2" hidden="1" x14ac:dyDescent="0.25">
      <c r="K104" s="3">
        <f t="shared" si="14"/>
        <v>6</v>
      </c>
      <c r="L104" s="39">
        <v>72</v>
      </c>
      <c r="M104" s="3">
        <f t="shared" si="26"/>
        <v>5</v>
      </c>
      <c r="N104" s="44">
        <f t="shared" si="19"/>
        <v>20869.732156216483</v>
      </c>
      <c r="O104" s="8">
        <f t="shared" si="20"/>
        <v>58422.559728680397</v>
      </c>
      <c r="Q104" s="48">
        <f t="shared" si="21"/>
        <v>19463.020003024856</v>
      </c>
      <c r="R104" s="8">
        <f t="shared" si="22"/>
        <v>54484.6210826198</v>
      </c>
      <c r="T104" s="48">
        <f t="shared" si="23"/>
        <v>22782.158346845841</v>
      </c>
      <c r="U104" s="8">
        <f t="shared" si="24"/>
        <v>63776.190168803492</v>
      </c>
      <c r="W104" s="48">
        <f t="shared" si="27"/>
        <v>22782.158346845841</v>
      </c>
      <c r="X104" s="8">
        <f t="shared" si="25"/>
        <v>63776.190168803492</v>
      </c>
    </row>
    <row r="105" spans="11:24" ht="13.2" hidden="1" x14ac:dyDescent="0.25">
      <c r="K105" s="3" t="str">
        <f t="shared" si="14"/>
        <v/>
      </c>
      <c r="L105" s="39">
        <v>73</v>
      </c>
      <c r="M105" s="3">
        <f t="shared" si="26"/>
        <v>6</v>
      </c>
      <c r="N105" s="44">
        <f t="shared" si="19"/>
        <v>22956.705371838136</v>
      </c>
      <c r="O105" s="8">
        <f t="shared" si="20"/>
        <v>63660.752007687661</v>
      </c>
      <c r="Q105" s="48">
        <f t="shared" si="21"/>
        <v>21409.322003327346</v>
      </c>
      <c r="R105" s="8">
        <f t="shared" si="22"/>
        <v>59369.736058838629</v>
      </c>
      <c r="T105" s="48">
        <f t="shared" si="23"/>
        <v>22782.158346845841</v>
      </c>
      <c r="U105" s="8">
        <f t="shared" si="24"/>
        <v>63176.719360505398</v>
      </c>
      <c r="W105" s="48">
        <f t="shared" si="27"/>
        <v>22782.158346845841</v>
      </c>
      <c r="X105" s="8">
        <f t="shared" si="25"/>
        <v>63176.719360505398</v>
      </c>
    </row>
    <row r="106" spans="11:24" ht="13.2" hidden="1" x14ac:dyDescent="0.25">
      <c r="K106" s="3" t="str">
        <f t="shared" ref="K106:K169" si="28">IF(MOD(L106,12)=0,L106/12,"")</f>
        <v/>
      </c>
      <c r="L106" s="39">
        <v>74</v>
      </c>
      <c r="M106" s="3">
        <f t="shared" si="26"/>
        <v>6</v>
      </c>
      <c r="N106" s="44">
        <f t="shared" si="19"/>
        <v>22956.705371838136</v>
      </c>
      <c r="O106" s="8">
        <f t="shared" si="20"/>
        <v>63062.366272166255</v>
      </c>
      <c r="Q106" s="48">
        <f t="shared" si="21"/>
        <v>21409.322003327346</v>
      </c>
      <c r="R106" s="8">
        <f t="shared" si="22"/>
        <v>58811.684165656625</v>
      </c>
      <c r="T106" s="48">
        <f t="shared" si="23"/>
        <v>22782.158346845841</v>
      </c>
      <c r="U106" s="8">
        <f t="shared" si="24"/>
        <v>62582.883339250096</v>
      </c>
      <c r="W106" s="48">
        <f t="shared" si="27"/>
        <v>22782.158346845841</v>
      </c>
      <c r="X106" s="8">
        <f t="shared" si="25"/>
        <v>62582.883339250096</v>
      </c>
    </row>
    <row r="107" spans="11:24" ht="13.2" hidden="1" x14ac:dyDescent="0.25">
      <c r="K107" s="3" t="str">
        <f t="shared" si="28"/>
        <v/>
      </c>
      <c r="L107" s="39">
        <v>75</v>
      </c>
      <c r="M107" s="3">
        <f t="shared" si="26"/>
        <v>6</v>
      </c>
      <c r="N107" s="44">
        <f t="shared" si="19"/>
        <v>22956.705371838136</v>
      </c>
      <c r="O107" s="8">
        <f t="shared" si="20"/>
        <v>62469.605124435315</v>
      </c>
      <c r="Q107" s="48">
        <f t="shared" si="21"/>
        <v>21409.322003327346</v>
      </c>
      <c r="R107" s="8">
        <f t="shared" si="22"/>
        <v>58258.877738197669</v>
      </c>
      <c r="T107" s="48">
        <f t="shared" si="23"/>
        <v>22782.158346845841</v>
      </c>
      <c r="U107" s="8">
        <f t="shared" si="24"/>
        <v>61994.629140281686</v>
      </c>
      <c r="W107" s="48">
        <f t="shared" si="27"/>
        <v>22782.158346845841</v>
      </c>
      <c r="X107" s="8">
        <f t="shared" si="25"/>
        <v>61994.629140281686</v>
      </c>
    </row>
    <row r="108" spans="11:24" ht="13.2" hidden="1" x14ac:dyDescent="0.25">
      <c r="K108" s="3" t="str">
        <f t="shared" si="28"/>
        <v/>
      </c>
      <c r="L108" s="39">
        <v>76</v>
      </c>
      <c r="M108" s="3">
        <f t="shared" si="26"/>
        <v>6</v>
      </c>
      <c r="N108" s="44">
        <f t="shared" si="19"/>
        <v>22956.705371838136</v>
      </c>
      <c r="O108" s="8">
        <f t="shared" si="20"/>
        <v>61882.41569560788</v>
      </c>
      <c r="Q108" s="48">
        <f t="shared" si="21"/>
        <v>21409.322003327346</v>
      </c>
      <c r="R108" s="8">
        <f t="shared" si="22"/>
        <v>57711.26747117137</v>
      </c>
      <c r="T108" s="48">
        <f t="shared" si="23"/>
        <v>22782.158346845841</v>
      </c>
      <c r="U108" s="8">
        <f t="shared" si="24"/>
        <v>61411.90429669193</v>
      </c>
      <c r="W108" s="48">
        <f t="shared" si="27"/>
        <v>22782.158346845841</v>
      </c>
      <c r="X108" s="8">
        <f t="shared" si="25"/>
        <v>61411.90429669193</v>
      </c>
    </row>
    <row r="109" spans="11:24" ht="13.2" hidden="1" x14ac:dyDescent="0.25">
      <c r="K109" s="3" t="str">
        <f t="shared" si="28"/>
        <v/>
      </c>
      <c r="L109" s="39">
        <v>77</v>
      </c>
      <c r="M109" s="3">
        <f t="shared" si="26"/>
        <v>6</v>
      </c>
      <c r="N109" s="44">
        <f t="shared" si="19"/>
        <v>22956.705371838136</v>
      </c>
      <c r="O109" s="8">
        <f t="shared" si="20"/>
        <v>61300.745613743529</v>
      </c>
      <c r="Q109" s="48">
        <f t="shared" si="21"/>
        <v>21409.322003327346</v>
      </c>
      <c r="R109" s="8">
        <f t="shared" si="22"/>
        <v>57168.804522737475</v>
      </c>
      <c r="T109" s="48">
        <f t="shared" si="23"/>
        <v>22782.158346845841</v>
      </c>
      <c r="U109" s="8">
        <f t="shared" si="24"/>
        <v>60834.656834740672</v>
      </c>
      <c r="W109" s="48">
        <f t="shared" si="27"/>
        <v>22782.158346845841</v>
      </c>
      <c r="X109" s="8">
        <f t="shared" si="25"/>
        <v>60834.656834740672</v>
      </c>
    </row>
    <row r="110" spans="11:24" ht="13.2" hidden="1" x14ac:dyDescent="0.25">
      <c r="K110" s="3" t="str">
        <f t="shared" si="28"/>
        <v/>
      </c>
      <c r="L110" s="39">
        <v>78</v>
      </c>
      <c r="M110" s="3">
        <f t="shared" si="26"/>
        <v>6</v>
      </c>
      <c r="N110" s="44">
        <f t="shared" si="19"/>
        <v>22956.705371838136</v>
      </c>
      <c r="O110" s="8">
        <f t="shared" si="20"/>
        <v>60724.54299917716</v>
      </c>
      <c r="Q110" s="48">
        <f t="shared" si="21"/>
        <v>21409.322003327346</v>
      </c>
      <c r="R110" s="8">
        <f t="shared" si="22"/>
        <v>56631.440510149507</v>
      </c>
      <c r="T110" s="48">
        <f t="shared" si="23"/>
        <v>22782.158346845841</v>
      </c>
      <c r="U110" s="8">
        <f t="shared" si="24"/>
        <v>60262.835269220159</v>
      </c>
      <c r="W110" s="48">
        <f t="shared" si="27"/>
        <v>22782.158346845841</v>
      </c>
      <c r="X110" s="8">
        <f t="shared" si="25"/>
        <v>60262.835269220159</v>
      </c>
    </row>
    <row r="111" spans="11:24" ht="13.2" hidden="1" x14ac:dyDescent="0.25">
      <c r="K111" s="3" t="str">
        <f t="shared" si="28"/>
        <v/>
      </c>
      <c r="L111" s="39">
        <v>79</v>
      </c>
      <c r="M111" s="3">
        <f t="shared" si="26"/>
        <v>6</v>
      </c>
      <c r="N111" s="44">
        <f t="shared" si="19"/>
        <v>22956.705371838136</v>
      </c>
      <c r="O111" s="8">
        <f t="shared" si="20"/>
        <v>60153.756459891905</v>
      </c>
      <c r="Q111" s="48">
        <f t="shared" si="21"/>
        <v>21409.322003327346</v>
      </c>
      <c r="R111" s="8">
        <f t="shared" si="22"/>
        <v>56099.127505439617</v>
      </c>
      <c r="T111" s="48">
        <f t="shared" si="23"/>
        <v>22782.158346845841</v>
      </c>
      <c r="U111" s="8">
        <f t="shared" si="24"/>
        <v>59696.388598863137</v>
      </c>
      <c r="W111" s="48">
        <f t="shared" si="27"/>
        <v>22782.158346845841</v>
      </c>
      <c r="X111" s="8">
        <f t="shared" si="25"/>
        <v>59696.388598863137</v>
      </c>
    </row>
    <row r="112" spans="11:24" ht="13.2" hidden="1" x14ac:dyDescent="0.25">
      <c r="K112" s="3" t="str">
        <f t="shared" si="28"/>
        <v/>
      </c>
      <c r="L112" s="39">
        <v>80</v>
      </c>
      <c r="M112" s="3">
        <f t="shared" si="26"/>
        <v>6</v>
      </c>
      <c r="N112" s="44">
        <f t="shared" si="19"/>
        <v>22956.705371838136</v>
      </c>
      <c r="O112" s="8">
        <f t="shared" si="20"/>
        <v>59588.335086935404</v>
      </c>
      <c r="Q112" s="48">
        <f t="shared" si="21"/>
        <v>21409.322003327346</v>
      </c>
      <c r="R112" s="8">
        <f t="shared" si="22"/>
        <v>55571.818031143754</v>
      </c>
      <c r="T112" s="48">
        <f t="shared" si="23"/>
        <v>22782.158346845841</v>
      </c>
      <c r="U112" s="8">
        <f t="shared" si="24"/>
        <v>59135.26630179397</v>
      </c>
      <c r="W112" s="48">
        <f t="shared" si="27"/>
        <v>22782.158346845841</v>
      </c>
      <c r="X112" s="8">
        <f t="shared" si="25"/>
        <v>59135.26630179397</v>
      </c>
    </row>
    <row r="113" spans="11:24" ht="13.2" hidden="1" x14ac:dyDescent="0.25">
      <c r="K113" s="3" t="str">
        <f t="shared" si="28"/>
        <v/>
      </c>
      <c r="L113" s="39">
        <v>81</v>
      </c>
      <c r="M113" s="3">
        <f t="shared" si="26"/>
        <v>6</v>
      </c>
      <c r="N113" s="44">
        <f t="shared" si="19"/>
        <v>22956.705371838136</v>
      </c>
      <c r="O113" s="8">
        <f t="shared" si="20"/>
        <v>59028.228449879243</v>
      </c>
      <c r="Q113" s="48">
        <f t="shared" si="21"/>
        <v>21409.322003327346</v>
      </c>
      <c r="R113" s="8">
        <f t="shared" si="22"/>
        <v>55049.465056067173</v>
      </c>
      <c r="T113" s="48">
        <f t="shared" si="23"/>
        <v>22782.158346845841</v>
      </c>
      <c r="U113" s="8">
        <f t="shared" si="24"/>
        <v>58579.418331022585</v>
      </c>
      <c r="W113" s="48">
        <f t="shared" si="27"/>
        <v>22782.158346845841</v>
      </c>
      <c r="X113" s="8">
        <f t="shared" si="25"/>
        <v>58579.418331022585</v>
      </c>
    </row>
    <row r="114" spans="11:24" ht="13.2" hidden="1" x14ac:dyDescent="0.25">
      <c r="K114" s="3" t="str">
        <f t="shared" si="28"/>
        <v/>
      </c>
      <c r="L114" s="39">
        <v>82</v>
      </c>
      <c r="M114" s="3">
        <f t="shared" si="26"/>
        <v>6</v>
      </c>
      <c r="N114" s="44">
        <f t="shared" si="19"/>
        <v>22956.705371838136</v>
      </c>
      <c r="O114" s="8">
        <f t="shared" si="20"/>
        <v>58473.38659232088</v>
      </c>
      <c r="Q114" s="48">
        <f t="shared" si="21"/>
        <v>21409.322003327346</v>
      </c>
      <c r="R114" s="8">
        <f t="shared" si="22"/>
        <v>54532.02199108959</v>
      </c>
      <c r="T114" s="48">
        <f t="shared" si="23"/>
        <v>22782.158346845841</v>
      </c>
      <c r="U114" s="8">
        <f t="shared" si="24"/>
        <v>58028.795109980631</v>
      </c>
      <c r="W114" s="48">
        <f t="shared" si="27"/>
        <v>22782.158346845841</v>
      </c>
      <c r="X114" s="8">
        <f t="shared" si="25"/>
        <v>58028.795109980631</v>
      </c>
    </row>
    <row r="115" spans="11:24" ht="13.2" hidden="1" x14ac:dyDescent="0.25">
      <c r="K115" s="3" t="str">
        <f t="shared" si="28"/>
        <v/>
      </c>
      <c r="L115" s="39">
        <v>83</v>
      </c>
      <c r="M115" s="3">
        <f t="shared" si="26"/>
        <v>6</v>
      </c>
      <c r="N115" s="44">
        <f t="shared" si="19"/>
        <v>22956.705371838136</v>
      </c>
      <c r="O115" s="8">
        <f t="shared" si="20"/>
        <v>57923.760027428136</v>
      </c>
      <c r="Q115" s="48">
        <f t="shared" si="21"/>
        <v>21409.322003327346</v>
      </c>
      <c r="R115" s="8">
        <f t="shared" si="22"/>
        <v>54019.442685009955</v>
      </c>
      <c r="T115" s="48">
        <f t="shared" si="23"/>
        <v>22782.158346845841</v>
      </c>
      <c r="U115" s="8">
        <f t="shared" si="24"/>
        <v>57483.347528099817</v>
      </c>
      <c r="W115" s="48">
        <f t="shared" si="27"/>
        <v>22782.158346845841</v>
      </c>
      <c r="X115" s="8">
        <f t="shared" si="25"/>
        <v>57483.347528099817</v>
      </c>
    </row>
    <row r="116" spans="11:24" ht="13.2" hidden="1" x14ac:dyDescent="0.25">
      <c r="K116" s="3">
        <f t="shared" si="28"/>
        <v>7</v>
      </c>
      <c r="L116" s="39">
        <v>84</v>
      </c>
      <c r="M116" s="3">
        <f t="shared" si="26"/>
        <v>6</v>
      </c>
      <c r="N116" s="44">
        <f t="shared" si="19"/>
        <v>22956.705371838136</v>
      </c>
      <c r="O116" s="8">
        <f t="shared" si="20"/>
        <v>57379.299733525324</v>
      </c>
      <c r="Q116" s="48">
        <f t="shared" si="21"/>
        <v>21409.322003327346</v>
      </c>
      <c r="R116" s="8">
        <f t="shared" si="22"/>
        <v>53511.681420430104</v>
      </c>
      <c r="T116" s="48">
        <f t="shared" si="23"/>
        <v>22782.158346845841</v>
      </c>
      <c r="U116" s="8">
        <f t="shared" si="24"/>
        <v>56943.026936431619</v>
      </c>
      <c r="W116" s="48">
        <f t="shared" si="27"/>
        <v>22782.158346845841</v>
      </c>
      <c r="X116" s="8">
        <f t="shared" si="25"/>
        <v>56943.026936431619</v>
      </c>
    </row>
    <row r="117" spans="11:24" ht="13.2" hidden="1" x14ac:dyDescent="0.25">
      <c r="K117" s="3" t="str">
        <f t="shared" si="28"/>
        <v/>
      </c>
      <c r="L117" s="39">
        <v>85</v>
      </c>
      <c r="M117" s="3">
        <f t="shared" si="26"/>
        <v>7</v>
      </c>
      <c r="N117" s="44">
        <f t="shared" si="19"/>
        <v>25252.375909021954</v>
      </c>
      <c r="O117" s="8">
        <f t="shared" si="20"/>
        <v>62523.952864693172</v>
      </c>
      <c r="Q117" s="48">
        <f t="shared" si="21"/>
        <v>23550.254203660083</v>
      </c>
      <c r="R117" s="8">
        <f t="shared" si="22"/>
        <v>58309.562200645014</v>
      </c>
      <c r="T117" s="48">
        <f t="shared" si="23"/>
        <v>22782.158346845841</v>
      </c>
      <c r="U117" s="8">
        <f t="shared" si="24"/>
        <v>56407.78514330832</v>
      </c>
      <c r="W117" s="48">
        <f t="shared" si="27"/>
        <v>22782.158346845841</v>
      </c>
      <c r="X117" s="8">
        <f t="shared" si="25"/>
        <v>56407.78514330832</v>
      </c>
    </row>
    <row r="118" spans="11:24" ht="13.2" hidden="1" x14ac:dyDescent="0.25">
      <c r="K118" s="3" t="str">
        <f t="shared" si="28"/>
        <v/>
      </c>
      <c r="L118" s="39">
        <v>86</v>
      </c>
      <c r="M118" s="3">
        <f t="shared" si="26"/>
        <v>7</v>
      </c>
      <c r="N118" s="44">
        <f t="shared" si="19"/>
        <v>25252.375909021954</v>
      </c>
      <c r="O118" s="8">
        <f t="shared" si="20"/>
        <v>61936.252588734635</v>
      </c>
      <c r="Q118" s="48">
        <f t="shared" si="21"/>
        <v>23550.254203660083</v>
      </c>
      <c r="R118" s="8">
        <f t="shared" si="22"/>
        <v>57761.475519841246</v>
      </c>
      <c r="T118" s="48">
        <f t="shared" si="23"/>
        <v>22782.158346845841</v>
      </c>
      <c r="U118" s="8">
        <f t="shared" si="24"/>
        <v>55877.574410044646</v>
      </c>
      <c r="W118" s="48">
        <f t="shared" si="27"/>
        <v>22782.158346845841</v>
      </c>
      <c r="X118" s="8">
        <f t="shared" si="25"/>
        <v>55877.574410044646</v>
      </c>
    </row>
    <row r="119" spans="11:24" ht="13.2" hidden="1" x14ac:dyDescent="0.25">
      <c r="K119" s="3" t="str">
        <f t="shared" si="28"/>
        <v/>
      </c>
      <c r="L119" s="39">
        <v>87</v>
      </c>
      <c r="M119" s="3">
        <f t="shared" si="26"/>
        <v>7</v>
      </c>
      <c r="N119" s="44">
        <f t="shared" si="19"/>
        <v>25252.375909021954</v>
      </c>
      <c r="O119" s="8">
        <f t="shared" si="20"/>
        <v>61354.076461498895</v>
      </c>
      <c r="Q119" s="48">
        <f t="shared" si="21"/>
        <v>23550.254203660083</v>
      </c>
      <c r="R119" s="8">
        <f t="shared" si="22"/>
        <v>57218.540635729783</v>
      </c>
      <c r="T119" s="48">
        <f t="shared" si="23"/>
        <v>22782.158346845841</v>
      </c>
      <c r="U119" s="8">
        <f t="shared" si="24"/>
        <v>55352.347446680003</v>
      </c>
      <c r="W119" s="48">
        <f t="shared" si="27"/>
        <v>22782.158346845841</v>
      </c>
      <c r="X119" s="8">
        <f t="shared" si="25"/>
        <v>55352.347446680003</v>
      </c>
    </row>
    <row r="120" spans="11:24" ht="13.2" hidden="1" x14ac:dyDescent="0.25">
      <c r="K120" s="3" t="str">
        <f t="shared" si="28"/>
        <v/>
      </c>
      <c r="L120" s="39">
        <v>88</v>
      </c>
      <c r="M120" s="3">
        <f t="shared" si="26"/>
        <v>7</v>
      </c>
      <c r="N120" s="44">
        <f t="shared" si="19"/>
        <v>25252.375909021954</v>
      </c>
      <c r="O120" s="8">
        <f t="shared" si="20"/>
        <v>60777.372558186238</v>
      </c>
      <c r="Q120" s="48">
        <f t="shared" si="21"/>
        <v>23550.254203660083</v>
      </c>
      <c r="R120" s="8">
        <f t="shared" si="22"/>
        <v>56680.70912347181</v>
      </c>
      <c r="T120" s="48">
        <f t="shared" si="23"/>
        <v>22782.158346845841</v>
      </c>
      <c r="U120" s="8">
        <f t="shared" si="24"/>
        <v>54832.057407760578</v>
      </c>
      <c r="W120" s="48">
        <f t="shared" si="27"/>
        <v>22782.158346845841</v>
      </c>
      <c r="X120" s="8">
        <f t="shared" si="25"/>
        <v>54832.057407760578</v>
      </c>
    </row>
    <row r="121" spans="11:24" ht="13.2" hidden="1" x14ac:dyDescent="0.25">
      <c r="K121" s="3" t="str">
        <f t="shared" si="28"/>
        <v/>
      </c>
      <c r="L121" s="39">
        <v>89</v>
      </c>
      <c r="M121" s="3">
        <f t="shared" si="26"/>
        <v>7</v>
      </c>
      <c r="N121" s="44">
        <f t="shared" si="19"/>
        <v>25252.375909021954</v>
      </c>
      <c r="O121" s="8">
        <f t="shared" si="20"/>
        <v>60206.089442069468</v>
      </c>
      <c r="Q121" s="48">
        <f t="shared" si="21"/>
        <v>23550.254203660083</v>
      </c>
      <c r="R121" s="8">
        <f t="shared" si="22"/>
        <v>56147.933013402799</v>
      </c>
      <c r="T121" s="48">
        <f t="shared" si="23"/>
        <v>22782.158346845841</v>
      </c>
      <c r="U121" s="8">
        <f t="shared" si="24"/>
        <v>54316.657888161237</v>
      </c>
      <c r="W121" s="48">
        <f t="shared" si="27"/>
        <v>22782.158346845841</v>
      </c>
      <c r="X121" s="8">
        <f t="shared" si="25"/>
        <v>54316.657888161237</v>
      </c>
    </row>
    <row r="122" spans="11:24" ht="13.2" hidden="1" x14ac:dyDescent="0.25">
      <c r="K122" s="3" t="str">
        <f t="shared" si="28"/>
        <v/>
      </c>
      <c r="L122" s="39">
        <v>90</v>
      </c>
      <c r="M122" s="3">
        <f t="shared" si="26"/>
        <v>7</v>
      </c>
      <c r="N122" s="44">
        <f t="shared" si="19"/>
        <v>25252.375909021954</v>
      </c>
      <c r="O122" s="8">
        <f t="shared" si="20"/>
        <v>59640.17615990607</v>
      </c>
      <c r="Q122" s="48">
        <f t="shared" si="21"/>
        <v>23550.254203660083</v>
      </c>
      <c r="R122" s="8">
        <f t="shared" si="22"/>
        <v>55620.164786753914</v>
      </c>
      <c r="T122" s="48">
        <f t="shared" si="23"/>
        <v>22782.158346845841</v>
      </c>
      <c r="U122" s="8">
        <f t="shared" si="24"/>
        <v>53806.102918946497</v>
      </c>
      <c r="W122" s="48">
        <f t="shared" si="27"/>
        <v>22782.158346845841</v>
      </c>
      <c r="X122" s="8">
        <f t="shared" si="25"/>
        <v>53806.102918946497</v>
      </c>
    </row>
    <row r="123" spans="11:24" ht="13.2" hidden="1" x14ac:dyDescent="0.25">
      <c r="K123" s="3" t="str">
        <f t="shared" si="28"/>
        <v/>
      </c>
      <c r="L123" s="39">
        <v>91</v>
      </c>
      <c r="M123" s="3">
        <f t="shared" si="26"/>
        <v>7</v>
      </c>
      <c r="N123" s="44">
        <f t="shared" si="19"/>
        <v>25252.375909021954</v>
      </c>
      <c r="O123" s="8">
        <f t="shared" si="20"/>
        <v>59079.582237393748</v>
      </c>
      <c r="Q123" s="48">
        <f t="shared" si="21"/>
        <v>23550.254203660083</v>
      </c>
      <c r="R123" s="8">
        <f t="shared" si="22"/>
        <v>55097.357371413826</v>
      </c>
      <c r="T123" s="48">
        <f t="shared" si="23"/>
        <v>22782.158346845841</v>
      </c>
      <c r="U123" s="8">
        <f t="shared" si="24"/>
        <v>53300.346963270575</v>
      </c>
      <c r="W123" s="48">
        <f t="shared" si="27"/>
        <v>22782.158346845841</v>
      </c>
      <c r="X123" s="8">
        <f t="shared" si="25"/>
        <v>53300.346963270575</v>
      </c>
    </row>
    <row r="124" spans="11:24" ht="13.2" hidden="1" x14ac:dyDescent="0.25">
      <c r="K124" s="3" t="str">
        <f t="shared" si="28"/>
        <v/>
      </c>
      <c r="L124" s="39">
        <v>92</v>
      </c>
      <c r="M124" s="3">
        <f t="shared" si="26"/>
        <v>7</v>
      </c>
      <c r="N124" s="44">
        <f t="shared" si="19"/>
        <v>25252.375909021954</v>
      </c>
      <c r="O124" s="8">
        <f t="shared" si="20"/>
        <v>58524.257674668632</v>
      </c>
      <c r="Q124" s="48">
        <f t="shared" si="21"/>
        <v>23550.254203660083</v>
      </c>
      <c r="R124" s="8">
        <f t="shared" si="22"/>
        <v>54579.4641377304</v>
      </c>
      <c r="T124" s="48">
        <f t="shared" si="23"/>
        <v>22782.158346845841</v>
      </c>
      <c r="U124" s="8">
        <f t="shared" si="24"/>
        <v>52799.344912315973</v>
      </c>
      <c r="W124" s="48">
        <f t="shared" si="27"/>
        <v>22782.158346845841</v>
      </c>
      <c r="X124" s="8">
        <f t="shared" si="25"/>
        <v>52799.344912315973</v>
      </c>
    </row>
    <row r="125" spans="11:24" ht="13.2" hidden="1" x14ac:dyDescent="0.25">
      <c r="K125" s="3" t="str">
        <f t="shared" si="28"/>
        <v/>
      </c>
      <c r="L125" s="39">
        <v>93</v>
      </c>
      <c r="M125" s="3">
        <f t="shared" si="26"/>
        <v>7</v>
      </c>
      <c r="N125" s="44">
        <f t="shared" si="19"/>
        <v>25252.375909021954</v>
      </c>
      <c r="O125" s="8">
        <f t="shared" si="20"/>
        <v>57974.152941845605</v>
      </c>
      <c r="Q125" s="48">
        <f t="shared" si="21"/>
        <v>23550.254203660083</v>
      </c>
      <c r="R125" s="8">
        <f t="shared" si="22"/>
        <v>54066.43889435161</v>
      </c>
      <c r="T125" s="48">
        <f t="shared" si="23"/>
        <v>22782.158346845841</v>
      </c>
      <c r="U125" s="8">
        <f t="shared" si="24"/>
        <v>52303.052081270085</v>
      </c>
      <c r="W125" s="48">
        <f t="shared" si="27"/>
        <v>22782.158346845841</v>
      </c>
      <c r="X125" s="8">
        <f t="shared" si="25"/>
        <v>52303.052081270085</v>
      </c>
    </row>
    <row r="126" spans="11:24" ht="13.2" hidden="1" x14ac:dyDescent="0.25">
      <c r="K126" s="3" t="str">
        <f t="shared" si="28"/>
        <v/>
      </c>
      <c r="L126" s="39">
        <v>94</v>
      </c>
      <c r="M126" s="3">
        <f t="shared" si="26"/>
        <v>7</v>
      </c>
      <c r="N126" s="44">
        <f t="shared" si="19"/>
        <v>25252.375909021954</v>
      </c>
      <c r="O126" s="8">
        <f t="shared" si="20"/>
        <v>57429.218974600801</v>
      </c>
      <c r="Q126" s="48">
        <f t="shared" si="21"/>
        <v>23550.254203660083</v>
      </c>
      <c r="R126" s="8">
        <f t="shared" si="22"/>
        <v>53558.235884105779</v>
      </c>
      <c r="T126" s="48">
        <f t="shared" si="23"/>
        <v>22782.158346845841</v>
      </c>
      <c r="U126" s="8">
        <f t="shared" si="24"/>
        <v>51811.424205339783</v>
      </c>
      <c r="W126" s="48">
        <f t="shared" si="27"/>
        <v>22782.158346845841</v>
      </c>
      <c r="X126" s="8">
        <f t="shared" si="25"/>
        <v>51811.424205339783</v>
      </c>
    </row>
    <row r="127" spans="11:24" ht="13.2" hidden="1" x14ac:dyDescent="0.25">
      <c r="K127" s="3" t="str">
        <f t="shared" si="28"/>
        <v/>
      </c>
      <c r="L127" s="39">
        <v>95</v>
      </c>
      <c r="M127" s="3">
        <f t="shared" si="26"/>
        <v>7</v>
      </c>
      <c r="N127" s="44">
        <f t="shared" si="19"/>
        <v>25252.375909021954</v>
      </c>
      <c r="O127" s="8">
        <f t="shared" si="20"/>
        <v>56889.407169795428</v>
      </c>
      <c r="Q127" s="48">
        <f t="shared" si="21"/>
        <v>23550.254203660083</v>
      </c>
      <c r="R127" s="8">
        <f t="shared" si="22"/>
        <v>53054.809779920426</v>
      </c>
      <c r="T127" s="48">
        <f t="shared" si="23"/>
        <v>22782.158346845841</v>
      </c>
      <c r="U127" s="8">
        <f t="shared" si="24"/>
        <v>51324.417435803342</v>
      </c>
      <c r="W127" s="48">
        <f t="shared" si="27"/>
        <v>22782.158346845841</v>
      </c>
      <c r="X127" s="8">
        <f t="shared" si="25"/>
        <v>51324.417435803342</v>
      </c>
    </row>
    <row r="128" spans="11:24" ht="13.2" hidden="1" x14ac:dyDescent="0.25">
      <c r="K128" s="3">
        <f t="shared" si="28"/>
        <v>8</v>
      </c>
      <c r="L128" s="39">
        <v>96</v>
      </c>
      <c r="M128" s="3">
        <f t="shared" si="26"/>
        <v>7</v>
      </c>
      <c r="N128" s="44">
        <f t="shared" si="19"/>
        <v>25252.375909021954</v>
      </c>
      <c r="O128" s="8">
        <f t="shared" si="20"/>
        <v>56354.669381140891</v>
      </c>
      <c r="Q128" s="48">
        <f t="shared" si="21"/>
        <v>23550.254203660083</v>
      </c>
      <c r="R128" s="8">
        <f t="shared" si="22"/>
        <v>52556.115680779512</v>
      </c>
      <c r="T128" s="48">
        <f t="shared" si="23"/>
        <v>22782.158346845841</v>
      </c>
      <c r="U128" s="8">
        <f t="shared" si="24"/>
        <v>50841.988336099603</v>
      </c>
      <c r="W128" s="48">
        <f t="shared" si="27"/>
        <v>22782.158346845841</v>
      </c>
      <c r="X128" s="8">
        <f t="shared" si="25"/>
        <v>50841.988336099603</v>
      </c>
    </row>
    <row r="129" spans="11:24" ht="13.2" hidden="1" x14ac:dyDescent="0.25">
      <c r="K129" s="3" t="str">
        <f t="shared" si="28"/>
        <v/>
      </c>
      <c r="L129" s="39">
        <v>97</v>
      </c>
      <c r="M129" s="3">
        <f t="shared" si="26"/>
        <v>8</v>
      </c>
      <c r="N129" s="44">
        <f t="shared" si="19"/>
        <v>27777.613499924144</v>
      </c>
      <c r="O129" s="8">
        <f t="shared" si="20"/>
        <v>61407.45370639499</v>
      </c>
      <c r="Q129" s="48">
        <f t="shared" si="21"/>
        <v>25905.27962402609</v>
      </c>
      <c r="R129" s="8">
        <f t="shared" si="22"/>
        <v>57268.320018490565</v>
      </c>
      <c r="T129" s="48">
        <f t="shared" si="23"/>
        <v>22782.158346845841</v>
      </c>
      <c r="U129" s="8">
        <f t="shared" si="24"/>
        <v>50364.093877953797</v>
      </c>
      <c r="W129" s="48">
        <f t="shared" si="27"/>
        <v>22782.158346845841</v>
      </c>
      <c r="X129" s="8">
        <f t="shared" si="25"/>
        <v>50364.093877953797</v>
      </c>
    </row>
    <row r="130" spans="11:24" ht="13.2" hidden="1" x14ac:dyDescent="0.25">
      <c r="K130" s="3" t="str">
        <f t="shared" si="28"/>
        <v/>
      </c>
      <c r="L130" s="39">
        <v>98</v>
      </c>
      <c r="M130" s="3">
        <f t="shared" si="26"/>
        <v>8</v>
      </c>
      <c r="N130" s="44">
        <f t="shared" si="19"/>
        <v>27777.613499924144</v>
      </c>
      <c r="O130" s="8">
        <f t="shared" si="20"/>
        <v>60830.248078221419</v>
      </c>
      <c r="Q130" s="48">
        <f t="shared" si="21"/>
        <v>25905.27962402609</v>
      </c>
      <c r="R130" s="8">
        <f t="shared" si="22"/>
        <v>56730.020599844007</v>
      </c>
      <c r="T130" s="48">
        <f t="shared" si="23"/>
        <v>22782.158346845841</v>
      </c>
      <c r="U130" s="8">
        <f t="shared" si="24"/>
        <v>49890.691437539797</v>
      </c>
      <c r="W130" s="48">
        <f t="shared" si="27"/>
        <v>22782.158346845841</v>
      </c>
      <c r="X130" s="8">
        <f t="shared" si="25"/>
        <v>49890.691437539797</v>
      </c>
    </row>
    <row r="131" spans="11:24" ht="13.2" hidden="1" x14ac:dyDescent="0.25">
      <c r="K131" s="3" t="str">
        <f t="shared" si="28"/>
        <v/>
      </c>
      <c r="L131" s="39">
        <v>99</v>
      </c>
      <c r="M131" s="3">
        <f t="shared" si="26"/>
        <v>8</v>
      </c>
      <c r="N131" s="44">
        <f t="shared" si="19"/>
        <v>27777.613499924144</v>
      </c>
      <c r="O131" s="8">
        <f t="shared" si="20"/>
        <v>60258.467953257743</v>
      </c>
      <c r="Q131" s="48">
        <f t="shared" si="21"/>
        <v>25905.27962402609</v>
      </c>
      <c r="R131" s="8">
        <f t="shared" si="22"/>
        <v>56196.780981520242</v>
      </c>
      <c r="T131" s="48">
        <f t="shared" si="23"/>
        <v>22782.158346845841</v>
      </c>
      <c r="U131" s="8">
        <f t="shared" si="24"/>
        <v>49421.738791678501</v>
      </c>
      <c r="W131" s="48">
        <f t="shared" si="27"/>
        <v>22782.158346845841</v>
      </c>
      <c r="X131" s="8">
        <f t="shared" si="25"/>
        <v>49421.738791678501</v>
      </c>
    </row>
    <row r="132" spans="11:24" ht="13.2" hidden="1" x14ac:dyDescent="0.25">
      <c r="K132" s="3" t="str">
        <f t="shared" si="28"/>
        <v/>
      </c>
      <c r="L132" s="39">
        <v>100</v>
      </c>
      <c r="M132" s="3">
        <f t="shared" si="26"/>
        <v>8</v>
      </c>
      <c r="N132" s="44">
        <f t="shared" si="19"/>
        <v>27777.613499924144</v>
      </c>
      <c r="O132" s="8">
        <f t="shared" si="20"/>
        <v>59692.062333932838</v>
      </c>
      <c r="Q132" s="48">
        <f t="shared" si="21"/>
        <v>25905.27962402609</v>
      </c>
      <c r="R132" s="8">
        <f t="shared" si="22"/>
        <v>55668.553603409753</v>
      </c>
      <c r="T132" s="48">
        <f t="shared" si="23"/>
        <v>22782.158346845841</v>
      </c>
      <c r="U132" s="8">
        <f t="shared" si="24"/>
        <v>48957.194114071892</v>
      </c>
      <c r="W132" s="48">
        <f t="shared" si="27"/>
        <v>22782.158346845841</v>
      </c>
      <c r="X132" s="8">
        <f t="shared" si="25"/>
        <v>48957.194114071892</v>
      </c>
    </row>
    <row r="133" spans="11:24" ht="13.2" hidden="1" x14ac:dyDescent="0.25">
      <c r="K133" s="3" t="str">
        <f t="shared" si="28"/>
        <v/>
      </c>
      <c r="L133" s="39">
        <v>101</v>
      </c>
      <c r="M133" s="3">
        <f t="shared" si="26"/>
        <v>8</v>
      </c>
      <c r="N133" s="44">
        <f t="shared" si="19"/>
        <v>27777.613499924144</v>
      </c>
      <c r="O133" s="8">
        <f t="shared" si="20"/>
        <v>59130.98070203243</v>
      </c>
      <c r="Q133" s="48">
        <f t="shared" si="21"/>
        <v>25905.27962402609</v>
      </c>
      <c r="R133" s="8">
        <f t="shared" si="22"/>
        <v>55145.291352449109</v>
      </c>
      <c r="T133" s="48">
        <f t="shared" si="23"/>
        <v>22782.158346845841</v>
      </c>
      <c r="U133" s="8">
        <f t="shared" si="24"/>
        <v>48497.015971572473</v>
      </c>
      <c r="W133" s="48">
        <f t="shared" si="27"/>
        <v>22782.158346845841</v>
      </c>
      <c r="X133" s="8">
        <f t="shared" si="25"/>
        <v>48497.015971572473</v>
      </c>
    </row>
    <row r="134" spans="11:24" ht="13.2" hidden="1" x14ac:dyDescent="0.25">
      <c r="K134" s="3" t="str">
        <f t="shared" si="28"/>
        <v/>
      </c>
      <c r="L134" s="39">
        <v>102</v>
      </c>
      <c r="M134" s="3">
        <f t="shared" si="26"/>
        <v>8</v>
      </c>
      <c r="N134" s="44">
        <f t="shared" si="19"/>
        <v>27777.613499924144</v>
      </c>
      <c r="O134" s="8">
        <f t="shared" si="20"/>
        <v>58575.173014193366</v>
      </c>
      <c r="Q134" s="48">
        <f t="shared" si="21"/>
        <v>25905.27962402609</v>
      </c>
      <c r="R134" s="8">
        <f t="shared" si="22"/>
        <v>54626.947558418949</v>
      </c>
      <c r="T134" s="48">
        <f t="shared" si="23"/>
        <v>22782.158346845841</v>
      </c>
      <c r="U134" s="8">
        <f t="shared" si="24"/>
        <v>48041.163320487882</v>
      </c>
      <c r="W134" s="48">
        <f t="shared" si="27"/>
        <v>22782.158346845841</v>
      </c>
      <c r="X134" s="8">
        <f t="shared" si="25"/>
        <v>48041.163320487882</v>
      </c>
    </row>
    <row r="135" spans="11:24" ht="13.2" hidden="1" x14ac:dyDescent="0.25">
      <c r="K135" s="3" t="str">
        <f t="shared" si="28"/>
        <v/>
      </c>
      <c r="L135" s="39">
        <v>103</v>
      </c>
      <c r="M135" s="3">
        <f t="shared" si="26"/>
        <v>8</v>
      </c>
      <c r="N135" s="44">
        <f t="shared" si="19"/>
        <v>27777.613499924144</v>
      </c>
      <c r="O135" s="8">
        <f t="shared" si="20"/>
        <v>58024.589697440213</v>
      </c>
      <c r="Q135" s="48">
        <f t="shared" si="21"/>
        <v>25905.27962402609</v>
      </c>
      <c r="R135" s="8">
        <f t="shared" si="22"/>
        <v>54113.475989781371</v>
      </c>
      <c r="T135" s="48">
        <f t="shared" si="23"/>
        <v>22782.158346845841</v>
      </c>
      <c r="U135" s="8">
        <f t="shared" si="24"/>
        <v>47589.5955029201</v>
      </c>
      <c r="W135" s="48">
        <f t="shared" si="27"/>
        <v>22782.158346845841</v>
      </c>
      <c r="X135" s="8">
        <f t="shared" si="25"/>
        <v>47589.5955029201</v>
      </c>
    </row>
    <row r="136" spans="11:24" ht="13.2" hidden="1" x14ac:dyDescent="0.25">
      <c r="K136" s="3" t="str">
        <f t="shared" si="28"/>
        <v/>
      </c>
      <c r="L136" s="39">
        <v>104</v>
      </c>
      <c r="M136" s="3">
        <f t="shared" si="26"/>
        <v>8</v>
      </c>
      <c r="N136" s="44">
        <f t="shared" si="19"/>
        <v>27777.613499924144</v>
      </c>
      <c r="O136" s="8">
        <f t="shared" si="20"/>
        <v>57479.181644763754</v>
      </c>
      <c r="Q136" s="48">
        <f t="shared" si="21"/>
        <v>25905.27962402609</v>
      </c>
      <c r="R136" s="8">
        <f t="shared" si="22"/>
        <v>53604.830849556573</v>
      </c>
      <c r="T136" s="48">
        <f t="shared" si="23"/>
        <v>22782.158346845841</v>
      </c>
      <c r="U136" s="8">
        <f t="shared" si="24"/>
        <v>47142.272243139203</v>
      </c>
      <c r="W136" s="48">
        <f t="shared" si="27"/>
        <v>22782.158346845841</v>
      </c>
      <c r="X136" s="8">
        <f t="shared" si="25"/>
        <v>47142.272243139203</v>
      </c>
    </row>
    <row r="137" spans="11:24" ht="13.2" hidden="1" x14ac:dyDescent="0.25">
      <c r="K137" s="3" t="str">
        <f t="shared" si="28"/>
        <v/>
      </c>
      <c r="L137" s="39">
        <v>105</v>
      </c>
      <c r="M137" s="3">
        <f t="shared" si="26"/>
        <v>8</v>
      </c>
      <c r="N137" s="44">
        <f t="shared" si="19"/>
        <v>27777.613499924144</v>
      </c>
      <c r="O137" s="8">
        <f t="shared" si="20"/>
        <v>56938.900210741151</v>
      </c>
      <c r="Q137" s="48">
        <f t="shared" si="21"/>
        <v>25905.27962402609</v>
      </c>
      <c r="R137" s="8">
        <f t="shared" si="22"/>
        <v>53100.966771238127</v>
      </c>
      <c r="T137" s="48">
        <f t="shared" si="23"/>
        <v>22782.158346845841</v>
      </c>
      <c r="U137" s="8">
        <f t="shared" si="24"/>
        <v>46699.1536439911</v>
      </c>
      <c r="W137" s="48">
        <f t="shared" si="27"/>
        <v>22782.158346845841</v>
      </c>
      <c r="X137" s="8">
        <f t="shared" si="25"/>
        <v>46699.1536439911</v>
      </c>
    </row>
    <row r="138" spans="11:24" ht="13.2" hidden="1" x14ac:dyDescent="0.25">
      <c r="K138" s="3" t="str">
        <f t="shared" si="28"/>
        <v/>
      </c>
      <c r="L138" s="39">
        <v>106</v>
      </c>
      <c r="M138" s="3">
        <f t="shared" si="26"/>
        <v>8</v>
      </c>
      <c r="N138" s="44">
        <f t="shared" si="19"/>
        <v>27777.613499924144</v>
      </c>
      <c r="O138" s="8">
        <f t="shared" si="20"/>
        <v>56403.697207197132</v>
      </c>
      <c r="Q138" s="48">
        <f t="shared" si="21"/>
        <v>25905.27962402609</v>
      </c>
      <c r="R138" s="8">
        <f t="shared" si="22"/>
        <v>52601.838814746676</v>
      </c>
      <c r="T138" s="48">
        <f t="shared" si="23"/>
        <v>22782.158346845841</v>
      </c>
      <c r="U138" s="8">
        <f t="shared" si="24"/>
        <v>46260.200183339031</v>
      </c>
      <c r="W138" s="48">
        <f t="shared" si="27"/>
        <v>22782.158346845841</v>
      </c>
      <c r="X138" s="8">
        <f t="shared" si="25"/>
        <v>46260.200183339031</v>
      </c>
    </row>
    <row r="139" spans="11:24" ht="13.2" hidden="1" x14ac:dyDescent="0.25">
      <c r="K139" s="3" t="str">
        <f t="shared" si="28"/>
        <v/>
      </c>
      <c r="L139" s="39">
        <v>107</v>
      </c>
      <c r="M139" s="3">
        <f t="shared" si="26"/>
        <v>8</v>
      </c>
      <c r="N139" s="44">
        <f t="shared" si="19"/>
        <v>27777.613499924144</v>
      </c>
      <c r="O139" s="8">
        <f t="shared" si="20"/>
        <v>55873.524898906137</v>
      </c>
      <c r="Q139" s="48">
        <f t="shared" si="21"/>
        <v>25905.27962402609</v>
      </c>
      <c r="R139" s="8">
        <f t="shared" si="22"/>
        <v>52107.402462421771</v>
      </c>
      <c r="T139" s="48">
        <f t="shared" si="23"/>
        <v>22782.158346845841</v>
      </c>
      <c r="U139" s="8">
        <f t="shared" si="24"/>
        <v>45825.372710538635</v>
      </c>
      <c r="W139" s="48">
        <f t="shared" si="27"/>
        <v>22782.158346845841</v>
      </c>
      <c r="X139" s="8">
        <f t="shared" si="25"/>
        <v>45825.372710538635</v>
      </c>
    </row>
    <row r="140" spans="11:24" ht="13.2" hidden="1" x14ac:dyDescent="0.25">
      <c r="K140" s="3">
        <f t="shared" si="28"/>
        <v>9</v>
      </c>
      <c r="L140" s="39">
        <v>108</v>
      </c>
      <c r="M140" s="3">
        <f t="shared" si="26"/>
        <v>8</v>
      </c>
      <c r="N140" s="44">
        <f t="shared" si="19"/>
        <v>27777.613499924144</v>
      </c>
      <c r="O140" s="8">
        <f t="shared" si="20"/>
        <v>55348.335999334719</v>
      </c>
      <c r="Q140" s="48">
        <f t="shared" si="21"/>
        <v>25905.27962402609</v>
      </c>
      <c r="R140" s="8">
        <f t="shared" si="22"/>
        <v>51617.613615051232</v>
      </c>
      <c r="T140" s="48">
        <f t="shared" si="23"/>
        <v>22782.158346845841</v>
      </c>
      <c r="U140" s="8">
        <f t="shared" si="24"/>
        <v>45394.632442946007</v>
      </c>
      <c r="W140" s="48">
        <f t="shared" si="27"/>
        <v>22782.158346845841</v>
      </c>
      <c r="X140" s="8">
        <f t="shared" si="25"/>
        <v>45394.632442946007</v>
      </c>
    </row>
    <row r="141" spans="11:24" ht="13.2" hidden="1" x14ac:dyDescent="0.25">
      <c r="K141" s="3" t="str">
        <f t="shared" si="28"/>
        <v/>
      </c>
      <c r="L141" s="39">
        <v>109</v>
      </c>
      <c r="M141" s="3">
        <f t="shared" si="26"/>
        <v>9</v>
      </c>
      <c r="N141" s="44">
        <f t="shared" si="19"/>
        <v>30555.374849916563</v>
      </c>
      <c r="O141" s="8">
        <f t="shared" si="20"/>
        <v>60310.89203306644</v>
      </c>
      <c r="Q141" s="48">
        <f t="shared" si="21"/>
        <v>28495.807586428702</v>
      </c>
      <c r="R141" s="8">
        <f t="shared" si="22"/>
        <v>56245.671446731736</v>
      </c>
      <c r="T141" s="48">
        <f t="shared" si="23"/>
        <v>22782.158346845841</v>
      </c>
      <c r="U141" s="8">
        <f t="shared" si="24"/>
        <v>44967.940962458684</v>
      </c>
      <c r="W141" s="48">
        <f t="shared" si="27"/>
        <v>22782.158346845841</v>
      </c>
      <c r="X141" s="8">
        <f t="shared" si="25"/>
        <v>44967.940962458684</v>
      </c>
    </row>
    <row r="142" spans="11:24" ht="13.2" hidden="1" x14ac:dyDescent="0.25">
      <c r="K142" s="3" t="str">
        <f t="shared" si="28"/>
        <v/>
      </c>
      <c r="L142" s="39">
        <v>110</v>
      </c>
      <c r="M142" s="3">
        <f t="shared" si="26"/>
        <v>9</v>
      </c>
      <c r="N142" s="44">
        <f t="shared" si="19"/>
        <v>30555.374849916563</v>
      </c>
      <c r="O142" s="8">
        <f t="shared" si="20"/>
        <v>59743.993648253127</v>
      </c>
      <c r="Q142" s="48">
        <f t="shared" si="21"/>
        <v>28495.807586428702</v>
      </c>
      <c r="R142" s="8">
        <f t="shared" si="22"/>
        <v>55716.984517703881</v>
      </c>
      <c r="T142" s="48">
        <f t="shared" si="23"/>
        <v>22782.158346845841</v>
      </c>
      <c r="U142" s="8">
        <f t="shared" si="24"/>
        <v>44545.260212089059</v>
      </c>
      <c r="W142" s="48">
        <f t="shared" si="27"/>
        <v>22782.158346845841</v>
      </c>
      <c r="X142" s="8">
        <f t="shared" si="25"/>
        <v>44545.260212089059</v>
      </c>
    </row>
    <row r="143" spans="11:24" ht="13.2" hidden="1" x14ac:dyDescent="0.25">
      <c r="K143" s="3" t="str">
        <f t="shared" si="28"/>
        <v/>
      </c>
      <c r="L143" s="39">
        <v>111</v>
      </c>
      <c r="M143" s="3">
        <f t="shared" si="26"/>
        <v>9</v>
      </c>
      <c r="N143" s="44">
        <f t="shared" si="19"/>
        <v>30555.374849916563</v>
      </c>
      <c r="O143" s="8">
        <f t="shared" si="20"/>
        <v>59182.423882663803</v>
      </c>
      <c r="Q143" s="48">
        <f t="shared" si="21"/>
        <v>28495.807586428702</v>
      </c>
      <c r="R143" s="8">
        <f t="shared" si="22"/>
        <v>55193.26703542161</v>
      </c>
      <c r="T143" s="48">
        <f t="shared" si="23"/>
        <v>22782.158346845841</v>
      </c>
      <c r="U143" s="8">
        <f t="shared" si="24"/>
        <v>44126.552492570045</v>
      </c>
      <c r="W143" s="48">
        <f t="shared" si="27"/>
        <v>22782.158346845841</v>
      </c>
      <c r="X143" s="8">
        <f t="shared" si="25"/>
        <v>44126.552492570045</v>
      </c>
    </row>
    <row r="144" spans="11:24" ht="13.2" hidden="1" x14ac:dyDescent="0.25">
      <c r="K144" s="3" t="str">
        <f t="shared" si="28"/>
        <v/>
      </c>
      <c r="L144" s="39">
        <v>112</v>
      </c>
      <c r="M144" s="3">
        <f t="shared" si="26"/>
        <v>9</v>
      </c>
      <c r="N144" s="44">
        <f t="shared" si="19"/>
        <v>30555.374849916563</v>
      </c>
      <c r="O144" s="8">
        <f t="shared" si="20"/>
        <v>58626.132649398256</v>
      </c>
      <c r="Q144" s="48">
        <f t="shared" si="21"/>
        <v>28495.807586428702</v>
      </c>
      <c r="R144" s="8">
        <f t="shared" si="22"/>
        <v>54674.472289063087</v>
      </c>
      <c r="T144" s="48">
        <f t="shared" si="23"/>
        <v>22782.158346845841</v>
      </c>
      <c r="U144" s="8">
        <f t="shared" si="24"/>
        <v>43711.780458992704</v>
      </c>
      <c r="W144" s="48">
        <f t="shared" si="27"/>
        <v>22782.158346845841</v>
      </c>
      <c r="X144" s="8">
        <f t="shared" si="25"/>
        <v>43711.780458992704</v>
      </c>
    </row>
    <row r="145" spans="11:24" ht="13.2" hidden="1" x14ac:dyDescent="0.25">
      <c r="K145" s="3" t="str">
        <f t="shared" si="28"/>
        <v/>
      </c>
      <c r="L145" s="39">
        <v>113</v>
      </c>
      <c r="M145" s="3">
        <f t="shared" si="26"/>
        <v>9</v>
      </c>
      <c r="N145" s="44">
        <f t="shared" si="19"/>
        <v>30555.374849916563</v>
      </c>
      <c r="O145" s="8">
        <f t="shared" si="20"/>
        <v>58075.070332353214</v>
      </c>
      <c r="Q145" s="48">
        <f t="shared" si="21"/>
        <v>28495.807586428702</v>
      </c>
      <c r="R145" s="8">
        <f t="shared" si="22"/>
        <v>54160.554006869599</v>
      </c>
      <c r="T145" s="48">
        <f t="shared" si="23"/>
        <v>22782.158346845841</v>
      </c>
      <c r="U145" s="8">
        <f t="shared" si="24"/>
        <v>43300.90711747537</v>
      </c>
      <c r="W145" s="48">
        <f t="shared" si="27"/>
        <v>22782.158346845841</v>
      </c>
      <c r="X145" s="8">
        <f t="shared" si="25"/>
        <v>43300.90711747537</v>
      </c>
    </row>
    <row r="146" spans="11:24" ht="13.2" hidden="1" x14ac:dyDescent="0.25">
      <c r="K146" s="3" t="str">
        <f t="shared" si="28"/>
        <v/>
      </c>
      <c r="L146" s="39">
        <v>114</v>
      </c>
      <c r="M146" s="3">
        <f t="shared" si="26"/>
        <v>9</v>
      </c>
      <c r="N146" s="44">
        <f t="shared" si="19"/>
        <v>30555.374849916563</v>
      </c>
      <c r="O146" s="8">
        <f t="shared" si="20"/>
        <v>57529.187781796994</v>
      </c>
      <c r="Q146" s="48">
        <f t="shared" si="21"/>
        <v>28495.807586428702</v>
      </c>
      <c r="R146" s="8">
        <f t="shared" si="22"/>
        <v>53651.466352018542</v>
      </c>
      <c r="T146" s="48">
        <f t="shared" si="23"/>
        <v>22782.158346845841</v>
      </c>
      <c r="U146" s="8">
        <f t="shared" si="24"/>
        <v>42893.89582186412</v>
      </c>
      <c r="W146" s="48">
        <f t="shared" si="27"/>
        <v>22782.158346845841</v>
      </c>
      <c r="X146" s="8">
        <f t="shared" si="25"/>
        <v>42893.89582186412</v>
      </c>
    </row>
    <row r="147" spans="11:24" ht="13.2" hidden="1" x14ac:dyDescent="0.25">
      <c r="K147" s="3" t="str">
        <f t="shared" si="28"/>
        <v/>
      </c>
      <c r="L147" s="39">
        <v>115</v>
      </c>
      <c r="M147" s="3">
        <f t="shared" si="26"/>
        <v>9</v>
      </c>
      <c r="N147" s="44">
        <f t="shared" si="19"/>
        <v>30555.374849916563</v>
      </c>
      <c r="O147" s="8">
        <f t="shared" si="20"/>
        <v>56988.43630998586</v>
      </c>
      <c r="Q147" s="48">
        <f t="shared" si="21"/>
        <v>28495.807586428702</v>
      </c>
      <c r="R147" s="8">
        <f t="shared" si="22"/>
        <v>53147.163918535218</v>
      </c>
      <c r="T147" s="48">
        <f t="shared" si="23"/>
        <v>22782.158346845841</v>
      </c>
      <c r="U147" s="8">
        <f t="shared" si="24"/>
        <v>42490.710270464318</v>
      </c>
      <c r="W147" s="48">
        <f t="shared" si="27"/>
        <v>22782.158346845841</v>
      </c>
      <c r="X147" s="8">
        <f t="shared" si="25"/>
        <v>42490.710270464318</v>
      </c>
    </row>
    <row r="148" spans="11:24" ht="13.2" hidden="1" x14ac:dyDescent="0.25">
      <c r="K148" s="3" t="str">
        <f t="shared" si="28"/>
        <v/>
      </c>
      <c r="L148" s="39">
        <v>116</v>
      </c>
      <c r="M148" s="3">
        <f t="shared" si="26"/>
        <v>9</v>
      </c>
      <c r="N148" s="44">
        <f t="shared" si="19"/>
        <v>30555.374849916563</v>
      </c>
      <c r="O148" s="8">
        <f t="shared" si="20"/>
        <v>56452.767686821484</v>
      </c>
      <c r="Q148" s="48">
        <f t="shared" si="21"/>
        <v>28495.807586428702</v>
      </c>
      <c r="R148" s="8">
        <f t="shared" si="22"/>
        <v>52647.601727243004</v>
      </c>
      <c r="T148" s="48">
        <f t="shared" si="23"/>
        <v>22782.158346845841</v>
      </c>
      <c r="U148" s="8">
        <f t="shared" si="24"/>
        <v>42091.314502802808</v>
      </c>
      <c r="W148" s="48">
        <f t="shared" si="27"/>
        <v>22782.158346845841</v>
      </c>
      <c r="X148" s="8">
        <f t="shared" si="25"/>
        <v>42091.314502802808</v>
      </c>
    </row>
    <row r="149" spans="11:24" ht="13.2" hidden="1" x14ac:dyDescent="0.25">
      <c r="K149" s="3" t="str">
        <f t="shared" si="28"/>
        <v/>
      </c>
      <c r="L149" s="39">
        <v>117</v>
      </c>
      <c r="M149" s="3">
        <f t="shared" si="26"/>
        <v>9</v>
      </c>
      <c r="N149" s="44">
        <f t="shared" si="19"/>
        <v>30555.374849916563</v>
      </c>
      <c r="O149" s="8">
        <f t="shared" si="20"/>
        <v>55922.134135549277</v>
      </c>
      <c r="Q149" s="48">
        <f t="shared" si="21"/>
        <v>28495.807586428702</v>
      </c>
      <c r="R149" s="8">
        <f t="shared" si="22"/>
        <v>52152.735221751667</v>
      </c>
      <c r="T149" s="48">
        <f t="shared" si="23"/>
        <v>22782.158346845841</v>
      </c>
      <c r="U149" s="8">
        <f t="shared" si="24"/>
        <v>41695.672896420569</v>
      </c>
      <c r="W149" s="48">
        <f t="shared" si="27"/>
        <v>22782.158346845841</v>
      </c>
      <c r="X149" s="8">
        <f t="shared" si="25"/>
        <v>41695.672896420569</v>
      </c>
    </row>
    <row r="150" spans="11:24" ht="13.2" hidden="1" x14ac:dyDescent="0.25">
      <c r="K150" s="3" t="str">
        <f t="shared" si="28"/>
        <v/>
      </c>
      <c r="L150" s="39">
        <v>118</v>
      </c>
      <c r="M150" s="3">
        <f t="shared" si="26"/>
        <v>9</v>
      </c>
      <c r="N150" s="44">
        <f t="shared" si="19"/>
        <v>30555.374849916563</v>
      </c>
      <c r="O150" s="8">
        <f t="shared" si="20"/>
        <v>55396.488328497122</v>
      </c>
      <c r="Q150" s="48">
        <f t="shared" si="21"/>
        <v>28495.807586428702</v>
      </c>
      <c r="R150" s="8">
        <f t="shared" si="22"/>
        <v>51662.520264483283</v>
      </c>
      <c r="T150" s="48">
        <f t="shared" si="23"/>
        <v>22782.158346845841</v>
      </c>
      <c r="U150" s="8">
        <f t="shared" si="24"/>
        <v>41303.750163695506</v>
      </c>
      <c r="W150" s="48">
        <f t="shared" si="27"/>
        <v>22782.158346845841</v>
      </c>
      <c r="X150" s="8">
        <f t="shared" si="25"/>
        <v>41303.750163695506</v>
      </c>
    </row>
    <row r="151" spans="11:24" ht="13.2" hidden="1" x14ac:dyDescent="0.25">
      <c r="K151" s="3" t="str">
        <f t="shared" si="28"/>
        <v/>
      </c>
      <c r="L151" s="39">
        <v>119</v>
      </c>
      <c r="M151" s="3">
        <f t="shared" si="26"/>
        <v>9</v>
      </c>
      <c r="N151" s="44">
        <f t="shared" si="19"/>
        <v>30555.374849916563</v>
      </c>
      <c r="O151" s="8">
        <f t="shared" si="20"/>
        <v>54875.783382854177</v>
      </c>
      <c r="Q151" s="48">
        <f t="shared" si="21"/>
        <v>28495.807586428702</v>
      </c>
      <c r="R151" s="8">
        <f t="shared" si="22"/>
        <v>51176.913132735608</v>
      </c>
      <c r="T151" s="48">
        <f t="shared" si="23"/>
        <v>22782.158346845841</v>
      </c>
      <c r="U151" s="8">
        <f t="shared" si="24"/>
        <v>40915.511348695152</v>
      </c>
      <c r="W151" s="48">
        <f t="shared" si="27"/>
        <v>22782.158346845841</v>
      </c>
      <c r="X151" s="8">
        <f t="shared" si="25"/>
        <v>40915.511348695152</v>
      </c>
    </row>
    <row r="152" spans="11:24" ht="13.2" hidden="1" x14ac:dyDescent="0.25">
      <c r="K152" s="3">
        <f t="shared" si="28"/>
        <v>10</v>
      </c>
      <c r="L152" s="39">
        <v>120</v>
      </c>
      <c r="M152" s="3">
        <f t="shared" si="26"/>
        <v>9</v>
      </c>
      <c r="N152" s="44">
        <f t="shared" si="19"/>
        <v>30555.374849916563</v>
      </c>
      <c r="O152" s="8">
        <f t="shared" si="20"/>
        <v>54359.972856489389</v>
      </c>
      <c r="Q152" s="48">
        <f t="shared" si="21"/>
        <v>28495.807586428702</v>
      </c>
      <c r="R152" s="8">
        <f t="shared" si="22"/>
        <v>50695.870514782393</v>
      </c>
      <c r="T152" s="48">
        <f t="shared" si="23"/>
        <v>22782.158346845841</v>
      </c>
      <c r="U152" s="8">
        <f t="shared" si="24"/>
        <v>40530.921824058882</v>
      </c>
      <c r="W152" s="48">
        <f t="shared" si="27"/>
        <v>22782.158346845841</v>
      </c>
      <c r="X152" s="8">
        <f t="shared" si="25"/>
        <v>40530.921824058882</v>
      </c>
    </row>
    <row r="153" spans="11:24" ht="13.2" hidden="1" x14ac:dyDescent="0.25">
      <c r="K153" s="3" t="str">
        <f t="shared" si="28"/>
        <v/>
      </c>
      <c r="L153" s="39">
        <v>121</v>
      </c>
      <c r="M153" s="3">
        <f t="shared" si="26"/>
        <v>10</v>
      </c>
      <c r="N153" s="44">
        <f t="shared" si="19"/>
        <v>33610.912334908222</v>
      </c>
      <c r="O153" s="8">
        <f t="shared" si="20"/>
        <v>59233.911818190179</v>
      </c>
      <c r="Q153" s="48">
        <f t="shared" si="21"/>
        <v>31345.388345071577</v>
      </c>
      <c r="R153" s="8">
        <f t="shared" si="22"/>
        <v>55241.284456611458</v>
      </c>
      <c r="T153" s="48">
        <f t="shared" si="23"/>
        <v>22782.158346845841</v>
      </c>
      <c r="U153" s="8">
        <f t="shared" si="24"/>
        <v>40149.94728790949</v>
      </c>
      <c r="W153" s="48">
        <f t="shared" si="27"/>
        <v>22782.158346845841</v>
      </c>
      <c r="X153" s="8">
        <f t="shared" si="25"/>
        <v>40149.94728790949</v>
      </c>
    </row>
    <row r="154" spans="11:24" ht="13.2" hidden="1" x14ac:dyDescent="0.25">
      <c r="K154" s="3" t="str">
        <f t="shared" si="28"/>
        <v/>
      </c>
      <c r="L154" s="39">
        <v>122</v>
      </c>
      <c r="M154" s="3">
        <f t="shared" si="26"/>
        <v>10</v>
      </c>
      <c r="N154" s="44">
        <f t="shared" si="19"/>
        <v>33610.912334908222</v>
      </c>
      <c r="O154" s="8">
        <f t="shared" si="20"/>
        <v>58677.136618819961</v>
      </c>
      <c r="Q154" s="48">
        <f t="shared" si="21"/>
        <v>31345.388345071577</v>
      </c>
      <c r="R154" s="8">
        <f t="shared" si="22"/>
        <v>54722.038365601955</v>
      </c>
      <c r="T154" s="48">
        <f t="shared" si="23"/>
        <v>22782.158346845841</v>
      </c>
      <c r="U154" s="8">
        <f t="shared" si="24"/>
        <v>39772.553760793744</v>
      </c>
      <c r="W154" s="48">
        <f t="shared" si="27"/>
        <v>22782.158346845841</v>
      </c>
      <c r="X154" s="8">
        <f t="shared" si="25"/>
        <v>39772.553760793744</v>
      </c>
    </row>
    <row r="155" spans="11:24" ht="13.2" hidden="1" x14ac:dyDescent="0.25">
      <c r="K155" s="3" t="str">
        <f t="shared" si="28"/>
        <v/>
      </c>
      <c r="L155" s="39">
        <v>123</v>
      </c>
      <c r="M155" s="3">
        <f t="shared" si="26"/>
        <v>10</v>
      </c>
      <c r="N155" s="44">
        <f t="shared" si="19"/>
        <v>33610.912334908222</v>
      </c>
      <c r="O155" s="8">
        <f t="shared" si="20"/>
        <v>58125.594884759012</v>
      </c>
      <c r="Q155" s="48">
        <f t="shared" si="21"/>
        <v>31345.388345071577</v>
      </c>
      <c r="R155" s="8">
        <f t="shared" si="22"/>
        <v>54207.672981217576</v>
      </c>
      <c r="T155" s="48">
        <f t="shared" si="23"/>
        <v>22782.158346845841</v>
      </c>
      <c r="U155" s="8">
        <f t="shared" si="24"/>
        <v>39398.707582651768</v>
      </c>
      <c r="W155" s="48">
        <f t="shared" si="27"/>
        <v>22782.158346845841</v>
      </c>
      <c r="X155" s="8">
        <f t="shared" si="25"/>
        <v>39398.707582651768</v>
      </c>
    </row>
    <row r="156" spans="11:24" ht="13.2" hidden="1" x14ac:dyDescent="0.25">
      <c r="K156" s="3" t="str">
        <f t="shared" si="28"/>
        <v/>
      </c>
      <c r="L156" s="39">
        <v>124</v>
      </c>
      <c r="M156" s="3">
        <f t="shared" si="26"/>
        <v>10</v>
      </c>
      <c r="N156" s="44">
        <f t="shared" si="19"/>
        <v>33610.912334908222</v>
      </c>
      <c r="O156" s="8">
        <f t="shared" si="20"/>
        <v>57579.237423516061</v>
      </c>
      <c r="Q156" s="48">
        <f t="shared" si="21"/>
        <v>31345.388345071577</v>
      </c>
      <c r="R156" s="8">
        <f t="shared" si="22"/>
        <v>53698.142426758313</v>
      </c>
      <c r="T156" s="48">
        <f t="shared" si="23"/>
        <v>22782.158346845841</v>
      </c>
      <c r="U156" s="8">
        <f t="shared" si="24"/>
        <v>39028.375409814857</v>
      </c>
      <c r="W156" s="48">
        <f t="shared" si="27"/>
        <v>22782.158346845841</v>
      </c>
      <c r="X156" s="8">
        <f t="shared" si="25"/>
        <v>39028.375409814857</v>
      </c>
    </row>
    <row r="157" spans="11:24" ht="13.2" hidden="1" x14ac:dyDescent="0.25">
      <c r="K157" s="3" t="str">
        <f t="shared" si="28"/>
        <v/>
      </c>
      <c r="L157" s="39">
        <v>125</v>
      </c>
      <c r="M157" s="3">
        <f t="shared" si="26"/>
        <v>10</v>
      </c>
      <c r="N157" s="44">
        <f t="shared" si="19"/>
        <v>33610.912334908222</v>
      </c>
      <c r="O157" s="8">
        <f t="shared" si="20"/>
        <v>57038.015504989678</v>
      </c>
      <c r="Q157" s="48">
        <f t="shared" si="21"/>
        <v>31345.388345071577</v>
      </c>
      <c r="R157" s="8">
        <f t="shared" si="22"/>
        <v>53193.401256746853</v>
      </c>
      <c r="T157" s="48">
        <f t="shared" si="23"/>
        <v>22782.158346845841</v>
      </c>
      <c r="U157" s="8">
        <f t="shared" si="24"/>
        <v>38661.524212031523</v>
      </c>
      <c r="W157" s="48">
        <f t="shared" si="27"/>
        <v>22782.158346845841</v>
      </c>
      <c r="X157" s="8">
        <f t="shared" si="25"/>
        <v>38661.524212031523</v>
      </c>
    </row>
    <row r="158" spans="11:24" ht="13.2" hidden="1" x14ac:dyDescent="0.25">
      <c r="K158" s="3" t="str">
        <f t="shared" si="28"/>
        <v/>
      </c>
      <c r="L158" s="39">
        <v>126</v>
      </c>
      <c r="M158" s="3">
        <f t="shared" si="26"/>
        <v>10</v>
      </c>
      <c r="N158" s="44">
        <f t="shared" si="19"/>
        <v>33610.912334908222</v>
      </c>
      <c r="O158" s="8">
        <f t="shared" si="20"/>
        <v>56501.880857121978</v>
      </c>
      <c r="Q158" s="48">
        <f t="shared" si="21"/>
        <v>31345.388345071577</v>
      </c>
      <c r="R158" s="8">
        <f t="shared" si="22"/>
        <v>52693.404452875293</v>
      </c>
      <c r="T158" s="48">
        <f t="shared" si="23"/>
        <v>22782.158346845841</v>
      </c>
      <c r="U158" s="8">
        <f t="shared" si="24"/>
        <v>38298.121269521485</v>
      </c>
      <c r="W158" s="48">
        <f t="shared" si="27"/>
        <v>22782.158346845841</v>
      </c>
      <c r="X158" s="8">
        <f t="shared" si="25"/>
        <v>38298.121269521485</v>
      </c>
    </row>
    <row r="159" spans="11:24" ht="13.2" hidden="1" x14ac:dyDescent="0.25">
      <c r="K159" s="3" t="str">
        <f t="shared" si="28"/>
        <v/>
      </c>
      <c r="L159" s="39">
        <v>127</v>
      </c>
      <c r="M159" s="3">
        <f t="shared" si="26"/>
        <v>10</v>
      </c>
      <c r="N159" s="44">
        <f t="shared" si="19"/>
        <v>33610.912334908222</v>
      </c>
      <c r="O159" s="8">
        <f t="shared" si="20"/>
        <v>55970.785661593181</v>
      </c>
      <c r="Q159" s="48">
        <f t="shared" si="21"/>
        <v>31345.388345071577</v>
      </c>
      <c r="R159" s="8">
        <f t="shared" si="22"/>
        <v>52198.107419989879</v>
      </c>
      <c r="T159" s="48">
        <f t="shared" si="23"/>
        <v>22782.158346845841</v>
      </c>
      <c r="U159" s="8">
        <f t="shared" si="24"/>
        <v>37938.134170057376</v>
      </c>
      <c r="W159" s="48">
        <f t="shared" si="27"/>
        <v>22782.158346845841</v>
      </c>
      <c r="X159" s="8">
        <f t="shared" si="25"/>
        <v>37938.134170057376</v>
      </c>
    </row>
    <row r="160" spans="11:24" ht="13.2" hidden="1" x14ac:dyDescent="0.25">
      <c r="K160" s="3" t="str">
        <f t="shared" si="28"/>
        <v/>
      </c>
      <c r="L160" s="39">
        <v>128</v>
      </c>
      <c r="M160" s="3">
        <f t="shared" si="26"/>
        <v>10</v>
      </c>
      <c r="N160" s="44">
        <f t="shared" si="19"/>
        <v>33610.912334908222</v>
      </c>
      <c r="O160" s="8">
        <f t="shared" si="20"/>
        <v>55444.682549556739</v>
      </c>
      <c r="Q160" s="48">
        <f t="shared" si="21"/>
        <v>31345.388345071577</v>
      </c>
      <c r="R160" s="8">
        <f t="shared" si="22"/>
        <v>51707.465982113601</v>
      </c>
      <c r="T160" s="48">
        <f t="shared" si="23"/>
        <v>22782.158346845841</v>
      </c>
      <c r="U160" s="8">
        <f t="shared" si="24"/>
        <v>37581.530806073883</v>
      </c>
      <c r="W160" s="48">
        <f t="shared" si="27"/>
        <v>22782.158346845841</v>
      </c>
      <c r="X160" s="8">
        <f t="shared" si="25"/>
        <v>37581.530806073883</v>
      </c>
    </row>
    <row r="161" spans="11:24" ht="13.2" hidden="1" x14ac:dyDescent="0.25">
      <c r="K161" s="3" t="str">
        <f t="shared" si="28"/>
        <v/>
      </c>
      <c r="L161" s="39">
        <v>129</v>
      </c>
      <c r="M161" s="3">
        <f t="shared" si="26"/>
        <v>10</v>
      </c>
      <c r="N161" s="44">
        <f t="shared" ref="N161:N224" si="29">IF(L161&lt;=InvMonths,SU_Amt*(1+$C$19)^M161,0)</f>
        <v>33610.912334908222</v>
      </c>
      <c r="O161" s="8">
        <f t="shared" ref="O161:O224" si="30">FV($S$1,(InvMonths-L161+1),0,-N161,1)</f>
        <v>54923.524597414398</v>
      </c>
      <c r="Q161" s="48">
        <f t="shared" ref="Q161:Q224" si="31">IF(L161&lt;=InvMonths,$R$27*(1+$C$19)^M161,0)</f>
        <v>31345.388345071577</v>
      </c>
      <c r="R161" s="8">
        <f t="shared" ref="R161:R224" si="32">FV($S$1,(InvMonths-L161+1),0,-Q161,1)</f>
        <v>51221.436378506034</v>
      </c>
      <c r="T161" s="48">
        <f t="shared" ref="T161:T224" si="33">IF(L161&lt;=InvMonths,$U$27,0)</f>
        <v>22782.158346845841</v>
      </c>
      <c r="U161" s="8">
        <f t="shared" ref="U161:U224" si="34">FV($S$1,(InvMonths-L161+1),0,-T161,1)</f>
        <v>37228.279371804027</v>
      </c>
      <c r="W161" s="48">
        <f t="shared" si="27"/>
        <v>22782.158346845841</v>
      </c>
      <c r="X161" s="8">
        <f t="shared" ref="X161:X224" si="35">FV($S$1,($X$26-L161+1),0,-W161,1)</f>
        <v>37228.279371804027</v>
      </c>
    </row>
    <row r="162" spans="11:24" ht="13.2" hidden="1" x14ac:dyDescent="0.25">
      <c r="K162" s="3" t="str">
        <f t="shared" si="28"/>
        <v/>
      </c>
      <c r="L162" s="39">
        <v>130</v>
      </c>
      <c r="M162" s="3">
        <f t="shared" ref="M162:M225" si="36">IF(MOD(L162,12)=0,(L162/12)-1,QUOTIENT(L162,12))</f>
        <v>10</v>
      </c>
      <c r="N162" s="44">
        <f t="shared" si="29"/>
        <v>33610.912334908222</v>
      </c>
      <c r="O162" s="8">
        <f t="shared" si="30"/>
        <v>54407.265322631036</v>
      </c>
      <c r="Q162" s="48">
        <f t="shared" si="31"/>
        <v>31345.388345071577</v>
      </c>
      <c r="R162" s="8">
        <f t="shared" si="32"/>
        <v>50739.975259760307</v>
      </c>
      <c r="T162" s="48">
        <f t="shared" si="33"/>
        <v>22782.158346845841</v>
      </c>
      <c r="U162" s="8">
        <f t="shared" si="34"/>
        <v>36878.348360442375</v>
      </c>
      <c r="W162" s="48">
        <f t="shared" ref="W162:W225" si="37">IF(L162&lt;=$X$26,$X$27,0)</f>
        <v>22782.158346845841</v>
      </c>
      <c r="X162" s="8">
        <f t="shared" si="35"/>
        <v>36878.348360442375</v>
      </c>
    </row>
    <row r="163" spans="11:24" ht="13.2" hidden="1" x14ac:dyDescent="0.25">
      <c r="K163" s="3" t="str">
        <f t="shared" si="28"/>
        <v/>
      </c>
      <c r="L163" s="39">
        <v>131</v>
      </c>
      <c r="M163" s="3">
        <f t="shared" si="36"/>
        <v>10</v>
      </c>
      <c r="N163" s="44">
        <f t="shared" si="29"/>
        <v>33610.912334908222</v>
      </c>
      <c r="O163" s="8">
        <f t="shared" si="30"/>
        <v>53895.858679588862</v>
      </c>
      <c r="Q163" s="48">
        <f t="shared" si="31"/>
        <v>31345.388345071577</v>
      </c>
      <c r="R163" s="8">
        <f t="shared" si="32"/>
        <v>50263.039683936702</v>
      </c>
      <c r="T163" s="48">
        <f t="shared" si="33"/>
        <v>22782.158346845841</v>
      </c>
      <c r="U163" s="8">
        <f t="shared" si="34"/>
        <v>36531.706561334911</v>
      </c>
      <c r="W163" s="48">
        <f t="shared" si="37"/>
        <v>22782.158346845841</v>
      </c>
      <c r="X163" s="8">
        <f t="shared" si="35"/>
        <v>36531.706561334911</v>
      </c>
    </row>
    <row r="164" spans="11:24" ht="13.2" hidden="1" x14ac:dyDescent="0.25">
      <c r="K164" s="3">
        <f t="shared" si="28"/>
        <v>11</v>
      </c>
      <c r="L164" s="39">
        <v>132</v>
      </c>
      <c r="M164" s="3">
        <f t="shared" si="36"/>
        <v>10</v>
      </c>
      <c r="N164" s="44">
        <f t="shared" si="29"/>
        <v>33610.912334908222</v>
      </c>
      <c r="O164" s="8">
        <f t="shared" si="30"/>
        <v>53389.259055480587</v>
      </c>
      <c r="Q164" s="48">
        <f t="shared" si="31"/>
        <v>31345.388345071577</v>
      </c>
      <c r="R164" s="8">
        <f t="shared" si="32"/>
        <v>49790.587112732654</v>
      </c>
      <c r="T164" s="48">
        <f t="shared" si="33"/>
        <v>22782.158346845841</v>
      </c>
      <c r="U164" s="8">
        <f t="shared" si="34"/>
        <v>36188.323057195383</v>
      </c>
      <c r="W164" s="48">
        <f t="shared" si="37"/>
        <v>22782.158346845841</v>
      </c>
      <c r="X164" s="8">
        <f t="shared" si="35"/>
        <v>36188.323057195383</v>
      </c>
    </row>
    <row r="165" spans="11:24" ht="13.2" hidden="1" x14ac:dyDescent="0.25">
      <c r="K165" s="3" t="str">
        <f t="shared" si="28"/>
        <v/>
      </c>
      <c r="L165" s="39">
        <v>133</v>
      </c>
      <c r="M165" s="3">
        <f t="shared" si="36"/>
        <v>11</v>
      </c>
      <c r="N165" s="44">
        <f t="shared" si="29"/>
        <v>36972.00356839905</v>
      </c>
      <c r="O165" s="8">
        <f t="shared" si="30"/>
        <v>58176.163392865288</v>
      </c>
      <c r="Q165" s="48">
        <f t="shared" si="31"/>
        <v>34479.927179578735</v>
      </c>
      <c r="R165" s="8">
        <f t="shared" si="32"/>
        <v>54254.832948457617</v>
      </c>
      <c r="T165" s="48">
        <f t="shared" si="33"/>
        <v>22782.158346845841</v>
      </c>
      <c r="U165" s="8">
        <f t="shared" si="34"/>
        <v>35848.167221347714</v>
      </c>
      <c r="W165" s="48">
        <f t="shared" si="37"/>
        <v>22782.158346845841</v>
      </c>
      <c r="X165" s="8">
        <f t="shared" si="35"/>
        <v>35848.167221347714</v>
      </c>
    </row>
    <row r="166" spans="11:24" ht="13.2" hidden="1" x14ac:dyDescent="0.25">
      <c r="K166" s="3" t="str">
        <f t="shared" si="28"/>
        <v/>
      </c>
      <c r="L166" s="39">
        <v>134</v>
      </c>
      <c r="M166" s="3">
        <f t="shared" si="36"/>
        <v>11</v>
      </c>
      <c r="N166" s="44">
        <f t="shared" si="29"/>
        <v>36972.00356839905</v>
      </c>
      <c r="O166" s="8">
        <f t="shared" si="30"/>
        <v>57629.330607769538</v>
      </c>
      <c r="Q166" s="48">
        <f t="shared" si="31"/>
        <v>34479.927179578735</v>
      </c>
      <c r="R166" s="8">
        <f t="shared" si="32"/>
        <v>53744.859109073288</v>
      </c>
      <c r="T166" s="48">
        <f t="shared" si="33"/>
        <v>22782.158346845841</v>
      </c>
      <c r="U166" s="8">
        <f t="shared" si="34"/>
        <v>35511.208714994369</v>
      </c>
      <c r="W166" s="48">
        <f t="shared" si="37"/>
        <v>22782.158346845841</v>
      </c>
      <c r="X166" s="8">
        <f t="shared" si="35"/>
        <v>35511.208714994369</v>
      </c>
    </row>
    <row r="167" spans="11:24" ht="13.2" hidden="1" x14ac:dyDescent="0.25">
      <c r="K167" s="3" t="str">
        <f t="shared" si="28"/>
        <v/>
      </c>
      <c r="L167" s="39">
        <v>135</v>
      </c>
      <c r="M167" s="3">
        <f t="shared" si="36"/>
        <v>11</v>
      </c>
      <c r="N167" s="44">
        <f t="shared" si="29"/>
        <v>36972.00356839905</v>
      </c>
      <c r="O167" s="8">
        <f t="shared" si="30"/>
        <v>57087.637833245397</v>
      </c>
      <c r="Q167" s="48">
        <f t="shared" si="31"/>
        <v>34479.927179578735</v>
      </c>
      <c r="R167" s="8">
        <f t="shared" si="32"/>
        <v>53239.678820838635</v>
      </c>
      <c r="T167" s="48">
        <f t="shared" si="33"/>
        <v>22782.158346845841</v>
      </c>
      <c r="U167" s="8">
        <f t="shared" si="34"/>
        <v>35177.417484510464</v>
      </c>
      <c r="W167" s="48">
        <f t="shared" si="37"/>
        <v>22782.158346845841</v>
      </c>
      <c r="X167" s="8">
        <f t="shared" si="35"/>
        <v>35177.417484510464</v>
      </c>
    </row>
    <row r="168" spans="11:24" ht="13.2" hidden="1" x14ac:dyDescent="0.25">
      <c r="K168" s="3" t="str">
        <f t="shared" si="28"/>
        <v/>
      </c>
      <c r="L168" s="39">
        <v>136</v>
      </c>
      <c r="M168" s="3">
        <f t="shared" si="36"/>
        <v>11</v>
      </c>
      <c r="N168" s="44">
        <f t="shared" si="29"/>
        <v>36972.00356839905</v>
      </c>
      <c r="O168" s="8">
        <f t="shared" si="30"/>
        <v>56551.036755238929</v>
      </c>
      <c r="Q168" s="48">
        <f t="shared" si="31"/>
        <v>34479.927179578735</v>
      </c>
      <c r="R168" s="8">
        <f t="shared" si="32"/>
        <v>52739.247026280427</v>
      </c>
      <c r="T168" s="48">
        <f t="shared" si="33"/>
        <v>22782.158346845841</v>
      </c>
      <c r="U168" s="8">
        <f t="shared" si="34"/>
        <v>34846.76375876322</v>
      </c>
      <c r="W168" s="48">
        <f t="shared" si="37"/>
        <v>22782.158346845841</v>
      </c>
      <c r="X168" s="8">
        <f t="shared" si="35"/>
        <v>34846.76375876322</v>
      </c>
    </row>
    <row r="169" spans="11:24" ht="13.2" hidden="1" x14ac:dyDescent="0.25">
      <c r="K169" s="3" t="str">
        <f t="shared" si="28"/>
        <v/>
      </c>
      <c r="L169" s="39">
        <v>137</v>
      </c>
      <c r="M169" s="3">
        <f t="shared" si="36"/>
        <v>11</v>
      </c>
      <c r="N169" s="44">
        <f t="shared" si="29"/>
        <v>36972.00356839905</v>
      </c>
      <c r="O169" s="8">
        <f t="shared" si="30"/>
        <v>56019.479513829094</v>
      </c>
      <c r="Q169" s="48">
        <f t="shared" si="31"/>
        <v>34479.927179578735</v>
      </c>
      <c r="R169" s="8">
        <f t="shared" si="32"/>
        <v>52243.519091447743</v>
      </c>
      <c r="T169" s="48">
        <f t="shared" si="33"/>
        <v>22782.158346845841</v>
      </c>
      <c r="U169" s="8">
        <f t="shared" si="34"/>
        <v>34519.218046456677</v>
      </c>
      <c r="W169" s="48">
        <f t="shared" si="37"/>
        <v>22782.158346845841</v>
      </c>
      <c r="X169" s="8">
        <f t="shared" si="35"/>
        <v>34519.218046456677</v>
      </c>
    </row>
    <row r="170" spans="11:24" ht="13.2" hidden="1" x14ac:dyDescent="0.25">
      <c r="K170" s="3" t="str">
        <f t="shared" ref="K170:K233" si="38">IF(MOD(L170,12)=0,L170/12,"")</f>
        <v/>
      </c>
      <c r="L170" s="39">
        <v>138</v>
      </c>
      <c r="M170" s="3">
        <f t="shared" si="36"/>
        <v>11</v>
      </c>
      <c r="N170" s="44">
        <f t="shared" si="29"/>
        <v>36972.00356839905</v>
      </c>
      <c r="O170" s="8">
        <f t="shared" si="30"/>
        <v>55492.918698959023</v>
      </c>
      <c r="Q170" s="48">
        <f t="shared" si="31"/>
        <v>34479.927179578735</v>
      </c>
      <c r="R170" s="8">
        <f t="shared" si="32"/>
        <v>51752.450801931023</v>
      </c>
      <c r="T170" s="48">
        <f t="shared" si="33"/>
        <v>22782.158346845841</v>
      </c>
      <c r="U170" s="8">
        <f t="shared" si="34"/>
        <v>34194.751133501282</v>
      </c>
      <c r="W170" s="48">
        <f t="shared" si="37"/>
        <v>22782.158346845841</v>
      </c>
      <c r="X170" s="8">
        <f t="shared" si="35"/>
        <v>34194.751133501282</v>
      </c>
    </row>
    <row r="171" spans="11:24" ht="13.2" hidden="1" x14ac:dyDescent="0.25">
      <c r="K171" s="3" t="str">
        <f t="shared" si="38"/>
        <v/>
      </c>
      <c r="L171" s="39">
        <v>139</v>
      </c>
      <c r="M171" s="3">
        <f t="shared" si="36"/>
        <v>11</v>
      </c>
      <c r="N171" s="44">
        <f t="shared" si="29"/>
        <v>36972.00356839905</v>
      </c>
      <c r="O171" s="8">
        <f t="shared" si="30"/>
        <v>54971.307346207526</v>
      </c>
      <c r="Q171" s="48">
        <f t="shared" si="31"/>
        <v>34479.927179578735</v>
      </c>
      <c r="R171" s="8">
        <f t="shared" si="32"/>
        <v>51265.998358918572</v>
      </c>
      <c r="T171" s="48">
        <f t="shared" si="33"/>
        <v>22782.158346845841</v>
      </c>
      <c r="U171" s="8">
        <f t="shared" si="34"/>
        <v>33873.334080408327</v>
      </c>
      <c r="W171" s="48">
        <f t="shared" si="37"/>
        <v>22782.158346845841</v>
      </c>
      <c r="X171" s="8">
        <f t="shared" si="35"/>
        <v>33873.334080408327</v>
      </c>
    </row>
    <row r="172" spans="11:24" ht="13.2" hidden="1" x14ac:dyDescent="0.25">
      <c r="K172" s="3" t="str">
        <f t="shared" si="38"/>
        <v/>
      </c>
      <c r="L172" s="39">
        <v>140</v>
      </c>
      <c r="M172" s="3">
        <f t="shared" si="36"/>
        <v>11</v>
      </c>
      <c r="N172" s="44">
        <f t="shared" si="29"/>
        <v>36972.00356839905</v>
      </c>
      <c r="O172" s="8">
        <f t="shared" si="30"/>
        <v>54454.598932600311</v>
      </c>
      <c r="Q172" s="48">
        <f t="shared" si="31"/>
        <v>34479.927179578735</v>
      </c>
      <c r="R172" s="8">
        <f t="shared" si="32"/>
        <v>50784.118375290076</v>
      </c>
      <c r="T172" s="48">
        <f t="shared" si="33"/>
        <v>22782.158346845841</v>
      </c>
      <c r="U172" s="8">
        <f t="shared" si="34"/>
        <v>33554.938219708783</v>
      </c>
      <c r="W172" s="48">
        <f t="shared" si="37"/>
        <v>22782.158346845841</v>
      </c>
      <c r="X172" s="8">
        <f t="shared" si="35"/>
        <v>33554.938219708783</v>
      </c>
    </row>
    <row r="173" spans="11:24" ht="13.2" hidden="1" x14ac:dyDescent="0.25">
      <c r="K173" s="3" t="str">
        <f t="shared" si="38"/>
        <v/>
      </c>
      <c r="L173" s="39">
        <v>141</v>
      </c>
      <c r="M173" s="3">
        <f t="shared" si="36"/>
        <v>11</v>
      </c>
      <c r="N173" s="44">
        <f t="shared" si="29"/>
        <v>36972.00356839905</v>
      </c>
      <c r="O173" s="8">
        <f t="shared" si="30"/>
        <v>53942.747372460515</v>
      </c>
      <c r="Q173" s="48">
        <f t="shared" si="31"/>
        <v>34479.927179578735</v>
      </c>
      <c r="R173" s="8">
        <f t="shared" si="32"/>
        <v>50306.767871746946</v>
      </c>
      <c r="T173" s="48">
        <f t="shared" si="33"/>
        <v>22782.158346845841</v>
      </c>
      <c r="U173" s="8">
        <f t="shared" si="34"/>
        <v>33239.535153396413</v>
      </c>
      <c r="W173" s="48">
        <f t="shared" si="37"/>
        <v>22782.158346845841</v>
      </c>
      <c r="X173" s="8">
        <f t="shared" si="35"/>
        <v>33239.535153396413</v>
      </c>
    </row>
    <row r="174" spans="11:24" ht="13.2" hidden="1" x14ac:dyDescent="0.25">
      <c r="K174" s="3" t="str">
        <f t="shared" si="38"/>
        <v/>
      </c>
      <c r="L174" s="39">
        <v>142</v>
      </c>
      <c r="M174" s="3">
        <f t="shared" si="36"/>
        <v>11</v>
      </c>
      <c r="N174" s="44">
        <f t="shared" si="29"/>
        <v>36972.00356839905</v>
      </c>
      <c r="O174" s="8">
        <f t="shared" si="30"/>
        <v>53435.707013298284</v>
      </c>
      <c r="Q174" s="48">
        <f t="shared" si="31"/>
        <v>34479.927179578735</v>
      </c>
      <c r="R174" s="8">
        <f t="shared" si="32"/>
        <v>49833.90427297882</v>
      </c>
      <c r="T174" s="48">
        <f t="shared" si="33"/>
        <v>22782.158346845841</v>
      </c>
      <c r="U174" s="8">
        <f t="shared" si="34"/>
        <v>32927.096750394936</v>
      </c>
      <c r="W174" s="48">
        <f t="shared" si="37"/>
        <v>22782.158346845841</v>
      </c>
      <c r="X174" s="8">
        <f t="shared" si="35"/>
        <v>32927.096750394936</v>
      </c>
    </row>
    <row r="175" spans="11:24" ht="13.2" hidden="1" x14ac:dyDescent="0.25">
      <c r="K175" s="3" t="str">
        <f t="shared" si="38"/>
        <v/>
      </c>
      <c r="L175" s="39">
        <v>143</v>
      </c>
      <c r="M175" s="3">
        <f t="shared" si="36"/>
        <v>11</v>
      </c>
      <c r="N175" s="44">
        <f t="shared" si="29"/>
        <v>36972.00356839905</v>
      </c>
      <c r="O175" s="8">
        <f t="shared" si="30"/>
        <v>52933.432631739008</v>
      </c>
      <c r="Q175" s="48">
        <f t="shared" si="31"/>
        <v>34479.927179578735</v>
      </c>
      <c r="R175" s="8">
        <f t="shared" si="32"/>
        <v>49365.48540386634</v>
      </c>
      <c r="T175" s="48">
        <f t="shared" si="33"/>
        <v>22782.158346845841</v>
      </c>
      <c r="U175" s="8">
        <f t="shared" si="34"/>
        <v>32617.595144048992</v>
      </c>
      <c r="W175" s="48">
        <f t="shared" si="37"/>
        <v>22782.158346845841</v>
      </c>
      <c r="X175" s="8">
        <f t="shared" si="35"/>
        <v>32617.595144048992</v>
      </c>
    </row>
    <row r="176" spans="11:24" ht="13.2" hidden="1" x14ac:dyDescent="0.25">
      <c r="K176" s="3">
        <f t="shared" si="38"/>
        <v>12</v>
      </c>
      <c r="L176" s="39">
        <v>144</v>
      </c>
      <c r="M176" s="3">
        <f t="shared" si="36"/>
        <v>11</v>
      </c>
      <c r="N176" s="44">
        <f t="shared" si="29"/>
        <v>36972.00356839905</v>
      </c>
      <c r="O176" s="8">
        <f t="shared" si="30"/>
        <v>52435.879429489803</v>
      </c>
      <c r="Q176" s="48">
        <f t="shared" si="31"/>
        <v>34479.927179578735</v>
      </c>
      <c r="R176" s="8">
        <f t="shared" si="32"/>
        <v>48901.469485719514</v>
      </c>
      <c r="T176" s="48">
        <f t="shared" si="33"/>
        <v>22782.158346845841</v>
      </c>
      <c r="U176" s="8">
        <f t="shared" si="34"/>
        <v>32311.002729638694</v>
      </c>
      <c r="W176" s="48">
        <f t="shared" si="37"/>
        <v>22782.158346845841</v>
      </c>
      <c r="X176" s="8">
        <f t="shared" si="35"/>
        <v>32311.002729638694</v>
      </c>
    </row>
    <row r="177" spans="11:24" ht="13.2" hidden="1" x14ac:dyDescent="0.25">
      <c r="K177" s="3" t="str">
        <f t="shared" si="38"/>
        <v/>
      </c>
      <c r="L177" s="39">
        <v>145</v>
      </c>
      <c r="M177" s="3">
        <f t="shared" si="36"/>
        <v>12</v>
      </c>
      <c r="N177" s="44">
        <f t="shared" si="29"/>
        <v>40669.203925238951</v>
      </c>
      <c r="O177" s="8">
        <f t="shared" si="30"/>
        <v>57137.30333227833</v>
      </c>
      <c r="Q177" s="48">
        <f t="shared" si="31"/>
        <v>37927.919897536609</v>
      </c>
      <c r="R177" s="8">
        <f t="shared" si="32"/>
        <v>53285.996645806525</v>
      </c>
      <c r="T177" s="48">
        <f t="shared" si="33"/>
        <v>22782.158346845841</v>
      </c>
      <c r="U177" s="8">
        <f t="shared" si="34"/>
        <v>32007.292161917558</v>
      </c>
      <c r="W177" s="48">
        <f t="shared" si="37"/>
        <v>22782.158346845841</v>
      </c>
      <c r="X177" s="8">
        <f t="shared" si="35"/>
        <v>32007.292161917558</v>
      </c>
    </row>
    <row r="178" spans="11:24" ht="13.2" hidden="1" x14ac:dyDescent="0.25">
      <c r="K178" s="3" t="str">
        <f t="shared" si="38"/>
        <v/>
      </c>
      <c r="L178" s="39">
        <v>146</v>
      </c>
      <c r="M178" s="3">
        <f t="shared" si="36"/>
        <v>12</v>
      </c>
      <c r="N178" s="44">
        <f t="shared" si="29"/>
        <v>40669.203925238951</v>
      </c>
      <c r="O178" s="8">
        <f t="shared" si="30"/>
        <v>56600.235418345001</v>
      </c>
      <c r="Q178" s="48">
        <f t="shared" si="31"/>
        <v>37927.919897536609</v>
      </c>
      <c r="R178" s="8">
        <f t="shared" si="32"/>
        <v>52785.129482125478</v>
      </c>
      <c r="T178" s="48">
        <f t="shared" si="33"/>
        <v>22782.158346845841</v>
      </c>
      <c r="U178" s="8">
        <f t="shared" si="34"/>
        <v>31706.436352673503</v>
      </c>
      <c r="W178" s="48">
        <f t="shared" si="37"/>
        <v>22782.158346845841</v>
      </c>
      <c r="X178" s="8">
        <f t="shared" si="35"/>
        <v>31706.436352673503</v>
      </c>
    </row>
    <row r="179" spans="11:24" ht="13.2" hidden="1" x14ac:dyDescent="0.25">
      <c r="K179" s="3" t="str">
        <f t="shared" si="38"/>
        <v/>
      </c>
      <c r="L179" s="39">
        <v>147</v>
      </c>
      <c r="M179" s="3">
        <f t="shared" si="36"/>
        <v>12</v>
      </c>
      <c r="N179" s="44">
        <f t="shared" si="29"/>
        <v>40669.203925238951</v>
      </c>
      <c r="O179" s="8">
        <f t="shared" si="30"/>
        <v>56068.215729080221</v>
      </c>
      <c r="Q179" s="48">
        <f t="shared" si="31"/>
        <v>37927.919897536609</v>
      </c>
      <c r="R179" s="8">
        <f t="shared" si="32"/>
        <v>52288.970270466445</v>
      </c>
      <c r="T179" s="48">
        <f t="shared" si="33"/>
        <v>22782.158346845841</v>
      </c>
      <c r="U179" s="8">
        <f t="shared" si="34"/>
        <v>31408.408468312875</v>
      </c>
      <c r="W179" s="48">
        <f t="shared" si="37"/>
        <v>22782.158346845841</v>
      </c>
      <c r="X179" s="8">
        <f t="shared" si="35"/>
        <v>31408.408468312875</v>
      </c>
    </row>
    <row r="180" spans="11:24" ht="13.2" hidden="1" x14ac:dyDescent="0.25">
      <c r="K180" s="3" t="str">
        <f t="shared" si="38"/>
        <v/>
      </c>
      <c r="L180" s="39">
        <v>148</v>
      </c>
      <c r="M180" s="3">
        <f t="shared" si="36"/>
        <v>12</v>
      </c>
      <c r="N180" s="44">
        <f t="shared" si="29"/>
        <v>40669.203925238951</v>
      </c>
      <c r="O180" s="8">
        <f t="shared" si="30"/>
        <v>55541.196813181014</v>
      </c>
      <c r="Q180" s="48">
        <f t="shared" si="31"/>
        <v>37927.919897536609</v>
      </c>
      <c r="R180" s="8">
        <f t="shared" si="32"/>
        <v>51797.474757953925</v>
      </c>
      <c r="T180" s="48">
        <f t="shared" si="33"/>
        <v>22782.158346845841</v>
      </c>
      <c r="U180" s="8">
        <f t="shared" si="34"/>
        <v>31113.181927467122</v>
      </c>
      <c r="W180" s="48">
        <f t="shared" si="37"/>
        <v>22782.158346845841</v>
      </c>
      <c r="X180" s="8">
        <f t="shared" si="35"/>
        <v>31113.181927467122</v>
      </c>
    </row>
    <row r="181" spans="11:24" ht="13.2" hidden="1" x14ac:dyDescent="0.25">
      <c r="K181" s="3" t="str">
        <f t="shared" si="38"/>
        <v/>
      </c>
      <c r="L181" s="39">
        <v>149</v>
      </c>
      <c r="M181" s="3">
        <f t="shared" si="36"/>
        <v>12</v>
      </c>
      <c r="N181" s="44">
        <f t="shared" si="29"/>
        <v>40669.203925238951</v>
      </c>
      <c r="O181" s="8">
        <f t="shared" si="30"/>
        <v>55019.131665367786</v>
      </c>
      <c r="Q181" s="48">
        <f t="shared" si="31"/>
        <v>37927.919897536609</v>
      </c>
      <c r="R181" s="8">
        <f t="shared" si="32"/>
        <v>51310.599107671827</v>
      </c>
      <c r="T181" s="48">
        <f t="shared" si="33"/>
        <v>22782.158346845841</v>
      </c>
      <c r="U181" s="8">
        <f t="shared" si="34"/>
        <v>30820.730398621992</v>
      </c>
      <c r="W181" s="48">
        <f t="shared" si="37"/>
        <v>22782.158346845841</v>
      </c>
      <c r="X181" s="8">
        <f t="shared" si="35"/>
        <v>30820.730398621992</v>
      </c>
    </row>
    <row r="182" spans="11:24" ht="13.2" hidden="1" x14ac:dyDescent="0.25">
      <c r="K182" s="3" t="str">
        <f t="shared" si="38"/>
        <v/>
      </c>
      <c r="L182" s="39">
        <v>150</v>
      </c>
      <c r="M182" s="3">
        <f t="shared" si="36"/>
        <v>12</v>
      </c>
      <c r="N182" s="44">
        <f t="shared" si="29"/>
        <v>40669.203925238951</v>
      </c>
      <c r="O182" s="8">
        <f t="shared" si="30"/>
        <v>54501.973722191819</v>
      </c>
      <c r="Q182" s="48">
        <f t="shared" si="31"/>
        <v>37927.919897536609</v>
      </c>
      <c r="R182" s="8">
        <f t="shared" si="32"/>
        <v>50828.299894753618</v>
      </c>
      <c r="T182" s="48">
        <f t="shared" si="33"/>
        <v>22782.158346845841</v>
      </c>
      <c r="U182" s="8">
        <f t="shared" si="34"/>
        <v>30531.027797768962</v>
      </c>
      <c r="W182" s="48">
        <f t="shared" si="37"/>
        <v>22782.158346845841</v>
      </c>
      <c r="X182" s="8">
        <f t="shared" si="35"/>
        <v>30531.027797768962</v>
      </c>
    </row>
    <row r="183" spans="11:24" ht="13.2" hidden="1" x14ac:dyDescent="0.25">
      <c r="K183" s="3" t="str">
        <f t="shared" si="38"/>
        <v/>
      </c>
      <c r="L183" s="39">
        <v>151</v>
      </c>
      <c r="M183" s="3">
        <f t="shared" si="36"/>
        <v>12</v>
      </c>
      <c r="N183" s="44">
        <f t="shared" si="29"/>
        <v>40669.203925238951</v>
      </c>
      <c r="O183" s="8">
        <f t="shared" si="30"/>
        <v>53989.676857882325</v>
      </c>
      <c r="Q183" s="48">
        <f t="shared" si="31"/>
        <v>37927.919897536609</v>
      </c>
      <c r="R183" s="8">
        <f t="shared" si="32"/>
        <v>50350.534102509242</v>
      </c>
      <c r="T183" s="48">
        <f t="shared" si="33"/>
        <v>22782.158346845841</v>
      </c>
      <c r="U183" s="8">
        <f t="shared" si="34"/>
        <v>30244.048286078829</v>
      </c>
      <c r="W183" s="48">
        <f t="shared" si="37"/>
        <v>22782.158346845841</v>
      </c>
      <c r="X183" s="8">
        <f t="shared" si="35"/>
        <v>30244.048286078829</v>
      </c>
    </row>
    <row r="184" spans="11:24" ht="13.2" hidden="1" x14ac:dyDescent="0.25">
      <c r="K184" s="3" t="str">
        <f t="shared" si="38"/>
        <v/>
      </c>
      <c r="L184" s="39">
        <v>152</v>
      </c>
      <c r="M184" s="3">
        <f t="shared" si="36"/>
        <v>12</v>
      </c>
      <c r="N184" s="44">
        <f t="shared" si="29"/>
        <v>40669.203925238951</v>
      </c>
      <c r="O184" s="8">
        <f t="shared" si="30"/>
        <v>53482.19538023237</v>
      </c>
      <c r="Q184" s="48">
        <f t="shared" si="31"/>
        <v>37927.919897536609</v>
      </c>
      <c r="R184" s="8">
        <f t="shared" si="32"/>
        <v>49877.259118588401</v>
      </c>
      <c r="T184" s="48">
        <f t="shared" si="33"/>
        <v>22782.158346845841</v>
      </c>
      <c r="U184" s="8">
        <f t="shared" si="34"/>
        <v>29959.766267597086</v>
      </c>
      <c r="W184" s="48">
        <f t="shared" si="37"/>
        <v>22782.158346845841</v>
      </c>
      <c r="X184" s="8">
        <f t="shared" si="35"/>
        <v>29959.766267597086</v>
      </c>
    </row>
    <row r="185" spans="11:24" ht="13.2" hidden="1" x14ac:dyDescent="0.25">
      <c r="K185" s="3" t="str">
        <f t="shared" si="38"/>
        <v/>
      </c>
      <c r="L185" s="39">
        <v>153</v>
      </c>
      <c r="M185" s="3">
        <f t="shared" si="36"/>
        <v>12</v>
      </c>
      <c r="N185" s="44">
        <f t="shared" si="29"/>
        <v>40669.203925238951</v>
      </c>
      <c r="O185" s="8">
        <f t="shared" si="30"/>
        <v>52979.484026523642</v>
      </c>
      <c r="Q185" s="48">
        <f t="shared" si="31"/>
        <v>37927.919897536609</v>
      </c>
      <c r="R185" s="8">
        <f t="shared" si="32"/>
        <v>49408.432731179972</v>
      </c>
      <c r="T185" s="48">
        <f t="shared" si="33"/>
        <v>22782.158346845841</v>
      </c>
      <c r="U185" s="8">
        <f t="shared" si="34"/>
        <v>29678.156386961044</v>
      </c>
      <c r="W185" s="48">
        <f t="shared" si="37"/>
        <v>22782.158346845841</v>
      </c>
      <c r="X185" s="8">
        <f t="shared" si="35"/>
        <v>29678.156386961044</v>
      </c>
    </row>
    <row r="186" spans="11:24" ht="13.2" hidden="1" x14ac:dyDescent="0.25">
      <c r="K186" s="3" t="str">
        <f t="shared" si="38"/>
        <v/>
      </c>
      <c r="L186" s="39">
        <v>154</v>
      </c>
      <c r="M186" s="3">
        <f t="shared" si="36"/>
        <v>12</v>
      </c>
      <c r="N186" s="44">
        <f t="shared" si="29"/>
        <v>40669.203925238951</v>
      </c>
      <c r="O186" s="8">
        <f t="shared" si="30"/>
        <v>52481.497959489308</v>
      </c>
      <c r="Q186" s="48">
        <f t="shared" si="31"/>
        <v>37927.919897536609</v>
      </c>
      <c r="R186" s="8">
        <f t="shared" si="32"/>
        <v>48944.013125246987</v>
      </c>
      <c r="T186" s="48">
        <f t="shared" si="33"/>
        <v>22782.158346845841</v>
      </c>
      <c r="U186" s="8">
        <f t="shared" si="34"/>
        <v>29399.193527138297</v>
      </c>
      <c r="W186" s="48">
        <f t="shared" si="37"/>
        <v>22782.158346845841</v>
      </c>
      <c r="X186" s="8">
        <f t="shared" si="35"/>
        <v>29399.193527138297</v>
      </c>
    </row>
    <row r="187" spans="11:24" ht="13.2" hidden="1" x14ac:dyDescent="0.25">
      <c r="K187" s="3" t="str">
        <f t="shared" si="38"/>
        <v/>
      </c>
      <c r="L187" s="39">
        <v>155</v>
      </c>
      <c r="M187" s="3">
        <f t="shared" si="36"/>
        <v>12</v>
      </c>
      <c r="N187" s="44">
        <f t="shared" si="29"/>
        <v>40669.203925238951</v>
      </c>
      <c r="O187" s="8">
        <f t="shared" si="30"/>
        <v>51988.192763315012</v>
      </c>
      <c r="Q187" s="48">
        <f t="shared" si="31"/>
        <v>37927.919897536609</v>
      </c>
      <c r="R187" s="8">
        <f t="shared" si="32"/>
        <v>48483.958878797232</v>
      </c>
      <c r="T187" s="48">
        <f t="shared" si="33"/>
        <v>22782.158346845841</v>
      </c>
      <c r="U187" s="8">
        <f t="shared" si="34"/>
        <v>29122.852807186558</v>
      </c>
      <c r="W187" s="48">
        <f t="shared" si="37"/>
        <v>22782.158346845841</v>
      </c>
      <c r="X187" s="8">
        <f t="shared" si="35"/>
        <v>29122.852807186558</v>
      </c>
    </row>
    <row r="188" spans="11:24" ht="13.2" hidden="1" x14ac:dyDescent="0.25">
      <c r="K188" s="3">
        <f t="shared" si="38"/>
        <v>13</v>
      </c>
      <c r="L188" s="39">
        <v>156</v>
      </c>
      <c r="M188" s="3">
        <f t="shared" si="36"/>
        <v>12</v>
      </c>
      <c r="N188" s="44">
        <f t="shared" si="29"/>
        <v>40669.203925238951</v>
      </c>
      <c r="O188" s="8">
        <f t="shared" si="30"/>
        <v>51499.524439677407</v>
      </c>
      <c r="Q188" s="48">
        <f t="shared" si="31"/>
        <v>37927.919897536609</v>
      </c>
      <c r="R188" s="8">
        <f t="shared" si="32"/>
        <v>48028.228959188738</v>
      </c>
      <c r="T188" s="48">
        <f t="shared" si="33"/>
        <v>22782.158346845841</v>
      </c>
      <c r="U188" s="8">
        <f t="shared" si="34"/>
        <v>28849.109580034507</v>
      </c>
      <c r="W188" s="48">
        <f t="shared" si="37"/>
        <v>22782.158346845841</v>
      </c>
      <c r="X188" s="8">
        <f t="shared" si="35"/>
        <v>28849.109580034507</v>
      </c>
    </row>
    <row r="189" spans="11:24" ht="13.2" hidden="1" x14ac:dyDescent="0.25">
      <c r="K189" s="3" t="str">
        <f t="shared" si="38"/>
        <v/>
      </c>
      <c r="L189" s="39">
        <v>157</v>
      </c>
      <c r="M189" s="3">
        <f t="shared" si="36"/>
        <v>13</v>
      </c>
      <c r="N189" s="44">
        <f t="shared" si="29"/>
        <v>44736.124317762849</v>
      </c>
      <c r="O189" s="8">
        <f t="shared" si="30"/>
        <v>56116.994344201856</v>
      </c>
      <c r="Q189" s="48">
        <f t="shared" si="31"/>
        <v>41720.711887290272</v>
      </c>
      <c r="R189" s="8">
        <f t="shared" si="32"/>
        <v>52334.460991417043</v>
      </c>
      <c r="T189" s="48">
        <f t="shared" si="33"/>
        <v>22782.158346845841</v>
      </c>
      <c r="U189" s="8">
        <f t="shared" si="34"/>
        <v>28577.939430283492</v>
      </c>
      <c r="W189" s="48">
        <f t="shared" si="37"/>
        <v>22782.158346845841</v>
      </c>
      <c r="X189" s="8">
        <f t="shared" si="35"/>
        <v>28577.939430283492</v>
      </c>
    </row>
    <row r="190" spans="11:24" ht="13.2" hidden="1" x14ac:dyDescent="0.25">
      <c r="K190" s="3" t="str">
        <f t="shared" si="38"/>
        <v/>
      </c>
      <c r="L190" s="39">
        <v>158</v>
      </c>
      <c r="M190" s="3">
        <f t="shared" si="36"/>
        <v>13</v>
      </c>
      <c r="N190" s="44">
        <f t="shared" si="29"/>
        <v>44736.124317762849</v>
      </c>
      <c r="O190" s="8">
        <f t="shared" si="30"/>
        <v>55589.516928731631</v>
      </c>
      <c r="Q190" s="48">
        <f t="shared" si="31"/>
        <v>41720.711887290272</v>
      </c>
      <c r="R190" s="8">
        <f t="shared" si="32"/>
        <v>51842.537884230311</v>
      </c>
      <c r="T190" s="48">
        <f t="shared" si="33"/>
        <v>22782.158346845841</v>
      </c>
      <c r="U190" s="8">
        <f t="shared" si="34"/>
        <v>28309.318172029874</v>
      </c>
      <c r="W190" s="48">
        <f t="shared" si="37"/>
        <v>22782.158346845841</v>
      </c>
      <c r="X190" s="8">
        <f t="shared" si="35"/>
        <v>28309.318172029874</v>
      </c>
    </row>
    <row r="191" spans="11:24" ht="13.2" hidden="1" x14ac:dyDescent="0.25">
      <c r="K191" s="3" t="str">
        <f t="shared" si="38"/>
        <v/>
      </c>
      <c r="L191" s="39">
        <v>159</v>
      </c>
      <c r="M191" s="3">
        <f t="shared" si="36"/>
        <v>13</v>
      </c>
      <c r="N191" s="44">
        <f t="shared" si="29"/>
        <v>44736.124317762849</v>
      </c>
      <c r="O191" s="8">
        <f t="shared" si="30"/>
        <v>55066.997591060863</v>
      </c>
      <c r="Q191" s="48">
        <f t="shared" si="31"/>
        <v>41720.711887290272</v>
      </c>
      <c r="R191" s="8">
        <f t="shared" si="32"/>
        <v>51355.238658493763</v>
      </c>
      <c r="T191" s="48">
        <f t="shared" si="33"/>
        <v>22782.158346845841</v>
      </c>
      <c r="U191" s="8">
        <f t="shared" si="34"/>
        <v>28043.221846707886</v>
      </c>
      <c r="W191" s="48">
        <f t="shared" si="37"/>
        <v>22782.158346845841</v>
      </c>
      <c r="X191" s="8">
        <f t="shared" si="35"/>
        <v>28043.221846707886</v>
      </c>
    </row>
    <row r="192" spans="11:24" ht="13.2" hidden="1" x14ac:dyDescent="0.25">
      <c r="K192" s="3" t="str">
        <f t="shared" si="38"/>
        <v/>
      </c>
      <c r="L192" s="39">
        <v>160</v>
      </c>
      <c r="M192" s="3">
        <f t="shared" si="36"/>
        <v>13</v>
      </c>
      <c r="N192" s="44">
        <f t="shared" si="29"/>
        <v>44736.124317762849</v>
      </c>
      <c r="O192" s="8">
        <f t="shared" si="30"/>
        <v>54549.38972723129</v>
      </c>
      <c r="Q192" s="48">
        <f t="shared" si="31"/>
        <v>41720.711887290272</v>
      </c>
      <c r="R192" s="8">
        <f t="shared" si="32"/>
        <v>50872.519851561825</v>
      </c>
      <c r="T192" s="48">
        <f t="shared" si="33"/>
        <v>22782.158346845841</v>
      </c>
      <c r="U192" s="8">
        <f t="shared" si="34"/>
        <v>27779.626720952754</v>
      </c>
      <c r="W192" s="48">
        <f t="shared" si="37"/>
        <v>22782.158346845841</v>
      </c>
      <c r="X192" s="8">
        <f t="shared" si="35"/>
        <v>27779.626720952754</v>
      </c>
    </row>
    <row r="193" spans="11:24" ht="13.2" hidden="1" x14ac:dyDescent="0.25">
      <c r="K193" s="3" t="str">
        <f t="shared" si="38"/>
        <v/>
      </c>
      <c r="L193" s="39">
        <v>161</v>
      </c>
      <c r="M193" s="3">
        <f t="shared" si="36"/>
        <v>13</v>
      </c>
      <c r="N193" s="44">
        <f t="shared" si="29"/>
        <v>44736.124317762849</v>
      </c>
      <c r="O193" s="8">
        <f t="shared" si="30"/>
        <v>54036.647171343291</v>
      </c>
      <c r="Q193" s="48">
        <f t="shared" si="31"/>
        <v>41720.711887290272</v>
      </c>
      <c r="R193" s="8">
        <f t="shared" si="32"/>
        <v>50394.33840932048</v>
      </c>
      <c r="T193" s="48">
        <f t="shared" si="33"/>
        <v>22782.158346845841</v>
      </c>
      <c r="U193" s="8">
        <f t="shared" si="34"/>
        <v>27518.509284483884</v>
      </c>
      <c r="W193" s="48">
        <f t="shared" si="37"/>
        <v>22782.158346845841</v>
      </c>
      <c r="X193" s="8">
        <f t="shared" si="35"/>
        <v>27518.509284483884</v>
      </c>
    </row>
    <row r="194" spans="11:24" ht="13.2" hidden="1" x14ac:dyDescent="0.25">
      <c r="K194" s="3" t="str">
        <f t="shared" si="38"/>
        <v/>
      </c>
      <c r="L194" s="39">
        <v>162</v>
      </c>
      <c r="M194" s="3">
        <f t="shared" si="36"/>
        <v>13</v>
      </c>
      <c r="N194" s="44">
        <f t="shared" si="29"/>
        <v>44736.124317762849</v>
      </c>
      <c r="O194" s="8">
        <f t="shared" si="30"/>
        <v>53528.724191438327</v>
      </c>
      <c r="Q194" s="48">
        <f t="shared" si="31"/>
        <v>41720.711887290272</v>
      </c>
      <c r="R194" s="8">
        <f t="shared" si="32"/>
        <v>49920.651682347241</v>
      </c>
      <c r="T194" s="48">
        <f t="shared" si="33"/>
        <v>22782.158346845841</v>
      </c>
      <c r="U194" s="8">
        <f t="shared" si="34"/>
        <v>27259.846248007965</v>
      </c>
      <c r="W194" s="48">
        <f t="shared" si="37"/>
        <v>22782.158346845841</v>
      </c>
      <c r="X194" s="8">
        <f t="shared" si="35"/>
        <v>27259.846248007965</v>
      </c>
    </row>
    <row r="195" spans="11:24" ht="13.2" hidden="1" x14ac:dyDescent="0.25">
      <c r="K195" s="3" t="str">
        <f t="shared" si="38"/>
        <v/>
      </c>
      <c r="L195" s="39">
        <v>163</v>
      </c>
      <c r="M195" s="3">
        <f t="shared" si="36"/>
        <v>13</v>
      </c>
      <c r="N195" s="44">
        <f t="shared" si="29"/>
        <v>44736.124317762849</v>
      </c>
      <c r="O195" s="8">
        <f t="shared" si="30"/>
        <v>53025.575485420064</v>
      </c>
      <c r="Q195" s="48">
        <f t="shared" si="31"/>
        <v>41720.711887290272</v>
      </c>
      <c r="R195" s="8">
        <f t="shared" si="32"/>
        <v>49451.417422107224</v>
      </c>
      <c r="T195" s="48">
        <f t="shared" si="33"/>
        <v>22782.158346845841</v>
      </c>
      <c r="U195" s="8">
        <f t="shared" si="34"/>
        <v>27003.614541141775</v>
      </c>
      <c r="W195" s="48">
        <f t="shared" si="37"/>
        <v>22782.158346845841</v>
      </c>
      <c r="X195" s="8">
        <f t="shared" si="35"/>
        <v>27003.614541141775</v>
      </c>
    </row>
    <row r="196" spans="11:24" ht="13.2" hidden="1" x14ac:dyDescent="0.25">
      <c r="K196" s="3" t="str">
        <f t="shared" si="38"/>
        <v/>
      </c>
      <c r="L196" s="39">
        <v>164</v>
      </c>
      <c r="M196" s="3">
        <f t="shared" si="36"/>
        <v>13</v>
      </c>
      <c r="N196" s="44">
        <f t="shared" si="29"/>
        <v>44736.124317762849</v>
      </c>
      <c r="O196" s="8">
        <f t="shared" si="30"/>
        <v>52527.156177013872</v>
      </c>
      <c r="Q196" s="48">
        <f t="shared" si="31"/>
        <v>41720.711887290272</v>
      </c>
      <c r="R196" s="8">
        <f t="shared" si="32"/>
        <v>48986.593777184986</v>
      </c>
      <c r="T196" s="48">
        <f t="shared" si="33"/>
        <v>22782.158346845841</v>
      </c>
      <c r="U196" s="8">
        <f t="shared" si="34"/>
        <v>26749.791310354511</v>
      </c>
      <c r="W196" s="48">
        <f t="shared" si="37"/>
        <v>22782.158346845841</v>
      </c>
      <c r="X196" s="8">
        <f t="shared" si="35"/>
        <v>26749.791310354511</v>
      </c>
    </row>
    <row r="197" spans="11:24" ht="13.2" hidden="1" x14ac:dyDescent="0.25">
      <c r="K197" s="3" t="str">
        <f t="shared" si="38"/>
        <v/>
      </c>
      <c r="L197" s="39">
        <v>165</v>
      </c>
      <c r="M197" s="3">
        <f t="shared" si="36"/>
        <v>13</v>
      </c>
      <c r="N197" s="44">
        <f t="shared" si="29"/>
        <v>44736.124317762849</v>
      </c>
      <c r="O197" s="8">
        <f t="shared" si="30"/>
        <v>52033.42181176423</v>
      </c>
      <c r="Q197" s="48">
        <f t="shared" si="31"/>
        <v>41720.711887290272</v>
      </c>
      <c r="R197" s="8">
        <f t="shared" si="32"/>
        <v>48526.139289551691</v>
      </c>
      <c r="T197" s="48">
        <f t="shared" si="33"/>
        <v>22782.158346845841</v>
      </c>
      <c r="U197" s="8">
        <f t="shared" si="34"/>
        <v>26498.353916929467</v>
      </c>
      <c r="W197" s="48">
        <f t="shared" si="37"/>
        <v>22782.158346845841</v>
      </c>
      <c r="X197" s="8">
        <f t="shared" si="35"/>
        <v>26498.353916929467</v>
      </c>
    </row>
    <row r="198" spans="11:24" ht="13.2" hidden="1" x14ac:dyDescent="0.25">
      <c r="K198" s="3" t="str">
        <f t="shared" si="38"/>
        <v/>
      </c>
      <c r="L198" s="39">
        <v>166</v>
      </c>
      <c r="M198" s="3">
        <f t="shared" si="36"/>
        <v>13</v>
      </c>
      <c r="N198" s="44">
        <f t="shared" si="29"/>
        <v>44736.124317762849</v>
      </c>
      <c r="O198" s="8">
        <f t="shared" si="30"/>
        <v>51544.328353069795</v>
      </c>
      <c r="Q198" s="48">
        <f t="shared" si="31"/>
        <v>41720.711887290272</v>
      </c>
      <c r="R198" s="8">
        <f t="shared" si="32"/>
        <v>48070.012890867518</v>
      </c>
      <c r="T198" s="48">
        <f t="shared" si="33"/>
        <v>22782.158346845841</v>
      </c>
      <c r="U198" s="8">
        <f t="shared" si="34"/>
        <v>26249.279934944872</v>
      </c>
      <c r="W198" s="48">
        <f t="shared" si="37"/>
        <v>22782.158346845841</v>
      </c>
      <c r="X198" s="8">
        <f t="shared" si="35"/>
        <v>26249.279934944872</v>
      </c>
    </row>
    <row r="199" spans="11:24" ht="13.2" hidden="1" x14ac:dyDescent="0.25">
      <c r="K199" s="3" t="str">
        <f t="shared" si="38"/>
        <v/>
      </c>
      <c r="L199" s="39">
        <v>167</v>
      </c>
      <c r="M199" s="3">
        <f t="shared" si="36"/>
        <v>13</v>
      </c>
      <c r="N199" s="44">
        <f t="shared" si="29"/>
        <v>44736.124317762849</v>
      </c>
      <c r="O199" s="8">
        <f t="shared" si="30"/>
        <v>51059.832178255761</v>
      </c>
      <c r="Q199" s="48">
        <f t="shared" si="31"/>
        <v>41720.711887290272</v>
      </c>
      <c r="R199" s="8">
        <f t="shared" si="32"/>
        <v>47618.173898818655</v>
      </c>
      <c r="T199" s="48">
        <f t="shared" si="33"/>
        <v>22782.158346845841</v>
      </c>
      <c r="U199" s="8">
        <f t="shared" si="34"/>
        <v>26002.54714927368</v>
      </c>
      <c r="W199" s="48">
        <f t="shared" si="37"/>
        <v>22782.158346845841</v>
      </c>
      <c r="X199" s="8">
        <f t="shared" si="35"/>
        <v>26002.54714927368</v>
      </c>
    </row>
    <row r="200" spans="11:24" ht="13.2" hidden="1" x14ac:dyDescent="0.25">
      <c r="K200" s="3">
        <f t="shared" si="38"/>
        <v>14</v>
      </c>
      <c r="L200" s="39">
        <v>168</v>
      </c>
      <c r="M200" s="3">
        <f t="shared" si="36"/>
        <v>13</v>
      </c>
      <c r="N200" s="44">
        <f t="shared" si="29"/>
        <v>44736.124317762849</v>
      </c>
      <c r="O200" s="8">
        <f t="shared" si="30"/>
        <v>50579.890074683113</v>
      </c>
      <c r="Q200" s="48">
        <f t="shared" si="31"/>
        <v>41720.711887290272</v>
      </c>
      <c r="R200" s="8">
        <f t="shared" si="32"/>
        <v>47170.582013488885</v>
      </c>
      <c r="T200" s="48">
        <f t="shared" si="33"/>
        <v>22782.158346845841</v>
      </c>
      <c r="U200" s="8">
        <f t="shared" si="34"/>
        <v>25758.133553602209</v>
      </c>
      <c r="W200" s="48">
        <f t="shared" si="37"/>
        <v>22782.158346845841</v>
      </c>
      <c r="X200" s="8">
        <f t="shared" si="35"/>
        <v>25758.133553602209</v>
      </c>
    </row>
    <row r="201" spans="11:24" ht="13.2" hidden="1" x14ac:dyDescent="0.25">
      <c r="K201" s="3" t="str">
        <f t="shared" si="38"/>
        <v/>
      </c>
      <c r="L201" s="39">
        <v>169</v>
      </c>
      <c r="M201" s="3">
        <f t="shared" si="36"/>
        <v>14</v>
      </c>
      <c r="N201" s="44">
        <f t="shared" si="29"/>
        <v>49209.736749539145</v>
      </c>
      <c r="O201" s="8">
        <f t="shared" si="30"/>
        <v>55114.905159483911</v>
      </c>
      <c r="Q201" s="48">
        <f t="shared" si="31"/>
        <v>45892.78307601931</v>
      </c>
      <c r="R201" s="8">
        <f t="shared" si="32"/>
        <v>51399.917045141694</v>
      </c>
      <c r="T201" s="48">
        <f t="shared" si="33"/>
        <v>22782.158346845841</v>
      </c>
      <c r="U201" s="8">
        <f t="shared" si="34"/>
        <v>25516.017348467376</v>
      </c>
      <c r="W201" s="48">
        <f t="shared" si="37"/>
        <v>22782.158346845841</v>
      </c>
      <c r="X201" s="8">
        <f t="shared" si="35"/>
        <v>25516.017348467376</v>
      </c>
    </row>
    <row r="202" spans="11:24" ht="13.2" hidden="1" x14ac:dyDescent="0.25">
      <c r="K202" s="3" t="str">
        <f t="shared" si="38"/>
        <v/>
      </c>
      <c r="L202" s="39">
        <v>170</v>
      </c>
      <c r="M202" s="3">
        <f t="shared" si="36"/>
        <v>14</v>
      </c>
      <c r="N202" s="44">
        <f t="shared" si="29"/>
        <v>49209.736749539145</v>
      </c>
      <c r="O202" s="8">
        <f t="shared" si="30"/>
        <v>54596.846983575648</v>
      </c>
      <c r="Q202" s="48">
        <f t="shared" si="31"/>
        <v>45892.78307601931</v>
      </c>
      <c r="R202" s="8">
        <f t="shared" si="32"/>
        <v>50916.778279154722</v>
      </c>
      <c r="T202" s="48">
        <f t="shared" si="33"/>
        <v>22782.158346845841</v>
      </c>
      <c r="U202" s="8">
        <f t="shared" si="34"/>
        <v>25276.176939312358</v>
      </c>
      <c r="W202" s="48">
        <f t="shared" si="37"/>
        <v>22782.158346845841</v>
      </c>
      <c r="X202" s="8">
        <f t="shared" si="35"/>
        <v>25276.176939312358</v>
      </c>
    </row>
    <row r="203" spans="11:24" ht="13.2" hidden="1" x14ac:dyDescent="0.25">
      <c r="K203" s="3" t="str">
        <f t="shared" si="38"/>
        <v/>
      </c>
      <c r="L203" s="39">
        <v>171</v>
      </c>
      <c r="M203" s="3">
        <f t="shared" si="36"/>
        <v>14</v>
      </c>
      <c r="N203" s="44">
        <f t="shared" si="29"/>
        <v>49209.736749539145</v>
      </c>
      <c r="O203" s="8">
        <f t="shared" si="30"/>
        <v>54083.658348363293</v>
      </c>
      <c r="Q203" s="48">
        <f t="shared" si="31"/>
        <v>45892.78307601931</v>
      </c>
      <c r="R203" s="8">
        <f t="shared" si="32"/>
        <v>50438.180825306328</v>
      </c>
      <c r="T203" s="48">
        <f t="shared" si="33"/>
        <v>22782.158346845841</v>
      </c>
      <c r="U203" s="8">
        <f t="shared" si="34"/>
        <v>25038.590934560583</v>
      </c>
      <c r="W203" s="48">
        <f t="shared" si="37"/>
        <v>22782.158346845841</v>
      </c>
      <c r="X203" s="8">
        <f t="shared" si="35"/>
        <v>25038.590934560583</v>
      </c>
    </row>
    <row r="204" spans="11:24" ht="13.2" hidden="1" x14ac:dyDescent="0.25">
      <c r="K204" s="3" t="str">
        <f t="shared" si="38"/>
        <v/>
      </c>
      <c r="L204" s="39">
        <v>172</v>
      </c>
      <c r="M204" s="3">
        <f t="shared" si="36"/>
        <v>14</v>
      </c>
      <c r="N204" s="44">
        <f t="shared" si="29"/>
        <v>49209.736749539145</v>
      </c>
      <c r="O204" s="8">
        <f t="shared" si="30"/>
        <v>53575.293482102097</v>
      </c>
      <c r="Q204" s="48">
        <f t="shared" si="31"/>
        <v>45892.78307601931</v>
      </c>
      <c r="R204" s="8">
        <f t="shared" si="32"/>
        <v>49964.081997069596</v>
      </c>
      <c r="T204" s="48">
        <f t="shared" si="33"/>
        <v>22782.158346845841</v>
      </c>
      <c r="U204" s="8">
        <f t="shared" si="34"/>
        <v>24803.238143707782</v>
      </c>
      <c r="W204" s="48">
        <f t="shared" si="37"/>
        <v>22782.158346845841</v>
      </c>
      <c r="X204" s="8">
        <f t="shared" si="35"/>
        <v>24803.238143707782</v>
      </c>
    </row>
    <row r="205" spans="11:24" ht="13.2" hidden="1" x14ac:dyDescent="0.25">
      <c r="K205" s="3" t="str">
        <f t="shared" si="38"/>
        <v/>
      </c>
      <c r="L205" s="39">
        <v>173</v>
      </c>
      <c r="M205" s="3">
        <f t="shared" si="36"/>
        <v>14</v>
      </c>
      <c r="N205" s="44">
        <f t="shared" si="29"/>
        <v>49209.736749539145</v>
      </c>
      <c r="O205" s="8">
        <f t="shared" si="30"/>
        <v>53071.707043283532</v>
      </c>
      <c r="Q205" s="48">
        <f t="shared" si="31"/>
        <v>45892.78307601931</v>
      </c>
      <c r="R205" s="8">
        <f t="shared" si="32"/>
        <v>49494.439509153992</v>
      </c>
      <c r="T205" s="48">
        <f t="shared" si="33"/>
        <v>22782.158346845841</v>
      </c>
      <c r="U205" s="8">
        <f t="shared" si="34"/>
        <v>24570.09757543201</v>
      </c>
      <c r="W205" s="48">
        <f t="shared" si="37"/>
        <v>22782.158346845841</v>
      </c>
      <c r="X205" s="8">
        <f t="shared" si="35"/>
        <v>24570.09757543201</v>
      </c>
    </row>
    <row r="206" spans="11:24" ht="13.2" hidden="1" x14ac:dyDescent="0.25">
      <c r="K206" s="3" t="str">
        <f t="shared" si="38"/>
        <v/>
      </c>
      <c r="L206" s="39">
        <v>174</v>
      </c>
      <c r="M206" s="3">
        <f t="shared" si="36"/>
        <v>14</v>
      </c>
      <c r="N206" s="44">
        <f t="shared" si="29"/>
        <v>49209.736749539145</v>
      </c>
      <c r="O206" s="8">
        <f t="shared" si="30"/>
        <v>52572.854116591159</v>
      </c>
      <c r="Q206" s="48">
        <f t="shared" si="31"/>
        <v>45892.78307601931</v>
      </c>
      <c r="R206" s="8">
        <f t="shared" si="32"/>
        <v>49029.211473733849</v>
      </c>
      <c r="T206" s="48">
        <f t="shared" si="33"/>
        <v>22782.158346845841</v>
      </c>
      <c r="U206" s="8">
        <f t="shared" si="34"/>
        <v>24339.14843572137</v>
      </c>
      <c r="W206" s="48">
        <f t="shared" si="37"/>
        <v>22782.158346845841</v>
      </c>
      <c r="X206" s="8">
        <f t="shared" si="35"/>
        <v>24339.14843572137</v>
      </c>
    </row>
    <row r="207" spans="11:24" ht="13.2" hidden="1" x14ac:dyDescent="0.25">
      <c r="K207" s="3" t="str">
        <f t="shared" si="38"/>
        <v/>
      </c>
      <c r="L207" s="39">
        <v>175</v>
      </c>
      <c r="M207" s="3">
        <f t="shared" si="36"/>
        <v>14</v>
      </c>
      <c r="N207" s="44">
        <f t="shared" si="29"/>
        <v>49209.736749539145</v>
      </c>
      <c r="O207" s="8">
        <f t="shared" si="30"/>
        <v>52078.690208894659</v>
      </c>
      <c r="Q207" s="48">
        <f t="shared" si="31"/>
        <v>45892.78307601931</v>
      </c>
      <c r="R207" s="8">
        <f t="shared" si="32"/>
        <v>48568.356396712414</v>
      </c>
      <c r="T207" s="48">
        <f t="shared" si="33"/>
        <v>22782.158346845841</v>
      </c>
      <c r="U207" s="8">
        <f t="shared" si="34"/>
        <v>24110.370126019414</v>
      </c>
      <c r="W207" s="48">
        <f t="shared" si="37"/>
        <v>22782.158346845841</v>
      </c>
      <c r="X207" s="8">
        <f t="shared" si="35"/>
        <v>24110.370126019414</v>
      </c>
    </row>
    <row r="208" spans="11:24" ht="13.2" hidden="1" x14ac:dyDescent="0.25">
      <c r="K208" s="3" t="str">
        <f t="shared" si="38"/>
        <v/>
      </c>
      <c r="L208" s="39">
        <v>176</v>
      </c>
      <c r="M208" s="3">
        <f t="shared" si="36"/>
        <v>14</v>
      </c>
      <c r="N208" s="44">
        <f t="shared" si="29"/>
        <v>49209.736749539145</v>
      </c>
      <c r="O208" s="8">
        <f t="shared" si="30"/>
        <v>51589.171245281432</v>
      </c>
      <c r="Q208" s="48">
        <f t="shared" si="31"/>
        <v>45892.78307601931</v>
      </c>
      <c r="R208" s="8">
        <f t="shared" si="32"/>
        <v>48111.833174020918</v>
      </c>
      <c r="T208" s="48">
        <f t="shared" si="33"/>
        <v>22782.158346845841</v>
      </c>
      <c r="U208" s="8">
        <f t="shared" si="34"/>
        <v>23883.742241387925</v>
      </c>
      <c r="W208" s="48">
        <f t="shared" si="37"/>
        <v>22782.158346845841</v>
      </c>
      <c r="X208" s="8">
        <f t="shared" si="35"/>
        <v>23883.742241387925</v>
      </c>
    </row>
    <row r="209" spans="11:24" ht="13.2" hidden="1" x14ac:dyDescent="0.25">
      <c r="K209" s="3" t="str">
        <f t="shared" si="38"/>
        <v/>
      </c>
      <c r="L209" s="39">
        <v>177</v>
      </c>
      <c r="M209" s="3">
        <f t="shared" si="36"/>
        <v>14</v>
      </c>
      <c r="N209" s="44">
        <f t="shared" si="29"/>
        <v>49209.736749539145</v>
      </c>
      <c r="O209" s="8">
        <f t="shared" si="30"/>
        <v>51104.253565125524</v>
      </c>
      <c r="Q209" s="48">
        <f t="shared" si="31"/>
        <v>45892.78307601931</v>
      </c>
      <c r="R209" s="8">
        <f t="shared" si="32"/>
        <v>47659.601087952506</v>
      </c>
      <c r="T209" s="48">
        <f t="shared" si="33"/>
        <v>22782.158346845841</v>
      </c>
      <c r="U209" s="8">
        <f t="shared" si="34"/>
        <v>23659.244568686994</v>
      </c>
      <c r="W209" s="48">
        <f t="shared" si="37"/>
        <v>22782.158346845841</v>
      </c>
      <c r="X209" s="8">
        <f t="shared" si="35"/>
        <v>23659.244568686994</v>
      </c>
    </row>
    <row r="210" spans="11:24" ht="13.2" hidden="1" x14ac:dyDescent="0.25">
      <c r="K210" s="3" t="str">
        <f t="shared" si="38"/>
        <v/>
      </c>
      <c r="L210" s="39">
        <v>178</v>
      </c>
      <c r="M210" s="3">
        <f t="shared" si="36"/>
        <v>14</v>
      </c>
      <c r="N210" s="44">
        <f t="shared" si="29"/>
        <v>49209.736749539145</v>
      </c>
      <c r="O210" s="8">
        <f t="shared" si="30"/>
        <v>50623.893918193491</v>
      </c>
      <c r="Q210" s="48">
        <f t="shared" si="31"/>
        <v>45892.78307601931</v>
      </c>
      <c r="R210" s="8">
        <f t="shared" si="32"/>
        <v>47211.61980353055</v>
      </c>
      <c r="T210" s="48">
        <f t="shared" si="33"/>
        <v>22782.158346845841</v>
      </c>
      <c r="U210" s="8">
        <f t="shared" si="34"/>
        <v>23436.857084772178</v>
      </c>
      <c r="W210" s="48">
        <f t="shared" si="37"/>
        <v>22782.158346845841</v>
      </c>
      <c r="X210" s="8">
        <f t="shared" si="35"/>
        <v>23436.857084772178</v>
      </c>
    </row>
    <row r="211" spans="11:24" ht="13.2" hidden="1" x14ac:dyDescent="0.25">
      <c r="K211" s="3" t="str">
        <f t="shared" si="38"/>
        <v/>
      </c>
      <c r="L211" s="39">
        <v>179</v>
      </c>
      <c r="M211" s="3">
        <f t="shared" si="36"/>
        <v>14</v>
      </c>
      <c r="N211" s="44">
        <f t="shared" si="29"/>
        <v>49209.736749539145</v>
      </c>
      <c r="O211" s="8">
        <f t="shared" si="30"/>
        <v>50148.049460786853</v>
      </c>
      <c r="Q211" s="48">
        <f t="shared" si="31"/>
        <v>45892.78307601931</v>
      </c>
      <c r="R211" s="8">
        <f t="shared" si="32"/>
        <v>46767.849364911133</v>
      </c>
      <c r="T211" s="48">
        <f t="shared" si="33"/>
        <v>22782.158346845841</v>
      </c>
      <c r="U211" s="8">
        <f t="shared" si="34"/>
        <v>23216.559954708613</v>
      </c>
      <c r="W211" s="48">
        <f t="shared" si="37"/>
        <v>22782.158346845841</v>
      </c>
      <c r="X211" s="8">
        <f t="shared" si="35"/>
        <v>23216.559954708613</v>
      </c>
    </row>
    <row r="212" spans="11:24" ht="13.2" hidden="1" x14ac:dyDescent="0.25">
      <c r="K212" s="3">
        <f t="shared" si="38"/>
        <v>15</v>
      </c>
      <c r="L212" s="39">
        <v>180</v>
      </c>
      <c r="M212" s="3">
        <f t="shared" si="36"/>
        <v>14</v>
      </c>
      <c r="N212" s="44">
        <f t="shared" si="29"/>
        <v>49209.736749539145</v>
      </c>
      <c r="O212" s="8">
        <f t="shared" si="30"/>
        <v>49676.677751920863</v>
      </c>
      <c r="Q212" s="48">
        <f t="shared" si="31"/>
        <v>45892.78307601931</v>
      </c>
      <c r="R212" s="8">
        <f t="shared" si="32"/>
        <v>46328.250191819396</v>
      </c>
      <c r="T212" s="48">
        <f t="shared" si="33"/>
        <v>22782.158346845841</v>
      </c>
      <c r="U212" s="8">
        <f t="shared" si="34"/>
        <v>22998.333530001943</v>
      </c>
      <c r="W212" s="48">
        <f t="shared" si="37"/>
        <v>22782.158346845841</v>
      </c>
      <c r="X212" s="8">
        <f t="shared" si="35"/>
        <v>22998.333530001943</v>
      </c>
    </row>
    <row r="213" spans="11:24" ht="13.2" hidden="1" x14ac:dyDescent="0.25">
      <c r="K213" s="3" t="str">
        <f t="shared" si="38"/>
        <v/>
      </c>
      <c r="L213" s="39">
        <v>181</v>
      </c>
      <c r="M213" s="3">
        <f t="shared" si="36"/>
        <v>15</v>
      </c>
      <c r="N213" s="44">
        <f t="shared" si="29"/>
        <v>0</v>
      </c>
      <c r="O213" s="8">
        <f t="shared" si="30"/>
        <v>0</v>
      </c>
      <c r="Q213" s="48">
        <f t="shared" si="31"/>
        <v>0</v>
      </c>
      <c r="R213" s="8">
        <f t="shared" si="32"/>
        <v>0</v>
      </c>
      <c r="T213" s="48">
        <f t="shared" si="33"/>
        <v>0</v>
      </c>
      <c r="U213" s="8">
        <f t="shared" si="34"/>
        <v>0</v>
      </c>
      <c r="W213" s="48">
        <f t="shared" si="37"/>
        <v>0</v>
      </c>
      <c r="X213" s="8">
        <f t="shared" si="35"/>
        <v>0</v>
      </c>
    </row>
    <row r="214" spans="11:24" ht="13.2" hidden="1" x14ac:dyDescent="0.25">
      <c r="K214" s="3" t="str">
        <f t="shared" si="38"/>
        <v/>
      </c>
      <c r="L214" s="39">
        <v>182</v>
      </c>
      <c r="M214" s="3">
        <f t="shared" si="36"/>
        <v>15</v>
      </c>
      <c r="N214" s="44">
        <f t="shared" si="29"/>
        <v>0</v>
      </c>
      <c r="O214" s="8">
        <f t="shared" si="30"/>
        <v>0</v>
      </c>
      <c r="Q214" s="48">
        <f t="shared" si="31"/>
        <v>0</v>
      </c>
      <c r="R214" s="8">
        <f t="shared" si="32"/>
        <v>0</v>
      </c>
      <c r="T214" s="48">
        <f t="shared" si="33"/>
        <v>0</v>
      </c>
      <c r="U214" s="8">
        <f t="shared" si="34"/>
        <v>0</v>
      </c>
      <c r="W214" s="48">
        <f t="shared" si="37"/>
        <v>0</v>
      </c>
      <c r="X214" s="8">
        <f t="shared" si="35"/>
        <v>0</v>
      </c>
    </row>
    <row r="215" spans="11:24" ht="13.2" hidden="1" x14ac:dyDescent="0.25">
      <c r="K215" s="3" t="str">
        <f t="shared" si="38"/>
        <v/>
      </c>
      <c r="L215" s="39">
        <v>183</v>
      </c>
      <c r="M215" s="3">
        <f t="shared" si="36"/>
        <v>15</v>
      </c>
      <c r="N215" s="44">
        <f t="shared" si="29"/>
        <v>0</v>
      </c>
      <c r="O215" s="8">
        <f t="shared" si="30"/>
        <v>0</v>
      </c>
      <c r="Q215" s="48">
        <f t="shared" si="31"/>
        <v>0</v>
      </c>
      <c r="R215" s="8">
        <f t="shared" si="32"/>
        <v>0</v>
      </c>
      <c r="T215" s="48">
        <f t="shared" si="33"/>
        <v>0</v>
      </c>
      <c r="U215" s="8">
        <f t="shared" si="34"/>
        <v>0</v>
      </c>
      <c r="W215" s="48">
        <f t="shared" si="37"/>
        <v>0</v>
      </c>
      <c r="X215" s="8">
        <f t="shared" si="35"/>
        <v>0</v>
      </c>
    </row>
    <row r="216" spans="11:24" ht="13.2" hidden="1" x14ac:dyDescent="0.25">
      <c r="K216" s="3" t="str">
        <f t="shared" si="38"/>
        <v/>
      </c>
      <c r="L216" s="39">
        <v>184</v>
      </c>
      <c r="M216" s="3">
        <f t="shared" si="36"/>
        <v>15</v>
      </c>
      <c r="N216" s="44">
        <f t="shared" si="29"/>
        <v>0</v>
      </c>
      <c r="O216" s="8">
        <f t="shared" si="30"/>
        <v>0</v>
      </c>
      <c r="Q216" s="48">
        <f t="shared" si="31"/>
        <v>0</v>
      </c>
      <c r="R216" s="8">
        <f t="shared" si="32"/>
        <v>0</v>
      </c>
      <c r="T216" s="48">
        <f t="shared" si="33"/>
        <v>0</v>
      </c>
      <c r="U216" s="8">
        <f t="shared" si="34"/>
        <v>0</v>
      </c>
      <c r="W216" s="48">
        <f t="shared" si="37"/>
        <v>0</v>
      </c>
      <c r="X216" s="8">
        <f t="shared" si="35"/>
        <v>0</v>
      </c>
    </row>
    <row r="217" spans="11:24" ht="13.2" hidden="1" x14ac:dyDescent="0.25">
      <c r="K217" s="3" t="str">
        <f t="shared" si="38"/>
        <v/>
      </c>
      <c r="L217" s="39">
        <v>185</v>
      </c>
      <c r="M217" s="3">
        <f t="shared" si="36"/>
        <v>15</v>
      </c>
      <c r="N217" s="44">
        <f t="shared" si="29"/>
        <v>0</v>
      </c>
      <c r="O217" s="8">
        <f t="shared" si="30"/>
        <v>0</v>
      </c>
      <c r="Q217" s="48">
        <f t="shared" si="31"/>
        <v>0</v>
      </c>
      <c r="R217" s="8">
        <f t="shared" si="32"/>
        <v>0</v>
      </c>
      <c r="T217" s="48">
        <f t="shared" si="33"/>
        <v>0</v>
      </c>
      <c r="U217" s="8">
        <f t="shared" si="34"/>
        <v>0</v>
      </c>
      <c r="W217" s="48">
        <f t="shared" si="37"/>
        <v>0</v>
      </c>
      <c r="X217" s="8">
        <f t="shared" si="35"/>
        <v>0</v>
      </c>
    </row>
    <row r="218" spans="11:24" ht="13.2" hidden="1" x14ac:dyDescent="0.25">
      <c r="K218" s="3" t="str">
        <f t="shared" si="38"/>
        <v/>
      </c>
      <c r="L218" s="39">
        <v>186</v>
      </c>
      <c r="M218" s="3">
        <f t="shared" si="36"/>
        <v>15</v>
      </c>
      <c r="N218" s="44">
        <f t="shared" si="29"/>
        <v>0</v>
      </c>
      <c r="O218" s="8">
        <f t="shared" si="30"/>
        <v>0</v>
      </c>
      <c r="Q218" s="48">
        <f t="shared" si="31"/>
        <v>0</v>
      </c>
      <c r="R218" s="8">
        <f t="shared" si="32"/>
        <v>0</v>
      </c>
      <c r="T218" s="48">
        <f t="shared" si="33"/>
        <v>0</v>
      </c>
      <c r="U218" s="8">
        <f t="shared" si="34"/>
        <v>0</v>
      </c>
      <c r="W218" s="48">
        <f t="shared" si="37"/>
        <v>0</v>
      </c>
      <c r="X218" s="8">
        <f t="shared" si="35"/>
        <v>0</v>
      </c>
    </row>
    <row r="219" spans="11:24" ht="13.2" hidden="1" x14ac:dyDescent="0.25">
      <c r="K219" s="3" t="str">
        <f t="shared" si="38"/>
        <v/>
      </c>
      <c r="L219" s="39">
        <v>187</v>
      </c>
      <c r="M219" s="3">
        <f t="shared" si="36"/>
        <v>15</v>
      </c>
      <c r="N219" s="44">
        <f t="shared" si="29"/>
        <v>0</v>
      </c>
      <c r="O219" s="8">
        <f t="shared" si="30"/>
        <v>0</v>
      </c>
      <c r="Q219" s="48">
        <f t="shared" si="31"/>
        <v>0</v>
      </c>
      <c r="R219" s="8">
        <f t="shared" si="32"/>
        <v>0</v>
      </c>
      <c r="T219" s="48">
        <f t="shared" si="33"/>
        <v>0</v>
      </c>
      <c r="U219" s="8">
        <f t="shared" si="34"/>
        <v>0</v>
      </c>
      <c r="W219" s="48">
        <f t="shared" si="37"/>
        <v>0</v>
      </c>
      <c r="X219" s="8">
        <f t="shared" si="35"/>
        <v>0</v>
      </c>
    </row>
    <row r="220" spans="11:24" ht="13.2" hidden="1" x14ac:dyDescent="0.25">
      <c r="K220" s="3" t="str">
        <f t="shared" si="38"/>
        <v/>
      </c>
      <c r="L220" s="39">
        <v>188</v>
      </c>
      <c r="M220" s="3">
        <f t="shared" si="36"/>
        <v>15</v>
      </c>
      <c r="N220" s="44">
        <f t="shared" si="29"/>
        <v>0</v>
      </c>
      <c r="O220" s="8">
        <f t="shared" si="30"/>
        <v>0</v>
      </c>
      <c r="Q220" s="48">
        <f t="shared" si="31"/>
        <v>0</v>
      </c>
      <c r="R220" s="8">
        <f t="shared" si="32"/>
        <v>0</v>
      </c>
      <c r="T220" s="48">
        <f t="shared" si="33"/>
        <v>0</v>
      </c>
      <c r="U220" s="8">
        <f t="shared" si="34"/>
        <v>0</v>
      </c>
      <c r="W220" s="48">
        <f t="shared" si="37"/>
        <v>0</v>
      </c>
      <c r="X220" s="8">
        <f t="shared" si="35"/>
        <v>0</v>
      </c>
    </row>
    <row r="221" spans="11:24" ht="13.2" hidden="1" x14ac:dyDescent="0.25">
      <c r="K221" s="3" t="str">
        <f t="shared" si="38"/>
        <v/>
      </c>
      <c r="L221" s="39">
        <v>189</v>
      </c>
      <c r="M221" s="3">
        <f t="shared" si="36"/>
        <v>15</v>
      </c>
      <c r="N221" s="44">
        <f t="shared" si="29"/>
        <v>0</v>
      </c>
      <c r="O221" s="8">
        <f t="shared" si="30"/>
        <v>0</v>
      </c>
      <c r="Q221" s="48">
        <f t="shared" si="31"/>
        <v>0</v>
      </c>
      <c r="R221" s="8">
        <f t="shared" si="32"/>
        <v>0</v>
      </c>
      <c r="T221" s="48">
        <f t="shared" si="33"/>
        <v>0</v>
      </c>
      <c r="U221" s="8">
        <f t="shared" si="34"/>
        <v>0</v>
      </c>
      <c r="W221" s="48">
        <f t="shared" si="37"/>
        <v>0</v>
      </c>
      <c r="X221" s="8">
        <f t="shared" si="35"/>
        <v>0</v>
      </c>
    </row>
    <row r="222" spans="11:24" ht="13.2" hidden="1" x14ac:dyDescent="0.25">
      <c r="K222" s="3" t="str">
        <f t="shared" si="38"/>
        <v/>
      </c>
      <c r="L222" s="39">
        <v>190</v>
      </c>
      <c r="M222" s="3">
        <f t="shared" si="36"/>
        <v>15</v>
      </c>
      <c r="N222" s="44">
        <f t="shared" si="29"/>
        <v>0</v>
      </c>
      <c r="O222" s="8">
        <f t="shared" si="30"/>
        <v>0</v>
      </c>
      <c r="Q222" s="48">
        <f t="shared" si="31"/>
        <v>0</v>
      </c>
      <c r="R222" s="8">
        <f t="shared" si="32"/>
        <v>0</v>
      </c>
      <c r="T222" s="48">
        <f t="shared" si="33"/>
        <v>0</v>
      </c>
      <c r="U222" s="8">
        <f t="shared" si="34"/>
        <v>0</v>
      </c>
      <c r="W222" s="48">
        <f t="shared" si="37"/>
        <v>0</v>
      </c>
      <c r="X222" s="8">
        <f t="shared" si="35"/>
        <v>0</v>
      </c>
    </row>
    <row r="223" spans="11:24" ht="13.2" hidden="1" x14ac:dyDescent="0.25">
      <c r="K223" s="3" t="str">
        <f t="shared" si="38"/>
        <v/>
      </c>
      <c r="L223" s="39">
        <v>191</v>
      </c>
      <c r="M223" s="3">
        <f t="shared" si="36"/>
        <v>15</v>
      </c>
      <c r="N223" s="44">
        <f t="shared" si="29"/>
        <v>0</v>
      </c>
      <c r="O223" s="8">
        <f t="shared" si="30"/>
        <v>0</v>
      </c>
      <c r="Q223" s="48">
        <f t="shared" si="31"/>
        <v>0</v>
      </c>
      <c r="R223" s="8">
        <f t="shared" si="32"/>
        <v>0</v>
      </c>
      <c r="T223" s="48">
        <f t="shared" si="33"/>
        <v>0</v>
      </c>
      <c r="U223" s="8">
        <f t="shared" si="34"/>
        <v>0</v>
      </c>
      <c r="W223" s="48">
        <f t="shared" si="37"/>
        <v>0</v>
      </c>
      <c r="X223" s="8">
        <f t="shared" si="35"/>
        <v>0</v>
      </c>
    </row>
    <row r="224" spans="11:24" ht="13.2" hidden="1" x14ac:dyDescent="0.25">
      <c r="K224" s="3">
        <f t="shared" si="38"/>
        <v>16</v>
      </c>
      <c r="L224" s="39">
        <v>192</v>
      </c>
      <c r="M224" s="3">
        <f t="shared" si="36"/>
        <v>15</v>
      </c>
      <c r="N224" s="44">
        <f t="shared" si="29"/>
        <v>0</v>
      </c>
      <c r="O224" s="8">
        <f t="shared" si="30"/>
        <v>0</v>
      </c>
      <c r="Q224" s="48">
        <f t="shared" si="31"/>
        <v>0</v>
      </c>
      <c r="R224" s="8">
        <f t="shared" si="32"/>
        <v>0</v>
      </c>
      <c r="T224" s="48">
        <f t="shared" si="33"/>
        <v>0</v>
      </c>
      <c r="U224" s="8">
        <f t="shared" si="34"/>
        <v>0</v>
      </c>
      <c r="W224" s="48">
        <f t="shared" si="37"/>
        <v>0</v>
      </c>
      <c r="X224" s="8">
        <f t="shared" si="35"/>
        <v>0</v>
      </c>
    </row>
    <row r="225" spans="11:24" ht="13.2" hidden="1" x14ac:dyDescent="0.25">
      <c r="K225" s="3" t="str">
        <f t="shared" si="38"/>
        <v/>
      </c>
      <c r="L225" s="39">
        <v>193</v>
      </c>
      <c r="M225" s="3">
        <f t="shared" si="36"/>
        <v>16</v>
      </c>
      <c r="N225" s="44">
        <f t="shared" ref="N225:N288" si="39">IF(L225&lt;=InvMonths,SU_Amt*(1+$C$19)^M225,0)</f>
        <v>0</v>
      </c>
      <c r="O225" s="8">
        <f t="shared" ref="O225:O288" si="40">FV($S$1,(InvMonths-L225+1),0,-N225,1)</f>
        <v>0</v>
      </c>
      <c r="Q225" s="48">
        <f t="shared" ref="Q225:Q288" si="41">IF(L225&lt;=InvMonths,$R$27*(1+$C$19)^M225,0)</f>
        <v>0</v>
      </c>
      <c r="R225" s="8">
        <f t="shared" ref="R225:R288" si="42">FV($S$1,(InvMonths-L225+1),0,-Q225,1)</f>
        <v>0</v>
      </c>
      <c r="T225" s="48">
        <f t="shared" ref="T225:T288" si="43">IF(L225&lt;=InvMonths,$U$27,0)</f>
        <v>0</v>
      </c>
      <c r="U225" s="8">
        <f t="shared" ref="U225:U288" si="44">FV($S$1,(InvMonths-L225+1),0,-T225,1)</f>
        <v>0</v>
      </c>
      <c r="W225" s="48">
        <f t="shared" si="37"/>
        <v>0</v>
      </c>
      <c r="X225" s="8">
        <f t="shared" ref="X225:X288" si="45">FV($S$1,($X$26-L225+1),0,-W225,1)</f>
        <v>0</v>
      </c>
    </row>
    <row r="226" spans="11:24" ht="13.2" hidden="1" x14ac:dyDescent="0.25">
      <c r="K226" s="3" t="str">
        <f t="shared" si="38"/>
        <v/>
      </c>
      <c r="L226" s="39">
        <v>194</v>
      </c>
      <c r="M226" s="3">
        <f t="shared" ref="M226:M289" si="46">IF(MOD(L226,12)=0,(L226/12)-1,QUOTIENT(L226,12))</f>
        <v>16</v>
      </c>
      <c r="N226" s="44">
        <f t="shared" si="39"/>
        <v>0</v>
      </c>
      <c r="O226" s="8">
        <f t="shared" si="40"/>
        <v>0</v>
      </c>
      <c r="Q226" s="48">
        <f t="shared" si="41"/>
        <v>0</v>
      </c>
      <c r="R226" s="8">
        <f t="shared" si="42"/>
        <v>0</v>
      </c>
      <c r="T226" s="48">
        <f t="shared" si="43"/>
        <v>0</v>
      </c>
      <c r="U226" s="8">
        <f t="shared" si="44"/>
        <v>0</v>
      </c>
      <c r="W226" s="48">
        <f t="shared" ref="W226:W289" si="47">IF(L226&lt;=$X$26,$X$27,0)</f>
        <v>0</v>
      </c>
      <c r="X226" s="8">
        <f t="shared" si="45"/>
        <v>0</v>
      </c>
    </row>
    <row r="227" spans="11:24" ht="13.2" hidden="1" x14ac:dyDescent="0.25">
      <c r="K227" s="3" t="str">
        <f t="shared" si="38"/>
        <v/>
      </c>
      <c r="L227" s="39">
        <v>195</v>
      </c>
      <c r="M227" s="3">
        <f t="shared" si="46"/>
        <v>16</v>
      </c>
      <c r="N227" s="44">
        <f t="shared" si="39"/>
        <v>0</v>
      </c>
      <c r="O227" s="8">
        <f t="shared" si="40"/>
        <v>0</v>
      </c>
      <c r="Q227" s="48">
        <f t="shared" si="41"/>
        <v>0</v>
      </c>
      <c r="R227" s="8">
        <f t="shared" si="42"/>
        <v>0</v>
      </c>
      <c r="T227" s="48">
        <f t="shared" si="43"/>
        <v>0</v>
      </c>
      <c r="U227" s="8">
        <f t="shared" si="44"/>
        <v>0</v>
      </c>
      <c r="W227" s="48">
        <f t="shared" si="47"/>
        <v>0</v>
      </c>
      <c r="X227" s="8">
        <f t="shared" si="45"/>
        <v>0</v>
      </c>
    </row>
    <row r="228" spans="11:24" ht="13.2" hidden="1" x14ac:dyDescent="0.25">
      <c r="K228" s="3" t="str">
        <f t="shared" si="38"/>
        <v/>
      </c>
      <c r="L228" s="39">
        <v>196</v>
      </c>
      <c r="M228" s="3">
        <f t="shared" si="46"/>
        <v>16</v>
      </c>
      <c r="N228" s="44">
        <f t="shared" si="39"/>
        <v>0</v>
      </c>
      <c r="O228" s="8">
        <f t="shared" si="40"/>
        <v>0</v>
      </c>
      <c r="Q228" s="48">
        <f t="shared" si="41"/>
        <v>0</v>
      </c>
      <c r="R228" s="8">
        <f t="shared" si="42"/>
        <v>0</v>
      </c>
      <c r="T228" s="48">
        <f t="shared" si="43"/>
        <v>0</v>
      </c>
      <c r="U228" s="8">
        <f t="shared" si="44"/>
        <v>0</v>
      </c>
      <c r="W228" s="48">
        <f t="shared" si="47"/>
        <v>0</v>
      </c>
      <c r="X228" s="8">
        <f t="shared" si="45"/>
        <v>0</v>
      </c>
    </row>
    <row r="229" spans="11:24" ht="13.2" hidden="1" x14ac:dyDescent="0.25">
      <c r="K229" s="3" t="str">
        <f t="shared" si="38"/>
        <v/>
      </c>
      <c r="L229" s="39">
        <v>197</v>
      </c>
      <c r="M229" s="3">
        <f t="shared" si="46"/>
        <v>16</v>
      </c>
      <c r="N229" s="44">
        <f t="shared" si="39"/>
        <v>0</v>
      </c>
      <c r="O229" s="8">
        <f t="shared" si="40"/>
        <v>0</v>
      </c>
      <c r="Q229" s="48">
        <f t="shared" si="41"/>
        <v>0</v>
      </c>
      <c r="R229" s="8">
        <f t="shared" si="42"/>
        <v>0</v>
      </c>
      <c r="T229" s="48">
        <f t="shared" si="43"/>
        <v>0</v>
      </c>
      <c r="U229" s="8">
        <f t="shared" si="44"/>
        <v>0</v>
      </c>
      <c r="W229" s="48">
        <f t="shared" si="47"/>
        <v>0</v>
      </c>
      <c r="X229" s="8">
        <f t="shared" si="45"/>
        <v>0</v>
      </c>
    </row>
    <row r="230" spans="11:24" ht="13.2" hidden="1" x14ac:dyDescent="0.25">
      <c r="K230" s="3" t="str">
        <f t="shared" si="38"/>
        <v/>
      </c>
      <c r="L230" s="39">
        <v>198</v>
      </c>
      <c r="M230" s="3">
        <f t="shared" si="46"/>
        <v>16</v>
      </c>
      <c r="N230" s="44">
        <f t="shared" si="39"/>
        <v>0</v>
      </c>
      <c r="O230" s="8">
        <f t="shared" si="40"/>
        <v>0</v>
      </c>
      <c r="Q230" s="48">
        <f t="shared" si="41"/>
        <v>0</v>
      </c>
      <c r="R230" s="8">
        <f t="shared" si="42"/>
        <v>0</v>
      </c>
      <c r="T230" s="48">
        <f t="shared" si="43"/>
        <v>0</v>
      </c>
      <c r="U230" s="8">
        <f t="shared" si="44"/>
        <v>0</v>
      </c>
      <c r="W230" s="48">
        <f t="shared" si="47"/>
        <v>0</v>
      </c>
      <c r="X230" s="8">
        <f t="shared" si="45"/>
        <v>0</v>
      </c>
    </row>
    <row r="231" spans="11:24" ht="13.2" hidden="1" x14ac:dyDescent="0.25">
      <c r="K231" s="3" t="str">
        <f t="shared" si="38"/>
        <v/>
      </c>
      <c r="L231" s="39">
        <v>199</v>
      </c>
      <c r="M231" s="3">
        <f t="shared" si="46"/>
        <v>16</v>
      </c>
      <c r="N231" s="44">
        <f t="shared" si="39"/>
        <v>0</v>
      </c>
      <c r="O231" s="8">
        <f t="shared" si="40"/>
        <v>0</v>
      </c>
      <c r="Q231" s="48">
        <f t="shared" si="41"/>
        <v>0</v>
      </c>
      <c r="R231" s="8">
        <f t="shared" si="42"/>
        <v>0</v>
      </c>
      <c r="T231" s="48">
        <f t="shared" si="43"/>
        <v>0</v>
      </c>
      <c r="U231" s="8">
        <f t="shared" si="44"/>
        <v>0</v>
      </c>
      <c r="W231" s="48">
        <f t="shared" si="47"/>
        <v>0</v>
      </c>
      <c r="X231" s="8">
        <f t="shared" si="45"/>
        <v>0</v>
      </c>
    </row>
    <row r="232" spans="11:24" ht="13.2" hidden="1" x14ac:dyDescent="0.25">
      <c r="K232" s="3" t="str">
        <f t="shared" si="38"/>
        <v/>
      </c>
      <c r="L232" s="39">
        <v>200</v>
      </c>
      <c r="M232" s="3">
        <f t="shared" si="46"/>
        <v>16</v>
      </c>
      <c r="N232" s="44">
        <f t="shared" si="39"/>
        <v>0</v>
      </c>
      <c r="O232" s="8">
        <f t="shared" si="40"/>
        <v>0</v>
      </c>
      <c r="Q232" s="48">
        <f t="shared" si="41"/>
        <v>0</v>
      </c>
      <c r="R232" s="8">
        <f t="shared" si="42"/>
        <v>0</v>
      </c>
      <c r="T232" s="48">
        <f t="shared" si="43"/>
        <v>0</v>
      </c>
      <c r="U232" s="8">
        <f t="shared" si="44"/>
        <v>0</v>
      </c>
      <c r="W232" s="48">
        <f t="shared" si="47"/>
        <v>0</v>
      </c>
      <c r="X232" s="8">
        <f t="shared" si="45"/>
        <v>0</v>
      </c>
    </row>
    <row r="233" spans="11:24" ht="13.2" hidden="1" x14ac:dyDescent="0.25">
      <c r="K233" s="3" t="str">
        <f t="shared" si="38"/>
        <v/>
      </c>
      <c r="L233" s="39">
        <v>201</v>
      </c>
      <c r="M233" s="3">
        <f t="shared" si="46"/>
        <v>16</v>
      </c>
      <c r="N233" s="44">
        <f t="shared" si="39"/>
        <v>0</v>
      </c>
      <c r="O233" s="8">
        <f t="shared" si="40"/>
        <v>0</v>
      </c>
      <c r="Q233" s="48">
        <f t="shared" si="41"/>
        <v>0</v>
      </c>
      <c r="R233" s="8">
        <f t="shared" si="42"/>
        <v>0</v>
      </c>
      <c r="T233" s="48">
        <f t="shared" si="43"/>
        <v>0</v>
      </c>
      <c r="U233" s="8">
        <f t="shared" si="44"/>
        <v>0</v>
      </c>
      <c r="W233" s="48">
        <f t="shared" si="47"/>
        <v>0</v>
      </c>
      <c r="X233" s="8">
        <f t="shared" si="45"/>
        <v>0</v>
      </c>
    </row>
    <row r="234" spans="11:24" ht="13.2" hidden="1" x14ac:dyDescent="0.25">
      <c r="K234" s="3" t="str">
        <f t="shared" ref="K234:K297" si="48">IF(MOD(L234,12)=0,L234/12,"")</f>
        <v/>
      </c>
      <c r="L234" s="39">
        <v>202</v>
      </c>
      <c r="M234" s="3">
        <f t="shared" si="46"/>
        <v>16</v>
      </c>
      <c r="N234" s="44">
        <f t="shared" si="39"/>
        <v>0</v>
      </c>
      <c r="O234" s="8">
        <f t="shared" si="40"/>
        <v>0</v>
      </c>
      <c r="Q234" s="48">
        <f t="shared" si="41"/>
        <v>0</v>
      </c>
      <c r="R234" s="8">
        <f t="shared" si="42"/>
        <v>0</v>
      </c>
      <c r="T234" s="48">
        <f t="shared" si="43"/>
        <v>0</v>
      </c>
      <c r="U234" s="8">
        <f t="shared" si="44"/>
        <v>0</v>
      </c>
      <c r="W234" s="48">
        <f t="shared" si="47"/>
        <v>0</v>
      </c>
      <c r="X234" s="8">
        <f t="shared" si="45"/>
        <v>0</v>
      </c>
    </row>
    <row r="235" spans="11:24" ht="13.2" hidden="1" x14ac:dyDescent="0.25">
      <c r="K235" s="3" t="str">
        <f t="shared" si="48"/>
        <v/>
      </c>
      <c r="L235" s="39">
        <v>203</v>
      </c>
      <c r="M235" s="3">
        <f t="shared" si="46"/>
        <v>16</v>
      </c>
      <c r="N235" s="44">
        <f t="shared" si="39"/>
        <v>0</v>
      </c>
      <c r="O235" s="8">
        <f t="shared" si="40"/>
        <v>0</v>
      </c>
      <c r="Q235" s="48">
        <f t="shared" si="41"/>
        <v>0</v>
      </c>
      <c r="R235" s="8">
        <f t="shared" si="42"/>
        <v>0</v>
      </c>
      <c r="T235" s="48">
        <f t="shared" si="43"/>
        <v>0</v>
      </c>
      <c r="U235" s="8">
        <f t="shared" si="44"/>
        <v>0</v>
      </c>
      <c r="W235" s="48">
        <f t="shared" si="47"/>
        <v>0</v>
      </c>
      <c r="X235" s="8">
        <f t="shared" si="45"/>
        <v>0</v>
      </c>
    </row>
    <row r="236" spans="11:24" ht="13.2" hidden="1" x14ac:dyDescent="0.25">
      <c r="K236" s="3">
        <f t="shared" si="48"/>
        <v>17</v>
      </c>
      <c r="L236" s="39">
        <v>204</v>
      </c>
      <c r="M236" s="3">
        <f t="shared" si="46"/>
        <v>16</v>
      </c>
      <c r="N236" s="44">
        <f t="shared" si="39"/>
        <v>0</v>
      </c>
      <c r="O236" s="8">
        <f t="shared" si="40"/>
        <v>0</v>
      </c>
      <c r="Q236" s="48">
        <f t="shared" si="41"/>
        <v>0</v>
      </c>
      <c r="R236" s="8">
        <f t="shared" si="42"/>
        <v>0</v>
      </c>
      <c r="T236" s="48">
        <f t="shared" si="43"/>
        <v>0</v>
      </c>
      <c r="U236" s="8">
        <f t="shared" si="44"/>
        <v>0</v>
      </c>
      <c r="W236" s="48">
        <f t="shared" si="47"/>
        <v>0</v>
      </c>
      <c r="X236" s="8">
        <f t="shared" si="45"/>
        <v>0</v>
      </c>
    </row>
    <row r="237" spans="11:24" ht="13.2" hidden="1" x14ac:dyDescent="0.25">
      <c r="K237" s="3" t="str">
        <f t="shared" si="48"/>
        <v/>
      </c>
      <c r="L237" s="39">
        <v>205</v>
      </c>
      <c r="M237" s="3">
        <f t="shared" si="46"/>
        <v>17</v>
      </c>
      <c r="N237" s="44">
        <f t="shared" si="39"/>
        <v>0</v>
      </c>
      <c r="O237" s="8">
        <f t="shared" si="40"/>
        <v>0</v>
      </c>
      <c r="Q237" s="48">
        <f t="shared" si="41"/>
        <v>0</v>
      </c>
      <c r="R237" s="8">
        <f t="shared" si="42"/>
        <v>0</v>
      </c>
      <c r="T237" s="48">
        <f t="shared" si="43"/>
        <v>0</v>
      </c>
      <c r="U237" s="8">
        <f t="shared" si="44"/>
        <v>0</v>
      </c>
      <c r="W237" s="48">
        <f t="shared" si="47"/>
        <v>0</v>
      </c>
      <c r="X237" s="8">
        <f t="shared" si="45"/>
        <v>0</v>
      </c>
    </row>
    <row r="238" spans="11:24" ht="13.2" hidden="1" x14ac:dyDescent="0.25">
      <c r="K238" s="3" t="str">
        <f t="shared" si="48"/>
        <v/>
      </c>
      <c r="L238" s="39">
        <v>206</v>
      </c>
      <c r="M238" s="3">
        <f t="shared" si="46"/>
        <v>17</v>
      </c>
      <c r="N238" s="44">
        <f t="shared" si="39"/>
        <v>0</v>
      </c>
      <c r="O238" s="8">
        <f t="shared" si="40"/>
        <v>0</v>
      </c>
      <c r="Q238" s="48">
        <f t="shared" si="41"/>
        <v>0</v>
      </c>
      <c r="R238" s="8">
        <f t="shared" si="42"/>
        <v>0</v>
      </c>
      <c r="T238" s="48">
        <f t="shared" si="43"/>
        <v>0</v>
      </c>
      <c r="U238" s="8">
        <f t="shared" si="44"/>
        <v>0</v>
      </c>
      <c r="W238" s="48">
        <f t="shared" si="47"/>
        <v>0</v>
      </c>
      <c r="X238" s="8">
        <f t="shared" si="45"/>
        <v>0</v>
      </c>
    </row>
    <row r="239" spans="11:24" ht="13.2" hidden="1" x14ac:dyDescent="0.25">
      <c r="K239" s="3" t="str">
        <f t="shared" si="48"/>
        <v/>
      </c>
      <c r="L239" s="39">
        <v>207</v>
      </c>
      <c r="M239" s="3">
        <f t="shared" si="46"/>
        <v>17</v>
      </c>
      <c r="N239" s="44">
        <f t="shared" si="39"/>
        <v>0</v>
      </c>
      <c r="O239" s="8">
        <f t="shared" si="40"/>
        <v>0</v>
      </c>
      <c r="Q239" s="48">
        <f t="shared" si="41"/>
        <v>0</v>
      </c>
      <c r="R239" s="8">
        <f t="shared" si="42"/>
        <v>0</v>
      </c>
      <c r="T239" s="48">
        <f t="shared" si="43"/>
        <v>0</v>
      </c>
      <c r="U239" s="8">
        <f t="shared" si="44"/>
        <v>0</v>
      </c>
      <c r="W239" s="48">
        <f t="shared" si="47"/>
        <v>0</v>
      </c>
      <c r="X239" s="8">
        <f t="shared" si="45"/>
        <v>0</v>
      </c>
    </row>
    <row r="240" spans="11:24" ht="13.2" hidden="1" x14ac:dyDescent="0.25">
      <c r="K240" s="3" t="str">
        <f t="shared" si="48"/>
        <v/>
      </c>
      <c r="L240" s="39">
        <v>208</v>
      </c>
      <c r="M240" s="3">
        <f t="shared" si="46"/>
        <v>17</v>
      </c>
      <c r="N240" s="44">
        <f t="shared" si="39"/>
        <v>0</v>
      </c>
      <c r="O240" s="8">
        <f t="shared" si="40"/>
        <v>0</v>
      </c>
      <c r="Q240" s="48">
        <f t="shared" si="41"/>
        <v>0</v>
      </c>
      <c r="R240" s="8">
        <f t="shared" si="42"/>
        <v>0</v>
      </c>
      <c r="T240" s="48">
        <f t="shared" si="43"/>
        <v>0</v>
      </c>
      <c r="U240" s="8">
        <f t="shared" si="44"/>
        <v>0</v>
      </c>
      <c r="W240" s="48">
        <f t="shared" si="47"/>
        <v>0</v>
      </c>
      <c r="X240" s="8">
        <f t="shared" si="45"/>
        <v>0</v>
      </c>
    </row>
    <row r="241" spans="11:24" ht="13.2" hidden="1" x14ac:dyDescent="0.25">
      <c r="K241" s="3" t="str">
        <f t="shared" si="48"/>
        <v/>
      </c>
      <c r="L241" s="39">
        <v>209</v>
      </c>
      <c r="M241" s="3">
        <f t="shared" si="46"/>
        <v>17</v>
      </c>
      <c r="N241" s="44">
        <f t="shared" si="39"/>
        <v>0</v>
      </c>
      <c r="O241" s="8">
        <f t="shared" si="40"/>
        <v>0</v>
      </c>
      <c r="Q241" s="48">
        <f t="shared" si="41"/>
        <v>0</v>
      </c>
      <c r="R241" s="8">
        <f t="shared" si="42"/>
        <v>0</v>
      </c>
      <c r="T241" s="48">
        <f t="shared" si="43"/>
        <v>0</v>
      </c>
      <c r="U241" s="8">
        <f t="shared" si="44"/>
        <v>0</v>
      </c>
      <c r="W241" s="48">
        <f t="shared" si="47"/>
        <v>0</v>
      </c>
      <c r="X241" s="8">
        <f t="shared" si="45"/>
        <v>0</v>
      </c>
    </row>
    <row r="242" spans="11:24" ht="13.2" hidden="1" x14ac:dyDescent="0.25">
      <c r="K242" s="3" t="str">
        <f t="shared" si="48"/>
        <v/>
      </c>
      <c r="L242" s="39">
        <v>210</v>
      </c>
      <c r="M242" s="3">
        <f t="shared" si="46"/>
        <v>17</v>
      </c>
      <c r="N242" s="44">
        <f t="shared" si="39"/>
        <v>0</v>
      </c>
      <c r="O242" s="8">
        <f t="shared" si="40"/>
        <v>0</v>
      </c>
      <c r="Q242" s="48">
        <f t="shared" si="41"/>
        <v>0</v>
      </c>
      <c r="R242" s="8">
        <f t="shared" si="42"/>
        <v>0</v>
      </c>
      <c r="T242" s="48">
        <f t="shared" si="43"/>
        <v>0</v>
      </c>
      <c r="U242" s="8">
        <f t="shared" si="44"/>
        <v>0</v>
      </c>
      <c r="W242" s="48">
        <f t="shared" si="47"/>
        <v>0</v>
      </c>
      <c r="X242" s="8">
        <f t="shared" si="45"/>
        <v>0</v>
      </c>
    </row>
    <row r="243" spans="11:24" ht="13.2" hidden="1" x14ac:dyDescent="0.25">
      <c r="K243" s="3" t="str">
        <f t="shared" si="48"/>
        <v/>
      </c>
      <c r="L243" s="39">
        <v>211</v>
      </c>
      <c r="M243" s="3">
        <f t="shared" si="46"/>
        <v>17</v>
      </c>
      <c r="N243" s="44">
        <f t="shared" si="39"/>
        <v>0</v>
      </c>
      <c r="O243" s="8">
        <f t="shared" si="40"/>
        <v>0</v>
      </c>
      <c r="Q243" s="48">
        <f t="shared" si="41"/>
        <v>0</v>
      </c>
      <c r="R243" s="8">
        <f t="shared" si="42"/>
        <v>0</v>
      </c>
      <c r="T243" s="48">
        <f t="shared" si="43"/>
        <v>0</v>
      </c>
      <c r="U243" s="8">
        <f t="shared" si="44"/>
        <v>0</v>
      </c>
      <c r="W243" s="48">
        <f t="shared" si="47"/>
        <v>0</v>
      </c>
      <c r="X243" s="8">
        <f t="shared" si="45"/>
        <v>0</v>
      </c>
    </row>
    <row r="244" spans="11:24" ht="13.2" hidden="1" x14ac:dyDescent="0.25">
      <c r="K244" s="3" t="str">
        <f t="shared" si="48"/>
        <v/>
      </c>
      <c r="L244" s="39">
        <v>212</v>
      </c>
      <c r="M244" s="3">
        <f t="shared" si="46"/>
        <v>17</v>
      </c>
      <c r="N244" s="44">
        <f t="shared" si="39"/>
        <v>0</v>
      </c>
      <c r="O244" s="8">
        <f t="shared" si="40"/>
        <v>0</v>
      </c>
      <c r="Q244" s="48">
        <f t="shared" si="41"/>
        <v>0</v>
      </c>
      <c r="R244" s="8">
        <f t="shared" si="42"/>
        <v>0</v>
      </c>
      <c r="T244" s="48">
        <f t="shared" si="43"/>
        <v>0</v>
      </c>
      <c r="U244" s="8">
        <f t="shared" si="44"/>
        <v>0</v>
      </c>
      <c r="W244" s="48">
        <f t="shared" si="47"/>
        <v>0</v>
      </c>
      <c r="X244" s="8">
        <f t="shared" si="45"/>
        <v>0</v>
      </c>
    </row>
    <row r="245" spans="11:24" ht="13.2" hidden="1" x14ac:dyDescent="0.25">
      <c r="K245" s="3" t="str">
        <f t="shared" si="48"/>
        <v/>
      </c>
      <c r="L245" s="39">
        <v>213</v>
      </c>
      <c r="M245" s="3">
        <f t="shared" si="46"/>
        <v>17</v>
      </c>
      <c r="N245" s="44">
        <f t="shared" si="39"/>
        <v>0</v>
      </c>
      <c r="O245" s="8">
        <f t="shared" si="40"/>
        <v>0</v>
      </c>
      <c r="Q245" s="48">
        <f t="shared" si="41"/>
        <v>0</v>
      </c>
      <c r="R245" s="8">
        <f t="shared" si="42"/>
        <v>0</v>
      </c>
      <c r="T245" s="48">
        <f t="shared" si="43"/>
        <v>0</v>
      </c>
      <c r="U245" s="8">
        <f t="shared" si="44"/>
        <v>0</v>
      </c>
      <c r="W245" s="48">
        <f t="shared" si="47"/>
        <v>0</v>
      </c>
      <c r="X245" s="8">
        <f t="shared" si="45"/>
        <v>0</v>
      </c>
    </row>
    <row r="246" spans="11:24" ht="13.2" hidden="1" x14ac:dyDescent="0.25">
      <c r="K246" s="3" t="str">
        <f t="shared" si="48"/>
        <v/>
      </c>
      <c r="L246" s="39">
        <v>214</v>
      </c>
      <c r="M246" s="3">
        <f t="shared" si="46"/>
        <v>17</v>
      </c>
      <c r="N246" s="44">
        <f t="shared" si="39"/>
        <v>0</v>
      </c>
      <c r="O246" s="8">
        <f t="shared" si="40"/>
        <v>0</v>
      </c>
      <c r="Q246" s="48">
        <f t="shared" si="41"/>
        <v>0</v>
      </c>
      <c r="R246" s="8">
        <f t="shared" si="42"/>
        <v>0</v>
      </c>
      <c r="T246" s="48">
        <f t="shared" si="43"/>
        <v>0</v>
      </c>
      <c r="U246" s="8">
        <f t="shared" si="44"/>
        <v>0</v>
      </c>
      <c r="W246" s="48">
        <f t="shared" si="47"/>
        <v>0</v>
      </c>
      <c r="X246" s="8">
        <f t="shared" si="45"/>
        <v>0</v>
      </c>
    </row>
    <row r="247" spans="11:24" ht="13.2" hidden="1" x14ac:dyDescent="0.25">
      <c r="K247" s="3" t="str">
        <f t="shared" si="48"/>
        <v/>
      </c>
      <c r="L247" s="39">
        <v>215</v>
      </c>
      <c r="M247" s="3">
        <f t="shared" si="46"/>
        <v>17</v>
      </c>
      <c r="N247" s="44">
        <f t="shared" si="39"/>
        <v>0</v>
      </c>
      <c r="O247" s="8">
        <f t="shared" si="40"/>
        <v>0</v>
      </c>
      <c r="Q247" s="48">
        <f t="shared" si="41"/>
        <v>0</v>
      </c>
      <c r="R247" s="8">
        <f t="shared" si="42"/>
        <v>0</v>
      </c>
      <c r="T247" s="48">
        <f t="shared" si="43"/>
        <v>0</v>
      </c>
      <c r="U247" s="8">
        <f t="shared" si="44"/>
        <v>0</v>
      </c>
      <c r="W247" s="48">
        <f t="shared" si="47"/>
        <v>0</v>
      </c>
      <c r="X247" s="8">
        <f t="shared" si="45"/>
        <v>0</v>
      </c>
    </row>
    <row r="248" spans="11:24" ht="13.2" hidden="1" x14ac:dyDescent="0.25">
      <c r="K248" s="3">
        <f t="shared" si="48"/>
        <v>18</v>
      </c>
      <c r="L248" s="39">
        <v>216</v>
      </c>
      <c r="M248" s="3">
        <f t="shared" si="46"/>
        <v>17</v>
      </c>
      <c r="N248" s="44">
        <f t="shared" si="39"/>
        <v>0</v>
      </c>
      <c r="O248" s="8">
        <f t="shared" si="40"/>
        <v>0</v>
      </c>
      <c r="Q248" s="48">
        <f t="shared" si="41"/>
        <v>0</v>
      </c>
      <c r="R248" s="8">
        <f t="shared" si="42"/>
        <v>0</v>
      </c>
      <c r="T248" s="48">
        <f t="shared" si="43"/>
        <v>0</v>
      </c>
      <c r="U248" s="8">
        <f t="shared" si="44"/>
        <v>0</v>
      </c>
      <c r="W248" s="48">
        <f t="shared" si="47"/>
        <v>0</v>
      </c>
      <c r="X248" s="8">
        <f t="shared" si="45"/>
        <v>0</v>
      </c>
    </row>
    <row r="249" spans="11:24" ht="13.2" hidden="1" x14ac:dyDescent="0.25">
      <c r="K249" s="3" t="str">
        <f t="shared" si="48"/>
        <v/>
      </c>
      <c r="L249" s="39">
        <v>217</v>
      </c>
      <c r="M249" s="3">
        <f t="shared" si="46"/>
        <v>18</v>
      </c>
      <c r="N249" s="44">
        <f t="shared" si="39"/>
        <v>0</v>
      </c>
      <c r="O249" s="8">
        <f t="shared" si="40"/>
        <v>0</v>
      </c>
      <c r="Q249" s="48">
        <f t="shared" si="41"/>
        <v>0</v>
      </c>
      <c r="R249" s="8">
        <f t="shared" si="42"/>
        <v>0</v>
      </c>
      <c r="T249" s="48">
        <f t="shared" si="43"/>
        <v>0</v>
      </c>
      <c r="U249" s="8">
        <f t="shared" si="44"/>
        <v>0</v>
      </c>
      <c r="W249" s="48">
        <f t="shared" si="47"/>
        <v>0</v>
      </c>
      <c r="X249" s="8">
        <f t="shared" si="45"/>
        <v>0</v>
      </c>
    </row>
    <row r="250" spans="11:24" ht="13.2" hidden="1" x14ac:dyDescent="0.25">
      <c r="K250" s="3" t="str">
        <f t="shared" si="48"/>
        <v/>
      </c>
      <c r="L250" s="39">
        <v>218</v>
      </c>
      <c r="M250" s="3">
        <f t="shared" si="46"/>
        <v>18</v>
      </c>
      <c r="N250" s="44">
        <f t="shared" si="39"/>
        <v>0</v>
      </c>
      <c r="O250" s="8">
        <f t="shared" si="40"/>
        <v>0</v>
      </c>
      <c r="Q250" s="48">
        <f t="shared" si="41"/>
        <v>0</v>
      </c>
      <c r="R250" s="8">
        <f t="shared" si="42"/>
        <v>0</v>
      </c>
      <c r="T250" s="48">
        <f t="shared" si="43"/>
        <v>0</v>
      </c>
      <c r="U250" s="8">
        <f t="shared" si="44"/>
        <v>0</v>
      </c>
      <c r="W250" s="48">
        <f t="shared" si="47"/>
        <v>0</v>
      </c>
      <c r="X250" s="8">
        <f t="shared" si="45"/>
        <v>0</v>
      </c>
    </row>
    <row r="251" spans="11:24" ht="13.2" hidden="1" x14ac:dyDescent="0.25">
      <c r="K251" s="3" t="str">
        <f t="shared" si="48"/>
        <v/>
      </c>
      <c r="L251" s="39">
        <v>219</v>
      </c>
      <c r="M251" s="3">
        <f t="shared" si="46"/>
        <v>18</v>
      </c>
      <c r="N251" s="44">
        <f t="shared" si="39"/>
        <v>0</v>
      </c>
      <c r="O251" s="8">
        <f t="shared" si="40"/>
        <v>0</v>
      </c>
      <c r="Q251" s="48">
        <f t="shared" si="41"/>
        <v>0</v>
      </c>
      <c r="R251" s="8">
        <f t="shared" si="42"/>
        <v>0</v>
      </c>
      <c r="T251" s="48">
        <f t="shared" si="43"/>
        <v>0</v>
      </c>
      <c r="U251" s="8">
        <f t="shared" si="44"/>
        <v>0</v>
      </c>
      <c r="W251" s="48">
        <f t="shared" si="47"/>
        <v>0</v>
      </c>
      <c r="X251" s="8">
        <f t="shared" si="45"/>
        <v>0</v>
      </c>
    </row>
    <row r="252" spans="11:24" ht="13.2" hidden="1" x14ac:dyDescent="0.25">
      <c r="K252" s="3" t="str">
        <f t="shared" si="48"/>
        <v/>
      </c>
      <c r="L252" s="39">
        <v>220</v>
      </c>
      <c r="M252" s="3">
        <f t="shared" si="46"/>
        <v>18</v>
      </c>
      <c r="N252" s="44">
        <f t="shared" si="39"/>
        <v>0</v>
      </c>
      <c r="O252" s="8">
        <f t="shared" si="40"/>
        <v>0</v>
      </c>
      <c r="Q252" s="48">
        <f t="shared" si="41"/>
        <v>0</v>
      </c>
      <c r="R252" s="8">
        <f t="shared" si="42"/>
        <v>0</v>
      </c>
      <c r="T252" s="48">
        <f t="shared" si="43"/>
        <v>0</v>
      </c>
      <c r="U252" s="8">
        <f t="shared" si="44"/>
        <v>0</v>
      </c>
      <c r="W252" s="48">
        <f t="shared" si="47"/>
        <v>0</v>
      </c>
      <c r="X252" s="8">
        <f t="shared" si="45"/>
        <v>0</v>
      </c>
    </row>
    <row r="253" spans="11:24" ht="13.2" hidden="1" x14ac:dyDescent="0.25">
      <c r="K253" s="3" t="str">
        <f t="shared" si="48"/>
        <v/>
      </c>
      <c r="L253" s="39">
        <v>221</v>
      </c>
      <c r="M253" s="3">
        <f t="shared" si="46"/>
        <v>18</v>
      </c>
      <c r="N253" s="44">
        <f t="shared" si="39"/>
        <v>0</v>
      </c>
      <c r="O253" s="8">
        <f t="shared" si="40"/>
        <v>0</v>
      </c>
      <c r="Q253" s="48">
        <f t="shared" si="41"/>
        <v>0</v>
      </c>
      <c r="R253" s="8">
        <f t="shared" si="42"/>
        <v>0</v>
      </c>
      <c r="T253" s="48">
        <f t="shared" si="43"/>
        <v>0</v>
      </c>
      <c r="U253" s="8">
        <f t="shared" si="44"/>
        <v>0</v>
      </c>
      <c r="W253" s="48">
        <f t="shared" si="47"/>
        <v>0</v>
      </c>
      <c r="X253" s="8">
        <f t="shared" si="45"/>
        <v>0</v>
      </c>
    </row>
    <row r="254" spans="11:24" ht="13.2" hidden="1" x14ac:dyDescent="0.25">
      <c r="K254" s="3" t="str">
        <f t="shared" si="48"/>
        <v/>
      </c>
      <c r="L254" s="39">
        <v>222</v>
      </c>
      <c r="M254" s="3">
        <f t="shared" si="46"/>
        <v>18</v>
      </c>
      <c r="N254" s="44">
        <f t="shared" si="39"/>
        <v>0</v>
      </c>
      <c r="O254" s="8">
        <f t="shared" si="40"/>
        <v>0</v>
      </c>
      <c r="Q254" s="48">
        <f t="shared" si="41"/>
        <v>0</v>
      </c>
      <c r="R254" s="8">
        <f t="shared" si="42"/>
        <v>0</v>
      </c>
      <c r="T254" s="48">
        <f t="shared" si="43"/>
        <v>0</v>
      </c>
      <c r="U254" s="8">
        <f t="shared" si="44"/>
        <v>0</v>
      </c>
      <c r="W254" s="48">
        <f t="shared" si="47"/>
        <v>0</v>
      </c>
      <c r="X254" s="8">
        <f t="shared" si="45"/>
        <v>0</v>
      </c>
    </row>
    <row r="255" spans="11:24" ht="13.2" hidden="1" x14ac:dyDescent="0.25">
      <c r="K255" s="3" t="str">
        <f t="shared" si="48"/>
        <v/>
      </c>
      <c r="L255" s="39">
        <v>223</v>
      </c>
      <c r="M255" s="3">
        <f t="shared" si="46"/>
        <v>18</v>
      </c>
      <c r="N255" s="44">
        <f t="shared" si="39"/>
        <v>0</v>
      </c>
      <c r="O255" s="8">
        <f t="shared" si="40"/>
        <v>0</v>
      </c>
      <c r="Q255" s="48">
        <f t="shared" si="41"/>
        <v>0</v>
      </c>
      <c r="R255" s="8">
        <f t="shared" si="42"/>
        <v>0</v>
      </c>
      <c r="T255" s="48">
        <f t="shared" si="43"/>
        <v>0</v>
      </c>
      <c r="U255" s="8">
        <f t="shared" si="44"/>
        <v>0</v>
      </c>
      <c r="W255" s="48">
        <f t="shared" si="47"/>
        <v>0</v>
      </c>
      <c r="X255" s="8">
        <f t="shared" si="45"/>
        <v>0</v>
      </c>
    </row>
    <row r="256" spans="11:24" ht="13.2" hidden="1" x14ac:dyDescent="0.25">
      <c r="K256" s="3" t="str">
        <f t="shared" si="48"/>
        <v/>
      </c>
      <c r="L256" s="39">
        <v>224</v>
      </c>
      <c r="M256" s="3">
        <f t="shared" si="46"/>
        <v>18</v>
      </c>
      <c r="N256" s="44">
        <f t="shared" si="39"/>
        <v>0</v>
      </c>
      <c r="O256" s="8">
        <f t="shared" si="40"/>
        <v>0</v>
      </c>
      <c r="Q256" s="48">
        <f t="shared" si="41"/>
        <v>0</v>
      </c>
      <c r="R256" s="8">
        <f t="shared" si="42"/>
        <v>0</v>
      </c>
      <c r="T256" s="48">
        <f t="shared" si="43"/>
        <v>0</v>
      </c>
      <c r="U256" s="8">
        <f t="shared" si="44"/>
        <v>0</v>
      </c>
      <c r="W256" s="48">
        <f t="shared" si="47"/>
        <v>0</v>
      </c>
      <c r="X256" s="8">
        <f t="shared" si="45"/>
        <v>0</v>
      </c>
    </row>
    <row r="257" spans="11:24" ht="13.2" hidden="1" x14ac:dyDescent="0.25">
      <c r="K257" s="3" t="str">
        <f t="shared" si="48"/>
        <v/>
      </c>
      <c r="L257" s="39">
        <v>225</v>
      </c>
      <c r="M257" s="3">
        <f t="shared" si="46"/>
        <v>18</v>
      </c>
      <c r="N257" s="44">
        <f t="shared" si="39"/>
        <v>0</v>
      </c>
      <c r="O257" s="8">
        <f t="shared" si="40"/>
        <v>0</v>
      </c>
      <c r="Q257" s="48">
        <f t="shared" si="41"/>
        <v>0</v>
      </c>
      <c r="R257" s="8">
        <f t="shared" si="42"/>
        <v>0</v>
      </c>
      <c r="T257" s="48">
        <f t="shared" si="43"/>
        <v>0</v>
      </c>
      <c r="U257" s="8">
        <f t="shared" si="44"/>
        <v>0</v>
      </c>
      <c r="W257" s="48">
        <f t="shared" si="47"/>
        <v>0</v>
      </c>
      <c r="X257" s="8">
        <f t="shared" si="45"/>
        <v>0</v>
      </c>
    </row>
    <row r="258" spans="11:24" ht="13.2" hidden="1" x14ac:dyDescent="0.25">
      <c r="K258" s="3" t="str">
        <f t="shared" si="48"/>
        <v/>
      </c>
      <c r="L258" s="39">
        <v>226</v>
      </c>
      <c r="M258" s="3">
        <f t="shared" si="46"/>
        <v>18</v>
      </c>
      <c r="N258" s="44">
        <f t="shared" si="39"/>
        <v>0</v>
      </c>
      <c r="O258" s="8">
        <f t="shared" si="40"/>
        <v>0</v>
      </c>
      <c r="Q258" s="48">
        <f t="shared" si="41"/>
        <v>0</v>
      </c>
      <c r="R258" s="8">
        <f t="shared" si="42"/>
        <v>0</v>
      </c>
      <c r="T258" s="48">
        <f t="shared" si="43"/>
        <v>0</v>
      </c>
      <c r="U258" s="8">
        <f t="shared" si="44"/>
        <v>0</v>
      </c>
      <c r="W258" s="48">
        <f t="shared" si="47"/>
        <v>0</v>
      </c>
      <c r="X258" s="8">
        <f t="shared" si="45"/>
        <v>0</v>
      </c>
    </row>
    <row r="259" spans="11:24" ht="13.2" hidden="1" x14ac:dyDescent="0.25">
      <c r="K259" s="3" t="str">
        <f t="shared" si="48"/>
        <v/>
      </c>
      <c r="L259" s="39">
        <v>227</v>
      </c>
      <c r="M259" s="3">
        <f t="shared" si="46"/>
        <v>18</v>
      </c>
      <c r="N259" s="44">
        <f t="shared" si="39"/>
        <v>0</v>
      </c>
      <c r="O259" s="8">
        <f t="shared" si="40"/>
        <v>0</v>
      </c>
      <c r="Q259" s="48">
        <f t="shared" si="41"/>
        <v>0</v>
      </c>
      <c r="R259" s="8">
        <f t="shared" si="42"/>
        <v>0</v>
      </c>
      <c r="T259" s="48">
        <f t="shared" si="43"/>
        <v>0</v>
      </c>
      <c r="U259" s="8">
        <f t="shared" si="44"/>
        <v>0</v>
      </c>
      <c r="W259" s="48">
        <f t="shared" si="47"/>
        <v>0</v>
      </c>
      <c r="X259" s="8">
        <f t="shared" si="45"/>
        <v>0</v>
      </c>
    </row>
    <row r="260" spans="11:24" ht="13.2" hidden="1" x14ac:dyDescent="0.25">
      <c r="K260" s="3">
        <f t="shared" si="48"/>
        <v>19</v>
      </c>
      <c r="L260" s="39">
        <v>228</v>
      </c>
      <c r="M260" s="3">
        <f t="shared" si="46"/>
        <v>18</v>
      </c>
      <c r="N260" s="44">
        <f t="shared" si="39"/>
        <v>0</v>
      </c>
      <c r="O260" s="8">
        <f t="shared" si="40"/>
        <v>0</v>
      </c>
      <c r="Q260" s="48">
        <f t="shared" si="41"/>
        <v>0</v>
      </c>
      <c r="R260" s="8">
        <f t="shared" si="42"/>
        <v>0</v>
      </c>
      <c r="T260" s="48">
        <f t="shared" si="43"/>
        <v>0</v>
      </c>
      <c r="U260" s="8">
        <f t="shared" si="44"/>
        <v>0</v>
      </c>
      <c r="W260" s="48">
        <f t="shared" si="47"/>
        <v>0</v>
      </c>
      <c r="X260" s="8">
        <f t="shared" si="45"/>
        <v>0</v>
      </c>
    </row>
    <row r="261" spans="11:24" ht="13.2" hidden="1" x14ac:dyDescent="0.25">
      <c r="K261" s="3" t="str">
        <f t="shared" si="48"/>
        <v/>
      </c>
      <c r="L261" s="39">
        <v>229</v>
      </c>
      <c r="M261" s="3">
        <f t="shared" si="46"/>
        <v>19</v>
      </c>
      <c r="N261" s="44">
        <f t="shared" si="39"/>
        <v>0</v>
      </c>
      <c r="O261" s="8">
        <f t="shared" si="40"/>
        <v>0</v>
      </c>
      <c r="Q261" s="48">
        <f t="shared" si="41"/>
        <v>0</v>
      </c>
      <c r="R261" s="8">
        <f t="shared" si="42"/>
        <v>0</v>
      </c>
      <c r="T261" s="48">
        <f t="shared" si="43"/>
        <v>0</v>
      </c>
      <c r="U261" s="8">
        <f t="shared" si="44"/>
        <v>0</v>
      </c>
      <c r="W261" s="48">
        <f t="shared" si="47"/>
        <v>0</v>
      </c>
      <c r="X261" s="8">
        <f t="shared" si="45"/>
        <v>0</v>
      </c>
    </row>
    <row r="262" spans="11:24" ht="13.2" hidden="1" x14ac:dyDescent="0.25">
      <c r="K262" s="3" t="str">
        <f t="shared" si="48"/>
        <v/>
      </c>
      <c r="L262" s="39">
        <v>230</v>
      </c>
      <c r="M262" s="3">
        <f t="shared" si="46"/>
        <v>19</v>
      </c>
      <c r="N262" s="44">
        <f t="shared" si="39"/>
        <v>0</v>
      </c>
      <c r="O262" s="8">
        <f t="shared" si="40"/>
        <v>0</v>
      </c>
      <c r="Q262" s="48">
        <f t="shared" si="41"/>
        <v>0</v>
      </c>
      <c r="R262" s="8">
        <f t="shared" si="42"/>
        <v>0</v>
      </c>
      <c r="T262" s="48">
        <f t="shared" si="43"/>
        <v>0</v>
      </c>
      <c r="U262" s="8">
        <f t="shared" si="44"/>
        <v>0</v>
      </c>
      <c r="W262" s="48">
        <f t="shared" si="47"/>
        <v>0</v>
      </c>
      <c r="X262" s="8">
        <f t="shared" si="45"/>
        <v>0</v>
      </c>
    </row>
    <row r="263" spans="11:24" ht="13.2" hidden="1" x14ac:dyDescent="0.25">
      <c r="K263" s="3" t="str">
        <f t="shared" si="48"/>
        <v/>
      </c>
      <c r="L263" s="39">
        <v>231</v>
      </c>
      <c r="M263" s="3">
        <f t="shared" si="46"/>
        <v>19</v>
      </c>
      <c r="N263" s="44">
        <f t="shared" si="39"/>
        <v>0</v>
      </c>
      <c r="O263" s="8">
        <f t="shared" si="40"/>
        <v>0</v>
      </c>
      <c r="Q263" s="48">
        <f t="shared" si="41"/>
        <v>0</v>
      </c>
      <c r="R263" s="8">
        <f t="shared" si="42"/>
        <v>0</v>
      </c>
      <c r="T263" s="48">
        <f t="shared" si="43"/>
        <v>0</v>
      </c>
      <c r="U263" s="8">
        <f t="shared" si="44"/>
        <v>0</v>
      </c>
      <c r="W263" s="48">
        <f t="shared" si="47"/>
        <v>0</v>
      </c>
      <c r="X263" s="8">
        <f t="shared" si="45"/>
        <v>0</v>
      </c>
    </row>
    <row r="264" spans="11:24" ht="13.2" hidden="1" x14ac:dyDescent="0.25">
      <c r="K264" s="3" t="str">
        <f t="shared" si="48"/>
        <v/>
      </c>
      <c r="L264" s="39">
        <v>232</v>
      </c>
      <c r="M264" s="3">
        <f t="shared" si="46"/>
        <v>19</v>
      </c>
      <c r="N264" s="44">
        <f t="shared" si="39"/>
        <v>0</v>
      </c>
      <c r="O264" s="8">
        <f t="shared" si="40"/>
        <v>0</v>
      </c>
      <c r="Q264" s="48">
        <f t="shared" si="41"/>
        <v>0</v>
      </c>
      <c r="R264" s="8">
        <f t="shared" si="42"/>
        <v>0</v>
      </c>
      <c r="T264" s="48">
        <f t="shared" si="43"/>
        <v>0</v>
      </c>
      <c r="U264" s="8">
        <f t="shared" si="44"/>
        <v>0</v>
      </c>
      <c r="W264" s="48">
        <f t="shared" si="47"/>
        <v>0</v>
      </c>
      <c r="X264" s="8">
        <f t="shared" si="45"/>
        <v>0</v>
      </c>
    </row>
    <row r="265" spans="11:24" ht="13.2" hidden="1" x14ac:dyDescent="0.25">
      <c r="K265" s="3" t="str">
        <f t="shared" si="48"/>
        <v/>
      </c>
      <c r="L265" s="39">
        <v>233</v>
      </c>
      <c r="M265" s="3">
        <f t="shared" si="46"/>
        <v>19</v>
      </c>
      <c r="N265" s="44">
        <f t="shared" si="39"/>
        <v>0</v>
      </c>
      <c r="O265" s="8">
        <f t="shared" si="40"/>
        <v>0</v>
      </c>
      <c r="Q265" s="48">
        <f t="shared" si="41"/>
        <v>0</v>
      </c>
      <c r="R265" s="8">
        <f t="shared" si="42"/>
        <v>0</v>
      </c>
      <c r="T265" s="48">
        <f t="shared" si="43"/>
        <v>0</v>
      </c>
      <c r="U265" s="8">
        <f t="shared" si="44"/>
        <v>0</v>
      </c>
      <c r="W265" s="48">
        <f t="shared" si="47"/>
        <v>0</v>
      </c>
      <c r="X265" s="8">
        <f t="shared" si="45"/>
        <v>0</v>
      </c>
    </row>
    <row r="266" spans="11:24" ht="13.2" hidden="1" x14ac:dyDescent="0.25">
      <c r="K266" s="3" t="str">
        <f t="shared" si="48"/>
        <v/>
      </c>
      <c r="L266" s="39">
        <v>234</v>
      </c>
      <c r="M266" s="3">
        <f t="shared" si="46"/>
        <v>19</v>
      </c>
      <c r="N266" s="44">
        <f t="shared" si="39"/>
        <v>0</v>
      </c>
      <c r="O266" s="8">
        <f t="shared" si="40"/>
        <v>0</v>
      </c>
      <c r="Q266" s="48">
        <f t="shared" si="41"/>
        <v>0</v>
      </c>
      <c r="R266" s="8">
        <f t="shared" si="42"/>
        <v>0</v>
      </c>
      <c r="T266" s="48">
        <f t="shared" si="43"/>
        <v>0</v>
      </c>
      <c r="U266" s="8">
        <f t="shared" si="44"/>
        <v>0</v>
      </c>
      <c r="W266" s="48">
        <f t="shared" si="47"/>
        <v>0</v>
      </c>
      <c r="X266" s="8">
        <f t="shared" si="45"/>
        <v>0</v>
      </c>
    </row>
    <row r="267" spans="11:24" ht="13.2" hidden="1" x14ac:dyDescent="0.25">
      <c r="K267" s="3" t="str">
        <f t="shared" si="48"/>
        <v/>
      </c>
      <c r="L267" s="39">
        <v>235</v>
      </c>
      <c r="M267" s="3">
        <f t="shared" si="46"/>
        <v>19</v>
      </c>
      <c r="N267" s="44">
        <f t="shared" si="39"/>
        <v>0</v>
      </c>
      <c r="O267" s="8">
        <f t="shared" si="40"/>
        <v>0</v>
      </c>
      <c r="Q267" s="48">
        <f t="shared" si="41"/>
        <v>0</v>
      </c>
      <c r="R267" s="8">
        <f t="shared" si="42"/>
        <v>0</v>
      </c>
      <c r="T267" s="48">
        <f t="shared" si="43"/>
        <v>0</v>
      </c>
      <c r="U267" s="8">
        <f t="shared" si="44"/>
        <v>0</v>
      </c>
      <c r="W267" s="48">
        <f t="shared" si="47"/>
        <v>0</v>
      </c>
      <c r="X267" s="8">
        <f t="shared" si="45"/>
        <v>0</v>
      </c>
    </row>
    <row r="268" spans="11:24" ht="13.2" hidden="1" x14ac:dyDescent="0.25">
      <c r="K268" s="3" t="str">
        <f t="shared" si="48"/>
        <v/>
      </c>
      <c r="L268" s="39">
        <v>236</v>
      </c>
      <c r="M268" s="3">
        <f t="shared" si="46"/>
        <v>19</v>
      </c>
      <c r="N268" s="44">
        <f t="shared" si="39"/>
        <v>0</v>
      </c>
      <c r="O268" s="8">
        <f t="shared" si="40"/>
        <v>0</v>
      </c>
      <c r="Q268" s="48">
        <f t="shared" si="41"/>
        <v>0</v>
      </c>
      <c r="R268" s="8">
        <f t="shared" si="42"/>
        <v>0</v>
      </c>
      <c r="T268" s="48">
        <f t="shared" si="43"/>
        <v>0</v>
      </c>
      <c r="U268" s="8">
        <f t="shared" si="44"/>
        <v>0</v>
      </c>
      <c r="W268" s="48">
        <f t="shared" si="47"/>
        <v>0</v>
      </c>
      <c r="X268" s="8">
        <f t="shared" si="45"/>
        <v>0</v>
      </c>
    </row>
    <row r="269" spans="11:24" ht="13.2" hidden="1" x14ac:dyDescent="0.25">
      <c r="K269" s="3" t="str">
        <f t="shared" si="48"/>
        <v/>
      </c>
      <c r="L269" s="39">
        <v>237</v>
      </c>
      <c r="M269" s="3">
        <f t="shared" si="46"/>
        <v>19</v>
      </c>
      <c r="N269" s="44">
        <f t="shared" si="39"/>
        <v>0</v>
      </c>
      <c r="O269" s="8">
        <f t="shared" si="40"/>
        <v>0</v>
      </c>
      <c r="Q269" s="48">
        <f t="shared" si="41"/>
        <v>0</v>
      </c>
      <c r="R269" s="8">
        <f t="shared" si="42"/>
        <v>0</v>
      </c>
      <c r="T269" s="48">
        <f t="shared" si="43"/>
        <v>0</v>
      </c>
      <c r="U269" s="8">
        <f t="shared" si="44"/>
        <v>0</v>
      </c>
      <c r="W269" s="48">
        <f t="shared" si="47"/>
        <v>0</v>
      </c>
      <c r="X269" s="8">
        <f t="shared" si="45"/>
        <v>0</v>
      </c>
    </row>
    <row r="270" spans="11:24" ht="13.2" hidden="1" x14ac:dyDescent="0.25">
      <c r="K270" s="3" t="str">
        <f t="shared" si="48"/>
        <v/>
      </c>
      <c r="L270" s="39">
        <v>238</v>
      </c>
      <c r="M270" s="3">
        <f t="shared" si="46"/>
        <v>19</v>
      </c>
      <c r="N270" s="44">
        <f t="shared" si="39"/>
        <v>0</v>
      </c>
      <c r="O270" s="8">
        <f t="shared" si="40"/>
        <v>0</v>
      </c>
      <c r="Q270" s="48">
        <f t="shared" si="41"/>
        <v>0</v>
      </c>
      <c r="R270" s="8">
        <f t="shared" si="42"/>
        <v>0</v>
      </c>
      <c r="T270" s="48">
        <f t="shared" si="43"/>
        <v>0</v>
      </c>
      <c r="U270" s="8">
        <f t="shared" si="44"/>
        <v>0</v>
      </c>
      <c r="W270" s="48">
        <f t="shared" si="47"/>
        <v>0</v>
      </c>
      <c r="X270" s="8">
        <f t="shared" si="45"/>
        <v>0</v>
      </c>
    </row>
    <row r="271" spans="11:24" ht="13.2" hidden="1" x14ac:dyDescent="0.25">
      <c r="K271" s="3" t="str">
        <f t="shared" si="48"/>
        <v/>
      </c>
      <c r="L271" s="39">
        <v>239</v>
      </c>
      <c r="M271" s="3">
        <f t="shared" si="46"/>
        <v>19</v>
      </c>
      <c r="N271" s="44">
        <f t="shared" si="39"/>
        <v>0</v>
      </c>
      <c r="O271" s="8">
        <f t="shared" si="40"/>
        <v>0</v>
      </c>
      <c r="Q271" s="48">
        <f t="shared" si="41"/>
        <v>0</v>
      </c>
      <c r="R271" s="8">
        <f t="shared" si="42"/>
        <v>0</v>
      </c>
      <c r="T271" s="48">
        <f t="shared" si="43"/>
        <v>0</v>
      </c>
      <c r="U271" s="8">
        <f t="shared" si="44"/>
        <v>0</v>
      </c>
      <c r="W271" s="48">
        <f t="shared" si="47"/>
        <v>0</v>
      </c>
      <c r="X271" s="8">
        <f t="shared" si="45"/>
        <v>0</v>
      </c>
    </row>
    <row r="272" spans="11:24" ht="13.2" hidden="1" x14ac:dyDescent="0.25">
      <c r="K272" s="3">
        <f t="shared" si="48"/>
        <v>20</v>
      </c>
      <c r="L272" s="39">
        <v>240</v>
      </c>
      <c r="M272" s="3">
        <f t="shared" si="46"/>
        <v>19</v>
      </c>
      <c r="N272" s="44">
        <f t="shared" si="39"/>
        <v>0</v>
      </c>
      <c r="O272" s="8">
        <f t="shared" si="40"/>
        <v>0</v>
      </c>
      <c r="Q272" s="48">
        <f t="shared" si="41"/>
        <v>0</v>
      </c>
      <c r="R272" s="8">
        <f t="shared" si="42"/>
        <v>0</v>
      </c>
      <c r="T272" s="48">
        <f t="shared" si="43"/>
        <v>0</v>
      </c>
      <c r="U272" s="8">
        <f t="shared" si="44"/>
        <v>0</v>
      </c>
      <c r="W272" s="48">
        <f t="shared" si="47"/>
        <v>0</v>
      </c>
      <c r="X272" s="8">
        <f t="shared" si="45"/>
        <v>0</v>
      </c>
    </row>
    <row r="273" spans="11:24" ht="13.2" hidden="1" x14ac:dyDescent="0.25">
      <c r="K273" s="3" t="str">
        <f t="shared" si="48"/>
        <v/>
      </c>
      <c r="L273" s="39">
        <v>241</v>
      </c>
      <c r="M273" s="3">
        <f t="shared" si="46"/>
        <v>20</v>
      </c>
      <c r="N273" s="44">
        <f t="shared" si="39"/>
        <v>0</v>
      </c>
      <c r="O273" s="8">
        <f t="shared" si="40"/>
        <v>0</v>
      </c>
      <c r="Q273" s="48">
        <f t="shared" si="41"/>
        <v>0</v>
      </c>
      <c r="R273" s="8">
        <f t="shared" si="42"/>
        <v>0</v>
      </c>
      <c r="T273" s="48">
        <f t="shared" si="43"/>
        <v>0</v>
      </c>
      <c r="U273" s="8">
        <f t="shared" si="44"/>
        <v>0</v>
      </c>
      <c r="W273" s="48">
        <f t="shared" si="47"/>
        <v>0</v>
      </c>
      <c r="X273" s="8">
        <f t="shared" si="45"/>
        <v>0</v>
      </c>
    </row>
    <row r="274" spans="11:24" ht="13.2" hidden="1" x14ac:dyDescent="0.25">
      <c r="K274" s="3" t="str">
        <f t="shared" si="48"/>
        <v/>
      </c>
      <c r="L274" s="39">
        <v>242</v>
      </c>
      <c r="M274" s="3">
        <f t="shared" si="46"/>
        <v>20</v>
      </c>
      <c r="N274" s="44">
        <f t="shared" si="39"/>
        <v>0</v>
      </c>
      <c r="O274" s="8">
        <f t="shared" si="40"/>
        <v>0</v>
      </c>
      <c r="Q274" s="48">
        <f t="shared" si="41"/>
        <v>0</v>
      </c>
      <c r="R274" s="8">
        <f t="shared" si="42"/>
        <v>0</v>
      </c>
      <c r="T274" s="48">
        <f t="shared" si="43"/>
        <v>0</v>
      </c>
      <c r="U274" s="8">
        <f t="shared" si="44"/>
        <v>0</v>
      </c>
      <c r="W274" s="48">
        <f t="shared" si="47"/>
        <v>0</v>
      </c>
      <c r="X274" s="8">
        <f t="shared" si="45"/>
        <v>0</v>
      </c>
    </row>
    <row r="275" spans="11:24" ht="13.2" hidden="1" x14ac:dyDescent="0.25">
      <c r="K275" s="3" t="str">
        <f t="shared" si="48"/>
        <v/>
      </c>
      <c r="L275" s="39">
        <v>243</v>
      </c>
      <c r="M275" s="3">
        <f t="shared" si="46"/>
        <v>20</v>
      </c>
      <c r="N275" s="44">
        <f t="shared" si="39"/>
        <v>0</v>
      </c>
      <c r="O275" s="8">
        <f t="shared" si="40"/>
        <v>0</v>
      </c>
      <c r="Q275" s="48">
        <f t="shared" si="41"/>
        <v>0</v>
      </c>
      <c r="R275" s="8">
        <f t="shared" si="42"/>
        <v>0</v>
      </c>
      <c r="T275" s="48">
        <f t="shared" si="43"/>
        <v>0</v>
      </c>
      <c r="U275" s="8">
        <f t="shared" si="44"/>
        <v>0</v>
      </c>
      <c r="W275" s="48">
        <f t="shared" si="47"/>
        <v>0</v>
      </c>
      <c r="X275" s="8">
        <f t="shared" si="45"/>
        <v>0</v>
      </c>
    </row>
    <row r="276" spans="11:24" ht="13.2" hidden="1" x14ac:dyDescent="0.25">
      <c r="K276" s="3" t="str">
        <f t="shared" si="48"/>
        <v/>
      </c>
      <c r="L276" s="39">
        <v>244</v>
      </c>
      <c r="M276" s="3">
        <f t="shared" si="46"/>
        <v>20</v>
      </c>
      <c r="N276" s="44">
        <f t="shared" si="39"/>
        <v>0</v>
      </c>
      <c r="O276" s="8">
        <f t="shared" si="40"/>
        <v>0</v>
      </c>
      <c r="Q276" s="48">
        <f t="shared" si="41"/>
        <v>0</v>
      </c>
      <c r="R276" s="8">
        <f t="shared" si="42"/>
        <v>0</v>
      </c>
      <c r="T276" s="48">
        <f t="shared" si="43"/>
        <v>0</v>
      </c>
      <c r="U276" s="8">
        <f t="shared" si="44"/>
        <v>0</v>
      </c>
      <c r="W276" s="48">
        <f t="shared" si="47"/>
        <v>0</v>
      </c>
      <c r="X276" s="8">
        <f t="shared" si="45"/>
        <v>0</v>
      </c>
    </row>
    <row r="277" spans="11:24" ht="13.2" hidden="1" x14ac:dyDescent="0.25">
      <c r="K277" s="3" t="str">
        <f t="shared" si="48"/>
        <v/>
      </c>
      <c r="L277" s="39">
        <v>245</v>
      </c>
      <c r="M277" s="3">
        <f t="shared" si="46"/>
        <v>20</v>
      </c>
      <c r="N277" s="44">
        <f t="shared" si="39"/>
        <v>0</v>
      </c>
      <c r="O277" s="8">
        <f t="shared" si="40"/>
        <v>0</v>
      </c>
      <c r="Q277" s="48">
        <f t="shared" si="41"/>
        <v>0</v>
      </c>
      <c r="R277" s="8">
        <f t="shared" si="42"/>
        <v>0</v>
      </c>
      <c r="T277" s="48">
        <f t="shared" si="43"/>
        <v>0</v>
      </c>
      <c r="U277" s="8">
        <f t="shared" si="44"/>
        <v>0</v>
      </c>
      <c r="W277" s="48">
        <f t="shared" si="47"/>
        <v>0</v>
      </c>
      <c r="X277" s="8">
        <f t="shared" si="45"/>
        <v>0</v>
      </c>
    </row>
    <row r="278" spans="11:24" ht="13.2" hidden="1" x14ac:dyDescent="0.25">
      <c r="K278" s="3" t="str">
        <f t="shared" si="48"/>
        <v/>
      </c>
      <c r="L278" s="39">
        <v>246</v>
      </c>
      <c r="M278" s="3">
        <f t="shared" si="46"/>
        <v>20</v>
      </c>
      <c r="N278" s="44">
        <f t="shared" si="39"/>
        <v>0</v>
      </c>
      <c r="O278" s="8">
        <f t="shared" si="40"/>
        <v>0</v>
      </c>
      <c r="Q278" s="48">
        <f t="shared" si="41"/>
        <v>0</v>
      </c>
      <c r="R278" s="8">
        <f t="shared" si="42"/>
        <v>0</v>
      </c>
      <c r="T278" s="48">
        <f t="shared" si="43"/>
        <v>0</v>
      </c>
      <c r="U278" s="8">
        <f t="shared" si="44"/>
        <v>0</v>
      </c>
      <c r="W278" s="48">
        <f t="shared" si="47"/>
        <v>0</v>
      </c>
      <c r="X278" s="8">
        <f t="shared" si="45"/>
        <v>0</v>
      </c>
    </row>
    <row r="279" spans="11:24" ht="13.2" hidden="1" x14ac:dyDescent="0.25">
      <c r="K279" s="3" t="str">
        <f t="shared" si="48"/>
        <v/>
      </c>
      <c r="L279" s="39">
        <v>247</v>
      </c>
      <c r="M279" s="3">
        <f t="shared" si="46"/>
        <v>20</v>
      </c>
      <c r="N279" s="44">
        <f t="shared" si="39"/>
        <v>0</v>
      </c>
      <c r="O279" s="8">
        <f t="shared" si="40"/>
        <v>0</v>
      </c>
      <c r="Q279" s="48">
        <f t="shared" si="41"/>
        <v>0</v>
      </c>
      <c r="R279" s="8">
        <f t="shared" si="42"/>
        <v>0</v>
      </c>
      <c r="T279" s="48">
        <f t="shared" si="43"/>
        <v>0</v>
      </c>
      <c r="U279" s="8">
        <f t="shared" si="44"/>
        <v>0</v>
      </c>
      <c r="W279" s="48">
        <f t="shared" si="47"/>
        <v>0</v>
      </c>
      <c r="X279" s="8">
        <f t="shared" si="45"/>
        <v>0</v>
      </c>
    </row>
    <row r="280" spans="11:24" ht="13.2" hidden="1" x14ac:dyDescent="0.25">
      <c r="K280" s="3" t="str">
        <f t="shared" si="48"/>
        <v/>
      </c>
      <c r="L280" s="39">
        <v>248</v>
      </c>
      <c r="M280" s="3">
        <f t="shared" si="46"/>
        <v>20</v>
      </c>
      <c r="N280" s="44">
        <f t="shared" si="39"/>
        <v>0</v>
      </c>
      <c r="O280" s="8">
        <f t="shared" si="40"/>
        <v>0</v>
      </c>
      <c r="Q280" s="48">
        <f t="shared" si="41"/>
        <v>0</v>
      </c>
      <c r="R280" s="8">
        <f t="shared" si="42"/>
        <v>0</v>
      </c>
      <c r="T280" s="48">
        <f t="shared" si="43"/>
        <v>0</v>
      </c>
      <c r="U280" s="8">
        <f t="shared" si="44"/>
        <v>0</v>
      </c>
      <c r="W280" s="48">
        <f t="shared" si="47"/>
        <v>0</v>
      </c>
      <c r="X280" s="8">
        <f t="shared" si="45"/>
        <v>0</v>
      </c>
    </row>
    <row r="281" spans="11:24" ht="13.2" hidden="1" x14ac:dyDescent="0.25">
      <c r="K281" s="3" t="str">
        <f t="shared" si="48"/>
        <v/>
      </c>
      <c r="L281" s="39">
        <v>249</v>
      </c>
      <c r="M281" s="3">
        <f t="shared" si="46"/>
        <v>20</v>
      </c>
      <c r="N281" s="44">
        <f t="shared" si="39"/>
        <v>0</v>
      </c>
      <c r="O281" s="8">
        <f t="shared" si="40"/>
        <v>0</v>
      </c>
      <c r="Q281" s="48">
        <f t="shared" si="41"/>
        <v>0</v>
      </c>
      <c r="R281" s="8">
        <f t="shared" si="42"/>
        <v>0</v>
      </c>
      <c r="T281" s="48">
        <f t="shared" si="43"/>
        <v>0</v>
      </c>
      <c r="U281" s="8">
        <f t="shared" si="44"/>
        <v>0</v>
      </c>
      <c r="W281" s="48">
        <f t="shared" si="47"/>
        <v>0</v>
      </c>
      <c r="X281" s="8">
        <f t="shared" si="45"/>
        <v>0</v>
      </c>
    </row>
    <row r="282" spans="11:24" ht="13.2" hidden="1" x14ac:dyDescent="0.25">
      <c r="K282" s="3" t="str">
        <f t="shared" si="48"/>
        <v/>
      </c>
      <c r="L282" s="39">
        <v>250</v>
      </c>
      <c r="M282" s="3">
        <f t="shared" si="46"/>
        <v>20</v>
      </c>
      <c r="N282" s="44">
        <f t="shared" si="39"/>
        <v>0</v>
      </c>
      <c r="O282" s="8">
        <f t="shared" si="40"/>
        <v>0</v>
      </c>
      <c r="Q282" s="48">
        <f t="shared" si="41"/>
        <v>0</v>
      </c>
      <c r="R282" s="8">
        <f t="shared" si="42"/>
        <v>0</v>
      </c>
      <c r="T282" s="48">
        <f t="shared" si="43"/>
        <v>0</v>
      </c>
      <c r="U282" s="8">
        <f t="shared" si="44"/>
        <v>0</v>
      </c>
      <c r="W282" s="48">
        <f t="shared" si="47"/>
        <v>0</v>
      </c>
      <c r="X282" s="8">
        <f t="shared" si="45"/>
        <v>0</v>
      </c>
    </row>
    <row r="283" spans="11:24" ht="13.2" hidden="1" x14ac:dyDescent="0.25">
      <c r="K283" s="3" t="str">
        <f t="shared" si="48"/>
        <v/>
      </c>
      <c r="L283" s="39">
        <v>251</v>
      </c>
      <c r="M283" s="3">
        <f t="shared" si="46"/>
        <v>20</v>
      </c>
      <c r="N283" s="44">
        <f t="shared" si="39"/>
        <v>0</v>
      </c>
      <c r="O283" s="8">
        <f t="shared" si="40"/>
        <v>0</v>
      </c>
      <c r="Q283" s="48">
        <f t="shared" si="41"/>
        <v>0</v>
      </c>
      <c r="R283" s="8">
        <f t="shared" si="42"/>
        <v>0</v>
      </c>
      <c r="T283" s="48">
        <f t="shared" si="43"/>
        <v>0</v>
      </c>
      <c r="U283" s="8">
        <f t="shared" si="44"/>
        <v>0</v>
      </c>
      <c r="W283" s="48">
        <f t="shared" si="47"/>
        <v>0</v>
      </c>
      <c r="X283" s="8">
        <f t="shared" si="45"/>
        <v>0</v>
      </c>
    </row>
    <row r="284" spans="11:24" ht="13.2" hidden="1" x14ac:dyDescent="0.25">
      <c r="K284" s="3">
        <f t="shared" si="48"/>
        <v>21</v>
      </c>
      <c r="L284" s="39">
        <v>252</v>
      </c>
      <c r="M284" s="3">
        <f t="shared" si="46"/>
        <v>20</v>
      </c>
      <c r="N284" s="44">
        <f t="shared" si="39"/>
        <v>0</v>
      </c>
      <c r="O284" s="8">
        <f t="shared" si="40"/>
        <v>0</v>
      </c>
      <c r="Q284" s="48">
        <f t="shared" si="41"/>
        <v>0</v>
      </c>
      <c r="R284" s="8">
        <f t="shared" si="42"/>
        <v>0</v>
      </c>
      <c r="T284" s="48">
        <f t="shared" si="43"/>
        <v>0</v>
      </c>
      <c r="U284" s="8">
        <f t="shared" si="44"/>
        <v>0</v>
      </c>
      <c r="W284" s="48">
        <f t="shared" si="47"/>
        <v>0</v>
      </c>
      <c r="X284" s="8">
        <f t="shared" si="45"/>
        <v>0</v>
      </c>
    </row>
    <row r="285" spans="11:24" ht="13.2" hidden="1" x14ac:dyDescent="0.25">
      <c r="K285" s="3" t="str">
        <f t="shared" si="48"/>
        <v/>
      </c>
      <c r="L285" s="39">
        <v>253</v>
      </c>
      <c r="M285" s="3">
        <f t="shared" si="46"/>
        <v>21</v>
      </c>
      <c r="N285" s="44">
        <f t="shared" si="39"/>
        <v>0</v>
      </c>
      <c r="O285" s="8">
        <f t="shared" si="40"/>
        <v>0</v>
      </c>
      <c r="Q285" s="48">
        <f t="shared" si="41"/>
        <v>0</v>
      </c>
      <c r="R285" s="8">
        <f t="shared" si="42"/>
        <v>0</v>
      </c>
      <c r="T285" s="48">
        <f t="shared" si="43"/>
        <v>0</v>
      </c>
      <c r="U285" s="8">
        <f t="shared" si="44"/>
        <v>0</v>
      </c>
      <c r="W285" s="48">
        <f t="shared" si="47"/>
        <v>0</v>
      </c>
      <c r="X285" s="8">
        <f t="shared" si="45"/>
        <v>0</v>
      </c>
    </row>
    <row r="286" spans="11:24" ht="13.2" hidden="1" x14ac:dyDescent="0.25">
      <c r="K286" s="3" t="str">
        <f t="shared" si="48"/>
        <v/>
      </c>
      <c r="L286" s="39">
        <v>254</v>
      </c>
      <c r="M286" s="3">
        <f t="shared" si="46"/>
        <v>21</v>
      </c>
      <c r="N286" s="44">
        <f t="shared" si="39"/>
        <v>0</v>
      </c>
      <c r="O286" s="8">
        <f t="shared" si="40"/>
        <v>0</v>
      </c>
      <c r="Q286" s="48">
        <f t="shared" si="41"/>
        <v>0</v>
      </c>
      <c r="R286" s="8">
        <f t="shared" si="42"/>
        <v>0</v>
      </c>
      <c r="T286" s="48">
        <f t="shared" si="43"/>
        <v>0</v>
      </c>
      <c r="U286" s="8">
        <f t="shared" si="44"/>
        <v>0</v>
      </c>
      <c r="W286" s="48">
        <f t="shared" si="47"/>
        <v>0</v>
      </c>
      <c r="X286" s="8">
        <f t="shared" si="45"/>
        <v>0</v>
      </c>
    </row>
    <row r="287" spans="11:24" ht="13.2" hidden="1" x14ac:dyDescent="0.25">
      <c r="K287" s="3" t="str">
        <f t="shared" si="48"/>
        <v/>
      </c>
      <c r="L287" s="39">
        <v>255</v>
      </c>
      <c r="M287" s="3">
        <f t="shared" si="46"/>
        <v>21</v>
      </c>
      <c r="N287" s="44">
        <f t="shared" si="39"/>
        <v>0</v>
      </c>
      <c r="O287" s="8">
        <f t="shared" si="40"/>
        <v>0</v>
      </c>
      <c r="Q287" s="48">
        <f t="shared" si="41"/>
        <v>0</v>
      </c>
      <c r="R287" s="8">
        <f t="shared" si="42"/>
        <v>0</v>
      </c>
      <c r="T287" s="48">
        <f t="shared" si="43"/>
        <v>0</v>
      </c>
      <c r="U287" s="8">
        <f t="shared" si="44"/>
        <v>0</v>
      </c>
      <c r="W287" s="48">
        <f t="shared" si="47"/>
        <v>0</v>
      </c>
      <c r="X287" s="8">
        <f t="shared" si="45"/>
        <v>0</v>
      </c>
    </row>
    <row r="288" spans="11:24" ht="13.2" hidden="1" x14ac:dyDescent="0.25">
      <c r="K288" s="3" t="str">
        <f t="shared" si="48"/>
        <v/>
      </c>
      <c r="L288" s="39">
        <v>256</v>
      </c>
      <c r="M288" s="3">
        <f t="shared" si="46"/>
        <v>21</v>
      </c>
      <c r="N288" s="44">
        <f t="shared" si="39"/>
        <v>0</v>
      </c>
      <c r="O288" s="8">
        <f t="shared" si="40"/>
        <v>0</v>
      </c>
      <c r="Q288" s="48">
        <f t="shared" si="41"/>
        <v>0</v>
      </c>
      <c r="R288" s="8">
        <f t="shared" si="42"/>
        <v>0</v>
      </c>
      <c r="T288" s="48">
        <f t="shared" si="43"/>
        <v>0</v>
      </c>
      <c r="U288" s="8">
        <f t="shared" si="44"/>
        <v>0</v>
      </c>
      <c r="W288" s="48">
        <f t="shared" si="47"/>
        <v>0</v>
      </c>
      <c r="X288" s="8">
        <f t="shared" si="45"/>
        <v>0</v>
      </c>
    </row>
    <row r="289" spans="11:24" ht="13.2" hidden="1" x14ac:dyDescent="0.25">
      <c r="K289" s="3" t="str">
        <f t="shared" si="48"/>
        <v/>
      </c>
      <c r="L289" s="39">
        <v>257</v>
      </c>
      <c r="M289" s="3">
        <f t="shared" si="46"/>
        <v>21</v>
      </c>
      <c r="N289" s="44">
        <f t="shared" ref="N289:N352" si="49">IF(L289&lt;=InvMonths,SU_Amt*(1+$C$19)^M289,0)</f>
        <v>0</v>
      </c>
      <c r="O289" s="8">
        <f t="shared" ref="O289:O352" si="50">FV($S$1,(InvMonths-L289+1),0,-N289,1)</f>
        <v>0</v>
      </c>
      <c r="Q289" s="48">
        <f t="shared" ref="Q289:Q352" si="51">IF(L289&lt;=InvMonths,$R$27*(1+$C$19)^M289,0)</f>
        <v>0</v>
      </c>
      <c r="R289" s="8">
        <f t="shared" ref="R289:R352" si="52">FV($S$1,(InvMonths-L289+1),0,-Q289,1)</f>
        <v>0</v>
      </c>
      <c r="T289" s="48">
        <f t="shared" ref="T289:T352" si="53">IF(L289&lt;=InvMonths,$U$27,0)</f>
        <v>0</v>
      </c>
      <c r="U289" s="8">
        <f t="shared" ref="U289:U352" si="54">FV($S$1,(InvMonths-L289+1),0,-T289,1)</f>
        <v>0</v>
      </c>
      <c r="W289" s="48">
        <f t="shared" si="47"/>
        <v>0</v>
      </c>
      <c r="X289" s="8">
        <f t="shared" ref="X289:X352" si="55">FV($S$1,($X$26-L289+1),0,-W289,1)</f>
        <v>0</v>
      </c>
    </row>
    <row r="290" spans="11:24" ht="13.2" hidden="1" x14ac:dyDescent="0.25">
      <c r="K290" s="3" t="str">
        <f t="shared" si="48"/>
        <v/>
      </c>
      <c r="L290" s="39">
        <v>258</v>
      </c>
      <c r="M290" s="3">
        <f t="shared" ref="M290:M353" si="56">IF(MOD(L290,12)=0,(L290/12)-1,QUOTIENT(L290,12))</f>
        <v>21</v>
      </c>
      <c r="N290" s="44">
        <f t="shared" si="49"/>
        <v>0</v>
      </c>
      <c r="O290" s="8">
        <f t="shared" si="50"/>
        <v>0</v>
      </c>
      <c r="Q290" s="48">
        <f t="shared" si="51"/>
        <v>0</v>
      </c>
      <c r="R290" s="8">
        <f t="shared" si="52"/>
        <v>0</v>
      </c>
      <c r="T290" s="48">
        <f t="shared" si="53"/>
        <v>0</v>
      </c>
      <c r="U290" s="8">
        <f t="shared" si="54"/>
        <v>0</v>
      </c>
      <c r="W290" s="48">
        <f t="shared" ref="W290:W353" si="57">IF(L290&lt;=$X$26,$X$27,0)</f>
        <v>0</v>
      </c>
      <c r="X290" s="8">
        <f t="shared" si="55"/>
        <v>0</v>
      </c>
    </row>
    <row r="291" spans="11:24" ht="13.2" hidden="1" x14ac:dyDescent="0.25">
      <c r="K291" s="3" t="str">
        <f t="shared" si="48"/>
        <v/>
      </c>
      <c r="L291" s="39">
        <v>259</v>
      </c>
      <c r="M291" s="3">
        <f t="shared" si="56"/>
        <v>21</v>
      </c>
      <c r="N291" s="44">
        <f t="shared" si="49"/>
        <v>0</v>
      </c>
      <c r="O291" s="8">
        <f t="shared" si="50"/>
        <v>0</v>
      </c>
      <c r="Q291" s="48">
        <f t="shared" si="51"/>
        <v>0</v>
      </c>
      <c r="R291" s="8">
        <f t="shared" si="52"/>
        <v>0</v>
      </c>
      <c r="T291" s="48">
        <f t="shared" si="53"/>
        <v>0</v>
      </c>
      <c r="U291" s="8">
        <f t="shared" si="54"/>
        <v>0</v>
      </c>
      <c r="W291" s="48">
        <f t="shared" si="57"/>
        <v>0</v>
      </c>
      <c r="X291" s="8">
        <f t="shared" si="55"/>
        <v>0</v>
      </c>
    </row>
    <row r="292" spans="11:24" ht="13.2" hidden="1" x14ac:dyDescent="0.25">
      <c r="K292" s="3" t="str">
        <f t="shared" si="48"/>
        <v/>
      </c>
      <c r="L292" s="39">
        <v>260</v>
      </c>
      <c r="M292" s="3">
        <f t="shared" si="56"/>
        <v>21</v>
      </c>
      <c r="N292" s="44">
        <f t="shared" si="49"/>
        <v>0</v>
      </c>
      <c r="O292" s="8">
        <f t="shared" si="50"/>
        <v>0</v>
      </c>
      <c r="Q292" s="48">
        <f t="shared" si="51"/>
        <v>0</v>
      </c>
      <c r="R292" s="8">
        <f t="shared" si="52"/>
        <v>0</v>
      </c>
      <c r="T292" s="48">
        <f t="shared" si="53"/>
        <v>0</v>
      </c>
      <c r="U292" s="8">
        <f t="shared" si="54"/>
        <v>0</v>
      </c>
      <c r="W292" s="48">
        <f t="shared" si="57"/>
        <v>0</v>
      </c>
      <c r="X292" s="8">
        <f t="shared" si="55"/>
        <v>0</v>
      </c>
    </row>
    <row r="293" spans="11:24" ht="13.2" hidden="1" x14ac:dyDescent="0.25">
      <c r="K293" s="3" t="str">
        <f t="shared" si="48"/>
        <v/>
      </c>
      <c r="L293" s="39">
        <v>261</v>
      </c>
      <c r="M293" s="3">
        <f t="shared" si="56"/>
        <v>21</v>
      </c>
      <c r="N293" s="44">
        <f t="shared" si="49"/>
        <v>0</v>
      </c>
      <c r="O293" s="8">
        <f t="shared" si="50"/>
        <v>0</v>
      </c>
      <c r="Q293" s="48">
        <f t="shared" si="51"/>
        <v>0</v>
      </c>
      <c r="R293" s="8">
        <f t="shared" si="52"/>
        <v>0</v>
      </c>
      <c r="T293" s="48">
        <f t="shared" si="53"/>
        <v>0</v>
      </c>
      <c r="U293" s="8">
        <f t="shared" si="54"/>
        <v>0</v>
      </c>
      <c r="W293" s="48">
        <f t="shared" si="57"/>
        <v>0</v>
      </c>
      <c r="X293" s="8">
        <f t="shared" si="55"/>
        <v>0</v>
      </c>
    </row>
    <row r="294" spans="11:24" ht="13.2" hidden="1" x14ac:dyDescent="0.25">
      <c r="K294" s="3" t="str">
        <f t="shared" si="48"/>
        <v/>
      </c>
      <c r="L294" s="39">
        <v>262</v>
      </c>
      <c r="M294" s="3">
        <f t="shared" si="56"/>
        <v>21</v>
      </c>
      <c r="N294" s="44">
        <f t="shared" si="49"/>
        <v>0</v>
      </c>
      <c r="O294" s="8">
        <f t="shared" si="50"/>
        <v>0</v>
      </c>
      <c r="Q294" s="48">
        <f t="shared" si="51"/>
        <v>0</v>
      </c>
      <c r="R294" s="8">
        <f t="shared" si="52"/>
        <v>0</v>
      </c>
      <c r="T294" s="48">
        <f t="shared" si="53"/>
        <v>0</v>
      </c>
      <c r="U294" s="8">
        <f t="shared" si="54"/>
        <v>0</v>
      </c>
      <c r="W294" s="48">
        <f t="shared" si="57"/>
        <v>0</v>
      </c>
      <c r="X294" s="8">
        <f t="shared" si="55"/>
        <v>0</v>
      </c>
    </row>
    <row r="295" spans="11:24" ht="13.2" hidden="1" x14ac:dyDescent="0.25">
      <c r="K295" s="3" t="str">
        <f t="shared" si="48"/>
        <v/>
      </c>
      <c r="L295" s="39">
        <v>263</v>
      </c>
      <c r="M295" s="3">
        <f t="shared" si="56"/>
        <v>21</v>
      </c>
      <c r="N295" s="44">
        <f t="shared" si="49"/>
        <v>0</v>
      </c>
      <c r="O295" s="8">
        <f t="shared" si="50"/>
        <v>0</v>
      </c>
      <c r="Q295" s="48">
        <f t="shared" si="51"/>
        <v>0</v>
      </c>
      <c r="R295" s="8">
        <f t="shared" si="52"/>
        <v>0</v>
      </c>
      <c r="T295" s="48">
        <f t="shared" si="53"/>
        <v>0</v>
      </c>
      <c r="U295" s="8">
        <f t="shared" si="54"/>
        <v>0</v>
      </c>
      <c r="W295" s="48">
        <f t="shared" si="57"/>
        <v>0</v>
      </c>
      <c r="X295" s="8">
        <f t="shared" si="55"/>
        <v>0</v>
      </c>
    </row>
    <row r="296" spans="11:24" ht="13.2" hidden="1" x14ac:dyDescent="0.25">
      <c r="K296" s="3">
        <f t="shared" si="48"/>
        <v>22</v>
      </c>
      <c r="L296" s="39">
        <v>264</v>
      </c>
      <c r="M296" s="3">
        <f t="shared" si="56"/>
        <v>21</v>
      </c>
      <c r="N296" s="44">
        <f t="shared" si="49"/>
        <v>0</v>
      </c>
      <c r="O296" s="8">
        <f t="shared" si="50"/>
        <v>0</v>
      </c>
      <c r="Q296" s="48">
        <f t="shared" si="51"/>
        <v>0</v>
      </c>
      <c r="R296" s="8">
        <f t="shared" si="52"/>
        <v>0</v>
      </c>
      <c r="T296" s="48">
        <f t="shared" si="53"/>
        <v>0</v>
      </c>
      <c r="U296" s="8">
        <f t="shared" si="54"/>
        <v>0</v>
      </c>
      <c r="W296" s="48">
        <f t="shared" si="57"/>
        <v>0</v>
      </c>
      <c r="X296" s="8">
        <f t="shared" si="55"/>
        <v>0</v>
      </c>
    </row>
    <row r="297" spans="11:24" ht="13.2" hidden="1" x14ac:dyDescent="0.25">
      <c r="K297" s="3" t="str">
        <f t="shared" si="48"/>
        <v/>
      </c>
      <c r="L297" s="39">
        <v>265</v>
      </c>
      <c r="M297" s="3">
        <f t="shared" si="56"/>
        <v>22</v>
      </c>
      <c r="N297" s="44">
        <f t="shared" si="49"/>
        <v>0</v>
      </c>
      <c r="O297" s="8">
        <f t="shared" si="50"/>
        <v>0</v>
      </c>
      <c r="Q297" s="48">
        <f t="shared" si="51"/>
        <v>0</v>
      </c>
      <c r="R297" s="8">
        <f t="shared" si="52"/>
        <v>0</v>
      </c>
      <c r="T297" s="48">
        <f t="shared" si="53"/>
        <v>0</v>
      </c>
      <c r="U297" s="8">
        <f t="shared" si="54"/>
        <v>0</v>
      </c>
      <c r="W297" s="48">
        <f t="shared" si="57"/>
        <v>0</v>
      </c>
      <c r="X297" s="8">
        <f t="shared" si="55"/>
        <v>0</v>
      </c>
    </row>
    <row r="298" spans="11:24" ht="13.2" hidden="1" x14ac:dyDescent="0.25">
      <c r="K298" s="3" t="str">
        <f t="shared" ref="K298:K361" si="58">IF(MOD(L298,12)=0,L298/12,"")</f>
        <v/>
      </c>
      <c r="L298" s="39">
        <v>266</v>
      </c>
      <c r="M298" s="3">
        <f t="shared" si="56"/>
        <v>22</v>
      </c>
      <c r="N298" s="44">
        <f t="shared" si="49"/>
        <v>0</v>
      </c>
      <c r="O298" s="8">
        <f t="shared" si="50"/>
        <v>0</v>
      </c>
      <c r="Q298" s="48">
        <f t="shared" si="51"/>
        <v>0</v>
      </c>
      <c r="R298" s="8">
        <f t="shared" si="52"/>
        <v>0</v>
      </c>
      <c r="T298" s="48">
        <f t="shared" si="53"/>
        <v>0</v>
      </c>
      <c r="U298" s="8">
        <f t="shared" si="54"/>
        <v>0</v>
      </c>
      <c r="W298" s="48">
        <f t="shared" si="57"/>
        <v>0</v>
      </c>
      <c r="X298" s="8">
        <f t="shared" si="55"/>
        <v>0</v>
      </c>
    </row>
    <row r="299" spans="11:24" ht="13.2" hidden="1" x14ac:dyDescent="0.25">
      <c r="K299" s="3" t="str">
        <f t="shared" si="58"/>
        <v/>
      </c>
      <c r="L299" s="39">
        <v>267</v>
      </c>
      <c r="M299" s="3">
        <f t="shared" si="56"/>
        <v>22</v>
      </c>
      <c r="N299" s="44">
        <f t="shared" si="49"/>
        <v>0</v>
      </c>
      <c r="O299" s="8">
        <f t="shared" si="50"/>
        <v>0</v>
      </c>
      <c r="Q299" s="48">
        <f t="shared" si="51"/>
        <v>0</v>
      </c>
      <c r="R299" s="8">
        <f t="shared" si="52"/>
        <v>0</v>
      </c>
      <c r="T299" s="48">
        <f t="shared" si="53"/>
        <v>0</v>
      </c>
      <c r="U299" s="8">
        <f t="shared" si="54"/>
        <v>0</v>
      </c>
      <c r="W299" s="48">
        <f t="shared" si="57"/>
        <v>0</v>
      </c>
      <c r="X299" s="8">
        <f t="shared" si="55"/>
        <v>0</v>
      </c>
    </row>
    <row r="300" spans="11:24" ht="13.2" hidden="1" x14ac:dyDescent="0.25">
      <c r="K300" s="3" t="str">
        <f t="shared" si="58"/>
        <v/>
      </c>
      <c r="L300" s="39">
        <v>268</v>
      </c>
      <c r="M300" s="3">
        <f t="shared" si="56"/>
        <v>22</v>
      </c>
      <c r="N300" s="44">
        <f t="shared" si="49"/>
        <v>0</v>
      </c>
      <c r="O300" s="8">
        <f t="shared" si="50"/>
        <v>0</v>
      </c>
      <c r="Q300" s="48">
        <f t="shared" si="51"/>
        <v>0</v>
      </c>
      <c r="R300" s="8">
        <f t="shared" si="52"/>
        <v>0</v>
      </c>
      <c r="T300" s="48">
        <f t="shared" si="53"/>
        <v>0</v>
      </c>
      <c r="U300" s="8">
        <f t="shared" si="54"/>
        <v>0</v>
      </c>
      <c r="W300" s="48">
        <f t="shared" si="57"/>
        <v>0</v>
      </c>
      <c r="X300" s="8">
        <f t="shared" si="55"/>
        <v>0</v>
      </c>
    </row>
    <row r="301" spans="11:24" ht="13.2" hidden="1" x14ac:dyDescent="0.25">
      <c r="K301" s="3" t="str">
        <f t="shared" si="58"/>
        <v/>
      </c>
      <c r="L301" s="39">
        <v>269</v>
      </c>
      <c r="M301" s="3">
        <f t="shared" si="56"/>
        <v>22</v>
      </c>
      <c r="N301" s="44">
        <f t="shared" si="49"/>
        <v>0</v>
      </c>
      <c r="O301" s="8">
        <f t="shared" si="50"/>
        <v>0</v>
      </c>
      <c r="Q301" s="48">
        <f t="shared" si="51"/>
        <v>0</v>
      </c>
      <c r="R301" s="8">
        <f t="shared" si="52"/>
        <v>0</v>
      </c>
      <c r="T301" s="48">
        <f t="shared" si="53"/>
        <v>0</v>
      </c>
      <c r="U301" s="8">
        <f t="shared" si="54"/>
        <v>0</v>
      </c>
      <c r="W301" s="48">
        <f t="shared" si="57"/>
        <v>0</v>
      </c>
      <c r="X301" s="8">
        <f t="shared" si="55"/>
        <v>0</v>
      </c>
    </row>
    <row r="302" spans="11:24" ht="13.2" hidden="1" x14ac:dyDescent="0.25">
      <c r="K302" s="3" t="str">
        <f t="shared" si="58"/>
        <v/>
      </c>
      <c r="L302" s="39">
        <v>270</v>
      </c>
      <c r="M302" s="3">
        <f t="shared" si="56"/>
        <v>22</v>
      </c>
      <c r="N302" s="44">
        <f t="shared" si="49"/>
        <v>0</v>
      </c>
      <c r="O302" s="8">
        <f t="shared" si="50"/>
        <v>0</v>
      </c>
      <c r="Q302" s="48">
        <f t="shared" si="51"/>
        <v>0</v>
      </c>
      <c r="R302" s="8">
        <f t="shared" si="52"/>
        <v>0</v>
      </c>
      <c r="T302" s="48">
        <f t="shared" si="53"/>
        <v>0</v>
      </c>
      <c r="U302" s="8">
        <f t="shared" si="54"/>
        <v>0</v>
      </c>
      <c r="W302" s="48">
        <f t="shared" si="57"/>
        <v>0</v>
      </c>
      <c r="X302" s="8">
        <f t="shared" si="55"/>
        <v>0</v>
      </c>
    </row>
    <row r="303" spans="11:24" ht="13.2" hidden="1" x14ac:dyDescent="0.25">
      <c r="K303" s="3" t="str">
        <f t="shared" si="58"/>
        <v/>
      </c>
      <c r="L303" s="39">
        <v>271</v>
      </c>
      <c r="M303" s="3">
        <f t="shared" si="56"/>
        <v>22</v>
      </c>
      <c r="N303" s="44">
        <f t="shared" si="49"/>
        <v>0</v>
      </c>
      <c r="O303" s="8">
        <f t="shared" si="50"/>
        <v>0</v>
      </c>
      <c r="Q303" s="48">
        <f t="shared" si="51"/>
        <v>0</v>
      </c>
      <c r="R303" s="8">
        <f t="shared" si="52"/>
        <v>0</v>
      </c>
      <c r="T303" s="48">
        <f t="shared" si="53"/>
        <v>0</v>
      </c>
      <c r="U303" s="8">
        <f t="shared" si="54"/>
        <v>0</v>
      </c>
      <c r="W303" s="48">
        <f t="shared" si="57"/>
        <v>0</v>
      </c>
      <c r="X303" s="8">
        <f t="shared" si="55"/>
        <v>0</v>
      </c>
    </row>
    <row r="304" spans="11:24" ht="13.2" hidden="1" x14ac:dyDescent="0.25">
      <c r="K304" s="3" t="str">
        <f t="shared" si="58"/>
        <v/>
      </c>
      <c r="L304" s="39">
        <v>272</v>
      </c>
      <c r="M304" s="3">
        <f t="shared" si="56"/>
        <v>22</v>
      </c>
      <c r="N304" s="44">
        <f t="shared" si="49"/>
        <v>0</v>
      </c>
      <c r="O304" s="8">
        <f t="shared" si="50"/>
        <v>0</v>
      </c>
      <c r="Q304" s="48">
        <f t="shared" si="51"/>
        <v>0</v>
      </c>
      <c r="R304" s="8">
        <f t="shared" si="52"/>
        <v>0</v>
      </c>
      <c r="T304" s="48">
        <f t="shared" si="53"/>
        <v>0</v>
      </c>
      <c r="U304" s="8">
        <f t="shared" si="54"/>
        <v>0</v>
      </c>
      <c r="W304" s="48">
        <f t="shared" si="57"/>
        <v>0</v>
      </c>
      <c r="X304" s="8">
        <f t="shared" si="55"/>
        <v>0</v>
      </c>
    </row>
    <row r="305" spans="11:24" ht="13.2" hidden="1" x14ac:dyDescent="0.25">
      <c r="K305" s="3" t="str">
        <f t="shared" si="58"/>
        <v/>
      </c>
      <c r="L305" s="39">
        <v>273</v>
      </c>
      <c r="M305" s="3">
        <f t="shared" si="56"/>
        <v>22</v>
      </c>
      <c r="N305" s="44">
        <f t="shared" si="49"/>
        <v>0</v>
      </c>
      <c r="O305" s="8">
        <f t="shared" si="50"/>
        <v>0</v>
      </c>
      <c r="Q305" s="48">
        <f t="shared" si="51"/>
        <v>0</v>
      </c>
      <c r="R305" s="8">
        <f t="shared" si="52"/>
        <v>0</v>
      </c>
      <c r="T305" s="48">
        <f t="shared" si="53"/>
        <v>0</v>
      </c>
      <c r="U305" s="8">
        <f t="shared" si="54"/>
        <v>0</v>
      </c>
      <c r="W305" s="48">
        <f t="shared" si="57"/>
        <v>0</v>
      </c>
      <c r="X305" s="8">
        <f t="shared" si="55"/>
        <v>0</v>
      </c>
    </row>
    <row r="306" spans="11:24" ht="13.2" hidden="1" x14ac:dyDescent="0.25">
      <c r="K306" s="3" t="str">
        <f t="shared" si="58"/>
        <v/>
      </c>
      <c r="L306" s="39">
        <v>274</v>
      </c>
      <c r="M306" s="3">
        <f t="shared" si="56"/>
        <v>22</v>
      </c>
      <c r="N306" s="44">
        <f t="shared" si="49"/>
        <v>0</v>
      </c>
      <c r="O306" s="8">
        <f t="shared" si="50"/>
        <v>0</v>
      </c>
      <c r="Q306" s="48">
        <f t="shared" si="51"/>
        <v>0</v>
      </c>
      <c r="R306" s="8">
        <f t="shared" si="52"/>
        <v>0</v>
      </c>
      <c r="T306" s="48">
        <f t="shared" si="53"/>
        <v>0</v>
      </c>
      <c r="U306" s="8">
        <f t="shared" si="54"/>
        <v>0</v>
      </c>
      <c r="W306" s="48">
        <f t="shared" si="57"/>
        <v>0</v>
      </c>
      <c r="X306" s="8">
        <f t="shared" si="55"/>
        <v>0</v>
      </c>
    </row>
    <row r="307" spans="11:24" ht="13.2" hidden="1" x14ac:dyDescent="0.25">
      <c r="K307" s="3" t="str">
        <f t="shared" si="58"/>
        <v/>
      </c>
      <c r="L307" s="39">
        <v>275</v>
      </c>
      <c r="M307" s="3">
        <f t="shared" si="56"/>
        <v>22</v>
      </c>
      <c r="N307" s="44">
        <f t="shared" si="49"/>
        <v>0</v>
      </c>
      <c r="O307" s="8">
        <f t="shared" si="50"/>
        <v>0</v>
      </c>
      <c r="Q307" s="48">
        <f t="shared" si="51"/>
        <v>0</v>
      </c>
      <c r="R307" s="8">
        <f t="shared" si="52"/>
        <v>0</v>
      </c>
      <c r="T307" s="48">
        <f t="shared" si="53"/>
        <v>0</v>
      </c>
      <c r="U307" s="8">
        <f t="shared" si="54"/>
        <v>0</v>
      </c>
      <c r="W307" s="48">
        <f t="shared" si="57"/>
        <v>0</v>
      </c>
      <c r="X307" s="8">
        <f t="shared" si="55"/>
        <v>0</v>
      </c>
    </row>
    <row r="308" spans="11:24" ht="13.2" hidden="1" x14ac:dyDescent="0.25">
      <c r="K308" s="3">
        <f t="shared" si="58"/>
        <v>23</v>
      </c>
      <c r="L308" s="39">
        <v>276</v>
      </c>
      <c r="M308" s="3">
        <f t="shared" si="56"/>
        <v>22</v>
      </c>
      <c r="N308" s="44">
        <f t="shared" si="49"/>
        <v>0</v>
      </c>
      <c r="O308" s="8">
        <f t="shared" si="50"/>
        <v>0</v>
      </c>
      <c r="Q308" s="48">
        <f t="shared" si="51"/>
        <v>0</v>
      </c>
      <c r="R308" s="8">
        <f t="shared" si="52"/>
        <v>0</v>
      </c>
      <c r="T308" s="48">
        <f t="shared" si="53"/>
        <v>0</v>
      </c>
      <c r="U308" s="8">
        <f t="shared" si="54"/>
        <v>0</v>
      </c>
      <c r="W308" s="48">
        <f t="shared" si="57"/>
        <v>0</v>
      </c>
      <c r="X308" s="8">
        <f t="shared" si="55"/>
        <v>0</v>
      </c>
    </row>
    <row r="309" spans="11:24" ht="13.2" hidden="1" x14ac:dyDescent="0.25">
      <c r="K309" s="3" t="str">
        <f t="shared" si="58"/>
        <v/>
      </c>
      <c r="L309" s="39">
        <v>277</v>
      </c>
      <c r="M309" s="3">
        <f t="shared" si="56"/>
        <v>23</v>
      </c>
      <c r="N309" s="44">
        <f t="shared" si="49"/>
        <v>0</v>
      </c>
      <c r="O309" s="8">
        <f t="shared" si="50"/>
        <v>0</v>
      </c>
      <c r="Q309" s="48">
        <f t="shared" si="51"/>
        <v>0</v>
      </c>
      <c r="R309" s="8">
        <f t="shared" si="52"/>
        <v>0</v>
      </c>
      <c r="T309" s="48">
        <f t="shared" si="53"/>
        <v>0</v>
      </c>
      <c r="U309" s="8">
        <f t="shared" si="54"/>
        <v>0</v>
      </c>
      <c r="W309" s="48">
        <f t="shared" si="57"/>
        <v>0</v>
      </c>
      <c r="X309" s="8">
        <f t="shared" si="55"/>
        <v>0</v>
      </c>
    </row>
    <row r="310" spans="11:24" ht="13.2" hidden="1" x14ac:dyDescent="0.25">
      <c r="K310" s="3" t="str">
        <f t="shared" si="58"/>
        <v/>
      </c>
      <c r="L310" s="39">
        <v>278</v>
      </c>
      <c r="M310" s="3">
        <f t="shared" si="56"/>
        <v>23</v>
      </c>
      <c r="N310" s="44">
        <f t="shared" si="49"/>
        <v>0</v>
      </c>
      <c r="O310" s="8">
        <f t="shared" si="50"/>
        <v>0</v>
      </c>
      <c r="Q310" s="48">
        <f t="shared" si="51"/>
        <v>0</v>
      </c>
      <c r="R310" s="8">
        <f t="shared" si="52"/>
        <v>0</v>
      </c>
      <c r="T310" s="48">
        <f t="shared" si="53"/>
        <v>0</v>
      </c>
      <c r="U310" s="8">
        <f t="shared" si="54"/>
        <v>0</v>
      </c>
      <c r="W310" s="48">
        <f t="shared" si="57"/>
        <v>0</v>
      </c>
      <c r="X310" s="8">
        <f t="shared" si="55"/>
        <v>0</v>
      </c>
    </row>
    <row r="311" spans="11:24" ht="13.2" hidden="1" x14ac:dyDescent="0.25">
      <c r="K311" s="3" t="str">
        <f t="shared" si="58"/>
        <v/>
      </c>
      <c r="L311" s="39">
        <v>279</v>
      </c>
      <c r="M311" s="3">
        <f t="shared" si="56"/>
        <v>23</v>
      </c>
      <c r="N311" s="44">
        <f t="shared" si="49"/>
        <v>0</v>
      </c>
      <c r="O311" s="8">
        <f t="shared" si="50"/>
        <v>0</v>
      </c>
      <c r="Q311" s="48">
        <f t="shared" si="51"/>
        <v>0</v>
      </c>
      <c r="R311" s="8">
        <f t="shared" si="52"/>
        <v>0</v>
      </c>
      <c r="T311" s="48">
        <f t="shared" si="53"/>
        <v>0</v>
      </c>
      <c r="U311" s="8">
        <f t="shared" si="54"/>
        <v>0</v>
      </c>
      <c r="W311" s="48">
        <f t="shared" si="57"/>
        <v>0</v>
      </c>
      <c r="X311" s="8">
        <f t="shared" si="55"/>
        <v>0</v>
      </c>
    </row>
    <row r="312" spans="11:24" ht="13.2" hidden="1" x14ac:dyDescent="0.25">
      <c r="K312" s="3" t="str">
        <f t="shared" si="58"/>
        <v/>
      </c>
      <c r="L312" s="39">
        <v>280</v>
      </c>
      <c r="M312" s="3">
        <f t="shared" si="56"/>
        <v>23</v>
      </c>
      <c r="N312" s="44">
        <f t="shared" si="49"/>
        <v>0</v>
      </c>
      <c r="O312" s="8">
        <f t="shared" si="50"/>
        <v>0</v>
      </c>
      <c r="Q312" s="48">
        <f t="shared" si="51"/>
        <v>0</v>
      </c>
      <c r="R312" s="8">
        <f t="shared" si="52"/>
        <v>0</v>
      </c>
      <c r="T312" s="48">
        <f t="shared" si="53"/>
        <v>0</v>
      </c>
      <c r="U312" s="8">
        <f t="shared" si="54"/>
        <v>0</v>
      </c>
      <c r="W312" s="48">
        <f t="shared" si="57"/>
        <v>0</v>
      </c>
      <c r="X312" s="8">
        <f t="shared" si="55"/>
        <v>0</v>
      </c>
    </row>
    <row r="313" spans="11:24" ht="13.2" hidden="1" x14ac:dyDescent="0.25">
      <c r="K313" s="3" t="str">
        <f t="shared" si="58"/>
        <v/>
      </c>
      <c r="L313" s="39">
        <v>281</v>
      </c>
      <c r="M313" s="3">
        <f t="shared" si="56"/>
        <v>23</v>
      </c>
      <c r="N313" s="44">
        <f t="shared" si="49"/>
        <v>0</v>
      </c>
      <c r="O313" s="8">
        <f t="shared" si="50"/>
        <v>0</v>
      </c>
      <c r="Q313" s="48">
        <f t="shared" si="51"/>
        <v>0</v>
      </c>
      <c r="R313" s="8">
        <f t="shared" si="52"/>
        <v>0</v>
      </c>
      <c r="T313" s="48">
        <f t="shared" si="53"/>
        <v>0</v>
      </c>
      <c r="U313" s="8">
        <f t="shared" si="54"/>
        <v>0</v>
      </c>
      <c r="W313" s="48">
        <f t="shared" si="57"/>
        <v>0</v>
      </c>
      <c r="X313" s="8">
        <f t="shared" si="55"/>
        <v>0</v>
      </c>
    </row>
    <row r="314" spans="11:24" ht="13.2" hidden="1" x14ac:dyDescent="0.25">
      <c r="K314" s="3" t="str">
        <f t="shared" si="58"/>
        <v/>
      </c>
      <c r="L314" s="39">
        <v>282</v>
      </c>
      <c r="M314" s="3">
        <f t="shared" si="56"/>
        <v>23</v>
      </c>
      <c r="N314" s="44">
        <f t="shared" si="49"/>
        <v>0</v>
      </c>
      <c r="O314" s="8">
        <f t="shared" si="50"/>
        <v>0</v>
      </c>
      <c r="Q314" s="48">
        <f t="shared" si="51"/>
        <v>0</v>
      </c>
      <c r="R314" s="8">
        <f t="shared" si="52"/>
        <v>0</v>
      </c>
      <c r="T314" s="48">
        <f t="shared" si="53"/>
        <v>0</v>
      </c>
      <c r="U314" s="8">
        <f t="shared" si="54"/>
        <v>0</v>
      </c>
      <c r="W314" s="48">
        <f t="shared" si="57"/>
        <v>0</v>
      </c>
      <c r="X314" s="8">
        <f t="shared" si="55"/>
        <v>0</v>
      </c>
    </row>
    <row r="315" spans="11:24" ht="13.2" hidden="1" x14ac:dyDescent="0.25">
      <c r="K315" s="3" t="str">
        <f t="shared" si="58"/>
        <v/>
      </c>
      <c r="L315" s="39">
        <v>283</v>
      </c>
      <c r="M315" s="3">
        <f t="shared" si="56"/>
        <v>23</v>
      </c>
      <c r="N315" s="44">
        <f t="shared" si="49"/>
        <v>0</v>
      </c>
      <c r="O315" s="8">
        <f t="shared" si="50"/>
        <v>0</v>
      </c>
      <c r="Q315" s="48">
        <f t="shared" si="51"/>
        <v>0</v>
      </c>
      <c r="R315" s="8">
        <f t="shared" si="52"/>
        <v>0</v>
      </c>
      <c r="T315" s="48">
        <f t="shared" si="53"/>
        <v>0</v>
      </c>
      <c r="U315" s="8">
        <f t="shared" si="54"/>
        <v>0</v>
      </c>
      <c r="W315" s="48">
        <f t="shared" si="57"/>
        <v>0</v>
      </c>
      <c r="X315" s="8">
        <f t="shared" si="55"/>
        <v>0</v>
      </c>
    </row>
    <row r="316" spans="11:24" ht="13.2" hidden="1" x14ac:dyDescent="0.25">
      <c r="K316" s="3" t="str">
        <f t="shared" si="58"/>
        <v/>
      </c>
      <c r="L316" s="39">
        <v>284</v>
      </c>
      <c r="M316" s="3">
        <f t="shared" si="56"/>
        <v>23</v>
      </c>
      <c r="N316" s="44">
        <f t="shared" si="49"/>
        <v>0</v>
      </c>
      <c r="O316" s="8">
        <f t="shared" si="50"/>
        <v>0</v>
      </c>
      <c r="Q316" s="48">
        <f t="shared" si="51"/>
        <v>0</v>
      </c>
      <c r="R316" s="8">
        <f t="shared" si="52"/>
        <v>0</v>
      </c>
      <c r="T316" s="48">
        <f t="shared" si="53"/>
        <v>0</v>
      </c>
      <c r="U316" s="8">
        <f t="shared" si="54"/>
        <v>0</v>
      </c>
      <c r="W316" s="48">
        <f t="shared" si="57"/>
        <v>0</v>
      </c>
      <c r="X316" s="8">
        <f t="shared" si="55"/>
        <v>0</v>
      </c>
    </row>
    <row r="317" spans="11:24" ht="13.2" hidden="1" x14ac:dyDescent="0.25">
      <c r="K317" s="3" t="str">
        <f t="shared" si="58"/>
        <v/>
      </c>
      <c r="L317" s="39">
        <v>285</v>
      </c>
      <c r="M317" s="3">
        <f t="shared" si="56"/>
        <v>23</v>
      </c>
      <c r="N317" s="44">
        <f t="shared" si="49"/>
        <v>0</v>
      </c>
      <c r="O317" s="8">
        <f t="shared" si="50"/>
        <v>0</v>
      </c>
      <c r="Q317" s="48">
        <f t="shared" si="51"/>
        <v>0</v>
      </c>
      <c r="R317" s="8">
        <f t="shared" si="52"/>
        <v>0</v>
      </c>
      <c r="T317" s="48">
        <f t="shared" si="53"/>
        <v>0</v>
      </c>
      <c r="U317" s="8">
        <f t="shared" si="54"/>
        <v>0</v>
      </c>
      <c r="W317" s="48">
        <f t="shared" si="57"/>
        <v>0</v>
      </c>
      <c r="X317" s="8">
        <f t="shared" si="55"/>
        <v>0</v>
      </c>
    </row>
    <row r="318" spans="11:24" ht="13.2" hidden="1" x14ac:dyDescent="0.25">
      <c r="K318" s="3" t="str">
        <f t="shared" si="58"/>
        <v/>
      </c>
      <c r="L318" s="39">
        <v>286</v>
      </c>
      <c r="M318" s="3">
        <f t="shared" si="56"/>
        <v>23</v>
      </c>
      <c r="N318" s="44">
        <f t="shared" si="49"/>
        <v>0</v>
      </c>
      <c r="O318" s="8">
        <f t="shared" si="50"/>
        <v>0</v>
      </c>
      <c r="Q318" s="48">
        <f t="shared" si="51"/>
        <v>0</v>
      </c>
      <c r="R318" s="8">
        <f t="shared" si="52"/>
        <v>0</v>
      </c>
      <c r="T318" s="48">
        <f t="shared" si="53"/>
        <v>0</v>
      </c>
      <c r="U318" s="8">
        <f t="shared" si="54"/>
        <v>0</v>
      </c>
      <c r="W318" s="48">
        <f t="shared" si="57"/>
        <v>0</v>
      </c>
      <c r="X318" s="8">
        <f t="shared" si="55"/>
        <v>0</v>
      </c>
    </row>
    <row r="319" spans="11:24" ht="13.2" hidden="1" x14ac:dyDescent="0.25">
      <c r="K319" s="3" t="str">
        <f t="shared" si="58"/>
        <v/>
      </c>
      <c r="L319" s="39">
        <v>287</v>
      </c>
      <c r="M319" s="3">
        <f t="shared" si="56"/>
        <v>23</v>
      </c>
      <c r="N319" s="44">
        <f t="shared" si="49"/>
        <v>0</v>
      </c>
      <c r="O319" s="8">
        <f t="shared" si="50"/>
        <v>0</v>
      </c>
      <c r="Q319" s="48">
        <f t="shared" si="51"/>
        <v>0</v>
      </c>
      <c r="R319" s="8">
        <f t="shared" si="52"/>
        <v>0</v>
      </c>
      <c r="T319" s="48">
        <f t="shared" si="53"/>
        <v>0</v>
      </c>
      <c r="U319" s="8">
        <f t="shared" si="54"/>
        <v>0</v>
      </c>
      <c r="W319" s="48">
        <f t="shared" si="57"/>
        <v>0</v>
      </c>
      <c r="X319" s="8">
        <f t="shared" si="55"/>
        <v>0</v>
      </c>
    </row>
    <row r="320" spans="11:24" ht="13.2" hidden="1" x14ac:dyDescent="0.25">
      <c r="K320" s="3">
        <f t="shared" si="58"/>
        <v>24</v>
      </c>
      <c r="L320" s="39">
        <v>288</v>
      </c>
      <c r="M320" s="3">
        <f t="shared" si="56"/>
        <v>23</v>
      </c>
      <c r="N320" s="44">
        <f t="shared" si="49"/>
        <v>0</v>
      </c>
      <c r="O320" s="8">
        <f t="shared" si="50"/>
        <v>0</v>
      </c>
      <c r="Q320" s="48">
        <f t="shared" si="51"/>
        <v>0</v>
      </c>
      <c r="R320" s="8">
        <f t="shared" si="52"/>
        <v>0</v>
      </c>
      <c r="T320" s="48">
        <f t="shared" si="53"/>
        <v>0</v>
      </c>
      <c r="U320" s="8">
        <f t="shared" si="54"/>
        <v>0</v>
      </c>
      <c r="W320" s="48">
        <f t="shared" si="57"/>
        <v>0</v>
      </c>
      <c r="X320" s="8">
        <f t="shared" si="55"/>
        <v>0</v>
      </c>
    </row>
    <row r="321" spans="11:24" ht="13.2" hidden="1" x14ac:dyDescent="0.25">
      <c r="K321" s="3" t="str">
        <f t="shared" si="58"/>
        <v/>
      </c>
      <c r="L321" s="39">
        <v>289</v>
      </c>
      <c r="M321" s="3">
        <f t="shared" si="56"/>
        <v>24</v>
      </c>
      <c r="N321" s="44">
        <f t="shared" si="49"/>
        <v>0</v>
      </c>
      <c r="O321" s="8">
        <f t="shared" si="50"/>
        <v>0</v>
      </c>
      <c r="Q321" s="48">
        <f t="shared" si="51"/>
        <v>0</v>
      </c>
      <c r="R321" s="8">
        <f t="shared" si="52"/>
        <v>0</v>
      </c>
      <c r="T321" s="48">
        <f t="shared" si="53"/>
        <v>0</v>
      </c>
      <c r="U321" s="8">
        <f t="shared" si="54"/>
        <v>0</v>
      </c>
      <c r="W321" s="48">
        <f t="shared" si="57"/>
        <v>0</v>
      </c>
      <c r="X321" s="8">
        <f t="shared" si="55"/>
        <v>0</v>
      </c>
    </row>
    <row r="322" spans="11:24" ht="13.2" hidden="1" x14ac:dyDescent="0.25">
      <c r="K322" s="3" t="str">
        <f t="shared" si="58"/>
        <v/>
      </c>
      <c r="L322" s="39">
        <v>290</v>
      </c>
      <c r="M322" s="3">
        <f t="shared" si="56"/>
        <v>24</v>
      </c>
      <c r="N322" s="44">
        <f t="shared" si="49"/>
        <v>0</v>
      </c>
      <c r="O322" s="8">
        <f t="shared" si="50"/>
        <v>0</v>
      </c>
      <c r="Q322" s="48">
        <f t="shared" si="51"/>
        <v>0</v>
      </c>
      <c r="R322" s="8">
        <f t="shared" si="52"/>
        <v>0</v>
      </c>
      <c r="T322" s="48">
        <f t="shared" si="53"/>
        <v>0</v>
      </c>
      <c r="U322" s="8">
        <f t="shared" si="54"/>
        <v>0</v>
      </c>
      <c r="W322" s="48">
        <f t="shared" si="57"/>
        <v>0</v>
      </c>
      <c r="X322" s="8">
        <f t="shared" si="55"/>
        <v>0</v>
      </c>
    </row>
    <row r="323" spans="11:24" ht="13.2" hidden="1" x14ac:dyDescent="0.25">
      <c r="K323" s="3" t="str">
        <f t="shared" si="58"/>
        <v/>
      </c>
      <c r="L323" s="39">
        <v>291</v>
      </c>
      <c r="M323" s="3">
        <f t="shared" si="56"/>
        <v>24</v>
      </c>
      <c r="N323" s="44">
        <f t="shared" si="49"/>
        <v>0</v>
      </c>
      <c r="O323" s="8">
        <f t="shared" si="50"/>
        <v>0</v>
      </c>
      <c r="Q323" s="48">
        <f t="shared" si="51"/>
        <v>0</v>
      </c>
      <c r="R323" s="8">
        <f t="shared" si="52"/>
        <v>0</v>
      </c>
      <c r="T323" s="48">
        <f t="shared" si="53"/>
        <v>0</v>
      </c>
      <c r="U323" s="8">
        <f t="shared" si="54"/>
        <v>0</v>
      </c>
      <c r="W323" s="48">
        <f t="shared" si="57"/>
        <v>0</v>
      </c>
      <c r="X323" s="8">
        <f t="shared" si="55"/>
        <v>0</v>
      </c>
    </row>
    <row r="324" spans="11:24" ht="13.2" hidden="1" x14ac:dyDescent="0.25">
      <c r="K324" s="3" t="str">
        <f t="shared" si="58"/>
        <v/>
      </c>
      <c r="L324" s="39">
        <v>292</v>
      </c>
      <c r="M324" s="3">
        <f t="shared" si="56"/>
        <v>24</v>
      </c>
      <c r="N324" s="44">
        <f t="shared" si="49"/>
        <v>0</v>
      </c>
      <c r="O324" s="8">
        <f t="shared" si="50"/>
        <v>0</v>
      </c>
      <c r="Q324" s="48">
        <f t="shared" si="51"/>
        <v>0</v>
      </c>
      <c r="R324" s="8">
        <f t="shared" si="52"/>
        <v>0</v>
      </c>
      <c r="T324" s="48">
        <f t="shared" si="53"/>
        <v>0</v>
      </c>
      <c r="U324" s="8">
        <f t="shared" si="54"/>
        <v>0</v>
      </c>
      <c r="W324" s="48">
        <f t="shared" si="57"/>
        <v>0</v>
      </c>
      <c r="X324" s="8">
        <f t="shared" si="55"/>
        <v>0</v>
      </c>
    </row>
    <row r="325" spans="11:24" ht="13.2" hidden="1" x14ac:dyDescent="0.25">
      <c r="K325" s="3" t="str">
        <f t="shared" si="58"/>
        <v/>
      </c>
      <c r="L325" s="39">
        <v>293</v>
      </c>
      <c r="M325" s="3">
        <f t="shared" si="56"/>
        <v>24</v>
      </c>
      <c r="N325" s="44">
        <f t="shared" si="49"/>
        <v>0</v>
      </c>
      <c r="O325" s="8">
        <f t="shared" si="50"/>
        <v>0</v>
      </c>
      <c r="Q325" s="48">
        <f t="shared" si="51"/>
        <v>0</v>
      </c>
      <c r="R325" s="8">
        <f t="shared" si="52"/>
        <v>0</v>
      </c>
      <c r="T325" s="48">
        <f t="shared" si="53"/>
        <v>0</v>
      </c>
      <c r="U325" s="8">
        <f t="shared" si="54"/>
        <v>0</v>
      </c>
      <c r="W325" s="48">
        <f t="shared" si="57"/>
        <v>0</v>
      </c>
      <c r="X325" s="8">
        <f t="shared" si="55"/>
        <v>0</v>
      </c>
    </row>
    <row r="326" spans="11:24" ht="13.2" hidden="1" x14ac:dyDescent="0.25">
      <c r="K326" s="3" t="str">
        <f t="shared" si="58"/>
        <v/>
      </c>
      <c r="L326" s="39">
        <v>294</v>
      </c>
      <c r="M326" s="3">
        <f t="shared" si="56"/>
        <v>24</v>
      </c>
      <c r="N326" s="44">
        <f t="shared" si="49"/>
        <v>0</v>
      </c>
      <c r="O326" s="8">
        <f t="shared" si="50"/>
        <v>0</v>
      </c>
      <c r="Q326" s="48">
        <f t="shared" si="51"/>
        <v>0</v>
      </c>
      <c r="R326" s="8">
        <f t="shared" si="52"/>
        <v>0</v>
      </c>
      <c r="T326" s="48">
        <f t="shared" si="53"/>
        <v>0</v>
      </c>
      <c r="U326" s="8">
        <f t="shared" si="54"/>
        <v>0</v>
      </c>
      <c r="W326" s="48">
        <f t="shared" si="57"/>
        <v>0</v>
      </c>
      <c r="X326" s="8">
        <f t="shared" si="55"/>
        <v>0</v>
      </c>
    </row>
    <row r="327" spans="11:24" ht="13.2" hidden="1" x14ac:dyDescent="0.25">
      <c r="K327" s="3" t="str">
        <f t="shared" si="58"/>
        <v/>
      </c>
      <c r="L327" s="39">
        <v>295</v>
      </c>
      <c r="M327" s="3">
        <f t="shared" si="56"/>
        <v>24</v>
      </c>
      <c r="N327" s="44">
        <f t="shared" si="49"/>
        <v>0</v>
      </c>
      <c r="O327" s="8">
        <f t="shared" si="50"/>
        <v>0</v>
      </c>
      <c r="Q327" s="48">
        <f t="shared" si="51"/>
        <v>0</v>
      </c>
      <c r="R327" s="8">
        <f t="shared" si="52"/>
        <v>0</v>
      </c>
      <c r="T327" s="48">
        <f t="shared" si="53"/>
        <v>0</v>
      </c>
      <c r="U327" s="8">
        <f t="shared" si="54"/>
        <v>0</v>
      </c>
      <c r="W327" s="48">
        <f t="shared" si="57"/>
        <v>0</v>
      </c>
      <c r="X327" s="8">
        <f t="shared" si="55"/>
        <v>0</v>
      </c>
    </row>
    <row r="328" spans="11:24" ht="13.2" hidden="1" x14ac:dyDescent="0.25">
      <c r="K328" s="3" t="str">
        <f t="shared" si="58"/>
        <v/>
      </c>
      <c r="L328" s="39">
        <v>296</v>
      </c>
      <c r="M328" s="3">
        <f t="shared" si="56"/>
        <v>24</v>
      </c>
      <c r="N328" s="44">
        <f t="shared" si="49"/>
        <v>0</v>
      </c>
      <c r="O328" s="8">
        <f t="shared" si="50"/>
        <v>0</v>
      </c>
      <c r="Q328" s="48">
        <f t="shared" si="51"/>
        <v>0</v>
      </c>
      <c r="R328" s="8">
        <f t="shared" si="52"/>
        <v>0</v>
      </c>
      <c r="T328" s="48">
        <f t="shared" si="53"/>
        <v>0</v>
      </c>
      <c r="U328" s="8">
        <f t="shared" si="54"/>
        <v>0</v>
      </c>
      <c r="W328" s="48">
        <f t="shared" si="57"/>
        <v>0</v>
      </c>
      <c r="X328" s="8">
        <f t="shared" si="55"/>
        <v>0</v>
      </c>
    </row>
    <row r="329" spans="11:24" ht="13.2" hidden="1" x14ac:dyDescent="0.25">
      <c r="K329" s="3" t="str">
        <f t="shared" si="58"/>
        <v/>
      </c>
      <c r="L329" s="39">
        <v>297</v>
      </c>
      <c r="M329" s="3">
        <f t="shared" si="56"/>
        <v>24</v>
      </c>
      <c r="N329" s="44">
        <f t="shared" si="49"/>
        <v>0</v>
      </c>
      <c r="O329" s="8">
        <f t="shared" si="50"/>
        <v>0</v>
      </c>
      <c r="Q329" s="48">
        <f t="shared" si="51"/>
        <v>0</v>
      </c>
      <c r="R329" s="8">
        <f t="shared" si="52"/>
        <v>0</v>
      </c>
      <c r="T329" s="48">
        <f t="shared" si="53"/>
        <v>0</v>
      </c>
      <c r="U329" s="8">
        <f t="shared" si="54"/>
        <v>0</v>
      </c>
      <c r="W329" s="48">
        <f t="shared" si="57"/>
        <v>0</v>
      </c>
      <c r="X329" s="8">
        <f t="shared" si="55"/>
        <v>0</v>
      </c>
    </row>
    <row r="330" spans="11:24" ht="13.2" hidden="1" x14ac:dyDescent="0.25">
      <c r="K330" s="3" t="str">
        <f t="shared" si="58"/>
        <v/>
      </c>
      <c r="L330" s="39">
        <v>298</v>
      </c>
      <c r="M330" s="3">
        <f t="shared" si="56"/>
        <v>24</v>
      </c>
      <c r="N330" s="44">
        <f t="shared" si="49"/>
        <v>0</v>
      </c>
      <c r="O330" s="8">
        <f t="shared" si="50"/>
        <v>0</v>
      </c>
      <c r="Q330" s="48">
        <f t="shared" si="51"/>
        <v>0</v>
      </c>
      <c r="R330" s="8">
        <f t="shared" si="52"/>
        <v>0</v>
      </c>
      <c r="T330" s="48">
        <f t="shared" si="53"/>
        <v>0</v>
      </c>
      <c r="U330" s="8">
        <f t="shared" si="54"/>
        <v>0</v>
      </c>
      <c r="W330" s="48">
        <f t="shared" si="57"/>
        <v>0</v>
      </c>
      <c r="X330" s="8">
        <f t="shared" si="55"/>
        <v>0</v>
      </c>
    </row>
    <row r="331" spans="11:24" ht="13.2" hidden="1" x14ac:dyDescent="0.25">
      <c r="K331" s="3" t="str">
        <f t="shared" si="58"/>
        <v/>
      </c>
      <c r="L331" s="39">
        <v>299</v>
      </c>
      <c r="M331" s="3">
        <f t="shared" si="56"/>
        <v>24</v>
      </c>
      <c r="N331" s="44">
        <f t="shared" si="49"/>
        <v>0</v>
      </c>
      <c r="O331" s="8">
        <f t="shared" si="50"/>
        <v>0</v>
      </c>
      <c r="Q331" s="48">
        <f t="shared" si="51"/>
        <v>0</v>
      </c>
      <c r="R331" s="8">
        <f t="shared" si="52"/>
        <v>0</v>
      </c>
      <c r="T331" s="48">
        <f t="shared" si="53"/>
        <v>0</v>
      </c>
      <c r="U331" s="8">
        <f t="shared" si="54"/>
        <v>0</v>
      </c>
      <c r="W331" s="48">
        <f t="shared" si="57"/>
        <v>0</v>
      </c>
      <c r="X331" s="8">
        <f t="shared" si="55"/>
        <v>0</v>
      </c>
    </row>
    <row r="332" spans="11:24" ht="13.2" hidden="1" x14ac:dyDescent="0.25">
      <c r="K332" s="3">
        <f t="shared" si="58"/>
        <v>25</v>
      </c>
      <c r="L332" s="39">
        <v>300</v>
      </c>
      <c r="M332" s="3">
        <f t="shared" si="56"/>
        <v>24</v>
      </c>
      <c r="N332" s="44">
        <f t="shared" si="49"/>
        <v>0</v>
      </c>
      <c r="O332" s="8">
        <f t="shared" si="50"/>
        <v>0</v>
      </c>
      <c r="Q332" s="48">
        <f t="shared" si="51"/>
        <v>0</v>
      </c>
      <c r="R332" s="8">
        <f t="shared" si="52"/>
        <v>0</v>
      </c>
      <c r="T332" s="48">
        <f t="shared" si="53"/>
        <v>0</v>
      </c>
      <c r="U332" s="8">
        <f t="shared" si="54"/>
        <v>0</v>
      </c>
      <c r="W332" s="48">
        <f t="shared" si="57"/>
        <v>0</v>
      </c>
      <c r="X332" s="8">
        <f t="shared" si="55"/>
        <v>0</v>
      </c>
    </row>
    <row r="333" spans="11:24" ht="13.2" hidden="1" x14ac:dyDescent="0.25">
      <c r="K333" s="3" t="str">
        <f t="shared" si="58"/>
        <v/>
      </c>
      <c r="L333" s="39">
        <v>301</v>
      </c>
      <c r="M333" s="3">
        <f t="shared" si="56"/>
        <v>25</v>
      </c>
      <c r="N333" s="44">
        <f t="shared" si="49"/>
        <v>0</v>
      </c>
      <c r="O333" s="8">
        <f t="shared" si="50"/>
        <v>0</v>
      </c>
      <c r="Q333" s="48">
        <f t="shared" si="51"/>
        <v>0</v>
      </c>
      <c r="R333" s="8">
        <f t="shared" si="52"/>
        <v>0</v>
      </c>
      <c r="T333" s="48">
        <f t="shared" si="53"/>
        <v>0</v>
      </c>
      <c r="U333" s="8">
        <f t="shared" si="54"/>
        <v>0</v>
      </c>
      <c r="W333" s="48">
        <f t="shared" si="57"/>
        <v>0</v>
      </c>
      <c r="X333" s="8">
        <f t="shared" si="55"/>
        <v>0</v>
      </c>
    </row>
    <row r="334" spans="11:24" ht="13.2" hidden="1" x14ac:dyDescent="0.25">
      <c r="K334" s="3" t="str">
        <f t="shared" si="58"/>
        <v/>
      </c>
      <c r="L334" s="39">
        <v>302</v>
      </c>
      <c r="M334" s="3">
        <f t="shared" si="56"/>
        <v>25</v>
      </c>
      <c r="N334" s="44">
        <f t="shared" si="49"/>
        <v>0</v>
      </c>
      <c r="O334" s="8">
        <f t="shared" si="50"/>
        <v>0</v>
      </c>
      <c r="Q334" s="48">
        <f t="shared" si="51"/>
        <v>0</v>
      </c>
      <c r="R334" s="8">
        <f t="shared" si="52"/>
        <v>0</v>
      </c>
      <c r="T334" s="48">
        <f t="shared" si="53"/>
        <v>0</v>
      </c>
      <c r="U334" s="8">
        <f t="shared" si="54"/>
        <v>0</v>
      </c>
      <c r="W334" s="48">
        <f t="shared" si="57"/>
        <v>0</v>
      </c>
      <c r="X334" s="8">
        <f t="shared" si="55"/>
        <v>0</v>
      </c>
    </row>
    <row r="335" spans="11:24" ht="13.2" hidden="1" x14ac:dyDescent="0.25">
      <c r="K335" s="3" t="str">
        <f t="shared" si="58"/>
        <v/>
      </c>
      <c r="L335" s="39">
        <v>303</v>
      </c>
      <c r="M335" s="3">
        <f t="shared" si="56"/>
        <v>25</v>
      </c>
      <c r="N335" s="44">
        <f t="shared" si="49"/>
        <v>0</v>
      </c>
      <c r="O335" s="8">
        <f t="shared" si="50"/>
        <v>0</v>
      </c>
      <c r="Q335" s="48">
        <f t="shared" si="51"/>
        <v>0</v>
      </c>
      <c r="R335" s="8">
        <f t="shared" si="52"/>
        <v>0</v>
      </c>
      <c r="T335" s="48">
        <f t="shared" si="53"/>
        <v>0</v>
      </c>
      <c r="U335" s="8">
        <f t="shared" si="54"/>
        <v>0</v>
      </c>
      <c r="W335" s="48">
        <f t="shared" si="57"/>
        <v>0</v>
      </c>
      <c r="X335" s="8">
        <f t="shared" si="55"/>
        <v>0</v>
      </c>
    </row>
    <row r="336" spans="11:24" ht="13.2" hidden="1" x14ac:dyDescent="0.25">
      <c r="K336" s="3" t="str">
        <f t="shared" si="58"/>
        <v/>
      </c>
      <c r="L336" s="39">
        <v>304</v>
      </c>
      <c r="M336" s="3">
        <f t="shared" si="56"/>
        <v>25</v>
      </c>
      <c r="N336" s="44">
        <f t="shared" si="49"/>
        <v>0</v>
      </c>
      <c r="O336" s="8">
        <f t="shared" si="50"/>
        <v>0</v>
      </c>
      <c r="Q336" s="48">
        <f t="shared" si="51"/>
        <v>0</v>
      </c>
      <c r="R336" s="8">
        <f t="shared" si="52"/>
        <v>0</v>
      </c>
      <c r="T336" s="48">
        <f t="shared" si="53"/>
        <v>0</v>
      </c>
      <c r="U336" s="8">
        <f t="shared" si="54"/>
        <v>0</v>
      </c>
      <c r="W336" s="48">
        <f t="shared" si="57"/>
        <v>0</v>
      </c>
      <c r="X336" s="8">
        <f t="shared" si="55"/>
        <v>0</v>
      </c>
    </row>
    <row r="337" spans="11:24" ht="13.2" hidden="1" x14ac:dyDescent="0.25">
      <c r="K337" s="3" t="str">
        <f t="shared" si="58"/>
        <v/>
      </c>
      <c r="L337" s="39">
        <v>305</v>
      </c>
      <c r="M337" s="3">
        <f t="shared" si="56"/>
        <v>25</v>
      </c>
      <c r="N337" s="44">
        <f t="shared" si="49"/>
        <v>0</v>
      </c>
      <c r="O337" s="8">
        <f t="shared" si="50"/>
        <v>0</v>
      </c>
      <c r="Q337" s="48">
        <f t="shared" si="51"/>
        <v>0</v>
      </c>
      <c r="R337" s="8">
        <f t="shared" si="52"/>
        <v>0</v>
      </c>
      <c r="T337" s="48">
        <f t="shared" si="53"/>
        <v>0</v>
      </c>
      <c r="U337" s="8">
        <f t="shared" si="54"/>
        <v>0</v>
      </c>
      <c r="W337" s="48">
        <f t="shared" si="57"/>
        <v>0</v>
      </c>
      <c r="X337" s="8">
        <f t="shared" si="55"/>
        <v>0</v>
      </c>
    </row>
    <row r="338" spans="11:24" ht="13.2" hidden="1" x14ac:dyDescent="0.25">
      <c r="K338" s="3" t="str">
        <f t="shared" si="58"/>
        <v/>
      </c>
      <c r="L338" s="39">
        <v>306</v>
      </c>
      <c r="M338" s="3">
        <f t="shared" si="56"/>
        <v>25</v>
      </c>
      <c r="N338" s="44">
        <f t="shared" si="49"/>
        <v>0</v>
      </c>
      <c r="O338" s="8">
        <f t="shared" si="50"/>
        <v>0</v>
      </c>
      <c r="Q338" s="48">
        <f t="shared" si="51"/>
        <v>0</v>
      </c>
      <c r="R338" s="8">
        <f t="shared" si="52"/>
        <v>0</v>
      </c>
      <c r="T338" s="48">
        <f t="shared" si="53"/>
        <v>0</v>
      </c>
      <c r="U338" s="8">
        <f t="shared" si="54"/>
        <v>0</v>
      </c>
      <c r="W338" s="48">
        <f t="shared" si="57"/>
        <v>0</v>
      </c>
      <c r="X338" s="8">
        <f t="shared" si="55"/>
        <v>0</v>
      </c>
    </row>
    <row r="339" spans="11:24" ht="13.2" hidden="1" x14ac:dyDescent="0.25">
      <c r="K339" s="3" t="str">
        <f t="shared" si="58"/>
        <v/>
      </c>
      <c r="L339" s="39">
        <v>307</v>
      </c>
      <c r="M339" s="3">
        <f t="shared" si="56"/>
        <v>25</v>
      </c>
      <c r="N339" s="44">
        <f t="shared" si="49"/>
        <v>0</v>
      </c>
      <c r="O339" s="8">
        <f t="shared" si="50"/>
        <v>0</v>
      </c>
      <c r="Q339" s="48">
        <f t="shared" si="51"/>
        <v>0</v>
      </c>
      <c r="R339" s="8">
        <f t="shared" si="52"/>
        <v>0</v>
      </c>
      <c r="T339" s="48">
        <f t="shared" si="53"/>
        <v>0</v>
      </c>
      <c r="U339" s="8">
        <f t="shared" si="54"/>
        <v>0</v>
      </c>
      <c r="W339" s="48">
        <f t="shared" si="57"/>
        <v>0</v>
      </c>
      <c r="X339" s="8">
        <f t="shared" si="55"/>
        <v>0</v>
      </c>
    </row>
    <row r="340" spans="11:24" ht="13.2" hidden="1" x14ac:dyDescent="0.25">
      <c r="K340" s="3" t="str">
        <f t="shared" si="58"/>
        <v/>
      </c>
      <c r="L340" s="39">
        <v>308</v>
      </c>
      <c r="M340" s="3">
        <f t="shared" si="56"/>
        <v>25</v>
      </c>
      <c r="N340" s="44">
        <f t="shared" si="49"/>
        <v>0</v>
      </c>
      <c r="O340" s="8">
        <f t="shared" si="50"/>
        <v>0</v>
      </c>
      <c r="Q340" s="48">
        <f t="shared" si="51"/>
        <v>0</v>
      </c>
      <c r="R340" s="8">
        <f t="shared" si="52"/>
        <v>0</v>
      </c>
      <c r="T340" s="48">
        <f t="shared" si="53"/>
        <v>0</v>
      </c>
      <c r="U340" s="8">
        <f t="shared" si="54"/>
        <v>0</v>
      </c>
      <c r="W340" s="48">
        <f t="shared" si="57"/>
        <v>0</v>
      </c>
      <c r="X340" s="8">
        <f t="shared" si="55"/>
        <v>0</v>
      </c>
    </row>
    <row r="341" spans="11:24" ht="13.2" hidden="1" x14ac:dyDescent="0.25">
      <c r="K341" s="3" t="str">
        <f t="shared" si="58"/>
        <v/>
      </c>
      <c r="L341" s="39">
        <v>309</v>
      </c>
      <c r="M341" s="3">
        <f t="shared" si="56"/>
        <v>25</v>
      </c>
      <c r="N341" s="44">
        <f t="shared" si="49"/>
        <v>0</v>
      </c>
      <c r="O341" s="8">
        <f t="shared" si="50"/>
        <v>0</v>
      </c>
      <c r="Q341" s="48">
        <f t="shared" si="51"/>
        <v>0</v>
      </c>
      <c r="R341" s="8">
        <f t="shared" si="52"/>
        <v>0</v>
      </c>
      <c r="T341" s="48">
        <f t="shared" si="53"/>
        <v>0</v>
      </c>
      <c r="U341" s="8">
        <f t="shared" si="54"/>
        <v>0</v>
      </c>
      <c r="W341" s="48">
        <f t="shared" si="57"/>
        <v>0</v>
      </c>
      <c r="X341" s="8">
        <f t="shared" si="55"/>
        <v>0</v>
      </c>
    </row>
    <row r="342" spans="11:24" ht="13.2" hidden="1" x14ac:dyDescent="0.25">
      <c r="K342" s="3" t="str">
        <f t="shared" si="58"/>
        <v/>
      </c>
      <c r="L342" s="39">
        <v>310</v>
      </c>
      <c r="M342" s="3">
        <f t="shared" si="56"/>
        <v>25</v>
      </c>
      <c r="N342" s="44">
        <f t="shared" si="49"/>
        <v>0</v>
      </c>
      <c r="O342" s="8">
        <f t="shared" si="50"/>
        <v>0</v>
      </c>
      <c r="Q342" s="48">
        <f t="shared" si="51"/>
        <v>0</v>
      </c>
      <c r="R342" s="8">
        <f t="shared" si="52"/>
        <v>0</v>
      </c>
      <c r="T342" s="48">
        <f t="shared" si="53"/>
        <v>0</v>
      </c>
      <c r="U342" s="8">
        <f t="shared" si="54"/>
        <v>0</v>
      </c>
      <c r="W342" s="48">
        <f t="shared" si="57"/>
        <v>0</v>
      </c>
      <c r="X342" s="8">
        <f t="shared" si="55"/>
        <v>0</v>
      </c>
    </row>
    <row r="343" spans="11:24" ht="13.2" hidden="1" x14ac:dyDescent="0.25">
      <c r="K343" s="3" t="str">
        <f t="shared" si="58"/>
        <v/>
      </c>
      <c r="L343" s="39">
        <v>311</v>
      </c>
      <c r="M343" s="3">
        <f t="shared" si="56"/>
        <v>25</v>
      </c>
      <c r="N343" s="44">
        <f t="shared" si="49"/>
        <v>0</v>
      </c>
      <c r="O343" s="8">
        <f t="shared" si="50"/>
        <v>0</v>
      </c>
      <c r="Q343" s="48">
        <f t="shared" si="51"/>
        <v>0</v>
      </c>
      <c r="R343" s="8">
        <f t="shared" si="52"/>
        <v>0</v>
      </c>
      <c r="T343" s="48">
        <f t="shared" si="53"/>
        <v>0</v>
      </c>
      <c r="U343" s="8">
        <f t="shared" si="54"/>
        <v>0</v>
      </c>
      <c r="W343" s="48">
        <f t="shared" si="57"/>
        <v>0</v>
      </c>
      <c r="X343" s="8">
        <f t="shared" si="55"/>
        <v>0</v>
      </c>
    </row>
    <row r="344" spans="11:24" ht="13.2" hidden="1" x14ac:dyDescent="0.25">
      <c r="K344" s="3">
        <f t="shared" si="58"/>
        <v>26</v>
      </c>
      <c r="L344" s="39">
        <v>312</v>
      </c>
      <c r="M344" s="3">
        <f t="shared" si="56"/>
        <v>25</v>
      </c>
      <c r="N344" s="44">
        <f t="shared" si="49"/>
        <v>0</v>
      </c>
      <c r="O344" s="8">
        <f t="shared" si="50"/>
        <v>0</v>
      </c>
      <c r="Q344" s="48">
        <f t="shared" si="51"/>
        <v>0</v>
      </c>
      <c r="R344" s="8">
        <f t="shared" si="52"/>
        <v>0</v>
      </c>
      <c r="T344" s="48">
        <f t="shared" si="53"/>
        <v>0</v>
      </c>
      <c r="U344" s="8">
        <f t="shared" si="54"/>
        <v>0</v>
      </c>
      <c r="W344" s="48">
        <f t="shared" si="57"/>
        <v>0</v>
      </c>
      <c r="X344" s="8">
        <f t="shared" si="55"/>
        <v>0</v>
      </c>
    </row>
    <row r="345" spans="11:24" ht="13.2" hidden="1" x14ac:dyDescent="0.25">
      <c r="K345" s="3" t="str">
        <f t="shared" si="58"/>
        <v/>
      </c>
      <c r="L345" s="39">
        <v>313</v>
      </c>
      <c r="M345" s="3">
        <f t="shared" si="56"/>
        <v>26</v>
      </c>
      <c r="N345" s="44">
        <f t="shared" si="49"/>
        <v>0</v>
      </c>
      <c r="O345" s="8">
        <f t="shared" si="50"/>
        <v>0</v>
      </c>
      <c r="Q345" s="48">
        <f t="shared" si="51"/>
        <v>0</v>
      </c>
      <c r="R345" s="8">
        <f t="shared" si="52"/>
        <v>0</v>
      </c>
      <c r="T345" s="48">
        <f t="shared" si="53"/>
        <v>0</v>
      </c>
      <c r="U345" s="8">
        <f t="shared" si="54"/>
        <v>0</v>
      </c>
      <c r="W345" s="48">
        <f t="shared" si="57"/>
        <v>0</v>
      </c>
      <c r="X345" s="8">
        <f t="shared" si="55"/>
        <v>0</v>
      </c>
    </row>
    <row r="346" spans="11:24" ht="13.2" hidden="1" x14ac:dyDescent="0.25">
      <c r="K346" s="3" t="str">
        <f t="shared" si="58"/>
        <v/>
      </c>
      <c r="L346" s="39">
        <v>314</v>
      </c>
      <c r="M346" s="3">
        <f t="shared" si="56"/>
        <v>26</v>
      </c>
      <c r="N346" s="44">
        <f t="shared" si="49"/>
        <v>0</v>
      </c>
      <c r="O346" s="8">
        <f t="shared" si="50"/>
        <v>0</v>
      </c>
      <c r="Q346" s="48">
        <f t="shared" si="51"/>
        <v>0</v>
      </c>
      <c r="R346" s="8">
        <f t="shared" si="52"/>
        <v>0</v>
      </c>
      <c r="T346" s="48">
        <f t="shared" si="53"/>
        <v>0</v>
      </c>
      <c r="U346" s="8">
        <f t="shared" si="54"/>
        <v>0</v>
      </c>
      <c r="W346" s="48">
        <f t="shared" si="57"/>
        <v>0</v>
      </c>
      <c r="X346" s="8">
        <f t="shared" si="55"/>
        <v>0</v>
      </c>
    </row>
    <row r="347" spans="11:24" ht="13.2" hidden="1" x14ac:dyDescent="0.25">
      <c r="K347" s="3" t="str">
        <f t="shared" si="58"/>
        <v/>
      </c>
      <c r="L347" s="39">
        <v>315</v>
      </c>
      <c r="M347" s="3">
        <f t="shared" si="56"/>
        <v>26</v>
      </c>
      <c r="N347" s="44">
        <f t="shared" si="49"/>
        <v>0</v>
      </c>
      <c r="O347" s="8">
        <f t="shared" si="50"/>
        <v>0</v>
      </c>
      <c r="Q347" s="48">
        <f t="shared" si="51"/>
        <v>0</v>
      </c>
      <c r="R347" s="8">
        <f t="shared" si="52"/>
        <v>0</v>
      </c>
      <c r="T347" s="48">
        <f t="shared" si="53"/>
        <v>0</v>
      </c>
      <c r="U347" s="8">
        <f t="shared" si="54"/>
        <v>0</v>
      </c>
      <c r="W347" s="48">
        <f t="shared" si="57"/>
        <v>0</v>
      </c>
      <c r="X347" s="8">
        <f t="shared" si="55"/>
        <v>0</v>
      </c>
    </row>
    <row r="348" spans="11:24" ht="13.2" hidden="1" x14ac:dyDescent="0.25">
      <c r="K348" s="3" t="str">
        <f t="shared" si="58"/>
        <v/>
      </c>
      <c r="L348" s="39">
        <v>316</v>
      </c>
      <c r="M348" s="3">
        <f t="shared" si="56"/>
        <v>26</v>
      </c>
      <c r="N348" s="44">
        <f t="shared" si="49"/>
        <v>0</v>
      </c>
      <c r="O348" s="8">
        <f t="shared" si="50"/>
        <v>0</v>
      </c>
      <c r="Q348" s="48">
        <f t="shared" si="51"/>
        <v>0</v>
      </c>
      <c r="R348" s="8">
        <f t="shared" si="52"/>
        <v>0</v>
      </c>
      <c r="T348" s="48">
        <f t="shared" si="53"/>
        <v>0</v>
      </c>
      <c r="U348" s="8">
        <f t="shared" si="54"/>
        <v>0</v>
      </c>
      <c r="W348" s="48">
        <f t="shared" si="57"/>
        <v>0</v>
      </c>
      <c r="X348" s="8">
        <f t="shared" si="55"/>
        <v>0</v>
      </c>
    </row>
    <row r="349" spans="11:24" ht="13.2" hidden="1" x14ac:dyDescent="0.25">
      <c r="K349" s="3" t="str">
        <f t="shared" si="58"/>
        <v/>
      </c>
      <c r="L349" s="39">
        <v>317</v>
      </c>
      <c r="M349" s="3">
        <f t="shared" si="56"/>
        <v>26</v>
      </c>
      <c r="N349" s="44">
        <f t="shared" si="49"/>
        <v>0</v>
      </c>
      <c r="O349" s="8">
        <f t="shared" si="50"/>
        <v>0</v>
      </c>
      <c r="Q349" s="48">
        <f t="shared" si="51"/>
        <v>0</v>
      </c>
      <c r="R349" s="8">
        <f t="shared" si="52"/>
        <v>0</v>
      </c>
      <c r="T349" s="48">
        <f t="shared" si="53"/>
        <v>0</v>
      </c>
      <c r="U349" s="8">
        <f t="shared" si="54"/>
        <v>0</v>
      </c>
      <c r="W349" s="48">
        <f t="shared" si="57"/>
        <v>0</v>
      </c>
      <c r="X349" s="8">
        <f t="shared" si="55"/>
        <v>0</v>
      </c>
    </row>
    <row r="350" spans="11:24" ht="13.2" hidden="1" x14ac:dyDescent="0.25">
      <c r="K350" s="3" t="str">
        <f t="shared" si="58"/>
        <v/>
      </c>
      <c r="L350" s="39">
        <v>318</v>
      </c>
      <c r="M350" s="3">
        <f t="shared" si="56"/>
        <v>26</v>
      </c>
      <c r="N350" s="44">
        <f t="shared" si="49"/>
        <v>0</v>
      </c>
      <c r="O350" s="8">
        <f t="shared" si="50"/>
        <v>0</v>
      </c>
      <c r="Q350" s="48">
        <f t="shared" si="51"/>
        <v>0</v>
      </c>
      <c r="R350" s="8">
        <f t="shared" si="52"/>
        <v>0</v>
      </c>
      <c r="T350" s="48">
        <f t="shared" si="53"/>
        <v>0</v>
      </c>
      <c r="U350" s="8">
        <f t="shared" si="54"/>
        <v>0</v>
      </c>
      <c r="W350" s="48">
        <f t="shared" si="57"/>
        <v>0</v>
      </c>
      <c r="X350" s="8">
        <f t="shared" si="55"/>
        <v>0</v>
      </c>
    </row>
    <row r="351" spans="11:24" ht="13.2" hidden="1" x14ac:dyDescent="0.25">
      <c r="K351" s="3" t="str">
        <f t="shared" si="58"/>
        <v/>
      </c>
      <c r="L351" s="39">
        <v>319</v>
      </c>
      <c r="M351" s="3">
        <f t="shared" si="56"/>
        <v>26</v>
      </c>
      <c r="N351" s="44">
        <f t="shared" si="49"/>
        <v>0</v>
      </c>
      <c r="O351" s="8">
        <f t="shared" si="50"/>
        <v>0</v>
      </c>
      <c r="Q351" s="48">
        <f t="shared" si="51"/>
        <v>0</v>
      </c>
      <c r="R351" s="8">
        <f t="shared" si="52"/>
        <v>0</v>
      </c>
      <c r="T351" s="48">
        <f t="shared" si="53"/>
        <v>0</v>
      </c>
      <c r="U351" s="8">
        <f t="shared" si="54"/>
        <v>0</v>
      </c>
      <c r="W351" s="48">
        <f t="shared" si="57"/>
        <v>0</v>
      </c>
      <c r="X351" s="8">
        <f t="shared" si="55"/>
        <v>0</v>
      </c>
    </row>
    <row r="352" spans="11:24" ht="13.2" hidden="1" x14ac:dyDescent="0.25">
      <c r="K352" s="3" t="str">
        <f t="shared" si="58"/>
        <v/>
      </c>
      <c r="L352" s="39">
        <v>320</v>
      </c>
      <c r="M352" s="3">
        <f t="shared" si="56"/>
        <v>26</v>
      </c>
      <c r="N352" s="44">
        <f t="shared" si="49"/>
        <v>0</v>
      </c>
      <c r="O352" s="8">
        <f t="shared" si="50"/>
        <v>0</v>
      </c>
      <c r="Q352" s="48">
        <f t="shared" si="51"/>
        <v>0</v>
      </c>
      <c r="R352" s="8">
        <f t="shared" si="52"/>
        <v>0</v>
      </c>
      <c r="T352" s="48">
        <f t="shared" si="53"/>
        <v>0</v>
      </c>
      <c r="U352" s="8">
        <f t="shared" si="54"/>
        <v>0</v>
      </c>
      <c r="W352" s="48">
        <f t="shared" si="57"/>
        <v>0</v>
      </c>
      <c r="X352" s="8">
        <f t="shared" si="55"/>
        <v>0</v>
      </c>
    </row>
    <row r="353" spans="11:24" ht="13.2" hidden="1" x14ac:dyDescent="0.25">
      <c r="K353" s="3" t="str">
        <f t="shared" si="58"/>
        <v/>
      </c>
      <c r="L353" s="39">
        <v>321</v>
      </c>
      <c r="M353" s="3">
        <f t="shared" si="56"/>
        <v>26</v>
      </c>
      <c r="N353" s="44">
        <f t="shared" ref="N353:N416" si="59">IF(L353&lt;=InvMonths,SU_Amt*(1+$C$19)^M353,0)</f>
        <v>0</v>
      </c>
      <c r="O353" s="8">
        <f t="shared" ref="O353:O416" si="60">FV($S$1,(InvMonths-L353+1),0,-N353,1)</f>
        <v>0</v>
      </c>
      <c r="Q353" s="48">
        <f t="shared" ref="Q353:Q416" si="61">IF(L353&lt;=InvMonths,$R$27*(1+$C$19)^M353,0)</f>
        <v>0</v>
      </c>
      <c r="R353" s="8">
        <f t="shared" ref="R353:R416" si="62">FV($S$1,(InvMonths-L353+1),0,-Q353,1)</f>
        <v>0</v>
      </c>
      <c r="T353" s="48">
        <f t="shared" ref="T353:T416" si="63">IF(L353&lt;=InvMonths,$U$27,0)</f>
        <v>0</v>
      </c>
      <c r="U353" s="8">
        <f t="shared" ref="U353:U416" si="64">FV($S$1,(InvMonths-L353+1),0,-T353,1)</f>
        <v>0</v>
      </c>
      <c r="W353" s="48">
        <f t="shared" si="57"/>
        <v>0</v>
      </c>
      <c r="X353" s="8">
        <f t="shared" ref="X353:X416" si="65">FV($S$1,($X$26-L353+1),0,-W353,1)</f>
        <v>0</v>
      </c>
    </row>
    <row r="354" spans="11:24" ht="13.2" hidden="1" x14ac:dyDescent="0.25">
      <c r="K354" s="3" t="str">
        <f t="shared" si="58"/>
        <v/>
      </c>
      <c r="L354" s="39">
        <v>322</v>
      </c>
      <c r="M354" s="3">
        <f t="shared" ref="M354:M417" si="66">IF(MOD(L354,12)=0,(L354/12)-1,QUOTIENT(L354,12))</f>
        <v>26</v>
      </c>
      <c r="N354" s="44">
        <f t="shared" si="59"/>
        <v>0</v>
      </c>
      <c r="O354" s="8">
        <f t="shared" si="60"/>
        <v>0</v>
      </c>
      <c r="Q354" s="48">
        <f t="shared" si="61"/>
        <v>0</v>
      </c>
      <c r="R354" s="8">
        <f t="shared" si="62"/>
        <v>0</v>
      </c>
      <c r="T354" s="48">
        <f t="shared" si="63"/>
        <v>0</v>
      </c>
      <c r="U354" s="8">
        <f t="shared" si="64"/>
        <v>0</v>
      </c>
      <c r="W354" s="48">
        <f t="shared" ref="W354:W417" si="67">IF(L354&lt;=$X$26,$X$27,0)</f>
        <v>0</v>
      </c>
      <c r="X354" s="8">
        <f t="shared" si="65"/>
        <v>0</v>
      </c>
    </row>
    <row r="355" spans="11:24" ht="13.2" hidden="1" x14ac:dyDescent="0.25">
      <c r="K355" s="3" t="str">
        <f t="shared" si="58"/>
        <v/>
      </c>
      <c r="L355" s="39">
        <v>323</v>
      </c>
      <c r="M355" s="3">
        <f t="shared" si="66"/>
        <v>26</v>
      </c>
      <c r="N355" s="44">
        <f t="shared" si="59"/>
        <v>0</v>
      </c>
      <c r="O355" s="8">
        <f t="shared" si="60"/>
        <v>0</v>
      </c>
      <c r="Q355" s="48">
        <f t="shared" si="61"/>
        <v>0</v>
      </c>
      <c r="R355" s="8">
        <f t="shared" si="62"/>
        <v>0</v>
      </c>
      <c r="T355" s="48">
        <f t="shared" si="63"/>
        <v>0</v>
      </c>
      <c r="U355" s="8">
        <f t="shared" si="64"/>
        <v>0</v>
      </c>
      <c r="W355" s="48">
        <f t="shared" si="67"/>
        <v>0</v>
      </c>
      <c r="X355" s="8">
        <f t="shared" si="65"/>
        <v>0</v>
      </c>
    </row>
    <row r="356" spans="11:24" ht="13.2" hidden="1" x14ac:dyDescent="0.25">
      <c r="K356" s="3">
        <f t="shared" si="58"/>
        <v>27</v>
      </c>
      <c r="L356" s="39">
        <v>324</v>
      </c>
      <c r="M356" s="3">
        <f t="shared" si="66"/>
        <v>26</v>
      </c>
      <c r="N356" s="44">
        <f t="shared" si="59"/>
        <v>0</v>
      </c>
      <c r="O356" s="8">
        <f t="shared" si="60"/>
        <v>0</v>
      </c>
      <c r="Q356" s="48">
        <f t="shared" si="61"/>
        <v>0</v>
      </c>
      <c r="R356" s="8">
        <f t="shared" si="62"/>
        <v>0</v>
      </c>
      <c r="T356" s="48">
        <f t="shared" si="63"/>
        <v>0</v>
      </c>
      <c r="U356" s="8">
        <f t="shared" si="64"/>
        <v>0</v>
      </c>
      <c r="W356" s="48">
        <f t="shared" si="67"/>
        <v>0</v>
      </c>
      <c r="X356" s="8">
        <f t="shared" si="65"/>
        <v>0</v>
      </c>
    </row>
    <row r="357" spans="11:24" ht="13.2" hidden="1" x14ac:dyDescent="0.25">
      <c r="K357" s="3" t="str">
        <f t="shared" si="58"/>
        <v/>
      </c>
      <c r="L357" s="39">
        <v>325</v>
      </c>
      <c r="M357" s="3">
        <f t="shared" si="66"/>
        <v>27</v>
      </c>
      <c r="N357" s="44">
        <f t="shared" si="59"/>
        <v>0</v>
      </c>
      <c r="O357" s="8">
        <f t="shared" si="60"/>
        <v>0</v>
      </c>
      <c r="Q357" s="48">
        <f t="shared" si="61"/>
        <v>0</v>
      </c>
      <c r="R357" s="8">
        <f t="shared" si="62"/>
        <v>0</v>
      </c>
      <c r="T357" s="48">
        <f t="shared" si="63"/>
        <v>0</v>
      </c>
      <c r="U357" s="8">
        <f t="shared" si="64"/>
        <v>0</v>
      </c>
      <c r="W357" s="48">
        <f t="shared" si="67"/>
        <v>0</v>
      </c>
      <c r="X357" s="8">
        <f t="shared" si="65"/>
        <v>0</v>
      </c>
    </row>
    <row r="358" spans="11:24" ht="13.2" hidden="1" x14ac:dyDescent="0.25">
      <c r="K358" s="3" t="str">
        <f t="shared" si="58"/>
        <v/>
      </c>
      <c r="L358" s="39">
        <v>326</v>
      </c>
      <c r="M358" s="3">
        <f t="shared" si="66"/>
        <v>27</v>
      </c>
      <c r="N358" s="44">
        <f t="shared" si="59"/>
        <v>0</v>
      </c>
      <c r="O358" s="8">
        <f t="shared" si="60"/>
        <v>0</v>
      </c>
      <c r="Q358" s="48">
        <f t="shared" si="61"/>
        <v>0</v>
      </c>
      <c r="R358" s="8">
        <f t="shared" si="62"/>
        <v>0</v>
      </c>
      <c r="T358" s="48">
        <f t="shared" si="63"/>
        <v>0</v>
      </c>
      <c r="U358" s="8">
        <f t="shared" si="64"/>
        <v>0</v>
      </c>
      <c r="W358" s="48">
        <f t="shared" si="67"/>
        <v>0</v>
      </c>
      <c r="X358" s="8">
        <f t="shared" si="65"/>
        <v>0</v>
      </c>
    </row>
    <row r="359" spans="11:24" ht="13.2" hidden="1" x14ac:dyDescent="0.25">
      <c r="K359" s="3" t="str">
        <f t="shared" si="58"/>
        <v/>
      </c>
      <c r="L359" s="39">
        <v>327</v>
      </c>
      <c r="M359" s="3">
        <f t="shared" si="66"/>
        <v>27</v>
      </c>
      <c r="N359" s="44">
        <f t="shared" si="59"/>
        <v>0</v>
      </c>
      <c r="O359" s="8">
        <f t="shared" si="60"/>
        <v>0</v>
      </c>
      <c r="Q359" s="48">
        <f t="shared" si="61"/>
        <v>0</v>
      </c>
      <c r="R359" s="8">
        <f t="shared" si="62"/>
        <v>0</v>
      </c>
      <c r="T359" s="48">
        <f t="shared" si="63"/>
        <v>0</v>
      </c>
      <c r="U359" s="8">
        <f t="shared" si="64"/>
        <v>0</v>
      </c>
      <c r="W359" s="48">
        <f t="shared" si="67"/>
        <v>0</v>
      </c>
      <c r="X359" s="8">
        <f t="shared" si="65"/>
        <v>0</v>
      </c>
    </row>
    <row r="360" spans="11:24" ht="13.2" hidden="1" x14ac:dyDescent="0.25">
      <c r="K360" s="3" t="str">
        <f t="shared" si="58"/>
        <v/>
      </c>
      <c r="L360" s="39">
        <v>328</v>
      </c>
      <c r="M360" s="3">
        <f t="shared" si="66"/>
        <v>27</v>
      </c>
      <c r="N360" s="44">
        <f t="shared" si="59"/>
        <v>0</v>
      </c>
      <c r="O360" s="8">
        <f t="shared" si="60"/>
        <v>0</v>
      </c>
      <c r="Q360" s="48">
        <f t="shared" si="61"/>
        <v>0</v>
      </c>
      <c r="R360" s="8">
        <f t="shared" si="62"/>
        <v>0</v>
      </c>
      <c r="T360" s="48">
        <f t="shared" si="63"/>
        <v>0</v>
      </c>
      <c r="U360" s="8">
        <f t="shared" si="64"/>
        <v>0</v>
      </c>
      <c r="W360" s="48">
        <f t="shared" si="67"/>
        <v>0</v>
      </c>
      <c r="X360" s="8">
        <f t="shared" si="65"/>
        <v>0</v>
      </c>
    </row>
    <row r="361" spans="11:24" ht="13.2" hidden="1" x14ac:dyDescent="0.25">
      <c r="K361" s="3" t="str">
        <f t="shared" si="58"/>
        <v/>
      </c>
      <c r="L361" s="39">
        <v>329</v>
      </c>
      <c r="M361" s="3">
        <f t="shared" si="66"/>
        <v>27</v>
      </c>
      <c r="N361" s="44">
        <f t="shared" si="59"/>
        <v>0</v>
      </c>
      <c r="O361" s="8">
        <f t="shared" si="60"/>
        <v>0</v>
      </c>
      <c r="Q361" s="48">
        <f t="shared" si="61"/>
        <v>0</v>
      </c>
      <c r="R361" s="8">
        <f t="shared" si="62"/>
        <v>0</v>
      </c>
      <c r="T361" s="48">
        <f t="shared" si="63"/>
        <v>0</v>
      </c>
      <c r="U361" s="8">
        <f t="shared" si="64"/>
        <v>0</v>
      </c>
      <c r="W361" s="48">
        <f t="shared" si="67"/>
        <v>0</v>
      </c>
      <c r="X361" s="8">
        <f t="shared" si="65"/>
        <v>0</v>
      </c>
    </row>
    <row r="362" spans="11:24" ht="13.2" hidden="1" x14ac:dyDescent="0.25">
      <c r="K362" s="3" t="str">
        <f t="shared" ref="K362:K425" si="68">IF(MOD(L362,12)=0,L362/12,"")</f>
        <v/>
      </c>
      <c r="L362" s="39">
        <v>330</v>
      </c>
      <c r="M362" s="3">
        <f t="shared" si="66"/>
        <v>27</v>
      </c>
      <c r="N362" s="44">
        <f t="shared" si="59"/>
        <v>0</v>
      </c>
      <c r="O362" s="8">
        <f t="shared" si="60"/>
        <v>0</v>
      </c>
      <c r="Q362" s="48">
        <f t="shared" si="61"/>
        <v>0</v>
      </c>
      <c r="R362" s="8">
        <f t="shared" si="62"/>
        <v>0</v>
      </c>
      <c r="T362" s="48">
        <f t="shared" si="63"/>
        <v>0</v>
      </c>
      <c r="U362" s="8">
        <f t="shared" si="64"/>
        <v>0</v>
      </c>
      <c r="W362" s="48">
        <f t="shared" si="67"/>
        <v>0</v>
      </c>
      <c r="X362" s="8">
        <f t="shared" si="65"/>
        <v>0</v>
      </c>
    </row>
    <row r="363" spans="11:24" ht="13.2" hidden="1" x14ac:dyDescent="0.25">
      <c r="K363" s="3" t="str">
        <f t="shared" si="68"/>
        <v/>
      </c>
      <c r="L363" s="39">
        <v>331</v>
      </c>
      <c r="M363" s="3">
        <f t="shared" si="66"/>
        <v>27</v>
      </c>
      <c r="N363" s="44">
        <f t="shared" si="59"/>
        <v>0</v>
      </c>
      <c r="O363" s="8">
        <f t="shared" si="60"/>
        <v>0</v>
      </c>
      <c r="Q363" s="48">
        <f t="shared" si="61"/>
        <v>0</v>
      </c>
      <c r="R363" s="8">
        <f t="shared" si="62"/>
        <v>0</v>
      </c>
      <c r="T363" s="48">
        <f t="shared" si="63"/>
        <v>0</v>
      </c>
      <c r="U363" s="8">
        <f t="shared" si="64"/>
        <v>0</v>
      </c>
      <c r="W363" s="48">
        <f t="shared" si="67"/>
        <v>0</v>
      </c>
      <c r="X363" s="8">
        <f t="shared" si="65"/>
        <v>0</v>
      </c>
    </row>
    <row r="364" spans="11:24" ht="13.2" hidden="1" x14ac:dyDescent="0.25">
      <c r="K364" s="3" t="str">
        <f t="shared" si="68"/>
        <v/>
      </c>
      <c r="L364" s="39">
        <v>332</v>
      </c>
      <c r="M364" s="3">
        <f t="shared" si="66"/>
        <v>27</v>
      </c>
      <c r="N364" s="44">
        <f t="shared" si="59"/>
        <v>0</v>
      </c>
      <c r="O364" s="8">
        <f t="shared" si="60"/>
        <v>0</v>
      </c>
      <c r="Q364" s="48">
        <f t="shared" si="61"/>
        <v>0</v>
      </c>
      <c r="R364" s="8">
        <f t="shared" si="62"/>
        <v>0</v>
      </c>
      <c r="T364" s="48">
        <f t="shared" si="63"/>
        <v>0</v>
      </c>
      <c r="U364" s="8">
        <f t="shared" si="64"/>
        <v>0</v>
      </c>
      <c r="W364" s="48">
        <f t="shared" si="67"/>
        <v>0</v>
      </c>
      <c r="X364" s="8">
        <f t="shared" si="65"/>
        <v>0</v>
      </c>
    </row>
    <row r="365" spans="11:24" ht="13.2" hidden="1" x14ac:dyDescent="0.25">
      <c r="K365" s="3" t="str">
        <f t="shared" si="68"/>
        <v/>
      </c>
      <c r="L365" s="39">
        <v>333</v>
      </c>
      <c r="M365" s="3">
        <f t="shared" si="66"/>
        <v>27</v>
      </c>
      <c r="N365" s="44">
        <f t="shared" si="59"/>
        <v>0</v>
      </c>
      <c r="O365" s="8">
        <f t="shared" si="60"/>
        <v>0</v>
      </c>
      <c r="Q365" s="48">
        <f t="shared" si="61"/>
        <v>0</v>
      </c>
      <c r="R365" s="8">
        <f t="shared" si="62"/>
        <v>0</v>
      </c>
      <c r="T365" s="48">
        <f t="shared" si="63"/>
        <v>0</v>
      </c>
      <c r="U365" s="8">
        <f t="shared" si="64"/>
        <v>0</v>
      </c>
      <c r="W365" s="48">
        <f t="shared" si="67"/>
        <v>0</v>
      </c>
      <c r="X365" s="8">
        <f t="shared" si="65"/>
        <v>0</v>
      </c>
    </row>
    <row r="366" spans="11:24" ht="13.2" hidden="1" x14ac:dyDescent="0.25">
      <c r="K366" s="3" t="str">
        <f t="shared" si="68"/>
        <v/>
      </c>
      <c r="L366" s="39">
        <v>334</v>
      </c>
      <c r="M366" s="3">
        <f t="shared" si="66"/>
        <v>27</v>
      </c>
      <c r="N366" s="44">
        <f t="shared" si="59"/>
        <v>0</v>
      </c>
      <c r="O366" s="8">
        <f t="shared" si="60"/>
        <v>0</v>
      </c>
      <c r="Q366" s="48">
        <f t="shared" si="61"/>
        <v>0</v>
      </c>
      <c r="R366" s="8">
        <f t="shared" si="62"/>
        <v>0</v>
      </c>
      <c r="T366" s="48">
        <f t="shared" si="63"/>
        <v>0</v>
      </c>
      <c r="U366" s="8">
        <f t="shared" si="64"/>
        <v>0</v>
      </c>
      <c r="W366" s="48">
        <f t="shared" si="67"/>
        <v>0</v>
      </c>
      <c r="X366" s="8">
        <f t="shared" si="65"/>
        <v>0</v>
      </c>
    </row>
    <row r="367" spans="11:24" ht="13.2" hidden="1" x14ac:dyDescent="0.25">
      <c r="K367" s="3" t="str">
        <f t="shared" si="68"/>
        <v/>
      </c>
      <c r="L367" s="39">
        <v>335</v>
      </c>
      <c r="M367" s="3">
        <f t="shared" si="66"/>
        <v>27</v>
      </c>
      <c r="N367" s="44">
        <f t="shared" si="59"/>
        <v>0</v>
      </c>
      <c r="O367" s="8">
        <f t="shared" si="60"/>
        <v>0</v>
      </c>
      <c r="Q367" s="48">
        <f t="shared" si="61"/>
        <v>0</v>
      </c>
      <c r="R367" s="8">
        <f t="shared" si="62"/>
        <v>0</v>
      </c>
      <c r="T367" s="48">
        <f t="shared" si="63"/>
        <v>0</v>
      </c>
      <c r="U367" s="8">
        <f t="shared" si="64"/>
        <v>0</v>
      </c>
      <c r="W367" s="48">
        <f t="shared" si="67"/>
        <v>0</v>
      </c>
      <c r="X367" s="8">
        <f t="shared" si="65"/>
        <v>0</v>
      </c>
    </row>
    <row r="368" spans="11:24" ht="13.2" hidden="1" x14ac:dyDescent="0.25">
      <c r="K368" s="3">
        <f t="shared" si="68"/>
        <v>28</v>
      </c>
      <c r="L368" s="39">
        <v>336</v>
      </c>
      <c r="M368" s="3">
        <f t="shared" si="66"/>
        <v>27</v>
      </c>
      <c r="N368" s="44">
        <f t="shared" si="59"/>
        <v>0</v>
      </c>
      <c r="O368" s="8">
        <f t="shared" si="60"/>
        <v>0</v>
      </c>
      <c r="Q368" s="48">
        <f t="shared" si="61"/>
        <v>0</v>
      </c>
      <c r="R368" s="8">
        <f t="shared" si="62"/>
        <v>0</v>
      </c>
      <c r="T368" s="48">
        <f t="shared" si="63"/>
        <v>0</v>
      </c>
      <c r="U368" s="8">
        <f t="shared" si="64"/>
        <v>0</v>
      </c>
      <c r="W368" s="48">
        <f t="shared" si="67"/>
        <v>0</v>
      </c>
      <c r="X368" s="8">
        <f t="shared" si="65"/>
        <v>0</v>
      </c>
    </row>
    <row r="369" spans="11:24" ht="13.2" hidden="1" x14ac:dyDescent="0.25">
      <c r="K369" s="3" t="str">
        <f t="shared" si="68"/>
        <v/>
      </c>
      <c r="L369" s="39">
        <v>337</v>
      </c>
      <c r="M369" s="3">
        <f t="shared" si="66"/>
        <v>28</v>
      </c>
      <c r="N369" s="44">
        <f t="shared" si="59"/>
        <v>0</v>
      </c>
      <c r="O369" s="8">
        <f t="shared" si="60"/>
        <v>0</v>
      </c>
      <c r="Q369" s="48">
        <f t="shared" si="61"/>
        <v>0</v>
      </c>
      <c r="R369" s="8">
        <f t="shared" si="62"/>
        <v>0</v>
      </c>
      <c r="T369" s="48">
        <f t="shared" si="63"/>
        <v>0</v>
      </c>
      <c r="U369" s="8">
        <f t="shared" si="64"/>
        <v>0</v>
      </c>
      <c r="W369" s="48">
        <f t="shared" si="67"/>
        <v>0</v>
      </c>
      <c r="X369" s="8">
        <f t="shared" si="65"/>
        <v>0</v>
      </c>
    </row>
    <row r="370" spans="11:24" ht="13.2" hidden="1" x14ac:dyDescent="0.25">
      <c r="K370" s="3" t="str">
        <f t="shared" si="68"/>
        <v/>
      </c>
      <c r="L370" s="39">
        <v>338</v>
      </c>
      <c r="M370" s="3">
        <f t="shared" si="66"/>
        <v>28</v>
      </c>
      <c r="N370" s="44">
        <f t="shared" si="59"/>
        <v>0</v>
      </c>
      <c r="O370" s="8">
        <f t="shared" si="60"/>
        <v>0</v>
      </c>
      <c r="Q370" s="48">
        <f t="shared" si="61"/>
        <v>0</v>
      </c>
      <c r="R370" s="8">
        <f t="shared" si="62"/>
        <v>0</v>
      </c>
      <c r="T370" s="48">
        <f t="shared" si="63"/>
        <v>0</v>
      </c>
      <c r="U370" s="8">
        <f t="shared" si="64"/>
        <v>0</v>
      </c>
      <c r="W370" s="48">
        <f t="shared" si="67"/>
        <v>0</v>
      </c>
      <c r="X370" s="8">
        <f t="shared" si="65"/>
        <v>0</v>
      </c>
    </row>
    <row r="371" spans="11:24" ht="13.2" hidden="1" x14ac:dyDescent="0.25">
      <c r="K371" s="3" t="str">
        <f t="shared" si="68"/>
        <v/>
      </c>
      <c r="L371" s="39">
        <v>339</v>
      </c>
      <c r="M371" s="3">
        <f t="shared" si="66"/>
        <v>28</v>
      </c>
      <c r="N371" s="44">
        <f t="shared" si="59"/>
        <v>0</v>
      </c>
      <c r="O371" s="8">
        <f t="shared" si="60"/>
        <v>0</v>
      </c>
      <c r="Q371" s="48">
        <f t="shared" si="61"/>
        <v>0</v>
      </c>
      <c r="R371" s="8">
        <f t="shared" si="62"/>
        <v>0</v>
      </c>
      <c r="T371" s="48">
        <f t="shared" si="63"/>
        <v>0</v>
      </c>
      <c r="U371" s="8">
        <f t="shared" si="64"/>
        <v>0</v>
      </c>
      <c r="W371" s="48">
        <f t="shared" si="67"/>
        <v>0</v>
      </c>
      <c r="X371" s="8">
        <f t="shared" si="65"/>
        <v>0</v>
      </c>
    </row>
    <row r="372" spans="11:24" ht="13.2" hidden="1" x14ac:dyDescent="0.25">
      <c r="K372" s="3" t="str">
        <f t="shared" si="68"/>
        <v/>
      </c>
      <c r="L372" s="39">
        <v>340</v>
      </c>
      <c r="M372" s="3">
        <f t="shared" si="66"/>
        <v>28</v>
      </c>
      <c r="N372" s="44">
        <f t="shared" si="59"/>
        <v>0</v>
      </c>
      <c r="O372" s="8">
        <f t="shared" si="60"/>
        <v>0</v>
      </c>
      <c r="Q372" s="48">
        <f t="shared" si="61"/>
        <v>0</v>
      </c>
      <c r="R372" s="8">
        <f t="shared" si="62"/>
        <v>0</v>
      </c>
      <c r="T372" s="48">
        <f t="shared" si="63"/>
        <v>0</v>
      </c>
      <c r="U372" s="8">
        <f t="shared" si="64"/>
        <v>0</v>
      </c>
      <c r="W372" s="48">
        <f t="shared" si="67"/>
        <v>0</v>
      </c>
      <c r="X372" s="8">
        <f t="shared" si="65"/>
        <v>0</v>
      </c>
    </row>
    <row r="373" spans="11:24" ht="13.2" hidden="1" x14ac:dyDescent="0.25">
      <c r="K373" s="3" t="str">
        <f t="shared" si="68"/>
        <v/>
      </c>
      <c r="L373" s="39">
        <v>341</v>
      </c>
      <c r="M373" s="3">
        <f t="shared" si="66"/>
        <v>28</v>
      </c>
      <c r="N373" s="44">
        <f t="shared" si="59"/>
        <v>0</v>
      </c>
      <c r="O373" s="8">
        <f t="shared" si="60"/>
        <v>0</v>
      </c>
      <c r="Q373" s="48">
        <f t="shared" si="61"/>
        <v>0</v>
      </c>
      <c r="R373" s="8">
        <f t="shared" si="62"/>
        <v>0</v>
      </c>
      <c r="T373" s="48">
        <f t="shared" si="63"/>
        <v>0</v>
      </c>
      <c r="U373" s="8">
        <f t="shared" si="64"/>
        <v>0</v>
      </c>
      <c r="W373" s="48">
        <f t="shared" si="67"/>
        <v>0</v>
      </c>
      <c r="X373" s="8">
        <f t="shared" si="65"/>
        <v>0</v>
      </c>
    </row>
    <row r="374" spans="11:24" ht="13.2" hidden="1" x14ac:dyDescent="0.25">
      <c r="K374" s="3" t="str">
        <f t="shared" si="68"/>
        <v/>
      </c>
      <c r="L374" s="39">
        <v>342</v>
      </c>
      <c r="M374" s="3">
        <f t="shared" si="66"/>
        <v>28</v>
      </c>
      <c r="N374" s="44">
        <f t="shared" si="59"/>
        <v>0</v>
      </c>
      <c r="O374" s="8">
        <f t="shared" si="60"/>
        <v>0</v>
      </c>
      <c r="Q374" s="48">
        <f t="shared" si="61"/>
        <v>0</v>
      </c>
      <c r="R374" s="8">
        <f t="shared" si="62"/>
        <v>0</v>
      </c>
      <c r="T374" s="48">
        <f t="shared" si="63"/>
        <v>0</v>
      </c>
      <c r="U374" s="8">
        <f t="shared" si="64"/>
        <v>0</v>
      </c>
      <c r="W374" s="48">
        <f t="shared" si="67"/>
        <v>0</v>
      </c>
      <c r="X374" s="8">
        <f t="shared" si="65"/>
        <v>0</v>
      </c>
    </row>
    <row r="375" spans="11:24" ht="13.2" hidden="1" x14ac:dyDescent="0.25">
      <c r="K375" s="3" t="str">
        <f t="shared" si="68"/>
        <v/>
      </c>
      <c r="L375" s="39">
        <v>343</v>
      </c>
      <c r="M375" s="3">
        <f t="shared" si="66"/>
        <v>28</v>
      </c>
      <c r="N375" s="44">
        <f t="shared" si="59"/>
        <v>0</v>
      </c>
      <c r="O375" s="8">
        <f t="shared" si="60"/>
        <v>0</v>
      </c>
      <c r="Q375" s="48">
        <f t="shared" si="61"/>
        <v>0</v>
      </c>
      <c r="R375" s="8">
        <f t="shared" si="62"/>
        <v>0</v>
      </c>
      <c r="T375" s="48">
        <f t="shared" si="63"/>
        <v>0</v>
      </c>
      <c r="U375" s="8">
        <f t="shared" si="64"/>
        <v>0</v>
      </c>
      <c r="W375" s="48">
        <f t="shared" si="67"/>
        <v>0</v>
      </c>
      <c r="X375" s="8">
        <f t="shared" si="65"/>
        <v>0</v>
      </c>
    </row>
    <row r="376" spans="11:24" ht="13.2" hidden="1" x14ac:dyDescent="0.25">
      <c r="K376" s="3" t="str">
        <f t="shared" si="68"/>
        <v/>
      </c>
      <c r="L376" s="39">
        <v>344</v>
      </c>
      <c r="M376" s="3">
        <f t="shared" si="66"/>
        <v>28</v>
      </c>
      <c r="N376" s="44">
        <f t="shared" si="59"/>
        <v>0</v>
      </c>
      <c r="O376" s="8">
        <f t="shared" si="60"/>
        <v>0</v>
      </c>
      <c r="Q376" s="48">
        <f t="shared" si="61"/>
        <v>0</v>
      </c>
      <c r="R376" s="8">
        <f t="shared" si="62"/>
        <v>0</v>
      </c>
      <c r="T376" s="48">
        <f t="shared" si="63"/>
        <v>0</v>
      </c>
      <c r="U376" s="8">
        <f t="shared" si="64"/>
        <v>0</v>
      </c>
      <c r="W376" s="48">
        <f t="shared" si="67"/>
        <v>0</v>
      </c>
      <c r="X376" s="8">
        <f t="shared" si="65"/>
        <v>0</v>
      </c>
    </row>
    <row r="377" spans="11:24" ht="13.2" hidden="1" x14ac:dyDescent="0.25">
      <c r="K377" s="3" t="str">
        <f t="shared" si="68"/>
        <v/>
      </c>
      <c r="L377" s="39">
        <v>345</v>
      </c>
      <c r="M377" s="3">
        <f t="shared" si="66"/>
        <v>28</v>
      </c>
      <c r="N377" s="44">
        <f t="shared" si="59"/>
        <v>0</v>
      </c>
      <c r="O377" s="8">
        <f t="shared" si="60"/>
        <v>0</v>
      </c>
      <c r="Q377" s="48">
        <f t="shared" si="61"/>
        <v>0</v>
      </c>
      <c r="R377" s="8">
        <f t="shared" si="62"/>
        <v>0</v>
      </c>
      <c r="T377" s="48">
        <f t="shared" si="63"/>
        <v>0</v>
      </c>
      <c r="U377" s="8">
        <f t="shared" si="64"/>
        <v>0</v>
      </c>
      <c r="W377" s="48">
        <f t="shared" si="67"/>
        <v>0</v>
      </c>
      <c r="X377" s="8">
        <f t="shared" si="65"/>
        <v>0</v>
      </c>
    </row>
    <row r="378" spans="11:24" ht="13.2" hidden="1" x14ac:dyDescent="0.25">
      <c r="K378" s="3" t="str">
        <f t="shared" si="68"/>
        <v/>
      </c>
      <c r="L378" s="39">
        <v>346</v>
      </c>
      <c r="M378" s="3">
        <f t="shared" si="66"/>
        <v>28</v>
      </c>
      <c r="N378" s="44">
        <f t="shared" si="59"/>
        <v>0</v>
      </c>
      <c r="O378" s="8">
        <f t="shared" si="60"/>
        <v>0</v>
      </c>
      <c r="Q378" s="48">
        <f t="shared" si="61"/>
        <v>0</v>
      </c>
      <c r="R378" s="8">
        <f t="shared" si="62"/>
        <v>0</v>
      </c>
      <c r="T378" s="48">
        <f t="shared" si="63"/>
        <v>0</v>
      </c>
      <c r="U378" s="8">
        <f t="shared" si="64"/>
        <v>0</v>
      </c>
      <c r="W378" s="48">
        <f t="shared" si="67"/>
        <v>0</v>
      </c>
      <c r="X378" s="8">
        <f t="shared" si="65"/>
        <v>0</v>
      </c>
    </row>
    <row r="379" spans="11:24" ht="13.2" hidden="1" x14ac:dyDescent="0.25">
      <c r="K379" s="3" t="str">
        <f t="shared" si="68"/>
        <v/>
      </c>
      <c r="L379" s="39">
        <v>347</v>
      </c>
      <c r="M379" s="3">
        <f t="shared" si="66"/>
        <v>28</v>
      </c>
      <c r="N379" s="44">
        <f t="shared" si="59"/>
        <v>0</v>
      </c>
      <c r="O379" s="8">
        <f t="shared" si="60"/>
        <v>0</v>
      </c>
      <c r="Q379" s="48">
        <f t="shared" si="61"/>
        <v>0</v>
      </c>
      <c r="R379" s="8">
        <f t="shared" si="62"/>
        <v>0</v>
      </c>
      <c r="T379" s="48">
        <f t="shared" si="63"/>
        <v>0</v>
      </c>
      <c r="U379" s="8">
        <f t="shared" si="64"/>
        <v>0</v>
      </c>
      <c r="W379" s="48">
        <f t="shared" si="67"/>
        <v>0</v>
      </c>
      <c r="X379" s="8">
        <f t="shared" si="65"/>
        <v>0</v>
      </c>
    </row>
    <row r="380" spans="11:24" ht="13.2" hidden="1" x14ac:dyDescent="0.25">
      <c r="K380" s="3">
        <f t="shared" si="68"/>
        <v>29</v>
      </c>
      <c r="L380" s="39">
        <v>348</v>
      </c>
      <c r="M380" s="3">
        <f t="shared" si="66"/>
        <v>28</v>
      </c>
      <c r="N380" s="44">
        <f t="shared" si="59"/>
        <v>0</v>
      </c>
      <c r="O380" s="8">
        <f t="shared" si="60"/>
        <v>0</v>
      </c>
      <c r="Q380" s="48">
        <f t="shared" si="61"/>
        <v>0</v>
      </c>
      <c r="R380" s="8">
        <f t="shared" si="62"/>
        <v>0</v>
      </c>
      <c r="T380" s="48">
        <f t="shared" si="63"/>
        <v>0</v>
      </c>
      <c r="U380" s="8">
        <f t="shared" si="64"/>
        <v>0</v>
      </c>
      <c r="W380" s="48">
        <f t="shared" si="67"/>
        <v>0</v>
      </c>
      <c r="X380" s="8">
        <f t="shared" si="65"/>
        <v>0</v>
      </c>
    </row>
    <row r="381" spans="11:24" ht="13.2" hidden="1" x14ac:dyDescent="0.25">
      <c r="K381" s="3" t="str">
        <f t="shared" si="68"/>
        <v/>
      </c>
      <c r="L381" s="39">
        <v>349</v>
      </c>
      <c r="M381" s="3">
        <f t="shared" si="66"/>
        <v>29</v>
      </c>
      <c r="N381" s="44">
        <f t="shared" si="59"/>
        <v>0</v>
      </c>
      <c r="O381" s="8">
        <f t="shared" si="60"/>
        <v>0</v>
      </c>
      <c r="Q381" s="48">
        <f t="shared" si="61"/>
        <v>0</v>
      </c>
      <c r="R381" s="8">
        <f t="shared" si="62"/>
        <v>0</v>
      </c>
      <c r="T381" s="48">
        <f t="shared" si="63"/>
        <v>0</v>
      </c>
      <c r="U381" s="8">
        <f t="shared" si="64"/>
        <v>0</v>
      </c>
      <c r="W381" s="48">
        <f t="shared" si="67"/>
        <v>0</v>
      </c>
      <c r="X381" s="8">
        <f t="shared" si="65"/>
        <v>0</v>
      </c>
    </row>
    <row r="382" spans="11:24" ht="13.2" hidden="1" x14ac:dyDescent="0.25">
      <c r="K382" s="3" t="str">
        <f t="shared" si="68"/>
        <v/>
      </c>
      <c r="L382" s="39">
        <v>350</v>
      </c>
      <c r="M382" s="3">
        <f t="shared" si="66"/>
        <v>29</v>
      </c>
      <c r="N382" s="44">
        <f t="shared" si="59"/>
        <v>0</v>
      </c>
      <c r="O382" s="8">
        <f t="shared" si="60"/>
        <v>0</v>
      </c>
      <c r="Q382" s="48">
        <f t="shared" si="61"/>
        <v>0</v>
      </c>
      <c r="R382" s="8">
        <f t="shared" si="62"/>
        <v>0</v>
      </c>
      <c r="T382" s="48">
        <f t="shared" si="63"/>
        <v>0</v>
      </c>
      <c r="U382" s="8">
        <f t="shared" si="64"/>
        <v>0</v>
      </c>
      <c r="W382" s="48">
        <f t="shared" si="67"/>
        <v>0</v>
      </c>
      <c r="X382" s="8">
        <f t="shared" si="65"/>
        <v>0</v>
      </c>
    </row>
    <row r="383" spans="11:24" ht="13.2" hidden="1" x14ac:dyDescent="0.25">
      <c r="K383" s="3" t="str">
        <f t="shared" si="68"/>
        <v/>
      </c>
      <c r="L383" s="39">
        <v>351</v>
      </c>
      <c r="M383" s="3">
        <f t="shared" si="66"/>
        <v>29</v>
      </c>
      <c r="N383" s="44">
        <f t="shared" si="59"/>
        <v>0</v>
      </c>
      <c r="O383" s="8">
        <f t="shared" si="60"/>
        <v>0</v>
      </c>
      <c r="Q383" s="48">
        <f t="shared" si="61"/>
        <v>0</v>
      </c>
      <c r="R383" s="8">
        <f t="shared" si="62"/>
        <v>0</v>
      </c>
      <c r="T383" s="48">
        <f t="shared" si="63"/>
        <v>0</v>
      </c>
      <c r="U383" s="8">
        <f t="shared" si="64"/>
        <v>0</v>
      </c>
      <c r="W383" s="48">
        <f t="shared" si="67"/>
        <v>0</v>
      </c>
      <c r="X383" s="8">
        <f t="shared" si="65"/>
        <v>0</v>
      </c>
    </row>
    <row r="384" spans="11:24" ht="13.2" hidden="1" x14ac:dyDescent="0.25">
      <c r="K384" s="3" t="str">
        <f t="shared" si="68"/>
        <v/>
      </c>
      <c r="L384" s="39">
        <v>352</v>
      </c>
      <c r="M384" s="3">
        <f t="shared" si="66"/>
        <v>29</v>
      </c>
      <c r="N384" s="44">
        <f t="shared" si="59"/>
        <v>0</v>
      </c>
      <c r="O384" s="8">
        <f t="shared" si="60"/>
        <v>0</v>
      </c>
      <c r="Q384" s="48">
        <f t="shared" si="61"/>
        <v>0</v>
      </c>
      <c r="R384" s="8">
        <f t="shared" si="62"/>
        <v>0</v>
      </c>
      <c r="T384" s="48">
        <f t="shared" si="63"/>
        <v>0</v>
      </c>
      <c r="U384" s="8">
        <f t="shared" si="64"/>
        <v>0</v>
      </c>
      <c r="W384" s="48">
        <f t="shared" si="67"/>
        <v>0</v>
      </c>
      <c r="X384" s="8">
        <f t="shared" si="65"/>
        <v>0</v>
      </c>
    </row>
    <row r="385" spans="11:24" ht="13.2" hidden="1" x14ac:dyDescent="0.25">
      <c r="K385" s="3" t="str">
        <f t="shared" si="68"/>
        <v/>
      </c>
      <c r="L385" s="39">
        <v>353</v>
      </c>
      <c r="M385" s="3">
        <f t="shared" si="66"/>
        <v>29</v>
      </c>
      <c r="N385" s="44">
        <f t="shared" si="59"/>
        <v>0</v>
      </c>
      <c r="O385" s="8">
        <f t="shared" si="60"/>
        <v>0</v>
      </c>
      <c r="Q385" s="48">
        <f t="shared" si="61"/>
        <v>0</v>
      </c>
      <c r="R385" s="8">
        <f t="shared" si="62"/>
        <v>0</v>
      </c>
      <c r="T385" s="48">
        <f t="shared" si="63"/>
        <v>0</v>
      </c>
      <c r="U385" s="8">
        <f t="shared" si="64"/>
        <v>0</v>
      </c>
      <c r="W385" s="48">
        <f t="shared" si="67"/>
        <v>0</v>
      </c>
      <c r="X385" s="8">
        <f t="shared" si="65"/>
        <v>0</v>
      </c>
    </row>
    <row r="386" spans="11:24" ht="13.2" hidden="1" x14ac:dyDescent="0.25">
      <c r="K386" s="3" t="str">
        <f t="shared" si="68"/>
        <v/>
      </c>
      <c r="L386" s="39">
        <v>354</v>
      </c>
      <c r="M386" s="3">
        <f t="shared" si="66"/>
        <v>29</v>
      </c>
      <c r="N386" s="44">
        <f t="shared" si="59"/>
        <v>0</v>
      </c>
      <c r="O386" s="8">
        <f t="shared" si="60"/>
        <v>0</v>
      </c>
      <c r="Q386" s="48">
        <f t="shared" si="61"/>
        <v>0</v>
      </c>
      <c r="R386" s="8">
        <f t="shared" si="62"/>
        <v>0</v>
      </c>
      <c r="T386" s="48">
        <f t="shared" si="63"/>
        <v>0</v>
      </c>
      <c r="U386" s="8">
        <f t="shared" si="64"/>
        <v>0</v>
      </c>
      <c r="W386" s="48">
        <f t="shared" si="67"/>
        <v>0</v>
      </c>
      <c r="X386" s="8">
        <f t="shared" si="65"/>
        <v>0</v>
      </c>
    </row>
    <row r="387" spans="11:24" ht="13.2" hidden="1" x14ac:dyDescent="0.25">
      <c r="K387" s="3" t="str">
        <f t="shared" si="68"/>
        <v/>
      </c>
      <c r="L387" s="39">
        <v>355</v>
      </c>
      <c r="M387" s="3">
        <f t="shared" si="66"/>
        <v>29</v>
      </c>
      <c r="N387" s="44">
        <f t="shared" si="59"/>
        <v>0</v>
      </c>
      <c r="O387" s="8">
        <f t="shared" si="60"/>
        <v>0</v>
      </c>
      <c r="Q387" s="48">
        <f t="shared" si="61"/>
        <v>0</v>
      </c>
      <c r="R387" s="8">
        <f t="shared" si="62"/>
        <v>0</v>
      </c>
      <c r="T387" s="48">
        <f t="shared" si="63"/>
        <v>0</v>
      </c>
      <c r="U387" s="8">
        <f t="shared" si="64"/>
        <v>0</v>
      </c>
      <c r="W387" s="48">
        <f t="shared" si="67"/>
        <v>0</v>
      </c>
      <c r="X387" s="8">
        <f t="shared" si="65"/>
        <v>0</v>
      </c>
    </row>
    <row r="388" spans="11:24" ht="13.2" hidden="1" x14ac:dyDescent="0.25">
      <c r="K388" s="3" t="str">
        <f t="shared" si="68"/>
        <v/>
      </c>
      <c r="L388" s="39">
        <v>356</v>
      </c>
      <c r="M388" s="3">
        <f t="shared" si="66"/>
        <v>29</v>
      </c>
      <c r="N388" s="44">
        <f t="shared" si="59"/>
        <v>0</v>
      </c>
      <c r="O388" s="8">
        <f t="shared" si="60"/>
        <v>0</v>
      </c>
      <c r="Q388" s="48">
        <f t="shared" si="61"/>
        <v>0</v>
      </c>
      <c r="R388" s="8">
        <f t="shared" si="62"/>
        <v>0</v>
      </c>
      <c r="T388" s="48">
        <f t="shared" si="63"/>
        <v>0</v>
      </c>
      <c r="U388" s="8">
        <f t="shared" si="64"/>
        <v>0</v>
      </c>
      <c r="W388" s="48">
        <f t="shared" si="67"/>
        <v>0</v>
      </c>
      <c r="X388" s="8">
        <f t="shared" si="65"/>
        <v>0</v>
      </c>
    </row>
    <row r="389" spans="11:24" ht="13.2" hidden="1" x14ac:dyDescent="0.25">
      <c r="K389" s="3" t="str">
        <f t="shared" si="68"/>
        <v/>
      </c>
      <c r="L389" s="39">
        <v>357</v>
      </c>
      <c r="M389" s="3">
        <f t="shared" si="66"/>
        <v>29</v>
      </c>
      <c r="N389" s="44">
        <f t="shared" si="59"/>
        <v>0</v>
      </c>
      <c r="O389" s="8">
        <f t="shared" si="60"/>
        <v>0</v>
      </c>
      <c r="Q389" s="48">
        <f t="shared" si="61"/>
        <v>0</v>
      </c>
      <c r="R389" s="8">
        <f t="shared" si="62"/>
        <v>0</v>
      </c>
      <c r="T389" s="48">
        <f t="shared" si="63"/>
        <v>0</v>
      </c>
      <c r="U389" s="8">
        <f t="shared" si="64"/>
        <v>0</v>
      </c>
      <c r="W389" s="48">
        <f t="shared" si="67"/>
        <v>0</v>
      </c>
      <c r="X389" s="8">
        <f t="shared" si="65"/>
        <v>0</v>
      </c>
    </row>
    <row r="390" spans="11:24" ht="13.2" hidden="1" x14ac:dyDescent="0.25">
      <c r="K390" s="3" t="str">
        <f t="shared" si="68"/>
        <v/>
      </c>
      <c r="L390" s="39">
        <v>358</v>
      </c>
      <c r="M390" s="3">
        <f t="shared" si="66"/>
        <v>29</v>
      </c>
      <c r="N390" s="44">
        <f t="shared" si="59"/>
        <v>0</v>
      </c>
      <c r="O390" s="8">
        <f t="shared" si="60"/>
        <v>0</v>
      </c>
      <c r="Q390" s="48">
        <f t="shared" si="61"/>
        <v>0</v>
      </c>
      <c r="R390" s="8">
        <f t="shared" si="62"/>
        <v>0</v>
      </c>
      <c r="T390" s="48">
        <f t="shared" si="63"/>
        <v>0</v>
      </c>
      <c r="U390" s="8">
        <f t="shared" si="64"/>
        <v>0</v>
      </c>
      <c r="W390" s="48">
        <f t="shared" si="67"/>
        <v>0</v>
      </c>
      <c r="X390" s="8">
        <f t="shared" si="65"/>
        <v>0</v>
      </c>
    </row>
    <row r="391" spans="11:24" ht="13.2" hidden="1" x14ac:dyDescent="0.25">
      <c r="K391" s="3" t="str">
        <f t="shared" si="68"/>
        <v/>
      </c>
      <c r="L391" s="39">
        <v>359</v>
      </c>
      <c r="M391" s="3">
        <f t="shared" si="66"/>
        <v>29</v>
      </c>
      <c r="N391" s="44">
        <f t="shared" si="59"/>
        <v>0</v>
      </c>
      <c r="O391" s="8">
        <f t="shared" si="60"/>
        <v>0</v>
      </c>
      <c r="Q391" s="48">
        <f t="shared" si="61"/>
        <v>0</v>
      </c>
      <c r="R391" s="8">
        <f t="shared" si="62"/>
        <v>0</v>
      </c>
      <c r="T391" s="48">
        <f t="shared" si="63"/>
        <v>0</v>
      </c>
      <c r="U391" s="8">
        <f t="shared" si="64"/>
        <v>0</v>
      </c>
      <c r="W391" s="48">
        <f t="shared" si="67"/>
        <v>0</v>
      </c>
      <c r="X391" s="8">
        <f t="shared" si="65"/>
        <v>0</v>
      </c>
    </row>
    <row r="392" spans="11:24" ht="13.2" hidden="1" x14ac:dyDescent="0.25">
      <c r="K392" s="3">
        <f t="shared" si="68"/>
        <v>30</v>
      </c>
      <c r="L392" s="39">
        <v>360</v>
      </c>
      <c r="M392" s="3">
        <f t="shared" si="66"/>
        <v>29</v>
      </c>
      <c r="N392" s="44">
        <f t="shared" si="59"/>
        <v>0</v>
      </c>
      <c r="O392" s="8">
        <f t="shared" si="60"/>
        <v>0</v>
      </c>
      <c r="Q392" s="48">
        <f t="shared" si="61"/>
        <v>0</v>
      </c>
      <c r="R392" s="8">
        <f t="shared" si="62"/>
        <v>0</v>
      </c>
      <c r="T392" s="48">
        <f t="shared" si="63"/>
        <v>0</v>
      </c>
      <c r="U392" s="8">
        <f t="shared" si="64"/>
        <v>0</v>
      </c>
      <c r="W392" s="48">
        <f t="shared" si="67"/>
        <v>0</v>
      </c>
      <c r="X392" s="8">
        <f t="shared" si="65"/>
        <v>0</v>
      </c>
    </row>
    <row r="393" spans="11:24" ht="13.2" hidden="1" x14ac:dyDescent="0.25">
      <c r="K393" s="3" t="str">
        <f t="shared" si="68"/>
        <v/>
      </c>
      <c r="L393" s="39">
        <v>361</v>
      </c>
      <c r="M393" s="3">
        <f t="shared" si="66"/>
        <v>30</v>
      </c>
      <c r="N393" s="44">
        <f t="shared" si="59"/>
        <v>0</v>
      </c>
      <c r="O393" s="8">
        <f t="shared" si="60"/>
        <v>0</v>
      </c>
      <c r="Q393" s="48">
        <f t="shared" si="61"/>
        <v>0</v>
      </c>
      <c r="R393" s="8">
        <f t="shared" si="62"/>
        <v>0</v>
      </c>
      <c r="T393" s="48">
        <f t="shared" si="63"/>
        <v>0</v>
      </c>
      <c r="U393" s="8">
        <f t="shared" si="64"/>
        <v>0</v>
      </c>
      <c r="W393" s="48">
        <f t="shared" si="67"/>
        <v>0</v>
      </c>
      <c r="X393" s="8">
        <f t="shared" si="65"/>
        <v>0</v>
      </c>
    </row>
    <row r="394" spans="11:24" ht="13.2" hidden="1" x14ac:dyDescent="0.25">
      <c r="K394" s="3" t="str">
        <f t="shared" si="68"/>
        <v/>
      </c>
      <c r="L394" s="39">
        <v>362</v>
      </c>
      <c r="M394" s="3">
        <f t="shared" si="66"/>
        <v>30</v>
      </c>
      <c r="N394" s="44">
        <f t="shared" si="59"/>
        <v>0</v>
      </c>
      <c r="O394" s="8">
        <f t="shared" si="60"/>
        <v>0</v>
      </c>
      <c r="Q394" s="48">
        <f t="shared" si="61"/>
        <v>0</v>
      </c>
      <c r="R394" s="8">
        <f t="shared" si="62"/>
        <v>0</v>
      </c>
      <c r="T394" s="48">
        <f t="shared" si="63"/>
        <v>0</v>
      </c>
      <c r="U394" s="8">
        <f t="shared" si="64"/>
        <v>0</v>
      </c>
      <c r="W394" s="48">
        <f t="shared" si="67"/>
        <v>0</v>
      </c>
      <c r="X394" s="8">
        <f t="shared" si="65"/>
        <v>0</v>
      </c>
    </row>
    <row r="395" spans="11:24" ht="13.2" hidden="1" x14ac:dyDescent="0.25">
      <c r="K395" s="3" t="str">
        <f t="shared" si="68"/>
        <v/>
      </c>
      <c r="L395" s="39">
        <v>363</v>
      </c>
      <c r="M395" s="3">
        <f t="shared" si="66"/>
        <v>30</v>
      </c>
      <c r="N395" s="44">
        <f t="shared" si="59"/>
        <v>0</v>
      </c>
      <c r="O395" s="8">
        <f t="shared" si="60"/>
        <v>0</v>
      </c>
      <c r="Q395" s="48">
        <f t="shared" si="61"/>
        <v>0</v>
      </c>
      <c r="R395" s="8">
        <f t="shared" si="62"/>
        <v>0</v>
      </c>
      <c r="T395" s="48">
        <f t="shared" si="63"/>
        <v>0</v>
      </c>
      <c r="U395" s="8">
        <f t="shared" si="64"/>
        <v>0</v>
      </c>
      <c r="W395" s="48">
        <f t="shared" si="67"/>
        <v>0</v>
      </c>
      <c r="X395" s="8">
        <f t="shared" si="65"/>
        <v>0</v>
      </c>
    </row>
    <row r="396" spans="11:24" ht="13.2" hidden="1" x14ac:dyDescent="0.25">
      <c r="K396" s="3" t="str">
        <f t="shared" si="68"/>
        <v/>
      </c>
      <c r="L396" s="39">
        <v>364</v>
      </c>
      <c r="M396" s="3">
        <f t="shared" si="66"/>
        <v>30</v>
      </c>
      <c r="N396" s="44">
        <f t="shared" si="59"/>
        <v>0</v>
      </c>
      <c r="O396" s="8">
        <f t="shared" si="60"/>
        <v>0</v>
      </c>
      <c r="Q396" s="48">
        <f t="shared" si="61"/>
        <v>0</v>
      </c>
      <c r="R396" s="8">
        <f t="shared" si="62"/>
        <v>0</v>
      </c>
      <c r="T396" s="48">
        <f t="shared" si="63"/>
        <v>0</v>
      </c>
      <c r="U396" s="8">
        <f t="shared" si="64"/>
        <v>0</v>
      </c>
      <c r="W396" s="48">
        <f t="shared" si="67"/>
        <v>0</v>
      </c>
      <c r="X396" s="8">
        <f t="shared" si="65"/>
        <v>0</v>
      </c>
    </row>
    <row r="397" spans="11:24" ht="13.2" hidden="1" x14ac:dyDescent="0.25">
      <c r="K397" s="3" t="str">
        <f t="shared" si="68"/>
        <v/>
      </c>
      <c r="L397" s="39">
        <v>365</v>
      </c>
      <c r="M397" s="3">
        <f t="shared" si="66"/>
        <v>30</v>
      </c>
      <c r="N397" s="44">
        <f t="shared" si="59"/>
        <v>0</v>
      </c>
      <c r="O397" s="8">
        <f t="shared" si="60"/>
        <v>0</v>
      </c>
      <c r="Q397" s="48">
        <f t="shared" si="61"/>
        <v>0</v>
      </c>
      <c r="R397" s="8">
        <f t="shared" si="62"/>
        <v>0</v>
      </c>
      <c r="T397" s="48">
        <f t="shared" si="63"/>
        <v>0</v>
      </c>
      <c r="U397" s="8">
        <f t="shared" si="64"/>
        <v>0</v>
      </c>
      <c r="W397" s="48">
        <f t="shared" si="67"/>
        <v>0</v>
      </c>
      <c r="X397" s="8">
        <f t="shared" si="65"/>
        <v>0</v>
      </c>
    </row>
    <row r="398" spans="11:24" ht="13.2" hidden="1" x14ac:dyDescent="0.25">
      <c r="K398" s="3" t="str">
        <f t="shared" si="68"/>
        <v/>
      </c>
      <c r="L398" s="39">
        <v>366</v>
      </c>
      <c r="M398" s="3">
        <f t="shared" si="66"/>
        <v>30</v>
      </c>
      <c r="N398" s="44">
        <f t="shared" si="59"/>
        <v>0</v>
      </c>
      <c r="O398" s="8">
        <f t="shared" si="60"/>
        <v>0</v>
      </c>
      <c r="Q398" s="48">
        <f t="shared" si="61"/>
        <v>0</v>
      </c>
      <c r="R398" s="8">
        <f t="shared" si="62"/>
        <v>0</v>
      </c>
      <c r="T398" s="48">
        <f t="shared" si="63"/>
        <v>0</v>
      </c>
      <c r="U398" s="8">
        <f t="shared" si="64"/>
        <v>0</v>
      </c>
      <c r="W398" s="48">
        <f t="shared" si="67"/>
        <v>0</v>
      </c>
      <c r="X398" s="8">
        <f t="shared" si="65"/>
        <v>0</v>
      </c>
    </row>
    <row r="399" spans="11:24" ht="13.2" hidden="1" x14ac:dyDescent="0.25">
      <c r="K399" s="3" t="str">
        <f t="shared" si="68"/>
        <v/>
      </c>
      <c r="L399" s="39">
        <v>367</v>
      </c>
      <c r="M399" s="3">
        <f t="shared" si="66"/>
        <v>30</v>
      </c>
      <c r="N399" s="44">
        <f t="shared" si="59"/>
        <v>0</v>
      </c>
      <c r="O399" s="8">
        <f t="shared" si="60"/>
        <v>0</v>
      </c>
      <c r="Q399" s="48">
        <f t="shared" si="61"/>
        <v>0</v>
      </c>
      <c r="R399" s="8">
        <f t="shared" si="62"/>
        <v>0</v>
      </c>
      <c r="T399" s="48">
        <f t="shared" si="63"/>
        <v>0</v>
      </c>
      <c r="U399" s="8">
        <f t="shared" si="64"/>
        <v>0</v>
      </c>
      <c r="W399" s="48">
        <f t="shared" si="67"/>
        <v>0</v>
      </c>
      <c r="X399" s="8">
        <f t="shared" si="65"/>
        <v>0</v>
      </c>
    </row>
    <row r="400" spans="11:24" ht="13.2" hidden="1" x14ac:dyDescent="0.25">
      <c r="K400" s="3" t="str">
        <f t="shared" si="68"/>
        <v/>
      </c>
      <c r="L400" s="39">
        <v>368</v>
      </c>
      <c r="M400" s="3">
        <f t="shared" si="66"/>
        <v>30</v>
      </c>
      <c r="N400" s="44">
        <f t="shared" si="59"/>
        <v>0</v>
      </c>
      <c r="O400" s="8">
        <f t="shared" si="60"/>
        <v>0</v>
      </c>
      <c r="Q400" s="48">
        <f t="shared" si="61"/>
        <v>0</v>
      </c>
      <c r="R400" s="8">
        <f t="shared" si="62"/>
        <v>0</v>
      </c>
      <c r="T400" s="48">
        <f t="shared" si="63"/>
        <v>0</v>
      </c>
      <c r="U400" s="8">
        <f t="shared" si="64"/>
        <v>0</v>
      </c>
      <c r="W400" s="48">
        <f t="shared" si="67"/>
        <v>0</v>
      </c>
      <c r="X400" s="8">
        <f t="shared" si="65"/>
        <v>0</v>
      </c>
    </row>
    <row r="401" spans="11:24" ht="13.2" hidden="1" x14ac:dyDescent="0.25">
      <c r="K401" s="3" t="str">
        <f t="shared" si="68"/>
        <v/>
      </c>
      <c r="L401" s="39">
        <v>369</v>
      </c>
      <c r="M401" s="3">
        <f t="shared" si="66"/>
        <v>30</v>
      </c>
      <c r="N401" s="44">
        <f t="shared" si="59"/>
        <v>0</v>
      </c>
      <c r="O401" s="8">
        <f t="shared" si="60"/>
        <v>0</v>
      </c>
      <c r="Q401" s="48">
        <f t="shared" si="61"/>
        <v>0</v>
      </c>
      <c r="R401" s="8">
        <f t="shared" si="62"/>
        <v>0</v>
      </c>
      <c r="T401" s="48">
        <f t="shared" si="63"/>
        <v>0</v>
      </c>
      <c r="U401" s="8">
        <f t="shared" si="64"/>
        <v>0</v>
      </c>
      <c r="W401" s="48">
        <f t="shared" si="67"/>
        <v>0</v>
      </c>
      <c r="X401" s="8">
        <f t="shared" si="65"/>
        <v>0</v>
      </c>
    </row>
    <row r="402" spans="11:24" ht="13.2" hidden="1" x14ac:dyDescent="0.25">
      <c r="K402" s="3" t="str">
        <f t="shared" si="68"/>
        <v/>
      </c>
      <c r="L402" s="39">
        <v>370</v>
      </c>
      <c r="M402" s="3">
        <f t="shared" si="66"/>
        <v>30</v>
      </c>
      <c r="N402" s="44">
        <f t="shared" si="59"/>
        <v>0</v>
      </c>
      <c r="O402" s="8">
        <f t="shared" si="60"/>
        <v>0</v>
      </c>
      <c r="Q402" s="48">
        <f t="shared" si="61"/>
        <v>0</v>
      </c>
      <c r="R402" s="8">
        <f t="shared" si="62"/>
        <v>0</v>
      </c>
      <c r="T402" s="48">
        <f t="shared" si="63"/>
        <v>0</v>
      </c>
      <c r="U402" s="8">
        <f t="shared" si="64"/>
        <v>0</v>
      </c>
      <c r="W402" s="48">
        <f t="shared" si="67"/>
        <v>0</v>
      </c>
      <c r="X402" s="8">
        <f t="shared" si="65"/>
        <v>0</v>
      </c>
    </row>
    <row r="403" spans="11:24" ht="13.2" hidden="1" x14ac:dyDescent="0.25">
      <c r="K403" s="3" t="str">
        <f t="shared" si="68"/>
        <v/>
      </c>
      <c r="L403" s="39">
        <v>371</v>
      </c>
      <c r="M403" s="3">
        <f t="shared" si="66"/>
        <v>30</v>
      </c>
      <c r="N403" s="44">
        <f t="shared" si="59"/>
        <v>0</v>
      </c>
      <c r="O403" s="8">
        <f t="shared" si="60"/>
        <v>0</v>
      </c>
      <c r="Q403" s="48">
        <f t="shared" si="61"/>
        <v>0</v>
      </c>
      <c r="R403" s="8">
        <f t="shared" si="62"/>
        <v>0</v>
      </c>
      <c r="T403" s="48">
        <f t="shared" si="63"/>
        <v>0</v>
      </c>
      <c r="U403" s="8">
        <f t="shared" si="64"/>
        <v>0</v>
      </c>
      <c r="W403" s="48">
        <f t="shared" si="67"/>
        <v>0</v>
      </c>
      <c r="X403" s="8">
        <f t="shared" si="65"/>
        <v>0</v>
      </c>
    </row>
    <row r="404" spans="11:24" ht="13.2" hidden="1" x14ac:dyDescent="0.25">
      <c r="K404" s="3">
        <f t="shared" si="68"/>
        <v>31</v>
      </c>
      <c r="L404" s="39">
        <v>372</v>
      </c>
      <c r="M404" s="3">
        <f t="shared" si="66"/>
        <v>30</v>
      </c>
      <c r="N404" s="44">
        <f t="shared" si="59"/>
        <v>0</v>
      </c>
      <c r="O404" s="8">
        <f t="shared" si="60"/>
        <v>0</v>
      </c>
      <c r="Q404" s="48">
        <f t="shared" si="61"/>
        <v>0</v>
      </c>
      <c r="R404" s="8">
        <f t="shared" si="62"/>
        <v>0</v>
      </c>
      <c r="T404" s="48">
        <f t="shared" si="63"/>
        <v>0</v>
      </c>
      <c r="U404" s="8">
        <f t="shared" si="64"/>
        <v>0</v>
      </c>
      <c r="W404" s="48">
        <f t="shared" si="67"/>
        <v>0</v>
      </c>
      <c r="X404" s="8">
        <f t="shared" si="65"/>
        <v>0</v>
      </c>
    </row>
    <row r="405" spans="11:24" ht="13.2" hidden="1" x14ac:dyDescent="0.25">
      <c r="K405" s="3" t="str">
        <f t="shared" si="68"/>
        <v/>
      </c>
      <c r="L405" s="39">
        <v>373</v>
      </c>
      <c r="M405" s="3">
        <f t="shared" si="66"/>
        <v>31</v>
      </c>
      <c r="N405" s="44">
        <f t="shared" si="59"/>
        <v>0</v>
      </c>
      <c r="O405" s="8">
        <f t="shared" si="60"/>
        <v>0</v>
      </c>
      <c r="Q405" s="48">
        <f t="shared" si="61"/>
        <v>0</v>
      </c>
      <c r="R405" s="8">
        <f t="shared" si="62"/>
        <v>0</v>
      </c>
      <c r="T405" s="48">
        <f t="shared" si="63"/>
        <v>0</v>
      </c>
      <c r="U405" s="8">
        <f t="shared" si="64"/>
        <v>0</v>
      </c>
      <c r="W405" s="48">
        <f t="shared" si="67"/>
        <v>0</v>
      </c>
      <c r="X405" s="8">
        <f t="shared" si="65"/>
        <v>0</v>
      </c>
    </row>
    <row r="406" spans="11:24" ht="13.2" hidden="1" x14ac:dyDescent="0.25">
      <c r="K406" s="3" t="str">
        <f t="shared" si="68"/>
        <v/>
      </c>
      <c r="L406" s="39">
        <v>374</v>
      </c>
      <c r="M406" s="3">
        <f t="shared" si="66"/>
        <v>31</v>
      </c>
      <c r="N406" s="44">
        <f t="shared" si="59"/>
        <v>0</v>
      </c>
      <c r="O406" s="8">
        <f t="shared" si="60"/>
        <v>0</v>
      </c>
      <c r="Q406" s="48">
        <f t="shared" si="61"/>
        <v>0</v>
      </c>
      <c r="R406" s="8">
        <f t="shared" si="62"/>
        <v>0</v>
      </c>
      <c r="T406" s="48">
        <f t="shared" si="63"/>
        <v>0</v>
      </c>
      <c r="U406" s="8">
        <f t="shared" si="64"/>
        <v>0</v>
      </c>
      <c r="W406" s="48">
        <f t="shared" si="67"/>
        <v>0</v>
      </c>
      <c r="X406" s="8">
        <f t="shared" si="65"/>
        <v>0</v>
      </c>
    </row>
    <row r="407" spans="11:24" ht="13.2" hidden="1" x14ac:dyDescent="0.25">
      <c r="K407" s="3" t="str">
        <f t="shared" si="68"/>
        <v/>
      </c>
      <c r="L407" s="39">
        <v>375</v>
      </c>
      <c r="M407" s="3">
        <f t="shared" si="66"/>
        <v>31</v>
      </c>
      <c r="N407" s="44">
        <f t="shared" si="59"/>
        <v>0</v>
      </c>
      <c r="O407" s="8">
        <f t="shared" si="60"/>
        <v>0</v>
      </c>
      <c r="Q407" s="48">
        <f t="shared" si="61"/>
        <v>0</v>
      </c>
      <c r="R407" s="8">
        <f t="shared" si="62"/>
        <v>0</v>
      </c>
      <c r="T407" s="48">
        <f t="shared" si="63"/>
        <v>0</v>
      </c>
      <c r="U407" s="8">
        <f t="shared" si="64"/>
        <v>0</v>
      </c>
      <c r="W407" s="48">
        <f t="shared" si="67"/>
        <v>0</v>
      </c>
      <c r="X407" s="8">
        <f t="shared" si="65"/>
        <v>0</v>
      </c>
    </row>
    <row r="408" spans="11:24" ht="13.2" hidden="1" x14ac:dyDescent="0.25">
      <c r="K408" s="3" t="str">
        <f t="shared" si="68"/>
        <v/>
      </c>
      <c r="L408" s="39">
        <v>376</v>
      </c>
      <c r="M408" s="3">
        <f t="shared" si="66"/>
        <v>31</v>
      </c>
      <c r="N408" s="44">
        <f t="shared" si="59"/>
        <v>0</v>
      </c>
      <c r="O408" s="8">
        <f t="shared" si="60"/>
        <v>0</v>
      </c>
      <c r="Q408" s="48">
        <f t="shared" si="61"/>
        <v>0</v>
      </c>
      <c r="R408" s="8">
        <f t="shared" si="62"/>
        <v>0</v>
      </c>
      <c r="T408" s="48">
        <f t="shared" si="63"/>
        <v>0</v>
      </c>
      <c r="U408" s="8">
        <f t="shared" si="64"/>
        <v>0</v>
      </c>
      <c r="W408" s="48">
        <f t="shared" si="67"/>
        <v>0</v>
      </c>
      <c r="X408" s="8">
        <f t="shared" si="65"/>
        <v>0</v>
      </c>
    </row>
    <row r="409" spans="11:24" ht="13.2" hidden="1" x14ac:dyDescent="0.25">
      <c r="K409" s="3" t="str">
        <f t="shared" si="68"/>
        <v/>
      </c>
      <c r="L409" s="39">
        <v>377</v>
      </c>
      <c r="M409" s="3">
        <f t="shared" si="66"/>
        <v>31</v>
      </c>
      <c r="N409" s="44">
        <f t="shared" si="59"/>
        <v>0</v>
      </c>
      <c r="O409" s="8">
        <f t="shared" si="60"/>
        <v>0</v>
      </c>
      <c r="Q409" s="48">
        <f t="shared" si="61"/>
        <v>0</v>
      </c>
      <c r="R409" s="8">
        <f t="shared" si="62"/>
        <v>0</v>
      </c>
      <c r="T409" s="48">
        <f t="shared" si="63"/>
        <v>0</v>
      </c>
      <c r="U409" s="8">
        <f t="shared" si="64"/>
        <v>0</v>
      </c>
      <c r="W409" s="48">
        <f t="shared" si="67"/>
        <v>0</v>
      </c>
      <c r="X409" s="8">
        <f t="shared" si="65"/>
        <v>0</v>
      </c>
    </row>
    <row r="410" spans="11:24" ht="13.2" hidden="1" x14ac:dyDescent="0.25">
      <c r="K410" s="3" t="str">
        <f t="shared" si="68"/>
        <v/>
      </c>
      <c r="L410" s="39">
        <v>378</v>
      </c>
      <c r="M410" s="3">
        <f t="shared" si="66"/>
        <v>31</v>
      </c>
      <c r="N410" s="44">
        <f t="shared" si="59"/>
        <v>0</v>
      </c>
      <c r="O410" s="8">
        <f t="shared" si="60"/>
        <v>0</v>
      </c>
      <c r="Q410" s="48">
        <f t="shared" si="61"/>
        <v>0</v>
      </c>
      <c r="R410" s="8">
        <f t="shared" si="62"/>
        <v>0</v>
      </c>
      <c r="T410" s="48">
        <f t="shared" si="63"/>
        <v>0</v>
      </c>
      <c r="U410" s="8">
        <f t="shared" si="64"/>
        <v>0</v>
      </c>
      <c r="W410" s="48">
        <f t="shared" si="67"/>
        <v>0</v>
      </c>
      <c r="X410" s="8">
        <f t="shared" si="65"/>
        <v>0</v>
      </c>
    </row>
    <row r="411" spans="11:24" ht="13.2" hidden="1" x14ac:dyDescent="0.25">
      <c r="K411" s="3" t="str">
        <f t="shared" si="68"/>
        <v/>
      </c>
      <c r="L411" s="39">
        <v>379</v>
      </c>
      <c r="M411" s="3">
        <f t="shared" si="66"/>
        <v>31</v>
      </c>
      <c r="N411" s="44">
        <f t="shared" si="59"/>
        <v>0</v>
      </c>
      <c r="O411" s="8">
        <f t="shared" si="60"/>
        <v>0</v>
      </c>
      <c r="Q411" s="48">
        <f t="shared" si="61"/>
        <v>0</v>
      </c>
      <c r="R411" s="8">
        <f t="shared" si="62"/>
        <v>0</v>
      </c>
      <c r="T411" s="48">
        <f t="shared" si="63"/>
        <v>0</v>
      </c>
      <c r="U411" s="8">
        <f t="shared" si="64"/>
        <v>0</v>
      </c>
      <c r="W411" s="48">
        <f t="shared" si="67"/>
        <v>0</v>
      </c>
      <c r="X411" s="8">
        <f t="shared" si="65"/>
        <v>0</v>
      </c>
    </row>
    <row r="412" spans="11:24" ht="13.2" hidden="1" x14ac:dyDescent="0.25">
      <c r="K412" s="3" t="str">
        <f t="shared" si="68"/>
        <v/>
      </c>
      <c r="L412" s="39">
        <v>380</v>
      </c>
      <c r="M412" s="3">
        <f t="shared" si="66"/>
        <v>31</v>
      </c>
      <c r="N412" s="44">
        <f t="shared" si="59"/>
        <v>0</v>
      </c>
      <c r="O412" s="8">
        <f t="shared" si="60"/>
        <v>0</v>
      </c>
      <c r="Q412" s="48">
        <f t="shared" si="61"/>
        <v>0</v>
      </c>
      <c r="R412" s="8">
        <f t="shared" si="62"/>
        <v>0</v>
      </c>
      <c r="T412" s="48">
        <f t="shared" si="63"/>
        <v>0</v>
      </c>
      <c r="U412" s="8">
        <f t="shared" si="64"/>
        <v>0</v>
      </c>
      <c r="W412" s="48">
        <f t="shared" si="67"/>
        <v>0</v>
      </c>
      <c r="X412" s="8">
        <f t="shared" si="65"/>
        <v>0</v>
      </c>
    </row>
    <row r="413" spans="11:24" ht="13.2" hidden="1" x14ac:dyDescent="0.25">
      <c r="K413" s="3" t="str">
        <f t="shared" si="68"/>
        <v/>
      </c>
      <c r="L413" s="39">
        <v>381</v>
      </c>
      <c r="M413" s="3">
        <f t="shared" si="66"/>
        <v>31</v>
      </c>
      <c r="N413" s="44">
        <f t="shared" si="59"/>
        <v>0</v>
      </c>
      <c r="O413" s="8">
        <f t="shared" si="60"/>
        <v>0</v>
      </c>
      <c r="Q413" s="48">
        <f t="shared" si="61"/>
        <v>0</v>
      </c>
      <c r="R413" s="8">
        <f t="shared" si="62"/>
        <v>0</v>
      </c>
      <c r="T413" s="48">
        <f t="shared" si="63"/>
        <v>0</v>
      </c>
      <c r="U413" s="8">
        <f t="shared" si="64"/>
        <v>0</v>
      </c>
      <c r="W413" s="48">
        <f t="shared" si="67"/>
        <v>0</v>
      </c>
      <c r="X413" s="8">
        <f t="shared" si="65"/>
        <v>0</v>
      </c>
    </row>
    <row r="414" spans="11:24" ht="13.2" hidden="1" x14ac:dyDescent="0.25">
      <c r="K414" s="3" t="str">
        <f t="shared" si="68"/>
        <v/>
      </c>
      <c r="L414" s="39">
        <v>382</v>
      </c>
      <c r="M414" s="3">
        <f t="shared" si="66"/>
        <v>31</v>
      </c>
      <c r="N414" s="44">
        <f t="shared" si="59"/>
        <v>0</v>
      </c>
      <c r="O414" s="8">
        <f t="shared" si="60"/>
        <v>0</v>
      </c>
      <c r="Q414" s="48">
        <f t="shared" si="61"/>
        <v>0</v>
      </c>
      <c r="R414" s="8">
        <f t="shared" si="62"/>
        <v>0</v>
      </c>
      <c r="T414" s="48">
        <f t="shared" si="63"/>
        <v>0</v>
      </c>
      <c r="U414" s="8">
        <f t="shared" si="64"/>
        <v>0</v>
      </c>
      <c r="W414" s="48">
        <f t="shared" si="67"/>
        <v>0</v>
      </c>
      <c r="X414" s="8">
        <f t="shared" si="65"/>
        <v>0</v>
      </c>
    </row>
    <row r="415" spans="11:24" ht="13.2" hidden="1" x14ac:dyDescent="0.25">
      <c r="K415" s="3" t="str">
        <f t="shared" si="68"/>
        <v/>
      </c>
      <c r="L415" s="39">
        <v>383</v>
      </c>
      <c r="M415" s="3">
        <f t="shared" si="66"/>
        <v>31</v>
      </c>
      <c r="N415" s="44">
        <f t="shared" si="59"/>
        <v>0</v>
      </c>
      <c r="O415" s="8">
        <f t="shared" si="60"/>
        <v>0</v>
      </c>
      <c r="Q415" s="48">
        <f t="shared" si="61"/>
        <v>0</v>
      </c>
      <c r="R415" s="8">
        <f t="shared" si="62"/>
        <v>0</v>
      </c>
      <c r="T415" s="48">
        <f t="shared" si="63"/>
        <v>0</v>
      </c>
      <c r="U415" s="8">
        <f t="shared" si="64"/>
        <v>0</v>
      </c>
      <c r="W415" s="48">
        <f t="shared" si="67"/>
        <v>0</v>
      </c>
      <c r="X415" s="8">
        <f t="shared" si="65"/>
        <v>0</v>
      </c>
    </row>
    <row r="416" spans="11:24" ht="13.2" hidden="1" x14ac:dyDescent="0.25">
      <c r="K416" s="3">
        <f t="shared" si="68"/>
        <v>32</v>
      </c>
      <c r="L416" s="39">
        <v>384</v>
      </c>
      <c r="M416" s="3">
        <f t="shared" si="66"/>
        <v>31</v>
      </c>
      <c r="N416" s="44">
        <f t="shared" si="59"/>
        <v>0</v>
      </c>
      <c r="O416" s="8">
        <f t="shared" si="60"/>
        <v>0</v>
      </c>
      <c r="Q416" s="48">
        <f t="shared" si="61"/>
        <v>0</v>
      </c>
      <c r="R416" s="8">
        <f t="shared" si="62"/>
        <v>0</v>
      </c>
      <c r="T416" s="48">
        <f t="shared" si="63"/>
        <v>0</v>
      </c>
      <c r="U416" s="8">
        <f t="shared" si="64"/>
        <v>0</v>
      </c>
      <c r="W416" s="48">
        <f t="shared" si="67"/>
        <v>0</v>
      </c>
      <c r="X416" s="8">
        <f t="shared" si="65"/>
        <v>0</v>
      </c>
    </row>
    <row r="417" spans="11:24" ht="13.2" hidden="1" x14ac:dyDescent="0.25">
      <c r="K417" s="3" t="str">
        <f t="shared" si="68"/>
        <v/>
      </c>
      <c r="L417" s="39">
        <v>385</v>
      </c>
      <c r="M417" s="3">
        <f t="shared" si="66"/>
        <v>32</v>
      </c>
      <c r="N417" s="44">
        <f t="shared" ref="N417:N480" si="69">IF(L417&lt;=InvMonths,SU_Amt*(1+$C$19)^M417,0)</f>
        <v>0</v>
      </c>
      <c r="O417" s="8">
        <f t="shared" ref="O417:O480" si="70">FV($S$1,(InvMonths-L417+1),0,-N417,1)</f>
        <v>0</v>
      </c>
      <c r="Q417" s="48">
        <f t="shared" ref="Q417:Q480" si="71">IF(L417&lt;=InvMonths,$R$27*(1+$C$19)^M417,0)</f>
        <v>0</v>
      </c>
      <c r="R417" s="8">
        <f t="shared" ref="R417:R480" si="72">FV($S$1,(InvMonths-L417+1),0,-Q417,1)</f>
        <v>0</v>
      </c>
      <c r="T417" s="48">
        <f t="shared" ref="T417:T480" si="73">IF(L417&lt;=InvMonths,$U$27,0)</f>
        <v>0</v>
      </c>
      <c r="U417" s="8">
        <f t="shared" ref="U417:U480" si="74">FV($S$1,(InvMonths-L417+1),0,-T417,1)</f>
        <v>0</v>
      </c>
      <c r="W417" s="48">
        <f t="shared" si="67"/>
        <v>0</v>
      </c>
      <c r="X417" s="8">
        <f t="shared" ref="X417:X480" si="75">FV($S$1,($X$26-L417+1),0,-W417,1)</f>
        <v>0</v>
      </c>
    </row>
    <row r="418" spans="11:24" ht="13.2" hidden="1" x14ac:dyDescent="0.25">
      <c r="K418" s="3" t="str">
        <f t="shared" si="68"/>
        <v/>
      </c>
      <c r="L418" s="39">
        <v>386</v>
      </c>
      <c r="M418" s="3">
        <f t="shared" ref="M418:M481" si="76">IF(MOD(L418,12)=0,(L418/12)-1,QUOTIENT(L418,12))</f>
        <v>32</v>
      </c>
      <c r="N418" s="44">
        <f t="shared" si="69"/>
        <v>0</v>
      </c>
      <c r="O418" s="8">
        <f t="shared" si="70"/>
        <v>0</v>
      </c>
      <c r="Q418" s="48">
        <f t="shared" si="71"/>
        <v>0</v>
      </c>
      <c r="R418" s="8">
        <f t="shared" si="72"/>
        <v>0</v>
      </c>
      <c r="T418" s="48">
        <f t="shared" si="73"/>
        <v>0</v>
      </c>
      <c r="U418" s="8">
        <f t="shared" si="74"/>
        <v>0</v>
      </c>
      <c r="W418" s="48">
        <f t="shared" ref="W418:W481" si="77">IF(L418&lt;=$X$26,$X$27,0)</f>
        <v>0</v>
      </c>
      <c r="X418" s="8">
        <f t="shared" si="75"/>
        <v>0</v>
      </c>
    </row>
    <row r="419" spans="11:24" ht="13.2" hidden="1" x14ac:dyDescent="0.25">
      <c r="K419" s="3" t="str">
        <f t="shared" si="68"/>
        <v/>
      </c>
      <c r="L419" s="39">
        <v>387</v>
      </c>
      <c r="M419" s="3">
        <f t="shared" si="76"/>
        <v>32</v>
      </c>
      <c r="N419" s="44">
        <f t="shared" si="69"/>
        <v>0</v>
      </c>
      <c r="O419" s="8">
        <f t="shared" si="70"/>
        <v>0</v>
      </c>
      <c r="Q419" s="48">
        <f t="shared" si="71"/>
        <v>0</v>
      </c>
      <c r="R419" s="8">
        <f t="shared" si="72"/>
        <v>0</v>
      </c>
      <c r="T419" s="48">
        <f t="shared" si="73"/>
        <v>0</v>
      </c>
      <c r="U419" s="8">
        <f t="shared" si="74"/>
        <v>0</v>
      </c>
      <c r="W419" s="48">
        <f t="shared" si="77"/>
        <v>0</v>
      </c>
      <c r="X419" s="8">
        <f t="shared" si="75"/>
        <v>0</v>
      </c>
    </row>
    <row r="420" spans="11:24" ht="13.2" hidden="1" x14ac:dyDescent="0.25">
      <c r="K420" s="3" t="str">
        <f t="shared" si="68"/>
        <v/>
      </c>
      <c r="L420" s="39">
        <v>388</v>
      </c>
      <c r="M420" s="3">
        <f t="shared" si="76"/>
        <v>32</v>
      </c>
      <c r="N420" s="44">
        <f t="shared" si="69"/>
        <v>0</v>
      </c>
      <c r="O420" s="8">
        <f t="shared" si="70"/>
        <v>0</v>
      </c>
      <c r="Q420" s="48">
        <f t="shared" si="71"/>
        <v>0</v>
      </c>
      <c r="R420" s="8">
        <f t="shared" si="72"/>
        <v>0</v>
      </c>
      <c r="T420" s="48">
        <f t="shared" si="73"/>
        <v>0</v>
      </c>
      <c r="U420" s="8">
        <f t="shared" si="74"/>
        <v>0</v>
      </c>
      <c r="W420" s="48">
        <f t="shared" si="77"/>
        <v>0</v>
      </c>
      <c r="X420" s="8">
        <f t="shared" si="75"/>
        <v>0</v>
      </c>
    </row>
    <row r="421" spans="11:24" ht="13.2" hidden="1" x14ac:dyDescent="0.25">
      <c r="K421" s="3" t="str">
        <f t="shared" si="68"/>
        <v/>
      </c>
      <c r="L421" s="39">
        <v>389</v>
      </c>
      <c r="M421" s="3">
        <f t="shared" si="76"/>
        <v>32</v>
      </c>
      <c r="N421" s="44">
        <f t="shared" si="69"/>
        <v>0</v>
      </c>
      <c r="O421" s="8">
        <f t="shared" si="70"/>
        <v>0</v>
      </c>
      <c r="Q421" s="48">
        <f t="shared" si="71"/>
        <v>0</v>
      </c>
      <c r="R421" s="8">
        <f t="shared" si="72"/>
        <v>0</v>
      </c>
      <c r="T421" s="48">
        <f t="shared" si="73"/>
        <v>0</v>
      </c>
      <c r="U421" s="8">
        <f t="shared" si="74"/>
        <v>0</v>
      </c>
      <c r="W421" s="48">
        <f t="shared" si="77"/>
        <v>0</v>
      </c>
      <c r="X421" s="8">
        <f t="shared" si="75"/>
        <v>0</v>
      </c>
    </row>
    <row r="422" spans="11:24" ht="13.2" hidden="1" x14ac:dyDescent="0.25">
      <c r="K422" s="3" t="str">
        <f t="shared" si="68"/>
        <v/>
      </c>
      <c r="L422" s="39">
        <v>390</v>
      </c>
      <c r="M422" s="3">
        <f t="shared" si="76"/>
        <v>32</v>
      </c>
      <c r="N422" s="44">
        <f t="shared" si="69"/>
        <v>0</v>
      </c>
      <c r="O422" s="8">
        <f t="shared" si="70"/>
        <v>0</v>
      </c>
      <c r="Q422" s="48">
        <f t="shared" si="71"/>
        <v>0</v>
      </c>
      <c r="R422" s="8">
        <f t="shared" si="72"/>
        <v>0</v>
      </c>
      <c r="T422" s="48">
        <f t="shared" si="73"/>
        <v>0</v>
      </c>
      <c r="U422" s="8">
        <f t="shared" si="74"/>
        <v>0</v>
      </c>
      <c r="W422" s="48">
        <f t="shared" si="77"/>
        <v>0</v>
      </c>
      <c r="X422" s="8">
        <f t="shared" si="75"/>
        <v>0</v>
      </c>
    </row>
    <row r="423" spans="11:24" ht="13.2" hidden="1" x14ac:dyDescent="0.25">
      <c r="K423" s="3" t="str">
        <f t="shared" si="68"/>
        <v/>
      </c>
      <c r="L423" s="39">
        <v>391</v>
      </c>
      <c r="M423" s="3">
        <f t="shared" si="76"/>
        <v>32</v>
      </c>
      <c r="N423" s="44">
        <f t="shared" si="69"/>
        <v>0</v>
      </c>
      <c r="O423" s="8">
        <f t="shared" si="70"/>
        <v>0</v>
      </c>
      <c r="Q423" s="48">
        <f t="shared" si="71"/>
        <v>0</v>
      </c>
      <c r="R423" s="8">
        <f t="shared" si="72"/>
        <v>0</v>
      </c>
      <c r="T423" s="48">
        <f t="shared" si="73"/>
        <v>0</v>
      </c>
      <c r="U423" s="8">
        <f t="shared" si="74"/>
        <v>0</v>
      </c>
      <c r="W423" s="48">
        <f t="shared" si="77"/>
        <v>0</v>
      </c>
      <c r="X423" s="8">
        <f t="shared" si="75"/>
        <v>0</v>
      </c>
    </row>
    <row r="424" spans="11:24" ht="13.2" hidden="1" x14ac:dyDescent="0.25">
      <c r="K424" s="3" t="str">
        <f t="shared" si="68"/>
        <v/>
      </c>
      <c r="L424" s="39">
        <v>392</v>
      </c>
      <c r="M424" s="3">
        <f t="shared" si="76"/>
        <v>32</v>
      </c>
      <c r="N424" s="44">
        <f t="shared" si="69"/>
        <v>0</v>
      </c>
      <c r="O424" s="8">
        <f t="shared" si="70"/>
        <v>0</v>
      </c>
      <c r="Q424" s="48">
        <f t="shared" si="71"/>
        <v>0</v>
      </c>
      <c r="R424" s="8">
        <f t="shared" si="72"/>
        <v>0</v>
      </c>
      <c r="T424" s="48">
        <f t="shared" si="73"/>
        <v>0</v>
      </c>
      <c r="U424" s="8">
        <f t="shared" si="74"/>
        <v>0</v>
      </c>
      <c r="W424" s="48">
        <f t="shared" si="77"/>
        <v>0</v>
      </c>
      <c r="X424" s="8">
        <f t="shared" si="75"/>
        <v>0</v>
      </c>
    </row>
    <row r="425" spans="11:24" ht="13.2" hidden="1" x14ac:dyDescent="0.25">
      <c r="K425" s="3" t="str">
        <f t="shared" si="68"/>
        <v/>
      </c>
      <c r="L425" s="39">
        <v>393</v>
      </c>
      <c r="M425" s="3">
        <f t="shared" si="76"/>
        <v>32</v>
      </c>
      <c r="N425" s="44">
        <f t="shared" si="69"/>
        <v>0</v>
      </c>
      <c r="O425" s="8">
        <f t="shared" si="70"/>
        <v>0</v>
      </c>
      <c r="Q425" s="48">
        <f t="shared" si="71"/>
        <v>0</v>
      </c>
      <c r="R425" s="8">
        <f t="shared" si="72"/>
        <v>0</v>
      </c>
      <c r="T425" s="48">
        <f t="shared" si="73"/>
        <v>0</v>
      </c>
      <c r="U425" s="8">
        <f t="shared" si="74"/>
        <v>0</v>
      </c>
      <c r="W425" s="48">
        <f t="shared" si="77"/>
        <v>0</v>
      </c>
      <c r="X425" s="8">
        <f t="shared" si="75"/>
        <v>0</v>
      </c>
    </row>
    <row r="426" spans="11:24" ht="13.2" hidden="1" x14ac:dyDescent="0.25">
      <c r="K426" s="3" t="str">
        <f t="shared" ref="K426:K489" si="78">IF(MOD(L426,12)=0,L426/12,"")</f>
        <v/>
      </c>
      <c r="L426" s="39">
        <v>394</v>
      </c>
      <c r="M426" s="3">
        <f t="shared" si="76"/>
        <v>32</v>
      </c>
      <c r="N426" s="44">
        <f t="shared" si="69"/>
        <v>0</v>
      </c>
      <c r="O426" s="8">
        <f t="shared" si="70"/>
        <v>0</v>
      </c>
      <c r="Q426" s="48">
        <f t="shared" si="71"/>
        <v>0</v>
      </c>
      <c r="R426" s="8">
        <f t="shared" si="72"/>
        <v>0</v>
      </c>
      <c r="T426" s="48">
        <f t="shared" si="73"/>
        <v>0</v>
      </c>
      <c r="U426" s="8">
        <f t="shared" si="74"/>
        <v>0</v>
      </c>
      <c r="W426" s="48">
        <f t="shared" si="77"/>
        <v>0</v>
      </c>
      <c r="X426" s="8">
        <f t="shared" si="75"/>
        <v>0</v>
      </c>
    </row>
    <row r="427" spans="11:24" ht="13.2" hidden="1" x14ac:dyDescent="0.25">
      <c r="K427" s="3" t="str">
        <f t="shared" si="78"/>
        <v/>
      </c>
      <c r="L427" s="39">
        <v>395</v>
      </c>
      <c r="M427" s="3">
        <f t="shared" si="76"/>
        <v>32</v>
      </c>
      <c r="N427" s="44">
        <f t="shared" si="69"/>
        <v>0</v>
      </c>
      <c r="O427" s="8">
        <f t="shared" si="70"/>
        <v>0</v>
      </c>
      <c r="Q427" s="48">
        <f t="shared" si="71"/>
        <v>0</v>
      </c>
      <c r="R427" s="8">
        <f t="shared" si="72"/>
        <v>0</v>
      </c>
      <c r="T427" s="48">
        <f t="shared" si="73"/>
        <v>0</v>
      </c>
      <c r="U427" s="8">
        <f t="shared" si="74"/>
        <v>0</v>
      </c>
      <c r="W427" s="48">
        <f t="shared" si="77"/>
        <v>0</v>
      </c>
      <c r="X427" s="8">
        <f t="shared" si="75"/>
        <v>0</v>
      </c>
    </row>
    <row r="428" spans="11:24" ht="13.2" hidden="1" x14ac:dyDescent="0.25">
      <c r="K428" s="3">
        <f t="shared" si="78"/>
        <v>33</v>
      </c>
      <c r="L428" s="39">
        <v>396</v>
      </c>
      <c r="M428" s="3">
        <f t="shared" si="76"/>
        <v>32</v>
      </c>
      <c r="N428" s="44">
        <f t="shared" si="69"/>
        <v>0</v>
      </c>
      <c r="O428" s="8">
        <f t="shared" si="70"/>
        <v>0</v>
      </c>
      <c r="Q428" s="48">
        <f t="shared" si="71"/>
        <v>0</v>
      </c>
      <c r="R428" s="8">
        <f t="shared" si="72"/>
        <v>0</v>
      </c>
      <c r="T428" s="48">
        <f t="shared" si="73"/>
        <v>0</v>
      </c>
      <c r="U428" s="8">
        <f t="shared" si="74"/>
        <v>0</v>
      </c>
      <c r="W428" s="48">
        <f t="shared" si="77"/>
        <v>0</v>
      </c>
      <c r="X428" s="8">
        <f t="shared" si="75"/>
        <v>0</v>
      </c>
    </row>
    <row r="429" spans="11:24" ht="13.2" hidden="1" x14ac:dyDescent="0.25">
      <c r="K429" s="3" t="str">
        <f t="shared" si="78"/>
        <v/>
      </c>
      <c r="L429" s="39">
        <v>397</v>
      </c>
      <c r="M429" s="3">
        <f t="shared" si="76"/>
        <v>33</v>
      </c>
      <c r="N429" s="44">
        <f t="shared" si="69"/>
        <v>0</v>
      </c>
      <c r="O429" s="8">
        <f t="shared" si="70"/>
        <v>0</v>
      </c>
      <c r="Q429" s="48">
        <f t="shared" si="71"/>
        <v>0</v>
      </c>
      <c r="R429" s="8">
        <f t="shared" si="72"/>
        <v>0</v>
      </c>
      <c r="T429" s="48">
        <f t="shared" si="73"/>
        <v>0</v>
      </c>
      <c r="U429" s="8">
        <f t="shared" si="74"/>
        <v>0</v>
      </c>
      <c r="W429" s="48">
        <f t="shared" si="77"/>
        <v>0</v>
      </c>
      <c r="X429" s="8">
        <f t="shared" si="75"/>
        <v>0</v>
      </c>
    </row>
    <row r="430" spans="11:24" ht="13.2" hidden="1" x14ac:dyDescent="0.25">
      <c r="K430" s="3" t="str">
        <f t="shared" si="78"/>
        <v/>
      </c>
      <c r="L430" s="39">
        <v>398</v>
      </c>
      <c r="M430" s="3">
        <f t="shared" si="76"/>
        <v>33</v>
      </c>
      <c r="N430" s="44">
        <f t="shared" si="69"/>
        <v>0</v>
      </c>
      <c r="O430" s="8">
        <f t="shared" si="70"/>
        <v>0</v>
      </c>
      <c r="Q430" s="48">
        <f t="shared" si="71"/>
        <v>0</v>
      </c>
      <c r="R430" s="8">
        <f t="shared" si="72"/>
        <v>0</v>
      </c>
      <c r="T430" s="48">
        <f t="shared" si="73"/>
        <v>0</v>
      </c>
      <c r="U430" s="8">
        <f t="shared" si="74"/>
        <v>0</v>
      </c>
      <c r="W430" s="48">
        <f t="shared" si="77"/>
        <v>0</v>
      </c>
      <c r="X430" s="8">
        <f t="shared" si="75"/>
        <v>0</v>
      </c>
    </row>
    <row r="431" spans="11:24" ht="13.2" hidden="1" x14ac:dyDescent="0.25">
      <c r="K431" s="3" t="str">
        <f t="shared" si="78"/>
        <v/>
      </c>
      <c r="L431" s="39">
        <v>399</v>
      </c>
      <c r="M431" s="3">
        <f t="shared" si="76"/>
        <v>33</v>
      </c>
      <c r="N431" s="44">
        <f t="shared" si="69"/>
        <v>0</v>
      </c>
      <c r="O431" s="8">
        <f t="shared" si="70"/>
        <v>0</v>
      </c>
      <c r="Q431" s="48">
        <f t="shared" si="71"/>
        <v>0</v>
      </c>
      <c r="R431" s="8">
        <f t="shared" si="72"/>
        <v>0</v>
      </c>
      <c r="T431" s="48">
        <f t="shared" si="73"/>
        <v>0</v>
      </c>
      <c r="U431" s="8">
        <f t="shared" si="74"/>
        <v>0</v>
      </c>
      <c r="W431" s="48">
        <f t="shared" si="77"/>
        <v>0</v>
      </c>
      <c r="X431" s="8">
        <f t="shared" si="75"/>
        <v>0</v>
      </c>
    </row>
    <row r="432" spans="11:24" ht="13.2" hidden="1" x14ac:dyDescent="0.25">
      <c r="K432" s="3" t="str">
        <f t="shared" si="78"/>
        <v/>
      </c>
      <c r="L432" s="39">
        <v>400</v>
      </c>
      <c r="M432" s="3">
        <f t="shared" si="76"/>
        <v>33</v>
      </c>
      <c r="N432" s="44">
        <f t="shared" si="69"/>
        <v>0</v>
      </c>
      <c r="O432" s="8">
        <f t="shared" si="70"/>
        <v>0</v>
      </c>
      <c r="Q432" s="48">
        <f t="shared" si="71"/>
        <v>0</v>
      </c>
      <c r="R432" s="8">
        <f t="shared" si="72"/>
        <v>0</v>
      </c>
      <c r="T432" s="48">
        <f t="shared" si="73"/>
        <v>0</v>
      </c>
      <c r="U432" s="8">
        <f t="shared" si="74"/>
        <v>0</v>
      </c>
      <c r="W432" s="48">
        <f t="shared" si="77"/>
        <v>0</v>
      </c>
      <c r="X432" s="8">
        <f t="shared" si="75"/>
        <v>0</v>
      </c>
    </row>
    <row r="433" spans="11:24" ht="13.2" hidden="1" x14ac:dyDescent="0.25">
      <c r="K433" s="3" t="str">
        <f t="shared" si="78"/>
        <v/>
      </c>
      <c r="L433" s="39">
        <v>401</v>
      </c>
      <c r="M433" s="3">
        <f t="shared" si="76"/>
        <v>33</v>
      </c>
      <c r="N433" s="44">
        <f t="shared" si="69"/>
        <v>0</v>
      </c>
      <c r="O433" s="8">
        <f t="shared" si="70"/>
        <v>0</v>
      </c>
      <c r="Q433" s="48">
        <f t="shared" si="71"/>
        <v>0</v>
      </c>
      <c r="R433" s="8">
        <f t="shared" si="72"/>
        <v>0</v>
      </c>
      <c r="T433" s="48">
        <f t="shared" si="73"/>
        <v>0</v>
      </c>
      <c r="U433" s="8">
        <f t="shared" si="74"/>
        <v>0</v>
      </c>
      <c r="W433" s="48">
        <f t="shared" si="77"/>
        <v>0</v>
      </c>
      <c r="X433" s="8">
        <f t="shared" si="75"/>
        <v>0</v>
      </c>
    </row>
    <row r="434" spans="11:24" ht="13.2" hidden="1" x14ac:dyDescent="0.25">
      <c r="K434" s="3" t="str">
        <f t="shared" si="78"/>
        <v/>
      </c>
      <c r="L434" s="39">
        <v>402</v>
      </c>
      <c r="M434" s="3">
        <f t="shared" si="76"/>
        <v>33</v>
      </c>
      <c r="N434" s="44">
        <f t="shared" si="69"/>
        <v>0</v>
      </c>
      <c r="O434" s="8">
        <f t="shared" si="70"/>
        <v>0</v>
      </c>
      <c r="Q434" s="48">
        <f t="shared" si="71"/>
        <v>0</v>
      </c>
      <c r="R434" s="8">
        <f t="shared" si="72"/>
        <v>0</v>
      </c>
      <c r="T434" s="48">
        <f t="shared" si="73"/>
        <v>0</v>
      </c>
      <c r="U434" s="8">
        <f t="shared" si="74"/>
        <v>0</v>
      </c>
      <c r="W434" s="48">
        <f t="shared" si="77"/>
        <v>0</v>
      </c>
      <c r="X434" s="8">
        <f t="shared" si="75"/>
        <v>0</v>
      </c>
    </row>
    <row r="435" spans="11:24" ht="13.2" hidden="1" x14ac:dyDescent="0.25">
      <c r="K435" s="3" t="str">
        <f t="shared" si="78"/>
        <v/>
      </c>
      <c r="L435" s="39">
        <v>403</v>
      </c>
      <c r="M435" s="3">
        <f t="shared" si="76"/>
        <v>33</v>
      </c>
      <c r="N435" s="44">
        <f t="shared" si="69"/>
        <v>0</v>
      </c>
      <c r="O435" s="8">
        <f t="shared" si="70"/>
        <v>0</v>
      </c>
      <c r="Q435" s="48">
        <f t="shared" si="71"/>
        <v>0</v>
      </c>
      <c r="R435" s="8">
        <f t="shared" si="72"/>
        <v>0</v>
      </c>
      <c r="T435" s="48">
        <f t="shared" si="73"/>
        <v>0</v>
      </c>
      <c r="U435" s="8">
        <f t="shared" si="74"/>
        <v>0</v>
      </c>
      <c r="W435" s="48">
        <f t="shared" si="77"/>
        <v>0</v>
      </c>
      <c r="X435" s="8">
        <f t="shared" si="75"/>
        <v>0</v>
      </c>
    </row>
    <row r="436" spans="11:24" ht="13.2" hidden="1" x14ac:dyDescent="0.25">
      <c r="K436" s="3" t="str">
        <f t="shared" si="78"/>
        <v/>
      </c>
      <c r="L436" s="39">
        <v>404</v>
      </c>
      <c r="M436" s="3">
        <f t="shared" si="76"/>
        <v>33</v>
      </c>
      <c r="N436" s="44">
        <f t="shared" si="69"/>
        <v>0</v>
      </c>
      <c r="O436" s="8">
        <f t="shared" si="70"/>
        <v>0</v>
      </c>
      <c r="Q436" s="48">
        <f t="shared" si="71"/>
        <v>0</v>
      </c>
      <c r="R436" s="8">
        <f t="shared" si="72"/>
        <v>0</v>
      </c>
      <c r="T436" s="48">
        <f t="shared" si="73"/>
        <v>0</v>
      </c>
      <c r="U436" s="8">
        <f t="shared" si="74"/>
        <v>0</v>
      </c>
      <c r="W436" s="48">
        <f t="shared" si="77"/>
        <v>0</v>
      </c>
      <c r="X436" s="8">
        <f t="shared" si="75"/>
        <v>0</v>
      </c>
    </row>
    <row r="437" spans="11:24" ht="13.2" hidden="1" x14ac:dyDescent="0.25">
      <c r="K437" s="3" t="str">
        <f t="shared" si="78"/>
        <v/>
      </c>
      <c r="L437" s="39">
        <v>405</v>
      </c>
      <c r="M437" s="3">
        <f t="shared" si="76"/>
        <v>33</v>
      </c>
      <c r="N437" s="44">
        <f t="shared" si="69"/>
        <v>0</v>
      </c>
      <c r="O437" s="8">
        <f t="shared" si="70"/>
        <v>0</v>
      </c>
      <c r="Q437" s="48">
        <f t="shared" si="71"/>
        <v>0</v>
      </c>
      <c r="R437" s="8">
        <f t="shared" si="72"/>
        <v>0</v>
      </c>
      <c r="T437" s="48">
        <f t="shared" si="73"/>
        <v>0</v>
      </c>
      <c r="U437" s="8">
        <f t="shared" si="74"/>
        <v>0</v>
      </c>
      <c r="W437" s="48">
        <f t="shared" si="77"/>
        <v>0</v>
      </c>
      <c r="X437" s="8">
        <f t="shared" si="75"/>
        <v>0</v>
      </c>
    </row>
    <row r="438" spans="11:24" ht="13.2" hidden="1" x14ac:dyDescent="0.25">
      <c r="K438" s="3" t="str">
        <f t="shared" si="78"/>
        <v/>
      </c>
      <c r="L438" s="39">
        <v>406</v>
      </c>
      <c r="M438" s="3">
        <f t="shared" si="76"/>
        <v>33</v>
      </c>
      <c r="N438" s="44">
        <f t="shared" si="69"/>
        <v>0</v>
      </c>
      <c r="O438" s="8">
        <f t="shared" si="70"/>
        <v>0</v>
      </c>
      <c r="Q438" s="48">
        <f t="shared" si="71"/>
        <v>0</v>
      </c>
      <c r="R438" s="8">
        <f t="shared" si="72"/>
        <v>0</v>
      </c>
      <c r="T438" s="48">
        <f t="shared" si="73"/>
        <v>0</v>
      </c>
      <c r="U438" s="8">
        <f t="shared" si="74"/>
        <v>0</v>
      </c>
      <c r="W438" s="48">
        <f t="shared" si="77"/>
        <v>0</v>
      </c>
      <c r="X438" s="8">
        <f t="shared" si="75"/>
        <v>0</v>
      </c>
    </row>
    <row r="439" spans="11:24" ht="13.2" hidden="1" x14ac:dyDescent="0.25">
      <c r="K439" s="3" t="str">
        <f t="shared" si="78"/>
        <v/>
      </c>
      <c r="L439" s="39">
        <v>407</v>
      </c>
      <c r="M439" s="3">
        <f t="shared" si="76"/>
        <v>33</v>
      </c>
      <c r="N439" s="44">
        <f t="shared" si="69"/>
        <v>0</v>
      </c>
      <c r="O439" s="8">
        <f t="shared" si="70"/>
        <v>0</v>
      </c>
      <c r="Q439" s="48">
        <f t="shared" si="71"/>
        <v>0</v>
      </c>
      <c r="R439" s="8">
        <f t="shared" si="72"/>
        <v>0</v>
      </c>
      <c r="T439" s="48">
        <f t="shared" si="73"/>
        <v>0</v>
      </c>
      <c r="U439" s="8">
        <f t="shared" si="74"/>
        <v>0</v>
      </c>
      <c r="W439" s="48">
        <f t="shared" si="77"/>
        <v>0</v>
      </c>
      <c r="X439" s="8">
        <f t="shared" si="75"/>
        <v>0</v>
      </c>
    </row>
    <row r="440" spans="11:24" ht="13.2" hidden="1" x14ac:dyDescent="0.25">
      <c r="K440" s="3">
        <f t="shared" si="78"/>
        <v>34</v>
      </c>
      <c r="L440" s="39">
        <v>408</v>
      </c>
      <c r="M440" s="3">
        <f t="shared" si="76"/>
        <v>33</v>
      </c>
      <c r="N440" s="44">
        <f t="shared" si="69"/>
        <v>0</v>
      </c>
      <c r="O440" s="8">
        <f t="shared" si="70"/>
        <v>0</v>
      </c>
      <c r="Q440" s="48">
        <f t="shared" si="71"/>
        <v>0</v>
      </c>
      <c r="R440" s="8">
        <f t="shared" si="72"/>
        <v>0</v>
      </c>
      <c r="T440" s="48">
        <f t="shared" si="73"/>
        <v>0</v>
      </c>
      <c r="U440" s="8">
        <f t="shared" si="74"/>
        <v>0</v>
      </c>
      <c r="W440" s="48">
        <f t="shared" si="77"/>
        <v>0</v>
      </c>
      <c r="X440" s="8">
        <f t="shared" si="75"/>
        <v>0</v>
      </c>
    </row>
    <row r="441" spans="11:24" ht="13.2" hidden="1" x14ac:dyDescent="0.25">
      <c r="K441" s="3" t="str">
        <f t="shared" si="78"/>
        <v/>
      </c>
      <c r="L441" s="39">
        <v>409</v>
      </c>
      <c r="M441" s="3">
        <f t="shared" si="76"/>
        <v>34</v>
      </c>
      <c r="N441" s="44">
        <f t="shared" si="69"/>
        <v>0</v>
      </c>
      <c r="O441" s="8">
        <f t="shared" si="70"/>
        <v>0</v>
      </c>
      <c r="Q441" s="48">
        <f t="shared" si="71"/>
        <v>0</v>
      </c>
      <c r="R441" s="8">
        <f t="shared" si="72"/>
        <v>0</v>
      </c>
      <c r="T441" s="48">
        <f t="shared" si="73"/>
        <v>0</v>
      </c>
      <c r="U441" s="8">
        <f t="shared" si="74"/>
        <v>0</v>
      </c>
      <c r="W441" s="48">
        <f t="shared" si="77"/>
        <v>0</v>
      </c>
      <c r="X441" s="8">
        <f t="shared" si="75"/>
        <v>0</v>
      </c>
    </row>
    <row r="442" spans="11:24" ht="13.2" hidden="1" x14ac:dyDescent="0.25">
      <c r="K442" s="3" t="str">
        <f t="shared" si="78"/>
        <v/>
      </c>
      <c r="L442" s="39">
        <v>410</v>
      </c>
      <c r="M442" s="3">
        <f t="shared" si="76"/>
        <v>34</v>
      </c>
      <c r="N442" s="44">
        <f t="shared" si="69"/>
        <v>0</v>
      </c>
      <c r="O442" s="8">
        <f t="shared" si="70"/>
        <v>0</v>
      </c>
      <c r="Q442" s="48">
        <f t="shared" si="71"/>
        <v>0</v>
      </c>
      <c r="R442" s="8">
        <f t="shared" si="72"/>
        <v>0</v>
      </c>
      <c r="T442" s="48">
        <f t="shared" si="73"/>
        <v>0</v>
      </c>
      <c r="U442" s="8">
        <f t="shared" si="74"/>
        <v>0</v>
      </c>
      <c r="W442" s="48">
        <f t="shared" si="77"/>
        <v>0</v>
      </c>
      <c r="X442" s="8">
        <f t="shared" si="75"/>
        <v>0</v>
      </c>
    </row>
    <row r="443" spans="11:24" ht="13.2" hidden="1" x14ac:dyDescent="0.25">
      <c r="K443" s="3" t="str">
        <f t="shared" si="78"/>
        <v/>
      </c>
      <c r="L443" s="39">
        <v>411</v>
      </c>
      <c r="M443" s="3">
        <f t="shared" si="76"/>
        <v>34</v>
      </c>
      <c r="N443" s="44">
        <f t="shared" si="69"/>
        <v>0</v>
      </c>
      <c r="O443" s="8">
        <f t="shared" si="70"/>
        <v>0</v>
      </c>
      <c r="Q443" s="48">
        <f t="shared" si="71"/>
        <v>0</v>
      </c>
      <c r="R443" s="8">
        <f t="shared" si="72"/>
        <v>0</v>
      </c>
      <c r="T443" s="48">
        <f t="shared" si="73"/>
        <v>0</v>
      </c>
      <c r="U443" s="8">
        <f t="shared" si="74"/>
        <v>0</v>
      </c>
      <c r="W443" s="48">
        <f t="shared" si="77"/>
        <v>0</v>
      </c>
      <c r="X443" s="8">
        <f t="shared" si="75"/>
        <v>0</v>
      </c>
    </row>
    <row r="444" spans="11:24" ht="13.2" hidden="1" x14ac:dyDescent="0.25">
      <c r="K444" s="3" t="str">
        <f t="shared" si="78"/>
        <v/>
      </c>
      <c r="L444" s="39">
        <v>412</v>
      </c>
      <c r="M444" s="3">
        <f t="shared" si="76"/>
        <v>34</v>
      </c>
      <c r="N444" s="44">
        <f t="shared" si="69"/>
        <v>0</v>
      </c>
      <c r="O444" s="8">
        <f t="shared" si="70"/>
        <v>0</v>
      </c>
      <c r="Q444" s="48">
        <f t="shared" si="71"/>
        <v>0</v>
      </c>
      <c r="R444" s="8">
        <f t="shared" si="72"/>
        <v>0</v>
      </c>
      <c r="T444" s="48">
        <f t="shared" si="73"/>
        <v>0</v>
      </c>
      <c r="U444" s="8">
        <f t="shared" si="74"/>
        <v>0</v>
      </c>
      <c r="W444" s="48">
        <f t="shared" si="77"/>
        <v>0</v>
      </c>
      <c r="X444" s="8">
        <f t="shared" si="75"/>
        <v>0</v>
      </c>
    </row>
    <row r="445" spans="11:24" ht="13.2" hidden="1" x14ac:dyDescent="0.25">
      <c r="K445" s="3" t="str">
        <f t="shared" si="78"/>
        <v/>
      </c>
      <c r="L445" s="39">
        <v>413</v>
      </c>
      <c r="M445" s="3">
        <f t="shared" si="76"/>
        <v>34</v>
      </c>
      <c r="N445" s="44">
        <f t="shared" si="69"/>
        <v>0</v>
      </c>
      <c r="O445" s="8">
        <f t="shared" si="70"/>
        <v>0</v>
      </c>
      <c r="Q445" s="48">
        <f t="shared" si="71"/>
        <v>0</v>
      </c>
      <c r="R445" s="8">
        <f t="shared" si="72"/>
        <v>0</v>
      </c>
      <c r="T445" s="48">
        <f t="shared" si="73"/>
        <v>0</v>
      </c>
      <c r="U445" s="8">
        <f t="shared" si="74"/>
        <v>0</v>
      </c>
      <c r="W445" s="48">
        <f t="shared" si="77"/>
        <v>0</v>
      </c>
      <c r="X445" s="8">
        <f t="shared" si="75"/>
        <v>0</v>
      </c>
    </row>
    <row r="446" spans="11:24" ht="13.2" hidden="1" x14ac:dyDescent="0.25">
      <c r="K446" s="3" t="str">
        <f t="shared" si="78"/>
        <v/>
      </c>
      <c r="L446" s="39">
        <v>414</v>
      </c>
      <c r="M446" s="3">
        <f t="shared" si="76"/>
        <v>34</v>
      </c>
      <c r="N446" s="44">
        <f t="shared" si="69"/>
        <v>0</v>
      </c>
      <c r="O446" s="8">
        <f t="shared" si="70"/>
        <v>0</v>
      </c>
      <c r="Q446" s="48">
        <f t="shared" si="71"/>
        <v>0</v>
      </c>
      <c r="R446" s="8">
        <f t="shared" si="72"/>
        <v>0</v>
      </c>
      <c r="T446" s="48">
        <f t="shared" si="73"/>
        <v>0</v>
      </c>
      <c r="U446" s="8">
        <f t="shared" si="74"/>
        <v>0</v>
      </c>
      <c r="W446" s="48">
        <f t="shared" si="77"/>
        <v>0</v>
      </c>
      <c r="X446" s="8">
        <f t="shared" si="75"/>
        <v>0</v>
      </c>
    </row>
    <row r="447" spans="11:24" ht="13.2" hidden="1" x14ac:dyDescent="0.25">
      <c r="K447" s="3" t="str">
        <f t="shared" si="78"/>
        <v/>
      </c>
      <c r="L447" s="39">
        <v>415</v>
      </c>
      <c r="M447" s="3">
        <f t="shared" si="76"/>
        <v>34</v>
      </c>
      <c r="N447" s="44">
        <f t="shared" si="69"/>
        <v>0</v>
      </c>
      <c r="O447" s="8">
        <f t="shared" si="70"/>
        <v>0</v>
      </c>
      <c r="Q447" s="48">
        <f t="shared" si="71"/>
        <v>0</v>
      </c>
      <c r="R447" s="8">
        <f t="shared" si="72"/>
        <v>0</v>
      </c>
      <c r="T447" s="48">
        <f t="shared" si="73"/>
        <v>0</v>
      </c>
      <c r="U447" s="8">
        <f t="shared" si="74"/>
        <v>0</v>
      </c>
      <c r="W447" s="48">
        <f t="shared" si="77"/>
        <v>0</v>
      </c>
      <c r="X447" s="8">
        <f t="shared" si="75"/>
        <v>0</v>
      </c>
    </row>
    <row r="448" spans="11:24" ht="13.2" hidden="1" x14ac:dyDescent="0.25">
      <c r="K448" s="3" t="str">
        <f t="shared" si="78"/>
        <v/>
      </c>
      <c r="L448" s="39">
        <v>416</v>
      </c>
      <c r="M448" s="3">
        <f t="shared" si="76"/>
        <v>34</v>
      </c>
      <c r="N448" s="44">
        <f t="shared" si="69"/>
        <v>0</v>
      </c>
      <c r="O448" s="8">
        <f t="shared" si="70"/>
        <v>0</v>
      </c>
      <c r="Q448" s="48">
        <f t="shared" si="71"/>
        <v>0</v>
      </c>
      <c r="R448" s="8">
        <f t="shared" si="72"/>
        <v>0</v>
      </c>
      <c r="T448" s="48">
        <f t="shared" si="73"/>
        <v>0</v>
      </c>
      <c r="U448" s="8">
        <f t="shared" si="74"/>
        <v>0</v>
      </c>
      <c r="W448" s="48">
        <f t="shared" si="77"/>
        <v>0</v>
      </c>
      <c r="X448" s="8">
        <f t="shared" si="75"/>
        <v>0</v>
      </c>
    </row>
    <row r="449" spans="11:24" ht="13.2" hidden="1" x14ac:dyDescent="0.25">
      <c r="K449" s="3" t="str">
        <f t="shared" si="78"/>
        <v/>
      </c>
      <c r="L449" s="39">
        <v>417</v>
      </c>
      <c r="M449" s="3">
        <f t="shared" si="76"/>
        <v>34</v>
      </c>
      <c r="N449" s="44">
        <f t="shared" si="69"/>
        <v>0</v>
      </c>
      <c r="O449" s="8">
        <f t="shared" si="70"/>
        <v>0</v>
      </c>
      <c r="Q449" s="48">
        <f t="shared" si="71"/>
        <v>0</v>
      </c>
      <c r="R449" s="8">
        <f t="shared" si="72"/>
        <v>0</v>
      </c>
      <c r="T449" s="48">
        <f t="shared" si="73"/>
        <v>0</v>
      </c>
      <c r="U449" s="8">
        <f t="shared" si="74"/>
        <v>0</v>
      </c>
      <c r="W449" s="48">
        <f t="shared" si="77"/>
        <v>0</v>
      </c>
      <c r="X449" s="8">
        <f t="shared" si="75"/>
        <v>0</v>
      </c>
    </row>
    <row r="450" spans="11:24" ht="13.2" hidden="1" x14ac:dyDescent="0.25">
      <c r="K450" s="3" t="str">
        <f t="shared" si="78"/>
        <v/>
      </c>
      <c r="L450" s="39">
        <v>418</v>
      </c>
      <c r="M450" s="3">
        <f t="shared" si="76"/>
        <v>34</v>
      </c>
      <c r="N450" s="44">
        <f t="shared" si="69"/>
        <v>0</v>
      </c>
      <c r="O450" s="8">
        <f t="shared" si="70"/>
        <v>0</v>
      </c>
      <c r="Q450" s="48">
        <f t="shared" si="71"/>
        <v>0</v>
      </c>
      <c r="R450" s="8">
        <f t="shared" si="72"/>
        <v>0</v>
      </c>
      <c r="T450" s="48">
        <f t="shared" si="73"/>
        <v>0</v>
      </c>
      <c r="U450" s="8">
        <f t="shared" si="74"/>
        <v>0</v>
      </c>
      <c r="W450" s="48">
        <f t="shared" si="77"/>
        <v>0</v>
      </c>
      <c r="X450" s="8">
        <f t="shared" si="75"/>
        <v>0</v>
      </c>
    </row>
    <row r="451" spans="11:24" ht="13.2" hidden="1" x14ac:dyDescent="0.25">
      <c r="K451" s="3" t="str">
        <f t="shared" si="78"/>
        <v/>
      </c>
      <c r="L451" s="39">
        <v>419</v>
      </c>
      <c r="M451" s="3">
        <f t="shared" si="76"/>
        <v>34</v>
      </c>
      <c r="N451" s="44">
        <f t="shared" si="69"/>
        <v>0</v>
      </c>
      <c r="O451" s="8">
        <f t="shared" si="70"/>
        <v>0</v>
      </c>
      <c r="Q451" s="48">
        <f t="shared" si="71"/>
        <v>0</v>
      </c>
      <c r="R451" s="8">
        <f t="shared" si="72"/>
        <v>0</v>
      </c>
      <c r="T451" s="48">
        <f t="shared" si="73"/>
        <v>0</v>
      </c>
      <c r="U451" s="8">
        <f t="shared" si="74"/>
        <v>0</v>
      </c>
      <c r="W451" s="48">
        <f t="shared" si="77"/>
        <v>0</v>
      </c>
      <c r="X451" s="8">
        <f t="shared" si="75"/>
        <v>0</v>
      </c>
    </row>
    <row r="452" spans="11:24" ht="13.2" hidden="1" x14ac:dyDescent="0.25">
      <c r="K452" s="3">
        <f t="shared" si="78"/>
        <v>35</v>
      </c>
      <c r="L452" s="39">
        <v>420</v>
      </c>
      <c r="M452" s="3">
        <f t="shared" si="76"/>
        <v>34</v>
      </c>
      <c r="N452" s="44">
        <f t="shared" si="69"/>
        <v>0</v>
      </c>
      <c r="O452" s="8">
        <f t="shared" si="70"/>
        <v>0</v>
      </c>
      <c r="Q452" s="48">
        <f t="shared" si="71"/>
        <v>0</v>
      </c>
      <c r="R452" s="8">
        <f t="shared" si="72"/>
        <v>0</v>
      </c>
      <c r="T452" s="48">
        <f t="shared" si="73"/>
        <v>0</v>
      </c>
      <c r="U452" s="8">
        <f t="shared" si="74"/>
        <v>0</v>
      </c>
      <c r="W452" s="48">
        <f t="shared" si="77"/>
        <v>0</v>
      </c>
      <c r="X452" s="8">
        <f t="shared" si="75"/>
        <v>0</v>
      </c>
    </row>
    <row r="453" spans="11:24" ht="13.2" hidden="1" x14ac:dyDescent="0.25">
      <c r="K453" s="3" t="str">
        <f t="shared" si="78"/>
        <v/>
      </c>
      <c r="L453" s="39">
        <v>421</v>
      </c>
      <c r="M453" s="3">
        <f t="shared" si="76"/>
        <v>35</v>
      </c>
      <c r="N453" s="44">
        <f t="shared" si="69"/>
        <v>0</v>
      </c>
      <c r="O453" s="8">
        <f t="shared" si="70"/>
        <v>0</v>
      </c>
      <c r="Q453" s="48">
        <f t="shared" si="71"/>
        <v>0</v>
      </c>
      <c r="R453" s="8">
        <f t="shared" si="72"/>
        <v>0</v>
      </c>
      <c r="T453" s="48">
        <f t="shared" si="73"/>
        <v>0</v>
      </c>
      <c r="U453" s="8">
        <f t="shared" si="74"/>
        <v>0</v>
      </c>
      <c r="W453" s="48">
        <f t="shared" si="77"/>
        <v>0</v>
      </c>
      <c r="X453" s="8">
        <f t="shared" si="75"/>
        <v>0</v>
      </c>
    </row>
    <row r="454" spans="11:24" ht="13.2" hidden="1" x14ac:dyDescent="0.25">
      <c r="K454" s="3" t="str">
        <f t="shared" si="78"/>
        <v/>
      </c>
      <c r="L454" s="39">
        <v>422</v>
      </c>
      <c r="M454" s="3">
        <f t="shared" si="76"/>
        <v>35</v>
      </c>
      <c r="N454" s="44">
        <f t="shared" si="69"/>
        <v>0</v>
      </c>
      <c r="O454" s="8">
        <f t="shared" si="70"/>
        <v>0</v>
      </c>
      <c r="Q454" s="48">
        <f t="shared" si="71"/>
        <v>0</v>
      </c>
      <c r="R454" s="8">
        <f t="shared" si="72"/>
        <v>0</v>
      </c>
      <c r="T454" s="48">
        <f t="shared" si="73"/>
        <v>0</v>
      </c>
      <c r="U454" s="8">
        <f t="shared" si="74"/>
        <v>0</v>
      </c>
      <c r="W454" s="48">
        <f t="shared" si="77"/>
        <v>0</v>
      </c>
      <c r="X454" s="8">
        <f t="shared" si="75"/>
        <v>0</v>
      </c>
    </row>
    <row r="455" spans="11:24" ht="13.2" hidden="1" x14ac:dyDescent="0.25">
      <c r="K455" s="3" t="str">
        <f t="shared" si="78"/>
        <v/>
      </c>
      <c r="L455" s="39">
        <v>423</v>
      </c>
      <c r="M455" s="3">
        <f t="shared" si="76"/>
        <v>35</v>
      </c>
      <c r="N455" s="44">
        <f t="shared" si="69"/>
        <v>0</v>
      </c>
      <c r="O455" s="8">
        <f t="shared" si="70"/>
        <v>0</v>
      </c>
      <c r="Q455" s="48">
        <f t="shared" si="71"/>
        <v>0</v>
      </c>
      <c r="R455" s="8">
        <f t="shared" si="72"/>
        <v>0</v>
      </c>
      <c r="T455" s="48">
        <f t="shared" si="73"/>
        <v>0</v>
      </c>
      <c r="U455" s="8">
        <f t="shared" si="74"/>
        <v>0</v>
      </c>
      <c r="W455" s="48">
        <f t="shared" si="77"/>
        <v>0</v>
      </c>
      <c r="X455" s="8">
        <f t="shared" si="75"/>
        <v>0</v>
      </c>
    </row>
    <row r="456" spans="11:24" ht="13.2" hidden="1" x14ac:dyDescent="0.25">
      <c r="K456" s="3" t="str">
        <f t="shared" si="78"/>
        <v/>
      </c>
      <c r="L456" s="39">
        <v>424</v>
      </c>
      <c r="M456" s="3">
        <f t="shared" si="76"/>
        <v>35</v>
      </c>
      <c r="N456" s="44">
        <f t="shared" si="69"/>
        <v>0</v>
      </c>
      <c r="O456" s="8">
        <f t="shared" si="70"/>
        <v>0</v>
      </c>
      <c r="Q456" s="48">
        <f t="shared" si="71"/>
        <v>0</v>
      </c>
      <c r="R456" s="8">
        <f t="shared" si="72"/>
        <v>0</v>
      </c>
      <c r="T456" s="48">
        <f t="shared" si="73"/>
        <v>0</v>
      </c>
      <c r="U456" s="8">
        <f t="shared" si="74"/>
        <v>0</v>
      </c>
      <c r="W456" s="48">
        <f t="shared" si="77"/>
        <v>0</v>
      </c>
      <c r="X456" s="8">
        <f t="shared" si="75"/>
        <v>0</v>
      </c>
    </row>
    <row r="457" spans="11:24" ht="13.2" hidden="1" x14ac:dyDescent="0.25">
      <c r="K457" s="3" t="str">
        <f t="shared" si="78"/>
        <v/>
      </c>
      <c r="L457" s="39">
        <v>425</v>
      </c>
      <c r="M457" s="3">
        <f t="shared" si="76"/>
        <v>35</v>
      </c>
      <c r="N457" s="44">
        <f t="shared" si="69"/>
        <v>0</v>
      </c>
      <c r="O457" s="8">
        <f t="shared" si="70"/>
        <v>0</v>
      </c>
      <c r="Q457" s="48">
        <f t="shared" si="71"/>
        <v>0</v>
      </c>
      <c r="R457" s="8">
        <f t="shared" si="72"/>
        <v>0</v>
      </c>
      <c r="T457" s="48">
        <f t="shared" si="73"/>
        <v>0</v>
      </c>
      <c r="U457" s="8">
        <f t="shared" si="74"/>
        <v>0</v>
      </c>
      <c r="W457" s="48">
        <f t="shared" si="77"/>
        <v>0</v>
      </c>
      <c r="X457" s="8">
        <f t="shared" si="75"/>
        <v>0</v>
      </c>
    </row>
    <row r="458" spans="11:24" ht="13.2" hidden="1" x14ac:dyDescent="0.25">
      <c r="K458" s="3" t="str">
        <f t="shared" si="78"/>
        <v/>
      </c>
      <c r="L458" s="39">
        <v>426</v>
      </c>
      <c r="M458" s="3">
        <f t="shared" si="76"/>
        <v>35</v>
      </c>
      <c r="N458" s="44">
        <f t="shared" si="69"/>
        <v>0</v>
      </c>
      <c r="O458" s="8">
        <f t="shared" si="70"/>
        <v>0</v>
      </c>
      <c r="Q458" s="48">
        <f t="shared" si="71"/>
        <v>0</v>
      </c>
      <c r="R458" s="8">
        <f t="shared" si="72"/>
        <v>0</v>
      </c>
      <c r="T458" s="48">
        <f t="shared" si="73"/>
        <v>0</v>
      </c>
      <c r="U458" s="8">
        <f t="shared" si="74"/>
        <v>0</v>
      </c>
      <c r="W458" s="48">
        <f t="shared" si="77"/>
        <v>0</v>
      </c>
      <c r="X458" s="8">
        <f t="shared" si="75"/>
        <v>0</v>
      </c>
    </row>
    <row r="459" spans="11:24" ht="13.2" hidden="1" x14ac:dyDescent="0.25">
      <c r="K459" s="3" t="str">
        <f t="shared" si="78"/>
        <v/>
      </c>
      <c r="L459" s="39">
        <v>427</v>
      </c>
      <c r="M459" s="3">
        <f t="shared" si="76"/>
        <v>35</v>
      </c>
      <c r="N459" s="44">
        <f t="shared" si="69"/>
        <v>0</v>
      </c>
      <c r="O459" s="8">
        <f t="shared" si="70"/>
        <v>0</v>
      </c>
      <c r="Q459" s="48">
        <f t="shared" si="71"/>
        <v>0</v>
      </c>
      <c r="R459" s="8">
        <f t="shared" si="72"/>
        <v>0</v>
      </c>
      <c r="T459" s="48">
        <f t="shared" si="73"/>
        <v>0</v>
      </c>
      <c r="U459" s="8">
        <f t="shared" si="74"/>
        <v>0</v>
      </c>
      <c r="W459" s="48">
        <f t="shared" si="77"/>
        <v>0</v>
      </c>
      <c r="X459" s="8">
        <f t="shared" si="75"/>
        <v>0</v>
      </c>
    </row>
    <row r="460" spans="11:24" ht="13.2" hidden="1" x14ac:dyDescent="0.25">
      <c r="K460" s="3" t="str">
        <f t="shared" si="78"/>
        <v/>
      </c>
      <c r="L460" s="39">
        <v>428</v>
      </c>
      <c r="M460" s="3">
        <f t="shared" si="76"/>
        <v>35</v>
      </c>
      <c r="N460" s="44">
        <f t="shared" si="69"/>
        <v>0</v>
      </c>
      <c r="O460" s="8">
        <f t="shared" si="70"/>
        <v>0</v>
      </c>
      <c r="Q460" s="48">
        <f t="shared" si="71"/>
        <v>0</v>
      </c>
      <c r="R460" s="8">
        <f t="shared" si="72"/>
        <v>0</v>
      </c>
      <c r="T460" s="48">
        <f t="shared" si="73"/>
        <v>0</v>
      </c>
      <c r="U460" s="8">
        <f t="shared" si="74"/>
        <v>0</v>
      </c>
      <c r="W460" s="48">
        <f t="shared" si="77"/>
        <v>0</v>
      </c>
      <c r="X460" s="8">
        <f t="shared" si="75"/>
        <v>0</v>
      </c>
    </row>
    <row r="461" spans="11:24" ht="13.2" hidden="1" x14ac:dyDescent="0.25">
      <c r="K461" s="3" t="str">
        <f t="shared" si="78"/>
        <v/>
      </c>
      <c r="L461" s="39">
        <v>429</v>
      </c>
      <c r="M461" s="3">
        <f t="shared" si="76"/>
        <v>35</v>
      </c>
      <c r="N461" s="44">
        <f t="shared" si="69"/>
        <v>0</v>
      </c>
      <c r="O461" s="8">
        <f t="shared" si="70"/>
        <v>0</v>
      </c>
      <c r="Q461" s="48">
        <f t="shared" si="71"/>
        <v>0</v>
      </c>
      <c r="R461" s="8">
        <f t="shared" si="72"/>
        <v>0</v>
      </c>
      <c r="T461" s="48">
        <f t="shared" si="73"/>
        <v>0</v>
      </c>
      <c r="U461" s="8">
        <f t="shared" si="74"/>
        <v>0</v>
      </c>
      <c r="W461" s="48">
        <f t="shared" si="77"/>
        <v>0</v>
      </c>
      <c r="X461" s="8">
        <f t="shared" si="75"/>
        <v>0</v>
      </c>
    </row>
    <row r="462" spans="11:24" ht="13.2" hidden="1" x14ac:dyDescent="0.25">
      <c r="K462" s="3" t="str">
        <f t="shared" si="78"/>
        <v/>
      </c>
      <c r="L462" s="39">
        <v>430</v>
      </c>
      <c r="M462" s="3">
        <f t="shared" si="76"/>
        <v>35</v>
      </c>
      <c r="N462" s="44">
        <f t="shared" si="69"/>
        <v>0</v>
      </c>
      <c r="O462" s="8">
        <f t="shared" si="70"/>
        <v>0</v>
      </c>
      <c r="Q462" s="48">
        <f t="shared" si="71"/>
        <v>0</v>
      </c>
      <c r="R462" s="8">
        <f t="shared" si="72"/>
        <v>0</v>
      </c>
      <c r="T462" s="48">
        <f t="shared" si="73"/>
        <v>0</v>
      </c>
      <c r="U462" s="8">
        <f t="shared" si="74"/>
        <v>0</v>
      </c>
      <c r="W462" s="48">
        <f t="shared" si="77"/>
        <v>0</v>
      </c>
      <c r="X462" s="8">
        <f t="shared" si="75"/>
        <v>0</v>
      </c>
    </row>
    <row r="463" spans="11:24" ht="13.2" hidden="1" x14ac:dyDescent="0.25">
      <c r="K463" s="3" t="str">
        <f t="shared" si="78"/>
        <v/>
      </c>
      <c r="L463" s="39">
        <v>431</v>
      </c>
      <c r="M463" s="3">
        <f t="shared" si="76"/>
        <v>35</v>
      </c>
      <c r="N463" s="44">
        <f t="shared" si="69"/>
        <v>0</v>
      </c>
      <c r="O463" s="8">
        <f t="shared" si="70"/>
        <v>0</v>
      </c>
      <c r="Q463" s="48">
        <f t="shared" si="71"/>
        <v>0</v>
      </c>
      <c r="R463" s="8">
        <f t="shared" si="72"/>
        <v>0</v>
      </c>
      <c r="T463" s="48">
        <f t="shared" si="73"/>
        <v>0</v>
      </c>
      <c r="U463" s="8">
        <f t="shared" si="74"/>
        <v>0</v>
      </c>
      <c r="W463" s="48">
        <f t="shared" si="77"/>
        <v>0</v>
      </c>
      <c r="X463" s="8">
        <f t="shared" si="75"/>
        <v>0</v>
      </c>
    </row>
    <row r="464" spans="11:24" ht="13.2" hidden="1" x14ac:dyDescent="0.25">
      <c r="K464" s="3">
        <f t="shared" si="78"/>
        <v>36</v>
      </c>
      <c r="L464" s="39">
        <v>432</v>
      </c>
      <c r="M464" s="3">
        <f t="shared" si="76"/>
        <v>35</v>
      </c>
      <c r="N464" s="44">
        <f t="shared" si="69"/>
        <v>0</v>
      </c>
      <c r="O464" s="8">
        <f t="shared" si="70"/>
        <v>0</v>
      </c>
      <c r="Q464" s="48">
        <f t="shared" si="71"/>
        <v>0</v>
      </c>
      <c r="R464" s="8">
        <f t="shared" si="72"/>
        <v>0</v>
      </c>
      <c r="T464" s="48">
        <f t="shared" si="73"/>
        <v>0</v>
      </c>
      <c r="U464" s="8">
        <f t="shared" si="74"/>
        <v>0</v>
      </c>
      <c r="W464" s="48">
        <f t="shared" si="77"/>
        <v>0</v>
      </c>
      <c r="X464" s="8">
        <f t="shared" si="75"/>
        <v>0</v>
      </c>
    </row>
    <row r="465" spans="11:24" ht="13.2" hidden="1" x14ac:dyDescent="0.25">
      <c r="K465" s="3" t="str">
        <f t="shared" si="78"/>
        <v/>
      </c>
      <c r="L465" s="39">
        <v>433</v>
      </c>
      <c r="M465" s="3">
        <f t="shared" si="76"/>
        <v>36</v>
      </c>
      <c r="N465" s="44">
        <f t="shared" si="69"/>
        <v>0</v>
      </c>
      <c r="O465" s="8">
        <f t="shared" si="70"/>
        <v>0</v>
      </c>
      <c r="Q465" s="48">
        <f t="shared" si="71"/>
        <v>0</v>
      </c>
      <c r="R465" s="8">
        <f t="shared" si="72"/>
        <v>0</v>
      </c>
      <c r="T465" s="48">
        <f t="shared" si="73"/>
        <v>0</v>
      </c>
      <c r="U465" s="8">
        <f t="shared" si="74"/>
        <v>0</v>
      </c>
      <c r="W465" s="48">
        <f t="shared" si="77"/>
        <v>0</v>
      </c>
      <c r="X465" s="8">
        <f t="shared" si="75"/>
        <v>0</v>
      </c>
    </row>
    <row r="466" spans="11:24" ht="13.2" hidden="1" x14ac:dyDescent="0.25">
      <c r="K466" s="3" t="str">
        <f t="shared" si="78"/>
        <v/>
      </c>
      <c r="L466" s="39">
        <v>434</v>
      </c>
      <c r="M466" s="3">
        <f t="shared" si="76"/>
        <v>36</v>
      </c>
      <c r="N466" s="44">
        <f t="shared" si="69"/>
        <v>0</v>
      </c>
      <c r="O466" s="8">
        <f t="shared" si="70"/>
        <v>0</v>
      </c>
      <c r="Q466" s="48">
        <f t="shared" si="71"/>
        <v>0</v>
      </c>
      <c r="R466" s="8">
        <f t="shared" si="72"/>
        <v>0</v>
      </c>
      <c r="T466" s="48">
        <f t="shared" si="73"/>
        <v>0</v>
      </c>
      <c r="U466" s="8">
        <f t="shared" si="74"/>
        <v>0</v>
      </c>
      <c r="W466" s="48">
        <f t="shared" si="77"/>
        <v>0</v>
      </c>
      <c r="X466" s="8">
        <f t="shared" si="75"/>
        <v>0</v>
      </c>
    </row>
    <row r="467" spans="11:24" ht="13.2" hidden="1" x14ac:dyDescent="0.25">
      <c r="K467" s="3" t="str">
        <f t="shared" si="78"/>
        <v/>
      </c>
      <c r="L467" s="39">
        <v>435</v>
      </c>
      <c r="M467" s="3">
        <f t="shared" si="76"/>
        <v>36</v>
      </c>
      <c r="N467" s="44">
        <f t="shared" si="69"/>
        <v>0</v>
      </c>
      <c r="O467" s="8">
        <f t="shared" si="70"/>
        <v>0</v>
      </c>
      <c r="Q467" s="48">
        <f t="shared" si="71"/>
        <v>0</v>
      </c>
      <c r="R467" s="8">
        <f t="shared" si="72"/>
        <v>0</v>
      </c>
      <c r="T467" s="48">
        <f t="shared" si="73"/>
        <v>0</v>
      </c>
      <c r="U467" s="8">
        <f t="shared" si="74"/>
        <v>0</v>
      </c>
      <c r="W467" s="48">
        <f t="shared" si="77"/>
        <v>0</v>
      </c>
      <c r="X467" s="8">
        <f t="shared" si="75"/>
        <v>0</v>
      </c>
    </row>
    <row r="468" spans="11:24" ht="13.2" hidden="1" x14ac:dyDescent="0.25">
      <c r="K468" s="3" t="str">
        <f t="shared" si="78"/>
        <v/>
      </c>
      <c r="L468" s="39">
        <v>436</v>
      </c>
      <c r="M468" s="3">
        <f t="shared" si="76"/>
        <v>36</v>
      </c>
      <c r="N468" s="44">
        <f t="shared" si="69"/>
        <v>0</v>
      </c>
      <c r="O468" s="8">
        <f t="shared" si="70"/>
        <v>0</v>
      </c>
      <c r="Q468" s="48">
        <f t="shared" si="71"/>
        <v>0</v>
      </c>
      <c r="R468" s="8">
        <f t="shared" si="72"/>
        <v>0</v>
      </c>
      <c r="T468" s="48">
        <f t="shared" si="73"/>
        <v>0</v>
      </c>
      <c r="U468" s="8">
        <f t="shared" si="74"/>
        <v>0</v>
      </c>
      <c r="W468" s="48">
        <f t="shared" si="77"/>
        <v>0</v>
      </c>
      <c r="X468" s="8">
        <f t="shared" si="75"/>
        <v>0</v>
      </c>
    </row>
    <row r="469" spans="11:24" ht="13.2" hidden="1" x14ac:dyDescent="0.25">
      <c r="K469" s="3" t="str">
        <f t="shared" si="78"/>
        <v/>
      </c>
      <c r="L469" s="39">
        <v>437</v>
      </c>
      <c r="M469" s="3">
        <f t="shared" si="76"/>
        <v>36</v>
      </c>
      <c r="N469" s="44">
        <f t="shared" si="69"/>
        <v>0</v>
      </c>
      <c r="O469" s="8">
        <f t="shared" si="70"/>
        <v>0</v>
      </c>
      <c r="Q469" s="48">
        <f t="shared" si="71"/>
        <v>0</v>
      </c>
      <c r="R469" s="8">
        <f t="shared" si="72"/>
        <v>0</v>
      </c>
      <c r="T469" s="48">
        <f t="shared" si="73"/>
        <v>0</v>
      </c>
      <c r="U469" s="8">
        <f t="shared" si="74"/>
        <v>0</v>
      </c>
      <c r="W469" s="48">
        <f t="shared" si="77"/>
        <v>0</v>
      </c>
      <c r="X469" s="8">
        <f t="shared" si="75"/>
        <v>0</v>
      </c>
    </row>
    <row r="470" spans="11:24" ht="13.2" hidden="1" x14ac:dyDescent="0.25">
      <c r="K470" s="3" t="str">
        <f t="shared" si="78"/>
        <v/>
      </c>
      <c r="L470" s="39">
        <v>438</v>
      </c>
      <c r="M470" s="3">
        <f t="shared" si="76"/>
        <v>36</v>
      </c>
      <c r="N470" s="44">
        <f t="shared" si="69"/>
        <v>0</v>
      </c>
      <c r="O470" s="8">
        <f t="shared" si="70"/>
        <v>0</v>
      </c>
      <c r="Q470" s="48">
        <f t="shared" si="71"/>
        <v>0</v>
      </c>
      <c r="R470" s="8">
        <f t="shared" si="72"/>
        <v>0</v>
      </c>
      <c r="T470" s="48">
        <f t="shared" si="73"/>
        <v>0</v>
      </c>
      <c r="U470" s="8">
        <f t="shared" si="74"/>
        <v>0</v>
      </c>
      <c r="W470" s="48">
        <f t="shared" si="77"/>
        <v>0</v>
      </c>
      <c r="X470" s="8">
        <f t="shared" si="75"/>
        <v>0</v>
      </c>
    </row>
    <row r="471" spans="11:24" ht="13.2" hidden="1" x14ac:dyDescent="0.25">
      <c r="K471" s="3" t="str">
        <f t="shared" si="78"/>
        <v/>
      </c>
      <c r="L471" s="39">
        <v>439</v>
      </c>
      <c r="M471" s="3">
        <f t="shared" si="76"/>
        <v>36</v>
      </c>
      <c r="N471" s="44">
        <f t="shared" si="69"/>
        <v>0</v>
      </c>
      <c r="O471" s="8">
        <f t="shared" si="70"/>
        <v>0</v>
      </c>
      <c r="Q471" s="48">
        <f t="shared" si="71"/>
        <v>0</v>
      </c>
      <c r="R471" s="8">
        <f t="shared" si="72"/>
        <v>0</v>
      </c>
      <c r="T471" s="48">
        <f t="shared" si="73"/>
        <v>0</v>
      </c>
      <c r="U471" s="8">
        <f t="shared" si="74"/>
        <v>0</v>
      </c>
      <c r="W471" s="48">
        <f t="shared" si="77"/>
        <v>0</v>
      </c>
      <c r="X471" s="8">
        <f t="shared" si="75"/>
        <v>0</v>
      </c>
    </row>
    <row r="472" spans="11:24" ht="13.2" hidden="1" x14ac:dyDescent="0.25">
      <c r="K472" s="3" t="str">
        <f t="shared" si="78"/>
        <v/>
      </c>
      <c r="L472" s="39">
        <v>440</v>
      </c>
      <c r="M472" s="3">
        <f t="shared" si="76"/>
        <v>36</v>
      </c>
      <c r="N472" s="44">
        <f t="shared" si="69"/>
        <v>0</v>
      </c>
      <c r="O472" s="8">
        <f t="shared" si="70"/>
        <v>0</v>
      </c>
      <c r="Q472" s="48">
        <f t="shared" si="71"/>
        <v>0</v>
      </c>
      <c r="R472" s="8">
        <f t="shared" si="72"/>
        <v>0</v>
      </c>
      <c r="T472" s="48">
        <f t="shared" si="73"/>
        <v>0</v>
      </c>
      <c r="U472" s="8">
        <f t="shared" si="74"/>
        <v>0</v>
      </c>
      <c r="W472" s="48">
        <f t="shared" si="77"/>
        <v>0</v>
      </c>
      <c r="X472" s="8">
        <f t="shared" si="75"/>
        <v>0</v>
      </c>
    </row>
    <row r="473" spans="11:24" ht="13.2" hidden="1" x14ac:dyDescent="0.25">
      <c r="K473" s="3" t="str">
        <f t="shared" si="78"/>
        <v/>
      </c>
      <c r="L473" s="39">
        <v>441</v>
      </c>
      <c r="M473" s="3">
        <f t="shared" si="76"/>
        <v>36</v>
      </c>
      <c r="N473" s="44">
        <f t="shared" si="69"/>
        <v>0</v>
      </c>
      <c r="O473" s="8">
        <f t="shared" si="70"/>
        <v>0</v>
      </c>
      <c r="Q473" s="48">
        <f t="shared" si="71"/>
        <v>0</v>
      </c>
      <c r="R473" s="8">
        <f t="shared" si="72"/>
        <v>0</v>
      </c>
      <c r="T473" s="48">
        <f t="shared" si="73"/>
        <v>0</v>
      </c>
      <c r="U473" s="8">
        <f t="shared" si="74"/>
        <v>0</v>
      </c>
      <c r="W473" s="48">
        <f t="shared" si="77"/>
        <v>0</v>
      </c>
      <c r="X473" s="8">
        <f t="shared" si="75"/>
        <v>0</v>
      </c>
    </row>
    <row r="474" spans="11:24" ht="13.2" hidden="1" x14ac:dyDescent="0.25">
      <c r="K474" s="3" t="str">
        <f t="shared" si="78"/>
        <v/>
      </c>
      <c r="L474" s="39">
        <v>442</v>
      </c>
      <c r="M474" s="3">
        <f t="shared" si="76"/>
        <v>36</v>
      </c>
      <c r="N474" s="44">
        <f t="shared" si="69"/>
        <v>0</v>
      </c>
      <c r="O474" s="8">
        <f t="shared" si="70"/>
        <v>0</v>
      </c>
      <c r="Q474" s="48">
        <f t="shared" si="71"/>
        <v>0</v>
      </c>
      <c r="R474" s="8">
        <f t="shared" si="72"/>
        <v>0</v>
      </c>
      <c r="T474" s="48">
        <f t="shared" si="73"/>
        <v>0</v>
      </c>
      <c r="U474" s="8">
        <f t="shared" si="74"/>
        <v>0</v>
      </c>
      <c r="W474" s="48">
        <f t="shared" si="77"/>
        <v>0</v>
      </c>
      <c r="X474" s="8">
        <f t="shared" si="75"/>
        <v>0</v>
      </c>
    </row>
    <row r="475" spans="11:24" ht="13.2" hidden="1" x14ac:dyDescent="0.25">
      <c r="K475" s="3" t="str">
        <f t="shared" si="78"/>
        <v/>
      </c>
      <c r="L475" s="39">
        <v>443</v>
      </c>
      <c r="M475" s="3">
        <f t="shared" si="76"/>
        <v>36</v>
      </c>
      <c r="N475" s="44">
        <f t="shared" si="69"/>
        <v>0</v>
      </c>
      <c r="O475" s="8">
        <f t="shared" si="70"/>
        <v>0</v>
      </c>
      <c r="Q475" s="48">
        <f t="shared" si="71"/>
        <v>0</v>
      </c>
      <c r="R475" s="8">
        <f t="shared" si="72"/>
        <v>0</v>
      </c>
      <c r="T475" s="48">
        <f t="shared" si="73"/>
        <v>0</v>
      </c>
      <c r="U475" s="8">
        <f t="shared" si="74"/>
        <v>0</v>
      </c>
      <c r="W475" s="48">
        <f t="shared" si="77"/>
        <v>0</v>
      </c>
      <c r="X475" s="8">
        <f t="shared" si="75"/>
        <v>0</v>
      </c>
    </row>
    <row r="476" spans="11:24" ht="13.2" hidden="1" x14ac:dyDescent="0.25">
      <c r="K476" s="3">
        <f t="shared" si="78"/>
        <v>37</v>
      </c>
      <c r="L476" s="39">
        <v>444</v>
      </c>
      <c r="M476" s="3">
        <f t="shared" si="76"/>
        <v>36</v>
      </c>
      <c r="N476" s="44">
        <f t="shared" si="69"/>
        <v>0</v>
      </c>
      <c r="O476" s="8">
        <f t="shared" si="70"/>
        <v>0</v>
      </c>
      <c r="Q476" s="48">
        <f t="shared" si="71"/>
        <v>0</v>
      </c>
      <c r="R476" s="8">
        <f t="shared" si="72"/>
        <v>0</v>
      </c>
      <c r="T476" s="48">
        <f t="shared" si="73"/>
        <v>0</v>
      </c>
      <c r="U476" s="8">
        <f t="shared" si="74"/>
        <v>0</v>
      </c>
      <c r="W476" s="48">
        <f t="shared" si="77"/>
        <v>0</v>
      </c>
      <c r="X476" s="8">
        <f t="shared" si="75"/>
        <v>0</v>
      </c>
    </row>
    <row r="477" spans="11:24" ht="13.2" hidden="1" x14ac:dyDescent="0.25">
      <c r="K477" s="3" t="str">
        <f t="shared" si="78"/>
        <v/>
      </c>
      <c r="L477" s="39">
        <v>445</v>
      </c>
      <c r="M477" s="3">
        <f t="shared" si="76"/>
        <v>37</v>
      </c>
      <c r="N477" s="44">
        <f t="shared" si="69"/>
        <v>0</v>
      </c>
      <c r="O477" s="8">
        <f t="shared" si="70"/>
        <v>0</v>
      </c>
      <c r="Q477" s="48">
        <f t="shared" si="71"/>
        <v>0</v>
      </c>
      <c r="R477" s="8">
        <f t="shared" si="72"/>
        <v>0</v>
      </c>
      <c r="T477" s="48">
        <f t="shared" si="73"/>
        <v>0</v>
      </c>
      <c r="U477" s="8">
        <f t="shared" si="74"/>
        <v>0</v>
      </c>
      <c r="W477" s="48">
        <f t="shared" si="77"/>
        <v>0</v>
      </c>
      <c r="X477" s="8">
        <f t="shared" si="75"/>
        <v>0</v>
      </c>
    </row>
    <row r="478" spans="11:24" ht="13.2" hidden="1" x14ac:dyDescent="0.25">
      <c r="K478" s="3" t="str">
        <f t="shared" si="78"/>
        <v/>
      </c>
      <c r="L478" s="39">
        <v>446</v>
      </c>
      <c r="M478" s="3">
        <f t="shared" si="76"/>
        <v>37</v>
      </c>
      <c r="N478" s="44">
        <f t="shared" si="69"/>
        <v>0</v>
      </c>
      <c r="O478" s="8">
        <f t="shared" si="70"/>
        <v>0</v>
      </c>
      <c r="Q478" s="48">
        <f t="shared" si="71"/>
        <v>0</v>
      </c>
      <c r="R478" s="8">
        <f t="shared" si="72"/>
        <v>0</v>
      </c>
      <c r="T478" s="48">
        <f t="shared" si="73"/>
        <v>0</v>
      </c>
      <c r="U478" s="8">
        <f t="shared" si="74"/>
        <v>0</v>
      </c>
      <c r="W478" s="48">
        <f t="shared" si="77"/>
        <v>0</v>
      </c>
      <c r="X478" s="8">
        <f t="shared" si="75"/>
        <v>0</v>
      </c>
    </row>
    <row r="479" spans="11:24" ht="13.2" hidden="1" x14ac:dyDescent="0.25">
      <c r="K479" s="3" t="str">
        <f t="shared" si="78"/>
        <v/>
      </c>
      <c r="L479" s="39">
        <v>447</v>
      </c>
      <c r="M479" s="3">
        <f t="shared" si="76"/>
        <v>37</v>
      </c>
      <c r="N479" s="44">
        <f t="shared" si="69"/>
        <v>0</v>
      </c>
      <c r="O479" s="8">
        <f t="shared" si="70"/>
        <v>0</v>
      </c>
      <c r="Q479" s="48">
        <f t="shared" si="71"/>
        <v>0</v>
      </c>
      <c r="R479" s="8">
        <f t="shared" si="72"/>
        <v>0</v>
      </c>
      <c r="T479" s="48">
        <f t="shared" si="73"/>
        <v>0</v>
      </c>
      <c r="U479" s="8">
        <f t="shared" si="74"/>
        <v>0</v>
      </c>
      <c r="W479" s="48">
        <f t="shared" si="77"/>
        <v>0</v>
      </c>
      <c r="X479" s="8">
        <f t="shared" si="75"/>
        <v>0</v>
      </c>
    </row>
    <row r="480" spans="11:24" ht="13.2" hidden="1" x14ac:dyDescent="0.25">
      <c r="K480" s="3" t="str">
        <f t="shared" si="78"/>
        <v/>
      </c>
      <c r="L480" s="39">
        <v>448</v>
      </c>
      <c r="M480" s="3">
        <f t="shared" si="76"/>
        <v>37</v>
      </c>
      <c r="N480" s="44">
        <f t="shared" si="69"/>
        <v>0</v>
      </c>
      <c r="O480" s="8">
        <f t="shared" si="70"/>
        <v>0</v>
      </c>
      <c r="Q480" s="48">
        <f t="shared" si="71"/>
        <v>0</v>
      </c>
      <c r="R480" s="8">
        <f t="shared" si="72"/>
        <v>0</v>
      </c>
      <c r="T480" s="48">
        <f t="shared" si="73"/>
        <v>0</v>
      </c>
      <c r="U480" s="8">
        <f t="shared" si="74"/>
        <v>0</v>
      </c>
      <c r="W480" s="48">
        <f t="shared" si="77"/>
        <v>0</v>
      </c>
      <c r="X480" s="8">
        <f t="shared" si="75"/>
        <v>0</v>
      </c>
    </row>
    <row r="481" spans="11:24" ht="13.2" hidden="1" x14ac:dyDescent="0.25">
      <c r="K481" s="3" t="str">
        <f t="shared" si="78"/>
        <v/>
      </c>
      <c r="L481" s="39">
        <v>449</v>
      </c>
      <c r="M481" s="3">
        <f t="shared" si="76"/>
        <v>37</v>
      </c>
      <c r="N481" s="44">
        <f t="shared" ref="N481:N544" si="79">IF(L481&lt;=InvMonths,SU_Amt*(1+$C$19)^M481,0)</f>
        <v>0</v>
      </c>
      <c r="O481" s="8">
        <f t="shared" ref="O481:O544" si="80">FV($S$1,(InvMonths-L481+1),0,-N481,1)</f>
        <v>0</v>
      </c>
      <c r="Q481" s="48">
        <f t="shared" ref="Q481:Q544" si="81">IF(L481&lt;=InvMonths,$R$27*(1+$C$19)^M481,0)</f>
        <v>0</v>
      </c>
      <c r="R481" s="8">
        <f t="shared" ref="R481:R544" si="82">FV($S$1,(InvMonths-L481+1),0,-Q481,1)</f>
        <v>0</v>
      </c>
      <c r="T481" s="48">
        <f t="shared" ref="T481:T544" si="83">IF(L481&lt;=InvMonths,$U$27,0)</f>
        <v>0</v>
      </c>
      <c r="U481" s="8">
        <f t="shared" ref="U481:U544" si="84">FV($S$1,(InvMonths-L481+1),0,-T481,1)</f>
        <v>0</v>
      </c>
      <c r="W481" s="48">
        <f t="shared" si="77"/>
        <v>0</v>
      </c>
      <c r="X481" s="8">
        <f t="shared" ref="X481:X544" si="85">FV($S$1,($X$26-L481+1),0,-W481,1)</f>
        <v>0</v>
      </c>
    </row>
    <row r="482" spans="11:24" ht="13.2" hidden="1" x14ac:dyDescent="0.25">
      <c r="K482" s="3" t="str">
        <f t="shared" si="78"/>
        <v/>
      </c>
      <c r="L482" s="39">
        <v>450</v>
      </c>
      <c r="M482" s="3">
        <f t="shared" ref="M482:M545" si="86">IF(MOD(L482,12)=0,(L482/12)-1,QUOTIENT(L482,12))</f>
        <v>37</v>
      </c>
      <c r="N482" s="44">
        <f t="shared" si="79"/>
        <v>0</v>
      </c>
      <c r="O482" s="8">
        <f t="shared" si="80"/>
        <v>0</v>
      </c>
      <c r="Q482" s="48">
        <f t="shared" si="81"/>
        <v>0</v>
      </c>
      <c r="R482" s="8">
        <f t="shared" si="82"/>
        <v>0</v>
      </c>
      <c r="T482" s="48">
        <f t="shared" si="83"/>
        <v>0</v>
      </c>
      <c r="U482" s="8">
        <f t="shared" si="84"/>
        <v>0</v>
      </c>
      <c r="W482" s="48">
        <f t="shared" ref="W482:W545" si="87">IF(L482&lt;=$X$26,$X$27,0)</f>
        <v>0</v>
      </c>
      <c r="X482" s="8">
        <f t="shared" si="85"/>
        <v>0</v>
      </c>
    </row>
    <row r="483" spans="11:24" ht="13.2" hidden="1" x14ac:dyDescent="0.25">
      <c r="K483" s="3" t="str">
        <f t="shared" si="78"/>
        <v/>
      </c>
      <c r="L483" s="39">
        <v>451</v>
      </c>
      <c r="M483" s="3">
        <f t="shared" si="86"/>
        <v>37</v>
      </c>
      <c r="N483" s="44">
        <f t="shared" si="79"/>
        <v>0</v>
      </c>
      <c r="O483" s="8">
        <f t="shared" si="80"/>
        <v>0</v>
      </c>
      <c r="Q483" s="48">
        <f t="shared" si="81"/>
        <v>0</v>
      </c>
      <c r="R483" s="8">
        <f t="shared" si="82"/>
        <v>0</v>
      </c>
      <c r="T483" s="48">
        <f t="shared" si="83"/>
        <v>0</v>
      </c>
      <c r="U483" s="8">
        <f t="shared" si="84"/>
        <v>0</v>
      </c>
      <c r="W483" s="48">
        <f t="shared" si="87"/>
        <v>0</v>
      </c>
      <c r="X483" s="8">
        <f t="shared" si="85"/>
        <v>0</v>
      </c>
    </row>
    <row r="484" spans="11:24" ht="13.2" hidden="1" x14ac:dyDescent="0.25">
      <c r="K484" s="3" t="str">
        <f t="shared" si="78"/>
        <v/>
      </c>
      <c r="L484" s="39">
        <v>452</v>
      </c>
      <c r="M484" s="3">
        <f t="shared" si="86"/>
        <v>37</v>
      </c>
      <c r="N484" s="44">
        <f t="shared" si="79"/>
        <v>0</v>
      </c>
      <c r="O484" s="8">
        <f t="shared" si="80"/>
        <v>0</v>
      </c>
      <c r="Q484" s="48">
        <f t="shared" si="81"/>
        <v>0</v>
      </c>
      <c r="R484" s="8">
        <f t="shared" si="82"/>
        <v>0</v>
      </c>
      <c r="T484" s="48">
        <f t="shared" si="83"/>
        <v>0</v>
      </c>
      <c r="U484" s="8">
        <f t="shared" si="84"/>
        <v>0</v>
      </c>
      <c r="W484" s="48">
        <f t="shared" si="87"/>
        <v>0</v>
      </c>
      <c r="X484" s="8">
        <f t="shared" si="85"/>
        <v>0</v>
      </c>
    </row>
    <row r="485" spans="11:24" ht="13.2" hidden="1" x14ac:dyDescent="0.25">
      <c r="K485" s="3" t="str">
        <f t="shared" si="78"/>
        <v/>
      </c>
      <c r="L485" s="39">
        <v>453</v>
      </c>
      <c r="M485" s="3">
        <f t="shared" si="86"/>
        <v>37</v>
      </c>
      <c r="N485" s="44">
        <f t="shared" si="79"/>
        <v>0</v>
      </c>
      <c r="O485" s="8">
        <f t="shared" si="80"/>
        <v>0</v>
      </c>
      <c r="Q485" s="48">
        <f t="shared" si="81"/>
        <v>0</v>
      </c>
      <c r="R485" s="8">
        <f t="shared" si="82"/>
        <v>0</v>
      </c>
      <c r="T485" s="48">
        <f t="shared" si="83"/>
        <v>0</v>
      </c>
      <c r="U485" s="8">
        <f t="shared" si="84"/>
        <v>0</v>
      </c>
      <c r="W485" s="48">
        <f t="shared" si="87"/>
        <v>0</v>
      </c>
      <c r="X485" s="8">
        <f t="shared" si="85"/>
        <v>0</v>
      </c>
    </row>
    <row r="486" spans="11:24" ht="13.2" hidden="1" x14ac:dyDescent="0.25">
      <c r="K486" s="3" t="str">
        <f t="shared" si="78"/>
        <v/>
      </c>
      <c r="L486" s="39">
        <v>454</v>
      </c>
      <c r="M486" s="3">
        <f t="shared" si="86"/>
        <v>37</v>
      </c>
      <c r="N486" s="44">
        <f t="shared" si="79"/>
        <v>0</v>
      </c>
      <c r="O486" s="8">
        <f t="shared" si="80"/>
        <v>0</v>
      </c>
      <c r="Q486" s="48">
        <f t="shared" si="81"/>
        <v>0</v>
      </c>
      <c r="R486" s="8">
        <f t="shared" si="82"/>
        <v>0</v>
      </c>
      <c r="T486" s="48">
        <f t="shared" si="83"/>
        <v>0</v>
      </c>
      <c r="U486" s="8">
        <f t="shared" si="84"/>
        <v>0</v>
      </c>
      <c r="W486" s="48">
        <f t="shared" si="87"/>
        <v>0</v>
      </c>
      <c r="X486" s="8">
        <f t="shared" si="85"/>
        <v>0</v>
      </c>
    </row>
    <row r="487" spans="11:24" ht="13.2" hidden="1" x14ac:dyDescent="0.25">
      <c r="K487" s="3" t="str">
        <f t="shared" si="78"/>
        <v/>
      </c>
      <c r="L487" s="39">
        <v>455</v>
      </c>
      <c r="M487" s="3">
        <f t="shared" si="86"/>
        <v>37</v>
      </c>
      <c r="N487" s="44">
        <f t="shared" si="79"/>
        <v>0</v>
      </c>
      <c r="O487" s="8">
        <f t="shared" si="80"/>
        <v>0</v>
      </c>
      <c r="Q487" s="48">
        <f t="shared" si="81"/>
        <v>0</v>
      </c>
      <c r="R487" s="8">
        <f t="shared" si="82"/>
        <v>0</v>
      </c>
      <c r="T487" s="48">
        <f t="shared" si="83"/>
        <v>0</v>
      </c>
      <c r="U487" s="8">
        <f t="shared" si="84"/>
        <v>0</v>
      </c>
      <c r="W487" s="48">
        <f t="shared" si="87"/>
        <v>0</v>
      </c>
      <c r="X487" s="8">
        <f t="shared" si="85"/>
        <v>0</v>
      </c>
    </row>
    <row r="488" spans="11:24" ht="13.2" hidden="1" x14ac:dyDescent="0.25">
      <c r="K488" s="3">
        <f t="shared" si="78"/>
        <v>38</v>
      </c>
      <c r="L488" s="39">
        <v>456</v>
      </c>
      <c r="M488" s="3">
        <f t="shared" si="86"/>
        <v>37</v>
      </c>
      <c r="N488" s="44">
        <f t="shared" si="79"/>
        <v>0</v>
      </c>
      <c r="O488" s="8">
        <f t="shared" si="80"/>
        <v>0</v>
      </c>
      <c r="Q488" s="48">
        <f t="shared" si="81"/>
        <v>0</v>
      </c>
      <c r="R488" s="8">
        <f t="shared" si="82"/>
        <v>0</v>
      </c>
      <c r="T488" s="48">
        <f t="shared" si="83"/>
        <v>0</v>
      </c>
      <c r="U488" s="8">
        <f t="shared" si="84"/>
        <v>0</v>
      </c>
      <c r="W488" s="48">
        <f t="shared" si="87"/>
        <v>0</v>
      </c>
      <c r="X488" s="8">
        <f t="shared" si="85"/>
        <v>0</v>
      </c>
    </row>
    <row r="489" spans="11:24" ht="13.2" hidden="1" x14ac:dyDescent="0.25">
      <c r="K489" s="3" t="str">
        <f t="shared" si="78"/>
        <v/>
      </c>
      <c r="L489" s="39">
        <v>457</v>
      </c>
      <c r="M489" s="3">
        <f t="shared" si="86"/>
        <v>38</v>
      </c>
      <c r="N489" s="44">
        <f t="shared" si="79"/>
        <v>0</v>
      </c>
      <c r="O489" s="8">
        <f t="shared" si="80"/>
        <v>0</v>
      </c>
      <c r="Q489" s="48">
        <f t="shared" si="81"/>
        <v>0</v>
      </c>
      <c r="R489" s="8">
        <f t="shared" si="82"/>
        <v>0</v>
      </c>
      <c r="T489" s="48">
        <f t="shared" si="83"/>
        <v>0</v>
      </c>
      <c r="U489" s="8">
        <f t="shared" si="84"/>
        <v>0</v>
      </c>
      <c r="W489" s="48">
        <f t="shared" si="87"/>
        <v>0</v>
      </c>
      <c r="X489" s="8">
        <f t="shared" si="85"/>
        <v>0</v>
      </c>
    </row>
    <row r="490" spans="11:24" ht="13.2" hidden="1" x14ac:dyDescent="0.25">
      <c r="K490" s="3" t="str">
        <f t="shared" ref="K490:K553" si="88">IF(MOD(L490,12)=0,L490/12,"")</f>
        <v/>
      </c>
      <c r="L490" s="39">
        <v>458</v>
      </c>
      <c r="M490" s="3">
        <f t="shared" si="86"/>
        <v>38</v>
      </c>
      <c r="N490" s="44">
        <f t="shared" si="79"/>
        <v>0</v>
      </c>
      <c r="O490" s="8">
        <f t="shared" si="80"/>
        <v>0</v>
      </c>
      <c r="Q490" s="48">
        <f t="shared" si="81"/>
        <v>0</v>
      </c>
      <c r="R490" s="8">
        <f t="shared" si="82"/>
        <v>0</v>
      </c>
      <c r="T490" s="48">
        <f t="shared" si="83"/>
        <v>0</v>
      </c>
      <c r="U490" s="8">
        <f t="shared" si="84"/>
        <v>0</v>
      </c>
      <c r="W490" s="48">
        <f t="shared" si="87"/>
        <v>0</v>
      </c>
      <c r="X490" s="8">
        <f t="shared" si="85"/>
        <v>0</v>
      </c>
    </row>
    <row r="491" spans="11:24" ht="13.2" hidden="1" x14ac:dyDescent="0.25">
      <c r="K491" s="3" t="str">
        <f t="shared" si="88"/>
        <v/>
      </c>
      <c r="L491" s="39">
        <v>459</v>
      </c>
      <c r="M491" s="3">
        <f t="shared" si="86"/>
        <v>38</v>
      </c>
      <c r="N491" s="44">
        <f t="shared" si="79"/>
        <v>0</v>
      </c>
      <c r="O491" s="8">
        <f t="shared" si="80"/>
        <v>0</v>
      </c>
      <c r="Q491" s="48">
        <f t="shared" si="81"/>
        <v>0</v>
      </c>
      <c r="R491" s="8">
        <f t="shared" si="82"/>
        <v>0</v>
      </c>
      <c r="T491" s="48">
        <f t="shared" si="83"/>
        <v>0</v>
      </c>
      <c r="U491" s="8">
        <f t="shared" si="84"/>
        <v>0</v>
      </c>
      <c r="W491" s="48">
        <f t="shared" si="87"/>
        <v>0</v>
      </c>
      <c r="X491" s="8">
        <f t="shared" si="85"/>
        <v>0</v>
      </c>
    </row>
    <row r="492" spans="11:24" ht="13.2" hidden="1" x14ac:dyDescent="0.25">
      <c r="K492" s="3" t="str">
        <f t="shared" si="88"/>
        <v/>
      </c>
      <c r="L492" s="39">
        <v>460</v>
      </c>
      <c r="M492" s="3">
        <f t="shared" si="86"/>
        <v>38</v>
      </c>
      <c r="N492" s="44">
        <f t="shared" si="79"/>
        <v>0</v>
      </c>
      <c r="O492" s="8">
        <f t="shared" si="80"/>
        <v>0</v>
      </c>
      <c r="Q492" s="48">
        <f t="shared" si="81"/>
        <v>0</v>
      </c>
      <c r="R492" s="8">
        <f t="shared" si="82"/>
        <v>0</v>
      </c>
      <c r="T492" s="48">
        <f t="shared" si="83"/>
        <v>0</v>
      </c>
      <c r="U492" s="8">
        <f t="shared" si="84"/>
        <v>0</v>
      </c>
      <c r="W492" s="48">
        <f t="shared" si="87"/>
        <v>0</v>
      </c>
      <c r="X492" s="8">
        <f t="shared" si="85"/>
        <v>0</v>
      </c>
    </row>
    <row r="493" spans="11:24" ht="13.2" hidden="1" x14ac:dyDescent="0.25">
      <c r="K493" s="3" t="str">
        <f t="shared" si="88"/>
        <v/>
      </c>
      <c r="L493" s="39">
        <v>461</v>
      </c>
      <c r="M493" s="3">
        <f t="shared" si="86"/>
        <v>38</v>
      </c>
      <c r="N493" s="44">
        <f t="shared" si="79"/>
        <v>0</v>
      </c>
      <c r="O493" s="8">
        <f t="shared" si="80"/>
        <v>0</v>
      </c>
      <c r="Q493" s="48">
        <f t="shared" si="81"/>
        <v>0</v>
      </c>
      <c r="R493" s="8">
        <f t="shared" si="82"/>
        <v>0</v>
      </c>
      <c r="T493" s="48">
        <f t="shared" si="83"/>
        <v>0</v>
      </c>
      <c r="U493" s="8">
        <f t="shared" si="84"/>
        <v>0</v>
      </c>
      <c r="W493" s="48">
        <f t="shared" si="87"/>
        <v>0</v>
      </c>
      <c r="X493" s="8">
        <f t="shared" si="85"/>
        <v>0</v>
      </c>
    </row>
    <row r="494" spans="11:24" ht="13.2" hidden="1" x14ac:dyDescent="0.25">
      <c r="K494" s="3" t="str">
        <f t="shared" si="88"/>
        <v/>
      </c>
      <c r="L494" s="39">
        <v>462</v>
      </c>
      <c r="M494" s="3">
        <f t="shared" si="86"/>
        <v>38</v>
      </c>
      <c r="N494" s="44">
        <f t="shared" si="79"/>
        <v>0</v>
      </c>
      <c r="O494" s="8">
        <f t="shared" si="80"/>
        <v>0</v>
      </c>
      <c r="Q494" s="48">
        <f t="shared" si="81"/>
        <v>0</v>
      </c>
      <c r="R494" s="8">
        <f t="shared" si="82"/>
        <v>0</v>
      </c>
      <c r="T494" s="48">
        <f t="shared" si="83"/>
        <v>0</v>
      </c>
      <c r="U494" s="8">
        <f t="shared" si="84"/>
        <v>0</v>
      </c>
      <c r="W494" s="48">
        <f t="shared" si="87"/>
        <v>0</v>
      </c>
      <c r="X494" s="8">
        <f t="shared" si="85"/>
        <v>0</v>
      </c>
    </row>
    <row r="495" spans="11:24" ht="13.2" hidden="1" x14ac:dyDescent="0.25">
      <c r="K495" s="3" t="str">
        <f t="shared" si="88"/>
        <v/>
      </c>
      <c r="L495" s="39">
        <v>463</v>
      </c>
      <c r="M495" s="3">
        <f t="shared" si="86"/>
        <v>38</v>
      </c>
      <c r="N495" s="44">
        <f t="shared" si="79"/>
        <v>0</v>
      </c>
      <c r="O495" s="8">
        <f t="shared" si="80"/>
        <v>0</v>
      </c>
      <c r="Q495" s="48">
        <f t="shared" si="81"/>
        <v>0</v>
      </c>
      <c r="R495" s="8">
        <f t="shared" si="82"/>
        <v>0</v>
      </c>
      <c r="T495" s="48">
        <f t="shared" si="83"/>
        <v>0</v>
      </c>
      <c r="U495" s="8">
        <f t="shared" si="84"/>
        <v>0</v>
      </c>
      <c r="W495" s="48">
        <f t="shared" si="87"/>
        <v>0</v>
      </c>
      <c r="X495" s="8">
        <f t="shared" si="85"/>
        <v>0</v>
      </c>
    </row>
    <row r="496" spans="11:24" ht="13.2" hidden="1" x14ac:dyDescent="0.25">
      <c r="K496" s="3" t="str">
        <f t="shared" si="88"/>
        <v/>
      </c>
      <c r="L496" s="39">
        <v>464</v>
      </c>
      <c r="M496" s="3">
        <f t="shared" si="86"/>
        <v>38</v>
      </c>
      <c r="N496" s="44">
        <f t="shared" si="79"/>
        <v>0</v>
      </c>
      <c r="O496" s="8">
        <f t="shared" si="80"/>
        <v>0</v>
      </c>
      <c r="Q496" s="48">
        <f t="shared" si="81"/>
        <v>0</v>
      </c>
      <c r="R496" s="8">
        <f t="shared" si="82"/>
        <v>0</v>
      </c>
      <c r="T496" s="48">
        <f t="shared" si="83"/>
        <v>0</v>
      </c>
      <c r="U496" s="8">
        <f t="shared" si="84"/>
        <v>0</v>
      </c>
      <c r="W496" s="48">
        <f t="shared" si="87"/>
        <v>0</v>
      </c>
      <c r="X496" s="8">
        <f t="shared" si="85"/>
        <v>0</v>
      </c>
    </row>
    <row r="497" spans="11:24" ht="13.2" hidden="1" x14ac:dyDescent="0.25">
      <c r="K497" s="3" t="str">
        <f t="shared" si="88"/>
        <v/>
      </c>
      <c r="L497" s="39">
        <v>465</v>
      </c>
      <c r="M497" s="3">
        <f t="shared" si="86"/>
        <v>38</v>
      </c>
      <c r="N497" s="44">
        <f t="shared" si="79"/>
        <v>0</v>
      </c>
      <c r="O497" s="8">
        <f t="shared" si="80"/>
        <v>0</v>
      </c>
      <c r="Q497" s="48">
        <f t="shared" si="81"/>
        <v>0</v>
      </c>
      <c r="R497" s="8">
        <f t="shared" si="82"/>
        <v>0</v>
      </c>
      <c r="T497" s="48">
        <f t="shared" si="83"/>
        <v>0</v>
      </c>
      <c r="U497" s="8">
        <f t="shared" si="84"/>
        <v>0</v>
      </c>
      <c r="W497" s="48">
        <f t="shared" si="87"/>
        <v>0</v>
      </c>
      <c r="X497" s="8">
        <f t="shared" si="85"/>
        <v>0</v>
      </c>
    </row>
    <row r="498" spans="11:24" ht="13.2" hidden="1" x14ac:dyDescent="0.25">
      <c r="K498" s="3" t="str">
        <f t="shared" si="88"/>
        <v/>
      </c>
      <c r="L498" s="39">
        <v>466</v>
      </c>
      <c r="M498" s="3">
        <f t="shared" si="86"/>
        <v>38</v>
      </c>
      <c r="N498" s="44">
        <f t="shared" si="79"/>
        <v>0</v>
      </c>
      <c r="O498" s="8">
        <f t="shared" si="80"/>
        <v>0</v>
      </c>
      <c r="Q498" s="48">
        <f t="shared" si="81"/>
        <v>0</v>
      </c>
      <c r="R498" s="8">
        <f t="shared" si="82"/>
        <v>0</v>
      </c>
      <c r="T498" s="48">
        <f t="shared" si="83"/>
        <v>0</v>
      </c>
      <c r="U498" s="8">
        <f t="shared" si="84"/>
        <v>0</v>
      </c>
      <c r="W498" s="48">
        <f t="shared" si="87"/>
        <v>0</v>
      </c>
      <c r="X498" s="8">
        <f t="shared" si="85"/>
        <v>0</v>
      </c>
    </row>
    <row r="499" spans="11:24" ht="13.2" hidden="1" x14ac:dyDescent="0.25">
      <c r="K499" s="3" t="str">
        <f t="shared" si="88"/>
        <v/>
      </c>
      <c r="L499" s="39">
        <v>467</v>
      </c>
      <c r="M499" s="3">
        <f t="shared" si="86"/>
        <v>38</v>
      </c>
      <c r="N499" s="44">
        <f t="shared" si="79"/>
        <v>0</v>
      </c>
      <c r="O499" s="8">
        <f t="shared" si="80"/>
        <v>0</v>
      </c>
      <c r="Q499" s="48">
        <f t="shared" si="81"/>
        <v>0</v>
      </c>
      <c r="R499" s="8">
        <f t="shared" si="82"/>
        <v>0</v>
      </c>
      <c r="T499" s="48">
        <f t="shared" si="83"/>
        <v>0</v>
      </c>
      <c r="U499" s="8">
        <f t="shared" si="84"/>
        <v>0</v>
      </c>
      <c r="W499" s="48">
        <f t="shared" si="87"/>
        <v>0</v>
      </c>
      <c r="X499" s="8">
        <f t="shared" si="85"/>
        <v>0</v>
      </c>
    </row>
    <row r="500" spans="11:24" ht="13.2" hidden="1" x14ac:dyDescent="0.25">
      <c r="K500" s="3">
        <f t="shared" si="88"/>
        <v>39</v>
      </c>
      <c r="L500" s="39">
        <v>468</v>
      </c>
      <c r="M500" s="3">
        <f t="shared" si="86"/>
        <v>38</v>
      </c>
      <c r="N500" s="44">
        <f t="shared" si="79"/>
        <v>0</v>
      </c>
      <c r="O500" s="8">
        <f t="shared" si="80"/>
        <v>0</v>
      </c>
      <c r="Q500" s="48">
        <f t="shared" si="81"/>
        <v>0</v>
      </c>
      <c r="R500" s="8">
        <f t="shared" si="82"/>
        <v>0</v>
      </c>
      <c r="T500" s="48">
        <f t="shared" si="83"/>
        <v>0</v>
      </c>
      <c r="U500" s="8">
        <f t="shared" si="84"/>
        <v>0</v>
      </c>
      <c r="W500" s="48">
        <f t="shared" si="87"/>
        <v>0</v>
      </c>
      <c r="X500" s="8">
        <f t="shared" si="85"/>
        <v>0</v>
      </c>
    </row>
    <row r="501" spans="11:24" ht="13.2" hidden="1" x14ac:dyDescent="0.25">
      <c r="K501" s="3" t="str">
        <f t="shared" si="88"/>
        <v/>
      </c>
      <c r="L501" s="39">
        <v>469</v>
      </c>
      <c r="M501" s="3">
        <f t="shared" si="86"/>
        <v>39</v>
      </c>
      <c r="N501" s="44">
        <f t="shared" si="79"/>
        <v>0</v>
      </c>
      <c r="O501" s="8">
        <f t="shared" si="80"/>
        <v>0</v>
      </c>
      <c r="Q501" s="48">
        <f t="shared" si="81"/>
        <v>0</v>
      </c>
      <c r="R501" s="8">
        <f t="shared" si="82"/>
        <v>0</v>
      </c>
      <c r="T501" s="48">
        <f t="shared" si="83"/>
        <v>0</v>
      </c>
      <c r="U501" s="8">
        <f t="shared" si="84"/>
        <v>0</v>
      </c>
      <c r="W501" s="48">
        <f t="shared" si="87"/>
        <v>0</v>
      </c>
      <c r="X501" s="8">
        <f t="shared" si="85"/>
        <v>0</v>
      </c>
    </row>
    <row r="502" spans="11:24" ht="13.2" hidden="1" x14ac:dyDescent="0.25">
      <c r="K502" s="3" t="str">
        <f t="shared" si="88"/>
        <v/>
      </c>
      <c r="L502" s="39">
        <v>470</v>
      </c>
      <c r="M502" s="3">
        <f t="shared" si="86"/>
        <v>39</v>
      </c>
      <c r="N502" s="44">
        <f t="shared" si="79"/>
        <v>0</v>
      </c>
      <c r="O502" s="8">
        <f t="shared" si="80"/>
        <v>0</v>
      </c>
      <c r="Q502" s="48">
        <f t="shared" si="81"/>
        <v>0</v>
      </c>
      <c r="R502" s="8">
        <f t="shared" si="82"/>
        <v>0</v>
      </c>
      <c r="T502" s="48">
        <f t="shared" si="83"/>
        <v>0</v>
      </c>
      <c r="U502" s="8">
        <f t="shared" si="84"/>
        <v>0</v>
      </c>
      <c r="W502" s="48">
        <f t="shared" si="87"/>
        <v>0</v>
      </c>
      <c r="X502" s="8">
        <f t="shared" si="85"/>
        <v>0</v>
      </c>
    </row>
    <row r="503" spans="11:24" ht="13.2" hidden="1" x14ac:dyDescent="0.25">
      <c r="K503" s="3" t="str">
        <f t="shared" si="88"/>
        <v/>
      </c>
      <c r="L503" s="39">
        <v>471</v>
      </c>
      <c r="M503" s="3">
        <f t="shared" si="86"/>
        <v>39</v>
      </c>
      <c r="N503" s="44">
        <f t="shared" si="79"/>
        <v>0</v>
      </c>
      <c r="O503" s="8">
        <f t="shared" si="80"/>
        <v>0</v>
      </c>
      <c r="Q503" s="48">
        <f t="shared" si="81"/>
        <v>0</v>
      </c>
      <c r="R503" s="8">
        <f t="shared" si="82"/>
        <v>0</v>
      </c>
      <c r="T503" s="48">
        <f t="shared" si="83"/>
        <v>0</v>
      </c>
      <c r="U503" s="8">
        <f t="shared" si="84"/>
        <v>0</v>
      </c>
      <c r="W503" s="48">
        <f t="shared" si="87"/>
        <v>0</v>
      </c>
      <c r="X503" s="8">
        <f t="shared" si="85"/>
        <v>0</v>
      </c>
    </row>
    <row r="504" spans="11:24" ht="13.2" hidden="1" x14ac:dyDescent="0.25">
      <c r="K504" s="3" t="str">
        <f t="shared" si="88"/>
        <v/>
      </c>
      <c r="L504" s="39">
        <v>472</v>
      </c>
      <c r="M504" s="3">
        <f t="shared" si="86"/>
        <v>39</v>
      </c>
      <c r="N504" s="44">
        <f t="shared" si="79"/>
        <v>0</v>
      </c>
      <c r="O504" s="8">
        <f t="shared" si="80"/>
        <v>0</v>
      </c>
      <c r="Q504" s="48">
        <f t="shared" si="81"/>
        <v>0</v>
      </c>
      <c r="R504" s="8">
        <f t="shared" si="82"/>
        <v>0</v>
      </c>
      <c r="T504" s="48">
        <f t="shared" si="83"/>
        <v>0</v>
      </c>
      <c r="U504" s="8">
        <f t="shared" si="84"/>
        <v>0</v>
      </c>
      <c r="W504" s="48">
        <f t="shared" si="87"/>
        <v>0</v>
      </c>
      <c r="X504" s="8">
        <f t="shared" si="85"/>
        <v>0</v>
      </c>
    </row>
    <row r="505" spans="11:24" ht="13.2" hidden="1" x14ac:dyDescent="0.25">
      <c r="K505" s="3" t="str">
        <f t="shared" si="88"/>
        <v/>
      </c>
      <c r="L505" s="39">
        <v>473</v>
      </c>
      <c r="M505" s="3">
        <f t="shared" si="86"/>
        <v>39</v>
      </c>
      <c r="N505" s="44">
        <f t="shared" si="79"/>
        <v>0</v>
      </c>
      <c r="O505" s="8">
        <f t="shared" si="80"/>
        <v>0</v>
      </c>
      <c r="Q505" s="48">
        <f t="shared" si="81"/>
        <v>0</v>
      </c>
      <c r="R505" s="8">
        <f t="shared" si="82"/>
        <v>0</v>
      </c>
      <c r="T505" s="48">
        <f t="shared" si="83"/>
        <v>0</v>
      </c>
      <c r="U505" s="8">
        <f t="shared" si="84"/>
        <v>0</v>
      </c>
      <c r="W505" s="48">
        <f t="shared" si="87"/>
        <v>0</v>
      </c>
      <c r="X505" s="8">
        <f t="shared" si="85"/>
        <v>0</v>
      </c>
    </row>
    <row r="506" spans="11:24" ht="13.2" hidden="1" x14ac:dyDescent="0.25">
      <c r="K506" s="3" t="str">
        <f t="shared" si="88"/>
        <v/>
      </c>
      <c r="L506" s="39">
        <v>474</v>
      </c>
      <c r="M506" s="3">
        <f t="shared" si="86"/>
        <v>39</v>
      </c>
      <c r="N506" s="44">
        <f t="shared" si="79"/>
        <v>0</v>
      </c>
      <c r="O506" s="8">
        <f t="shared" si="80"/>
        <v>0</v>
      </c>
      <c r="Q506" s="48">
        <f t="shared" si="81"/>
        <v>0</v>
      </c>
      <c r="R506" s="8">
        <f t="shared" si="82"/>
        <v>0</v>
      </c>
      <c r="T506" s="48">
        <f t="shared" si="83"/>
        <v>0</v>
      </c>
      <c r="U506" s="8">
        <f t="shared" si="84"/>
        <v>0</v>
      </c>
      <c r="W506" s="48">
        <f t="shared" si="87"/>
        <v>0</v>
      </c>
      <c r="X506" s="8">
        <f t="shared" si="85"/>
        <v>0</v>
      </c>
    </row>
    <row r="507" spans="11:24" ht="13.2" hidden="1" x14ac:dyDescent="0.25">
      <c r="K507" s="3" t="str">
        <f t="shared" si="88"/>
        <v/>
      </c>
      <c r="L507" s="39">
        <v>475</v>
      </c>
      <c r="M507" s="3">
        <f t="shared" si="86"/>
        <v>39</v>
      </c>
      <c r="N507" s="44">
        <f t="shared" si="79"/>
        <v>0</v>
      </c>
      <c r="O507" s="8">
        <f t="shared" si="80"/>
        <v>0</v>
      </c>
      <c r="Q507" s="48">
        <f t="shared" si="81"/>
        <v>0</v>
      </c>
      <c r="R507" s="8">
        <f t="shared" si="82"/>
        <v>0</v>
      </c>
      <c r="T507" s="48">
        <f t="shared" si="83"/>
        <v>0</v>
      </c>
      <c r="U507" s="8">
        <f t="shared" si="84"/>
        <v>0</v>
      </c>
      <c r="W507" s="48">
        <f t="shared" si="87"/>
        <v>0</v>
      </c>
      <c r="X507" s="8">
        <f t="shared" si="85"/>
        <v>0</v>
      </c>
    </row>
    <row r="508" spans="11:24" ht="13.2" hidden="1" x14ac:dyDescent="0.25">
      <c r="K508" s="3" t="str">
        <f t="shared" si="88"/>
        <v/>
      </c>
      <c r="L508" s="39">
        <v>476</v>
      </c>
      <c r="M508" s="3">
        <f t="shared" si="86"/>
        <v>39</v>
      </c>
      <c r="N508" s="44">
        <f t="shared" si="79"/>
        <v>0</v>
      </c>
      <c r="O508" s="8">
        <f t="shared" si="80"/>
        <v>0</v>
      </c>
      <c r="Q508" s="48">
        <f t="shared" si="81"/>
        <v>0</v>
      </c>
      <c r="R508" s="8">
        <f t="shared" si="82"/>
        <v>0</v>
      </c>
      <c r="T508" s="48">
        <f t="shared" si="83"/>
        <v>0</v>
      </c>
      <c r="U508" s="8">
        <f t="shared" si="84"/>
        <v>0</v>
      </c>
      <c r="W508" s="48">
        <f t="shared" si="87"/>
        <v>0</v>
      </c>
      <c r="X508" s="8">
        <f t="shared" si="85"/>
        <v>0</v>
      </c>
    </row>
    <row r="509" spans="11:24" ht="13.2" hidden="1" x14ac:dyDescent="0.25">
      <c r="K509" s="3" t="str">
        <f t="shared" si="88"/>
        <v/>
      </c>
      <c r="L509" s="39">
        <v>477</v>
      </c>
      <c r="M509" s="3">
        <f t="shared" si="86"/>
        <v>39</v>
      </c>
      <c r="N509" s="44">
        <f t="shared" si="79"/>
        <v>0</v>
      </c>
      <c r="O509" s="8">
        <f t="shared" si="80"/>
        <v>0</v>
      </c>
      <c r="Q509" s="48">
        <f t="shared" si="81"/>
        <v>0</v>
      </c>
      <c r="R509" s="8">
        <f t="shared" si="82"/>
        <v>0</v>
      </c>
      <c r="T509" s="48">
        <f t="shared" si="83"/>
        <v>0</v>
      </c>
      <c r="U509" s="8">
        <f t="shared" si="84"/>
        <v>0</v>
      </c>
      <c r="W509" s="48">
        <f t="shared" si="87"/>
        <v>0</v>
      </c>
      <c r="X509" s="8">
        <f t="shared" si="85"/>
        <v>0</v>
      </c>
    </row>
    <row r="510" spans="11:24" ht="13.2" hidden="1" x14ac:dyDescent="0.25">
      <c r="K510" s="3" t="str">
        <f t="shared" si="88"/>
        <v/>
      </c>
      <c r="L510" s="39">
        <v>478</v>
      </c>
      <c r="M510" s="3">
        <f t="shared" si="86"/>
        <v>39</v>
      </c>
      <c r="N510" s="44">
        <f t="shared" si="79"/>
        <v>0</v>
      </c>
      <c r="O510" s="8">
        <f t="shared" si="80"/>
        <v>0</v>
      </c>
      <c r="Q510" s="48">
        <f t="shared" si="81"/>
        <v>0</v>
      </c>
      <c r="R510" s="8">
        <f t="shared" si="82"/>
        <v>0</v>
      </c>
      <c r="T510" s="48">
        <f t="shared" si="83"/>
        <v>0</v>
      </c>
      <c r="U510" s="8">
        <f t="shared" si="84"/>
        <v>0</v>
      </c>
      <c r="W510" s="48">
        <f t="shared" si="87"/>
        <v>0</v>
      </c>
      <c r="X510" s="8">
        <f t="shared" si="85"/>
        <v>0</v>
      </c>
    </row>
    <row r="511" spans="11:24" ht="13.2" hidden="1" x14ac:dyDescent="0.25">
      <c r="K511" s="3" t="str">
        <f t="shared" si="88"/>
        <v/>
      </c>
      <c r="L511" s="39">
        <v>479</v>
      </c>
      <c r="M511" s="3">
        <f t="shared" si="86"/>
        <v>39</v>
      </c>
      <c r="N511" s="44">
        <f t="shared" si="79"/>
        <v>0</v>
      </c>
      <c r="O511" s="8">
        <f t="shared" si="80"/>
        <v>0</v>
      </c>
      <c r="Q511" s="48">
        <f t="shared" si="81"/>
        <v>0</v>
      </c>
      <c r="R511" s="8">
        <f t="shared" si="82"/>
        <v>0</v>
      </c>
      <c r="T511" s="48">
        <f t="shared" si="83"/>
        <v>0</v>
      </c>
      <c r="U511" s="8">
        <f t="shared" si="84"/>
        <v>0</v>
      </c>
      <c r="W511" s="48">
        <f t="shared" si="87"/>
        <v>0</v>
      </c>
      <c r="X511" s="8">
        <f t="shared" si="85"/>
        <v>0</v>
      </c>
    </row>
    <row r="512" spans="11:24" ht="13.2" hidden="1" x14ac:dyDescent="0.25">
      <c r="K512" s="3">
        <f t="shared" si="88"/>
        <v>40</v>
      </c>
      <c r="L512" s="39">
        <v>480</v>
      </c>
      <c r="M512" s="3">
        <f t="shared" si="86"/>
        <v>39</v>
      </c>
      <c r="N512" s="44">
        <f t="shared" si="79"/>
        <v>0</v>
      </c>
      <c r="O512" s="8">
        <f t="shared" si="80"/>
        <v>0</v>
      </c>
      <c r="Q512" s="48">
        <f t="shared" si="81"/>
        <v>0</v>
      </c>
      <c r="R512" s="8">
        <f t="shared" si="82"/>
        <v>0</v>
      </c>
      <c r="T512" s="48">
        <f t="shared" si="83"/>
        <v>0</v>
      </c>
      <c r="U512" s="8">
        <f t="shared" si="84"/>
        <v>0</v>
      </c>
      <c r="W512" s="48">
        <f t="shared" si="87"/>
        <v>0</v>
      </c>
      <c r="X512" s="8">
        <f t="shared" si="85"/>
        <v>0</v>
      </c>
    </row>
    <row r="513" spans="11:24" ht="13.2" hidden="1" x14ac:dyDescent="0.25">
      <c r="K513" s="3" t="str">
        <f t="shared" si="88"/>
        <v/>
      </c>
      <c r="L513" s="39">
        <v>481</v>
      </c>
      <c r="M513" s="3">
        <f t="shared" si="86"/>
        <v>40</v>
      </c>
      <c r="N513" s="44">
        <f t="shared" si="79"/>
        <v>0</v>
      </c>
      <c r="O513" s="8">
        <f t="shared" si="80"/>
        <v>0</v>
      </c>
      <c r="Q513" s="48">
        <f t="shared" si="81"/>
        <v>0</v>
      </c>
      <c r="R513" s="8">
        <f t="shared" si="82"/>
        <v>0</v>
      </c>
      <c r="T513" s="48">
        <f t="shared" si="83"/>
        <v>0</v>
      </c>
      <c r="U513" s="8">
        <f t="shared" si="84"/>
        <v>0</v>
      </c>
      <c r="W513" s="48">
        <f t="shared" si="87"/>
        <v>0</v>
      </c>
      <c r="X513" s="8">
        <f t="shared" si="85"/>
        <v>0</v>
      </c>
    </row>
    <row r="514" spans="11:24" ht="13.2" hidden="1" x14ac:dyDescent="0.25">
      <c r="K514" s="3" t="str">
        <f t="shared" si="88"/>
        <v/>
      </c>
      <c r="L514" s="39">
        <v>482</v>
      </c>
      <c r="M514" s="3">
        <f t="shared" si="86"/>
        <v>40</v>
      </c>
      <c r="N514" s="44">
        <f t="shared" si="79"/>
        <v>0</v>
      </c>
      <c r="O514" s="8">
        <f t="shared" si="80"/>
        <v>0</v>
      </c>
      <c r="Q514" s="48">
        <f t="shared" si="81"/>
        <v>0</v>
      </c>
      <c r="R514" s="8">
        <f t="shared" si="82"/>
        <v>0</v>
      </c>
      <c r="T514" s="48">
        <f t="shared" si="83"/>
        <v>0</v>
      </c>
      <c r="U514" s="8">
        <f t="shared" si="84"/>
        <v>0</v>
      </c>
      <c r="W514" s="48">
        <f t="shared" si="87"/>
        <v>0</v>
      </c>
      <c r="X514" s="8">
        <f t="shared" si="85"/>
        <v>0</v>
      </c>
    </row>
    <row r="515" spans="11:24" ht="13.2" hidden="1" x14ac:dyDescent="0.25">
      <c r="K515" s="3" t="str">
        <f t="shared" si="88"/>
        <v/>
      </c>
      <c r="L515" s="39">
        <v>483</v>
      </c>
      <c r="M515" s="3">
        <f t="shared" si="86"/>
        <v>40</v>
      </c>
      <c r="N515" s="44">
        <f t="shared" si="79"/>
        <v>0</v>
      </c>
      <c r="O515" s="8">
        <f t="shared" si="80"/>
        <v>0</v>
      </c>
      <c r="Q515" s="48">
        <f t="shared" si="81"/>
        <v>0</v>
      </c>
      <c r="R515" s="8">
        <f t="shared" si="82"/>
        <v>0</v>
      </c>
      <c r="T515" s="48">
        <f t="shared" si="83"/>
        <v>0</v>
      </c>
      <c r="U515" s="8">
        <f t="shared" si="84"/>
        <v>0</v>
      </c>
      <c r="W515" s="48">
        <f t="shared" si="87"/>
        <v>0</v>
      </c>
      <c r="X515" s="8">
        <f t="shared" si="85"/>
        <v>0</v>
      </c>
    </row>
    <row r="516" spans="11:24" ht="13.2" hidden="1" x14ac:dyDescent="0.25">
      <c r="K516" s="3" t="str">
        <f t="shared" si="88"/>
        <v/>
      </c>
      <c r="L516" s="39">
        <v>484</v>
      </c>
      <c r="M516" s="3">
        <f t="shared" si="86"/>
        <v>40</v>
      </c>
      <c r="N516" s="44">
        <f t="shared" si="79"/>
        <v>0</v>
      </c>
      <c r="O516" s="8">
        <f t="shared" si="80"/>
        <v>0</v>
      </c>
      <c r="Q516" s="48">
        <f t="shared" si="81"/>
        <v>0</v>
      </c>
      <c r="R516" s="8">
        <f t="shared" si="82"/>
        <v>0</v>
      </c>
      <c r="T516" s="48">
        <f t="shared" si="83"/>
        <v>0</v>
      </c>
      <c r="U516" s="8">
        <f t="shared" si="84"/>
        <v>0</v>
      </c>
      <c r="W516" s="48">
        <f t="shared" si="87"/>
        <v>0</v>
      </c>
      <c r="X516" s="8">
        <f t="shared" si="85"/>
        <v>0</v>
      </c>
    </row>
    <row r="517" spans="11:24" ht="13.2" hidden="1" x14ac:dyDescent="0.25">
      <c r="K517" s="3" t="str">
        <f t="shared" si="88"/>
        <v/>
      </c>
      <c r="L517" s="39">
        <v>485</v>
      </c>
      <c r="M517" s="3">
        <f t="shared" si="86"/>
        <v>40</v>
      </c>
      <c r="N517" s="44">
        <f t="shared" si="79"/>
        <v>0</v>
      </c>
      <c r="O517" s="8">
        <f t="shared" si="80"/>
        <v>0</v>
      </c>
      <c r="Q517" s="48">
        <f t="shared" si="81"/>
        <v>0</v>
      </c>
      <c r="R517" s="8">
        <f t="shared" si="82"/>
        <v>0</v>
      </c>
      <c r="T517" s="48">
        <f t="shared" si="83"/>
        <v>0</v>
      </c>
      <c r="U517" s="8">
        <f t="shared" si="84"/>
        <v>0</v>
      </c>
      <c r="W517" s="48">
        <f t="shared" si="87"/>
        <v>0</v>
      </c>
      <c r="X517" s="8">
        <f t="shared" si="85"/>
        <v>0</v>
      </c>
    </row>
    <row r="518" spans="11:24" ht="13.2" hidden="1" x14ac:dyDescent="0.25">
      <c r="K518" s="3" t="str">
        <f t="shared" si="88"/>
        <v/>
      </c>
      <c r="L518" s="39">
        <v>486</v>
      </c>
      <c r="M518" s="3">
        <f t="shared" si="86"/>
        <v>40</v>
      </c>
      <c r="N518" s="44">
        <f t="shared" si="79"/>
        <v>0</v>
      </c>
      <c r="O518" s="8">
        <f t="shared" si="80"/>
        <v>0</v>
      </c>
      <c r="Q518" s="48">
        <f t="shared" si="81"/>
        <v>0</v>
      </c>
      <c r="R518" s="8">
        <f t="shared" si="82"/>
        <v>0</v>
      </c>
      <c r="T518" s="48">
        <f t="shared" si="83"/>
        <v>0</v>
      </c>
      <c r="U518" s="8">
        <f t="shared" si="84"/>
        <v>0</v>
      </c>
      <c r="W518" s="48">
        <f t="shared" si="87"/>
        <v>0</v>
      </c>
      <c r="X518" s="8">
        <f t="shared" si="85"/>
        <v>0</v>
      </c>
    </row>
    <row r="519" spans="11:24" ht="13.2" hidden="1" x14ac:dyDescent="0.25">
      <c r="K519" s="3" t="str">
        <f t="shared" si="88"/>
        <v/>
      </c>
      <c r="L519" s="39">
        <v>487</v>
      </c>
      <c r="M519" s="3">
        <f t="shared" si="86"/>
        <v>40</v>
      </c>
      <c r="N519" s="44">
        <f t="shared" si="79"/>
        <v>0</v>
      </c>
      <c r="O519" s="8">
        <f t="shared" si="80"/>
        <v>0</v>
      </c>
      <c r="Q519" s="48">
        <f t="shared" si="81"/>
        <v>0</v>
      </c>
      <c r="R519" s="8">
        <f t="shared" si="82"/>
        <v>0</v>
      </c>
      <c r="T519" s="48">
        <f t="shared" si="83"/>
        <v>0</v>
      </c>
      <c r="U519" s="8">
        <f t="shared" si="84"/>
        <v>0</v>
      </c>
      <c r="W519" s="48">
        <f t="shared" si="87"/>
        <v>0</v>
      </c>
      <c r="X519" s="8">
        <f t="shared" si="85"/>
        <v>0</v>
      </c>
    </row>
    <row r="520" spans="11:24" ht="13.2" hidden="1" x14ac:dyDescent="0.25">
      <c r="K520" s="3" t="str">
        <f t="shared" si="88"/>
        <v/>
      </c>
      <c r="L520" s="39">
        <v>488</v>
      </c>
      <c r="M520" s="3">
        <f t="shared" si="86"/>
        <v>40</v>
      </c>
      <c r="N520" s="44">
        <f t="shared" si="79"/>
        <v>0</v>
      </c>
      <c r="O520" s="8">
        <f t="shared" si="80"/>
        <v>0</v>
      </c>
      <c r="Q520" s="48">
        <f t="shared" si="81"/>
        <v>0</v>
      </c>
      <c r="R520" s="8">
        <f t="shared" si="82"/>
        <v>0</v>
      </c>
      <c r="T520" s="48">
        <f t="shared" si="83"/>
        <v>0</v>
      </c>
      <c r="U520" s="8">
        <f t="shared" si="84"/>
        <v>0</v>
      </c>
      <c r="W520" s="48">
        <f t="shared" si="87"/>
        <v>0</v>
      </c>
      <c r="X520" s="8">
        <f t="shared" si="85"/>
        <v>0</v>
      </c>
    </row>
    <row r="521" spans="11:24" ht="13.2" hidden="1" x14ac:dyDescent="0.25">
      <c r="K521" s="3" t="str">
        <f t="shared" si="88"/>
        <v/>
      </c>
      <c r="L521" s="39">
        <v>489</v>
      </c>
      <c r="M521" s="3">
        <f t="shared" si="86"/>
        <v>40</v>
      </c>
      <c r="N521" s="44">
        <f t="shared" si="79"/>
        <v>0</v>
      </c>
      <c r="O521" s="8">
        <f t="shared" si="80"/>
        <v>0</v>
      </c>
      <c r="Q521" s="48">
        <f t="shared" si="81"/>
        <v>0</v>
      </c>
      <c r="R521" s="8">
        <f t="shared" si="82"/>
        <v>0</v>
      </c>
      <c r="T521" s="48">
        <f t="shared" si="83"/>
        <v>0</v>
      </c>
      <c r="U521" s="8">
        <f t="shared" si="84"/>
        <v>0</v>
      </c>
      <c r="W521" s="48">
        <f t="shared" si="87"/>
        <v>0</v>
      </c>
      <c r="X521" s="8">
        <f t="shared" si="85"/>
        <v>0</v>
      </c>
    </row>
    <row r="522" spans="11:24" ht="13.2" hidden="1" x14ac:dyDescent="0.25">
      <c r="K522" s="3" t="str">
        <f t="shared" si="88"/>
        <v/>
      </c>
      <c r="L522" s="39">
        <v>490</v>
      </c>
      <c r="M522" s="3">
        <f t="shared" si="86"/>
        <v>40</v>
      </c>
      <c r="N522" s="44">
        <f t="shared" si="79"/>
        <v>0</v>
      </c>
      <c r="O522" s="8">
        <f t="shared" si="80"/>
        <v>0</v>
      </c>
      <c r="Q522" s="48">
        <f t="shared" si="81"/>
        <v>0</v>
      </c>
      <c r="R522" s="8">
        <f t="shared" si="82"/>
        <v>0</v>
      </c>
      <c r="T522" s="48">
        <f t="shared" si="83"/>
        <v>0</v>
      </c>
      <c r="U522" s="8">
        <f t="shared" si="84"/>
        <v>0</v>
      </c>
      <c r="W522" s="48">
        <f t="shared" si="87"/>
        <v>0</v>
      </c>
      <c r="X522" s="8">
        <f t="shared" si="85"/>
        <v>0</v>
      </c>
    </row>
    <row r="523" spans="11:24" ht="13.2" hidden="1" x14ac:dyDescent="0.25">
      <c r="K523" s="3" t="str">
        <f t="shared" si="88"/>
        <v/>
      </c>
      <c r="L523" s="39">
        <v>491</v>
      </c>
      <c r="M523" s="3">
        <f t="shared" si="86"/>
        <v>40</v>
      </c>
      <c r="N523" s="44">
        <f t="shared" si="79"/>
        <v>0</v>
      </c>
      <c r="O523" s="8">
        <f t="shared" si="80"/>
        <v>0</v>
      </c>
      <c r="Q523" s="48">
        <f t="shared" si="81"/>
        <v>0</v>
      </c>
      <c r="R523" s="8">
        <f t="shared" si="82"/>
        <v>0</v>
      </c>
      <c r="T523" s="48">
        <f t="shared" si="83"/>
        <v>0</v>
      </c>
      <c r="U523" s="8">
        <f t="shared" si="84"/>
        <v>0</v>
      </c>
      <c r="W523" s="48">
        <f t="shared" si="87"/>
        <v>0</v>
      </c>
      <c r="X523" s="8">
        <f t="shared" si="85"/>
        <v>0</v>
      </c>
    </row>
    <row r="524" spans="11:24" ht="13.2" hidden="1" x14ac:dyDescent="0.25">
      <c r="K524" s="3">
        <f t="shared" si="88"/>
        <v>41</v>
      </c>
      <c r="L524" s="39">
        <v>492</v>
      </c>
      <c r="M524" s="3">
        <f t="shared" si="86"/>
        <v>40</v>
      </c>
      <c r="N524" s="44">
        <f t="shared" si="79"/>
        <v>0</v>
      </c>
      <c r="O524" s="8">
        <f t="shared" si="80"/>
        <v>0</v>
      </c>
      <c r="Q524" s="48">
        <f t="shared" si="81"/>
        <v>0</v>
      </c>
      <c r="R524" s="8">
        <f t="shared" si="82"/>
        <v>0</v>
      </c>
      <c r="T524" s="48">
        <f t="shared" si="83"/>
        <v>0</v>
      </c>
      <c r="U524" s="8">
        <f t="shared" si="84"/>
        <v>0</v>
      </c>
      <c r="W524" s="48">
        <f t="shared" si="87"/>
        <v>0</v>
      </c>
      <c r="X524" s="8">
        <f t="shared" si="85"/>
        <v>0</v>
      </c>
    </row>
    <row r="525" spans="11:24" ht="13.2" hidden="1" x14ac:dyDescent="0.25">
      <c r="K525" s="3" t="str">
        <f t="shared" si="88"/>
        <v/>
      </c>
      <c r="L525" s="39">
        <v>493</v>
      </c>
      <c r="M525" s="3">
        <f t="shared" si="86"/>
        <v>41</v>
      </c>
      <c r="N525" s="44">
        <f t="shared" si="79"/>
        <v>0</v>
      </c>
      <c r="O525" s="8">
        <f t="shared" si="80"/>
        <v>0</v>
      </c>
      <c r="Q525" s="48">
        <f t="shared" si="81"/>
        <v>0</v>
      </c>
      <c r="R525" s="8">
        <f t="shared" si="82"/>
        <v>0</v>
      </c>
      <c r="T525" s="48">
        <f t="shared" si="83"/>
        <v>0</v>
      </c>
      <c r="U525" s="8">
        <f t="shared" si="84"/>
        <v>0</v>
      </c>
      <c r="W525" s="48">
        <f t="shared" si="87"/>
        <v>0</v>
      </c>
      <c r="X525" s="8">
        <f t="shared" si="85"/>
        <v>0</v>
      </c>
    </row>
    <row r="526" spans="11:24" ht="13.2" hidden="1" x14ac:dyDescent="0.25">
      <c r="K526" s="3" t="str">
        <f t="shared" si="88"/>
        <v/>
      </c>
      <c r="L526" s="39">
        <v>494</v>
      </c>
      <c r="M526" s="3">
        <f t="shared" si="86"/>
        <v>41</v>
      </c>
      <c r="N526" s="44">
        <f t="shared" si="79"/>
        <v>0</v>
      </c>
      <c r="O526" s="8">
        <f t="shared" si="80"/>
        <v>0</v>
      </c>
      <c r="Q526" s="48">
        <f t="shared" si="81"/>
        <v>0</v>
      </c>
      <c r="R526" s="8">
        <f t="shared" si="82"/>
        <v>0</v>
      </c>
      <c r="T526" s="48">
        <f t="shared" si="83"/>
        <v>0</v>
      </c>
      <c r="U526" s="8">
        <f t="shared" si="84"/>
        <v>0</v>
      </c>
      <c r="W526" s="48">
        <f t="shared" si="87"/>
        <v>0</v>
      </c>
      <c r="X526" s="8">
        <f t="shared" si="85"/>
        <v>0</v>
      </c>
    </row>
    <row r="527" spans="11:24" ht="13.2" hidden="1" x14ac:dyDescent="0.25">
      <c r="K527" s="3" t="str">
        <f t="shared" si="88"/>
        <v/>
      </c>
      <c r="L527" s="39">
        <v>495</v>
      </c>
      <c r="M527" s="3">
        <f t="shared" si="86"/>
        <v>41</v>
      </c>
      <c r="N527" s="44">
        <f t="shared" si="79"/>
        <v>0</v>
      </c>
      <c r="O527" s="8">
        <f t="shared" si="80"/>
        <v>0</v>
      </c>
      <c r="Q527" s="48">
        <f t="shared" si="81"/>
        <v>0</v>
      </c>
      <c r="R527" s="8">
        <f t="shared" si="82"/>
        <v>0</v>
      </c>
      <c r="T527" s="48">
        <f t="shared" si="83"/>
        <v>0</v>
      </c>
      <c r="U527" s="8">
        <f t="shared" si="84"/>
        <v>0</v>
      </c>
      <c r="W527" s="48">
        <f t="shared" si="87"/>
        <v>0</v>
      </c>
      <c r="X527" s="8">
        <f t="shared" si="85"/>
        <v>0</v>
      </c>
    </row>
    <row r="528" spans="11:24" ht="13.2" hidden="1" x14ac:dyDescent="0.25">
      <c r="K528" s="3" t="str">
        <f t="shared" si="88"/>
        <v/>
      </c>
      <c r="L528" s="39">
        <v>496</v>
      </c>
      <c r="M528" s="3">
        <f t="shared" si="86"/>
        <v>41</v>
      </c>
      <c r="N528" s="44">
        <f t="shared" si="79"/>
        <v>0</v>
      </c>
      <c r="O528" s="8">
        <f t="shared" si="80"/>
        <v>0</v>
      </c>
      <c r="Q528" s="48">
        <f t="shared" si="81"/>
        <v>0</v>
      </c>
      <c r="R528" s="8">
        <f t="shared" si="82"/>
        <v>0</v>
      </c>
      <c r="T528" s="48">
        <f t="shared" si="83"/>
        <v>0</v>
      </c>
      <c r="U528" s="8">
        <f t="shared" si="84"/>
        <v>0</v>
      </c>
      <c r="W528" s="48">
        <f t="shared" si="87"/>
        <v>0</v>
      </c>
      <c r="X528" s="8">
        <f t="shared" si="85"/>
        <v>0</v>
      </c>
    </row>
    <row r="529" spans="11:24" ht="13.2" hidden="1" x14ac:dyDescent="0.25">
      <c r="K529" s="3" t="str">
        <f t="shared" si="88"/>
        <v/>
      </c>
      <c r="L529" s="39">
        <v>497</v>
      </c>
      <c r="M529" s="3">
        <f t="shared" si="86"/>
        <v>41</v>
      </c>
      <c r="N529" s="44">
        <f t="shared" si="79"/>
        <v>0</v>
      </c>
      <c r="O529" s="8">
        <f t="shared" si="80"/>
        <v>0</v>
      </c>
      <c r="Q529" s="48">
        <f t="shared" si="81"/>
        <v>0</v>
      </c>
      <c r="R529" s="8">
        <f t="shared" si="82"/>
        <v>0</v>
      </c>
      <c r="T529" s="48">
        <f t="shared" si="83"/>
        <v>0</v>
      </c>
      <c r="U529" s="8">
        <f t="shared" si="84"/>
        <v>0</v>
      </c>
      <c r="W529" s="48">
        <f t="shared" si="87"/>
        <v>0</v>
      </c>
      <c r="X529" s="8">
        <f t="shared" si="85"/>
        <v>0</v>
      </c>
    </row>
    <row r="530" spans="11:24" ht="13.2" hidden="1" x14ac:dyDescent="0.25">
      <c r="K530" s="3" t="str">
        <f t="shared" si="88"/>
        <v/>
      </c>
      <c r="L530" s="39">
        <v>498</v>
      </c>
      <c r="M530" s="3">
        <f t="shared" si="86"/>
        <v>41</v>
      </c>
      <c r="N530" s="44">
        <f t="shared" si="79"/>
        <v>0</v>
      </c>
      <c r="O530" s="8">
        <f t="shared" si="80"/>
        <v>0</v>
      </c>
      <c r="Q530" s="48">
        <f t="shared" si="81"/>
        <v>0</v>
      </c>
      <c r="R530" s="8">
        <f t="shared" si="82"/>
        <v>0</v>
      </c>
      <c r="T530" s="48">
        <f t="shared" si="83"/>
        <v>0</v>
      </c>
      <c r="U530" s="8">
        <f t="shared" si="84"/>
        <v>0</v>
      </c>
      <c r="W530" s="48">
        <f t="shared" si="87"/>
        <v>0</v>
      </c>
      <c r="X530" s="8">
        <f t="shared" si="85"/>
        <v>0</v>
      </c>
    </row>
    <row r="531" spans="11:24" ht="13.2" hidden="1" x14ac:dyDescent="0.25">
      <c r="K531" s="3" t="str">
        <f t="shared" si="88"/>
        <v/>
      </c>
      <c r="L531" s="39">
        <v>499</v>
      </c>
      <c r="M531" s="3">
        <f t="shared" si="86"/>
        <v>41</v>
      </c>
      <c r="N531" s="44">
        <f t="shared" si="79"/>
        <v>0</v>
      </c>
      <c r="O531" s="8">
        <f t="shared" si="80"/>
        <v>0</v>
      </c>
      <c r="Q531" s="48">
        <f t="shared" si="81"/>
        <v>0</v>
      </c>
      <c r="R531" s="8">
        <f t="shared" si="82"/>
        <v>0</v>
      </c>
      <c r="T531" s="48">
        <f t="shared" si="83"/>
        <v>0</v>
      </c>
      <c r="U531" s="8">
        <f t="shared" si="84"/>
        <v>0</v>
      </c>
      <c r="W531" s="48">
        <f t="shared" si="87"/>
        <v>0</v>
      </c>
      <c r="X531" s="8">
        <f t="shared" si="85"/>
        <v>0</v>
      </c>
    </row>
    <row r="532" spans="11:24" ht="13.2" hidden="1" x14ac:dyDescent="0.25">
      <c r="K532" s="3" t="str">
        <f t="shared" si="88"/>
        <v/>
      </c>
      <c r="L532" s="39">
        <v>500</v>
      </c>
      <c r="M532" s="3">
        <f t="shared" si="86"/>
        <v>41</v>
      </c>
      <c r="N532" s="44">
        <f t="shared" si="79"/>
        <v>0</v>
      </c>
      <c r="O532" s="8">
        <f t="shared" si="80"/>
        <v>0</v>
      </c>
      <c r="Q532" s="48">
        <f t="shared" si="81"/>
        <v>0</v>
      </c>
      <c r="R532" s="8">
        <f t="shared" si="82"/>
        <v>0</v>
      </c>
      <c r="T532" s="48">
        <f t="shared" si="83"/>
        <v>0</v>
      </c>
      <c r="U532" s="8">
        <f t="shared" si="84"/>
        <v>0</v>
      </c>
      <c r="W532" s="48">
        <f t="shared" si="87"/>
        <v>0</v>
      </c>
      <c r="X532" s="8">
        <f t="shared" si="85"/>
        <v>0</v>
      </c>
    </row>
    <row r="533" spans="11:24" ht="13.2" hidden="1" x14ac:dyDescent="0.25">
      <c r="K533" s="3" t="str">
        <f t="shared" si="88"/>
        <v/>
      </c>
      <c r="L533" s="39">
        <v>501</v>
      </c>
      <c r="M533" s="3">
        <f t="shared" si="86"/>
        <v>41</v>
      </c>
      <c r="N533" s="44">
        <f t="shared" si="79"/>
        <v>0</v>
      </c>
      <c r="O533" s="8">
        <f t="shared" si="80"/>
        <v>0</v>
      </c>
      <c r="Q533" s="48">
        <f t="shared" si="81"/>
        <v>0</v>
      </c>
      <c r="R533" s="8">
        <f t="shared" si="82"/>
        <v>0</v>
      </c>
      <c r="T533" s="48">
        <f t="shared" si="83"/>
        <v>0</v>
      </c>
      <c r="U533" s="8">
        <f t="shared" si="84"/>
        <v>0</v>
      </c>
      <c r="W533" s="48">
        <f t="shared" si="87"/>
        <v>0</v>
      </c>
      <c r="X533" s="8">
        <f t="shared" si="85"/>
        <v>0</v>
      </c>
    </row>
    <row r="534" spans="11:24" ht="13.2" hidden="1" x14ac:dyDescent="0.25">
      <c r="K534" s="3" t="str">
        <f t="shared" si="88"/>
        <v/>
      </c>
      <c r="L534" s="39">
        <v>502</v>
      </c>
      <c r="M534" s="3">
        <f t="shared" si="86"/>
        <v>41</v>
      </c>
      <c r="N534" s="44">
        <f t="shared" si="79"/>
        <v>0</v>
      </c>
      <c r="O534" s="8">
        <f t="shared" si="80"/>
        <v>0</v>
      </c>
      <c r="Q534" s="48">
        <f t="shared" si="81"/>
        <v>0</v>
      </c>
      <c r="R534" s="8">
        <f t="shared" si="82"/>
        <v>0</v>
      </c>
      <c r="T534" s="48">
        <f t="shared" si="83"/>
        <v>0</v>
      </c>
      <c r="U534" s="8">
        <f t="shared" si="84"/>
        <v>0</v>
      </c>
      <c r="W534" s="48">
        <f t="shared" si="87"/>
        <v>0</v>
      </c>
      <c r="X534" s="8">
        <f t="shared" si="85"/>
        <v>0</v>
      </c>
    </row>
    <row r="535" spans="11:24" ht="13.2" hidden="1" x14ac:dyDescent="0.25">
      <c r="K535" s="3" t="str">
        <f t="shared" si="88"/>
        <v/>
      </c>
      <c r="L535" s="39">
        <v>503</v>
      </c>
      <c r="M535" s="3">
        <f t="shared" si="86"/>
        <v>41</v>
      </c>
      <c r="N535" s="44">
        <f t="shared" si="79"/>
        <v>0</v>
      </c>
      <c r="O535" s="8">
        <f t="shared" si="80"/>
        <v>0</v>
      </c>
      <c r="Q535" s="48">
        <f t="shared" si="81"/>
        <v>0</v>
      </c>
      <c r="R535" s="8">
        <f t="shared" si="82"/>
        <v>0</v>
      </c>
      <c r="T535" s="48">
        <f t="shared" si="83"/>
        <v>0</v>
      </c>
      <c r="U535" s="8">
        <f t="shared" si="84"/>
        <v>0</v>
      </c>
      <c r="W535" s="48">
        <f t="shared" si="87"/>
        <v>0</v>
      </c>
      <c r="X535" s="8">
        <f t="shared" si="85"/>
        <v>0</v>
      </c>
    </row>
    <row r="536" spans="11:24" ht="13.2" hidden="1" x14ac:dyDescent="0.25">
      <c r="K536" s="3">
        <f t="shared" si="88"/>
        <v>42</v>
      </c>
      <c r="L536" s="39">
        <v>504</v>
      </c>
      <c r="M536" s="3">
        <f t="shared" si="86"/>
        <v>41</v>
      </c>
      <c r="N536" s="44">
        <f t="shared" si="79"/>
        <v>0</v>
      </c>
      <c r="O536" s="8">
        <f t="shared" si="80"/>
        <v>0</v>
      </c>
      <c r="Q536" s="48">
        <f t="shared" si="81"/>
        <v>0</v>
      </c>
      <c r="R536" s="8">
        <f t="shared" si="82"/>
        <v>0</v>
      </c>
      <c r="T536" s="48">
        <f t="shared" si="83"/>
        <v>0</v>
      </c>
      <c r="U536" s="8">
        <f t="shared" si="84"/>
        <v>0</v>
      </c>
      <c r="W536" s="48">
        <f t="shared" si="87"/>
        <v>0</v>
      </c>
      <c r="X536" s="8">
        <f t="shared" si="85"/>
        <v>0</v>
      </c>
    </row>
    <row r="537" spans="11:24" ht="13.2" hidden="1" x14ac:dyDescent="0.25">
      <c r="K537" s="3" t="str">
        <f t="shared" si="88"/>
        <v/>
      </c>
      <c r="L537" s="39">
        <v>505</v>
      </c>
      <c r="M537" s="3">
        <f t="shared" si="86"/>
        <v>42</v>
      </c>
      <c r="N537" s="44">
        <f t="shared" si="79"/>
        <v>0</v>
      </c>
      <c r="O537" s="8">
        <f t="shared" si="80"/>
        <v>0</v>
      </c>
      <c r="Q537" s="48">
        <f t="shared" si="81"/>
        <v>0</v>
      </c>
      <c r="R537" s="8">
        <f t="shared" si="82"/>
        <v>0</v>
      </c>
      <c r="T537" s="48">
        <f t="shared" si="83"/>
        <v>0</v>
      </c>
      <c r="U537" s="8">
        <f t="shared" si="84"/>
        <v>0</v>
      </c>
      <c r="W537" s="48">
        <f t="shared" si="87"/>
        <v>0</v>
      </c>
      <c r="X537" s="8">
        <f t="shared" si="85"/>
        <v>0</v>
      </c>
    </row>
    <row r="538" spans="11:24" ht="13.2" hidden="1" x14ac:dyDescent="0.25">
      <c r="K538" s="3" t="str">
        <f t="shared" si="88"/>
        <v/>
      </c>
      <c r="L538" s="39">
        <v>506</v>
      </c>
      <c r="M538" s="3">
        <f t="shared" si="86"/>
        <v>42</v>
      </c>
      <c r="N538" s="44">
        <f t="shared" si="79"/>
        <v>0</v>
      </c>
      <c r="O538" s="8">
        <f t="shared" si="80"/>
        <v>0</v>
      </c>
      <c r="Q538" s="48">
        <f t="shared" si="81"/>
        <v>0</v>
      </c>
      <c r="R538" s="8">
        <f t="shared" si="82"/>
        <v>0</v>
      </c>
      <c r="T538" s="48">
        <f t="shared" si="83"/>
        <v>0</v>
      </c>
      <c r="U538" s="8">
        <f t="shared" si="84"/>
        <v>0</v>
      </c>
      <c r="W538" s="48">
        <f t="shared" si="87"/>
        <v>0</v>
      </c>
      <c r="X538" s="8">
        <f t="shared" si="85"/>
        <v>0</v>
      </c>
    </row>
    <row r="539" spans="11:24" ht="13.2" hidden="1" x14ac:dyDescent="0.25">
      <c r="K539" s="3" t="str">
        <f t="shared" si="88"/>
        <v/>
      </c>
      <c r="L539" s="39">
        <v>507</v>
      </c>
      <c r="M539" s="3">
        <f t="shared" si="86"/>
        <v>42</v>
      </c>
      <c r="N539" s="44">
        <f t="shared" si="79"/>
        <v>0</v>
      </c>
      <c r="O539" s="8">
        <f t="shared" si="80"/>
        <v>0</v>
      </c>
      <c r="Q539" s="48">
        <f t="shared" si="81"/>
        <v>0</v>
      </c>
      <c r="R539" s="8">
        <f t="shared" si="82"/>
        <v>0</v>
      </c>
      <c r="T539" s="48">
        <f t="shared" si="83"/>
        <v>0</v>
      </c>
      <c r="U539" s="8">
        <f t="shared" si="84"/>
        <v>0</v>
      </c>
      <c r="W539" s="48">
        <f t="shared" si="87"/>
        <v>0</v>
      </c>
      <c r="X539" s="8">
        <f t="shared" si="85"/>
        <v>0</v>
      </c>
    </row>
    <row r="540" spans="11:24" ht="13.2" hidden="1" x14ac:dyDescent="0.25">
      <c r="K540" s="3" t="str">
        <f t="shared" si="88"/>
        <v/>
      </c>
      <c r="L540" s="39">
        <v>508</v>
      </c>
      <c r="M540" s="3">
        <f t="shared" si="86"/>
        <v>42</v>
      </c>
      <c r="N540" s="44">
        <f t="shared" si="79"/>
        <v>0</v>
      </c>
      <c r="O540" s="8">
        <f t="shared" si="80"/>
        <v>0</v>
      </c>
      <c r="Q540" s="48">
        <f t="shared" si="81"/>
        <v>0</v>
      </c>
      <c r="R540" s="8">
        <f t="shared" si="82"/>
        <v>0</v>
      </c>
      <c r="T540" s="48">
        <f t="shared" si="83"/>
        <v>0</v>
      </c>
      <c r="U540" s="8">
        <f t="shared" si="84"/>
        <v>0</v>
      </c>
      <c r="W540" s="48">
        <f t="shared" si="87"/>
        <v>0</v>
      </c>
      <c r="X540" s="8">
        <f t="shared" si="85"/>
        <v>0</v>
      </c>
    </row>
    <row r="541" spans="11:24" ht="13.2" hidden="1" x14ac:dyDescent="0.25">
      <c r="K541" s="3" t="str">
        <f t="shared" si="88"/>
        <v/>
      </c>
      <c r="L541" s="39">
        <v>509</v>
      </c>
      <c r="M541" s="3">
        <f t="shared" si="86"/>
        <v>42</v>
      </c>
      <c r="N541" s="44">
        <f t="shared" si="79"/>
        <v>0</v>
      </c>
      <c r="O541" s="8">
        <f t="shared" si="80"/>
        <v>0</v>
      </c>
      <c r="Q541" s="48">
        <f t="shared" si="81"/>
        <v>0</v>
      </c>
      <c r="R541" s="8">
        <f t="shared" si="82"/>
        <v>0</v>
      </c>
      <c r="T541" s="48">
        <f t="shared" si="83"/>
        <v>0</v>
      </c>
      <c r="U541" s="8">
        <f t="shared" si="84"/>
        <v>0</v>
      </c>
      <c r="W541" s="48">
        <f t="shared" si="87"/>
        <v>0</v>
      </c>
      <c r="X541" s="8">
        <f t="shared" si="85"/>
        <v>0</v>
      </c>
    </row>
    <row r="542" spans="11:24" ht="13.2" hidden="1" x14ac:dyDescent="0.25">
      <c r="K542" s="3" t="str">
        <f t="shared" si="88"/>
        <v/>
      </c>
      <c r="L542" s="39">
        <v>510</v>
      </c>
      <c r="M542" s="3">
        <f t="shared" si="86"/>
        <v>42</v>
      </c>
      <c r="N542" s="44">
        <f t="shared" si="79"/>
        <v>0</v>
      </c>
      <c r="O542" s="8">
        <f t="shared" si="80"/>
        <v>0</v>
      </c>
      <c r="Q542" s="48">
        <f t="shared" si="81"/>
        <v>0</v>
      </c>
      <c r="R542" s="8">
        <f t="shared" si="82"/>
        <v>0</v>
      </c>
      <c r="T542" s="48">
        <f t="shared" si="83"/>
        <v>0</v>
      </c>
      <c r="U542" s="8">
        <f t="shared" si="84"/>
        <v>0</v>
      </c>
      <c r="W542" s="48">
        <f t="shared" si="87"/>
        <v>0</v>
      </c>
      <c r="X542" s="8">
        <f t="shared" si="85"/>
        <v>0</v>
      </c>
    </row>
    <row r="543" spans="11:24" ht="13.2" hidden="1" x14ac:dyDescent="0.25">
      <c r="K543" s="3" t="str">
        <f t="shared" si="88"/>
        <v/>
      </c>
      <c r="L543" s="39">
        <v>511</v>
      </c>
      <c r="M543" s="3">
        <f t="shared" si="86"/>
        <v>42</v>
      </c>
      <c r="N543" s="44">
        <f t="shared" si="79"/>
        <v>0</v>
      </c>
      <c r="O543" s="8">
        <f t="shared" si="80"/>
        <v>0</v>
      </c>
      <c r="Q543" s="48">
        <f t="shared" si="81"/>
        <v>0</v>
      </c>
      <c r="R543" s="8">
        <f t="shared" si="82"/>
        <v>0</v>
      </c>
      <c r="T543" s="48">
        <f t="shared" si="83"/>
        <v>0</v>
      </c>
      <c r="U543" s="8">
        <f t="shared" si="84"/>
        <v>0</v>
      </c>
      <c r="W543" s="48">
        <f t="shared" si="87"/>
        <v>0</v>
      </c>
      <c r="X543" s="8">
        <f t="shared" si="85"/>
        <v>0</v>
      </c>
    </row>
    <row r="544" spans="11:24" ht="13.2" hidden="1" x14ac:dyDescent="0.25">
      <c r="K544" s="3" t="str">
        <f t="shared" si="88"/>
        <v/>
      </c>
      <c r="L544" s="39">
        <v>512</v>
      </c>
      <c r="M544" s="3">
        <f t="shared" si="86"/>
        <v>42</v>
      </c>
      <c r="N544" s="44">
        <f t="shared" si="79"/>
        <v>0</v>
      </c>
      <c r="O544" s="8">
        <f t="shared" si="80"/>
        <v>0</v>
      </c>
      <c r="Q544" s="48">
        <f t="shared" si="81"/>
        <v>0</v>
      </c>
      <c r="R544" s="8">
        <f t="shared" si="82"/>
        <v>0</v>
      </c>
      <c r="T544" s="48">
        <f t="shared" si="83"/>
        <v>0</v>
      </c>
      <c r="U544" s="8">
        <f t="shared" si="84"/>
        <v>0</v>
      </c>
      <c r="W544" s="48">
        <f t="shared" si="87"/>
        <v>0</v>
      </c>
      <c r="X544" s="8">
        <f t="shared" si="85"/>
        <v>0</v>
      </c>
    </row>
    <row r="545" spans="11:24" ht="13.2" hidden="1" x14ac:dyDescent="0.25">
      <c r="K545" s="3" t="str">
        <f t="shared" si="88"/>
        <v/>
      </c>
      <c r="L545" s="39">
        <v>513</v>
      </c>
      <c r="M545" s="3">
        <f t="shared" si="86"/>
        <v>42</v>
      </c>
      <c r="N545" s="44">
        <f t="shared" ref="N545:N608" si="89">IF(L545&lt;=InvMonths,SU_Amt*(1+$C$19)^M545,0)</f>
        <v>0</v>
      </c>
      <c r="O545" s="8">
        <f t="shared" ref="O545:O608" si="90">FV($S$1,(InvMonths-L545+1),0,-N545,1)</f>
        <v>0</v>
      </c>
      <c r="Q545" s="48">
        <f t="shared" ref="Q545:Q608" si="91">IF(L545&lt;=InvMonths,$R$27*(1+$C$19)^M545,0)</f>
        <v>0</v>
      </c>
      <c r="R545" s="8">
        <f t="shared" ref="R545:R608" si="92">FV($S$1,(InvMonths-L545+1),0,-Q545,1)</f>
        <v>0</v>
      </c>
      <c r="T545" s="48">
        <f t="shared" ref="T545:T608" si="93">IF(L545&lt;=InvMonths,$U$27,0)</f>
        <v>0</v>
      </c>
      <c r="U545" s="8">
        <f t="shared" ref="U545:U608" si="94">FV($S$1,(InvMonths-L545+1),0,-T545,1)</f>
        <v>0</v>
      </c>
      <c r="W545" s="48">
        <f t="shared" si="87"/>
        <v>0</v>
      </c>
      <c r="X545" s="8">
        <f t="shared" ref="X545:X608" si="95">FV($S$1,($X$26-L545+1),0,-W545,1)</f>
        <v>0</v>
      </c>
    </row>
    <row r="546" spans="11:24" ht="13.2" hidden="1" x14ac:dyDescent="0.25">
      <c r="K546" s="3" t="str">
        <f t="shared" si="88"/>
        <v/>
      </c>
      <c r="L546" s="39">
        <v>514</v>
      </c>
      <c r="M546" s="3">
        <f t="shared" ref="M546:M609" si="96">IF(MOD(L546,12)=0,(L546/12)-1,QUOTIENT(L546,12))</f>
        <v>42</v>
      </c>
      <c r="N546" s="44">
        <f t="shared" si="89"/>
        <v>0</v>
      </c>
      <c r="O546" s="8">
        <f t="shared" si="90"/>
        <v>0</v>
      </c>
      <c r="Q546" s="48">
        <f t="shared" si="91"/>
        <v>0</v>
      </c>
      <c r="R546" s="8">
        <f t="shared" si="92"/>
        <v>0</v>
      </c>
      <c r="T546" s="48">
        <f t="shared" si="93"/>
        <v>0</v>
      </c>
      <c r="U546" s="8">
        <f t="shared" si="94"/>
        <v>0</v>
      </c>
      <c r="W546" s="48">
        <f t="shared" ref="W546:W609" si="97">IF(L546&lt;=$X$26,$X$27,0)</f>
        <v>0</v>
      </c>
      <c r="X546" s="8">
        <f t="shared" si="95"/>
        <v>0</v>
      </c>
    </row>
    <row r="547" spans="11:24" ht="13.2" hidden="1" x14ac:dyDescent="0.25">
      <c r="K547" s="3" t="str">
        <f t="shared" si="88"/>
        <v/>
      </c>
      <c r="L547" s="39">
        <v>515</v>
      </c>
      <c r="M547" s="3">
        <f t="shared" si="96"/>
        <v>42</v>
      </c>
      <c r="N547" s="44">
        <f t="shared" si="89"/>
        <v>0</v>
      </c>
      <c r="O547" s="8">
        <f t="shared" si="90"/>
        <v>0</v>
      </c>
      <c r="Q547" s="48">
        <f t="shared" si="91"/>
        <v>0</v>
      </c>
      <c r="R547" s="8">
        <f t="shared" si="92"/>
        <v>0</v>
      </c>
      <c r="T547" s="48">
        <f t="shared" si="93"/>
        <v>0</v>
      </c>
      <c r="U547" s="8">
        <f t="shared" si="94"/>
        <v>0</v>
      </c>
      <c r="W547" s="48">
        <f t="shared" si="97"/>
        <v>0</v>
      </c>
      <c r="X547" s="8">
        <f t="shared" si="95"/>
        <v>0</v>
      </c>
    </row>
    <row r="548" spans="11:24" ht="13.2" hidden="1" x14ac:dyDescent="0.25">
      <c r="K548" s="3">
        <f t="shared" si="88"/>
        <v>43</v>
      </c>
      <c r="L548" s="39">
        <v>516</v>
      </c>
      <c r="M548" s="3">
        <f t="shared" si="96"/>
        <v>42</v>
      </c>
      <c r="N548" s="44">
        <f t="shared" si="89"/>
        <v>0</v>
      </c>
      <c r="O548" s="8">
        <f t="shared" si="90"/>
        <v>0</v>
      </c>
      <c r="Q548" s="48">
        <f t="shared" si="91"/>
        <v>0</v>
      </c>
      <c r="R548" s="8">
        <f t="shared" si="92"/>
        <v>0</v>
      </c>
      <c r="T548" s="48">
        <f t="shared" si="93"/>
        <v>0</v>
      </c>
      <c r="U548" s="8">
        <f t="shared" si="94"/>
        <v>0</v>
      </c>
      <c r="W548" s="48">
        <f t="shared" si="97"/>
        <v>0</v>
      </c>
      <c r="X548" s="8">
        <f t="shared" si="95"/>
        <v>0</v>
      </c>
    </row>
    <row r="549" spans="11:24" ht="13.2" hidden="1" x14ac:dyDescent="0.25">
      <c r="K549" s="3" t="str">
        <f t="shared" si="88"/>
        <v/>
      </c>
      <c r="L549" s="39">
        <v>517</v>
      </c>
      <c r="M549" s="3">
        <f t="shared" si="96"/>
        <v>43</v>
      </c>
      <c r="N549" s="44">
        <f t="shared" si="89"/>
        <v>0</v>
      </c>
      <c r="O549" s="8">
        <f t="shared" si="90"/>
        <v>0</v>
      </c>
      <c r="Q549" s="48">
        <f t="shared" si="91"/>
        <v>0</v>
      </c>
      <c r="R549" s="8">
        <f t="shared" si="92"/>
        <v>0</v>
      </c>
      <c r="T549" s="48">
        <f t="shared" si="93"/>
        <v>0</v>
      </c>
      <c r="U549" s="8">
        <f t="shared" si="94"/>
        <v>0</v>
      </c>
      <c r="W549" s="48">
        <f t="shared" si="97"/>
        <v>0</v>
      </c>
      <c r="X549" s="8">
        <f t="shared" si="95"/>
        <v>0</v>
      </c>
    </row>
    <row r="550" spans="11:24" ht="13.2" hidden="1" x14ac:dyDescent="0.25">
      <c r="K550" s="3" t="str">
        <f t="shared" si="88"/>
        <v/>
      </c>
      <c r="L550" s="39">
        <v>518</v>
      </c>
      <c r="M550" s="3">
        <f t="shared" si="96"/>
        <v>43</v>
      </c>
      <c r="N550" s="44">
        <f t="shared" si="89"/>
        <v>0</v>
      </c>
      <c r="O550" s="8">
        <f t="shared" si="90"/>
        <v>0</v>
      </c>
      <c r="Q550" s="48">
        <f t="shared" si="91"/>
        <v>0</v>
      </c>
      <c r="R550" s="8">
        <f t="shared" si="92"/>
        <v>0</v>
      </c>
      <c r="T550" s="48">
        <f t="shared" si="93"/>
        <v>0</v>
      </c>
      <c r="U550" s="8">
        <f t="shared" si="94"/>
        <v>0</v>
      </c>
      <c r="W550" s="48">
        <f t="shared" si="97"/>
        <v>0</v>
      </c>
      <c r="X550" s="8">
        <f t="shared" si="95"/>
        <v>0</v>
      </c>
    </row>
    <row r="551" spans="11:24" ht="13.2" hidden="1" x14ac:dyDescent="0.25">
      <c r="K551" s="3" t="str">
        <f t="shared" si="88"/>
        <v/>
      </c>
      <c r="L551" s="39">
        <v>519</v>
      </c>
      <c r="M551" s="3">
        <f t="shared" si="96"/>
        <v>43</v>
      </c>
      <c r="N551" s="44">
        <f t="shared" si="89"/>
        <v>0</v>
      </c>
      <c r="O551" s="8">
        <f t="shared" si="90"/>
        <v>0</v>
      </c>
      <c r="Q551" s="48">
        <f t="shared" si="91"/>
        <v>0</v>
      </c>
      <c r="R551" s="8">
        <f t="shared" si="92"/>
        <v>0</v>
      </c>
      <c r="T551" s="48">
        <f t="shared" si="93"/>
        <v>0</v>
      </c>
      <c r="U551" s="8">
        <f t="shared" si="94"/>
        <v>0</v>
      </c>
      <c r="W551" s="48">
        <f t="shared" si="97"/>
        <v>0</v>
      </c>
      <c r="X551" s="8">
        <f t="shared" si="95"/>
        <v>0</v>
      </c>
    </row>
    <row r="552" spans="11:24" ht="13.2" hidden="1" x14ac:dyDescent="0.25">
      <c r="K552" s="3" t="str">
        <f t="shared" si="88"/>
        <v/>
      </c>
      <c r="L552" s="39">
        <v>520</v>
      </c>
      <c r="M552" s="3">
        <f t="shared" si="96"/>
        <v>43</v>
      </c>
      <c r="N552" s="44">
        <f t="shared" si="89"/>
        <v>0</v>
      </c>
      <c r="O552" s="8">
        <f t="shared" si="90"/>
        <v>0</v>
      </c>
      <c r="Q552" s="48">
        <f t="shared" si="91"/>
        <v>0</v>
      </c>
      <c r="R552" s="8">
        <f t="shared" si="92"/>
        <v>0</v>
      </c>
      <c r="T552" s="48">
        <f t="shared" si="93"/>
        <v>0</v>
      </c>
      <c r="U552" s="8">
        <f t="shared" si="94"/>
        <v>0</v>
      </c>
      <c r="W552" s="48">
        <f t="shared" si="97"/>
        <v>0</v>
      </c>
      <c r="X552" s="8">
        <f t="shared" si="95"/>
        <v>0</v>
      </c>
    </row>
    <row r="553" spans="11:24" ht="13.2" hidden="1" x14ac:dyDescent="0.25">
      <c r="K553" s="3" t="str">
        <f t="shared" si="88"/>
        <v/>
      </c>
      <c r="L553" s="39">
        <v>521</v>
      </c>
      <c r="M553" s="3">
        <f t="shared" si="96"/>
        <v>43</v>
      </c>
      <c r="N553" s="44">
        <f t="shared" si="89"/>
        <v>0</v>
      </c>
      <c r="O553" s="8">
        <f t="shared" si="90"/>
        <v>0</v>
      </c>
      <c r="Q553" s="48">
        <f t="shared" si="91"/>
        <v>0</v>
      </c>
      <c r="R553" s="8">
        <f t="shared" si="92"/>
        <v>0</v>
      </c>
      <c r="T553" s="48">
        <f t="shared" si="93"/>
        <v>0</v>
      </c>
      <c r="U553" s="8">
        <f t="shared" si="94"/>
        <v>0</v>
      </c>
      <c r="W553" s="48">
        <f t="shared" si="97"/>
        <v>0</v>
      </c>
      <c r="X553" s="8">
        <f t="shared" si="95"/>
        <v>0</v>
      </c>
    </row>
    <row r="554" spans="11:24" ht="13.2" hidden="1" x14ac:dyDescent="0.25">
      <c r="K554" s="3" t="str">
        <f t="shared" ref="K554:K617" si="98">IF(MOD(L554,12)=0,L554/12,"")</f>
        <v/>
      </c>
      <c r="L554" s="39">
        <v>522</v>
      </c>
      <c r="M554" s="3">
        <f t="shared" si="96"/>
        <v>43</v>
      </c>
      <c r="N554" s="44">
        <f t="shared" si="89"/>
        <v>0</v>
      </c>
      <c r="O554" s="8">
        <f t="shared" si="90"/>
        <v>0</v>
      </c>
      <c r="Q554" s="48">
        <f t="shared" si="91"/>
        <v>0</v>
      </c>
      <c r="R554" s="8">
        <f t="shared" si="92"/>
        <v>0</v>
      </c>
      <c r="T554" s="48">
        <f t="shared" si="93"/>
        <v>0</v>
      </c>
      <c r="U554" s="8">
        <f t="shared" si="94"/>
        <v>0</v>
      </c>
      <c r="W554" s="48">
        <f t="shared" si="97"/>
        <v>0</v>
      </c>
      <c r="X554" s="8">
        <f t="shared" si="95"/>
        <v>0</v>
      </c>
    </row>
    <row r="555" spans="11:24" ht="13.2" hidden="1" x14ac:dyDescent="0.25">
      <c r="K555" s="3" t="str">
        <f t="shared" si="98"/>
        <v/>
      </c>
      <c r="L555" s="39">
        <v>523</v>
      </c>
      <c r="M555" s="3">
        <f t="shared" si="96"/>
        <v>43</v>
      </c>
      <c r="N555" s="44">
        <f t="shared" si="89"/>
        <v>0</v>
      </c>
      <c r="O555" s="8">
        <f t="shared" si="90"/>
        <v>0</v>
      </c>
      <c r="Q555" s="48">
        <f t="shared" si="91"/>
        <v>0</v>
      </c>
      <c r="R555" s="8">
        <f t="shared" si="92"/>
        <v>0</v>
      </c>
      <c r="T555" s="48">
        <f t="shared" si="93"/>
        <v>0</v>
      </c>
      <c r="U555" s="8">
        <f t="shared" si="94"/>
        <v>0</v>
      </c>
      <c r="W555" s="48">
        <f t="shared" si="97"/>
        <v>0</v>
      </c>
      <c r="X555" s="8">
        <f t="shared" si="95"/>
        <v>0</v>
      </c>
    </row>
    <row r="556" spans="11:24" ht="13.2" hidden="1" x14ac:dyDescent="0.25">
      <c r="K556" s="3" t="str">
        <f t="shared" si="98"/>
        <v/>
      </c>
      <c r="L556" s="39">
        <v>524</v>
      </c>
      <c r="M556" s="3">
        <f t="shared" si="96"/>
        <v>43</v>
      </c>
      <c r="N556" s="44">
        <f t="shared" si="89"/>
        <v>0</v>
      </c>
      <c r="O556" s="8">
        <f t="shared" si="90"/>
        <v>0</v>
      </c>
      <c r="Q556" s="48">
        <f t="shared" si="91"/>
        <v>0</v>
      </c>
      <c r="R556" s="8">
        <f t="shared" si="92"/>
        <v>0</v>
      </c>
      <c r="T556" s="48">
        <f t="shared" si="93"/>
        <v>0</v>
      </c>
      <c r="U556" s="8">
        <f t="shared" si="94"/>
        <v>0</v>
      </c>
      <c r="W556" s="48">
        <f t="shared" si="97"/>
        <v>0</v>
      </c>
      <c r="X556" s="8">
        <f t="shared" si="95"/>
        <v>0</v>
      </c>
    </row>
    <row r="557" spans="11:24" ht="13.2" hidden="1" x14ac:dyDescent="0.25">
      <c r="K557" s="3" t="str">
        <f t="shared" si="98"/>
        <v/>
      </c>
      <c r="L557" s="39">
        <v>525</v>
      </c>
      <c r="M557" s="3">
        <f t="shared" si="96"/>
        <v>43</v>
      </c>
      <c r="N557" s="44">
        <f t="shared" si="89"/>
        <v>0</v>
      </c>
      <c r="O557" s="8">
        <f t="shared" si="90"/>
        <v>0</v>
      </c>
      <c r="Q557" s="48">
        <f t="shared" si="91"/>
        <v>0</v>
      </c>
      <c r="R557" s="8">
        <f t="shared" si="92"/>
        <v>0</v>
      </c>
      <c r="T557" s="48">
        <f t="shared" si="93"/>
        <v>0</v>
      </c>
      <c r="U557" s="8">
        <f t="shared" si="94"/>
        <v>0</v>
      </c>
      <c r="W557" s="48">
        <f t="shared" si="97"/>
        <v>0</v>
      </c>
      <c r="X557" s="8">
        <f t="shared" si="95"/>
        <v>0</v>
      </c>
    </row>
    <row r="558" spans="11:24" ht="13.2" hidden="1" x14ac:dyDescent="0.25">
      <c r="K558" s="3" t="str">
        <f t="shared" si="98"/>
        <v/>
      </c>
      <c r="L558" s="39">
        <v>526</v>
      </c>
      <c r="M558" s="3">
        <f t="shared" si="96"/>
        <v>43</v>
      </c>
      <c r="N558" s="44">
        <f t="shared" si="89"/>
        <v>0</v>
      </c>
      <c r="O558" s="8">
        <f t="shared" si="90"/>
        <v>0</v>
      </c>
      <c r="Q558" s="48">
        <f t="shared" si="91"/>
        <v>0</v>
      </c>
      <c r="R558" s="8">
        <f t="shared" si="92"/>
        <v>0</v>
      </c>
      <c r="T558" s="48">
        <f t="shared" si="93"/>
        <v>0</v>
      </c>
      <c r="U558" s="8">
        <f t="shared" si="94"/>
        <v>0</v>
      </c>
      <c r="W558" s="48">
        <f t="shared" si="97"/>
        <v>0</v>
      </c>
      <c r="X558" s="8">
        <f t="shared" si="95"/>
        <v>0</v>
      </c>
    </row>
    <row r="559" spans="11:24" ht="13.2" hidden="1" x14ac:dyDescent="0.25">
      <c r="K559" s="3" t="str">
        <f t="shared" si="98"/>
        <v/>
      </c>
      <c r="L559" s="39">
        <v>527</v>
      </c>
      <c r="M559" s="3">
        <f t="shared" si="96"/>
        <v>43</v>
      </c>
      <c r="N559" s="44">
        <f t="shared" si="89"/>
        <v>0</v>
      </c>
      <c r="O559" s="8">
        <f t="shared" si="90"/>
        <v>0</v>
      </c>
      <c r="Q559" s="48">
        <f t="shared" si="91"/>
        <v>0</v>
      </c>
      <c r="R559" s="8">
        <f t="shared" si="92"/>
        <v>0</v>
      </c>
      <c r="T559" s="48">
        <f t="shared" si="93"/>
        <v>0</v>
      </c>
      <c r="U559" s="8">
        <f t="shared" si="94"/>
        <v>0</v>
      </c>
      <c r="W559" s="48">
        <f t="shared" si="97"/>
        <v>0</v>
      </c>
      <c r="X559" s="8">
        <f t="shared" si="95"/>
        <v>0</v>
      </c>
    </row>
    <row r="560" spans="11:24" ht="13.2" hidden="1" x14ac:dyDescent="0.25">
      <c r="K560" s="3">
        <f t="shared" si="98"/>
        <v>44</v>
      </c>
      <c r="L560" s="39">
        <v>528</v>
      </c>
      <c r="M560" s="3">
        <f t="shared" si="96"/>
        <v>43</v>
      </c>
      <c r="N560" s="44">
        <f t="shared" si="89"/>
        <v>0</v>
      </c>
      <c r="O560" s="8">
        <f t="shared" si="90"/>
        <v>0</v>
      </c>
      <c r="Q560" s="48">
        <f t="shared" si="91"/>
        <v>0</v>
      </c>
      <c r="R560" s="8">
        <f t="shared" si="92"/>
        <v>0</v>
      </c>
      <c r="T560" s="48">
        <f t="shared" si="93"/>
        <v>0</v>
      </c>
      <c r="U560" s="8">
        <f t="shared" si="94"/>
        <v>0</v>
      </c>
      <c r="W560" s="48">
        <f t="shared" si="97"/>
        <v>0</v>
      </c>
      <c r="X560" s="8">
        <f t="shared" si="95"/>
        <v>0</v>
      </c>
    </row>
    <row r="561" spans="11:24" ht="13.2" hidden="1" x14ac:dyDescent="0.25">
      <c r="K561" s="3" t="str">
        <f t="shared" si="98"/>
        <v/>
      </c>
      <c r="L561" s="39">
        <v>529</v>
      </c>
      <c r="M561" s="3">
        <f t="shared" si="96"/>
        <v>44</v>
      </c>
      <c r="N561" s="44">
        <f t="shared" si="89"/>
        <v>0</v>
      </c>
      <c r="O561" s="8">
        <f t="shared" si="90"/>
        <v>0</v>
      </c>
      <c r="Q561" s="48">
        <f t="shared" si="91"/>
        <v>0</v>
      </c>
      <c r="R561" s="8">
        <f t="shared" si="92"/>
        <v>0</v>
      </c>
      <c r="T561" s="48">
        <f t="shared" si="93"/>
        <v>0</v>
      </c>
      <c r="U561" s="8">
        <f t="shared" si="94"/>
        <v>0</v>
      </c>
      <c r="W561" s="48">
        <f t="shared" si="97"/>
        <v>0</v>
      </c>
      <c r="X561" s="8">
        <f t="shared" si="95"/>
        <v>0</v>
      </c>
    </row>
    <row r="562" spans="11:24" ht="13.2" hidden="1" x14ac:dyDescent="0.25">
      <c r="K562" s="3" t="str">
        <f t="shared" si="98"/>
        <v/>
      </c>
      <c r="L562" s="39">
        <v>530</v>
      </c>
      <c r="M562" s="3">
        <f t="shared" si="96"/>
        <v>44</v>
      </c>
      <c r="N562" s="44">
        <f t="shared" si="89"/>
        <v>0</v>
      </c>
      <c r="O562" s="8">
        <f t="shared" si="90"/>
        <v>0</v>
      </c>
      <c r="Q562" s="48">
        <f t="shared" si="91"/>
        <v>0</v>
      </c>
      <c r="R562" s="8">
        <f t="shared" si="92"/>
        <v>0</v>
      </c>
      <c r="T562" s="48">
        <f t="shared" si="93"/>
        <v>0</v>
      </c>
      <c r="U562" s="8">
        <f t="shared" si="94"/>
        <v>0</v>
      </c>
      <c r="W562" s="48">
        <f t="shared" si="97"/>
        <v>0</v>
      </c>
      <c r="X562" s="8">
        <f t="shared" si="95"/>
        <v>0</v>
      </c>
    </row>
    <row r="563" spans="11:24" ht="13.2" hidden="1" x14ac:dyDescent="0.25">
      <c r="K563" s="3" t="str">
        <f t="shared" si="98"/>
        <v/>
      </c>
      <c r="L563" s="39">
        <v>531</v>
      </c>
      <c r="M563" s="3">
        <f t="shared" si="96"/>
        <v>44</v>
      </c>
      <c r="N563" s="44">
        <f t="shared" si="89"/>
        <v>0</v>
      </c>
      <c r="O563" s="8">
        <f t="shared" si="90"/>
        <v>0</v>
      </c>
      <c r="Q563" s="48">
        <f t="shared" si="91"/>
        <v>0</v>
      </c>
      <c r="R563" s="8">
        <f t="shared" si="92"/>
        <v>0</v>
      </c>
      <c r="T563" s="48">
        <f t="shared" si="93"/>
        <v>0</v>
      </c>
      <c r="U563" s="8">
        <f t="shared" si="94"/>
        <v>0</v>
      </c>
      <c r="W563" s="48">
        <f t="shared" si="97"/>
        <v>0</v>
      </c>
      <c r="X563" s="8">
        <f t="shared" si="95"/>
        <v>0</v>
      </c>
    </row>
    <row r="564" spans="11:24" ht="13.2" hidden="1" x14ac:dyDescent="0.25">
      <c r="K564" s="3" t="str">
        <f t="shared" si="98"/>
        <v/>
      </c>
      <c r="L564" s="39">
        <v>532</v>
      </c>
      <c r="M564" s="3">
        <f t="shared" si="96"/>
        <v>44</v>
      </c>
      <c r="N564" s="44">
        <f t="shared" si="89"/>
        <v>0</v>
      </c>
      <c r="O564" s="8">
        <f t="shared" si="90"/>
        <v>0</v>
      </c>
      <c r="Q564" s="48">
        <f t="shared" si="91"/>
        <v>0</v>
      </c>
      <c r="R564" s="8">
        <f t="shared" si="92"/>
        <v>0</v>
      </c>
      <c r="T564" s="48">
        <f t="shared" si="93"/>
        <v>0</v>
      </c>
      <c r="U564" s="8">
        <f t="shared" si="94"/>
        <v>0</v>
      </c>
      <c r="W564" s="48">
        <f t="shared" si="97"/>
        <v>0</v>
      </c>
      <c r="X564" s="8">
        <f t="shared" si="95"/>
        <v>0</v>
      </c>
    </row>
    <row r="565" spans="11:24" ht="13.2" hidden="1" x14ac:dyDescent="0.25">
      <c r="K565" s="3" t="str">
        <f t="shared" si="98"/>
        <v/>
      </c>
      <c r="L565" s="39">
        <v>533</v>
      </c>
      <c r="M565" s="3">
        <f t="shared" si="96"/>
        <v>44</v>
      </c>
      <c r="N565" s="44">
        <f t="shared" si="89"/>
        <v>0</v>
      </c>
      <c r="O565" s="8">
        <f t="shared" si="90"/>
        <v>0</v>
      </c>
      <c r="Q565" s="48">
        <f t="shared" si="91"/>
        <v>0</v>
      </c>
      <c r="R565" s="8">
        <f t="shared" si="92"/>
        <v>0</v>
      </c>
      <c r="T565" s="48">
        <f t="shared" si="93"/>
        <v>0</v>
      </c>
      <c r="U565" s="8">
        <f t="shared" si="94"/>
        <v>0</v>
      </c>
      <c r="W565" s="48">
        <f t="shared" si="97"/>
        <v>0</v>
      </c>
      <c r="X565" s="8">
        <f t="shared" si="95"/>
        <v>0</v>
      </c>
    </row>
    <row r="566" spans="11:24" ht="13.2" hidden="1" x14ac:dyDescent="0.25">
      <c r="K566" s="3" t="str">
        <f t="shared" si="98"/>
        <v/>
      </c>
      <c r="L566" s="39">
        <v>534</v>
      </c>
      <c r="M566" s="3">
        <f t="shared" si="96"/>
        <v>44</v>
      </c>
      <c r="N566" s="44">
        <f t="shared" si="89"/>
        <v>0</v>
      </c>
      <c r="O566" s="8">
        <f t="shared" si="90"/>
        <v>0</v>
      </c>
      <c r="Q566" s="48">
        <f t="shared" si="91"/>
        <v>0</v>
      </c>
      <c r="R566" s="8">
        <f t="shared" si="92"/>
        <v>0</v>
      </c>
      <c r="T566" s="48">
        <f t="shared" si="93"/>
        <v>0</v>
      </c>
      <c r="U566" s="8">
        <f t="shared" si="94"/>
        <v>0</v>
      </c>
      <c r="W566" s="48">
        <f t="shared" si="97"/>
        <v>0</v>
      </c>
      <c r="X566" s="8">
        <f t="shared" si="95"/>
        <v>0</v>
      </c>
    </row>
    <row r="567" spans="11:24" ht="13.2" hidden="1" x14ac:dyDescent="0.25">
      <c r="K567" s="3" t="str">
        <f t="shared" si="98"/>
        <v/>
      </c>
      <c r="L567" s="39">
        <v>535</v>
      </c>
      <c r="M567" s="3">
        <f t="shared" si="96"/>
        <v>44</v>
      </c>
      <c r="N567" s="44">
        <f t="shared" si="89"/>
        <v>0</v>
      </c>
      <c r="O567" s="8">
        <f t="shared" si="90"/>
        <v>0</v>
      </c>
      <c r="Q567" s="48">
        <f t="shared" si="91"/>
        <v>0</v>
      </c>
      <c r="R567" s="8">
        <f t="shared" si="92"/>
        <v>0</v>
      </c>
      <c r="T567" s="48">
        <f t="shared" si="93"/>
        <v>0</v>
      </c>
      <c r="U567" s="8">
        <f t="shared" si="94"/>
        <v>0</v>
      </c>
      <c r="W567" s="48">
        <f t="shared" si="97"/>
        <v>0</v>
      </c>
      <c r="X567" s="8">
        <f t="shared" si="95"/>
        <v>0</v>
      </c>
    </row>
    <row r="568" spans="11:24" ht="13.2" hidden="1" x14ac:dyDescent="0.25">
      <c r="K568" s="3" t="str">
        <f t="shared" si="98"/>
        <v/>
      </c>
      <c r="L568" s="39">
        <v>536</v>
      </c>
      <c r="M568" s="3">
        <f t="shared" si="96"/>
        <v>44</v>
      </c>
      <c r="N568" s="44">
        <f t="shared" si="89"/>
        <v>0</v>
      </c>
      <c r="O568" s="8">
        <f t="shared" si="90"/>
        <v>0</v>
      </c>
      <c r="Q568" s="48">
        <f t="shared" si="91"/>
        <v>0</v>
      </c>
      <c r="R568" s="8">
        <f t="shared" si="92"/>
        <v>0</v>
      </c>
      <c r="T568" s="48">
        <f t="shared" si="93"/>
        <v>0</v>
      </c>
      <c r="U568" s="8">
        <f t="shared" si="94"/>
        <v>0</v>
      </c>
      <c r="W568" s="48">
        <f t="shared" si="97"/>
        <v>0</v>
      </c>
      <c r="X568" s="8">
        <f t="shared" si="95"/>
        <v>0</v>
      </c>
    </row>
    <row r="569" spans="11:24" ht="13.2" hidden="1" x14ac:dyDescent="0.25">
      <c r="K569" s="3" t="str">
        <f t="shared" si="98"/>
        <v/>
      </c>
      <c r="L569" s="39">
        <v>537</v>
      </c>
      <c r="M569" s="3">
        <f t="shared" si="96"/>
        <v>44</v>
      </c>
      <c r="N569" s="44">
        <f t="shared" si="89"/>
        <v>0</v>
      </c>
      <c r="O569" s="8">
        <f t="shared" si="90"/>
        <v>0</v>
      </c>
      <c r="Q569" s="48">
        <f t="shared" si="91"/>
        <v>0</v>
      </c>
      <c r="R569" s="8">
        <f t="shared" si="92"/>
        <v>0</v>
      </c>
      <c r="T569" s="48">
        <f t="shared" si="93"/>
        <v>0</v>
      </c>
      <c r="U569" s="8">
        <f t="shared" si="94"/>
        <v>0</v>
      </c>
      <c r="W569" s="48">
        <f t="shared" si="97"/>
        <v>0</v>
      </c>
      <c r="X569" s="8">
        <f t="shared" si="95"/>
        <v>0</v>
      </c>
    </row>
    <row r="570" spans="11:24" ht="13.2" hidden="1" x14ac:dyDescent="0.25">
      <c r="K570" s="3" t="str">
        <f t="shared" si="98"/>
        <v/>
      </c>
      <c r="L570" s="39">
        <v>538</v>
      </c>
      <c r="M570" s="3">
        <f t="shared" si="96"/>
        <v>44</v>
      </c>
      <c r="N570" s="44">
        <f t="shared" si="89"/>
        <v>0</v>
      </c>
      <c r="O570" s="8">
        <f t="shared" si="90"/>
        <v>0</v>
      </c>
      <c r="Q570" s="48">
        <f t="shared" si="91"/>
        <v>0</v>
      </c>
      <c r="R570" s="8">
        <f t="shared" si="92"/>
        <v>0</v>
      </c>
      <c r="T570" s="48">
        <f t="shared" si="93"/>
        <v>0</v>
      </c>
      <c r="U570" s="8">
        <f t="shared" si="94"/>
        <v>0</v>
      </c>
      <c r="W570" s="48">
        <f t="shared" si="97"/>
        <v>0</v>
      </c>
      <c r="X570" s="8">
        <f t="shared" si="95"/>
        <v>0</v>
      </c>
    </row>
    <row r="571" spans="11:24" ht="13.2" hidden="1" x14ac:dyDescent="0.25">
      <c r="K571" s="3" t="str">
        <f t="shared" si="98"/>
        <v/>
      </c>
      <c r="L571" s="39">
        <v>539</v>
      </c>
      <c r="M571" s="3">
        <f t="shared" si="96"/>
        <v>44</v>
      </c>
      <c r="N571" s="44">
        <f t="shared" si="89"/>
        <v>0</v>
      </c>
      <c r="O571" s="8">
        <f t="shared" si="90"/>
        <v>0</v>
      </c>
      <c r="Q571" s="48">
        <f t="shared" si="91"/>
        <v>0</v>
      </c>
      <c r="R571" s="8">
        <f t="shared" si="92"/>
        <v>0</v>
      </c>
      <c r="T571" s="48">
        <f t="shared" si="93"/>
        <v>0</v>
      </c>
      <c r="U571" s="8">
        <f t="shared" si="94"/>
        <v>0</v>
      </c>
      <c r="W571" s="48">
        <f t="shared" si="97"/>
        <v>0</v>
      </c>
      <c r="X571" s="8">
        <f t="shared" si="95"/>
        <v>0</v>
      </c>
    </row>
    <row r="572" spans="11:24" ht="13.2" hidden="1" x14ac:dyDescent="0.25">
      <c r="K572" s="3">
        <f t="shared" si="98"/>
        <v>45</v>
      </c>
      <c r="L572" s="39">
        <v>540</v>
      </c>
      <c r="M572" s="3">
        <f t="shared" si="96"/>
        <v>44</v>
      </c>
      <c r="N572" s="44">
        <f t="shared" si="89"/>
        <v>0</v>
      </c>
      <c r="O572" s="8">
        <f t="shared" si="90"/>
        <v>0</v>
      </c>
      <c r="Q572" s="48">
        <f t="shared" si="91"/>
        <v>0</v>
      </c>
      <c r="R572" s="8">
        <f t="shared" si="92"/>
        <v>0</v>
      </c>
      <c r="T572" s="48">
        <f t="shared" si="93"/>
        <v>0</v>
      </c>
      <c r="U572" s="8">
        <f t="shared" si="94"/>
        <v>0</v>
      </c>
      <c r="W572" s="48">
        <f t="shared" si="97"/>
        <v>0</v>
      </c>
      <c r="X572" s="8">
        <f t="shared" si="95"/>
        <v>0</v>
      </c>
    </row>
    <row r="573" spans="11:24" ht="13.2" hidden="1" x14ac:dyDescent="0.25">
      <c r="K573" s="3" t="str">
        <f t="shared" si="98"/>
        <v/>
      </c>
      <c r="L573" s="39">
        <v>541</v>
      </c>
      <c r="M573" s="3">
        <f t="shared" si="96"/>
        <v>45</v>
      </c>
      <c r="N573" s="44">
        <f t="shared" si="89"/>
        <v>0</v>
      </c>
      <c r="O573" s="8">
        <f t="shared" si="90"/>
        <v>0</v>
      </c>
      <c r="Q573" s="48">
        <f t="shared" si="91"/>
        <v>0</v>
      </c>
      <c r="R573" s="8">
        <f t="shared" si="92"/>
        <v>0</v>
      </c>
      <c r="T573" s="48">
        <f t="shared" si="93"/>
        <v>0</v>
      </c>
      <c r="U573" s="8">
        <f t="shared" si="94"/>
        <v>0</v>
      </c>
      <c r="W573" s="48">
        <f t="shared" si="97"/>
        <v>0</v>
      </c>
      <c r="X573" s="8">
        <f t="shared" si="95"/>
        <v>0</v>
      </c>
    </row>
    <row r="574" spans="11:24" ht="13.2" hidden="1" x14ac:dyDescent="0.25">
      <c r="K574" s="3" t="str">
        <f t="shared" si="98"/>
        <v/>
      </c>
      <c r="L574" s="39">
        <v>542</v>
      </c>
      <c r="M574" s="3">
        <f t="shared" si="96"/>
        <v>45</v>
      </c>
      <c r="N574" s="44">
        <f t="shared" si="89"/>
        <v>0</v>
      </c>
      <c r="O574" s="8">
        <f t="shared" si="90"/>
        <v>0</v>
      </c>
      <c r="Q574" s="48">
        <f t="shared" si="91"/>
        <v>0</v>
      </c>
      <c r="R574" s="8">
        <f t="shared" si="92"/>
        <v>0</v>
      </c>
      <c r="T574" s="48">
        <f t="shared" si="93"/>
        <v>0</v>
      </c>
      <c r="U574" s="8">
        <f t="shared" si="94"/>
        <v>0</v>
      </c>
      <c r="W574" s="48">
        <f t="shared" si="97"/>
        <v>0</v>
      </c>
      <c r="X574" s="8">
        <f t="shared" si="95"/>
        <v>0</v>
      </c>
    </row>
    <row r="575" spans="11:24" ht="13.2" hidden="1" x14ac:dyDescent="0.25">
      <c r="K575" s="3" t="str">
        <f t="shared" si="98"/>
        <v/>
      </c>
      <c r="L575" s="39">
        <v>543</v>
      </c>
      <c r="M575" s="3">
        <f t="shared" si="96"/>
        <v>45</v>
      </c>
      <c r="N575" s="44">
        <f t="shared" si="89"/>
        <v>0</v>
      </c>
      <c r="O575" s="8">
        <f t="shared" si="90"/>
        <v>0</v>
      </c>
      <c r="Q575" s="48">
        <f t="shared" si="91"/>
        <v>0</v>
      </c>
      <c r="R575" s="8">
        <f t="shared" si="92"/>
        <v>0</v>
      </c>
      <c r="T575" s="48">
        <f t="shared" si="93"/>
        <v>0</v>
      </c>
      <c r="U575" s="8">
        <f t="shared" si="94"/>
        <v>0</v>
      </c>
      <c r="W575" s="48">
        <f t="shared" si="97"/>
        <v>0</v>
      </c>
      <c r="X575" s="8">
        <f t="shared" si="95"/>
        <v>0</v>
      </c>
    </row>
    <row r="576" spans="11:24" ht="13.2" hidden="1" x14ac:dyDescent="0.25">
      <c r="K576" s="3" t="str">
        <f t="shared" si="98"/>
        <v/>
      </c>
      <c r="L576" s="39">
        <v>544</v>
      </c>
      <c r="M576" s="3">
        <f t="shared" si="96"/>
        <v>45</v>
      </c>
      <c r="N576" s="44">
        <f t="shared" si="89"/>
        <v>0</v>
      </c>
      <c r="O576" s="8">
        <f t="shared" si="90"/>
        <v>0</v>
      </c>
      <c r="Q576" s="48">
        <f t="shared" si="91"/>
        <v>0</v>
      </c>
      <c r="R576" s="8">
        <f t="shared" si="92"/>
        <v>0</v>
      </c>
      <c r="T576" s="48">
        <f t="shared" si="93"/>
        <v>0</v>
      </c>
      <c r="U576" s="8">
        <f t="shared" si="94"/>
        <v>0</v>
      </c>
      <c r="W576" s="48">
        <f t="shared" si="97"/>
        <v>0</v>
      </c>
      <c r="X576" s="8">
        <f t="shared" si="95"/>
        <v>0</v>
      </c>
    </row>
    <row r="577" spans="11:24" ht="13.2" hidden="1" x14ac:dyDescent="0.25">
      <c r="K577" s="3" t="str">
        <f t="shared" si="98"/>
        <v/>
      </c>
      <c r="L577" s="39">
        <v>545</v>
      </c>
      <c r="M577" s="3">
        <f t="shared" si="96"/>
        <v>45</v>
      </c>
      <c r="N577" s="44">
        <f t="shared" si="89"/>
        <v>0</v>
      </c>
      <c r="O577" s="8">
        <f t="shared" si="90"/>
        <v>0</v>
      </c>
      <c r="Q577" s="48">
        <f t="shared" si="91"/>
        <v>0</v>
      </c>
      <c r="R577" s="8">
        <f t="shared" si="92"/>
        <v>0</v>
      </c>
      <c r="T577" s="48">
        <f t="shared" si="93"/>
        <v>0</v>
      </c>
      <c r="U577" s="8">
        <f t="shared" si="94"/>
        <v>0</v>
      </c>
      <c r="W577" s="48">
        <f t="shared" si="97"/>
        <v>0</v>
      </c>
      <c r="X577" s="8">
        <f t="shared" si="95"/>
        <v>0</v>
      </c>
    </row>
    <row r="578" spans="11:24" ht="13.2" hidden="1" x14ac:dyDescent="0.25">
      <c r="K578" s="3" t="str">
        <f t="shared" si="98"/>
        <v/>
      </c>
      <c r="L578" s="39">
        <v>546</v>
      </c>
      <c r="M578" s="3">
        <f t="shared" si="96"/>
        <v>45</v>
      </c>
      <c r="N578" s="44">
        <f t="shared" si="89"/>
        <v>0</v>
      </c>
      <c r="O578" s="8">
        <f t="shared" si="90"/>
        <v>0</v>
      </c>
      <c r="Q578" s="48">
        <f t="shared" si="91"/>
        <v>0</v>
      </c>
      <c r="R578" s="8">
        <f t="shared" si="92"/>
        <v>0</v>
      </c>
      <c r="T578" s="48">
        <f t="shared" si="93"/>
        <v>0</v>
      </c>
      <c r="U578" s="8">
        <f t="shared" si="94"/>
        <v>0</v>
      </c>
      <c r="W578" s="48">
        <f t="shared" si="97"/>
        <v>0</v>
      </c>
      <c r="X578" s="8">
        <f t="shared" si="95"/>
        <v>0</v>
      </c>
    </row>
    <row r="579" spans="11:24" ht="13.2" hidden="1" x14ac:dyDescent="0.25">
      <c r="K579" s="3" t="str">
        <f t="shared" si="98"/>
        <v/>
      </c>
      <c r="L579" s="39">
        <v>547</v>
      </c>
      <c r="M579" s="3">
        <f t="shared" si="96"/>
        <v>45</v>
      </c>
      <c r="N579" s="44">
        <f t="shared" si="89"/>
        <v>0</v>
      </c>
      <c r="O579" s="8">
        <f t="shared" si="90"/>
        <v>0</v>
      </c>
      <c r="Q579" s="48">
        <f t="shared" si="91"/>
        <v>0</v>
      </c>
      <c r="R579" s="8">
        <f t="shared" si="92"/>
        <v>0</v>
      </c>
      <c r="T579" s="48">
        <f t="shared" si="93"/>
        <v>0</v>
      </c>
      <c r="U579" s="8">
        <f t="shared" si="94"/>
        <v>0</v>
      </c>
      <c r="W579" s="48">
        <f t="shared" si="97"/>
        <v>0</v>
      </c>
      <c r="X579" s="8">
        <f t="shared" si="95"/>
        <v>0</v>
      </c>
    </row>
    <row r="580" spans="11:24" ht="13.2" hidden="1" x14ac:dyDescent="0.25">
      <c r="K580" s="3" t="str">
        <f t="shared" si="98"/>
        <v/>
      </c>
      <c r="L580" s="39">
        <v>548</v>
      </c>
      <c r="M580" s="3">
        <f t="shared" si="96"/>
        <v>45</v>
      </c>
      <c r="N580" s="44">
        <f t="shared" si="89"/>
        <v>0</v>
      </c>
      <c r="O580" s="8">
        <f t="shared" si="90"/>
        <v>0</v>
      </c>
      <c r="Q580" s="48">
        <f t="shared" si="91"/>
        <v>0</v>
      </c>
      <c r="R580" s="8">
        <f t="shared" si="92"/>
        <v>0</v>
      </c>
      <c r="T580" s="48">
        <f t="shared" si="93"/>
        <v>0</v>
      </c>
      <c r="U580" s="8">
        <f t="shared" si="94"/>
        <v>0</v>
      </c>
      <c r="W580" s="48">
        <f t="shared" si="97"/>
        <v>0</v>
      </c>
      <c r="X580" s="8">
        <f t="shared" si="95"/>
        <v>0</v>
      </c>
    </row>
    <row r="581" spans="11:24" ht="13.2" hidden="1" x14ac:dyDescent="0.25">
      <c r="K581" s="3" t="str">
        <f t="shared" si="98"/>
        <v/>
      </c>
      <c r="L581" s="39">
        <v>549</v>
      </c>
      <c r="M581" s="3">
        <f t="shared" si="96"/>
        <v>45</v>
      </c>
      <c r="N581" s="44">
        <f t="shared" si="89"/>
        <v>0</v>
      </c>
      <c r="O581" s="8">
        <f t="shared" si="90"/>
        <v>0</v>
      </c>
      <c r="Q581" s="48">
        <f t="shared" si="91"/>
        <v>0</v>
      </c>
      <c r="R581" s="8">
        <f t="shared" si="92"/>
        <v>0</v>
      </c>
      <c r="T581" s="48">
        <f t="shared" si="93"/>
        <v>0</v>
      </c>
      <c r="U581" s="8">
        <f t="shared" si="94"/>
        <v>0</v>
      </c>
      <c r="W581" s="48">
        <f t="shared" si="97"/>
        <v>0</v>
      </c>
      <c r="X581" s="8">
        <f t="shared" si="95"/>
        <v>0</v>
      </c>
    </row>
    <row r="582" spans="11:24" ht="13.2" hidden="1" x14ac:dyDescent="0.25">
      <c r="K582" s="3" t="str">
        <f t="shared" si="98"/>
        <v/>
      </c>
      <c r="L582" s="39">
        <v>550</v>
      </c>
      <c r="M582" s="3">
        <f t="shared" si="96"/>
        <v>45</v>
      </c>
      <c r="N582" s="44">
        <f t="shared" si="89"/>
        <v>0</v>
      </c>
      <c r="O582" s="8">
        <f t="shared" si="90"/>
        <v>0</v>
      </c>
      <c r="Q582" s="48">
        <f t="shared" si="91"/>
        <v>0</v>
      </c>
      <c r="R582" s="8">
        <f t="shared" si="92"/>
        <v>0</v>
      </c>
      <c r="T582" s="48">
        <f t="shared" si="93"/>
        <v>0</v>
      </c>
      <c r="U582" s="8">
        <f t="shared" si="94"/>
        <v>0</v>
      </c>
      <c r="W582" s="48">
        <f t="shared" si="97"/>
        <v>0</v>
      </c>
      <c r="X582" s="8">
        <f t="shared" si="95"/>
        <v>0</v>
      </c>
    </row>
    <row r="583" spans="11:24" ht="13.2" hidden="1" x14ac:dyDescent="0.25">
      <c r="K583" s="3" t="str">
        <f t="shared" si="98"/>
        <v/>
      </c>
      <c r="L583" s="39">
        <v>551</v>
      </c>
      <c r="M583" s="3">
        <f t="shared" si="96"/>
        <v>45</v>
      </c>
      <c r="N583" s="44">
        <f t="shared" si="89"/>
        <v>0</v>
      </c>
      <c r="O583" s="8">
        <f t="shared" si="90"/>
        <v>0</v>
      </c>
      <c r="Q583" s="48">
        <f t="shared" si="91"/>
        <v>0</v>
      </c>
      <c r="R583" s="8">
        <f t="shared" si="92"/>
        <v>0</v>
      </c>
      <c r="T583" s="48">
        <f t="shared" si="93"/>
        <v>0</v>
      </c>
      <c r="U583" s="8">
        <f t="shared" si="94"/>
        <v>0</v>
      </c>
      <c r="W583" s="48">
        <f t="shared" si="97"/>
        <v>0</v>
      </c>
      <c r="X583" s="8">
        <f t="shared" si="95"/>
        <v>0</v>
      </c>
    </row>
    <row r="584" spans="11:24" ht="13.2" hidden="1" x14ac:dyDescent="0.25">
      <c r="K584" s="3">
        <f t="shared" si="98"/>
        <v>46</v>
      </c>
      <c r="L584" s="39">
        <v>552</v>
      </c>
      <c r="M584" s="3">
        <f t="shared" si="96"/>
        <v>45</v>
      </c>
      <c r="N584" s="44">
        <f t="shared" si="89"/>
        <v>0</v>
      </c>
      <c r="O584" s="8">
        <f t="shared" si="90"/>
        <v>0</v>
      </c>
      <c r="Q584" s="48">
        <f t="shared" si="91"/>
        <v>0</v>
      </c>
      <c r="R584" s="8">
        <f t="shared" si="92"/>
        <v>0</v>
      </c>
      <c r="T584" s="48">
        <f t="shared" si="93"/>
        <v>0</v>
      </c>
      <c r="U584" s="8">
        <f t="shared" si="94"/>
        <v>0</v>
      </c>
      <c r="W584" s="48">
        <f t="shared" si="97"/>
        <v>0</v>
      </c>
      <c r="X584" s="8">
        <f t="shared" si="95"/>
        <v>0</v>
      </c>
    </row>
    <row r="585" spans="11:24" ht="13.2" hidden="1" x14ac:dyDescent="0.25">
      <c r="K585" s="3" t="str">
        <f t="shared" si="98"/>
        <v/>
      </c>
      <c r="L585" s="39">
        <v>553</v>
      </c>
      <c r="M585" s="3">
        <f t="shared" si="96"/>
        <v>46</v>
      </c>
      <c r="N585" s="44">
        <f t="shared" si="89"/>
        <v>0</v>
      </c>
      <c r="O585" s="8">
        <f t="shared" si="90"/>
        <v>0</v>
      </c>
      <c r="Q585" s="48">
        <f t="shared" si="91"/>
        <v>0</v>
      </c>
      <c r="R585" s="8">
        <f t="shared" si="92"/>
        <v>0</v>
      </c>
      <c r="T585" s="48">
        <f t="shared" si="93"/>
        <v>0</v>
      </c>
      <c r="U585" s="8">
        <f t="shared" si="94"/>
        <v>0</v>
      </c>
      <c r="W585" s="48">
        <f t="shared" si="97"/>
        <v>0</v>
      </c>
      <c r="X585" s="8">
        <f t="shared" si="95"/>
        <v>0</v>
      </c>
    </row>
    <row r="586" spans="11:24" ht="13.2" hidden="1" x14ac:dyDescent="0.25">
      <c r="K586" s="3" t="str">
        <f t="shared" si="98"/>
        <v/>
      </c>
      <c r="L586" s="39">
        <v>554</v>
      </c>
      <c r="M586" s="3">
        <f t="shared" si="96"/>
        <v>46</v>
      </c>
      <c r="N586" s="44">
        <f t="shared" si="89"/>
        <v>0</v>
      </c>
      <c r="O586" s="8">
        <f t="shared" si="90"/>
        <v>0</v>
      </c>
      <c r="Q586" s="48">
        <f t="shared" si="91"/>
        <v>0</v>
      </c>
      <c r="R586" s="8">
        <f t="shared" si="92"/>
        <v>0</v>
      </c>
      <c r="T586" s="48">
        <f t="shared" si="93"/>
        <v>0</v>
      </c>
      <c r="U586" s="8">
        <f t="shared" si="94"/>
        <v>0</v>
      </c>
      <c r="W586" s="48">
        <f t="shared" si="97"/>
        <v>0</v>
      </c>
      <c r="X586" s="8">
        <f t="shared" si="95"/>
        <v>0</v>
      </c>
    </row>
    <row r="587" spans="11:24" ht="13.2" hidden="1" x14ac:dyDescent="0.25">
      <c r="K587" s="3" t="str">
        <f t="shared" si="98"/>
        <v/>
      </c>
      <c r="L587" s="39">
        <v>555</v>
      </c>
      <c r="M587" s="3">
        <f t="shared" si="96"/>
        <v>46</v>
      </c>
      <c r="N587" s="44">
        <f t="shared" si="89"/>
        <v>0</v>
      </c>
      <c r="O587" s="8">
        <f t="shared" si="90"/>
        <v>0</v>
      </c>
      <c r="Q587" s="48">
        <f t="shared" si="91"/>
        <v>0</v>
      </c>
      <c r="R587" s="8">
        <f t="shared" si="92"/>
        <v>0</v>
      </c>
      <c r="T587" s="48">
        <f t="shared" si="93"/>
        <v>0</v>
      </c>
      <c r="U587" s="8">
        <f t="shared" si="94"/>
        <v>0</v>
      </c>
      <c r="W587" s="48">
        <f t="shared" si="97"/>
        <v>0</v>
      </c>
      <c r="X587" s="8">
        <f t="shared" si="95"/>
        <v>0</v>
      </c>
    </row>
    <row r="588" spans="11:24" ht="13.2" hidden="1" x14ac:dyDescent="0.25">
      <c r="K588" s="3" t="str">
        <f t="shared" si="98"/>
        <v/>
      </c>
      <c r="L588" s="39">
        <v>556</v>
      </c>
      <c r="M588" s="3">
        <f t="shared" si="96"/>
        <v>46</v>
      </c>
      <c r="N588" s="44">
        <f t="shared" si="89"/>
        <v>0</v>
      </c>
      <c r="O588" s="8">
        <f t="shared" si="90"/>
        <v>0</v>
      </c>
      <c r="Q588" s="48">
        <f t="shared" si="91"/>
        <v>0</v>
      </c>
      <c r="R588" s="8">
        <f t="shared" si="92"/>
        <v>0</v>
      </c>
      <c r="T588" s="48">
        <f t="shared" si="93"/>
        <v>0</v>
      </c>
      <c r="U588" s="8">
        <f t="shared" si="94"/>
        <v>0</v>
      </c>
      <c r="W588" s="48">
        <f t="shared" si="97"/>
        <v>0</v>
      </c>
      <c r="X588" s="8">
        <f t="shared" si="95"/>
        <v>0</v>
      </c>
    </row>
    <row r="589" spans="11:24" ht="13.2" hidden="1" x14ac:dyDescent="0.25">
      <c r="K589" s="3" t="str">
        <f t="shared" si="98"/>
        <v/>
      </c>
      <c r="L589" s="39">
        <v>557</v>
      </c>
      <c r="M589" s="3">
        <f t="shared" si="96"/>
        <v>46</v>
      </c>
      <c r="N589" s="44">
        <f t="shared" si="89"/>
        <v>0</v>
      </c>
      <c r="O589" s="8">
        <f t="shared" si="90"/>
        <v>0</v>
      </c>
      <c r="Q589" s="48">
        <f t="shared" si="91"/>
        <v>0</v>
      </c>
      <c r="R589" s="8">
        <f t="shared" si="92"/>
        <v>0</v>
      </c>
      <c r="T589" s="48">
        <f t="shared" si="93"/>
        <v>0</v>
      </c>
      <c r="U589" s="8">
        <f t="shared" si="94"/>
        <v>0</v>
      </c>
      <c r="W589" s="48">
        <f t="shared" si="97"/>
        <v>0</v>
      </c>
      <c r="X589" s="8">
        <f t="shared" si="95"/>
        <v>0</v>
      </c>
    </row>
    <row r="590" spans="11:24" ht="13.2" hidden="1" x14ac:dyDescent="0.25">
      <c r="K590" s="3" t="str">
        <f t="shared" si="98"/>
        <v/>
      </c>
      <c r="L590" s="39">
        <v>558</v>
      </c>
      <c r="M590" s="3">
        <f t="shared" si="96"/>
        <v>46</v>
      </c>
      <c r="N590" s="44">
        <f t="shared" si="89"/>
        <v>0</v>
      </c>
      <c r="O590" s="8">
        <f t="shared" si="90"/>
        <v>0</v>
      </c>
      <c r="Q590" s="48">
        <f t="shared" si="91"/>
        <v>0</v>
      </c>
      <c r="R590" s="8">
        <f t="shared" si="92"/>
        <v>0</v>
      </c>
      <c r="T590" s="48">
        <f t="shared" si="93"/>
        <v>0</v>
      </c>
      <c r="U590" s="8">
        <f t="shared" si="94"/>
        <v>0</v>
      </c>
      <c r="W590" s="48">
        <f t="shared" si="97"/>
        <v>0</v>
      </c>
      <c r="X590" s="8">
        <f t="shared" si="95"/>
        <v>0</v>
      </c>
    </row>
    <row r="591" spans="11:24" ht="13.2" hidden="1" x14ac:dyDescent="0.25">
      <c r="K591" s="3" t="str">
        <f t="shared" si="98"/>
        <v/>
      </c>
      <c r="L591" s="39">
        <v>559</v>
      </c>
      <c r="M591" s="3">
        <f t="shared" si="96"/>
        <v>46</v>
      </c>
      <c r="N591" s="44">
        <f t="shared" si="89"/>
        <v>0</v>
      </c>
      <c r="O591" s="8">
        <f t="shared" si="90"/>
        <v>0</v>
      </c>
      <c r="Q591" s="48">
        <f t="shared" si="91"/>
        <v>0</v>
      </c>
      <c r="R591" s="8">
        <f t="shared" si="92"/>
        <v>0</v>
      </c>
      <c r="T591" s="48">
        <f t="shared" si="93"/>
        <v>0</v>
      </c>
      <c r="U591" s="8">
        <f t="shared" si="94"/>
        <v>0</v>
      </c>
      <c r="W591" s="48">
        <f t="shared" si="97"/>
        <v>0</v>
      </c>
      <c r="X591" s="8">
        <f t="shared" si="95"/>
        <v>0</v>
      </c>
    </row>
    <row r="592" spans="11:24" ht="13.2" hidden="1" x14ac:dyDescent="0.25">
      <c r="K592" s="3" t="str">
        <f t="shared" si="98"/>
        <v/>
      </c>
      <c r="L592" s="39">
        <v>560</v>
      </c>
      <c r="M592" s="3">
        <f t="shared" si="96"/>
        <v>46</v>
      </c>
      <c r="N592" s="44">
        <f t="shared" si="89"/>
        <v>0</v>
      </c>
      <c r="O592" s="8">
        <f t="shared" si="90"/>
        <v>0</v>
      </c>
      <c r="Q592" s="48">
        <f t="shared" si="91"/>
        <v>0</v>
      </c>
      <c r="R592" s="8">
        <f t="shared" si="92"/>
        <v>0</v>
      </c>
      <c r="T592" s="48">
        <f t="shared" si="93"/>
        <v>0</v>
      </c>
      <c r="U592" s="8">
        <f t="shared" si="94"/>
        <v>0</v>
      </c>
      <c r="W592" s="48">
        <f t="shared" si="97"/>
        <v>0</v>
      </c>
      <c r="X592" s="8">
        <f t="shared" si="95"/>
        <v>0</v>
      </c>
    </row>
    <row r="593" spans="11:24" ht="13.2" hidden="1" x14ac:dyDescent="0.25">
      <c r="K593" s="3" t="str">
        <f t="shared" si="98"/>
        <v/>
      </c>
      <c r="L593" s="39">
        <v>561</v>
      </c>
      <c r="M593" s="3">
        <f t="shared" si="96"/>
        <v>46</v>
      </c>
      <c r="N593" s="44">
        <f t="shared" si="89"/>
        <v>0</v>
      </c>
      <c r="O593" s="8">
        <f t="shared" si="90"/>
        <v>0</v>
      </c>
      <c r="Q593" s="48">
        <f t="shared" si="91"/>
        <v>0</v>
      </c>
      <c r="R593" s="8">
        <f t="shared" si="92"/>
        <v>0</v>
      </c>
      <c r="T593" s="48">
        <f t="shared" si="93"/>
        <v>0</v>
      </c>
      <c r="U593" s="8">
        <f t="shared" si="94"/>
        <v>0</v>
      </c>
      <c r="W593" s="48">
        <f t="shared" si="97"/>
        <v>0</v>
      </c>
      <c r="X593" s="8">
        <f t="shared" si="95"/>
        <v>0</v>
      </c>
    </row>
    <row r="594" spans="11:24" ht="13.2" hidden="1" x14ac:dyDescent="0.25">
      <c r="K594" s="3" t="str">
        <f t="shared" si="98"/>
        <v/>
      </c>
      <c r="L594" s="39">
        <v>562</v>
      </c>
      <c r="M594" s="3">
        <f t="shared" si="96"/>
        <v>46</v>
      </c>
      <c r="N594" s="44">
        <f t="shared" si="89"/>
        <v>0</v>
      </c>
      <c r="O594" s="8">
        <f t="shared" si="90"/>
        <v>0</v>
      </c>
      <c r="Q594" s="48">
        <f t="shared" si="91"/>
        <v>0</v>
      </c>
      <c r="R594" s="8">
        <f t="shared" si="92"/>
        <v>0</v>
      </c>
      <c r="T594" s="48">
        <f t="shared" si="93"/>
        <v>0</v>
      </c>
      <c r="U594" s="8">
        <f t="shared" si="94"/>
        <v>0</v>
      </c>
      <c r="W594" s="48">
        <f t="shared" si="97"/>
        <v>0</v>
      </c>
      <c r="X594" s="8">
        <f t="shared" si="95"/>
        <v>0</v>
      </c>
    </row>
    <row r="595" spans="11:24" ht="13.2" hidden="1" x14ac:dyDescent="0.25">
      <c r="K595" s="3" t="str">
        <f t="shared" si="98"/>
        <v/>
      </c>
      <c r="L595" s="39">
        <v>563</v>
      </c>
      <c r="M595" s="3">
        <f t="shared" si="96"/>
        <v>46</v>
      </c>
      <c r="N595" s="44">
        <f t="shared" si="89"/>
        <v>0</v>
      </c>
      <c r="O595" s="8">
        <f t="shared" si="90"/>
        <v>0</v>
      </c>
      <c r="Q595" s="48">
        <f t="shared" si="91"/>
        <v>0</v>
      </c>
      <c r="R595" s="8">
        <f t="shared" si="92"/>
        <v>0</v>
      </c>
      <c r="T595" s="48">
        <f t="shared" si="93"/>
        <v>0</v>
      </c>
      <c r="U595" s="8">
        <f t="shared" si="94"/>
        <v>0</v>
      </c>
      <c r="W595" s="48">
        <f t="shared" si="97"/>
        <v>0</v>
      </c>
      <c r="X595" s="8">
        <f t="shared" si="95"/>
        <v>0</v>
      </c>
    </row>
    <row r="596" spans="11:24" ht="13.2" hidden="1" x14ac:dyDescent="0.25">
      <c r="K596" s="3">
        <f t="shared" si="98"/>
        <v>47</v>
      </c>
      <c r="L596" s="39">
        <v>564</v>
      </c>
      <c r="M596" s="3">
        <f t="shared" si="96"/>
        <v>46</v>
      </c>
      <c r="N596" s="44">
        <f t="shared" si="89"/>
        <v>0</v>
      </c>
      <c r="O596" s="8">
        <f t="shared" si="90"/>
        <v>0</v>
      </c>
      <c r="Q596" s="48">
        <f t="shared" si="91"/>
        <v>0</v>
      </c>
      <c r="R596" s="8">
        <f t="shared" si="92"/>
        <v>0</v>
      </c>
      <c r="T596" s="48">
        <f t="shared" si="93"/>
        <v>0</v>
      </c>
      <c r="U596" s="8">
        <f t="shared" si="94"/>
        <v>0</v>
      </c>
      <c r="W596" s="48">
        <f t="shared" si="97"/>
        <v>0</v>
      </c>
      <c r="X596" s="8">
        <f t="shared" si="95"/>
        <v>0</v>
      </c>
    </row>
    <row r="597" spans="11:24" ht="13.2" hidden="1" x14ac:dyDescent="0.25">
      <c r="K597" s="3" t="str">
        <f t="shared" si="98"/>
        <v/>
      </c>
      <c r="L597" s="39">
        <v>565</v>
      </c>
      <c r="M597" s="3">
        <f t="shared" si="96"/>
        <v>47</v>
      </c>
      <c r="N597" s="44">
        <f t="shared" si="89"/>
        <v>0</v>
      </c>
      <c r="O597" s="8">
        <f t="shared" si="90"/>
        <v>0</v>
      </c>
      <c r="Q597" s="48">
        <f t="shared" si="91"/>
        <v>0</v>
      </c>
      <c r="R597" s="8">
        <f t="shared" si="92"/>
        <v>0</v>
      </c>
      <c r="T597" s="48">
        <f t="shared" si="93"/>
        <v>0</v>
      </c>
      <c r="U597" s="8">
        <f t="shared" si="94"/>
        <v>0</v>
      </c>
      <c r="W597" s="48">
        <f t="shared" si="97"/>
        <v>0</v>
      </c>
      <c r="X597" s="8">
        <f t="shared" si="95"/>
        <v>0</v>
      </c>
    </row>
    <row r="598" spans="11:24" ht="13.2" hidden="1" x14ac:dyDescent="0.25">
      <c r="K598" s="3" t="str">
        <f t="shared" si="98"/>
        <v/>
      </c>
      <c r="L598" s="39">
        <v>566</v>
      </c>
      <c r="M598" s="3">
        <f t="shared" si="96"/>
        <v>47</v>
      </c>
      <c r="N598" s="44">
        <f t="shared" si="89"/>
        <v>0</v>
      </c>
      <c r="O598" s="8">
        <f t="shared" si="90"/>
        <v>0</v>
      </c>
      <c r="Q598" s="48">
        <f t="shared" si="91"/>
        <v>0</v>
      </c>
      <c r="R598" s="8">
        <f t="shared" si="92"/>
        <v>0</v>
      </c>
      <c r="T598" s="48">
        <f t="shared" si="93"/>
        <v>0</v>
      </c>
      <c r="U598" s="8">
        <f t="shared" si="94"/>
        <v>0</v>
      </c>
      <c r="W598" s="48">
        <f t="shared" si="97"/>
        <v>0</v>
      </c>
      <c r="X598" s="8">
        <f t="shared" si="95"/>
        <v>0</v>
      </c>
    </row>
    <row r="599" spans="11:24" ht="13.2" hidden="1" x14ac:dyDescent="0.25">
      <c r="K599" s="3" t="str">
        <f t="shared" si="98"/>
        <v/>
      </c>
      <c r="L599" s="39">
        <v>567</v>
      </c>
      <c r="M599" s="3">
        <f t="shared" si="96"/>
        <v>47</v>
      </c>
      <c r="N599" s="44">
        <f t="shared" si="89"/>
        <v>0</v>
      </c>
      <c r="O599" s="8">
        <f t="shared" si="90"/>
        <v>0</v>
      </c>
      <c r="Q599" s="48">
        <f t="shared" si="91"/>
        <v>0</v>
      </c>
      <c r="R599" s="8">
        <f t="shared" si="92"/>
        <v>0</v>
      </c>
      <c r="T599" s="48">
        <f t="shared" si="93"/>
        <v>0</v>
      </c>
      <c r="U599" s="8">
        <f t="shared" si="94"/>
        <v>0</v>
      </c>
      <c r="W599" s="48">
        <f t="shared" si="97"/>
        <v>0</v>
      </c>
      <c r="X599" s="8">
        <f t="shared" si="95"/>
        <v>0</v>
      </c>
    </row>
    <row r="600" spans="11:24" ht="13.2" hidden="1" x14ac:dyDescent="0.25">
      <c r="K600" s="3" t="str">
        <f t="shared" si="98"/>
        <v/>
      </c>
      <c r="L600" s="39">
        <v>568</v>
      </c>
      <c r="M600" s="3">
        <f t="shared" si="96"/>
        <v>47</v>
      </c>
      <c r="N600" s="44">
        <f t="shared" si="89"/>
        <v>0</v>
      </c>
      <c r="O600" s="8">
        <f t="shared" si="90"/>
        <v>0</v>
      </c>
      <c r="Q600" s="48">
        <f t="shared" si="91"/>
        <v>0</v>
      </c>
      <c r="R600" s="8">
        <f t="shared" si="92"/>
        <v>0</v>
      </c>
      <c r="T600" s="48">
        <f t="shared" si="93"/>
        <v>0</v>
      </c>
      <c r="U600" s="8">
        <f t="shared" si="94"/>
        <v>0</v>
      </c>
      <c r="W600" s="48">
        <f t="shared" si="97"/>
        <v>0</v>
      </c>
      <c r="X600" s="8">
        <f t="shared" si="95"/>
        <v>0</v>
      </c>
    </row>
    <row r="601" spans="11:24" ht="13.2" hidden="1" x14ac:dyDescent="0.25">
      <c r="K601" s="3" t="str">
        <f t="shared" si="98"/>
        <v/>
      </c>
      <c r="L601" s="39">
        <v>569</v>
      </c>
      <c r="M601" s="3">
        <f t="shared" si="96"/>
        <v>47</v>
      </c>
      <c r="N601" s="44">
        <f t="shared" si="89"/>
        <v>0</v>
      </c>
      <c r="O601" s="8">
        <f t="shared" si="90"/>
        <v>0</v>
      </c>
      <c r="Q601" s="48">
        <f t="shared" si="91"/>
        <v>0</v>
      </c>
      <c r="R601" s="8">
        <f t="shared" si="92"/>
        <v>0</v>
      </c>
      <c r="T601" s="48">
        <f t="shared" si="93"/>
        <v>0</v>
      </c>
      <c r="U601" s="8">
        <f t="shared" si="94"/>
        <v>0</v>
      </c>
      <c r="W601" s="48">
        <f t="shared" si="97"/>
        <v>0</v>
      </c>
      <c r="X601" s="8">
        <f t="shared" si="95"/>
        <v>0</v>
      </c>
    </row>
    <row r="602" spans="11:24" ht="13.2" hidden="1" x14ac:dyDescent="0.25">
      <c r="K602" s="3" t="str">
        <f t="shared" si="98"/>
        <v/>
      </c>
      <c r="L602" s="39">
        <v>570</v>
      </c>
      <c r="M602" s="3">
        <f t="shared" si="96"/>
        <v>47</v>
      </c>
      <c r="N602" s="44">
        <f t="shared" si="89"/>
        <v>0</v>
      </c>
      <c r="O602" s="8">
        <f t="shared" si="90"/>
        <v>0</v>
      </c>
      <c r="Q602" s="48">
        <f t="shared" si="91"/>
        <v>0</v>
      </c>
      <c r="R602" s="8">
        <f t="shared" si="92"/>
        <v>0</v>
      </c>
      <c r="T602" s="48">
        <f t="shared" si="93"/>
        <v>0</v>
      </c>
      <c r="U602" s="8">
        <f t="shared" si="94"/>
        <v>0</v>
      </c>
      <c r="W602" s="48">
        <f t="shared" si="97"/>
        <v>0</v>
      </c>
      <c r="X602" s="8">
        <f t="shared" si="95"/>
        <v>0</v>
      </c>
    </row>
    <row r="603" spans="11:24" ht="13.2" hidden="1" x14ac:dyDescent="0.25">
      <c r="K603" s="3" t="str">
        <f t="shared" si="98"/>
        <v/>
      </c>
      <c r="L603" s="39">
        <v>571</v>
      </c>
      <c r="M603" s="3">
        <f t="shared" si="96"/>
        <v>47</v>
      </c>
      <c r="N603" s="44">
        <f t="shared" si="89"/>
        <v>0</v>
      </c>
      <c r="O603" s="8">
        <f t="shared" si="90"/>
        <v>0</v>
      </c>
      <c r="Q603" s="48">
        <f t="shared" si="91"/>
        <v>0</v>
      </c>
      <c r="R603" s="8">
        <f t="shared" si="92"/>
        <v>0</v>
      </c>
      <c r="T603" s="48">
        <f t="shared" si="93"/>
        <v>0</v>
      </c>
      <c r="U603" s="8">
        <f t="shared" si="94"/>
        <v>0</v>
      </c>
      <c r="W603" s="48">
        <f t="shared" si="97"/>
        <v>0</v>
      </c>
      <c r="X603" s="8">
        <f t="shared" si="95"/>
        <v>0</v>
      </c>
    </row>
    <row r="604" spans="11:24" ht="13.2" hidden="1" x14ac:dyDescent="0.25">
      <c r="K604" s="3" t="str">
        <f t="shared" si="98"/>
        <v/>
      </c>
      <c r="L604" s="39">
        <v>572</v>
      </c>
      <c r="M604" s="3">
        <f t="shared" si="96"/>
        <v>47</v>
      </c>
      <c r="N604" s="44">
        <f t="shared" si="89"/>
        <v>0</v>
      </c>
      <c r="O604" s="8">
        <f t="shared" si="90"/>
        <v>0</v>
      </c>
      <c r="Q604" s="48">
        <f t="shared" si="91"/>
        <v>0</v>
      </c>
      <c r="R604" s="8">
        <f t="shared" si="92"/>
        <v>0</v>
      </c>
      <c r="T604" s="48">
        <f t="shared" si="93"/>
        <v>0</v>
      </c>
      <c r="U604" s="8">
        <f t="shared" si="94"/>
        <v>0</v>
      </c>
      <c r="W604" s="48">
        <f t="shared" si="97"/>
        <v>0</v>
      </c>
      <c r="X604" s="8">
        <f t="shared" si="95"/>
        <v>0</v>
      </c>
    </row>
    <row r="605" spans="11:24" ht="13.2" hidden="1" x14ac:dyDescent="0.25">
      <c r="K605" s="3" t="str">
        <f t="shared" si="98"/>
        <v/>
      </c>
      <c r="L605" s="39">
        <v>573</v>
      </c>
      <c r="M605" s="3">
        <f t="shared" si="96"/>
        <v>47</v>
      </c>
      <c r="N605" s="44">
        <f t="shared" si="89"/>
        <v>0</v>
      </c>
      <c r="O605" s="8">
        <f t="shared" si="90"/>
        <v>0</v>
      </c>
      <c r="Q605" s="48">
        <f t="shared" si="91"/>
        <v>0</v>
      </c>
      <c r="R605" s="8">
        <f t="shared" si="92"/>
        <v>0</v>
      </c>
      <c r="T605" s="48">
        <f t="shared" si="93"/>
        <v>0</v>
      </c>
      <c r="U605" s="8">
        <f t="shared" si="94"/>
        <v>0</v>
      </c>
      <c r="W605" s="48">
        <f t="shared" si="97"/>
        <v>0</v>
      </c>
      <c r="X605" s="8">
        <f t="shared" si="95"/>
        <v>0</v>
      </c>
    </row>
    <row r="606" spans="11:24" ht="13.2" hidden="1" x14ac:dyDescent="0.25">
      <c r="K606" s="3" t="str">
        <f t="shared" si="98"/>
        <v/>
      </c>
      <c r="L606" s="39">
        <v>574</v>
      </c>
      <c r="M606" s="3">
        <f t="shared" si="96"/>
        <v>47</v>
      </c>
      <c r="N606" s="44">
        <f t="shared" si="89"/>
        <v>0</v>
      </c>
      <c r="O606" s="8">
        <f t="shared" si="90"/>
        <v>0</v>
      </c>
      <c r="Q606" s="48">
        <f t="shared" si="91"/>
        <v>0</v>
      </c>
      <c r="R606" s="8">
        <f t="shared" si="92"/>
        <v>0</v>
      </c>
      <c r="T606" s="48">
        <f t="shared" si="93"/>
        <v>0</v>
      </c>
      <c r="U606" s="8">
        <f t="shared" si="94"/>
        <v>0</v>
      </c>
      <c r="W606" s="48">
        <f t="shared" si="97"/>
        <v>0</v>
      </c>
      <c r="X606" s="8">
        <f t="shared" si="95"/>
        <v>0</v>
      </c>
    </row>
    <row r="607" spans="11:24" ht="13.2" hidden="1" x14ac:dyDescent="0.25">
      <c r="K607" s="3" t="str">
        <f t="shared" si="98"/>
        <v/>
      </c>
      <c r="L607" s="39">
        <v>575</v>
      </c>
      <c r="M607" s="3">
        <f t="shared" si="96"/>
        <v>47</v>
      </c>
      <c r="N607" s="44">
        <f t="shared" si="89"/>
        <v>0</v>
      </c>
      <c r="O607" s="8">
        <f t="shared" si="90"/>
        <v>0</v>
      </c>
      <c r="Q607" s="48">
        <f t="shared" si="91"/>
        <v>0</v>
      </c>
      <c r="R607" s="8">
        <f t="shared" si="92"/>
        <v>0</v>
      </c>
      <c r="T607" s="48">
        <f t="shared" si="93"/>
        <v>0</v>
      </c>
      <c r="U607" s="8">
        <f t="shared" si="94"/>
        <v>0</v>
      </c>
      <c r="W607" s="48">
        <f t="shared" si="97"/>
        <v>0</v>
      </c>
      <c r="X607" s="8">
        <f t="shared" si="95"/>
        <v>0</v>
      </c>
    </row>
    <row r="608" spans="11:24" ht="13.2" hidden="1" x14ac:dyDescent="0.25">
      <c r="K608" s="3">
        <f t="shared" si="98"/>
        <v>48</v>
      </c>
      <c r="L608" s="39">
        <v>576</v>
      </c>
      <c r="M608" s="3">
        <f t="shared" si="96"/>
        <v>47</v>
      </c>
      <c r="N608" s="44">
        <f t="shared" si="89"/>
        <v>0</v>
      </c>
      <c r="O608" s="8">
        <f t="shared" si="90"/>
        <v>0</v>
      </c>
      <c r="Q608" s="48">
        <f t="shared" si="91"/>
        <v>0</v>
      </c>
      <c r="R608" s="8">
        <f t="shared" si="92"/>
        <v>0</v>
      </c>
      <c r="T608" s="48">
        <f t="shared" si="93"/>
        <v>0</v>
      </c>
      <c r="U608" s="8">
        <f t="shared" si="94"/>
        <v>0</v>
      </c>
      <c r="W608" s="48">
        <f t="shared" si="97"/>
        <v>0</v>
      </c>
      <c r="X608" s="8">
        <f t="shared" si="95"/>
        <v>0</v>
      </c>
    </row>
    <row r="609" spans="11:24" ht="13.2" hidden="1" x14ac:dyDescent="0.25">
      <c r="K609" s="3" t="str">
        <f t="shared" si="98"/>
        <v/>
      </c>
      <c r="L609" s="39">
        <v>577</v>
      </c>
      <c r="M609" s="3">
        <f t="shared" si="96"/>
        <v>48</v>
      </c>
      <c r="N609" s="44">
        <f t="shared" ref="N609:N672" si="99">IF(L609&lt;=InvMonths,SU_Amt*(1+$C$19)^M609,0)</f>
        <v>0</v>
      </c>
      <c r="O609" s="8">
        <f t="shared" ref="O609:O672" si="100">FV($S$1,(InvMonths-L609+1),0,-N609,1)</f>
        <v>0</v>
      </c>
      <c r="Q609" s="48">
        <f t="shared" ref="Q609:Q672" si="101">IF(L609&lt;=InvMonths,$R$27*(1+$C$19)^M609,0)</f>
        <v>0</v>
      </c>
      <c r="R609" s="8">
        <f t="shared" ref="R609:R672" si="102">FV($S$1,(InvMonths-L609+1),0,-Q609,1)</f>
        <v>0</v>
      </c>
      <c r="T609" s="48">
        <f t="shared" ref="T609:T672" si="103">IF(L609&lt;=InvMonths,$U$27,0)</f>
        <v>0</v>
      </c>
      <c r="U609" s="8">
        <f t="shared" ref="U609:U672" si="104">FV($S$1,(InvMonths-L609+1),0,-T609,1)</f>
        <v>0</v>
      </c>
      <c r="W609" s="48">
        <f t="shared" si="97"/>
        <v>0</v>
      </c>
      <c r="X609" s="8">
        <f t="shared" ref="X609:X672" si="105">FV($S$1,($X$26-L609+1),0,-W609,1)</f>
        <v>0</v>
      </c>
    </row>
    <row r="610" spans="11:24" ht="13.2" hidden="1" x14ac:dyDescent="0.25">
      <c r="K610" s="3" t="str">
        <f t="shared" si="98"/>
        <v/>
      </c>
      <c r="L610" s="39">
        <v>578</v>
      </c>
      <c r="M610" s="3">
        <f t="shared" ref="M610:M673" si="106">IF(MOD(L610,12)=0,(L610/12)-1,QUOTIENT(L610,12))</f>
        <v>48</v>
      </c>
      <c r="N610" s="44">
        <f t="shared" si="99"/>
        <v>0</v>
      </c>
      <c r="O610" s="8">
        <f t="shared" si="100"/>
        <v>0</v>
      </c>
      <c r="Q610" s="48">
        <f t="shared" si="101"/>
        <v>0</v>
      </c>
      <c r="R610" s="8">
        <f t="shared" si="102"/>
        <v>0</v>
      </c>
      <c r="T610" s="48">
        <f t="shared" si="103"/>
        <v>0</v>
      </c>
      <c r="U610" s="8">
        <f t="shared" si="104"/>
        <v>0</v>
      </c>
      <c r="W610" s="48">
        <f t="shared" ref="W610:W673" si="107">IF(L610&lt;=$X$26,$X$27,0)</f>
        <v>0</v>
      </c>
      <c r="X610" s="8">
        <f t="shared" si="105"/>
        <v>0</v>
      </c>
    </row>
    <row r="611" spans="11:24" ht="13.2" hidden="1" x14ac:dyDescent="0.25">
      <c r="K611" s="3" t="str">
        <f t="shared" si="98"/>
        <v/>
      </c>
      <c r="L611" s="39">
        <v>579</v>
      </c>
      <c r="M611" s="3">
        <f t="shared" si="106"/>
        <v>48</v>
      </c>
      <c r="N611" s="44">
        <f t="shared" si="99"/>
        <v>0</v>
      </c>
      <c r="O611" s="8">
        <f t="shared" si="100"/>
        <v>0</v>
      </c>
      <c r="Q611" s="48">
        <f t="shared" si="101"/>
        <v>0</v>
      </c>
      <c r="R611" s="8">
        <f t="shared" si="102"/>
        <v>0</v>
      </c>
      <c r="T611" s="48">
        <f t="shared" si="103"/>
        <v>0</v>
      </c>
      <c r="U611" s="8">
        <f t="shared" si="104"/>
        <v>0</v>
      </c>
      <c r="W611" s="48">
        <f t="shared" si="107"/>
        <v>0</v>
      </c>
      <c r="X611" s="8">
        <f t="shared" si="105"/>
        <v>0</v>
      </c>
    </row>
    <row r="612" spans="11:24" ht="13.2" hidden="1" x14ac:dyDescent="0.25">
      <c r="K612" s="3" t="str">
        <f t="shared" si="98"/>
        <v/>
      </c>
      <c r="L612" s="39">
        <v>580</v>
      </c>
      <c r="M612" s="3">
        <f t="shared" si="106"/>
        <v>48</v>
      </c>
      <c r="N612" s="44">
        <f t="shared" si="99"/>
        <v>0</v>
      </c>
      <c r="O612" s="8">
        <f t="shared" si="100"/>
        <v>0</v>
      </c>
      <c r="Q612" s="48">
        <f t="shared" si="101"/>
        <v>0</v>
      </c>
      <c r="R612" s="8">
        <f t="shared" si="102"/>
        <v>0</v>
      </c>
      <c r="T612" s="48">
        <f t="shared" si="103"/>
        <v>0</v>
      </c>
      <c r="U612" s="8">
        <f t="shared" si="104"/>
        <v>0</v>
      </c>
      <c r="W612" s="48">
        <f t="shared" si="107"/>
        <v>0</v>
      </c>
      <c r="X612" s="8">
        <f t="shared" si="105"/>
        <v>0</v>
      </c>
    </row>
    <row r="613" spans="11:24" ht="13.2" hidden="1" x14ac:dyDescent="0.25">
      <c r="K613" s="3" t="str">
        <f t="shared" si="98"/>
        <v/>
      </c>
      <c r="L613" s="39">
        <v>581</v>
      </c>
      <c r="M613" s="3">
        <f t="shared" si="106"/>
        <v>48</v>
      </c>
      <c r="N613" s="44">
        <f t="shared" si="99"/>
        <v>0</v>
      </c>
      <c r="O613" s="8">
        <f t="shared" si="100"/>
        <v>0</v>
      </c>
      <c r="Q613" s="48">
        <f t="shared" si="101"/>
        <v>0</v>
      </c>
      <c r="R613" s="8">
        <f t="shared" si="102"/>
        <v>0</v>
      </c>
      <c r="T613" s="48">
        <f t="shared" si="103"/>
        <v>0</v>
      </c>
      <c r="U613" s="8">
        <f t="shared" si="104"/>
        <v>0</v>
      </c>
      <c r="W613" s="48">
        <f t="shared" si="107"/>
        <v>0</v>
      </c>
      <c r="X613" s="8">
        <f t="shared" si="105"/>
        <v>0</v>
      </c>
    </row>
    <row r="614" spans="11:24" ht="13.2" hidden="1" x14ac:dyDescent="0.25">
      <c r="K614" s="3" t="str">
        <f t="shared" si="98"/>
        <v/>
      </c>
      <c r="L614" s="39">
        <v>582</v>
      </c>
      <c r="M614" s="3">
        <f t="shared" si="106"/>
        <v>48</v>
      </c>
      <c r="N614" s="44">
        <f t="shared" si="99"/>
        <v>0</v>
      </c>
      <c r="O614" s="8">
        <f t="shared" si="100"/>
        <v>0</v>
      </c>
      <c r="Q614" s="48">
        <f t="shared" si="101"/>
        <v>0</v>
      </c>
      <c r="R614" s="8">
        <f t="shared" si="102"/>
        <v>0</v>
      </c>
      <c r="T614" s="48">
        <f t="shared" si="103"/>
        <v>0</v>
      </c>
      <c r="U614" s="8">
        <f t="shared" si="104"/>
        <v>0</v>
      </c>
      <c r="W614" s="48">
        <f t="shared" si="107"/>
        <v>0</v>
      </c>
      <c r="X614" s="8">
        <f t="shared" si="105"/>
        <v>0</v>
      </c>
    </row>
    <row r="615" spans="11:24" ht="13.2" hidden="1" x14ac:dyDescent="0.25">
      <c r="K615" s="3" t="str">
        <f t="shared" si="98"/>
        <v/>
      </c>
      <c r="L615" s="39">
        <v>583</v>
      </c>
      <c r="M615" s="3">
        <f t="shared" si="106"/>
        <v>48</v>
      </c>
      <c r="N615" s="44">
        <f t="shared" si="99"/>
        <v>0</v>
      </c>
      <c r="O615" s="8">
        <f t="shared" si="100"/>
        <v>0</v>
      </c>
      <c r="Q615" s="48">
        <f t="shared" si="101"/>
        <v>0</v>
      </c>
      <c r="R615" s="8">
        <f t="shared" si="102"/>
        <v>0</v>
      </c>
      <c r="T615" s="48">
        <f t="shared" si="103"/>
        <v>0</v>
      </c>
      <c r="U615" s="8">
        <f t="shared" si="104"/>
        <v>0</v>
      </c>
      <c r="W615" s="48">
        <f t="shared" si="107"/>
        <v>0</v>
      </c>
      <c r="X615" s="8">
        <f t="shared" si="105"/>
        <v>0</v>
      </c>
    </row>
    <row r="616" spans="11:24" ht="13.2" hidden="1" x14ac:dyDescent="0.25">
      <c r="K616" s="3" t="str">
        <f t="shared" si="98"/>
        <v/>
      </c>
      <c r="L616" s="39">
        <v>584</v>
      </c>
      <c r="M616" s="3">
        <f t="shared" si="106"/>
        <v>48</v>
      </c>
      <c r="N616" s="44">
        <f t="shared" si="99"/>
        <v>0</v>
      </c>
      <c r="O616" s="8">
        <f t="shared" si="100"/>
        <v>0</v>
      </c>
      <c r="Q616" s="48">
        <f t="shared" si="101"/>
        <v>0</v>
      </c>
      <c r="R616" s="8">
        <f t="shared" si="102"/>
        <v>0</v>
      </c>
      <c r="T616" s="48">
        <f t="shared" si="103"/>
        <v>0</v>
      </c>
      <c r="U616" s="8">
        <f t="shared" si="104"/>
        <v>0</v>
      </c>
      <c r="W616" s="48">
        <f t="shared" si="107"/>
        <v>0</v>
      </c>
      <c r="X616" s="8">
        <f t="shared" si="105"/>
        <v>0</v>
      </c>
    </row>
    <row r="617" spans="11:24" ht="13.2" hidden="1" x14ac:dyDescent="0.25">
      <c r="K617" s="3" t="str">
        <f t="shared" si="98"/>
        <v/>
      </c>
      <c r="L617" s="39">
        <v>585</v>
      </c>
      <c r="M617" s="3">
        <f t="shared" si="106"/>
        <v>48</v>
      </c>
      <c r="N617" s="44">
        <f t="shared" si="99"/>
        <v>0</v>
      </c>
      <c r="O617" s="8">
        <f t="shared" si="100"/>
        <v>0</v>
      </c>
      <c r="Q617" s="48">
        <f t="shared" si="101"/>
        <v>0</v>
      </c>
      <c r="R617" s="8">
        <f t="shared" si="102"/>
        <v>0</v>
      </c>
      <c r="T617" s="48">
        <f t="shared" si="103"/>
        <v>0</v>
      </c>
      <c r="U617" s="8">
        <f t="shared" si="104"/>
        <v>0</v>
      </c>
      <c r="W617" s="48">
        <f t="shared" si="107"/>
        <v>0</v>
      </c>
      <c r="X617" s="8">
        <f t="shared" si="105"/>
        <v>0</v>
      </c>
    </row>
    <row r="618" spans="11:24" ht="13.2" hidden="1" x14ac:dyDescent="0.25">
      <c r="K618" s="3" t="str">
        <f t="shared" ref="K618:K681" si="108">IF(MOD(L618,12)=0,L618/12,"")</f>
        <v/>
      </c>
      <c r="L618" s="39">
        <v>586</v>
      </c>
      <c r="M618" s="3">
        <f t="shared" si="106"/>
        <v>48</v>
      </c>
      <c r="N618" s="44">
        <f t="shared" si="99"/>
        <v>0</v>
      </c>
      <c r="O618" s="8">
        <f t="shared" si="100"/>
        <v>0</v>
      </c>
      <c r="Q618" s="48">
        <f t="shared" si="101"/>
        <v>0</v>
      </c>
      <c r="R618" s="8">
        <f t="shared" si="102"/>
        <v>0</v>
      </c>
      <c r="T618" s="48">
        <f t="shared" si="103"/>
        <v>0</v>
      </c>
      <c r="U618" s="8">
        <f t="shared" si="104"/>
        <v>0</v>
      </c>
      <c r="W618" s="48">
        <f t="shared" si="107"/>
        <v>0</v>
      </c>
      <c r="X618" s="8">
        <f t="shared" si="105"/>
        <v>0</v>
      </c>
    </row>
    <row r="619" spans="11:24" ht="13.2" hidden="1" x14ac:dyDescent="0.25">
      <c r="K619" s="3" t="str">
        <f t="shared" si="108"/>
        <v/>
      </c>
      <c r="L619" s="39">
        <v>587</v>
      </c>
      <c r="M619" s="3">
        <f t="shared" si="106"/>
        <v>48</v>
      </c>
      <c r="N619" s="44">
        <f t="shared" si="99"/>
        <v>0</v>
      </c>
      <c r="O619" s="8">
        <f t="shared" si="100"/>
        <v>0</v>
      </c>
      <c r="Q619" s="48">
        <f t="shared" si="101"/>
        <v>0</v>
      </c>
      <c r="R619" s="8">
        <f t="shared" si="102"/>
        <v>0</v>
      </c>
      <c r="T619" s="48">
        <f t="shared" si="103"/>
        <v>0</v>
      </c>
      <c r="U619" s="8">
        <f t="shared" si="104"/>
        <v>0</v>
      </c>
      <c r="W619" s="48">
        <f t="shared" si="107"/>
        <v>0</v>
      </c>
      <c r="X619" s="8">
        <f t="shared" si="105"/>
        <v>0</v>
      </c>
    </row>
    <row r="620" spans="11:24" ht="13.2" hidden="1" x14ac:dyDescent="0.25">
      <c r="K620" s="3">
        <f t="shared" si="108"/>
        <v>49</v>
      </c>
      <c r="L620" s="39">
        <v>588</v>
      </c>
      <c r="M620" s="3">
        <f t="shared" si="106"/>
        <v>48</v>
      </c>
      <c r="N620" s="44">
        <f t="shared" si="99"/>
        <v>0</v>
      </c>
      <c r="O620" s="8">
        <f t="shared" si="100"/>
        <v>0</v>
      </c>
      <c r="Q620" s="48">
        <f t="shared" si="101"/>
        <v>0</v>
      </c>
      <c r="R620" s="8">
        <f t="shared" si="102"/>
        <v>0</v>
      </c>
      <c r="T620" s="48">
        <f t="shared" si="103"/>
        <v>0</v>
      </c>
      <c r="U620" s="8">
        <f t="shared" si="104"/>
        <v>0</v>
      </c>
      <c r="W620" s="48">
        <f t="shared" si="107"/>
        <v>0</v>
      </c>
      <c r="X620" s="8">
        <f t="shared" si="105"/>
        <v>0</v>
      </c>
    </row>
    <row r="621" spans="11:24" ht="13.2" hidden="1" x14ac:dyDescent="0.25">
      <c r="K621" s="3" t="str">
        <f t="shared" si="108"/>
        <v/>
      </c>
      <c r="L621" s="39">
        <v>589</v>
      </c>
      <c r="M621" s="3">
        <f t="shared" si="106"/>
        <v>49</v>
      </c>
      <c r="N621" s="44">
        <f t="shared" si="99"/>
        <v>0</v>
      </c>
      <c r="O621" s="8">
        <f t="shared" si="100"/>
        <v>0</v>
      </c>
      <c r="Q621" s="48">
        <f t="shared" si="101"/>
        <v>0</v>
      </c>
      <c r="R621" s="8">
        <f t="shared" si="102"/>
        <v>0</v>
      </c>
      <c r="T621" s="48">
        <f t="shared" si="103"/>
        <v>0</v>
      </c>
      <c r="U621" s="8">
        <f t="shared" si="104"/>
        <v>0</v>
      </c>
      <c r="W621" s="48">
        <f t="shared" si="107"/>
        <v>0</v>
      </c>
      <c r="X621" s="8">
        <f t="shared" si="105"/>
        <v>0</v>
      </c>
    </row>
    <row r="622" spans="11:24" ht="13.2" hidden="1" x14ac:dyDescent="0.25">
      <c r="K622" s="3" t="str">
        <f t="shared" si="108"/>
        <v/>
      </c>
      <c r="L622" s="39">
        <v>590</v>
      </c>
      <c r="M622" s="3">
        <f t="shared" si="106"/>
        <v>49</v>
      </c>
      <c r="N622" s="44">
        <f t="shared" si="99"/>
        <v>0</v>
      </c>
      <c r="O622" s="8">
        <f t="shared" si="100"/>
        <v>0</v>
      </c>
      <c r="Q622" s="48">
        <f t="shared" si="101"/>
        <v>0</v>
      </c>
      <c r="R622" s="8">
        <f t="shared" si="102"/>
        <v>0</v>
      </c>
      <c r="T622" s="48">
        <f t="shared" si="103"/>
        <v>0</v>
      </c>
      <c r="U622" s="8">
        <f t="shared" si="104"/>
        <v>0</v>
      </c>
      <c r="W622" s="48">
        <f t="shared" si="107"/>
        <v>0</v>
      </c>
      <c r="X622" s="8">
        <f t="shared" si="105"/>
        <v>0</v>
      </c>
    </row>
    <row r="623" spans="11:24" ht="13.2" hidden="1" x14ac:dyDescent="0.25">
      <c r="K623" s="3" t="str">
        <f t="shared" si="108"/>
        <v/>
      </c>
      <c r="L623" s="39">
        <v>591</v>
      </c>
      <c r="M623" s="3">
        <f t="shared" si="106"/>
        <v>49</v>
      </c>
      <c r="N623" s="44">
        <f t="shared" si="99"/>
        <v>0</v>
      </c>
      <c r="O623" s="8">
        <f t="shared" si="100"/>
        <v>0</v>
      </c>
      <c r="Q623" s="48">
        <f t="shared" si="101"/>
        <v>0</v>
      </c>
      <c r="R623" s="8">
        <f t="shared" si="102"/>
        <v>0</v>
      </c>
      <c r="T623" s="48">
        <f t="shared" si="103"/>
        <v>0</v>
      </c>
      <c r="U623" s="8">
        <f t="shared" si="104"/>
        <v>0</v>
      </c>
      <c r="W623" s="48">
        <f t="shared" si="107"/>
        <v>0</v>
      </c>
      <c r="X623" s="8">
        <f t="shared" si="105"/>
        <v>0</v>
      </c>
    </row>
    <row r="624" spans="11:24" ht="13.2" hidden="1" x14ac:dyDescent="0.25">
      <c r="K624" s="3" t="str">
        <f t="shared" si="108"/>
        <v/>
      </c>
      <c r="L624" s="39">
        <v>592</v>
      </c>
      <c r="M624" s="3">
        <f t="shared" si="106"/>
        <v>49</v>
      </c>
      <c r="N624" s="44">
        <f t="shared" si="99"/>
        <v>0</v>
      </c>
      <c r="O624" s="8">
        <f t="shared" si="100"/>
        <v>0</v>
      </c>
      <c r="Q624" s="48">
        <f t="shared" si="101"/>
        <v>0</v>
      </c>
      <c r="R624" s="8">
        <f t="shared" si="102"/>
        <v>0</v>
      </c>
      <c r="T624" s="48">
        <f t="shared" si="103"/>
        <v>0</v>
      </c>
      <c r="U624" s="8">
        <f t="shared" si="104"/>
        <v>0</v>
      </c>
      <c r="W624" s="48">
        <f t="shared" si="107"/>
        <v>0</v>
      </c>
      <c r="X624" s="8">
        <f t="shared" si="105"/>
        <v>0</v>
      </c>
    </row>
    <row r="625" spans="11:24" ht="13.2" hidden="1" x14ac:dyDescent="0.25">
      <c r="K625" s="3" t="str">
        <f t="shared" si="108"/>
        <v/>
      </c>
      <c r="L625" s="39">
        <v>593</v>
      </c>
      <c r="M625" s="3">
        <f t="shared" si="106"/>
        <v>49</v>
      </c>
      <c r="N625" s="44">
        <f t="shared" si="99"/>
        <v>0</v>
      </c>
      <c r="O625" s="8">
        <f t="shared" si="100"/>
        <v>0</v>
      </c>
      <c r="Q625" s="48">
        <f t="shared" si="101"/>
        <v>0</v>
      </c>
      <c r="R625" s="8">
        <f t="shared" si="102"/>
        <v>0</v>
      </c>
      <c r="T625" s="48">
        <f t="shared" si="103"/>
        <v>0</v>
      </c>
      <c r="U625" s="8">
        <f t="shared" si="104"/>
        <v>0</v>
      </c>
      <c r="W625" s="48">
        <f t="shared" si="107"/>
        <v>0</v>
      </c>
      <c r="X625" s="8">
        <f t="shared" si="105"/>
        <v>0</v>
      </c>
    </row>
    <row r="626" spans="11:24" ht="13.2" hidden="1" x14ac:dyDescent="0.25">
      <c r="K626" s="3" t="str">
        <f t="shared" si="108"/>
        <v/>
      </c>
      <c r="L626" s="39">
        <v>594</v>
      </c>
      <c r="M626" s="3">
        <f t="shared" si="106"/>
        <v>49</v>
      </c>
      <c r="N626" s="44">
        <f t="shared" si="99"/>
        <v>0</v>
      </c>
      <c r="O626" s="8">
        <f t="shared" si="100"/>
        <v>0</v>
      </c>
      <c r="Q626" s="48">
        <f t="shared" si="101"/>
        <v>0</v>
      </c>
      <c r="R626" s="8">
        <f t="shared" si="102"/>
        <v>0</v>
      </c>
      <c r="T626" s="48">
        <f t="shared" si="103"/>
        <v>0</v>
      </c>
      <c r="U626" s="8">
        <f t="shared" si="104"/>
        <v>0</v>
      </c>
      <c r="W626" s="48">
        <f t="shared" si="107"/>
        <v>0</v>
      </c>
      <c r="X626" s="8">
        <f t="shared" si="105"/>
        <v>0</v>
      </c>
    </row>
    <row r="627" spans="11:24" ht="13.2" hidden="1" x14ac:dyDescent="0.25">
      <c r="K627" s="3" t="str">
        <f t="shared" si="108"/>
        <v/>
      </c>
      <c r="L627" s="39">
        <v>595</v>
      </c>
      <c r="M627" s="3">
        <f t="shared" si="106"/>
        <v>49</v>
      </c>
      <c r="N627" s="44">
        <f t="shared" si="99"/>
        <v>0</v>
      </c>
      <c r="O627" s="8">
        <f t="shared" si="100"/>
        <v>0</v>
      </c>
      <c r="Q627" s="48">
        <f t="shared" si="101"/>
        <v>0</v>
      </c>
      <c r="R627" s="8">
        <f t="shared" si="102"/>
        <v>0</v>
      </c>
      <c r="T627" s="48">
        <f t="shared" si="103"/>
        <v>0</v>
      </c>
      <c r="U627" s="8">
        <f t="shared" si="104"/>
        <v>0</v>
      </c>
      <c r="W627" s="48">
        <f t="shared" si="107"/>
        <v>0</v>
      </c>
      <c r="X627" s="8">
        <f t="shared" si="105"/>
        <v>0</v>
      </c>
    </row>
    <row r="628" spans="11:24" ht="13.2" hidden="1" x14ac:dyDescent="0.25">
      <c r="K628" s="3" t="str">
        <f t="shared" si="108"/>
        <v/>
      </c>
      <c r="L628" s="39">
        <v>596</v>
      </c>
      <c r="M628" s="3">
        <f t="shared" si="106"/>
        <v>49</v>
      </c>
      <c r="N628" s="44">
        <f t="shared" si="99"/>
        <v>0</v>
      </c>
      <c r="O628" s="8">
        <f t="shared" si="100"/>
        <v>0</v>
      </c>
      <c r="Q628" s="48">
        <f t="shared" si="101"/>
        <v>0</v>
      </c>
      <c r="R628" s="8">
        <f t="shared" si="102"/>
        <v>0</v>
      </c>
      <c r="T628" s="48">
        <f t="shared" si="103"/>
        <v>0</v>
      </c>
      <c r="U628" s="8">
        <f t="shared" si="104"/>
        <v>0</v>
      </c>
      <c r="W628" s="48">
        <f t="shared" si="107"/>
        <v>0</v>
      </c>
      <c r="X628" s="8">
        <f t="shared" si="105"/>
        <v>0</v>
      </c>
    </row>
    <row r="629" spans="11:24" ht="13.2" hidden="1" x14ac:dyDescent="0.25">
      <c r="K629" s="3" t="str">
        <f t="shared" si="108"/>
        <v/>
      </c>
      <c r="L629" s="39">
        <v>597</v>
      </c>
      <c r="M629" s="3">
        <f t="shared" si="106"/>
        <v>49</v>
      </c>
      <c r="N629" s="44">
        <f t="shared" si="99"/>
        <v>0</v>
      </c>
      <c r="O629" s="8">
        <f t="shared" si="100"/>
        <v>0</v>
      </c>
      <c r="Q629" s="48">
        <f t="shared" si="101"/>
        <v>0</v>
      </c>
      <c r="R629" s="8">
        <f t="shared" si="102"/>
        <v>0</v>
      </c>
      <c r="T629" s="48">
        <f t="shared" si="103"/>
        <v>0</v>
      </c>
      <c r="U629" s="8">
        <f t="shared" si="104"/>
        <v>0</v>
      </c>
      <c r="W629" s="48">
        <f t="shared" si="107"/>
        <v>0</v>
      </c>
      <c r="X629" s="8">
        <f t="shared" si="105"/>
        <v>0</v>
      </c>
    </row>
    <row r="630" spans="11:24" ht="13.2" hidden="1" x14ac:dyDescent="0.25">
      <c r="K630" s="3" t="str">
        <f t="shared" si="108"/>
        <v/>
      </c>
      <c r="L630" s="39">
        <v>598</v>
      </c>
      <c r="M630" s="3">
        <f t="shared" si="106"/>
        <v>49</v>
      </c>
      <c r="N630" s="44">
        <f t="shared" si="99"/>
        <v>0</v>
      </c>
      <c r="O630" s="8">
        <f t="shared" si="100"/>
        <v>0</v>
      </c>
      <c r="Q630" s="48">
        <f t="shared" si="101"/>
        <v>0</v>
      </c>
      <c r="R630" s="8">
        <f t="shared" si="102"/>
        <v>0</v>
      </c>
      <c r="T630" s="48">
        <f t="shared" si="103"/>
        <v>0</v>
      </c>
      <c r="U630" s="8">
        <f t="shared" si="104"/>
        <v>0</v>
      </c>
      <c r="W630" s="48">
        <f t="shared" si="107"/>
        <v>0</v>
      </c>
      <c r="X630" s="8">
        <f t="shared" si="105"/>
        <v>0</v>
      </c>
    </row>
    <row r="631" spans="11:24" ht="13.2" hidden="1" x14ac:dyDescent="0.25">
      <c r="K631" s="3" t="str">
        <f t="shared" si="108"/>
        <v/>
      </c>
      <c r="L631" s="39">
        <v>599</v>
      </c>
      <c r="M631" s="3">
        <f t="shared" si="106"/>
        <v>49</v>
      </c>
      <c r="N631" s="44">
        <f t="shared" si="99"/>
        <v>0</v>
      </c>
      <c r="O631" s="8">
        <f t="shared" si="100"/>
        <v>0</v>
      </c>
      <c r="Q631" s="48">
        <f t="shared" si="101"/>
        <v>0</v>
      </c>
      <c r="R631" s="8">
        <f t="shared" si="102"/>
        <v>0</v>
      </c>
      <c r="T631" s="48">
        <f t="shared" si="103"/>
        <v>0</v>
      </c>
      <c r="U631" s="8">
        <f t="shared" si="104"/>
        <v>0</v>
      </c>
      <c r="W631" s="48">
        <f t="shared" si="107"/>
        <v>0</v>
      </c>
      <c r="X631" s="8">
        <f t="shared" si="105"/>
        <v>0</v>
      </c>
    </row>
    <row r="632" spans="11:24" ht="13.2" hidden="1" x14ac:dyDescent="0.25">
      <c r="K632" s="3">
        <f t="shared" si="108"/>
        <v>50</v>
      </c>
      <c r="L632" s="39">
        <v>600</v>
      </c>
      <c r="M632" s="3">
        <f t="shared" si="106"/>
        <v>49</v>
      </c>
      <c r="N632" s="44">
        <f t="shared" si="99"/>
        <v>0</v>
      </c>
      <c r="O632" s="8">
        <f t="shared" si="100"/>
        <v>0</v>
      </c>
      <c r="Q632" s="48">
        <f t="shared" si="101"/>
        <v>0</v>
      </c>
      <c r="R632" s="8">
        <f t="shared" si="102"/>
        <v>0</v>
      </c>
      <c r="T632" s="48">
        <f t="shared" si="103"/>
        <v>0</v>
      </c>
      <c r="U632" s="8">
        <f t="shared" si="104"/>
        <v>0</v>
      </c>
      <c r="W632" s="48">
        <f t="shared" si="107"/>
        <v>0</v>
      </c>
      <c r="X632" s="8">
        <f t="shared" si="105"/>
        <v>0</v>
      </c>
    </row>
    <row r="633" spans="11:24" ht="13.2" hidden="1" x14ac:dyDescent="0.25">
      <c r="K633" s="3" t="str">
        <f t="shared" si="108"/>
        <v/>
      </c>
      <c r="L633" s="39">
        <v>601</v>
      </c>
      <c r="M633" s="3">
        <f t="shared" si="106"/>
        <v>50</v>
      </c>
      <c r="N633" s="44">
        <f t="shared" si="99"/>
        <v>0</v>
      </c>
      <c r="O633" s="8">
        <f t="shared" si="100"/>
        <v>0</v>
      </c>
      <c r="Q633" s="48">
        <f t="shared" si="101"/>
        <v>0</v>
      </c>
      <c r="R633" s="8">
        <f t="shared" si="102"/>
        <v>0</v>
      </c>
      <c r="T633" s="48">
        <f t="shared" si="103"/>
        <v>0</v>
      </c>
      <c r="U633" s="8">
        <f t="shared" si="104"/>
        <v>0</v>
      </c>
      <c r="W633" s="48">
        <f t="shared" si="107"/>
        <v>0</v>
      </c>
      <c r="X633" s="8">
        <f t="shared" si="105"/>
        <v>0</v>
      </c>
    </row>
    <row r="634" spans="11:24" ht="13.2" hidden="1" x14ac:dyDescent="0.25">
      <c r="K634" s="3" t="str">
        <f t="shared" si="108"/>
        <v/>
      </c>
      <c r="L634" s="39">
        <v>602</v>
      </c>
      <c r="M634" s="3">
        <f t="shared" si="106"/>
        <v>50</v>
      </c>
      <c r="N634" s="44">
        <f t="shared" si="99"/>
        <v>0</v>
      </c>
      <c r="O634" s="8">
        <f t="shared" si="100"/>
        <v>0</v>
      </c>
      <c r="Q634" s="48">
        <f t="shared" si="101"/>
        <v>0</v>
      </c>
      <c r="R634" s="8">
        <f t="shared" si="102"/>
        <v>0</v>
      </c>
      <c r="T634" s="48">
        <f t="shared" si="103"/>
        <v>0</v>
      </c>
      <c r="U634" s="8">
        <f t="shared" si="104"/>
        <v>0</v>
      </c>
      <c r="W634" s="48">
        <f t="shared" si="107"/>
        <v>0</v>
      </c>
      <c r="X634" s="8">
        <f t="shared" si="105"/>
        <v>0</v>
      </c>
    </row>
    <row r="635" spans="11:24" ht="13.2" hidden="1" x14ac:dyDescent="0.25">
      <c r="K635" s="3" t="str">
        <f t="shared" si="108"/>
        <v/>
      </c>
      <c r="L635" s="39">
        <v>606</v>
      </c>
      <c r="M635" s="3">
        <f t="shared" si="106"/>
        <v>50</v>
      </c>
      <c r="N635" s="44">
        <f t="shared" si="99"/>
        <v>0</v>
      </c>
      <c r="O635" s="8">
        <f t="shared" si="100"/>
        <v>0</v>
      </c>
      <c r="Q635" s="48">
        <f t="shared" si="101"/>
        <v>0</v>
      </c>
      <c r="R635" s="8">
        <f t="shared" si="102"/>
        <v>0</v>
      </c>
      <c r="T635" s="48">
        <f t="shared" si="103"/>
        <v>0</v>
      </c>
      <c r="U635" s="8">
        <f t="shared" si="104"/>
        <v>0</v>
      </c>
      <c r="W635" s="48">
        <f t="shared" si="107"/>
        <v>0</v>
      </c>
      <c r="X635" s="8">
        <f t="shared" si="105"/>
        <v>0</v>
      </c>
    </row>
    <row r="636" spans="11:24" ht="13.2" hidden="1" x14ac:dyDescent="0.25">
      <c r="K636" s="3" t="str">
        <f t="shared" si="108"/>
        <v/>
      </c>
      <c r="L636" s="39">
        <v>607</v>
      </c>
      <c r="M636" s="3">
        <f t="shared" si="106"/>
        <v>50</v>
      </c>
      <c r="N636" s="44">
        <f t="shared" si="99"/>
        <v>0</v>
      </c>
      <c r="O636" s="8">
        <f t="shared" si="100"/>
        <v>0</v>
      </c>
      <c r="Q636" s="48">
        <f t="shared" si="101"/>
        <v>0</v>
      </c>
      <c r="R636" s="8">
        <f t="shared" si="102"/>
        <v>0</v>
      </c>
      <c r="T636" s="48">
        <f t="shared" si="103"/>
        <v>0</v>
      </c>
      <c r="U636" s="8">
        <f t="shared" si="104"/>
        <v>0</v>
      </c>
      <c r="W636" s="48">
        <f t="shared" si="107"/>
        <v>0</v>
      </c>
      <c r="X636" s="8">
        <f t="shared" si="105"/>
        <v>0</v>
      </c>
    </row>
    <row r="637" spans="11:24" ht="13.2" hidden="1" x14ac:dyDescent="0.25">
      <c r="K637" s="3" t="str">
        <f t="shared" si="108"/>
        <v/>
      </c>
      <c r="L637" s="39">
        <v>608</v>
      </c>
      <c r="M637" s="3">
        <f t="shared" si="106"/>
        <v>50</v>
      </c>
      <c r="N637" s="44">
        <f t="shared" si="99"/>
        <v>0</v>
      </c>
      <c r="O637" s="8">
        <f t="shared" si="100"/>
        <v>0</v>
      </c>
      <c r="Q637" s="48">
        <f t="shared" si="101"/>
        <v>0</v>
      </c>
      <c r="R637" s="8">
        <f t="shared" si="102"/>
        <v>0</v>
      </c>
      <c r="T637" s="48">
        <f t="shared" si="103"/>
        <v>0</v>
      </c>
      <c r="U637" s="8">
        <f t="shared" si="104"/>
        <v>0</v>
      </c>
      <c r="W637" s="48">
        <f t="shared" si="107"/>
        <v>0</v>
      </c>
      <c r="X637" s="8">
        <f t="shared" si="105"/>
        <v>0</v>
      </c>
    </row>
    <row r="638" spans="11:24" ht="13.2" hidden="1" x14ac:dyDescent="0.25">
      <c r="K638" s="3" t="str">
        <f t="shared" si="108"/>
        <v/>
      </c>
      <c r="L638" s="39">
        <v>609</v>
      </c>
      <c r="M638" s="3">
        <f t="shared" si="106"/>
        <v>50</v>
      </c>
      <c r="N638" s="44">
        <f t="shared" si="99"/>
        <v>0</v>
      </c>
      <c r="O638" s="8">
        <f t="shared" si="100"/>
        <v>0</v>
      </c>
      <c r="Q638" s="48">
        <f t="shared" si="101"/>
        <v>0</v>
      </c>
      <c r="R638" s="8">
        <f t="shared" si="102"/>
        <v>0</v>
      </c>
      <c r="T638" s="48">
        <f t="shared" si="103"/>
        <v>0</v>
      </c>
      <c r="U638" s="8">
        <f t="shared" si="104"/>
        <v>0</v>
      </c>
      <c r="W638" s="48">
        <f t="shared" si="107"/>
        <v>0</v>
      </c>
      <c r="X638" s="8">
        <f t="shared" si="105"/>
        <v>0</v>
      </c>
    </row>
    <row r="639" spans="11:24" ht="13.2" hidden="1" x14ac:dyDescent="0.25">
      <c r="K639" s="3" t="str">
        <f t="shared" si="108"/>
        <v/>
      </c>
      <c r="L639" s="39">
        <v>610</v>
      </c>
      <c r="M639" s="3">
        <f t="shared" si="106"/>
        <v>50</v>
      </c>
      <c r="N639" s="44">
        <f t="shared" si="99"/>
        <v>0</v>
      </c>
      <c r="O639" s="8">
        <f t="shared" si="100"/>
        <v>0</v>
      </c>
      <c r="Q639" s="48">
        <f t="shared" si="101"/>
        <v>0</v>
      </c>
      <c r="R639" s="8">
        <f t="shared" si="102"/>
        <v>0</v>
      </c>
      <c r="T639" s="48">
        <f t="shared" si="103"/>
        <v>0</v>
      </c>
      <c r="U639" s="8">
        <f t="shared" si="104"/>
        <v>0</v>
      </c>
      <c r="W639" s="48">
        <f t="shared" si="107"/>
        <v>0</v>
      </c>
      <c r="X639" s="8">
        <f t="shared" si="105"/>
        <v>0</v>
      </c>
    </row>
    <row r="640" spans="11:24" ht="13.2" hidden="1" x14ac:dyDescent="0.25">
      <c r="K640" s="3" t="str">
        <f t="shared" si="108"/>
        <v/>
      </c>
      <c r="L640" s="39">
        <v>611</v>
      </c>
      <c r="M640" s="3">
        <f t="shared" si="106"/>
        <v>50</v>
      </c>
      <c r="N640" s="44">
        <f t="shared" si="99"/>
        <v>0</v>
      </c>
      <c r="O640" s="8">
        <f t="shared" si="100"/>
        <v>0</v>
      </c>
      <c r="Q640" s="48">
        <f t="shared" si="101"/>
        <v>0</v>
      </c>
      <c r="R640" s="8">
        <f t="shared" si="102"/>
        <v>0</v>
      </c>
      <c r="T640" s="48">
        <f t="shared" si="103"/>
        <v>0</v>
      </c>
      <c r="U640" s="8">
        <f t="shared" si="104"/>
        <v>0</v>
      </c>
      <c r="W640" s="48">
        <f t="shared" si="107"/>
        <v>0</v>
      </c>
      <c r="X640" s="8">
        <f t="shared" si="105"/>
        <v>0</v>
      </c>
    </row>
    <row r="641" spans="11:24" ht="13.2" hidden="1" x14ac:dyDescent="0.25">
      <c r="K641" s="3">
        <f t="shared" si="108"/>
        <v>51</v>
      </c>
      <c r="L641" s="39">
        <v>612</v>
      </c>
      <c r="M641" s="3">
        <f t="shared" si="106"/>
        <v>50</v>
      </c>
      <c r="N641" s="44">
        <f t="shared" si="99"/>
        <v>0</v>
      </c>
      <c r="O641" s="8">
        <f t="shared" si="100"/>
        <v>0</v>
      </c>
      <c r="Q641" s="48">
        <f t="shared" si="101"/>
        <v>0</v>
      </c>
      <c r="R641" s="8">
        <f t="shared" si="102"/>
        <v>0</v>
      </c>
      <c r="T641" s="48">
        <f t="shared" si="103"/>
        <v>0</v>
      </c>
      <c r="U641" s="8">
        <f t="shared" si="104"/>
        <v>0</v>
      </c>
      <c r="W641" s="48">
        <f t="shared" si="107"/>
        <v>0</v>
      </c>
      <c r="X641" s="8">
        <f t="shared" si="105"/>
        <v>0</v>
      </c>
    </row>
    <row r="642" spans="11:24" ht="13.2" hidden="1" x14ac:dyDescent="0.25">
      <c r="K642" s="3" t="str">
        <f t="shared" si="108"/>
        <v/>
      </c>
      <c r="L642" s="39">
        <v>613</v>
      </c>
      <c r="M642" s="3">
        <f t="shared" si="106"/>
        <v>51</v>
      </c>
      <c r="N642" s="44">
        <f t="shared" si="99"/>
        <v>0</v>
      </c>
      <c r="O642" s="8">
        <f t="shared" si="100"/>
        <v>0</v>
      </c>
      <c r="Q642" s="48">
        <f t="shared" si="101"/>
        <v>0</v>
      </c>
      <c r="R642" s="8">
        <f t="shared" si="102"/>
        <v>0</v>
      </c>
      <c r="T642" s="48">
        <f t="shared" si="103"/>
        <v>0</v>
      </c>
      <c r="U642" s="8">
        <f t="shared" si="104"/>
        <v>0</v>
      </c>
      <c r="W642" s="48">
        <f t="shared" si="107"/>
        <v>0</v>
      </c>
      <c r="X642" s="8">
        <f t="shared" si="105"/>
        <v>0</v>
      </c>
    </row>
    <row r="643" spans="11:24" ht="13.2" hidden="1" x14ac:dyDescent="0.25">
      <c r="K643" s="3" t="str">
        <f t="shared" si="108"/>
        <v/>
      </c>
      <c r="L643" s="39">
        <v>614</v>
      </c>
      <c r="M643" s="3">
        <f t="shared" si="106"/>
        <v>51</v>
      </c>
      <c r="N643" s="44">
        <f t="shared" si="99"/>
        <v>0</v>
      </c>
      <c r="O643" s="8">
        <f t="shared" si="100"/>
        <v>0</v>
      </c>
      <c r="Q643" s="48">
        <f t="shared" si="101"/>
        <v>0</v>
      </c>
      <c r="R643" s="8">
        <f t="shared" si="102"/>
        <v>0</v>
      </c>
      <c r="T643" s="48">
        <f t="shared" si="103"/>
        <v>0</v>
      </c>
      <c r="U643" s="8">
        <f t="shared" si="104"/>
        <v>0</v>
      </c>
      <c r="W643" s="48">
        <f t="shared" si="107"/>
        <v>0</v>
      </c>
      <c r="X643" s="8">
        <f t="shared" si="105"/>
        <v>0</v>
      </c>
    </row>
    <row r="644" spans="11:24" ht="13.2" hidden="1" x14ac:dyDescent="0.25">
      <c r="K644" s="3" t="str">
        <f t="shared" si="108"/>
        <v/>
      </c>
      <c r="L644" s="39">
        <v>615</v>
      </c>
      <c r="M644" s="3">
        <f t="shared" si="106"/>
        <v>51</v>
      </c>
      <c r="N644" s="44">
        <f t="shared" si="99"/>
        <v>0</v>
      </c>
      <c r="O644" s="8">
        <f t="shared" si="100"/>
        <v>0</v>
      </c>
      <c r="Q644" s="48">
        <f t="shared" si="101"/>
        <v>0</v>
      </c>
      <c r="R644" s="8">
        <f t="shared" si="102"/>
        <v>0</v>
      </c>
      <c r="T644" s="48">
        <f t="shared" si="103"/>
        <v>0</v>
      </c>
      <c r="U644" s="8">
        <f t="shared" si="104"/>
        <v>0</v>
      </c>
      <c r="W644" s="48">
        <f t="shared" si="107"/>
        <v>0</v>
      </c>
      <c r="X644" s="8">
        <f t="shared" si="105"/>
        <v>0</v>
      </c>
    </row>
    <row r="645" spans="11:24" ht="13.2" hidden="1" x14ac:dyDescent="0.25">
      <c r="K645" s="3" t="str">
        <f t="shared" si="108"/>
        <v/>
      </c>
      <c r="L645" s="39">
        <v>616</v>
      </c>
      <c r="M645" s="3">
        <f t="shared" si="106"/>
        <v>51</v>
      </c>
      <c r="N645" s="44">
        <f t="shared" si="99"/>
        <v>0</v>
      </c>
      <c r="O645" s="8">
        <f t="shared" si="100"/>
        <v>0</v>
      </c>
      <c r="Q645" s="48">
        <f t="shared" si="101"/>
        <v>0</v>
      </c>
      <c r="R645" s="8">
        <f t="shared" si="102"/>
        <v>0</v>
      </c>
      <c r="T645" s="48">
        <f t="shared" si="103"/>
        <v>0</v>
      </c>
      <c r="U645" s="8">
        <f t="shared" si="104"/>
        <v>0</v>
      </c>
      <c r="W645" s="48">
        <f t="shared" si="107"/>
        <v>0</v>
      </c>
      <c r="X645" s="8">
        <f t="shared" si="105"/>
        <v>0</v>
      </c>
    </row>
    <row r="646" spans="11:24" ht="13.2" hidden="1" x14ac:dyDescent="0.25">
      <c r="K646" s="3" t="str">
        <f t="shared" si="108"/>
        <v/>
      </c>
      <c r="L646" s="39">
        <v>617</v>
      </c>
      <c r="M646" s="3">
        <f t="shared" si="106"/>
        <v>51</v>
      </c>
      <c r="N646" s="44">
        <f t="shared" si="99"/>
        <v>0</v>
      </c>
      <c r="O646" s="8">
        <f t="shared" si="100"/>
        <v>0</v>
      </c>
      <c r="Q646" s="48">
        <f t="shared" si="101"/>
        <v>0</v>
      </c>
      <c r="R646" s="8">
        <f t="shared" si="102"/>
        <v>0</v>
      </c>
      <c r="T646" s="48">
        <f t="shared" si="103"/>
        <v>0</v>
      </c>
      <c r="U646" s="8">
        <f t="shared" si="104"/>
        <v>0</v>
      </c>
      <c r="W646" s="48">
        <f t="shared" si="107"/>
        <v>0</v>
      </c>
      <c r="X646" s="8">
        <f t="shared" si="105"/>
        <v>0</v>
      </c>
    </row>
    <row r="647" spans="11:24" ht="13.2" hidden="1" x14ac:dyDescent="0.25">
      <c r="K647" s="3" t="str">
        <f t="shared" si="108"/>
        <v/>
      </c>
      <c r="L647" s="39">
        <v>618</v>
      </c>
      <c r="M647" s="3">
        <f t="shared" si="106"/>
        <v>51</v>
      </c>
      <c r="N647" s="44">
        <f t="shared" si="99"/>
        <v>0</v>
      </c>
      <c r="O647" s="8">
        <f t="shared" si="100"/>
        <v>0</v>
      </c>
      <c r="Q647" s="48">
        <f t="shared" si="101"/>
        <v>0</v>
      </c>
      <c r="R647" s="8">
        <f t="shared" si="102"/>
        <v>0</v>
      </c>
      <c r="T647" s="48">
        <f t="shared" si="103"/>
        <v>0</v>
      </c>
      <c r="U647" s="8">
        <f t="shared" si="104"/>
        <v>0</v>
      </c>
      <c r="W647" s="48">
        <f t="shared" si="107"/>
        <v>0</v>
      </c>
      <c r="X647" s="8">
        <f t="shared" si="105"/>
        <v>0</v>
      </c>
    </row>
    <row r="648" spans="11:24" ht="13.2" hidden="1" x14ac:dyDescent="0.25">
      <c r="K648" s="3" t="str">
        <f t="shared" si="108"/>
        <v/>
      </c>
      <c r="L648" s="39">
        <v>619</v>
      </c>
      <c r="M648" s="3">
        <f t="shared" si="106"/>
        <v>51</v>
      </c>
      <c r="N648" s="44">
        <f t="shared" si="99"/>
        <v>0</v>
      </c>
      <c r="O648" s="8">
        <f t="shared" si="100"/>
        <v>0</v>
      </c>
      <c r="Q648" s="48">
        <f t="shared" si="101"/>
        <v>0</v>
      </c>
      <c r="R648" s="8">
        <f t="shared" si="102"/>
        <v>0</v>
      </c>
      <c r="T648" s="48">
        <f t="shared" si="103"/>
        <v>0</v>
      </c>
      <c r="U648" s="8">
        <f t="shared" si="104"/>
        <v>0</v>
      </c>
      <c r="W648" s="48">
        <f t="shared" si="107"/>
        <v>0</v>
      </c>
      <c r="X648" s="8">
        <f t="shared" si="105"/>
        <v>0</v>
      </c>
    </row>
    <row r="649" spans="11:24" ht="13.2" hidden="1" x14ac:dyDescent="0.25">
      <c r="K649" s="3" t="str">
        <f t="shared" si="108"/>
        <v/>
      </c>
      <c r="L649" s="39">
        <v>620</v>
      </c>
      <c r="M649" s="3">
        <f t="shared" si="106"/>
        <v>51</v>
      </c>
      <c r="N649" s="44">
        <f t="shared" si="99"/>
        <v>0</v>
      </c>
      <c r="O649" s="8">
        <f t="shared" si="100"/>
        <v>0</v>
      </c>
      <c r="Q649" s="48">
        <f t="shared" si="101"/>
        <v>0</v>
      </c>
      <c r="R649" s="8">
        <f t="shared" si="102"/>
        <v>0</v>
      </c>
      <c r="T649" s="48">
        <f t="shared" si="103"/>
        <v>0</v>
      </c>
      <c r="U649" s="8">
        <f t="shared" si="104"/>
        <v>0</v>
      </c>
      <c r="W649" s="48">
        <f t="shared" si="107"/>
        <v>0</v>
      </c>
      <c r="X649" s="8">
        <f t="shared" si="105"/>
        <v>0</v>
      </c>
    </row>
    <row r="650" spans="11:24" ht="13.2" hidden="1" x14ac:dyDescent="0.25">
      <c r="K650" s="3" t="str">
        <f t="shared" si="108"/>
        <v/>
      </c>
      <c r="L650" s="39">
        <v>621</v>
      </c>
      <c r="M650" s="3">
        <f t="shared" si="106"/>
        <v>51</v>
      </c>
      <c r="N650" s="44">
        <f t="shared" si="99"/>
        <v>0</v>
      </c>
      <c r="O650" s="8">
        <f t="shared" si="100"/>
        <v>0</v>
      </c>
      <c r="Q650" s="48">
        <f t="shared" si="101"/>
        <v>0</v>
      </c>
      <c r="R650" s="8">
        <f t="shared" si="102"/>
        <v>0</v>
      </c>
      <c r="T650" s="48">
        <f t="shared" si="103"/>
        <v>0</v>
      </c>
      <c r="U650" s="8">
        <f t="shared" si="104"/>
        <v>0</v>
      </c>
      <c r="W650" s="48">
        <f t="shared" si="107"/>
        <v>0</v>
      </c>
      <c r="X650" s="8">
        <f t="shared" si="105"/>
        <v>0</v>
      </c>
    </row>
    <row r="651" spans="11:24" ht="13.2" hidden="1" x14ac:dyDescent="0.25">
      <c r="K651" s="3" t="str">
        <f t="shared" si="108"/>
        <v/>
      </c>
      <c r="L651" s="39">
        <v>622</v>
      </c>
      <c r="M651" s="3">
        <f t="shared" si="106"/>
        <v>51</v>
      </c>
      <c r="N651" s="44">
        <f t="shared" si="99"/>
        <v>0</v>
      </c>
      <c r="O651" s="8">
        <f t="shared" si="100"/>
        <v>0</v>
      </c>
      <c r="Q651" s="48">
        <f t="shared" si="101"/>
        <v>0</v>
      </c>
      <c r="R651" s="8">
        <f t="shared" si="102"/>
        <v>0</v>
      </c>
      <c r="T651" s="48">
        <f t="shared" si="103"/>
        <v>0</v>
      </c>
      <c r="U651" s="8">
        <f t="shared" si="104"/>
        <v>0</v>
      </c>
      <c r="W651" s="48">
        <f t="shared" si="107"/>
        <v>0</v>
      </c>
      <c r="X651" s="8">
        <f t="shared" si="105"/>
        <v>0</v>
      </c>
    </row>
    <row r="652" spans="11:24" ht="13.2" hidden="1" x14ac:dyDescent="0.25">
      <c r="K652" s="3" t="str">
        <f t="shared" si="108"/>
        <v/>
      </c>
      <c r="L652" s="39">
        <v>623</v>
      </c>
      <c r="M652" s="3">
        <f t="shared" si="106"/>
        <v>51</v>
      </c>
      <c r="N652" s="44">
        <f t="shared" si="99"/>
        <v>0</v>
      </c>
      <c r="O652" s="8">
        <f t="shared" si="100"/>
        <v>0</v>
      </c>
      <c r="Q652" s="48">
        <f t="shared" si="101"/>
        <v>0</v>
      </c>
      <c r="R652" s="8">
        <f t="shared" si="102"/>
        <v>0</v>
      </c>
      <c r="T652" s="48">
        <f t="shared" si="103"/>
        <v>0</v>
      </c>
      <c r="U652" s="8">
        <f t="shared" si="104"/>
        <v>0</v>
      </c>
      <c r="W652" s="48">
        <f t="shared" si="107"/>
        <v>0</v>
      </c>
      <c r="X652" s="8">
        <f t="shared" si="105"/>
        <v>0</v>
      </c>
    </row>
    <row r="653" spans="11:24" ht="13.2" hidden="1" x14ac:dyDescent="0.25">
      <c r="K653" s="3">
        <f t="shared" si="108"/>
        <v>52</v>
      </c>
      <c r="L653" s="39">
        <v>624</v>
      </c>
      <c r="M653" s="3">
        <f t="shared" si="106"/>
        <v>51</v>
      </c>
      <c r="N653" s="44">
        <f t="shared" si="99"/>
        <v>0</v>
      </c>
      <c r="O653" s="8">
        <f t="shared" si="100"/>
        <v>0</v>
      </c>
      <c r="Q653" s="48">
        <f t="shared" si="101"/>
        <v>0</v>
      </c>
      <c r="R653" s="8">
        <f t="shared" si="102"/>
        <v>0</v>
      </c>
      <c r="T653" s="48">
        <f t="shared" si="103"/>
        <v>0</v>
      </c>
      <c r="U653" s="8">
        <f t="shared" si="104"/>
        <v>0</v>
      </c>
      <c r="W653" s="48">
        <f t="shared" si="107"/>
        <v>0</v>
      </c>
      <c r="X653" s="8">
        <f t="shared" si="105"/>
        <v>0</v>
      </c>
    </row>
    <row r="654" spans="11:24" ht="13.2" hidden="1" x14ac:dyDescent="0.25">
      <c r="K654" s="3" t="str">
        <f t="shared" si="108"/>
        <v/>
      </c>
      <c r="L654" s="39">
        <v>625</v>
      </c>
      <c r="M654" s="3">
        <f t="shared" si="106"/>
        <v>52</v>
      </c>
      <c r="N654" s="44">
        <f t="shared" si="99"/>
        <v>0</v>
      </c>
      <c r="O654" s="8">
        <f t="shared" si="100"/>
        <v>0</v>
      </c>
      <c r="Q654" s="48">
        <f t="shared" si="101"/>
        <v>0</v>
      </c>
      <c r="R654" s="8">
        <f t="shared" si="102"/>
        <v>0</v>
      </c>
      <c r="T654" s="48">
        <f t="shared" si="103"/>
        <v>0</v>
      </c>
      <c r="U654" s="8">
        <f t="shared" si="104"/>
        <v>0</v>
      </c>
      <c r="W654" s="48">
        <f t="shared" si="107"/>
        <v>0</v>
      </c>
      <c r="X654" s="8">
        <f t="shared" si="105"/>
        <v>0</v>
      </c>
    </row>
    <row r="655" spans="11:24" ht="13.2" hidden="1" x14ac:dyDescent="0.25">
      <c r="K655" s="3" t="str">
        <f t="shared" si="108"/>
        <v/>
      </c>
      <c r="L655" s="39">
        <v>626</v>
      </c>
      <c r="M655" s="3">
        <f t="shared" si="106"/>
        <v>52</v>
      </c>
      <c r="N655" s="44">
        <f t="shared" si="99"/>
        <v>0</v>
      </c>
      <c r="O655" s="8">
        <f t="shared" si="100"/>
        <v>0</v>
      </c>
      <c r="Q655" s="48">
        <f t="shared" si="101"/>
        <v>0</v>
      </c>
      <c r="R655" s="8">
        <f t="shared" si="102"/>
        <v>0</v>
      </c>
      <c r="T655" s="48">
        <f t="shared" si="103"/>
        <v>0</v>
      </c>
      <c r="U655" s="8">
        <f t="shared" si="104"/>
        <v>0</v>
      </c>
      <c r="W655" s="48">
        <f t="shared" si="107"/>
        <v>0</v>
      </c>
      <c r="X655" s="8">
        <f t="shared" si="105"/>
        <v>0</v>
      </c>
    </row>
    <row r="656" spans="11:24" ht="13.2" hidden="1" x14ac:dyDescent="0.25">
      <c r="K656" s="3" t="str">
        <f t="shared" si="108"/>
        <v/>
      </c>
      <c r="L656" s="39">
        <v>627</v>
      </c>
      <c r="M656" s="3">
        <f t="shared" si="106"/>
        <v>52</v>
      </c>
      <c r="N656" s="44">
        <f t="shared" si="99"/>
        <v>0</v>
      </c>
      <c r="O656" s="8">
        <f t="shared" si="100"/>
        <v>0</v>
      </c>
      <c r="Q656" s="48">
        <f t="shared" si="101"/>
        <v>0</v>
      </c>
      <c r="R656" s="8">
        <f t="shared" si="102"/>
        <v>0</v>
      </c>
      <c r="T656" s="48">
        <f t="shared" si="103"/>
        <v>0</v>
      </c>
      <c r="U656" s="8">
        <f t="shared" si="104"/>
        <v>0</v>
      </c>
      <c r="W656" s="48">
        <f t="shared" si="107"/>
        <v>0</v>
      </c>
      <c r="X656" s="8">
        <f t="shared" si="105"/>
        <v>0</v>
      </c>
    </row>
    <row r="657" spans="11:24" ht="13.2" hidden="1" x14ac:dyDescent="0.25">
      <c r="K657" s="3" t="str">
        <f t="shared" si="108"/>
        <v/>
      </c>
      <c r="L657" s="39">
        <v>628</v>
      </c>
      <c r="M657" s="3">
        <f t="shared" si="106"/>
        <v>52</v>
      </c>
      <c r="N657" s="44">
        <f t="shared" si="99"/>
        <v>0</v>
      </c>
      <c r="O657" s="8">
        <f t="shared" si="100"/>
        <v>0</v>
      </c>
      <c r="Q657" s="48">
        <f t="shared" si="101"/>
        <v>0</v>
      </c>
      <c r="R657" s="8">
        <f t="shared" si="102"/>
        <v>0</v>
      </c>
      <c r="T657" s="48">
        <f t="shared" si="103"/>
        <v>0</v>
      </c>
      <c r="U657" s="8">
        <f t="shared" si="104"/>
        <v>0</v>
      </c>
      <c r="W657" s="48">
        <f t="shared" si="107"/>
        <v>0</v>
      </c>
      <c r="X657" s="8">
        <f t="shared" si="105"/>
        <v>0</v>
      </c>
    </row>
    <row r="658" spans="11:24" ht="13.2" hidden="1" x14ac:dyDescent="0.25">
      <c r="K658" s="3" t="str">
        <f t="shared" si="108"/>
        <v/>
      </c>
      <c r="L658" s="39">
        <v>629</v>
      </c>
      <c r="M658" s="3">
        <f t="shared" si="106"/>
        <v>52</v>
      </c>
      <c r="N658" s="44">
        <f t="shared" si="99"/>
        <v>0</v>
      </c>
      <c r="O658" s="8">
        <f t="shared" si="100"/>
        <v>0</v>
      </c>
      <c r="Q658" s="48">
        <f t="shared" si="101"/>
        <v>0</v>
      </c>
      <c r="R658" s="8">
        <f t="shared" si="102"/>
        <v>0</v>
      </c>
      <c r="T658" s="48">
        <f t="shared" si="103"/>
        <v>0</v>
      </c>
      <c r="U658" s="8">
        <f t="shared" si="104"/>
        <v>0</v>
      </c>
      <c r="W658" s="48">
        <f t="shared" si="107"/>
        <v>0</v>
      </c>
      <c r="X658" s="8">
        <f t="shared" si="105"/>
        <v>0</v>
      </c>
    </row>
    <row r="659" spans="11:24" ht="13.2" hidden="1" x14ac:dyDescent="0.25">
      <c r="K659" s="3" t="str">
        <f t="shared" si="108"/>
        <v/>
      </c>
      <c r="L659" s="39">
        <v>630</v>
      </c>
      <c r="M659" s="3">
        <f t="shared" si="106"/>
        <v>52</v>
      </c>
      <c r="N659" s="44">
        <f t="shared" si="99"/>
        <v>0</v>
      </c>
      <c r="O659" s="8">
        <f t="shared" si="100"/>
        <v>0</v>
      </c>
      <c r="Q659" s="48">
        <f t="shared" si="101"/>
        <v>0</v>
      </c>
      <c r="R659" s="8">
        <f t="shared" si="102"/>
        <v>0</v>
      </c>
      <c r="T659" s="48">
        <f t="shared" si="103"/>
        <v>0</v>
      </c>
      <c r="U659" s="8">
        <f t="shared" si="104"/>
        <v>0</v>
      </c>
      <c r="W659" s="48">
        <f t="shared" si="107"/>
        <v>0</v>
      </c>
      <c r="X659" s="8">
        <f t="shared" si="105"/>
        <v>0</v>
      </c>
    </row>
    <row r="660" spans="11:24" ht="13.2" hidden="1" x14ac:dyDescent="0.25">
      <c r="K660" s="3" t="str">
        <f t="shared" si="108"/>
        <v/>
      </c>
      <c r="L660" s="39">
        <v>631</v>
      </c>
      <c r="M660" s="3">
        <f t="shared" si="106"/>
        <v>52</v>
      </c>
      <c r="N660" s="44">
        <f t="shared" si="99"/>
        <v>0</v>
      </c>
      <c r="O660" s="8">
        <f t="shared" si="100"/>
        <v>0</v>
      </c>
      <c r="Q660" s="48">
        <f t="shared" si="101"/>
        <v>0</v>
      </c>
      <c r="R660" s="8">
        <f t="shared" si="102"/>
        <v>0</v>
      </c>
      <c r="T660" s="48">
        <f t="shared" si="103"/>
        <v>0</v>
      </c>
      <c r="U660" s="8">
        <f t="shared" si="104"/>
        <v>0</v>
      </c>
      <c r="W660" s="48">
        <f t="shared" si="107"/>
        <v>0</v>
      </c>
      <c r="X660" s="8">
        <f t="shared" si="105"/>
        <v>0</v>
      </c>
    </row>
    <row r="661" spans="11:24" ht="13.2" hidden="1" x14ac:dyDescent="0.25">
      <c r="K661" s="3" t="str">
        <f t="shared" si="108"/>
        <v/>
      </c>
      <c r="L661" s="39">
        <v>632</v>
      </c>
      <c r="M661" s="3">
        <f t="shared" si="106"/>
        <v>52</v>
      </c>
      <c r="N661" s="44">
        <f t="shared" si="99"/>
        <v>0</v>
      </c>
      <c r="O661" s="8">
        <f t="shared" si="100"/>
        <v>0</v>
      </c>
      <c r="Q661" s="48">
        <f t="shared" si="101"/>
        <v>0</v>
      </c>
      <c r="R661" s="8">
        <f t="shared" si="102"/>
        <v>0</v>
      </c>
      <c r="T661" s="48">
        <f t="shared" si="103"/>
        <v>0</v>
      </c>
      <c r="U661" s="8">
        <f t="shared" si="104"/>
        <v>0</v>
      </c>
      <c r="W661" s="48">
        <f t="shared" si="107"/>
        <v>0</v>
      </c>
      <c r="X661" s="8">
        <f t="shared" si="105"/>
        <v>0</v>
      </c>
    </row>
    <row r="662" spans="11:24" ht="13.2" hidden="1" x14ac:dyDescent="0.25">
      <c r="K662" s="3" t="str">
        <f t="shared" si="108"/>
        <v/>
      </c>
      <c r="L662" s="39">
        <v>633</v>
      </c>
      <c r="M662" s="3">
        <f t="shared" si="106"/>
        <v>52</v>
      </c>
      <c r="N662" s="44">
        <f t="shared" si="99"/>
        <v>0</v>
      </c>
      <c r="O662" s="8">
        <f t="shared" si="100"/>
        <v>0</v>
      </c>
      <c r="Q662" s="48">
        <f t="shared" si="101"/>
        <v>0</v>
      </c>
      <c r="R662" s="8">
        <f t="shared" si="102"/>
        <v>0</v>
      </c>
      <c r="T662" s="48">
        <f t="shared" si="103"/>
        <v>0</v>
      </c>
      <c r="U662" s="8">
        <f t="shared" si="104"/>
        <v>0</v>
      </c>
      <c r="W662" s="48">
        <f t="shared" si="107"/>
        <v>0</v>
      </c>
      <c r="X662" s="8">
        <f t="shared" si="105"/>
        <v>0</v>
      </c>
    </row>
    <row r="663" spans="11:24" ht="13.2" hidden="1" x14ac:dyDescent="0.25">
      <c r="K663" s="3" t="str">
        <f t="shared" si="108"/>
        <v/>
      </c>
      <c r="L663" s="39">
        <v>634</v>
      </c>
      <c r="M663" s="3">
        <f t="shared" si="106"/>
        <v>52</v>
      </c>
      <c r="N663" s="44">
        <f t="shared" si="99"/>
        <v>0</v>
      </c>
      <c r="O663" s="8">
        <f t="shared" si="100"/>
        <v>0</v>
      </c>
      <c r="Q663" s="48">
        <f t="shared" si="101"/>
        <v>0</v>
      </c>
      <c r="R663" s="8">
        <f t="shared" si="102"/>
        <v>0</v>
      </c>
      <c r="T663" s="48">
        <f t="shared" si="103"/>
        <v>0</v>
      </c>
      <c r="U663" s="8">
        <f t="shared" si="104"/>
        <v>0</v>
      </c>
      <c r="W663" s="48">
        <f t="shared" si="107"/>
        <v>0</v>
      </c>
      <c r="X663" s="8">
        <f t="shared" si="105"/>
        <v>0</v>
      </c>
    </row>
    <row r="664" spans="11:24" ht="13.2" hidden="1" x14ac:dyDescent="0.25">
      <c r="K664" s="3" t="str">
        <f t="shared" si="108"/>
        <v/>
      </c>
      <c r="L664" s="39">
        <v>635</v>
      </c>
      <c r="M664" s="3">
        <f t="shared" si="106"/>
        <v>52</v>
      </c>
      <c r="N664" s="44">
        <f t="shared" si="99"/>
        <v>0</v>
      </c>
      <c r="O664" s="8">
        <f t="shared" si="100"/>
        <v>0</v>
      </c>
      <c r="Q664" s="48">
        <f t="shared" si="101"/>
        <v>0</v>
      </c>
      <c r="R664" s="8">
        <f t="shared" si="102"/>
        <v>0</v>
      </c>
      <c r="T664" s="48">
        <f t="shared" si="103"/>
        <v>0</v>
      </c>
      <c r="U664" s="8">
        <f t="shared" si="104"/>
        <v>0</v>
      </c>
      <c r="W664" s="48">
        <f t="shared" si="107"/>
        <v>0</v>
      </c>
      <c r="X664" s="8">
        <f t="shared" si="105"/>
        <v>0</v>
      </c>
    </row>
    <row r="665" spans="11:24" ht="13.2" hidden="1" x14ac:dyDescent="0.25">
      <c r="K665" s="3">
        <f t="shared" si="108"/>
        <v>53</v>
      </c>
      <c r="L665" s="39">
        <v>636</v>
      </c>
      <c r="M665" s="3">
        <f t="shared" si="106"/>
        <v>52</v>
      </c>
      <c r="N665" s="44">
        <f t="shared" si="99"/>
        <v>0</v>
      </c>
      <c r="O665" s="8">
        <f t="shared" si="100"/>
        <v>0</v>
      </c>
      <c r="Q665" s="48">
        <f t="shared" si="101"/>
        <v>0</v>
      </c>
      <c r="R665" s="8">
        <f t="shared" si="102"/>
        <v>0</v>
      </c>
      <c r="T665" s="48">
        <f t="shared" si="103"/>
        <v>0</v>
      </c>
      <c r="U665" s="8">
        <f t="shared" si="104"/>
        <v>0</v>
      </c>
      <c r="W665" s="48">
        <f t="shared" si="107"/>
        <v>0</v>
      </c>
      <c r="X665" s="8">
        <f t="shared" si="105"/>
        <v>0</v>
      </c>
    </row>
    <row r="666" spans="11:24" ht="13.2" hidden="1" x14ac:dyDescent="0.25">
      <c r="K666" s="3" t="str">
        <f t="shared" si="108"/>
        <v/>
      </c>
      <c r="L666" s="39">
        <v>637</v>
      </c>
      <c r="M666" s="3">
        <f t="shared" si="106"/>
        <v>53</v>
      </c>
      <c r="N666" s="44">
        <f t="shared" si="99"/>
        <v>0</v>
      </c>
      <c r="O666" s="8">
        <f t="shared" si="100"/>
        <v>0</v>
      </c>
      <c r="Q666" s="48">
        <f t="shared" si="101"/>
        <v>0</v>
      </c>
      <c r="R666" s="8">
        <f t="shared" si="102"/>
        <v>0</v>
      </c>
      <c r="T666" s="48">
        <f t="shared" si="103"/>
        <v>0</v>
      </c>
      <c r="U666" s="8">
        <f t="shared" si="104"/>
        <v>0</v>
      </c>
      <c r="W666" s="48">
        <f t="shared" si="107"/>
        <v>0</v>
      </c>
      <c r="X666" s="8">
        <f t="shared" si="105"/>
        <v>0</v>
      </c>
    </row>
    <row r="667" spans="11:24" ht="13.2" hidden="1" x14ac:dyDescent="0.25">
      <c r="K667" s="3" t="str">
        <f t="shared" si="108"/>
        <v/>
      </c>
      <c r="L667" s="39">
        <v>638</v>
      </c>
      <c r="M667" s="3">
        <f t="shared" si="106"/>
        <v>53</v>
      </c>
      <c r="N667" s="44">
        <f t="shared" si="99"/>
        <v>0</v>
      </c>
      <c r="O667" s="8">
        <f t="shared" si="100"/>
        <v>0</v>
      </c>
      <c r="Q667" s="48">
        <f t="shared" si="101"/>
        <v>0</v>
      </c>
      <c r="R667" s="8">
        <f t="shared" si="102"/>
        <v>0</v>
      </c>
      <c r="T667" s="48">
        <f t="shared" si="103"/>
        <v>0</v>
      </c>
      <c r="U667" s="8">
        <f t="shared" si="104"/>
        <v>0</v>
      </c>
      <c r="W667" s="48">
        <f t="shared" si="107"/>
        <v>0</v>
      </c>
      <c r="X667" s="8">
        <f t="shared" si="105"/>
        <v>0</v>
      </c>
    </row>
    <row r="668" spans="11:24" ht="13.2" hidden="1" x14ac:dyDescent="0.25">
      <c r="K668" s="3" t="str">
        <f t="shared" si="108"/>
        <v/>
      </c>
      <c r="L668" s="39">
        <v>639</v>
      </c>
      <c r="M668" s="3">
        <f t="shared" si="106"/>
        <v>53</v>
      </c>
      <c r="N668" s="44">
        <f t="shared" si="99"/>
        <v>0</v>
      </c>
      <c r="O668" s="8">
        <f t="shared" si="100"/>
        <v>0</v>
      </c>
      <c r="Q668" s="48">
        <f t="shared" si="101"/>
        <v>0</v>
      </c>
      <c r="R668" s="8">
        <f t="shared" si="102"/>
        <v>0</v>
      </c>
      <c r="T668" s="48">
        <f t="shared" si="103"/>
        <v>0</v>
      </c>
      <c r="U668" s="8">
        <f t="shared" si="104"/>
        <v>0</v>
      </c>
      <c r="W668" s="48">
        <f t="shared" si="107"/>
        <v>0</v>
      </c>
      <c r="X668" s="8">
        <f t="shared" si="105"/>
        <v>0</v>
      </c>
    </row>
    <row r="669" spans="11:24" ht="13.2" hidden="1" x14ac:dyDescent="0.25">
      <c r="K669" s="3" t="str">
        <f t="shared" si="108"/>
        <v/>
      </c>
      <c r="L669" s="39">
        <v>640</v>
      </c>
      <c r="M669" s="3">
        <f t="shared" si="106"/>
        <v>53</v>
      </c>
      <c r="N669" s="44">
        <f t="shared" si="99"/>
        <v>0</v>
      </c>
      <c r="O669" s="8">
        <f t="shared" si="100"/>
        <v>0</v>
      </c>
      <c r="Q669" s="48">
        <f t="shared" si="101"/>
        <v>0</v>
      </c>
      <c r="R669" s="8">
        <f t="shared" si="102"/>
        <v>0</v>
      </c>
      <c r="T669" s="48">
        <f t="shared" si="103"/>
        <v>0</v>
      </c>
      <c r="U669" s="8">
        <f t="shared" si="104"/>
        <v>0</v>
      </c>
      <c r="W669" s="48">
        <f t="shared" si="107"/>
        <v>0</v>
      </c>
      <c r="X669" s="8">
        <f t="shared" si="105"/>
        <v>0</v>
      </c>
    </row>
    <row r="670" spans="11:24" ht="13.2" hidden="1" x14ac:dyDescent="0.25">
      <c r="K670" s="3" t="str">
        <f t="shared" si="108"/>
        <v/>
      </c>
      <c r="L670" s="39">
        <v>641</v>
      </c>
      <c r="M670" s="3">
        <f t="shared" si="106"/>
        <v>53</v>
      </c>
      <c r="N670" s="44">
        <f t="shared" si="99"/>
        <v>0</v>
      </c>
      <c r="O670" s="8">
        <f t="shared" si="100"/>
        <v>0</v>
      </c>
      <c r="Q670" s="48">
        <f t="shared" si="101"/>
        <v>0</v>
      </c>
      <c r="R670" s="8">
        <f t="shared" si="102"/>
        <v>0</v>
      </c>
      <c r="T670" s="48">
        <f t="shared" si="103"/>
        <v>0</v>
      </c>
      <c r="U670" s="8">
        <f t="shared" si="104"/>
        <v>0</v>
      </c>
      <c r="W670" s="48">
        <f t="shared" si="107"/>
        <v>0</v>
      </c>
      <c r="X670" s="8">
        <f t="shared" si="105"/>
        <v>0</v>
      </c>
    </row>
    <row r="671" spans="11:24" ht="13.2" hidden="1" x14ac:dyDescent="0.25">
      <c r="K671" s="3" t="str">
        <f t="shared" si="108"/>
        <v/>
      </c>
      <c r="L671" s="39">
        <v>642</v>
      </c>
      <c r="M671" s="3">
        <f t="shared" si="106"/>
        <v>53</v>
      </c>
      <c r="N671" s="44">
        <f t="shared" si="99"/>
        <v>0</v>
      </c>
      <c r="O671" s="8">
        <f t="shared" si="100"/>
        <v>0</v>
      </c>
      <c r="Q671" s="48">
        <f t="shared" si="101"/>
        <v>0</v>
      </c>
      <c r="R671" s="8">
        <f t="shared" si="102"/>
        <v>0</v>
      </c>
      <c r="T671" s="48">
        <f t="shared" si="103"/>
        <v>0</v>
      </c>
      <c r="U671" s="8">
        <f t="shared" si="104"/>
        <v>0</v>
      </c>
      <c r="W671" s="48">
        <f t="shared" si="107"/>
        <v>0</v>
      </c>
      <c r="X671" s="8">
        <f t="shared" si="105"/>
        <v>0</v>
      </c>
    </row>
    <row r="672" spans="11:24" ht="13.2" hidden="1" x14ac:dyDescent="0.25">
      <c r="K672" s="3" t="str">
        <f t="shared" si="108"/>
        <v/>
      </c>
      <c r="L672" s="39">
        <v>643</v>
      </c>
      <c r="M672" s="3">
        <f t="shared" si="106"/>
        <v>53</v>
      </c>
      <c r="N672" s="44">
        <f t="shared" si="99"/>
        <v>0</v>
      </c>
      <c r="O672" s="8">
        <f t="shared" si="100"/>
        <v>0</v>
      </c>
      <c r="Q672" s="48">
        <f t="shared" si="101"/>
        <v>0</v>
      </c>
      <c r="R672" s="8">
        <f t="shared" si="102"/>
        <v>0</v>
      </c>
      <c r="T672" s="48">
        <f t="shared" si="103"/>
        <v>0</v>
      </c>
      <c r="U672" s="8">
        <f t="shared" si="104"/>
        <v>0</v>
      </c>
      <c r="W672" s="48">
        <f t="shared" si="107"/>
        <v>0</v>
      </c>
      <c r="X672" s="8">
        <f t="shared" si="105"/>
        <v>0</v>
      </c>
    </row>
    <row r="673" spans="11:24" ht="13.2" hidden="1" x14ac:dyDescent="0.25">
      <c r="K673" s="3" t="str">
        <f t="shared" si="108"/>
        <v/>
      </c>
      <c r="L673" s="39">
        <v>644</v>
      </c>
      <c r="M673" s="3">
        <f t="shared" si="106"/>
        <v>53</v>
      </c>
      <c r="N673" s="44">
        <f t="shared" ref="N673:N736" si="109">IF(L673&lt;=InvMonths,SU_Amt*(1+$C$19)^M673,0)</f>
        <v>0</v>
      </c>
      <c r="O673" s="8">
        <f t="shared" ref="O673:O736" si="110">FV($S$1,(InvMonths-L673+1),0,-N673,1)</f>
        <v>0</v>
      </c>
      <c r="Q673" s="48">
        <f t="shared" ref="Q673:Q736" si="111">IF(L673&lt;=InvMonths,$R$27*(1+$C$19)^M673,0)</f>
        <v>0</v>
      </c>
      <c r="R673" s="8">
        <f t="shared" ref="R673:R736" si="112">FV($S$1,(InvMonths-L673+1),0,-Q673,1)</f>
        <v>0</v>
      </c>
      <c r="T673" s="48">
        <f t="shared" ref="T673:T736" si="113">IF(L673&lt;=InvMonths,$U$27,0)</f>
        <v>0</v>
      </c>
      <c r="U673" s="8">
        <f t="shared" ref="U673:U736" si="114">FV($S$1,(InvMonths-L673+1),0,-T673,1)</f>
        <v>0</v>
      </c>
      <c r="W673" s="48">
        <f t="shared" si="107"/>
        <v>0</v>
      </c>
      <c r="X673" s="8">
        <f t="shared" ref="X673:X736" si="115">FV($S$1,($X$26-L673+1),0,-W673,1)</f>
        <v>0</v>
      </c>
    </row>
    <row r="674" spans="11:24" ht="13.2" hidden="1" x14ac:dyDescent="0.25">
      <c r="K674" s="3" t="str">
        <f t="shared" si="108"/>
        <v/>
      </c>
      <c r="L674" s="39">
        <v>645</v>
      </c>
      <c r="M674" s="3">
        <f t="shared" ref="M674:M737" si="116">IF(MOD(L674,12)=0,(L674/12)-1,QUOTIENT(L674,12))</f>
        <v>53</v>
      </c>
      <c r="N674" s="44">
        <f t="shared" si="109"/>
        <v>0</v>
      </c>
      <c r="O674" s="8">
        <f t="shared" si="110"/>
        <v>0</v>
      </c>
      <c r="Q674" s="48">
        <f t="shared" si="111"/>
        <v>0</v>
      </c>
      <c r="R674" s="8">
        <f t="shared" si="112"/>
        <v>0</v>
      </c>
      <c r="T674" s="48">
        <f t="shared" si="113"/>
        <v>0</v>
      </c>
      <c r="U674" s="8">
        <f t="shared" si="114"/>
        <v>0</v>
      </c>
      <c r="W674" s="48">
        <f t="shared" ref="W674:W737" si="117">IF(L674&lt;=$X$26,$X$27,0)</f>
        <v>0</v>
      </c>
      <c r="X674" s="8">
        <f t="shared" si="115"/>
        <v>0</v>
      </c>
    </row>
    <row r="675" spans="11:24" ht="13.2" hidden="1" x14ac:dyDescent="0.25">
      <c r="K675" s="3" t="str">
        <f t="shared" si="108"/>
        <v/>
      </c>
      <c r="L675" s="39">
        <v>646</v>
      </c>
      <c r="M675" s="3">
        <f t="shared" si="116"/>
        <v>53</v>
      </c>
      <c r="N675" s="44">
        <f t="shared" si="109"/>
        <v>0</v>
      </c>
      <c r="O675" s="8">
        <f t="shared" si="110"/>
        <v>0</v>
      </c>
      <c r="Q675" s="48">
        <f t="shared" si="111"/>
        <v>0</v>
      </c>
      <c r="R675" s="8">
        <f t="shared" si="112"/>
        <v>0</v>
      </c>
      <c r="T675" s="48">
        <f t="shared" si="113"/>
        <v>0</v>
      </c>
      <c r="U675" s="8">
        <f t="shared" si="114"/>
        <v>0</v>
      </c>
      <c r="W675" s="48">
        <f t="shared" si="117"/>
        <v>0</v>
      </c>
      <c r="X675" s="8">
        <f t="shared" si="115"/>
        <v>0</v>
      </c>
    </row>
    <row r="676" spans="11:24" ht="13.2" hidden="1" x14ac:dyDescent="0.25">
      <c r="K676" s="3" t="str">
        <f t="shared" si="108"/>
        <v/>
      </c>
      <c r="L676" s="39">
        <v>647</v>
      </c>
      <c r="M676" s="3">
        <f t="shared" si="116"/>
        <v>53</v>
      </c>
      <c r="N676" s="44">
        <f t="shared" si="109"/>
        <v>0</v>
      </c>
      <c r="O676" s="8">
        <f t="shared" si="110"/>
        <v>0</v>
      </c>
      <c r="Q676" s="48">
        <f t="shared" si="111"/>
        <v>0</v>
      </c>
      <c r="R676" s="8">
        <f t="shared" si="112"/>
        <v>0</v>
      </c>
      <c r="T676" s="48">
        <f t="shared" si="113"/>
        <v>0</v>
      </c>
      <c r="U676" s="8">
        <f t="shared" si="114"/>
        <v>0</v>
      </c>
      <c r="W676" s="48">
        <f t="shared" si="117"/>
        <v>0</v>
      </c>
      <c r="X676" s="8">
        <f t="shared" si="115"/>
        <v>0</v>
      </c>
    </row>
    <row r="677" spans="11:24" ht="13.2" hidden="1" x14ac:dyDescent="0.25">
      <c r="K677" s="3">
        <f t="shared" si="108"/>
        <v>54</v>
      </c>
      <c r="L677" s="39">
        <v>648</v>
      </c>
      <c r="M677" s="3">
        <f t="shared" si="116"/>
        <v>53</v>
      </c>
      <c r="N677" s="44">
        <f t="shared" si="109"/>
        <v>0</v>
      </c>
      <c r="O677" s="8">
        <f t="shared" si="110"/>
        <v>0</v>
      </c>
      <c r="Q677" s="48">
        <f t="shared" si="111"/>
        <v>0</v>
      </c>
      <c r="R677" s="8">
        <f t="shared" si="112"/>
        <v>0</v>
      </c>
      <c r="T677" s="48">
        <f t="shared" si="113"/>
        <v>0</v>
      </c>
      <c r="U677" s="8">
        <f t="shared" si="114"/>
        <v>0</v>
      </c>
      <c r="W677" s="48">
        <f t="shared" si="117"/>
        <v>0</v>
      </c>
      <c r="X677" s="8">
        <f t="shared" si="115"/>
        <v>0</v>
      </c>
    </row>
    <row r="678" spans="11:24" ht="13.2" hidden="1" x14ac:dyDescent="0.25">
      <c r="K678" s="3" t="str">
        <f t="shared" si="108"/>
        <v/>
      </c>
      <c r="L678" s="39">
        <v>649</v>
      </c>
      <c r="M678" s="3">
        <f t="shared" si="116"/>
        <v>54</v>
      </c>
      <c r="N678" s="44">
        <f t="shared" si="109"/>
        <v>0</v>
      </c>
      <c r="O678" s="8">
        <f t="shared" si="110"/>
        <v>0</v>
      </c>
      <c r="Q678" s="48">
        <f t="shared" si="111"/>
        <v>0</v>
      </c>
      <c r="R678" s="8">
        <f t="shared" si="112"/>
        <v>0</v>
      </c>
      <c r="T678" s="48">
        <f t="shared" si="113"/>
        <v>0</v>
      </c>
      <c r="U678" s="8">
        <f t="shared" si="114"/>
        <v>0</v>
      </c>
      <c r="W678" s="48">
        <f t="shared" si="117"/>
        <v>0</v>
      </c>
      <c r="X678" s="8">
        <f t="shared" si="115"/>
        <v>0</v>
      </c>
    </row>
    <row r="679" spans="11:24" ht="13.2" hidden="1" x14ac:dyDescent="0.25">
      <c r="K679" s="3" t="str">
        <f t="shared" si="108"/>
        <v/>
      </c>
      <c r="L679" s="39">
        <v>650</v>
      </c>
      <c r="M679" s="3">
        <f t="shared" si="116"/>
        <v>54</v>
      </c>
      <c r="N679" s="44">
        <f t="shared" si="109"/>
        <v>0</v>
      </c>
      <c r="O679" s="8">
        <f t="shared" si="110"/>
        <v>0</v>
      </c>
      <c r="Q679" s="48">
        <f t="shared" si="111"/>
        <v>0</v>
      </c>
      <c r="R679" s="8">
        <f t="shared" si="112"/>
        <v>0</v>
      </c>
      <c r="T679" s="48">
        <f t="shared" si="113"/>
        <v>0</v>
      </c>
      <c r="U679" s="8">
        <f t="shared" si="114"/>
        <v>0</v>
      </c>
      <c r="W679" s="48">
        <f t="shared" si="117"/>
        <v>0</v>
      </c>
      <c r="X679" s="8">
        <f t="shared" si="115"/>
        <v>0</v>
      </c>
    </row>
    <row r="680" spans="11:24" ht="13.2" hidden="1" x14ac:dyDescent="0.25">
      <c r="K680" s="3" t="str">
        <f t="shared" si="108"/>
        <v/>
      </c>
      <c r="L680" s="39">
        <v>651</v>
      </c>
      <c r="M680" s="3">
        <f t="shared" si="116"/>
        <v>54</v>
      </c>
      <c r="N680" s="44">
        <f t="shared" si="109"/>
        <v>0</v>
      </c>
      <c r="O680" s="8">
        <f t="shared" si="110"/>
        <v>0</v>
      </c>
      <c r="Q680" s="48">
        <f t="shared" si="111"/>
        <v>0</v>
      </c>
      <c r="R680" s="8">
        <f t="shared" si="112"/>
        <v>0</v>
      </c>
      <c r="T680" s="48">
        <f t="shared" si="113"/>
        <v>0</v>
      </c>
      <c r="U680" s="8">
        <f t="shared" si="114"/>
        <v>0</v>
      </c>
      <c r="W680" s="48">
        <f t="shared" si="117"/>
        <v>0</v>
      </c>
      <c r="X680" s="8">
        <f t="shared" si="115"/>
        <v>0</v>
      </c>
    </row>
    <row r="681" spans="11:24" ht="13.2" hidden="1" x14ac:dyDescent="0.25">
      <c r="K681" s="3" t="str">
        <f t="shared" si="108"/>
        <v/>
      </c>
      <c r="L681" s="39">
        <v>652</v>
      </c>
      <c r="M681" s="3">
        <f t="shared" si="116"/>
        <v>54</v>
      </c>
      <c r="N681" s="44">
        <f t="shared" si="109"/>
        <v>0</v>
      </c>
      <c r="O681" s="8">
        <f t="shared" si="110"/>
        <v>0</v>
      </c>
      <c r="Q681" s="48">
        <f t="shared" si="111"/>
        <v>0</v>
      </c>
      <c r="R681" s="8">
        <f t="shared" si="112"/>
        <v>0</v>
      </c>
      <c r="T681" s="48">
        <f t="shared" si="113"/>
        <v>0</v>
      </c>
      <c r="U681" s="8">
        <f t="shared" si="114"/>
        <v>0</v>
      </c>
      <c r="W681" s="48">
        <f t="shared" si="117"/>
        <v>0</v>
      </c>
      <c r="X681" s="8">
        <f t="shared" si="115"/>
        <v>0</v>
      </c>
    </row>
    <row r="682" spans="11:24" ht="13.2" hidden="1" x14ac:dyDescent="0.25">
      <c r="K682" s="3" t="str">
        <f t="shared" ref="K682:K745" si="118">IF(MOD(L682,12)=0,L682/12,"")</f>
        <v/>
      </c>
      <c r="L682" s="39">
        <v>653</v>
      </c>
      <c r="M682" s="3">
        <f t="shared" si="116"/>
        <v>54</v>
      </c>
      <c r="N682" s="44">
        <f t="shared" si="109"/>
        <v>0</v>
      </c>
      <c r="O682" s="8">
        <f t="shared" si="110"/>
        <v>0</v>
      </c>
      <c r="Q682" s="48">
        <f t="shared" si="111"/>
        <v>0</v>
      </c>
      <c r="R682" s="8">
        <f t="shared" si="112"/>
        <v>0</v>
      </c>
      <c r="T682" s="48">
        <f t="shared" si="113"/>
        <v>0</v>
      </c>
      <c r="U682" s="8">
        <f t="shared" si="114"/>
        <v>0</v>
      </c>
      <c r="W682" s="48">
        <f t="shared" si="117"/>
        <v>0</v>
      </c>
      <c r="X682" s="8">
        <f t="shared" si="115"/>
        <v>0</v>
      </c>
    </row>
    <row r="683" spans="11:24" ht="13.2" hidden="1" x14ac:dyDescent="0.25">
      <c r="K683" s="3" t="str">
        <f t="shared" si="118"/>
        <v/>
      </c>
      <c r="L683" s="39">
        <v>654</v>
      </c>
      <c r="M683" s="3">
        <f t="shared" si="116"/>
        <v>54</v>
      </c>
      <c r="N683" s="44">
        <f t="shared" si="109"/>
        <v>0</v>
      </c>
      <c r="O683" s="8">
        <f t="shared" si="110"/>
        <v>0</v>
      </c>
      <c r="Q683" s="48">
        <f t="shared" si="111"/>
        <v>0</v>
      </c>
      <c r="R683" s="8">
        <f t="shared" si="112"/>
        <v>0</v>
      </c>
      <c r="T683" s="48">
        <f t="shared" si="113"/>
        <v>0</v>
      </c>
      <c r="U683" s="8">
        <f t="shared" si="114"/>
        <v>0</v>
      </c>
      <c r="W683" s="48">
        <f t="shared" si="117"/>
        <v>0</v>
      </c>
      <c r="X683" s="8">
        <f t="shared" si="115"/>
        <v>0</v>
      </c>
    </row>
    <row r="684" spans="11:24" ht="13.2" hidden="1" x14ac:dyDescent="0.25">
      <c r="K684" s="3" t="str">
        <f t="shared" si="118"/>
        <v/>
      </c>
      <c r="L684" s="39">
        <v>655</v>
      </c>
      <c r="M684" s="3">
        <f t="shared" si="116"/>
        <v>54</v>
      </c>
      <c r="N684" s="44">
        <f t="shared" si="109"/>
        <v>0</v>
      </c>
      <c r="O684" s="8">
        <f t="shared" si="110"/>
        <v>0</v>
      </c>
      <c r="Q684" s="48">
        <f t="shared" si="111"/>
        <v>0</v>
      </c>
      <c r="R684" s="8">
        <f t="shared" si="112"/>
        <v>0</v>
      </c>
      <c r="T684" s="48">
        <f t="shared" si="113"/>
        <v>0</v>
      </c>
      <c r="U684" s="8">
        <f t="shared" si="114"/>
        <v>0</v>
      </c>
      <c r="W684" s="48">
        <f t="shared" si="117"/>
        <v>0</v>
      </c>
      <c r="X684" s="8">
        <f t="shared" si="115"/>
        <v>0</v>
      </c>
    </row>
    <row r="685" spans="11:24" ht="13.2" hidden="1" x14ac:dyDescent="0.25">
      <c r="K685" s="3" t="str">
        <f t="shared" si="118"/>
        <v/>
      </c>
      <c r="L685" s="39">
        <v>656</v>
      </c>
      <c r="M685" s="3">
        <f t="shared" si="116"/>
        <v>54</v>
      </c>
      <c r="N685" s="44">
        <f t="shared" si="109"/>
        <v>0</v>
      </c>
      <c r="O685" s="8">
        <f t="shared" si="110"/>
        <v>0</v>
      </c>
      <c r="Q685" s="48">
        <f t="shared" si="111"/>
        <v>0</v>
      </c>
      <c r="R685" s="8">
        <f t="shared" si="112"/>
        <v>0</v>
      </c>
      <c r="T685" s="48">
        <f t="shared" si="113"/>
        <v>0</v>
      </c>
      <c r="U685" s="8">
        <f t="shared" si="114"/>
        <v>0</v>
      </c>
      <c r="W685" s="48">
        <f t="shared" si="117"/>
        <v>0</v>
      </c>
      <c r="X685" s="8">
        <f t="shared" si="115"/>
        <v>0</v>
      </c>
    </row>
    <row r="686" spans="11:24" ht="13.2" hidden="1" x14ac:dyDescent="0.25">
      <c r="K686" s="3" t="str">
        <f t="shared" si="118"/>
        <v/>
      </c>
      <c r="L686" s="39">
        <v>657</v>
      </c>
      <c r="M686" s="3">
        <f t="shared" si="116"/>
        <v>54</v>
      </c>
      <c r="N686" s="44">
        <f t="shared" si="109"/>
        <v>0</v>
      </c>
      <c r="O686" s="8">
        <f t="shared" si="110"/>
        <v>0</v>
      </c>
      <c r="Q686" s="48">
        <f t="shared" si="111"/>
        <v>0</v>
      </c>
      <c r="R686" s="8">
        <f t="shared" si="112"/>
        <v>0</v>
      </c>
      <c r="T686" s="48">
        <f t="shared" si="113"/>
        <v>0</v>
      </c>
      <c r="U686" s="8">
        <f t="shared" si="114"/>
        <v>0</v>
      </c>
      <c r="W686" s="48">
        <f t="shared" si="117"/>
        <v>0</v>
      </c>
      <c r="X686" s="8">
        <f t="shared" si="115"/>
        <v>0</v>
      </c>
    </row>
    <row r="687" spans="11:24" ht="13.2" hidden="1" x14ac:dyDescent="0.25">
      <c r="K687" s="3" t="str">
        <f t="shared" si="118"/>
        <v/>
      </c>
      <c r="L687" s="39">
        <v>658</v>
      </c>
      <c r="M687" s="3">
        <f t="shared" si="116"/>
        <v>54</v>
      </c>
      <c r="N687" s="44">
        <f t="shared" si="109"/>
        <v>0</v>
      </c>
      <c r="O687" s="8">
        <f t="shared" si="110"/>
        <v>0</v>
      </c>
      <c r="Q687" s="48">
        <f t="shared" si="111"/>
        <v>0</v>
      </c>
      <c r="R687" s="8">
        <f t="shared" si="112"/>
        <v>0</v>
      </c>
      <c r="T687" s="48">
        <f t="shared" si="113"/>
        <v>0</v>
      </c>
      <c r="U687" s="8">
        <f t="shared" si="114"/>
        <v>0</v>
      </c>
      <c r="W687" s="48">
        <f t="shared" si="117"/>
        <v>0</v>
      </c>
      <c r="X687" s="8">
        <f t="shared" si="115"/>
        <v>0</v>
      </c>
    </row>
    <row r="688" spans="11:24" ht="13.2" hidden="1" x14ac:dyDescent="0.25">
      <c r="K688" s="3" t="str">
        <f t="shared" si="118"/>
        <v/>
      </c>
      <c r="L688" s="39">
        <v>659</v>
      </c>
      <c r="M688" s="3">
        <f t="shared" si="116"/>
        <v>54</v>
      </c>
      <c r="N688" s="44">
        <f t="shared" si="109"/>
        <v>0</v>
      </c>
      <c r="O688" s="8">
        <f t="shared" si="110"/>
        <v>0</v>
      </c>
      <c r="Q688" s="48">
        <f t="shared" si="111"/>
        <v>0</v>
      </c>
      <c r="R688" s="8">
        <f t="shared" si="112"/>
        <v>0</v>
      </c>
      <c r="T688" s="48">
        <f t="shared" si="113"/>
        <v>0</v>
      </c>
      <c r="U688" s="8">
        <f t="shared" si="114"/>
        <v>0</v>
      </c>
      <c r="W688" s="48">
        <f t="shared" si="117"/>
        <v>0</v>
      </c>
      <c r="X688" s="8">
        <f t="shared" si="115"/>
        <v>0</v>
      </c>
    </row>
    <row r="689" spans="11:24" ht="13.2" hidden="1" x14ac:dyDescent="0.25">
      <c r="K689" s="3">
        <f t="shared" si="118"/>
        <v>55</v>
      </c>
      <c r="L689" s="39">
        <v>660</v>
      </c>
      <c r="M689" s="3">
        <f t="shared" si="116"/>
        <v>54</v>
      </c>
      <c r="N689" s="44">
        <f t="shared" si="109"/>
        <v>0</v>
      </c>
      <c r="O689" s="8">
        <f t="shared" si="110"/>
        <v>0</v>
      </c>
      <c r="Q689" s="48">
        <f t="shared" si="111"/>
        <v>0</v>
      </c>
      <c r="R689" s="8">
        <f t="shared" si="112"/>
        <v>0</v>
      </c>
      <c r="T689" s="48">
        <f t="shared" si="113"/>
        <v>0</v>
      </c>
      <c r="U689" s="8">
        <f t="shared" si="114"/>
        <v>0</v>
      </c>
      <c r="W689" s="48">
        <f t="shared" si="117"/>
        <v>0</v>
      </c>
      <c r="X689" s="8">
        <f t="shared" si="115"/>
        <v>0</v>
      </c>
    </row>
    <row r="690" spans="11:24" ht="13.2" hidden="1" x14ac:dyDescent="0.25">
      <c r="K690" s="3" t="str">
        <f t="shared" si="118"/>
        <v/>
      </c>
      <c r="L690" s="39">
        <v>661</v>
      </c>
      <c r="M690" s="3">
        <f t="shared" si="116"/>
        <v>55</v>
      </c>
      <c r="N690" s="44">
        <f t="shared" si="109"/>
        <v>0</v>
      </c>
      <c r="O690" s="8">
        <f t="shared" si="110"/>
        <v>0</v>
      </c>
      <c r="Q690" s="48">
        <f t="shared" si="111"/>
        <v>0</v>
      </c>
      <c r="R690" s="8">
        <f t="shared" si="112"/>
        <v>0</v>
      </c>
      <c r="T690" s="48">
        <f t="shared" si="113"/>
        <v>0</v>
      </c>
      <c r="U690" s="8">
        <f t="shared" si="114"/>
        <v>0</v>
      </c>
      <c r="W690" s="48">
        <f t="shared" si="117"/>
        <v>0</v>
      </c>
      <c r="X690" s="8">
        <f t="shared" si="115"/>
        <v>0</v>
      </c>
    </row>
    <row r="691" spans="11:24" ht="13.2" hidden="1" x14ac:dyDescent="0.25">
      <c r="K691" s="3" t="str">
        <f t="shared" si="118"/>
        <v/>
      </c>
      <c r="L691" s="39">
        <v>662</v>
      </c>
      <c r="M691" s="3">
        <f t="shared" si="116"/>
        <v>55</v>
      </c>
      <c r="N691" s="44">
        <f t="shared" si="109"/>
        <v>0</v>
      </c>
      <c r="O691" s="8">
        <f t="shared" si="110"/>
        <v>0</v>
      </c>
      <c r="Q691" s="48">
        <f t="shared" si="111"/>
        <v>0</v>
      </c>
      <c r="R691" s="8">
        <f t="shared" si="112"/>
        <v>0</v>
      </c>
      <c r="T691" s="48">
        <f t="shared" si="113"/>
        <v>0</v>
      </c>
      <c r="U691" s="8">
        <f t="shared" si="114"/>
        <v>0</v>
      </c>
      <c r="W691" s="48">
        <f t="shared" si="117"/>
        <v>0</v>
      </c>
      <c r="X691" s="8">
        <f t="shared" si="115"/>
        <v>0</v>
      </c>
    </row>
    <row r="692" spans="11:24" ht="13.2" hidden="1" x14ac:dyDescent="0.25">
      <c r="K692" s="3" t="str">
        <f t="shared" si="118"/>
        <v/>
      </c>
      <c r="L692" s="39">
        <v>663</v>
      </c>
      <c r="M692" s="3">
        <f t="shared" si="116"/>
        <v>55</v>
      </c>
      <c r="N692" s="44">
        <f t="shared" si="109"/>
        <v>0</v>
      </c>
      <c r="O692" s="8">
        <f t="shared" si="110"/>
        <v>0</v>
      </c>
      <c r="Q692" s="48">
        <f t="shared" si="111"/>
        <v>0</v>
      </c>
      <c r="R692" s="8">
        <f t="shared" si="112"/>
        <v>0</v>
      </c>
      <c r="T692" s="48">
        <f t="shared" si="113"/>
        <v>0</v>
      </c>
      <c r="U692" s="8">
        <f t="shared" si="114"/>
        <v>0</v>
      </c>
      <c r="W692" s="48">
        <f t="shared" si="117"/>
        <v>0</v>
      </c>
      <c r="X692" s="8">
        <f t="shared" si="115"/>
        <v>0</v>
      </c>
    </row>
    <row r="693" spans="11:24" ht="13.2" hidden="1" x14ac:dyDescent="0.25">
      <c r="K693" s="3" t="str">
        <f t="shared" si="118"/>
        <v/>
      </c>
      <c r="L693" s="39">
        <v>664</v>
      </c>
      <c r="M693" s="3">
        <f t="shared" si="116"/>
        <v>55</v>
      </c>
      <c r="N693" s="44">
        <f t="shared" si="109"/>
        <v>0</v>
      </c>
      <c r="O693" s="8">
        <f t="shared" si="110"/>
        <v>0</v>
      </c>
      <c r="Q693" s="48">
        <f t="shared" si="111"/>
        <v>0</v>
      </c>
      <c r="R693" s="8">
        <f t="shared" si="112"/>
        <v>0</v>
      </c>
      <c r="T693" s="48">
        <f t="shared" si="113"/>
        <v>0</v>
      </c>
      <c r="U693" s="8">
        <f t="shared" si="114"/>
        <v>0</v>
      </c>
      <c r="W693" s="48">
        <f t="shared" si="117"/>
        <v>0</v>
      </c>
      <c r="X693" s="8">
        <f t="shared" si="115"/>
        <v>0</v>
      </c>
    </row>
    <row r="694" spans="11:24" ht="13.2" hidden="1" x14ac:dyDescent="0.25">
      <c r="K694" s="3" t="str">
        <f t="shared" si="118"/>
        <v/>
      </c>
      <c r="L694" s="39">
        <v>665</v>
      </c>
      <c r="M694" s="3">
        <f t="shared" si="116"/>
        <v>55</v>
      </c>
      <c r="N694" s="44">
        <f t="shared" si="109"/>
        <v>0</v>
      </c>
      <c r="O694" s="8">
        <f t="shared" si="110"/>
        <v>0</v>
      </c>
      <c r="Q694" s="48">
        <f t="shared" si="111"/>
        <v>0</v>
      </c>
      <c r="R694" s="8">
        <f t="shared" si="112"/>
        <v>0</v>
      </c>
      <c r="T694" s="48">
        <f t="shared" si="113"/>
        <v>0</v>
      </c>
      <c r="U694" s="8">
        <f t="shared" si="114"/>
        <v>0</v>
      </c>
      <c r="W694" s="48">
        <f t="shared" si="117"/>
        <v>0</v>
      </c>
      <c r="X694" s="8">
        <f t="shared" si="115"/>
        <v>0</v>
      </c>
    </row>
    <row r="695" spans="11:24" ht="13.2" hidden="1" x14ac:dyDescent="0.25">
      <c r="K695" s="3" t="str">
        <f t="shared" si="118"/>
        <v/>
      </c>
      <c r="L695" s="39">
        <v>666</v>
      </c>
      <c r="M695" s="3">
        <f t="shared" si="116"/>
        <v>55</v>
      </c>
      <c r="N695" s="44">
        <f t="shared" si="109"/>
        <v>0</v>
      </c>
      <c r="O695" s="8">
        <f t="shared" si="110"/>
        <v>0</v>
      </c>
      <c r="Q695" s="48">
        <f t="shared" si="111"/>
        <v>0</v>
      </c>
      <c r="R695" s="8">
        <f t="shared" si="112"/>
        <v>0</v>
      </c>
      <c r="T695" s="48">
        <f t="shared" si="113"/>
        <v>0</v>
      </c>
      <c r="U695" s="8">
        <f t="shared" si="114"/>
        <v>0</v>
      </c>
      <c r="W695" s="48">
        <f t="shared" si="117"/>
        <v>0</v>
      </c>
      <c r="X695" s="8">
        <f t="shared" si="115"/>
        <v>0</v>
      </c>
    </row>
    <row r="696" spans="11:24" ht="13.2" hidden="1" x14ac:dyDescent="0.25">
      <c r="K696" s="3" t="str">
        <f t="shared" si="118"/>
        <v/>
      </c>
      <c r="L696" s="39">
        <v>667</v>
      </c>
      <c r="M696" s="3">
        <f t="shared" si="116"/>
        <v>55</v>
      </c>
      <c r="N696" s="44">
        <f t="shared" si="109"/>
        <v>0</v>
      </c>
      <c r="O696" s="8">
        <f t="shared" si="110"/>
        <v>0</v>
      </c>
      <c r="Q696" s="48">
        <f t="shared" si="111"/>
        <v>0</v>
      </c>
      <c r="R696" s="8">
        <f t="shared" si="112"/>
        <v>0</v>
      </c>
      <c r="T696" s="48">
        <f t="shared" si="113"/>
        <v>0</v>
      </c>
      <c r="U696" s="8">
        <f t="shared" si="114"/>
        <v>0</v>
      </c>
      <c r="W696" s="48">
        <f t="shared" si="117"/>
        <v>0</v>
      </c>
      <c r="X696" s="8">
        <f t="shared" si="115"/>
        <v>0</v>
      </c>
    </row>
    <row r="697" spans="11:24" ht="13.2" hidden="1" x14ac:dyDescent="0.25">
      <c r="K697" s="3" t="str">
        <f t="shared" si="118"/>
        <v/>
      </c>
      <c r="L697" s="39">
        <v>668</v>
      </c>
      <c r="M697" s="3">
        <f t="shared" si="116"/>
        <v>55</v>
      </c>
      <c r="N697" s="44">
        <f t="shared" si="109"/>
        <v>0</v>
      </c>
      <c r="O697" s="8">
        <f t="shared" si="110"/>
        <v>0</v>
      </c>
      <c r="Q697" s="48">
        <f t="shared" si="111"/>
        <v>0</v>
      </c>
      <c r="R697" s="8">
        <f t="shared" si="112"/>
        <v>0</v>
      </c>
      <c r="T697" s="48">
        <f t="shared" si="113"/>
        <v>0</v>
      </c>
      <c r="U697" s="8">
        <f t="shared" si="114"/>
        <v>0</v>
      </c>
      <c r="W697" s="48">
        <f t="shared" si="117"/>
        <v>0</v>
      </c>
      <c r="X697" s="8">
        <f t="shared" si="115"/>
        <v>0</v>
      </c>
    </row>
    <row r="698" spans="11:24" ht="13.2" hidden="1" x14ac:dyDescent="0.25">
      <c r="K698" s="3" t="str">
        <f t="shared" si="118"/>
        <v/>
      </c>
      <c r="L698" s="39">
        <v>669</v>
      </c>
      <c r="M698" s="3">
        <f t="shared" si="116"/>
        <v>55</v>
      </c>
      <c r="N698" s="44">
        <f t="shared" si="109"/>
        <v>0</v>
      </c>
      <c r="O698" s="8">
        <f t="shared" si="110"/>
        <v>0</v>
      </c>
      <c r="Q698" s="48">
        <f t="shared" si="111"/>
        <v>0</v>
      </c>
      <c r="R698" s="8">
        <f t="shared" si="112"/>
        <v>0</v>
      </c>
      <c r="T698" s="48">
        <f t="shared" si="113"/>
        <v>0</v>
      </c>
      <c r="U698" s="8">
        <f t="shared" si="114"/>
        <v>0</v>
      </c>
      <c r="W698" s="48">
        <f t="shared" si="117"/>
        <v>0</v>
      </c>
      <c r="X698" s="8">
        <f t="shared" si="115"/>
        <v>0</v>
      </c>
    </row>
    <row r="699" spans="11:24" ht="13.2" hidden="1" x14ac:dyDescent="0.25">
      <c r="K699" s="3" t="str">
        <f t="shared" si="118"/>
        <v/>
      </c>
      <c r="L699" s="39">
        <v>670</v>
      </c>
      <c r="M699" s="3">
        <f t="shared" si="116"/>
        <v>55</v>
      </c>
      <c r="N699" s="44">
        <f t="shared" si="109"/>
        <v>0</v>
      </c>
      <c r="O699" s="8">
        <f t="shared" si="110"/>
        <v>0</v>
      </c>
      <c r="Q699" s="48">
        <f t="shared" si="111"/>
        <v>0</v>
      </c>
      <c r="R699" s="8">
        <f t="shared" si="112"/>
        <v>0</v>
      </c>
      <c r="T699" s="48">
        <f t="shared" si="113"/>
        <v>0</v>
      </c>
      <c r="U699" s="8">
        <f t="shared" si="114"/>
        <v>0</v>
      </c>
      <c r="W699" s="48">
        <f t="shared" si="117"/>
        <v>0</v>
      </c>
      <c r="X699" s="8">
        <f t="shared" si="115"/>
        <v>0</v>
      </c>
    </row>
    <row r="700" spans="11:24" ht="13.2" hidden="1" x14ac:dyDescent="0.25">
      <c r="K700" s="3" t="str">
        <f t="shared" si="118"/>
        <v/>
      </c>
      <c r="L700" s="39">
        <v>671</v>
      </c>
      <c r="M700" s="3">
        <f t="shared" si="116"/>
        <v>55</v>
      </c>
      <c r="N700" s="44">
        <f t="shared" si="109"/>
        <v>0</v>
      </c>
      <c r="O700" s="8">
        <f t="shared" si="110"/>
        <v>0</v>
      </c>
      <c r="Q700" s="48">
        <f t="shared" si="111"/>
        <v>0</v>
      </c>
      <c r="R700" s="8">
        <f t="shared" si="112"/>
        <v>0</v>
      </c>
      <c r="T700" s="48">
        <f t="shared" si="113"/>
        <v>0</v>
      </c>
      <c r="U700" s="8">
        <f t="shared" si="114"/>
        <v>0</v>
      </c>
      <c r="W700" s="48">
        <f t="shared" si="117"/>
        <v>0</v>
      </c>
      <c r="X700" s="8">
        <f t="shared" si="115"/>
        <v>0</v>
      </c>
    </row>
    <row r="701" spans="11:24" ht="13.2" hidden="1" x14ac:dyDescent="0.25">
      <c r="K701" s="3">
        <f t="shared" si="118"/>
        <v>56</v>
      </c>
      <c r="L701" s="39">
        <v>672</v>
      </c>
      <c r="M701" s="3">
        <f t="shared" si="116"/>
        <v>55</v>
      </c>
      <c r="N701" s="44">
        <f t="shared" si="109"/>
        <v>0</v>
      </c>
      <c r="O701" s="8">
        <f t="shared" si="110"/>
        <v>0</v>
      </c>
      <c r="Q701" s="48">
        <f t="shared" si="111"/>
        <v>0</v>
      </c>
      <c r="R701" s="8">
        <f t="shared" si="112"/>
        <v>0</v>
      </c>
      <c r="T701" s="48">
        <f t="shared" si="113"/>
        <v>0</v>
      </c>
      <c r="U701" s="8">
        <f t="shared" si="114"/>
        <v>0</v>
      </c>
      <c r="W701" s="48">
        <f t="shared" si="117"/>
        <v>0</v>
      </c>
      <c r="X701" s="8">
        <f t="shared" si="115"/>
        <v>0</v>
      </c>
    </row>
    <row r="702" spans="11:24" ht="13.2" hidden="1" x14ac:dyDescent="0.25">
      <c r="K702" s="3" t="str">
        <f t="shared" si="118"/>
        <v/>
      </c>
      <c r="L702" s="39">
        <v>673</v>
      </c>
      <c r="M702" s="3">
        <f t="shared" si="116"/>
        <v>56</v>
      </c>
      <c r="N702" s="44">
        <f t="shared" si="109"/>
        <v>0</v>
      </c>
      <c r="O702" s="8">
        <f t="shared" si="110"/>
        <v>0</v>
      </c>
      <c r="Q702" s="48">
        <f t="shared" si="111"/>
        <v>0</v>
      </c>
      <c r="R702" s="8">
        <f t="shared" si="112"/>
        <v>0</v>
      </c>
      <c r="T702" s="48">
        <f t="shared" si="113"/>
        <v>0</v>
      </c>
      <c r="U702" s="8">
        <f t="shared" si="114"/>
        <v>0</v>
      </c>
      <c r="W702" s="48">
        <f t="shared" si="117"/>
        <v>0</v>
      </c>
      <c r="X702" s="8">
        <f t="shared" si="115"/>
        <v>0</v>
      </c>
    </row>
    <row r="703" spans="11:24" ht="13.2" hidden="1" x14ac:dyDescent="0.25">
      <c r="K703" s="3" t="str">
        <f t="shared" si="118"/>
        <v/>
      </c>
      <c r="L703" s="39">
        <v>674</v>
      </c>
      <c r="M703" s="3">
        <f t="shared" si="116"/>
        <v>56</v>
      </c>
      <c r="N703" s="44">
        <f t="shared" si="109"/>
        <v>0</v>
      </c>
      <c r="O703" s="8">
        <f t="shared" si="110"/>
        <v>0</v>
      </c>
      <c r="Q703" s="48">
        <f t="shared" si="111"/>
        <v>0</v>
      </c>
      <c r="R703" s="8">
        <f t="shared" si="112"/>
        <v>0</v>
      </c>
      <c r="T703" s="48">
        <f t="shared" si="113"/>
        <v>0</v>
      </c>
      <c r="U703" s="8">
        <f t="shared" si="114"/>
        <v>0</v>
      </c>
      <c r="W703" s="48">
        <f t="shared" si="117"/>
        <v>0</v>
      </c>
      <c r="X703" s="8">
        <f t="shared" si="115"/>
        <v>0</v>
      </c>
    </row>
    <row r="704" spans="11:24" ht="13.2" hidden="1" x14ac:dyDescent="0.25">
      <c r="K704" s="3" t="str">
        <f t="shared" si="118"/>
        <v/>
      </c>
      <c r="L704" s="39">
        <v>675</v>
      </c>
      <c r="M704" s="3">
        <f t="shared" si="116"/>
        <v>56</v>
      </c>
      <c r="N704" s="44">
        <f t="shared" si="109"/>
        <v>0</v>
      </c>
      <c r="O704" s="8">
        <f t="shared" si="110"/>
        <v>0</v>
      </c>
      <c r="Q704" s="48">
        <f t="shared" si="111"/>
        <v>0</v>
      </c>
      <c r="R704" s="8">
        <f t="shared" si="112"/>
        <v>0</v>
      </c>
      <c r="T704" s="48">
        <f t="shared" si="113"/>
        <v>0</v>
      </c>
      <c r="U704" s="8">
        <f t="shared" si="114"/>
        <v>0</v>
      </c>
      <c r="W704" s="48">
        <f t="shared" si="117"/>
        <v>0</v>
      </c>
      <c r="X704" s="8">
        <f t="shared" si="115"/>
        <v>0</v>
      </c>
    </row>
    <row r="705" spans="11:24" ht="13.2" hidden="1" x14ac:dyDescent="0.25">
      <c r="K705" s="3" t="str">
        <f t="shared" si="118"/>
        <v/>
      </c>
      <c r="L705" s="39">
        <v>676</v>
      </c>
      <c r="M705" s="3">
        <f t="shared" si="116"/>
        <v>56</v>
      </c>
      <c r="N705" s="44">
        <f t="shared" si="109"/>
        <v>0</v>
      </c>
      <c r="O705" s="8">
        <f t="shared" si="110"/>
        <v>0</v>
      </c>
      <c r="Q705" s="48">
        <f t="shared" si="111"/>
        <v>0</v>
      </c>
      <c r="R705" s="8">
        <f t="shared" si="112"/>
        <v>0</v>
      </c>
      <c r="T705" s="48">
        <f t="shared" si="113"/>
        <v>0</v>
      </c>
      <c r="U705" s="8">
        <f t="shared" si="114"/>
        <v>0</v>
      </c>
      <c r="W705" s="48">
        <f t="shared" si="117"/>
        <v>0</v>
      </c>
      <c r="X705" s="8">
        <f t="shared" si="115"/>
        <v>0</v>
      </c>
    </row>
    <row r="706" spans="11:24" ht="13.2" hidden="1" x14ac:dyDescent="0.25">
      <c r="K706" s="3" t="str">
        <f t="shared" si="118"/>
        <v/>
      </c>
      <c r="L706" s="39">
        <v>677</v>
      </c>
      <c r="M706" s="3">
        <f t="shared" si="116"/>
        <v>56</v>
      </c>
      <c r="N706" s="44">
        <f t="shared" si="109"/>
        <v>0</v>
      </c>
      <c r="O706" s="8">
        <f t="shared" si="110"/>
        <v>0</v>
      </c>
      <c r="Q706" s="48">
        <f t="shared" si="111"/>
        <v>0</v>
      </c>
      <c r="R706" s="8">
        <f t="shared" si="112"/>
        <v>0</v>
      </c>
      <c r="T706" s="48">
        <f t="shared" si="113"/>
        <v>0</v>
      </c>
      <c r="U706" s="8">
        <f t="shared" si="114"/>
        <v>0</v>
      </c>
      <c r="W706" s="48">
        <f t="shared" si="117"/>
        <v>0</v>
      </c>
      <c r="X706" s="8">
        <f t="shared" si="115"/>
        <v>0</v>
      </c>
    </row>
    <row r="707" spans="11:24" ht="13.2" hidden="1" x14ac:dyDescent="0.25">
      <c r="K707" s="3" t="str">
        <f t="shared" si="118"/>
        <v/>
      </c>
      <c r="L707" s="39">
        <v>678</v>
      </c>
      <c r="M707" s="3">
        <f t="shared" si="116"/>
        <v>56</v>
      </c>
      <c r="N707" s="44">
        <f t="shared" si="109"/>
        <v>0</v>
      </c>
      <c r="O707" s="8">
        <f t="shared" si="110"/>
        <v>0</v>
      </c>
      <c r="Q707" s="48">
        <f t="shared" si="111"/>
        <v>0</v>
      </c>
      <c r="R707" s="8">
        <f t="shared" si="112"/>
        <v>0</v>
      </c>
      <c r="T707" s="48">
        <f t="shared" si="113"/>
        <v>0</v>
      </c>
      <c r="U707" s="8">
        <f t="shared" si="114"/>
        <v>0</v>
      </c>
      <c r="W707" s="48">
        <f t="shared" si="117"/>
        <v>0</v>
      </c>
      <c r="X707" s="8">
        <f t="shared" si="115"/>
        <v>0</v>
      </c>
    </row>
    <row r="708" spans="11:24" ht="13.2" hidden="1" x14ac:dyDescent="0.25">
      <c r="K708" s="3" t="str">
        <f t="shared" si="118"/>
        <v/>
      </c>
      <c r="L708" s="39">
        <v>679</v>
      </c>
      <c r="M708" s="3">
        <f t="shared" si="116"/>
        <v>56</v>
      </c>
      <c r="N708" s="44">
        <f t="shared" si="109"/>
        <v>0</v>
      </c>
      <c r="O708" s="8">
        <f t="shared" si="110"/>
        <v>0</v>
      </c>
      <c r="Q708" s="48">
        <f t="shared" si="111"/>
        <v>0</v>
      </c>
      <c r="R708" s="8">
        <f t="shared" si="112"/>
        <v>0</v>
      </c>
      <c r="T708" s="48">
        <f t="shared" si="113"/>
        <v>0</v>
      </c>
      <c r="U708" s="8">
        <f t="shared" si="114"/>
        <v>0</v>
      </c>
      <c r="W708" s="48">
        <f t="shared" si="117"/>
        <v>0</v>
      </c>
      <c r="X708" s="8">
        <f t="shared" si="115"/>
        <v>0</v>
      </c>
    </row>
    <row r="709" spans="11:24" ht="13.2" hidden="1" x14ac:dyDescent="0.25">
      <c r="K709" s="3" t="str">
        <f t="shared" si="118"/>
        <v/>
      </c>
      <c r="L709" s="39">
        <v>680</v>
      </c>
      <c r="M709" s="3">
        <f t="shared" si="116"/>
        <v>56</v>
      </c>
      <c r="N709" s="44">
        <f t="shared" si="109"/>
        <v>0</v>
      </c>
      <c r="O709" s="8">
        <f t="shared" si="110"/>
        <v>0</v>
      </c>
      <c r="Q709" s="48">
        <f t="shared" si="111"/>
        <v>0</v>
      </c>
      <c r="R709" s="8">
        <f t="shared" si="112"/>
        <v>0</v>
      </c>
      <c r="T709" s="48">
        <f t="shared" si="113"/>
        <v>0</v>
      </c>
      <c r="U709" s="8">
        <f t="shared" si="114"/>
        <v>0</v>
      </c>
      <c r="W709" s="48">
        <f t="shared" si="117"/>
        <v>0</v>
      </c>
      <c r="X709" s="8">
        <f t="shared" si="115"/>
        <v>0</v>
      </c>
    </row>
    <row r="710" spans="11:24" ht="13.2" hidden="1" x14ac:dyDescent="0.25">
      <c r="K710" s="3" t="str">
        <f t="shared" si="118"/>
        <v/>
      </c>
      <c r="L710" s="39">
        <v>681</v>
      </c>
      <c r="M710" s="3">
        <f t="shared" si="116"/>
        <v>56</v>
      </c>
      <c r="N710" s="44">
        <f t="shared" si="109"/>
        <v>0</v>
      </c>
      <c r="O710" s="8">
        <f t="shared" si="110"/>
        <v>0</v>
      </c>
      <c r="Q710" s="48">
        <f t="shared" si="111"/>
        <v>0</v>
      </c>
      <c r="R710" s="8">
        <f t="shared" si="112"/>
        <v>0</v>
      </c>
      <c r="T710" s="48">
        <f t="shared" si="113"/>
        <v>0</v>
      </c>
      <c r="U710" s="8">
        <f t="shared" si="114"/>
        <v>0</v>
      </c>
      <c r="W710" s="48">
        <f t="shared" si="117"/>
        <v>0</v>
      </c>
      <c r="X710" s="8">
        <f t="shared" si="115"/>
        <v>0</v>
      </c>
    </row>
    <row r="711" spans="11:24" ht="13.2" hidden="1" x14ac:dyDescent="0.25">
      <c r="K711" s="3" t="str">
        <f t="shared" si="118"/>
        <v/>
      </c>
      <c r="L711" s="39">
        <v>682</v>
      </c>
      <c r="M711" s="3">
        <f t="shared" si="116"/>
        <v>56</v>
      </c>
      <c r="N711" s="44">
        <f t="shared" si="109"/>
        <v>0</v>
      </c>
      <c r="O711" s="8">
        <f t="shared" si="110"/>
        <v>0</v>
      </c>
      <c r="Q711" s="48">
        <f t="shared" si="111"/>
        <v>0</v>
      </c>
      <c r="R711" s="8">
        <f t="shared" si="112"/>
        <v>0</v>
      </c>
      <c r="T711" s="48">
        <f t="shared" si="113"/>
        <v>0</v>
      </c>
      <c r="U711" s="8">
        <f t="shared" si="114"/>
        <v>0</v>
      </c>
      <c r="W711" s="48">
        <f t="shared" si="117"/>
        <v>0</v>
      </c>
      <c r="X711" s="8">
        <f t="shared" si="115"/>
        <v>0</v>
      </c>
    </row>
    <row r="712" spans="11:24" ht="13.2" hidden="1" x14ac:dyDescent="0.25">
      <c r="K712" s="3" t="str">
        <f t="shared" si="118"/>
        <v/>
      </c>
      <c r="L712" s="39">
        <v>683</v>
      </c>
      <c r="M712" s="3">
        <f t="shared" si="116"/>
        <v>56</v>
      </c>
      <c r="N712" s="44">
        <f t="shared" si="109"/>
        <v>0</v>
      </c>
      <c r="O712" s="8">
        <f t="shared" si="110"/>
        <v>0</v>
      </c>
      <c r="Q712" s="48">
        <f t="shared" si="111"/>
        <v>0</v>
      </c>
      <c r="R712" s="8">
        <f t="shared" si="112"/>
        <v>0</v>
      </c>
      <c r="T712" s="48">
        <f t="shared" si="113"/>
        <v>0</v>
      </c>
      <c r="U712" s="8">
        <f t="shared" si="114"/>
        <v>0</v>
      </c>
      <c r="W712" s="48">
        <f t="shared" si="117"/>
        <v>0</v>
      </c>
      <c r="X712" s="8">
        <f t="shared" si="115"/>
        <v>0</v>
      </c>
    </row>
    <row r="713" spans="11:24" ht="13.2" hidden="1" x14ac:dyDescent="0.25">
      <c r="K713" s="3">
        <f t="shared" si="118"/>
        <v>57</v>
      </c>
      <c r="L713" s="39">
        <v>684</v>
      </c>
      <c r="M713" s="3">
        <f t="shared" si="116"/>
        <v>56</v>
      </c>
      <c r="N713" s="44">
        <f t="shared" si="109"/>
        <v>0</v>
      </c>
      <c r="O713" s="8">
        <f t="shared" si="110"/>
        <v>0</v>
      </c>
      <c r="Q713" s="48">
        <f t="shared" si="111"/>
        <v>0</v>
      </c>
      <c r="R713" s="8">
        <f t="shared" si="112"/>
        <v>0</v>
      </c>
      <c r="T713" s="48">
        <f t="shared" si="113"/>
        <v>0</v>
      </c>
      <c r="U713" s="8">
        <f t="shared" si="114"/>
        <v>0</v>
      </c>
      <c r="W713" s="48">
        <f t="shared" si="117"/>
        <v>0</v>
      </c>
      <c r="X713" s="8">
        <f t="shared" si="115"/>
        <v>0</v>
      </c>
    </row>
    <row r="714" spans="11:24" ht="13.2" hidden="1" x14ac:dyDescent="0.25">
      <c r="K714" s="3" t="str">
        <f t="shared" si="118"/>
        <v/>
      </c>
      <c r="L714" s="39">
        <v>685</v>
      </c>
      <c r="M714" s="3">
        <f t="shared" si="116"/>
        <v>57</v>
      </c>
      <c r="N714" s="44">
        <f t="shared" si="109"/>
        <v>0</v>
      </c>
      <c r="O714" s="8">
        <f t="shared" si="110"/>
        <v>0</v>
      </c>
      <c r="Q714" s="48">
        <f t="shared" si="111"/>
        <v>0</v>
      </c>
      <c r="R714" s="8">
        <f t="shared" si="112"/>
        <v>0</v>
      </c>
      <c r="T714" s="48">
        <f t="shared" si="113"/>
        <v>0</v>
      </c>
      <c r="U714" s="8">
        <f t="shared" si="114"/>
        <v>0</v>
      </c>
      <c r="W714" s="48">
        <f t="shared" si="117"/>
        <v>0</v>
      </c>
      <c r="X714" s="8">
        <f t="shared" si="115"/>
        <v>0</v>
      </c>
    </row>
    <row r="715" spans="11:24" ht="13.2" hidden="1" x14ac:dyDescent="0.25">
      <c r="K715" s="3" t="str">
        <f t="shared" si="118"/>
        <v/>
      </c>
      <c r="L715" s="39">
        <v>686</v>
      </c>
      <c r="M715" s="3">
        <f t="shared" si="116"/>
        <v>57</v>
      </c>
      <c r="N715" s="44">
        <f t="shared" si="109"/>
        <v>0</v>
      </c>
      <c r="O715" s="8">
        <f t="shared" si="110"/>
        <v>0</v>
      </c>
      <c r="Q715" s="48">
        <f t="shared" si="111"/>
        <v>0</v>
      </c>
      <c r="R715" s="8">
        <f t="shared" si="112"/>
        <v>0</v>
      </c>
      <c r="T715" s="48">
        <f t="shared" si="113"/>
        <v>0</v>
      </c>
      <c r="U715" s="8">
        <f t="shared" si="114"/>
        <v>0</v>
      </c>
      <c r="W715" s="48">
        <f t="shared" si="117"/>
        <v>0</v>
      </c>
      <c r="X715" s="8">
        <f t="shared" si="115"/>
        <v>0</v>
      </c>
    </row>
    <row r="716" spans="11:24" ht="13.2" hidden="1" x14ac:dyDescent="0.25">
      <c r="K716" s="3" t="str">
        <f t="shared" si="118"/>
        <v/>
      </c>
      <c r="L716" s="39">
        <v>687</v>
      </c>
      <c r="M716" s="3">
        <f t="shared" si="116"/>
        <v>57</v>
      </c>
      <c r="N716" s="44">
        <f t="shared" si="109"/>
        <v>0</v>
      </c>
      <c r="O716" s="8">
        <f t="shared" si="110"/>
        <v>0</v>
      </c>
      <c r="Q716" s="48">
        <f t="shared" si="111"/>
        <v>0</v>
      </c>
      <c r="R716" s="8">
        <f t="shared" si="112"/>
        <v>0</v>
      </c>
      <c r="T716" s="48">
        <f t="shared" si="113"/>
        <v>0</v>
      </c>
      <c r="U716" s="8">
        <f t="shared" si="114"/>
        <v>0</v>
      </c>
      <c r="W716" s="48">
        <f t="shared" si="117"/>
        <v>0</v>
      </c>
      <c r="X716" s="8">
        <f t="shared" si="115"/>
        <v>0</v>
      </c>
    </row>
    <row r="717" spans="11:24" ht="13.2" hidden="1" x14ac:dyDescent="0.25">
      <c r="K717" s="3" t="str">
        <f t="shared" si="118"/>
        <v/>
      </c>
      <c r="L717" s="39">
        <v>688</v>
      </c>
      <c r="M717" s="3">
        <f t="shared" si="116"/>
        <v>57</v>
      </c>
      <c r="N717" s="44">
        <f t="shared" si="109"/>
        <v>0</v>
      </c>
      <c r="O717" s="8">
        <f t="shared" si="110"/>
        <v>0</v>
      </c>
      <c r="Q717" s="48">
        <f t="shared" si="111"/>
        <v>0</v>
      </c>
      <c r="R717" s="8">
        <f t="shared" si="112"/>
        <v>0</v>
      </c>
      <c r="T717" s="48">
        <f t="shared" si="113"/>
        <v>0</v>
      </c>
      <c r="U717" s="8">
        <f t="shared" si="114"/>
        <v>0</v>
      </c>
      <c r="W717" s="48">
        <f t="shared" si="117"/>
        <v>0</v>
      </c>
      <c r="X717" s="8">
        <f t="shared" si="115"/>
        <v>0</v>
      </c>
    </row>
    <row r="718" spans="11:24" ht="13.2" hidden="1" x14ac:dyDescent="0.25">
      <c r="K718" s="3" t="str">
        <f t="shared" si="118"/>
        <v/>
      </c>
      <c r="L718" s="39">
        <v>689</v>
      </c>
      <c r="M718" s="3">
        <f t="shared" si="116"/>
        <v>57</v>
      </c>
      <c r="N718" s="44">
        <f t="shared" si="109"/>
        <v>0</v>
      </c>
      <c r="O718" s="8">
        <f t="shared" si="110"/>
        <v>0</v>
      </c>
      <c r="Q718" s="48">
        <f t="shared" si="111"/>
        <v>0</v>
      </c>
      <c r="R718" s="8">
        <f t="shared" si="112"/>
        <v>0</v>
      </c>
      <c r="T718" s="48">
        <f t="shared" si="113"/>
        <v>0</v>
      </c>
      <c r="U718" s="8">
        <f t="shared" si="114"/>
        <v>0</v>
      </c>
      <c r="W718" s="48">
        <f t="shared" si="117"/>
        <v>0</v>
      </c>
      <c r="X718" s="8">
        <f t="shared" si="115"/>
        <v>0</v>
      </c>
    </row>
    <row r="719" spans="11:24" ht="13.2" hidden="1" x14ac:dyDescent="0.25">
      <c r="K719" s="3" t="str">
        <f t="shared" si="118"/>
        <v/>
      </c>
      <c r="L719" s="39">
        <v>690</v>
      </c>
      <c r="M719" s="3">
        <f t="shared" si="116"/>
        <v>57</v>
      </c>
      <c r="N719" s="44">
        <f t="shared" si="109"/>
        <v>0</v>
      </c>
      <c r="O719" s="8">
        <f t="shared" si="110"/>
        <v>0</v>
      </c>
      <c r="Q719" s="48">
        <f t="shared" si="111"/>
        <v>0</v>
      </c>
      <c r="R719" s="8">
        <f t="shared" si="112"/>
        <v>0</v>
      </c>
      <c r="T719" s="48">
        <f t="shared" si="113"/>
        <v>0</v>
      </c>
      <c r="U719" s="8">
        <f t="shared" si="114"/>
        <v>0</v>
      </c>
      <c r="W719" s="48">
        <f t="shared" si="117"/>
        <v>0</v>
      </c>
      <c r="X719" s="8">
        <f t="shared" si="115"/>
        <v>0</v>
      </c>
    </row>
    <row r="720" spans="11:24" ht="13.2" hidden="1" x14ac:dyDescent="0.25">
      <c r="K720" s="3" t="str">
        <f t="shared" si="118"/>
        <v/>
      </c>
      <c r="L720" s="39">
        <v>691</v>
      </c>
      <c r="M720" s="3">
        <f t="shared" si="116"/>
        <v>57</v>
      </c>
      <c r="N720" s="44">
        <f t="shared" si="109"/>
        <v>0</v>
      </c>
      <c r="O720" s="8">
        <f t="shared" si="110"/>
        <v>0</v>
      </c>
      <c r="Q720" s="48">
        <f t="shared" si="111"/>
        <v>0</v>
      </c>
      <c r="R720" s="8">
        <f t="shared" si="112"/>
        <v>0</v>
      </c>
      <c r="T720" s="48">
        <f t="shared" si="113"/>
        <v>0</v>
      </c>
      <c r="U720" s="8">
        <f t="shared" si="114"/>
        <v>0</v>
      </c>
      <c r="W720" s="48">
        <f t="shared" si="117"/>
        <v>0</v>
      </c>
      <c r="X720" s="8">
        <f t="shared" si="115"/>
        <v>0</v>
      </c>
    </row>
    <row r="721" spans="11:24" ht="13.2" hidden="1" x14ac:dyDescent="0.25">
      <c r="K721" s="3" t="str">
        <f t="shared" si="118"/>
        <v/>
      </c>
      <c r="L721" s="39">
        <v>692</v>
      </c>
      <c r="M721" s="3">
        <f t="shared" si="116"/>
        <v>57</v>
      </c>
      <c r="N721" s="44">
        <f t="shared" si="109"/>
        <v>0</v>
      </c>
      <c r="O721" s="8">
        <f t="shared" si="110"/>
        <v>0</v>
      </c>
      <c r="Q721" s="48">
        <f t="shared" si="111"/>
        <v>0</v>
      </c>
      <c r="R721" s="8">
        <f t="shared" si="112"/>
        <v>0</v>
      </c>
      <c r="T721" s="48">
        <f t="shared" si="113"/>
        <v>0</v>
      </c>
      <c r="U721" s="8">
        <f t="shared" si="114"/>
        <v>0</v>
      </c>
      <c r="W721" s="48">
        <f t="shared" si="117"/>
        <v>0</v>
      </c>
      <c r="X721" s="8">
        <f t="shared" si="115"/>
        <v>0</v>
      </c>
    </row>
    <row r="722" spans="11:24" ht="13.2" hidden="1" x14ac:dyDescent="0.25">
      <c r="K722" s="3" t="str">
        <f t="shared" si="118"/>
        <v/>
      </c>
      <c r="L722" s="39">
        <v>693</v>
      </c>
      <c r="M722" s="3">
        <f t="shared" si="116"/>
        <v>57</v>
      </c>
      <c r="N722" s="44">
        <f t="shared" si="109"/>
        <v>0</v>
      </c>
      <c r="O722" s="8">
        <f t="shared" si="110"/>
        <v>0</v>
      </c>
      <c r="Q722" s="48">
        <f t="shared" si="111"/>
        <v>0</v>
      </c>
      <c r="R722" s="8">
        <f t="shared" si="112"/>
        <v>0</v>
      </c>
      <c r="T722" s="48">
        <f t="shared" si="113"/>
        <v>0</v>
      </c>
      <c r="U722" s="8">
        <f t="shared" si="114"/>
        <v>0</v>
      </c>
      <c r="W722" s="48">
        <f t="shared" si="117"/>
        <v>0</v>
      </c>
      <c r="X722" s="8">
        <f t="shared" si="115"/>
        <v>0</v>
      </c>
    </row>
    <row r="723" spans="11:24" ht="13.2" hidden="1" x14ac:dyDescent="0.25">
      <c r="K723" s="3" t="str">
        <f t="shared" si="118"/>
        <v/>
      </c>
      <c r="L723" s="39">
        <v>694</v>
      </c>
      <c r="M723" s="3">
        <f t="shared" si="116"/>
        <v>57</v>
      </c>
      <c r="N723" s="44">
        <f t="shared" si="109"/>
        <v>0</v>
      </c>
      <c r="O723" s="8">
        <f t="shared" si="110"/>
        <v>0</v>
      </c>
      <c r="Q723" s="48">
        <f t="shared" si="111"/>
        <v>0</v>
      </c>
      <c r="R723" s="8">
        <f t="shared" si="112"/>
        <v>0</v>
      </c>
      <c r="T723" s="48">
        <f t="shared" si="113"/>
        <v>0</v>
      </c>
      <c r="U723" s="8">
        <f t="shared" si="114"/>
        <v>0</v>
      </c>
      <c r="W723" s="48">
        <f t="shared" si="117"/>
        <v>0</v>
      </c>
      <c r="X723" s="8">
        <f t="shared" si="115"/>
        <v>0</v>
      </c>
    </row>
    <row r="724" spans="11:24" ht="13.2" hidden="1" x14ac:dyDescent="0.25">
      <c r="K724" s="3" t="str">
        <f t="shared" si="118"/>
        <v/>
      </c>
      <c r="L724" s="39">
        <v>695</v>
      </c>
      <c r="M724" s="3">
        <f t="shared" si="116"/>
        <v>57</v>
      </c>
      <c r="N724" s="44">
        <f t="shared" si="109"/>
        <v>0</v>
      </c>
      <c r="O724" s="8">
        <f t="shared" si="110"/>
        <v>0</v>
      </c>
      <c r="Q724" s="48">
        <f t="shared" si="111"/>
        <v>0</v>
      </c>
      <c r="R724" s="8">
        <f t="shared" si="112"/>
        <v>0</v>
      </c>
      <c r="T724" s="48">
        <f t="shared" si="113"/>
        <v>0</v>
      </c>
      <c r="U724" s="8">
        <f t="shared" si="114"/>
        <v>0</v>
      </c>
      <c r="W724" s="48">
        <f t="shared" si="117"/>
        <v>0</v>
      </c>
      <c r="X724" s="8">
        <f t="shared" si="115"/>
        <v>0</v>
      </c>
    </row>
    <row r="725" spans="11:24" ht="13.2" hidden="1" x14ac:dyDescent="0.25">
      <c r="K725" s="3">
        <f t="shared" si="118"/>
        <v>58</v>
      </c>
      <c r="L725" s="39">
        <v>696</v>
      </c>
      <c r="M725" s="3">
        <f t="shared" si="116"/>
        <v>57</v>
      </c>
      <c r="N725" s="44">
        <f t="shared" si="109"/>
        <v>0</v>
      </c>
      <c r="O725" s="8">
        <f t="shared" si="110"/>
        <v>0</v>
      </c>
      <c r="Q725" s="48">
        <f t="shared" si="111"/>
        <v>0</v>
      </c>
      <c r="R725" s="8">
        <f t="shared" si="112"/>
        <v>0</v>
      </c>
      <c r="T725" s="48">
        <f t="shared" si="113"/>
        <v>0</v>
      </c>
      <c r="U725" s="8">
        <f t="shared" si="114"/>
        <v>0</v>
      </c>
      <c r="W725" s="48">
        <f t="shared" si="117"/>
        <v>0</v>
      </c>
      <c r="X725" s="8">
        <f t="shared" si="115"/>
        <v>0</v>
      </c>
    </row>
    <row r="726" spans="11:24" ht="13.2" hidden="1" x14ac:dyDescent="0.25">
      <c r="K726" s="3" t="str">
        <f t="shared" si="118"/>
        <v/>
      </c>
      <c r="L726" s="39">
        <v>697</v>
      </c>
      <c r="M726" s="3">
        <f t="shared" si="116"/>
        <v>58</v>
      </c>
      <c r="N726" s="44">
        <f t="shared" si="109"/>
        <v>0</v>
      </c>
      <c r="O726" s="8">
        <f t="shared" si="110"/>
        <v>0</v>
      </c>
      <c r="Q726" s="48">
        <f t="shared" si="111"/>
        <v>0</v>
      </c>
      <c r="R726" s="8">
        <f t="shared" si="112"/>
        <v>0</v>
      </c>
      <c r="T726" s="48">
        <f t="shared" si="113"/>
        <v>0</v>
      </c>
      <c r="U726" s="8">
        <f t="shared" si="114"/>
        <v>0</v>
      </c>
      <c r="W726" s="48">
        <f t="shared" si="117"/>
        <v>0</v>
      </c>
      <c r="X726" s="8">
        <f t="shared" si="115"/>
        <v>0</v>
      </c>
    </row>
    <row r="727" spans="11:24" ht="13.2" hidden="1" x14ac:dyDescent="0.25">
      <c r="K727" s="3" t="str">
        <f t="shared" si="118"/>
        <v/>
      </c>
      <c r="L727" s="39">
        <v>698</v>
      </c>
      <c r="M727" s="3">
        <f t="shared" si="116"/>
        <v>58</v>
      </c>
      <c r="N727" s="44">
        <f t="shared" si="109"/>
        <v>0</v>
      </c>
      <c r="O727" s="8">
        <f t="shared" si="110"/>
        <v>0</v>
      </c>
      <c r="Q727" s="48">
        <f t="shared" si="111"/>
        <v>0</v>
      </c>
      <c r="R727" s="8">
        <f t="shared" si="112"/>
        <v>0</v>
      </c>
      <c r="T727" s="48">
        <f t="shared" si="113"/>
        <v>0</v>
      </c>
      <c r="U727" s="8">
        <f t="shared" si="114"/>
        <v>0</v>
      </c>
      <c r="W727" s="48">
        <f t="shared" si="117"/>
        <v>0</v>
      </c>
      <c r="X727" s="8">
        <f t="shared" si="115"/>
        <v>0</v>
      </c>
    </row>
    <row r="728" spans="11:24" ht="13.2" hidden="1" x14ac:dyDescent="0.25">
      <c r="K728" s="3" t="str">
        <f t="shared" si="118"/>
        <v/>
      </c>
      <c r="L728" s="39">
        <v>699</v>
      </c>
      <c r="M728" s="3">
        <f t="shared" si="116"/>
        <v>58</v>
      </c>
      <c r="N728" s="44">
        <f t="shared" si="109"/>
        <v>0</v>
      </c>
      <c r="O728" s="8">
        <f t="shared" si="110"/>
        <v>0</v>
      </c>
      <c r="Q728" s="48">
        <f t="shared" si="111"/>
        <v>0</v>
      </c>
      <c r="R728" s="8">
        <f t="shared" si="112"/>
        <v>0</v>
      </c>
      <c r="T728" s="48">
        <f t="shared" si="113"/>
        <v>0</v>
      </c>
      <c r="U728" s="8">
        <f t="shared" si="114"/>
        <v>0</v>
      </c>
      <c r="W728" s="48">
        <f t="shared" si="117"/>
        <v>0</v>
      </c>
      <c r="X728" s="8">
        <f t="shared" si="115"/>
        <v>0</v>
      </c>
    </row>
    <row r="729" spans="11:24" ht="13.2" hidden="1" x14ac:dyDescent="0.25">
      <c r="K729" s="3" t="str">
        <f t="shared" si="118"/>
        <v/>
      </c>
      <c r="L729" s="39">
        <v>700</v>
      </c>
      <c r="M729" s="3">
        <f t="shared" si="116"/>
        <v>58</v>
      </c>
      <c r="N729" s="44">
        <f t="shared" si="109"/>
        <v>0</v>
      </c>
      <c r="O729" s="8">
        <f t="shared" si="110"/>
        <v>0</v>
      </c>
      <c r="Q729" s="48">
        <f t="shared" si="111"/>
        <v>0</v>
      </c>
      <c r="R729" s="8">
        <f t="shared" si="112"/>
        <v>0</v>
      </c>
      <c r="T729" s="48">
        <f t="shared" si="113"/>
        <v>0</v>
      </c>
      <c r="U729" s="8">
        <f t="shared" si="114"/>
        <v>0</v>
      </c>
      <c r="W729" s="48">
        <f t="shared" si="117"/>
        <v>0</v>
      </c>
      <c r="X729" s="8">
        <f t="shared" si="115"/>
        <v>0</v>
      </c>
    </row>
    <row r="730" spans="11:24" ht="13.2" hidden="1" x14ac:dyDescent="0.25">
      <c r="K730" s="3" t="str">
        <f t="shared" si="118"/>
        <v/>
      </c>
      <c r="L730" s="39">
        <v>701</v>
      </c>
      <c r="M730" s="3">
        <f t="shared" si="116"/>
        <v>58</v>
      </c>
      <c r="N730" s="44">
        <f t="shared" si="109"/>
        <v>0</v>
      </c>
      <c r="O730" s="8">
        <f t="shared" si="110"/>
        <v>0</v>
      </c>
      <c r="Q730" s="48">
        <f t="shared" si="111"/>
        <v>0</v>
      </c>
      <c r="R730" s="8">
        <f t="shared" si="112"/>
        <v>0</v>
      </c>
      <c r="T730" s="48">
        <f t="shared" si="113"/>
        <v>0</v>
      </c>
      <c r="U730" s="8">
        <f t="shared" si="114"/>
        <v>0</v>
      </c>
      <c r="W730" s="48">
        <f t="shared" si="117"/>
        <v>0</v>
      </c>
      <c r="X730" s="8">
        <f t="shared" si="115"/>
        <v>0</v>
      </c>
    </row>
    <row r="731" spans="11:24" ht="13.2" hidden="1" x14ac:dyDescent="0.25">
      <c r="K731" s="3" t="str">
        <f t="shared" si="118"/>
        <v/>
      </c>
      <c r="L731" s="39">
        <v>702</v>
      </c>
      <c r="M731" s="3">
        <f t="shared" si="116"/>
        <v>58</v>
      </c>
      <c r="N731" s="44">
        <f t="shared" si="109"/>
        <v>0</v>
      </c>
      <c r="O731" s="8">
        <f t="shared" si="110"/>
        <v>0</v>
      </c>
      <c r="Q731" s="48">
        <f t="shared" si="111"/>
        <v>0</v>
      </c>
      <c r="R731" s="8">
        <f t="shared" si="112"/>
        <v>0</v>
      </c>
      <c r="T731" s="48">
        <f t="shared" si="113"/>
        <v>0</v>
      </c>
      <c r="U731" s="8">
        <f t="shared" si="114"/>
        <v>0</v>
      </c>
      <c r="W731" s="48">
        <f t="shared" si="117"/>
        <v>0</v>
      </c>
      <c r="X731" s="8">
        <f t="shared" si="115"/>
        <v>0</v>
      </c>
    </row>
    <row r="732" spans="11:24" ht="13.2" hidden="1" x14ac:dyDescent="0.25">
      <c r="K732" s="3" t="str">
        <f t="shared" si="118"/>
        <v/>
      </c>
      <c r="L732" s="39">
        <v>703</v>
      </c>
      <c r="M732" s="3">
        <f t="shared" si="116"/>
        <v>58</v>
      </c>
      <c r="N732" s="44">
        <f t="shared" si="109"/>
        <v>0</v>
      </c>
      <c r="O732" s="8">
        <f t="shared" si="110"/>
        <v>0</v>
      </c>
      <c r="Q732" s="48">
        <f t="shared" si="111"/>
        <v>0</v>
      </c>
      <c r="R732" s="8">
        <f t="shared" si="112"/>
        <v>0</v>
      </c>
      <c r="T732" s="48">
        <f t="shared" si="113"/>
        <v>0</v>
      </c>
      <c r="U732" s="8">
        <f t="shared" si="114"/>
        <v>0</v>
      </c>
      <c r="W732" s="48">
        <f t="shared" si="117"/>
        <v>0</v>
      </c>
      <c r="X732" s="8">
        <f t="shared" si="115"/>
        <v>0</v>
      </c>
    </row>
    <row r="733" spans="11:24" ht="13.2" hidden="1" x14ac:dyDescent="0.25">
      <c r="K733" s="3" t="str">
        <f t="shared" si="118"/>
        <v/>
      </c>
      <c r="L733" s="39">
        <v>704</v>
      </c>
      <c r="M733" s="3">
        <f t="shared" si="116"/>
        <v>58</v>
      </c>
      <c r="N733" s="44">
        <f t="shared" si="109"/>
        <v>0</v>
      </c>
      <c r="O733" s="8">
        <f t="shared" si="110"/>
        <v>0</v>
      </c>
      <c r="Q733" s="48">
        <f t="shared" si="111"/>
        <v>0</v>
      </c>
      <c r="R733" s="8">
        <f t="shared" si="112"/>
        <v>0</v>
      </c>
      <c r="T733" s="48">
        <f t="shared" si="113"/>
        <v>0</v>
      </c>
      <c r="U733" s="8">
        <f t="shared" si="114"/>
        <v>0</v>
      </c>
      <c r="W733" s="48">
        <f t="shared" si="117"/>
        <v>0</v>
      </c>
      <c r="X733" s="8">
        <f t="shared" si="115"/>
        <v>0</v>
      </c>
    </row>
    <row r="734" spans="11:24" ht="13.2" hidden="1" x14ac:dyDescent="0.25">
      <c r="K734" s="3" t="str">
        <f t="shared" si="118"/>
        <v/>
      </c>
      <c r="L734" s="39">
        <v>705</v>
      </c>
      <c r="M734" s="3">
        <f t="shared" si="116"/>
        <v>58</v>
      </c>
      <c r="N734" s="44">
        <f t="shared" si="109"/>
        <v>0</v>
      </c>
      <c r="O734" s="8">
        <f t="shared" si="110"/>
        <v>0</v>
      </c>
      <c r="Q734" s="48">
        <f t="shared" si="111"/>
        <v>0</v>
      </c>
      <c r="R734" s="8">
        <f t="shared" si="112"/>
        <v>0</v>
      </c>
      <c r="T734" s="48">
        <f t="shared" si="113"/>
        <v>0</v>
      </c>
      <c r="U734" s="8">
        <f t="shared" si="114"/>
        <v>0</v>
      </c>
      <c r="W734" s="48">
        <f t="shared" si="117"/>
        <v>0</v>
      </c>
      <c r="X734" s="8">
        <f t="shared" si="115"/>
        <v>0</v>
      </c>
    </row>
    <row r="735" spans="11:24" ht="13.2" hidden="1" x14ac:dyDescent="0.25">
      <c r="K735" s="3" t="str">
        <f t="shared" si="118"/>
        <v/>
      </c>
      <c r="L735" s="39">
        <v>706</v>
      </c>
      <c r="M735" s="3">
        <f t="shared" si="116"/>
        <v>58</v>
      </c>
      <c r="N735" s="44">
        <f t="shared" si="109"/>
        <v>0</v>
      </c>
      <c r="O735" s="8">
        <f t="shared" si="110"/>
        <v>0</v>
      </c>
      <c r="Q735" s="48">
        <f t="shared" si="111"/>
        <v>0</v>
      </c>
      <c r="R735" s="8">
        <f t="shared" si="112"/>
        <v>0</v>
      </c>
      <c r="T735" s="48">
        <f t="shared" si="113"/>
        <v>0</v>
      </c>
      <c r="U735" s="8">
        <f t="shared" si="114"/>
        <v>0</v>
      </c>
      <c r="W735" s="48">
        <f t="shared" si="117"/>
        <v>0</v>
      </c>
      <c r="X735" s="8">
        <f t="shared" si="115"/>
        <v>0</v>
      </c>
    </row>
    <row r="736" spans="11:24" ht="13.2" hidden="1" x14ac:dyDescent="0.25">
      <c r="K736" s="3" t="str">
        <f t="shared" si="118"/>
        <v/>
      </c>
      <c r="L736" s="39">
        <v>707</v>
      </c>
      <c r="M736" s="3">
        <f t="shared" si="116"/>
        <v>58</v>
      </c>
      <c r="N736" s="44">
        <f t="shared" si="109"/>
        <v>0</v>
      </c>
      <c r="O736" s="8">
        <f t="shared" si="110"/>
        <v>0</v>
      </c>
      <c r="Q736" s="48">
        <f t="shared" si="111"/>
        <v>0</v>
      </c>
      <c r="R736" s="8">
        <f t="shared" si="112"/>
        <v>0</v>
      </c>
      <c r="T736" s="48">
        <f t="shared" si="113"/>
        <v>0</v>
      </c>
      <c r="U736" s="8">
        <f t="shared" si="114"/>
        <v>0</v>
      </c>
      <c r="W736" s="48">
        <f t="shared" si="117"/>
        <v>0</v>
      </c>
      <c r="X736" s="8">
        <f t="shared" si="115"/>
        <v>0</v>
      </c>
    </row>
    <row r="737" spans="11:24" ht="13.2" hidden="1" x14ac:dyDescent="0.25">
      <c r="K737" s="3">
        <f t="shared" si="118"/>
        <v>59</v>
      </c>
      <c r="L737" s="39">
        <v>708</v>
      </c>
      <c r="M737" s="3">
        <f t="shared" si="116"/>
        <v>58</v>
      </c>
      <c r="N737" s="44">
        <f t="shared" ref="N737:N800" si="119">IF(L737&lt;=InvMonths,SU_Amt*(1+$C$19)^M737,0)</f>
        <v>0</v>
      </c>
      <c r="O737" s="8">
        <f t="shared" ref="O737:O800" si="120">FV($S$1,(InvMonths-L737+1),0,-N737,1)</f>
        <v>0</v>
      </c>
      <c r="Q737" s="48">
        <f t="shared" ref="Q737:Q800" si="121">IF(L737&lt;=InvMonths,$R$27*(1+$C$19)^M737,0)</f>
        <v>0</v>
      </c>
      <c r="R737" s="8">
        <f t="shared" ref="R737:R800" si="122">FV($S$1,(InvMonths-L737+1),0,-Q737,1)</f>
        <v>0</v>
      </c>
      <c r="T737" s="48">
        <f t="shared" ref="T737:T800" si="123">IF(L737&lt;=InvMonths,$U$27,0)</f>
        <v>0</v>
      </c>
      <c r="U737" s="8">
        <f t="shared" ref="U737:U800" si="124">FV($S$1,(InvMonths-L737+1),0,-T737,1)</f>
        <v>0</v>
      </c>
      <c r="W737" s="48">
        <f t="shared" si="117"/>
        <v>0</v>
      </c>
      <c r="X737" s="8">
        <f t="shared" ref="X737:X800" si="125">FV($S$1,($X$26-L737+1),0,-W737,1)</f>
        <v>0</v>
      </c>
    </row>
    <row r="738" spans="11:24" ht="13.2" hidden="1" x14ac:dyDescent="0.25">
      <c r="K738" s="3" t="str">
        <f t="shared" si="118"/>
        <v/>
      </c>
      <c r="L738" s="39">
        <v>709</v>
      </c>
      <c r="M738" s="3">
        <f t="shared" ref="M738:M801" si="126">IF(MOD(L738,12)=0,(L738/12)-1,QUOTIENT(L738,12))</f>
        <v>59</v>
      </c>
      <c r="N738" s="44">
        <f t="shared" si="119"/>
        <v>0</v>
      </c>
      <c r="O738" s="8">
        <f t="shared" si="120"/>
        <v>0</v>
      </c>
      <c r="Q738" s="48">
        <f t="shared" si="121"/>
        <v>0</v>
      </c>
      <c r="R738" s="8">
        <f t="shared" si="122"/>
        <v>0</v>
      </c>
      <c r="T738" s="48">
        <f t="shared" si="123"/>
        <v>0</v>
      </c>
      <c r="U738" s="8">
        <f t="shared" si="124"/>
        <v>0</v>
      </c>
      <c r="W738" s="48">
        <f t="shared" ref="W738:W801" si="127">IF(L738&lt;=$X$26,$X$27,0)</f>
        <v>0</v>
      </c>
      <c r="X738" s="8">
        <f t="shared" si="125"/>
        <v>0</v>
      </c>
    </row>
    <row r="739" spans="11:24" ht="13.2" hidden="1" x14ac:dyDescent="0.25">
      <c r="K739" s="3" t="str">
        <f t="shared" si="118"/>
        <v/>
      </c>
      <c r="L739" s="39">
        <v>710</v>
      </c>
      <c r="M739" s="3">
        <f t="shared" si="126"/>
        <v>59</v>
      </c>
      <c r="N739" s="44">
        <f t="shared" si="119"/>
        <v>0</v>
      </c>
      <c r="O739" s="8">
        <f t="shared" si="120"/>
        <v>0</v>
      </c>
      <c r="Q739" s="48">
        <f t="shared" si="121"/>
        <v>0</v>
      </c>
      <c r="R739" s="8">
        <f t="shared" si="122"/>
        <v>0</v>
      </c>
      <c r="T739" s="48">
        <f t="shared" si="123"/>
        <v>0</v>
      </c>
      <c r="U739" s="8">
        <f t="shared" si="124"/>
        <v>0</v>
      </c>
      <c r="W739" s="48">
        <f t="shared" si="127"/>
        <v>0</v>
      </c>
      <c r="X739" s="8">
        <f t="shared" si="125"/>
        <v>0</v>
      </c>
    </row>
    <row r="740" spans="11:24" ht="13.2" hidden="1" x14ac:dyDescent="0.25">
      <c r="K740" s="3" t="str">
        <f t="shared" si="118"/>
        <v/>
      </c>
      <c r="L740" s="39">
        <v>711</v>
      </c>
      <c r="M740" s="3">
        <f t="shared" si="126"/>
        <v>59</v>
      </c>
      <c r="N740" s="44">
        <f t="shared" si="119"/>
        <v>0</v>
      </c>
      <c r="O740" s="8">
        <f t="shared" si="120"/>
        <v>0</v>
      </c>
      <c r="Q740" s="48">
        <f t="shared" si="121"/>
        <v>0</v>
      </c>
      <c r="R740" s="8">
        <f t="shared" si="122"/>
        <v>0</v>
      </c>
      <c r="T740" s="48">
        <f t="shared" si="123"/>
        <v>0</v>
      </c>
      <c r="U740" s="8">
        <f t="shared" si="124"/>
        <v>0</v>
      </c>
      <c r="W740" s="48">
        <f t="shared" si="127"/>
        <v>0</v>
      </c>
      <c r="X740" s="8">
        <f t="shared" si="125"/>
        <v>0</v>
      </c>
    </row>
    <row r="741" spans="11:24" ht="13.2" hidden="1" x14ac:dyDescent="0.25">
      <c r="K741" s="3" t="str">
        <f t="shared" si="118"/>
        <v/>
      </c>
      <c r="L741" s="39">
        <v>712</v>
      </c>
      <c r="M741" s="3">
        <f t="shared" si="126"/>
        <v>59</v>
      </c>
      <c r="N741" s="44">
        <f t="shared" si="119"/>
        <v>0</v>
      </c>
      <c r="O741" s="8">
        <f t="shared" si="120"/>
        <v>0</v>
      </c>
      <c r="Q741" s="48">
        <f t="shared" si="121"/>
        <v>0</v>
      </c>
      <c r="R741" s="8">
        <f t="shared" si="122"/>
        <v>0</v>
      </c>
      <c r="T741" s="48">
        <f t="shared" si="123"/>
        <v>0</v>
      </c>
      <c r="U741" s="8">
        <f t="shared" si="124"/>
        <v>0</v>
      </c>
      <c r="W741" s="48">
        <f t="shared" si="127"/>
        <v>0</v>
      </c>
      <c r="X741" s="8">
        <f t="shared" si="125"/>
        <v>0</v>
      </c>
    </row>
    <row r="742" spans="11:24" ht="13.2" hidden="1" x14ac:dyDescent="0.25">
      <c r="K742" s="3" t="str">
        <f t="shared" si="118"/>
        <v/>
      </c>
      <c r="L742" s="39">
        <v>713</v>
      </c>
      <c r="M742" s="3">
        <f t="shared" si="126"/>
        <v>59</v>
      </c>
      <c r="N742" s="44">
        <f t="shared" si="119"/>
        <v>0</v>
      </c>
      <c r="O742" s="8">
        <f t="shared" si="120"/>
        <v>0</v>
      </c>
      <c r="Q742" s="48">
        <f t="shared" si="121"/>
        <v>0</v>
      </c>
      <c r="R742" s="8">
        <f t="shared" si="122"/>
        <v>0</v>
      </c>
      <c r="T742" s="48">
        <f t="shared" si="123"/>
        <v>0</v>
      </c>
      <c r="U742" s="8">
        <f t="shared" si="124"/>
        <v>0</v>
      </c>
      <c r="W742" s="48">
        <f t="shared" si="127"/>
        <v>0</v>
      </c>
      <c r="X742" s="8">
        <f t="shared" si="125"/>
        <v>0</v>
      </c>
    </row>
    <row r="743" spans="11:24" ht="13.2" hidden="1" x14ac:dyDescent="0.25">
      <c r="K743" s="3" t="str">
        <f t="shared" si="118"/>
        <v/>
      </c>
      <c r="L743" s="39">
        <v>714</v>
      </c>
      <c r="M743" s="3">
        <f t="shared" si="126"/>
        <v>59</v>
      </c>
      <c r="N743" s="44">
        <f t="shared" si="119"/>
        <v>0</v>
      </c>
      <c r="O743" s="8">
        <f t="shared" si="120"/>
        <v>0</v>
      </c>
      <c r="Q743" s="48">
        <f t="shared" si="121"/>
        <v>0</v>
      </c>
      <c r="R743" s="8">
        <f t="shared" si="122"/>
        <v>0</v>
      </c>
      <c r="T743" s="48">
        <f t="shared" si="123"/>
        <v>0</v>
      </c>
      <c r="U743" s="8">
        <f t="shared" si="124"/>
        <v>0</v>
      </c>
      <c r="W743" s="48">
        <f t="shared" si="127"/>
        <v>0</v>
      </c>
      <c r="X743" s="8">
        <f t="shared" si="125"/>
        <v>0</v>
      </c>
    </row>
    <row r="744" spans="11:24" ht="13.2" hidden="1" x14ac:dyDescent="0.25">
      <c r="K744" s="3" t="str">
        <f t="shared" si="118"/>
        <v/>
      </c>
      <c r="L744" s="39">
        <v>715</v>
      </c>
      <c r="M744" s="3">
        <f t="shared" si="126"/>
        <v>59</v>
      </c>
      <c r="N744" s="44">
        <f t="shared" si="119"/>
        <v>0</v>
      </c>
      <c r="O744" s="8">
        <f t="shared" si="120"/>
        <v>0</v>
      </c>
      <c r="Q744" s="48">
        <f t="shared" si="121"/>
        <v>0</v>
      </c>
      <c r="R744" s="8">
        <f t="shared" si="122"/>
        <v>0</v>
      </c>
      <c r="T744" s="48">
        <f t="shared" si="123"/>
        <v>0</v>
      </c>
      <c r="U744" s="8">
        <f t="shared" si="124"/>
        <v>0</v>
      </c>
      <c r="W744" s="48">
        <f t="shared" si="127"/>
        <v>0</v>
      </c>
      <c r="X744" s="8">
        <f t="shared" si="125"/>
        <v>0</v>
      </c>
    </row>
    <row r="745" spans="11:24" ht="13.2" hidden="1" x14ac:dyDescent="0.25">
      <c r="K745" s="3" t="str">
        <f t="shared" si="118"/>
        <v/>
      </c>
      <c r="L745" s="39">
        <v>716</v>
      </c>
      <c r="M745" s="3">
        <f t="shared" si="126"/>
        <v>59</v>
      </c>
      <c r="N745" s="44">
        <f t="shared" si="119"/>
        <v>0</v>
      </c>
      <c r="O745" s="8">
        <f t="shared" si="120"/>
        <v>0</v>
      </c>
      <c r="Q745" s="48">
        <f t="shared" si="121"/>
        <v>0</v>
      </c>
      <c r="R745" s="8">
        <f t="shared" si="122"/>
        <v>0</v>
      </c>
      <c r="T745" s="48">
        <f t="shared" si="123"/>
        <v>0</v>
      </c>
      <c r="U745" s="8">
        <f t="shared" si="124"/>
        <v>0</v>
      </c>
      <c r="W745" s="48">
        <f t="shared" si="127"/>
        <v>0</v>
      </c>
      <c r="X745" s="8">
        <f t="shared" si="125"/>
        <v>0</v>
      </c>
    </row>
    <row r="746" spans="11:24" ht="13.2" hidden="1" x14ac:dyDescent="0.25">
      <c r="K746" s="3" t="str">
        <f t="shared" ref="K746:K809" si="128">IF(MOD(L746,12)=0,L746/12,"")</f>
        <v/>
      </c>
      <c r="L746" s="39">
        <v>717</v>
      </c>
      <c r="M746" s="3">
        <f t="shared" si="126"/>
        <v>59</v>
      </c>
      <c r="N746" s="44">
        <f t="shared" si="119"/>
        <v>0</v>
      </c>
      <c r="O746" s="8">
        <f t="shared" si="120"/>
        <v>0</v>
      </c>
      <c r="Q746" s="48">
        <f t="shared" si="121"/>
        <v>0</v>
      </c>
      <c r="R746" s="8">
        <f t="shared" si="122"/>
        <v>0</v>
      </c>
      <c r="T746" s="48">
        <f t="shared" si="123"/>
        <v>0</v>
      </c>
      <c r="U746" s="8">
        <f t="shared" si="124"/>
        <v>0</v>
      </c>
      <c r="W746" s="48">
        <f t="shared" si="127"/>
        <v>0</v>
      </c>
      <c r="X746" s="8">
        <f t="shared" si="125"/>
        <v>0</v>
      </c>
    </row>
    <row r="747" spans="11:24" ht="13.2" hidden="1" x14ac:dyDescent="0.25">
      <c r="K747" s="3" t="str">
        <f t="shared" si="128"/>
        <v/>
      </c>
      <c r="L747" s="39">
        <v>718</v>
      </c>
      <c r="M747" s="3">
        <f t="shared" si="126"/>
        <v>59</v>
      </c>
      <c r="N747" s="44">
        <f t="shared" si="119"/>
        <v>0</v>
      </c>
      <c r="O747" s="8">
        <f t="shared" si="120"/>
        <v>0</v>
      </c>
      <c r="Q747" s="48">
        <f t="shared" si="121"/>
        <v>0</v>
      </c>
      <c r="R747" s="8">
        <f t="shared" si="122"/>
        <v>0</v>
      </c>
      <c r="T747" s="48">
        <f t="shared" si="123"/>
        <v>0</v>
      </c>
      <c r="U747" s="8">
        <f t="shared" si="124"/>
        <v>0</v>
      </c>
      <c r="W747" s="48">
        <f t="shared" si="127"/>
        <v>0</v>
      </c>
      <c r="X747" s="8">
        <f t="shared" si="125"/>
        <v>0</v>
      </c>
    </row>
    <row r="748" spans="11:24" ht="13.2" hidden="1" x14ac:dyDescent="0.25">
      <c r="K748" s="3" t="str">
        <f t="shared" si="128"/>
        <v/>
      </c>
      <c r="L748" s="39">
        <v>719</v>
      </c>
      <c r="M748" s="3">
        <f t="shared" si="126"/>
        <v>59</v>
      </c>
      <c r="N748" s="44">
        <f t="shared" si="119"/>
        <v>0</v>
      </c>
      <c r="O748" s="8">
        <f t="shared" si="120"/>
        <v>0</v>
      </c>
      <c r="Q748" s="48">
        <f t="shared" si="121"/>
        <v>0</v>
      </c>
      <c r="R748" s="8">
        <f t="shared" si="122"/>
        <v>0</v>
      </c>
      <c r="T748" s="48">
        <f t="shared" si="123"/>
        <v>0</v>
      </c>
      <c r="U748" s="8">
        <f t="shared" si="124"/>
        <v>0</v>
      </c>
      <c r="W748" s="48">
        <f t="shared" si="127"/>
        <v>0</v>
      </c>
      <c r="X748" s="8">
        <f t="shared" si="125"/>
        <v>0</v>
      </c>
    </row>
    <row r="749" spans="11:24" ht="13.2" hidden="1" x14ac:dyDescent="0.25">
      <c r="K749" s="3">
        <f t="shared" si="128"/>
        <v>60</v>
      </c>
      <c r="L749" s="39">
        <v>720</v>
      </c>
      <c r="M749" s="3">
        <f t="shared" si="126"/>
        <v>59</v>
      </c>
      <c r="N749" s="44">
        <f t="shared" si="119"/>
        <v>0</v>
      </c>
      <c r="O749" s="8">
        <f t="shared" si="120"/>
        <v>0</v>
      </c>
      <c r="Q749" s="48">
        <f t="shared" si="121"/>
        <v>0</v>
      </c>
      <c r="R749" s="8">
        <f t="shared" si="122"/>
        <v>0</v>
      </c>
      <c r="T749" s="48">
        <f t="shared" si="123"/>
        <v>0</v>
      </c>
      <c r="U749" s="8">
        <f t="shared" si="124"/>
        <v>0</v>
      </c>
      <c r="W749" s="48">
        <f t="shared" si="127"/>
        <v>0</v>
      </c>
      <c r="X749" s="8">
        <f t="shared" si="125"/>
        <v>0</v>
      </c>
    </row>
    <row r="750" spans="11:24" ht="13.2" hidden="1" x14ac:dyDescent="0.25">
      <c r="K750" s="3" t="str">
        <f t="shared" si="128"/>
        <v/>
      </c>
      <c r="L750" s="39">
        <v>721</v>
      </c>
      <c r="M750" s="3">
        <f t="shared" si="126"/>
        <v>60</v>
      </c>
      <c r="N750" s="44">
        <f t="shared" si="119"/>
        <v>0</v>
      </c>
      <c r="O750" s="8">
        <f t="shared" si="120"/>
        <v>0</v>
      </c>
      <c r="Q750" s="48">
        <f t="shared" si="121"/>
        <v>0</v>
      </c>
      <c r="R750" s="8">
        <f t="shared" si="122"/>
        <v>0</v>
      </c>
      <c r="T750" s="48">
        <f t="shared" si="123"/>
        <v>0</v>
      </c>
      <c r="U750" s="8">
        <f t="shared" si="124"/>
        <v>0</v>
      </c>
      <c r="W750" s="48">
        <f t="shared" si="127"/>
        <v>0</v>
      </c>
      <c r="X750" s="8">
        <f t="shared" si="125"/>
        <v>0</v>
      </c>
    </row>
    <row r="751" spans="11:24" ht="13.2" hidden="1" x14ac:dyDescent="0.25">
      <c r="K751" s="3" t="str">
        <f t="shared" si="128"/>
        <v/>
      </c>
      <c r="L751" s="39">
        <v>722</v>
      </c>
      <c r="M751" s="3">
        <f t="shared" si="126"/>
        <v>60</v>
      </c>
      <c r="N751" s="44">
        <f t="shared" si="119"/>
        <v>0</v>
      </c>
      <c r="O751" s="8">
        <f t="shared" si="120"/>
        <v>0</v>
      </c>
      <c r="Q751" s="48">
        <f t="shared" si="121"/>
        <v>0</v>
      </c>
      <c r="R751" s="8">
        <f t="shared" si="122"/>
        <v>0</v>
      </c>
      <c r="T751" s="48">
        <f t="shared" si="123"/>
        <v>0</v>
      </c>
      <c r="U751" s="8">
        <f t="shared" si="124"/>
        <v>0</v>
      </c>
      <c r="W751" s="48">
        <f t="shared" si="127"/>
        <v>0</v>
      </c>
      <c r="X751" s="8">
        <f t="shared" si="125"/>
        <v>0</v>
      </c>
    </row>
    <row r="752" spans="11:24" ht="13.2" hidden="1" x14ac:dyDescent="0.25">
      <c r="K752" s="3" t="str">
        <f t="shared" si="128"/>
        <v/>
      </c>
      <c r="L752" s="39">
        <v>723</v>
      </c>
      <c r="M752" s="3">
        <f t="shared" si="126"/>
        <v>60</v>
      </c>
      <c r="N752" s="44">
        <f t="shared" si="119"/>
        <v>0</v>
      </c>
      <c r="O752" s="8">
        <f t="shared" si="120"/>
        <v>0</v>
      </c>
      <c r="Q752" s="48">
        <f t="shared" si="121"/>
        <v>0</v>
      </c>
      <c r="R752" s="8">
        <f t="shared" si="122"/>
        <v>0</v>
      </c>
      <c r="T752" s="48">
        <f t="shared" si="123"/>
        <v>0</v>
      </c>
      <c r="U752" s="8">
        <f t="shared" si="124"/>
        <v>0</v>
      </c>
      <c r="W752" s="48">
        <f t="shared" si="127"/>
        <v>0</v>
      </c>
      <c r="X752" s="8">
        <f t="shared" si="125"/>
        <v>0</v>
      </c>
    </row>
    <row r="753" spans="11:24" ht="13.2" hidden="1" x14ac:dyDescent="0.25">
      <c r="K753" s="3" t="str">
        <f t="shared" si="128"/>
        <v/>
      </c>
      <c r="L753" s="39">
        <v>724</v>
      </c>
      <c r="M753" s="3">
        <f t="shared" si="126"/>
        <v>60</v>
      </c>
      <c r="N753" s="44">
        <f t="shared" si="119"/>
        <v>0</v>
      </c>
      <c r="O753" s="8">
        <f t="shared" si="120"/>
        <v>0</v>
      </c>
      <c r="Q753" s="48">
        <f t="shared" si="121"/>
        <v>0</v>
      </c>
      <c r="R753" s="8">
        <f t="shared" si="122"/>
        <v>0</v>
      </c>
      <c r="T753" s="48">
        <f t="shared" si="123"/>
        <v>0</v>
      </c>
      <c r="U753" s="8">
        <f t="shared" si="124"/>
        <v>0</v>
      </c>
      <c r="W753" s="48">
        <f t="shared" si="127"/>
        <v>0</v>
      </c>
      <c r="X753" s="8">
        <f t="shared" si="125"/>
        <v>0</v>
      </c>
    </row>
    <row r="754" spans="11:24" ht="13.2" hidden="1" x14ac:dyDescent="0.25">
      <c r="K754" s="3" t="str">
        <f t="shared" si="128"/>
        <v/>
      </c>
      <c r="L754" s="39">
        <v>725</v>
      </c>
      <c r="M754" s="3">
        <f t="shared" si="126"/>
        <v>60</v>
      </c>
      <c r="N754" s="44">
        <f t="shared" si="119"/>
        <v>0</v>
      </c>
      <c r="O754" s="8">
        <f t="shared" si="120"/>
        <v>0</v>
      </c>
      <c r="Q754" s="48">
        <f t="shared" si="121"/>
        <v>0</v>
      </c>
      <c r="R754" s="8">
        <f t="shared" si="122"/>
        <v>0</v>
      </c>
      <c r="T754" s="48">
        <f t="shared" si="123"/>
        <v>0</v>
      </c>
      <c r="U754" s="8">
        <f t="shared" si="124"/>
        <v>0</v>
      </c>
      <c r="W754" s="48">
        <f t="shared" si="127"/>
        <v>0</v>
      </c>
      <c r="X754" s="8">
        <f t="shared" si="125"/>
        <v>0</v>
      </c>
    </row>
    <row r="755" spans="11:24" ht="13.2" hidden="1" x14ac:dyDescent="0.25">
      <c r="K755" s="3" t="str">
        <f t="shared" si="128"/>
        <v/>
      </c>
      <c r="L755" s="39">
        <v>726</v>
      </c>
      <c r="M755" s="3">
        <f t="shared" si="126"/>
        <v>60</v>
      </c>
      <c r="N755" s="44">
        <f t="shared" si="119"/>
        <v>0</v>
      </c>
      <c r="O755" s="8">
        <f t="shared" si="120"/>
        <v>0</v>
      </c>
      <c r="Q755" s="48">
        <f t="shared" si="121"/>
        <v>0</v>
      </c>
      <c r="R755" s="8">
        <f t="shared" si="122"/>
        <v>0</v>
      </c>
      <c r="T755" s="48">
        <f t="shared" si="123"/>
        <v>0</v>
      </c>
      <c r="U755" s="8">
        <f t="shared" si="124"/>
        <v>0</v>
      </c>
      <c r="W755" s="48">
        <f t="shared" si="127"/>
        <v>0</v>
      </c>
      <c r="X755" s="8">
        <f t="shared" si="125"/>
        <v>0</v>
      </c>
    </row>
    <row r="756" spans="11:24" ht="13.2" hidden="1" x14ac:dyDescent="0.25">
      <c r="K756" s="3" t="str">
        <f t="shared" si="128"/>
        <v/>
      </c>
      <c r="L756" s="39">
        <v>727</v>
      </c>
      <c r="M756" s="3">
        <f t="shared" si="126"/>
        <v>60</v>
      </c>
      <c r="N756" s="44">
        <f t="shared" si="119"/>
        <v>0</v>
      </c>
      <c r="O756" s="8">
        <f t="shared" si="120"/>
        <v>0</v>
      </c>
      <c r="Q756" s="48">
        <f t="shared" si="121"/>
        <v>0</v>
      </c>
      <c r="R756" s="8">
        <f t="shared" si="122"/>
        <v>0</v>
      </c>
      <c r="T756" s="48">
        <f t="shared" si="123"/>
        <v>0</v>
      </c>
      <c r="U756" s="8">
        <f t="shared" si="124"/>
        <v>0</v>
      </c>
      <c r="W756" s="48">
        <f t="shared" si="127"/>
        <v>0</v>
      </c>
      <c r="X756" s="8">
        <f t="shared" si="125"/>
        <v>0</v>
      </c>
    </row>
    <row r="757" spans="11:24" ht="13.2" hidden="1" x14ac:dyDescent="0.25">
      <c r="K757" s="3" t="str">
        <f t="shared" si="128"/>
        <v/>
      </c>
      <c r="L757" s="39">
        <v>728</v>
      </c>
      <c r="M757" s="3">
        <f t="shared" si="126"/>
        <v>60</v>
      </c>
      <c r="N757" s="44">
        <f t="shared" si="119"/>
        <v>0</v>
      </c>
      <c r="O757" s="8">
        <f t="shared" si="120"/>
        <v>0</v>
      </c>
      <c r="Q757" s="48">
        <f t="shared" si="121"/>
        <v>0</v>
      </c>
      <c r="R757" s="8">
        <f t="shared" si="122"/>
        <v>0</v>
      </c>
      <c r="T757" s="48">
        <f t="shared" si="123"/>
        <v>0</v>
      </c>
      <c r="U757" s="8">
        <f t="shared" si="124"/>
        <v>0</v>
      </c>
      <c r="W757" s="48">
        <f t="shared" si="127"/>
        <v>0</v>
      </c>
      <c r="X757" s="8">
        <f t="shared" si="125"/>
        <v>0</v>
      </c>
    </row>
    <row r="758" spans="11:24" ht="13.2" hidden="1" x14ac:dyDescent="0.25">
      <c r="K758" s="3" t="str">
        <f t="shared" si="128"/>
        <v/>
      </c>
      <c r="L758" s="39">
        <v>729</v>
      </c>
      <c r="M758" s="3">
        <f t="shared" si="126"/>
        <v>60</v>
      </c>
      <c r="N758" s="44">
        <f t="shared" si="119"/>
        <v>0</v>
      </c>
      <c r="O758" s="8">
        <f t="shared" si="120"/>
        <v>0</v>
      </c>
      <c r="Q758" s="48">
        <f t="shared" si="121"/>
        <v>0</v>
      </c>
      <c r="R758" s="8">
        <f t="shared" si="122"/>
        <v>0</v>
      </c>
      <c r="T758" s="48">
        <f t="shared" si="123"/>
        <v>0</v>
      </c>
      <c r="U758" s="8">
        <f t="shared" si="124"/>
        <v>0</v>
      </c>
      <c r="W758" s="48">
        <f t="shared" si="127"/>
        <v>0</v>
      </c>
      <c r="X758" s="8">
        <f t="shared" si="125"/>
        <v>0</v>
      </c>
    </row>
    <row r="759" spans="11:24" ht="13.2" hidden="1" x14ac:dyDescent="0.25">
      <c r="K759" s="3" t="str">
        <f t="shared" si="128"/>
        <v/>
      </c>
      <c r="L759" s="39">
        <v>730</v>
      </c>
      <c r="M759" s="3">
        <f t="shared" si="126"/>
        <v>60</v>
      </c>
      <c r="N759" s="44">
        <f t="shared" si="119"/>
        <v>0</v>
      </c>
      <c r="O759" s="8">
        <f t="shared" si="120"/>
        <v>0</v>
      </c>
      <c r="Q759" s="48">
        <f t="shared" si="121"/>
        <v>0</v>
      </c>
      <c r="R759" s="8">
        <f t="shared" si="122"/>
        <v>0</v>
      </c>
      <c r="T759" s="48">
        <f t="shared" si="123"/>
        <v>0</v>
      </c>
      <c r="U759" s="8">
        <f t="shared" si="124"/>
        <v>0</v>
      </c>
      <c r="W759" s="48">
        <f t="shared" si="127"/>
        <v>0</v>
      </c>
      <c r="X759" s="8">
        <f t="shared" si="125"/>
        <v>0</v>
      </c>
    </row>
    <row r="760" spans="11:24" ht="13.2" hidden="1" x14ac:dyDescent="0.25">
      <c r="K760" s="3" t="str">
        <f t="shared" si="128"/>
        <v/>
      </c>
      <c r="L760" s="39">
        <v>731</v>
      </c>
      <c r="M760" s="3">
        <f t="shared" si="126"/>
        <v>60</v>
      </c>
      <c r="N760" s="44">
        <f t="shared" si="119"/>
        <v>0</v>
      </c>
      <c r="O760" s="8">
        <f t="shared" si="120"/>
        <v>0</v>
      </c>
      <c r="Q760" s="48">
        <f t="shared" si="121"/>
        <v>0</v>
      </c>
      <c r="R760" s="8">
        <f t="shared" si="122"/>
        <v>0</v>
      </c>
      <c r="T760" s="48">
        <f t="shared" si="123"/>
        <v>0</v>
      </c>
      <c r="U760" s="8">
        <f t="shared" si="124"/>
        <v>0</v>
      </c>
      <c r="W760" s="48">
        <f t="shared" si="127"/>
        <v>0</v>
      </c>
      <c r="X760" s="8">
        <f t="shared" si="125"/>
        <v>0</v>
      </c>
    </row>
    <row r="761" spans="11:24" ht="13.2" hidden="1" x14ac:dyDescent="0.25">
      <c r="K761" s="3">
        <f t="shared" si="128"/>
        <v>61</v>
      </c>
      <c r="L761" s="39">
        <v>732</v>
      </c>
      <c r="M761" s="3">
        <f t="shared" si="126"/>
        <v>60</v>
      </c>
      <c r="N761" s="44">
        <f t="shared" si="119"/>
        <v>0</v>
      </c>
      <c r="O761" s="8">
        <f t="shared" si="120"/>
        <v>0</v>
      </c>
      <c r="Q761" s="48">
        <f t="shared" si="121"/>
        <v>0</v>
      </c>
      <c r="R761" s="8">
        <f t="shared" si="122"/>
        <v>0</v>
      </c>
      <c r="T761" s="48">
        <f t="shared" si="123"/>
        <v>0</v>
      </c>
      <c r="U761" s="8">
        <f t="shared" si="124"/>
        <v>0</v>
      </c>
      <c r="W761" s="48">
        <f t="shared" si="127"/>
        <v>0</v>
      </c>
      <c r="X761" s="8">
        <f t="shared" si="125"/>
        <v>0</v>
      </c>
    </row>
    <row r="762" spans="11:24" ht="13.2" hidden="1" x14ac:dyDescent="0.25">
      <c r="K762" s="3" t="str">
        <f t="shared" si="128"/>
        <v/>
      </c>
      <c r="L762" s="39">
        <v>733</v>
      </c>
      <c r="M762" s="3">
        <f t="shared" si="126"/>
        <v>61</v>
      </c>
      <c r="N762" s="44">
        <f t="shared" si="119"/>
        <v>0</v>
      </c>
      <c r="O762" s="8">
        <f t="shared" si="120"/>
        <v>0</v>
      </c>
      <c r="Q762" s="48">
        <f t="shared" si="121"/>
        <v>0</v>
      </c>
      <c r="R762" s="8">
        <f t="shared" si="122"/>
        <v>0</v>
      </c>
      <c r="T762" s="48">
        <f t="shared" si="123"/>
        <v>0</v>
      </c>
      <c r="U762" s="8">
        <f t="shared" si="124"/>
        <v>0</v>
      </c>
      <c r="W762" s="48">
        <f t="shared" si="127"/>
        <v>0</v>
      </c>
      <c r="X762" s="8">
        <f t="shared" si="125"/>
        <v>0</v>
      </c>
    </row>
    <row r="763" spans="11:24" ht="13.2" hidden="1" x14ac:dyDescent="0.25">
      <c r="K763" s="3" t="str">
        <f t="shared" si="128"/>
        <v/>
      </c>
      <c r="L763" s="39">
        <v>734</v>
      </c>
      <c r="M763" s="3">
        <f t="shared" si="126"/>
        <v>61</v>
      </c>
      <c r="N763" s="44">
        <f t="shared" si="119"/>
        <v>0</v>
      </c>
      <c r="O763" s="8">
        <f t="shared" si="120"/>
        <v>0</v>
      </c>
      <c r="Q763" s="48">
        <f t="shared" si="121"/>
        <v>0</v>
      </c>
      <c r="R763" s="8">
        <f t="shared" si="122"/>
        <v>0</v>
      </c>
      <c r="T763" s="48">
        <f t="shared" si="123"/>
        <v>0</v>
      </c>
      <c r="U763" s="8">
        <f t="shared" si="124"/>
        <v>0</v>
      </c>
      <c r="W763" s="48">
        <f t="shared" si="127"/>
        <v>0</v>
      </c>
      <c r="X763" s="8">
        <f t="shared" si="125"/>
        <v>0</v>
      </c>
    </row>
    <row r="764" spans="11:24" ht="13.2" hidden="1" x14ac:dyDescent="0.25">
      <c r="K764" s="3" t="str">
        <f t="shared" si="128"/>
        <v/>
      </c>
      <c r="L764" s="39">
        <v>735</v>
      </c>
      <c r="M764" s="3">
        <f t="shared" si="126"/>
        <v>61</v>
      </c>
      <c r="N764" s="44">
        <f t="shared" si="119"/>
        <v>0</v>
      </c>
      <c r="O764" s="8">
        <f t="shared" si="120"/>
        <v>0</v>
      </c>
      <c r="Q764" s="48">
        <f t="shared" si="121"/>
        <v>0</v>
      </c>
      <c r="R764" s="8">
        <f t="shared" si="122"/>
        <v>0</v>
      </c>
      <c r="T764" s="48">
        <f t="shared" si="123"/>
        <v>0</v>
      </c>
      <c r="U764" s="8">
        <f t="shared" si="124"/>
        <v>0</v>
      </c>
      <c r="W764" s="48">
        <f t="shared" si="127"/>
        <v>0</v>
      </c>
      <c r="X764" s="8">
        <f t="shared" si="125"/>
        <v>0</v>
      </c>
    </row>
    <row r="765" spans="11:24" ht="13.2" hidden="1" x14ac:dyDescent="0.25">
      <c r="K765" s="3" t="str">
        <f t="shared" si="128"/>
        <v/>
      </c>
      <c r="L765" s="39">
        <v>736</v>
      </c>
      <c r="M765" s="3">
        <f t="shared" si="126"/>
        <v>61</v>
      </c>
      <c r="N765" s="44">
        <f t="shared" si="119"/>
        <v>0</v>
      </c>
      <c r="O765" s="8">
        <f t="shared" si="120"/>
        <v>0</v>
      </c>
      <c r="Q765" s="48">
        <f t="shared" si="121"/>
        <v>0</v>
      </c>
      <c r="R765" s="8">
        <f t="shared" si="122"/>
        <v>0</v>
      </c>
      <c r="T765" s="48">
        <f t="shared" si="123"/>
        <v>0</v>
      </c>
      <c r="U765" s="8">
        <f t="shared" si="124"/>
        <v>0</v>
      </c>
      <c r="W765" s="48">
        <f t="shared" si="127"/>
        <v>0</v>
      </c>
      <c r="X765" s="8">
        <f t="shared" si="125"/>
        <v>0</v>
      </c>
    </row>
    <row r="766" spans="11:24" ht="13.2" hidden="1" x14ac:dyDescent="0.25">
      <c r="K766" s="3" t="str">
        <f t="shared" si="128"/>
        <v/>
      </c>
      <c r="L766" s="39">
        <v>737</v>
      </c>
      <c r="M766" s="3">
        <f t="shared" si="126"/>
        <v>61</v>
      </c>
      <c r="N766" s="44">
        <f t="shared" si="119"/>
        <v>0</v>
      </c>
      <c r="O766" s="8">
        <f t="shared" si="120"/>
        <v>0</v>
      </c>
      <c r="Q766" s="48">
        <f t="shared" si="121"/>
        <v>0</v>
      </c>
      <c r="R766" s="8">
        <f t="shared" si="122"/>
        <v>0</v>
      </c>
      <c r="T766" s="48">
        <f t="shared" si="123"/>
        <v>0</v>
      </c>
      <c r="U766" s="8">
        <f t="shared" si="124"/>
        <v>0</v>
      </c>
      <c r="W766" s="48">
        <f t="shared" si="127"/>
        <v>0</v>
      </c>
      <c r="X766" s="8">
        <f t="shared" si="125"/>
        <v>0</v>
      </c>
    </row>
    <row r="767" spans="11:24" ht="13.2" hidden="1" x14ac:dyDescent="0.25">
      <c r="K767" s="3" t="str">
        <f t="shared" si="128"/>
        <v/>
      </c>
      <c r="L767" s="39">
        <v>738</v>
      </c>
      <c r="M767" s="3">
        <f t="shared" si="126"/>
        <v>61</v>
      </c>
      <c r="N767" s="44">
        <f t="shared" si="119"/>
        <v>0</v>
      </c>
      <c r="O767" s="8">
        <f t="shared" si="120"/>
        <v>0</v>
      </c>
      <c r="Q767" s="48">
        <f t="shared" si="121"/>
        <v>0</v>
      </c>
      <c r="R767" s="8">
        <f t="shared" si="122"/>
        <v>0</v>
      </c>
      <c r="T767" s="48">
        <f t="shared" si="123"/>
        <v>0</v>
      </c>
      <c r="U767" s="8">
        <f t="shared" si="124"/>
        <v>0</v>
      </c>
      <c r="W767" s="48">
        <f t="shared" si="127"/>
        <v>0</v>
      </c>
      <c r="X767" s="8">
        <f t="shared" si="125"/>
        <v>0</v>
      </c>
    </row>
    <row r="768" spans="11:24" ht="13.2" hidden="1" x14ac:dyDescent="0.25">
      <c r="K768" s="3" t="str">
        <f t="shared" si="128"/>
        <v/>
      </c>
      <c r="L768" s="39">
        <v>739</v>
      </c>
      <c r="M768" s="3">
        <f t="shared" si="126"/>
        <v>61</v>
      </c>
      <c r="N768" s="44">
        <f t="shared" si="119"/>
        <v>0</v>
      </c>
      <c r="O768" s="8">
        <f t="shared" si="120"/>
        <v>0</v>
      </c>
      <c r="Q768" s="48">
        <f t="shared" si="121"/>
        <v>0</v>
      </c>
      <c r="R768" s="8">
        <f t="shared" si="122"/>
        <v>0</v>
      </c>
      <c r="T768" s="48">
        <f t="shared" si="123"/>
        <v>0</v>
      </c>
      <c r="U768" s="8">
        <f t="shared" si="124"/>
        <v>0</v>
      </c>
      <c r="W768" s="48">
        <f t="shared" si="127"/>
        <v>0</v>
      </c>
      <c r="X768" s="8">
        <f t="shared" si="125"/>
        <v>0</v>
      </c>
    </row>
    <row r="769" spans="11:24" ht="13.2" hidden="1" x14ac:dyDescent="0.25">
      <c r="K769" s="3" t="str">
        <f t="shared" si="128"/>
        <v/>
      </c>
      <c r="L769" s="39">
        <v>740</v>
      </c>
      <c r="M769" s="3">
        <f t="shared" si="126"/>
        <v>61</v>
      </c>
      <c r="N769" s="44">
        <f t="shared" si="119"/>
        <v>0</v>
      </c>
      <c r="O769" s="8">
        <f t="shared" si="120"/>
        <v>0</v>
      </c>
      <c r="Q769" s="48">
        <f t="shared" si="121"/>
        <v>0</v>
      </c>
      <c r="R769" s="8">
        <f t="shared" si="122"/>
        <v>0</v>
      </c>
      <c r="T769" s="48">
        <f t="shared" si="123"/>
        <v>0</v>
      </c>
      <c r="U769" s="8">
        <f t="shared" si="124"/>
        <v>0</v>
      </c>
      <c r="W769" s="48">
        <f t="shared" si="127"/>
        <v>0</v>
      </c>
      <c r="X769" s="8">
        <f t="shared" si="125"/>
        <v>0</v>
      </c>
    </row>
    <row r="770" spans="11:24" ht="13.2" hidden="1" x14ac:dyDescent="0.25">
      <c r="K770" s="3" t="str">
        <f t="shared" si="128"/>
        <v/>
      </c>
      <c r="L770" s="39">
        <v>741</v>
      </c>
      <c r="M770" s="3">
        <f t="shared" si="126"/>
        <v>61</v>
      </c>
      <c r="N770" s="44">
        <f t="shared" si="119"/>
        <v>0</v>
      </c>
      <c r="O770" s="8">
        <f t="shared" si="120"/>
        <v>0</v>
      </c>
      <c r="Q770" s="48">
        <f t="shared" si="121"/>
        <v>0</v>
      </c>
      <c r="R770" s="8">
        <f t="shared" si="122"/>
        <v>0</v>
      </c>
      <c r="T770" s="48">
        <f t="shared" si="123"/>
        <v>0</v>
      </c>
      <c r="U770" s="8">
        <f t="shared" si="124"/>
        <v>0</v>
      </c>
      <c r="W770" s="48">
        <f t="shared" si="127"/>
        <v>0</v>
      </c>
      <c r="X770" s="8">
        <f t="shared" si="125"/>
        <v>0</v>
      </c>
    </row>
    <row r="771" spans="11:24" ht="13.2" hidden="1" x14ac:dyDescent="0.25">
      <c r="K771" s="3" t="str">
        <f t="shared" si="128"/>
        <v/>
      </c>
      <c r="L771" s="39">
        <v>742</v>
      </c>
      <c r="M771" s="3">
        <f t="shared" si="126"/>
        <v>61</v>
      </c>
      <c r="N771" s="44">
        <f t="shared" si="119"/>
        <v>0</v>
      </c>
      <c r="O771" s="8">
        <f t="shared" si="120"/>
        <v>0</v>
      </c>
      <c r="Q771" s="48">
        <f t="shared" si="121"/>
        <v>0</v>
      </c>
      <c r="R771" s="8">
        <f t="shared" si="122"/>
        <v>0</v>
      </c>
      <c r="T771" s="48">
        <f t="shared" si="123"/>
        <v>0</v>
      </c>
      <c r="U771" s="8">
        <f t="shared" si="124"/>
        <v>0</v>
      </c>
      <c r="W771" s="48">
        <f t="shared" si="127"/>
        <v>0</v>
      </c>
      <c r="X771" s="8">
        <f t="shared" si="125"/>
        <v>0</v>
      </c>
    </row>
    <row r="772" spans="11:24" ht="13.2" hidden="1" x14ac:dyDescent="0.25">
      <c r="K772" s="3" t="str">
        <f t="shared" si="128"/>
        <v/>
      </c>
      <c r="L772" s="39">
        <v>743</v>
      </c>
      <c r="M772" s="3">
        <f t="shared" si="126"/>
        <v>61</v>
      </c>
      <c r="N772" s="44">
        <f t="shared" si="119"/>
        <v>0</v>
      </c>
      <c r="O772" s="8">
        <f t="shared" si="120"/>
        <v>0</v>
      </c>
      <c r="Q772" s="48">
        <f t="shared" si="121"/>
        <v>0</v>
      </c>
      <c r="R772" s="8">
        <f t="shared" si="122"/>
        <v>0</v>
      </c>
      <c r="T772" s="48">
        <f t="shared" si="123"/>
        <v>0</v>
      </c>
      <c r="U772" s="8">
        <f t="shared" si="124"/>
        <v>0</v>
      </c>
      <c r="W772" s="48">
        <f t="shared" si="127"/>
        <v>0</v>
      </c>
      <c r="X772" s="8">
        <f t="shared" si="125"/>
        <v>0</v>
      </c>
    </row>
    <row r="773" spans="11:24" ht="13.2" hidden="1" x14ac:dyDescent="0.25">
      <c r="K773" s="3">
        <f t="shared" si="128"/>
        <v>62</v>
      </c>
      <c r="L773" s="39">
        <v>744</v>
      </c>
      <c r="M773" s="3">
        <f t="shared" si="126"/>
        <v>61</v>
      </c>
      <c r="N773" s="44">
        <f t="shared" si="119"/>
        <v>0</v>
      </c>
      <c r="O773" s="8">
        <f t="shared" si="120"/>
        <v>0</v>
      </c>
      <c r="Q773" s="48">
        <f t="shared" si="121"/>
        <v>0</v>
      </c>
      <c r="R773" s="8">
        <f t="shared" si="122"/>
        <v>0</v>
      </c>
      <c r="T773" s="48">
        <f t="shared" si="123"/>
        <v>0</v>
      </c>
      <c r="U773" s="8">
        <f t="shared" si="124"/>
        <v>0</v>
      </c>
      <c r="W773" s="48">
        <f t="shared" si="127"/>
        <v>0</v>
      </c>
      <c r="X773" s="8">
        <f t="shared" si="125"/>
        <v>0</v>
      </c>
    </row>
    <row r="774" spans="11:24" ht="13.2" hidden="1" x14ac:dyDescent="0.25">
      <c r="K774" s="3" t="str">
        <f t="shared" si="128"/>
        <v/>
      </c>
      <c r="L774" s="39">
        <v>745</v>
      </c>
      <c r="M774" s="3">
        <f t="shared" si="126"/>
        <v>62</v>
      </c>
      <c r="N774" s="44">
        <f t="shared" si="119"/>
        <v>0</v>
      </c>
      <c r="O774" s="8">
        <f t="shared" si="120"/>
        <v>0</v>
      </c>
      <c r="Q774" s="48">
        <f t="shared" si="121"/>
        <v>0</v>
      </c>
      <c r="R774" s="8">
        <f t="shared" si="122"/>
        <v>0</v>
      </c>
      <c r="T774" s="48">
        <f t="shared" si="123"/>
        <v>0</v>
      </c>
      <c r="U774" s="8">
        <f t="shared" si="124"/>
        <v>0</v>
      </c>
      <c r="W774" s="48">
        <f t="shared" si="127"/>
        <v>0</v>
      </c>
      <c r="X774" s="8">
        <f t="shared" si="125"/>
        <v>0</v>
      </c>
    </row>
    <row r="775" spans="11:24" ht="13.2" hidden="1" x14ac:dyDescent="0.25">
      <c r="K775" s="3" t="str">
        <f t="shared" si="128"/>
        <v/>
      </c>
      <c r="L775" s="39">
        <v>746</v>
      </c>
      <c r="M775" s="3">
        <f t="shared" si="126"/>
        <v>62</v>
      </c>
      <c r="N775" s="44">
        <f t="shared" si="119"/>
        <v>0</v>
      </c>
      <c r="O775" s="8">
        <f t="shared" si="120"/>
        <v>0</v>
      </c>
      <c r="Q775" s="48">
        <f t="shared" si="121"/>
        <v>0</v>
      </c>
      <c r="R775" s="8">
        <f t="shared" si="122"/>
        <v>0</v>
      </c>
      <c r="T775" s="48">
        <f t="shared" si="123"/>
        <v>0</v>
      </c>
      <c r="U775" s="8">
        <f t="shared" si="124"/>
        <v>0</v>
      </c>
      <c r="W775" s="48">
        <f t="shared" si="127"/>
        <v>0</v>
      </c>
      <c r="X775" s="8">
        <f t="shared" si="125"/>
        <v>0</v>
      </c>
    </row>
    <row r="776" spans="11:24" ht="13.2" hidden="1" x14ac:dyDescent="0.25">
      <c r="K776" s="3" t="str">
        <f t="shared" si="128"/>
        <v/>
      </c>
      <c r="L776" s="39">
        <v>747</v>
      </c>
      <c r="M776" s="3">
        <f t="shared" si="126"/>
        <v>62</v>
      </c>
      <c r="N776" s="44">
        <f t="shared" si="119"/>
        <v>0</v>
      </c>
      <c r="O776" s="8">
        <f t="shared" si="120"/>
        <v>0</v>
      </c>
      <c r="Q776" s="48">
        <f t="shared" si="121"/>
        <v>0</v>
      </c>
      <c r="R776" s="8">
        <f t="shared" si="122"/>
        <v>0</v>
      </c>
      <c r="T776" s="48">
        <f t="shared" si="123"/>
        <v>0</v>
      </c>
      <c r="U776" s="8">
        <f t="shared" si="124"/>
        <v>0</v>
      </c>
      <c r="W776" s="48">
        <f t="shared" si="127"/>
        <v>0</v>
      </c>
      <c r="X776" s="8">
        <f t="shared" si="125"/>
        <v>0</v>
      </c>
    </row>
    <row r="777" spans="11:24" ht="13.2" hidden="1" x14ac:dyDescent="0.25">
      <c r="K777" s="3" t="str">
        <f t="shared" si="128"/>
        <v/>
      </c>
      <c r="L777" s="39">
        <v>748</v>
      </c>
      <c r="M777" s="3">
        <f t="shared" si="126"/>
        <v>62</v>
      </c>
      <c r="N777" s="44">
        <f t="shared" si="119"/>
        <v>0</v>
      </c>
      <c r="O777" s="8">
        <f t="shared" si="120"/>
        <v>0</v>
      </c>
      <c r="Q777" s="48">
        <f t="shared" si="121"/>
        <v>0</v>
      </c>
      <c r="R777" s="8">
        <f t="shared" si="122"/>
        <v>0</v>
      </c>
      <c r="T777" s="48">
        <f t="shared" si="123"/>
        <v>0</v>
      </c>
      <c r="U777" s="8">
        <f t="shared" si="124"/>
        <v>0</v>
      </c>
      <c r="W777" s="48">
        <f t="shared" si="127"/>
        <v>0</v>
      </c>
      <c r="X777" s="8">
        <f t="shared" si="125"/>
        <v>0</v>
      </c>
    </row>
    <row r="778" spans="11:24" ht="13.2" hidden="1" x14ac:dyDescent="0.25">
      <c r="K778" s="3" t="str">
        <f t="shared" si="128"/>
        <v/>
      </c>
      <c r="L778" s="39">
        <v>749</v>
      </c>
      <c r="M778" s="3">
        <f t="shared" si="126"/>
        <v>62</v>
      </c>
      <c r="N778" s="44">
        <f t="shared" si="119"/>
        <v>0</v>
      </c>
      <c r="O778" s="8">
        <f t="shared" si="120"/>
        <v>0</v>
      </c>
      <c r="Q778" s="48">
        <f t="shared" si="121"/>
        <v>0</v>
      </c>
      <c r="R778" s="8">
        <f t="shared" si="122"/>
        <v>0</v>
      </c>
      <c r="T778" s="48">
        <f t="shared" si="123"/>
        <v>0</v>
      </c>
      <c r="U778" s="8">
        <f t="shared" si="124"/>
        <v>0</v>
      </c>
      <c r="W778" s="48">
        <f t="shared" si="127"/>
        <v>0</v>
      </c>
      <c r="X778" s="8">
        <f t="shared" si="125"/>
        <v>0</v>
      </c>
    </row>
    <row r="779" spans="11:24" ht="13.2" hidden="1" x14ac:dyDescent="0.25">
      <c r="K779" s="3" t="str">
        <f t="shared" si="128"/>
        <v/>
      </c>
      <c r="L779" s="39">
        <v>750</v>
      </c>
      <c r="M779" s="3">
        <f t="shared" si="126"/>
        <v>62</v>
      </c>
      <c r="N779" s="44">
        <f t="shared" si="119"/>
        <v>0</v>
      </c>
      <c r="O779" s="8">
        <f t="shared" si="120"/>
        <v>0</v>
      </c>
      <c r="Q779" s="48">
        <f t="shared" si="121"/>
        <v>0</v>
      </c>
      <c r="R779" s="8">
        <f t="shared" si="122"/>
        <v>0</v>
      </c>
      <c r="T779" s="48">
        <f t="shared" si="123"/>
        <v>0</v>
      </c>
      <c r="U779" s="8">
        <f t="shared" si="124"/>
        <v>0</v>
      </c>
      <c r="W779" s="48">
        <f t="shared" si="127"/>
        <v>0</v>
      </c>
      <c r="X779" s="8">
        <f t="shared" si="125"/>
        <v>0</v>
      </c>
    </row>
    <row r="780" spans="11:24" ht="13.2" hidden="1" x14ac:dyDescent="0.25">
      <c r="K780" s="3" t="str">
        <f t="shared" si="128"/>
        <v/>
      </c>
      <c r="L780" s="39">
        <v>751</v>
      </c>
      <c r="M780" s="3">
        <f t="shared" si="126"/>
        <v>62</v>
      </c>
      <c r="N780" s="44">
        <f t="shared" si="119"/>
        <v>0</v>
      </c>
      <c r="O780" s="8">
        <f t="shared" si="120"/>
        <v>0</v>
      </c>
      <c r="Q780" s="48">
        <f t="shared" si="121"/>
        <v>0</v>
      </c>
      <c r="R780" s="8">
        <f t="shared" si="122"/>
        <v>0</v>
      </c>
      <c r="T780" s="48">
        <f t="shared" si="123"/>
        <v>0</v>
      </c>
      <c r="U780" s="8">
        <f t="shared" si="124"/>
        <v>0</v>
      </c>
      <c r="W780" s="48">
        <f t="shared" si="127"/>
        <v>0</v>
      </c>
      <c r="X780" s="8">
        <f t="shared" si="125"/>
        <v>0</v>
      </c>
    </row>
    <row r="781" spans="11:24" ht="13.2" hidden="1" x14ac:dyDescent="0.25">
      <c r="K781" s="3" t="str">
        <f t="shared" si="128"/>
        <v/>
      </c>
      <c r="L781" s="39">
        <v>752</v>
      </c>
      <c r="M781" s="3">
        <f t="shared" si="126"/>
        <v>62</v>
      </c>
      <c r="N781" s="44">
        <f t="shared" si="119"/>
        <v>0</v>
      </c>
      <c r="O781" s="8">
        <f t="shared" si="120"/>
        <v>0</v>
      </c>
      <c r="Q781" s="48">
        <f t="shared" si="121"/>
        <v>0</v>
      </c>
      <c r="R781" s="8">
        <f t="shared" si="122"/>
        <v>0</v>
      </c>
      <c r="T781" s="48">
        <f t="shared" si="123"/>
        <v>0</v>
      </c>
      <c r="U781" s="8">
        <f t="shared" si="124"/>
        <v>0</v>
      </c>
      <c r="W781" s="48">
        <f t="shared" si="127"/>
        <v>0</v>
      </c>
      <c r="X781" s="8">
        <f t="shared" si="125"/>
        <v>0</v>
      </c>
    </row>
    <row r="782" spans="11:24" ht="13.2" hidden="1" x14ac:dyDescent="0.25">
      <c r="K782" s="3" t="str">
        <f t="shared" si="128"/>
        <v/>
      </c>
      <c r="L782" s="39">
        <v>753</v>
      </c>
      <c r="M782" s="3">
        <f t="shared" si="126"/>
        <v>62</v>
      </c>
      <c r="N782" s="44">
        <f t="shared" si="119"/>
        <v>0</v>
      </c>
      <c r="O782" s="8">
        <f t="shared" si="120"/>
        <v>0</v>
      </c>
      <c r="Q782" s="48">
        <f t="shared" si="121"/>
        <v>0</v>
      </c>
      <c r="R782" s="8">
        <f t="shared" si="122"/>
        <v>0</v>
      </c>
      <c r="T782" s="48">
        <f t="shared" si="123"/>
        <v>0</v>
      </c>
      <c r="U782" s="8">
        <f t="shared" si="124"/>
        <v>0</v>
      </c>
      <c r="W782" s="48">
        <f t="shared" si="127"/>
        <v>0</v>
      </c>
      <c r="X782" s="8">
        <f t="shared" si="125"/>
        <v>0</v>
      </c>
    </row>
    <row r="783" spans="11:24" ht="13.2" hidden="1" x14ac:dyDescent="0.25">
      <c r="K783" s="3" t="str">
        <f t="shared" si="128"/>
        <v/>
      </c>
      <c r="L783" s="39">
        <v>754</v>
      </c>
      <c r="M783" s="3">
        <f t="shared" si="126"/>
        <v>62</v>
      </c>
      <c r="N783" s="44">
        <f t="shared" si="119"/>
        <v>0</v>
      </c>
      <c r="O783" s="8">
        <f t="shared" si="120"/>
        <v>0</v>
      </c>
      <c r="Q783" s="48">
        <f t="shared" si="121"/>
        <v>0</v>
      </c>
      <c r="R783" s="8">
        <f t="shared" si="122"/>
        <v>0</v>
      </c>
      <c r="T783" s="48">
        <f t="shared" si="123"/>
        <v>0</v>
      </c>
      <c r="U783" s="8">
        <f t="shared" si="124"/>
        <v>0</v>
      </c>
      <c r="W783" s="48">
        <f t="shared" si="127"/>
        <v>0</v>
      </c>
      <c r="X783" s="8">
        <f t="shared" si="125"/>
        <v>0</v>
      </c>
    </row>
    <row r="784" spans="11:24" ht="13.2" hidden="1" x14ac:dyDescent="0.25">
      <c r="K784" s="3" t="str">
        <f t="shared" si="128"/>
        <v/>
      </c>
      <c r="L784" s="39">
        <v>755</v>
      </c>
      <c r="M784" s="3">
        <f t="shared" si="126"/>
        <v>62</v>
      </c>
      <c r="N784" s="44">
        <f t="shared" si="119"/>
        <v>0</v>
      </c>
      <c r="O784" s="8">
        <f t="shared" si="120"/>
        <v>0</v>
      </c>
      <c r="Q784" s="48">
        <f t="shared" si="121"/>
        <v>0</v>
      </c>
      <c r="R784" s="8">
        <f t="shared" si="122"/>
        <v>0</v>
      </c>
      <c r="T784" s="48">
        <f t="shared" si="123"/>
        <v>0</v>
      </c>
      <c r="U784" s="8">
        <f t="shared" si="124"/>
        <v>0</v>
      </c>
      <c r="W784" s="48">
        <f t="shared" si="127"/>
        <v>0</v>
      </c>
      <c r="X784" s="8">
        <f t="shared" si="125"/>
        <v>0</v>
      </c>
    </row>
    <row r="785" spans="11:24" ht="13.2" hidden="1" x14ac:dyDescent="0.25">
      <c r="K785" s="3">
        <f t="shared" si="128"/>
        <v>63</v>
      </c>
      <c r="L785" s="39">
        <v>756</v>
      </c>
      <c r="M785" s="3">
        <f t="shared" si="126"/>
        <v>62</v>
      </c>
      <c r="N785" s="44">
        <f t="shared" si="119"/>
        <v>0</v>
      </c>
      <c r="O785" s="8">
        <f t="shared" si="120"/>
        <v>0</v>
      </c>
      <c r="Q785" s="48">
        <f t="shared" si="121"/>
        <v>0</v>
      </c>
      <c r="R785" s="8">
        <f t="shared" si="122"/>
        <v>0</v>
      </c>
      <c r="T785" s="48">
        <f t="shared" si="123"/>
        <v>0</v>
      </c>
      <c r="U785" s="8">
        <f t="shared" si="124"/>
        <v>0</v>
      </c>
      <c r="W785" s="48">
        <f t="shared" si="127"/>
        <v>0</v>
      </c>
      <c r="X785" s="8">
        <f t="shared" si="125"/>
        <v>0</v>
      </c>
    </row>
    <row r="786" spans="11:24" ht="13.2" hidden="1" x14ac:dyDescent="0.25">
      <c r="K786" s="3" t="str">
        <f t="shared" si="128"/>
        <v/>
      </c>
      <c r="L786" s="39">
        <v>757</v>
      </c>
      <c r="M786" s="3">
        <f t="shared" si="126"/>
        <v>63</v>
      </c>
      <c r="N786" s="44">
        <f t="shared" si="119"/>
        <v>0</v>
      </c>
      <c r="O786" s="8">
        <f t="shared" si="120"/>
        <v>0</v>
      </c>
      <c r="Q786" s="48">
        <f t="shared" si="121"/>
        <v>0</v>
      </c>
      <c r="R786" s="8">
        <f t="shared" si="122"/>
        <v>0</v>
      </c>
      <c r="T786" s="48">
        <f t="shared" si="123"/>
        <v>0</v>
      </c>
      <c r="U786" s="8">
        <f t="shared" si="124"/>
        <v>0</v>
      </c>
      <c r="W786" s="48">
        <f t="shared" si="127"/>
        <v>0</v>
      </c>
      <c r="X786" s="8">
        <f t="shared" si="125"/>
        <v>0</v>
      </c>
    </row>
    <row r="787" spans="11:24" ht="13.2" hidden="1" x14ac:dyDescent="0.25">
      <c r="K787" s="3" t="str">
        <f t="shared" si="128"/>
        <v/>
      </c>
      <c r="L787" s="39">
        <v>758</v>
      </c>
      <c r="M787" s="3">
        <f t="shared" si="126"/>
        <v>63</v>
      </c>
      <c r="N787" s="44">
        <f t="shared" si="119"/>
        <v>0</v>
      </c>
      <c r="O787" s="8">
        <f t="shared" si="120"/>
        <v>0</v>
      </c>
      <c r="Q787" s="48">
        <f t="shared" si="121"/>
        <v>0</v>
      </c>
      <c r="R787" s="8">
        <f t="shared" si="122"/>
        <v>0</v>
      </c>
      <c r="T787" s="48">
        <f t="shared" si="123"/>
        <v>0</v>
      </c>
      <c r="U787" s="8">
        <f t="shared" si="124"/>
        <v>0</v>
      </c>
      <c r="W787" s="48">
        <f t="shared" si="127"/>
        <v>0</v>
      </c>
      <c r="X787" s="8">
        <f t="shared" si="125"/>
        <v>0</v>
      </c>
    </row>
    <row r="788" spans="11:24" ht="13.2" hidden="1" x14ac:dyDescent="0.25">
      <c r="K788" s="3" t="str">
        <f t="shared" si="128"/>
        <v/>
      </c>
      <c r="L788" s="39">
        <v>759</v>
      </c>
      <c r="M788" s="3">
        <f t="shared" si="126"/>
        <v>63</v>
      </c>
      <c r="N788" s="44">
        <f t="shared" si="119"/>
        <v>0</v>
      </c>
      <c r="O788" s="8">
        <f t="shared" si="120"/>
        <v>0</v>
      </c>
      <c r="Q788" s="48">
        <f t="shared" si="121"/>
        <v>0</v>
      </c>
      <c r="R788" s="8">
        <f t="shared" si="122"/>
        <v>0</v>
      </c>
      <c r="T788" s="48">
        <f t="shared" si="123"/>
        <v>0</v>
      </c>
      <c r="U788" s="8">
        <f t="shared" si="124"/>
        <v>0</v>
      </c>
      <c r="W788" s="48">
        <f t="shared" si="127"/>
        <v>0</v>
      </c>
      <c r="X788" s="8">
        <f t="shared" si="125"/>
        <v>0</v>
      </c>
    </row>
    <row r="789" spans="11:24" ht="13.2" hidden="1" x14ac:dyDescent="0.25">
      <c r="K789" s="3" t="str">
        <f t="shared" si="128"/>
        <v/>
      </c>
      <c r="L789" s="39">
        <v>760</v>
      </c>
      <c r="M789" s="3">
        <f t="shared" si="126"/>
        <v>63</v>
      </c>
      <c r="N789" s="44">
        <f t="shared" si="119"/>
        <v>0</v>
      </c>
      <c r="O789" s="8">
        <f t="shared" si="120"/>
        <v>0</v>
      </c>
      <c r="Q789" s="48">
        <f t="shared" si="121"/>
        <v>0</v>
      </c>
      <c r="R789" s="8">
        <f t="shared" si="122"/>
        <v>0</v>
      </c>
      <c r="T789" s="48">
        <f t="shared" si="123"/>
        <v>0</v>
      </c>
      <c r="U789" s="8">
        <f t="shared" si="124"/>
        <v>0</v>
      </c>
      <c r="W789" s="48">
        <f t="shared" si="127"/>
        <v>0</v>
      </c>
      <c r="X789" s="8">
        <f t="shared" si="125"/>
        <v>0</v>
      </c>
    </row>
    <row r="790" spans="11:24" ht="13.2" hidden="1" x14ac:dyDescent="0.25">
      <c r="K790" s="3" t="str">
        <f t="shared" si="128"/>
        <v/>
      </c>
      <c r="L790" s="39">
        <v>761</v>
      </c>
      <c r="M790" s="3">
        <f t="shared" si="126"/>
        <v>63</v>
      </c>
      <c r="N790" s="44">
        <f t="shared" si="119"/>
        <v>0</v>
      </c>
      <c r="O790" s="8">
        <f t="shared" si="120"/>
        <v>0</v>
      </c>
      <c r="Q790" s="48">
        <f t="shared" si="121"/>
        <v>0</v>
      </c>
      <c r="R790" s="8">
        <f t="shared" si="122"/>
        <v>0</v>
      </c>
      <c r="T790" s="48">
        <f t="shared" si="123"/>
        <v>0</v>
      </c>
      <c r="U790" s="8">
        <f t="shared" si="124"/>
        <v>0</v>
      </c>
      <c r="W790" s="48">
        <f t="shared" si="127"/>
        <v>0</v>
      </c>
      <c r="X790" s="8">
        <f t="shared" si="125"/>
        <v>0</v>
      </c>
    </row>
    <row r="791" spans="11:24" ht="13.2" hidden="1" x14ac:dyDescent="0.25">
      <c r="K791" s="3" t="str">
        <f t="shared" si="128"/>
        <v/>
      </c>
      <c r="L791" s="39">
        <v>762</v>
      </c>
      <c r="M791" s="3">
        <f t="shared" si="126"/>
        <v>63</v>
      </c>
      <c r="N791" s="44">
        <f t="shared" si="119"/>
        <v>0</v>
      </c>
      <c r="O791" s="8">
        <f t="shared" si="120"/>
        <v>0</v>
      </c>
      <c r="Q791" s="48">
        <f t="shared" si="121"/>
        <v>0</v>
      </c>
      <c r="R791" s="8">
        <f t="shared" si="122"/>
        <v>0</v>
      </c>
      <c r="T791" s="48">
        <f t="shared" si="123"/>
        <v>0</v>
      </c>
      <c r="U791" s="8">
        <f t="shared" si="124"/>
        <v>0</v>
      </c>
      <c r="W791" s="48">
        <f t="shared" si="127"/>
        <v>0</v>
      </c>
      <c r="X791" s="8">
        <f t="shared" si="125"/>
        <v>0</v>
      </c>
    </row>
    <row r="792" spans="11:24" ht="13.2" hidden="1" x14ac:dyDescent="0.25">
      <c r="K792" s="3" t="str">
        <f t="shared" si="128"/>
        <v/>
      </c>
      <c r="L792" s="39">
        <v>763</v>
      </c>
      <c r="M792" s="3">
        <f t="shared" si="126"/>
        <v>63</v>
      </c>
      <c r="N792" s="44">
        <f t="shared" si="119"/>
        <v>0</v>
      </c>
      <c r="O792" s="8">
        <f t="shared" si="120"/>
        <v>0</v>
      </c>
      <c r="Q792" s="48">
        <f t="shared" si="121"/>
        <v>0</v>
      </c>
      <c r="R792" s="8">
        <f t="shared" si="122"/>
        <v>0</v>
      </c>
      <c r="T792" s="48">
        <f t="shared" si="123"/>
        <v>0</v>
      </c>
      <c r="U792" s="8">
        <f t="shared" si="124"/>
        <v>0</v>
      </c>
      <c r="W792" s="48">
        <f t="shared" si="127"/>
        <v>0</v>
      </c>
      <c r="X792" s="8">
        <f t="shared" si="125"/>
        <v>0</v>
      </c>
    </row>
    <row r="793" spans="11:24" ht="13.2" hidden="1" x14ac:dyDescent="0.25">
      <c r="K793" s="3" t="str">
        <f t="shared" si="128"/>
        <v/>
      </c>
      <c r="L793" s="39">
        <v>764</v>
      </c>
      <c r="M793" s="3">
        <f t="shared" si="126"/>
        <v>63</v>
      </c>
      <c r="N793" s="44">
        <f t="shared" si="119"/>
        <v>0</v>
      </c>
      <c r="O793" s="8">
        <f t="shared" si="120"/>
        <v>0</v>
      </c>
      <c r="Q793" s="48">
        <f t="shared" si="121"/>
        <v>0</v>
      </c>
      <c r="R793" s="8">
        <f t="shared" si="122"/>
        <v>0</v>
      </c>
      <c r="T793" s="48">
        <f t="shared" si="123"/>
        <v>0</v>
      </c>
      <c r="U793" s="8">
        <f t="shared" si="124"/>
        <v>0</v>
      </c>
      <c r="W793" s="48">
        <f t="shared" si="127"/>
        <v>0</v>
      </c>
      <c r="X793" s="8">
        <f t="shared" si="125"/>
        <v>0</v>
      </c>
    </row>
    <row r="794" spans="11:24" ht="13.2" hidden="1" x14ac:dyDescent="0.25">
      <c r="K794" s="3" t="str">
        <f t="shared" si="128"/>
        <v/>
      </c>
      <c r="L794" s="39">
        <v>765</v>
      </c>
      <c r="M794" s="3">
        <f t="shared" si="126"/>
        <v>63</v>
      </c>
      <c r="N794" s="44">
        <f t="shared" si="119"/>
        <v>0</v>
      </c>
      <c r="O794" s="8">
        <f t="shared" si="120"/>
        <v>0</v>
      </c>
      <c r="Q794" s="48">
        <f t="shared" si="121"/>
        <v>0</v>
      </c>
      <c r="R794" s="8">
        <f t="shared" si="122"/>
        <v>0</v>
      </c>
      <c r="T794" s="48">
        <f t="shared" si="123"/>
        <v>0</v>
      </c>
      <c r="U794" s="8">
        <f t="shared" si="124"/>
        <v>0</v>
      </c>
      <c r="W794" s="48">
        <f t="shared" si="127"/>
        <v>0</v>
      </c>
      <c r="X794" s="8">
        <f t="shared" si="125"/>
        <v>0</v>
      </c>
    </row>
    <row r="795" spans="11:24" ht="13.2" hidden="1" x14ac:dyDescent="0.25">
      <c r="K795" s="3" t="str">
        <f t="shared" si="128"/>
        <v/>
      </c>
      <c r="L795" s="39">
        <v>766</v>
      </c>
      <c r="M795" s="3">
        <f t="shared" si="126"/>
        <v>63</v>
      </c>
      <c r="N795" s="44">
        <f t="shared" si="119"/>
        <v>0</v>
      </c>
      <c r="O795" s="8">
        <f t="shared" si="120"/>
        <v>0</v>
      </c>
      <c r="Q795" s="48">
        <f t="shared" si="121"/>
        <v>0</v>
      </c>
      <c r="R795" s="8">
        <f t="shared" si="122"/>
        <v>0</v>
      </c>
      <c r="T795" s="48">
        <f t="shared" si="123"/>
        <v>0</v>
      </c>
      <c r="U795" s="8">
        <f t="shared" si="124"/>
        <v>0</v>
      </c>
      <c r="W795" s="48">
        <f t="shared" si="127"/>
        <v>0</v>
      </c>
      <c r="X795" s="8">
        <f t="shared" si="125"/>
        <v>0</v>
      </c>
    </row>
    <row r="796" spans="11:24" ht="13.2" hidden="1" x14ac:dyDescent="0.25">
      <c r="K796" s="3" t="str">
        <f t="shared" si="128"/>
        <v/>
      </c>
      <c r="L796" s="39">
        <v>767</v>
      </c>
      <c r="M796" s="3">
        <f t="shared" si="126"/>
        <v>63</v>
      </c>
      <c r="N796" s="44">
        <f t="shared" si="119"/>
        <v>0</v>
      </c>
      <c r="O796" s="8">
        <f t="shared" si="120"/>
        <v>0</v>
      </c>
      <c r="Q796" s="48">
        <f t="shared" si="121"/>
        <v>0</v>
      </c>
      <c r="R796" s="8">
        <f t="shared" si="122"/>
        <v>0</v>
      </c>
      <c r="T796" s="48">
        <f t="shared" si="123"/>
        <v>0</v>
      </c>
      <c r="U796" s="8">
        <f t="shared" si="124"/>
        <v>0</v>
      </c>
      <c r="W796" s="48">
        <f t="shared" si="127"/>
        <v>0</v>
      </c>
      <c r="X796" s="8">
        <f t="shared" si="125"/>
        <v>0</v>
      </c>
    </row>
    <row r="797" spans="11:24" ht="13.2" hidden="1" x14ac:dyDescent="0.25">
      <c r="K797" s="3">
        <f t="shared" si="128"/>
        <v>64</v>
      </c>
      <c r="L797" s="39">
        <v>768</v>
      </c>
      <c r="M797" s="3">
        <f t="shared" si="126"/>
        <v>63</v>
      </c>
      <c r="N797" s="44">
        <f t="shared" si="119"/>
        <v>0</v>
      </c>
      <c r="O797" s="8">
        <f t="shared" si="120"/>
        <v>0</v>
      </c>
      <c r="Q797" s="48">
        <f t="shared" si="121"/>
        <v>0</v>
      </c>
      <c r="R797" s="8">
        <f t="shared" si="122"/>
        <v>0</v>
      </c>
      <c r="T797" s="48">
        <f t="shared" si="123"/>
        <v>0</v>
      </c>
      <c r="U797" s="8">
        <f t="shared" si="124"/>
        <v>0</v>
      </c>
      <c r="W797" s="48">
        <f t="shared" si="127"/>
        <v>0</v>
      </c>
      <c r="X797" s="8">
        <f t="shared" si="125"/>
        <v>0</v>
      </c>
    </row>
    <row r="798" spans="11:24" ht="13.2" hidden="1" x14ac:dyDescent="0.25">
      <c r="K798" s="3" t="str">
        <f t="shared" si="128"/>
        <v/>
      </c>
      <c r="L798" s="39">
        <v>769</v>
      </c>
      <c r="M798" s="3">
        <f t="shared" si="126"/>
        <v>64</v>
      </c>
      <c r="N798" s="44">
        <f t="shared" si="119"/>
        <v>0</v>
      </c>
      <c r="O798" s="8">
        <f t="shared" si="120"/>
        <v>0</v>
      </c>
      <c r="Q798" s="48">
        <f t="shared" si="121"/>
        <v>0</v>
      </c>
      <c r="R798" s="8">
        <f t="shared" si="122"/>
        <v>0</v>
      </c>
      <c r="T798" s="48">
        <f t="shared" si="123"/>
        <v>0</v>
      </c>
      <c r="U798" s="8">
        <f t="shared" si="124"/>
        <v>0</v>
      </c>
      <c r="W798" s="48">
        <f t="shared" si="127"/>
        <v>0</v>
      </c>
      <c r="X798" s="8">
        <f t="shared" si="125"/>
        <v>0</v>
      </c>
    </row>
    <row r="799" spans="11:24" ht="13.2" hidden="1" x14ac:dyDescent="0.25">
      <c r="K799" s="3" t="str">
        <f t="shared" si="128"/>
        <v/>
      </c>
      <c r="L799" s="39">
        <v>770</v>
      </c>
      <c r="M799" s="3">
        <f t="shared" si="126"/>
        <v>64</v>
      </c>
      <c r="N799" s="44">
        <f t="shared" si="119"/>
        <v>0</v>
      </c>
      <c r="O799" s="8">
        <f t="shared" si="120"/>
        <v>0</v>
      </c>
      <c r="Q799" s="48">
        <f t="shared" si="121"/>
        <v>0</v>
      </c>
      <c r="R799" s="8">
        <f t="shared" si="122"/>
        <v>0</v>
      </c>
      <c r="T799" s="48">
        <f t="shared" si="123"/>
        <v>0</v>
      </c>
      <c r="U799" s="8">
        <f t="shared" si="124"/>
        <v>0</v>
      </c>
      <c r="W799" s="48">
        <f t="shared" si="127"/>
        <v>0</v>
      </c>
      <c r="X799" s="8">
        <f t="shared" si="125"/>
        <v>0</v>
      </c>
    </row>
    <row r="800" spans="11:24" ht="13.2" hidden="1" x14ac:dyDescent="0.25">
      <c r="K800" s="3" t="str">
        <f t="shared" si="128"/>
        <v/>
      </c>
      <c r="L800" s="39">
        <v>771</v>
      </c>
      <c r="M800" s="3">
        <f t="shared" si="126"/>
        <v>64</v>
      </c>
      <c r="N800" s="44">
        <f t="shared" si="119"/>
        <v>0</v>
      </c>
      <c r="O800" s="8">
        <f t="shared" si="120"/>
        <v>0</v>
      </c>
      <c r="Q800" s="48">
        <f t="shared" si="121"/>
        <v>0</v>
      </c>
      <c r="R800" s="8">
        <f t="shared" si="122"/>
        <v>0</v>
      </c>
      <c r="T800" s="48">
        <f t="shared" si="123"/>
        <v>0</v>
      </c>
      <c r="U800" s="8">
        <f t="shared" si="124"/>
        <v>0</v>
      </c>
      <c r="W800" s="48">
        <f t="shared" si="127"/>
        <v>0</v>
      </c>
      <c r="X800" s="8">
        <f t="shared" si="125"/>
        <v>0</v>
      </c>
    </row>
    <row r="801" spans="11:24" ht="13.2" hidden="1" x14ac:dyDescent="0.25">
      <c r="K801" s="3" t="str">
        <f t="shared" si="128"/>
        <v/>
      </c>
      <c r="L801" s="39">
        <v>772</v>
      </c>
      <c r="M801" s="3">
        <f t="shared" si="126"/>
        <v>64</v>
      </c>
      <c r="N801" s="44">
        <f t="shared" ref="N801:N864" si="129">IF(L801&lt;=InvMonths,SU_Amt*(1+$C$19)^M801,0)</f>
        <v>0</v>
      </c>
      <c r="O801" s="8">
        <f t="shared" ref="O801:O864" si="130">FV($S$1,(InvMonths-L801+1),0,-N801,1)</f>
        <v>0</v>
      </c>
      <c r="Q801" s="48">
        <f t="shared" ref="Q801:Q864" si="131">IF(L801&lt;=InvMonths,$R$27*(1+$C$19)^M801,0)</f>
        <v>0</v>
      </c>
      <c r="R801" s="8">
        <f t="shared" ref="R801:R864" si="132">FV($S$1,(InvMonths-L801+1),0,-Q801,1)</f>
        <v>0</v>
      </c>
      <c r="T801" s="48">
        <f t="shared" ref="T801:T864" si="133">IF(L801&lt;=InvMonths,$U$27,0)</f>
        <v>0</v>
      </c>
      <c r="U801" s="8">
        <f t="shared" ref="U801:U864" si="134">FV($S$1,(InvMonths-L801+1),0,-T801,1)</f>
        <v>0</v>
      </c>
      <c r="W801" s="48">
        <f t="shared" si="127"/>
        <v>0</v>
      </c>
      <c r="X801" s="8">
        <f t="shared" ref="X801:X864" si="135">FV($S$1,($X$26-L801+1),0,-W801,1)</f>
        <v>0</v>
      </c>
    </row>
    <row r="802" spans="11:24" ht="13.2" hidden="1" x14ac:dyDescent="0.25">
      <c r="K802" s="3" t="str">
        <f t="shared" si="128"/>
        <v/>
      </c>
      <c r="L802" s="39">
        <v>773</v>
      </c>
      <c r="M802" s="3">
        <f t="shared" ref="M802:M865" si="136">IF(MOD(L802,12)=0,(L802/12)-1,QUOTIENT(L802,12))</f>
        <v>64</v>
      </c>
      <c r="N802" s="44">
        <f t="shared" si="129"/>
        <v>0</v>
      </c>
      <c r="O802" s="8">
        <f t="shared" si="130"/>
        <v>0</v>
      </c>
      <c r="Q802" s="48">
        <f t="shared" si="131"/>
        <v>0</v>
      </c>
      <c r="R802" s="8">
        <f t="shared" si="132"/>
        <v>0</v>
      </c>
      <c r="T802" s="48">
        <f t="shared" si="133"/>
        <v>0</v>
      </c>
      <c r="U802" s="8">
        <f t="shared" si="134"/>
        <v>0</v>
      </c>
      <c r="W802" s="48">
        <f t="shared" ref="W802:W865" si="137">IF(L802&lt;=$X$26,$X$27,0)</f>
        <v>0</v>
      </c>
      <c r="X802" s="8">
        <f t="shared" si="135"/>
        <v>0</v>
      </c>
    </row>
    <row r="803" spans="11:24" ht="13.2" hidden="1" x14ac:dyDescent="0.25">
      <c r="K803" s="3" t="str">
        <f t="shared" si="128"/>
        <v/>
      </c>
      <c r="L803" s="39">
        <v>774</v>
      </c>
      <c r="M803" s="3">
        <f t="shared" si="136"/>
        <v>64</v>
      </c>
      <c r="N803" s="44">
        <f t="shared" si="129"/>
        <v>0</v>
      </c>
      <c r="O803" s="8">
        <f t="shared" si="130"/>
        <v>0</v>
      </c>
      <c r="Q803" s="48">
        <f t="shared" si="131"/>
        <v>0</v>
      </c>
      <c r="R803" s="8">
        <f t="shared" si="132"/>
        <v>0</v>
      </c>
      <c r="T803" s="48">
        <f t="shared" si="133"/>
        <v>0</v>
      </c>
      <c r="U803" s="8">
        <f t="shared" si="134"/>
        <v>0</v>
      </c>
      <c r="W803" s="48">
        <f t="shared" si="137"/>
        <v>0</v>
      </c>
      <c r="X803" s="8">
        <f t="shared" si="135"/>
        <v>0</v>
      </c>
    </row>
    <row r="804" spans="11:24" ht="13.2" hidden="1" x14ac:dyDescent="0.25">
      <c r="K804" s="3" t="str">
        <f t="shared" si="128"/>
        <v/>
      </c>
      <c r="L804" s="39">
        <v>775</v>
      </c>
      <c r="M804" s="3">
        <f t="shared" si="136"/>
        <v>64</v>
      </c>
      <c r="N804" s="44">
        <f t="shared" si="129"/>
        <v>0</v>
      </c>
      <c r="O804" s="8">
        <f t="shared" si="130"/>
        <v>0</v>
      </c>
      <c r="Q804" s="48">
        <f t="shared" si="131"/>
        <v>0</v>
      </c>
      <c r="R804" s="8">
        <f t="shared" si="132"/>
        <v>0</v>
      </c>
      <c r="T804" s="48">
        <f t="shared" si="133"/>
        <v>0</v>
      </c>
      <c r="U804" s="8">
        <f t="shared" si="134"/>
        <v>0</v>
      </c>
      <c r="W804" s="48">
        <f t="shared" si="137"/>
        <v>0</v>
      </c>
      <c r="X804" s="8">
        <f t="shared" si="135"/>
        <v>0</v>
      </c>
    </row>
    <row r="805" spans="11:24" ht="13.2" hidden="1" x14ac:dyDescent="0.25">
      <c r="K805" s="3" t="str">
        <f t="shared" si="128"/>
        <v/>
      </c>
      <c r="L805" s="39">
        <v>776</v>
      </c>
      <c r="M805" s="3">
        <f t="shared" si="136"/>
        <v>64</v>
      </c>
      <c r="N805" s="44">
        <f t="shared" si="129"/>
        <v>0</v>
      </c>
      <c r="O805" s="8">
        <f t="shared" si="130"/>
        <v>0</v>
      </c>
      <c r="Q805" s="48">
        <f t="shared" si="131"/>
        <v>0</v>
      </c>
      <c r="R805" s="8">
        <f t="shared" si="132"/>
        <v>0</v>
      </c>
      <c r="T805" s="48">
        <f t="shared" si="133"/>
        <v>0</v>
      </c>
      <c r="U805" s="8">
        <f t="shared" si="134"/>
        <v>0</v>
      </c>
      <c r="W805" s="48">
        <f t="shared" si="137"/>
        <v>0</v>
      </c>
      <c r="X805" s="8">
        <f t="shared" si="135"/>
        <v>0</v>
      </c>
    </row>
    <row r="806" spans="11:24" ht="13.2" hidden="1" x14ac:dyDescent="0.25">
      <c r="K806" s="3" t="str">
        <f t="shared" si="128"/>
        <v/>
      </c>
      <c r="L806" s="39">
        <v>777</v>
      </c>
      <c r="M806" s="3">
        <f t="shared" si="136"/>
        <v>64</v>
      </c>
      <c r="N806" s="44">
        <f t="shared" si="129"/>
        <v>0</v>
      </c>
      <c r="O806" s="8">
        <f t="shared" si="130"/>
        <v>0</v>
      </c>
      <c r="Q806" s="48">
        <f t="shared" si="131"/>
        <v>0</v>
      </c>
      <c r="R806" s="8">
        <f t="shared" si="132"/>
        <v>0</v>
      </c>
      <c r="T806" s="48">
        <f t="shared" si="133"/>
        <v>0</v>
      </c>
      <c r="U806" s="8">
        <f t="shared" si="134"/>
        <v>0</v>
      </c>
      <c r="W806" s="48">
        <f t="shared" si="137"/>
        <v>0</v>
      </c>
      <c r="X806" s="8">
        <f t="shared" si="135"/>
        <v>0</v>
      </c>
    </row>
    <row r="807" spans="11:24" ht="13.2" hidden="1" x14ac:dyDescent="0.25">
      <c r="K807" s="3" t="str">
        <f t="shared" si="128"/>
        <v/>
      </c>
      <c r="L807" s="39">
        <v>778</v>
      </c>
      <c r="M807" s="3">
        <f t="shared" si="136"/>
        <v>64</v>
      </c>
      <c r="N807" s="44">
        <f t="shared" si="129"/>
        <v>0</v>
      </c>
      <c r="O807" s="8">
        <f t="shared" si="130"/>
        <v>0</v>
      </c>
      <c r="Q807" s="48">
        <f t="shared" si="131"/>
        <v>0</v>
      </c>
      <c r="R807" s="8">
        <f t="shared" si="132"/>
        <v>0</v>
      </c>
      <c r="T807" s="48">
        <f t="shared" si="133"/>
        <v>0</v>
      </c>
      <c r="U807" s="8">
        <f t="shared" si="134"/>
        <v>0</v>
      </c>
      <c r="W807" s="48">
        <f t="shared" si="137"/>
        <v>0</v>
      </c>
      <c r="X807" s="8">
        <f t="shared" si="135"/>
        <v>0</v>
      </c>
    </row>
    <row r="808" spans="11:24" ht="13.2" hidden="1" x14ac:dyDescent="0.25">
      <c r="K808" s="3" t="str">
        <f t="shared" si="128"/>
        <v/>
      </c>
      <c r="L808" s="39">
        <v>779</v>
      </c>
      <c r="M808" s="3">
        <f t="shared" si="136"/>
        <v>64</v>
      </c>
      <c r="N808" s="44">
        <f t="shared" si="129"/>
        <v>0</v>
      </c>
      <c r="O808" s="8">
        <f t="shared" si="130"/>
        <v>0</v>
      </c>
      <c r="Q808" s="48">
        <f t="shared" si="131"/>
        <v>0</v>
      </c>
      <c r="R808" s="8">
        <f t="shared" si="132"/>
        <v>0</v>
      </c>
      <c r="T808" s="48">
        <f t="shared" si="133"/>
        <v>0</v>
      </c>
      <c r="U808" s="8">
        <f t="shared" si="134"/>
        <v>0</v>
      </c>
      <c r="W808" s="48">
        <f t="shared" si="137"/>
        <v>0</v>
      </c>
      <c r="X808" s="8">
        <f t="shared" si="135"/>
        <v>0</v>
      </c>
    </row>
    <row r="809" spans="11:24" ht="13.2" hidden="1" x14ac:dyDescent="0.25">
      <c r="K809" s="3">
        <f t="shared" si="128"/>
        <v>65</v>
      </c>
      <c r="L809" s="39">
        <v>780</v>
      </c>
      <c r="M809" s="3">
        <f t="shared" si="136"/>
        <v>64</v>
      </c>
      <c r="N809" s="44">
        <f t="shared" si="129"/>
        <v>0</v>
      </c>
      <c r="O809" s="8">
        <f t="shared" si="130"/>
        <v>0</v>
      </c>
      <c r="Q809" s="48">
        <f t="shared" si="131"/>
        <v>0</v>
      </c>
      <c r="R809" s="8">
        <f t="shared" si="132"/>
        <v>0</v>
      </c>
      <c r="T809" s="48">
        <f t="shared" si="133"/>
        <v>0</v>
      </c>
      <c r="U809" s="8">
        <f t="shared" si="134"/>
        <v>0</v>
      </c>
      <c r="W809" s="48">
        <f t="shared" si="137"/>
        <v>0</v>
      </c>
      <c r="X809" s="8">
        <f t="shared" si="135"/>
        <v>0</v>
      </c>
    </row>
    <row r="810" spans="11:24" ht="13.2" hidden="1" x14ac:dyDescent="0.25">
      <c r="K810" s="3" t="str">
        <f t="shared" ref="K810:K873" si="138">IF(MOD(L810,12)=0,L810/12,"")</f>
        <v/>
      </c>
      <c r="L810" s="39">
        <v>781</v>
      </c>
      <c r="M810" s="3">
        <f t="shared" si="136"/>
        <v>65</v>
      </c>
      <c r="N810" s="44">
        <f t="shared" si="129"/>
        <v>0</v>
      </c>
      <c r="O810" s="8">
        <f t="shared" si="130"/>
        <v>0</v>
      </c>
      <c r="Q810" s="48">
        <f t="shared" si="131"/>
        <v>0</v>
      </c>
      <c r="R810" s="8">
        <f t="shared" si="132"/>
        <v>0</v>
      </c>
      <c r="T810" s="48">
        <f t="shared" si="133"/>
        <v>0</v>
      </c>
      <c r="U810" s="8">
        <f t="shared" si="134"/>
        <v>0</v>
      </c>
      <c r="W810" s="48">
        <f t="shared" si="137"/>
        <v>0</v>
      </c>
      <c r="X810" s="8">
        <f t="shared" si="135"/>
        <v>0</v>
      </c>
    </row>
    <row r="811" spans="11:24" ht="13.2" hidden="1" x14ac:dyDescent="0.25">
      <c r="K811" s="3" t="str">
        <f t="shared" si="138"/>
        <v/>
      </c>
      <c r="L811" s="39">
        <v>782</v>
      </c>
      <c r="M811" s="3">
        <f t="shared" si="136"/>
        <v>65</v>
      </c>
      <c r="N811" s="44">
        <f t="shared" si="129"/>
        <v>0</v>
      </c>
      <c r="O811" s="8">
        <f t="shared" si="130"/>
        <v>0</v>
      </c>
      <c r="Q811" s="48">
        <f t="shared" si="131"/>
        <v>0</v>
      </c>
      <c r="R811" s="8">
        <f t="shared" si="132"/>
        <v>0</v>
      </c>
      <c r="T811" s="48">
        <f t="shared" si="133"/>
        <v>0</v>
      </c>
      <c r="U811" s="8">
        <f t="shared" si="134"/>
        <v>0</v>
      </c>
      <c r="W811" s="48">
        <f t="shared" si="137"/>
        <v>0</v>
      </c>
      <c r="X811" s="8">
        <f t="shared" si="135"/>
        <v>0</v>
      </c>
    </row>
    <row r="812" spans="11:24" ht="13.2" hidden="1" x14ac:dyDescent="0.25">
      <c r="K812" s="3" t="str">
        <f t="shared" si="138"/>
        <v/>
      </c>
      <c r="L812" s="39">
        <v>783</v>
      </c>
      <c r="M812" s="3">
        <f t="shared" si="136"/>
        <v>65</v>
      </c>
      <c r="N812" s="44">
        <f t="shared" si="129"/>
        <v>0</v>
      </c>
      <c r="O812" s="8">
        <f t="shared" si="130"/>
        <v>0</v>
      </c>
      <c r="Q812" s="48">
        <f t="shared" si="131"/>
        <v>0</v>
      </c>
      <c r="R812" s="8">
        <f t="shared" si="132"/>
        <v>0</v>
      </c>
      <c r="T812" s="48">
        <f t="shared" si="133"/>
        <v>0</v>
      </c>
      <c r="U812" s="8">
        <f t="shared" si="134"/>
        <v>0</v>
      </c>
      <c r="W812" s="48">
        <f t="shared" si="137"/>
        <v>0</v>
      </c>
      <c r="X812" s="8">
        <f t="shared" si="135"/>
        <v>0</v>
      </c>
    </row>
    <row r="813" spans="11:24" ht="13.2" hidden="1" x14ac:dyDescent="0.25">
      <c r="K813" s="3" t="str">
        <f t="shared" si="138"/>
        <v/>
      </c>
      <c r="L813" s="39">
        <v>784</v>
      </c>
      <c r="M813" s="3">
        <f t="shared" si="136"/>
        <v>65</v>
      </c>
      <c r="N813" s="44">
        <f t="shared" si="129"/>
        <v>0</v>
      </c>
      <c r="O813" s="8">
        <f t="shared" si="130"/>
        <v>0</v>
      </c>
      <c r="Q813" s="48">
        <f t="shared" si="131"/>
        <v>0</v>
      </c>
      <c r="R813" s="8">
        <f t="shared" si="132"/>
        <v>0</v>
      </c>
      <c r="T813" s="48">
        <f t="shared" si="133"/>
        <v>0</v>
      </c>
      <c r="U813" s="8">
        <f t="shared" si="134"/>
        <v>0</v>
      </c>
      <c r="W813" s="48">
        <f t="shared" si="137"/>
        <v>0</v>
      </c>
      <c r="X813" s="8">
        <f t="shared" si="135"/>
        <v>0</v>
      </c>
    </row>
    <row r="814" spans="11:24" ht="13.2" hidden="1" x14ac:dyDescent="0.25">
      <c r="K814" s="3" t="str">
        <f t="shared" si="138"/>
        <v/>
      </c>
      <c r="L814" s="39">
        <v>785</v>
      </c>
      <c r="M814" s="3">
        <f t="shared" si="136"/>
        <v>65</v>
      </c>
      <c r="N814" s="44">
        <f t="shared" si="129"/>
        <v>0</v>
      </c>
      <c r="O814" s="8">
        <f t="shared" si="130"/>
        <v>0</v>
      </c>
      <c r="Q814" s="48">
        <f t="shared" si="131"/>
        <v>0</v>
      </c>
      <c r="R814" s="8">
        <f t="shared" si="132"/>
        <v>0</v>
      </c>
      <c r="T814" s="48">
        <f t="shared" si="133"/>
        <v>0</v>
      </c>
      <c r="U814" s="8">
        <f t="shared" si="134"/>
        <v>0</v>
      </c>
      <c r="W814" s="48">
        <f t="shared" si="137"/>
        <v>0</v>
      </c>
      <c r="X814" s="8">
        <f t="shared" si="135"/>
        <v>0</v>
      </c>
    </row>
    <row r="815" spans="11:24" ht="13.2" hidden="1" x14ac:dyDescent="0.25">
      <c r="K815" s="3" t="str">
        <f t="shared" si="138"/>
        <v/>
      </c>
      <c r="L815" s="39">
        <v>786</v>
      </c>
      <c r="M815" s="3">
        <f t="shared" si="136"/>
        <v>65</v>
      </c>
      <c r="N815" s="44">
        <f t="shared" si="129"/>
        <v>0</v>
      </c>
      <c r="O815" s="8">
        <f t="shared" si="130"/>
        <v>0</v>
      </c>
      <c r="Q815" s="48">
        <f t="shared" si="131"/>
        <v>0</v>
      </c>
      <c r="R815" s="8">
        <f t="shared" si="132"/>
        <v>0</v>
      </c>
      <c r="T815" s="48">
        <f t="shared" si="133"/>
        <v>0</v>
      </c>
      <c r="U815" s="8">
        <f t="shared" si="134"/>
        <v>0</v>
      </c>
      <c r="W815" s="48">
        <f t="shared" si="137"/>
        <v>0</v>
      </c>
      <c r="X815" s="8">
        <f t="shared" si="135"/>
        <v>0</v>
      </c>
    </row>
    <row r="816" spans="11:24" ht="13.2" hidden="1" x14ac:dyDescent="0.25">
      <c r="K816" s="3" t="str">
        <f t="shared" si="138"/>
        <v/>
      </c>
      <c r="L816" s="39">
        <v>787</v>
      </c>
      <c r="M816" s="3">
        <f t="shared" si="136"/>
        <v>65</v>
      </c>
      <c r="N816" s="44">
        <f t="shared" si="129"/>
        <v>0</v>
      </c>
      <c r="O816" s="8">
        <f t="shared" si="130"/>
        <v>0</v>
      </c>
      <c r="Q816" s="48">
        <f t="shared" si="131"/>
        <v>0</v>
      </c>
      <c r="R816" s="8">
        <f t="shared" si="132"/>
        <v>0</v>
      </c>
      <c r="T816" s="48">
        <f t="shared" si="133"/>
        <v>0</v>
      </c>
      <c r="U816" s="8">
        <f t="shared" si="134"/>
        <v>0</v>
      </c>
      <c r="W816" s="48">
        <f t="shared" si="137"/>
        <v>0</v>
      </c>
      <c r="X816" s="8">
        <f t="shared" si="135"/>
        <v>0</v>
      </c>
    </row>
    <row r="817" spans="11:24" ht="13.2" hidden="1" x14ac:dyDescent="0.25">
      <c r="K817" s="3" t="str">
        <f t="shared" si="138"/>
        <v/>
      </c>
      <c r="L817" s="39">
        <v>788</v>
      </c>
      <c r="M817" s="3">
        <f t="shared" si="136"/>
        <v>65</v>
      </c>
      <c r="N817" s="44">
        <f t="shared" si="129"/>
        <v>0</v>
      </c>
      <c r="O817" s="8">
        <f t="shared" si="130"/>
        <v>0</v>
      </c>
      <c r="Q817" s="48">
        <f t="shared" si="131"/>
        <v>0</v>
      </c>
      <c r="R817" s="8">
        <f t="shared" si="132"/>
        <v>0</v>
      </c>
      <c r="T817" s="48">
        <f t="shared" si="133"/>
        <v>0</v>
      </c>
      <c r="U817" s="8">
        <f t="shared" si="134"/>
        <v>0</v>
      </c>
      <c r="W817" s="48">
        <f t="shared" si="137"/>
        <v>0</v>
      </c>
      <c r="X817" s="8">
        <f t="shared" si="135"/>
        <v>0</v>
      </c>
    </row>
    <row r="818" spans="11:24" ht="13.2" hidden="1" x14ac:dyDescent="0.25">
      <c r="K818" s="3" t="str">
        <f t="shared" si="138"/>
        <v/>
      </c>
      <c r="L818" s="39">
        <v>789</v>
      </c>
      <c r="M818" s="3">
        <f t="shared" si="136"/>
        <v>65</v>
      </c>
      <c r="N818" s="44">
        <f t="shared" si="129"/>
        <v>0</v>
      </c>
      <c r="O818" s="8">
        <f t="shared" si="130"/>
        <v>0</v>
      </c>
      <c r="Q818" s="48">
        <f t="shared" si="131"/>
        <v>0</v>
      </c>
      <c r="R818" s="8">
        <f t="shared" si="132"/>
        <v>0</v>
      </c>
      <c r="T818" s="48">
        <f t="shared" si="133"/>
        <v>0</v>
      </c>
      <c r="U818" s="8">
        <f t="shared" si="134"/>
        <v>0</v>
      </c>
      <c r="W818" s="48">
        <f t="shared" si="137"/>
        <v>0</v>
      </c>
      <c r="X818" s="8">
        <f t="shared" si="135"/>
        <v>0</v>
      </c>
    </row>
    <row r="819" spans="11:24" ht="13.2" hidden="1" x14ac:dyDescent="0.25">
      <c r="K819" s="3" t="str">
        <f t="shared" si="138"/>
        <v/>
      </c>
      <c r="L819" s="39">
        <v>790</v>
      </c>
      <c r="M819" s="3">
        <f t="shared" si="136"/>
        <v>65</v>
      </c>
      <c r="N819" s="44">
        <f t="shared" si="129"/>
        <v>0</v>
      </c>
      <c r="O819" s="8">
        <f t="shared" si="130"/>
        <v>0</v>
      </c>
      <c r="Q819" s="48">
        <f t="shared" si="131"/>
        <v>0</v>
      </c>
      <c r="R819" s="8">
        <f t="shared" si="132"/>
        <v>0</v>
      </c>
      <c r="T819" s="48">
        <f t="shared" si="133"/>
        <v>0</v>
      </c>
      <c r="U819" s="8">
        <f t="shared" si="134"/>
        <v>0</v>
      </c>
      <c r="W819" s="48">
        <f t="shared" si="137"/>
        <v>0</v>
      </c>
      <c r="X819" s="8">
        <f t="shared" si="135"/>
        <v>0</v>
      </c>
    </row>
    <row r="820" spans="11:24" ht="13.2" hidden="1" x14ac:dyDescent="0.25">
      <c r="K820" s="3" t="str">
        <f t="shared" si="138"/>
        <v/>
      </c>
      <c r="L820" s="39">
        <v>791</v>
      </c>
      <c r="M820" s="3">
        <f t="shared" si="136"/>
        <v>65</v>
      </c>
      <c r="N820" s="44">
        <f t="shared" si="129"/>
        <v>0</v>
      </c>
      <c r="O820" s="8">
        <f t="shared" si="130"/>
        <v>0</v>
      </c>
      <c r="Q820" s="48">
        <f t="shared" si="131"/>
        <v>0</v>
      </c>
      <c r="R820" s="8">
        <f t="shared" si="132"/>
        <v>0</v>
      </c>
      <c r="T820" s="48">
        <f t="shared" si="133"/>
        <v>0</v>
      </c>
      <c r="U820" s="8">
        <f t="shared" si="134"/>
        <v>0</v>
      </c>
      <c r="W820" s="48">
        <f t="shared" si="137"/>
        <v>0</v>
      </c>
      <c r="X820" s="8">
        <f t="shared" si="135"/>
        <v>0</v>
      </c>
    </row>
    <row r="821" spans="11:24" ht="13.2" hidden="1" x14ac:dyDescent="0.25">
      <c r="K821" s="3">
        <f t="shared" si="138"/>
        <v>66</v>
      </c>
      <c r="L821" s="39">
        <v>792</v>
      </c>
      <c r="M821" s="3">
        <f t="shared" si="136"/>
        <v>65</v>
      </c>
      <c r="N821" s="44">
        <f t="shared" si="129"/>
        <v>0</v>
      </c>
      <c r="O821" s="8">
        <f t="shared" si="130"/>
        <v>0</v>
      </c>
      <c r="Q821" s="48">
        <f t="shared" si="131"/>
        <v>0</v>
      </c>
      <c r="R821" s="8">
        <f t="shared" si="132"/>
        <v>0</v>
      </c>
      <c r="T821" s="48">
        <f t="shared" si="133"/>
        <v>0</v>
      </c>
      <c r="U821" s="8">
        <f t="shared" si="134"/>
        <v>0</v>
      </c>
      <c r="W821" s="48">
        <f t="shared" si="137"/>
        <v>0</v>
      </c>
      <c r="X821" s="8">
        <f t="shared" si="135"/>
        <v>0</v>
      </c>
    </row>
    <row r="822" spans="11:24" ht="13.2" hidden="1" x14ac:dyDescent="0.25">
      <c r="K822" s="3" t="str">
        <f t="shared" si="138"/>
        <v/>
      </c>
      <c r="L822" s="39">
        <v>793</v>
      </c>
      <c r="M822" s="3">
        <f t="shared" si="136"/>
        <v>66</v>
      </c>
      <c r="N822" s="44">
        <f t="shared" si="129"/>
        <v>0</v>
      </c>
      <c r="O822" s="8">
        <f t="shared" si="130"/>
        <v>0</v>
      </c>
      <c r="Q822" s="48">
        <f t="shared" si="131"/>
        <v>0</v>
      </c>
      <c r="R822" s="8">
        <f t="shared" si="132"/>
        <v>0</v>
      </c>
      <c r="T822" s="48">
        <f t="shared" si="133"/>
        <v>0</v>
      </c>
      <c r="U822" s="8">
        <f t="shared" si="134"/>
        <v>0</v>
      </c>
      <c r="W822" s="48">
        <f t="shared" si="137"/>
        <v>0</v>
      </c>
      <c r="X822" s="8">
        <f t="shared" si="135"/>
        <v>0</v>
      </c>
    </row>
    <row r="823" spans="11:24" ht="13.2" hidden="1" x14ac:dyDescent="0.25">
      <c r="K823" s="3" t="str">
        <f t="shared" si="138"/>
        <v/>
      </c>
      <c r="L823" s="39">
        <v>794</v>
      </c>
      <c r="M823" s="3">
        <f t="shared" si="136"/>
        <v>66</v>
      </c>
      <c r="N823" s="44">
        <f t="shared" si="129"/>
        <v>0</v>
      </c>
      <c r="O823" s="8">
        <f t="shared" si="130"/>
        <v>0</v>
      </c>
      <c r="Q823" s="48">
        <f t="shared" si="131"/>
        <v>0</v>
      </c>
      <c r="R823" s="8">
        <f t="shared" si="132"/>
        <v>0</v>
      </c>
      <c r="T823" s="48">
        <f t="shared" si="133"/>
        <v>0</v>
      </c>
      <c r="U823" s="8">
        <f t="shared" si="134"/>
        <v>0</v>
      </c>
      <c r="W823" s="48">
        <f t="shared" si="137"/>
        <v>0</v>
      </c>
      <c r="X823" s="8">
        <f t="shared" si="135"/>
        <v>0</v>
      </c>
    </row>
    <row r="824" spans="11:24" ht="13.2" hidden="1" x14ac:dyDescent="0.25">
      <c r="K824" s="3" t="str">
        <f t="shared" si="138"/>
        <v/>
      </c>
      <c r="L824" s="39">
        <v>795</v>
      </c>
      <c r="M824" s="3">
        <f t="shared" si="136"/>
        <v>66</v>
      </c>
      <c r="N824" s="44">
        <f t="shared" si="129"/>
        <v>0</v>
      </c>
      <c r="O824" s="8">
        <f t="shared" si="130"/>
        <v>0</v>
      </c>
      <c r="Q824" s="48">
        <f t="shared" si="131"/>
        <v>0</v>
      </c>
      <c r="R824" s="8">
        <f t="shared" si="132"/>
        <v>0</v>
      </c>
      <c r="T824" s="48">
        <f t="shared" si="133"/>
        <v>0</v>
      </c>
      <c r="U824" s="8">
        <f t="shared" si="134"/>
        <v>0</v>
      </c>
      <c r="W824" s="48">
        <f t="shared" si="137"/>
        <v>0</v>
      </c>
      <c r="X824" s="8">
        <f t="shared" si="135"/>
        <v>0</v>
      </c>
    </row>
    <row r="825" spans="11:24" ht="13.2" hidden="1" x14ac:dyDescent="0.25">
      <c r="K825" s="3" t="str">
        <f t="shared" si="138"/>
        <v/>
      </c>
      <c r="L825" s="39">
        <v>796</v>
      </c>
      <c r="M825" s="3">
        <f t="shared" si="136"/>
        <v>66</v>
      </c>
      <c r="N825" s="44">
        <f t="shared" si="129"/>
        <v>0</v>
      </c>
      <c r="O825" s="8">
        <f t="shared" si="130"/>
        <v>0</v>
      </c>
      <c r="Q825" s="48">
        <f t="shared" si="131"/>
        <v>0</v>
      </c>
      <c r="R825" s="8">
        <f t="shared" si="132"/>
        <v>0</v>
      </c>
      <c r="T825" s="48">
        <f t="shared" si="133"/>
        <v>0</v>
      </c>
      <c r="U825" s="8">
        <f t="shared" si="134"/>
        <v>0</v>
      </c>
      <c r="W825" s="48">
        <f t="shared" si="137"/>
        <v>0</v>
      </c>
      <c r="X825" s="8">
        <f t="shared" si="135"/>
        <v>0</v>
      </c>
    </row>
    <row r="826" spans="11:24" ht="13.2" hidden="1" x14ac:dyDescent="0.25">
      <c r="K826" s="3" t="str">
        <f t="shared" si="138"/>
        <v/>
      </c>
      <c r="L826" s="39">
        <v>797</v>
      </c>
      <c r="M826" s="3">
        <f t="shared" si="136"/>
        <v>66</v>
      </c>
      <c r="N826" s="44">
        <f t="shared" si="129"/>
        <v>0</v>
      </c>
      <c r="O826" s="8">
        <f t="shared" si="130"/>
        <v>0</v>
      </c>
      <c r="Q826" s="48">
        <f t="shared" si="131"/>
        <v>0</v>
      </c>
      <c r="R826" s="8">
        <f t="shared" si="132"/>
        <v>0</v>
      </c>
      <c r="T826" s="48">
        <f t="shared" si="133"/>
        <v>0</v>
      </c>
      <c r="U826" s="8">
        <f t="shared" si="134"/>
        <v>0</v>
      </c>
      <c r="W826" s="48">
        <f t="shared" si="137"/>
        <v>0</v>
      </c>
      <c r="X826" s="8">
        <f t="shared" si="135"/>
        <v>0</v>
      </c>
    </row>
    <row r="827" spans="11:24" ht="13.2" hidden="1" x14ac:dyDescent="0.25">
      <c r="K827" s="3" t="str">
        <f t="shared" si="138"/>
        <v/>
      </c>
      <c r="L827" s="39">
        <v>798</v>
      </c>
      <c r="M827" s="3">
        <f t="shared" si="136"/>
        <v>66</v>
      </c>
      <c r="N827" s="44">
        <f t="shared" si="129"/>
        <v>0</v>
      </c>
      <c r="O827" s="8">
        <f t="shared" si="130"/>
        <v>0</v>
      </c>
      <c r="Q827" s="48">
        <f t="shared" si="131"/>
        <v>0</v>
      </c>
      <c r="R827" s="8">
        <f t="shared" si="132"/>
        <v>0</v>
      </c>
      <c r="T827" s="48">
        <f t="shared" si="133"/>
        <v>0</v>
      </c>
      <c r="U827" s="8">
        <f t="shared" si="134"/>
        <v>0</v>
      </c>
      <c r="W827" s="48">
        <f t="shared" si="137"/>
        <v>0</v>
      </c>
      <c r="X827" s="8">
        <f t="shared" si="135"/>
        <v>0</v>
      </c>
    </row>
    <row r="828" spans="11:24" ht="13.2" hidden="1" x14ac:dyDescent="0.25">
      <c r="K828" s="3" t="str">
        <f t="shared" si="138"/>
        <v/>
      </c>
      <c r="L828" s="39">
        <v>799</v>
      </c>
      <c r="M828" s="3">
        <f t="shared" si="136"/>
        <v>66</v>
      </c>
      <c r="N828" s="44">
        <f t="shared" si="129"/>
        <v>0</v>
      </c>
      <c r="O828" s="8">
        <f t="shared" si="130"/>
        <v>0</v>
      </c>
      <c r="Q828" s="48">
        <f t="shared" si="131"/>
        <v>0</v>
      </c>
      <c r="R828" s="8">
        <f t="shared" si="132"/>
        <v>0</v>
      </c>
      <c r="T828" s="48">
        <f t="shared" si="133"/>
        <v>0</v>
      </c>
      <c r="U828" s="8">
        <f t="shared" si="134"/>
        <v>0</v>
      </c>
      <c r="W828" s="48">
        <f t="shared" si="137"/>
        <v>0</v>
      </c>
      <c r="X828" s="8">
        <f t="shared" si="135"/>
        <v>0</v>
      </c>
    </row>
    <row r="829" spans="11:24" ht="13.2" hidden="1" x14ac:dyDescent="0.25">
      <c r="K829" s="3" t="str">
        <f t="shared" si="138"/>
        <v/>
      </c>
      <c r="L829" s="39">
        <v>800</v>
      </c>
      <c r="M829" s="3">
        <f t="shared" si="136"/>
        <v>66</v>
      </c>
      <c r="N829" s="44">
        <f t="shared" si="129"/>
        <v>0</v>
      </c>
      <c r="O829" s="8">
        <f t="shared" si="130"/>
        <v>0</v>
      </c>
      <c r="Q829" s="48">
        <f t="shared" si="131"/>
        <v>0</v>
      </c>
      <c r="R829" s="8">
        <f t="shared" si="132"/>
        <v>0</v>
      </c>
      <c r="T829" s="48">
        <f t="shared" si="133"/>
        <v>0</v>
      </c>
      <c r="U829" s="8">
        <f t="shared" si="134"/>
        <v>0</v>
      </c>
      <c r="W829" s="48">
        <f t="shared" si="137"/>
        <v>0</v>
      </c>
      <c r="X829" s="8">
        <f t="shared" si="135"/>
        <v>0</v>
      </c>
    </row>
    <row r="830" spans="11:24" ht="13.2" hidden="1" x14ac:dyDescent="0.25">
      <c r="K830" s="3" t="str">
        <f t="shared" si="138"/>
        <v/>
      </c>
      <c r="L830" s="39">
        <v>801</v>
      </c>
      <c r="M830" s="3">
        <f t="shared" si="136"/>
        <v>66</v>
      </c>
      <c r="N830" s="44">
        <f t="shared" si="129"/>
        <v>0</v>
      </c>
      <c r="O830" s="8">
        <f t="shared" si="130"/>
        <v>0</v>
      </c>
      <c r="Q830" s="48">
        <f t="shared" si="131"/>
        <v>0</v>
      </c>
      <c r="R830" s="8">
        <f t="shared" si="132"/>
        <v>0</v>
      </c>
      <c r="T830" s="48">
        <f t="shared" si="133"/>
        <v>0</v>
      </c>
      <c r="U830" s="8">
        <f t="shared" si="134"/>
        <v>0</v>
      </c>
      <c r="W830" s="48">
        <f t="shared" si="137"/>
        <v>0</v>
      </c>
      <c r="X830" s="8">
        <f t="shared" si="135"/>
        <v>0</v>
      </c>
    </row>
    <row r="831" spans="11:24" ht="13.2" hidden="1" x14ac:dyDescent="0.25">
      <c r="K831" s="3" t="str">
        <f t="shared" si="138"/>
        <v/>
      </c>
      <c r="L831" s="39">
        <v>802</v>
      </c>
      <c r="M831" s="3">
        <f t="shared" si="136"/>
        <v>66</v>
      </c>
      <c r="N831" s="44">
        <f t="shared" si="129"/>
        <v>0</v>
      </c>
      <c r="O831" s="8">
        <f t="shared" si="130"/>
        <v>0</v>
      </c>
      <c r="Q831" s="48">
        <f t="shared" si="131"/>
        <v>0</v>
      </c>
      <c r="R831" s="8">
        <f t="shared" si="132"/>
        <v>0</v>
      </c>
      <c r="T831" s="48">
        <f t="shared" si="133"/>
        <v>0</v>
      </c>
      <c r="U831" s="8">
        <f t="shared" si="134"/>
        <v>0</v>
      </c>
      <c r="W831" s="48">
        <f t="shared" si="137"/>
        <v>0</v>
      </c>
      <c r="X831" s="8">
        <f t="shared" si="135"/>
        <v>0</v>
      </c>
    </row>
    <row r="832" spans="11:24" ht="13.2" hidden="1" x14ac:dyDescent="0.25">
      <c r="K832" s="3" t="str">
        <f t="shared" si="138"/>
        <v/>
      </c>
      <c r="L832" s="39">
        <v>803</v>
      </c>
      <c r="M832" s="3">
        <f t="shared" si="136"/>
        <v>66</v>
      </c>
      <c r="N832" s="44">
        <f t="shared" si="129"/>
        <v>0</v>
      </c>
      <c r="O832" s="8">
        <f t="shared" si="130"/>
        <v>0</v>
      </c>
      <c r="Q832" s="48">
        <f t="shared" si="131"/>
        <v>0</v>
      </c>
      <c r="R832" s="8">
        <f t="shared" si="132"/>
        <v>0</v>
      </c>
      <c r="T832" s="48">
        <f t="shared" si="133"/>
        <v>0</v>
      </c>
      <c r="U832" s="8">
        <f t="shared" si="134"/>
        <v>0</v>
      </c>
      <c r="W832" s="48">
        <f t="shared" si="137"/>
        <v>0</v>
      </c>
      <c r="X832" s="8">
        <f t="shared" si="135"/>
        <v>0</v>
      </c>
    </row>
    <row r="833" spans="11:24" ht="13.2" hidden="1" x14ac:dyDescent="0.25">
      <c r="K833" s="3">
        <f t="shared" si="138"/>
        <v>67</v>
      </c>
      <c r="L833" s="39">
        <v>804</v>
      </c>
      <c r="M833" s="3">
        <f t="shared" si="136"/>
        <v>66</v>
      </c>
      <c r="N833" s="44">
        <f t="shared" si="129"/>
        <v>0</v>
      </c>
      <c r="O833" s="8">
        <f t="shared" si="130"/>
        <v>0</v>
      </c>
      <c r="Q833" s="48">
        <f t="shared" si="131"/>
        <v>0</v>
      </c>
      <c r="R833" s="8">
        <f t="shared" si="132"/>
        <v>0</v>
      </c>
      <c r="T833" s="48">
        <f t="shared" si="133"/>
        <v>0</v>
      </c>
      <c r="U833" s="8">
        <f t="shared" si="134"/>
        <v>0</v>
      </c>
      <c r="W833" s="48">
        <f t="shared" si="137"/>
        <v>0</v>
      </c>
      <c r="X833" s="8">
        <f t="shared" si="135"/>
        <v>0</v>
      </c>
    </row>
    <row r="834" spans="11:24" ht="13.2" hidden="1" x14ac:dyDescent="0.25">
      <c r="K834" s="3" t="str">
        <f t="shared" si="138"/>
        <v/>
      </c>
      <c r="L834" s="39">
        <v>805</v>
      </c>
      <c r="M834" s="3">
        <f t="shared" si="136"/>
        <v>67</v>
      </c>
      <c r="N834" s="44">
        <f t="shared" si="129"/>
        <v>0</v>
      </c>
      <c r="O834" s="8">
        <f t="shared" si="130"/>
        <v>0</v>
      </c>
      <c r="Q834" s="48">
        <f t="shared" si="131"/>
        <v>0</v>
      </c>
      <c r="R834" s="8">
        <f t="shared" si="132"/>
        <v>0</v>
      </c>
      <c r="T834" s="48">
        <f t="shared" si="133"/>
        <v>0</v>
      </c>
      <c r="U834" s="8">
        <f t="shared" si="134"/>
        <v>0</v>
      </c>
      <c r="W834" s="48">
        <f t="shared" si="137"/>
        <v>0</v>
      </c>
      <c r="X834" s="8">
        <f t="shared" si="135"/>
        <v>0</v>
      </c>
    </row>
    <row r="835" spans="11:24" ht="13.2" hidden="1" x14ac:dyDescent="0.25">
      <c r="K835" s="3" t="str">
        <f t="shared" si="138"/>
        <v/>
      </c>
      <c r="L835" s="39">
        <v>806</v>
      </c>
      <c r="M835" s="3">
        <f t="shared" si="136"/>
        <v>67</v>
      </c>
      <c r="N835" s="44">
        <f t="shared" si="129"/>
        <v>0</v>
      </c>
      <c r="O835" s="8">
        <f t="shared" si="130"/>
        <v>0</v>
      </c>
      <c r="Q835" s="48">
        <f t="shared" si="131"/>
        <v>0</v>
      </c>
      <c r="R835" s="8">
        <f t="shared" si="132"/>
        <v>0</v>
      </c>
      <c r="T835" s="48">
        <f t="shared" si="133"/>
        <v>0</v>
      </c>
      <c r="U835" s="8">
        <f t="shared" si="134"/>
        <v>0</v>
      </c>
      <c r="W835" s="48">
        <f t="shared" si="137"/>
        <v>0</v>
      </c>
      <c r="X835" s="8">
        <f t="shared" si="135"/>
        <v>0</v>
      </c>
    </row>
    <row r="836" spans="11:24" ht="13.2" hidden="1" x14ac:dyDescent="0.25">
      <c r="K836" s="3" t="str">
        <f t="shared" si="138"/>
        <v/>
      </c>
      <c r="L836" s="39">
        <v>807</v>
      </c>
      <c r="M836" s="3">
        <f t="shared" si="136"/>
        <v>67</v>
      </c>
      <c r="N836" s="44">
        <f t="shared" si="129"/>
        <v>0</v>
      </c>
      <c r="O836" s="8">
        <f t="shared" si="130"/>
        <v>0</v>
      </c>
      <c r="Q836" s="48">
        <f t="shared" si="131"/>
        <v>0</v>
      </c>
      <c r="R836" s="8">
        <f t="shared" si="132"/>
        <v>0</v>
      </c>
      <c r="T836" s="48">
        <f t="shared" si="133"/>
        <v>0</v>
      </c>
      <c r="U836" s="8">
        <f t="shared" si="134"/>
        <v>0</v>
      </c>
      <c r="W836" s="48">
        <f t="shared" si="137"/>
        <v>0</v>
      </c>
      <c r="X836" s="8">
        <f t="shared" si="135"/>
        <v>0</v>
      </c>
    </row>
    <row r="837" spans="11:24" ht="13.2" hidden="1" x14ac:dyDescent="0.25">
      <c r="K837" s="3" t="str">
        <f t="shared" si="138"/>
        <v/>
      </c>
      <c r="L837" s="39">
        <v>808</v>
      </c>
      <c r="M837" s="3">
        <f t="shared" si="136"/>
        <v>67</v>
      </c>
      <c r="N837" s="44">
        <f t="shared" si="129"/>
        <v>0</v>
      </c>
      <c r="O837" s="8">
        <f t="shared" si="130"/>
        <v>0</v>
      </c>
      <c r="Q837" s="48">
        <f t="shared" si="131"/>
        <v>0</v>
      </c>
      <c r="R837" s="8">
        <f t="shared" si="132"/>
        <v>0</v>
      </c>
      <c r="T837" s="48">
        <f t="shared" si="133"/>
        <v>0</v>
      </c>
      <c r="U837" s="8">
        <f t="shared" si="134"/>
        <v>0</v>
      </c>
      <c r="W837" s="48">
        <f t="shared" si="137"/>
        <v>0</v>
      </c>
      <c r="X837" s="8">
        <f t="shared" si="135"/>
        <v>0</v>
      </c>
    </row>
    <row r="838" spans="11:24" ht="13.2" hidden="1" x14ac:dyDescent="0.25">
      <c r="K838" s="3" t="str">
        <f t="shared" si="138"/>
        <v/>
      </c>
      <c r="L838" s="39">
        <v>809</v>
      </c>
      <c r="M838" s="3">
        <f t="shared" si="136"/>
        <v>67</v>
      </c>
      <c r="N838" s="44">
        <f t="shared" si="129"/>
        <v>0</v>
      </c>
      <c r="O838" s="8">
        <f t="shared" si="130"/>
        <v>0</v>
      </c>
      <c r="Q838" s="48">
        <f t="shared" si="131"/>
        <v>0</v>
      </c>
      <c r="R838" s="8">
        <f t="shared" si="132"/>
        <v>0</v>
      </c>
      <c r="T838" s="48">
        <f t="shared" si="133"/>
        <v>0</v>
      </c>
      <c r="U838" s="8">
        <f t="shared" si="134"/>
        <v>0</v>
      </c>
      <c r="W838" s="48">
        <f t="shared" si="137"/>
        <v>0</v>
      </c>
      <c r="X838" s="8">
        <f t="shared" si="135"/>
        <v>0</v>
      </c>
    </row>
    <row r="839" spans="11:24" ht="13.2" hidden="1" x14ac:dyDescent="0.25">
      <c r="K839" s="3" t="str">
        <f t="shared" si="138"/>
        <v/>
      </c>
      <c r="L839" s="39">
        <v>810</v>
      </c>
      <c r="M839" s="3">
        <f t="shared" si="136"/>
        <v>67</v>
      </c>
      <c r="N839" s="44">
        <f t="shared" si="129"/>
        <v>0</v>
      </c>
      <c r="O839" s="8">
        <f t="shared" si="130"/>
        <v>0</v>
      </c>
      <c r="Q839" s="48">
        <f t="shared" si="131"/>
        <v>0</v>
      </c>
      <c r="R839" s="8">
        <f t="shared" si="132"/>
        <v>0</v>
      </c>
      <c r="T839" s="48">
        <f t="shared" si="133"/>
        <v>0</v>
      </c>
      <c r="U839" s="8">
        <f t="shared" si="134"/>
        <v>0</v>
      </c>
      <c r="W839" s="48">
        <f t="shared" si="137"/>
        <v>0</v>
      </c>
      <c r="X839" s="8">
        <f t="shared" si="135"/>
        <v>0</v>
      </c>
    </row>
    <row r="840" spans="11:24" ht="13.2" hidden="1" x14ac:dyDescent="0.25">
      <c r="K840" s="3" t="str">
        <f t="shared" si="138"/>
        <v/>
      </c>
      <c r="L840" s="39">
        <v>811</v>
      </c>
      <c r="M840" s="3">
        <f t="shared" si="136"/>
        <v>67</v>
      </c>
      <c r="N840" s="44">
        <f t="shared" si="129"/>
        <v>0</v>
      </c>
      <c r="O840" s="8">
        <f t="shared" si="130"/>
        <v>0</v>
      </c>
      <c r="Q840" s="48">
        <f t="shared" si="131"/>
        <v>0</v>
      </c>
      <c r="R840" s="8">
        <f t="shared" si="132"/>
        <v>0</v>
      </c>
      <c r="T840" s="48">
        <f t="shared" si="133"/>
        <v>0</v>
      </c>
      <c r="U840" s="8">
        <f t="shared" si="134"/>
        <v>0</v>
      </c>
      <c r="W840" s="48">
        <f t="shared" si="137"/>
        <v>0</v>
      </c>
      <c r="X840" s="8">
        <f t="shared" si="135"/>
        <v>0</v>
      </c>
    </row>
    <row r="841" spans="11:24" ht="13.2" hidden="1" x14ac:dyDescent="0.25">
      <c r="K841" s="3" t="str">
        <f t="shared" si="138"/>
        <v/>
      </c>
      <c r="L841" s="39">
        <v>812</v>
      </c>
      <c r="M841" s="3">
        <f t="shared" si="136"/>
        <v>67</v>
      </c>
      <c r="N841" s="44">
        <f t="shared" si="129"/>
        <v>0</v>
      </c>
      <c r="O841" s="8">
        <f t="shared" si="130"/>
        <v>0</v>
      </c>
      <c r="Q841" s="48">
        <f t="shared" si="131"/>
        <v>0</v>
      </c>
      <c r="R841" s="8">
        <f t="shared" si="132"/>
        <v>0</v>
      </c>
      <c r="T841" s="48">
        <f t="shared" si="133"/>
        <v>0</v>
      </c>
      <c r="U841" s="8">
        <f t="shared" si="134"/>
        <v>0</v>
      </c>
      <c r="W841" s="48">
        <f t="shared" si="137"/>
        <v>0</v>
      </c>
      <c r="X841" s="8">
        <f t="shared" si="135"/>
        <v>0</v>
      </c>
    </row>
    <row r="842" spans="11:24" ht="13.2" hidden="1" x14ac:dyDescent="0.25">
      <c r="K842" s="3" t="str">
        <f t="shared" si="138"/>
        <v/>
      </c>
      <c r="L842" s="39">
        <v>813</v>
      </c>
      <c r="M842" s="3">
        <f t="shared" si="136"/>
        <v>67</v>
      </c>
      <c r="N842" s="44">
        <f t="shared" si="129"/>
        <v>0</v>
      </c>
      <c r="O842" s="8">
        <f t="shared" si="130"/>
        <v>0</v>
      </c>
      <c r="Q842" s="48">
        <f t="shared" si="131"/>
        <v>0</v>
      </c>
      <c r="R842" s="8">
        <f t="shared" si="132"/>
        <v>0</v>
      </c>
      <c r="T842" s="48">
        <f t="shared" si="133"/>
        <v>0</v>
      </c>
      <c r="U842" s="8">
        <f t="shared" si="134"/>
        <v>0</v>
      </c>
      <c r="W842" s="48">
        <f t="shared" si="137"/>
        <v>0</v>
      </c>
      <c r="X842" s="8">
        <f t="shared" si="135"/>
        <v>0</v>
      </c>
    </row>
    <row r="843" spans="11:24" ht="13.2" hidden="1" x14ac:dyDescent="0.25">
      <c r="K843" s="3" t="str">
        <f t="shared" si="138"/>
        <v/>
      </c>
      <c r="L843" s="39">
        <v>814</v>
      </c>
      <c r="M843" s="3">
        <f t="shared" si="136"/>
        <v>67</v>
      </c>
      <c r="N843" s="44">
        <f t="shared" si="129"/>
        <v>0</v>
      </c>
      <c r="O843" s="8">
        <f t="shared" si="130"/>
        <v>0</v>
      </c>
      <c r="Q843" s="48">
        <f t="shared" si="131"/>
        <v>0</v>
      </c>
      <c r="R843" s="8">
        <f t="shared" si="132"/>
        <v>0</v>
      </c>
      <c r="T843" s="48">
        <f t="shared" si="133"/>
        <v>0</v>
      </c>
      <c r="U843" s="8">
        <f t="shared" si="134"/>
        <v>0</v>
      </c>
      <c r="W843" s="48">
        <f t="shared" si="137"/>
        <v>0</v>
      </c>
      <c r="X843" s="8">
        <f t="shared" si="135"/>
        <v>0</v>
      </c>
    </row>
    <row r="844" spans="11:24" ht="13.2" hidden="1" x14ac:dyDescent="0.25">
      <c r="K844" s="3" t="str">
        <f t="shared" si="138"/>
        <v/>
      </c>
      <c r="L844" s="39">
        <v>815</v>
      </c>
      <c r="M844" s="3">
        <f t="shared" si="136"/>
        <v>67</v>
      </c>
      <c r="N844" s="44">
        <f t="shared" si="129"/>
        <v>0</v>
      </c>
      <c r="O844" s="8">
        <f t="shared" si="130"/>
        <v>0</v>
      </c>
      <c r="Q844" s="48">
        <f t="shared" si="131"/>
        <v>0</v>
      </c>
      <c r="R844" s="8">
        <f t="shared" si="132"/>
        <v>0</v>
      </c>
      <c r="T844" s="48">
        <f t="shared" si="133"/>
        <v>0</v>
      </c>
      <c r="U844" s="8">
        <f t="shared" si="134"/>
        <v>0</v>
      </c>
      <c r="W844" s="48">
        <f t="shared" si="137"/>
        <v>0</v>
      </c>
      <c r="X844" s="8">
        <f t="shared" si="135"/>
        <v>0</v>
      </c>
    </row>
    <row r="845" spans="11:24" ht="13.2" hidden="1" x14ac:dyDescent="0.25">
      <c r="K845" s="3">
        <f t="shared" si="138"/>
        <v>68</v>
      </c>
      <c r="L845" s="39">
        <v>816</v>
      </c>
      <c r="M845" s="3">
        <f t="shared" si="136"/>
        <v>67</v>
      </c>
      <c r="N845" s="44">
        <f t="shared" si="129"/>
        <v>0</v>
      </c>
      <c r="O845" s="8">
        <f t="shared" si="130"/>
        <v>0</v>
      </c>
      <c r="Q845" s="48">
        <f t="shared" si="131"/>
        <v>0</v>
      </c>
      <c r="R845" s="8">
        <f t="shared" si="132"/>
        <v>0</v>
      </c>
      <c r="T845" s="48">
        <f t="shared" si="133"/>
        <v>0</v>
      </c>
      <c r="U845" s="8">
        <f t="shared" si="134"/>
        <v>0</v>
      </c>
      <c r="W845" s="48">
        <f t="shared" si="137"/>
        <v>0</v>
      </c>
      <c r="X845" s="8">
        <f t="shared" si="135"/>
        <v>0</v>
      </c>
    </row>
    <row r="846" spans="11:24" ht="13.2" hidden="1" x14ac:dyDescent="0.25">
      <c r="K846" s="3" t="str">
        <f t="shared" si="138"/>
        <v/>
      </c>
      <c r="L846" s="39">
        <v>817</v>
      </c>
      <c r="M846" s="3">
        <f t="shared" si="136"/>
        <v>68</v>
      </c>
      <c r="N846" s="44">
        <f t="shared" si="129"/>
        <v>0</v>
      </c>
      <c r="O846" s="8">
        <f t="shared" si="130"/>
        <v>0</v>
      </c>
      <c r="Q846" s="48">
        <f t="shared" si="131"/>
        <v>0</v>
      </c>
      <c r="R846" s="8">
        <f t="shared" si="132"/>
        <v>0</v>
      </c>
      <c r="T846" s="48">
        <f t="shared" si="133"/>
        <v>0</v>
      </c>
      <c r="U846" s="8">
        <f t="shared" si="134"/>
        <v>0</v>
      </c>
      <c r="W846" s="48">
        <f t="shared" si="137"/>
        <v>0</v>
      </c>
      <c r="X846" s="8">
        <f t="shared" si="135"/>
        <v>0</v>
      </c>
    </row>
    <row r="847" spans="11:24" ht="13.2" hidden="1" x14ac:dyDescent="0.25">
      <c r="K847" s="3" t="str">
        <f t="shared" si="138"/>
        <v/>
      </c>
      <c r="L847" s="39">
        <v>818</v>
      </c>
      <c r="M847" s="3">
        <f t="shared" si="136"/>
        <v>68</v>
      </c>
      <c r="N847" s="44">
        <f t="shared" si="129"/>
        <v>0</v>
      </c>
      <c r="O847" s="8">
        <f t="shared" si="130"/>
        <v>0</v>
      </c>
      <c r="Q847" s="48">
        <f t="shared" si="131"/>
        <v>0</v>
      </c>
      <c r="R847" s="8">
        <f t="shared" si="132"/>
        <v>0</v>
      </c>
      <c r="T847" s="48">
        <f t="shared" si="133"/>
        <v>0</v>
      </c>
      <c r="U847" s="8">
        <f t="shared" si="134"/>
        <v>0</v>
      </c>
      <c r="W847" s="48">
        <f t="shared" si="137"/>
        <v>0</v>
      </c>
      <c r="X847" s="8">
        <f t="shared" si="135"/>
        <v>0</v>
      </c>
    </row>
    <row r="848" spans="11:24" ht="13.2" hidden="1" x14ac:dyDescent="0.25">
      <c r="K848" s="3" t="str">
        <f t="shared" si="138"/>
        <v/>
      </c>
      <c r="L848" s="39">
        <v>819</v>
      </c>
      <c r="M848" s="3">
        <f t="shared" si="136"/>
        <v>68</v>
      </c>
      <c r="N848" s="44">
        <f t="shared" si="129"/>
        <v>0</v>
      </c>
      <c r="O848" s="8">
        <f t="shared" si="130"/>
        <v>0</v>
      </c>
      <c r="Q848" s="48">
        <f t="shared" si="131"/>
        <v>0</v>
      </c>
      <c r="R848" s="8">
        <f t="shared" si="132"/>
        <v>0</v>
      </c>
      <c r="T848" s="48">
        <f t="shared" si="133"/>
        <v>0</v>
      </c>
      <c r="U848" s="8">
        <f t="shared" si="134"/>
        <v>0</v>
      </c>
      <c r="W848" s="48">
        <f t="shared" si="137"/>
        <v>0</v>
      </c>
      <c r="X848" s="8">
        <f t="shared" si="135"/>
        <v>0</v>
      </c>
    </row>
    <row r="849" spans="11:24" ht="13.2" hidden="1" x14ac:dyDescent="0.25">
      <c r="K849" s="3" t="str">
        <f t="shared" si="138"/>
        <v/>
      </c>
      <c r="L849" s="39">
        <v>820</v>
      </c>
      <c r="M849" s="3">
        <f t="shared" si="136"/>
        <v>68</v>
      </c>
      <c r="N849" s="44">
        <f t="shared" si="129"/>
        <v>0</v>
      </c>
      <c r="O849" s="8">
        <f t="shared" si="130"/>
        <v>0</v>
      </c>
      <c r="Q849" s="48">
        <f t="shared" si="131"/>
        <v>0</v>
      </c>
      <c r="R849" s="8">
        <f t="shared" si="132"/>
        <v>0</v>
      </c>
      <c r="T849" s="48">
        <f t="shared" si="133"/>
        <v>0</v>
      </c>
      <c r="U849" s="8">
        <f t="shared" si="134"/>
        <v>0</v>
      </c>
      <c r="W849" s="48">
        <f t="shared" si="137"/>
        <v>0</v>
      </c>
      <c r="X849" s="8">
        <f t="shared" si="135"/>
        <v>0</v>
      </c>
    </row>
    <row r="850" spans="11:24" ht="13.2" hidden="1" x14ac:dyDescent="0.25">
      <c r="K850" s="3" t="str">
        <f t="shared" si="138"/>
        <v/>
      </c>
      <c r="L850" s="39">
        <v>821</v>
      </c>
      <c r="M850" s="3">
        <f t="shared" si="136"/>
        <v>68</v>
      </c>
      <c r="N850" s="44">
        <f t="shared" si="129"/>
        <v>0</v>
      </c>
      <c r="O850" s="8">
        <f t="shared" si="130"/>
        <v>0</v>
      </c>
      <c r="Q850" s="48">
        <f t="shared" si="131"/>
        <v>0</v>
      </c>
      <c r="R850" s="8">
        <f t="shared" si="132"/>
        <v>0</v>
      </c>
      <c r="T850" s="48">
        <f t="shared" si="133"/>
        <v>0</v>
      </c>
      <c r="U850" s="8">
        <f t="shared" si="134"/>
        <v>0</v>
      </c>
      <c r="W850" s="48">
        <f t="shared" si="137"/>
        <v>0</v>
      </c>
      <c r="X850" s="8">
        <f t="shared" si="135"/>
        <v>0</v>
      </c>
    </row>
    <row r="851" spans="11:24" ht="13.2" hidden="1" x14ac:dyDescent="0.25">
      <c r="K851" s="3" t="str">
        <f t="shared" si="138"/>
        <v/>
      </c>
      <c r="L851" s="39">
        <v>822</v>
      </c>
      <c r="M851" s="3">
        <f t="shared" si="136"/>
        <v>68</v>
      </c>
      <c r="N851" s="44">
        <f t="shared" si="129"/>
        <v>0</v>
      </c>
      <c r="O851" s="8">
        <f t="shared" si="130"/>
        <v>0</v>
      </c>
      <c r="Q851" s="48">
        <f t="shared" si="131"/>
        <v>0</v>
      </c>
      <c r="R851" s="8">
        <f t="shared" si="132"/>
        <v>0</v>
      </c>
      <c r="T851" s="48">
        <f t="shared" si="133"/>
        <v>0</v>
      </c>
      <c r="U851" s="8">
        <f t="shared" si="134"/>
        <v>0</v>
      </c>
      <c r="W851" s="48">
        <f t="shared" si="137"/>
        <v>0</v>
      </c>
      <c r="X851" s="8">
        <f t="shared" si="135"/>
        <v>0</v>
      </c>
    </row>
    <row r="852" spans="11:24" ht="13.2" hidden="1" x14ac:dyDescent="0.25">
      <c r="K852" s="3" t="str">
        <f t="shared" si="138"/>
        <v/>
      </c>
      <c r="L852" s="39">
        <v>823</v>
      </c>
      <c r="M852" s="3">
        <f t="shared" si="136"/>
        <v>68</v>
      </c>
      <c r="N852" s="44">
        <f t="shared" si="129"/>
        <v>0</v>
      </c>
      <c r="O852" s="8">
        <f t="shared" si="130"/>
        <v>0</v>
      </c>
      <c r="Q852" s="48">
        <f t="shared" si="131"/>
        <v>0</v>
      </c>
      <c r="R852" s="8">
        <f t="shared" si="132"/>
        <v>0</v>
      </c>
      <c r="T852" s="48">
        <f t="shared" si="133"/>
        <v>0</v>
      </c>
      <c r="U852" s="8">
        <f t="shared" si="134"/>
        <v>0</v>
      </c>
      <c r="W852" s="48">
        <f t="shared" si="137"/>
        <v>0</v>
      </c>
      <c r="X852" s="8">
        <f t="shared" si="135"/>
        <v>0</v>
      </c>
    </row>
    <row r="853" spans="11:24" ht="13.2" hidden="1" x14ac:dyDescent="0.25">
      <c r="K853" s="3" t="str">
        <f t="shared" si="138"/>
        <v/>
      </c>
      <c r="L853" s="39">
        <v>824</v>
      </c>
      <c r="M853" s="3">
        <f t="shared" si="136"/>
        <v>68</v>
      </c>
      <c r="N853" s="44">
        <f t="shared" si="129"/>
        <v>0</v>
      </c>
      <c r="O853" s="8">
        <f t="shared" si="130"/>
        <v>0</v>
      </c>
      <c r="Q853" s="48">
        <f t="shared" si="131"/>
        <v>0</v>
      </c>
      <c r="R853" s="8">
        <f t="shared" si="132"/>
        <v>0</v>
      </c>
      <c r="T853" s="48">
        <f t="shared" si="133"/>
        <v>0</v>
      </c>
      <c r="U853" s="8">
        <f t="shared" si="134"/>
        <v>0</v>
      </c>
      <c r="W853" s="48">
        <f t="shared" si="137"/>
        <v>0</v>
      </c>
      <c r="X853" s="8">
        <f t="shared" si="135"/>
        <v>0</v>
      </c>
    </row>
    <row r="854" spans="11:24" ht="13.2" hidden="1" x14ac:dyDescent="0.25">
      <c r="K854" s="3" t="str">
        <f t="shared" si="138"/>
        <v/>
      </c>
      <c r="L854" s="39">
        <v>825</v>
      </c>
      <c r="M854" s="3">
        <f t="shared" si="136"/>
        <v>68</v>
      </c>
      <c r="N854" s="44">
        <f t="shared" si="129"/>
        <v>0</v>
      </c>
      <c r="O854" s="8">
        <f t="shared" si="130"/>
        <v>0</v>
      </c>
      <c r="Q854" s="48">
        <f t="shared" si="131"/>
        <v>0</v>
      </c>
      <c r="R854" s="8">
        <f t="shared" si="132"/>
        <v>0</v>
      </c>
      <c r="T854" s="48">
        <f t="shared" si="133"/>
        <v>0</v>
      </c>
      <c r="U854" s="8">
        <f t="shared" si="134"/>
        <v>0</v>
      </c>
      <c r="W854" s="48">
        <f t="shared" si="137"/>
        <v>0</v>
      </c>
      <c r="X854" s="8">
        <f t="shared" si="135"/>
        <v>0</v>
      </c>
    </row>
    <row r="855" spans="11:24" ht="13.2" hidden="1" x14ac:dyDescent="0.25">
      <c r="K855" s="3" t="str">
        <f t="shared" si="138"/>
        <v/>
      </c>
      <c r="L855" s="39">
        <v>826</v>
      </c>
      <c r="M855" s="3">
        <f t="shared" si="136"/>
        <v>68</v>
      </c>
      <c r="N855" s="44">
        <f t="shared" si="129"/>
        <v>0</v>
      </c>
      <c r="O855" s="8">
        <f t="shared" si="130"/>
        <v>0</v>
      </c>
      <c r="Q855" s="48">
        <f t="shared" si="131"/>
        <v>0</v>
      </c>
      <c r="R855" s="8">
        <f t="shared" si="132"/>
        <v>0</v>
      </c>
      <c r="T855" s="48">
        <f t="shared" si="133"/>
        <v>0</v>
      </c>
      <c r="U855" s="8">
        <f t="shared" si="134"/>
        <v>0</v>
      </c>
      <c r="W855" s="48">
        <f t="shared" si="137"/>
        <v>0</v>
      </c>
      <c r="X855" s="8">
        <f t="shared" si="135"/>
        <v>0</v>
      </c>
    </row>
    <row r="856" spans="11:24" ht="13.2" hidden="1" x14ac:dyDescent="0.25">
      <c r="K856" s="3" t="str">
        <f t="shared" si="138"/>
        <v/>
      </c>
      <c r="L856" s="39">
        <v>827</v>
      </c>
      <c r="M856" s="3">
        <f t="shared" si="136"/>
        <v>68</v>
      </c>
      <c r="N856" s="44">
        <f t="shared" si="129"/>
        <v>0</v>
      </c>
      <c r="O856" s="8">
        <f t="shared" si="130"/>
        <v>0</v>
      </c>
      <c r="Q856" s="48">
        <f t="shared" si="131"/>
        <v>0</v>
      </c>
      <c r="R856" s="8">
        <f t="shared" si="132"/>
        <v>0</v>
      </c>
      <c r="T856" s="48">
        <f t="shared" si="133"/>
        <v>0</v>
      </c>
      <c r="U856" s="8">
        <f t="shared" si="134"/>
        <v>0</v>
      </c>
      <c r="W856" s="48">
        <f t="shared" si="137"/>
        <v>0</v>
      </c>
      <c r="X856" s="8">
        <f t="shared" si="135"/>
        <v>0</v>
      </c>
    </row>
    <row r="857" spans="11:24" ht="13.2" hidden="1" x14ac:dyDescent="0.25">
      <c r="K857" s="3">
        <f t="shared" si="138"/>
        <v>69</v>
      </c>
      <c r="L857" s="39">
        <v>828</v>
      </c>
      <c r="M857" s="3">
        <f t="shared" si="136"/>
        <v>68</v>
      </c>
      <c r="N857" s="44">
        <f t="shared" si="129"/>
        <v>0</v>
      </c>
      <c r="O857" s="8">
        <f t="shared" si="130"/>
        <v>0</v>
      </c>
      <c r="Q857" s="48">
        <f t="shared" si="131"/>
        <v>0</v>
      </c>
      <c r="R857" s="8">
        <f t="shared" si="132"/>
        <v>0</v>
      </c>
      <c r="T857" s="48">
        <f t="shared" si="133"/>
        <v>0</v>
      </c>
      <c r="U857" s="8">
        <f t="shared" si="134"/>
        <v>0</v>
      </c>
      <c r="W857" s="48">
        <f t="shared" si="137"/>
        <v>0</v>
      </c>
      <c r="X857" s="8">
        <f t="shared" si="135"/>
        <v>0</v>
      </c>
    </row>
    <row r="858" spans="11:24" ht="13.2" hidden="1" x14ac:dyDescent="0.25">
      <c r="K858" s="3" t="str">
        <f t="shared" si="138"/>
        <v/>
      </c>
      <c r="L858" s="39">
        <v>829</v>
      </c>
      <c r="M858" s="3">
        <f t="shared" si="136"/>
        <v>69</v>
      </c>
      <c r="N858" s="44">
        <f t="shared" si="129"/>
        <v>0</v>
      </c>
      <c r="O858" s="8">
        <f t="shared" si="130"/>
        <v>0</v>
      </c>
      <c r="Q858" s="48">
        <f t="shared" si="131"/>
        <v>0</v>
      </c>
      <c r="R858" s="8">
        <f t="shared" si="132"/>
        <v>0</v>
      </c>
      <c r="T858" s="48">
        <f t="shared" si="133"/>
        <v>0</v>
      </c>
      <c r="U858" s="8">
        <f t="shared" si="134"/>
        <v>0</v>
      </c>
      <c r="W858" s="48">
        <f t="shared" si="137"/>
        <v>0</v>
      </c>
      <c r="X858" s="8">
        <f t="shared" si="135"/>
        <v>0</v>
      </c>
    </row>
    <row r="859" spans="11:24" ht="13.2" hidden="1" x14ac:dyDescent="0.25">
      <c r="K859" s="3" t="str">
        <f t="shared" si="138"/>
        <v/>
      </c>
      <c r="L859" s="39">
        <v>830</v>
      </c>
      <c r="M859" s="3">
        <f t="shared" si="136"/>
        <v>69</v>
      </c>
      <c r="N859" s="44">
        <f t="shared" si="129"/>
        <v>0</v>
      </c>
      <c r="O859" s="8">
        <f t="shared" si="130"/>
        <v>0</v>
      </c>
      <c r="Q859" s="48">
        <f t="shared" si="131"/>
        <v>0</v>
      </c>
      <c r="R859" s="8">
        <f t="shared" si="132"/>
        <v>0</v>
      </c>
      <c r="T859" s="48">
        <f t="shared" si="133"/>
        <v>0</v>
      </c>
      <c r="U859" s="8">
        <f t="shared" si="134"/>
        <v>0</v>
      </c>
      <c r="W859" s="48">
        <f t="shared" si="137"/>
        <v>0</v>
      </c>
      <c r="X859" s="8">
        <f t="shared" si="135"/>
        <v>0</v>
      </c>
    </row>
    <row r="860" spans="11:24" ht="13.2" hidden="1" x14ac:dyDescent="0.25">
      <c r="K860" s="3" t="str">
        <f t="shared" si="138"/>
        <v/>
      </c>
      <c r="L860" s="39">
        <v>831</v>
      </c>
      <c r="M860" s="3">
        <f t="shared" si="136"/>
        <v>69</v>
      </c>
      <c r="N860" s="44">
        <f t="shared" si="129"/>
        <v>0</v>
      </c>
      <c r="O860" s="8">
        <f t="shared" si="130"/>
        <v>0</v>
      </c>
      <c r="Q860" s="48">
        <f t="shared" si="131"/>
        <v>0</v>
      </c>
      <c r="R860" s="8">
        <f t="shared" si="132"/>
        <v>0</v>
      </c>
      <c r="T860" s="48">
        <f t="shared" si="133"/>
        <v>0</v>
      </c>
      <c r="U860" s="8">
        <f t="shared" si="134"/>
        <v>0</v>
      </c>
      <c r="W860" s="48">
        <f t="shared" si="137"/>
        <v>0</v>
      </c>
      <c r="X860" s="8">
        <f t="shared" si="135"/>
        <v>0</v>
      </c>
    </row>
    <row r="861" spans="11:24" ht="13.2" hidden="1" x14ac:dyDescent="0.25">
      <c r="K861" s="3" t="str">
        <f t="shared" si="138"/>
        <v/>
      </c>
      <c r="L861" s="39">
        <v>832</v>
      </c>
      <c r="M861" s="3">
        <f t="shared" si="136"/>
        <v>69</v>
      </c>
      <c r="N861" s="44">
        <f t="shared" si="129"/>
        <v>0</v>
      </c>
      <c r="O861" s="8">
        <f t="shared" si="130"/>
        <v>0</v>
      </c>
      <c r="Q861" s="48">
        <f t="shared" si="131"/>
        <v>0</v>
      </c>
      <c r="R861" s="8">
        <f t="shared" si="132"/>
        <v>0</v>
      </c>
      <c r="T861" s="48">
        <f t="shared" si="133"/>
        <v>0</v>
      </c>
      <c r="U861" s="8">
        <f t="shared" si="134"/>
        <v>0</v>
      </c>
      <c r="W861" s="48">
        <f t="shared" si="137"/>
        <v>0</v>
      </c>
      <c r="X861" s="8">
        <f t="shared" si="135"/>
        <v>0</v>
      </c>
    </row>
    <row r="862" spans="11:24" ht="13.2" hidden="1" x14ac:dyDescent="0.25">
      <c r="K862" s="3" t="str">
        <f t="shared" si="138"/>
        <v/>
      </c>
      <c r="L862" s="39">
        <v>833</v>
      </c>
      <c r="M862" s="3">
        <f t="shared" si="136"/>
        <v>69</v>
      </c>
      <c r="N862" s="44">
        <f t="shared" si="129"/>
        <v>0</v>
      </c>
      <c r="O862" s="8">
        <f t="shared" si="130"/>
        <v>0</v>
      </c>
      <c r="Q862" s="48">
        <f t="shared" si="131"/>
        <v>0</v>
      </c>
      <c r="R862" s="8">
        <f t="shared" si="132"/>
        <v>0</v>
      </c>
      <c r="T862" s="48">
        <f t="shared" si="133"/>
        <v>0</v>
      </c>
      <c r="U862" s="8">
        <f t="shared" si="134"/>
        <v>0</v>
      </c>
      <c r="W862" s="48">
        <f t="shared" si="137"/>
        <v>0</v>
      </c>
      <c r="X862" s="8">
        <f t="shared" si="135"/>
        <v>0</v>
      </c>
    </row>
    <row r="863" spans="11:24" ht="13.2" hidden="1" x14ac:dyDescent="0.25">
      <c r="K863" s="3" t="str">
        <f t="shared" si="138"/>
        <v/>
      </c>
      <c r="L863" s="39">
        <v>834</v>
      </c>
      <c r="M863" s="3">
        <f t="shared" si="136"/>
        <v>69</v>
      </c>
      <c r="N863" s="44">
        <f t="shared" si="129"/>
        <v>0</v>
      </c>
      <c r="O863" s="8">
        <f t="shared" si="130"/>
        <v>0</v>
      </c>
      <c r="Q863" s="48">
        <f t="shared" si="131"/>
        <v>0</v>
      </c>
      <c r="R863" s="8">
        <f t="shared" si="132"/>
        <v>0</v>
      </c>
      <c r="T863" s="48">
        <f t="shared" si="133"/>
        <v>0</v>
      </c>
      <c r="U863" s="8">
        <f t="shared" si="134"/>
        <v>0</v>
      </c>
      <c r="W863" s="48">
        <f t="shared" si="137"/>
        <v>0</v>
      </c>
      <c r="X863" s="8">
        <f t="shared" si="135"/>
        <v>0</v>
      </c>
    </row>
    <row r="864" spans="11:24" ht="13.2" hidden="1" x14ac:dyDescent="0.25">
      <c r="K864" s="3" t="str">
        <f t="shared" si="138"/>
        <v/>
      </c>
      <c r="L864" s="39">
        <v>835</v>
      </c>
      <c r="M864" s="3">
        <f t="shared" si="136"/>
        <v>69</v>
      </c>
      <c r="N864" s="44">
        <f t="shared" si="129"/>
        <v>0</v>
      </c>
      <c r="O864" s="8">
        <f t="shared" si="130"/>
        <v>0</v>
      </c>
      <c r="Q864" s="48">
        <f t="shared" si="131"/>
        <v>0</v>
      </c>
      <c r="R864" s="8">
        <f t="shared" si="132"/>
        <v>0</v>
      </c>
      <c r="T864" s="48">
        <f t="shared" si="133"/>
        <v>0</v>
      </c>
      <c r="U864" s="8">
        <f t="shared" si="134"/>
        <v>0</v>
      </c>
      <c r="W864" s="48">
        <f t="shared" si="137"/>
        <v>0</v>
      </c>
      <c r="X864" s="8">
        <f t="shared" si="135"/>
        <v>0</v>
      </c>
    </row>
    <row r="865" spans="11:24" ht="13.2" hidden="1" x14ac:dyDescent="0.25">
      <c r="K865" s="3" t="str">
        <f t="shared" si="138"/>
        <v/>
      </c>
      <c r="L865" s="39">
        <v>836</v>
      </c>
      <c r="M865" s="3">
        <f t="shared" si="136"/>
        <v>69</v>
      </c>
      <c r="N865" s="44">
        <f t="shared" ref="N865:N928" si="139">IF(L865&lt;=InvMonths,SU_Amt*(1+$C$19)^M865,0)</f>
        <v>0</v>
      </c>
      <c r="O865" s="8">
        <f t="shared" ref="O865:O928" si="140">FV($S$1,(InvMonths-L865+1),0,-N865,1)</f>
        <v>0</v>
      </c>
      <c r="Q865" s="48">
        <f t="shared" ref="Q865:Q929" si="141">IF(L865&lt;=InvMonths,$R$27*(1+$C$19)^M865,0)</f>
        <v>0</v>
      </c>
      <c r="R865" s="8">
        <f t="shared" ref="R865:R928" si="142">FV($S$1,(InvMonths-L865+1),0,-Q865,1)</f>
        <v>0</v>
      </c>
      <c r="T865" s="48">
        <f t="shared" ref="T865:T929" si="143">IF(L865&lt;=InvMonths,$U$27,0)</f>
        <v>0</v>
      </c>
      <c r="U865" s="8">
        <f t="shared" ref="U865:U928" si="144">FV($S$1,(InvMonths-L865+1),0,-T865,1)</f>
        <v>0</v>
      </c>
      <c r="W865" s="48">
        <f t="shared" si="137"/>
        <v>0</v>
      </c>
      <c r="X865" s="8">
        <f t="shared" ref="X865:X928" si="145">FV($S$1,($X$26-L865+1),0,-W865,1)</f>
        <v>0</v>
      </c>
    </row>
    <row r="866" spans="11:24" ht="13.2" hidden="1" x14ac:dyDescent="0.25">
      <c r="K866" s="3" t="str">
        <f t="shared" si="138"/>
        <v/>
      </c>
      <c r="L866" s="39">
        <v>837</v>
      </c>
      <c r="M866" s="3">
        <f t="shared" ref="M866:M929" si="146">IF(MOD(L866,12)=0,(L866/12)-1,QUOTIENT(L866,12))</f>
        <v>69</v>
      </c>
      <c r="N866" s="44">
        <f t="shared" si="139"/>
        <v>0</v>
      </c>
      <c r="O866" s="8">
        <f t="shared" si="140"/>
        <v>0</v>
      </c>
      <c r="Q866" s="48">
        <f t="shared" si="141"/>
        <v>0</v>
      </c>
      <c r="R866" s="8">
        <f t="shared" si="142"/>
        <v>0</v>
      </c>
      <c r="T866" s="48">
        <f t="shared" si="143"/>
        <v>0</v>
      </c>
      <c r="U866" s="8">
        <f t="shared" si="144"/>
        <v>0</v>
      </c>
      <c r="W866" s="48">
        <f t="shared" ref="W866:W929" si="147">IF(L866&lt;=$X$26,$X$27,0)</f>
        <v>0</v>
      </c>
      <c r="X866" s="8">
        <f t="shared" si="145"/>
        <v>0</v>
      </c>
    </row>
    <row r="867" spans="11:24" ht="13.2" hidden="1" x14ac:dyDescent="0.25">
      <c r="K867" s="3" t="str">
        <f t="shared" si="138"/>
        <v/>
      </c>
      <c r="L867" s="39">
        <v>838</v>
      </c>
      <c r="M867" s="3">
        <f t="shared" si="146"/>
        <v>69</v>
      </c>
      <c r="N867" s="44">
        <f t="shared" si="139"/>
        <v>0</v>
      </c>
      <c r="O867" s="8">
        <f t="shared" si="140"/>
        <v>0</v>
      </c>
      <c r="Q867" s="48">
        <f t="shared" si="141"/>
        <v>0</v>
      </c>
      <c r="R867" s="8">
        <f t="shared" si="142"/>
        <v>0</v>
      </c>
      <c r="T867" s="48">
        <f t="shared" si="143"/>
        <v>0</v>
      </c>
      <c r="U867" s="8">
        <f t="shared" si="144"/>
        <v>0</v>
      </c>
      <c r="W867" s="48">
        <f t="shared" si="147"/>
        <v>0</v>
      </c>
      <c r="X867" s="8">
        <f t="shared" si="145"/>
        <v>0</v>
      </c>
    </row>
    <row r="868" spans="11:24" ht="13.2" hidden="1" x14ac:dyDescent="0.25">
      <c r="K868" s="3" t="str">
        <f t="shared" si="138"/>
        <v/>
      </c>
      <c r="L868" s="39">
        <v>839</v>
      </c>
      <c r="M868" s="3">
        <f t="shared" si="146"/>
        <v>69</v>
      </c>
      <c r="N868" s="44">
        <f t="shared" si="139"/>
        <v>0</v>
      </c>
      <c r="O868" s="8">
        <f t="shared" si="140"/>
        <v>0</v>
      </c>
      <c r="Q868" s="48">
        <f t="shared" si="141"/>
        <v>0</v>
      </c>
      <c r="R868" s="8">
        <f t="shared" si="142"/>
        <v>0</v>
      </c>
      <c r="T868" s="48">
        <f t="shared" si="143"/>
        <v>0</v>
      </c>
      <c r="U868" s="8">
        <f t="shared" si="144"/>
        <v>0</v>
      </c>
      <c r="W868" s="48">
        <f t="shared" si="147"/>
        <v>0</v>
      </c>
      <c r="X868" s="8">
        <f t="shared" si="145"/>
        <v>0</v>
      </c>
    </row>
    <row r="869" spans="11:24" ht="13.2" hidden="1" x14ac:dyDescent="0.25">
      <c r="K869" s="3">
        <f t="shared" si="138"/>
        <v>70</v>
      </c>
      <c r="L869" s="39">
        <v>840</v>
      </c>
      <c r="M869" s="3">
        <f t="shared" si="146"/>
        <v>69</v>
      </c>
      <c r="N869" s="44">
        <f t="shared" si="139"/>
        <v>0</v>
      </c>
      <c r="O869" s="8">
        <f t="shared" si="140"/>
        <v>0</v>
      </c>
      <c r="Q869" s="48">
        <f t="shared" si="141"/>
        <v>0</v>
      </c>
      <c r="R869" s="8">
        <f t="shared" si="142"/>
        <v>0</v>
      </c>
      <c r="T869" s="48">
        <f t="shared" si="143"/>
        <v>0</v>
      </c>
      <c r="U869" s="8">
        <f t="shared" si="144"/>
        <v>0</v>
      </c>
      <c r="W869" s="48">
        <f t="shared" si="147"/>
        <v>0</v>
      </c>
      <c r="X869" s="8">
        <f t="shared" si="145"/>
        <v>0</v>
      </c>
    </row>
    <row r="870" spans="11:24" ht="13.2" hidden="1" x14ac:dyDescent="0.25">
      <c r="K870" s="3" t="str">
        <f t="shared" si="138"/>
        <v/>
      </c>
      <c r="L870" s="39">
        <v>841</v>
      </c>
      <c r="M870" s="3">
        <f t="shared" si="146"/>
        <v>70</v>
      </c>
      <c r="N870" s="44">
        <f t="shared" si="139"/>
        <v>0</v>
      </c>
      <c r="O870" s="8">
        <f t="shared" si="140"/>
        <v>0</v>
      </c>
      <c r="Q870" s="48">
        <f t="shared" si="141"/>
        <v>0</v>
      </c>
      <c r="R870" s="8">
        <f t="shared" si="142"/>
        <v>0</v>
      </c>
      <c r="T870" s="48">
        <f t="shared" si="143"/>
        <v>0</v>
      </c>
      <c r="U870" s="8">
        <f t="shared" si="144"/>
        <v>0</v>
      </c>
      <c r="W870" s="48">
        <f t="shared" si="147"/>
        <v>0</v>
      </c>
      <c r="X870" s="8">
        <f t="shared" si="145"/>
        <v>0</v>
      </c>
    </row>
    <row r="871" spans="11:24" ht="13.2" hidden="1" x14ac:dyDescent="0.25">
      <c r="K871" s="3" t="str">
        <f t="shared" si="138"/>
        <v/>
      </c>
      <c r="L871" s="39">
        <v>842</v>
      </c>
      <c r="M871" s="3">
        <f t="shared" si="146"/>
        <v>70</v>
      </c>
      <c r="N871" s="44">
        <f t="shared" si="139"/>
        <v>0</v>
      </c>
      <c r="O871" s="8">
        <f t="shared" si="140"/>
        <v>0</v>
      </c>
      <c r="Q871" s="48">
        <f t="shared" si="141"/>
        <v>0</v>
      </c>
      <c r="R871" s="8">
        <f t="shared" si="142"/>
        <v>0</v>
      </c>
      <c r="T871" s="48">
        <f t="shared" si="143"/>
        <v>0</v>
      </c>
      <c r="U871" s="8">
        <f t="shared" si="144"/>
        <v>0</v>
      </c>
      <c r="W871" s="48">
        <f t="shared" si="147"/>
        <v>0</v>
      </c>
      <c r="X871" s="8">
        <f t="shared" si="145"/>
        <v>0</v>
      </c>
    </row>
    <row r="872" spans="11:24" ht="13.2" hidden="1" x14ac:dyDescent="0.25">
      <c r="K872" s="3" t="str">
        <f t="shared" si="138"/>
        <v/>
      </c>
      <c r="L872" s="39">
        <v>843</v>
      </c>
      <c r="M872" s="3">
        <f t="shared" si="146"/>
        <v>70</v>
      </c>
      <c r="N872" s="44">
        <f t="shared" si="139"/>
        <v>0</v>
      </c>
      <c r="O872" s="8">
        <f t="shared" si="140"/>
        <v>0</v>
      </c>
      <c r="Q872" s="48">
        <f t="shared" si="141"/>
        <v>0</v>
      </c>
      <c r="R872" s="8">
        <f t="shared" si="142"/>
        <v>0</v>
      </c>
      <c r="T872" s="48">
        <f t="shared" si="143"/>
        <v>0</v>
      </c>
      <c r="U872" s="8">
        <f t="shared" si="144"/>
        <v>0</v>
      </c>
      <c r="W872" s="48">
        <f t="shared" si="147"/>
        <v>0</v>
      </c>
      <c r="X872" s="8">
        <f t="shared" si="145"/>
        <v>0</v>
      </c>
    </row>
    <row r="873" spans="11:24" ht="13.2" hidden="1" x14ac:dyDescent="0.25">
      <c r="K873" s="3" t="str">
        <f t="shared" si="138"/>
        <v/>
      </c>
      <c r="L873" s="39">
        <v>844</v>
      </c>
      <c r="M873" s="3">
        <f t="shared" si="146"/>
        <v>70</v>
      </c>
      <c r="N873" s="44">
        <f t="shared" si="139"/>
        <v>0</v>
      </c>
      <c r="O873" s="8">
        <f t="shared" si="140"/>
        <v>0</v>
      </c>
      <c r="Q873" s="48">
        <f t="shared" si="141"/>
        <v>0</v>
      </c>
      <c r="R873" s="8">
        <f t="shared" si="142"/>
        <v>0</v>
      </c>
      <c r="T873" s="48">
        <f t="shared" si="143"/>
        <v>0</v>
      </c>
      <c r="U873" s="8">
        <f t="shared" si="144"/>
        <v>0</v>
      </c>
      <c r="W873" s="48">
        <f t="shared" si="147"/>
        <v>0</v>
      </c>
      <c r="X873" s="8">
        <f t="shared" si="145"/>
        <v>0</v>
      </c>
    </row>
    <row r="874" spans="11:24" ht="13.2" hidden="1" x14ac:dyDescent="0.25">
      <c r="K874" s="3" t="str">
        <f t="shared" ref="K874:K929" si="148">IF(MOD(L874,12)=0,L874/12,"")</f>
        <v/>
      </c>
      <c r="L874" s="39">
        <v>845</v>
      </c>
      <c r="M874" s="3">
        <f t="shared" si="146"/>
        <v>70</v>
      </c>
      <c r="N874" s="44">
        <f t="shared" si="139"/>
        <v>0</v>
      </c>
      <c r="O874" s="8">
        <f t="shared" si="140"/>
        <v>0</v>
      </c>
      <c r="Q874" s="48">
        <f t="shared" si="141"/>
        <v>0</v>
      </c>
      <c r="R874" s="8">
        <f t="shared" si="142"/>
        <v>0</v>
      </c>
      <c r="T874" s="48">
        <f t="shared" si="143"/>
        <v>0</v>
      </c>
      <c r="U874" s="8">
        <f t="shared" si="144"/>
        <v>0</v>
      </c>
      <c r="W874" s="48">
        <f t="shared" si="147"/>
        <v>0</v>
      </c>
      <c r="X874" s="8">
        <f t="shared" si="145"/>
        <v>0</v>
      </c>
    </row>
    <row r="875" spans="11:24" ht="13.2" hidden="1" x14ac:dyDescent="0.25">
      <c r="K875" s="3" t="str">
        <f t="shared" si="148"/>
        <v/>
      </c>
      <c r="L875" s="39">
        <v>846</v>
      </c>
      <c r="M875" s="3">
        <f t="shared" si="146"/>
        <v>70</v>
      </c>
      <c r="N875" s="44">
        <f t="shared" si="139"/>
        <v>0</v>
      </c>
      <c r="O875" s="8">
        <f t="shared" si="140"/>
        <v>0</v>
      </c>
      <c r="Q875" s="48">
        <f t="shared" si="141"/>
        <v>0</v>
      </c>
      <c r="R875" s="8">
        <f t="shared" si="142"/>
        <v>0</v>
      </c>
      <c r="T875" s="48">
        <f t="shared" si="143"/>
        <v>0</v>
      </c>
      <c r="U875" s="8">
        <f t="shared" si="144"/>
        <v>0</v>
      </c>
      <c r="W875" s="48">
        <f t="shared" si="147"/>
        <v>0</v>
      </c>
      <c r="X875" s="8">
        <f t="shared" si="145"/>
        <v>0</v>
      </c>
    </row>
    <row r="876" spans="11:24" ht="13.2" hidden="1" x14ac:dyDescent="0.25">
      <c r="K876" s="3" t="str">
        <f t="shared" si="148"/>
        <v/>
      </c>
      <c r="L876" s="39">
        <v>847</v>
      </c>
      <c r="M876" s="3">
        <f t="shared" si="146"/>
        <v>70</v>
      </c>
      <c r="N876" s="44">
        <f t="shared" si="139"/>
        <v>0</v>
      </c>
      <c r="O876" s="8">
        <f t="shared" si="140"/>
        <v>0</v>
      </c>
      <c r="Q876" s="48">
        <f t="shared" si="141"/>
        <v>0</v>
      </c>
      <c r="R876" s="8">
        <f t="shared" si="142"/>
        <v>0</v>
      </c>
      <c r="T876" s="48">
        <f t="shared" si="143"/>
        <v>0</v>
      </c>
      <c r="U876" s="8">
        <f t="shared" si="144"/>
        <v>0</v>
      </c>
      <c r="W876" s="48">
        <f t="shared" si="147"/>
        <v>0</v>
      </c>
      <c r="X876" s="8">
        <f t="shared" si="145"/>
        <v>0</v>
      </c>
    </row>
    <row r="877" spans="11:24" ht="13.2" hidden="1" x14ac:dyDescent="0.25">
      <c r="K877" s="3" t="str">
        <f t="shared" si="148"/>
        <v/>
      </c>
      <c r="L877" s="39">
        <v>848</v>
      </c>
      <c r="M877" s="3">
        <f t="shared" si="146"/>
        <v>70</v>
      </c>
      <c r="N877" s="44">
        <f t="shared" si="139"/>
        <v>0</v>
      </c>
      <c r="O877" s="8">
        <f t="shared" si="140"/>
        <v>0</v>
      </c>
      <c r="Q877" s="48">
        <f t="shared" si="141"/>
        <v>0</v>
      </c>
      <c r="R877" s="8">
        <f t="shared" si="142"/>
        <v>0</v>
      </c>
      <c r="T877" s="48">
        <f t="shared" si="143"/>
        <v>0</v>
      </c>
      <c r="U877" s="8">
        <f t="shared" si="144"/>
        <v>0</v>
      </c>
      <c r="W877" s="48">
        <f t="shared" si="147"/>
        <v>0</v>
      </c>
      <c r="X877" s="8">
        <f t="shared" si="145"/>
        <v>0</v>
      </c>
    </row>
    <row r="878" spans="11:24" ht="13.2" hidden="1" x14ac:dyDescent="0.25">
      <c r="K878" s="3" t="str">
        <f t="shared" si="148"/>
        <v/>
      </c>
      <c r="L878" s="39">
        <v>849</v>
      </c>
      <c r="M878" s="3">
        <f t="shared" si="146"/>
        <v>70</v>
      </c>
      <c r="N878" s="44">
        <f t="shared" si="139"/>
        <v>0</v>
      </c>
      <c r="O878" s="8">
        <f t="shared" si="140"/>
        <v>0</v>
      </c>
      <c r="Q878" s="48">
        <f t="shared" si="141"/>
        <v>0</v>
      </c>
      <c r="R878" s="8">
        <f t="shared" si="142"/>
        <v>0</v>
      </c>
      <c r="T878" s="48">
        <f t="shared" si="143"/>
        <v>0</v>
      </c>
      <c r="U878" s="8">
        <f t="shared" si="144"/>
        <v>0</v>
      </c>
      <c r="W878" s="48">
        <f t="shared" si="147"/>
        <v>0</v>
      </c>
      <c r="X878" s="8">
        <f t="shared" si="145"/>
        <v>0</v>
      </c>
    </row>
    <row r="879" spans="11:24" ht="13.2" hidden="1" x14ac:dyDescent="0.25">
      <c r="K879" s="3" t="str">
        <f t="shared" si="148"/>
        <v/>
      </c>
      <c r="L879" s="39">
        <v>850</v>
      </c>
      <c r="M879" s="3">
        <f t="shared" si="146"/>
        <v>70</v>
      </c>
      <c r="N879" s="44">
        <f t="shared" si="139"/>
        <v>0</v>
      </c>
      <c r="O879" s="8">
        <f t="shared" si="140"/>
        <v>0</v>
      </c>
      <c r="Q879" s="48">
        <f t="shared" si="141"/>
        <v>0</v>
      </c>
      <c r="R879" s="8">
        <f t="shared" si="142"/>
        <v>0</v>
      </c>
      <c r="T879" s="48">
        <f t="shared" si="143"/>
        <v>0</v>
      </c>
      <c r="U879" s="8">
        <f t="shared" si="144"/>
        <v>0</v>
      </c>
      <c r="W879" s="48">
        <f t="shared" si="147"/>
        <v>0</v>
      </c>
      <c r="X879" s="8">
        <f t="shared" si="145"/>
        <v>0</v>
      </c>
    </row>
    <row r="880" spans="11:24" ht="13.2" hidden="1" x14ac:dyDescent="0.25">
      <c r="K880" s="3" t="str">
        <f t="shared" si="148"/>
        <v/>
      </c>
      <c r="L880" s="39">
        <v>851</v>
      </c>
      <c r="M880" s="3">
        <f t="shared" si="146"/>
        <v>70</v>
      </c>
      <c r="N880" s="44">
        <f t="shared" si="139"/>
        <v>0</v>
      </c>
      <c r="O880" s="8">
        <f t="shared" si="140"/>
        <v>0</v>
      </c>
      <c r="Q880" s="48">
        <f t="shared" si="141"/>
        <v>0</v>
      </c>
      <c r="R880" s="8">
        <f t="shared" si="142"/>
        <v>0</v>
      </c>
      <c r="T880" s="48">
        <f t="shared" si="143"/>
        <v>0</v>
      </c>
      <c r="U880" s="8">
        <f t="shared" si="144"/>
        <v>0</v>
      </c>
      <c r="W880" s="48">
        <f t="shared" si="147"/>
        <v>0</v>
      </c>
      <c r="X880" s="8">
        <f t="shared" si="145"/>
        <v>0</v>
      </c>
    </row>
    <row r="881" spans="11:24" ht="13.2" hidden="1" x14ac:dyDescent="0.25">
      <c r="K881" s="3">
        <f t="shared" si="148"/>
        <v>71</v>
      </c>
      <c r="L881" s="39">
        <v>852</v>
      </c>
      <c r="M881" s="3">
        <f t="shared" si="146"/>
        <v>70</v>
      </c>
      <c r="N881" s="44">
        <f t="shared" si="139"/>
        <v>0</v>
      </c>
      <c r="O881" s="8">
        <f t="shared" si="140"/>
        <v>0</v>
      </c>
      <c r="Q881" s="48">
        <f t="shared" si="141"/>
        <v>0</v>
      </c>
      <c r="R881" s="8">
        <f t="shared" si="142"/>
        <v>0</v>
      </c>
      <c r="T881" s="48">
        <f t="shared" si="143"/>
        <v>0</v>
      </c>
      <c r="U881" s="8">
        <f t="shared" si="144"/>
        <v>0</v>
      </c>
      <c r="W881" s="48">
        <f t="shared" si="147"/>
        <v>0</v>
      </c>
      <c r="X881" s="8">
        <f t="shared" si="145"/>
        <v>0</v>
      </c>
    </row>
    <row r="882" spans="11:24" ht="13.2" hidden="1" x14ac:dyDescent="0.25">
      <c r="K882" s="3" t="str">
        <f t="shared" si="148"/>
        <v/>
      </c>
      <c r="L882" s="39">
        <v>853</v>
      </c>
      <c r="M882" s="3">
        <f t="shared" si="146"/>
        <v>71</v>
      </c>
      <c r="N882" s="44">
        <f t="shared" si="139"/>
        <v>0</v>
      </c>
      <c r="O882" s="8">
        <f t="shared" si="140"/>
        <v>0</v>
      </c>
      <c r="Q882" s="48">
        <f t="shared" si="141"/>
        <v>0</v>
      </c>
      <c r="R882" s="8">
        <f t="shared" si="142"/>
        <v>0</v>
      </c>
      <c r="T882" s="48">
        <f t="shared" si="143"/>
        <v>0</v>
      </c>
      <c r="U882" s="8">
        <f t="shared" si="144"/>
        <v>0</v>
      </c>
      <c r="W882" s="48">
        <f t="shared" si="147"/>
        <v>0</v>
      </c>
      <c r="X882" s="8">
        <f t="shared" si="145"/>
        <v>0</v>
      </c>
    </row>
    <row r="883" spans="11:24" ht="13.2" hidden="1" x14ac:dyDescent="0.25">
      <c r="K883" s="3" t="str">
        <f t="shared" si="148"/>
        <v/>
      </c>
      <c r="L883" s="39">
        <v>854</v>
      </c>
      <c r="M883" s="3">
        <f t="shared" si="146"/>
        <v>71</v>
      </c>
      <c r="N883" s="44">
        <f t="shared" si="139"/>
        <v>0</v>
      </c>
      <c r="O883" s="8">
        <f t="shared" si="140"/>
        <v>0</v>
      </c>
      <c r="Q883" s="48">
        <f t="shared" si="141"/>
        <v>0</v>
      </c>
      <c r="R883" s="8">
        <f t="shared" si="142"/>
        <v>0</v>
      </c>
      <c r="T883" s="48">
        <f t="shared" si="143"/>
        <v>0</v>
      </c>
      <c r="U883" s="8">
        <f t="shared" si="144"/>
        <v>0</v>
      </c>
      <c r="W883" s="48">
        <f t="shared" si="147"/>
        <v>0</v>
      </c>
      <c r="X883" s="8">
        <f t="shared" si="145"/>
        <v>0</v>
      </c>
    </row>
    <row r="884" spans="11:24" ht="13.2" hidden="1" x14ac:dyDescent="0.25">
      <c r="K884" s="3" t="str">
        <f t="shared" si="148"/>
        <v/>
      </c>
      <c r="L884" s="39">
        <v>855</v>
      </c>
      <c r="M884" s="3">
        <f t="shared" si="146"/>
        <v>71</v>
      </c>
      <c r="N884" s="44">
        <f t="shared" si="139"/>
        <v>0</v>
      </c>
      <c r="O884" s="8">
        <f t="shared" si="140"/>
        <v>0</v>
      </c>
      <c r="Q884" s="48">
        <f t="shared" si="141"/>
        <v>0</v>
      </c>
      <c r="R884" s="8">
        <f t="shared" si="142"/>
        <v>0</v>
      </c>
      <c r="T884" s="48">
        <f t="shared" si="143"/>
        <v>0</v>
      </c>
      <c r="U884" s="8">
        <f t="shared" si="144"/>
        <v>0</v>
      </c>
      <c r="W884" s="48">
        <f t="shared" si="147"/>
        <v>0</v>
      </c>
      <c r="X884" s="8">
        <f t="shared" si="145"/>
        <v>0</v>
      </c>
    </row>
    <row r="885" spans="11:24" ht="13.2" hidden="1" x14ac:dyDescent="0.25">
      <c r="K885" s="3" t="str">
        <f t="shared" si="148"/>
        <v/>
      </c>
      <c r="L885" s="39">
        <v>856</v>
      </c>
      <c r="M885" s="3">
        <f t="shared" si="146"/>
        <v>71</v>
      </c>
      <c r="N885" s="44">
        <f t="shared" si="139"/>
        <v>0</v>
      </c>
      <c r="O885" s="8">
        <f t="shared" si="140"/>
        <v>0</v>
      </c>
      <c r="Q885" s="48">
        <f t="shared" si="141"/>
        <v>0</v>
      </c>
      <c r="R885" s="8">
        <f t="shared" si="142"/>
        <v>0</v>
      </c>
      <c r="T885" s="48">
        <f t="shared" si="143"/>
        <v>0</v>
      </c>
      <c r="U885" s="8">
        <f t="shared" si="144"/>
        <v>0</v>
      </c>
      <c r="W885" s="48">
        <f t="shared" si="147"/>
        <v>0</v>
      </c>
      <c r="X885" s="8">
        <f t="shared" si="145"/>
        <v>0</v>
      </c>
    </row>
    <row r="886" spans="11:24" ht="13.2" hidden="1" x14ac:dyDescent="0.25">
      <c r="K886" s="3" t="str">
        <f t="shared" si="148"/>
        <v/>
      </c>
      <c r="L886" s="39">
        <v>857</v>
      </c>
      <c r="M886" s="3">
        <f t="shared" si="146"/>
        <v>71</v>
      </c>
      <c r="N886" s="44">
        <f t="shared" si="139"/>
        <v>0</v>
      </c>
      <c r="O886" s="8">
        <f t="shared" si="140"/>
        <v>0</v>
      </c>
      <c r="Q886" s="48">
        <f t="shared" si="141"/>
        <v>0</v>
      </c>
      <c r="R886" s="8">
        <f t="shared" si="142"/>
        <v>0</v>
      </c>
      <c r="T886" s="48">
        <f t="shared" si="143"/>
        <v>0</v>
      </c>
      <c r="U886" s="8">
        <f t="shared" si="144"/>
        <v>0</v>
      </c>
      <c r="W886" s="48">
        <f t="shared" si="147"/>
        <v>0</v>
      </c>
      <c r="X886" s="8">
        <f t="shared" si="145"/>
        <v>0</v>
      </c>
    </row>
    <row r="887" spans="11:24" ht="13.2" hidden="1" x14ac:dyDescent="0.25">
      <c r="K887" s="3" t="str">
        <f t="shared" si="148"/>
        <v/>
      </c>
      <c r="L887" s="39">
        <v>858</v>
      </c>
      <c r="M887" s="3">
        <f t="shared" si="146"/>
        <v>71</v>
      </c>
      <c r="N887" s="44">
        <f t="shared" si="139"/>
        <v>0</v>
      </c>
      <c r="O887" s="8">
        <f t="shared" si="140"/>
        <v>0</v>
      </c>
      <c r="Q887" s="48">
        <f t="shared" si="141"/>
        <v>0</v>
      </c>
      <c r="R887" s="8">
        <f t="shared" si="142"/>
        <v>0</v>
      </c>
      <c r="T887" s="48">
        <f t="shared" si="143"/>
        <v>0</v>
      </c>
      <c r="U887" s="8">
        <f t="shared" si="144"/>
        <v>0</v>
      </c>
      <c r="W887" s="48">
        <f t="shared" si="147"/>
        <v>0</v>
      </c>
      <c r="X887" s="8">
        <f t="shared" si="145"/>
        <v>0</v>
      </c>
    </row>
    <row r="888" spans="11:24" ht="13.2" hidden="1" x14ac:dyDescent="0.25">
      <c r="K888" s="3" t="str">
        <f t="shared" si="148"/>
        <v/>
      </c>
      <c r="L888" s="39">
        <v>859</v>
      </c>
      <c r="M888" s="3">
        <f t="shared" si="146"/>
        <v>71</v>
      </c>
      <c r="N888" s="44">
        <f t="shared" si="139"/>
        <v>0</v>
      </c>
      <c r="O888" s="8">
        <f t="shared" si="140"/>
        <v>0</v>
      </c>
      <c r="Q888" s="48">
        <f t="shared" si="141"/>
        <v>0</v>
      </c>
      <c r="R888" s="8">
        <f t="shared" si="142"/>
        <v>0</v>
      </c>
      <c r="T888" s="48">
        <f t="shared" si="143"/>
        <v>0</v>
      </c>
      <c r="U888" s="8">
        <f t="shared" si="144"/>
        <v>0</v>
      </c>
      <c r="W888" s="48">
        <f t="shared" si="147"/>
        <v>0</v>
      </c>
      <c r="X888" s="8">
        <f t="shared" si="145"/>
        <v>0</v>
      </c>
    </row>
    <row r="889" spans="11:24" ht="13.2" hidden="1" x14ac:dyDescent="0.25">
      <c r="K889" s="3" t="str">
        <f t="shared" si="148"/>
        <v/>
      </c>
      <c r="L889" s="39">
        <v>860</v>
      </c>
      <c r="M889" s="3">
        <f t="shared" si="146"/>
        <v>71</v>
      </c>
      <c r="N889" s="44">
        <f t="shared" si="139"/>
        <v>0</v>
      </c>
      <c r="O889" s="8">
        <f t="shared" si="140"/>
        <v>0</v>
      </c>
      <c r="Q889" s="48">
        <f t="shared" si="141"/>
        <v>0</v>
      </c>
      <c r="R889" s="8">
        <f t="shared" si="142"/>
        <v>0</v>
      </c>
      <c r="T889" s="48">
        <f t="shared" si="143"/>
        <v>0</v>
      </c>
      <c r="U889" s="8">
        <f t="shared" si="144"/>
        <v>0</v>
      </c>
      <c r="W889" s="48">
        <f t="shared" si="147"/>
        <v>0</v>
      </c>
      <c r="X889" s="8">
        <f t="shared" si="145"/>
        <v>0</v>
      </c>
    </row>
    <row r="890" spans="11:24" ht="13.2" hidden="1" x14ac:dyDescent="0.25">
      <c r="K890" s="3" t="str">
        <f t="shared" si="148"/>
        <v/>
      </c>
      <c r="L890" s="39">
        <v>861</v>
      </c>
      <c r="M890" s="3">
        <f t="shared" si="146"/>
        <v>71</v>
      </c>
      <c r="N890" s="44">
        <f t="shared" si="139"/>
        <v>0</v>
      </c>
      <c r="O890" s="8">
        <f t="shared" si="140"/>
        <v>0</v>
      </c>
      <c r="Q890" s="48">
        <f t="shared" si="141"/>
        <v>0</v>
      </c>
      <c r="R890" s="8">
        <f t="shared" si="142"/>
        <v>0</v>
      </c>
      <c r="T890" s="48">
        <f t="shared" si="143"/>
        <v>0</v>
      </c>
      <c r="U890" s="8">
        <f t="shared" si="144"/>
        <v>0</v>
      </c>
      <c r="W890" s="48">
        <f t="shared" si="147"/>
        <v>0</v>
      </c>
      <c r="X890" s="8">
        <f t="shared" si="145"/>
        <v>0</v>
      </c>
    </row>
    <row r="891" spans="11:24" ht="13.2" hidden="1" x14ac:dyDescent="0.25">
      <c r="K891" s="3" t="str">
        <f t="shared" si="148"/>
        <v/>
      </c>
      <c r="L891" s="39">
        <v>862</v>
      </c>
      <c r="M891" s="3">
        <f t="shared" si="146"/>
        <v>71</v>
      </c>
      <c r="N891" s="44">
        <f t="shared" si="139"/>
        <v>0</v>
      </c>
      <c r="O891" s="8">
        <f t="shared" si="140"/>
        <v>0</v>
      </c>
      <c r="Q891" s="48">
        <f t="shared" si="141"/>
        <v>0</v>
      </c>
      <c r="R891" s="8">
        <f t="shared" si="142"/>
        <v>0</v>
      </c>
      <c r="T891" s="48">
        <f t="shared" si="143"/>
        <v>0</v>
      </c>
      <c r="U891" s="8">
        <f t="shared" si="144"/>
        <v>0</v>
      </c>
      <c r="W891" s="48">
        <f t="shared" si="147"/>
        <v>0</v>
      </c>
      <c r="X891" s="8">
        <f t="shared" si="145"/>
        <v>0</v>
      </c>
    </row>
    <row r="892" spans="11:24" ht="13.2" hidden="1" x14ac:dyDescent="0.25">
      <c r="K892" s="3" t="str">
        <f t="shared" si="148"/>
        <v/>
      </c>
      <c r="L892" s="39">
        <v>863</v>
      </c>
      <c r="M892" s="3">
        <f t="shared" si="146"/>
        <v>71</v>
      </c>
      <c r="N892" s="44">
        <f t="shared" si="139"/>
        <v>0</v>
      </c>
      <c r="O892" s="8">
        <f t="shared" si="140"/>
        <v>0</v>
      </c>
      <c r="Q892" s="48">
        <f t="shared" si="141"/>
        <v>0</v>
      </c>
      <c r="R892" s="8">
        <f t="shared" si="142"/>
        <v>0</v>
      </c>
      <c r="T892" s="48">
        <f t="shared" si="143"/>
        <v>0</v>
      </c>
      <c r="U892" s="8">
        <f t="shared" si="144"/>
        <v>0</v>
      </c>
      <c r="W892" s="48">
        <f t="shared" si="147"/>
        <v>0</v>
      </c>
      <c r="X892" s="8">
        <f t="shared" si="145"/>
        <v>0</v>
      </c>
    </row>
    <row r="893" spans="11:24" ht="13.2" hidden="1" x14ac:dyDescent="0.25">
      <c r="K893" s="3">
        <f t="shared" si="148"/>
        <v>72</v>
      </c>
      <c r="L893" s="39">
        <v>864</v>
      </c>
      <c r="M893" s="3">
        <f t="shared" si="146"/>
        <v>71</v>
      </c>
      <c r="N893" s="44">
        <f t="shared" si="139"/>
        <v>0</v>
      </c>
      <c r="O893" s="8">
        <f t="shared" si="140"/>
        <v>0</v>
      </c>
      <c r="Q893" s="48">
        <f t="shared" si="141"/>
        <v>0</v>
      </c>
      <c r="R893" s="8">
        <f t="shared" si="142"/>
        <v>0</v>
      </c>
      <c r="T893" s="48">
        <f t="shared" si="143"/>
        <v>0</v>
      </c>
      <c r="U893" s="8">
        <f t="shared" si="144"/>
        <v>0</v>
      </c>
      <c r="W893" s="48">
        <f t="shared" si="147"/>
        <v>0</v>
      </c>
      <c r="X893" s="8">
        <f t="shared" si="145"/>
        <v>0</v>
      </c>
    </row>
    <row r="894" spans="11:24" ht="13.2" hidden="1" x14ac:dyDescent="0.25">
      <c r="K894" s="3" t="str">
        <f t="shared" si="148"/>
        <v/>
      </c>
      <c r="L894" s="39">
        <v>865</v>
      </c>
      <c r="M894" s="3">
        <f t="shared" si="146"/>
        <v>72</v>
      </c>
      <c r="N894" s="44">
        <f t="shared" si="139"/>
        <v>0</v>
      </c>
      <c r="O894" s="8">
        <f t="shared" si="140"/>
        <v>0</v>
      </c>
      <c r="Q894" s="48">
        <f t="shared" si="141"/>
        <v>0</v>
      </c>
      <c r="R894" s="8">
        <f t="shared" si="142"/>
        <v>0</v>
      </c>
      <c r="T894" s="48">
        <f t="shared" si="143"/>
        <v>0</v>
      </c>
      <c r="U894" s="8">
        <f t="shared" si="144"/>
        <v>0</v>
      </c>
      <c r="W894" s="48">
        <f t="shared" si="147"/>
        <v>0</v>
      </c>
      <c r="X894" s="8">
        <f t="shared" si="145"/>
        <v>0</v>
      </c>
    </row>
    <row r="895" spans="11:24" ht="13.2" hidden="1" x14ac:dyDescent="0.25">
      <c r="K895" s="3" t="str">
        <f t="shared" si="148"/>
        <v/>
      </c>
      <c r="L895" s="39">
        <v>866</v>
      </c>
      <c r="M895" s="3">
        <f t="shared" si="146"/>
        <v>72</v>
      </c>
      <c r="N895" s="44">
        <f t="shared" si="139"/>
        <v>0</v>
      </c>
      <c r="O895" s="8">
        <f t="shared" si="140"/>
        <v>0</v>
      </c>
      <c r="Q895" s="48">
        <f t="shared" si="141"/>
        <v>0</v>
      </c>
      <c r="R895" s="8">
        <f t="shared" si="142"/>
        <v>0</v>
      </c>
      <c r="T895" s="48">
        <f t="shared" si="143"/>
        <v>0</v>
      </c>
      <c r="U895" s="8">
        <f t="shared" si="144"/>
        <v>0</v>
      </c>
      <c r="W895" s="48">
        <f t="shared" si="147"/>
        <v>0</v>
      </c>
      <c r="X895" s="8">
        <f t="shared" si="145"/>
        <v>0</v>
      </c>
    </row>
    <row r="896" spans="11:24" ht="13.2" hidden="1" x14ac:dyDescent="0.25">
      <c r="K896" s="3" t="str">
        <f t="shared" si="148"/>
        <v/>
      </c>
      <c r="L896" s="39">
        <v>867</v>
      </c>
      <c r="M896" s="3">
        <f t="shared" si="146"/>
        <v>72</v>
      </c>
      <c r="N896" s="44">
        <f t="shared" si="139"/>
        <v>0</v>
      </c>
      <c r="O896" s="8">
        <f t="shared" si="140"/>
        <v>0</v>
      </c>
      <c r="Q896" s="48">
        <f t="shared" si="141"/>
        <v>0</v>
      </c>
      <c r="R896" s="8">
        <f t="shared" si="142"/>
        <v>0</v>
      </c>
      <c r="T896" s="48">
        <f t="shared" si="143"/>
        <v>0</v>
      </c>
      <c r="U896" s="8">
        <f t="shared" si="144"/>
        <v>0</v>
      </c>
      <c r="W896" s="48">
        <f t="shared" si="147"/>
        <v>0</v>
      </c>
      <c r="X896" s="8">
        <f t="shared" si="145"/>
        <v>0</v>
      </c>
    </row>
    <row r="897" spans="11:24" ht="13.2" hidden="1" x14ac:dyDescent="0.25">
      <c r="K897" s="3" t="str">
        <f t="shared" si="148"/>
        <v/>
      </c>
      <c r="L897" s="39">
        <v>868</v>
      </c>
      <c r="M897" s="3">
        <f t="shared" si="146"/>
        <v>72</v>
      </c>
      <c r="N897" s="44">
        <f t="shared" si="139"/>
        <v>0</v>
      </c>
      <c r="O897" s="8">
        <f t="shared" si="140"/>
        <v>0</v>
      </c>
      <c r="Q897" s="48">
        <f t="shared" si="141"/>
        <v>0</v>
      </c>
      <c r="R897" s="8">
        <f t="shared" si="142"/>
        <v>0</v>
      </c>
      <c r="T897" s="48">
        <f t="shared" si="143"/>
        <v>0</v>
      </c>
      <c r="U897" s="8">
        <f t="shared" si="144"/>
        <v>0</v>
      </c>
      <c r="W897" s="48">
        <f t="shared" si="147"/>
        <v>0</v>
      </c>
      <c r="X897" s="8">
        <f t="shared" si="145"/>
        <v>0</v>
      </c>
    </row>
    <row r="898" spans="11:24" ht="13.2" hidden="1" x14ac:dyDescent="0.25">
      <c r="K898" s="3" t="str">
        <f t="shared" si="148"/>
        <v/>
      </c>
      <c r="L898" s="39">
        <v>869</v>
      </c>
      <c r="M898" s="3">
        <f t="shared" si="146"/>
        <v>72</v>
      </c>
      <c r="N898" s="44">
        <f t="shared" si="139"/>
        <v>0</v>
      </c>
      <c r="O898" s="8">
        <f t="shared" si="140"/>
        <v>0</v>
      </c>
      <c r="Q898" s="48">
        <f t="shared" si="141"/>
        <v>0</v>
      </c>
      <c r="R898" s="8">
        <f t="shared" si="142"/>
        <v>0</v>
      </c>
      <c r="T898" s="48">
        <f t="shared" si="143"/>
        <v>0</v>
      </c>
      <c r="U898" s="8">
        <f t="shared" si="144"/>
        <v>0</v>
      </c>
      <c r="W898" s="48">
        <f t="shared" si="147"/>
        <v>0</v>
      </c>
      <c r="X898" s="8">
        <f t="shared" si="145"/>
        <v>0</v>
      </c>
    </row>
    <row r="899" spans="11:24" ht="13.2" hidden="1" x14ac:dyDescent="0.25">
      <c r="K899" s="3" t="str">
        <f t="shared" si="148"/>
        <v/>
      </c>
      <c r="L899" s="39">
        <v>870</v>
      </c>
      <c r="M899" s="3">
        <f t="shared" si="146"/>
        <v>72</v>
      </c>
      <c r="N899" s="44">
        <f t="shared" si="139"/>
        <v>0</v>
      </c>
      <c r="O899" s="8">
        <f t="shared" si="140"/>
        <v>0</v>
      </c>
      <c r="Q899" s="48">
        <f t="shared" si="141"/>
        <v>0</v>
      </c>
      <c r="R899" s="8">
        <f t="shared" si="142"/>
        <v>0</v>
      </c>
      <c r="T899" s="48">
        <f t="shared" si="143"/>
        <v>0</v>
      </c>
      <c r="U899" s="8">
        <f t="shared" si="144"/>
        <v>0</v>
      </c>
      <c r="W899" s="48">
        <f t="shared" si="147"/>
        <v>0</v>
      </c>
      <c r="X899" s="8">
        <f t="shared" si="145"/>
        <v>0</v>
      </c>
    </row>
    <row r="900" spans="11:24" ht="13.2" hidden="1" x14ac:dyDescent="0.25">
      <c r="K900" s="3" t="str">
        <f t="shared" si="148"/>
        <v/>
      </c>
      <c r="L900" s="39">
        <v>871</v>
      </c>
      <c r="M900" s="3">
        <f t="shared" si="146"/>
        <v>72</v>
      </c>
      <c r="N900" s="44">
        <f t="shared" si="139"/>
        <v>0</v>
      </c>
      <c r="O900" s="8">
        <f t="shared" si="140"/>
        <v>0</v>
      </c>
      <c r="Q900" s="48">
        <f t="shared" si="141"/>
        <v>0</v>
      </c>
      <c r="R900" s="8">
        <f t="shared" si="142"/>
        <v>0</v>
      </c>
      <c r="T900" s="48">
        <f t="shared" si="143"/>
        <v>0</v>
      </c>
      <c r="U900" s="8">
        <f t="shared" si="144"/>
        <v>0</v>
      </c>
      <c r="W900" s="48">
        <f t="shared" si="147"/>
        <v>0</v>
      </c>
      <c r="X900" s="8">
        <f t="shared" si="145"/>
        <v>0</v>
      </c>
    </row>
    <row r="901" spans="11:24" ht="13.2" hidden="1" x14ac:dyDescent="0.25">
      <c r="K901" s="3" t="str">
        <f t="shared" si="148"/>
        <v/>
      </c>
      <c r="L901" s="39">
        <v>872</v>
      </c>
      <c r="M901" s="3">
        <f t="shared" si="146"/>
        <v>72</v>
      </c>
      <c r="N901" s="44">
        <f t="shared" si="139"/>
        <v>0</v>
      </c>
      <c r="O901" s="8">
        <f t="shared" si="140"/>
        <v>0</v>
      </c>
      <c r="Q901" s="48">
        <f t="shared" si="141"/>
        <v>0</v>
      </c>
      <c r="R901" s="8">
        <f t="shared" si="142"/>
        <v>0</v>
      </c>
      <c r="T901" s="48">
        <f t="shared" si="143"/>
        <v>0</v>
      </c>
      <c r="U901" s="8">
        <f t="shared" si="144"/>
        <v>0</v>
      </c>
      <c r="W901" s="48">
        <f t="shared" si="147"/>
        <v>0</v>
      </c>
      <c r="X901" s="8">
        <f t="shared" si="145"/>
        <v>0</v>
      </c>
    </row>
    <row r="902" spans="11:24" ht="13.2" hidden="1" x14ac:dyDescent="0.25">
      <c r="K902" s="3" t="str">
        <f t="shared" si="148"/>
        <v/>
      </c>
      <c r="L902" s="39">
        <v>873</v>
      </c>
      <c r="M902" s="3">
        <f t="shared" si="146"/>
        <v>72</v>
      </c>
      <c r="N902" s="44">
        <f t="shared" si="139"/>
        <v>0</v>
      </c>
      <c r="O902" s="8">
        <f t="shared" si="140"/>
        <v>0</v>
      </c>
      <c r="Q902" s="48">
        <f t="shared" si="141"/>
        <v>0</v>
      </c>
      <c r="R902" s="8">
        <f t="shared" si="142"/>
        <v>0</v>
      </c>
      <c r="T902" s="48">
        <f t="shared" si="143"/>
        <v>0</v>
      </c>
      <c r="U902" s="8">
        <f t="shared" si="144"/>
        <v>0</v>
      </c>
      <c r="W902" s="48">
        <f t="shared" si="147"/>
        <v>0</v>
      </c>
      <c r="X902" s="8">
        <f t="shared" si="145"/>
        <v>0</v>
      </c>
    </row>
    <row r="903" spans="11:24" ht="13.2" hidden="1" x14ac:dyDescent="0.25">
      <c r="K903" s="3" t="str">
        <f t="shared" si="148"/>
        <v/>
      </c>
      <c r="L903" s="39">
        <v>874</v>
      </c>
      <c r="M903" s="3">
        <f t="shared" si="146"/>
        <v>72</v>
      </c>
      <c r="N903" s="44">
        <f t="shared" si="139"/>
        <v>0</v>
      </c>
      <c r="O903" s="8">
        <f t="shared" si="140"/>
        <v>0</v>
      </c>
      <c r="Q903" s="48">
        <f t="shared" si="141"/>
        <v>0</v>
      </c>
      <c r="R903" s="8">
        <f t="shared" si="142"/>
        <v>0</v>
      </c>
      <c r="T903" s="48">
        <f t="shared" si="143"/>
        <v>0</v>
      </c>
      <c r="U903" s="8">
        <f t="shared" si="144"/>
        <v>0</v>
      </c>
      <c r="W903" s="48">
        <f t="shared" si="147"/>
        <v>0</v>
      </c>
      <c r="X903" s="8">
        <f t="shared" si="145"/>
        <v>0</v>
      </c>
    </row>
    <row r="904" spans="11:24" ht="13.2" hidden="1" x14ac:dyDescent="0.25">
      <c r="K904" s="3" t="str">
        <f t="shared" si="148"/>
        <v/>
      </c>
      <c r="L904" s="39">
        <v>875</v>
      </c>
      <c r="M904" s="3">
        <f t="shared" si="146"/>
        <v>72</v>
      </c>
      <c r="N904" s="44">
        <f t="shared" si="139"/>
        <v>0</v>
      </c>
      <c r="O904" s="8">
        <f t="shared" si="140"/>
        <v>0</v>
      </c>
      <c r="Q904" s="48">
        <f t="shared" si="141"/>
        <v>0</v>
      </c>
      <c r="R904" s="8">
        <f t="shared" si="142"/>
        <v>0</v>
      </c>
      <c r="T904" s="48">
        <f t="shared" si="143"/>
        <v>0</v>
      </c>
      <c r="U904" s="8">
        <f t="shared" si="144"/>
        <v>0</v>
      </c>
      <c r="W904" s="48">
        <f t="shared" si="147"/>
        <v>0</v>
      </c>
      <c r="X904" s="8">
        <f t="shared" si="145"/>
        <v>0</v>
      </c>
    </row>
    <row r="905" spans="11:24" ht="13.2" hidden="1" x14ac:dyDescent="0.25">
      <c r="K905" s="3">
        <f t="shared" si="148"/>
        <v>73</v>
      </c>
      <c r="L905" s="39">
        <v>876</v>
      </c>
      <c r="M905" s="3">
        <f t="shared" si="146"/>
        <v>72</v>
      </c>
      <c r="N905" s="44">
        <f t="shared" si="139"/>
        <v>0</v>
      </c>
      <c r="O905" s="8">
        <f t="shared" si="140"/>
        <v>0</v>
      </c>
      <c r="Q905" s="48">
        <f t="shared" si="141"/>
        <v>0</v>
      </c>
      <c r="R905" s="8">
        <f t="shared" si="142"/>
        <v>0</v>
      </c>
      <c r="T905" s="48">
        <f t="shared" si="143"/>
        <v>0</v>
      </c>
      <c r="U905" s="8">
        <f t="shared" si="144"/>
        <v>0</v>
      </c>
      <c r="W905" s="48">
        <f t="shared" si="147"/>
        <v>0</v>
      </c>
      <c r="X905" s="8">
        <f t="shared" si="145"/>
        <v>0</v>
      </c>
    </row>
    <row r="906" spans="11:24" ht="13.2" hidden="1" x14ac:dyDescent="0.25">
      <c r="K906" s="3" t="str">
        <f t="shared" si="148"/>
        <v/>
      </c>
      <c r="L906" s="39">
        <v>877</v>
      </c>
      <c r="M906" s="3">
        <f t="shared" si="146"/>
        <v>73</v>
      </c>
      <c r="N906" s="44">
        <f t="shared" si="139"/>
        <v>0</v>
      </c>
      <c r="O906" s="8">
        <f t="shared" si="140"/>
        <v>0</v>
      </c>
      <c r="Q906" s="48">
        <f t="shared" si="141"/>
        <v>0</v>
      </c>
      <c r="R906" s="8">
        <f t="shared" si="142"/>
        <v>0</v>
      </c>
      <c r="T906" s="48">
        <f t="shared" si="143"/>
        <v>0</v>
      </c>
      <c r="U906" s="8">
        <f t="shared" si="144"/>
        <v>0</v>
      </c>
      <c r="W906" s="48">
        <f t="shared" si="147"/>
        <v>0</v>
      </c>
      <c r="X906" s="8">
        <f t="shared" si="145"/>
        <v>0</v>
      </c>
    </row>
    <row r="907" spans="11:24" ht="13.2" hidden="1" x14ac:dyDescent="0.25">
      <c r="K907" s="3" t="str">
        <f t="shared" si="148"/>
        <v/>
      </c>
      <c r="L907" s="39">
        <v>878</v>
      </c>
      <c r="M907" s="3">
        <f t="shared" si="146"/>
        <v>73</v>
      </c>
      <c r="N907" s="44">
        <f t="shared" si="139"/>
        <v>0</v>
      </c>
      <c r="O907" s="8">
        <f t="shared" si="140"/>
        <v>0</v>
      </c>
      <c r="Q907" s="48">
        <f t="shared" si="141"/>
        <v>0</v>
      </c>
      <c r="R907" s="8">
        <f t="shared" si="142"/>
        <v>0</v>
      </c>
      <c r="T907" s="48">
        <f t="shared" si="143"/>
        <v>0</v>
      </c>
      <c r="U907" s="8">
        <f t="shared" si="144"/>
        <v>0</v>
      </c>
      <c r="W907" s="48">
        <f t="shared" si="147"/>
        <v>0</v>
      </c>
      <c r="X907" s="8">
        <f t="shared" si="145"/>
        <v>0</v>
      </c>
    </row>
    <row r="908" spans="11:24" ht="13.2" hidden="1" x14ac:dyDescent="0.25">
      <c r="K908" s="3" t="str">
        <f t="shared" si="148"/>
        <v/>
      </c>
      <c r="L908" s="39">
        <v>879</v>
      </c>
      <c r="M908" s="3">
        <f t="shared" si="146"/>
        <v>73</v>
      </c>
      <c r="N908" s="44">
        <f t="shared" si="139"/>
        <v>0</v>
      </c>
      <c r="O908" s="8">
        <f t="shared" si="140"/>
        <v>0</v>
      </c>
      <c r="Q908" s="48">
        <f t="shared" si="141"/>
        <v>0</v>
      </c>
      <c r="R908" s="8">
        <f t="shared" si="142"/>
        <v>0</v>
      </c>
      <c r="T908" s="48">
        <f t="shared" si="143"/>
        <v>0</v>
      </c>
      <c r="U908" s="8">
        <f t="shared" si="144"/>
        <v>0</v>
      </c>
      <c r="W908" s="48">
        <f t="shared" si="147"/>
        <v>0</v>
      </c>
      <c r="X908" s="8">
        <f t="shared" si="145"/>
        <v>0</v>
      </c>
    </row>
    <row r="909" spans="11:24" ht="13.2" hidden="1" x14ac:dyDescent="0.25">
      <c r="K909" s="3" t="str">
        <f t="shared" si="148"/>
        <v/>
      </c>
      <c r="L909" s="39">
        <v>880</v>
      </c>
      <c r="M909" s="3">
        <f t="shared" si="146"/>
        <v>73</v>
      </c>
      <c r="N909" s="44">
        <f t="shared" si="139"/>
        <v>0</v>
      </c>
      <c r="O909" s="8">
        <f t="shared" si="140"/>
        <v>0</v>
      </c>
      <c r="Q909" s="48">
        <f t="shared" si="141"/>
        <v>0</v>
      </c>
      <c r="R909" s="8">
        <f t="shared" si="142"/>
        <v>0</v>
      </c>
      <c r="T909" s="48">
        <f t="shared" si="143"/>
        <v>0</v>
      </c>
      <c r="U909" s="8">
        <f t="shared" si="144"/>
        <v>0</v>
      </c>
      <c r="W909" s="48">
        <f t="shared" si="147"/>
        <v>0</v>
      </c>
      <c r="X909" s="8">
        <f t="shared" si="145"/>
        <v>0</v>
      </c>
    </row>
    <row r="910" spans="11:24" ht="13.2" hidden="1" x14ac:dyDescent="0.25">
      <c r="K910" s="3" t="str">
        <f t="shared" si="148"/>
        <v/>
      </c>
      <c r="L910" s="39">
        <v>881</v>
      </c>
      <c r="M910" s="3">
        <f t="shared" si="146"/>
        <v>73</v>
      </c>
      <c r="N910" s="44">
        <f t="shared" si="139"/>
        <v>0</v>
      </c>
      <c r="O910" s="8">
        <f t="shared" si="140"/>
        <v>0</v>
      </c>
      <c r="Q910" s="48">
        <f t="shared" si="141"/>
        <v>0</v>
      </c>
      <c r="R910" s="8">
        <f t="shared" si="142"/>
        <v>0</v>
      </c>
      <c r="T910" s="48">
        <f t="shared" si="143"/>
        <v>0</v>
      </c>
      <c r="U910" s="8">
        <f t="shared" si="144"/>
        <v>0</v>
      </c>
      <c r="W910" s="48">
        <f t="shared" si="147"/>
        <v>0</v>
      </c>
      <c r="X910" s="8">
        <f t="shared" si="145"/>
        <v>0</v>
      </c>
    </row>
    <row r="911" spans="11:24" ht="13.2" hidden="1" x14ac:dyDescent="0.25">
      <c r="K911" s="3" t="str">
        <f t="shared" si="148"/>
        <v/>
      </c>
      <c r="L911" s="39">
        <v>882</v>
      </c>
      <c r="M911" s="3">
        <f t="shared" si="146"/>
        <v>73</v>
      </c>
      <c r="N911" s="44">
        <f t="shared" si="139"/>
        <v>0</v>
      </c>
      <c r="O911" s="8">
        <f t="shared" si="140"/>
        <v>0</v>
      </c>
      <c r="Q911" s="48">
        <f t="shared" si="141"/>
        <v>0</v>
      </c>
      <c r="R911" s="8">
        <f t="shared" si="142"/>
        <v>0</v>
      </c>
      <c r="T911" s="48">
        <f t="shared" si="143"/>
        <v>0</v>
      </c>
      <c r="U911" s="8">
        <f t="shared" si="144"/>
        <v>0</v>
      </c>
      <c r="W911" s="48">
        <f t="shared" si="147"/>
        <v>0</v>
      </c>
      <c r="X911" s="8">
        <f t="shared" si="145"/>
        <v>0</v>
      </c>
    </row>
    <row r="912" spans="11:24" ht="13.2" hidden="1" x14ac:dyDescent="0.25">
      <c r="K912" s="3" t="str">
        <f t="shared" si="148"/>
        <v/>
      </c>
      <c r="L912" s="39">
        <v>883</v>
      </c>
      <c r="M912" s="3">
        <f t="shared" si="146"/>
        <v>73</v>
      </c>
      <c r="N912" s="44">
        <f t="shared" si="139"/>
        <v>0</v>
      </c>
      <c r="O912" s="8">
        <f t="shared" si="140"/>
        <v>0</v>
      </c>
      <c r="Q912" s="48">
        <f t="shared" si="141"/>
        <v>0</v>
      </c>
      <c r="R912" s="8">
        <f t="shared" si="142"/>
        <v>0</v>
      </c>
      <c r="T912" s="48">
        <f t="shared" si="143"/>
        <v>0</v>
      </c>
      <c r="U912" s="8">
        <f t="shared" si="144"/>
        <v>0</v>
      </c>
      <c r="W912" s="48">
        <f t="shared" si="147"/>
        <v>0</v>
      </c>
      <c r="X912" s="8">
        <f t="shared" si="145"/>
        <v>0</v>
      </c>
    </row>
    <row r="913" spans="11:24" ht="13.2" hidden="1" x14ac:dyDescent="0.25">
      <c r="K913" s="3" t="str">
        <f t="shared" si="148"/>
        <v/>
      </c>
      <c r="L913" s="39">
        <v>884</v>
      </c>
      <c r="M913" s="3">
        <f t="shared" si="146"/>
        <v>73</v>
      </c>
      <c r="N913" s="44">
        <f t="shared" si="139"/>
        <v>0</v>
      </c>
      <c r="O913" s="8">
        <f t="shared" si="140"/>
        <v>0</v>
      </c>
      <c r="Q913" s="48">
        <f t="shared" si="141"/>
        <v>0</v>
      </c>
      <c r="R913" s="8">
        <f t="shared" si="142"/>
        <v>0</v>
      </c>
      <c r="T913" s="48">
        <f t="shared" si="143"/>
        <v>0</v>
      </c>
      <c r="U913" s="8">
        <f t="shared" si="144"/>
        <v>0</v>
      </c>
      <c r="W913" s="48">
        <f t="shared" si="147"/>
        <v>0</v>
      </c>
      <c r="X913" s="8">
        <f t="shared" si="145"/>
        <v>0</v>
      </c>
    </row>
    <row r="914" spans="11:24" ht="13.2" hidden="1" x14ac:dyDescent="0.25">
      <c r="K914" s="3" t="str">
        <f t="shared" si="148"/>
        <v/>
      </c>
      <c r="L914" s="39">
        <v>885</v>
      </c>
      <c r="M914" s="3">
        <f t="shared" si="146"/>
        <v>73</v>
      </c>
      <c r="N914" s="44">
        <f t="shared" si="139"/>
        <v>0</v>
      </c>
      <c r="O914" s="8">
        <f t="shared" si="140"/>
        <v>0</v>
      </c>
      <c r="Q914" s="48">
        <f t="shared" si="141"/>
        <v>0</v>
      </c>
      <c r="R914" s="8">
        <f t="shared" si="142"/>
        <v>0</v>
      </c>
      <c r="T914" s="48">
        <f t="shared" si="143"/>
        <v>0</v>
      </c>
      <c r="U914" s="8">
        <f t="shared" si="144"/>
        <v>0</v>
      </c>
      <c r="W914" s="48">
        <f t="shared" si="147"/>
        <v>0</v>
      </c>
      <c r="X914" s="8">
        <f t="shared" si="145"/>
        <v>0</v>
      </c>
    </row>
    <row r="915" spans="11:24" ht="13.2" hidden="1" x14ac:dyDescent="0.25">
      <c r="K915" s="3" t="str">
        <f t="shared" si="148"/>
        <v/>
      </c>
      <c r="L915" s="39">
        <v>886</v>
      </c>
      <c r="M915" s="3">
        <f t="shared" si="146"/>
        <v>73</v>
      </c>
      <c r="N915" s="44">
        <f t="shared" si="139"/>
        <v>0</v>
      </c>
      <c r="O915" s="8">
        <f t="shared" si="140"/>
        <v>0</v>
      </c>
      <c r="Q915" s="48">
        <f t="shared" si="141"/>
        <v>0</v>
      </c>
      <c r="R915" s="8">
        <f t="shared" si="142"/>
        <v>0</v>
      </c>
      <c r="T915" s="48">
        <f t="shared" si="143"/>
        <v>0</v>
      </c>
      <c r="U915" s="8">
        <f t="shared" si="144"/>
        <v>0</v>
      </c>
      <c r="W915" s="48">
        <f t="shared" si="147"/>
        <v>0</v>
      </c>
      <c r="X915" s="8">
        <f t="shared" si="145"/>
        <v>0</v>
      </c>
    </row>
    <row r="916" spans="11:24" ht="13.2" hidden="1" x14ac:dyDescent="0.25">
      <c r="K916" s="3" t="str">
        <f t="shared" si="148"/>
        <v/>
      </c>
      <c r="L916" s="39">
        <v>887</v>
      </c>
      <c r="M916" s="3">
        <f t="shared" si="146"/>
        <v>73</v>
      </c>
      <c r="N916" s="44">
        <f t="shared" si="139"/>
        <v>0</v>
      </c>
      <c r="O916" s="8">
        <f t="shared" si="140"/>
        <v>0</v>
      </c>
      <c r="Q916" s="48">
        <f t="shared" si="141"/>
        <v>0</v>
      </c>
      <c r="R916" s="8">
        <f t="shared" si="142"/>
        <v>0</v>
      </c>
      <c r="T916" s="48">
        <f t="shared" si="143"/>
        <v>0</v>
      </c>
      <c r="U916" s="8">
        <f t="shared" si="144"/>
        <v>0</v>
      </c>
      <c r="W916" s="48">
        <f t="shared" si="147"/>
        <v>0</v>
      </c>
      <c r="X916" s="8">
        <f t="shared" si="145"/>
        <v>0</v>
      </c>
    </row>
    <row r="917" spans="11:24" ht="13.2" hidden="1" x14ac:dyDescent="0.25">
      <c r="K917" s="3">
        <f t="shared" si="148"/>
        <v>74</v>
      </c>
      <c r="L917" s="39">
        <v>888</v>
      </c>
      <c r="M917" s="3">
        <f t="shared" si="146"/>
        <v>73</v>
      </c>
      <c r="N917" s="44">
        <f t="shared" si="139"/>
        <v>0</v>
      </c>
      <c r="O917" s="8">
        <f t="shared" si="140"/>
        <v>0</v>
      </c>
      <c r="Q917" s="48">
        <f t="shared" si="141"/>
        <v>0</v>
      </c>
      <c r="R917" s="8">
        <f t="shared" si="142"/>
        <v>0</v>
      </c>
      <c r="T917" s="48">
        <f t="shared" si="143"/>
        <v>0</v>
      </c>
      <c r="U917" s="8">
        <f t="shared" si="144"/>
        <v>0</v>
      </c>
      <c r="W917" s="48">
        <f t="shared" si="147"/>
        <v>0</v>
      </c>
      <c r="X917" s="8">
        <f t="shared" si="145"/>
        <v>0</v>
      </c>
    </row>
    <row r="918" spans="11:24" ht="13.2" hidden="1" x14ac:dyDescent="0.25">
      <c r="K918" s="3" t="str">
        <f t="shared" si="148"/>
        <v/>
      </c>
      <c r="L918" s="39">
        <v>889</v>
      </c>
      <c r="M918" s="3">
        <f t="shared" si="146"/>
        <v>74</v>
      </c>
      <c r="N918" s="44">
        <f t="shared" si="139"/>
        <v>0</v>
      </c>
      <c r="O918" s="8">
        <f t="shared" si="140"/>
        <v>0</v>
      </c>
      <c r="Q918" s="48">
        <f t="shared" si="141"/>
        <v>0</v>
      </c>
      <c r="R918" s="8">
        <f t="shared" si="142"/>
        <v>0</v>
      </c>
      <c r="T918" s="48">
        <f t="shared" si="143"/>
        <v>0</v>
      </c>
      <c r="U918" s="8">
        <f t="shared" si="144"/>
        <v>0</v>
      </c>
      <c r="W918" s="48">
        <f t="shared" si="147"/>
        <v>0</v>
      </c>
      <c r="X918" s="8">
        <f t="shared" si="145"/>
        <v>0</v>
      </c>
    </row>
    <row r="919" spans="11:24" ht="13.2" hidden="1" x14ac:dyDescent="0.25">
      <c r="K919" s="3" t="str">
        <f t="shared" si="148"/>
        <v/>
      </c>
      <c r="L919" s="39">
        <v>890</v>
      </c>
      <c r="M919" s="3">
        <f t="shared" si="146"/>
        <v>74</v>
      </c>
      <c r="N919" s="44">
        <f t="shared" si="139"/>
        <v>0</v>
      </c>
      <c r="O919" s="8">
        <f t="shared" si="140"/>
        <v>0</v>
      </c>
      <c r="Q919" s="48">
        <f t="shared" si="141"/>
        <v>0</v>
      </c>
      <c r="R919" s="8">
        <f t="shared" si="142"/>
        <v>0</v>
      </c>
      <c r="T919" s="48">
        <f t="shared" si="143"/>
        <v>0</v>
      </c>
      <c r="U919" s="8">
        <f t="shared" si="144"/>
        <v>0</v>
      </c>
      <c r="W919" s="48">
        <f t="shared" si="147"/>
        <v>0</v>
      </c>
      <c r="X919" s="8">
        <f t="shared" si="145"/>
        <v>0</v>
      </c>
    </row>
    <row r="920" spans="11:24" ht="13.2" hidden="1" x14ac:dyDescent="0.25">
      <c r="K920" s="3" t="str">
        <f t="shared" si="148"/>
        <v/>
      </c>
      <c r="L920" s="39">
        <v>891</v>
      </c>
      <c r="M920" s="3">
        <f t="shared" si="146"/>
        <v>74</v>
      </c>
      <c r="N920" s="44">
        <f t="shared" si="139"/>
        <v>0</v>
      </c>
      <c r="O920" s="8">
        <f t="shared" si="140"/>
        <v>0</v>
      </c>
      <c r="Q920" s="48">
        <f t="shared" si="141"/>
        <v>0</v>
      </c>
      <c r="R920" s="8">
        <f t="shared" si="142"/>
        <v>0</v>
      </c>
      <c r="T920" s="48">
        <f t="shared" si="143"/>
        <v>0</v>
      </c>
      <c r="U920" s="8">
        <f t="shared" si="144"/>
        <v>0</v>
      </c>
      <c r="W920" s="48">
        <f t="shared" si="147"/>
        <v>0</v>
      </c>
      <c r="X920" s="8">
        <f t="shared" si="145"/>
        <v>0</v>
      </c>
    </row>
    <row r="921" spans="11:24" ht="13.2" hidden="1" x14ac:dyDescent="0.25">
      <c r="K921" s="3" t="str">
        <f t="shared" si="148"/>
        <v/>
      </c>
      <c r="L921" s="39">
        <v>892</v>
      </c>
      <c r="M921" s="3">
        <f t="shared" si="146"/>
        <v>74</v>
      </c>
      <c r="N921" s="44">
        <f t="shared" si="139"/>
        <v>0</v>
      </c>
      <c r="O921" s="8">
        <f t="shared" si="140"/>
        <v>0</v>
      </c>
      <c r="Q921" s="48">
        <f t="shared" si="141"/>
        <v>0</v>
      </c>
      <c r="R921" s="8">
        <f t="shared" si="142"/>
        <v>0</v>
      </c>
      <c r="T921" s="48">
        <f t="shared" si="143"/>
        <v>0</v>
      </c>
      <c r="U921" s="8">
        <f t="shared" si="144"/>
        <v>0</v>
      </c>
      <c r="W921" s="48">
        <f t="shared" si="147"/>
        <v>0</v>
      </c>
      <c r="X921" s="8">
        <f t="shared" si="145"/>
        <v>0</v>
      </c>
    </row>
    <row r="922" spans="11:24" ht="13.2" hidden="1" x14ac:dyDescent="0.25">
      <c r="K922" s="3" t="str">
        <f t="shared" si="148"/>
        <v/>
      </c>
      <c r="L922" s="39">
        <v>893</v>
      </c>
      <c r="M922" s="3">
        <f t="shared" si="146"/>
        <v>74</v>
      </c>
      <c r="N922" s="44">
        <f t="shared" si="139"/>
        <v>0</v>
      </c>
      <c r="O922" s="8">
        <f t="shared" si="140"/>
        <v>0</v>
      </c>
      <c r="Q922" s="48">
        <f t="shared" si="141"/>
        <v>0</v>
      </c>
      <c r="R922" s="8">
        <f t="shared" si="142"/>
        <v>0</v>
      </c>
      <c r="T922" s="48">
        <f t="shared" si="143"/>
        <v>0</v>
      </c>
      <c r="U922" s="8">
        <f t="shared" si="144"/>
        <v>0</v>
      </c>
      <c r="W922" s="48">
        <f t="shared" si="147"/>
        <v>0</v>
      </c>
      <c r="X922" s="8">
        <f t="shared" si="145"/>
        <v>0</v>
      </c>
    </row>
    <row r="923" spans="11:24" ht="13.2" hidden="1" x14ac:dyDescent="0.25">
      <c r="K923" s="3" t="str">
        <f t="shared" si="148"/>
        <v/>
      </c>
      <c r="L923" s="39">
        <v>894</v>
      </c>
      <c r="M923" s="3">
        <f t="shared" si="146"/>
        <v>74</v>
      </c>
      <c r="N923" s="44">
        <f t="shared" si="139"/>
        <v>0</v>
      </c>
      <c r="O923" s="8">
        <f t="shared" si="140"/>
        <v>0</v>
      </c>
      <c r="Q923" s="48">
        <f t="shared" si="141"/>
        <v>0</v>
      </c>
      <c r="R923" s="8">
        <f t="shared" si="142"/>
        <v>0</v>
      </c>
      <c r="T923" s="48">
        <f t="shared" si="143"/>
        <v>0</v>
      </c>
      <c r="U923" s="8">
        <f t="shared" si="144"/>
        <v>0</v>
      </c>
      <c r="W923" s="48">
        <f t="shared" si="147"/>
        <v>0</v>
      </c>
      <c r="X923" s="8">
        <f t="shared" si="145"/>
        <v>0</v>
      </c>
    </row>
    <row r="924" spans="11:24" ht="13.2" hidden="1" x14ac:dyDescent="0.25">
      <c r="K924" s="3" t="str">
        <f t="shared" si="148"/>
        <v/>
      </c>
      <c r="L924" s="39">
        <v>895</v>
      </c>
      <c r="M924" s="3">
        <f t="shared" si="146"/>
        <v>74</v>
      </c>
      <c r="N924" s="44">
        <f t="shared" si="139"/>
        <v>0</v>
      </c>
      <c r="O924" s="8">
        <f t="shared" si="140"/>
        <v>0</v>
      </c>
      <c r="Q924" s="48">
        <f t="shared" si="141"/>
        <v>0</v>
      </c>
      <c r="R924" s="8">
        <f t="shared" si="142"/>
        <v>0</v>
      </c>
      <c r="T924" s="48">
        <f t="shared" si="143"/>
        <v>0</v>
      </c>
      <c r="U924" s="8">
        <f t="shared" si="144"/>
        <v>0</v>
      </c>
      <c r="W924" s="48">
        <f t="shared" si="147"/>
        <v>0</v>
      </c>
      <c r="X924" s="8">
        <f t="shared" si="145"/>
        <v>0</v>
      </c>
    </row>
    <row r="925" spans="11:24" ht="13.2" hidden="1" x14ac:dyDescent="0.25">
      <c r="K925" s="3" t="str">
        <f t="shared" si="148"/>
        <v/>
      </c>
      <c r="L925" s="39">
        <v>896</v>
      </c>
      <c r="M925" s="3">
        <f t="shared" si="146"/>
        <v>74</v>
      </c>
      <c r="N925" s="44">
        <f t="shared" si="139"/>
        <v>0</v>
      </c>
      <c r="O925" s="8">
        <f t="shared" si="140"/>
        <v>0</v>
      </c>
      <c r="Q925" s="48">
        <f t="shared" si="141"/>
        <v>0</v>
      </c>
      <c r="R925" s="8">
        <f t="shared" si="142"/>
        <v>0</v>
      </c>
      <c r="T925" s="48">
        <f t="shared" si="143"/>
        <v>0</v>
      </c>
      <c r="U925" s="8">
        <f t="shared" si="144"/>
        <v>0</v>
      </c>
      <c r="W925" s="48">
        <f t="shared" si="147"/>
        <v>0</v>
      </c>
      <c r="X925" s="8">
        <f t="shared" si="145"/>
        <v>0</v>
      </c>
    </row>
    <row r="926" spans="11:24" ht="13.2" hidden="1" x14ac:dyDescent="0.25">
      <c r="K926" s="3" t="str">
        <f t="shared" si="148"/>
        <v/>
      </c>
      <c r="L926" s="39">
        <v>897</v>
      </c>
      <c r="M926" s="3">
        <f t="shared" si="146"/>
        <v>74</v>
      </c>
      <c r="N926" s="44">
        <f t="shared" si="139"/>
        <v>0</v>
      </c>
      <c r="O926" s="8">
        <f t="shared" si="140"/>
        <v>0</v>
      </c>
      <c r="Q926" s="48">
        <f t="shared" si="141"/>
        <v>0</v>
      </c>
      <c r="R926" s="8">
        <f t="shared" si="142"/>
        <v>0</v>
      </c>
      <c r="T926" s="48">
        <f t="shared" si="143"/>
        <v>0</v>
      </c>
      <c r="U926" s="8">
        <f t="shared" si="144"/>
        <v>0</v>
      </c>
      <c r="W926" s="48">
        <f t="shared" si="147"/>
        <v>0</v>
      </c>
      <c r="X926" s="8">
        <f t="shared" si="145"/>
        <v>0</v>
      </c>
    </row>
    <row r="927" spans="11:24" ht="13.2" hidden="1" x14ac:dyDescent="0.25">
      <c r="K927" s="3" t="str">
        <f t="shared" si="148"/>
        <v/>
      </c>
      <c r="L927" s="39">
        <v>898</v>
      </c>
      <c r="M927" s="3">
        <f t="shared" si="146"/>
        <v>74</v>
      </c>
      <c r="N927" s="44">
        <f t="shared" si="139"/>
        <v>0</v>
      </c>
      <c r="O927" s="8">
        <f t="shared" si="140"/>
        <v>0</v>
      </c>
      <c r="Q927" s="48">
        <f t="shared" si="141"/>
        <v>0</v>
      </c>
      <c r="R927" s="8">
        <f t="shared" si="142"/>
        <v>0</v>
      </c>
      <c r="T927" s="48">
        <f t="shared" si="143"/>
        <v>0</v>
      </c>
      <c r="U927" s="8">
        <f t="shared" si="144"/>
        <v>0</v>
      </c>
      <c r="W927" s="48">
        <f t="shared" si="147"/>
        <v>0</v>
      </c>
      <c r="X927" s="8">
        <f t="shared" si="145"/>
        <v>0</v>
      </c>
    </row>
    <row r="928" spans="11:24" ht="13.2" hidden="1" x14ac:dyDescent="0.25">
      <c r="K928" s="3" t="str">
        <f t="shared" si="148"/>
        <v/>
      </c>
      <c r="L928" s="39">
        <v>899</v>
      </c>
      <c r="M928" s="3">
        <f t="shared" si="146"/>
        <v>74</v>
      </c>
      <c r="N928" s="44">
        <f t="shared" si="139"/>
        <v>0</v>
      </c>
      <c r="O928" s="8">
        <f t="shared" si="140"/>
        <v>0</v>
      </c>
      <c r="Q928" s="48">
        <f t="shared" si="141"/>
        <v>0</v>
      </c>
      <c r="R928" s="8">
        <f t="shared" si="142"/>
        <v>0</v>
      </c>
      <c r="T928" s="48">
        <f t="shared" si="143"/>
        <v>0</v>
      </c>
      <c r="U928" s="8">
        <f t="shared" si="144"/>
        <v>0</v>
      </c>
      <c r="W928" s="48">
        <f t="shared" si="147"/>
        <v>0</v>
      </c>
      <c r="X928" s="8">
        <f t="shared" si="145"/>
        <v>0</v>
      </c>
    </row>
    <row r="929" spans="11:24" ht="13.2" hidden="1" x14ac:dyDescent="0.25">
      <c r="K929" s="3">
        <f t="shared" si="148"/>
        <v>75</v>
      </c>
      <c r="L929" s="39">
        <v>900</v>
      </c>
      <c r="M929" s="3">
        <f t="shared" si="146"/>
        <v>74</v>
      </c>
      <c r="N929" s="44">
        <f t="shared" ref="N929" si="149">IF(L929&lt;=InvMonths,SU_Amt*(1+$C$19)^M929,0)</f>
        <v>0</v>
      </c>
      <c r="O929" s="8">
        <f t="shared" ref="O929" si="150">FV($S$1,(InvMonths-L929+1),0,-N929,1)</f>
        <v>0</v>
      </c>
      <c r="Q929" s="48">
        <f t="shared" si="141"/>
        <v>0</v>
      </c>
      <c r="R929" s="8">
        <f t="shared" ref="R929" si="151">FV($S$1,(InvMonths-L929+1),0,-Q929,1)</f>
        <v>0</v>
      </c>
      <c r="T929" s="48">
        <f t="shared" si="143"/>
        <v>0</v>
      </c>
      <c r="U929" s="8">
        <f t="shared" ref="U929" si="152">FV($S$1,(InvMonths-L929+1),0,-T929,1)</f>
        <v>0</v>
      </c>
      <c r="W929" s="48">
        <f t="shared" si="147"/>
        <v>0</v>
      </c>
      <c r="X929" s="8">
        <f t="shared" ref="X929" si="153">FV($S$1,($X$26-L929+1),0,-W929,1)</f>
        <v>0</v>
      </c>
    </row>
    <row r="930" spans="11:24" ht="13.2" hidden="1" x14ac:dyDescent="0.25">
      <c r="L930" s="39"/>
    </row>
    <row r="931" spans="11:24" ht="13.2" hidden="1" x14ac:dyDescent="0.25">
      <c r="L931" s="39"/>
    </row>
    <row r="932" spans="11:24" ht="13.2" hidden="1" x14ac:dyDescent="0.25">
      <c r="L932" s="39"/>
    </row>
    <row r="933" spans="11:24" ht="13.2" hidden="1" x14ac:dyDescent="0.25">
      <c r="L933" s="39"/>
    </row>
    <row r="934" spans="11:24" ht="13.2" hidden="1" x14ac:dyDescent="0.25">
      <c r="L934" s="39"/>
    </row>
    <row r="935" spans="11:24" ht="13.2" hidden="1" x14ac:dyDescent="0.25">
      <c r="L935" s="39"/>
    </row>
    <row r="936" spans="11:24" ht="13.2" hidden="1" x14ac:dyDescent="0.25">
      <c r="L936" s="39"/>
    </row>
    <row r="937" spans="11:24" ht="13.2" hidden="1" x14ac:dyDescent="0.25">
      <c r="L937" s="39"/>
    </row>
    <row r="938" spans="11:24" ht="13.2" hidden="1" x14ac:dyDescent="0.25">
      <c r="L938" s="39"/>
    </row>
    <row r="939" spans="11:24" ht="13.2" hidden="1" x14ac:dyDescent="0.25">
      <c r="L939" s="39"/>
    </row>
    <row r="940" spans="11:24" ht="13.2" hidden="1" x14ac:dyDescent="0.25">
      <c r="L940" s="39"/>
    </row>
    <row r="941" spans="11:24" ht="13.2" hidden="1" x14ac:dyDescent="0.25">
      <c r="L941" s="39"/>
    </row>
    <row r="942" spans="11:24" ht="13.2" hidden="1" x14ac:dyDescent="0.25">
      <c r="L942" s="39"/>
    </row>
    <row r="943" spans="11:24" ht="13.2" hidden="1" x14ac:dyDescent="0.25">
      <c r="L943" s="39"/>
    </row>
    <row r="944" spans="11:24" ht="13.2" hidden="1" x14ac:dyDescent="0.25">
      <c r="L944" s="39"/>
    </row>
    <row r="945" spans="12:12" ht="13.2" hidden="1" x14ac:dyDescent="0.25">
      <c r="L945" s="39"/>
    </row>
    <row r="946" spans="12:12" ht="13.2" hidden="1" x14ac:dyDescent="0.25">
      <c r="L946" s="39"/>
    </row>
    <row r="947" spans="12:12" ht="13.2" hidden="1" x14ac:dyDescent="0.25">
      <c r="L947" s="39"/>
    </row>
    <row r="948" spans="12:12" ht="13.2" hidden="1" x14ac:dyDescent="0.25">
      <c r="L948" s="39"/>
    </row>
    <row r="949" spans="12:12" ht="13.2" hidden="1" x14ac:dyDescent="0.25">
      <c r="L949" s="39"/>
    </row>
    <row r="950" spans="12:12" ht="13.2" hidden="1" x14ac:dyDescent="0.25">
      <c r="L950" s="39"/>
    </row>
    <row r="951" spans="12:12" ht="13.2" hidden="1" x14ac:dyDescent="0.25">
      <c r="L951" s="39"/>
    </row>
    <row r="952" spans="12:12" ht="13.2" hidden="1" x14ac:dyDescent="0.25">
      <c r="L952" s="39"/>
    </row>
    <row r="953" spans="12:12" ht="13.2" hidden="1" x14ac:dyDescent="0.25">
      <c r="L953" s="39"/>
    </row>
    <row r="954" spans="12:12" ht="13.2" hidden="1" x14ac:dyDescent="0.25">
      <c r="L954" s="39"/>
    </row>
    <row r="955" spans="12:12" ht="13.2" hidden="1" x14ac:dyDescent="0.25">
      <c r="L955" s="39"/>
    </row>
    <row r="956" spans="12:12" ht="13.2" hidden="1" x14ac:dyDescent="0.25">
      <c r="L956" s="39"/>
    </row>
    <row r="957" spans="12:12" ht="13.2" hidden="1" x14ac:dyDescent="0.25">
      <c r="L957" s="39"/>
    </row>
    <row r="958" spans="12:12" ht="13.2" hidden="1" x14ac:dyDescent="0.25">
      <c r="L958" s="39"/>
    </row>
    <row r="959" spans="12:12" ht="13.2" hidden="1" x14ac:dyDescent="0.25">
      <c r="L959" s="39"/>
    </row>
    <row r="960" spans="12:12" ht="13.2" hidden="1" x14ac:dyDescent="0.25">
      <c r="L960" s="39"/>
    </row>
    <row r="961" spans="12:12" ht="13.2" hidden="1" x14ac:dyDescent="0.25">
      <c r="L961" s="39"/>
    </row>
    <row r="962" spans="12:12" ht="13.2" hidden="1" x14ac:dyDescent="0.25">
      <c r="L962" s="39"/>
    </row>
    <row r="963" spans="12:12" ht="13.2" hidden="1" x14ac:dyDescent="0.25">
      <c r="L963" s="39"/>
    </row>
    <row r="964" spans="12:12" ht="13.2" hidden="1" x14ac:dyDescent="0.25">
      <c r="L964" s="39"/>
    </row>
    <row r="965" spans="12:12" ht="13.2" hidden="1" x14ac:dyDescent="0.25">
      <c r="L965" s="39"/>
    </row>
    <row r="966" spans="12:12" ht="13.2" hidden="1" x14ac:dyDescent="0.25">
      <c r="L966" s="39"/>
    </row>
    <row r="967" spans="12:12" ht="13.2" hidden="1" x14ac:dyDescent="0.25">
      <c r="L967" s="39"/>
    </row>
    <row r="968" spans="12:12" ht="13.2" hidden="1" x14ac:dyDescent="0.25">
      <c r="L968" s="39"/>
    </row>
    <row r="969" spans="12:12" ht="13.2" hidden="1" x14ac:dyDescent="0.25">
      <c r="L969" s="39"/>
    </row>
    <row r="970" spans="12:12" ht="13.2" hidden="1" x14ac:dyDescent="0.25">
      <c r="L970" s="39"/>
    </row>
    <row r="971" spans="12:12" ht="13.2" hidden="1" x14ac:dyDescent="0.25">
      <c r="L971" s="39"/>
    </row>
    <row r="972" spans="12:12" ht="13.2" hidden="1" x14ac:dyDescent="0.25">
      <c r="L972" s="39"/>
    </row>
    <row r="973" spans="12:12" ht="13.2" hidden="1" x14ac:dyDescent="0.25">
      <c r="L973" s="39"/>
    </row>
    <row r="974" spans="12:12" ht="13.2" hidden="1" x14ac:dyDescent="0.25">
      <c r="L974" s="39"/>
    </row>
    <row r="975" spans="12:12" ht="13.2" hidden="1" x14ac:dyDescent="0.25">
      <c r="L975" s="39"/>
    </row>
    <row r="976" spans="12:12" ht="13.2" hidden="1" x14ac:dyDescent="0.25">
      <c r="L976" s="39"/>
    </row>
    <row r="977" spans="12:12" ht="13.2" hidden="1" x14ac:dyDescent="0.25">
      <c r="L977" s="39"/>
    </row>
    <row r="978" spans="12:12" ht="13.2" hidden="1" x14ac:dyDescent="0.25">
      <c r="L978" s="39"/>
    </row>
    <row r="979" spans="12:12" ht="13.2" hidden="1" x14ac:dyDescent="0.25">
      <c r="L979" s="39"/>
    </row>
    <row r="980" spans="12:12" ht="13.2" hidden="1" x14ac:dyDescent="0.25">
      <c r="L980" s="39"/>
    </row>
    <row r="981" spans="12:12" ht="13.2" hidden="1" x14ac:dyDescent="0.25">
      <c r="L981" s="39"/>
    </row>
    <row r="982" spans="12:12" ht="13.2" hidden="1" x14ac:dyDescent="0.25">
      <c r="L982" s="39"/>
    </row>
    <row r="983" spans="12:12" ht="13.2" hidden="1" x14ac:dyDescent="0.25">
      <c r="L983" s="39"/>
    </row>
    <row r="984" spans="12:12" ht="13.2" hidden="1" x14ac:dyDescent="0.25">
      <c r="L984" s="39"/>
    </row>
    <row r="985" spans="12:12" ht="13.2" hidden="1" x14ac:dyDescent="0.25">
      <c r="L985" s="39"/>
    </row>
    <row r="986" spans="12:12" ht="13.2" hidden="1" x14ac:dyDescent="0.25">
      <c r="L986" s="39"/>
    </row>
    <row r="987" spans="12:12" ht="13.2" hidden="1" x14ac:dyDescent="0.25">
      <c r="L987" s="39"/>
    </row>
    <row r="988" spans="12:12" ht="13.2" hidden="1" x14ac:dyDescent="0.25">
      <c r="L988" s="39"/>
    </row>
    <row r="989" spans="12:12" ht="13.2" hidden="1" x14ac:dyDescent="0.25">
      <c r="L989" s="39"/>
    </row>
    <row r="990" spans="12:12" ht="13.2" hidden="1" x14ac:dyDescent="0.25">
      <c r="L990" s="39"/>
    </row>
    <row r="991" spans="12:12" ht="13.2" hidden="1" x14ac:dyDescent="0.25">
      <c r="L991" s="39"/>
    </row>
    <row r="992" spans="12:12" ht="13.2" hidden="1" x14ac:dyDescent="0.25">
      <c r="L992" s="39"/>
    </row>
    <row r="993" spans="12:12" ht="13.2" hidden="1" x14ac:dyDescent="0.25">
      <c r="L993" s="39"/>
    </row>
    <row r="994" spans="12:12" ht="13.2" hidden="1" x14ac:dyDescent="0.25">
      <c r="L994" s="39"/>
    </row>
    <row r="995" spans="12:12" ht="13.2" hidden="1" x14ac:dyDescent="0.25">
      <c r="L995" s="39"/>
    </row>
    <row r="996" spans="12:12" ht="13.2" hidden="1" x14ac:dyDescent="0.25">
      <c r="L996" s="39"/>
    </row>
    <row r="997" spans="12:12" ht="13.2" hidden="1" x14ac:dyDescent="0.25">
      <c r="L997" s="39"/>
    </row>
    <row r="998" spans="12:12" ht="13.2" hidden="1" x14ac:dyDescent="0.25">
      <c r="L998" s="39"/>
    </row>
    <row r="999" spans="12:12" ht="13.2" hidden="1" x14ac:dyDescent="0.25">
      <c r="L999" s="39"/>
    </row>
    <row r="1000" spans="12:12" ht="13.2" hidden="1" x14ac:dyDescent="0.25">
      <c r="L1000" s="39"/>
    </row>
    <row r="1001" spans="12:12" ht="13.2" hidden="1" x14ac:dyDescent="0.25">
      <c r="L1001" s="39"/>
    </row>
    <row r="1002" spans="12:12" ht="13.2" hidden="1" x14ac:dyDescent="0.25">
      <c r="L1002" s="39"/>
    </row>
    <row r="1003" spans="12:12" ht="13.2" hidden="1" x14ac:dyDescent="0.25">
      <c r="L1003" s="39"/>
    </row>
    <row r="1004" spans="12:12" ht="13.2" hidden="1" x14ac:dyDescent="0.25">
      <c r="L1004" s="39"/>
    </row>
    <row r="1005" spans="12:12" ht="13.2" hidden="1" x14ac:dyDescent="0.25">
      <c r="L1005" s="39"/>
    </row>
    <row r="1006" spans="12:12" ht="13.2" hidden="1" x14ac:dyDescent="0.25">
      <c r="L1006" s="39"/>
    </row>
    <row r="1007" spans="12:12" ht="13.2" hidden="1" x14ac:dyDescent="0.25">
      <c r="L1007" s="39"/>
    </row>
    <row r="1008" spans="12:12" ht="13.2" hidden="1" x14ac:dyDescent="0.25">
      <c r="L1008" s="39"/>
    </row>
    <row r="1009" spans="12:12" ht="13.2" hidden="1" x14ac:dyDescent="0.25">
      <c r="L1009" s="39"/>
    </row>
    <row r="1010" spans="12:12" ht="13.2" hidden="1" x14ac:dyDescent="0.25">
      <c r="L1010" s="39"/>
    </row>
    <row r="1011" spans="12:12" ht="13.2" hidden="1" x14ac:dyDescent="0.25">
      <c r="L1011" s="39"/>
    </row>
    <row r="1012" spans="12:12" ht="13.2" hidden="1" x14ac:dyDescent="0.25">
      <c r="L1012" s="39"/>
    </row>
    <row r="1013" spans="12:12" ht="13.2" hidden="1" x14ac:dyDescent="0.25">
      <c r="L1013" s="39"/>
    </row>
    <row r="1014" spans="12:12" ht="13.2" hidden="1" x14ac:dyDescent="0.25">
      <c r="L1014" s="39"/>
    </row>
    <row r="1015" spans="12:12" ht="13.2" hidden="1" x14ac:dyDescent="0.25">
      <c r="L1015" s="39"/>
    </row>
    <row r="1016" spans="12:12" ht="13.2" hidden="1" x14ac:dyDescent="0.25">
      <c r="L1016" s="39"/>
    </row>
    <row r="1017" spans="12:12" ht="13.2" hidden="1" x14ac:dyDescent="0.25">
      <c r="L1017" s="39"/>
    </row>
    <row r="1018" spans="12:12" ht="13.2" hidden="1" x14ac:dyDescent="0.25">
      <c r="L1018" s="39"/>
    </row>
    <row r="1019" spans="12:12" ht="13.2" hidden="1" x14ac:dyDescent="0.25">
      <c r="L1019" s="39"/>
    </row>
    <row r="1020" spans="12:12" ht="13.2" hidden="1" x14ac:dyDescent="0.25">
      <c r="L1020" s="39"/>
    </row>
    <row r="1021" spans="12:12" ht="13.2" hidden="1" x14ac:dyDescent="0.25">
      <c r="L1021" s="39"/>
    </row>
    <row r="1022" spans="12:12" ht="13.2" hidden="1" x14ac:dyDescent="0.25">
      <c r="L1022" s="39"/>
    </row>
    <row r="1023" spans="12:12" ht="13.2" hidden="1" x14ac:dyDescent="0.25">
      <c r="L1023" s="39"/>
    </row>
    <row r="1024" spans="12:12" ht="13.2" hidden="1" x14ac:dyDescent="0.25">
      <c r="L1024" s="39"/>
    </row>
    <row r="1025" spans="12:12" ht="13.2" hidden="1" x14ac:dyDescent="0.25">
      <c r="L1025" s="39"/>
    </row>
    <row r="1026" spans="12:12" ht="13.2" hidden="1" x14ac:dyDescent="0.25">
      <c r="L1026" s="39"/>
    </row>
    <row r="1027" spans="12:12" ht="13.2" hidden="1" x14ac:dyDescent="0.25">
      <c r="L1027" s="39"/>
    </row>
    <row r="1028" spans="12:12" ht="13.2" hidden="1" x14ac:dyDescent="0.25">
      <c r="L1028" s="39"/>
    </row>
    <row r="1029" spans="12:12" ht="13.2" hidden="1" x14ac:dyDescent="0.25">
      <c r="L1029" s="39"/>
    </row>
    <row r="1030" spans="12:12" ht="13.2" hidden="1" x14ac:dyDescent="0.25">
      <c r="L1030" s="39"/>
    </row>
    <row r="1031" spans="12:12" ht="13.2" hidden="1" x14ac:dyDescent="0.25">
      <c r="L1031" s="39"/>
    </row>
    <row r="1032" spans="12:12" ht="13.2" hidden="1" x14ac:dyDescent="0.25">
      <c r="L1032" s="39"/>
    </row>
    <row r="1033" spans="12:12" ht="13.2" hidden="1" x14ac:dyDescent="0.25">
      <c r="L1033" s="39"/>
    </row>
    <row r="1034" spans="12:12" ht="13.2" hidden="1" x14ac:dyDescent="0.25">
      <c r="L1034" s="39"/>
    </row>
    <row r="1035" spans="12:12" ht="13.2" hidden="1" x14ac:dyDescent="0.25">
      <c r="L1035" s="39"/>
    </row>
    <row r="1036" spans="12:12" ht="13.2" hidden="1" x14ac:dyDescent="0.25">
      <c r="L1036" s="39"/>
    </row>
    <row r="1037" spans="12:12" ht="13.2" hidden="1" x14ac:dyDescent="0.25">
      <c r="L1037" s="39"/>
    </row>
    <row r="1038" spans="12:12" ht="13.2" hidden="1" x14ac:dyDescent="0.25">
      <c r="L1038" s="39"/>
    </row>
    <row r="1039" spans="12:12" ht="13.2" hidden="1" x14ac:dyDescent="0.25">
      <c r="L1039" s="39"/>
    </row>
    <row r="1040" spans="12:12" ht="13.2" hidden="1" x14ac:dyDescent="0.25">
      <c r="L1040" s="39"/>
    </row>
    <row r="1041" spans="12:12" ht="13.2" hidden="1" x14ac:dyDescent="0.25">
      <c r="L1041" s="39"/>
    </row>
    <row r="1042" spans="12:12" ht="13.2" hidden="1" x14ac:dyDescent="0.25">
      <c r="L1042" s="39"/>
    </row>
    <row r="1043" spans="12:12" ht="13.2" hidden="1" x14ac:dyDescent="0.25">
      <c r="L1043" s="39"/>
    </row>
    <row r="1044" spans="12:12" ht="13.2" hidden="1" x14ac:dyDescent="0.25">
      <c r="L1044" s="39"/>
    </row>
    <row r="1045" spans="12:12" ht="13.2" hidden="1" x14ac:dyDescent="0.25">
      <c r="L1045" s="39"/>
    </row>
    <row r="1046" spans="12:12" ht="13.2" hidden="1" x14ac:dyDescent="0.25">
      <c r="L1046" s="39"/>
    </row>
    <row r="1047" spans="12:12" ht="13.2" hidden="1" x14ac:dyDescent="0.25">
      <c r="L1047" s="39"/>
    </row>
    <row r="1048" spans="12:12" ht="13.2" hidden="1" x14ac:dyDescent="0.25">
      <c r="L1048" s="39"/>
    </row>
    <row r="1049" spans="12:12" ht="13.2" hidden="1" x14ac:dyDescent="0.25">
      <c r="L1049" s="39"/>
    </row>
    <row r="1050" spans="12:12" ht="13.2" hidden="1" x14ac:dyDescent="0.25">
      <c r="L1050" s="39"/>
    </row>
    <row r="1051" spans="12:12" ht="13.2" hidden="1" x14ac:dyDescent="0.25">
      <c r="L1051" s="39"/>
    </row>
    <row r="1052" spans="12:12" ht="13.2" hidden="1" x14ac:dyDescent="0.25">
      <c r="L1052" s="39"/>
    </row>
    <row r="1053" spans="12:12" ht="13.2" hidden="1" x14ac:dyDescent="0.25">
      <c r="L1053" s="39"/>
    </row>
    <row r="1054" spans="12:12" ht="13.2" hidden="1" x14ac:dyDescent="0.25">
      <c r="L1054" s="39"/>
    </row>
    <row r="1055" spans="12:12" ht="13.2" hidden="1" x14ac:dyDescent="0.25">
      <c r="L1055" s="39"/>
    </row>
    <row r="1056" spans="12:12" ht="13.2" hidden="1" x14ac:dyDescent="0.25">
      <c r="L1056" s="39"/>
    </row>
    <row r="1057" spans="12:12" ht="13.2" hidden="1" x14ac:dyDescent="0.25">
      <c r="L1057" s="39"/>
    </row>
    <row r="1058" spans="12:12" ht="13.2" hidden="1" x14ac:dyDescent="0.25">
      <c r="L1058" s="39"/>
    </row>
    <row r="1059" spans="12:12" ht="13.2" hidden="1" x14ac:dyDescent="0.25">
      <c r="L1059" s="39"/>
    </row>
    <row r="1060" spans="12:12" ht="13.2" hidden="1" x14ac:dyDescent="0.25">
      <c r="L1060" s="39"/>
    </row>
    <row r="1061" spans="12:12" ht="13.2" hidden="1" x14ac:dyDescent="0.25">
      <c r="L1061" s="39"/>
    </row>
    <row r="1062" spans="12:12" ht="13.2" hidden="1" x14ac:dyDescent="0.25">
      <c r="L1062" s="39"/>
    </row>
    <row r="1063" spans="12:12" ht="13.2" hidden="1" x14ac:dyDescent="0.25">
      <c r="L1063" s="39"/>
    </row>
    <row r="1064" spans="12:12" ht="13.2" hidden="1" x14ac:dyDescent="0.25">
      <c r="L1064" s="39"/>
    </row>
    <row r="1065" spans="12:12" ht="13.2" hidden="1" x14ac:dyDescent="0.25">
      <c r="L1065" s="39"/>
    </row>
    <row r="1066" spans="12:12" ht="13.2" hidden="1" x14ac:dyDescent="0.25">
      <c r="L1066" s="39"/>
    </row>
    <row r="1067" spans="12:12" ht="13.2" hidden="1" x14ac:dyDescent="0.25">
      <c r="L1067" s="39"/>
    </row>
    <row r="1068" spans="12:12" ht="13.2" hidden="1" x14ac:dyDescent="0.25">
      <c r="L1068" s="39"/>
    </row>
    <row r="1069" spans="12:12" ht="13.2" hidden="1" x14ac:dyDescent="0.25">
      <c r="L1069" s="39"/>
    </row>
    <row r="1070" spans="12:12" ht="13.2" hidden="1" x14ac:dyDescent="0.25">
      <c r="L1070" s="39"/>
    </row>
    <row r="1071" spans="12:12" ht="13.2" hidden="1" x14ac:dyDescent="0.25">
      <c r="L1071" s="39"/>
    </row>
    <row r="1072" spans="12:12" ht="13.2" hidden="1" x14ac:dyDescent="0.25">
      <c r="L1072" s="39"/>
    </row>
    <row r="1073" spans="12:12" ht="13.2" hidden="1" x14ac:dyDescent="0.25">
      <c r="L1073" s="39"/>
    </row>
    <row r="1074" spans="12:12" ht="13.2" hidden="1" x14ac:dyDescent="0.25">
      <c r="L1074" s="39"/>
    </row>
    <row r="1075" spans="12:12" ht="13.2" hidden="1" x14ac:dyDescent="0.25">
      <c r="L1075" s="39"/>
    </row>
    <row r="1076" spans="12:12" ht="13.2" hidden="1" x14ac:dyDescent="0.25">
      <c r="L1076" s="39"/>
    </row>
    <row r="1077" spans="12:12" ht="13.2" hidden="1" x14ac:dyDescent="0.25">
      <c r="L1077" s="39"/>
    </row>
    <row r="1078" spans="12:12" ht="13.2" hidden="1" x14ac:dyDescent="0.25"/>
    <row r="1079" spans="12:12" ht="13.2" hidden="1" x14ac:dyDescent="0.25"/>
    <row r="1080" spans="12:12" ht="13.2" hidden="1" x14ac:dyDescent="0.25"/>
    <row r="1081" spans="12:12" ht="13.2" hidden="1" x14ac:dyDescent="0.25"/>
    <row r="1082" spans="12:12" ht="13.2" hidden="1" x14ac:dyDescent="0.25"/>
    <row r="1083" spans="12:12" ht="13.2" hidden="1" x14ac:dyDescent="0.25"/>
    <row r="1084" spans="12:12" ht="13.2" hidden="1" x14ac:dyDescent="0.25"/>
    <row r="1085" spans="12:12" ht="13.2" hidden="1" x14ac:dyDescent="0.25"/>
    <row r="1086" spans="12:12" ht="13.2" hidden="1" x14ac:dyDescent="0.25"/>
    <row r="1087" spans="12:12" ht="13.2" hidden="1" x14ac:dyDescent="0.25"/>
    <row r="1088" spans="12:12" ht="13.2" hidden="1" x14ac:dyDescent="0.25"/>
    <row r="1089" ht="13.2" hidden="1" x14ac:dyDescent="0.25"/>
    <row r="1090" ht="13.2" hidden="1" x14ac:dyDescent="0.25"/>
    <row r="1091" ht="13.2" hidden="1" x14ac:dyDescent="0.25"/>
    <row r="1092" ht="13.2" hidden="1" x14ac:dyDescent="0.25"/>
    <row r="1093" ht="13.2" hidden="1" x14ac:dyDescent="0.25"/>
    <row r="1094" ht="13.2" hidden="1" x14ac:dyDescent="0.25"/>
    <row r="1095" ht="13.2" hidden="1" x14ac:dyDescent="0.25"/>
    <row r="1096" ht="13.2" hidden="1" x14ac:dyDescent="0.25"/>
    <row r="1097" ht="13.2" hidden="1" x14ac:dyDescent="0.25"/>
    <row r="1098" ht="13.2" hidden="1" x14ac:dyDescent="0.25"/>
    <row r="1099" ht="13.2" hidden="1" x14ac:dyDescent="0.25"/>
    <row r="1100" ht="13.2" hidden="1" x14ac:dyDescent="0.25"/>
    <row r="1101" ht="13.2" hidden="1" x14ac:dyDescent="0.25"/>
    <row r="1102" ht="13.2" hidden="1" x14ac:dyDescent="0.25"/>
    <row r="1103" ht="13.2" hidden="1" x14ac:dyDescent="0.25"/>
    <row r="1104" ht="13.2" hidden="1" x14ac:dyDescent="0.25"/>
    <row r="1105" ht="13.2" hidden="1" x14ac:dyDescent="0.25"/>
    <row r="1106" ht="13.2" hidden="1" x14ac:dyDescent="0.25"/>
    <row r="1107" ht="13.2" hidden="1" x14ac:dyDescent="0.25"/>
    <row r="1108" ht="13.2" hidden="1" x14ac:dyDescent="0.25"/>
    <row r="1109" ht="13.2" hidden="1" x14ac:dyDescent="0.25"/>
    <row r="1110" ht="13.2" hidden="1" x14ac:dyDescent="0.25"/>
    <row r="1111" ht="13.2" hidden="1" x14ac:dyDescent="0.25"/>
    <row r="1112" ht="13.2" hidden="1" x14ac:dyDescent="0.25"/>
    <row r="1113" ht="13.2" hidden="1" x14ac:dyDescent="0.25"/>
    <row r="1114" ht="13.2" hidden="1" x14ac:dyDescent="0.25"/>
    <row r="1115" ht="13.2" hidden="1" x14ac:dyDescent="0.25"/>
    <row r="1116" ht="13.2" hidden="1" x14ac:dyDescent="0.25"/>
    <row r="1117" ht="13.2" hidden="1" x14ac:dyDescent="0.25"/>
    <row r="1118" ht="13.2" hidden="1" x14ac:dyDescent="0.25"/>
    <row r="1119" ht="13.2" hidden="1" x14ac:dyDescent="0.25"/>
    <row r="1120" ht="13.2" hidden="1" x14ac:dyDescent="0.25"/>
    <row r="1121" ht="13.2" hidden="1" x14ac:dyDescent="0.25"/>
    <row r="1122" ht="13.2" hidden="1" x14ac:dyDescent="0.25"/>
    <row r="1123" ht="13.2" hidden="1" x14ac:dyDescent="0.25"/>
    <row r="1124" ht="13.2" hidden="1" x14ac:dyDescent="0.25"/>
    <row r="1125" ht="13.2" hidden="1" x14ac:dyDescent="0.25"/>
    <row r="1126" ht="13.2" hidden="1" x14ac:dyDescent="0.25"/>
    <row r="1127" ht="13.2" hidden="1" x14ac:dyDescent="0.25"/>
    <row r="1128" ht="13.2" hidden="1" x14ac:dyDescent="0.25"/>
    <row r="1129" ht="13.2" hidden="1" x14ac:dyDescent="0.25"/>
    <row r="1130" ht="13.2" hidden="1" x14ac:dyDescent="0.25"/>
    <row r="1131" ht="13.2" hidden="1" x14ac:dyDescent="0.25"/>
    <row r="1132" ht="13.2" hidden="1" x14ac:dyDescent="0.25"/>
    <row r="1133" ht="13.2" hidden="1" x14ac:dyDescent="0.25"/>
    <row r="1134" ht="13.2" hidden="1" x14ac:dyDescent="0.25"/>
    <row r="1135" ht="13.2" hidden="1" x14ac:dyDescent="0.25"/>
    <row r="1136" ht="13.2" hidden="1" x14ac:dyDescent="0.25"/>
    <row r="1137" ht="13.2" hidden="1" x14ac:dyDescent="0.25"/>
    <row r="1138" ht="13.2" hidden="1" x14ac:dyDescent="0.25"/>
    <row r="1139" ht="13.2" hidden="1" x14ac:dyDescent="0.25"/>
    <row r="1140" ht="13.2" hidden="1" x14ac:dyDescent="0.25"/>
    <row r="1141" ht="13.2" hidden="1" x14ac:dyDescent="0.25"/>
    <row r="1142" ht="13.2" hidden="1" x14ac:dyDescent="0.25"/>
    <row r="1143" ht="13.2" hidden="1" x14ac:dyDescent="0.25"/>
    <row r="1144" ht="13.2" hidden="1" x14ac:dyDescent="0.25"/>
    <row r="1145" ht="13.2" hidden="1" x14ac:dyDescent="0.25"/>
    <row r="1146" ht="13.2" hidden="1" x14ac:dyDescent="0.25"/>
    <row r="1147" ht="13.2" hidden="1" x14ac:dyDescent="0.25"/>
    <row r="1148" ht="13.2" hidden="1" x14ac:dyDescent="0.25"/>
    <row r="1149" ht="13.2" hidden="1" x14ac:dyDescent="0.25"/>
    <row r="1150" ht="13.2" hidden="1" x14ac:dyDescent="0.25"/>
    <row r="1151" ht="13.2" hidden="1" x14ac:dyDescent="0.25"/>
    <row r="1152" ht="13.2" hidden="1" x14ac:dyDescent="0.25"/>
    <row r="1153" ht="13.2" hidden="1" x14ac:dyDescent="0.25"/>
    <row r="1154" ht="13.2" hidden="1" x14ac:dyDescent="0.25"/>
    <row r="1155" ht="13.2" hidden="1" x14ac:dyDescent="0.25"/>
    <row r="1156" ht="13.2" hidden="1" x14ac:dyDescent="0.25"/>
    <row r="1157" ht="13.2" hidden="1" x14ac:dyDescent="0.25"/>
    <row r="1158" ht="13.2" hidden="1" x14ac:dyDescent="0.25"/>
    <row r="1159" ht="13.2" hidden="1" x14ac:dyDescent="0.25"/>
    <row r="1160" ht="13.2" hidden="1" x14ac:dyDescent="0.25"/>
    <row r="1161" ht="13.2" hidden="1" x14ac:dyDescent="0.25"/>
    <row r="1162" ht="13.2" hidden="1" x14ac:dyDescent="0.25"/>
    <row r="1163" ht="13.2" hidden="1" x14ac:dyDescent="0.25"/>
    <row r="1164" ht="13.2" hidden="1" x14ac:dyDescent="0.25"/>
    <row r="1165" ht="13.2" hidden="1" x14ac:dyDescent="0.25"/>
    <row r="1166" ht="13.2" hidden="1" x14ac:dyDescent="0.25"/>
    <row r="1167" ht="13.2" hidden="1" x14ac:dyDescent="0.25"/>
    <row r="1168" ht="13.2" hidden="1" x14ac:dyDescent="0.25"/>
    <row r="1169" ht="13.2" hidden="1" x14ac:dyDescent="0.25"/>
    <row r="1170" ht="13.2" hidden="1" x14ac:dyDescent="0.25"/>
    <row r="1171" ht="13.2" hidden="1" x14ac:dyDescent="0.25"/>
    <row r="1172" ht="13.2" hidden="1" x14ac:dyDescent="0.25"/>
    <row r="1173" ht="13.2" hidden="1" x14ac:dyDescent="0.25"/>
    <row r="1174" ht="13.2" hidden="1" x14ac:dyDescent="0.25"/>
    <row r="1175" ht="13.2" hidden="1" x14ac:dyDescent="0.25"/>
    <row r="1176" ht="13.2" hidden="1" x14ac:dyDescent="0.25"/>
    <row r="1177" ht="13.2" hidden="1" x14ac:dyDescent="0.25"/>
    <row r="1178" ht="13.2" hidden="1" x14ac:dyDescent="0.25"/>
    <row r="1179" ht="13.2" hidden="1" x14ac:dyDescent="0.25"/>
    <row r="1180" ht="13.2" hidden="1" x14ac:dyDescent="0.25"/>
    <row r="1181" ht="13.2" hidden="1" x14ac:dyDescent="0.25"/>
    <row r="1182" ht="13.2" hidden="1" x14ac:dyDescent="0.25"/>
    <row r="1183" ht="13.2" hidden="1" x14ac:dyDescent="0.25"/>
    <row r="1184" ht="13.2" hidden="1" x14ac:dyDescent="0.25"/>
    <row r="1185" ht="13.2" hidden="1" x14ac:dyDescent="0.25"/>
    <row r="1186" ht="13.2" hidden="1" x14ac:dyDescent="0.25"/>
    <row r="1187" ht="13.2" hidden="1" x14ac:dyDescent="0.25"/>
    <row r="1188" ht="13.2" hidden="1" x14ac:dyDescent="0.25"/>
    <row r="1189" ht="13.2" hidden="1" x14ac:dyDescent="0.25"/>
    <row r="1190" ht="13.2" hidden="1" x14ac:dyDescent="0.25"/>
    <row r="1191" ht="13.2" hidden="1" x14ac:dyDescent="0.25"/>
    <row r="1192" ht="13.2" hidden="1" x14ac:dyDescent="0.25"/>
    <row r="1193" ht="13.2" hidden="1" x14ac:dyDescent="0.25"/>
    <row r="1194" ht="13.2" hidden="1" x14ac:dyDescent="0.25"/>
    <row r="1195" ht="13.2" hidden="1" x14ac:dyDescent="0.25"/>
    <row r="1196" ht="13.2" hidden="1" x14ac:dyDescent="0.25"/>
    <row r="1197" ht="13.2" hidden="1" x14ac:dyDescent="0.25"/>
    <row r="1198" ht="13.2" hidden="1" x14ac:dyDescent="0.25"/>
    <row r="1199" ht="13.2" hidden="1" x14ac:dyDescent="0.25"/>
    <row r="1200" ht="13.2" hidden="1" x14ac:dyDescent="0.25"/>
    <row r="1201" ht="13.2" hidden="1" x14ac:dyDescent="0.25"/>
    <row r="1202" ht="13.2" hidden="1" x14ac:dyDescent="0.25"/>
    <row r="1203" ht="13.2" hidden="1" x14ac:dyDescent="0.25"/>
    <row r="1204" ht="13.2" hidden="1" x14ac:dyDescent="0.25"/>
    <row r="1205" ht="13.2" hidden="1" x14ac:dyDescent="0.25"/>
    <row r="1206" ht="13.2" hidden="1" x14ac:dyDescent="0.25"/>
    <row r="1207" ht="13.2" hidden="1" x14ac:dyDescent="0.25"/>
    <row r="1208" ht="13.2" hidden="1" x14ac:dyDescent="0.25"/>
    <row r="1209" ht="13.2" hidden="1" customHeight="1" x14ac:dyDescent="0.25"/>
  </sheetData>
  <sheetProtection algorithmName="SHA-512" hashValue="od3+a1gUd42pHo/fPfjLhjWCE/DaPyBpggu4QbdAHTmTkC/N69l3XQTdkOpW3wnLm1YpeIH+Lc1tY3BM2WgpHw==" saltValue="Fw0JtuzXcHmewFf+1STEsg==" spinCount="100000" sheet="1" objects="1" scenarios="1" selectLockedCells="1"/>
  <mergeCells count="20">
    <mergeCell ref="D26:E26"/>
    <mergeCell ref="D27:E27"/>
    <mergeCell ref="D28:E28"/>
    <mergeCell ref="D29:E29"/>
    <mergeCell ref="D19:E19"/>
    <mergeCell ref="D23:E23"/>
    <mergeCell ref="D22:E22"/>
    <mergeCell ref="D21:E21"/>
    <mergeCell ref="B2:E2"/>
    <mergeCell ref="D13:E13"/>
    <mergeCell ref="D20:E20"/>
    <mergeCell ref="B12:E12"/>
    <mergeCell ref="B18:E18"/>
    <mergeCell ref="D16:E16"/>
    <mergeCell ref="D14:E14"/>
    <mergeCell ref="D15:E15"/>
    <mergeCell ref="D7:E7"/>
    <mergeCell ref="D8:E8"/>
    <mergeCell ref="D4:E4"/>
    <mergeCell ref="D5:E5"/>
  </mergeCells>
  <dataValidations count="1">
    <dataValidation type="list" allowBlank="1" showInputMessage="1" showErrorMessage="1" sqref="C7" xr:uid="{6E045386-7DDA-492B-8E31-9FBFCFD061AB}">
      <formula1>"Goal Amount, Infl. Adj. Goal Amt"</formula1>
    </dataValidation>
  </dataValidations>
  <pageMargins left="0.7" right="0.7" top="0.75" bottom="0.75" header="0.3" footer="0.3"/>
  <pageSetup paperSize="9" scale="65" orientation="landscape" r:id="rId1"/>
  <drawing r:id="rId2"/>
  <legacyDrawing r:id="rId3"/>
  <controls>
    <mc:AlternateContent xmlns:mc="http://schemas.openxmlformats.org/markup-compatibility/2006">
      <mc:Choice Requires="x14">
        <control shapeId="16387" r:id="rId4" name="cbGoalInflRate">
          <controlPr locked="0" defaultSize="0" print="0" autoLine="0" altText="cbSIPInflRate" linkedCell="N2" listFillRange="O2:O22" r:id="rId5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4</xdr:col>
                <xdr:colOff>160020</xdr:colOff>
                <xdr:row>6</xdr:row>
                <xdr:rowOff>15240</xdr:rowOff>
              </to>
            </anchor>
          </controlPr>
        </control>
      </mc:Choice>
      <mc:Fallback>
        <control shapeId="16387" r:id="rId4" name="cbGoalInflRate"/>
      </mc:Fallback>
    </mc:AlternateContent>
    <mc:AlternateContent xmlns:mc="http://schemas.openxmlformats.org/markup-compatibility/2006">
      <mc:Choice Requires="x14">
        <control shapeId="16388" r:id="rId6" name="btnPrint">
          <controlPr defaultSize="0" print="0" autoLine="0" r:id="rId7">
            <anchor>
              <from>
                <xdr:col>5</xdr:col>
                <xdr:colOff>38100</xdr:colOff>
                <xdr:row>5</xdr:row>
                <xdr:rowOff>76200</xdr:rowOff>
              </from>
              <to>
                <xdr:col>5</xdr:col>
                <xdr:colOff>327660</xdr:colOff>
                <xdr:row>7</xdr:row>
                <xdr:rowOff>15240</xdr:rowOff>
              </to>
            </anchor>
          </controlPr>
        </control>
      </mc:Choice>
      <mc:Fallback>
        <control shapeId="16388" r:id="rId6" name="btnPr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Goal-SIPorSU_SIP</vt:lpstr>
      <vt:lpstr>ActYears</vt:lpstr>
      <vt:lpstr>GoalTenure</vt:lpstr>
      <vt:lpstr>InvMonths</vt:lpstr>
      <vt:lpstr>S1Rate</vt:lpstr>
      <vt:lpstr>SIP1Yield</vt:lpstr>
      <vt:lpstr>SIPPmt</vt:lpstr>
      <vt:lpstr>SU_Amt</vt:lpstr>
      <vt:lpstr>SUSIPPmt</vt:lpstr>
      <vt:lpstr>TaxRate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Goal_SIP_or_StepUp_SIP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2026-04-07T02:36:28Z</dcterms:modified>
  <cp:contentStatus>Jul 4 2017</cp:contentStatus>
</cp:coreProperties>
</file>