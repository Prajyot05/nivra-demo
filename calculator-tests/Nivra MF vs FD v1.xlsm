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_Personal\Finance\Investments\Nivra FinTech\Tools\Unprotected\"/>
    </mc:Choice>
  </mc:AlternateContent>
  <xr:revisionPtr revIDLastSave="0" documentId="8_{39E506C2-E240-4A42-8D8A-007002A2D7CC}" xr6:coauthVersionLast="47" xr6:coauthVersionMax="47" xr10:uidLastSave="{00000000-0000-0000-0000-000000000000}"/>
  <bookViews>
    <workbookView xWindow="-108" yWindow="-108" windowWidth="23256" windowHeight="12456" xr2:uid="{2662AFD4-98ED-4962-A8E5-2E4F20033EFC}"/>
  </bookViews>
  <sheets>
    <sheet name="MF vs FD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/>
  <c r="C9" i="1" s="1"/>
  <c r="C10" i="1" s="1"/>
  <c r="C14" i="1" s="1"/>
  <c r="F5" i="1"/>
  <c r="F8" i="1" s="1"/>
  <c r="F9" i="1" s="1"/>
  <c r="F10" i="1" s="1"/>
  <c r="F14" i="1" s="1"/>
  <c r="F3" i="1"/>
  <c r="C15" i="1" l="1"/>
  <c r="F15" i="1"/>
</calcChain>
</file>

<file path=xl/sharedStrings.xml><?xml version="1.0" encoding="utf-8"?>
<sst xmlns="http://schemas.openxmlformats.org/spreadsheetml/2006/main" count="21" uniqueCount="20">
  <si>
    <t>Mutual Fund vs. Fixed Deposit</t>
  </si>
  <si>
    <t>Mutual Funds</t>
  </si>
  <si>
    <t>Fixed Deposit</t>
  </si>
  <si>
    <t>Investment Period in Days</t>
  </si>
  <si>
    <t>Interest Amount</t>
  </si>
  <si>
    <t>Investment Amount</t>
  </si>
  <si>
    <t>Particulars</t>
  </si>
  <si>
    <t>Amount</t>
  </si>
  <si>
    <t>Annualized Return</t>
  </si>
  <si>
    <t>Return Per Day</t>
  </si>
  <si>
    <t>Expected Pre-Tax Return</t>
  </si>
  <si>
    <t>Tax on Profit</t>
  </si>
  <si>
    <t>Tax Rate</t>
  </si>
  <si>
    <t>Post-Tax Return</t>
  </si>
  <si>
    <t>Difference in Return</t>
  </si>
  <si>
    <t>For Educational Purposes Only:</t>
  </si>
  <si>
    <t>For FD, if you withdraw before the maturity, a penality would be charged EVEN for partial withdrawal.</t>
  </si>
  <si>
    <t>Debt/Arbitrage MFs allow flexibility in investment tenure, whereas FD are for fixed tenure, which the investor has to decide on Day 1.</t>
  </si>
  <si>
    <t>0.2</t>
  </si>
  <si>
    <t>0.25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</si>
</sst>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₹&quot;\ #,##0"/>
    <numFmt numFmtId="165" formatCode="0.0%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C00000"/>
      <name val="Aptos Black"/>
      <family val="2"/>
    </font>
    <font>
      <b/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i/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3" tint="9.9978637043366805E-2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EFFF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2C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5">
    <xf numFmtId="0" fontId="0" fillId="0" borderId="0" xfId="0"/>
    <xf numFmtId="0" fontId="3" fillId="2" borderId="1" xfId="0" applyFont="1" applyFill="1" applyBorder="1" applyAlignment="1" applyProtection="1">
      <alignment horizontal="center" vertical="center"/>
      <protection hidden="1"/>
    </xf>
    <xf numFmtId="0" fontId="4" fillId="3" borderId="2" xfId="0" applyFont="1" applyFill="1" applyBorder="1" applyAlignment="1" applyProtection="1">
      <alignment vertical="center"/>
      <protection hidden="1"/>
    </xf>
    <xf numFmtId="0" fontId="5" fillId="4" borderId="1" xfId="0" applyFont="1" applyFill="1" applyBorder="1" applyAlignment="1" applyProtection="1">
      <alignment horizontal="center" vertical="center"/>
      <protection hidden="1"/>
    </xf>
    <xf numFmtId="164" fontId="4" fillId="4" borderId="1" xfId="0" applyNumberFormat="1" applyFont="1" applyFill="1" applyBorder="1" applyAlignment="1" applyProtection="1">
      <alignment horizontal="right" vertical="center" indent="1"/>
      <protection hidden="1"/>
    </xf>
    <xf numFmtId="0" fontId="4" fillId="5" borderId="2" xfId="0" applyFont="1" applyFill="1" applyBorder="1" applyAlignment="1" applyProtection="1">
      <alignment vertical="center"/>
      <protection hidden="1"/>
    </xf>
    <xf numFmtId="164" fontId="5" fillId="6" borderId="1" xfId="0" applyNumberFormat="1" applyFont="1" applyFill="1" applyBorder="1" applyAlignment="1" applyProtection="1">
      <alignment horizontal="right" vertical="center" indent="1"/>
      <protection hidden="1"/>
    </xf>
    <xf numFmtId="0" fontId="0" fillId="8" borderId="0" xfId="0" applyFill="1"/>
    <xf numFmtId="0" fontId="0" fillId="8" borderId="0" xfId="0" applyFill="1" applyAlignment="1" applyProtection="1">
      <alignment vertical="center"/>
      <protection hidden="1"/>
    </xf>
    <xf numFmtId="0" fontId="6" fillId="8" borderId="0" xfId="0" applyFont="1" applyFill="1" applyAlignment="1" applyProtection="1">
      <alignment vertical="center"/>
      <protection hidden="1"/>
    </xf>
    <xf numFmtId="164" fontId="4" fillId="8" borderId="0" xfId="0" applyNumberFormat="1" applyFont="1" applyFill="1" applyAlignment="1" applyProtection="1">
      <alignment horizontal="right" vertical="center" indent="1"/>
      <protection locked="0"/>
    </xf>
    <xf numFmtId="0" fontId="4" fillId="8" borderId="0" xfId="0" applyFont="1" applyFill="1" applyAlignment="1" applyProtection="1">
      <alignment vertical="center"/>
      <protection hidden="1"/>
    </xf>
    <xf numFmtId="9" fontId="0" fillId="8" borderId="0" xfId="0" applyNumberFormat="1" applyFill="1"/>
    <xf numFmtId="10" fontId="0" fillId="8" borderId="0" xfId="0" applyNumberFormat="1" applyFill="1"/>
    <xf numFmtId="164" fontId="4" fillId="8" borderId="1" xfId="0" applyNumberFormat="1" applyFont="1" applyFill="1" applyBorder="1" applyAlignment="1" applyProtection="1">
      <alignment horizontal="right" vertical="center" indent="1"/>
      <protection hidden="1"/>
    </xf>
    <xf numFmtId="164" fontId="4" fillId="8" borderId="0" xfId="0" applyNumberFormat="1" applyFont="1" applyFill="1" applyAlignment="1" applyProtection="1">
      <alignment vertical="center"/>
      <protection hidden="1"/>
    </xf>
    <xf numFmtId="0" fontId="5" fillId="8" borderId="0" xfId="0" applyFont="1" applyFill="1" applyAlignment="1" applyProtection="1">
      <alignment vertical="center"/>
      <protection hidden="1"/>
    </xf>
    <xf numFmtId="0" fontId="0" fillId="8" borderId="0" xfId="0" applyFill="1" applyProtection="1">
      <protection locked="0"/>
    </xf>
    <xf numFmtId="10" fontId="7" fillId="8" borderId="0" xfId="0" applyNumberFormat="1" applyFont="1" applyFill="1" applyAlignment="1" applyProtection="1">
      <alignment vertical="center"/>
      <protection hidden="1"/>
    </xf>
    <xf numFmtId="164" fontId="5" fillId="8" borderId="4" xfId="0" applyNumberFormat="1" applyFont="1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 vertical="center"/>
      <protection locked="0"/>
    </xf>
    <xf numFmtId="9" fontId="5" fillId="7" borderId="1" xfId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right" vertical="center" indent="1"/>
      <protection locked="0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8" fillId="10" borderId="2" xfId="0" applyFont="1" applyFill="1" applyBorder="1" applyAlignment="1" applyProtection="1">
      <alignment horizontal="center" vertical="center"/>
      <protection hidden="1"/>
    </xf>
    <xf numFmtId="0" fontId="8" fillId="10" borderId="1" xfId="0" applyFont="1" applyFill="1" applyBorder="1" applyAlignment="1" applyProtection="1">
      <alignment horizontal="center" vertical="center"/>
      <protection hidden="1"/>
    </xf>
    <xf numFmtId="9" fontId="4" fillId="7" borderId="5" xfId="1" applyFont="1" applyFill="1" applyBorder="1" applyAlignment="1" applyProtection="1">
      <alignment horizontal="center" vertical="center"/>
      <protection locked="0"/>
    </xf>
    <xf numFmtId="0" fontId="4" fillId="11" borderId="2" xfId="0" applyFont="1" applyFill="1" applyBorder="1" applyAlignment="1" applyProtection="1">
      <alignment vertical="center"/>
      <protection hidden="1"/>
    </xf>
    <xf numFmtId="0" fontId="4" fillId="12" borderId="2" xfId="0" applyFont="1" applyFill="1" applyBorder="1" applyAlignment="1" applyProtection="1">
      <alignment vertical="center"/>
      <protection hidden="1"/>
    </xf>
    <xf numFmtId="0" fontId="4" fillId="13" borderId="2" xfId="0" applyFont="1" applyFill="1" applyBorder="1" applyAlignment="1" applyProtection="1">
      <alignment vertical="center"/>
      <protection hidden="1"/>
    </xf>
    <xf numFmtId="0" fontId="5" fillId="14" borderId="2" xfId="0" applyFont="1" applyFill="1" applyBorder="1" applyAlignment="1" applyProtection="1">
      <alignment vertical="center"/>
      <protection hidden="1"/>
    </xf>
    <xf numFmtId="164" fontId="5" fillId="14" borderId="1" xfId="0" applyNumberFormat="1" applyFont="1" applyFill="1" applyBorder="1" applyAlignment="1" applyProtection="1">
      <alignment horizontal="right" vertical="center" indent="1"/>
      <protection hidden="1"/>
    </xf>
    <xf numFmtId="164" fontId="4" fillId="15" borderId="1" xfId="0" applyNumberFormat="1" applyFont="1" applyFill="1" applyBorder="1" applyAlignment="1" applyProtection="1">
      <alignment horizontal="center" vertical="center"/>
      <protection hidden="1"/>
    </xf>
    <xf numFmtId="10" fontId="4" fillId="7" borderId="7" xfId="1" applyNumberFormat="1" applyFont="1" applyFill="1" applyBorder="1" applyAlignment="1" applyProtection="1">
      <alignment horizontal="center" vertical="center"/>
      <protection locked="0"/>
    </xf>
    <xf numFmtId="164" fontId="4" fillId="15" borderId="6" xfId="0" applyNumberFormat="1" applyFont="1" applyFill="1" applyBorder="1" applyAlignment="1" applyProtection="1">
      <alignment horizontal="center" vertical="center"/>
      <protection hidden="1"/>
    </xf>
    <xf numFmtId="164" fontId="5" fillId="8" borderId="6" xfId="0" applyNumberFormat="1" applyFont="1" applyFill="1" applyBorder="1" applyAlignment="1" applyProtection="1">
      <alignment horizontal="center" vertical="center"/>
      <protection hidden="1"/>
    </xf>
    <xf numFmtId="165" fontId="5" fillId="4" borderId="1" xfId="1" applyNumberFormat="1" applyFont="1" applyFill="1" applyBorder="1" applyAlignment="1" applyProtection="1">
      <alignment horizontal="left" vertical="center"/>
      <protection hidden="1"/>
    </xf>
    <xf numFmtId="165" fontId="5" fillId="15" borderId="1" xfId="1" applyNumberFormat="1" applyFont="1" applyFill="1" applyBorder="1" applyAlignment="1" applyProtection="1">
      <alignment horizontal="left" vertical="center"/>
      <protection hidden="1"/>
    </xf>
    <xf numFmtId="0" fontId="5" fillId="3" borderId="1" xfId="0" applyFont="1" applyFill="1" applyBorder="1" applyAlignment="1" applyProtection="1">
      <alignment horizontal="left" vertical="center"/>
      <protection hidden="1"/>
    </xf>
    <xf numFmtId="0" fontId="2" fillId="8" borderId="0" xfId="0" applyFont="1" applyFill="1" applyAlignment="1" applyProtection="1">
      <alignment horizontal="right" vertical="center"/>
      <protection hidden="1"/>
    </xf>
    <xf numFmtId="0" fontId="8" fillId="10" borderId="2" xfId="0" applyFont="1" applyFill="1" applyBorder="1" applyAlignment="1" applyProtection="1">
      <alignment horizontal="center" vertical="center"/>
      <protection hidden="1"/>
    </xf>
    <xf numFmtId="0" fontId="8" fillId="10" borderId="3" xfId="0" applyFont="1" applyFill="1" applyBorder="1" applyAlignment="1" applyProtection="1">
      <alignment horizontal="center" vertical="center"/>
      <protection hidden="1"/>
    </xf>
    <xf numFmtId="0" fontId="8" fillId="10" borderId="6" xfId="0" applyFont="1" applyFill="1" applyBorder="1" applyAlignment="1" applyProtection="1">
      <alignment horizontal="center" vertical="center"/>
      <protection hidden="1"/>
    </xf>
    <xf numFmtId="0" fontId="0" fillId="8" borderId="0" xfId="0" applyFill="1" applyAlignment="1" applyProtection="1">
      <alignment horizontal="left" vertical="center"/>
      <protection hidden="1"/>
    </xf>
    <xf numFmtId="0" fontId="0" fillId="8" borderId="0" xfId="0" applyFill="1" applyAlignment="1" applyProtection="1">
      <alignment horizontal="left" vertical="center" wrapText="1"/>
      <protection hidden="1"/>
    </xf>
  </cellXfs>
  <cellStyles count="2">
    <cellStyle name="Normal" xfId="0" builtinId="0"/>
    <cellStyle name="Percent" xfId="1" builtinId="5"/>
  </cellStyles>
  <dxfs count="4"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2C9"/>
      <color rgb="FFEFE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12</xdr:row>
          <xdr:rowOff>7620</xdr:rowOff>
        </xdr:from>
        <xdr:to>
          <xdr:col>6</xdr:col>
          <xdr:colOff>205740</xdr:colOff>
          <xdr:row>13</xdr:row>
          <xdr:rowOff>15240</xdr:rowOff>
        </xdr:to>
        <xdr:sp macro="" textlink="">
          <xdr:nvSpPr>
            <xdr:cNvPr id="1028" name="cbFDTa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7620</xdr:rowOff>
        </xdr:from>
        <xdr:to>
          <xdr:col>3</xdr:col>
          <xdr:colOff>213360</xdr:colOff>
          <xdr:row>13</xdr:row>
          <xdr:rowOff>15240</xdr:rowOff>
        </xdr:to>
        <xdr:sp macro="" textlink="">
          <xdr:nvSpPr>
            <xdr:cNvPr id="1029" name="cbMFTax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68580</xdr:colOff>
      <xdr:row>0</xdr:row>
      <xdr:rowOff>137160</xdr:rowOff>
    </xdr:from>
    <xdr:to>
      <xdr:col>1</xdr:col>
      <xdr:colOff>1495713</xdr:colOff>
      <xdr:row>1</xdr:row>
      <xdr:rowOff>33212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8F70F20-4007-449A-AEC0-AFD5E572A24D}"/>
            </a:ext>
          </a:extLst>
        </xdr:cNvPr>
        <xdr:cNvGrpSpPr/>
      </xdr:nvGrpSpPr>
      <xdr:grpSpPr>
        <a:xfrm>
          <a:off x="266700" y="137160"/>
          <a:ext cx="1427133" cy="421832"/>
          <a:chOff x="220134" y="42333"/>
          <a:chExt cx="1427133" cy="421832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F553AB-0D91-567A-2294-9BDBDD4705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134" y="42333"/>
            <a:ext cx="423333" cy="421832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2C617AF2-83FF-5870-E433-51807C9F25EA}"/>
              </a:ext>
            </a:extLst>
          </xdr:cNvPr>
          <xdr:cNvSpPr/>
        </xdr:nvSpPr>
        <xdr:spPr>
          <a:xfrm>
            <a:off x="567267" y="152399"/>
            <a:ext cx="1080000" cy="2709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1">
                <a:solidFill>
                  <a:srgbClr val="AA9B28"/>
                </a:solidFill>
                <a:latin typeface="Aptos Narrow" panose="020B0004020202020204" pitchFamily="34" charset="0"/>
              </a:rPr>
              <a:t>NIVRA</a:t>
            </a:r>
            <a:r>
              <a:rPr lang="en-US" sz="1100" baseline="0">
                <a:solidFill>
                  <a:srgbClr val="AA9B28"/>
                </a:solidFill>
                <a:latin typeface="Aptos Narrow" panose="020B0004020202020204" pitchFamily="34" charset="0"/>
              </a:rPr>
              <a:t> FINTECH</a:t>
            </a:r>
            <a:endParaRPr lang="en-US" sz="1100">
              <a:solidFill>
                <a:srgbClr val="AA9B28"/>
              </a:solidFill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573E4-3BB1-406E-9814-0824765954BD}">
  <sheetPr codeName="MFvsFD"/>
  <dimension ref="A1:K21"/>
  <sheetViews>
    <sheetView showGridLines="0" tabSelected="1" workbookViewId="0">
      <selection activeCell="D2" sqref="D2"/>
    </sheetView>
  </sheetViews>
  <sheetFormatPr defaultColWidth="0" defaultRowHeight="14.4" zeroHeight="1" x14ac:dyDescent="0.3"/>
  <cols>
    <col min="1" max="1" width="2.88671875" style="7" customWidth="1"/>
    <col min="2" max="2" width="27.77734375" style="7" bestFit="1" customWidth="1"/>
    <col min="3" max="3" width="20.77734375" style="7" customWidth="1"/>
    <col min="4" max="4" width="3.88671875" style="7" customWidth="1"/>
    <col min="5" max="5" width="1" style="7" customWidth="1"/>
    <col min="6" max="6" width="20.77734375" style="7" customWidth="1"/>
    <col min="7" max="7" width="3.109375" style="7" customWidth="1"/>
    <col min="8" max="11" width="0" style="7" hidden="1" customWidth="1"/>
    <col min="12" max="16384" width="8.88671875" style="7" hidden="1"/>
  </cols>
  <sheetData>
    <row r="1" spans="2:11" ht="41.4" customHeight="1" x14ac:dyDescent="0.3">
      <c r="B1" s="39" t="s">
        <v>0</v>
      </c>
      <c r="C1" s="39"/>
      <c r="D1" s="39"/>
      <c r="E1" s="39"/>
      <c r="F1" s="39"/>
    </row>
    <row r="2" spans="2:11" ht="18" x14ac:dyDescent="0.3">
      <c r="C2" s="23" t="s">
        <v>1</v>
      </c>
      <c r="D2" s="10"/>
      <c r="E2" s="11"/>
      <c r="F2" s="1" t="s">
        <v>2</v>
      </c>
      <c r="J2" s="12">
        <v>0.1</v>
      </c>
      <c r="K2" s="12">
        <v>0.2</v>
      </c>
    </row>
    <row r="3" spans="2:11" ht="18" x14ac:dyDescent="0.3">
      <c r="B3" s="27" t="s">
        <v>3</v>
      </c>
      <c r="C3" s="20">
        <v>15</v>
      </c>
      <c r="D3" s="10"/>
      <c r="E3" s="8"/>
      <c r="F3" s="3">
        <f>C3</f>
        <v>15</v>
      </c>
      <c r="J3" s="13">
        <v>0.125</v>
      </c>
      <c r="K3" s="12">
        <v>0.25</v>
      </c>
    </row>
    <row r="4" spans="2:11" ht="18" x14ac:dyDescent="0.3">
      <c r="B4" s="2" t="s">
        <v>4</v>
      </c>
      <c r="C4" s="21">
        <v>0.05</v>
      </c>
      <c r="D4" s="10"/>
      <c r="E4" s="8"/>
      <c r="F4" s="21">
        <v>0.03</v>
      </c>
      <c r="J4" s="12">
        <v>0.2</v>
      </c>
      <c r="K4" s="12">
        <v>0.3</v>
      </c>
    </row>
    <row r="5" spans="2:11" ht="18" x14ac:dyDescent="0.3">
      <c r="B5" s="28" t="s">
        <v>5</v>
      </c>
      <c r="C5" s="22">
        <v>1000000000</v>
      </c>
      <c r="D5" s="10"/>
      <c r="E5" s="11"/>
      <c r="F5" s="4">
        <f>C5</f>
        <v>1000000000</v>
      </c>
      <c r="J5" s="12">
        <v>0.3</v>
      </c>
    </row>
    <row r="6" spans="2:11" ht="18" x14ac:dyDescent="0.3">
      <c r="B6" s="11"/>
      <c r="C6" s="15"/>
      <c r="D6" s="15"/>
      <c r="E6" s="11"/>
      <c r="F6" s="15"/>
    </row>
    <row r="7" spans="2:11" ht="18" x14ac:dyDescent="0.3">
      <c r="B7" s="24" t="s">
        <v>6</v>
      </c>
      <c r="C7" s="25" t="s">
        <v>7</v>
      </c>
      <c r="D7" s="15"/>
      <c r="E7" s="11"/>
      <c r="F7" s="25" t="s">
        <v>7</v>
      </c>
    </row>
    <row r="8" spans="2:11" ht="18" x14ac:dyDescent="0.3">
      <c r="B8" s="5" t="s">
        <v>8</v>
      </c>
      <c r="C8" s="14">
        <f>C5*C4</f>
        <v>50000000</v>
      </c>
      <c r="D8" s="15"/>
      <c r="E8" s="11"/>
      <c r="F8" s="4">
        <f>F5*F4</f>
        <v>30000000</v>
      </c>
    </row>
    <row r="9" spans="2:11" ht="18" x14ac:dyDescent="0.3">
      <c r="B9" s="29" t="s">
        <v>9</v>
      </c>
      <c r="C9" s="14">
        <f>C8/365</f>
        <v>136986.30136986301</v>
      </c>
      <c r="D9" s="15"/>
      <c r="E9" s="11"/>
      <c r="F9" s="4">
        <f>F8/365</f>
        <v>82191.780821917811</v>
      </c>
    </row>
    <row r="10" spans="2:11" ht="18" x14ac:dyDescent="0.3">
      <c r="B10" s="30" t="s">
        <v>10</v>
      </c>
      <c r="C10" s="31">
        <f>C9*C3</f>
        <v>2054794.5205479451</v>
      </c>
      <c r="D10" s="15"/>
      <c r="E10" s="16"/>
      <c r="F10" s="6">
        <f>F9*F3</f>
        <v>1232876.7123287672</v>
      </c>
      <c r="J10" s="17" t="s">
        <v>18</v>
      </c>
      <c r="K10" s="17" t="s">
        <v>19</v>
      </c>
    </row>
    <row r="11" spans="2:11" x14ac:dyDescent="0.3">
      <c r="B11" s="8"/>
      <c r="C11" s="8"/>
      <c r="D11" s="8"/>
      <c r="E11" s="8"/>
      <c r="F11" s="8"/>
    </row>
    <row r="12" spans="2:11" ht="18" x14ac:dyDescent="0.3">
      <c r="B12" s="40" t="s">
        <v>11</v>
      </c>
      <c r="C12" s="41"/>
      <c r="D12" s="41"/>
      <c r="E12" s="41"/>
      <c r="F12" s="42"/>
    </row>
    <row r="13" spans="2:11" ht="18" x14ac:dyDescent="0.3">
      <c r="B13" s="36" t="s">
        <v>12</v>
      </c>
      <c r="C13" s="33">
        <v>0.2</v>
      </c>
      <c r="D13" s="18">
        <v>0.125</v>
      </c>
      <c r="E13" s="8"/>
      <c r="F13" s="26">
        <v>0.25</v>
      </c>
      <c r="G13" s="18">
        <v>0.125</v>
      </c>
    </row>
    <row r="14" spans="2:11" ht="18" x14ac:dyDescent="0.3">
      <c r="B14" s="37" t="s">
        <v>13</v>
      </c>
      <c r="C14" s="34">
        <f>C10-(C10*C13)</f>
        <v>1643835.616438356</v>
      </c>
      <c r="D14" s="8"/>
      <c r="E14" s="8"/>
      <c r="F14" s="32">
        <f>F10-(F10*F13)</f>
        <v>924657.53424657532</v>
      </c>
    </row>
    <row r="15" spans="2:11" ht="18.600000000000001" thickBot="1" x14ac:dyDescent="0.35">
      <c r="B15" s="38" t="s">
        <v>14</v>
      </c>
      <c r="C15" s="35">
        <f>IF(C14-F14&lt;=0,0,C14-F14)</f>
        <v>719178.08219178068</v>
      </c>
      <c r="D15" s="8"/>
      <c r="E15" s="8"/>
      <c r="F15" s="19">
        <f>IF(F14-C14&lt;=0,0,F14-C14)</f>
        <v>0</v>
      </c>
    </row>
    <row r="16" spans="2:11" x14ac:dyDescent="0.3">
      <c r="B16" s="8"/>
      <c r="C16" s="8"/>
      <c r="D16" s="8"/>
      <c r="E16" s="8"/>
      <c r="F16" s="8"/>
    </row>
    <row r="17" spans="2:6" x14ac:dyDescent="0.3">
      <c r="B17" s="9" t="s">
        <v>15</v>
      </c>
      <c r="C17" s="8"/>
      <c r="D17" s="8"/>
      <c r="E17" s="8"/>
      <c r="F17" s="8"/>
    </row>
    <row r="18" spans="2:6" x14ac:dyDescent="0.3">
      <c r="B18" s="8"/>
      <c r="C18" s="8"/>
      <c r="D18" s="8"/>
      <c r="E18" s="8"/>
      <c r="F18" s="8"/>
    </row>
    <row r="19" spans="2:6" x14ac:dyDescent="0.3">
      <c r="B19" s="43" t="s">
        <v>16</v>
      </c>
      <c r="C19" s="43"/>
      <c r="D19" s="43"/>
      <c r="E19" s="43"/>
      <c r="F19" s="43"/>
    </row>
    <row r="20" spans="2:6" x14ac:dyDescent="0.3">
      <c r="B20" s="44" t="s">
        <v>17</v>
      </c>
      <c r="C20" s="44"/>
      <c r="D20" s="44"/>
      <c r="E20" s="44"/>
      <c r="F20" s="44"/>
    </row>
    <row r="21" spans="2:6" x14ac:dyDescent="0.3"/>
  </sheetData>
  <sheetProtection selectLockedCells="1"/>
  <mergeCells count="4">
    <mergeCell ref="B1:F1"/>
    <mergeCell ref="B12:F12"/>
    <mergeCell ref="B19:F19"/>
    <mergeCell ref="B20:F20"/>
  </mergeCells>
  <conditionalFormatting sqref="C15">
    <cfRule type="cellIs" dxfId="3" priority="2" operator="equal">
      <formula>0</formula>
    </cfRule>
    <cfRule type="cellIs" dxfId="2" priority="3" operator="greaterThan">
      <formula>0</formula>
    </cfRule>
  </conditionalFormatting>
  <conditionalFormatting sqref="F15">
    <cfRule type="cellIs" dxfId="1" priority="1" operator="equal">
      <formula>0</formula>
    </cfRule>
    <cfRule type="cellIs" dxfId="0" priority="4" operator="greaterThan">
      <formula>0</formula>
    </cfRule>
  </conditionalFormatting>
  <dataValidations disablePrompts="1" count="1">
    <dataValidation type="list" allowBlank="1" showInputMessage="1" showErrorMessage="1" sqref="D13 G13" xr:uid="{6C55836E-DDCB-48F3-A6E3-631913B80A88}">
      <formula1>"10%,12.5%,20%,30%"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&amp;L&amp;G&amp;R&amp;"Verdana,Bold"&amp;24&amp;K07-046Investment Comparison</oddHeader>
    <oddFooter>&amp;L&amp;"-,Bold Italic"&amp;9&amp;KC00000© Nivra Fintech LLC, India&amp;R&amp;"-,Bold Italic"&amp;9&amp;KC00000&amp;D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28" r:id="rId5" name="cbFDTax">
          <controlPr defaultSize="0" autoLine="0" linkedCell="K10" listFillRange="K2:K4" r:id="rId6">
            <anchor moveWithCells="1">
              <from>
                <xdr:col>6</xdr:col>
                <xdr:colOff>15240</xdr:colOff>
                <xdr:row>12</xdr:row>
                <xdr:rowOff>7620</xdr:rowOff>
              </from>
              <to>
                <xdr:col>6</xdr:col>
                <xdr:colOff>205740</xdr:colOff>
                <xdr:row>13</xdr:row>
                <xdr:rowOff>15240</xdr:rowOff>
              </to>
            </anchor>
          </controlPr>
        </control>
      </mc:Choice>
      <mc:Fallback>
        <control shapeId="1028" r:id="rId5" name="cbFDTax"/>
      </mc:Fallback>
    </mc:AlternateContent>
    <mc:AlternateContent xmlns:mc="http://schemas.openxmlformats.org/markup-compatibility/2006">
      <mc:Choice Requires="x14">
        <control shapeId="1029" r:id="rId7" name="cbMFTax">
          <controlPr defaultSize="0" autoLine="0" linkedCell="J10" listFillRange="J2:J5" r:id="rId6">
            <anchor moveWithCells="1">
              <from>
                <xdr:col>3</xdr:col>
                <xdr:colOff>22860</xdr:colOff>
                <xdr:row>12</xdr:row>
                <xdr:rowOff>7620</xdr:rowOff>
              </from>
              <to>
                <xdr:col>3</xdr:col>
                <xdr:colOff>213360</xdr:colOff>
                <xdr:row>13</xdr:row>
                <xdr:rowOff>15240</xdr:rowOff>
              </to>
            </anchor>
          </controlPr>
        </control>
      </mc:Choice>
      <mc:Fallback>
        <control shapeId="1029" r:id="rId7" name="cbMFTa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MF vs FD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Sasmith Reddi</dc:creator>
  <cp:lastModifiedBy>Sasmith Reddi</cp:lastModifiedBy>
  <cp:lastPrinted>2026-04-07T03:04:09Z</cp:lastPrinted>
  <dcterms:created xsi:type="dcterms:W3CDTF">2025-10-16T17:55:49Z</dcterms:created>
  <dcterms:modified xsi:type="dcterms:W3CDTF">2026-08-10T04:53:57Z</dcterms:modified>
</cp:coreProperties>
</file>