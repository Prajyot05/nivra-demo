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_Personal\Finance\Investments\Nivra FinTech\Tools\Unprotected\"/>
    </mc:Choice>
  </mc:AlternateContent>
  <xr:revisionPtr revIDLastSave="0" documentId="8_{DD8215A0-808F-4D32-BB0A-193ED0680AC3}" xr6:coauthVersionLast="47" xr6:coauthVersionMax="47" xr10:uidLastSave="{00000000-0000-0000-0000-000000000000}"/>
  <bookViews>
    <workbookView xWindow="-108" yWindow="-108" windowWidth="23256" windowHeight="12456" tabRatio="716" xr2:uid="{00000000-000D-0000-FFFF-FFFF00000000}"/>
  </bookViews>
  <sheets>
    <sheet name="Periodic" sheetId="31" r:id="rId1"/>
  </sheets>
  <functionGroups builtInGroupCount="19"/>
  <definedNames>
    <definedName name="_xleta.DATEVALUE" hidden="1" xlm="1">#NAME?</definedName>
    <definedName name="_xleta.FV" hidden="1" xlm="1">#NAME?</definedName>
    <definedName name="_xleta.IF" hidden="1" xlm="1">#NAME?</definedName>
    <definedName name="_xleta.MONTH" hidden="1" xlm="1">#NAME?</definedName>
    <definedName name="_xleta.OFFSET" hidden="1" xlm="1">#NAME?</definedName>
    <definedName name="_xleta.QUOTIENT" hidden="1" xlm="1">#NAME?</definedName>
    <definedName name="_xleta.RATE" hidden="1" xlm="1">#NAME?</definedName>
    <definedName name="_xleta.ROUND" hidden="1" xlm="1">#NAME?</definedName>
    <definedName name="_xleta.TODAY" hidden="1" xlm="1">#NAME?</definedName>
    <definedName name="GoalAmt" localSheetId="0">Periodic!#REF!</definedName>
    <definedName name="GoalChart">OFFSET(Periodic!$S$2,0,Periodic!$Z$1,1,Periodic!$AA$1)</definedName>
    <definedName name="GoalChartLbl">OFFSET(Periodic!$S$1,0,Periodic!$Z$1,1,Periodic!$AA$1)</definedName>
    <definedName name="GoalYears" localSheetId="0">Periodic!$C$10</definedName>
    <definedName name="GRate" localSheetId="0">Periodic!$C$11</definedName>
    <definedName name="SIPAmount" localSheetId="0">Periodic!$U$4</definedName>
    <definedName name="SIPGoal" localSheetId="0">Periodic!$O$3</definedName>
    <definedName name="SIPGoalTax">Periodic!$P$5</definedName>
    <definedName name="SIPGwTax">Periodic!$P$4</definedName>
    <definedName name="SRate">Periodic!$O$1</definedName>
    <definedName name="TaxRate">Periodic!$C$12</definedName>
    <definedName name="TotalInv" localSheetId="0">Periodic!$C$20</definedName>
    <definedName name="TotalLumpsum" localSheetId="0">Periodic!$C$19</definedName>
    <definedName name="TotalSIP" localSheetId="0">Periodic!#REF!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" i="31" l="1"/>
  <c r="L613" i="31" l="1"/>
  <c r="L14" i="31" l="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50" i="31"/>
  <c r="L51" i="31"/>
  <c r="L52" i="31"/>
  <c r="L53" i="31"/>
  <c r="L54" i="31"/>
  <c r="L55" i="31"/>
  <c r="L56" i="31"/>
  <c r="L57" i="31"/>
  <c r="L58" i="31"/>
  <c r="L59" i="31"/>
  <c r="L60" i="31"/>
  <c r="L61" i="31"/>
  <c r="L62" i="31"/>
  <c r="L63" i="31"/>
  <c r="L64" i="31"/>
  <c r="L65" i="31"/>
  <c r="L66" i="31"/>
  <c r="L67" i="31"/>
  <c r="L68" i="31"/>
  <c r="L69" i="31"/>
  <c r="L70" i="31"/>
  <c r="L71" i="31"/>
  <c r="L72" i="31"/>
  <c r="L73" i="31"/>
  <c r="L74" i="31"/>
  <c r="L75" i="31"/>
  <c r="L76" i="31"/>
  <c r="L77" i="31"/>
  <c r="L78" i="31"/>
  <c r="L79" i="31"/>
  <c r="L80" i="31"/>
  <c r="L81" i="31"/>
  <c r="L82" i="31"/>
  <c r="L83" i="31"/>
  <c r="L84" i="31"/>
  <c r="L85" i="31"/>
  <c r="L86" i="31"/>
  <c r="L87" i="31"/>
  <c r="L88" i="31"/>
  <c r="L89" i="31"/>
  <c r="L90" i="31"/>
  <c r="L91" i="31"/>
  <c r="L92" i="31"/>
  <c r="L93" i="31"/>
  <c r="L94" i="31"/>
  <c r="L95" i="31"/>
  <c r="L96" i="31"/>
  <c r="L97" i="31"/>
  <c r="L98" i="31"/>
  <c r="L99" i="31"/>
  <c r="L100" i="31"/>
  <c r="L101" i="31"/>
  <c r="L102" i="31"/>
  <c r="L103" i="31"/>
  <c r="L104" i="31"/>
  <c r="L105" i="31"/>
  <c r="L106" i="31"/>
  <c r="L107" i="31"/>
  <c r="L108" i="31"/>
  <c r="L109" i="31"/>
  <c r="L110" i="31"/>
  <c r="L111" i="31"/>
  <c r="L112" i="31"/>
  <c r="L113" i="31"/>
  <c r="L114" i="31"/>
  <c r="L115" i="31"/>
  <c r="L116" i="31"/>
  <c r="L117" i="31"/>
  <c r="L118" i="31"/>
  <c r="L119" i="31"/>
  <c r="L120" i="31"/>
  <c r="L121" i="31"/>
  <c r="L122" i="31"/>
  <c r="L123" i="31"/>
  <c r="L124" i="31"/>
  <c r="L125" i="31"/>
  <c r="L126" i="31"/>
  <c r="L127" i="31"/>
  <c r="L128" i="31"/>
  <c r="L129" i="31"/>
  <c r="L130" i="31"/>
  <c r="L131" i="31"/>
  <c r="L132" i="31"/>
  <c r="L133" i="31"/>
  <c r="L134" i="31"/>
  <c r="L135" i="31"/>
  <c r="L136" i="31"/>
  <c r="L137" i="31"/>
  <c r="L138" i="31"/>
  <c r="L139" i="31"/>
  <c r="L140" i="31"/>
  <c r="L141" i="31"/>
  <c r="L142" i="31"/>
  <c r="L143" i="31"/>
  <c r="L144" i="31"/>
  <c r="L145" i="31"/>
  <c r="L146" i="31"/>
  <c r="L147" i="31"/>
  <c r="L148" i="31"/>
  <c r="L149" i="31"/>
  <c r="L150" i="31"/>
  <c r="L151" i="31"/>
  <c r="L152" i="31"/>
  <c r="L153" i="31"/>
  <c r="L154" i="31"/>
  <c r="L155" i="31"/>
  <c r="L156" i="31"/>
  <c r="L157" i="31"/>
  <c r="L158" i="31"/>
  <c r="L159" i="31"/>
  <c r="L160" i="31"/>
  <c r="L161" i="31"/>
  <c r="L162" i="31"/>
  <c r="L163" i="31"/>
  <c r="L164" i="31"/>
  <c r="L165" i="31"/>
  <c r="L166" i="31"/>
  <c r="L167" i="31"/>
  <c r="L168" i="31"/>
  <c r="L169" i="31"/>
  <c r="L170" i="31"/>
  <c r="L171" i="31"/>
  <c r="L172" i="31"/>
  <c r="L173" i="31"/>
  <c r="L174" i="31"/>
  <c r="L175" i="31"/>
  <c r="L176" i="31"/>
  <c r="L177" i="31"/>
  <c r="L178" i="31"/>
  <c r="L179" i="31"/>
  <c r="L180" i="31"/>
  <c r="L181" i="31"/>
  <c r="L182" i="31"/>
  <c r="L183" i="31"/>
  <c r="L184" i="31"/>
  <c r="L185" i="31"/>
  <c r="L186" i="31"/>
  <c r="L187" i="31"/>
  <c r="L188" i="31"/>
  <c r="L189" i="31"/>
  <c r="L190" i="31"/>
  <c r="L191" i="31"/>
  <c r="L192" i="31"/>
  <c r="L193" i="31"/>
  <c r="L194" i="31"/>
  <c r="L195" i="31"/>
  <c r="L196" i="31"/>
  <c r="L197" i="31"/>
  <c r="L198" i="31"/>
  <c r="L199" i="31"/>
  <c r="L200" i="31"/>
  <c r="L201" i="31"/>
  <c r="L202" i="31"/>
  <c r="L203" i="31"/>
  <c r="L204" i="31"/>
  <c r="L205" i="31"/>
  <c r="L206" i="31"/>
  <c r="L207" i="31"/>
  <c r="L208" i="31"/>
  <c r="L209" i="31"/>
  <c r="L210" i="31"/>
  <c r="L211" i="31"/>
  <c r="L212" i="31"/>
  <c r="L213" i="31"/>
  <c r="L214" i="31"/>
  <c r="L215" i="31"/>
  <c r="L216" i="31"/>
  <c r="L217" i="31"/>
  <c r="L218" i="31"/>
  <c r="L219" i="31"/>
  <c r="L220" i="31"/>
  <c r="L221" i="31"/>
  <c r="L222" i="31"/>
  <c r="L223" i="31"/>
  <c r="L224" i="31"/>
  <c r="L225" i="31"/>
  <c r="L226" i="31"/>
  <c r="L227" i="31"/>
  <c r="L228" i="31"/>
  <c r="L229" i="31"/>
  <c r="L230" i="31"/>
  <c r="L231" i="31"/>
  <c r="L232" i="31"/>
  <c r="L233" i="31"/>
  <c r="L234" i="31"/>
  <c r="L235" i="31"/>
  <c r="L236" i="31"/>
  <c r="L237" i="31"/>
  <c r="L238" i="31"/>
  <c r="L239" i="31"/>
  <c r="L240" i="31"/>
  <c r="L241" i="31"/>
  <c r="L242" i="31"/>
  <c r="L243" i="31"/>
  <c r="L244" i="31"/>
  <c r="L245" i="31"/>
  <c r="L246" i="31"/>
  <c r="L247" i="31"/>
  <c r="L248" i="31"/>
  <c r="L249" i="31"/>
  <c r="L250" i="31"/>
  <c r="L251" i="31"/>
  <c r="L252" i="31"/>
  <c r="L253" i="31"/>
  <c r="L254" i="31"/>
  <c r="L255" i="31"/>
  <c r="L256" i="31"/>
  <c r="L257" i="31"/>
  <c r="L258" i="31"/>
  <c r="L259" i="31"/>
  <c r="L260" i="31"/>
  <c r="L261" i="31"/>
  <c r="L262" i="31"/>
  <c r="L263" i="31"/>
  <c r="L264" i="31"/>
  <c r="L265" i="31"/>
  <c r="L266" i="31"/>
  <c r="L267" i="31"/>
  <c r="L268" i="31"/>
  <c r="L269" i="31"/>
  <c r="L270" i="31"/>
  <c r="L271" i="31"/>
  <c r="L272" i="31"/>
  <c r="L273" i="31"/>
  <c r="L274" i="31"/>
  <c r="L275" i="31"/>
  <c r="L276" i="31"/>
  <c r="L277" i="31"/>
  <c r="L278" i="31"/>
  <c r="L279" i="31"/>
  <c r="L280" i="31"/>
  <c r="L281" i="31"/>
  <c r="L282" i="31"/>
  <c r="L283" i="31"/>
  <c r="L284" i="31"/>
  <c r="L285" i="31"/>
  <c r="L286" i="31"/>
  <c r="L287" i="31"/>
  <c r="L288" i="31"/>
  <c r="L289" i="31"/>
  <c r="L290" i="31"/>
  <c r="L291" i="31"/>
  <c r="L292" i="31"/>
  <c r="L293" i="31"/>
  <c r="L294" i="31"/>
  <c r="L295" i="31"/>
  <c r="L296" i="31"/>
  <c r="L297" i="31"/>
  <c r="L298" i="31"/>
  <c r="L299" i="31"/>
  <c r="L300" i="31"/>
  <c r="L301" i="31"/>
  <c r="L302" i="31"/>
  <c r="L303" i="31"/>
  <c r="L304" i="31"/>
  <c r="L305" i="31"/>
  <c r="L306" i="31"/>
  <c r="L307" i="31"/>
  <c r="L308" i="31"/>
  <c r="L309" i="31"/>
  <c r="L310" i="31"/>
  <c r="L311" i="31"/>
  <c r="L312" i="31"/>
  <c r="L313" i="31"/>
  <c r="L314" i="31"/>
  <c r="L315" i="31"/>
  <c r="L316" i="31"/>
  <c r="L317" i="31"/>
  <c r="L318" i="31"/>
  <c r="L319" i="31"/>
  <c r="L320" i="31"/>
  <c r="L321" i="31"/>
  <c r="L322" i="31"/>
  <c r="L323" i="31"/>
  <c r="L324" i="31"/>
  <c r="L325" i="31"/>
  <c r="L326" i="31"/>
  <c r="L327" i="31"/>
  <c r="L328" i="31"/>
  <c r="L329" i="31"/>
  <c r="L330" i="31"/>
  <c r="L331" i="31"/>
  <c r="L332" i="31"/>
  <c r="L333" i="31"/>
  <c r="L334" i="31"/>
  <c r="L335" i="31"/>
  <c r="L336" i="31"/>
  <c r="L337" i="31"/>
  <c r="L338" i="31"/>
  <c r="L339" i="31"/>
  <c r="L340" i="31"/>
  <c r="L341" i="31"/>
  <c r="L342" i="31"/>
  <c r="L343" i="31"/>
  <c r="L344" i="31"/>
  <c r="L345" i="31"/>
  <c r="L346" i="31"/>
  <c r="L347" i="31"/>
  <c r="L348" i="31"/>
  <c r="L349" i="31"/>
  <c r="L350" i="31"/>
  <c r="L351" i="31"/>
  <c r="L352" i="31"/>
  <c r="L353" i="31"/>
  <c r="L354" i="31"/>
  <c r="L355" i="31"/>
  <c r="L356" i="31"/>
  <c r="L357" i="31"/>
  <c r="L358" i="31"/>
  <c r="L359" i="31"/>
  <c r="L360" i="31"/>
  <c r="L361" i="31"/>
  <c r="L362" i="31"/>
  <c r="L363" i="31"/>
  <c r="L364" i="31"/>
  <c r="L365" i="31"/>
  <c r="L366" i="31"/>
  <c r="L367" i="31"/>
  <c r="L368" i="31"/>
  <c r="L369" i="31"/>
  <c r="L370" i="31"/>
  <c r="L371" i="31"/>
  <c r="L372" i="31"/>
  <c r="L373" i="31"/>
  <c r="L374" i="31"/>
  <c r="L375" i="31"/>
  <c r="L376" i="31"/>
  <c r="L377" i="31"/>
  <c r="L378" i="31"/>
  <c r="L379" i="31"/>
  <c r="L380" i="31"/>
  <c r="L381" i="31"/>
  <c r="L382" i="31"/>
  <c r="L383" i="31"/>
  <c r="L384" i="31"/>
  <c r="L385" i="31"/>
  <c r="L386" i="31"/>
  <c r="L387" i="31"/>
  <c r="L388" i="31"/>
  <c r="L389" i="31"/>
  <c r="L390" i="31"/>
  <c r="L391" i="31"/>
  <c r="L392" i="31"/>
  <c r="L393" i="31"/>
  <c r="L394" i="31"/>
  <c r="L395" i="31"/>
  <c r="L396" i="31"/>
  <c r="L397" i="31"/>
  <c r="L398" i="31"/>
  <c r="L399" i="31"/>
  <c r="L400" i="31"/>
  <c r="L401" i="31"/>
  <c r="L402" i="31"/>
  <c r="L403" i="31"/>
  <c r="L404" i="31"/>
  <c r="L405" i="31"/>
  <c r="L406" i="31"/>
  <c r="L407" i="31"/>
  <c r="L408" i="31"/>
  <c r="L409" i="31"/>
  <c r="L410" i="31"/>
  <c r="L411" i="31"/>
  <c r="L412" i="31"/>
  <c r="L413" i="31"/>
  <c r="L414" i="31"/>
  <c r="L415" i="31"/>
  <c r="L416" i="31"/>
  <c r="L417" i="31"/>
  <c r="L418" i="31"/>
  <c r="L419" i="31"/>
  <c r="L420" i="31"/>
  <c r="L421" i="31"/>
  <c r="L422" i="31"/>
  <c r="L423" i="31"/>
  <c r="L424" i="31"/>
  <c r="L425" i="31"/>
  <c r="L426" i="31"/>
  <c r="L427" i="31"/>
  <c r="L428" i="31"/>
  <c r="L429" i="31"/>
  <c r="L430" i="31"/>
  <c r="L431" i="31"/>
  <c r="L432" i="31"/>
  <c r="L433" i="31"/>
  <c r="L434" i="31"/>
  <c r="L435" i="31"/>
  <c r="L436" i="31"/>
  <c r="L437" i="31"/>
  <c r="L438" i="31"/>
  <c r="L439" i="31"/>
  <c r="L440" i="31"/>
  <c r="L441" i="31"/>
  <c r="L442" i="31"/>
  <c r="L443" i="31"/>
  <c r="L444" i="31"/>
  <c r="L445" i="31"/>
  <c r="L446" i="31"/>
  <c r="L447" i="31"/>
  <c r="L448" i="31"/>
  <c r="L449" i="31"/>
  <c r="L450" i="31"/>
  <c r="L451" i="31"/>
  <c r="L452" i="31"/>
  <c r="L453" i="31"/>
  <c r="L454" i="31"/>
  <c r="L455" i="31"/>
  <c r="L456" i="31"/>
  <c r="L457" i="31"/>
  <c r="L458" i="31"/>
  <c r="L459" i="31"/>
  <c r="L460" i="31"/>
  <c r="L461" i="31"/>
  <c r="L462" i="31"/>
  <c r="L463" i="31"/>
  <c r="L464" i="31"/>
  <c r="L465" i="31"/>
  <c r="L466" i="31"/>
  <c r="L467" i="31"/>
  <c r="L468" i="31"/>
  <c r="L469" i="31"/>
  <c r="L470" i="31"/>
  <c r="L471" i="31"/>
  <c r="L472" i="31"/>
  <c r="L473" i="31"/>
  <c r="L474" i="31"/>
  <c r="L475" i="31"/>
  <c r="L476" i="31"/>
  <c r="L477" i="31"/>
  <c r="L478" i="31"/>
  <c r="L479" i="31"/>
  <c r="L480" i="31"/>
  <c r="L481" i="31"/>
  <c r="L482" i="31"/>
  <c r="L483" i="31"/>
  <c r="L484" i="31"/>
  <c r="L485" i="31"/>
  <c r="L486" i="31"/>
  <c r="L487" i="31"/>
  <c r="L488" i="31"/>
  <c r="L489" i="31"/>
  <c r="L490" i="31"/>
  <c r="L491" i="31"/>
  <c r="L492" i="31"/>
  <c r="L493" i="31"/>
  <c r="L494" i="31"/>
  <c r="L495" i="31"/>
  <c r="L496" i="31"/>
  <c r="L497" i="31"/>
  <c r="L498" i="31"/>
  <c r="L499" i="31"/>
  <c r="L500" i="31"/>
  <c r="L501" i="31"/>
  <c r="L502" i="31"/>
  <c r="L503" i="31"/>
  <c r="L504" i="31"/>
  <c r="L505" i="31"/>
  <c r="L506" i="31"/>
  <c r="L507" i="31"/>
  <c r="L508" i="31"/>
  <c r="L509" i="31"/>
  <c r="L510" i="31"/>
  <c r="L511" i="31"/>
  <c r="L512" i="31"/>
  <c r="L513" i="31"/>
  <c r="L514" i="31"/>
  <c r="L515" i="31"/>
  <c r="L516" i="31"/>
  <c r="L517" i="31"/>
  <c r="L518" i="31"/>
  <c r="L519" i="31"/>
  <c r="L520" i="31"/>
  <c r="L521" i="31"/>
  <c r="L522" i="31"/>
  <c r="L523" i="31"/>
  <c r="L524" i="31"/>
  <c r="L525" i="31"/>
  <c r="L526" i="31"/>
  <c r="L527" i="31"/>
  <c r="L528" i="31"/>
  <c r="L529" i="31"/>
  <c r="L530" i="31"/>
  <c r="L531" i="31"/>
  <c r="L532" i="31"/>
  <c r="L533" i="31"/>
  <c r="L534" i="31"/>
  <c r="L535" i="31"/>
  <c r="L536" i="31"/>
  <c r="L537" i="31"/>
  <c r="L538" i="31"/>
  <c r="L539" i="31"/>
  <c r="L540" i="31"/>
  <c r="L541" i="31"/>
  <c r="L542" i="31"/>
  <c r="L543" i="31"/>
  <c r="L544" i="31"/>
  <c r="L545" i="31"/>
  <c r="L546" i="31"/>
  <c r="L547" i="31"/>
  <c r="L548" i="31"/>
  <c r="L549" i="31"/>
  <c r="L550" i="31"/>
  <c r="L551" i="31"/>
  <c r="L552" i="31"/>
  <c r="L553" i="31"/>
  <c r="L554" i="31"/>
  <c r="L555" i="31"/>
  <c r="L556" i="31"/>
  <c r="L557" i="31"/>
  <c r="L558" i="31"/>
  <c r="L559" i="31"/>
  <c r="L560" i="31"/>
  <c r="L561" i="31"/>
  <c r="L562" i="31"/>
  <c r="L563" i="31"/>
  <c r="L564" i="31"/>
  <c r="L565" i="31"/>
  <c r="L566" i="31"/>
  <c r="L567" i="31"/>
  <c r="L568" i="31"/>
  <c r="L569" i="31"/>
  <c r="L570" i="31"/>
  <c r="L571" i="31"/>
  <c r="L572" i="31"/>
  <c r="L573" i="31"/>
  <c r="L574" i="31"/>
  <c r="L575" i="31"/>
  <c r="L576" i="31"/>
  <c r="L577" i="31"/>
  <c r="L578" i="31"/>
  <c r="L579" i="31"/>
  <c r="L580" i="31"/>
  <c r="L581" i="31"/>
  <c r="L582" i="31"/>
  <c r="L583" i="31"/>
  <c r="L584" i="31"/>
  <c r="L585" i="31"/>
  <c r="L586" i="31"/>
  <c r="L587" i="31"/>
  <c r="L588" i="31"/>
  <c r="L589" i="31"/>
  <c r="L590" i="31"/>
  <c r="L591" i="31"/>
  <c r="L592" i="31"/>
  <c r="L593" i="31"/>
  <c r="L594" i="31"/>
  <c r="L595" i="31"/>
  <c r="L596" i="31"/>
  <c r="L597" i="31"/>
  <c r="L598" i="31"/>
  <c r="L599" i="31"/>
  <c r="L600" i="31"/>
  <c r="L601" i="31"/>
  <c r="L602" i="31"/>
  <c r="L603" i="31"/>
  <c r="L604" i="31"/>
  <c r="L605" i="31"/>
  <c r="L606" i="31"/>
  <c r="L607" i="31"/>
  <c r="L608" i="31"/>
  <c r="L609" i="31"/>
  <c r="L610" i="31"/>
  <c r="L611" i="31"/>
  <c r="L612" i="31"/>
  <c r="L13" i="31"/>
  <c r="O8" i="31" l="1"/>
  <c r="O361" i="31" l="1"/>
  <c r="O612" i="31"/>
  <c r="O600" i="31"/>
  <c r="O588" i="31"/>
  <c r="O504" i="31"/>
  <c r="O480" i="31"/>
  <c r="O324" i="31"/>
  <c r="O503" i="31"/>
  <c r="O395" i="31"/>
  <c r="O383" i="31"/>
  <c r="O299" i="31"/>
  <c r="O426" i="31"/>
  <c r="O366" i="31"/>
  <c r="O605" i="31"/>
  <c r="O610" i="31"/>
  <c r="O609" i="31"/>
  <c r="O525" i="31"/>
  <c r="O381" i="31"/>
  <c r="O594" i="31"/>
  <c r="O596" i="31"/>
  <c r="O500" i="31"/>
  <c r="O488" i="31"/>
  <c r="O308" i="31"/>
  <c r="O607" i="31"/>
  <c r="O595" i="31"/>
  <c r="O593" i="31"/>
  <c r="O604" i="31"/>
  <c r="O507" i="31"/>
  <c r="O423" i="31"/>
  <c r="O387" i="31"/>
  <c r="O590" i="31"/>
  <c r="O544" i="31"/>
  <c r="O413" i="31"/>
  <c r="O410" i="31"/>
  <c r="O519" i="31"/>
  <c r="N613" i="31"/>
  <c r="N14" i="31"/>
  <c r="N26" i="31"/>
  <c r="O26" i="31" s="1"/>
  <c r="N38" i="31"/>
  <c r="O38" i="31" s="1"/>
  <c r="N50" i="31"/>
  <c r="O50" i="31" s="1"/>
  <c r="N62" i="31"/>
  <c r="O62" i="31" s="1"/>
  <c r="N75" i="31"/>
  <c r="O75" i="31" s="1"/>
  <c r="N87" i="31"/>
  <c r="N99" i="31"/>
  <c r="N111" i="31"/>
  <c r="N123" i="31"/>
  <c r="O123" i="31" s="1"/>
  <c r="N135" i="31"/>
  <c r="O135" i="31" s="1"/>
  <c r="N147" i="31"/>
  <c r="N159" i="31"/>
  <c r="O159" i="31" s="1"/>
  <c r="N171" i="31"/>
  <c r="N183" i="31"/>
  <c r="O183" i="31" s="1"/>
  <c r="N195" i="31"/>
  <c r="O195" i="31" s="1"/>
  <c r="N207" i="31"/>
  <c r="N219" i="31"/>
  <c r="O219" i="31" s="1"/>
  <c r="N231" i="31"/>
  <c r="N243" i="31"/>
  <c r="N255" i="31"/>
  <c r="O255" i="31" s="1"/>
  <c r="N267" i="31"/>
  <c r="N279" i="31"/>
  <c r="O279" i="31" s="1"/>
  <c r="N291" i="31"/>
  <c r="O291" i="31" s="1"/>
  <c r="N303" i="31"/>
  <c r="O303" i="31" s="1"/>
  <c r="N315" i="31"/>
  <c r="N327" i="31"/>
  <c r="O327" i="31" s="1"/>
  <c r="N339" i="31"/>
  <c r="N351" i="31"/>
  <c r="O351" i="31" s="1"/>
  <c r="N363" i="31"/>
  <c r="O363" i="31" s="1"/>
  <c r="N375" i="31"/>
  <c r="N387" i="31"/>
  <c r="N399" i="31"/>
  <c r="O399" i="31" s="1"/>
  <c r="N411" i="31"/>
  <c r="O411" i="31" s="1"/>
  <c r="N423" i="31"/>
  <c r="N435" i="31"/>
  <c r="O435" i="31" s="1"/>
  <c r="N447" i="31"/>
  <c r="N459" i="31"/>
  <c r="N471" i="31"/>
  <c r="N483" i="31"/>
  <c r="N495" i="31"/>
  <c r="N507" i="31"/>
  <c r="N519" i="31"/>
  <c r="N531" i="31"/>
  <c r="N543" i="31"/>
  <c r="N555" i="31"/>
  <c r="O555" i="31" s="1"/>
  <c r="N567" i="31"/>
  <c r="O567" i="31" s="1"/>
  <c r="N579" i="31"/>
  <c r="O579" i="31" s="1"/>
  <c r="N591" i="31"/>
  <c r="O591" i="31" s="1"/>
  <c r="N603" i="31"/>
  <c r="N16" i="31"/>
  <c r="O16" i="31" s="1"/>
  <c r="N28" i="31"/>
  <c r="N40" i="31"/>
  <c r="O40" i="31" s="1"/>
  <c r="N52" i="31"/>
  <c r="O52" i="31" s="1"/>
  <c r="N64" i="31"/>
  <c r="O64" i="31" s="1"/>
  <c r="N77" i="31"/>
  <c r="N89" i="31"/>
  <c r="N101" i="31"/>
  <c r="O101" i="31" s="1"/>
  <c r="N113" i="31"/>
  <c r="O113" i="31" s="1"/>
  <c r="N125" i="31"/>
  <c r="O125" i="31" s="1"/>
  <c r="N137" i="31"/>
  <c r="O137" i="31" s="1"/>
  <c r="N149" i="31"/>
  <c r="O149" i="31" s="1"/>
  <c r="N161" i="31"/>
  <c r="O161" i="31" s="1"/>
  <c r="N173" i="31"/>
  <c r="N185" i="31"/>
  <c r="O185" i="31" s="1"/>
  <c r="N197" i="31"/>
  <c r="O197" i="31" s="1"/>
  <c r="N209" i="31"/>
  <c r="O209" i="31" s="1"/>
  <c r="N221" i="31"/>
  <c r="N233" i="31"/>
  <c r="N245" i="31"/>
  <c r="O245" i="31" s="1"/>
  <c r="N257" i="31"/>
  <c r="O257" i="31" s="1"/>
  <c r="N269" i="31"/>
  <c r="O269" i="31" s="1"/>
  <c r="N281" i="31"/>
  <c r="N293" i="31"/>
  <c r="O293" i="31" s="1"/>
  <c r="N305" i="31"/>
  <c r="O305" i="31" s="1"/>
  <c r="N317" i="31"/>
  <c r="O317" i="31" s="1"/>
  <c r="N329" i="31"/>
  <c r="O329" i="31" s="1"/>
  <c r="N341" i="31"/>
  <c r="O341" i="31" s="1"/>
  <c r="N353" i="31"/>
  <c r="N365" i="31"/>
  <c r="O365" i="31" s="1"/>
  <c r="N377" i="31"/>
  <c r="N389" i="31"/>
  <c r="O389" i="31" s="1"/>
  <c r="N401" i="31"/>
  <c r="N413" i="31"/>
  <c r="N425" i="31"/>
  <c r="N437" i="31"/>
  <c r="N449" i="31"/>
  <c r="O449" i="31" s="1"/>
  <c r="N461" i="31"/>
  <c r="O461" i="31" s="1"/>
  <c r="N473" i="31"/>
  <c r="O473" i="31" s="1"/>
  <c r="N485" i="31"/>
  <c r="N497" i="31"/>
  <c r="N509" i="31"/>
  <c r="N521" i="31"/>
  <c r="O521" i="31" s="1"/>
  <c r="N533" i="31"/>
  <c r="O533" i="31" s="1"/>
  <c r="N545" i="31"/>
  <c r="O545" i="31" s="1"/>
  <c r="N557" i="31"/>
  <c r="O557" i="31" s="1"/>
  <c r="N569" i="31"/>
  <c r="O569" i="31" s="1"/>
  <c r="N581" i="31"/>
  <c r="O581" i="31" s="1"/>
  <c r="N593" i="31"/>
  <c r="N605" i="31"/>
  <c r="N17" i="31"/>
  <c r="O17" i="31" s="1"/>
  <c r="N29" i="31"/>
  <c r="O29" i="31" s="1"/>
  <c r="N41" i="31"/>
  <c r="N53" i="31"/>
  <c r="O53" i="31" s="1"/>
  <c r="N65" i="31"/>
  <c r="O65" i="31" s="1"/>
  <c r="N78" i="31"/>
  <c r="O78" i="31" s="1"/>
  <c r="N90" i="31"/>
  <c r="O90" i="31" s="1"/>
  <c r="N102" i="31"/>
  <c r="O102" i="31" s="1"/>
  <c r="N114" i="31"/>
  <c r="O114" i="31" s="1"/>
  <c r="N126" i="31"/>
  <c r="N138" i="31"/>
  <c r="O138" i="31" s="1"/>
  <c r="N150" i="31"/>
  <c r="N162" i="31"/>
  <c r="O162" i="31" s="1"/>
  <c r="N174" i="31"/>
  <c r="O174" i="31" s="1"/>
  <c r="N186" i="31"/>
  <c r="N198" i="31"/>
  <c r="N210" i="31"/>
  <c r="N222" i="31"/>
  <c r="O222" i="31" s="1"/>
  <c r="N234" i="31"/>
  <c r="O234" i="31" s="1"/>
  <c r="N246" i="31"/>
  <c r="O246" i="31" s="1"/>
  <c r="N258" i="31"/>
  <c r="O258" i="31" s="1"/>
  <c r="N270" i="31"/>
  <c r="N282" i="31"/>
  <c r="O282" i="31" s="1"/>
  <c r="N294" i="31"/>
  <c r="N306" i="31"/>
  <c r="O306" i="31" s="1"/>
  <c r="N318" i="31"/>
  <c r="N330" i="31"/>
  <c r="N342" i="31"/>
  <c r="N354" i="31"/>
  <c r="N366" i="31"/>
  <c r="N378" i="31"/>
  <c r="O378" i="31" s="1"/>
  <c r="N390" i="31"/>
  <c r="O390" i="31" s="1"/>
  <c r="N402" i="31"/>
  <c r="O402" i="31" s="1"/>
  <c r="N414" i="31"/>
  <c r="O414" i="31" s="1"/>
  <c r="N426" i="31"/>
  <c r="N438" i="31"/>
  <c r="N450" i="31"/>
  <c r="N462" i="31"/>
  <c r="O462" i="31" s="1"/>
  <c r="N474" i="31"/>
  <c r="N486" i="31"/>
  <c r="N498" i="31"/>
  <c r="N510" i="31"/>
  <c r="O510" i="31" s="1"/>
  <c r="N522" i="31"/>
  <c r="O522" i="31" s="1"/>
  <c r="N534" i="31"/>
  <c r="N546" i="31"/>
  <c r="N558" i="31"/>
  <c r="N570" i="31"/>
  <c r="N582" i="31"/>
  <c r="N594" i="31"/>
  <c r="N606" i="31"/>
  <c r="N19" i="31"/>
  <c r="O19" i="31" s="1"/>
  <c r="N31" i="31"/>
  <c r="O31" i="31" s="1"/>
  <c r="N43" i="31"/>
  <c r="O43" i="31" s="1"/>
  <c r="N55" i="31"/>
  <c r="O55" i="31" s="1"/>
  <c r="N67" i="31"/>
  <c r="N80" i="31"/>
  <c r="O80" i="31" s="1"/>
  <c r="N92" i="31"/>
  <c r="O92" i="31" s="1"/>
  <c r="N104" i="31"/>
  <c r="N116" i="31"/>
  <c r="O116" i="31" s="1"/>
  <c r="N128" i="31"/>
  <c r="N140" i="31"/>
  <c r="O140" i="31" s="1"/>
  <c r="N152" i="31"/>
  <c r="N164" i="31"/>
  <c r="O164" i="31" s="1"/>
  <c r="N176" i="31"/>
  <c r="O176" i="31" s="1"/>
  <c r="N188" i="31"/>
  <c r="N200" i="31"/>
  <c r="O200" i="31" s="1"/>
  <c r="N212" i="31"/>
  <c r="O212" i="31" s="1"/>
  <c r="N224" i="31"/>
  <c r="O224" i="31" s="1"/>
  <c r="N236" i="31"/>
  <c r="O236" i="31" s="1"/>
  <c r="N248" i="31"/>
  <c r="N260" i="31"/>
  <c r="O260" i="31" s="1"/>
  <c r="N272" i="31"/>
  <c r="N284" i="31"/>
  <c r="N296" i="31"/>
  <c r="N308" i="31"/>
  <c r="N320" i="31"/>
  <c r="O320" i="31" s="1"/>
  <c r="N332" i="31"/>
  <c r="O332" i="31" s="1"/>
  <c r="N344" i="31"/>
  <c r="O344" i="31" s="1"/>
  <c r="N356" i="31"/>
  <c r="O356" i="31" s="1"/>
  <c r="N368" i="31"/>
  <c r="O368" i="31" s="1"/>
  <c r="N380" i="31"/>
  <c r="O380" i="31" s="1"/>
  <c r="N392" i="31"/>
  <c r="O392" i="31" s="1"/>
  <c r="N404" i="31"/>
  <c r="O404" i="31" s="1"/>
  <c r="N416" i="31"/>
  <c r="N428" i="31"/>
  <c r="N440" i="31"/>
  <c r="N452" i="31"/>
  <c r="N464" i="31"/>
  <c r="N476" i="31"/>
  <c r="N488" i="31"/>
  <c r="N500" i="31"/>
  <c r="N512" i="31"/>
  <c r="O512" i="31" s="1"/>
  <c r="N524" i="31"/>
  <c r="O524" i="31" s="1"/>
  <c r="N536" i="31"/>
  <c r="O536" i="31" s="1"/>
  <c r="N548" i="31"/>
  <c r="O548" i="31" s="1"/>
  <c r="N560" i="31"/>
  <c r="N572" i="31"/>
  <c r="N584" i="31"/>
  <c r="N596" i="31"/>
  <c r="N608" i="31"/>
  <c r="O608" i="31" s="1"/>
  <c r="N20" i="31"/>
  <c r="O20" i="31" s="1"/>
  <c r="N32" i="31"/>
  <c r="N44" i="31"/>
  <c r="N56" i="31"/>
  <c r="O56" i="31" s="1"/>
  <c r="N68" i="31"/>
  <c r="O68" i="31" s="1"/>
  <c r="N81" i="31"/>
  <c r="N93" i="31"/>
  <c r="N105" i="31"/>
  <c r="N117" i="31"/>
  <c r="O117" i="31" s="1"/>
  <c r="N129" i="31"/>
  <c r="N141" i="31"/>
  <c r="N153" i="31"/>
  <c r="N165" i="31"/>
  <c r="N177" i="31"/>
  <c r="O177" i="31" s="1"/>
  <c r="N189" i="31"/>
  <c r="O189" i="31" s="1"/>
  <c r="N201" i="31"/>
  <c r="O201" i="31" s="1"/>
  <c r="N213" i="31"/>
  <c r="N225" i="31"/>
  <c r="N237" i="31"/>
  <c r="O237" i="31" s="1"/>
  <c r="N249" i="31"/>
  <c r="N261" i="31"/>
  <c r="O261" i="31" s="1"/>
  <c r="N273" i="31"/>
  <c r="O273" i="31" s="1"/>
  <c r="N285" i="31"/>
  <c r="N297" i="31"/>
  <c r="O297" i="31" s="1"/>
  <c r="N309" i="31"/>
  <c r="N321" i="31"/>
  <c r="O321" i="31" s="1"/>
  <c r="N333" i="31"/>
  <c r="O333" i="31" s="1"/>
  <c r="N345" i="31"/>
  <c r="N357" i="31"/>
  <c r="O357" i="31" s="1"/>
  <c r="N369" i="31"/>
  <c r="N381" i="31"/>
  <c r="N393" i="31"/>
  <c r="N405" i="31"/>
  <c r="O405" i="31" s="1"/>
  <c r="N417" i="31"/>
  <c r="N429" i="31"/>
  <c r="N441" i="31"/>
  <c r="N453" i="31"/>
  <c r="N465" i="31"/>
  <c r="O465" i="31" s="1"/>
  <c r="N477" i="31"/>
  <c r="O477" i="31" s="1"/>
  <c r="N489" i="31"/>
  <c r="N501" i="31"/>
  <c r="N513" i="31"/>
  <c r="O513" i="31" s="1"/>
  <c r="N525" i="31"/>
  <c r="N537" i="31"/>
  <c r="N549" i="31"/>
  <c r="O549" i="31" s="1"/>
  <c r="N561" i="31"/>
  <c r="N573" i="31"/>
  <c r="O573" i="31" s="1"/>
  <c r="N585" i="31"/>
  <c r="N597" i="31"/>
  <c r="N609" i="31"/>
  <c r="N21" i="31"/>
  <c r="O21" i="31" s="1"/>
  <c r="N33" i="31"/>
  <c r="O33" i="31" s="1"/>
  <c r="N45" i="31"/>
  <c r="O45" i="31" s="1"/>
  <c r="N57" i="31"/>
  <c r="O57" i="31" s="1"/>
  <c r="N69" i="31"/>
  <c r="N82" i="31"/>
  <c r="O82" i="31" s="1"/>
  <c r="N94" i="31"/>
  <c r="O94" i="31" s="1"/>
  <c r="N106" i="31"/>
  <c r="O106" i="31" s="1"/>
  <c r="N118" i="31"/>
  <c r="N130" i="31"/>
  <c r="N142" i="31"/>
  <c r="N154" i="31"/>
  <c r="O154" i="31" s="1"/>
  <c r="N166" i="31"/>
  <c r="O166" i="31" s="1"/>
  <c r="N178" i="31"/>
  <c r="O178" i="31" s="1"/>
  <c r="N190" i="31"/>
  <c r="O190" i="31" s="1"/>
  <c r="N202" i="31"/>
  <c r="O202" i="31" s="1"/>
  <c r="N214" i="31"/>
  <c r="N226" i="31"/>
  <c r="O226" i="31" s="1"/>
  <c r="N238" i="31"/>
  <c r="O238" i="31" s="1"/>
  <c r="N250" i="31"/>
  <c r="O250" i="31" s="1"/>
  <c r="N262" i="31"/>
  <c r="N274" i="31"/>
  <c r="N286" i="31"/>
  <c r="N298" i="31"/>
  <c r="O298" i="31" s="1"/>
  <c r="N310" i="31"/>
  <c r="O310" i="31" s="1"/>
  <c r="N322" i="31"/>
  <c r="O322" i="31" s="1"/>
  <c r="N334" i="31"/>
  <c r="O334" i="31" s="1"/>
  <c r="N346" i="31"/>
  <c r="O346" i="31" s="1"/>
  <c r="N358" i="31"/>
  <c r="O358" i="31" s="1"/>
  <c r="N370" i="31"/>
  <c r="O370" i="31" s="1"/>
  <c r="N382" i="31"/>
  <c r="N394" i="31"/>
  <c r="N406" i="31"/>
  <c r="N418" i="31"/>
  <c r="N430" i="31"/>
  <c r="N442" i="31"/>
  <c r="O442" i="31" s="1"/>
  <c r="N454" i="31"/>
  <c r="N466" i="31"/>
  <c r="O466" i="31" s="1"/>
  <c r="N478" i="31"/>
  <c r="O478" i="31" s="1"/>
  <c r="N490" i="31"/>
  <c r="O490" i="31" s="1"/>
  <c r="N502" i="31"/>
  <c r="O502" i="31" s="1"/>
  <c r="N514" i="31"/>
  <c r="O514" i="31" s="1"/>
  <c r="N526" i="31"/>
  <c r="N538" i="31"/>
  <c r="N550" i="31"/>
  <c r="O550" i="31" s="1"/>
  <c r="N562" i="31"/>
  <c r="N574" i="31"/>
  <c r="N586" i="31"/>
  <c r="O586" i="31" s="1"/>
  <c r="N598" i="31"/>
  <c r="N610" i="31"/>
  <c r="N22" i="31"/>
  <c r="O22" i="31" s="1"/>
  <c r="N34" i="31"/>
  <c r="O34" i="31" s="1"/>
  <c r="N46" i="31"/>
  <c r="O46" i="31" s="1"/>
  <c r="N58" i="31"/>
  <c r="O58" i="31" s="1"/>
  <c r="N70" i="31"/>
  <c r="O70" i="31" s="1"/>
  <c r="N83" i="31"/>
  <c r="N95" i="31"/>
  <c r="N107" i="31"/>
  <c r="N119" i="31"/>
  <c r="N131" i="31"/>
  <c r="N143" i="31"/>
  <c r="O143" i="31" s="1"/>
  <c r="N155" i="31"/>
  <c r="O155" i="31" s="1"/>
  <c r="N167" i="31"/>
  <c r="O167" i="31" s="1"/>
  <c r="N179" i="31"/>
  <c r="O179" i="31" s="1"/>
  <c r="N191" i="31"/>
  <c r="O191" i="31" s="1"/>
  <c r="N203" i="31"/>
  <c r="N215" i="31"/>
  <c r="O215" i="31" s="1"/>
  <c r="N227" i="31"/>
  <c r="N239" i="31"/>
  <c r="N251" i="31"/>
  <c r="N263" i="31"/>
  <c r="N275" i="31"/>
  <c r="N287" i="31"/>
  <c r="O287" i="31" s="1"/>
  <c r="N299" i="31"/>
  <c r="N311" i="31"/>
  <c r="O311" i="31" s="1"/>
  <c r="N323" i="31"/>
  <c r="N335" i="31"/>
  <c r="N347" i="31"/>
  <c r="N359" i="31"/>
  <c r="O359" i="31" s="1"/>
  <c r="N371" i="31"/>
  <c r="N383" i="31"/>
  <c r="N395" i="31"/>
  <c r="N23" i="31"/>
  <c r="O23" i="31" s="1"/>
  <c r="N13" i="31"/>
  <c r="N47" i="31"/>
  <c r="N74" i="31"/>
  <c r="O74" i="31" s="1"/>
  <c r="N103" i="31"/>
  <c r="O103" i="31" s="1"/>
  <c r="N133" i="31"/>
  <c r="O133" i="31" s="1"/>
  <c r="N160" i="31"/>
  <c r="N192" i="31"/>
  <c r="N218" i="31"/>
  <c r="O218" i="31" s="1"/>
  <c r="N247" i="31"/>
  <c r="O247" i="31" s="1"/>
  <c r="N277" i="31"/>
  <c r="N304" i="31"/>
  <c r="N336" i="31"/>
  <c r="O336" i="31" s="1"/>
  <c r="N362" i="31"/>
  <c r="O362" i="31" s="1"/>
  <c r="N391" i="31"/>
  <c r="O391" i="31" s="1"/>
  <c r="N419" i="31"/>
  <c r="O419" i="31" s="1"/>
  <c r="N443" i="31"/>
  <c r="O443" i="31" s="1"/>
  <c r="N467" i="31"/>
  <c r="N491" i="31"/>
  <c r="O491" i="31" s="1"/>
  <c r="N515" i="31"/>
  <c r="O515" i="31" s="1"/>
  <c r="N539" i="31"/>
  <c r="O539" i="31" s="1"/>
  <c r="N563" i="31"/>
  <c r="N587" i="31"/>
  <c r="N611" i="31"/>
  <c r="N412" i="31"/>
  <c r="N42" i="31"/>
  <c r="N439" i="31"/>
  <c r="O439" i="31" s="1"/>
  <c r="N535" i="31"/>
  <c r="N15" i="31"/>
  <c r="N48" i="31"/>
  <c r="O48" i="31" s="1"/>
  <c r="N76" i="31"/>
  <c r="N108" i="31"/>
  <c r="N134" i="31"/>
  <c r="O134" i="31" s="1"/>
  <c r="N163" i="31"/>
  <c r="O163" i="31" s="1"/>
  <c r="N193" i="31"/>
  <c r="O193" i="31" s="1"/>
  <c r="N220" i="31"/>
  <c r="N252" i="31"/>
  <c r="N278" i="31"/>
  <c r="O278" i="31" s="1"/>
  <c r="N307" i="31"/>
  <c r="O307" i="31" s="1"/>
  <c r="N337" i="31"/>
  <c r="O337" i="31" s="1"/>
  <c r="N364" i="31"/>
  <c r="N396" i="31"/>
  <c r="N420" i="31"/>
  <c r="N444" i="31"/>
  <c r="O444" i="31" s="1"/>
  <c r="N468" i="31"/>
  <c r="O468" i="31" s="1"/>
  <c r="N492" i="31"/>
  <c r="N516" i="31"/>
  <c r="N540" i="31"/>
  <c r="N564" i="31"/>
  <c r="N588" i="31"/>
  <c r="N612" i="31"/>
  <c r="N436" i="31"/>
  <c r="O436" i="31" s="1"/>
  <c r="N217" i="31"/>
  <c r="O217" i="31" s="1"/>
  <c r="N18" i="31"/>
  <c r="O18" i="31" s="1"/>
  <c r="N49" i="31"/>
  <c r="O49" i="31" s="1"/>
  <c r="N79" i="31"/>
  <c r="N109" i="31"/>
  <c r="O109" i="31" s="1"/>
  <c r="N136" i="31"/>
  <c r="N168" i="31"/>
  <c r="N194" i="31"/>
  <c r="O194" i="31" s="1"/>
  <c r="N223" i="31"/>
  <c r="N253" i="31"/>
  <c r="O253" i="31" s="1"/>
  <c r="N280" i="31"/>
  <c r="O280" i="31" s="1"/>
  <c r="N312" i="31"/>
  <c r="O312" i="31" s="1"/>
  <c r="N338" i="31"/>
  <c r="O338" i="31" s="1"/>
  <c r="N367" i="31"/>
  <c r="O367" i="31" s="1"/>
  <c r="N397" i="31"/>
  <c r="O397" i="31" s="1"/>
  <c r="N421" i="31"/>
  <c r="N445" i="31"/>
  <c r="N469" i="31"/>
  <c r="N493" i="31"/>
  <c r="N517" i="31"/>
  <c r="N541" i="31"/>
  <c r="N565" i="31"/>
  <c r="O565" i="31" s="1"/>
  <c r="N589" i="31"/>
  <c r="O589" i="31" s="1"/>
  <c r="N73" i="31"/>
  <c r="O73" i="31" s="1"/>
  <c r="N386" i="31"/>
  <c r="O386" i="31" s="1"/>
  <c r="N276" i="31"/>
  <c r="O276" i="31" s="1"/>
  <c r="N24" i="31"/>
  <c r="N51" i="31"/>
  <c r="N84" i="31"/>
  <c r="N110" i="31"/>
  <c r="N139" i="31"/>
  <c r="N169" i="31"/>
  <c r="N196" i="31"/>
  <c r="N228" i="31"/>
  <c r="O228" i="31" s="1"/>
  <c r="N254" i="31"/>
  <c r="O254" i="31" s="1"/>
  <c r="N283" i="31"/>
  <c r="O283" i="31" s="1"/>
  <c r="N313" i="31"/>
  <c r="N340" i="31"/>
  <c r="N372" i="31"/>
  <c r="N398" i="31"/>
  <c r="O398" i="31" s="1"/>
  <c r="N422" i="31"/>
  <c r="N446" i="31"/>
  <c r="O446" i="31" s="1"/>
  <c r="N470" i="31"/>
  <c r="N494" i="31"/>
  <c r="N518" i="31"/>
  <c r="O518" i="31" s="1"/>
  <c r="N542" i="31"/>
  <c r="O542" i="31" s="1"/>
  <c r="N566" i="31"/>
  <c r="O566" i="31" s="1"/>
  <c r="N590" i="31"/>
  <c r="N556" i="31"/>
  <c r="O556" i="31" s="1"/>
  <c r="N158" i="31"/>
  <c r="O158" i="31" s="1"/>
  <c r="N25" i="31"/>
  <c r="O25" i="31" s="1"/>
  <c r="N54" i="31"/>
  <c r="O54" i="31" s="1"/>
  <c r="N85" i="31"/>
  <c r="O85" i="31" s="1"/>
  <c r="N112" i="31"/>
  <c r="O112" i="31" s="1"/>
  <c r="N144" i="31"/>
  <c r="N170" i="31"/>
  <c r="N199" i="31"/>
  <c r="N229" i="31"/>
  <c r="O229" i="31" s="1"/>
  <c r="N256" i="31"/>
  <c r="O256" i="31" s="1"/>
  <c r="N288" i="31"/>
  <c r="O288" i="31" s="1"/>
  <c r="N314" i="31"/>
  <c r="N343" i="31"/>
  <c r="N373" i="31"/>
  <c r="O373" i="31" s="1"/>
  <c r="N400" i="31"/>
  <c r="N424" i="31"/>
  <c r="N448" i="31"/>
  <c r="N472" i="31"/>
  <c r="N496" i="31"/>
  <c r="N520" i="31"/>
  <c r="N544" i="31"/>
  <c r="N568" i="31"/>
  <c r="O568" i="31" s="1"/>
  <c r="N592" i="31"/>
  <c r="N460" i="31"/>
  <c r="O460" i="31" s="1"/>
  <c r="N302" i="31"/>
  <c r="O302" i="31" s="1"/>
  <c r="N27" i="31"/>
  <c r="N59" i="31"/>
  <c r="O59" i="31" s="1"/>
  <c r="N86" i="31"/>
  <c r="O86" i="31" s="1"/>
  <c r="N115" i="31"/>
  <c r="O115" i="31" s="1"/>
  <c r="N145" i="31"/>
  <c r="N172" i="31"/>
  <c r="N204" i="31"/>
  <c r="N230" i="31"/>
  <c r="O230" i="31" s="1"/>
  <c r="N259" i="31"/>
  <c r="O259" i="31" s="1"/>
  <c r="N289" i="31"/>
  <c r="O289" i="31" s="1"/>
  <c r="N316" i="31"/>
  <c r="O316" i="31" s="1"/>
  <c r="N348" i="31"/>
  <c r="O348" i="31" s="1"/>
  <c r="N374" i="31"/>
  <c r="O374" i="31" s="1"/>
  <c r="N403" i="31"/>
  <c r="O403" i="31" s="1"/>
  <c r="N427" i="31"/>
  <c r="N451" i="31"/>
  <c r="O451" i="31" s="1"/>
  <c r="N475" i="31"/>
  <c r="N499" i="31"/>
  <c r="O499" i="31" s="1"/>
  <c r="N523" i="31"/>
  <c r="N547" i="31"/>
  <c r="N571" i="31"/>
  <c r="O571" i="31" s="1"/>
  <c r="N595" i="31"/>
  <c r="N508" i="31"/>
  <c r="N132" i="31"/>
  <c r="O132" i="31" s="1"/>
  <c r="N30" i="31"/>
  <c r="O30" i="31" s="1"/>
  <c r="N60" i="31"/>
  <c r="O60" i="31" s="1"/>
  <c r="N88" i="31"/>
  <c r="O88" i="31" s="1"/>
  <c r="N120" i="31"/>
  <c r="O120" i="31" s="1"/>
  <c r="N146" i="31"/>
  <c r="N175" i="31"/>
  <c r="N205" i="31"/>
  <c r="O205" i="31" s="1"/>
  <c r="N232" i="31"/>
  <c r="O232" i="31" s="1"/>
  <c r="N264" i="31"/>
  <c r="O264" i="31" s="1"/>
  <c r="N290" i="31"/>
  <c r="O290" i="31" s="1"/>
  <c r="N319" i="31"/>
  <c r="N349" i="31"/>
  <c r="O349" i="31" s="1"/>
  <c r="N376" i="31"/>
  <c r="N407" i="31"/>
  <c r="N431" i="31"/>
  <c r="N455" i="31"/>
  <c r="N479" i="31"/>
  <c r="N503" i="31"/>
  <c r="N527" i="31"/>
  <c r="O527" i="31" s="1"/>
  <c r="N551" i="31"/>
  <c r="O551" i="31" s="1"/>
  <c r="N575" i="31"/>
  <c r="O575" i="31" s="1"/>
  <c r="N599" i="31"/>
  <c r="N328" i="31"/>
  <c r="N72" i="31"/>
  <c r="O72" i="31" s="1"/>
  <c r="N388" i="31"/>
  <c r="O388" i="31" s="1"/>
  <c r="N487" i="31"/>
  <c r="N583" i="31"/>
  <c r="O583" i="31" s="1"/>
  <c r="N35" i="31"/>
  <c r="O35" i="31" s="1"/>
  <c r="N61" i="31"/>
  <c r="O61" i="31" s="1"/>
  <c r="N91" i="31"/>
  <c r="N121" i="31"/>
  <c r="N148" i="31"/>
  <c r="O148" i="31" s="1"/>
  <c r="N180" i="31"/>
  <c r="O180" i="31" s="1"/>
  <c r="N206" i="31"/>
  <c r="O206" i="31" s="1"/>
  <c r="N235" i="31"/>
  <c r="O235" i="31" s="1"/>
  <c r="N265" i="31"/>
  <c r="O265" i="31" s="1"/>
  <c r="N292" i="31"/>
  <c r="O292" i="31" s="1"/>
  <c r="N324" i="31"/>
  <c r="N350" i="31"/>
  <c r="N379" i="31"/>
  <c r="N408" i="31"/>
  <c r="N432" i="31"/>
  <c r="N456" i="31"/>
  <c r="O456" i="31" s="1"/>
  <c r="N480" i="31"/>
  <c r="N504" i="31"/>
  <c r="N528" i="31"/>
  <c r="O528" i="31" s="1"/>
  <c r="N552" i="31"/>
  <c r="O552" i="31" s="1"/>
  <c r="N576" i="31"/>
  <c r="N600" i="31"/>
  <c r="N532" i="31"/>
  <c r="O532" i="31" s="1"/>
  <c r="N187" i="31"/>
  <c r="O187" i="31" s="1"/>
  <c r="N36" i="31"/>
  <c r="O36" i="31" s="1"/>
  <c r="N63" i="31"/>
  <c r="O63" i="31" s="1"/>
  <c r="N96" i="31"/>
  <c r="N122" i="31"/>
  <c r="N151" i="31"/>
  <c r="O151" i="31" s="1"/>
  <c r="N181" i="31"/>
  <c r="N208" i="31"/>
  <c r="N240" i="31"/>
  <c r="N266" i="31"/>
  <c r="N295" i="31"/>
  <c r="N325" i="31"/>
  <c r="N352" i="31"/>
  <c r="N384" i="31"/>
  <c r="N409" i="31"/>
  <c r="N433" i="31"/>
  <c r="N457" i="31"/>
  <c r="N481" i="31"/>
  <c r="O481" i="31" s="1"/>
  <c r="N505" i="31"/>
  <c r="O505" i="31" s="1"/>
  <c r="N529" i="31"/>
  <c r="O529" i="31" s="1"/>
  <c r="N553" i="31"/>
  <c r="O553" i="31" s="1"/>
  <c r="N577" i="31"/>
  <c r="N601" i="31"/>
  <c r="N580" i="31"/>
  <c r="N244" i="31"/>
  <c r="N37" i="31"/>
  <c r="N66" i="31"/>
  <c r="O66" i="31" s="1"/>
  <c r="N97" i="31"/>
  <c r="N124" i="31"/>
  <c r="N156" i="31"/>
  <c r="O156" i="31" s="1"/>
  <c r="N182" i="31"/>
  <c r="O182" i="31" s="1"/>
  <c r="N211" i="31"/>
  <c r="O211" i="31" s="1"/>
  <c r="N241" i="31"/>
  <c r="O241" i="31" s="1"/>
  <c r="N268" i="31"/>
  <c r="O268" i="31" s="1"/>
  <c r="N300" i="31"/>
  <c r="O300" i="31" s="1"/>
  <c r="N326" i="31"/>
  <c r="O326" i="31" s="1"/>
  <c r="N355" i="31"/>
  <c r="N385" i="31"/>
  <c r="O385" i="31" s="1"/>
  <c r="N410" i="31"/>
  <c r="N434" i="31"/>
  <c r="N458" i="31"/>
  <c r="N482" i="31"/>
  <c r="O482" i="31" s="1"/>
  <c r="N506" i="31"/>
  <c r="O506" i="31" s="1"/>
  <c r="N530" i="31"/>
  <c r="N554" i="31"/>
  <c r="N578" i="31"/>
  <c r="N602" i="31"/>
  <c r="N184" i="31"/>
  <c r="O184" i="31" s="1"/>
  <c r="N604" i="31"/>
  <c r="N100" i="31"/>
  <c r="N361" i="31"/>
  <c r="N415" i="31"/>
  <c r="O415" i="31" s="1"/>
  <c r="N463" i="31"/>
  <c r="O463" i="31" s="1"/>
  <c r="N511" i="31"/>
  <c r="O511" i="31" s="1"/>
  <c r="N559" i="31"/>
  <c r="O559" i="31" s="1"/>
  <c r="N607" i="31"/>
  <c r="N39" i="31"/>
  <c r="O39" i="31" s="1"/>
  <c r="N71" i="31"/>
  <c r="O71" i="31" s="1"/>
  <c r="N98" i="31"/>
  <c r="O98" i="31" s="1"/>
  <c r="N127" i="31"/>
  <c r="N157" i="31"/>
  <c r="N216" i="31"/>
  <c r="N242" i="31"/>
  <c r="N271" i="31"/>
  <c r="N301" i="31"/>
  <c r="N360" i="31"/>
  <c r="O360" i="31" s="1"/>
  <c r="N484" i="31"/>
  <c r="O484" i="31" s="1"/>
  <c r="N331" i="31"/>
  <c r="O331" i="31" s="1"/>
  <c r="O409" i="31" l="1"/>
  <c r="O472" i="31"/>
  <c r="Q472" i="31" s="1"/>
  <c r="O470" i="31"/>
  <c r="O587" i="31"/>
  <c r="Q587" i="31" s="1"/>
  <c r="O406" i="31"/>
  <c r="O429" i="31"/>
  <c r="Q429" i="31" s="1"/>
  <c r="O474" i="31"/>
  <c r="Q474" i="31" s="1"/>
  <c r="O330" i="31"/>
  <c r="Q330" i="31" s="1"/>
  <c r="O497" i="31"/>
  <c r="Q497" i="31" s="1"/>
  <c r="O384" i="31"/>
  <c r="Q384" i="31" s="1"/>
  <c r="O379" i="31"/>
  <c r="Q379" i="31" s="1"/>
  <c r="O455" i="31"/>
  <c r="Q455" i="31" s="1"/>
  <c r="O448" i="31"/>
  <c r="O469" i="31"/>
  <c r="Q469" i="31" s="1"/>
  <c r="O563" i="31"/>
  <c r="Q563" i="31" s="1"/>
  <c r="O538" i="31"/>
  <c r="Q538" i="31" s="1"/>
  <c r="O394" i="31"/>
  <c r="O417" i="31"/>
  <c r="Q417" i="31" s="1"/>
  <c r="O584" i="31"/>
  <c r="Q584" i="31" s="1"/>
  <c r="O440" i="31"/>
  <c r="Q440" i="31" s="1"/>
  <c r="O606" i="31"/>
  <c r="Q606" i="31" s="1"/>
  <c r="O485" i="31"/>
  <c r="Q485" i="31" s="1"/>
  <c r="O561" i="31"/>
  <c r="Q561" i="31" s="1"/>
  <c r="O523" i="31"/>
  <c r="Q523" i="31" s="1"/>
  <c r="O520" i="31"/>
  <c r="Q520" i="31" s="1"/>
  <c r="O564" i="31"/>
  <c r="O430" i="31"/>
  <c r="Q430" i="31" s="1"/>
  <c r="O453" i="31"/>
  <c r="Q453" i="31" s="1"/>
  <c r="O597" i="31"/>
  <c r="Q597" i="31" s="1"/>
  <c r="O433" i="31"/>
  <c r="O432" i="31"/>
  <c r="Q432" i="31" s="1"/>
  <c r="O496" i="31"/>
  <c r="Q496" i="31" s="1"/>
  <c r="O494" i="31"/>
  <c r="Q494" i="31" s="1"/>
  <c r="O540" i="31"/>
  <c r="Q540" i="31" s="1"/>
  <c r="O611" i="31"/>
  <c r="Q611" i="31" s="1"/>
  <c r="O562" i="31"/>
  <c r="Q562" i="31" s="1"/>
  <c r="O418" i="31"/>
  <c r="Q418" i="31" s="1"/>
  <c r="O441" i="31"/>
  <c r="O486" i="31"/>
  <c r="O342" i="31"/>
  <c r="O531" i="31"/>
  <c r="O408" i="31"/>
  <c r="Q408" i="31" s="1"/>
  <c r="O479" i="31"/>
  <c r="Q479" i="31" s="1"/>
  <c r="O475" i="31"/>
  <c r="Q475" i="31" s="1"/>
  <c r="O516" i="31"/>
  <c r="Q516" i="31" s="1"/>
  <c r="O355" i="31"/>
  <c r="Q355" i="31" s="1"/>
  <c r="O350" i="31"/>
  <c r="Q350" i="31" s="1"/>
  <c r="O431" i="31"/>
  <c r="Q431" i="31" s="1"/>
  <c r="O382" i="31"/>
  <c r="Q382" i="31" s="1"/>
  <c r="O572" i="31"/>
  <c r="Q572" i="31" s="1"/>
  <c r="O422" i="31"/>
  <c r="Q422" i="31" s="1"/>
  <c r="O509" i="31"/>
  <c r="Q509" i="31" s="1"/>
  <c r="O585" i="31"/>
  <c r="Q585" i="31" s="1"/>
  <c r="O493" i="31"/>
  <c r="Q493" i="31" s="1"/>
  <c r="O580" i="31"/>
  <c r="Q580" i="31" s="1"/>
  <c r="O325" i="31"/>
  <c r="Q325" i="31" s="1"/>
  <c r="O487" i="31"/>
  <c r="Q487" i="31" s="1"/>
  <c r="O407" i="31"/>
  <c r="Q407" i="31" s="1"/>
  <c r="O421" i="31"/>
  <c r="Q421" i="31" s="1"/>
  <c r="O375" i="31"/>
  <c r="Q375" i="31" s="1"/>
  <c r="O452" i="31"/>
  <c r="Q452" i="31" s="1"/>
  <c r="O492" i="31"/>
  <c r="O543" i="31"/>
  <c r="Q543" i="31" s="1"/>
  <c r="O412" i="31"/>
  <c r="O353" i="31"/>
  <c r="O400" i="31"/>
  <c r="Q400" i="31" s="1"/>
  <c r="O464" i="31"/>
  <c r="Q464" i="31" s="1"/>
  <c r="O347" i="31"/>
  <c r="Q347" i="31" s="1"/>
  <c r="O517" i="31"/>
  <c r="Q517" i="31" s="1"/>
  <c r="O457" i="31"/>
  <c r="Q457" i="31" s="1"/>
  <c r="O541" i="31"/>
  <c r="Q541" i="31" s="1"/>
  <c r="O574" i="31"/>
  <c r="Q574" i="31" s="1"/>
  <c r="O498" i="31"/>
  <c r="Q498" i="31" s="1"/>
  <c r="O377" i="31"/>
  <c r="O434" i="31"/>
  <c r="Q434" i="31" s="1"/>
  <c r="O450" i="31"/>
  <c r="O495" i="31"/>
  <c r="Q495" i="31" s="1"/>
  <c r="O578" i="31"/>
  <c r="Q578" i="31" s="1"/>
  <c r="O577" i="31"/>
  <c r="Q577" i="31" s="1"/>
  <c r="O576" i="31"/>
  <c r="Q576" i="31" s="1"/>
  <c r="O396" i="31"/>
  <c r="Q396" i="31" s="1"/>
  <c r="O323" i="31"/>
  <c r="Q323" i="31" s="1"/>
  <c r="O369" i="31"/>
  <c r="Q369" i="31" s="1"/>
  <c r="O558" i="31"/>
  <c r="Q558" i="31" s="1"/>
  <c r="O437" i="31"/>
  <c r="O603" i="31"/>
  <c r="O459" i="31"/>
  <c r="Q459" i="31" s="1"/>
  <c r="O476" i="31"/>
  <c r="Q476" i="31" s="1"/>
  <c r="O318" i="31"/>
  <c r="Q318" i="31" s="1"/>
  <c r="O343" i="31"/>
  <c r="Q343" i="31" s="1"/>
  <c r="O458" i="31"/>
  <c r="Q458" i="31" s="1"/>
  <c r="O424" i="31"/>
  <c r="Q424" i="31" s="1"/>
  <c r="O445" i="31"/>
  <c r="Q445" i="31" s="1"/>
  <c r="O526" i="31"/>
  <c r="Q526" i="31" s="1"/>
  <c r="O428" i="31"/>
  <c r="Q428" i="31" s="1"/>
  <c r="O340" i="31"/>
  <c r="Q340" i="31" s="1"/>
  <c r="O467" i="31"/>
  <c r="Q467" i="31" s="1"/>
  <c r="O315" i="31"/>
  <c r="O352" i="31"/>
  <c r="O427" i="31"/>
  <c r="Q427" i="31" s="1"/>
  <c r="O371" i="31"/>
  <c r="Q371" i="31" s="1"/>
  <c r="O354" i="31"/>
  <c r="Q354" i="31" s="1"/>
  <c r="O339" i="31"/>
  <c r="Q339" i="31" s="1"/>
  <c r="O376" i="31"/>
  <c r="Q376" i="31" s="1"/>
  <c r="O393" i="31"/>
  <c r="Q393" i="31" s="1"/>
  <c r="O582" i="31"/>
  <c r="Q582" i="31" s="1"/>
  <c r="O372" i="31"/>
  <c r="Q372" i="31" s="1"/>
  <c r="O483" i="31"/>
  <c r="Q483" i="31" s="1"/>
  <c r="O592" i="31"/>
  <c r="O328" i="31"/>
  <c r="O416" i="31"/>
  <c r="O560" i="31"/>
  <c r="Q560" i="31" s="1"/>
  <c r="O438" i="31"/>
  <c r="O599" i="31"/>
  <c r="Q599" i="31" s="1"/>
  <c r="O364" i="31"/>
  <c r="Q364" i="31" s="1"/>
  <c r="O425" i="31"/>
  <c r="Q425" i="31" s="1"/>
  <c r="O401" i="31"/>
  <c r="Q401" i="31" s="1"/>
  <c r="O554" i="31"/>
  <c r="Q554" i="31" s="1"/>
  <c r="O530" i="31"/>
  <c r="Q530" i="31" s="1"/>
  <c r="O319" i="31"/>
  <c r="Q319" i="31" s="1"/>
  <c r="O535" i="31"/>
  <c r="Q535" i="31" s="1"/>
  <c r="O534" i="31"/>
  <c r="Q534" i="31" s="1"/>
  <c r="O501" i="31"/>
  <c r="O345" i="31"/>
  <c r="Q345" i="31" s="1"/>
  <c r="O420" i="31"/>
  <c r="Q420" i="31" s="1"/>
  <c r="O570" i="31"/>
  <c r="Q570" i="31" s="1"/>
  <c r="O601" i="31"/>
  <c r="Q601" i="31" s="1"/>
  <c r="O447" i="31"/>
  <c r="Q447" i="31" s="1"/>
  <c r="O471" i="31"/>
  <c r="Q471" i="31" s="1"/>
  <c r="O602" i="31"/>
  <c r="Q602" i="31" s="1"/>
  <c r="O314" i="31"/>
  <c r="Q314" i="31" s="1"/>
  <c r="O508" i="31"/>
  <c r="Q508" i="31" s="1"/>
  <c r="O547" i="31"/>
  <c r="O546" i="31"/>
  <c r="O489" i="31"/>
  <c r="Q489" i="31" s="1"/>
  <c r="O454" i="31"/>
  <c r="Q454" i="31" s="1"/>
  <c r="O598" i="31"/>
  <c r="Q598" i="31" s="1"/>
  <c r="O537" i="31"/>
  <c r="O335" i="31"/>
  <c r="Q335" i="31" s="1"/>
  <c r="O613" i="31"/>
  <c r="Q613" i="31" s="1"/>
  <c r="O301" i="31"/>
  <c r="Q301" i="31" s="1"/>
  <c r="O124" i="31"/>
  <c r="Q124" i="31" s="1"/>
  <c r="O122" i="31"/>
  <c r="Q122" i="31" s="1"/>
  <c r="O121" i="31"/>
  <c r="Q121" i="31" s="1"/>
  <c r="O199" i="31"/>
  <c r="Q199" i="31" s="1"/>
  <c r="O196" i="31"/>
  <c r="O252" i="31"/>
  <c r="Q252" i="31" s="1"/>
  <c r="O263" i="31"/>
  <c r="O119" i="31"/>
  <c r="Q119" i="31" s="1"/>
  <c r="O286" i="31"/>
  <c r="Q286" i="31" s="1"/>
  <c r="O142" i="31"/>
  <c r="Q142" i="31" s="1"/>
  <c r="O309" i="31"/>
  <c r="Q309" i="31" s="1"/>
  <c r="O165" i="31"/>
  <c r="Q165" i="31" s="1"/>
  <c r="O188" i="31"/>
  <c r="Q188" i="31" s="1"/>
  <c r="O210" i="31"/>
  <c r="Q210" i="31" s="1"/>
  <c r="O233" i="31"/>
  <c r="Q233" i="31" s="1"/>
  <c r="O89" i="31"/>
  <c r="Q89" i="31" s="1"/>
  <c r="O111" i="31"/>
  <c r="O271" i="31"/>
  <c r="Q271" i="31" s="1"/>
  <c r="O97" i="31"/>
  <c r="Q97" i="31" s="1"/>
  <c r="O96" i="31"/>
  <c r="O91" i="31"/>
  <c r="Q91" i="31" s="1"/>
  <c r="O175" i="31"/>
  <c r="Q175" i="31" s="1"/>
  <c r="O172" i="31"/>
  <c r="Q172" i="31" s="1"/>
  <c r="O170" i="31"/>
  <c r="Q170" i="31" s="1"/>
  <c r="O220" i="31"/>
  <c r="Q220" i="31" s="1"/>
  <c r="O221" i="31"/>
  <c r="Q221" i="31" s="1"/>
  <c r="O77" i="31"/>
  <c r="Q77" i="31" s="1"/>
  <c r="O243" i="31"/>
  <c r="O99" i="31"/>
  <c r="Q99" i="31" s="1"/>
  <c r="O204" i="31"/>
  <c r="Q204" i="31" s="1"/>
  <c r="O169" i="31"/>
  <c r="O304" i="31"/>
  <c r="Q304" i="31" s="1"/>
  <c r="O251" i="31"/>
  <c r="Q251" i="31" s="1"/>
  <c r="O107" i="31"/>
  <c r="Q107" i="31" s="1"/>
  <c r="O274" i="31"/>
  <c r="Q274" i="31" s="1"/>
  <c r="O130" i="31"/>
  <c r="O153" i="31"/>
  <c r="Q153" i="31" s="1"/>
  <c r="O198" i="31"/>
  <c r="Q198" i="31" s="1"/>
  <c r="O242" i="31"/>
  <c r="Q242" i="31" s="1"/>
  <c r="O146" i="31"/>
  <c r="Q146" i="31" s="1"/>
  <c r="O145" i="31"/>
  <c r="O144" i="31"/>
  <c r="Q144" i="31" s="1"/>
  <c r="O139" i="31"/>
  <c r="Q139" i="31" s="1"/>
  <c r="O168" i="31"/>
  <c r="Q168" i="31" s="1"/>
  <c r="O277" i="31"/>
  <c r="Q277" i="31" s="1"/>
  <c r="O239" i="31"/>
  <c r="Q239" i="31" s="1"/>
  <c r="O95" i="31"/>
  <c r="Q95" i="31" s="1"/>
  <c r="O262" i="31"/>
  <c r="Q262" i="31" s="1"/>
  <c r="O118" i="31"/>
  <c r="Q118" i="31" s="1"/>
  <c r="O285" i="31"/>
  <c r="Q285" i="31" s="1"/>
  <c r="O141" i="31"/>
  <c r="Q141" i="31" s="1"/>
  <c r="O223" i="31"/>
  <c r="Q223" i="31" s="1"/>
  <c r="O105" i="31"/>
  <c r="Q105" i="31" s="1"/>
  <c r="O203" i="31"/>
  <c r="Q203" i="31" s="1"/>
  <c r="O127" i="31"/>
  <c r="O76" i="31"/>
  <c r="O192" i="31"/>
  <c r="Q192" i="31" s="1"/>
  <c r="O100" i="31"/>
  <c r="Q100" i="31" s="1"/>
  <c r="O186" i="31"/>
  <c r="Q186" i="31" s="1"/>
  <c r="O147" i="31"/>
  <c r="Q147" i="31" s="1"/>
  <c r="O171" i="31"/>
  <c r="Q171" i="31" s="1"/>
  <c r="O295" i="31"/>
  <c r="Q295" i="31" s="1"/>
  <c r="O128" i="31"/>
  <c r="Q128" i="31" s="1"/>
  <c r="O272" i="31"/>
  <c r="Q272" i="31" s="1"/>
  <c r="O294" i="31"/>
  <c r="Q294" i="31" s="1"/>
  <c r="O129" i="31"/>
  <c r="O84" i="31"/>
  <c r="Q84" i="31" s="1"/>
  <c r="O150" i="31"/>
  <c r="Q150" i="31" s="1"/>
  <c r="O93" i="31"/>
  <c r="Q93" i="31" s="1"/>
  <c r="O157" i="31"/>
  <c r="Q157" i="31" s="1"/>
  <c r="O104" i="31"/>
  <c r="Q104" i="31" s="1"/>
  <c r="O227" i="31"/>
  <c r="Q227" i="31" s="1"/>
  <c r="O231" i="31"/>
  <c r="Q231" i="31" s="1"/>
  <c r="O136" i="31"/>
  <c r="Q136" i="31" s="1"/>
  <c r="O173" i="31"/>
  <c r="Q173" i="31" s="1"/>
  <c r="O87" i="31"/>
  <c r="O207" i="31"/>
  <c r="Q207" i="31" s="1"/>
  <c r="O208" i="31"/>
  <c r="Q208" i="31" s="1"/>
  <c r="O284" i="31"/>
  <c r="Q284" i="31" s="1"/>
  <c r="O79" i="31"/>
  <c r="Q79" i="31" s="1"/>
  <c r="O240" i="31"/>
  <c r="Q240" i="31" s="1"/>
  <c r="O313" i="31"/>
  <c r="Q313" i="31" s="1"/>
  <c r="O248" i="31"/>
  <c r="Q248" i="31" s="1"/>
  <c r="O83" i="31"/>
  <c r="Q83" i="31" s="1"/>
  <c r="O249" i="31"/>
  <c r="Q249" i="31" s="1"/>
  <c r="O81" i="31"/>
  <c r="Q81" i="31" s="1"/>
  <c r="O216" i="31"/>
  <c r="Q216" i="31" s="1"/>
  <c r="O281" i="31"/>
  <c r="Q281" i="31" s="1"/>
  <c r="O266" i="31"/>
  <c r="Q266" i="31" s="1"/>
  <c r="O267" i="31"/>
  <c r="Q267" i="31" s="1"/>
  <c r="O160" i="31"/>
  <c r="Q160" i="31" s="1"/>
  <c r="O110" i="31"/>
  <c r="Q110" i="31" s="1"/>
  <c r="O244" i="31"/>
  <c r="Q244" i="31" s="1"/>
  <c r="O126" i="31"/>
  <c r="Q126" i="31" s="1"/>
  <c r="O152" i="31"/>
  <c r="Q152" i="31" s="1"/>
  <c r="O296" i="31"/>
  <c r="Q296" i="31" s="1"/>
  <c r="O214" i="31"/>
  <c r="Q214" i="31" s="1"/>
  <c r="O131" i="31"/>
  <c r="Q131" i="31" s="1"/>
  <c r="O275" i="31"/>
  <c r="Q275" i="31" s="1"/>
  <c r="O225" i="31"/>
  <c r="Q225" i="31" s="1"/>
  <c r="O108" i="31"/>
  <c r="Q108" i="31" s="1"/>
  <c r="O270" i="31"/>
  <c r="O213" i="31"/>
  <c r="Q213" i="31" s="1"/>
  <c r="O181" i="31"/>
  <c r="Q181" i="31" s="1"/>
  <c r="O47" i="31"/>
  <c r="Q47" i="31" s="1"/>
  <c r="O27" i="31"/>
  <c r="Q27" i="31" s="1"/>
  <c r="O32" i="31"/>
  <c r="Q32" i="31" s="1"/>
  <c r="O51" i="31"/>
  <c r="Q51" i="31" s="1"/>
  <c r="O44" i="31"/>
  <c r="Q44" i="31" s="1"/>
  <c r="O42" i="31"/>
  <c r="Q42" i="31" s="1"/>
  <c r="O67" i="31"/>
  <c r="Q67" i="31" s="1"/>
  <c r="O41" i="31"/>
  <c r="Q41" i="31" s="1"/>
  <c r="O28" i="31"/>
  <c r="Q28" i="31" s="1"/>
  <c r="O69" i="31"/>
  <c r="Q69" i="31" s="1"/>
  <c r="O37" i="31"/>
  <c r="Q37" i="31" s="1"/>
  <c r="O13" i="31"/>
  <c r="P13" i="31"/>
  <c r="P14" i="31" s="1"/>
  <c r="P15" i="31" s="1"/>
  <c r="P16" i="31" s="1"/>
  <c r="P17" i="31" s="1"/>
  <c r="P18" i="31" s="1"/>
  <c r="P19" i="31" s="1"/>
  <c r="P20" i="31" s="1"/>
  <c r="P21" i="31" s="1"/>
  <c r="P22" i="31" s="1"/>
  <c r="P23" i="31" s="1"/>
  <c r="P24" i="31" s="1"/>
  <c r="P25" i="31" s="1"/>
  <c r="P26" i="31" s="1"/>
  <c r="P27" i="31" s="1"/>
  <c r="P28" i="31" s="1"/>
  <c r="P29" i="31" s="1"/>
  <c r="P30" i="31" s="1"/>
  <c r="P31" i="31" s="1"/>
  <c r="P32" i="31" s="1"/>
  <c r="P33" i="31" s="1"/>
  <c r="P34" i="31" s="1"/>
  <c r="P35" i="31" s="1"/>
  <c r="P36" i="31" s="1"/>
  <c r="P37" i="31" s="1"/>
  <c r="P38" i="31" s="1"/>
  <c r="P39" i="31" s="1"/>
  <c r="P40" i="31" s="1"/>
  <c r="P41" i="31" s="1"/>
  <c r="P42" i="31" s="1"/>
  <c r="P43" i="31" s="1"/>
  <c r="P44" i="31" s="1"/>
  <c r="P45" i="31" s="1"/>
  <c r="P46" i="31" s="1"/>
  <c r="P47" i="31" s="1"/>
  <c r="P48" i="31" s="1"/>
  <c r="P49" i="31" s="1"/>
  <c r="P50" i="31" s="1"/>
  <c r="P51" i="31" s="1"/>
  <c r="P52" i="31" s="1"/>
  <c r="P53" i="31" s="1"/>
  <c r="P54" i="31" s="1"/>
  <c r="P55" i="31" s="1"/>
  <c r="P56" i="31" s="1"/>
  <c r="P57" i="31" s="1"/>
  <c r="P58" i="31" s="1"/>
  <c r="P59" i="31" s="1"/>
  <c r="P60" i="31" s="1"/>
  <c r="P61" i="31" s="1"/>
  <c r="P62" i="31" s="1"/>
  <c r="P63" i="31" s="1"/>
  <c r="P64" i="31" s="1"/>
  <c r="P65" i="31" s="1"/>
  <c r="P66" i="31" s="1"/>
  <c r="P67" i="31" s="1"/>
  <c r="P68" i="31" s="1"/>
  <c r="P69" i="31" s="1"/>
  <c r="P70" i="31" s="1"/>
  <c r="P71" i="31" s="1"/>
  <c r="P72" i="31" s="1"/>
  <c r="P73" i="31" s="1"/>
  <c r="P74" i="31" s="1"/>
  <c r="P75" i="31" s="1"/>
  <c r="P76" i="31" s="1"/>
  <c r="P77" i="31" s="1"/>
  <c r="P78" i="31" s="1"/>
  <c r="P79" i="31" s="1"/>
  <c r="P80" i="31" s="1"/>
  <c r="P81" i="31" s="1"/>
  <c r="P82" i="31" s="1"/>
  <c r="P83" i="31" s="1"/>
  <c r="P84" i="31" s="1"/>
  <c r="P85" i="31" s="1"/>
  <c r="P86" i="31" s="1"/>
  <c r="P87" i="31" s="1"/>
  <c r="P88" i="31" s="1"/>
  <c r="P89" i="31" s="1"/>
  <c r="P90" i="31" s="1"/>
  <c r="P91" i="31" s="1"/>
  <c r="P92" i="31" s="1"/>
  <c r="P93" i="31" s="1"/>
  <c r="P94" i="31" s="1"/>
  <c r="P95" i="31" s="1"/>
  <c r="P96" i="31" s="1"/>
  <c r="P97" i="31" s="1"/>
  <c r="P98" i="31" s="1"/>
  <c r="P99" i="31" s="1"/>
  <c r="P100" i="31" s="1"/>
  <c r="P101" i="31" s="1"/>
  <c r="P102" i="31" s="1"/>
  <c r="P103" i="31" s="1"/>
  <c r="P104" i="31" s="1"/>
  <c r="P105" i="31" s="1"/>
  <c r="P106" i="31" s="1"/>
  <c r="P107" i="31" s="1"/>
  <c r="P108" i="31" s="1"/>
  <c r="P109" i="31" s="1"/>
  <c r="P110" i="31" s="1"/>
  <c r="P111" i="31" s="1"/>
  <c r="P112" i="31" s="1"/>
  <c r="P113" i="31" s="1"/>
  <c r="P114" i="31" s="1"/>
  <c r="P115" i="31" s="1"/>
  <c r="P116" i="31" s="1"/>
  <c r="P117" i="31" s="1"/>
  <c r="P118" i="31" s="1"/>
  <c r="P119" i="31" s="1"/>
  <c r="P120" i="31" s="1"/>
  <c r="P121" i="31" s="1"/>
  <c r="P122" i="31" s="1"/>
  <c r="P123" i="31" s="1"/>
  <c r="P124" i="31" s="1"/>
  <c r="P125" i="31" s="1"/>
  <c r="P126" i="31" s="1"/>
  <c r="P127" i="31" s="1"/>
  <c r="P128" i="31" s="1"/>
  <c r="P129" i="31" s="1"/>
  <c r="P130" i="31" s="1"/>
  <c r="P131" i="31" s="1"/>
  <c r="P132" i="31" s="1"/>
  <c r="P133" i="31" s="1"/>
  <c r="P134" i="31" s="1"/>
  <c r="P135" i="31" s="1"/>
  <c r="P136" i="31" s="1"/>
  <c r="P137" i="31" s="1"/>
  <c r="P138" i="31" s="1"/>
  <c r="P139" i="31" s="1"/>
  <c r="P140" i="31" s="1"/>
  <c r="P141" i="31" s="1"/>
  <c r="P142" i="31" s="1"/>
  <c r="P143" i="31" s="1"/>
  <c r="P144" i="31" s="1"/>
  <c r="P145" i="31" s="1"/>
  <c r="P146" i="31" s="1"/>
  <c r="P147" i="31" s="1"/>
  <c r="P148" i="31" s="1"/>
  <c r="P149" i="31" s="1"/>
  <c r="P150" i="31" s="1"/>
  <c r="P151" i="31" s="1"/>
  <c r="P152" i="31" s="1"/>
  <c r="P153" i="31" s="1"/>
  <c r="P154" i="31" s="1"/>
  <c r="P155" i="31" s="1"/>
  <c r="P156" i="31" s="1"/>
  <c r="P157" i="31" s="1"/>
  <c r="P158" i="31" s="1"/>
  <c r="P159" i="31" s="1"/>
  <c r="P160" i="31" s="1"/>
  <c r="P161" i="31" s="1"/>
  <c r="P162" i="31" s="1"/>
  <c r="P163" i="31" s="1"/>
  <c r="P164" i="31" s="1"/>
  <c r="P165" i="31" s="1"/>
  <c r="P166" i="31" s="1"/>
  <c r="P167" i="31" s="1"/>
  <c r="P168" i="31" s="1"/>
  <c r="P169" i="31" s="1"/>
  <c r="P170" i="31" s="1"/>
  <c r="P171" i="31" s="1"/>
  <c r="P172" i="31" s="1"/>
  <c r="P173" i="31" s="1"/>
  <c r="P174" i="31" s="1"/>
  <c r="P175" i="31" s="1"/>
  <c r="P176" i="31" s="1"/>
  <c r="P177" i="31" s="1"/>
  <c r="P178" i="31" s="1"/>
  <c r="P179" i="31" s="1"/>
  <c r="P180" i="31" s="1"/>
  <c r="P181" i="31" s="1"/>
  <c r="P182" i="31" s="1"/>
  <c r="P183" i="31" s="1"/>
  <c r="P184" i="31" s="1"/>
  <c r="P185" i="31" s="1"/>
  <c r="P186" i="31" s="1"/>
  <c r="P187" i="31" s="1"/>
  <c r="P188" i="31" s="1"/>
  <c r="P189" i="31" s="1"/>
  <c r="P190" i="31" s="1"/>
  <c r="P191" i="31" s="1"/>
  <c r="P192" i="31" s="1"/>
  <c r="P193" i="31" s="1"/>
  <c r="P194" i="31" s="1"/>
  <c r="P195" i="31" s="1"/>
  <c r="P196" i="31" s="1"/>
  <c r="P197" i="31" s="1"/>
  <c r="P198" i="31" s="1"/>
  <c r="P199" i="31" s="1"/>
  <c r="P200" i="31" s="1"/>
  <c r="P201" i="31" s="1"/>
  <c r="P202" i="31" s="1"/>
  <c r="P203" i="31" s="1"/>
  <c r="P204" i="31" s="1"/>
  <c r="P205" i="31" s="1"/>
  <c r="P206" i="31" s="1"/>
  <c r="P207" i="31" s="1"/>
  <c r="P208" i="31" s="1"/>
  <c r="P209" i="31" s="1"/>
  <c r="P210" i="31" s="1"/>
  <c r="P211" i="31" s="1"/>
  <c r="P212" i="31" s="1"/>
  <c r="P213" i="31" s="1"/>
  <c r="P214" i="31" s="1"/>
  <c r="P215" i="31" s="1"/>
  <c r="P216" i="31" s="1"/>
  <c r="P217" i="31" s="1"/>
  <c r="P218" i="31" s="1"/>
  <c r="P219" i="31" s="1"/>
  <c r="P220" i="31" s="1"/>
  <c r="P221" i="31" s="1"/>
  <c r="P222" i="31" s="1"/>
  <c r="P223" i="31" s="1"/>
  <c r="P224" i="31" s="1"/>
  <c r="P225" i="31" s="1"/>
  <c r="P226" i="31" s="1"/>
  <c r="P227" i="31" s="1"/>
  <c r="P228" i="31" s="1"/>
  <c r="P229" i="31" s="1"/>
  <c r="P230" i="31" s="1"/>
  <c r="P231" i="31" s="1"/>
  <c r="P232" i="31" s="1"/>
  <c r="P233" i="31" s="1"/>
  <c r="P234" i="31" s="1"/>
  <c r="P235" i="31" s="1"/>
  <c r="P236" i="31" s="1"/>
  <c r="P237" i="31" s="1"/>
  <c r="P238" i="31" s="1"/>
  <c r="P239" i="31" s="1"/>
  <c r="P240" i="31" s="1"/>
  <c r="P241" i="31" s="1"/>
  <c r="P242" i="31" s="1"/>
  <c r="P243" i="31" s="1"/>
  <c r="P244" i="31" s="1"/>
  <c r="P245" i="31" s="1"/>
  <c r="P246" i="31" s="1"/>
  <c r="P247" i="31" s="1"/>
  <c r="P248" i="31" s="1"/>
  <c r="P249" i="31" s="1"/>
  <c r="P250" i="31" s="1"/>
  <c r="P251" i="31" s="1"/>
  <c r="P252" i="31" s="1"/>
  <c r="P253" i="31" s="1"/>
  <c r="P254" i="31" s="1"/>
  <c r="P255" i="31" s="1"/>
  <c r="P256" i="31" s="1"/>
  <c r="P257" i="31" s="1"/>
  <c r="P258" i="31" s="1"/>
  <c r="P259" i="31" s="1"/>
  <c r="P260" i="31" s="1"/>
  <c r="P261" i="31" s="1"/>
  <c r="P262" i="31" s="1"/>
  <c r="P263" i="31" s="1"/>
  <c r="P264" i="31" s="1"/>
  <c r="P265" i="31" s="1"/>
  <c r="P266" i="31" s="1"/>
  <c r="P267" i="31" s="1"/>
  <c r="P268" i="31" s="1"/>
  <c r="P269" i="31" s="1"/>
  <c r="P270" i="31" s="1"/>
  <c r="P271" i="31" s="1"/>
  <c r="P272" i="31" s="1"/>
  <c r="P273" i="31" s="1"/>
  <c r="P274" i="31" s="1"/>
  <c r="P275" i="31" s="1"/>
  <c r="P276" i="31" s="1"/>
  <c r="P277" i="31" s="1"/>
  <c r="P278" i="31" s="1"/>
  <c r="P279" i="31" s="1"/>
  <c r="P280" i="31" s="1"/>
  <c r="P281" i="31" s="1"/>
  <c r="P282" i="31" s="1"/>
  <c r="P283" i="31" s="1"/>
  <c r="P284" i="31" s="1"/>
  <c r="P285" i="31" s="1"/>
  <c r="P286" i="31" s="1"/>
  <c r="P287" i="31" s="1"/>
  <c r="P288" i="31" s="1"/>
  <c r="P289" i="31" s="1"/>
  <c r="P290" i="31" s="1"/>
  <c r="P291" i="31" s="1"/>
  <c r="P292" i="31" s="1"/>
  <c r="P293" i="31" s="1"/>
  <c r="P294" i="31" s="1"/>
  <c r="P295" i="31" s="1"/>
  <c r="P296" i="31" s="1"/>
  <c r="P297" i="31" s="1"/>
  <c r="P298" i="31" s="1"/>
  <c r="P299" i="31" s="1"/>
  <c r="P300" i="31" s="1"/>
  <c r="P301" i="31" s="1"/>
  <c r="P302" i="31" s="1"/>
  <c r="P303" i="31" s="1"/>
  <c r="P304" i="31" s="1"/>
  <c r="P305" i="31" s="1"/>
  <c r="P306" i="31" s="1"/>
  <c r="P307" i="31" s="1"/>
  <c r="P308" i="31" s="1"/>
  <c r="P309" i="31" s="1"/>
  <c r="P310" i="31" s="1"/>
  <c r="P311" i="31" s="1"/>
  <c r="P312" i="31" s="1"/>
  <c r="P313" i="31" s="1"/>
  <c r="P314" i="31" s="1"/>
  <c r="P315" i="31" s="1"/>
  <c r="P316" i="31" s="1"/>
  <c r="P317" i="31" s="1"/>
  <c r="P318" i="31" s="1"/>
  <c r="P319" i="31" s="1"/>
  <c r="P320" i="31" s="1"/>
  <c r="P321" i="31" s="1"/>
  <c r="P322" i="31" s="1"/>
  <c r="P323" i="31" s="1"/>
  <c r="P324" i="31" s="1"/>
  <c r="P325" i="31" s="1"/>
  <c r="P326" i="31" s="1"/>
  <c r="P327" i="31" s="1"/>
  <c r="P328" i="31" s="1"/>
  <c r="P329" i="31" s="1"/>
  <c r="P330" i="31" s="1"/>
  <c r="P331" i="31" s="1"/>
  <c r="P332" i="31" s="1"/>
  <c r="P333" i="31" s="1"/>
  <c r="P334" i="31" s="1"/>
  <c r="P335" i="31" s="1"/>
  <c r="P336" i="31" s="1"/>
  <c r="P337" i="31" s="1"/>
  <c r="P338" i="31" s="1"/>
  <c r="P339" i="31" s="1"/>
  <c r="P340" i="31" s="1"/>
  <c r="P341" i="31" s="1"/>
  <c r="P342" i="31" s="1"/>
  <c r="P343" i="31" s="1"/>
  <c r="P344" i="31" s="1"/>
  <c r="P345" i="31" s="1"/>
  <c r="P346" i="31" s="1"/>
  <c r="P347" i="31" s="1"/>
  <c r="P348" i="31" s="1"/>
  <c r="P349" i="31" s="1"/>
  <c r="P350" i="31" s="1"/>
  <c r="P351" i="31" s="1"/>
  <c r="P352" i="31" s="1"/>
  <c r="P353" i="31" s="1"/>
  <c r="P354" i="31" s="1"/>
  <c r="P355" i="31" s="1"/>
  <c r="P356" i="31" s="1"/>
  <c r="P357" i="31" s="1"/>
  <c r="P358" i="31" s="1"/>
  <c r="P359" i="31" s="1"/>
  <c r="P360" i="31" s="1"/>
  <c r="P361" i="31" s="1"/>
  <c r="P362" i="31" s="1"/>
  <c r="P363" i="31" s="1"/>
  <c r="P364" i="31" s="1"/>
  <c r="P365" i="31" s="1"/>
  <c r="P366" i="31" s="1"/>
  <c r="P367" i="31" s="1"/>
  <c r="P368" i="31" s="1"/>
  <c r="P369" i="31" s="1"/>
  <c r="P370" i="31" s="1"/>
  <c r="P371" i="31" s="1"/>
  <c r="P372" i="31" s="1"/>
  <c r="P373" i="31" s="1"/>
  <c r="P374" i="31" s="1"/>
  <c r="P375" i="31" s="1"/>
  <c r="P376" i="31" s="1"/>
  <c r="P377" i="31" s="1"/>
  <c r="P378" i="31" s="1"/>
  <c r="P379" i="31" s="1"/>
  <c r="P380" i="31" s="1"/>
  <c r="P381" i="31" s="1"/>
  <c r="P382" i="31" s="1"/>
  <c r="P383" i="31" s="1"/>
  <c r="P384" i="31" s="1"/>
  <c r="P385" i="31" s="1"/>
  <c r="P386" i="31" s="1"/>
  <c r="P387" i="31" s="1"/>
  <c r="P388" i="31" s="1"/>
  <c r="P389" i="31" s="1"/>
  <c r="P390" i="31" s="1"/>
  <c r="P391" i="31" s="1"/>
  <c r="P392" i="31" s="1"/>
  <c r="P393" i="31" s="1"/>
  <c r="P394" i="31" s="1"/>
  <c r="P395" i="31" s="1"/>
  <c r="P396" i="31" s="1"/>
  <c r="P397" i="31" s="1"/>
  <c r="P398" i="31" s="1"/>
  <c r="P399" i="31" s="1"/>
  <c r="P400" i="31" s="1"/>
  <c r="P401" i="31" s="1"/>
  <c r="P402" i="31" s="1"/>
  <c r="P403" i="31" s="1"/>
  <c r="P404" i="31" s="1"/>
  <c r="P405" i="31" s="1"/>
  <c r="P406" i="31" s="1"/>
  <c r="P407" i="31" s="1"/>
  <c r="P408" i="31" s="1"/>
  <c r="P409" i="31" s="1"/>
  <c r="P410" i="31" s="1"/>
  <c r="P411" i="31" s="1"/>
  <c r="P412" i="31" s="1"/>
  <c r="P413" i="31" s="1"/>
  <c r="P414" i="31" s="1"/>
  <c r="P415" i="31" s="1"/>
  <c r="P416" i="31" s="1"/>
  <c r="P417" i="31" s="1"/>
  <c r="P418" i="31" s="1"/>
  <c r="P419" i="31" s="1"/>
  <c r="P420" i="31" s="1"/>
  <c r="P421" i="31" s="1"/>
  <c r="P422" i="31" s="1"/>
  <c r="P423" i="31" s="1"/>
  <c r="P424" i="31" s="1"/>
  <c r="P425" i="31" s="1"/>
  <c r="P426" i="31" s="1"/>
  <c r="P427" i="31" s="1"/>
  <c r="P428" i="31" s="1"/>
  <c r="P429" i="31" s="1"/>
  <c r="P430" i="31" s="1"/>
  <c r="P431" i="31" s="1"/>
  <c r="P432" i="31" s="1"/>
  <c r="P433" i="31" s="1"/>
  <c r="P434" i="31" s="1"/>
  <c r="P435" i="31" s="1"/>
  <c r="P436" i="31" s="1"/>
  <c r="P437" i="31" s="1"/>
  <c r="P438" i="31" s="1"/>
  <c r="P439" i="31" s="1"/>
  <c r="P440" i="31" s="1"/>
  <c r="P441" i="31" s="1"/>
  <c r="P442" i="31" s="1"/>
  <c r="P443" i="31" s="1"/>
  <c r="P444" i="31" s="1"/>
  <c r="P445" i="31" s="1"/>
  <c r="P446" i="31" s="1"/>
  <c r="P447" i="31" s="1"/>
  <c r="P448" i="31" s="1"/>
  <c r="P449" i="31" s="1"/>
  <c r="P450" i="31" s="1"/>
  <c r="P451" i="31" s="1"/>
  <c r="P452" i="31" s="1"/>
  <c r="P453" i="31" s="1"/>
  <c r="P454" i="31" s="1"/>
  <c r="P455" i="31" s="1"/>
  <c r="P456" i="31" s="1"/>
  <c r="P457" i="31" s="1"/>
  <c r="P458" i="31" s="1"/>
  <c r="P459" i="31" s="1"/>
  <c r="P460" i="31" s="1"/>
  <c r="P461" i="31" s="1"/>
  <c r="P462" i="31" s="1"/>
  <c r="P463" i="31" s="1"/>
  <c r="P464" i="31" s="1"/>
  <c r="P465" i="31" s="1"/>
  <c r="P466" i="31" s="1"/>
  <c r="P467" i="31" s="1"/>
  <c r="P468" i="31" s="1"/>
  <c r="P469" i="31" s="1"/>
  <c r="P470" i="31" s="1"/>
  <c r="P471" i="31" s="1"/>
  <c r="P472" i="31" s="1"/>
  <c r="P473" i="31" s="1"/>
  <c r="P474" i="31" s="1"/>
  <c r="P475" i="31" s="1"/>
  <c r="P476" i="31" s="1"/>
  <c r="P477" i="31" s="1"/>
  <c r="P478" i="31" s="1"/>
  <c r="P479" i="31" s="1"/>
  <c r="P480" i="31" s="1"/>
  <c r="P481" i="31" s="1"/>
  <c r="P482" i="31" s="1"/>
  <c r="P483" i="31" s="1"/>
  <c r="P484" i="31" s="1"/>
  <c r="P485" i="31" s="1"/>
  <c r="P486" i="31" s="1"/>
  <c r="P487" i="31" s="1"/>
  <c r="P488" i="31" s="1"/>
  <c r="P489" i="31" s="1"/>
  <c r="P490" i="31" s="1"/>
  <c r="P491" i="31" s="1"/>
  <c r="P492" i="31" s="1"/>
  <c r="P493" i="31" s="1"/>
  <c r="P494" i="31" s="1"/>
  <c r="P495" i="31" s="1"/>
  <c r="P496" i="31" s="1"/>
  <c r="P497" i="31" s="1"/>
  <c r="P498" i="31" s="1"/>
  <c r="P499" i="31" s="1"/>
  <c r="P500" i="31" s="1"/>
  <c r="P501" i="31" s="1"/>
  <c r="P502" i="31" s="1"/>
  <c r="P503" i="31" s="1"/>
  <c r="P504" i="31" s="1"/>
  <c r="P505" i="31" s="1"/>
  <c r="P506" i="31" s="1"/>
  <c r="P507" i="31" s="1"/>
  <c r="P508" i="31" s="1"/>
  <c r="P509" i="31" s="1"/>
  <c r="P510" i="31" s="1"/>
  <c r="P511" i="31" s="1"/>
  <c r="P512" i="31" s="1"/>
  <c r="P513" i="31" s="1"/>
  <c r="P514" i="31" s="1"/>
  <c r="P515" i="31" s="1"/>
  <c r="P516" i="31" s="1"/>
  <c r="P517" i="31" s="1"/>
  <c r="P518" i="31" s="1"/>
  <c r="P519" i="31" s="1"/>
  <c r="P520" i="31" s="1"/>
  <c r="P521" i="31" s="1"/>
  <c r="P522" i="31" s="1"/>
  <c r="P523" i="31" s="1"/>
  <c r="P524" i="31" s="1"/>
  <c r="P525" i="31" s="1"/>
  <c r="P526" i="31" s="1"/>
  <c r="P527" i="31" s="1"/>
  <c r="P528" i="31" s="1"/>
  <c r="P529" i="31" s="1"/>
  <c r="P530" i="31" s="1"/>
  <c r="P531" i="31" s="1"/>
  <c r="P532" i="31" s="1"/>
  <c r="P533" i="31" s="1"/>
  <c r="P534" i="31" s="1"/>
  <c r="P535" i="31" s="1"/>
  <c r="P536" i="31" s="1"/>
  <c r="P537" i="31" s="1"/>
  <c r="P538" i="31" s="1"/>
  <c r="P539" i="31" s="1"/>
  <c r="P540" i="31" s="1"/>
  <c r="P541" i="31" s="1"/>
  <c r="P542" i="31" s="1"/>
  <c r="P543" i="31" s="1"/>
  <c r="P544" i="31" s="1"/>
  <c r="P545" i="31" s="1"/>
  <c r="P546" i="31" s="1"/>
  <c r="P547" i="31" s="1"/>
  <c r="P548" i="31" s="1"/>
  <c r="P549" i="31" s="1"/>
  <c r="P550" i="31" s="1"/>
  <c r="P551" i="31" s="1"/>
  <c r="P552" i="31" s="1"/>
  <c r="P553" i="31" s="1"/>
  <c r="P554" i="31" s="1"/>
  <c r="P555" i="31" s="1"/>
  <c r="P556" i="31" s="1"/>
  <c r="P557" i="31" s="1"/>
  <c r="P558" i="31" s="1"/>
  <c r="P559" i="31" s="1"/>
  <c r="P560" i="31" s="1"/>
  <c r="P561" i="31" s="1"/>
  <c r="P562" i="31" s="1"/>
  <c r="P563" i="31" s="1"/>
  <c r="P564" i="31" s="1"/>
  <c r="P565" i="31" s="1"/>
  <c r="P566" i="31" s="1"/>
  <c r="P567" i="31" s="1"/>
  <c r="P568" i="31" s="1"/>
  <c r="P569" i="31" s="1"/>
  <c r="P570" i="31" s="1"/>
  <c r="P571" i="31" s="1"/>
  <c r="P572" i="31" s="1"/>
  <c r="P573" i="31" s="1"/>
  <c r="P574" i="31" s="1"/>
  <c r="P575" i="31" s="1"/>
  <c r="P576" i="31" s="1"/>
  <c r="P577" i="31" s="1"/>
  <c r="P578" i="31" s="1"/>
  <c r="P579" i="31" s="1"/>
  <c r="P580" i="31" s="1"/>
  <c r="P581" i="31" s="1"/>
  <c r="P582" i="31" s="1"/>
  <c r="P583" i="31" s="1"/>
  <c r="P584" i="31" s="1"/>
  <c r="P585" i="31" s="1"/>
  <c r="P586" i="31" s="1"/>
  <c r="P587" i="31" s="1"/>
  <c r="P588" i="31" s="1"/>
  <c r="P589" i="31" s="1"/>
  <c r="P590" i="31" s="1"/>
  <c r="P591" i="31" s="1"/>
  <c r="P592" i="31" s="1"/>
  <c r="P593" i="31" s="1"/>
  <c r="P594" i="31" s="1"/>
  <c r="P595" i="31" s="1"/>
  <c r="P596" i="31" s="1"/>
  <c r="P597" i="31" s="1"/>
  <c r="P598" i="31" s="1"/>
  <c r="P599" i="31" s="1"/>
  <c r="P600" i="31" s="1"/>
  <c r="P601" i="31" s="1"/>
  <c r="P602" i="31" s="1"/>
  <c r="P603" i="31" s="1"/>
  <c r="P604" i="31" s="1"/>
  <c r="P605" i="31" s="1"/>
  <c r="P606" i="31" s="1"/>
  <c r="P607" i="31" s="1"/>
  <c r="P608" i="31" s="1"/>
  <c r="P609" i="31" s="1"/>
  <c r="P610" i="31" s="1"/>
  <c r="P611" i="31" s="1"/>
  <c r="P612" i="31" s="1"/>
  <c r="P613" i="31" s="1"/>
  <c r="O15" i="31"/>
  <c r="Q15" i="31" s="1"/>
  <c r="O14" i="31"/>
  <c r="Q14" i="31" s="1"/>
  <c r="O24" i="31"/>
  <c r="Q24" i="31" s="1"/>
  <c r="O10" i="31"/>
  <c r="T2" i="31" s="1"/>
  <c r="Q58" i="31"/>
  <c r="Q16" i="31"/>
  <c r="Q62" i="31"/>
  <c r="Q50" i="31"/>
  <c r="Q35" i="31"/>
  <c r="Q46" i="31"/>
  <c r="Q40" i="31"/>
  <c r="Q56" i="31"/>
  <c r="Q43" i="31"/>
  <c r="Q30" i="31"/>
  <c r="Q31" i="31"/>
  <c r="Q17" i="31"/>
  <c r="Q39" i="31"/>
  <c r="Q72" i="31"/>
  <c r="Q68" i="31"/>
  <c r="Q55" i="31"/>
  <c r="Q36" i="31"/>
  <c r="Q22" i="31"/>
  <c r="Q66" i="31"/>
  <c r="Q60" i="31"/>
  <c r="Q19" i="31"/>
  <c r="Q18" i="31"/>
  <c r="Q29" i="31"/>
  <c r="Q33" i="31"/>
  <c r="Q71" i="31"/>
  <c r="Q49" i="31"/>
  <c r="Q21" i="31"/>
  <c r="Q20" i="31"/>
  <c r="Q45" i="31"/>
  <c r="Q23" i="31"/>
  <c r="Q65" i="31"/>
  <c r="Q53" i="31"/>
  <c r="Q48" i="31"/>
  <c r="Q57" i="31"/>
  <c r="Q54" i="31"/>
  <c r="Q52" i="31"/>
  <c r="Q64" i="31"/>
  <c r="Q59" i="31"/>
  <c r="Q25" i="31"/>
  <c r="Q34" i="31"/>
  <c r="Q63" i="31"/>
  <c r="Q70" i="31"/>
  <c r="Q38" i="31"/>
  <c r="Q26" i="31"/>
  <c r="Q61" i="31"/>
  <c r="Q196" i="31"/>
  <c r="Q130" i="31"/>
  <c r="Q604" i="31"/>
  <c r="Q94" i="31"/>
  <c r="Q238" i="31"/>
  <c r="Q310" i="31"/>
  <c r="Q234" i="31"/>
  <c r="Q352" i="31"/>
  <c r="Q486" i="31"/>
  <c r="Q610" i="31"/>
  <c r="Q573" i="31"/>
  <c r="Q174" i="31"/>
  <c r="Q414" i="31"/>
  <c r="Q532" i="31"/>
  <c r="Q312" i="31"/>
  <c r="Q456" i="31"/>
  <c r="Q600" i="31"/>
  <c r="Q151" i="31"/>
  <c r="Q439" i="31"/>
  <c r="Q583" i="31"/>
  <c r="Q365" i="31"/>
  <c r="Q525" i="31"/>
  <c r="Q381" i="31"/>
  <c r="Q74" i="31"/>
  <c r="Q531" i="31"/>
  <c r="Q529" i="31"/>
  <c r="Q385" i="31"/>
  <c r="Q241" i="31"/>
  <c r="Q297" i="31"/>
  <c r="Q609" i="31"/>
  <c r="Q320" i="31"/>
  <c r="Q392" i="31"/>
  <c r="Q536" i="31"/>
  <c r="Q134" i="31"/>
  <c r="Q386" i="31"/>
  <c r="Q246" i="31"/>
  <c r="Q362" i="31"/>
  <c r="Q302" i="31"/>
  <c r="Q542" i="31"/>
  <c r="Q180" i="31"/>
  <c r="Q324" i="31"/>
  <c r="Q468" i="31"/>
  <c r="Q612" i="31"/>
  <c r="Q163" i="31"/>
  <c r="Q307" i="31"/>
  <c r="Q451" i="31"/>
  <c r="Q595" i="31"/>
  <c r="Q353" i="31"/>
  <c r="Q311" i="31"/>
  <c r="Q373" i="31"/>
  <c r="Q594" i="31"/>
  <c r="Q507" i="31"/>
  <c r="Q191" i="31"/>
  <c r="Q513" i="31"/>
  <c r="Q202" i="31"/>
  <c r="Q448" i="31"/>
  <c r="Q106" i="31"/>
  <c r="Q178" i="31"/>
  <c r="Q250" i="31"/>
  <c r="Q322" i="31"/>
  <c r="Q394" i="31"/>
  <c r="Q466" i="31"/>
  <c r="Q398" i="31"/>
  <c r="Q138" i="31"/>
  <c r="Q254" i="31"/>
  <c r="Q366" i="31"/>
  <c r="Q510" i="31"/>
  <c r="Q579" i="31"/>
  <c r="Q194" i="31"/>
  <c r="Q316" i="31"/>
  <c r="Q438" i="31"/>
  <c r="Q546" i="31"/>
  <c r="Q336" i="31"/>
  <c r="Q480" i="31"/>
  <c r="Q463" i="31"/>
  <c r="Q607" i="31"/>
  <c r="Q341" i="31"/>
  <c r="Q303" i="31"/>
  <c r="Q501" i="31"/>
  <c r="Q357" i="31"/>
  <c r="Q183" i="31"/>
  <c r="Q505" i="31"/>
  <c r="Q361" i="31"/>
  <c r="Q217" i="31"/>
  <c r="Q145" i="31"/>
  <c r="Q327" i="31"/>
  <c r="Q201" i="31"/>
  <c r="Q149" i="31"/>
  <c r="Q133" i="31"/>
  <c r="Q344" i="31"/>
  <c r="Q123" i="31"/>
  <c r="Q195" i="31"/>
  <c r="Q581" i="31"/>
  <c r="Q166" i="31"/>
  <c r="Q305" i="31"/>
  <c r="Q176" i="31"/>
  <c r="Q315" i="31"/>
  <c r="Q257" i="31"/>
  <c r="Q116" i="31"/>
  <c r="Q260" i="31"/>
  <c r="Q332" i="31"/>
  <c r="Q404" i="31"/>
  <c r="Q548" i="31"/>
  <c r="Q412" i="31"/>
  <c r="Q569" i="31"/>
  <c r="Q148" i="31"/>
  <c r="Q258" i="31"/>
  <c r="Q378" i="31"/>
  <c r="Q522" i="31"/>
  <c r="Q206" i="31"/>
  <c r="Q326" i="31"/>
  <c r="Q446" i="31"/>
  <c r="Q556" i="31"/>
  <c r="Q348" i="31"/>
  <c r="Q492" i="31"/>
  <c r="Q187" i="31"/>
  <c r="Q331" i="31"/>
  <c r="Q566" i="31"/>
  <c r="Q473" i="31"/>
  <c r="Q329" i="31"/>
  <c r="Q443" i="31"/>
  <c r="Q237" i="31"/>
  <c r="Q349" i="31"/>
  <c r="Q273" i="31"/>
  <c r="Q143" i="31"/>
  <c r="Q291" i="31"/>
  <c r="Q190" i="31"/>
  <c r="Q334" i="31"/>
  <c r="Q406" i="31"/>
  <c r="Q478" i="31"/>
  <c r="Q550" i="31"/>
  <c r="Q182" i="31"/>
  <c r="Q593" i="31"/>
  <c r="Q158" i="31"/>
  <c r="Q268" i="31"/>
  <c r="Q390" i="31"/>
  <c r="Q575" i="31"/>
  <c r="Q218" i="31"/>
  <c r="Q462" i="31"/>
  <c r="Q360" i="31"/>
  <c r="Q504" i="31"/>
  <c r="Q461" i="31"/>
  <c r="Q215" i="31"/>
  <c r="Q477" i="31"/>
  <c r="Q333" i="31"/>
  <c r="Q265" i="31"/>
  <c r="Q435" i="31"/>
  <c r="Q481" i="31"/>
  <c r="Q337" i="31"/>
  <c r="Q87" i="31"/>
  <c r="Q289" i="31"/>
  <c r="Q436" i="31"/>
  <c r="Q605" i="31"/>
  <c r="Q162" i="31"/>
  <c r="Q282" i="31"/>
  <c r="Q402" i="31"/>
  <c r="Q90" i="31"/>
  <c r="Q470" i="31"/>
  <c r="Q228" i="31"/>
  <c r="Q211" i="31"/>
  <c r="Q499" i="31"/>
  <c r="Q590" i="31"/>
  <c r="Q449" i="31"/>
  <c r="Q419" i="31"/>
  <c r="Q317" i="31"/>
  <c r="Q177" i="31"/>
  <c r="Q411" i="31"/>
  <c r="Q293" i="31"/>
  <c r="Q465" i="31"/>
  <c r="Q299" i="31"/>
  <c r="Q263" i="31"/>
  <c r="Q423" i="31"/>
  <c r="Q596" i="31"/>
  <c r="Q102" i="31"/>
  <c r="Q232" i="31"/>
  <c r="Q608" i="31"/>
  <c r="Q96" i="31"/>
  <c r="Q528" i="31"/>
  <c r="Q367" i="31"/>
  <c r="Q511" i="31"/>
  <c r="Q437" i="31"/>
  <c r="Q551" i="31"/>
  <c r="Q169" i="31"/>
  <c r="Q387" i="31"/>
  <c r="Q269" i="31"/>
  <c r="Q255" i="31"/>
  <c r="Q179" i="31"/>
  <c r="Q193" i="31"/>
  <c r="Q209" i="31"/>
  <c r="Q416" i="31"/>
  <c r="Q346" i="31"/>
  <c r="Q544" i="31"/>
  <c r="Q161" i="31"/>
  <c r="Q500" i="31"/>
  <c r="Q73" i="31"/>
  <c r="Q184" i="31"/>
  <c r="Q306" i="31"/>
  <c r="Q426" i="31"/>
  <c r="Q75" i="31"/>
  <c r="Q112" i="31"/>
  <c r="Q484" i="31"/>
  <c r="Q235" i="31"/>
  <c r="Q568" i="31"/>
  <c r="Q539" i="31"/>
  <c r="Q395" i="31"/>
  <c r="Q129" i="31"/>
  <c r="Q363" i="31"/>
  <c r="Q197" i="31"/>
  <c r="Q441" i="31"/>
  <c r="Q189" i="31"/>
  <c r="Q261" i="31"/>
  <c r="Q399" i="31"/>
  <c r="Q200" i="31"/>
  <c r="Q410" i="31"/>
  <c r="Q109" i="31"/>
  <c r="Q243" i="31"/>
  <c r="Q358" i="31"/>
  <c r="Q482" i="31"/>
  <c r="Q565" i="31"/>
  <c r="Q256" i="31"/>
  <c r="Q374" i="31"/>
  <c r="Q120" i="31"/>
  <c r="Q264" i="31"/>
  <c r="Q552" i="31"/>
  <c r="Q103" i="31"/>
  <c r="Q247" i="31"/>
  <c r="Q391" i="31"/>
  <c r="Q557" i="31"/>
  <c r="Q413" i="31"/>
  <c r="Q527" i="31"/>
  <c r="Q383" i="31"/>
  <c r="Q155" i="31"/>
  <c r="Q101" i="31"/>
  <c r="Q433" i="31"/>
  <c r="Q125" i="31"/>
  <c r="Q167" i="31"/>
  <c r="Q351" i="31"/>
  <c r="Q519" i="31"/>
  <c r="Q229" i="31"/>
  <c r="Q113" i="31"/>
  <c r="Q224" i="31"/>
  <c r="Q368" i="31"/>
  <c r="Q512" i="31"/>
  <c r="Q86" i="31"/>
  <c r="Q78" i="31"/>
  <c r="Q450" i="31"/>
  <c r="Q567" i="31"/>
  <c r="Q506" i="31"/>
  <c r="Q132" i="31"/>
  <c r="Q276" i="31"/>
  <c r="Q564" i="31"/>
  <c r="Q115" i="31"/>
  <c r="Q259" i="31"/>
  <c r="Q403" i="31"/>
  <c r="Q547" i="31"/>
  <c r="Q545" i="31"/>
  <c r="Q515" i="31"/>
  <c r="Q135" i="31"/>
  <c r="Q111" i="31"/>
  <c r="Q592" i="31"/>
  <c r="Q159" i="31"/>
  <c r="Q488" i="31"/>
  <c r="Q185" i="31"/>
  <c r="Q490" i="31"/>
  <c r="Q290" i="31"/>
  <c r="Q253" i="31"/>
  <c r="Q140" i="31"/>
  <c r="Q76" i="31"/>
  <c r="Q603" i="31"/>
  <c r="Q85" i="31"/>
  <c r="Q219" i="31"/>
  <c r="Q298" i="31"/>
  <c r="Q88" i="31"/>
  <c r="Q559" i="31"/>
  <c r="Q503" i="31"/>
  <c r="Q549" i="31"/>
  <c r="Q405" i="31"/>
  <c r="Q287" i="31"/>
  <c r="Q553" i="31"/>
  <c r="Q117" i="31"/>
  <c r="Q245" i="31"/>
  <c r="Q212" i="31"/>
  <c r="Q356" i="31"/>
  <c r="Q137" i="31"/>
  <c r="Q502" i="31"/>
  <c r="Q278" i="31"/>
  <c r="Q80" i="31"/>
  <c r="Q292" i="31"/>
  <c r="Q82" i="31"/>
  <c r="Q154" i="31"/>
  <c r="Q226" i="31"/>
  <c r="Q370" i="31"/>
  <c r="Q442" i="31"/>
  <c r="Q514" i="31"/>
  <c r="Q98" i="31"/>
  <c r="Q518" i="31"/>
  <c r="Q222" i="31"/>
  <c r="Q328" i="31"/>
  <c r="Q460" i="31"/>
  <c r="Q589" i="31"/>
  <c r="Q270" i="31"/>
  <c r="Q388" i="31"/>
  <c r="Q288" i="31"/>
  <c r="Q127" i="31"/>
  <c r="Q415" i="31"/>
  <c r="Q533" i="31"/>
  <c r="Q389" i="31"/>
  <c r="Q359" i="31"/>
  <c r="Q409" i="31"/>
  <c r="Q205" i="31"/>
  <c r="Q92" i="31"/>
  <c r="Q164" i="31"/>
  <c r="Q236" i="31"/>
  <c r="Q308" i="31"/>
  <c r="Q380" i="31"/>
  <c r="Q524" i="31"/>
  <c r="Q114" i="31"/>
  <c r="Q338" i="31"/>
  <c r="Q230" i="31"/>
  <c r="Q342" i="31"/>
  <c r="Q586" i="31"/>
  <c r="Q591" i="31"/>
  <c r="Q280" i="31"/>
  <c r="Q156" i="31"/>
  <c r="Q300" i="31"/>
  <c r="Q444" i="31"/>
  <c r="Q588" i="31"/>
  <c r="Q283" i="31"/>
  <c r="Q571" i="31"/>
  <c r="Q521" i="31"/>
  <c r="Q377" i="31"/>
  <c r="Q491" i="31"/>
  <c r="Q397" i="31"/>
  <c r="Q555" i="31"/>
  <c r="Q279" i="31"/>
  <c r="Q537" i="31"/>
  <c r="Q321" i="31"/>
  <c r="O6" i="31"/>
  <c r="Q13" i="31" l="1"/>
  <c r="O11" i="31"/>
  <c r="C19" i="31"/>
  <c r="C14" i="31" l="1"/>
  <c r="U2" i="31"/>
  <c r="C15" i="31"/>
  <c r="P11" i="31"/>
  <c r="Z1" i="31" l="1"/>
  <c r="C17" i="31"/>
  <c r="C20" i="31" s="1"/>
  <c r="V2" i="31" l="1"/>
  <c r="AA1" i="31" s="1"/>
</calcChain>
</file>

<file path=xl/sharedStrings.xml><?xml version="1.0" encoding="utf-8"?>
<sst xmlns="http://schemas.openxmlformats.org/spreadsheetml/2006/main" count="37" uniqueCount="34">
  <si>
    <t>Term (in Years)</t>
  </si>
  <si>
    <t>Total Months</t>
  </si>
  <si>
    <t>* For Educational Purposes Only</t>
  </si>
  <si>
    <t>Chart Info</t>
  </si>
  <si>
    <t>Offset</t>
  </si>
  <si>
    <t>(Max. 50)</t>
  </si>
  <si>
    <t>No of Pmts</t>
  </si>
  <si>
    <t>Periodic Investment Amount</t>
  </si>
  <si>
    <t>Freq. of Periodic Investment per year</t>
  </si>
  <si>
    <t>Total Periodic Investment</t>
  </si>
  <si>
    <t>Periodic Payment</t>
  </si>
  <si>
    <t>Total Invested value - Periodic Investment</t>
  </si>
  <si>
    <t>Periodic Invested</t>
  </si>
  <si>
    <t>Periodic Invt Gain</t>
  </si>
  <si>
    <t>P-I</t>
  </si>
  <si>
    <t>P-G</t>
  </si>
  <si>
    <t>Expected Rate of Return (Percentage)</t>
  </si>
  <si>
    <t>Name:</t>
  </si>
  <si>
    <t>Age:</t>
  </si>
  <si>
    <t>Mr. John Doe</t>
  </si>
  <si>
    <t>Capital Gains Tax Rate</t>
  </si>
  <si>
    <t>Tax</t>
  </si>
  <si>
    <t>For Excess Chk</t>
  </si>
  <si>
    <t>Cor. Value</t>
  </si>
  <si>
    <t>Total Periodic Cor. Value</t>
  </si>
  <si>
    <t>Periodic Investment Gain</t>
  </si>
  <si>
    <t>Capital Gains Tax on Periodic Investment</t>
  </si>
  <si>
    <t>How Wide</t>
  </si>
  <si>
    <t>Starting Column</t>
  </si>
  <si>
    <t>Corpus Maturity Value</t>
  </si>
  <si>
    <t>Net Corpus Maturity Value</t>
  </si>
  <si>
    <t>PIRate</t>
  </si>
  <si>
    <t>Periodic Investment Calculator</t>
  </si>
  <si>
    <t>© Copyright Nivra Fintech LLC,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</si>
</sst>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₹&quot;\ #,##0;[Red]&quot;₹&quot;\ \-#,##0"/>
    <numFmt numFmtId="8" formatCode="&quot;₹&quot;\ #,##0.00;[Red]&quot;₹&quot;\ \-#,##0.00"/>
    <numFmt numFmtId="43" formatCode="_ * #,##0.00_ ;_ * \-#,##0.00_ ;_ * &quot;-&quot;??_ ;_ @_ "/>
    <numFmt numFmtId="164" formatCode="_ [$₹-4009]\ * #,##0_ ;_ [$₹-4009]\ * \-#,##0_ ;_ [$₹-4009]\ * &quot;-&quot;??_ ;_ @_ "/>
    <numFmt numFmtId="165" formatCode="_ &quot;₹&quot;\ * #,##0_ ;_ &quot;₹&quot;\ * \-#,##0_ ;_ &quot;₹&quot;\ * &quot;-&quot;??_ ;_ @_ "/>
    <numFmt numFmtId="166" formatCode="_ * #,##0_ ;_ * \-#,##0_ ;_ * &quot;-&quot;??_ ;_ @_ "/>
    <numFmt numFmtId="167" formatCode="#&quot;&quot;"/>
    <numFmt numFmtId="168" formatCode="&quot;₹&quot;\ #,##0.0;[Red]&quot;₹&quot;\ \-#,##0.0"/>
    <numFmt numFmtId="169" formatCode="_ * #,##0.000000000_ ;_ * \-#,##0.000000000_ ;_ * &quot;-&quot;??_ ;_ @_ "/>
  </numFmts>
  <fonts count="21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FFFF00"/>
      <name val="Arial"/>
      <family val="2"/>
    </font>
    <font>
      <b/>
      <sz val="10"/>
      <color rgb="FF002060"/>
      <name val="Arial"/>
      <family val="2"/>
    </font>
    <font>
      <sz val="10"/>
      <color rgb="FF002060"/>
      <name val="Arial"/>
      <family val="2"/>
    </font>
    <font>
      <b/>
      <sz val="10"/>
      <color rgb="FFFF0000"/>
      <name val="Arial"/>
      <family val="2"/>
    </font>
    <font>
      <b/>
      <sz val="12"/>
      <name val="Arial"/>
      <family val="2"/>
    </font>
    <font>
      <b/>
      <sz val="10"/>
      <color rgb="FF0070C0"/>
      <name val="Arial"/>
      <family val="2"/>
    </font>
    <font>
      <b/>
      <i/>
      <sz val="10"/>
      <color rgb="FFFF0000"/>
      <name val="Arial"/>
      <family val="2"/>
    </font>
    <font>
      <i/>
      <sz val="10"/>
      <color rgb="FF002060"/>
      <name val="Arial"/>
      <family val="2"/>
    </font>
    <font>
      <b/>
      <i/>
      <sz val="8"/>
      <color rgb="FFFF0000"/>
      <name val="Arial"/>
      <family val="2"/>
    </font>
    <font>
      <i/>
      <sz val="10"/>
      <name val="Arial"/>
      <family val="2"/>
    </font>
    <font>
      <b/>
      <sz val="14"/>
      <color theme="3" tint="-0.249977111117893"/>
      <name val="Arial"/>
      <family val="2"/>
    </font>
    <font>
      <b/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FF0000"/>
      <name val="Arial"/>
      <family val="2"/>
    </font>
    <font>
      <b/>
      <i/>
      <sz val="10"/>
      <name val="Arial"/>
      <family val="2"/>
    </font>
    <font>
      <sz val="10"/>
      <color theme="5" tint="-0.499984740745262"/>
      <name val="Arial"/>
      <family val="2"/>
    </font>
    <font>
      <b/>
      <sz val="10"/>
      <color theme="5" tint="-0.499984740745262"/>
      <name val="Arial"/>
      <family val="2"/>
    </font>
    <font>
      <b/>
      <i/>
      <sz val="11"/>
      <color rgb="FF00206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" fillId="0" borderId="0"/>
  </cellStyleXfs>
  <cellXfs count="62">
    <xf numFmtId="0" fontId="0" fillId="0" borderId="0" xfId="0"/>
    <xf numFmtId="0" fontId="1" fillId="3" borderId="0" xfId="2" applyFill="1" applyAlignment="1" applyProtection="1">
      <alignment vertical="center"/>
      <protection hidden="1"/>
    </xf>
    <xf numFmtId="0" fontId="7" fillId="3" borderId="0" xfId="2" applyFont="1" applyFill="1" applyAlignment="1" applyProtection="1">
      <alignment vertical="center"/>
      <protection hidden="1"/>
    </xf>
    <xf numFmtId="0" fontId="3" fillId="5" borderId="1" xfId="2" applyFont="1" applyFill="1" applyBorder="1" applyAlignment="1" applyProtection="1">
      <alignment vertical="center"/>
      <protection hidden="1"/>
    </xf>
    <xf numFmtId="0" fontId="1" fillId="5" borderId="1" xfId="2" applyFill="1" applyBorder="1" applyAlignment="1" applyProtection="1">
      <alignment vertical="center"/>
      <protection hidden="1"/>
    </xf>
    <xf numFmtId="10" fontId="1" fillId="2" borderId="1" xfId="2" applyNumberFormat="1" applyFill="1" applyBorder="1" applyAlignment="1" applyProtection="1">
      <alignment vertical="center"/>
      <protection locked="0"/>
    </xf>
    <xf numFmtId="0" fontId="3" fillId="8" borderId="1" xfId="2" applyFont="1" applyFill="1" applyBorder="1" applyAlignment="1" applyProtection="1">
      <alignment vertical="center"/>
      <protection hidden="1"/>
    </xf>
    <xf numFmtId="166" fontId="1" fillId="2" borderId="1" xfId="1" applyNumberFormat="1" applyFill="1" applyBorder="1" applyAlignment="1" applyProtection="1">
      <alignment vertical="center"/>
      <protection locked="0"/>
    </xf>
    <xf numFmtId="0" fontId="1" fillId="8" borderId="1" xfId="2" applyFill="1" applyBorder="1" applyAlignment="1" applyProtection="1">
      <alignment vertical="center"/>
      <protection hidden="1"/>
    </xf>
    <xf numFmtId="0" fontId="12" fillId="7" borderId="1" xfId="2" applyFont="1" applyFill="1" applyBorder="1" applyAlignment="1" applyProtection="1">
      <alignment vertical="center"/>
      <protection hidden="1"/>
    </xf>
    <xf numFmtId="164" fontId="10" fillId="7" borderId="1" xfId="2" applyNumberFormat="1" applyFont="1" applyFill="1" applyBorder="1" applyAlignment="1" applyProtection="1">
      <alignment vertical="center"/>
      <protection hidden="1"/>
    </xf>
    <xf numFmtId="0" fontId="5" fillId="7" borderId="1" xfId="2" applyFont="1" applyFill="1" applyBorder="1" applyAlignment="1" applyProtection="1">
      <alignment vertical="center"/>
      <protection hidden="1"/>
    </xf>
    <xf numFmtId="0" fontId="9" fillId="3" borderId="0" xfId="2" applyFont="1" applyFill="1" applyAlignment="1" applyProtection="1">
      <alignment vertical="center"/>
      <protection hidden="1"/>
    </xf>
    <xf numFmtId="0" fontId="4" fillId="4" borderId="1" xfId="2" applyFont="1" applyFill="1" applyBorder="1" applyAlignment="1" applyProtection="1">
      <alignment vertical="center"/>
      <protection hidden="1"/>
    </xf>
    <xf numFmtId="6" fontId="3" fillId="5" borderId="1" xfId="2" applyNumberFormat="1" applyFont="1" applyFill="1" applyBorder="1" applyAlignment="1" applyProtection="1">
      <alignment vertical="center"/>
      <protection hidden="1"/>
    </xf>
    <xf numFmtId="0" fontId="6" fillId="3" borderId="0" xfId="2" applyFont="1" applyFill="1" applyAlignment="1" applyProtection="1">
      <alignment horizontal="left" vertical="center" indent="2"/>
      <protection hidden="1"/>
    </xf>
    <xf numFmtId="0" fontId="12" fillId="3" borderId="0" xfId="2" applyFont="1" applyFill="1" applyAlignment="1" applyProtection="1">
      <alignment vertical="center"/>
      <protection hidden="1"/>
    </xf>
    <xf numFmtId="0" fontId="14" fillId="3" borderId="2" xfId="2" applyFont="1" applyFill="1" applyBorder="1" applyAlignment="1" applyProtection="1">
      <alignment vertical="center"/>
      <protection hidden="1"/>
    </xf>
    <xf numFmtId="0" fontId="15" fillId="2" borderId="2" xfId="2" applyFont="1" applyFill="1" applyBorder="1" applyAlignment="1" applyProtection="1">
      <alignment horizontal="center" vertical="center"/>
      <protection locked="0"/>
    </xf>
    <xf numFmtId="0" fontId="2" fillId="3" borderId="2" xfId="2" applyFont="1" applyFill="1" applyBorder="1" applyAlignment="1" applyProtection="1">
      <alignment vertical="center"/>
      <protection hidden="1"/>
    </xf>
    <xf numFmtId="0" fontId="1" fillId="2" borderId="2" xfId="2" applyFill="1" applyBorder="1" applyAlignment="1" applyProtection="1">
      <alignment horizontal="center" vertical="center"/>
      <protection locked="0"/>
    </xf>
    <xf numFmtId="0" fontId="3" fillId="5" borderId="0" xfId="2" applyFont="1" applyFill="1" applyAlignment="1" applyProtection="1">
      <alignment vertical="center"/>
      <protection hidden="1"/>
    </xf>
    <xf numFmtId="0" fontId="1" fillId="5" borderId="0" xfId="2" applyFill="1" applyAlignment="1" applyProtection="1">
      <alignment vertical="center"/>
      <protection hidden="1"/>
    </xf>
    <xf numFmtId="10" fontId="16" fillId="2" borderId="0" xfId="2" applyNumberFormat="1" applyFont="1" applyFill="1" applyAlignment="1" applyProtection="1">
      <alignment vertical="center"/>
      <protection locked="0"/>
    </xf>
    <xf numFmtId="8" fontId="1" fillId="6" borderId="0" xfId="2" applyNumberFormat="1" applyFill="1" applyAlignment="1">
      <alignment vertical="center"/>
    </xf>
    <xf numFmtId="0" fontId="3" fillId="10" borderId="1" xfId="2" applyFont="1" applyFill="1" applyBorder="1" applyAlignment="1" applyProtection="1">
      <alignment vertical="center"/>
      <protection hidden="1"/>
    </xf>
    <xf numFmtId="6" fontId="3" fillId="10" borderId="1" xfId="2" applyNumberFormat="1" applyFont="1" applyFill="1" applyBorder="1" applyAlignment="1" applyProtection="1">
      <alignment vertical="center"/>
      <protection hidden="1"/>
    </xf>
    <xf numFmtId="0" fontId="18" fillId="11" borderId="1" xfId="2" applyFont="1" applyFill="1" applyBorder="1" applyAlignment="1" applyProtection="1">
      <alignment vertical="center"/>
      <protection hidden="1"/>
    </xf>
    <xf numFmtId="6" fontId="18" fillId="11" borderId="1" xfId="2" applyNumberFormat="1" applyFont="1" applyFill="1" applyBorder="1" applyAlignment="1" applyProtection="1">
      <alignment vertical="center"/>
      <protection hidden="1"/>
    </xf>
    <xf numFmtId="0" fontId="19" fillId="11" borderId="1" xfId="2" applyFont="1" applyFill="1" applyBorder="1" applyAlignment="1" applyProtection="1">
      <alignment horizontal="center" vertical="center"/>
      <protection hidden="1"/>
    </xf>
    <xf numFmtId="0" fontId="1" fillId="3" borderId="0" xfId="2" applyFill="1" applyAlignment="1" applyProtection="1">
      <alignment vertical="center"/>
      <protection locked="0"/>
    </xf>
    <xf numFmtId="0" fontId="1" fillId="3" borderId="0" xfId="2" applyFill="1" applyAlignment="1">
      <alignment vertical="center"/>
    </xf>
    <xf numFmtId="0" fontId="2" fillId="3" borderId="0" xfId="2" applyFont="1" applyFill="1" applyAlignment="1">
      <alignment horizontal="center" vertical="center"/>
    </xf>
    <xf numFmtId="0" fontId="1" fillId="3" borderId="0" xfId="2" applyFill="1" applyAlignment="1">
      <alignment horizontal="center" vertical="center"/>
    </xf>
    <xf numFmtId="0" fontId="0" fillId="3" borderId="0" xfId="0" applyFill="1"/>
    <xf numFmtId="8" fontId="1" fillId="3" borderId="0" xfId="2" applyNumberFormat="1" applyFill="1" applyAlignment="1">
      <alignment horizontal="right" vertical="center"/>
    </xf>
    <xf numFmtId="164" fontId="1" fillId="3" borderId="0" xfId="1" applyNumberFormat="1" applyFill="1" applyAlignment="1" applyProtection="1">
      <alignment vertical="center"/>
    </xf>
    <xf numFmtId="8" fontId="1" fillId="3" borderId="0" xfId="2" applyNumberFormat="1" applyFill="1" applyAlignment="1">
      <alignment vertical="center"/>
    </xf>
    <xf numFmtId="165" fontId="1" fillId="3" borderId="0" xfId="1" applyNumberFormat="1" applyFill="1" applyAlignment="1" applyProtection="1">
      <alignment vertical="center"/>
    </xf>
    <xf numFmtId="0" fontId="17" fillId="3" borderId="0" xfId="2" applyFont="1" applyFill="1" applyAlignment="1">
      <alignment horizontal="center" vertical="center"/>
    </xf>
    <xf numFmtId="167" fontId="1" fillId="3" borderId="0" xfId="2" applyNumberFormat="1" applyFill="1" applyAlignment="1">
      <alignment vertical="center"/>
    </xf>
    <xf numFmtId="6" fontId="1" fillId="3" borderId="0" xfId="2" applyNumberFormat="1" applyFill="1" applyAlignment="1">
      <alignment vertical="center"/>
    </xf>
    <xf numFmtId="2" fontId="1" fillId="3" borderId="0" xfId="2" applyNumberFormat="1" applyFill="1" applyAlignment="1">
      <alignment vertical="center"/>
    </xf>
    <xf numFmtId="0" fontId="8" fillId="3" borderId="0" xfId="2" applyFont="1" applyFill="1" applyAlignment="1">
      <alignment vertical="center"/>
    </xf>
    <xf numFmtId="166" fontId="1" fillId="3" borderId="0" xfId="1" applyNumberFormat="1" applyFill="1" applyAlignment="1" applyProtection="1">
      <alignment vertical="center"/>
    </xf>
    <xf numFmtId="0" fontId="2" fillId="3" borderId="0" xfId="2" applyFont="1" applyFill="1" applyAlignment="1">
      <alignment vertical="center"/>
    </xf>
    <xf numFmtId="6" fontId="2" fillId="3" borderId="0" xfId="2" applyNumberFormat="1" applyFont="1" applyFill="1" applyAlignment="1">
      <alignment vertical="center"/>
    </xf>
    <xf numFmtId="0" fontId="17" fillId="3" borderId="0" xfId="2" applyFont="1" applyFill="1" applyAlignment="1">
      <alignment vertical="center"/>
    </xf>
    <xf numFmtId="168" fontId="1" fillId="3" borderId="0" xfId="2" applyNumberFormat="1" applyFill="1" applyAlignment="1">
      <alignment vertical="center"/>
    </xf>
    <xf numFmtId="166" fontId="1" fillId="3" borderId="0" xfId="2" applyNumberFormat="1" applyFill="1" applyAlignment="1">
      <alignment vertical="center"/>
    </xf>
    <xf numFmtId="0" fontId="11" fillId="3" borderId="0" xfId="2" applyFont="1" applyFill="1" applyAlignment="1" applyProtection="1">
      <alignment vertical="center"/>
      <protection locked="0"/>
    </xf>
    <xf numFmtId="0" fontId="11" fillId="3" borderId="0" xfId="2" applyFont="1" applyFill="1" applyAlignment="1">
      <alignment vertical="center"/>
    </xf>
    <xf numFmtId="6" fontId="1" fillId="3" borderId="0" xfId="2" applyNumberFormat="1" applyFill="1" applyAlignment="1" applyProtection="1">
      <alignment vertical="center"/>
      <protection hidden="1"/>
    </xf>
    <xf numFmtId="0" fontId="1" fillId="9" borderId="0" xfId="2" applyFill="1" applyAlignment="1">
      <alignment vertical="center"/>
    </xf>
    <xf numFmtId="166" fontId="1" fillId="9" borderId="0" xfId="1" applyNumberFormat="1" applyFill="1" applyAlignment="1" applyProtection="1">
      <alignment vertical="center"/>
    </xf>
    <xf numFmtId="0" fontId="2" fillId="12" borderId="0" xfId="2" applyFont="1" applyFill="1" applyAlignment="1">
      <alignment vertical="center"/>
    </xf>
    <xf numFmtId="6" fontId="2" fillId="12" borderId="0" xfId="2" applyNumberFormat="1" applyFont="1" applyFill="1" applyAlignment="1">
      <alignment vertical="center"/>
    </xf>
    <xf numFmtId="169" fontId="1" fillId="3" borderId="0" xfId="2" applyNumberFormat="1" applyFill="1" applyAlignment="1">
      <alignment vertical="center"/>
    </xf>
    <xf numFmtId="0" fontId="17" fillId="4" borderId="1" xfId="2" applyFont="1" applyFill="1" applyBorder="1" applyAlignment="1" applyProtection="1">
      <alignment vertical="center"/>
      <protection hidden="1"/>
    </xf>
    <xf numFmtId="43" fontId="1" fillId="3" borderId="0" xfId="2" applyNumberFormat="1" applyFill="1" applyAlignment="1" applyProtection="1">
      <alignment vertical="center"/>
      <protection hidden="1"/>
    </xf>
    <xf numFmtId="164" fontId="20" fillId="4" borderId="1" xfId="2" applyNumberFormat="1" applyFont="1" applyFill="1" applyBorder="1" applyAlignment="1" applyProtection="1">
      <alignment vertical="center"/>
      <protection hidden="1"/>
    </xf>
    <xf numFmtId="0" fontId="13" fillId="3" borderId="0" xfId="2" applyFont="1" applyFill="1" applyAlignment="1" applyProtection="1">
      <alignment horizontal="right" vertical="center"/>
      <protection hidden="1"/>
    </xf>
  </cellXfs>
  <cellStyles count="3">
    <cellStyle name="Comma" xfId="1" builtinId="3"/>
    <cellStyle name="Normal" xfId="0" builtinId="0"/>
    <cellStyle name="Normal 2" xfId="2" xr:uid="{00000000-0005-0000-0000-000003000000}"/>
  </cellStyles>
  <dxfs count="0"/>
  <tableStyles count="0" defaultTableStyle="TableStyleMedium9" defaultPivotStyle="PivotStyleLight16"/>
  <colors>
    <mruColors>
      <color rgb="FFF0FAFE"/>
      <color rgb="FFE7F6FD"/>
      <color rgb="FFAEDFF7"/>
      <color rgb="FFE6E6FA"/>
      <color rgb="FFD0F4DE"/>
      <color rgb="FFA8DADC"/>
      <color rgb="FFE1E9F3"/>
      <color rgb="FF334E68"/>
      <color rgb="FFDCE3EC"/>
      <color rgb="FFA5B7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Invested and Gain %</a:t>
            </a:r>
          </a:p>
        </c:rich>
      </c:tx>
      <c:layout>
        <c:manualLayout>
          <c:xMode val="edge"/>
          <c:yMode val="edge"/>
          <c:x val="0.57301609038000689"/>
          <c:y val="3.338102468355927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78135341777924E-2"/>
          <c:y val="0.13845809454802882"/>
          <c:w val="0.52879253829982964"/>
          <c:h val="0.83702393708596801"/>
        </c:manualLayout>
      </c:layout>
      <c:pieChart>
        <c:varyColors val="1"/>
        <c:ser>
          <c:idx val="0"/>
          <c:order val="0"/>
          <c:spPr>
            <a:ln w="3175">
              <a:noFill/>
            </a:ln>
            <a:scene3d>
              <a:camera prst="orthographicFront"/>
              <a:lightRig rig="threePt" dir="t"/>
            </a:scene3d>
            <a:sp3d>
              <a:bevelT w="19050" h="6350"/>
              <a:bevelB w="0" h="0"/>
            </a:sp3d>
          </c:spPr>
          <c:dPt>
            <c:idx val="0"/>
            <c:bubble3D val="0"/>
            <c:spPr>
              <a:solidFill>
                <a:srgbClr val="AEDFF7"/>
              </a:solidFill>
              <a:ln w="3175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" h="6350"/>
                <a:bevelB w="0" h="0"/>
              </a:sp3d>
            </c:spPr>
            <c:extLst>
              <c:ext xmlns:c16="http://schemas.microsoft.com/office/drawing/2014/chart" uri="{C3380CC4-5D6E-409C-BE32-E72D297353CC}">
                <c16:uniqueId val="{00000003-B351-4DA6-AA28-BCBA09A5E84E}"/>
              </c:ext>
            </c:extLst>
          </c:dPt>
          <c:dPt>
            <c:idx val="1"/>
            <c:bubble3D val="0"/>
            <c:spPr>
              <a:solidFill>
                <a:srgbClr val="FFB5A7"/>
              </a:solidFill>
              <a:ln w="3175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" h="6350"/>
                <a:bevelB w="0" h="0"/>
              </a:sp3d>
            </c:spPr>
            <c:extLst>
              <c:ext xmlns:c16="http://schemas.microsoft.com/office/drawing/2014/chart" uri="{C3380CC4-5D6E-409C-BE32-E72D297353CC}">
                <c16:uniqueId val="{00000004-B351-4DA6-AA28-BCBA09A5E84E}"/>
              </c:ext>
            </c:extLst>
          </c:dPt>
          <c:dPt>
            <c:idx val="2"/>
            <c:bubble3D val="0"/>
            <c:spPr>
              <a:solidFill>
                <a:srgbClr val="CDB4DB"/>
              </a:solidFill>
              <a:ln w="3175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" h="6350"/>
                <a:bevelB w="0" h="0"/>
              </a:sp3d>
            </c:spPr>
            <c:extLst>
              <c:ext xmlns:c16="http://schemas.microsoft.com/office/drawing/2014/chart" uri="{C3380CC4-5D6E-409C-BE32-E72D297353CC}">
                <c16:uniqueId val="{00000002-B351-4DA6-AA28-BCBA09A5E84E}"/>
              </c:ext>
            </c:extLst>
          </c:dPt>
          <c:dPt>
            <c:idx val="3"/>
            <c:bubble3D val="0"/>
            <c:spPr>
              <a:solidFill>
                <a:srgbClr val="D0F4DE"/>
              </a:solidFill>
              <a:ln w="3175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" h="6350"/>
                <a:bevelB w="0" h="0"/>
              </a:sp3d>
            </c:spPr>
            <c:extLst>
              <c:ext xmlns:c16="http://schemas.microsoft.com/office/drawing/2014/chart" uri="{C3380CC4-5D6E-409C-BE32-E72D297353CC}">
                <c16:uniqueId val="{00000001-B351-4DA6-AA28-BCBA09A5E84E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 w="3175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" h="6350"/>
                <a:bevelB w="0" h="0"/>
              </a:sp3d>
            </c:spPr>
            <c:extLst>
              <c:ext xmlns:c16="http://schemas.microsoft.com/office/drawing/2014/chart" uri="{C3380CC4-5D6E-409C-BE32-E72D297353CC}">
                <c16:uniqueId val="{00000009-8F6A-4715-A27C-A264E9F55CAE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002060"/>
                    </a:solidFill>
                    <a:effectLst>
                      <a:glow rad="63500">
                        <a:schemeClr val="bg1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[0]!GoalChartLbl</c:f>
              <c:strCache>
                <c:ptCount val="3"/>
                <c:pt idx="0">
                  <c:v>Periodic Invested</c:v>
                </c:pt>
                <c:pt idx="1">
                  <c:v>Periodic Invt Gain</c:v>
                </c:pt>
                <c:pt idx="2">
                  <c:v>Tax</c:v>
                </c:pt>
              </c:strCache>
              <c:extLst xmlns:c15="http://schemas.microsoft.com/office/drawing/2012/chart"/>
            </c:strRef>
          </c:cat>
          <c:val>
            <c:numRef>
              <c:f>[0]!GoalChart</c:f>
              <c:numCache>
                <c:formatCode>_ [$₹-4009]\ * #,##0_ ;_ [$₹-4009]\ * \-#,##0_ ;_ [$₹-4009]\ * "-"??_ ;_ @_ </c:formatCode>
                <c:ptCount val="3"/>
                <c:pt idx="0">
                  <c:v>200000</c:v>
                </c:pt>
                <c:pt idx="1">
                  <c:v>17830.052442583838</c:v>
                </c:pt>
                <c:pt idx="2" formatCode="&quot;₹&quot;#,##0.00_);[Red]\(&quot;₹&quot;#,##0.00\)">
                  <c:v>2139.6062931100605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51-4DA6-AA28-BCBA09A5E8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15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411559968047472"/>
          <c:y val="0.3567384548528213"/>
          <c:w val="0.30363956313312074"/>
          <c:h val="0.37553915611718236"/>
        </c:manualLayout>
      </c:layout>
      <c:overlay val="0"/>
      <c:spPr>
        <a:solidFill>
          <a:srgbClr val="DCE3EC"/>
        </a:solidFill>
        <a:ln>
          <a:noFill/>
        </a:ln>
        <a:effectLst>
          <a:outerShdw blurRad="38100" sx="101000" sy="101000" algn="ctr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 rtl="0">
            <a:defRPr sz="900" b="1" i="0" u="none" strike="noStrike" kern="120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>
      <a:gsLst>
        <a:gs pos="0">
          <a:srgbClr val="1388B6"/>
        </a:gs>
        <a:gs pos="77000">
          <a:srgbClr val="3ABCD9"/>
        </a:gs>
      </a:gsLst>
      <a:lin ang="5400000" scaled="1"/>
    </a:gradFill>
    <a:ln w="6350" cap="flat" cmpd="sng" algn="ctr">
      <a:solidFill>
        <a:schemeClr val="accent5">
          <a:lumMod val="50000"/>
        </a:schemeClr>
      </a:solidFill>
      <a:prstDash val="solid"/>
      <a:round/>
    </a:ln>
    <a:effectLst/>
    <a:scene3d>
      <a:camera prst="orthographicFront"/>
      <a:lightRig rig="threePt" dir="t"/>
    </a:scene3d>
    <a:sp3d>
      <a:bevelT w="38100" h="69850" prst="slope"/>
    </a:sp3d>
  </c:spPr>
  <c:txPr>
    <a:bodyPr/>
    <a:lstStyle/>
    <a:p>
      <a:pPr>
        <a:defRPr>
          <a:solidFill>
            <a:srgbClr val="0070C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8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 mods="ignoreCSTransforms">
      <cs:styleClr val="0">
        <a:shade val="25000"/>
      </cs:styl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 mods="ignoreCSTransforms">
      <cs:styleClr val="0">
        <a:tint val="25000"/>
      </cs:styl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213360</xdr:colOff>
      <xdr:row>5</xdr:row>
      <xdr:rowOff>99060</xdr:rowOff>
    </xdr:from>
    <xdr:to>
      <xdr:col>7</xdr:col>
      <xdr:colOff>1203960</xdr:colOff>
      <xdr:row>19</xdr:row>
      <xdr:rowOff>34834</xdr:rowOff>
    </xdr:to>
    <xdr:graphicFrame macro="">
      <xdr:nvGraphicFramePr>
        <xdr:cNvPr id="2" name="InvChart" descr="Goal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289560</xdr:colOff>
      <xdr:row>6</xdr:row>
      <xdr:rowOff>22860</xdr:rowOff>
    </xdr:from>
    <xdr:to>
      <xdr:col>5</xdr:col>
      <xdr:colOff>398801</xdr:colOff>
      <xdr:row>7</xdr:row>
      <xdr:rowOff>124468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F2BD8C8-D634-4A39-9456-D6C58DBF7851}"/>
            </a:ext>
          </a:extLst>
        </xdr:cNvPr>
        <xdr:cNvSpPr/>
      </xdr:nvSpPr>
      <xdr:spPr>
        <a:xfrm>
          <a:off x="5654040" y="1082040"/>
          <a:ext cx="566441" cy="269248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335303</xdr:colOff>
      <xdr:row>6</xdr:row>
      <xdr:rowOff>76207</xdr:rowOff>
    </xdr:from>
    <xdr:to>
      <xdr:col>5</xdr:col>
      <xdr:colOff>368305</xdr:colOff>
      <xdr:row>7</xdr:row>
      <xdr:rowOff>83676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CB69ED8-725C-4056-8D5D-7A23BAB40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783" y="1135387"/>
          <a:ext cx="490202" cy="1751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251460</xdr:colOff>
          <xdr:row>4</xdr:row>
          <xdr:rowOff>22860</xdr:rowOff>
        </xdr:from>
        <xdr:to>
          <xdr:col>3</xdr:col>
          <xdr:colOff>541020</xdr:colOff>
          <xdr:row>5</xdr:row>
          <xdr:rowOff>129540</xdr:rowOff>
        </xdr:to>
        <xdr:sp macro="" textlink="">
          <xdr:nvSpPr>
            <xdr:cNvPr id="12296" name="prtInv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0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</xdr:col>
      <xdr:colOff>53340</xdr:colOff>
      <xdr:row>0</xdr:row>
      <xdr:rowOff>91440</xdr:rowOff>
    </xdr:from>
    <xdr:to>
      <xdr:col>1</xdr:col>
      <xdr:colOff>1480473</xdr:colOff>
      <xdr:row>2</xdr:row>
      <xdr:rowOff>124652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419FE91-ADDB-41DB-8CFD-8F3CED0A35BC}"/>
            </a:ext>
          </a:extLst>
        </xdr:cNvPr>
        <xdr:cNvGrpSpPr/>
      </xdr:nvGrpSpPr>
      <xdr:grpSpPr>
        <a:xfrm>
          <a:off x="396240" y="91440"/>
          <a:ext cx="1427133" cy="421832"/>
          <a:chOff x="220134" y="42333"/>
          <a:chExt cx="1427133" cy="421832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5C9CC23C-A4C8-B191-DD68-75D5101D19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134" y="42333"/>
            <a:ext cx="423333" cy="421832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7C3A38C8-A510-6EE8-C158-0C698672BA7E}"/>
              </a:ext>
            </a:extLst>
          </xdr:cNvPr>
          <xdr:cNvSpPr/>
        </xdr:nvSpPr>
        <xdr:spPr>
          <a:xfrm>
            <a:off x="567267" y="152399"/>
            <a:ext cx="1080000" cy="2709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1">
                <a:solidFill>
                  <a:srgbClr val="AA9B28"/>
                </a:solidFill>
                <a:latin typeface="Aptos Narrow" panose="020B0004020202020204" pitchFamily="34" charset="0"/>
              </a:rPr>
              <a:t>NIVRA</a:t>
            </a:r>
            <a:r>
              <a:rPr lang="en-US" sz="1100" baseline="0">
                <a:solidFill>
                  <a:srgbClr val="AA9B28"/>
                </a:solidFill>
                <a:latin typeface="Aptos Narrow" panose="020B0004020202020204" pitchFamily="34" charset="0"/>
              </a:rPr>
              <a:t> FINTECH</a:t>
            </a:r>
            <a:endParaRPr lang="en-US" sz="1100">
              <a:solidFill>
                <a:srgbClr val="AA9B28"/>
              </a:solidFill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8046-C80C-4DBF-9EC7-9ADC28C93AD3}">
  <sheetPr codeName="Periodic">
    <tabColor theme="7" tint="-0.249977111117893"/>
  </sheetPr>
  <dimension ref="A1:BC733"/>
  <sheetViews>
    <sheetView showGridLines="0" tabSelected="1" zoomScaleNormal="100" workbookViewId="0">
      <selection activeCell="C5" sqref="C5"/>
    </sheetView>
  </sheetViews>
  <sheetFormatPr defaultColWidth="0" defaultRowHeight="13.2" zeroHeight="1" x14ac:dyDescent="0.25"/>
  <cols>
    <col min="1" max="1" width="5" style="1" customWidth="1"/>
    <col min="2" max="2" width="48.109375" style="1" bestFit="1" customWidth="1"/>
    <col min="3" max="3" width="18.6640625" style="1" customWidth="1"/>
    <col min="4" max="4" width="10.109375" style="1" customWidth="1"/>
    <col min="5" max="5" width="6.6640625" style="1" customWidth="1"/>
    <col min="6" max="6" width="10.5546875" style="1" customWidth="1"/>
    <col min="7" max="7" width="19.44140625" style="1" customWidth="1"/>
    <col min="8" max="8" width="22.5546875" style="1" customWidth="1"/>
    <col min="9" max="9" width="2.33203125" style="30" hidden="1" customWidth="1"/>
    <col min="10" max="10" width="1.77734375" style="31" hidden="1" customWidth="1"/>
    <col min="11" max="11" width="3.5546875" style="31" hidden="1" customWidth="1"/>
    <col min="12" max="12" width="3" style="31" hidden="1" customWidth="1"/>
    <col min="13" max="13" width="4" style="31" hidden="1" customWidth="1"/>
    <col min="14" max="14" width="21.5546875" style="31" hidden="1" customWidth="1"/>
    <col min="15" max="15" width="13.6640625" style="31" hidden="1" customWidth="1"/>
    <col min="16" max="16" width="16.77734375" style="31" hidden="1" customWidth="1"/>
    <col min="17" max="17" width="19.44140625" style="31" hidden="1" customWidth="1"/>
    <col min="18" max="18" width="10.44140625" style="31" hidden="1" customWidth="1"/>
    <col min="19" max="20" width="17.6640625" style="31" hidden="1" customWidth="1"/>
    <col min="21" max="21" width="18.44140625" style="31" hidden="1" customWidth="1"/>
    <col min="22" max="22" width="16" style="31" hidden="1" customWidth="1"/>
    <col min="23" max="23" width="11.77734375" style="31" hidden="1" customWidth="1"/>
    <col min="24" max="24" width="14" style="31" hidden="1" customWidth="1"/>
    <col min="25" max="28" width="14" style="34" hidden="1" customWidth="1"/>
    <col min="29" max="31" width="9.109375" style="34" hidden="1" customWidth="1"/>
    <col min="32" max="32" width="11.21875" style="34" hidden="1" customWidth="1"/>
    <col min="33" max="33" width="12" style="34" hidden="1" customWidth="1"/>
    <col min="34" max="39" width="9.109375" style="34" hidden="1" customWidth="1"/>
    <col min="40" max="40" width="13.33203125" style="34" hidden="1" customWidth="1"/>
    <col min="41" max="41" width="12.5546875" style="34" hidden="1" customWidth="1"/>
    <col min="42" max="48" width="9.109375" style="34" hidden="1" customWidth="1"/>
    <col min="49" max="49" width="12" style="34" hidden="1" customWidth="1"/>
    <col min="50" max="50" width="14.77734375" style="34" hidden="1" customWidth="1"/>
    <col min="51" max="51" width="11.77734375" style="34" hidden="1" customWidth="1"/>
    <col min="52" max="52" width="17.88671875" style="34" hidden="1" customWidth="1"/>
    <col min="53" max="55" width="0" style="34" hidden="1" customWidth="1"/>
    <col min="56" max="16384" width="9.109375" style="34" hidden="1"/>
  </cols>
  <sheetData>
    <row r="1" spans="1:55" s="31" customFormat="1" x14ac:dyDescent="0.25">
      <c r="A1" s="1"/>
      <c r="B1" s="1"/>
      <c r="C1" s="1"/>
      <c r="D1" s="1"/>
      <c r="E1" s="1"/>
      <c r="F1" s="1"/>
      <c r="G1" s="1"/>
      <c r="H1" s="1"/>
      <c r="I1" s="30"/>
      <c r="N1" s="31" t="s">
        <v>31</v>
      </c>
      <c r="O1" s="31">
        <f>(1+GRate)^(1/12)-1</f>
        <v>9.4887929345830457E-3</v>
      </c>
      <c r="S1" s="31" t="s">
        <v>3</v>
      </c>
      <c r="T1" s="31" t="s">
        <v>12</v>
      </c>
      <c r="U1" s="31" t="s">
        <v>13</v>
      </c>
      <c r="V1" s="31" t="s">
        <v>21</v>
      </c>
      <c r="Y1" s="32" t="s">
        <v>4</v>
      </c>
      <c r="Z1" s="33">
        <f>IF(U2=0,3,1)</f>
        <v>1</v>
      </c>
      <c r="AA1" s="33">
        <f>IF(AND(V2=0,TaxRate=0),2,3)</f>
        <v>3</v>
      </c>
      <c r="AB1" s="33"/>
      <c r="AW1" s="34"/>
      <c r="AX1" s="34"/>
      <c r="AY1" s="34"/>
      <c r="AZ1" s="34"/>
      <c r="BA1" s="34"/>
      <c r="BB1" s="34"/>
      <c r="BC1" s="34"/>
    </row>
    <row r="2" spans="1:55" s="31" customFormat="1" ht="17.399999999999999" x14ac:dyDescent="0.25">
      <c r="A2" s="1"/>
      <c r="B2" s="61" t="s">
        <v>32</v>
      </c>
      <c r="C2" s="61"/>
      <c r="D2" s="61"/>
      <c r="E2" s="2"/>
      <c r="F2" s="2"/>
      <c r="G2" s="2"/>
      <c r="H2" s="2"/>
      <c r="I2" s="30"/>
      <c r="O2" s="57"/>
      <c r="P2" s="35"/>
      <c r="T2" s="36">
        <f>O10</f>
        <v>200000</v>
      </c>
      <c r="U2" s="36">
        <f>O11-O10</f>
        <v>17830.052442583838</v>
      </c>
      <c r="V2" s="37">
        <f>V11+P11</f>
        <v>2139.6062931100605</v>
      </c>
      <c r="W2" s="38"/>
      <c r="Y2" s="33"/>
      <c r="Z2" s="39" t="s">
        <v>28</v>
      </c>
      <c r="AA2" s="39" t="s">
        <v>27</v>
      </c>
      <c r="AB2" s="33"/>
      <c r="AG2" s="40"/>
      <c r="AW2" s="34"/>
      <c r="AX2" s="34"/>
      <c r="AY2" s="34"/>
      <c r="AZ2" s="34"/>
      <c r="BA2" s="34"/>
      <c r="BB2" s="34"/>
      <c r="BC2" s="34"/>
    </row>
    <row r="3" spans="1:55" s="31" customFormat="1" x14ac:dyDescent="0.25">
      <c r="A3" s="1"/>
      <c r="B3" s="1"/>
      <c r="C3" s="1"/>
      <c r="D3" s="1"/>
      <c r="E3" s="1"/>
      <c r="F3" s="1"/>
      <c r="G3" s="1"/>
      <c r="H3" s="1"/>
      <c r="I3" s="30"/>
      <c r="O3" s="41"/>
      <c r="P3" s="35"/>
      <c r="Q3" s="33"/>
      <c r="T3" s="31" t="s">
        <v>14</v>
      </c>
      <c r="U3" s="31" t="s">
        <v>15</v>
      </c>
      <c r="V3" s="31" t="s">
        <v>21</v>
      </c>
      <c r="Y3" s="33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W3" s="34"/>
      <c r="AX3" s="34"/>
      <c r="AY3" s="34"/>
      <c r="AZ3" s="34"/>
      <c r="BA3" s="34"/>
      <c r="BB3" s="34"/>
      <c r="BC3" s="34"/>
    </row>
    <row r="4" spans="1:55" s="31" customFormat="1" x14ac:dyDescent="0.25">
      <c r="A4" s="1"/>
      <c r="B4" s="1"/>
      <c r="C4" s="1"/>
      <c r="D4" s="1"/>
      <c r="E4" s="1"/>
      <c r="F4" s="1"/>
      <c r="G4" s="1"/>
      <c r="H4" s="1"/>
      <c r="I4" s="30"/>
      <c r="O4" s="42"/>
      <c r="P4" s="35"/>
      <c r="Q4" s="42"/>
      <c r="S4" s="34"/>
      <c r="T4" s="34"/>
      <c r="U4" s="34"/>
      <c r="V4" s="34"/>
      <c r="Y4" s="33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W4" s="34"/>
      <c r="AX4" s="34"/>
      <c r="AY4" s="34"/>
      <c r="AZ4" s="34"/>
      <c r="BA4" s="34"/>
      <c r="BB4" s="34"/>
      <c r="BC4" s="34"/>
    </row>
    <row r="5" spans="1:55" s="31" customFormat="1" x14ac:dyDescent="0.25">
      <c r="A5" s="1"/>
      <c r="B5" s="17" t="s">
        <v>17</v>
      </c>
      <c r="C5" s="18" t="s">
        <v>19</v>
      </c>
      <c r="D5" s="1"/>
      <c r="E5" s="1"/>
      <c r="F5" s="1"/>
      <c r="G5" s="1"/>
      <c r="H5" s="1"/>
      <c r="I5" s="30"/>
      <c r="P5" s="42"/>
      <c r="S5" s="34"/>
      <c r="T5" s="34"/>
      <c r="U5" s="34"/>
      <c r="V5" s="34"/>
      <c r="Y5" s="33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W5" s="34"/>
      <c r="AX5" s="34"/>
      <c r="AY5" s="34"/>
      <c r="AZ5" s="34"/>
      <c r="BA5" s="34"/>
      <c r="BB5" s="34"/>
      <c r="BC5" s="34"/>
    </row>
    <row r="6" spans="1:55" x14ac:dyDescent="0.25">
      <c r="B6" s="19" t="s">
        <v>18</v>
      </c>
      <c r="C6" s="20">
        <v>42</v>
      </c>
      <c r="N6" s="31" t="s">
        <v>6</v>
      </c>
      <c r="O6" s="31">
        <f>COUNTIF(N13:N612,"&gt;0")</f>
        <v>2</v>
      </c>
      <c r="S6" s="34"/>
      <c r="T6" s="34"/>
      <c r="U6" s="34"/>
      <c r="V6" s="34"/>
    </row>
    <row r="7" spans="1:55" x14ac:dyDescent="0.25">
      <c r="S7" s="34"/>
      <c r="T7" s="34"/>
      <c r="U7" s="34"/>
      <c r="V7" s="34"/>
    </row>
    <row r="8" spans="1:55" x14ac:dyDescent="0.25">
      <c r="B8" s="6" t="s">
        <v>7</v>
      </c>
      <c r="C8" s="7">
        <v>100000</v>
      </c>
      <c r="D8" s="8"/>
      <c r="N8" s="43" t="s">
        <v>1</v>
      </c>
      <c r="O8" s="43">
        <f>GoalYears*12</f>
        <v>12</v>
      </c>
      <c r="S8" s="34"/>
      <c r="T8" s="34"/>
      <c r="U8" s="34"/>
      <c r="V8" s="34"/>
    </row>
    <row r="9" spans="1:55" x14ac:dyDescent="0.25">
      <c r="B9" s="6" t="s">
        <v>8</v>
      </c>
      <c r="C9" s="7">
        <v>2</v>
      </c>
      <c r="D9" s="8"/>
      <c r="S9" s="34"/>
      <c r="T9" s="34"/>
      <c r="U9" s="34"/>
      <c r="V9" s="34"/>
    </row>
    <row r="10" spans="1:55" x14ac:dyDescent="0.25">
      <c r="B10" s="3" t="s">
        <v>0</v>
      </c>
      <c r="C10" s="7">
        <v>1</v>
      </c>
      <c r="D10" s="4" t="s">
        <v>5</v>
      </c>
      <c r="N10" s="53" t="s">
        <v>9</v>
      </c>
      <c r="O10" s="54">
        <f>IFERROR(SUM(N13:N612),0)</f>
        <v>200000</v>
      </c>
      <c r="P10" s="32" t="s">
        <v>21</v>
      </c>
      <c r="R10" s="45"/>
      <c r="U10" s="44"/>
    </row>
    <row r="11" spans="1:55" x14ac:dyDescent="0.25">
      <c r="B11" s="3" t="s">
        <v>16</v>
      </c>
      <c r="C11" s="5">
        <v>0.12</v>
      </c>
      <c r="D11" s="4"/>
      <c r="N11" s="55" t="s">
        <v>24</v>
      </c>
      <c r="O11" s="56">
        <f>IFERROR(SUM(O13:O612),0)</f>
        <v>217830.05244258384</v>
      </c>
      <c r="P11" s="24">
        <f>(O11-O10)*TaxRate</f>
        <v>2139.6062931100605</v>
      </c>
      <c r="T11" s="45"/>
      <c r="U11" s="46"/>
      <c r="V11" s="37"/>
    </row>
    <row r="12" spans="1:55" x14ac:dyDescent="0.25">
      <c r="B12" s="21" t="s">
        <v>20</v>
      </c>
      <c r="C12" s="23">
        <v>0.12</v>
      </c>
      <c r="D12" s="22"/>
      <c r="N12" s="47" t="s">
        <v>10</v>
      </c>
      <c r="O12" s="31" t="s">
        <v>23</v>
      </c>
      <c r="P12" s="31" t="s">
        <v>22</v>
      </c>
      <c r="Q12" s="33" t="s">
        <v>21</v>
      </c>
      <c r="U12" s="42"/>
      <c r="V12" s="32"/>
      <c r="W12" s="45"/>
    </row>
    <row r="13" spans="1:55" x14ac:dyDescent="0.25">
      <c r="L13" s="31">
        <f t="shared" ref="L13:L76" si="0">MOD(M13,12/$C$9)</f>
        <v>0</v>
      </c>
      <c r="M13" s="31">
        <v>0</v>
      </c>
      <c r="N13" s="31">
        <f t="shared" ref="N13:N76" si="1">IF(M13&lt;$O$8,IF(L13=0,$C$8,0),0)</f>
        <v>100000</v>
      </c>
      <c r="O13" s="37">
        <f t="shared" ref="O13:O76" si="2">IF(M13&lt;=$O$8,FV(SRate,($O$8-M13),0,-N13,1),0)</f>
        <v>112000.00000000015</v>
      </c>
      <c r="P13" s="41">
        <f>IF(M13&lt;=$O$8,FV(SRate,1,0,0,1),0)+N13</f>
        <v>100000</v>
      </c>
      <c r="Q13" s="37">
        <f t="shared" ref="Q13:Q76" si="3">(O13-N13)*TaxRate</f>
        <v>1440.0000000000175</v>
      </c>
      <c r="T13" s="42"/>
      <c r="U13" s="42"/>
      <c r="V13" s="42"/>
      <c r="W13" s="48"/>
      <c r="X13" s="49"/>
    </row>
    <row r="14" spans="1:55" x14ac:dyDescent="0.25">
      <c r="B14" s="3" t="s">
        <v>29</v>
      </c>
      <c r="C14" s="14">
        <f>O11</f>
        <v>217830.05244258384</v>
      </c>
      <c r="D14" s="3"/>
      <c r="L14" s="31">
        <f t="shared" si="0"/>
        <v>1</v>
      </c>
      <c r="M14" s="31">
        <v>1</v>
      </c>
      <c r="N14" s="31">
        <f t="shared" si="1"/>
        <v>0</v>
      </c>
      <c r="O14" s="37">
        <f t="shared" si="2"/>
        <v>0</v>
      </c>
      <c r="P14" s="41">
        <f t="shared" ref="P14:P77" si="4">IF(M14&lt;=$O$8,FV(SRate,1,0,-P13,1),0)+N14</f>
        <v>100948.8792934583</v>
      </c>
      <c r="Q14" s="37">
        <f t="shared" si="3"/>
        <v>0</v>
      </c>
      <c r="T14" s="42"/>
      <c r="U14" s="42"/>
      <c r="V14" s="42"/>
      <c r="W14" s="48"/>
      <c r="X14" s="37"/>
    </row>
    <row r="15" spans="1:55" x14ac:dyDescent="0.25">
      <c r="B15" s="27" t="s">
        <v>25</v>
      </c>
      <c r="C15" s="28">
        <f>O11-O10</f>
        <v>17830.052442583838</v>
      </c>
      <c r="D15" s="29"/>
      <c r="L15" s="31">
        <f t="shared" si="0"/>
        <v>2</v>
      </c>
      <c r="M15" s="31">
        <v>2</v>
      </c>
      <c r="N15" s="31">
        <f t="shared" si="1"/>
        <v>0</v>
      </c>
      <c r="O15" s="37">
        <f t="shared" si="2"/>
        <v>0</v>
      </c>
      <c r="P15" s="41">
        <f t="shared" si="4"/>
        <v>101906.76230605214</v>
      </c>
      <c r="Q15" s="37">
        <f t="shared" si="3"/>
        <v>0</v>
      </c>
      <c r="T15" s="42"/>
      <c r="U15" s="42"/>
      <c r="V15" s="42"/>
      <c r="W15" s="48"/>
      <c r="X15" s="37"/>
    </row>
    <row r="16" spans="1:55" x14ac:dyDescent="0.25">
      <c r="L16" s="31">
        <f t="shared" si="0"/>
        <v>3</v>
      </c>
      <c r="M16" s="31">
        <v>3</v>
      </c>
      <c r="N16" s="31">
        <f t="shared" si="1"/>
        <v>0</v>
      </c>
      <c r="O16" s="37">
        <f t="shared" si="2"/>
        <v>0</v>
      </c>
      <c r="P16" s="41">
        <f t="shared" si="4"/>
        <v>102873.73447220805</v>
      </c>
      <c r="Q16" s="37">
        <f t="shared" si="3"/>
        <v>0</v>
      </c>
      <c r="T16" s="42"/>
      <c r="U16" s="42"/>
      <c r="V16" s="42"/>
      <c r="W16" s="48"/>
      <c r="X16" s="37"/>
    </row>
    <row r="17" spans="2:24" x14ac:dyDescent="0.25">
      <c r="B17" s="25" t="s">
        <v>26</v>
      </c>
      <c r="C17" s="26">
        <f>P11</f>
        <v>2139.6062931100605</v>
      </c>
      <c r="D17" s="25"/>
      <c r="L17" s="31">
        <f t="shared" si="0"/>
        <v>4</v>
      </c>
      <c r="M17" s="31">
        <v>4</v>
      </c>
      <c r="N17" s="31">
        <f t="shared" si="1"/>
        <v>0</v>
      </c>
      <c r="O17" s="37">
        <f t="shared" si="2"/>
        <v>0</v>
      </c>
      <c r="P17" s="41">
        <f t="shared" si="4"/>
        <v>103849.88203702211</v>
      </c>
      <c r="Q17" s="37">
        <f t="shared" si="3"/>
        <v>0</v>
      </c>
      <c r="T17" s="42"/>
      <c r="U17" s="42"/>
      <c r="V17" s="42"/>
      <c r="W17" s="48"/>
      <c r="X17" s="37"/>
    </row>
    <row r="18" spans="2:24" x14ac:dyDescent="0.25">
      <c r="L18" s="31">
        <f t="shared" si="0"/>
        <v>5</v>
      </c>
      <c r="M18" s="31">
        <v>5</v>
      </c>
      <c r="N18" s="31">
        <f t="shared" si="1"/>
        <v>0</v>
      </c>
      <c r="O18" s="37">
        <f t="shared" si="2"/>
        <v>0</v>
      </c>
      <c r="P18" s="41">
        <f t="shared" si="4"/>
        <v>104835.29206395229</v>
      </c>
      <c r="Q18" s="37">
        <f t="shared" si="3"/>
        <v>0</v>
      </c>
      <c r="T18" s="42"/>
      <c r="U18" s="42"/>
      <c r="V18" s="42"/>
      <c r="W18" s="48"/>
      <c r="X18" s="37"/>
    </row>
    <row r="19" spans="2:24" x14ac:dyDescent="0.25">
      <c r="B19" s="9" t="s">
        <v>11</v>
      </c>
      <c r="C19" s="10">
        <f>O10</f>
        <v>200000</v>
      </c>
      <c r="D19" s="11"/>
      <c r="L19" s="31">
        <f t="shared" si="0"/>
        <v>0</v>
      </c>
      <c r="M19" s="31">
        <v>6</v>
      </c>
      <c r="N19" s="31">
        <f t="shared" si="1"/>
        <v>100000</v>
      </c>
      <c r="O19" s="37">
        <f t="shared" si="2"/>
        <v>105830.05244258371</v>
      </c>
      <c r="P19" s="41">
        <f t="shared" si="4"/>
        <v>205830.05244258366</v>
      </c>
      <c r="Q19" s="37">
        <f t="shared" si="3"/>
        <v>699.60629311004482</v>
      </c>
      <c r="T19" s="42"/>
      <c r="U19" s="42"/>
      <c r="V19" s="42"/>
      <c r="W19" s="48"/>
      <c r="X19" s="37"/>
    </row>
    <row r="20" spans="2:24" ht="13.8" x14ac:dyDescent="0.25">
      <c r="B20" s="58" t="s">
        <v>30</v>
      </c>
      <c r="C20" s="60">
        <f>C14-C17</f>
        <v>215690.44614947378</v>
      </c>
      <c r="D20" s="13"/>
      <c r="L20" s="31">
        <f t="shared" si="0"/>
        <v>1</v>
      </c>
      <c r="M20" s="31">
        <v>7</v>
      </c>
      <c r="N20" s="31">
        <f t="shared" si="1"/>
        <v>0</v>
      </c>
      <c r="O20" s="37">
        <f t="shared" si="2"/>
        <v>0</v>
      </c>
      <c r="P20" s="41">
        <f t="shared" si="4"/>
        <v>207783.13118992571</v>
      </c>
      <c r="Q20" s="37">
        <f t="shared" si="3"/>
        <v>0</v>
      </c>
      <c r="T20" s="42"/>
      <c r="U20" s="42"/>
      <c r="V20" s="42"/>
      <c r="W20" s="48"/>
      <c r="X20" s="37"/>
    </row>
    <row r="21" spans="2:24" x14ac:dyDescent="0.25">
      <c r="I21" s="50"/>
      <c r="J21" s="51"/>
      <c r="K21" s="51"/>
      <c r="L21" s="31">
        <f t="shared" si="0"/>
        <v>2</v>
      </c>
      <c r="M21" s="31">
        <v>8</v>
      </c>
      <c r="N21" s="31">
        <f t="shared" si="1"/>
        <v>0</v>
      </c>
      <c r="O21" s="37">
        <f t="shared" si="2"/>
        <v>0</v>
      </c>
      <c r="P21" s="41">
        <f t="shared" si="4"/>
        <v>209754.74229708622</v>
      </c>
      <c r="Q21" s="37">
        <f t="shared" si="3"/>
        <v>0</v>
      </c>
      <c r="R21" s="51"/>
      <c r="T21" s="42"/>
      <c r="U21" s="42"/>
      <c r="V21" s="42"/>
      <c r="W21" s="48"/>
      <c r="X21" s="37"/>
    </row>
    <row r="22" spans="2:24" x14ac:dyDescent="0.25">
      <c r="B22" s="12" t="s">
        <v>2</v>
      </c>
      <c r="E22" s="16" t="s">
        <v>33</v>
      </c>
      <c r="F22" s="16"/>
      <c r="L22" s="31">
        <f t="shared" si="0"/>
        <v>3</v>
      </c>
      <c r="M22" s="31">
        <v>9</v>
      </c>
      <c r="N22" s="31">
        <f t="shared" si="1"/>
        <v>0</v>
      </c>
      <c r="O22" s="37">
        <f t="shared" si="2"/>
        <v>0</v>
      </c>
      <c r="P22" s="41">
        <f t="shared" si="4"/>
        <v>211745.06161379011</v>
      </c>
      <c r="Q22" s="37">
        <f t="shared" si="3"/>
        <v>0</v>
      </c>
      <c r="T22" s="42"/>
      <c r="U22" s="42"/>
      <c r="V22" s="42"/>
      <c r="W22" s="48"/>
      <c r="X22" s="37"/>
    </row>
    <row r="23" spans="2:24" x14ac:dyDescent="0.25">
      <c r="C23" s="59"/>
      <c r="L23" s="31">
        <f t="shared" si="0"/>
        <v>4</v>
      </c>
      <c r="M23" s="31">
        <v>10</v>
      </c>
      <c r="N23" s="31">
        <f t="shared" si="1"/>
        <v>0</v>
      </c>
      <c r="O23" s="37">
        <f t="shared" si="2"/>
        <v>0</v>
      </c>
      <c r="P23" s="41">
        <f t="shared" si="4"/>
        <v>213754.26665836389</v>
      </c>
      <c r="Q23" s="37">
        <f t="shared" si="3"/>
        <v>0</v>
      </c>
      <c r="T23" s="42"/>
      <c r="U23" s="42"/>
      <c r="V23" s="42"/>
      <c r="W23" s="48"/>
      <c r="X23" s="37"/>
    </row>
    <row r="24" spans="2:24" hidden="1" x14ac:dyDescent="0.25">
      <c r="C24" s="59"/>
      <c r="L24" s="31">
        <f t="shared" si="0"/>
        <v>5</v>
      </c>
      <c r="M24" s="31">
        <v>11</v>
      </c>
      <c r="N24" s="31">
        <f t="shared" si="1"/>
        <v>0</v>
      </c>
      <c r="O24" s="37">
        <f t="shared" si="2"/>
        <v>0</v>
      </c>
      <c r="P24" s="41">
        <f t="shared" si="4"/>
        <v>215782.53663356876</v>
      </c>
      <c r="Q24" s="37">
        <f t="shared" si="3"/>
        <v>0</v>
      </c>
      <c r="T24" s="42"/>
      <c r="U24" s="42"/>
      <c r="V24" s="42"/>
      <c r="W24" s="48"/>
      <c r="X24" s="37"/>
    </row>
    <row r="25" spans="2:24" ht="15" hidden="1" customHeight="1" x14ac:dyDescent="0.25">
      <c r="E25" s="15"/>
      <c r="F25" s="15"/>
      <c r="G25" s="15"/>
      <c r="H25" s="15"/>
      <c r="L25" s="31">
        <f t="shared" si="0"/>
        <v>0</v>
      </c>
      <c r="M25" s="31">
        <v>12</v>
      </c>
      <c r="N25" s="31">
        <f t="shared" si="1"/>
        <v>0</v>
      </c>
      <c r="O25" s="37">
        <f t="shared" si="2"/>
        <v>0</v>
      </c>
      <c r="P25" s="41">
        <f t="shared" si="4"/>
        <v>217830.05244258378</v>
      </c>
      <c r="Q25" s="37">
        <f t="shared" si="3"/>
        <v>0</v>
      </c>
      <c r="T25" s="42"/>
      <c r="U25" s="42"/>
      <c r="V25" s="42"/>
      <c r="W25" s="48"/>
      <c r="X25" s="37"/>
    </row>
    <row r="26" spans="2:24" hidden="1" x14ac:dyDescent="0.25">
      <c r="E26" s="15"/>
      <c r="F26" s="15"/>
      <c r="G26" s="15"/>
      <c r="H26" s="16"/>
      <c r="L26" s="31">
        <f t="shared" si="0"/>
        <v>1</v>
      </c>
      <c r="M26" s="31">
        <v>13</v>
      </c>
      <c r="N26" s="31">
        <f t="shared" si="1"/>
        <v>0</v>
      </c>
      <c r="O26" s="37">
        <f t="shared" si="2"/>
        <v>0</v>
      </c>
      <c r="P26" s="41">
        <f t="shared" si="4"/>
        <v>0</v>
      </c>
      <c r="Q26" s="37">
        <f t="shared" si="3"/>
        <v>0</v>
      </c>
      <c r="T26" s="42"/>
      <c r="U26" s="42"/>
      <c r="V26" s="42"/>
      <c r="W26" s="48"/>
      <c r="X26" s="37"/>
    </row>
    <row r="27" spans="2:24" hidden="1" x14ac:dyDescent="0.25">
      <c r="E27" s="15"/>
      <c r="F27" s="15"/>
      <c r="G27" s="15"/>
      <c r="L27" s="31">
        <f t="shared" si="0"/>
        <v>2</v>
      </c>
      <c r="M27" s="31">
        <v>14</v>
      </c>
      <c r="N27" s="31">
        <f t="shared" si="1"/>
        <v>0</v>
      </c>
      <c r="O27" s="37">
        <f t="shared" si="2"/>
        <v>0</v>
      </c>
      <c r="P27" s="41">
        <f t="shared" si="4"/>
        <v>0</v>
      </c>
      <c r="Q27" s="37">
        <f t="shared" si="3"/>
        <v>0</v>
      </c>
      <c r="T27" s="42"/>
      <c r="U27" s="42"/>
      <c r="V27" s="42"/>
      <c r="W27" s="48"/>
      <c r="X27" s="37"/>
    </row>
    <row r="28" spans="2:24" hidden="1" x14ac:dyDescent="0.25">
      <c r="L28" s="31">
        <f t="shared" si="0"/>
        <v>3</v>
      </c>
      <c r="M28" s="31">
        <v>15</v>
      </c>
      <c r="N28" s="31">
        <f t="shared" si="1"/>
        <v>0</v>
      </c>
      <c r="O28" s="37">
        <f t="shared" si="2"/>
        <v>0</v>
      </c>
      <c r="P28" s="41">
        <f t="shared" si="4"/>
        <v>0</v>
      </c>
      <c r="Q28" s="37">
        <f t="shared" si="3"/>
        <v>0</v>
      </c>
      <c r="T28" s="42"/>
      <c r="U28" s="42"/>
      <c r="V28" s="42"/>
      <c r="W28" s="48"/>
      <c r="X28" s="37"/>
    </row>
    <row r="29" spans="2:24" hidden="1" x14ac:dyDescent="0.25">
      <c r="L29" s="31">
        <f t="shared" si="0"/>
        <v>4</v>
      </c>
      <c r="M29" s="31">
        <v>16</v>
      </c>
      <c r="N29" s="31">
        <f t="shared" si="1"/>
        <v>0</v>
      </c>
      <c r="O29" s="37">
        <f t="shared" si="2"/>
        <v>0</v>
      </c>
      <c r="P29" s="41">
        <f t="shared" si="4"/>
        <v>0</v>
      </c>
      <c r="Q29" s="37">
        <f t="shared" si="3"/>
        <v>0</v>
      </c>
      <c r="T29" s="42"/>
      <c r="U29" s="42"/>
      <c r="V29" s="42"/>
      <c r="W29" s="48"/>
      <c r="X29" s="37"/>
    </row>
    <row r="30" spans="2:24" hidden="1" x14ac:dyDescent="0.25">
      <c r="L30" s="31">
        <f t="shared" si="0"/>
        <v>5</v>
      </c>
      <c r="M30" s="31">
        <v>17</v>
      </c>
      <c r="N30" s="31">
        <f t="shared" si="1"/>
        <v>0</v>
      </c>
      <c r="O30" s="37">
        <f t="shared" si="2"/>
        <v>0</v>
      </c>
      <c r="P30" s="41">
        <f t="shared" si="4"/>
        <v>0</v>
      </c>
      <c r="Q30" s="37">
        <f t="shared" si="3"/>
        <v>0</v>
      </c>
      <c r="T30" s="42"/>
      <c r="U30" s="42"/>
      <c r="V30" s="42"/>
      <c r="W30" s="48"/>
      <c r="X30" s="37"/>
    </row>
    <row r="31" spans="2:24" hidden="1" x14ac:dyDescent="0.25">
      <c r="L31" s="31">
        <f t="shared" si="0"/>
        <v>0</v>
      </c>
      <c r="M31" s="31">
        <v>18</v>
      </c>
      <c r="N31" s="31">
        <f t="shared" si="1"/>
        <v>0</v>
      </c>
      <c r="O31" s="37">
        <f t="shared" si="2"/>
        <v>0</v>
      </c>
      <c r="P31" s="41">
        <f t="shared" si="4"/>
        <v>0</v>
      </c>
      <c r="Q31" s="37">
        <f t="shared" si="3"/>
        <v>0</v>
      </c>
      <c r="T31" s="42"/>
      <c r="U31" s="42"/>
      <c r="V31" s="42"/>
      <c r="W31" s="48"/>
      <c r="X31" s="37"/>
    </row>
    <row r="32" spans="2:24" hidden="1" x14ac:dyDescent="0.25">
      <c r="L32" s="31">
        <f t="shared" si="0"/>
        <v>1</v>
      </c>
      <c r="M32" s="31">
        <v>19</v>
      </c>
      <c r="N32" s="31">
        <f t="shared" si="1"/>
        <v>0</v>
      </c>
      <c r="O32" s="37">
        <f t="shared" si="2"/>
        <v>0</v>
      </c>
      <c r="P32" s="41">
        <f t="shared" si="4"/>
        <v>0</v>
      </c>
      <c r="Q32" s="37">
        <f t="shared" si="3"/>
        <v>0</v>
      </c>
      <c r="T32" s="42"/>
      <c r="U32" s="42"/>
      <c r="V32" s="42"/>
      <c r="W32" s="48"/>
      <c r="X32" s="37"/>
    </row>
    <row r="33" spans="12:24" hidden="1" x14ac:dyDescent="0.25">
      <c r="L33" s="31">
        <f t="shared" si="0"/>
        <v>2</v>
      </c>
      <c r="M33" s="31">
        <v>20</v>
      </c>
      <c r="N33" s="31">
        <f t="shared" si="1"/>
        <v>0</v>
      </c>
      <c r="O33" s="37">
        <f t="shared" si="2"/>
        <v>0</v>
      </c>
      <c r="P33" s="41">
        <f t="shared" si="4"/>
        <v>0</v>
      </c>
      <c r="Q33" s="37">
        <f t="shared" si="3"/>
        <v>0</v>
      </c>
      <c r="T33" s="42"/>
      <c r="U33" s="42"/>
      <c r="V33" s="42"/>
      <c r="W33" s="48"/>
      <c r="X33" s="37"/>
    </row>
    <row r="34" spans="12:24" hidden="1" x14ac:dyDescent="0.25">
      <c r="L34" s="31">
        <f t="shared" si="0"/>
        <v>3</v>
      </c>
      <c r="M34" s="31">
        <v>21</v>
      </c>
      <c r="N34" s="31">
        <f t="shared" si="1"/>
        <v>0</v>
      </c>
      <c r="O34" s="37">
        <f t="shared" si="2"/>
        <v>0</v>
      </c>
      <c r="P34" s="41">
        <f t="shared" si="4"/>
        <v>0</v>
      </c>
      <c r="Q34" s="37">
        <f t="shared" si="3"/>
        <v>0</v>
      </c>
      <c r="T34" s="42"/>
      <c r="U34" s="42"/>
      <c r="V34" s="42"/>
      <c r="W34" s="48"/>
      <c r="X34" s="37"/>
    </row>
    <row r="35" spans="12:24" hidden="1" x14ac:dyDescent="0.25">
      <c r="L35" s="31">
        <f t="shared" si="0"/>
        <v>4</v>
      </c>
      <c r="M35" s="31">
        <v>22</v>
      </c>
      <c r="N35" s="31">
        <f t="shared" si="1"/>
        <v>0</v>
      </c>
      <c r="O35" s="37">
        <f t="shared" si="2"/>
        <v>0</v>
      </c>
      <c r="P35" s="41">
        <f t="shared" si="4"/>
        <v>0</v>
      </c>
      <c r="Q35" s="37">
        <f t="shared" si="3"/>
        <v>0</v>
      </c>
      <c r="T35" s="42"/>
      <c r="U35" s="42"/>
      <c r="V35" s="42"/>
      <c r="W35" s="48"/>
      <c r="X35" s="37"/>
    </row>
    <row r="36" spans="12:24" hidden="1" x14ac:dyDescent="0.25">
      <c r="L36" s="31">
        <f t="shared" si="0"/>
        <v>5</v>
      </c>
      <c r="M36" s="31">
        <v>23</v>
      </c>
      <c r="N36" s="31">
        <f t="shared" si="1"/>
        <v>0</v>
      </c>
      <c r="O36" s="37">
        <f t="shared" si="2"/>
        <v>0</v>
      </c>
      <c r="P36" s="41">
        <f t="shared" si="4"/>
        <v>0</v>
      </c>
      <c r="Q36" s="37">
        <f t="shared" si="3"/>
        <v>0</v>
      </c>
      <c r="T36" s="42"/>
      <c r="U36" s="42"/>
      <c r="V36" s="42"/>
      <c r="W36" s="48"/>
      <c r="X36" s="37"/>
    </row>
    <row r="37" spans="12:24" hidden="1" x14ac:dyDescent="0.25">
      <c r="L37" s="31">
        <f t="shared" si="0"/>
        <v>0</v>
      </c>
      <c r="M37" s="31">
        <v>24</v>
      </c>
      <c r="N37" s="31">
        <f t="shared" si="1"/>
        <v>0</v>
      </c>
      <c r="O37" s="37">
        <f t="shared" si="2"/>
        <v>0</v>
      </c>
      <c r="P37" s="41">
        <f t="shared" si="4"/>
        <v>0</v>
      </c>
      <c r="Q37" s="37">
        <f t="shared" si="3"/>
        <v>0</v>
      </c>
      <c r="T37" s="42"/>
      <c r="U37" s="42"/>
      <c r="V37" s="42"/>
      <c r="W37" s="48"/>
      <c r="X37" s="37"/>
    </row>
    <row r="38" spans="12:24" hidden="1" x14ac:dyDescent="0.25">
      <c r="L38" s="31">
        <f t="shared" si="0"/>
        <v>1</v>
      </c>
      <c r="M38" s="31">
        <v>25</v>
      </c>
      <c r="N38" s="31">
        <f t="shared" si="1"/>
        <v>0</v>
      </c>
      <c r="O38" s="37">
        <f t="shared" si="2"/>
        <v>0</v>
      </c>
      <c r="P38" s="41">
        <f t="shared" si="4"/>
        <v>0</v>
      </c>
      <c r="Q38" s="37">
        <f t="shared" si="3"/>
        <v>0</v>
      </c>
      <c r="T38" s="42"/>
      <c r="U38" s="42"/>
      <c r="V38" s="42"/>
      <c r="W38" s="48"/>
      <c r="X38" s="37"/>
    </row>
    <row r="39" spans="12:24" hidden="1" x14ac:dyDescent="0.25">
      <c r="L39" s="31">
        <f t="shared" si="0"/>
        <v>2</v>
      </c>
      <c r="M39" s="31">
        <v>26</v>
      </c>
      <c r="N39" s="31">
        <f t="shared" si="1"/>
        <v>0</v>
      </c>
      <c r="O39" s="37">
        <f t="shared" si="2"/>
        <v>0</v>
      </c>
      <c r="P39" s="41">
        <f t="shared" si="4"/>
        <v>0</v>
      </c>
      <c r="Q39" s="37">
        <f t="shared" si="3"/>
        <v>0</v>
      </c>
      <c r="T39" s="42"/>
      <c r="U39" s="42"/>
      <c r="V39" s="42"/>
      <c r="W39" s="48"/>
      <c r="X39" s="37"/>
    </row>
    <row r="40" spans="12:24" hidden="1" x14ac:dyDescent="0.25">
      <c r="L40" s="31">
        <f t="shared" si="0"/>
        <v>3</v>
      </c>
      <c r="M40" s="31">
        <v>27</v>
      </c>
      <c r="N40" s="31">
        <f t="shared" si="1"/>
        <v>0</v>
      </c>
      <c r="O40" s="37">
        <f t="shared" si="2"/>
        <v>0</v>
      </c>
      <c r="P40" s="41">
        <f t="shared" si="4"/>
        <v>0</v>
      </c>
      <c r="Q40" s="37">
        <f t="shared" si="3"/>
        <v>0</v>
      </c>
      <c r="T40" s="42"/>
      <c r="U40" s="42"/>
      <c r="V40" s="42"/>
      <c r="W40" s="48"/>
      <c r="X40" s="37"/>
    </row>
    <row r="41" spans="12:24" hidden="1" x14ac:dyDescent="0.25">
      <c r="L41" s="31">
        <f t="shared" si="0"/>
        <v>4</v>
      </c>
      <c r="M41" s="31">
        <v>28</v>
      </c>
      <c r="N41" s="31">
        <f t="shared" si="1"/>
        <v>0</v>
      </c>
      <c r="O41" s="37">
        <f t="shared" si="2"/>
        <v>0</v>
      </c>
      <c r="P41" s="41">
        <f t="shared" si="4"/>
        <v>0</v>
      </c>
      <c r="Q41" s="37">
        <f t="shared" si="3"/>
        <v>0</v>
      </c>
      <c r="T41" s="42"/>
      <c r="U41" s="42"/>
      <c r="V41" s="42"/>
      <c r="W41" s="48"/>
      <c r="X41" s="37"/>
    </row>
    <row r="42" spans="12:24" hidden="1" x14ac:dyDescent="0.25">
      <c r="L42" s="31">
        <f t="shared" si="0"/>
        <v>5</v>
      </c>
      <c r="M42" s="31">
        <v>29</v>
      </c>
      <c r="N42" s="31">
        <f t="shared" si="1"/>
        <v>0</v>
      </c>
      <c r="O42" s="37">
        <f t="shared" si="2"/>
        <v>0</v>
      </c>
      <c r="P42" s="41">
        <f t="shared" si="4"/>
        <v>0</v>
      </c>
      <c r="Q42" s="37">
        <f t="shared" si="3"/>
        <v>0</v>
      </c>
      <c r="T42" s="42"/>
      <c r="U42" s="42"/>
      <c r="V42" s="42"/>
      <c r="W42" s="48"/>
      <c r="X42" s="37"/>
    </row>
    <row r="43" spans="12:24" hidden="1" x14ac:dyDescent="0.25">
      <c r="L43" s="31">
        <f t="shared" si="0"/>
        <v>0</v>
      </c>
      <c r="M43" s="31">
        <v>30</v>
      </c>
      <c r="N43" s="31">
        <f t="shared" si="1"/>
        <v>0</v>
      </c>
      <c r="O43" s="37">
        <f t="shared" si="2"/>
        <v>0</v>
      </c>
      <c r="P43" s="41">
        <f t="shared" si="4"/>
        <v>0</v>
      </c>
      <c r="Q43" s="37">
        <f t="shared" si="3"/>
        <v>0</v>
      </c>
      <c r="T43" s="42"/>
      <c r="U43" s="42"/>
      <c r="V43" s="42"/>
      <c r="W43" s="48"/>
      <c r="X43" s="37"/>
    </row>
    <row r="44" spans="12:24" hidden="1" x14ac:dyDescent="0.25">
      <c r="L44" s="31">
        <f t="shared" si="0"/>
        <v>1</v>
      </c>
      <c r="M44" s="31">
        <v>31</v>
      </c>
      <c r="N44" s="31">
        <f t="shared" si="1"/>
        <v>0</v>
      </c>
      <c r="O44" s="37">
        <f t="shared" si="2"/>
        <v>0</v>
      </c>
      <c r="P44" s="41">
        <f t="shared" si="4"/>
        <v>0</v>
      </c>
      <c r="Q44" s="37">
        <f t="shared" si="3"/>
        <v>0</v>
      </c>
      <c r="T44" s="42"/>
      <c r="U44" s="42"/>
      <c r="V44" s="42"/>
      <c r="W44" s="48"/>
      <c r="X44" s="37"/>
    </row>
    <row r="45" spans="12:24" hidden="1" x14ac:dyDescent="0.25">
      <c r="L45" s="31">
        <f t="shared" si="0"/>
        <v>2</v>
      </c>
      <c r="M45" s="31">
        <v>32</v>
      </c>
      <c r="N45" s="31">
        <f t="shared" si="1"/>
        <v>0</v>
      </c>
      <c r="O45" s="37">
        <f t="shared" si="2"/>
        <v>0</v>
      </c>
      <c r="P45" s="41">
        <f t="shared" si="4"/>
        <v>0</v>
      </c>
      <c r="Q45" s="37">
        <f t="shared" si="3"/>
        <v>0</v>
      </c>
      <c r="T45" s="42"/>
      <c r="U45" s="42"/>
      <c r="V45" s="42"/>
      <c r="W45" s="48"/>
      <c r="X45" s="37"/>
    </row>
    <row r="46" spans="12:24" hidden="1" x14ac:dyDescent="0.25">
      <c r="L46" s="31">
        <f t="shared" si="0"/>
        <v>3</v>
      </c>
      <c r="M46" s="31">
        <v>33</v>
      </c>
      <c r="N46" s="31">
        <f t="shared" si="1"/>
        <v>0</v>
      </c>
      <c r="O46" s="37">
        <f t="shared" si="2"/>
        <v>0</v>
      </c>
      <c r="P46" s="41">
        <f t="shared" si="4"/>
        <v>0</v>
      </c>
      <c r="Q46" s="37">
        <f t="shared" si="3"/>
        <v>0</v>
      </c>
      <c r="T46" s="42"/>
      <c r="U46" s="42"/>
      <c r="V46" s="42"/>
      <c r="W46" s="48"/>
      <c r="X46" s="37"/>
    </row>
    <row r="47" spans="12:24" hidden="1" x14ac:dyDescent="0.25">
      <c r="L47" s="31">
        <f t="shared" si="0"/>
        <v>4</v>
      </c>
      <c r="M47" s="31">
        <v>34</v>
      </c>
      <c r="N47" s="31">
        <f t="shared" si="1"/>
        <v>0</v>
      </c>
      <c r="O47" s="37">
        <f t="shared" si="2"/>
        <v>0</v>
      </c>
      <c r="P47" s="41">
        <f t="shared" si="4"/>
        <v>0</v>
      </c>
      <c r="Q47" s="37">
        <f t="shared" si="3"/>
        <v>0</v>
      </c>
      <c r="T47" s="42"/>
      <c r="U47" s="42"/>
      <c r="V47" s="42"/>
      <c r="W47" s="48"/>
      <c r="X47" s="37"/>
    </row>
    <row r="48" spans="12:24" hidden="1" x14ac:dyDescent="0.25">
      <c r="L48" s="31">
        <f t="shared" si="0"/>
        <v>5</v>
      </c>
      <c r="M48" s="31">
        <v>35</v>
      </c>
      <c r="N48" s="31">
        <f t="shared" si="1"/>
        <v>0</v>
      </c>
      <c r="O48" s="37">
        <f t="shared" si="2"/>
        <v>0</v>
      </c>
      <c r="P48" s="41">
        <f t="shared" si="4"/>
        <v>0</v>
      </c>
      <c r="Q48" s="37">
        <f t="shared" si="3"/>
        <v>0</v>
      </c>
      <c r="T48" s="42"/>
      <c r="U48" s="42"/>
      <c r="V48" s="42"/>
      <c r="W48" s="48"/>
      <c r="X48" s="37"/>
    </row>
    <row r="49" spans="12:24" hidden="1" x14ac:dyDescent="0.25">
      <c r="L49" s="31">
        <f t="shared" si="0"/>
        <v>0</v>
      </c>
      <c r="M49" s="31">
        <v>36</v>
      </c>
      <c r="N49" s="31">
        <f t="shared" si="1"/>
        <v>0</v>
      </c>
      <c r="O49" s="37">
        <f t="shared" si="2"/>
        <v>0</v>
      </c>
      <c r="P49" s="41">
        <f t="shared" si="4"/>
        <v>0</v>
      </c>
      <c r="Q49" s="37">
        <f t="shared" si="3"/>
        <v>0</v>
      </c>
      <c r="T49" s="42"/>
      <c r="U49" s="42"/>
      <c r="V49" s="42"/>
      <c r="W49" s="48"/>
      <c r="X49" s="37"/>
    </row>
    <row r="50" spans="12:24" hidden="1" x14ac:dyDescent="0.25">
      <c r="L50" s="31">
        <f t="shared" si="0"/>
        <v>1</v>
      </c>
      <c r="M50" s="31">
        <v>37</v>
      </c>
      <c r="N50" s="31">
        <f t="shared" si="1"/>
        <v>0</v>
      </c>
      <c r="O50" s="37">
        <f t="shared" si="2"/>
        <v>0</v>
      </c>
      <c r="P50" s="41">
        <f t="shared" si="4"/>
        <v>0</v>
      </c>
      <c r="Q50" s="37">
        <f t="shared" si="3"/>
        <v>0</v>
      </c>
      <c r="T50" s="42"/>
      <c r="U50" s="42"/>
      <c r="V50" s="42"/>
      <c r="W50" s="48"/>
      <c r="X50" s="37"/>
    </row>
    <row r="51" spans="12:24" hidden="1" x14ac:dyDescent="0.25">
      <c r="L51" s="31">
        <f t="shared" si="0"/>
        <v>2</v>
      </c>
      <c r="M51" s="31">
        <v>38</v>
      </c>
      <c r="N51" s="31">
        <f t="shared" si="1"/>
        <v>0</v>
      </c>
      <c r="O51" s="37">
        <f t="shared" si="2"/>
        <v>0</v>
      </c>
      <c r="P51" s="41">
        <f t="shared" si="4"/>
        <v>0</v>
      </c>
      <c r="Q51" s="37">
        <f t="shared" si="3"/>
        <v>0</v>
      </c>
      <c r="T51" s="42"/>
      <c r="U51" s="42"/>
      <c r="V51" s="42"/>
      <c r="W51" s="48"/>
      <c r="X51" s="37"/>
    </row>
    <row r="52" spans="12:24" hidden="1" x14ac:dyDescent="0.25">
      <c r="L52" s="31">
        <f t="shared" si="0"/>
        <v>3</v>
      </c>
      <c r="M52" s="31">
        <v>39</v>
      </c>
      <c r="N52" s="31">
        <f t="shared" si="1"/>
        <v>0</v>
      </c>
      <c r="O52" s="37">
        <f t="shared" si="2"/>
        <v>0</v>
      </c>
      <c r="P52" s="41">
        <f t="shared" si="4"/>
        <v>0</v>
      </c>
      <c r="Q52" s="37">
        <f t="shared" si="3"/>
        <v>0</v>
      </c>
      <c r="T52" s="42"/>
      <c r="U52" s="42"/>
      <c r="V52" s="42"/>
      <c r="W52" s="48"/>
      <c r="X52" s="37"/>
    </row>
    <row r="53" spans="12:24" hidden="1" x14ac:dyDescent="0.25">
      <c r="L53" s="31">
        <f t="shared" si="0"/>
        <v>4</v>
      </c>
      <c r="M53" s="31">
        <v>40</v>
      </c>
      <c r="N53" s="31">
        <f t="shared" si="1"/>
        <v>0</v>
      </c>
      <c r="O53" s="37">
        <f t="shared" si="2"/>
        <v>0</v>
      </c>
      <c r="P53" s="41">
        <f t="shared" si="4"/>
        <v>0</v>
      </c>
      <c r="Q53" s="37">
        <f t="shared" si="3"/>
        <v>0</v>
      </c>
      <c r="T53" s="42"/>
      <c r="U53" s="42"/>
      <c r="V53" s="42"/>
      <c r="W53" s="48"/>
      <c r="X53" s="37"/>
    </row>
    <row r="54" spans="12:24" hidden="1" x14ac:dyDescent="0.25">
      <c r="L54" s="31">
        <f t="shared" si="0"/>
        <v>5</v>
      </c>
      <c r="M54" s="31">
        <v>41</v>
      </c>
      <c r="N54" s="31">
        <f t="shared" si="1"/>
        <v>0</v>
      </c>
      <c r="O54" s="37">
        <f t="shared" si="2"/>
        <v>0</v>
      </c>
      <c r="P54" s="41">
        <f t="shared" si="4"/>
        <v>0</v>
      </c>
      <c r="Q54" s="37">
        <f t="shared" si="3"/>
        <v>0</v>
      </c>
      <c r="T54" s="42"/>
      <c r="U54" s="42"/>
      <c r="V54" s="42"/>
      <c r="W54" s="48"/>
      <c r="X54" s="37"/>
    </row>
    <row r="55" spans="12:24" hidden="1" x14ac:dyDescent="0.25">
      <c r="L55" s="31">
        <f t="shared" si="0"/>
        <v>0</v>
      </c>
      <c r="M55" s="31">
        <v>42</v>
      </c>
      <c r="N55" s="31">
        <f t="shared" si="1"/>
        <v>0</v>
      </c>
      <c r="O55" s="37">
        <f t="shared" si="2"/>
        <v>0</v>
      </c>
      <c r="P55" s="41">
        <f t="shared" si="4"/>
        <v>0</v>
      </c>
      <c r="Q55" s="37">
        <f t="shared" si="3"/>
        <v>0</v>
      </c>
      <c r="T55" s="42"/>
      <c r="U55" s="42"/>
      <c r="V55" s="42"/>
      <c r="W55" s="48"/>
      <c r="X55" s="37"/>
    </row>
    <row r="56" spans="12:24" hidden="1" x14ac:dyDescent="0.25">
      <c r="L56" s="31">
        <f t="shared" si="0"/>
        <v>1</v>
      </c>
      <c r="M56" s="31">
        <v>43</v>
      </c>
      <c r="N56" s="31">
        <f t="shared" si="1"/>
        <v>0</v>
      </c>
      <c r="O56" s="37">
        <f t="shared" si="2"/>
        <v>0</v>
      </c>
      <c r="P56" s="41">
        <f t="shared" si="4"/>
        <v>0</v>
      </c>
      <c r="Q56" s="37">
        <f t="shared" si="3"/>
        <v>0</v>
      </c>
      <c r="T56" s="42"/>
      <c r="U56" s="42"/>
      <c r="V56" s="42"/>
      <c r="W56" s="48"/>
      <c r="X56" s="37"/>
    </row>
    <row r="57" spans="12:24" hidden="1" x14ac:dyDescent="0.25">
      <c r="L57" s="31">
        <f t="shared" si="0"/>
        <v>2</v>
      </c>
      <c r="M57" s="31">
        <v>44</v>
      </c>
      <c r="N57" s="31">
        <f t="shared" si="1"/>
        <v>0</v>
      </c>
      <c r="O57" s="37">
        <f t="shared" si="2"/>
        <v>0</v>
      </c>
      <c r="P57" s="41">
        <f t="shared" si="4"/>
        <v>0</v>
      </c>
      <c r="Q57" s="37">
        <f t="shared" si="3"/>
        <v>0</v>
      </c>
      <c r="T57" s="42"/>
      <c r="U57" s="42"/>
      <c r="V57" s="42"/>
      <c r="W57" s="48"/>
      <c r="X57" s="37"/>
    </row>
    <row r="58" spans="12:24" hidden="1" x14ac:dyDescent="0.25">
      <c r="L58" s="31">
        <f t="shared" si="0"/>
        <v>3</v>
      </c>
      <c r="M58" s="31">
        <v>45</v>
      </c>
      <c r="N58" s="31">
        <f t="shared" si="1"/>
        <v>0</v>
      </c>
      <c r="O58" s="37">
        <f t="shared" si="2"/>
        <v>0</v>
      </c>
      <c r="P58" s="41">
        <f t="shared" si="4"/>
        <v>0</v>
      </c>
      <c r="Q58" s="37">
        <f t="shared" si="3"/>
        <v>0</v>
      </c>
      <c r="T58" s="42"/>
      <c r="U58" s="42"/>
      <c r="V58" s="42"/>
      <c r="W58" s="48"/>
      <c r="X58" s="37"/>
    </row>
    <row r="59" spans="12:24" hidden="1" x14ac:dyDescent="0.25">
      <c r="L59" s="31">
        <f t="shared" si="0"/>
        <v>4</v>
      </c>
      <c r="M59" s="31">
        <v>46</v>
      </c>
      <c r="N59" s="31">
        <f t="shared" si="1"/>
        <v>0</v>
      </c>
      <c r="O59" s="37">
        <f t="shared" si="2"/>
        <v>0</v>
      </c>
      <c r="P59" s="41">
        <f t="shared" si="4"/>
        <v>0</v>
      </c>
      <c r="Q59" s="37">
        <f t="shared" si="3"/>
        <v>0</v>
      </c>
      <c r="T59" s="42"/>
      <c r="U59" s="42"/>
      <c r="V59" s="42"/>
      <c r="W59" s="48"/>
      <c r="X59" s="37"/>
    </row>
    <row r="60" spans="12:24" hidden="1" x14ac:dyDescent="0.25">
      <c r="L60" s="31">
        <f t="shared" si="0"/>
        <v>5</v>
      </c>
      <c r="M60" s="31">
        <v>47</v>
      </c>
      <c r="N60" s="31">
        <f t="shared" si="1"/>
        <v>0</v>
      </c>
      <c r="O60" s="37">
        <f t="shared" si="2"/>
        <v>0</v>
      </c>
      <c r="P60" s="41">
        <f t="shared" si="4"/>
        <v>0</v>
      </c>
      <c r="Q60" s="37">
        <f t="shared" si="3"/>
        <v>0</v>
      </c>
      <c r="T60" s="42"/>
      <c r="U60" s="42"/>
      <c r="V60" s="42"/>
      <c r="W60" s="48"/>
      <c r="X60" s="37"/>
    </row>
    <row r="61" spans="12:24" hidden="1" x14ac:dyDescent="0.25">
      <c r="L61" s="31">
        <f t="shared" si="0"/>
        <v>0</v>
      </c>
      <c r="M61" s="31">
        <v>48</v>
      </c>
      <c r="N61" s="31">
        <f t="shared" si="1"/>
        <v>0</v>
      </c>
      <c r="O61" s="37">
        <f t="shared" si="2"/>
        <v>0</v>
      </c>
      <c r="P61" s="41">
        <f t="shared" si="4"/>
        <v>0</v>
      </c>
      <c r="Q61" s="37">
        <f t="shared" si="3"/>
        <v>0</v>
      </c>
      <c r="T61" s="42"/>
      <c r="U61" s="42"/>
      <c r="V61" s="42"/>
      <c r="W61" s="48"/>
      <c r="X61" s="37"/>
    </row>
    <row r="62" spans="12:24" hidden="1" x14ac:dyDescent="0.25">
      <c r="L62" s="31">
        <f t="shared" si="0"/>
        <v>1</v>
      </c>
      <c r="M62" s="31">
        <v>49</v>
      </c>
      <c r="N62" s="31">
        <f t="shared" si="1"/>
        <v>0</v>
      </c>
      <c r="O62" s="37">
        <f t="shared" si="2"/>
        <v>0</v>
      </c>
      <c r="P62" s="41">
        <f t="shared" si="4"/>
        <v>0</v>
      </c>
      <c r="Q62" s="37">
        <f t="shared" si="3"/>
        <v>0</v>
      </c>
      <c r="T62" s="42"/>
      <c r="U62" s="42"/>
      <c r="V62" s="42"/>
      <c r="W62" s="48"/>
      <c r="X62" s="37"/>
    </row>
    <row r="63" spans="12:24" hidden="1" x14ac:dyDescent="0.25">
      <c r="L63" s="31">
        <f t="shared" si="0"/>
        <v>2</v>
      </c>
      <c r="M63" s="31">
        <v>50</v>
      </c>
      <c r="N63" s="31">
        <f t="shared" si="1"/>
        <v>0</v>
      </c>
      <c r="O63" s="37">
        <f t="shared" si="2"/>
        <v>0</v>
      </c>
      <c r="P63" s="41">
        <f t="shared" si="4"/>
        <v>0</v>
      </c>
      <c r="Q63" s="37">
        <f t="shared" si="3"/>
        <v>0</v>
      </c>
      <c r="T63" s="42"/>
      <c r="U63" s="42"/>
      <c r="V63" s="42"/>
      <c r="W63" s="48"/>
      <c r="X63" s="37"/>
    </row>
    <row r="64" spans="12:24" hidden="1" x14ac:dyDescent="0.25">
      <c r="L64" s="31">
        <f t="shared" si="0"/>
        <v>3</v>
      </c>
      <c r="M64" s="31">
        <v>51</v>
      </c>
      <c r="N64" s="31">
        <f t="shared" si="1"/>
        <v>0</v>
      </c>
      <c r="O64" s="37">
        <f t="shared" si="2"/>
        <v>0</v>
      </c>
      <c r="P64" s="41">
        <f t="shared" si="4"/>
        <v>0</v>
      </c>
      <c r="Q64" s="37">
        <f t="shared" si="3"/>
        <v>0</v>
      </c>
      <c r="T64" s="42"/>
      <c r="U64" s="42"/>
      <c r="V64" s="42"/>
      <c r="W64" s="48"/>
      <c r="X64" s="37"/>
    </row>
    <row r="65" spans="8:24" hidden="1" x14ac:dyDescent="0.25">
      <c r="L65" s="31">
        <f t="shared" si="0"/>
        <v>4</v>
      </c>
      <c r="M65" s="31">
        <v>52</v>
      </c>
      <c r="N65" s="31">
        <f t="shared" si="1"/>
        <v>0</v>
      </c>
      <c r="O65" s="37">
        <f t="shared" si="2"/>
        <v>0</v>
      </c>
      <c r="P65" s="41">
        <f t="shared" si="4"/>
        <v>0</v>
      </c>
      <c r="Q65" s="37">
        <f t="shared" si="3"/>
        <v>0</v>
      </c>
      <c r="T65" s="42"/>
      <c r="U65" s="42"/>
      <c r="V65" s="42"/>
      <c r="W65" s="48"/>
      <c r="X65" s="37"/>
    </row>
    <row r="66" spans="8:24" hidden="1" x14ac:dyDescent="0.25">
      <c r="L66" s="31">
        <f t="shared" si="0"/>
        <v>5</v>
      </c>
      <c r="M66" s="31">
        <v>53</v>
      </c>
      <c r="N66" s="31">
        <f t="shared" si="1"/>
        <v>0</v>
      </c>
      <c r="O66" s="37">
        <f t="shared" si="2"/>
        <v>0</v>
      </c>
      <c r="P66" s="41">
        <f t="shared" si="4"/>
        <v>0</v>
      </c>
      <c r="Q66" s="37">
        <f t="shared" si="3"/>
        <v>0</v>
      </c>
      <c r="T66" s="42"/>
      <c r="U66" s="42"/>
      <c r="V66" s="42"/>
      <c r="W66" s="48"/>
      <c r="X66" s="37"/>
    </row>
    <row r="67" spans="8:24" hidden="1" x14ac:dyDescent="0.25">
      <c r="L67" s="31">
        <f t="shared" si="0"/>
        <v>0</v>
      </c>
      <c r="M67" s="31">
        <v>54</v>
      </c>
      <c r="N67" s="31">
        <f t="shared" si="1"/>
        <v>0</v>
      </c>
      <c r="O67" s="37">
        <f t="shared" si="2"/>
        <v>0</v>
      </c>
      <c r="P67" s="41">
        <f t="shared" si="4"/>
        <v>0</v>
      </c>
      <c r="Q67" s="37">
        <f t="shared" si="3"/>
        <v>0</v>
      </c>
      <c r="T67" s="42"/>
      <c r="U67" s="42"/>
      <c r="V67" s="42"/>
      <c r="W67" s="48"/>
      <c r="X67" s="37"/>
    </row>
    <row r="68" spans="8:24" hidden="1" x14ac:dyDescent="0.25">
      <c r="L68" s="31">
        <f t="shared" si="0"/>
        <v>1</v>
      </c>
      <c r="M68" s="31">
        <v>55</v>
      </c>
      <c r="N68" s="31">
        <f t="shared" si="1"/>
        <v>0</v>
      </c>
      <c r="O68" s="37">
        <f t="shared" si="2"/>
        <v>0</v>
      </c>
      <c r="P68" s="41">
        <f t="shared" si="4"/>
        <v>0</v>
      </c>
      <c r="Q68" s="37">
        <f t="shared" si="3"/>
        <v>0</v>
      </c>
      <c r="T68" s="42"/>
      <c r="U68" s="42"/>
      <c r="V68" s="42"/>
      <c r="W68" s="48"/>
      <c r="X68" s="37"/>
    </row>
    <row r="69" spans="8:24" hidden="1" x14ac:dyDescent="0.25">
      <c r="L69" s="31">
        <f t="shared" si="0"/>
        <v>2</v>
      </c>
      <c r="M69" s="31">
        <v>56</v>
      </c>
      <c r="N69" s="31">
        <f t="shared" si="1"/>
        <v>0</v>
      </c>
      <c r="O69" s="37">
        <f t="shared" si="2"/>
        <v>0</v>
      </c>
      <c r="P69" s="41">
        <f t="shared" si="4"/>
        <v>0</v>
      </c>
      <c r="Q69" s="37">
        <f t="shared" si="3"/>
        <v>0</v>
      </c>
      <c r="T69" s="42"/>
      <c r="U69" s="42"/>
      <c r="V69" s="42"/>
      <c r="W69" s="48"/>
      <c r="X69" s="37"/>
    </row>
    <row r="70" spans="8:24" hidden="1" x14ac:dyDescent="0.25">
      <c r="L70" s="31">
        <f t="shared" si="0"/>
        <v>3</v>
      </c>
      <c r="M70" s="31">
        <v>57</v>
      </c>
      <c r="N70" s="31">
        <f t="shared" si="1"/>
        <v>0</v>
      </c>
      <c r="O70" s="37">
        <f t="shared" si="2"/>
        <v>0</v>
      </c>
      <c r="P70" s="41">
        <f t="shared" si="4"/>
        <v>0</v>
      </c>
      <c r="Q70" s="37">
        <f t="shared" si="3"/>
        <v>0</v>
      </c>
      <c r="T70" s="42"/>
      <c r="U70" s="42"/>
      <c r="V70" s="42"/>
      <c r="W70" s="48"/>
      <c r="X70" s="37"/>
    </row>
    <row r="71" spans="8:24" hidden="1" x14ac:dyDescent="0.25">
      <c r="L71" s="31">
        <f t="shared" si="0"/>
        <v>4</v>
      </c>
      <c r="M71" s="31">
        <v>58</v>
      </c>
      <c r="N71" s="31">
        <f t="shared" si="1"/>
        <v>0</v>
      </c>
      <c r="O71" s="37">
        <f t="shared" si="2"/>
        <v>0</v>
      </c>
      <c r="P71" s="41">
        <f t="shared" si="4"/>
        <v>0</v>
      </c>
      <c r="Q71" s="37">
        <f t="shared" si="3"/>
        <v>0</v>
      </c>
      <c r="T71" s="42"/>
      <c r="U71" s="42"/>
      <c r="V71" s="42"/>
      <c r="W71" s="48"/>
      <c r="X71" s="37"/>
    </row>
    <row r="72" spans="8:24" hidden="1" x14ac:dyDescent="0.25">
      <c r="L72" s="31">
        <f t="shared" si="0"/>
        <v>5</v>
      </c>
      <c r="M72" s="31">
        <v>59</v>
      </c>
      <c r="N72" s="31">
        <f t="shared" si="1"/>
        <v>0</v>
      </c>
      <c r="O72" s="37">
        <f t="shared" si="2"/>
        <v>0</v>
      </c>
      <c r="P72" s="41">
        <f t="shared" si="4"/>
        <v>0</v>
      </c>
      <c r="Q72" s="37">
        <f t="shared" si="3"/>
        <v>0</v>
      </c>
      <c r="T72" s="42"/>
      <c r="U72" s="42"/>
      <c r="V72" s="42"/>
      <c r="W72" s="48"/>
      <c r="X72" s="37"/>
    </row>
    <row r="73" spans="8:24" hidden="1" x14ac:dyDescent="0.25">
      <c r="L73" s="31">
        <f t="shared" si="0"/>
        <v>0</v>
      </c>
      <c r="M73" s="31">
        <v>60</v>
      </c>
      <c r="N73" s="31">
        <f t="shared" si="1"/>
        <v>0</v>
      </c>
      <c r="O73" s="37">
        <f t="shared" si="2"/>
        <v>0</v>
      </c>
      <c r="P73" s="41">
        <f t="shared" si="4"/>
        <v>0</v>
      </c>
      <c r="Q73" s="37">
        <f t="shared" si="3"/>
        <v>0</v>
      </c>
      <c r="T73" s="42"/>
      <c r="U73" s="42"/>
      <c r="V73" s="42"/>
      <c r="W73" s="48"/>
      <c r="X73" s="37"/>
    </row>
    <row r="74" spans="8:24" hidden="1" x14ac:dyDescent="0.25">
      <c r="H74" s="52"/>
      <c r="L74" s="31">
        <f t="shared" si="0"/>
        <v>1</v>
      </c>
      <c r="M74" s="31">
        <v>61</v>
      </c>
      <c r="N74" s="31">
        <f t="shared" si="1"/>
        <v>0</v>
      </c>
      <c r="O74" s="37">
        <f t="shared" si="2"/>
        <v>0</v>
      </c>
      <c r="P74" s="41">
        <f t="shared" si="4"/>
        <v>0</v>
      </c>
      <c r="Q74" s="37">
        <f t="shared" si="3"/>
        <v>0</v>
      </c>
      <c r="T74" s="42"/>
      <c r="U74" s="42"/>
      <c r="V74" s="42"/>
      <c r="W74" s="48"/>
      <c r="X74" s="37"/>
    </row>
    <row r="75" spans="8:24" hidden="1" x14ac:dyDescent="0.25">
      <c r="L75" s="31">
        <f t="shared" si="0"/>
        <v>2</v>
      </c>
      <c r="M75" s="31">
        <v>62</v>
      </c>
      <c r="N75" s="31">
        <f t="shared" si="1"/>
        <v>0</v>
      </c>
      <c r="O75" s="37">
        <f t="shared" si="2"/>
        <v>0</v>
      </c>
      <c r="P75" s="41">
        <f t="shared" si="4"/>
        <v>0</v>
      </c>
      <c r="Q75" s="37">
        <f t="shared" si="3"/>
        <v>0</v>
      </c>
      <c r="T75" s="42"/>
      <c r="U75" s="42"/>
      <c r="V75" s="42"/>
      <c r="W75" s="48"/>
      <c r="X75" s="37"/>
    </row>
    <row r="76" spans="8:24" hidden="1" x14ac:dyDescent="0.25">
      <c r="L76" s="31">
        <f t="shared" si="0"/>
        <v>3</v>
      </c>
      <c r="M76" s="31">
        <v>63</v>
      </c>
      <c r="N76" s="31">
        <f t="shared" si="1"/>
        <v>0</v>
      </c>
      <c r="O76" s="37">
        <f t="shared" si="2"/>
        <v>0</v>
      </c>
      <c r="P76" s="41">
        <f t="shared" si="4"/>
        <v>0</v>
      </c>
      <c r="Q76" s="37">
        <f t="shared" si="3"/>
        <v>0</v>
      </c>
      <c r="T76" s="42"/>
      <c r="U76" s="42"/>
      <c r="V76" s="42"/>
      <c r="W76" s="48"/>
      <c r="X76" s="37"/>
    </row>
    <row r="77" spans="8:24" hidden="1" x14ac:dyDescent="0.25">
      <c r="L77" s="31">
        <f t="shared" ref="L77:L140" si="5">MOD(M77,12/$C$9)</f>
        <v>4</v>
      </c>
      <c r="M77" s="31">
        <v>64</v>
      </c>
      <c r="N77" s="31">
        <f t="shared" ref="N77:N140" si="6">IF(M77&lt;$O$8,IF(L77=0,$C$8,0),0)</f>
        <v>0</v>
      </c>
      <c r="O77" s="37">
        <f t="shared" ref="O77:O140" si="7">IF(M77&lt;=$O$8,FV(SRate,($O$8-M77),0,-N77,1),0)</f>
        <v>0</v>
      </c>
      <c r="P77" s="41">
        <f t="shared" si="4"/>
        <v>0</v>
      </c>
      <c r="Q77" s="37">
        <f t="shared" ref="Q77:Q140" si="8">(O77-N77)*TaxRate</f>
        <v>0</v>
      </c>
      <c r="T77" s="42"/>
      <c r="U77" s="42"/>
      <c r="V77" s="42"/>
      <c r="W77" s="48"/>
      <c r="X77" s="37"/>
    </row>
    <row r="78" spans="8:24" hidden="1" x14ac:dyDescent="0.25">
      <c r="L78" s="31">
        <f t="shared" si="5"/>
        <v>5</v>
      </c>
      <c r="M78" s="31">
        <v>65</v>
      </c>
      <c r="N78" s="31">
        <f t="shared" si="6"/>
        <v>0</v>
      </c>
      <c r="O78" s="37">
        <f t="shared" si="7"/>
        <v>0</v>
      </c>
      <c r="P78" s="41">
        <f t="shared" ref="P78:P141" si="9">IF(M78&lt;=$O$8,FV(SRate,1,0,-P77,1),0)+N78</f>
        <v>0</v>
      </c>
      <c r="Q78" s="37">
        <f t="shared" si="8"/>
        <v>0</v>
      </c>
      <c r="T78" s="42"/>
      <c r="U78" s="42"/>
      <c r="V78" s="42"/>
      <c r="W78" s="48"/>
      <c r="X78" s="37"/>
    </row>
    <row r="79" spans="8:24" hidden="1" x14ac:dyDescent="0.25">
      <c r="L79" s="31">
        <f t="shared" si="5"/>
        <v>0</v>
      </c>
      <c r="M79" s="31">
        <v>66</v>
      </c>
      <c r="N79" s="31">
        <f t="shared" si="6"/>
        <v>0</v>
      </c>
      <c r="O79" s="37">
        <f t="shared" si="7"/>
        <v>0</v>
      </c>
      <c r="P79" s="41">
        <f t="shared" si="9"/>
        <v>0</v>
      </c>
      <c r="Q79" s="37">
        <f t="shared" si="8"/>
        <v>0</v>
      </c>
      <c r="T79" s="42"/>
      <c r="U79" s="42"/>
      <c r="V79" s="42"/>
      <c r="W79" s="48"/>
      <c r="X79" s="37"/>
    </row>
    <row r="80" spans="8:24" hidden="1" x14ac:dyDescent="0.25">
      <c r="L80" s="31">
        <f t="shared" si="5"/>
        <v>1</v>
      </c>
      <c r="M80" s="31">
        <v>67</v>
      </c>
      <c r="N80" s="31">
        <f t="shared" si="6"/>
        <v>0</v>
      </c>
      <c r="O80" s="37">
        <f t="shared" si="7"/>
        <v>0</v>
      </c>
      <c r="P80" s="41">
        <f t="shared" si="9"/>
        <v>0</v>
      </c>
      <c r="Q80" s="37">
        <f t="shared" si="8"/>
        <v>0</v>
      </c>
      <c r="T80" s="42"/>
      <c r="U80" s="42"/>
      <c r="V80" s="42"/>
      <c r="W80" s="48"/>
      <c r="X80" s="37"/>
    </row>
    <row r="81" spans="12:24" hidden="1" x14ac:dyDescent="0.25">
      <c r="L81" s="31">
        <f t="shared" si="5"/>
        <v>2</v>
      </c>
      <c r="M81" s="31">
        <v>68</v>
      </c>
      <c r="N81" s="31">
        <f t="shared" si="6"/>
        <v>0</v>
      </c>
      <c r="O81" s="37">
        <f t="shared" si="7"/>
        <v>0</v>
      </c>
      <c r="P81" s="41">
        <f t="shared" si="9"/>
        <v>0</v>
      </c>
      <c r="Q81" s="37">
        <f t="shared" si="8"/>
        <v>0</v>
      </c>
      <c r="T81" s="42"/>
      <c r="U81" s="42"/>
      <c r="V81" s="42"/>
      <c r="W81" s="48"/>
      <c r="X81" s="37"/>
    </row>
    <row r="82" spans="12:24" hidden="1" x14ac:dyDescent="0.25">
      <c r="L82" s="31">
        <f t="shared" si="5"/>
        <v>3</v>
      </c>
      <c r="M82" s="31">
        <v>69</v>
      </c>
      <c r="N82" s="31">
        <f t="shared" si="6"/>
        <v>0</v>
      </c>
      <c r="O82" s="37">
        <f t="shared" si="7"/>
        <v>0</v>
      </c>
      <c r="P82" s="41">
        <f t="shared" si="9"/>
        <v>0</v>
      </c>
      <c r="Q82" s="37">
        <f t="shared" si="8"/>
        <v>0</v>
      </c>
      <c r="T82" s="42"/>
      <c r="U82" s="42"/>
      <c r="V82" s="42"/>
      <c r="W82" s="48"/>
      <c r="X82" s="37"/>
    </row>
    <row r="83" spans="12:24" hidden="1" x14ac:dyDescent="0.25">
      <c r="L83" s="31">
        <f t="shared" si="5"/>
        <v>4</v>
      </c>
      <c r="M83" s="31">
        <v>70</v>
      </c>
      <c r="N83" s="31">
        <f t="shared" si="6"/>
        <v>0</v>
      </c>
      <c r="O83" s="37">
        <f t="shared" si="7"/>
        <v>0</v>
      </c>
      <c r="P83" s="41">
        <f t="shared" si="9"/>
        <v>0</v>
      </c>
      <c r="Q83" s="37">
        <f t="shared" si="8"/>
        <v>0</v>
      </c>
      <c r="T83" s="42"/>
      <c r="U83" s="42"/>
      <c r="V83" s="42"/>
      <c r="W83" s="48"/>
      <c r="X83" s="37"/>
    </row>
    <row r="84" spans="12:24" hidden="1" x14ac:dyDescent="0.25">
      <c r="L84" s="31">
        <f t="shared" si="5"/>
        <v>5</v>
      </c>
      <c r="M84" s="31">
        <v>71</v>
      </c>
      <c r="N84" s="31">
        <f t="shared" si="6"/>
        <v>0</v>
      </c>
      <c r="O84" s="37">
        <f t="shared" si="7"/>
        <v>0</v>
      </c>
      <c r="P84" s="41">
        <f t="shared" si="9"/>
        <v>0</v>
      </c>
      <c r="Q84" s="37">
        <f t="shared" si="8"/>
        <v>0</v>
      </c>
      <c r="T84" s="42"/>
      <c r="U84" s="42"/>
      <c r="V84" s="42"/>
      <c r="W84" s="48"/>
      <c r="X84" s="37"/>
    </row>
    <row r="85" spans="12:24" hidden="1" x14ac:dyDescent="0.25">
      <c r="L85" s="31">
        <f t="shared" si="5"/>
        <v>0</v>
      </c>
      <c r="M85" s="31">
        <v>72</v>
      </c>
      <c r="N85" s="31">
        <f t="shared" si="6"/>
        <v>0</v>
      </c>
      <c r="O85" s="37">
        <f t="shared" si="7"/>
        <v>0</v>
      </c>
      <c r="P85" s="41">
        <f t="shared" si="9"/>
        <v>0</v>
      </c>
      <c r="Q85" s="37">
        <f t="shared" si="8"/>
        <v>0</v>
      </c>
      <c r="T85" s="42"/>
      <c r="U85" s="42"/>
      <c r="V85" s="42"/>
      <c r="W85" s="48"/>
      <c r="X85" s="37"/>
    </row>
    <row r="86" spans="12:24" hidden="1" x14ac:dyDescent="0.25">
      <c r="L86" s="31">
        <f t="shared" si="5"/>
        <v>1</v>
      </c>
      <c r="M86" s="31">
        <v>73</v>
      </c>
      <c r="N86" s="31">
        <f t="shared" si="6"/>
        <v>0</v>
      </c>
      <c r="O86" s="37">
        <f t="shared" si="7"/>
        <v>0</v>
      </c>
      <c r="P86" s="41">
        <f t="shared" si="9"/>
        <v>0</v>
      </c>
      <c r="Q86" s="37">
        <f t="shared" si="8"/>
        <v>0</v>
      </c>
      <c r="T86" s="42"/>
      <c r="U86" s="42"/>
      <c r="V86" s="42"/>
      <c r="W86" s="48"/>
      <c r="X86" s="37"/>
    </row>
    <row r="87" spans="12:24" hidden="1" x14ac:dyDescent="0.25">
      <c r="L87" s="31">
        <f t="shared" si="5"/>
        <v>2</v>
      </c>
      <c r="M87" s="31">
        <v>74</v>
      </c>
      <c r="N87" s="31">
        <f t="shared" si="6"/>
        <v>0</v>
      </c>
      <c r="O87" s="37">
        <f t="shared" si="7"/>
        <v>0</v>
      </c>
      <c r="P87" s="41">
        <f t="shared" si="9"/>
        <v>0</v>
      </c>
      <c r="Q87" s="37">
        <f t="shared" si="8"/>
        <v>0</v>
      </c>
      <c r="T87" s="42"/>
      <c r="U87" s="42"/>
      <c r="V87" s="42"/>
      <c r="W87" s="48"/>
      <c r="X87" s="37"/>
    </row>
    <row r="88" spans="12:24" hidden="1" x14ac:dyDescent="0.25">
      <c r="L88" s="31">
        <f t="shared" si="5"/>
        <v>3</v>
      </c>
      <c r="M88" s="31">
        <v>75</v>
      </c>
      <c r="N88" s="31">
        <f t="shared" si="6"/>
        <v>0</v>
      </c>
      <c r="O88" s="37">
        <f t="shared" si="7"/>
        <v>0</v>
      </c>
      <c r="P88" s="41">
        <f t="shared" si="9"/>
        <v>0</v>
      </c>
      <c r="Q88" s="37">
        <f t="shared" si="8"/>
        <v>0</v>
      </c>
      <c r="T88" s="42"/>
      <c r="U88" s="42"/>
      <c r="V88" s="42"/>
      <c r="W88" s="48"/>
      <c r="X88" s="37"/>
    </row>
    <row r="89" spans="12:24" hidden="1" x14ac:dyDescent="0.25">
      <c r="L89" s="31">
        <f t="shared" si="5"/>
        <v>4</v>
      </c>
      <c r="M89" s="31">
        <v>76</v>
      </c>
      <c r="N89" s="31">
        <f t="shared" si="6"/>
        <v>0</v>
      </c>
      <c r="O89" s="37">
        <f t="shared" si="7"/>
        <v>0</v>
      </c>
      <c r="P89" s="41">
        <f t="shared" si="9"/>
        <v>0</v>
      </c>
      <c r="Q89" s="37">
        <f t="shared" si="8"/>
        <v>0</v>
      </c>
      <c r="T89" s="42"/>
      <c r="U89" s="42"/>
      <c r="V89" s="42"/>
      <c r="W89" s="48"/>
      <c r="X89" s="37"/>
    </row>
    <row r="90" spans="12:24" hidden="1" x14ac:dyDescent="0.25">
      <c r="L90" s="31">
        <f t="shared" si="5"/>
        <v>5</v>
      </c>
      <c r="M90" s="31">
        <v>77</v>
      </c>
      <c r="N90" s="31">
        <f t="shared" si="6"/>
        <v>0</v>
      </c>
      <c r="O90" s="37">
        <f t="shared" si="7"/>
        <v>0</v>
      </c>
      <c r="P90" s="41">
        <f t="shared" si="9"/>
        <v>0</v>
      </c>
      <c r="Q90" s="37">
        <f t="shared" si="8"/>
        <v>0</v>
      </c>
      <c r="T90" s="42"/>
      <c r="U90" s="42"/>
      <c r="V90" s="42"/>
      <c r="W90" s="48"/>
      <c r="X90" s="37"/>
    </row>
    <row r="91" spans="12:24" hidden="1" x14ac:dyDescent="0.25">
      <c r="L91" s="31">
        <f t="shared" si="5"/>
        <v>0</v>
      </c>
      <c r="M91" s="31">
        <v>78</v>
      </c>
      <c r="N91" s="31">
        <f t="shared" si="6"/>
        <v>0</v>
      </c>
      <c r="O91" s="37">
        <f t="shared" si="7"/>
        <v>0</v>
      </c>
      <c r="P91" s="41">
        <f t="shared" si="9"/>
        <v>0</v>
      </c>
      <c r="Q91" s="37">
        <f t="shared" si="8"/>
        <v>0</v>
      </c>
      <c r="T91" s="42"/>
      <c r="U91" s="42"/>
      <c r="V91" s="42"/>
      <c r="W91" s="48"/>
      <c r="X91" s="37"/>
    </row>
    <row r="92" spans="12:24" hidden="1" x14ac:dyDescent="0.25">
      <c r="L92" s="31">
        <f t="shared" si="5"/>
        <v>1</v>
      </c>
      <c r="M92" s="31">
        <v>79</v>
      </c>
      <c r="N92" s="31">
        <f t="shared" si="6"/>
        <v>0</v>
      </c>
      <c r="O92" s="37">
        <f t="shared" si="7"/>
        <v>0</v>
      </c>
      <c r="P92" s="41">
        <f t="shared" si="9"/>
        <v>0</v>
      </c>
      <c r="Q92" s="37">
        <f t="shared" si="8"/>
        <v>0</v>
      </c>
      <c r="T92" s="42"/>
      <c r="U92" s="42"/>
      <c r="V92" s="42"/>
      <c r="W92" s="48"/>
      <c r="X92" s="37"/>
    </row>
    <row r="93" spans="12:24" hidden="1" x14ac:dyDescent="0.25">
      <c r="L93" s="31">
        <f t="shared" si="5"/>
        <v>2</v>
      </c>
      <c r="M93" s="31">
        <v>80</v>
      </c>
      <c r="N93" s="31">
        <f t="shared" si="6"/>
        <v>0</v>
      </c>
      <c r="O93" s="37">
        <f t="shared" si="7"/>
        <v>0</v>
      </c>
      <c r="P93" s="41">
        <f t="shared" si="9"/>
        <v>0</v>
      </c>
      <c r="Q93" s="37">
        <f t="shared" si="8"/>
        <v>0</v>
      </c>
      <c r="T93" s="42"/>
      <c r="U93" s="42"/>
      <c r="V93" s="42"/>
      <c r="W93" s="48"/>
      <c r="X93" s="37"/>
    </row>
    <row r="94" spans="12:24" hidden="1" x14ac:dyDescent="0.25">
      <c r="L94" s="31">
        <f t="shared" si="5"/>
        <v>3</v>
      </c>
      <c r="M94" s="31">
        <v>81</v>
      </c>
      <c r="N94" s="31">
        <f t="shared" si="6"/>
        <v>0</v>
      </c>
      <c r="O94" s="37">
        <f t="shared" si="7"/>
        <v>0</v>
      </c>
      <c r="P94" s="41">
        <f t="shared" si="9"/>
        <v>0</v>
      </c>
      <c r="Q94" s="37">
        <f t="shared" si="8"/>
        <v>0</v>
      </c>
      <c r="T94" s="42"/>
      <c r="U94" s="42"/>
      <c r="V94" s="42"/>
      <c r="W94" s="48"/>
      <c r="X94" s="37"/>
    </row>
    <row r="95" spans="12:24" hidden="1" x14ac:dyDescent="0.25">
      <c r="L95" s="31">
        <f t="shared" si="5"/>
        <v>4</v>
      </c>
      <c r="M95" s="31">
        <v>82</v>
      </c>
      <c r="N95" s="31">
        <f t="shared" si="6"/>
        <v>0</v>
      </c>
      <c r="O95" s="37">
        <f t="shared" si="7"/>
        <v>0</v>
      </c>
      <c r="P95" s="41">
        <f t="shared" si="9"/>
        <v>0</v>
      </c>
      <c r="Q95" s="37">
        <f t="shared" si="8"/>
        <v>0</v>
      </c>
      <c r="T95" s="42"/>
      <c r="U95" s="42"/>
      <c r="V95" s="42"/>
      <c r="W95" s="48"/>
      <c r="X95" s="37"/>
    </row>
    <row r="96" spans="12:24" hidden="1" x14ac:dyDescent="0.25">
      <c r="L96" s="31">
        <f t="shared" si="5"/>
        <v>5</v>
      </c>
      <c r="M96" s="31">
        <v>83</v>
      </c>
      <c r="N96" s="31">
        <f t="shared" si="6"/>
        <v>0</v>
      </c>
      <c r="O96" s="37">
        <f t="shared" si="7"/>
        <v>0</v>
      </c>
      <c r="P96" s="41">
        <f t="shared" si="9"/>
        <v>0</v>
      </c>
      <c r="Q96" s="37">
        <f t="shared" si="8"/>
        <v>0</v>
      </c>
      <c r="T96" s="42"/>
      <c r="U96" s="42"/>
      <c r="V96" s="42"/>
      <c r="W96" s="48"/>
      <c r="X96" s="37"/>
    </row>
    <row r="97" spans="12:24" hidden="1" x14ac:dyDescent="0.25">
      <c r="L97" s="31">
        <f t="shared" si="5"/>
        <v>0</v>
      </c>
      <c r="M97" s="31">
        <v>84</v>
      </c>
      <c r="N97" s="31">
        <f t="shared" si="6"/>
        <v>0</v>
      </c>
      <c r="O97" s="37">
        <f t="shared" si="7"/>
        <v>0</v>
      </c>
      <c r="P97" s="41">
        <f t="shared" si="9"/>
        <v>0</v>
      </c>
      <c r="Q97" s="37">
        <f t="shared" si="8"/>
        <v>0</v>
      </c>
      <c r="T97" s="42"/>
      <c r="U97" s="42"/>
      <c r="V97" s="42"/>
      <c r="W97" s="48"/>
      <c r="X97" s="37"/>
    </row>
    <row r="98" spans="12:24" hidden="1" x14ac:dyDescent="0.25">
      <c r="L98" s="31">
        <f t="shared" si="5"/>
        <v>1</v>
      </c>
      <c r="M98" s="31">
        <v>85</v>
      </c>
      <c r="N98" s="31">
        <f t="shared" si="6"/>
        <v>0</v>
      </c>
      <c r="O98" s="37">
        <f t="shared" si="7"/>
        <v>0</v>
      </c>
      <c r="P98" s="41">
        <f t="shared" si="9"/>
        <v>0</v>
      </c>
      <c r="Q98" s="37">
        <f t="shared" si="8"/>
        <v>0</v>
      </c>
      <c r="T98" s="42"/>
      <c r="U98" s="42"/>
      <c r="V98" s="42"/>
      <c r="W98" s="48"/>
      <c r="X98" s="37"/>
    </row>
    <row r="99" spans="12:24" hidden="1" x14ac:dyDescent="0.25">
      <c r="L99" s="31">
        <f t="shared" si="5"/>
        <v>2</v>
      </c>
      <c r="M99" s="31">
        <v>86</v>
      </c>
      <c r="N99" s="31">
        <f t="shared" si="6"/>
        <v>0</v>
      </c>
      <c r="O99" s="37">
        <f t="shared" si="7"/>
        <v>0</v>
      </c>
      <c r="P99" s="41">
        <f t="shared" si="9"/>
        <v>0</v>
      </c>
      <c r="Q99" s="37">
        <f t="shared" si="8"/>
        <v>0</v>
      </c>
      <c r="T99" s="42"/>
      <c r="U99" s="42"/>
      <c r="V99" s="42"/>
      <c r="W99" s="48"/>
      <c r="X99" s="37"/>
    </row>
    <row r="100" spans="12:24" hidden="1" x14ac:dyDescent="0.25">
      <c r="L100" s="31">
        <f t="shared" si="5"/>
        <v>3</v>
      </c>
      <c r="M100" s="31">
        <v>87</v>
      </c>
      <c r="N100" s="31">
        <f t="shared" si="6"/>
        <v>0</v>
      </c>
      <c r="O100" s="37">
        <f t="shared" si="7"/>
        <v>0</v>
      </c>
      <c r="P100" s="41">
        <f t="shared" si="9"/>
        <v>0</v>
      </c>
      <c r="Q100" s="37">
        <f t="shared" si="8"/>
        <v>0</v>
      </c>
      <c r="T100" s="42"/>
      <c r="U100" s="42"/>
      <c r="V100" s="42"/>
      <c r="W100" s="48"/>
      <c r="X100" s="37"/>
    </row>
    <row r="101" spans="12:24" hidden="1" x14ac:dyDescent="0.25">
      <c r="L101" s="31">
        <f t="shared" si="5"/>
        <v>4</v>
      </c>
      <c r="M101" s="31">
        <v>88</v>
      </c>
      <c r="N101" s="31">
        <f t="shared" si="6"/>
        <v>0</v>
      </c>
      <c r="O101" s="37">
        <f t="shared" si="7"/>
        <v>0</v>
      </c>
      <c r="P101" s="41">
        <f t="shared" si="9"/>
        <v>0</v>
      </c>
      <c r="Q101" s="37">
        <f t="shared" si="8"/>
        <v>0</v>
      </c>
      <c r="T101" s="42"/>
      <c r="U101" s="42"/>
      <c r="V101" s="42"/>
      <c r="W101" s="48"/>
      <c r="X101" s="37"/>
    </row>
    <row r="102" spans="12:24" hidden="1" x14ac:dyDescent="0.25">
      <c r="L102" s="31">
        <f t="shared" si="5"/>
        <v>5</v>
      </c>
      <c r="M102" s="31">
        <v>89</v>
      </c>
      <c r="N102" s="31">
        <f t="shared" si="6"/>
        <v>0</v>
      </c>
      <c r="O102" s="37">
        <f t="shared" si="7"/>
        <v>0</v>
      </c>
      <c r="P102" s="41">
        <f t="shared" si="9"/>
        <v>0</v>
      </c>
      <c r="Q102" s="37">
        <f t="shared" si="8"/>
        <v>0</v>
      </c>
      <c r="T102" s="42"/>
      <c r="U102" s="42"/>
      <c r="V102" s="42"/>
      <c r="W102" s="48"/>
      <c r="X102" s="37"/>
    </row>
    <row r="103" spans="12:24" hidden="1" x14ac:dyDescent="0.25">
      <c r="L103" s="31">
        <f t="shared" si="5"/>
        <v>0</v>
      </c>
      <c r="M103" s="31">
        <v>90</v>
      </c>
      <c r="N103" s="31">
        <f t="shared" si="6"/>
        <v>0</v>
      </c>
      <c r="O103" s="37">
        <f t="shared" si="7"/>
        <v>0</v>
      </c>
      <c r="P103" s="41">
        <f t="shared" si="9"/>
        <v>0</v>
      </c>
      <c r="Q103" s="37">
        <f t="shared" si="8"/>
        <v>0</v>
      </c>
      <c r="T103" s="42"/>
      <c r="U103" s="42"/>
      <c r="V103" s="42"/>
      <c r="W103" s="48"/>
      <c r="X103" s="37"/>
    </row>
    <row r="104" spans="12:24" hidden="1" x14ac:dyDescent="0.25">
      <c r="L104" s="31">
        <f t="shared" si="5"/>
        <v>1</v>
      </c>
      <c r="M104" s="31">
        <v>91</v>
      </c>
      <c r="N104" s="31">
        <f t="shared" si="6"/>
        <v>0</v>
      </c>
      <c r="O104" s="37">
        <f t="shared" si="7"/>
        <v>0</v>
      </c>
      <c r="P104" s="41">
        <f t="shared" si="9"/>
        <v>0</v>
      </c>
      <c r="Q104" s="37">
        <f t="shared" si="8"/>
        <v>0</v>
      </c>
      <c r="T104" s="42"/>
      <c r="U104" s="42"/>
      <c r="V104" s="42"/>
      <c r="W104" s="48"/>
      <c r="X104" s="37"/>
    </row>
    <row r="105" spans="12:24" hidden="1" x14ac:dyDescent="0.25">
      <c r="L105" s="31">
        <f t="shared" si="5"/>
        <v>2</v>
      </c>
      <c r="M105" s="31">
        <v>92</v>
      </c>
      <c r="N105" s="31">
        <f t="shared" si="6"/>
        <v>0</v>
      </c>
      <c r="O105" s="37">
        <f t="shared" si="7"/>
        <v>0</v>
      </c>
      <c r="P105" s="41">
        <f t="shared" si="9"/>
        <v>0</v>
      </c>
      <c r="Q105" s="37">
        <f t="shared" si="8"/>
        <v>0</v>
      </c>
      <c r="T105" s="42"/>
      <c r="U105" s="42"/>
      <c r="V105" s="42"/>
      <c r="W105" s="48"/>
      <c r="X105" s="37"/>
    </row>
    <row r="106" spans="12:24" hidden="1" x14ac:dyDescent="0.25">
      <c r="L106" s="31">
        <f t="shared" si="5"/>
        <v>3</v>
      </c>
      <c r="M106" s="31">
        <v>93</v>
      </c>
      <c r="N106" s="31">
        <f t="shared" si="6"/>
        <v>0</v>
      </c>
      <c r="O106" s="37">
        <f t="shared" si="7"/>
        <v>0</v>
      </c>
      <c r="P106" s="41">
        <f t="shared" si="9"/>
        <v>0</v>
      </c>
      <c r="Q106" s="37">
        <f t="shared" si="8"/>
        <v>0</v>
      </c>
      <c r="T106" s="42"/>
      <c r="U106" s="42"/>
      <c r="V106" s="42"/>
      <c r="W106" s="48"/>
      <c r="X106" s="37"/>
    </row>
    <row r="107" spans="12:24" hidden="1" x14ac:dyDescent="0.25">
      <c r="L107" s="31">
        <f t="shared" si="5"/>
        <v>4</v>
      </c>
      <c r="M107" s="31">
        <v>94</v>
      </c>
      <c r="N107" s="31">
        <f t="shared" si="6"/>
        <v>0</v>
      </c>
      <c r="O107" s="37">
        <f t="shared" si="7"/>
        <v>0</v>
      </c>
      <c r="P107" s="41">
        <f t="shared" si="9"/>
        <v>0</v>
      </c>
      <c r="Q107" s="37">
        <f t="shared" si="8"/>
        <v>0</v>
      </c>
      <c r="T107" s="42"/>
      <c r="U107" s="42"/>
      <c r="V107" s="42"/>
      <c r="W107" s="48"/>
      <c r="X107" s="37"/>
    </row>
    <row r="108" spans="12:24" hidden="1" x14ac:dyDescent="0.25">
      <c r="L108" s="31">
        <f t="shared" si="5"/>
        <v>5</v>
      </c>
      <c r="M108" s="31">
        <v>95</v>
      </c>
      <c r="N108" s="31">
        <f t="shared" si="6"/>
        <v>0</v>
      </c>
      <c r="O108" s="37">
        <f t="shared" si="7"/>
        <v>0</v>
      </c>
      <c r="P108" s="41">
        <f t="shared" si="9"/>
        <v>0</v>
      </c>
      <c r="Q108" s="37">
        <f t="shared" si="8"/>
        <v>0</v>
      </c>
      <c r="T108" s="42"/>
      <c r="U108" s="42"/>
      <c r="V108" s="42"/>
      <c r="W108" s="48"/>
      <c r="X108" s="37"/>
    </row>
    <row r="109" spans="12:24" hidden="1" x14ac:dyDescent="0.25">
      <c r="L109" s="31">
        <f t="shared" si="5"/>
        <v>0</v>
      </c>
      <c r="M109" s="31">
        <v>96</v>
      </c>
      <c r="N109" s="31">
        <f t="shared" si="6"/>
        <v>0</v>
      </c>
      <c r="O109" s="37">
        <f t="shared" si="7"/>
        <v>0</v>
      </c>
      <c r="P109" s="41">
        <f t="shared" si="9"/>
        <v>0</v>
      </c>
      <c r="Q109" s="37">
        <f t="shared" si="8"/>
        <v>0</v>
      </c>
      <c r="T109" s="42"/>
      <c r="U109" s="42"/>
      <c r="V109" s="42"/>
      <c r="W109" s="48"/>
      <c r="X109" s="37"/>
    </row>
    <row r="110" spans="12:24" hidden="1" x14ac:dyDescent="0.25">
      <c r="L110" s="31">
        <f t="shared" si="5"/>
        <v>1</v>
      </c>
      <c r="M110" s="31">
        <v>97</v>
      </c>
      <c r="N110" s="31">
        <f t="shared" si="6"/>
        <v>0</v>
      </c>
      <c r="O110" s="37">
        <f t="shared" si="7"/>
        <v>0</v>
      </c>
      <c r="P110" s="41">
        <f t="shared" si="9"/>
        <v>0</v>
      </c>
      <c r="Q110" s="37">
        <f t="shared" si="8"/>
        <v>0</v>
      </c>
      <c r="T110" s="42"/>
      <c r="U110" s="42"/>
      <c r="V110" s="42"/>
      <c r="W110" s="48"/>
      <c r="X110" s="37"/>
    </row>
    <row r="111" spans="12:24" hidden="1" x14ac:dyDescent="0.25">
      <c r="L111" s="31">
        <f t="shared" si="5"/>
        <v>2</v>
      </c>
      <c r="M111" s="31">
        <v>98</v>
      </c>
      <c r="N111" s="31">
        <f t="shared" si="6"/>
        <v>0</v>
      </c>
      <c r="O111" s="37">
        <f t="shared" si="7"/>
        <v>0</v>
      </c>
      <c r="P111" s="41">
        <f t="shared" si="9"/>
        <v>0</v>
      </c>
      <c r="Q111" s="37">
        <f t="shared" si="8"/>
        <v>0</v>
      </c>
      <c r="T111" s="42"/>
      <c r="U111" s="42"/>
      <c r="V111" s="42"/>
      <c r="W111" s="48"/>
      <c r="X111" s="37"/>
    </row>
    <row r="112" spans="12:24" hidden="1" x14ac:dyDescent="0.25">
      <c r="L112" s="31">
        <f t="shared" si="5"/>
        <v>3</v>
      </c>
      <c r="M112" s="31">
        <v>99</v>
      </c>
      <c r="N112" s="31">
        <f t="shared" si="6"/>
        <v>0</v>
      </c>
      <c r="O112" s="37">
        <f t="shared" si="7"/>
        <v>0</v>
      </c>
      <c r="P112" s="41">
        <f t="shared" si="9"/>
        <v>0</v>
      </c>
      <c r="Q112" s="37">
        <f t="shared" si="8"/>
        <v>0</v>
      </c>
      <c r="T112" s="42"/>
      <c r="U112" s="42"/>
      <c r="V112" s="42"/>
      <c r="W112" s="48"/>
      <c r="X112" s="37"/>
    </row>
    <row r="113" spans="12:24" hidden="1" x14ac:dyDescent="0.25">
      <c r="L113" s="31">
        <f t="shared" si="5"/>
        <v>4</v>
      </c>
      <c r="M113" s="31">
        <v>100</v>
      </c>
      <c r="N113" s="31">
        <f t="shared" si="6"/>
        <v>0</v>
      </c>
      <c r="O113" s="37">
        <f t="shared" si="7"/>
        <v>0</v>
      </c>
      <c r="P113" s="41">
        <f t="shared" si="9"/>
        <v>0</v>
      </c>
      <c r="Q113" s="37">
        <f t="shared" si="8"/>
        <v>0</v>
      </c>
      <c r="T113" s="42"/>
      <c r="U113" s="42"/>
      <c r="V113" s="42"/>
      <c r="W113" s="48"/>
      <c r="X113" s="37"/>
    </row>
    <row r="114" spans="12:24" hidden="1" x14ac:dyDescent="0.25">
      <c r="L114" s="31">
        <f t="shared" si="5"/>
        <v>5</v>
      </c>
      <c r="M114" s="31">
        <v>101</v>
      </c>
      <c r="N114" s="31">
        <f t="shared" si="6"/>
        <v>0</v>
      </c>
      <c r="O114" s="37">
        <f t="shared" si="7"/>
        <v>0</v>
      </c>
      <c r="P114" s="41">
        <f t="shared" si="9"/>
        <v>0</v>
      </c>
      <c r="Q114" s="37">
        <f t="shared" si="8"/>
        <v>0</v>
      </c>
      <c r="T114" s="42"/>
      <c r="U114" s="42"/>
      <c r="V114" s="42"/>
      <c r="W114" s="48"/>
      <c r="X114" s="37"/>
    </row>
    <row r="115" spans="12:24" hidden="1" x14ac:dyDescent="0.25">
      <c r="L115" s="31">
        <f t="shared" si="5"/>
        <v>0</v>
      </c>
      <c r="M115" s="31">
        <v>102</v>
      </c>
      <c r="N115" s="31">
        <f t="shared" si="6"/>
        <v>0</v>
      </c>
      <c r="O115" s="37">
        <f t="shared" si="7"/>
        <v>0</v>
      </c>
      <c r="P115" s="41">
        <f t="shared" si="9"/>
        <v>0</v>
      </c>
      <c r="Q115" s="37">
        <f t="shared" si="8"/>
        <v>0</v>
      </c>
      <c r="T115" s="42"/>
      <c r="U115" s="42"/>
      <c r="V115" s="42"/>
      <c r="W115" s="48"/>
      <c r="X115" s="37"/>
    </row>
    <row r="116" spans="12:24" hidden="1" x14ac:dyDescent="0.25">
      <c r="L116" s="31">
        <f t="shared" si="5"/>
        <v>1</v>
      </c>
      <c r="M116" s="31">
        <v>103</v>
      </c>
      <c r="N116" s="31">
        <f t="shared" si="6"/>
        <v>0</v>
      </c>
      <c r="O116" s="37">
        <f t="shared" si="7"/>
        <v>0</v>
      </c>
      <c r="P116" s="41">
        <f t="shared" si="9"/>
        <v>0</v>
      </c>
      <c r="Q116" s="37">
        <f t="shared" si="8"/>
        <v>0</v>
      </c>
      <c r="T116" s="42"/>
      <c r="U116" s="42"/>
      <c r="V116" s="42"/>
      <c r="W116" s="48"/>
      <c r="X116" s="37"/>
    </row>
    <row r="117" spans="12:24" hidden="1" x14ac:dyDescent="0.25">
      <c r="L117" s="31">
        <f t="shared" si="5"/>
        <v>2</v>
      </c>
      <c r="M117" s="31">
        <v>104</v>
      </c>
      <c r="N117" s="31">
        <f t="shared" si="6"/>
        <v>0</v>
      </c>
      <c r="O117" s="37">
        <f t="shared" si="7"/>
        <v>0</v>
      </c>
      <c r="P117" s="41">
        <f t="shared" si="9"/>
        <v>0</v>
      </c>
      <c r="Q117" s="37">
        <f t="shared" si="8"/>
        <v>0</v>
      </c>
      <c r="T117" s="42"/>
      <c r="U117" s="42"/>
      <c r="V117" s="42"/>
      <c r="W117" s="48"/>
      <c r="X117" s="37"/>
    </row>
    <row r="118" spans="12:24" hidden="1" x14ac:dyDescent="0.25">
      <c r="L118" s="31">
        <f t="shared" si="5"/>
        <v>3</v>
      </c>
      <c r="M118" s="31">
        <v>105</v>
      </c>
      <c r="N118" s="31">
        <f t="shared" si="6"/>
        <v>0</v>
      </c>
      <c r="O118" s="37">
        <f t="shared" si="7"/>
        <v>0</v>
      </c>
      <c r="P118" s="41">
        <f t="shared" si="9"/>
        <v>0</v>
      </c>
      <c r="Q118" s="37">
        <f t="shared" si="8"/>
        <v>0</v>
      </c>
      <c r="T118" s="42"/>
      <c r="U118" s="42"/>
      <c r="V118" s="42"/>
      <c r="W118" s="48"/>
      <c r="X118" s="37"/>
    </row>
    <row r="119" spans="12:24" hidden="1" x14ac:dyDescent="0.25">
      <c r="L119" s="31">
        <f t="shared" si="5"/>
        <v>4</v>
      </c>
      <c r="M119" s="31">
        <v>106</v>
      </c>
      <c r="N119" s="31">
        <f t="shared" si="6"/>
        <v>0</v>
      </c>
      <c r="O119" s="37">
        <f t="shared" si="7"/>
        <v>0</v>
      </c>
      <c r="P119" s="41">
        <f t="shared" si="9"/>
        <v>0</v>
      </c>
      <c r="Q119" s="37">
        <f t="shared" si="8"/>
        <v>0</v>
      </c>
      <c r="T119" s="42"/>
      <c r="U119" s="42"/>
      <c r="V119" s="42"/>
      <c r="W119" s="48"/>
      <c r="X119" s="37"/>
    </row>
    <row r="120" spans="12:24" hidden="1" x14ac:dyDescent="0.25">
      <c r="L120" s="31">
        <f t="shared" si="5"/>
        <v>5</v>
      </c>
      <c r="M120" s="31">
        <v>107</v>
      </c>
      <c r="N120" s="31">
        <f t="shared" si="6"/>
        <v>0</v>
      </c>
      <c r="O120" s="37">
        <f t="shared" si="7"/>
        <v>0</v>
      </c>
      <c r="P120" s="41">
        <f t="shared" si="9"/>
        <v>0</v>
      </c>
      <c r="Q120" s="37">
        <f t="shared" si="8"/>
        <v>0</v>
      </c>
      <c r="T120" s="42"/>
      <c r="U120" s="42"/>
      <c r="V120" s="42"/>
      <c r="W120" s="48"/>
      <c r="X120" s="37"/>
    </row>
    <row r="121" spans="12:24" hidden="1" x14ac:dyDescent="0.25">
      <c r="L121" s="31">
        <f t="shared" si="5"/>
        <v>0</v>
      </c>
      <c r="M121" s="31">
        <v>108</v>
      </c>
      <c r="N121" s="31">
        <f t="shared" si="6"/>
        <v>0</v>
      </c>
      <c r="O121" s="37">
        <f t="shared" si="7"/>
        <v>0</v>
      </c>
      <c r="P121" s="41">
        <f t="shared" si="9"/>
        <v>0</v>
      </c>
      <c r="Q121" s="37">
        <f t="shared" si="8"/>
        <v>0</v>
      </c>
      <c r="T121" s="42"/>
      <c r="U121" s="42"/>
      <c r="V121" s="42"/>
      <c r="W121" s="48"/>
      <c r="X121" s="37"/>
    </row>
    <row r="122" spans="12:24" hidden="1" x14ac:dyDescent="0.25">
      <c r="L122" s="31">
        <f t="shared" si="5"/>
        <v>1</v>
      </c>
      <c r="M122" s="31">
        <v>109</v>
      </c>
      <c r="N122" s="31">
        <f t="shared" si="6"/>
        <v>0</v>
      </c>
      <c r="O122" s="37">
        <f t="shared" si="7"/>
        <v>0</v>
      </c>
      <c r="P122" s="41">
        <f t="shared" si="9"/>
        <v>0</v>
      </c>
      <c r="Q122" s="37">
        <f t="shared" si="8"/>
        <v>0</v>
      </c>
      <c r="T122" s="42"/>
      <c r="U122" s="42"/>
      <c r="V122" s="42"/>
      <c r="W122" s="48"/>
      <c r="X122" s="37"/>
    </row>
    <row r="123" spans="12:24" hidden="1" x14ac:dyDescent="0.25">
      <c r="L123" s="31">
        <f t="shared" si="5"/>
        <v>2</v>
      </c>
      <c r="M123" s="31">
        <v>110</v>
      </c>
      <c r="N123" s="31">
        <f t="shared" si="6"/>
        <v>0</v>
      </c>
      <c r="O123" s="37">
        <f t="shared" si="7"/>
        <v>0</v>
      </c>
      <c r="P123" s="41">
        <f t="shared" si="9"/>
        <v>0</v>
      </c>
      <c r="Q123" s="37">
        <f t="shared" si="8"/>
        <v>0</v>
      </c>
      <c r="T123" s="42"/>
      <c r="U123" s="42"/>
      <c r="V123" s="42"/>
      <c r="W123" s="48"/>
      <c r="X123" s="37"/>
    </row>
    <row r="124" spans="12:24" hidden="1" x14ac:dyDescent="0.25">
      <c r="L124" s="31">
        <f t="shared" si="5"/>
        <v>3</v>
      </c>
      <c r="M124" s="31">
        <v>111</v>
      </c>
      <c r="N124" s="31">
        <f t="shared" si="6"/>
        <v>0</v>
      </c>
      <c r="O124" s="37">
        <f t="shared" si="7"/>
        <v>0</v>
      </c>
      <c r="P124" s="41">
        <f t="shared" si="9"/>
        <v>0</v>
      </c>
      <c r="Q124" s="37">
        <f t="shared" si="8"/>
        <v>0</v>
      </c>
      <c r="T124" s="42"/>
      <c r="U124" s="42"/>
      <c r="V124" s="42"/>
      <c r="W124" s="48"/>
      <c r="X124" s="37"/>
    </row>
    <row r="125" spans="12:24" hidden="1" x14ac:dyDescent="0.25">
      <c r="L125" s="31">
        <f t="shared" si="5"/>
        <v>4</v>
      </c>
      <c r="M125" s="31">
        <v>112</v>
      </c>
      <c r="N125" s="31">
        <f t="shared" si="6"/>
        <v>0</v>
      </c>
      <c r="O125" s="37">
        <f t="shared" si="7"/>
        <v>0</v>
      </c>
      <c r="P125" s="41">
        <f t="shared" si="9"/>
        <v>0</v>
      </c>
      <c r="Q125" s="37">
        <f t="shared" si="8"/>
        <v>0</v>
      </c>
      <c r="T125" s="42"/>
      <c r="U125" s="42"/>
      <c r="V125" s="42"/>
      <c r="W125" s="48"/>
      <c r="X125" s="37"/>
    </row>
    <row r="126" spans="12:24" hidden="1" x14ac:dyDescent="0.25">
      <c r="L126" s="31">
        <f t="shared" si="5"/>
        <v>5</v>
      </c>
      <c r="M126" s="31">
        <v>113</v>
      </c>
      <c r="N126" s="31">
        <f t="shared" si="6"/>
        <v>0</v>
      </c>
      <c r="O126" s="37">
        <f t="shared" si="7"/>
        <v>0</v>
      </c>
      <c r="P126" s="41">
        <f t="shared" si="9"/>
        <v>0</v>
      </c>
      <c r="Q126" s="37">
        <f t="shared" si="8"/>
        <v>0</v>
      </c>
      <c r="T126" s="42"/>
      <c r="U126" s="42"/>
      <c r="V126" s="42"/>
      <c r="W126" s="48"/>
      <c r="X126" s="37"/>
    </row>
    <row r="127" spans="12:24" hidden="1" x14ac:dyDescent="0.25">
      <c r="L127" s="31">
        <f t="shared" si="5"/>
        <v>0</v>
      </c>
      <c r="M127" s="31">
        <v>114</v>
      </c>
      <c r="N127" s="31">
        <f t="shared" si="6"/>
        <v>0</v>
      </c>
      <c r="O127" s="37">
        <f t="shared" si="7"/>
        <v>0</v>
      </c>
      <c r="P127" s="41">
        <f t="shared" si="9"/>
        <v>0</v>
      </c>
      <c r="Q127" s="37">
        <f t="shared" si="8"/>
        <v>0</v>
      </c>
      <c r="T127" s="42"/>
      <c r="U127" s="42"/>
      <c r="V127" s="42"/>
      <c r="W127" s="48"/>
      <c r="X127" s="37"/>
    </row>
    <row r="128" spans="12:24" hidden="1" x14ac:dyDescent="0.25">
      <c r="L128" s="31">
        <f t="shared" si="5"/>
        <v>1</v>
      </c>
      <c r="M128" s="31">
        <v>115</v>
      </c>
      <c r="N128" s="31">
        <f t="shared" si="6"/>
        <v>0</v>
      </c>
      <c r="O128" s="37">
        <f t="shared" si="7"/>
        <v>0</v>
      </c>
      <c r="P128" s="41">
        <f t="shared" si="9"/>
        <v>0</v>
      </c>
      <c r="Q128" s="37">
        <f t="shared" si="8"/>
        <v>0</v>
      </c>
      <c r="T128" s="42"/>
      <c r="U128" s="42"/>
      <c r="V128" s="42"/>
      <c r="W128" s="48"/>
      <c r="X128" s="37"/>
    </row>
    <row r="129" spans="12:24" hidden="1" x14ac:dyDescent="0.25">
      <c r="L129" s="31">
        <f t="shared" si="5"/>
        <v>2</v>
      </c>
      <c r="M129" s="31">
        <v>116</v>
      </c>
      <c r="N129" s="31">
        <f t="shared" si="6"/>
        <v>0</v>
      </c>
      <c r="O129" s="37">
        <f t="shared" si="7"/>
        <v>0</v>
      </c>
      <c r="P129" s="41">
        <f t="shared" si="9"/>
        <v>0</v>
      </c>
      <c r="Q129" s="37">
        <f t="shared" si="8"/>
        <v>0</v>
      </c>
      <c r="T129" s="42"/>
      <c r="U129" s="42"/>
      <c r="V129" s="42"/>
      <c r="W129" s="48"/>
      <c r="X129" s="37"/>
    </row>
    <row r="130" spans="12:24" hidden="1" x14ac:dyDescent="0.25">
      <c r="L130" s="31">
        <f t="shared" si="5"/>
        <v>3</v>
      </c>
      <c r="M130" s="31">
        <v>117</v>
      </c>
      <c r="N130" s="31">
        <f t="shared" si="6"/>
        <v>0</v>
      </c>
      <c r="O130" s="37">
        <f t="shared" si="7"/>
        <v>0</v>
      </c>
      <c r="P130" s="41">
        <f t="shared" si="9"/>
        <v>0</v>
      </c>
      <c r="Q130" s="37">
        <f t="shared" si="8"/>
        <v>0</v>
      </c>
      <c r="T130" s="42"/>
      <c r="U130" s="42"/>
      <c r="V130" s="42"/>
      <c r="W130" s="48"/>
      <c r="X130" s="37"/>
    </row>
    <row r="131" spans="12:24" hidden="1" x14ac:dyDescent="0.25">
      <c r="L131" s="31">
        <f t="shared" si="5"/>
        <v>4</v>
      </c>
      <c r="M131" s="31">
        <v>118</v>
      </c>
      <c r="N131" s="31">
        <f t="shared" si="6"/>
        <v>0</v>
      </c>
      <c r="O131" s="37">
        <f t="shared" si="7"/>
        <v>0</v>
      </c>
      <c r="P131" s="41">
        <f t="shared" si="9"/>
        <v>0</v>
      </c>
      <c r="Q131" s="37">
        <f t="shared" si="8"/>
        <v>0</v>
      </c>
      <c r="T131" s="42"/>
      <c r="U131" s="42"/>
      <c r="V131" s="42"/>
      <c r="W131" s="48"/>
      <c r="X131" s="37"/>
    </row>
    <row r="132" spans="12:24" hidden="1" x14ac:dyDescent="0.25">
      <c r="L132" s="31">
        <f t="shared" si="5"/>
        <v>5</v>
      </c>
      <c r="M132" s="31">
        <v>119</v>
      </c>
      <c r="N132" s="31">
        <f t="shared" si="6"/>
        <v>0</v>
      </c>
      <c r="O132" s="37">
        <f t="shared" si="7"/>
        <v>0</v>
      </c>
      <c r="P132" s="41">
        <f t="shared" si="9"/>
        <v>0</v>
      </c>
      <c r="Q132" s="37">
        <f t="shared" si="8"/>
        <v>0</v>
      </c>
      <c r="T132" s="42"/>
      <c r="U132" s="42"/>
      <c r="V132" s="42"/>
      <c r="W132" s="48"/>
      <c r="X132" s="37"/>
    </row>
    <row r="133" spans="12:24" hidden="1" x14ac:dyDescent="0.25">
      <c r="L133" s="31">
        <f t="shared" si="5"/>
        <v>0</v>
      </c>
      <c r="M133" s="31">
        <v>120</v>
      </c>
      <c r="N133" s="31">
        <f t="shared" si="6"/>
        <v>0</v>
      </c>
      <c r="O133" s="37">
        <f t="shared" si="7"/>
        <v>0</v>
      </c>
      <c r="P133" s="41">
        <f t="shared" si="9"/>
        <v>0</v>
      </c>
      <c r="Q133" s="37">
        <f t="shared" si="8"/>
        <v>0</v>
      </c>
      <c r="T133" s="42"/>
      <c r="U133" s="42"/>
      <c r="V133" s="42"/>
      <c r="W133" s="48"/>
      <c r="X133" s="37"/>
    </row>
    <row r="134" spans="12:24" hidden="1" x14ac:dyDescent="0.25">
      <c r="L134" s="31">
        <f t="shared" si="5"/>
        <v>1</v>
      </c>
      <c r="M134" s="31">
        <v>121</v>
      </c>
      <c r="N134" s="31">
        <f t="shared" si="6"/>
        <v>0</v>
      </c>
      <c r="O134" s="37">
        <f t="shared" si="7"/>
        <v>0</v>
      </c>
      <c r="P134" s="41">
        <f t="shared" si="9"/>
        <v>0</v>
      </c>
      <c r="Q134" s="37">
        <f t="shared" si="8"/>
        <v>0</v>
      </c>
      <c r="T134" s="42"/>
      <c r="U134" s="42"/>
      <c r="V134" s="42"/>
      <c r="W134" s="48"/>
      <c r="X134" s="37"/>
    </row>
    <row r="135" spans="12:24" hidden="1" x14ac:dyDescent="0.25">
      <c r="L135" s="31">
        <f t="shared" si="5"/>
        <v>2</v>
      </c>
      <c r="M135" s="31">
        <v>122</v>
      </c>
      <c r="N135" s="31">
        <f t="shared" si="6"/>
        <v>0</v>
      </c>
      <c r="O135" s="37">
        <f t="shared" si="7"/>
        <v>0</v>
      </c>
      <c r="P135" s="41">
        <f t="shared" si="9"/>
        <v>0</v>
      </c>
      <c r="Q135" s="37">
        <f t="shared" si="8"/>
        <v>0</v>
      </c>
      <c r="T135" s="42"/>
      <c r="U135" s="42"/>
      <c r="V135" s="42"/>
      <c r="W135" s="48"/>
      <c r="X135" s="37"/>
    </row>
    <row r="136" spans="12:24" hidden="1" x14ac:dyDescent="0.25">
      <c r="L136" s="31">
        <f t="shared" si="5"/>
        <v>3</v>
      </c>
      <c r="M136" s="31">
        <v>123</v>
      </c>
      <c r="N136" s="31">
        <f t="shared" si="6"/>
        <v>0</v>
      </c>
      <c r="O136" s="37">
        <f t="shared" si="7"/>
        <v>0</v>
      </c>
      <c r="P136" s="41">
        <f t="shared" si="9"/>
        <v>0</v>
      </c>
      <c r="Q136" s="37">
        <f t="shared" si="8"/>
        <v>0</v>
      </c>
      <c r="T136" s="42"/>
      <c r="U136" s="42"/>
      <c r="V136" s="42"/>
      <c r="W136" s="48"/>
      <c r="X136" s="37"/>
    </row>
    <row r="137" spans="12:24" hidden="1" x14ac:dyDescent="0.25">
      <c r="L137" s="31">
        <f t="shared" si="5"/>
        <v>4</v>
      </c>
      <c r="M137" s="31">
        <v>124</v>
      </c>
      <c r="N137" s="31">
        <f t="shared" si="6"/>
        <v>0</v>
      </c>
      <c r="O137" s="37">
        <f t="shared" si="7"/>
        <v>0</v>
      </c>
      <c r="P137" s="41">
        <f t="shared" si="9"/>
        <v>0</v>
      </c>
      <c r="Q137" s="37">
        <f t="shared" si="8"/>
        <v>0</v>
      </c>
      <c r="T137" s="42"/>
      <c r="U137" s="42"/>
      <c r="V137" s="42"/>
      <c r="W137" s="48"/>
      <c r="X137" s="37"/>
    </row>
    <row r="138" spans="12:24" hidden="1" x14ac:dyDescent="0.25">
      <c r="L138" s="31">
        <f t="shared" si="5"/>
        <v>5</v>
      </c>
      <c r="M138" s="31">
        <v>125</v>
      </c>
      <c r="N138" s="31">
        <f t="shared" si="6"/>
        <v>0</v>
      </c>
      <c r="O138" s="37">
        <f t="shared" si="7"/>
        <v>0</v>
      </c>
      <c r="P138" s="41">
        <f t="shared" si="9"/>
        <v>0</v>
      </c>
      <c r="Q138" s="37">
        <f t="shared" si="8"/>
        <v>0</v>
      </c>
      <c r="T138" s="42"/>
      <c r="U138" s="42"/>
      <c r="V138" s="42"/>
      <c r="W138" s="48"/>
      <c r="X138" s="37"/>
    </row>
    <row r="139" spans="12:24" hidden="1" x14ac:dyDescent="0.25">
      <c r="L139" s="31">
        <f t="shared" si="5"/>
        <v>0</v>
      </c>
      <c r="M139" s="31">
        <v>126</v>
      </c>
      <c r="N139" s="31">
        <f t="shared" si="6"/>
        <v>0</v>
      </c>
      <c r="O139" s="37">
        <f t="shared" si="7"/>
        <v>0</v>
      </c>
      <c r="P139" s="41">
        <f t="shared" si="9"/>
        <v>0</v>
      </c>
      <c r="Q139" s="37">
        <f t="shared" si="8"/>
        <v>0</v>
      </c>
      <c r="T139" s="42"/>
      <c r="U139" s="42"/>
      <c r="V139" s="42"/>
      <c r="W139" s="48"/>
      <c r="X139" s="37"/>
    </row>
    <row r="140" spans="12:24" hidden="1" x14ac:dyDescent="0.25">
      <c r="L140" s="31">
        <f t="shared" si="5"/>
        <v>1</v>
      </c>
      <c r="M140" s="31">
        <v>127</v>
      </c>
      <c r="N140" s="31">
        <f t="shared" si="6"/>
        <v>0</v>
      </c>
      <c r="O140" s="37">
        <f t="shared" si="7"/>
        <v>0</v>
      </c>
      <c r="P140" s="41">
        <f t="shared" si="9"/>
        <v>0</v>
      </c>
      <c r="Q140" s="37">
        <f t="shared" si="8"/>
        <v>0</v>
      </c>
      <c r="T140" s="42"/>
      <c r="U140" s="42"/>
      <c r="V140" s="42"/>
      <c r="W140" s="48"/>
      <c r="X140" s="37"/>
    </row>
    <row r="141" spans="12:24" hidden="1" x14ac:dyDescent="0.25">
      <c r="L141" s="31">
        <f t="shared" ref="L141:L204" si="10">MOD(M141,12/$C$9)</f>
        <v>2</v>
      </c>
      <c r="M141" s="31">
        <v>128</v>
      </c>
      <c r="N141" s="31">
        <f t="shared" ref="N141:N204" si="11">IF(M141&lt;$O$8,IF(L141=0,$C$8,0),0)</f>
        <v>0</v>
      </c>
      <c r="O141" s="37">
        <f t="shared" ref="O141:O204" si="12">IF(M141&lt;=$O$8,FV(SRate,($O$8-M141),0,-N141,1),0)</f>
        <v>0</v>
      </c>
      <c r="P141" s="41">
        <f t="shared" si="9"/>
        <v>0</v>
      </c>
      <c r="Q141" s="37">
        <f t="shared" ref="Q141:Q204" si="13">(O141-N141)*TaxRate</f>
        <v>0</v>
      </c>
      <c r="T141" s="42"/>
      <c r="U141" s="42"/>
      <c r="V141" s="42"/>
      <c r="W141" s="48"/>
      <c r="X141" s="37"/>
    </row>
    <row r="142" spans="12:24" hidden="1" x14ac:dyDescent="0.25">
      <c r="L142" s="31">
        <f t="shared" si="10"/>
        <v>3</v>
      </c>
      <c r="M142" s="31">
        <v>129</v>
      </c>
      <c r="N142" s="31">
        <f t="shared" si="11"/>
        <v>0</v>
      </c>
      <c r="O142" s="37">
        <f t="shared" si="12"/>
        <v>0</v>
      </c>
      <c r="P142" s="41">
        <f t="shared" ref="P142:P205" si="14">IF(M142&lt;=$O$8,FV(SRate,1,0,-P141,1),0)+N142</f>
        <v>0</v>
      </c>
      <c r="Q142" s="37">
        <f t="shared" si="13"/>
        <v>0</v>
      </c>
      <c r="T142" s="42"/>
      <c r="U142" s="42"/>
      <c r="V142" s="42"/>
      <c r="W142" s="48"/>
      <c r="X142" s="37"/>
    </row>
    <row r="143" spans="12:24" hidden="1" x14ac:dyDescent="0.25">
      <c r="L143" s="31">
        <f t="shared" si="10"/>
        <v>4</v>
      </c>
      <c r="M143" s="31">
        <v>130</v>
      </c>
      <c r="N143" s="31">
        <f t="shared" si="11"/>
        <v>0</v>
      </c>
      <c r="O143" s="37">
        <f t="shared" si="12"/>
        <v>0</v>
      </c>
      <c r="P143" s="41">
        <f t="shared" si="14"/>
        <v>0</v>
      </c>
      <c r="Q143" s="37">
        <f t="shared" si="13"/>
        <v>0</v>
      </c>
      <c r="T143" s="42"/>
      <c r="U143" s="42"/>
      <c r="V143" s="42"/>
      <c r="W143" s="48"/>
      <c r="X143" s="37"/>
    </row>
    <row r="144" spans="12:24" hidden="1" x14ac:dyDescent="0.25">
      <c r="L144" s="31">
        <f t="shared" si="10"/>
        <v>5</v>
      </c>
      <c r="M144" s="31">
        <v>131</v>
      </c>
      <c r="N144" s="31">
        <f t="shared" si="11"/>
        <v>0</v>
      </c>
      <c r="O144" s="37">
        <f t="shared" si="12"/>
        <v>0</v>
      </c>
      <c r="P144" s="41">
        <f t="shared" si="14"/>
        <v>0</v>
      </c>
      <c r="Q144" s="37">
        <f t="shared" si="13"/>
        <v>0</v>
      </c>
      <c r="T144" s="42"/>
      <c r="U144" s="42"/>
      <c r="V144" s="42"/>
      <c r="W144" s="48"/>
      <c r="X144" s="37"/>
    </row>
    <row r="145" spans="12:24" hidden="1" x14ac:dyDescent="0.25">
      <c r="L145" s="31">
        <f t="shared" si="10"/>
        <v>0</v>
      </c>
      <c r="M145" s="31">
        <v>132</v>
      </c>
      <c r="N145" s="31">
        <f t="shared" si="11"/>
        <v>0</v>
      </c>
      <c r="O145" s="37">
        <f t="shared" si="12"/>
        <v>0</v>
      </c>
      <c r="P145" s="41">
        <f t="shared" si="14"/>
        <v>0</v>
      </c>
      <c r="Q145" s="37">
        <f t="shared" si="13"/>
        <v>0</v>
      </c>
      <c r="T145" s="42"/>
      <c r="U145" s="42"/>
      <c r="V145" s="42"/>
      <c r="W145" s="48"/>
      <c r="X145" s="37"/>
    </row>
    <row r="146" spans="12:24" hidden="1" x14ac:dyDescent="0.25">
      <c r="L146" s="31">
        <f t="shared" si="10"/>
        <v>1</v>
      </c>
      <c r="M146" s="31">
        <v>133</v>
      </c>
      <c r="N146" s="31">
        <f t="shared" si="11"/>
        <v>0</v>
      </c>
      <c r="O146" s="37">
        <f t="shared" si="12"/>
        <v>0</v>
      </c>
      <c r="P146" s="41">
        <f t="shared" si="14"/>
        <v>0</v>
      </c>
      <c r="Q146" s="37">
        <f t="shared" si="13"/>
        <v>0</v>
      </c>
      <c r="T146" s="42"/>
      <c r="U146" s="42"/>
      <c r="V146" s="42"/>
      <c r="W146" s="48"/>
      <c r="X146" s="37"/>
    </row>
    <row r="147" spans="12:24" hidden="1" x14ac:dyDescent="0.25">
      <c r="L147" s="31">
        <f t="shared" si="10"/>
        <v>2</v>
      </c>
      <c r="M147" s="31">
        <v>134</v>
      </c>
      <c r="N147" s="31">
        <f t="shared" si="11"/>
        <v>0</v>
      </c>
      <c r="O147" s="37">
        <f t="shared" si="12"/>
        <v>0</v>
      </c>
      <c r="P147" s="41">
        <f t="shared" si="14"/>
        <v>0</v>
      </c>
      <c r="Q147" s="37">
        <f t="shared" si="13"/>
        <v>0</v>
      </c>
      <c r="T147" s="42"/>
      <c r="U147" s="42"/>
      <c r="V147" s="42"/>
      <c r="W147" s="48"/>
      <c r="X147" s="37"/>
    </row>
    <row r="148" spans="12:24" hidden="1" x14ac:dyDescent="0.25">
      <c r="L148" s="31">
        <f t="shared" si="10"/>
        <v>3</v>
      </c>
      <c r="M148" s="31">
        <v>135</v>
      </c>
      <c r="N148" s="31">
        <f t="shared" si="11"/>
        <v>0</v>
      </c>
      <c r="O148" s="37">
        <f t="shared" si="12"/>
        <v>0</v>
      </c>
      <c r="P148" s="41">
        <f t="shared" si="14"/>
        <v>0</v>
      </c>
      <c r="Q148" s="37">
        <f t="shared" si="13"/>
        <v>0</v>
      </c>
      <c r="T148" s="42"/>
      <c r="U148" s="42"/>
      <c r="V148" s="42"/>
      <c r="W148" s="48"/>
      <c r="X148" s="37"/>
    </row>
    <row r="149" spans="12:24" hidden="1" x14ac:dyDescent="0.25">
      <c r="L149" s="31">
        <f t="shared" si="10"/>
        <v>4</v>
      </c>
      <c r="M149" s="31">
        <v>136</v>
      </c>
      <c r="N149" s="31">
        <f t="shared" si="11"/>
        <v>0</v>
      </c>
      <c r="O149" s="37">
        <f t="shared" si="12"/>
        <v>0</v>
      </c>
      <c r="P149" s="41">
        <f t="shared" si="14"/>
        <v>0</v>
      </c>
      <c r="Q149" s="37">
        <f t="shared" si="13"/>
        <v>0</v>
      </c>
      <c r="T149" s="42"/>
      <c r="U149" s="42"/>
      <c r="V149" s="42"/>
      <c r="W149" s="48"/>
      <c r="X149" s="37"/>
    </row>
    <row r="150" spans="12:24" hidden="1" x14ac:dyDescent="0.25">
      <c r="L150" s="31">
        <f t="shared" si="10"/>
        <v>5</v>
      </c>
      <c r="M150" s="31">
        <v>137</v>
      </c>
      <c r="N150" s="31">
        <f t="shared" si="11"/>
        <v>0</v>
      </c>
      <c r="O150" s="37">
        <f t="shared" si="12"/>
        <v>0</v>
      </c>
      <c r="P150" s="41">
        <f t="shared" si="14"/>
        <v>0</v>
      </c>
      <c r="Q150" s="37">
        <f t="shared" si="13"/>
        <v>0</v>
      </c>
      <c r="T150" s="42"/>
      <c r="U150" s="42"/>
      <c r="V150" s="42"/>
      <c r="W150" s="48"/>
      <c r="X150" s="37"/>
    </row>
    <row r="151" spans="12:24" hidden="1" x14ac:dyDescent="0.25">
      <c r="L151" s="31">
        <f t="shared" si="10"/>
        <v>0</v>
      </c>
      <c r="M151" s="31">
        <v>138</v>
      </c>
      <c r="N151" s="31">
        <f t="shared" si="11"/>
        <v>0</v>
      </c>
      <c r="O151" s="37">
        <f t="shared" si="12"/>
        <v>0</v>
      </c>
      <c r="P151" s="41">
        <f t="shared" si="14"/>
        <v>0</v>
      </c>
      <c r="Q151" s="37">
        <f t="shared" si="13"/>
        <v>0</v>
      </c>
      <c r="T151" s="42"/>
      <c r="U151" s="42"/>
      <c r="V151" s="42"/>
      <c r="W151" s="48"/>
      <c r="X151" s="37"/>
    </row>
    <row r="152" spans="12:24" hidden="1" x14ac:dyDescent="0.25">
      <c r="L152" s="31">
        <f t="shared" si="10"/>
        <v>1</v>
      </c>
      <c r="M152" s="31">
        <v>139</v>
      </c>
      <c r="N152" s="31">
        <f t="shared" si="11"/>
        <v>0</v>
      </c>
      <c r="O152" s="37">
        <f t="shared" si="12"/>
        <v>0</v>
      </c>
      <c r="P152" s="41">
        <f t="shared" si="14"/>
        <v>0</v>
      </c>
      <c r="Q152" s="37">
        <f t="shared" si="13"/>
        <v>0</v>
      </c>
      <c r="T152" s="42"/>
      <c r="U152" s="42"/>
      <c r="V152" s="42"/>
      <c r="W152" s="48"/>
      <c r="X152" s="37"/>
    </row>
    <row r="153" spans="12:24" hidden="1" x14ac:dyDescent="0.25">
      <c r="L153" s="31">
        <f t="shared" si="10"/>
        <v>2</v>
      </c>
      <c r="M153" s="31">
        <v>140</v>
      </c>
      <c r="N153" s="31">
        <f t="shared" si="11"/>
        <v>0</v>
      </c>
      <c r="O153" s="37">
        <f t="shared" si="12"/>
        <v>0</v>
      </c>
      <c r="P153" s="41">
        <f t="shared" si="14"/>
        <v>0</v>
      </c>
      <c r="Q153" s="37">
        <f t="shared" si="13"/>
        <v>0</v>
      </c>
      <c r="T153" s="42"/>
      <c r="U153" s="42"/>
      <c r="V153" s="42"/>
      <c r="W153" s="48"/>
      <c r="X153" s="37"/>
    </row>
    <row r="154" spans="12:24" hidden="1" x14ac:dyDescent="0.25">
      <c r="L154" s="31">
        <f t="shared" si="10"/>
        <v>3</v>
      </c>
      <c r="M154" s="31">
        <v>141</v>
      </c>
      <c r="N154" s="31">
        <f t="shared" si="11"/>
        <v>0</v>
      </c>
      <c r="O154" s="37">
        <f t="shared" si="12"/>
        <v>0</v>
      </c>
      <c r="P154" s="41">
        <f t="shared" si="14"/>
        <v>0</v>
      </c>
      <c r="Q154" s="37">
        <f t="shared" si="13"/>
        <v>0</v>
      </c>
      <c r="T154" s="42"/>
      <c r="U154" s="42"/>
      <c r="V154" s="42"/>
      <c r="W154" s="48"/>
      <c r="X154" s="37"/>
    </row>
    <row r="155" spans="12:24" hidden="1" x14ac:dyDescent="0.25">
      <c r="L155" s="31">
        <f t="shared" si="10"/>
        <v>4</v>
      </c>
      <c r="M155" s="31">
        <v>142</v>
      </c>
      <c r="N155" s="31">
        <f t="shared" si="11"/>
        <v>0</v>
      </c>
      <c r="O155" s="37">
        <f t="shared" si="12"/>
        <v>0</v>
      </c>
      <c r="P155" s="41">
        <f t="shared" si="14"/>
        <v>0</v>
      </c>
      <c r="Q155" s="37">
        <f t="shared" si="13"/>
        <v>0</v>
      </c>
      <c r="T155" s="42"/>
      <c r="U155" s="42"/>
      <c r="V155" s="42"/>
      <c r="W155" s="48"/>
      <c r="X155" s="37"/>
    </row>
    <row r="156" spans="12:24" hidden="1" x14ac:dyDescent="0.25">
      <c r="L156" s="31">
        <f t="shared" si="10"/>
        <v>5</v>
      </c>
      <c r="M156" s="31">
        <v>143</v>
      </c>
      <c r="N156" s="31">
        <f t="shared" si="11"/>
        <v>0</v>
      </c>
      <c r="O156" s="37">
        <f t="shared" si="12"/>
        <v>0</v>
      </c>
      <c r="P156" s="41">
        <f t="shared" si="14"/>
        <v>0</v>
      </c>
      <c r="Q156" s="37">
        <f t="shared" si="13"/>
        <v>0</v>
      </c>
      <c r="T156" s="42"/>
      <c r="U156" s="42"/>
      <c r="V156" s="42"/>
      <c r="W156" s="48"/>
      <c r="X156" s="37"/>
    </row>
    <row r="157" spans="12:24" hidden="1" x14ac:dyDescent="0.25">
      <c r="L157" s="31">
        <f t="shared" si="10"/>
        <v>0</v>
      </c>
      <c r="M157" s="31">
        <v>144</v>
      </c>
      <c r="N157" s="31">
        <f t="shared" si="11"/>
        <v>0</v>
      </c>
      <c r="O157" s="37">
        <f t="shared" si="12"/>
        <v>0</v>
      </c>
      <c r="P157" s="41">
        <f t="shared" si="14"/>
        <v>0</v>
      </c>
      <c r="Q157" s="37">
        <f t="shared" si="13"/>
        <v>0</v>
      </c>
      <c r="T157" s="42"/>
      <c r="U157" s="42"/>
      <c r="V157" s="42"/>
      <c r="W157" s="48"/>
      <c r="X157" s="37"/>
    </row>
    <row r="158" spans="12:24" hidden="1" x14ac:dyDescent="0.25">
      <c r="L158" s="31">
        <f t="shared" si="10"/>
        <v>1</v>
      </c>
      <c r="M158" s="31">
        <v>145</v>
      </c>
      <c r="N158" s="31">
        <f t="shared" si="11"/>
        <v>0</v>
      </c>
      <c r="O158" s="37">
        <f t="shared" si="12"/>
        <v>0</v>
      </c>
      <c r="P158" s="41">
        <f t="shared" si="14"/>
        <v>0</v>
      </c>
      <c r="Q158" s="37">
        <f t="shared" si="13"/>
        <v>0</v>
      </c>
      <c r="T158" s="42"/>
      <c r="U158" s="42"/>
      <c r="V158" s="42"/>
      <c r="W158" s="48"/>
      <c r="X158" s="37"/>
    </row>
    <row r="159" spans="12:24" hidden="1" x14ac:dyDescent="0.25">
      <c r="L159" s="31">
        <f t="shared" si="10"/>
        <v>2</v>
      </c>
      <c r="M159" s="31">
        <v>146</v>
      </c>
      <c r="N159" s="31">
        <f t="shared" si="11"/>
        <v>0</v>
      </c>
      <c r="O159" s="37">
        <f t="shared" si="12"/>
        <v>0</v>
      </c>
      <c r="P159" s="41">
        <f t="shared" si="14"/>
        <v>0</v>
      </c>
      <c r="Q159" s="37">
        <f t="shared" si="13"/>
        <v>0</v>
      </c>
      <c r="T159" s="42"/>
      <c r="U159" s="42"/>
      <c r="V159" s="42"/>
      <c r="W159" s="48"/>
      <c r="X159" s="37"/>
    </row>
    <row r="160" spans="12:24" hidden="1" x14ac:dyDescent="0.25">
      <c r="L160" s="31">
        <f t="shared" si="10"/>
        <v>3</v>
      </c>
      <c r="M160" s="31">
        <v>147</v>
      </c>
      <c r="N160" s="31">
        <f t="shared" si="11"/>
        <v>0</v>
      </c>
      <c r="O160" s="37">
        <f t="shared" si="12"/>
        <v>0</v>
      </c>
      <c r="P160" s="41">
        <f t="shared" si="14"/>
        <v>0</v>
      </c>
      <c r="Q160" s="37">
        <f t="shared" si="13"/>
        <v>0</v>
      </c>
      <c r="T160" s="42"/>
      <c r="U160" s="42"/>
      <c r="V160" s="42"/>
      <c r="W160" s="48"/>
      <c r="X160" s="37"/>
    </row>
    <row r="161" spans="12:24" hidden="1" x14ac:dyDescent="0.25">
      <c r="L161" s="31">
        <f t="shared" si="10"/>
        <v>4</v>
      </c>
      <c r="M161" s="31">
        <v>148</v>
      </c>
      <c r="N161" s="31">
        <f t="shared" si="11"/>
        <v>0</v>
      </c>
      <c r="O161" s="37">
        <f t="shared" si="12"/>
        <v>0</v>
      </c>
      <c r="P161" s="41">
        <f t="shared" si="14"/>
        <v>0</v>
      </c>
      <c r="Q161" s="37">
        <f t="shared" si="13"/>
        <v>0</v>
      </c>
      <c r="T161" s="42"/>
      <c r="U161" s="42"/>
      <c r="V161" s="42"/>
      <c r="W161" s="48"/>
      <c r="X161" s="37"/>
    </row>
    <row r="162" spans="12:24" hidden="1" x14ac:dyDescent="0.25">
      <c r="L162" s="31">
        <f t="shared" si="10"/>
        <v>5</v>
      </c>
      <c r="M162" s="31">
        <v>149</v>
      </c>
      <c r="N162" s="31">
        <f t="shared" si="11"/>
        <v>0</v>
      </c>
      <c r="O162" s="37">
        <f t="shared" si="12"/>
        <v>0</v>
      </c>
      <c r="P162" s="41">
        <f t="shared" si="14"/>
        <v>0</v>
      </c>
      <c r="Q162" s="37">
        <f t="shared" si="13"/>
        <v>0</v>
      </c>
      <c r="T162" s="42"/>
      <c r="U162" s="42"/>
      <c r="V162" s="42"/>
      <c r="W162" s="48"/>
      <c r="X162" s="37"/>
    </row>
    <row r="163" spans="12:24" hidden="1" x14ac:dyDescent="0.25">
      <c r="L163" s="31">
        <f t="shared" si="10"/>
        <v>0</v>
      </c>
      <c r="M163" s="31">
        <v>150</v>
      </c>
      <c r="N163" s="31">
        <f t="shared" si="11"/>
        <v>0</v>
      </c>
      <c r="O163" s="37">
        <f t="shared" si="12"/>
        <v>0</v>
      </c>
      <c r="P163" s="41">
        <f t="shared" si="14"/>
        <v>0</v>
      </c>
      <c r="Q163" s="37">
        <f t="shared" si="13"/>
        <v>0</v>
      </c>
      <c r="T163" s="42"/>
      <c r="U163" s="42"/>
      <c r="V163" s="42"/>
      <c r="W163" s="48"/>
      <c r="X163" s="37"/>
    </row>
    <row r="164" spans="12:24" hidden="1" x14ac:dyDescent="0.25">
      <c r="L164" s="31">
        <f t="shared" si="10"/>
        <v>1</v>
      </c>
      <c r="M164" s="31">
        <v>151</v>
      </c>
      <c r="N164" s="31">
        <f t="shared" si="11"/>
        <v>0</v>
      </c>
      <c r="O164" s="37">
        <f t="shared" si="12"/>
        <v>0</v>
      </c>
      <c r="P164" s="41">
        <f t="shared" si="14"/>
        <v>0</v>
      </c>
      <c r="Q164" s="37">
        <f t="shared" si="13"/>
        <v>0</v>
      </c>
      <c r="T164" s="42"/>
      <c r="U164" s="42"/>
      <c r="V164" s="42"/>
      <c r="W164" s="48"/>
      <c r="X164" s="37"/>
    </row>
    <row r="165" spans="12:24" hidden="1" x14ac:dyDescent="0.25">
      <c r="L165" s="31">
        <f t="shared" si="10"/>
        <v>2</v>
      </c>
      <c r="M165" s="31">
        <v>152</v>
      </c>
      <c r="N165" s="31">
        <f t="shared" si="11"/>
        <v>0</v>
      </c>
      <c r="O165" s="37">
        <f t="shared" si="12"/>
        <v>0</v>
      </c>
      <c r="P165" s="41">
        <f t="shared" si="14"/>
        <v>0</v>
      </c>
      <c r="Q165" s="37">
        <f t="shared" si="13"/>
        <v>0</v>
      </c>
      <c r="T165" s="42"/>
      <c r="U165" s="42"/>
      <c r="V165" s="42"/>
      <c r="W165" s="48"/>
      <c r="X165" s="37"/>
    </row>
    <row r="166" spans="12:24" hidden="1" x14ac:dyDescent="0.25">
      <c r="L166" s="31">
        <f t="shared" si="10"/>
        <v>3</v>
      </c>
      <c r="M166" s="31">
        <v>153</v>
      </c>
      <c r="N166" s="31">
        <f t="shared" si="11"/>
        <v>0</v>
      </c>
      <c r="O166" s="37">
        <f t="shared" si="12"/>
        <v>0</v>
      </c>
      <c r="P166" s="41">
        <f t="shared" si="14"/>
        <v>0</v>
      </c>
      <c r="Q166" s="37">
        <f t="shared" si="13"/>
        <v>0</v>
      </c>
      <c r="T166" s="42"/>
      <c r="U166" s="42"/>
      <c r="V166" s="42"/>
      <c r="W166" s="48"/>
      <c r="X166" s="37"/>
    </row>
    <row r="167" spans="12:24" hidden="1" x14ac:dyDescent="0.25">
      <c r="L167" s="31">
        <f t="shared" si="10"/>
        <v>4</v>
      </c>
      <c r="M167" s="31">
        <v>154</v>
      </c>
      <c r="N167" s="31">
        <f t="shared" si="11"/>
        <v>0</v>
      </c>
      <c r="O167" s="37">
        <f t="shared" si="12"/>
        <v>0</v>
      </c>
      <c r="P167" s="41">
        <f t="shared" si="14"/>
        <v>0</v>
      </c>
      <c r="Q167" s="37">
        <f t="shared" si="13"/>
        <v>0</v>
      </c>
      <c r="T167" s="42"/>
      <c r="U167" s="42"/>
      <c r="V167" s="42"/>
      <c r="W167" s="48"/>
      <c r="X167" s="37"/>
    </row>
    <row r="168" spans="12:24" hidden="1" x14ac:dyDescent="0.25">
      <c r="L168" s="31">
        <f t="shared" si="10"/>
        <v>5</v>
      </c>
      <c r="M168" s="31">
        <v>155</v>
      </c>
      <c r="N168" s="31">
        <f t="shared" si="11"/>
        <v>0</v>
      </c>
      <c r="O168" s="37">
        <f t="shared" si="12"/>
        <v>0</v>
      </c>
      <c r="P168" s="41">
        <f t="shared" si="14"/>
        <v>0</v>
      </c>
      <c r="Q168" s="37">
        <f t="shared" si="13"/>
        <v>0</v>
      </c>
      <c r="T168" s="42"/>
      <c r="U168" s="42"/>
      <c r="V168" s="42"/>
      <c r="W168" s="48"/>
      <c r="X168" s="37"/>
    </row>
    <row r="169" spans="12:24" hidden="1" x14ac:dyDescent="0.25">
      <c r="L169" s="31">
        <f t="shared" si="10"/>
        <v>0</v>
      </c>
      <c r="M169" s="31">
        <v>156</v>
      </c>
      <c r="N169" s="31">
        <f t="shared" si="11"/>
        <v>0</v>
      </c>
      <c r="O169" s="37">
        <f t="shared" si="12"/>
        <v>0</v>
      </c>
      <c r="P169" s="41">
        <f t="shared" si="14"/>
        <v>0</v>
      </c>
      <c r="Q169" s="37">
        <f t="shared" si="13"/>
        <v>0</v>
      </c>
      <c r="T169" s="42"/>
      <c r="U169" s="42"/>
      <c r="V169" s="42"/>
      <c r="W169" s="48"/>
      <c r="X169" s="37"/>
    </row>
    <row r="170" spans="12:24" hidden="1" x14ac:dyDescent="0.25">
      <c r="L170" s="31">
        <f t="shared" si="10"/>
        <v>1</v>
      </c>
      <c r="M170" s="31">
        <v>157</v>
      </c>
      <c r="N170" s="31">
        <f t="shared" si="11"/>
        <v>0</v>
      </c>
      <c r="O170" s="37">
        <f t="shared" si="12"/>
        <v>0</v>
      </c>
      <c r="P170" s="41">
        <f t="shared" si="14"/>
        <v>0</v>
      </c>
      <c r="Q170" s="37">
        <f t="shared" si="13"/>
        <v>0</v>
      </c>
      <c r="T170" s="42"/>
      <c r="U170" s="42"/>
      <c r="V170" s="42"/>
      <c r="W170" s="48"/>
      <c r="X170" s="37"/>
    </row>
    <row r="171" spans="12:24" hidden="1" x14ac:dyDescent="0.25">
      <c r="L171" s="31">
        <f t="shared" si="10"/>
        <v>2</v>
      </c>
      <c r="M171" s="31">
        <v>158</v>
      </c>
      <c r="N171" s="31">
        <f t="shared" si="11"/>
        <v>0</v>
      </c>
      <c r="O171" s="37">
        <f t="shared" si="12"/>
        <v>0</v>
      </c>
      <c r="P171" s="41">
        <f t="shared" si="14"/>
        <v>0</v>
      </c>
      <c r="Q171" s="37">
        <f t="shared" si="13"/>
        <v>0</v>
      </c>
      <c r="T171" s="42"/>
      <c r="U171" s="42"/>
      <c r="V171" s="42"/>
      <c r="W171" s="48"/>
      <c r="X171" s="37"/>
    </row>
    <row r="172" spans="12:24" hidden="1" x14ac:dyDescent="0.25">
      <c r="L172" s="31">
        <f t="shared" si="10"/>
        <v>3</v>
      </c>
      <c r="M172" s="31">
        <v>159</v>
      </c>
      <c r="N172" s="31">
        <f t="shared" si="11"/>
        <v>0</v>
      </c>
      <c r="O172" s="37">
        <f t="shared" si="12"/>
        <v>0</v>
      </c>
      <c r="P172" s="41">
        <f t="shared" si="14"/>
        <v>0</v>
      </c>
      <c r="Q172" s="37">
        <f t="shared" si="13"/>
        <v>0</v>
      </c>
      <c r="T172" s="42"/>
      <c r="U172" s="42"/>
      <c r="V172" s="42"/>
      <c r="W172" s="48"/>
      <c r="X172" s="37"/>
    </row>
    <row r="173" spans="12:24" hidden="1" x14ac:dyDescent="0.25">
      <c r="L173" s="31">
        <f t="shared" si="10"/>
        <v>4</v>
      </c>
      <c r="M173" s="31">
        <v>160</v>
      </c>
      <c r="N173" s="31">
        <f t="shared" si="11"/>
        <v>0</v>
      </c>
      <c r="O173" s="37">
        <f t="shared" si="12"/>
        <v>0</v>
      </c>
      <c r="P173" s="41">
        <f t="shared" si="14"/>
        <v>0</v>
      </c>
      <c r="Q173" s="37">
        <f t="shared" si="13"/>
        <v>0</v>
      </c>
      <c r="T173" s="42"/>
      <c r="U173" s="42"/>
      <c r="V173" s="42"/>
      <c r="W173" s="48"/>
      <c r="X173" s="37"/>
    </row>
    <row r="174" spans="12:24" hidden="1" x14ac:dyDescent="0.25">
      <c r="L174" s="31">
        <f t="shared" si="10"/>
        <v>5</v>
      </c>
      <c r="M174" s="31">
        <v>161</v>
      </c>
      <c r="N174" s="31">
        <f t="shared" si="11"/>
        <v>0</v>
      </c>
      <c r="O174" s="37">
        <f t="shared" si="12"/>
        <v>0</v>
      </c>
      <c r="P174" s="41">
        <f t="shared" si="14"/>
        <v>0</v>
      </c>
      <c r="Q174" s="37">
        <f t="shared" si="13"/>
        <v>0</v>
      </c>
      <c r="T174" s="42"/>
      <c r="U174" s="42"/>
      <c r="V174" s="42"/>
      <c r="W174" s="48"/>
      <c r="X174" s="37"/>
    </row>
    <row r="175" spans="12:24" hidden="1" x14ac:dyDescent="0.25">
      <c r="L175" s="31">
        <f t="shared" si="10"/>
        <v>0</v>
      </c>
      <c r="M175" s="31">
        <v>162</v>
      </c>
      <c r="N175" s="31">
        <f t="shared" si="11"/>
        <v>0</v>
      </c>
      <c r="O175" s="37">
        <f t="shared" si="12"/>
        <v>0</v>
      </c>
      <c r="P175" s="41">
        <f t="shared" si="14"/>
        <v>0</v>
      </c>
      <c r="Q175" s="37">
        <f t="shared" si="13"/>
        <v>0</v>
      </c>
      <c r="T175" s="42"/>
      <c r="U175" s="42"/>
      <c r="V175" s="42"/>
      <c r="W175" s="48"/>
      <c r="X175" s="37"/>
    </row>
    <row r="176" spans="12:24" hidden="1" x14ac:dyDescent="0.25">
      <c r="L176" s="31">
        <f t="shared" si="10"/>
        <v>1</v>
      </c>
      <c r="M176" s="31">
        <v>163</v>
      </c>
      <c r="N176" s="31">
        <f t="shared" si="11"/>
        <v>0</v>
      </c>
      <c r="O176" s="37">
        <f t="shared" si="12"/>
        <v>0</v>
      </c>
      <c r="P176" s="41">
        <f t="shared" si="14"/>
        <v>0</v>
      </c>
      <c r="Q176" s="37">
        <f t="shared" si="13"/>
        <v>0</v>
      </c>
      <c r="T176" s="42"/>
      <c r="U176" s="42"/>
      <c r="V176" s="42"/>
      <c r="W176" s="48"/>
      <c r="X176" s="37"/>
    </row>
    <row r="177" spans="12:24" hidden="1" x14ac:dyDescent="0.25">
      <c r="L177" s="31">
        <f t="shared" si="10"/>
        <v>2</v>
      </c>
      <c r="M177" s="31">
        <v>164</v>
      </c>
      <c r="N177" s="31">
        <f t="shared" si="11"/>
        <v>0</v>
      </c>
      <c r="O177" s="37">
        <f t="shared" si="12"/>
        <v>0</v>
      </c>
      <c r="P177" s="41">
        <f t="shared" si="14"/>
        <v>0</v>
      </c>
      <c r="Q177" s="37">
        <f t="shared" si="13"/>
        <v>0</v>
      </c>
      <c r="T177" s="42"/>
      <c r="U177" s="42"/>
      <c r="V177" s="42"/>
      <c r="W177" s="48"/>
      <c r="X177" s="37"/>
    </row>
    <row r="178" spans="12:24" hidden="1" x14ac:dyDescent="0.25">
      <c r="L178" s="31">
        <f t="shared" si="10"/>
        <v>3</v>
      </c>
      <c r="M178" s="31">
        <v>165</v>
      </c>
      <c r="N178" s="31">
        <f t="shared" si="11"/>
        <v>0</v>
      </c>
      <c r="O178" s="37">
        <f t="shared" si="12"/>
        <v>0</v>
      </c>
      <c r="P178" s="41">
        <f t="shared" si="14"/>
        <v>0</v>
      </c>
      <c r="Q178" s="37">
        <f t="shared" si="13"/>
        <v>0</v>
      </c>
      <c r="T178" s="42"/>
      <c r="U178" s="42"/>
      <c r="V178" s="42"/>
      <c r="W178" s="48"/>
      <c r="X178" s="37"/>
    </row>
    <row r="179" spans="12:24" hidden="1" x14ac:dyDescent="0.25">
      <c r="L179" s="31">
        <f t="shared" si="10"/>
        <v>4</v>
      </c>
      <c r="M179" s="31">
        <v>166</v>
      </c>
      <c r="N179" s="31">
        <f t="shared" si="11"/>
        <v>0</v>
      </c>
      <c r="O179" s="37">
        <f t="shared" si="12"/>
        <v>0</v>
      </c>
      <c r="P179" s="41">
        <f t="shared" si="14"/>
        <v>0</v>
      </c>
      <c r="Q179" s="37">
        <f t="shared" si="13"/>
        <v>0</v>
      </c>
      <c r="T179" s="42"/>
      <c r="U179" s="42"/>
      <c r="V179" s="42"/>
      <c r="W179" s="48"/>
      <c r="X179" s="37"/>
    </row>
    <row r="180" spans="12:24" hidden="1" x14ac:dyDescent="0.25">
      <c r="L180" s="31">
        <f t="shared" si="10"/>
        <v>5</v>
      </c>
      <c r="M180" s="31">
        <v>167</v>
      </c>
      <c r="N180" s="31">
        <f t="shared" si="11"/>
        <v>0</v>
      </c>
      <c r="O180" s="37">
        <f t="shared" si="12"/>
        <v>0</v>
      </c>
      <c r="P180" s="41">
        <f t="shared" si="14"/>
        <v>0</v>
      </c>
      <c r="Q180" s="37">
        <f t="shared" si="13"/>
        <v>0</v>
      </c>
      <c r="T180" s="42"/>
      <c r="U180" s="42"/>
      <c r="V180" s="42"/>
      <c r="W180" s="48"/>
      <c r="X180" s="37"/>
    </row>
    <row r="181" spans="12:24" hidden="1" x14ac:dyDescent="0.25">
      <c r="L181" s="31">
        <f t="shared" si="10"/>
        <v>0</v>
      </c>
      <c r="M181" s="31">
        <v>168</v>
      </c>
      <c r="N181" s="31">
        <f t="shared" si="11"/>
        <v>0</v>
      </c>
      <c r="O181" s="37">
        <f t="shared" si="12"/>
        <v>0</v>
      </c>
      <c r="P181" s="41">
        <f t="shared" si="14"/>
        <v>0</v>
      </c>
      <c r="Q181" s="37">
        <f t="shared" si="13"/>
        <v>0</v>
      </c>
      <c r="T181" s="42"/>
      <c r="U181" s="42"/>
      <c r="V181" s="42"/>
      <c r="W181" s="48"/>
      <c r="X181" s="37"/>
    </row>
    <row r="182" spans="12:24" hidden="1" x14ac:dyDescent="0.25">
      <c r="L182" s="31">
        <f t="shared" si="10"/>
        <v>1</v>
      </c>
      <c r="M182" s="31">
        <v>169</v>
      </c>
      <c r="N182" s="31">
        <f t="shared" si="11"/>
        <v>0</v>
      </c>
      <c r="O182" s="37">
        <f t="shared" si="12"/>
        <v>0</v>
      </c>
      <c r="P182" s="41">
        <f t="shared" si="14"/>
        <v>0</v>
      </c>
      <c r="Q182" s="37">
        <f t="shared" si="13"/>
        <v>0</v>
      </c>
      <c r="T182" s="42"/>
      <c r="U182" s="42"/>
      <c r="V182" s="42"/>
      <c r="W182" s="48"/>
      <c r="X182" s="37"/>
    </row>
    <row r="183" spans="12:24" hidden="1" x14ac:dyDescent="0.25">
      <c r="L183" s="31">
        <f t="shared" si="10"/>
        <v>2</v>
      </c>
      <c r="M183" s="31">
        <v>170</v>
      </c>
      <c r="N183" s="31">
        <f t="shared" si="11"/>
        <v>0</v>
      </c>
      <c r="O183" s="37">
        <f t="shared" si="12"/>
        <v>0</v>
      </c>
      <c r="P183" s="41">
        <f t="shared" si="14"/>
        <v>0</v>
      </c>
      <c r="Q183" s="37">
        <f t="shared" si="13"/>
        <v>0</v>
      </c>
      <c r="T183" s="42"/>
      <c r="U183" s="42"/>
      <c r="V183" s="42"/>
      <c r="W183" s="48"/>
      <c r="X183" s="37"/>
    </row>
    <row r="184" spans="12:24" hidden="1" x14ac:dyDescent="0.25">
      <c r="L184" s="31">
        <f t="shared" si="10"/>
        <v>3</v>
      </c>
      <c r="M184" s="31">
        <v>171</v>
      </c>
      <c r="N184" s="31">
        <f t="shared" si="11"/>
        <v>0</v>
      </c>
      <c r="O184" s="37">
        <f t="shared" si="12"/>
        <v>0</v>
      </c>
      <c r="P184" s="41">
        <f t="shared" si="14"/>
        <v>0</v>
      </c>
      <c r="Q184" s="37">
        <f t="shared" si="13"/>
        <v>0</v>
      </c>
      <c r="T184" s="42"/>
      <c r="U184" s="42"/>
      <c r="V184" s="42"/>
      <c r="W184" s="48"/>
      <c r="X184" s="37"/>
    </row>
    <row r="185" spans="12:24" hidden="1" x14ac:dyDescent="0.25">
      <c r="L185" s="31">
        <f t="shared" si="10"/>
        <v>4</v>
      </c>
      <c r="M185" s="31">
        <v>172</v>
      </c>
      <c r="N185" s="31">
        <f t="shared" si="11"/>
        <v>0</v>
      </c>
      <c r="O185" s="37">
        <f t="shared" si="12"/>
        <v>0</v>
      </c>
      <c r="P185" s="41">
        <f t="shared" si="14"/>
        <v>0</v>
      </c>
      <c r="Q185" s="37">
        <f t="shared" si="13"/>
        <v>0</v>
      </c>
      <c r="T185" s="42"/>
      <c r="U185" s="42"/>
      <c r="V185" s="42"/>
      <c r="W185" s="48"/>
      <c r="X185" s="37"/>
    </row>
    <row r="186" spans="12:24" hidden="1" x14ac:dyDescent="0.25">
      <c r="L186" s="31">
        <f t="shared" si="10"/>
        <v>5</v>
      </c>
      <c r="M186" s="31">
        <v>173</v>
      </c>
      <c r="N186" s="31">
        <f t="shared" si="11"/>
        <v>0</v>
      </c>
      <c r="O186" s="37">
        <f t="shared" si="12"/>
        <v>0</v>
      </c>
      <c r="P186" s="41">
        <f t="shared" si="14"/>
        <v>0</v>
      </c>
      <c r="Q186" s="37">
        <f t="shared" si="13"/>
        <v>0</v>
      </c>
      <c r="T186" s="42"/>
      <c r="U186" s="42"/>
      <c r="V186" s="42"/>
      <c r="W186" s="48"/>
      <c r="X186" s="37"/>
    </row>
    <row r="187" spans="12:24" hidden="1" x14ac:dyDescent="0.25">
      <c r="L187" s="31">
        <f t="shared" si="10"/>
        <v>0</v>
      </c>
      <c r="M187" s="31">
        <v>174</v>
      </c>
      <c r="N187" s="31">
        <f t="shared" si="11"/>
        <v>0</v>
      </c>
      <c r="O187" s="37">
        <f t="shared" si="12"/>
        <v>0</v>
      </c>
      <c r="P187" s="41">
        <f t="shared" si="14"/>
        <v>0</v>
      </c>
      <c r="Q187" s="37">
        <f t="shared" si="13"/>
        <v>0</v>
      </c>
      <c r="T187" s="42"/>
      <c r="U187" s="42"/>
      <c r="V187" s="42"/>
      <c r="W187" s="48"/>
      <c r="X187" s="37"/>
    </row>
    <row r="188" spans="12:24" hidden="1" x14ac:dyDescent="0.25">
      <c r="L188" s="31">
        <f t="shared" si="10"/>
        <v>1</v>
      </c>
      <c r="M188" s="31">
        <v>175</v>
      </c>
      <c r="N188" s="31">
        <f t="shared" si="11"/>
        <v>0</v>
      </c>
      <c r="O188" s="37">
        <f t="shared" si="12"/>
        <v>0</v>
      </c>
      <c r="P188" s="41">
        <f t="shared" si="14"/>
        <v>0</v>
      </c>
      <c r="Q188" s="37">
        <f t="shared" si="13"/>
        <v>0</v>
      </c>
      <c r="T188" s="42"/>
      <c r="U188" s="42"/>
      <c r="V188" s="42"/>
      <c r="W188" s="48"/>
      <c r="X188" s="37"/>
    </row>
    <row r="189" spans="12:24" hidden="1" x14ac:dyDescent="0.25">
      <c r="L189" s="31">
        <f t="shared" si="10"/>
        <v>2</v>
      </c>
      <c r="M189" s="31">
        <v>176</v>
      </c>
      <c r="N189" s="31">
        <f t="shared" si="11"/>
        <v>0</v>
      </c>
      <c r="O189" s="37">
        <f t="shared" si="12"/>
        <v>0</v>
      </c>
      <c r="P189" s="41">
        <f t="shared" si="14"/>
        <v>0</v>
      </c>
      <c r="Q189" s="37">
        <f t="shared" si="13"/>
        <v>0</v>
      </c>
      <c r="T189" s="42"/>
      <c r="U189" s="42"/>
      <c r="V189" s="42"/>
      <c r="W189" s="48"/>
      <c r="X189" s="37"/>
    </row>
    <row r="190" spans="12:24" hidden="1" x14ac:dyDescent="0.25">
      <c r="L190" s="31">
        <f t="shared" si="10"/>
        <v>3</v>
      </c>
      <c r="M190" s="31">
        <v>177</v>
      </c>
      <c r="N190" s="31">
        <f t="shared" si="11"/>
        <v>0</v>
      </c>
      <c r="O190" s="37">
        <f t="shared" si="12"/>
        <v>0</v>
      </c>
      <c r="P190" s="41">
        <f t="shared" si="14"/>
        <v>0</v>
      </c>
      <c r="Q190" s="37">
        <f t="shared" si="13"/>
        <v>0</v>
      </c>
      <c r="T190" s="42"/>
      <c r="U190" s="42"/>
      <c r="V190" s="42"/>
      <c r="W190" s="48"/>
      <c r="X190" s="37"/>
    </row>
    <row r="191" spans="12:24" hidden="1" x14ac:dyDescent="0.25">
      <c r="L191" s="31">
        <f t="shared" si="10"/>
        <v>4</v>
      </c>
      <c r="M191" s="31">
        <v>178</v>
      </c>
      <c r="N191" s="31">
        <f t="shared" si="11"/>
        <v>0</v>
      </c>
      <c r="O191" s="37">
        <f t="shared" si="12"/>
        <v>0</v>
      </c>
      <c r="P191" s="41">
        <f t="shared" si="14"/>
        <v>0</v>
      </c>
      <c r="Q191" s="37">
        <f t="shared" si="13"/>
        <v>0</v>
      </c>
      <c r="T191" s="42"/>
      <c r="U191" s="42"/>
      <c r="V191" s="42"/>
      <c r="W191" s="48"/>
      <c r="X191" s="37"/>
    </row>
    <row r="192" spans="12:24" hidden="1" x14ac:dyDescent="0.25">
      <c r="L192" s="31">
        <f t="shared" si="10"/>
        <v>5</v>
      </c>
      <c r="M192" s="31">
        <v>179</v>
      </c>
      <c r="N192" s="31">
        <f t="shared" si="11"/>
        <v>0</v>
      </c>
      <c r="O192" s="37">
        <f t="shared" si="12"/>
        <v>0</v>
      </c>
      <c r="P192" s="41">
        <f t="shared" si="14"/>
        <v>0</v>
      </c>
      <c r="Q192" s="37">
        <f t="shared" si="13"/>
        <v>0</v>
      </c>
      <c r="T192" s="42"/>
      <c r="U192" s="42"/>
      <c r="V192" s="42"/>
      <c r="W192" s="48"/>
      <c r="X192" s="37"/>
    </row>
    <row r="193" spans="12:24" hidden="1" x14ac:dyDescent="0.25">
      <c r="L193" s="31">
        <f t="shared" si="10"/>
        <v>0</v>
      </c>
      <c r="M193" s="31">
        <v>180</v>
      </c>
      <c r="N193" s="31">
        <f t="shared" si="11"/>
        <v>0</v>
      </c>
      <c r="O193" s="37">
        <f t="shared" si="12"/>
        <v>0</v>
      </c>
      <c r="P193" s="41">
        <f t="shared" si="14"/>
        <v>0</v>
      </c>
      <c r="Q193" s="37">
        <f t="shared" si="13"/>
        <v>0</v>
      </c>
      <c r="T193" s="42"/>
      <c r="U193" s="42"/>
      <c r="V193" s="42"/>
      <c r="W193" s="48"/>
      <c r="X193" s="37"/>
    </row>
    <row r="194" spans="12:24" hidden="1" x14ac:dyDescent="0.25">
      <c r="L194" s="31">
        <f t="shared" si="10"/>
        <v>1</v>
      </c>
      <c r="M194" s="31">
        <v>181</v>
      </c>
      <c r="N194" s="31">
        <f t="shared" si="11"/>
        <v>0</v>
      </c>
      <c r="O194" s="37">
        <f t="shared" si="12"/>
        <v>0</v>
      </c>
      <c r="P194" s="41">
        <f t="shared" si="14"/>
        <v>0</v>
      </c>
      <c r="Q194" s="37">
        <f t="shared" si="13"/>
        <v>0</v>
      </c>
      <c r="T194" s="42"/>
      <c r="U194" s="42"/>
      <c r="V194" s="42"/>
      <c r="W194" s="48"/>
      <c r="X194" s="37"/>
    </row>
    <row r="195" spans="12:24" hidden="1" x14ac:dyDescent="0.25">
      <c r="L195" s="31">
        <f t="shared" si="10"/>
        <v>2</v>
      </c>
      <c r="M195" s="31">
        <v>182</v>
      </c>
      <c r="N195" s="31">
        <f t="shared" si="11"/>
        <v>0</v>
      </c>
      <c r="O195" s="37">
        <f t="shared" si="12"/>
        <v>0</v>
      </c>
      <c r="P195" s="41">
        <f t="shared" si="14"/>
        <v>0</v>
      </c>
      <c r="Q195" s="37">
        <f t="shared" si="13"/>
        <v>0</v>
      </c>
      <c r="T195" s="42"/>
      <c r="U195" s="42"/>
      <c r="V195" s="42"/>
      <c r="W195" s="48"/>
      <c r="X195" s="37"/>
    </row>
    <row r="196" spans="12:24" hidden="1" x14ac:dyDescent="0.25">
      <c r="L196" s="31">
        <f t="shared" si="10"/>
        <v>3</v>
      </c>
      <c r="M196" s="31">
        <v>183</v>
      </c>
      <c r="N196" s="31">
        <f t="shared" si="11"/>
        <v>0</v>
      </c>
      <c r="O196" s="37">
        <f t="shared" si="12"/>
        <v>0</v>
      </c>
      <c r="P196" s="41">
        <f t="shared" si="14"/>
        <v>0</v>
      </c>
      <c r="Q196" s="37">
        <f t="shared" si="13"/>
        <v>0</v>
      </c>
      <c r="T196" s="42"/>
      <c r="U196" s="42"/>
      <c r="V196" s="42"/>
      <c r="W196" s="48"/>
      <c r="X196" s="37"/>
    </row>
    <row r="197" spans="12:24" hidden="1" x14ac:dyDescent="0.25">
      <c r="L197" s="31">
        <f t="shared" si="10"/>
        <v>4</v>
      </c>
      <c r="M197" s="31">
        <v>184</v>
      </c>
      <c r="N197" s="31">
        <f t="shared" si="11"/>
        <v>0</v>
      </c>
      <c r="O197" s="37">
        <f t="shared" si="12"/>
        <v>0</v>
      </c>
      <c r="P197" s="41">
        <f t="shared" si="14"/>
        <v>0</v>
      </c>
      <c r="Q197" s="37">
        <f t="shared" si="13"/>
        <v>0</v>
      </c>
      <c r="T197" s="42"/>
      <c r="U197" s="42"/>
      <c r="V197" s="42"/>
      <c r="W197" s="48"/>
      <c r="X197" s="37"/>
    </row>
    <row r="198" spans="12:24" hidden="1" x14ac:dyDescent="0.25">
      <c r="L198" s="31">
        <f t="shared" si="10"/>
        <v>5</v>
      </c>
      <c r="M198" s="31">
        <v>185</v>
      </c>
      <c r="N198" s="31">
        <f t="shared" si="11"/>
        <v>0</v>
      </c>
      <c r="O198" s="37">
        <f t="shared" si="12"/>
        <v>0</v>
      </c>
      <c r="P198" s="41">
        <f t="shared" si="14"/>
        <v>0</v>
      </c>
      <c r="Q198" s="37">
        <f t="shared" si="13"/>
        <v>0</v>
      </c>
      <c r="T198" s="42"/>
      <c r="U198" s="42"/>
      <c r="V198" s="42"/>
      <c r="W198" s="48"/>
      <c r="X198" s="37"/>
    </row>
    <row r="199" spans="12:24" hidden="1" x14ac:dyDescent="0.25">
      <c r="L199" s="31">
        <f t="shared" si="10"/>
        <v>0</v>
      </c>
      <c r="M199" s="31">
        <v>186</v>
      </c>
      <c r="N199" s="31">
        <f t="shared" si="11"/>
        <v>0</v>
      </c>
      <c r="O199" s="37">
        <f t="shared" si="12"/>
        <v>0</v>
      </c>
      <c r="P199" s="41">
        <f t="shared" si="14"/>
        <v>0</v>
      </c>
      <c r="Q199" s="37">
        <f t="shared" si="13"/>
        <v>0</v>
      </c>
      <c r="T199" s="42"/>
      <c r="U199" s="42"/>
      <c r="V199" s="42"/>
      <c r="W199" s="48"/>
      <c r="X199" s="37"/>
    </row>
    <row r="200" spans="12:24" hidden="1" x14ac:dyDescent="0.25">
      <c r="L200" s="31">
        <f t="shared" si="10"/>
        <v>1</v>
      </c>
      <c r="M200" s="31">
        <v>187</v>
      </c>
      <c r="N200" s="31">
        <f t="shared" si="11"/>
        <v>0</v>
      </c>
      <c r="O200" s="37">
        <f t="shared" si="12"/>
        <v>0</v>
      </c>
      <c r="P200" s="41">
        <f t="shared" si="14"/>
        <v>0</v>
      </c>
      <c r="Q200" s="37">
        <f t="shared" si="13"/>
        <v>0</v>
      </c>
      <c r="T200" s="42"/>
      <c r="U200" s="42"/>
      <c r="V200" s="42"/>
      <c r="W200" s="48"/>
      <c r="X200" s="37"/>
    </row>
    <row r="201" spans="12:24" hidden="1" x14ac:dyDescent="0.25">
      <c r="L201" s="31">
        <f t="shared" si="10"/>
        <v>2</v>
      </c>
      <c r="M201" s="31">
        <v>188</v>
      </c>
      <c r="N201" s="31">
        <f t="shared" si="11"/>
        <v>0</v>
      </c>
      <c r="O201" s="37">
        <f t="shared" si="12"/>
        <v>0</v>
      </c>
      <c r="P201" s="41">
        <f t="shared" si="14"/>
        <v>0</v>
      </c>
      <c r="Q201" s="37">
        <f t="shared" si="13"/>
        <v>0</v>
      </c>
      <c r="T201" s="42"/>
      <c r="U201" s="42"/>
      <c r="V201" s="42"/>
      <c r="W201" s="48"/>
      <c r="X201" s="37"/>
    </row>
    <row r="202" spans="12:24" hidden="1" x14ac:dyDescent="0.25">
      <c r="L202" s="31">
        <f t="shared" si="10"/>
        <v>3</v>
      </c>
      <c r="M202" s="31">
        <v>189</v>
      </c>
      <c r="N202" s="31">
        <f t="shared" si="11"/>
        <v>0</v>
      </c>
      <c r="O202" s="37">
        <f t="shared" si="12"/>
        <v>0</v>
      </c>
      <c r="P202" s="41">
        <f t="shared" si="14"/>
        <v>0</v>
      </c>
      <c r="Q202" s="37">
        <f t="shared" si="13"/>
        <v>0</v>
      </c>
      <c r="T202" s="42"/>
      <c r="U202" s="42"/>
      <c r="V202" s="42"/>
      <c r="W202" s="48"/>
      <c r="X202" s="37"/>
    </row>
    <row r="203" spans="12:24" hidden="1" x14ac:dyDescent="0.25">
      <c r="L203" s="31">
        <f t="shared" si="10"/>
        <v>4</v>
      </c>
      <c r="M203" s="31">
        <v>190</v>
      </c>
      <c r="N203" s="31">
        <f t="shared" si="11"/>
        <v>0</v>
      </c>
      <c r="O203" s="37">
        <f t="shared" si="12"/>
        <v>0</v>
      </c>
      <c r="P203" s="41">
        <f t="shared" si="14"/>
        <v>0</v>
      </c>
      <c r="Q203" s="37">
        <f t="shared" si="13"/>
        <v>0</v>
      </c>
      <c r="T203" s="42"/>
      <c r="U203" s="42"/>
      <c r="V203" s="42"/>
      <c r="W203" s="48"/>
      <c r="X203" s="37"/>
    </row>
    <row r="204" spans="12:24" hidden="1" x14ac:dyDescent="0.25">
      <c r="L204" s="31">
        <f t="shared" si="10"/>
        <v>5</v>
      </c>
      <c r="M204" s="31">
        <v>191</v>
      </c>
      <c r="N204" s="31">
        <f t="shared" si="11"/>
        <v>0</v>
      </c>
      <c r="O204" s="37">
        <f t="shared" si="12"/>
        <v>0</v>
      </c>
      <c r="P204" s="41">
        <f t="shared" si="14"/>
        <v>0</v>
      </c>
      <c r="Q204" s="37">
        <f t="shared" si="13"/>
        <v>0</v>
      </c>
      <c r="T204" s="42"/>
      <c r="U204" s="42"/>
      <c r="V204" s="42"/>
      <c r="W204" s="48"/>
      <c r="X204" s="37"/>
    </row>
    <row r="205" spans="12:24" hidden="1" x14ac:dyDescent="0.25">
      <c r="L205" s="31">
        <f t="shared" ref="L205:L268" si="15">MOD(M205,12/$C$9)</f>
        <v>0</v>
      </c>
      <c r="M205" s="31">
        <v>192</v>
      </c>
      <c r="N205" s="31">
        <f t="shared" ref="N205:N268" si="16">IF(M205&lt;$O$8,IF(L205=0,$C$8,0),0)</f>
        <v>0</v>
      </c>
      <c r="O205" s="37">
        <f t="shared" ref="O205:O268" si="17">IF(M205&lt;=$O$8,FV(SRate,($O$8-M205),0,-N205,1),0)</f>
        <v>0</v>
      </c>
      <c r="P205" s="41">
        <f t="shared" si="14"/>
        <v>0</v>
      </c>
      <c r="Q205" s="37">
        <f t="shared" ref="Q205:Q268" si="18">(O205-N205)*TaxRate</f>
        <v>0</v>
      </c>
      <c r="T205" s="42"/>
      <c r="U205" s="42"/>
      <c r="V205" s="42"/>
      <c r="W205" s="48"/>
      <c r="X205" s="37"/>
    </row>
    <row r="206" spans="12:24" hidden="1" x14ac:dyDescent="0.25">
      <c r="L206" s="31">
        <f t="shared" si="15"/>
        <v>1</v>
      </c>
      <c r="M206" s="31">
        <v>193</v>
      </c>
      <c r="N206" s="31">
        <f t="shared" si="16"/>
        <v>0</v>
      </c>
      <c r="O206" s="37">
        <f t="shared" si="17"/>
        <v>0</v>
      </c>
      <c r="P206" s="41">
        <f t="shared" ref="P206:P269" si="19">IF(M206&lt;=$O$8,FV(SRate,1,0,-P205,1),0)+N206</f>
        <v>0</v>
      </c>
      <c r="Q206" s="37">
        <f t="shared" si="18"/>
        <v>0</v>
      </c>
      <c r="T206" s="42"/>
      <c r="U206" s="42"/>
      <c r="V206" s="42"/>
      <c r="W206" s="48"/>
      <c r="X206" s="37"/>
    </row>
    <row r="207" spans="12:24" hidden="1" x14ac:dyDescent="0.25">
      <c r="L207" s="31">
        <f t="shared" si="15"/>
        <v>2</v>
      </c>
      <c r="M207" s="31">
        <v>194</v>
      </c>
      <c r="N207" s="31">
        <f t="shared" si="16"/>
        <v>0</v>
      </c>
      <c r="O207" s="37">
        <f t="shared" si="17"/>
        <v>0</v>
      </c>
      <c r="P207" s="41">
        <f t="shared" si="19"/>
        <v>0</v>
      </c>
      <c r="Q207" s="37">
        <f t="shared" si="18"/>
        <v>0</v>
      </c>
      <c r="T207" s="42"/>
      <c r="U207" s="42"/>
      <c r="V207" s="42"/>
      <c r="W207" s="48"/>
      <c r="X207" s="37"/>
    </row>
    <row r="208" spans="12:24" hidden="1" x14ac:dyDescent="0.25">
      <c r="L208" s="31">
        <f t="shared" si="15"/>
        <v>3</v>
      </c>
      <c r="M208" s="31">
        <v>195</v>
      </c>
      <c r="N208" s="31">
        <f t="shared" si="16"/>
        <v>0</v>
      </c>
      <c r="O208" s="37">
        <f t="shared" si="17"/>
        <v>0</v>
      </c>
      <c r="P208" s="41">
        <f t="shared" si="19"/>
        <v>0</v>
      </c>
      <c r="Q208" s="37">
        <f t="shared" si="18"/>
        <v>0</v>
      </c>
      <c r="T208" s="42"/>
      <c r="U208" s="42"/>
      <c r="V208" s="42"/>
      <c r="W208" s="48"/>
      <c r="X208" s="37"/>
    </row>
    <row r="209" spans="12:24" hidden="1" x14ac:dyDescent="0.25">
      <c r="L209" s="31">
        <f t="shared" si="15"/>
        <v>4</v>
      </c>
      <c r="M209" s="31">
        <v>196</v>
      </c>
      <c r="N209" s="31">
        <f t="shared" si="16"/>
        <v>0</v>
      </c>
      <c r="O209" s="37">
        <f t="shared" si="17"/>
        <v>0</v>
      </c>
      <c r="P209" s="41">
        <f t="shared" si="19"/>
        <v>0</v>
      </c>
      <c r="Q209" s="37">
        <f t="shared" si="18"/>
        <v>0</v>
      </c>
      <c r="T209" s="42"/>
      <c r="U209" s="42"/>
      <c r="V209" s="42"/>
      <c r="W209" s="48"/>
      <c r="X209" s="37"/>
    </row>
    <row r="210" spans="12:24" hidden="1" x14ac:dyDescent="0.25">
      <c r="L210" s="31">
        <f t="shared" si="15"/>
        <v>5</v>
      </c>
      <c r="M210" s="31">
        <v>197</v>
      </c>
      <c r="N210" s="31">
        <f t="shared" si="16"/>
        <v>0</v>
      </c>
      <c r="O210" s="37">
        <f t="shared" si="17"/>
        <v>0</v>
      </c>
      <c r="P210" s="41">
        <f t="shared" si="19"/>
        <v>0</v>
      </c>
      <c r="Q210" s="37">
        <f t="shared" si="18"/>
        <v>0</v>
      </c>
      <c r="T210" s="42"/>
      <c r="U210" s="42"/>
      <c r="V210" s="42"/>
      <c r="W210" s="48"/>
      <c r="X210" s="37"/>
    </row>
    <row r="211" spans="12:24" hidden="1" x14ac:dyDescent="0.25">
      <c r="L211" s="31">
        <f t="shared" si="15"/>
        <v>0</v>
      </c>
      <c r="M211" s="31">
        <v>198</v>
      </c>
      <c r="N211" s="31">
        <f t="shared" si="16"/>
        <v>0</v>
      </c>
      <c r="O211" s="37">
        <f t="shared" si="17"/>
        <v>0</v>
      </c>
      <c r="P211" s="41">
        <f t="shared" si="19"/>
        <v>0</v>
      </c>
      <c r="Q211" s="37">
        <f t="shared" si="18"/>
        <v>0</v>
      </c>
      <c r="T211" s="42"/>
      <c r="U211" s="42"/>
      <c r="V211" s="42"/>
      <c r="W211" s="48"/>
      <c r="X211" s="37"/>
    </row>
    <row r="212" spans="12:24" hidden="1" x14ac:dyDescent="0.25">
      <c r="L212" s="31">
        <f t="shared" si="15"/>
        <v>1</v>
      </c>
      <c r="M212" s="31">
        <v>199</v>
      </c>
      <c r="N212" s="31">
        <f t="shared" si="16"/>
        <v>0</v>
      </c>
      <c r="O212" s="37">
        <f t="shared" si="17"/>
        <v>0</v>
      </c>
      <c r="P212" s="41">
        <f t="shared" si="19"/>
        <v>0</v>
      </c>
      <c r="Q212" s="37">
        <f t="shared" si="18"/>
        <v>0</v>
      </c>
      <c r="T212" s="42"/>
      <c r="U212" s="42"/>
      <c r="V212" s="42"/>
      <c r="W212" s="48"/>
      <c r="X212" s="37"/>
    </row>
    <row r="213" spans="12:24" hidden="1" x14ac:dyDescent="0.25">
      <c r="L213" s="31">
        <f t="shared" si="15"/>
        <v>2</v>
      </c>
      <c r="M213" s="31">
        <v>200</v>
      </c>
      <c r="N213" s="31">
        <f t="shared" si="16"/>
        <v>0</v>
      </c>
      <c r="O213" s="37">
        <f t="shared" si="17"/>
        <v>0</v>
      </c>
      <c r="P213" s="41">
        <f t="shared" si="19"/>
        <v>0</v>
      </c>
      <c r="Q213" s="37">
        <f t="shared" si="18"/>
        <v>0</v>
      </c>
      <c r="T213" s="42"/>
      <c r="U213" s="42"/>
      <c r="V213" s="42"/>
      <c r="W213" s="48"/>
      <c r="X213" s="37"/>
    </row>
    <row r="214" spans="12:24" hidden="1" x14ac:dyDescent="0.25">
      <c r="L214" s="31">
        <f t="shared" si="15"/>
        <v>3</v>
      </c>
      <c r="M214" s="31">
        <v>201</v>
      </c>
      <c r="N214" s="31">
        <f t="shared" si="16"/>
        <v>0</v>
      </c>
      <c r="O214" s="37">
        <f t="shared" si="17"/>
        <v>0</v>
      </c>
      <c r="P214" s="41">
        <f t="shared" si="19"/>
        <v>0</v>
      </c>
      <c r="Q214" s="37">
        <f t="shared" si="18"/>
        <v>0</v>
      </c>
      <c r="T214" s="42"/>
      <c r="U214" s="42"/>
      <c r="V214" s="42"/>
      <c r="W214" s="48"/>
      <c r="X214" s="37"/>
    </row>
    <row r="215" spans="12:24" hidden="1" x14ac:dyDescent="0.25">
      <c r="L215" s="31">
        <f t="shared" si="15"/>
        <v>4</v>
      </c>
      <c r="M215" s="31">
        <v>202</v>
      </c>
      <c r="N215" s="31">
        <f t="shared" si="16"/>
        <v>0</v>
      </c>
      <c r="O215" s="37">
        <f t="shared" si="17"/>
        <v>0</v>
      </c>
      <c r="P215" s="41">
        <f t="shared" si="19"/>
        <v>0</v>
      </c>
      <c r="Q215" s="37">
        <f t="shared" si="18"/>
        <v>0</v>
      </c>
      <c r="T215" s="42"/>
      <c r="U215" s="42"/>
      <c r="V215" s="42"/>
      <c r="W215" s="48"/>
      <c r="X215" s="37"/>
    </row>
    <row r="216" spans="12:24" hidden="1" x14ac:dyDescent="0.25">
      <c r="L216" s="31">
        <f t="shared" si="15"/>
        <v>5</v>
      </c>
      <c r="M216" s="31">
        <v>203</v>
      </c>
      <c r="N216" s="31">
        <f t="shared" si="16"/>
        <v>0</v>
      </c>
      <c r="O216" s="37">
        <f t="shared" si="17"/>
        <v>0</v>
      </c>
      <c r="P216" s="41">
        <f t="shared" si="19"/>
        <v>0</v>
      </c>
      <c r="Q216" s="37">
        <f t="shared" si="18"/>
        <v>0</v>
      </c>
      <c r="T216" s="42"/>
      <c r="U216" s="42"/>
      <c r="V216" s="42"/>
      <c r="W216" s="48"/>
      <c r="X216" s="37"/>
    </row>
    <row r="217" spans="12:24" hidden="1" x14ac:dyDescent="0.25">
      <c r="L217" s="31">
        <f t="shared" si="15"/>
        <v>0</v>
      </c>
      <c r="M217" s="31">
        <v>204</v>
      </c>
      <c r="N217" s="31">
        <f t="shared" si="16"/>
        <v>0</v>
      </c>
      <c r="O217" s="37">
        <f t="shared" si="17"/>
        <v>0</v>
      </c>
      <c r="P217" s="41">
        <f t="shared" si="19"/>
        <v>0</v>
      </c>
      <c r="Q217" s="37">
        <f t="shared" si="18"/>
        <v>0</v>
      </c>
      <c r="T217" s="42"/>
      <c r="U217" s="42"/>
      <c r="V217" s="42"/>
      <c r="W217" s="48"/>
      <c r="X217" s="37"/>
    </row>
    <row r="218" spans="12:24" hidden="1" x14ac:dyDescent="0.25">
      <c r="L218" s="31">
        <f t="shared" si="15"/>
        <v>1</v>
      </c>
      <c r="M218" s="31">
        <v>205</v>
      </c>
      <c r="N218" s="31">
        <f t="shared" si="16"/>
        <v>0</v>
      </c>
      <c r="O218" s="37">
        <f t="shared" si="17"/>
        <v>0</v>
      </c>
      <c r="P218" s="41">
        <f t="shared" si="19"/>
        <v>0</v>
      </c>
      <c r="Q218" s="37">
        <f t="shared" si="18"/>
        <v>0</v>
      </c>
      <c r="T218" s="42"/>
      <c r="U218" s="42"/>
      <c r="V218" s="42"/>
      <c r="W218" s="48"/>
      <c r="X218" s="37"/>
    </row>
    <row r="219" spans="12:24" hidden="1" x14ac:dyDescent="0.25">
      <c r="L219" s="31">
        <f t="shared" si="15"/>
        <v>2</v>
      </c>
      <c r="M219" s="31">
        <v>206</v>
      </c>
      <c r="N219" s="31">
        <f t="shared" si="16"/>
        <v>0</v>
      </c>
      <c r="O219" s="37">
        <f t="shared" si="17"/>
        <v>0</v>
      </c>
      <c r="P219" s="41">
        <f t="shared" si="19"/>
        <v>0</v>
      </c>
      <c r="Q219" s="37">
        <f t="shared" si="18"/>
        <v>0</v>
      </c>
      <c r="T219" s="42"/>
      <c r="U219" s="42"/>
      <c r="V219" s="42"/>
      <c r="W219" s="48"/>
      <c r="X219" s="37"/>
    </row>
    <row r="220" spans="12:24" hidden="1" x14ac:dyDescent="0.25">
      <c r="L220" s="31">
        <f t="shared" si="15"/>
        <v>3</v>
      </c>
      <c r="M220" s="31">
        <v>207</v>
      </c>
      <c r="N220" s="31">
        <f t="shared" si="16"/>
        <v>0</v>
      </c>
      <c r="O220" s="37">
        <f t="shared" si="17"/>
        <v>0</v>
      </c>
      <c r="P220" s="41">
        <f t="shared" si="19"/>
        <v>0</v>
      </c>
      <c r="Q220" s="37">
        <f t="shared" si="18"/>
        <v>0</v>
      </c>
      <c r="T220" s="42"/>
      <c r="U220" s="42"/>
      <c r="V220" s="42"/>
      <c r="W220" s="48"/>
      <c r="X220" s="37"/>
    </row>
    <row r="221" spans="12:24" hidden="1" x14ac:dyDescent="0.25">
      <c r="L221" s="31">
        <f t="shared" si="15"/>
        <v>4</v>
      </c>
      <c r="M221" s="31">
        <v>208</v>
      </c>
      <c r="N221" s="31">
        <f t="shared" si="16"/>
        <v>0</v>
      </c>
      <c r="O221" s="37">
        <f t="shared" si="17"/>
        <v>0</v>
      </c>
      <c r="P221" s="41">
        <f t="shared" si="19"/>
        <v>0</v>
      </c>
      <c r="Q221" s="37">
        <f t="shared" si="18"/>
        <v>0</v>
      </c>
      <c r="T221" s="42"/>
      <c r="U221" s="42"/>
      <c r="V221" s="42"/>
      <c r="W221" s="48"/>
      <c r="X221" s="37"/>
    </row>
    <row r="222" spans="12:24" hidden="1" x14ac:dyDescent="0.25">
      <c r="L222" s="31">
        <f t="shared" si="15"/>
        <v>5</v>
      </c>
      <c r="M222" s="31">
        <v>209</v>
      </c>
      <c r="N222" s="31">
        <f t="shared" si="16"/>
        <v>0</v>
      </c>
      <c r="O222" s="37">
        <f t="shared" si="17"/>
        <v>0</v>
      </c>
      <c r="P222" s="41">
        <f t="shared" si="19"/>
        <v>0</v>
      </c>
      <c r="Q222" s="37">
        <f t="shared" si="18"/>
        <v>0</v>
      </c>
      <c r="T222" s="42"/>
      <c r="U222" s="42"/>
      <c r="V222" s="42"/>
      <c r="W222" s="48"/>
      <c r="X222" s="37"/>
    </row>
    <row r="223" spans="12:24" hidden="1" x14ac:dyDescent="0.25">
      <c r="L223" s="31">
        <f t="shared" si="15"/>
        <v>0</v>
      </c>
      <c r="M223" s="31">
        <v>210</v>
      </c>
      <c r="N223" s="31">
        <f t="shared" si="16"/>
        <v>0</v>
      </c>
      <c r="O223" s="37">
        <f t="shared" si="17"/>
        <v>0</v>
      </c>
      <c r="P223" s="41">
        <f t="shared" si="19"/>
        <v>0</v>
      </c>
      <c r="Q223" s="37">
        <f t="shared" si="18"/>
        <v>0</v>
      </c>
      <c r="T223" s="42"/>
      <c r="U223" s="42"/>
      <c r="V223" s="42"/>
      <c r="W223" s="48"/>
      <c r="X223" s="37"/>
    </row>
    <row r="224" spans="12:24" hidden="1" x14ac:dyDescent="0.25">
      <c r="L224" s="31">
        <f t="shared" si="15"/>
        <v>1</v>
      </c>
      <c r="M224" s="31">
        <v>211</v>
      </c>
      <c r="N224" s="31">
        <f t="shared" si="16"/>
        <v>0</v>
      </c>
      <c r="O224" s="37">
        <f t="shared" si="17"/>
        <v>0</v>
      </c>
      <c r="P224" s="41">
        <f t="shared" si="19"/>
        <v>0</v>
      </c>
      <c r="Q224" s="37">
        <f t="shared" si="18"/>
        <v>0</v>
      </c>
      <c r="T224" s="42"/>
      <c r="U224" s="42"/>
      <c r="V224" s="42"/>
      <c r="W224" s="48"/>
      <c r="X224" s="37"/>
    </row>
    <row r="225" spans="12:24" hidden="1" x14ac:dyDescent="0.25">
      <c r="L225" s="31">
        <f t="shared" si="15"/>
        <v>2</v>
      </c>
      <c r="M225" s="31">
        <v>212</v>
      </c>
      <c r="N225" s="31">
        <f t="shared" si="16"/>
        <v>0</v>
      </c>
      <c r="O225" s="37">
        <f t="shared" si="17"/>
        <v>0</v>
      </c>
      <c r="P225" s="41">
        <f t="shared" si="19"/>
        <v>0</v>
      </c>
      <c r="Q225" s="37">
        <f t="shared" si="18"/>
        <v>0</v>
      </c>
      <c r="T225" s="42"/>
      <c r="U225" s="42"/>
      <c r="V225" s="42"/>
      <c r="W225" s="48"/>
      <c r="X225" s="37"/>
    </row>
    <row r="226" spans="12:24" hidden="1" x14ac:dyDescent="0.25">
      <c r="L226" s="31">
        <f t="shared" si="15"/>
        <v>3</v>
      </c>
      <c r="M226" s="31">
        <v>213</v>
      </c>
      <c r="N226" s="31">
        <f t="shared" si="16"/>
        <v>0</v>
      </c>
      <c r="O226" s="37">
        <f t="shared" si="17"/>
        <v>0</v>
      </c>
      <c r="P226" s="41">
        <f t="shared" si="19"/>
        <v>0</v>
      </c>
      <c r="Q226" s="37">
        <f t="shared" si="18"/>
        <v>0</v>
      </c>
      <c r="T226" s="42"/>
      <c r="U226" s="42"/>
      <c r="V226" s="42"/>
      <c r="W226" s="48"/>
      <c r="X226" s="37"/>
    </row>
    <row r="227" spans="12:24" hidden="1" x14ac:dyDescent="0.25">
      <c r="L227" s="31">
        <f t="shared" si="15"/>
        <v>4</v>
      </c>
      <c r="M227" s="31">
        <v>214</v>
      </c>
      <c r="N227" s="31">
        <f t="shared" si="16"/>
        <v>0</v>
      </c>
      <c r="O227" s="37">
        <f t="shared" si="17"/>
        <v>0</v>
      </c>
      <c r="P227" s="41">
        <f t="shared" si="19"/>
        <v>0</v>
      </c>
      <c r="Q227" s="37">
        <f t="shared" si="18"/>
        <v>0</v>
      </c>
      <c r="T227" s="42"/>
      <c r="U227" s="42"/>
      <c r="V227" s="42"/>
      <c r="W227" s="48"/>
      <c r="X227" s="37"/>
    </row>
    <row r="228" spans="12:24" hidden="1" x14ac:dyDescent="0.25">
      <c r="L228" s="31">
        <f t="shared" si="15"/>
        <v>5</v>
      </c>
      <c r="M228" s="31">
        <v>215</v>
      </c>
      <c r="N228" s="31">
        <f t="shared" si="16"/>
        <v>0</v>
      </c>
      <c r="O228" s="37">
        <f t="shared" si="17"/>
        <v>0</v>
      </c>
      <c r="P228" s="41">
        <f t="shared" si="19"/>
        <v>0</v>
      </c>
      <c r="Q228" s="37">
        <f t="shared" si="18"/>
        <v>0</v>
      </c>
      <c r="T228" s="42"/>
      <c r="U228" s="42"/>
      <c r="V228" s="42"/>
      <c r="W228" s="48"/>
      <c r="X228" s="37"/>
    </row>
    <row r="229" spans="12:24" hidden="1" x14ac:dyDescent="0.25">
      <c r="L229" s="31">
        <f t="shared" si="15"/>
        <v>0</v>
      </c>
      <c r="M229" s="31">
        <v>216</v>
      </c>
      <c r="N229" s="31">
        <f t="shared" si="16"/>
        <v>0</v>
      </c>
      <c r="O229" s="37">
        <f t="shared" si="17"/>
        <v>0</v>
      </c>
      <c r="P229" s="41">
        <f t="shared" si="19"/>
        <v>0</v>
      </c>
      <c r="Q229" s="37">
        <f t="shared" si="18"/>
        <v>0</v>
      </c>
      <c r="T229" s="42"/>
      <c r="U229" s="42"/>
      <c r="V229" s="42"/>
      <c r="W229" s="48"/>
      <c r="X229" s="37"/>
    </row>
    <row r="230" spans="12:24" hidden="1" x14ac:dyDescent="0.25">
      <c r="L230" s="31">
        <f t="shared" si="15"/>
        <v>1</v>
      </c>
      <c r="M230" s="31">
        <v>217</v>
      </c>
      <c r="N230" s="31">
        <f t="shared" si="16"/>
        <v>0</v>
      </c>
      <c r="O230" s="37">
        <f t="shared" si="17"/>
        <v>0</v>
      </c>
      <c r="P230" s="41">
        <f t="shared" si="19"/>
        <v>0</v>
      </c>
      <c r="Q230" s="37">
        <f t="shared" si="18"/>
        <v>0</v>
      </c>
      <c r="T230" s="42"/>
      <c r="U230" s="42"/>
      <c r="V230" s="42"/>
      <c r="W230" s="48"/>
      <c r="X230" s="37"/>
    </row>
    <row r="231" spans="12:24" hidden="1" x14ac:dyDescent="0.25">
      <c r="L231" s="31">
        <f t="shared" si="15"/>
        <v>2</v>
      </c>
      <c r="M231" s="31">
        <v>218</v>
      </c>
      <c r="N231" s="31">
        <f t="shared" si="16"/>
        <v>0</v>
      </c>
      <c r="O231" s="37">
        <f t="shared" si="17"/>
        <v>0</v>
      </c>
      <c r="P231" s="41">
        <f t="shared" si="19"/>
        <v>0</v>
      </c>
      <c r="Q231" s="37">
        <f t="shared" si="18"/>
        <v>0</v>
      </c>
      <c r="T231" s="42"/>
      <c r="U231" s="42"/>
      <c r="V231" s="42"/>
      <c r="W231" s="48"/>
      <c r="X231" s="37"/>
    </row>
    <row r="232" spans="12:24" hidden="1" x14ac:dyDescent="0.25">
      <c r="L232" s="31">
        <f t="shared" si="15"/>
        <v>3</v>
      </c>
      <c r="M232" s="31">
        <v>219</v>
      </c>
      <c r="N232" s="31">
        <f t="shared" si="16"/>
        <v>0</v>
      </c>
      <c r="O232" s="37">
        <f t="shared" si="17"/>
        <v>0</v>
      </c>
      <c r="P232" s="41">
        <f t="shared" si="19"/>
        <v>0</v>
      </c>
      <c r="Q232" s="37">
        <f t="shared" si="18"/>
        <v>0</v>
      </c>
      <c r="T232" s="42"/>
      <c r="U232" s="42"/>
      <c r="V232" s="42"/>
      <c r="W232" s="48"/>
      <c r="X232" s="37"/>
    </row>
    <row r="233" spans="12:24" hidden="1" x14ac:dyDescent="0.25">
      <c r="L233" s="31">
        <f t="shared" si="15"/>
        <v>4</v>
      </c>
      <c r="M233" s="31">
        <v>220</v>
      </c>
      <c r="N233" s="31">
        <f t="shared" si="16"/>
        <v>0</v>
      </c>
      <c r="O233" s="37">
        <f t="shared" si="17"/>
        <v>0</v>
      </c>
      <c r="P233" s="41">
        <f t="shared" si="19"/>
        <v>0</v>
      </c>
      <c r="Q233" s="37">
        <f t="shared" si="18"/>
        <v>0</v>
      </c>
      <c r="T233" s="42"/>
      <c r="U233" s="42"/>
      <c r="V233" s="42"/>
      <c r="W233" s="48"/>
      <c r="X233" s="37"/>
    </row>
    <row r="234" spans="12:24" hidden="1" x14ac:dyDescent="0.25">
      <c r="L234" s="31">
        <f t="shared" si="15"/>
        <v>5</v>
      </c>
      <c r="M234" s="31">
        <v>221</v>
      </c>
      <c r="N234" s="31">
        <f t="shared" si="16"/>
        <v>0</v>
      </c>
      <c r="O234" s="37">
        <f t="shared" si="17"/>
        <v>0</v>
      </c>
      <c r="P234" s="41">
        <f t="shared" si="19"/>
        <v>0</v>
      </c>
      <c r="Q234" s="37">
        <f t="shared" si="18"/>
        <v>0</v>
      </c>
      <c r="T234" s="42"/>
      <c r="U234" s="42"/>
      <c r="V234" s="42"/>
      <c r="W234" s="48"/>
      <c r="X234" s="37"/>
    </row>
    <row r="235" spans="12:24" hidden="1" x14ac:dyDescent="0.25">
      <c r="L235" s="31">
        <f t="shared" si="15"/>
        <v>0</v>
      </c>
      <c r="M235" s="31">
        <v>222</v>
      </c>
      <c r="N235" s="31">
        <f t="shared" si="16"/>
        <v>0</v>
      </c>
      <c r="O235" s="37">
        <f t="shared" si="17"/>
        <v>0</v>
      </c>
      <c r="P235" s="41">
        <f t="shared" si="19"/>
        <v>0</v>
      </c>
      <c r="Q235" s="37">
        <f t="shared" si="18"/>
        <v>0</v>
      </c>
      <c r="T235" s="42"/>
      <c r="U235" s="42"/>
      <c r="V235" s="42"/>
      <c r="W235" s="48"/>
      <c r="X235" s="37"/>
    </row>
    <row r="236" spans="12:24" hidden="1" x14ac:dyDescent="0.25">
      <c r="L236" s="31">
        <f t="shared" si="15"/>
        <v>1</v>
      </c>
      <c r="M236" s="31">
        <v>223</v>
      </c>
      <c r="N236" s="31">
        <f t="shared" si="16"/>
        <v>0</v>
      </c>
      <c r="O236" s="37">
        <f t="shared" si="17"/>
        <v>0</v>
      </c>
      <c r="P236" s="41">
        <f t="shared" si="19"/>
        <v>0</v>
      </c>
      <c r="Q236" s="37">
        <f t="shared" si="18"/>
        <v>0</v>
      </c>
      <c r="T236" s="42"/>
      <c r="U236" s="42"/>
      <c r="V236" s="42"/>
      <c r="W236" s="48"/>
      <c r="X236" s="37"/>
    </row>
    <row r="237" spans="12:24" hidden="1" x14ac:dyDescent="0.25">
      <c r="L237" s="31">
        <f t="shared" si="15"/>
        <v>2</v>
      </c>
      <c r="M237" s="31">
        <v>224</v>
      </c>
      <c r="N237" s="31">
        <f t="shared" si="16"/>
        <v>0</v>
      </c>
      <c r="O237" s="37">
        <f t="shared" si="17"/>
        <v>0</v>
      </c>
      <c r="P237" s="41">
        <f t="shared" si="19"/>
        <v>0</v>
      </c>
      <c r="Q237" s="37">
        <f t="shared" si="18"/>
        <v>0</v>
      </c>
      <c r="T237" s="42"/>
      <c r="U237" s="42"/>
      <c r="V237" s="42"/>
      <c r="W237" s="48"/>
      <c r="X237" s="37"/>
    </row>
    <row r="238" spans="12:24" hidden="1" x14ac:dyDescent="0.25">
      <c r="L238" s="31">
        <f t="shared" si="15"/>
        <v>3</v>
      </c>
      <c r="M238" s="31">
        <v>225</v>
      </c>
      <c r="N238" s="31">
        <f t="shared" si="16"/>
        <v>0</v>
      </c>
      <c r="O238" s="37">
        <f t="shared" si="17"/>
        <v>0</v>
      </c>
      <c r="P238" s="41">
        <f t="shared" si="19"/>
        <v>0</v>
      </c>
      <c r="Q238" s="37">
        <f t="shared" si="18"/>
        <v>0</v>
      </c>
      <c r="T238" s="42"/>
      <c r="U238" s="42"/>
      <c r="V238" s="42"/>
      <c r="W238" s="48"/>
      <c r="X238" s="37"/>
    </row>
    <row r="239" spans="12:24" hidden="1" x14ac:dyDescent="0.25">
      <c r="L239" s="31">
        <f t="shared" si="15"/>
        <v>4</v>
      </c>
      <c r="M239" s="31">
        <v>226</v>
      </c>
      <c r="N239" s="31">
        <f t="shared" si="16"/>
        <v>0</v>
      </c>
      <c r="O239" s="37">
        <f t="shared" si="17"/>
        <v>0</v>
      </c>
      <c r="P239" s="41">
        <f t="shared" si="19"/>
        <v>0</v>
      </c>
      <c r="Q239" s="37">
        <f t="shared" si="18"/>
        <v>0</v>
      </c>
      <c r="T239" s="42"/>
      <c r="U239" s="42"/>
      <c r="V239" s="42"/>
      <c r="W239" s="48"/>
      <c r="X239" s="37"/>
    </row>
    <row r="240" spans="12:24" hidden="1" x14ac:dyDescent="0.25">
      <c r="L240" s="31">
        <f t="shared" si="15"/>
        <v>5</v>
      </c>
      <c r="M240" s="31">
        <v>227</v>
      </c>
      <c r="N240" s="31">
        <f t="shared" si="16"/>
        <v>0</v>
      </c>
      <c r="O240" s="37">
        <f t="shared" si="17"/>
        <v>0</v>
      </c>
      <c r="P240" s="41">
        <f t="shared" si="19"/>
        <v>0</v>
      </c>
      <c r="Q240" s="37">
        <f t="shared" si="18"/>
        <v>0</v>
      </c>
      <c r="T240" s="42"/>
      <c r="U240" s="42"/>
      <c r="V240" s="42"/>
      <c r="W240" s="48"/>
      <c r="X240" s="37"/>
    </row>
    <row r="241" spans="12:24" hidden="1" x14ac:dyDescent="0.25">
      <c r="L241" s="31">
        <f t="shared" si="15"/>
        <v>0</v>
      </c>
      <c r="M241" s="31">
        <v>228</v>
      </c>
      <c r="N241" s="31">
        <f t="shared" si="16"/>
        <v>0</v>
      </c>
      <c r="O241" s="37">
        <f t="shared" si="17"/>
        <v>0</v>
      </c>
      <c r="P241" s="41">
        <f t="shared" si="19"/>
        <v>0</v>
      </c>
      <c r="Q241" s="37">
        <f t="shared" si="18"/>
        <v>0</v>
      </c>
      <c r="T241" s="42"/>
      <c r="U241" s="42"/>
      <c r="V241" s="42"/>
      <c r="W241" s="48"/>
      <c r="X241" s="37"/>
    </row>
    <row r="242" spans="12:24" hidden="1" x14ac:dyDescent="0.25">
      <c r="L242" s="31">
        <f t="shared" si="15"/>
        <v>1</v>
      </c>
      <c r="M242" s="31">
        <v>229</v>
      </c>
      <c r="N242" s="31">
        <f t="shared" si="16"/>
        <v>0</v>
      </c>
      <c r="O242" s="37">
        <f t="shared" si="17"/>
        <v>0</v>
      </c>
      <c r="P242" s="41">
        <f t="shared" si="19"/>
        <v>0</v>
      </c>
      <c r="Q242" s="37">
        <f t="shared" si="18"/>
        <v>0</v>
      </c>
      <c r="T242" s="42"/>
      <c r="U242" s="42"/>
      <c r="V242" s="42"/>
      <c r="W242" s="48"/>
      <c r="X242" s="37"/>
    </row>
    <row r="243" spans="12:24" hidden="1" x14ac:dyDescent="0.25">
      <c r="L243" s="31">
        <f t="shared" si="15"/>
        <v>2</v>
      </c>
      <c r="M243" s="31">
        <v>230</v>
      </c>
      <c r="N243" s="31">
        <f t="shared" si="16"/>
        <v>0</v>
      </c>
      <c r="O243" s="37">
        <f t="shared" si="17"/>
        <v>0</v>
      </c>
      <c r="P243" s="41">
        <f t="shared" si="19"/>
        <v>0</v>
      </c>
      <c r="Q243" s="37">
        <f t="shared" si="18"/>
        <v>0</v>
      </c>
      <c r="T243" s="42"/>
      <c r="U243" s="42"/>
      <c r="V243" s="42"/>
      <c r="W243" s="48"/>
      <c r="X243" s="37"/>
    </row>
    <row r="244" spans="12:24" hidden="1" x14ac:dyDescent="0.25">
      <c r="L244" s="31">
        <f t="shared" si="15"/>
        <v>3</v>
      </c>
      <c r="M244" s="31">
        <v>231</v>
      </c>
      <c r="N244" s="31">
        <f t="shared" si="16"/>
        <v>0</v>
      </c>
      <c r="O244" s="37">
        <f t="shared" si="17"/>
        <v>0</v>
      </c>
      <c r="P244" s="41">
        <f t="shared" si="19"/>
        <v>0</v>
      </c>
      <c r="Q244" s="37">
        <f t="shared" si="18"/>
        <v>0</v>
      </c>
      <c r="T244" s="42"/>
      <c r="U244" s="42"/>
      <c r="V244" s="42"/>
      <c r="W244" s="48"/>
      <c r="X244" s="37"/>
    </row>
    <row r="245" spans="12:24" hidden="1" x14ac:dyDescent="0.25">
      <c r="L245" s="31">
        <f t="shared" si="15"/>
        <v>4</v>
      </c>
      <c r="M245" s="31">
        <v>232</v>
      </c>
      <c r="N245" s="31">
        <f t="shared" si="16"/>
        <v>0</v>
      </c>
      <c r="O245" s="37">
        <f t="shared" si="17"/>
        <v>0</v>
      </c>
      <c r="P245" s="41">
        <f t="shared" si="19"/>
        <v>0</v>
      </c>
      <c r="Q245" s="37">
        <f t="shared" si="18"/>
        <v>0</v>
      </c>
      <c r="T245" s="42"/>
      <c r="U245" s="42"/>
      <c r="V245" s="42"/>
      <c r="W245" s="48"/>
      <c r="X245" s="37"/>
    </row>
    <row r="246" spans="12:24" hidden="1" x14ac:dyDescent="0.25">
      <c r="L246" s="31">
        <f t="shared" si="15"/>
        <v>5</v>
      </c>
      <c r="M246" s="31">
        <v>233</v>
      </c>
      <c r="N246" s="31">
        <f t="shared" si="16"/>
        <v>0</v>
      </c>
      <c r="O246" s="37">
        <f t="shared" si="17"/>
        <v>0</v>
      </c>
      <c r="P246" s="41">
        <f t="shared" si="19"/>
        <v>0</v>
      </c>
      <c r="Q246" s="37">
        <f t="shared" si="18"/>
        <v>0</v>
      </c>
      <c r="T246" s="42"/>
      <c r="U246" s="42"/>
      <c r="V246" s="42"/>
      <c r="W246" s="48"/>
      <c r="X246" s="37"/>
    </row>
    <row r="247" spans="12:24" hidden="1" x14ac:dyDescent="0.25">
      <c r="L247" s="31">
        <f t="shared" si="15"/>
        <v>0</v>
      </c>
      <c r="M247" s="31">
        <v>234</v>
      </c>
      <c r="N247" s="31">
        <f t="shared" si="16"/>
        <v>0</v>
      </c>
      <c r="O247" s="37">
        <f t="shared" si="17"/>
        <v>0</v>
      </c>
      <c r="P247" s="41">
        <f t="shared" si="19"/>
        <v>0</v>
      </c>
      <c r="Q247" s="37">
        <f t="shared" si="18"/>
        <v>0</v>
      </c>
      <c r="T247" s="42"/>
      <c r="U247" s="42"/>
      <c r="V247" s="42"/>
      <c r="W247" s="48"/>
      <c r="X247" s="37"/>
    </row>
    <row r="248" spans="12:24" hidden="1" x14ac:dyDescent="0.25">
      <c r="L248" s="31">
        <f t="shared" si="15"/>
        <v>1</v>
      </c>
      <c r="M248" s="31">
        <v>235</v>
      </c>
      <c r="N248" s="31">
        <f t="shared" si="16"/>
        <v>0</v>
      </c>
      <c r="O248" s="37">
        <f t="shared" si="17"/>
        <v>0</v>
      </c>
      <c r="P248" s="41">
        <f t="shared" si="19"/>
        <v>0</v>
      </c>
      <c r="Q248" s="37">
        <f t="shared" si="18"/>
        <v>0</v>
      </c>
      <c r="T248" s="42"/>
      <c r="U248" s="42"/>
      <c r="V248" s="42"/>
      <c r="W248" s="48"/>
      <c r="X248" s="37"/>
    </row>
    <row r="249" spans="12:24" hidden="1" x14ac:dyDescent="0.25">
      <c r="L249" s="31">
        <f t="shared" si="15"/>
        <v>2</v>
      </c>
      <c r="M249" s="31">
        <v>236</v>
      </c>
      <c r="N249" s="31">
        <f t="shared" si="16"/>
        <v>0</v>
      </c>
      <c r="O249" s="37">
        <f t="shared" si="17"/>
        <v>0</v>
      </c>
      <c r="P249" s="41">
        <f t="shared" si="19"/>
        <v>0</v>
      </c>
      <c r="Q249" s="37">
        <f t="shared" si="18"/>
        <v>0</v>
      </c>
      <c r="T249" s="42"/>
      <c r="U249" s="42"/>
      <c r="V249" s="42"/>
      <c r="W249" s="48"/>
      <c r="X249" s="37"/>
    </row>
    <row r="250" spans="12:24" hidden="1" x14ac:dyDescent="0.25">
      <c r="L250" s="31">
        <f t="shared" si="15"/>
        <v>3</v>
      </c>
      <c r="M250" s="31">
        <v>237</v>
      </c>
      <c r="N250" s="31">
        <f t="shared" si="16"/>
        <v>0</v>
      </c>
      <c r="O250" s="37">
        <f t="shared" si="17"/>
        <v>0</v>
      </c>
      <c r="P250" s="41">
        <f t="shared" si="19"/>
        <v>0</v>
      </c>
      <c r="Q250" s="37">
        <f t="shared" si="18"/>
        <v>0</v>
      </c>
      <c r="T250" s="42"/>
      <c r="U250" s="42"/>
      <c r="V250" s="42"/>
      <c r="W250" s="48"/>
      <c r="X250" s="37"/>
    </row>
    <row r="251" spans="12:24" hidden="1" x14ac:dyDescent="0.25">
      <c r="L251" s="31">
        <f t="shared" si="15"/>
        <v>4</v>
      </c>
      <c r="M251" s="31">
        <v>238</v>
      </c>
      <c r="N251" s="31">
        <f t="shared" si="16"/>
        <v>0</v>
      </c>
      <c r="O251" s="37">
        <f t="shared" si="17"/>
        <v>0</v>
      </c>
      <c r="P251" s="41">
        <f t="shared" si="19"/>
        <v>0</v>
      </c>
      <c r="Q251" s="37">
        <f t="shared" si="18"/>
        <v>0</v>
      </c>
      <c r="T251" s="42"/>
      <c r="U251" s="42"/>
      <c r="V251" s="42"/>
      <c r="W251" s="48"/>
      <c r="X251" s="37"/>
    </row>
    <row r="252" spans="12:24" hidden="1" x14ac:dyDescent="0.25">
      <c r="L252" s="31">
        <f t="shared" si="15"/>
        <v>5</v>
      </c>
      <c r="M252" s="31">
        <v>239</v>
      </c>
      <c r="N252" s="31">
        <f t="shared" si="16"/>
        <v>0</v>
      </c>
      <c r="O252" s="37">
        <f t="shared" si="17"/>
        <v>0</v>
      </c>
      <c r="P252" s="41">
        <f t="shared" si="19"/>
        <v>0</v>
      </c>
      <c r="Q252" s="37">
        <f t="shared" si="18"/>
        <v>0</v>
      </c>
      <c r="T252" s="42"/>
      <c r="U252" s="42"/>
      <c r="V252" s="42"/>
      <c r="W252" s="48"/>
      <c r="X252" s="37"/>
    </row>
    <row r="253" spans="12:24" hidden="1" x14ac:dyDescent="0.25">
      <c r="L253" s="31">
        <f t="shared" si="15"/>
        <v>0</v>
      </c>
      <c r="M253" s="31">
        <v>240</v>
      </c>
      <c r="N253" s="31">
        <f t="shared" si="16"/>
        <v>0</v>
      </c>
      <c r="O253" s="37">
        <f t="shared" si="17"/>
        <v>0</v>
      </c>
      <c r="P253" s="41">
        <f t="shared" si="19"/>
        <v>0</v>
      </c>
      <c r="Q253" s="37">
        <f t="shared" si="18"/>
        <v>0</v>
      </c>
      <c r="T253" s="42"/>
      <c r="U253" s="42"/>
      <c r="V253" s="42"/>
      <c r="W253" s="48"/>
      <c r="X253" s="37"/>
    </row>
    <row r="254" spans="12:24" hidden="1" x14ac:dyDescent="0.25">
      <c r="L254" s="31">
        <f t="shared" si="15"/>
        <v>1</v>
      </c>
      <c r="M254" s="31">
        <v>241</v>
      </c>
      <c r="N254" s="31">
        <f t="shared" si="16"/>
        <v>0</v>
      </c>
      <c r="O254" s="37">
        <f t="shared" si="17"/>
        <v>0</v>
      </c>
      <c r="P254" s="41">
        <f t="shared" si="19"/>
        <v>0</v>
      </c>
      <c r="Q254" s="37">
        <f t="shared" si="18"/>
        <v>0</v>
      </c>
      <c r="T254" s="42"/>
      <c r="U254" s="42"/>
      <c r="V254" s="42"/>
      <c r="W254" s="48"/>
      <c r="X254" s="37"/>
    </row>
    <row r="255" spans="12:24" hidden="1" x14ac:dyDescent="0.25">
      <c r="L255" s="31">
        <f t="shared" si="15"/>
        <v>2</v>
      </c>
      <c r="M255" s="31">
        <v>242</v>
      </c>
      <c r="N255" s="31">
        <f t="shared" si="16"/>
        <v>0</v>
      </c>
      <c r="O255" s="37">
        <f t="shared" si="17"/>
        <v>0</v>
      </c>
      <c r="P255" s="41">
        <f t="shared" si="19"/>
        <v>0</v>
      </c>
      <c r="Q255" s="37">
        <f t="shared" si="18"/>
        <v>0</v>
      </c>
      <c r="T255" s="42"/>
      <c r="U255" s="42"/>
      <c r="V255" s="42"/>
      <c r="W255" s="48"/>
      <c r="X255" s="37"/>
    </row>
    <row r="256" spans="12:24" hidden="1" x14ac:dyDescent="0.25">
      <c r="L256" s="31">
        <f t="shared" si="15"/>
        <v>3</v>
      </c>
      <c r="M256" s="31">
        <v>243</v>
      </c>
      <c r="N256" s="31">
        <f t="shared" si="16"/>
        <v>0</v>
      </c>
      <c r="O256" s="37">
        <f t="shared" si="17"/>
        <v>0</v>
      </c>
      <c r="P256" s="41">
        <f t="shared" si="19"/>
        <v>0</v>
      </c>
      <c r="Q256" s="37">
        <f t="shared" si="18"/>
        <v>0</v>
      </c>
      <c r="T256" s="42"/>
      <c r="U256" s="42"/>
      <c r="V256" s="42"/>
      <c r="W256" s="48"/>
      <c r="X256" s="37"/>
    </row>
    <row r="257" spans="12:24" hidden="1" x14ac:dyDescent="0.25">
      <c r="L257" s="31">
        <f t="shared" si="15"/>
        <v>4</v>
      </c>
      <c r="M257" s="31">
        <v>244</v>
      </c>
      <c r="N257" s="31">
        <f t="shared" si="16"/>
        <v>0</v>
      </c>
      <c r="O257" s="37">
        <f t="shared" si="17"/>
        <v>0</v>
      </c>
      <c r="P257" s="41">
        <f t="shared" si="19"/>
        <v>0</v>
      </c>
      <c r="Q257" s="37">
        <f t="shared" si="18"/>
        <v>0</v>
      </c>
      <c r="T257" s="42"/>
      <c r="U257" s="42"/>
      <c r="V257" s="42"/>
      <c r="W257" s="48"/>
      <c r="X257" s="37"/>
    </row>
    <row r="258" spans="12:24" hidden="1" x14ac:dyDescent="0.25">
      <c r="L258" s="31">
        <f t="shared" si="15"/>
        <v>5</v>
      </c>
      <c r="M258" s="31">
        <v>245</v>
      </c>
      <c r="N258" s="31">
        <f t="shared" si="16"/>
        <v>0</v>
      </c>
      <c r="O258" s="37">
        <f t="shared" si="17"/>
        <v>0</v>
      </c>
      <c r="P258" s="41">
        <f t="shared" si="19"/>
        <v>0</v>
      </c>
      <c r="Q258" s="37">
        <f t="shared" si="18"/>
        <v>0</v>
      </c>
      <c r="T258" s="42"/>
      <c r="U258" s="42"/>
      <c r="V258" s="42"/>
      <c r="W258" s="48"/>
      <c r="X258" s="37"/>
    </row>
    <row r="259" spans="12:24" hidden="1" x14ac:dyDescent="0.25">
      <c r="L259" s="31">
        <f t="shared" si="15"/>
        <v>0</v>
      </c>
      <c r="M259" s="31">
        <v>246</v>
      </c>
      <c r="N259" s="31">
        <f t="shared" si="16"/>
        <v>0</v>
      </c>
      <c r="O259" s="37">
        <f t="shared" si="17"/>
        <v>0</v>
      </c>
      <c r="P259" s="41">
        <f t="shared" si="19"/>
        <v>0</v>
      </c>
      <c r="Q259" s="37">
        <f t="shared" si="18"/>
        <v>0</v>
      </c>
      <c r="T259" s="42"/>
      <c r="U259" s="42"/>
      <c r="V259" s="42"/>
      <c r="W259" s="48"/>
      <c r="X259" s="37"/>
    </row>
    <row r="260" spans="12:24" hidden="1" x14ac:dyDescent="0.25">
      <c r="L260" s="31">
        <f t="shared" si="15"/>
        <v>1</v>
      </c>
      <c r="M260" s="31">
        <v>247</v>
      </c>
      <c r="N260" s="31">
        <f t="shared" si="16"/>
        <v>0</v>
      </c>
      <c r="O260" s="37">
        <f t="shared" si="17"/>
        <v>0</v>
      </c>
      <c r="P260" s="41">
        <f t="shared" si="19"/>
        <v>0</v>
      </c>
      <c r="Q260" s="37">
        <f t="shared" si="18"/>
        <v>0</v>
      </c>
      <c r="T260" s="42"/>
      <c r="U260" s="42"/>
      <c r="V260" s="42"/>
      <c r="W260" s="48"/>
      <c r="X260" s="37"/>
    </row>
    <row r="261" spans="12:24" hidden="1" x14ac:dyDescent="0.25">
      <c r="L261" s="31">
        <f t="shared" si="15"/>
        <v>2</v>
      </c>
      <c r="M261" s="31">
        <v>248</v>
      </c>
      <c r="N261" s="31">
        <f t="shared" si="16"/>
        <v>0</v>
      </c>
      <c r="O261" s="37">
        <f t="shared" si="17"/>
        <v>0</v>
      </c>
      <c r="P261" s="41">
        <f t="shared" si="19"/>
        <v>0</v>
      </c>
      <c r="Q261" s="37">
        <f t="shared" si="18"/>
        <v>0</v>
      </c>
      <c r="T261" s="42"/>
      <c r="U261" s="42"/>
      <c r="V261" s="42"/>
      <c r="W261" s="48"/>
      <c r="X261" s="37"/>
    </row>
    <row r="262" spans="12:24" hidden="1" x14ac:dyDescent="0.25">
      <c r="L262" s="31">
        <f t="shared" si="15"/>
        <v>3</v>
      </c>
      <c r="M262" s="31">
        <v>249</v>
      </c>
      <c r="N262" s="31">
        <f t="shared" si="16"/>
        <v>0</v>
      </c>
      <c r="O262" s="37">
        <f t="shared" si="17"/>
        <v>0</v>
      </c>
      <c r="P262" s="41">
        <f t="shared" si="19"/>
        <v>0</v>
      </c>
      <c r="Q262" s="37">
        <f t="shared" si="18"/>
        <v>0</v>
      </c>
      <c r="T262" s="42"/>
      <c r="U262" s="42"/>
      <c r="V262" s="42"/>
      <c r="W262" s="48"/>
      <c r="X262" s="37"/>
    </row>
    <row r="263" spans="12:24" hidden="1" x14ac:dyDescent="0.25">
      <c r="L263" s="31">
        <f t="shared" si="15"/>
        <v>4</v>
      </c>
      <c r="M263" s="31">
        <v>250</v>
      </c>
      <c r="N263" s="31">
        <f t="shared" si="16"/>
        <v>0</v>
      </c>
      <c r="O263" s="37">
        <f t="shared" si="17"/>
        <v>0</v>
      </c>
      <c r="P263" s="41">
        <f t="shared" si="19"/>
        <v>0</v>
      </c>
      <c r="Q263" s="37">
        <f t="shared" si="18"/>
        <v>0</v>
      </c>
      <c r="T263" s="42"/>
      <c r="U263" s="42"/>
      <c r="V263" s="42"/>
      <c r="W263" s="48"/>
      <c r="X263" s="37"/>
    </row>
    <row r="264" spans="12:24" hidden="1" x14ac:dyDescent="0.25">
      <c r="L264" s="31">
        <f t="shared" si="15"/>
        <v>5</v>
      </c>
      <c r="M264" s="31">
        <v>251</v>
      </c>
      <c r="N264" s="31">
        <f t="shared" si="16"/>
        <v>0</v>
      </c>
      <c r="O264" s="37">
        <f t="shared" si="17"/>
        <v>0</v>
      </c>
      <c r="P264" s="41">
        <f t="shared" si="19"/>
        <v>0</v>
      </c>
      <c r="Q264" s="37">
        <f t="shared" si="18"/>
        <v>0</v>
      </c>
      <c r="T264" s="42"/>
      <c r="U264" s="42"/>
      <c r="V264" s="42"/>
      <c r="W264" s="48"/>
      <c r="X264" s="37"/>
    </row>
    <row r="265" spans="12:24" hidden="1" x14ac:dyDescent="0.25">
      <c r="L265" s="31">
        <f t="shared" si="15"/>
        <v>0</v>
      </c>
      <c r="M265" s="31">
        <v>252</v>
      </c>
      <c r="N265" s="31">
        <f t="shared" si="16"/>
        <v>0</v>
      </c>
      <c r="O265" s="37">
        <f t="shared" si="17"/>
        <v>0</v>
      </c>
      <c r="P265" s="41">
        <f t="shared" si="19"/>
        <v>0</v>
      </c>
      <c r="Q265" s="37">
        <f t="shared" si="18"/>
        <v>0</v>
      </c>
      <c r="T265" s="42"/>
      <c r="U265" s="42"/>
      <c r="V265" s="42"/>
      <c r="W265" s="48"/>
      <c r="X265" s="37"/>
    </row>
    <row r="266" spans="12:24" hidden="1" x14ac:dyDescent="0.25">
      <c r="L266" s="31">
        <f t="shared" si="15"/>
        <v>1</v>
      </c>
      <c r="M266" s="31">
        <v>253</v>
      </c>
      <c r="N266" s="31">
        <f t="shared" si="16"/>
        <v>0</v>
      </c>
      <c r="O266" s="37">
        <f t="shared" si="17"/>
        <v>0</v>
      </c>
      <c r="P266" s="41">
        <f t="shared" si="19"/>
        <v>0</v>
      </c>
      <c r="Q266" s="37">
        <f t="shared" si="18"/>
        <v>0</v>
      </c>
      <c r="T266" s="42"/>
      <c r="U266" s="42"/>
      <c r="V266" s="42"/>
      <c r="W266" s="48"/>
      <c r="X266" s="37"/>
    </row>
    <row r="267" spans="12:24" hidden="1" x14ac:dyDescent="0.25">
      <c r="L267" s="31">
        <f t="shared" si="15"/>
        <v>2</v>
      </c>
      <c r="M267" s="31">
        <v>254</v>
      </c>
      <c r="N267" s="31">
        <f t="shared" si="16"/>
        <v>0</v>
      </c>
      <c r="O267" s="37">
        <f t="shared" si="17"/>
        <v>0</v>
      </c>
      <c r="P267" s="41">
        <f t="shared" si="19"/>
        <v>0</v>
      </c>
      <c r="Q267" s="37">
        <f t="shared" si="18"/>
        <v>0</v>
      </c>
      <c r="T267" s="42"/>
      <c r="U267" s="42"/>
      <c r="V267" s="42"/>
      <c r="W267" s="48"/>
      <c r="X267" s="37"/>
    </row>
    <row r="268" spans="12:24" hidden="1" x14ac:dyDescent="0.25">
      <c r="L268" s="31">
        <f t="shared" si="15"/>
        <v>3</v>
      </c>
      <c r="M268" s="31">
        <v>255</v>
      </c>
      <c r="N268" s="31">
        <f t="shared" si="16"/>
        <v>0</v>
      </c>
      <c r="O268" s="37">
        <f t="shared" si="17"/>
        <v>0</v>
      </c>
      <c r="P268" s="41">
        <f t="shared" si="19"/>
        <v>0</v>
      </c>
      <c r="Q268" s="37">
        <f t="shared" si="18"/>
        <v>0</v>
      </c>
      <c r="T268" s="42"/>
      <c r="U268" s="42"/>
      <c r="V268" s="42"/>
      <c r="W268" s="48"/>
      <c r="X268" s="37"/>
    </row>
    <row r="269" spans="12:24" hidden="1" x14ac:dyDescent="0.25">
      <c r="L269" s="31">
        <f t="shared" ref="L269:L332" si="20">MOD(M269,12/$C$9)</f>
        <v>4</v>
      </c>
      <c r="M269" s="31">
        <v>256</v>
      </c>
      <c r="N269" s="31">
        <f t="shared" ref="N269:N332" si="21">IF(M269&lt;$O$8,IF(L269=0,$C$8,0),0)</f>
        <v>0</v>
      </c>
      <c r="O269" s="37">
        <f t="shared" ref="O269:O332" si="22">IF(M269&lt;=$O$8,FV(SRate,($O$8-M269),0,-N269,1),0)</f>
        <v>0</v>
      </c>
      <c r="P269" s="41">
        <f t="shared" si="19"/>
        <v>0</v>
      </c>
      <c r="Q269" s="37">
        <f t="shared" ref="Q269:Q332" si="23">(O269-N269)*TaxRate</f>
        <v>0</v>
      </c>
      <c r="T269" s="42"/>
      <c r="U269" s="42"/>
      <c r="V269" s="42"/>
      <c r="W269" s="48"/>
      <c r="X269" s="37"/>
    </row>
    <row r="270" spans="12:24" hidden="1" x14ac:dyDescent="0.25">
      <c r="L270" s="31">
        <f t="shared" si="20"/>
        <v>5</v>
      </c>
      <c r="M270" s="31">
        <v>257</v>
      </c>
      <c r="N270" s="31">
        <f t="shared" si="21"/>
        <v>0</v>
      </c>
      <c r="O270" s="37">
        <f t="shared" si="22"/>
        <v>0</v>
      </c>
      <c r="P270" s="41">
        <f t="shared" ref="P270:P333" si="24">IF(M270&lt;=$O$8,FV(SRate,1,0,-P269,1),0)+N270</f>
        <v>0</v>
      </c>
      <c r="Q270" s="37">
        <f t="shared" si="23"/>
        <v>0</v>
      </c>
      <c r="T270" s="42"/>
      <c r="U270" s="42"/>
      <c r="V270" s="42"/>
      <c r="W270" s="48"/>
      <c r="X270" s="37"/>
    </row>
    <row r="271" spans="12:24" hidden="1" x14ac:dyDescent="0.25">
      <c r="L271" s="31">
        <f t="shared" si="20"/>
        <v>0</v>
      </c>
      <c r="M271" s="31">
        <v>258</v>
      </c>
      <c r="N271" s="31">
        <f t="shared" si="21"/>
        <v>0</v>
      </c>
      <c r="O271" s="37">
        <f t="shared" si="22"/>
        <v>0</v>
      </c>
      <c r="P271" s="41">
        <f t="shared" si="24"/>
        <v>0</v>
      </c>
      <c r="Q271" s="37">
        <f t="shared" si="23"/>
        <v>0</v>
      </c>
      <c r="T271" s="42"/>
      <c r="U271" s="42"/>
      <c r="V271" s="42"/>
      <c r="W271" s="48"/>
      <c r="X271" s="37"/>
    </row>
    <row r="272" spans="12:24" hidden="1" x14ac:dyDescent="0.25">
      <c r="L272" s="31">
        <f t="shared" si="20"/>
        <v>1</v>
      </c>
      <c r="M272" s="31">
        <v>259</v>
      </c>
      <c r="N272" s="31">
        <f t="shared" si="21"/>
        <v>0</v>
      </c>
      <c r="O272" s="37">
        <f t="shared" si="22"/>
        <v>0</v>
      </c>
      <c r="P272" s="41">
        <f t="shared" si="24"/>
        <v>0</v>
      </c>
      <c r="Q272" s="37">
        <f t="shared" si="23"/>
        <v>0</v>
      </c>
      <c r="T272" s="42"/>
      <c r="U272" s="42"/>
      <c r="V272" s="42"/>
      <c r="W272" s="48"/>
      <c r="X272" s="37"/>
    </row>
    <row r="273" spans="12:24" hidden="1" x14ac:dyDescent="0.25">
      <c r="L273" s="31">
        <f t="shared" si="20"/>
        <v>2</v>
      </c>
      <c r="M273" s="31">
        <v>260</v>
      </c>
      <c r="N273" s="31">
        <f t="shared" si="21"/>
        <v>0</v>
      </c>
      <c r="O273" s="37">
        <f t="shared" si="22"/>
        <v>0</v>
      </c>
      <c r="P273" s="41">
        <f t="shared" si="24"/>
        <v>0</v>
      </c>
      <c r="Q273" s="37">
        <f t="shared" si="23"/>
        <v>0</v>
      </c>
      <c r="T273" s="42"/>
      <c r="U273" s="42"/>
      <c r="V273" s="42"/>
      <c r="W273" s="48"/>
      <c r="X273" s="37"/>
    </row>
    <row r="274" spans="12:24" hidden="1" x14ac:dyDescent="0.25">
      <c r="L274" s="31">
        <f t="shared" si="20"/>
        <v>3</v>
      </c>
      <c r="M274" s="31">
        <v>261</v>
      </c>
      <c r="N274" s="31">
        <f t="shared" si="21"/>
        <v>0</v>
      </c>
      <c r="O274" s="37">
        <f t="shared" si="22"/>
        <v>0</v>
      </c>
      <c r="P274" s="41">
        <f t="shared" si="24"/>
        <v>0</v>
      </c>
      <c r="Q274" s="37">
        <f t="shared" si="23"/>
        <v>0</v>
      </c>
      <c r="T274" s="42"/>
      <c r="U274" s="42"/>
      <c r="V274" s="42"/>
      <c r="W274" s="48"/>
      <c r="X274" s="37"/>
    </row>
    <row r="275" spans="12:24" hidden="1" x14ac:dyDescent="0.25">
      <c r="L275" s="31">
        <f t="shared" si="20"/>
        <v>4</v>
      </c>
      <c r="M275" s="31">
        <v>262</v>
      </c>
      <c r="N275" s="31">
        <f t="shared" si="21"/>
        <v>0</v>
      </c>
      <c r="O275" s="37">
        <f t="shared" si="22"/>
        <v>0</v>
      </c>
      <c r="P275" s="41">
        <f t="shared" si="24"/>
        <v>0</v>
      </c>
      <c r="Q275" s="37">
        <f t="shared" si="23"/>
        <v>0</v>
      </c>
      <c r="T275" s="42"/>
      <c r="U275" s="42"/>
      <c r="V275" s="42"/>
      <c r="W275" s="48"/>
      <c r="X275" s="37"/>
    </row>
    <row r="276" spans="12:24" hidden="1" x14ac:dyDescent="0.25">
      <c r="L276" s="31">
        <f t="shared" si="20"/>
        <v>5</v>
      </c>
      <c r="M276" s="31">
        <v>263</v>
      </c>
      <c r="N276" s="31">
        <f t="shared" si="21"/>
        <v>0</v>
      </c>
      <c r="O276" s="37">
        <f t="shared" si="22"/>
        <v>0</v>
      </c>
      <c r="P276" s="41">
        <f t="shared" si="24"/>
        <v>0</v>
      </c>
      <c r="Q276" s="37">
        <f t="shared" si="23"/>
        <v>0</v>
      </c>
      <c r="T276" s="42"/>
      <c r="U276" s="42"/>
      <c r="V276" s="42"/>
      <c r="W276" s="48"/>
      <c r="X276" s="37"/>
    </row>
    <row r="277" spans="12:24" hidden="1" x14ac:dyDescent="0.25">
      <c r="L277" s="31">
        <f t="shared" si="20"/>
        <v>0</v>
      </c>
      <c r="M277" s="31">
        <v>264</v>
      </c>
      <c r="N277" s="31">
        <f t="shared" si="21"/>
        <v>0</v>
      </c>
      <c r="O277" s="37">
        <f t="shared" si="22"/>
        <v>0</v>
      </c>
      <c r="P277" s="41">
        <f t="shared" si="24"/>
        <v>0</v>
      </c>
      <c r="Q277" s="37">
        <f t="shared" si="23"/>
        <v>0</v>
      </c>
      <c r="T277" s="42"/>
      <c r="U277" s="42"/>
      <c r="V277" s="42"/>
      <c r="W277" s="48"/>
      <c r="X277" s="37"/>
    </row>
    <row r="278" spans="12:24" hidden="1" x14ac:dyDescent="0.25">
      <c r="L278" s="31">
        <f t="shared" si="20"/>
        <v>1</v>
      </c>
      <c r="M278" s="31">
        <v>265</v>
      </c>
      <c r="N278" s="31">
        <f t="shared" si="21"/>
        <v>0</v>
      </c>
      <c r="O278" s="37">
        <f t="shared" si="22"/>
        <v>0</v>
      </c>
      <c r="P278" s="41">
        <f t="shared" si="24"/>
        <v>0</v>
      </c>
      <c r="Q278" s="37">
        <f t="shared" si="23"/>
        <v>0</v>
      </c>
      <c r="T278" s="42"/>
      <c r="U278" s="42"/>
      <c r="V278" s="42"/>
      <c r="W278" s="48"/>
      <c r="X278" s="37"/>
    </row>
    <row r="279" spans="12:24" hidden="1" x14ac:dyDescent="0.25">
      <c r="L279" s="31">
        <f t="shared" si="20"/>
        <v>2</v>
      </c>
      <c r="M279" s="31">
        <v>266</v>
      </c>
      <c r="N279" s="31">
        <f t="shared" si="21"/>
        <v>0</v>
      </c>
      <c r="O279" s="37">
        <f t="shared" si="22"/>
        <v>0</v>
      </c>
      <c r="P279" s="41">
        <f t="shared" si="24"/>
        <v>0</v>
      </c>
      <c r="Q279" s="37">
        <f t="shared" si="23"/>
        <v>0</v>
      </c>
      <c r="T279" s="42"/>
      <c r="U279" s="42"/>
      <c r="V279" s="42"/>
      <c r="W279" s="48"/>
      <c r="X279" s="37"/>
    </row>
    <row r="280" spans="12:24" hidden="1" x14ac:dyDescent="0.25">
      <c r="L280" s="31">
        <f t="shared" si="20"/>
        <v>3</v>
      </c>
      <c r="M280" s="31">
        <v>267</v>
      </c>
      <c r="N280" s="31">
        <f t="shared" si="21"/>
        <v>0</v>
      </c>
      <c r="O280" s="37">
        <f t="shared" si="22"/>
        <v>0</v>
      </c>
      <c r="P280" s="41">
        <f t="shared" si="24"/>
        <v>0</v>
      </c>
      <c r="Q280" s="37">
        <f t="shared" si="23"/>
        <v>0</v>
      </c>
      <c r="T280" s="42"/>
      <c r="U280" s="42"/>
      <c r="V280" s="42"/>
      <c r="W280" s="48"/>
      <c r="X280" s="37"/>
    </row>
    <row r="281" spans="12:24" hidden="1" x14ac:dyDescent="0.25">
      <c r="L281" s="31">
        <f t="shared" si="20"/>
        <v>4</v>
      </c>
      <c r="M281" s="31">
        <v>268</v>
      </c>
      <c r="N281" s="31">
        <f t="shared" si="21"/>
        <v>0</v>
      </c>
      <c r="O281" s="37">
        <f t="shared" si="22"/>
        <v>0</v>
      </c>
      <c r="P281" s="41">
        <f t="shared" si="24"/>
        <v>0</v>
      </c>
      <c r="Q281" s="37">
        <f t="shared" si="23"/>
        <v>0</v>
      </c>
      <c r="T281" s="42"/>
      <c r="U281" s="42"/>
      <c r="V281" s="42"/>
      <c r="W281" s="48"/>
      <c r="X281" s="37"/>
    </row>
    <row r="282" spans="12:24" hidden="1" x14ac:dyDescent="0.25">
      <c r="L282" s="31">
        <f t="shared" si="20"/>
        <v>5</v>
      </c>
      <c r="M282" s="31">
        <v>269</v>
      </c>
      <c r="N282" s="31">
        <f t="shared" si="21"/>
        <v>0</v>
      </c>
      <c r="O282" s="37">
        <f t="shared" si="22"/>
        <v>0</v>
      </c>
      <c r="P282" s="41">
        <f t="shared" si="24"/>
        <v>0</v>
      </c>
      <c r="Q282" s="37">
        <f t="shared" si="23"/>
        <v>0</v>
      </c>
      <c r="T282" s="42"/>
      <c r="U282" s="42"/>
      <c r="V282" s="42"/>
      <c r="W282" s="48"/>
      <c r="X282" s="37"/>
    </row>
    <row r="283" spans="12:24" hidden="1" x14ac:dyDescent="0.25">
      <c r="L283" s="31">
        <f t="shared" si="20"/>
        <v>0</v>
      </c>
      <c r="M283" s="31">
        <v>270</v>
      </c>
      <c r="N283" s="31">
        <f t="shared" si="21"/>
        <v>0</v>
      </c>
      <c r="O283" s="37">
        <f t="shared" si="22"/>
        <v>0</v>
      </c>
      <c r="P283" s="41">
        <f t="shared" si="24"/>
        <v>0</v>
      </c>
      <c r="Q283" s="37">
        <f t="shared" si="23"/>
        <v>0</v>
      </c>
      <c r="T283" s="42"/>
      <c r="U283" s="42"/>
      <c r="V283" s="42"/>
      <c r="W283" s="48"/>
      <c r="X283" s="37"/>
    </row>
    <row r="284" spans="12:24" hidden="1" x14ac:dyDescent="0.25">
      <c r="L284" s="31">
        <f t="shared" si="20"/>
        <v>1</v>
      </c>
      <c r="M284" s="31">
        <v>271</v>
      </c>
      <c r="N284" s="31">
        <f t="shared" si="21"/>
        <v>0</v>
      </c>
      <c r="O284" s="37">
        <f t="shared" si="22"/>
        <v>0</v>
      </c>
      <c r="P284" s="41">
        <f t="shared" si="24"/>
        <v>0</v>
      </c>
      <c r="Q284" s="37">
        <f t="shared" si="23"/>
        <v>0</v>
      </c>
      <c r="T284" s="42"/>
      <c r="U284" s="42"/>
      <c r="V284" s="42"/>
      <c r="W284" s="48"/>
      <c r="X284" s="37"/>
    </row>
    <row r="285" spans="12:24" hidden="1" x14ac:dyDescent="0.25">
      <c r="L285" s="31">
        <f t="shared" si="20"/>
        <v>2</v>
      </c>
      <c r="M285" s="31">
        <v>272</v>
      </c>
      <c r="N285" s="31">
        <f t="shared" si="21"/>
        <v>0</v>
      </c>
      <c r="O285" s="37">
        <f t="shared" si="22"/>
        <v>0</v>
      </c>
      <c r="P285" s="41">
        <f t="shared" si="24"/>
        <v>0</v>
      </c>
      <c r="Q285" s="37">
        <f t="shared" si="23"/>
        <v>0</v>
      </c>
      <c r="T285" s="42"/>
      <c r="U285" s="42"/>
      <c r="V285" s="42"/>
      <c r="W285" s="48"/>
      <c r="X285" s="37"/>
    </row>
    <row r="286" spans="12:24" hidden="1" x14ac:dyDescent="0.25">
      <c r="L286" s="31">
        <f t="shared" si="20"/>
        <v>3</v>
      </c>
      <c r="M286" s="31">
        <v>273</v>
      </c>
      <c r="N286" s="31">
        <f t="shared" si="21"/>
        <v>0</v>
      </c>
      <c r="O286" s="37">
        <f t="shared" si="22"/>
        <v>0</v>
      </c>
      <c r="P286" s="41">
        <f t="shared" si="24"/>
        <v>0</v>
      </c>
      <c r="Q286" s="37">
        <f t="shared" si="23"/>
        <v>0</v>
      </c>
      <c r="T286" s="42"/>
      <c r="U286" s="42"/>
      <c r="V286" s="42"/>
      <c r="W286" s="48"/>
      <c r="X286" s="37"/>
    </row>
    <row r="287" spans="12:24" hidden="1" x14ac:dyDescent="0.25">
      <c r="L287" s="31">
        <f t="shared" si="20"/>
        <v>4</v>
      </c>
      <c r="M287" s="31">
        <v>274</v>
      </c>
      <c r="N287" s="31">
        <f t="shared" si="21"/>
        <v>0</v>
      </c>
      <c r="O287" s="37">
        <f t="shared" si="22"/>
        <v>0</v>
      </c>
      <c r="P287" s="41">
        <f t="shared" si="24"/>
        <v>0</v>
      </c>
      <c r="Q287" s="37">
        <f t="shared" si="23"/>
        <v>0</v>
      </c>
      <c r="T287" s="42"/>
      <c r="U287" s="42"/>
      <c r="V287" s="42"/>
      <c r="W287" s="48"/>
      <c r="X287" s="37"/>
    </row>
    <row r="288" spans="12:24" hidden="1" x14ac:dyDescent="0.25">
      <c r="L288" s="31">
        <f t="shared" si="20"/>
        <v>5</v>
      </c>
      <c r="M288" s="31">
        <v>275</v>
      </c>
      <c r="N288" s="31">
        <f t="shared" si="21"/>
        <v>0</v>
      </c>
      <c r="O288" s="37">
        <f t="shared" si="22"/>
        <v>0</v>
      </c>
      <c r="P288" s="41">
        <f t="shared" si="24"/>
        <v>0</v>
      </c>
      <c r="Q288" s="37">
        <f t="shared" si="23"/>
        <v>0</v>
      </c>
      <c r="T288" s="42"/>
      <c r="U288" s="42"/>
      <c r="V288" s="42"/>
      <c r="W288" s="48"/>
      <c r="X288" s="37"/>
    </row>
    <row r="289" spans="12:24" hidden="1" x14ac:dyDescent="0.25">
      <c r="L289" s="31">
        <f t="shared" si="20"/>
        <v>0</v>
      </c>
      <c r="M289" s="31">
        <v>276</v>
      </c>
      <c r="N289" s="31">
        <f t="shared" si="21"/>
        <v>0</v>
      </c>
      <c r="O289" s="37">
        <f t="shared" si="22"/>
        <v>0</v>
      </c>
      <c r="P289" s="41">
        <f t="shared" si="24"/>
        <v>0</v>
      </c>
      <c r="Q289" s="37">
        <f t="shared" si="23"/>
        <v>0</v>
      </c>
      <c r="T289" s="42"/>
      <c r="U289" s="42"/>
      <c r="V289" s="42"/>
      <c r="W289" s="48"/>
      <c r="X289" s="37"/>
    </row>
    <row r="290" spans="12:24" hidden="1" x14ac:dyDescent="0.25">
      <c r="L290" s="31">
        <f t="shared" si="20"/>
        <v>1</v>
      </c>
      <c r="M290" s="31">
        <v>277</v>
      </c>
      <c r="N290" s="31">
        <f t="shared" si="21"/>
        <v>0</v>
      </c>
      <c r="O290" s="37">
        <f t="shared" si="22"/>
        <v>0</v>
      </c>
      <c r="P290" s="41">
        <f t="shared" si="24"/>
        <v>0</v>
      </c>
      <c r="Q290" s="37">
        <f t="shared" si="23"/>
        <v>0</v>
      </c>
      <c r="T290" s="42"/>
      <c r="U290" s="42"/>
      <c r="V290" s="42"/>
      <c r="W290" s="48"/>
      <c r="X290" s="37"/>
    </row>
    <row r="291" spans="12:24" hidden="1" x14ac:dyDescent="0.25">
      <c r="L291" s="31">
        <f t="shared" si="20"/>
        <v>2</v>
      </c>
      <c r="M291" s="31">
        <v>278</v>
      </c>
      <c r="N291" s="31">
        <f t="shared" si="21"/>
        <v>0</v>
      </c>
      <c r="O291" s="37">
        <f t="shared" si="22"/>
        <v>0</v>
      </c>
      <c r="P291" s="41">
        <f t="shared" si="24"/>
        <v>0</v>
      </c>
      <c r="Q291" s="37">
        <f t="shared" si="23"/>
        <v>0</v>
      </c>
      <c r="T291" s="42"/>
      <c r="U291" s="42"/>
      <c r="V291" s="42"/>
      <c r="W291" s="48"/>
      <c r="X291" s="37"/>
    </row>
    <row r="292" spans="12:24" hidden="1" x14ac:dyDescent="0.25">
      <c r="L292" s="31">
        <f t="shared" si="20"/>
        <v>3</v>
      </c>
      <c r="M292" s="31">
        <v>279</v>
      </c>
      <c r="N292" s="31">
        <f t="shared" si="21"/>
        <v>0</v>
      </c>
      <c r="O292" s="37">
        <f t="shared" si="22"/>
        <v>0</v>
      </c>
      <c r="P292" s="41">
        <f t="shared" si="24"/>
        <v>0</v>
      </c>
      <c r="Q292" s="37">
        <f t="shared" si="23"/>
        <v>0</v>
      </c>
      <c r="T292" s="42"/>
      <c r="U292" s="42"/>
      <c r="V292" s="42"/>
      <c r="W292" s="48"/>
      <c r="X292" s="37"/>
    </row>
    <row r="293" spans="12:24" hidden="1" x14ac:dyDescent="0.25">
      <c r="L293" s="31">
        <f t="shared" si="20"/>
        <v>4</v>
      </c>
      <c r="M293" s="31">
        <v>280</v>
      </c>
      <c r="N293" s="31">
        <f t="shared" si="21"/>
        <v>0</v>
      </c>
      <c r="O293" s="37">
        <f t="shared" si="22"/>
        <v>0</v>
      </c>
      <c r="P293" s="41">
        <f t="shared" si="24"/>
        <v>0</v>
      </c>
      <c r="Q293" s="37">
        <f t="shared" si="23"/>
        <v>0</v>
      </c>
      <c r="T293" s="42"/>
      <c r="U293" s="42"/>
      <c r="V293" s="42"/>
      <c r="W293" s="48"/>
      <c r="X293" s="37"/>
    </row>
    <row r="294" spans="12:24" hidden="1" x14ac:dyDescent="0.25">
      <c r="L294" s="31">
        <f t="shared" si="20"/>
        <v>5</v>
      </c>
      <c r="M294" s="31">
        <v>281</v>
      </c>
      <c r="N294" s="31">
        <f t="shared" si="21"/>
        <v>0</v>
      </c>
      <c r="O294" s="37">
        <f t="shared" si="22"/>
        <v>0</v>
      </c>
      <c r="P294" s="41">
        <f t="shared" si="24"/>
        <v>0</v>
      </c>
      <c r="Q294" s="37">
        <f t="shared" si="23"/>
        <v>0</v>
      </c>
      <c r="T294" s="42"/>
      <c r="U294" s="42"/>
      <c r="V294" s="42"/>
      <c r="W294" s="48"/>
      <c r="X294" s="37"/>
    </row>
    <row r="295" spans="12:24" hidden="1" x14ac:dyDescent="0.25">
      <c r="L295" s="31">
        <f t="shared" si="20"/>
        <v>0</v>
      </c>
      <c r="M295" s="31">
        <v>282</v>
      </c>
      <c r="N295" s="31">
        <f t="shared" si="21"/>
        <v>0</v>
      </c>
      <c r="O295" s="37">
        <f t="shared" si="22"/>
        <v>0</v>
      </c>
      <c r="P295" s="41">
        <f t="shared" si="24"/>
        <v>0</v>
      </c>
      <c r="Q295" s="37">
        <f t="shared" si="23"/>
        <v>0</v>
      </c>
      <c r="T295" s="42"/>
      <c r="U295" s="42"/>
      <c r="V295" s="42"/>
      <c r="W295" s="48"/>
      <c r="X295" s="37"/>
    </row>
    <row r="296" spans="12:24" hidden="1" x14ac:dyDescent="0.25">
      <c r="L296" s="31">
        <f t="shared" si="20"/>
        <v>1</v>
      </c>
      <c r="M296" s="31">
        <v>283</v>
      </c>
      <c r="N296" s="31">
        <f t="shared" si="21"/>
        <v>0</v>
      </c>
      <c r="O296" s="37">
        <f t="shared" si="22"/>
        <v>0</v>
      </c>
      <c r="P296" s="41">
        <f t="shared" si="24"/>
        <v>0</v>
      </c>
      <c r="Q296" s="37">
        <f t="shared" si="23"/>
        <v>0</v>
      </c>
      <c r="T296" s="42"/>
      <c r="U296" s="42"/>
      <c r="V296" s="42"/>
      <c r="W296" s="48"/>
    </row>
    <row r="297" spans="12:24" hidden="1" x14ac:dyDescent="0.25">
      <c r="L297" s="31">
        <f t="shared" si="20"/>
        <v>2</v>
      </c>
      <c r="M297" s="31">
        <v>284</v>
      </c>
      <c r="N297" s="31">
        <f t="shared" si="21"/>
        <v>0</v>
      </c>
      <c r="O297" s="37">
        <f t="shared" si="22"/>
        <v>0</v>
      </c>
      <c r="P297" s="41">
        <f t="shared" si="24"/>
        <v>0</v>
      </c>
      <c r="Q297" s="37">
        <f t="shared" si="23"/>
        <v>0</v>
      </c>
      <c r="T297" s="42"/>
      <c r="U297" s="42"/>
      <c r="V297" s="42"/>
      <c r="W297" s="48"/>
    </row>
    <row r="298" spans="12:24" hidden="1" x14ac:dyDescent="0.25">
      <c r="L298" s="31">
        <f t="shared" si="20"/>
        <v>3</v>
      </c>
      <c r="M298" s="31">
        <v>285</v>
      </c>
      <c r="N298" s="31">
        <f t="shared" si="21"/>
        <v>0</v>
      </c>
      <c r="O298" s="37">
        <f t="shared" si="22"/>
        <v>0</v>
      </c>
      <c r="P298" s="41">
        <f t="shared" si="24"/>
        <v>0</v>
      </c>
      <c r="Q298" s="37">
        <f t="shared" si="23"/>
        <v>0</v>
      </c>
      <c r="T298" s="42"/>
      <c r="U298" s="42"/>
      <c r="V298" s="42"/>
      <c r="W298" s="48"/>
    </row>
    <row r="299" spans="12:24" hidden="1" x14ac:dyDescent="0.25">
      <c r="L299" s="31">
        <f t="shared" si="20"/>
        <v>4</v>
      </c>
      <c r="M299" s="31">
        <v>286</v>
      </c>
      <c r="N299" s="31">
        <f t="shared" si="21"/>
        <v>0</v>
      </c>
      <c r="O299" s="37">
        <f t="shared" si="22"/>
        <v>0</v>
      </c>
      <c r="P299" s="41">
        <f t="shared" si="24"/>
        <v>0</v>
      </c>
      <c r="Q299" s="37">
        <f t="shared" si="23"/>
        <v>0</v>
      </c>
      <c r="T299" s="42"/>
      <c r="U299" s="42"/>
      <c r="V299" s="42"/>
      <c r="W299" s="48"/>
    </row>
    <row r="300" spans="12:24" hidden="1" x14ac:dyDescent="0.25">
      <c r="L300" s="31">
        <f t="shared" si="20"/>
        <v>5</v>
      </c>
      <c r="M300" s="31">
        <v>287</v>
      </c>
      <c r="N300" s="31">
        <f t="shared" si="21"/>
        <v>0</v>
      </c>
      <c r="O300" s="37">
        <f t="shared" si="22"/>
        <v>0</v>
      </c>
      <c r="P300" s="41">
        <f t="shared" si="24"/>
        <v>0</v>
      </c>
      <c r="Q300" s="37">
        <f t="shared" si="23"/>
        <v>0</v>
      </c>
      <c r="T300" s="42"/>
      <c r="U300" s="42"/>
      <c r="V300" s="42"/>
      <c r="W300" s="48"/>
    </row>
    <row r="301" spans="12:24" hidden="1" x14ac:dyDescent="0.25">
      <c r="L301" s="31">
        <f t="shared" si="20"/>
        <v>0</v>
      </c>
      <c r="M301" s="31">
        <v>288</v>
      </c>
      <c r="N301" s="31">
        <f t="shared" si="21"/>
        <v>0</v>
      </c>
      <c r="O301" s="37">
        <f t="shared" si="22"/>
        <v>0</v>
      </c>
      <c r="P301" s="41">
        <f t="shared" si="24"/>
        <v>0</v>
      </c>
      <c r="Q301" s="37">
        <f t="shared" si="23"/>
        <v>0</v>
      </c>
      <c r="T301" s="42"/>
      <c r="U301" s="42"/>
      <c r="V301" s="42"/>
      <c r="W301" s="48"/>
    </row>
    <row r="302" spans="12:24" hidden="1" x14ac:dyDescent="0.25">
      <c r="L302" s="31">
        <f t="shared" si="20"/>
        <v>1</v>
      </c>
      <c r="M302" s="31">
        <v>289</v>
      </c>
      <c r="N302" s="31">
        <f t="shared" si="21"/>
        <v>0</v>
      </c>
      <c r="O302" s="37">
        <f t="shared" si="22"/>
        <v>0</v>
      </c>
      <c r="P302" s="41">
        <f t="shared" si="24"/>
        <v>0</v>
      </c>
      <c r="Q302" s="37">
        <f t="shared" si="23"/>
        <v>0</v>
      </c>
      <c r="T302" s="42"/>
      <c r="U302" s="42"/>
      <c r="V302" s="42"/>
      <c r="W302" s="48"/>
    </row>
    <row r="303" spans="12:24" hidden="1" x14ac:dyDescent="0.25">
      <c r="L303" s="31">
        <f t="shared" si="20"/>
        <v>2</v>
      </c>
      <c r="M303" s="31">
        <v>290</v>
      </c>
      <c r="N303" s="31">
        <f t="shared" si="21"/>
        <v>0</v>
      </c>
      <c r="O303" s="37">
        <f t="shared" si="22"/>
        <v>0</v>
      </c>
      <c r="P303" s="41">
        <f t="shared" si="24"/>
        <v>0</v>
      </c>
      <c r="Q303" s="37">
        <f t="shared" si="23"/>
        <v>0</v>
      </c>
      <c r="T303" s="42"/>
      <c r="U303" s="42"/>
      <c r="V303" s="42"/>
      <c r="W303" s="48"/>
    </row>
    <row r="304" spans="12:24" hidden="1" x14ac:dyDescent="0.25">
      <c r="L304" s="31">
        <f t="shared" si="20"/>
        <v>3</v>
      </c>
      <c r="M304" s="31">
        <v>291</v>
      </c>
      <c r="N304" s="31">
        <f t="shared" si="21"/>
        <v>0</v>
      </c>
      <c r="O304" s="37">
        <f t="shared" si="22"/>
        <v>0</v>
      </c>
      <c r="P304" s="41">
        <f t="shared" si="24"/>
        <v>0</v>
      </c>
      <c r="Q304" s="37">
        <f t="shared" si="23"/>
        <v>0</v>
      </c>
      <c r="T304" s="42"/>
      <c r="U304" s="42"/>
      <c r="V304" s="42"/>
      <c r="W304" s="48"/>
    </row>
    <row r="305" spans="12:23" hidden="1" x14ac:dyDescent="0.25">
      <c r="L305" s="31">
        <f t="shared" si="20"/>
        <v>4</v>
      </c>
      <c r="M305" s="31">
        <v>292</v>
      </c>
      <c r="N305" s="31">
        <f t="shared" si="21"/>
        <v>0</v>
      </c>
      <c r="O305" s="37">
        <f t="shared" si="22"/>
        <v>0</v>
      </c>
      <c r="P305" s="41">
        <f t="shared" si="24"/>
        <v>0</v>
      </c>
      <c r="Q305" s="37">
        <f t="shared" si="23"/>
        <v>0</v>
      </c>
      <c r="T305" s="42"/>
      <c r="U305" s="42"/>
      <c r="V305" s="42"/>
      <c r="W305" s="48"/>
    </row>
    <row r="306" spans="12:23" hidden="1" x14ac:dyDescent="0.25">
      <c r="L306" s="31">
        <f t="shared" si="20"/>
        <v>5</v>
      </c>
      <c r="M306" s="31">
        <v>293</v>
      </c>
      <c r="N306" s="31">
        <f t="shared" si="21"/>
        <v>0</v>
      </c>
      <c r="O306" s="37">
        <f t="shared" si="22"/>
        <v>0</v>
      </c>
      <c r="P306" s="41">
        <f t="shared" si="24"/>
        <v>0</v>
      </c>
      <c r="Q306" s="37">
        <f t="shared" si="23"/>
        <v>0</v>
      </c>
      <c r="T306" s="42"/>
      <c r="U306" s="42"/>
      <c r="V306" s="42"/>
      <c r="W306" s="48"/>
    </row>
    <row r="307" spans="12:23" hidden="1" x14ac:dyDescent="0.25">
      <c r="L307" s="31">
        <f t="shared" si="20"/>
        <v>0</v>
      </c>
      <c r="M307" s="31">
        <v>294</v>
      </c>
      <c r="N307" s="31">
        <f t="shared" si="21"/>
        <v>0</v>
      </c>
      <c r="O307" s="37">
        <f t="shared" si="22"/>
        <v>0</v>
      </c>
      <c r="P307" s="41">
        <f t="shared" si="24"/>
        <v>0</v>
      </c>
      <c r="Q307" s="37">
        <f t="shared" si="23"/>
        <v>0</v>
      </c>
      <c r="T307" s="42"/>
      <c r="U307" s="42"/>
      <c r="V307" s="42"/>
      <c r="W307" s="48"/>
    </row>
    <row r="308" spans="12:23" hidden="1" x14ac:dyDescent="0.25">
      <c r="L308" s="31">
        <f t="shared" si="20"/>
        <v>1</v>
      </c>
      <c r="M308" s="31">
        <v>295</v>
      </c>
      <c r="N308" s="31">
        <f t="shared" si="21"/>
        <v>0</v>
      </c>
      <c r="O308" s="37">
        <f t="shared" si="22"/>
        <v>0</v>
      </c>
      <c r="P308" s="41">
        <f t="shared" si="24"/>
        <v>0</v>
      </c>
      <c r="Q308" s="37">
        <f t="shared" si="23"/>
        <v>0</v>
      </c>
      <c r="T308" s="42"/>
      <c r="U308" s="42"/>
      <c r="V308" s="42"/>
      <c r="W308" s="48"/>
    </row>
    <row r="309" spans="12:23" hidden="1" x14ac:dyDescent="0.25">
      <c r="L309" s="31">
        <f t="shared" si="20"/>
        <v>2</v>
      </c>
      <c r="M309" s="31">
        <v>296</v>
      </c>
      <c r="N309" s="31">
        <f t="shared" si="21"/>
        <v>0</v>
      </c>
      <c r="O309" s="37">
        <f t="shared" si="22"/>
        <v>0</v>
      </c>
      <c r="P309" s="41">
        <f t="shared" si="24"/>
        <v>0</v>
      </c>
      <c r="Q309" s="37">
        <f t="shared" si="23"/>
        <v>0</v>
      </c>
      <c r="T309" s="42"/>
      <c r="U309" s="42"/>
      <c r="V309" s="42"/>
      <c r="W309" s="48"/>
    </row>
    <row r="310" spans="12:23" hidden="1" x14ac:dyDescent="0.25">
      <c r="L310" s="31">
        <f t="shared" si="20"/>
        <v>3</v>
      </c>
      <c r="M310" s="31">
        <v>297</v>
      </c>
      <c r="N310" s="31">
        <f t="shared" si="21"/>
        <v>0</v>
      </c>
      <c r="O310" s="37">
        <f t="shared" si="22"/>
        <v>0</v>
      </c>
      <c r="P310" s="41">
        <f t="shared" si="24"/>
        <v>0</v>
      </c>
      <c r="Q310" s="37">
        <f t="shared" si="23"/>
        <v>0</v>
      </c>
      <c r="T310" s="42"/>
      <c r="U310" s="42"/>
      <c r="V310" s="42"/>
      <c r="W310" s="48"/>
    </row>
    <row r="311" spans="12:23" hidden="1" x14ac:dyDescent="0.25">
      <c r="L311" s="31">
        <f t="shared" si="20"/>
        <v>4</v>
      </c>
      <c r="M311" s="31">
        <v>298</v>
      </c>
      <c r="N311" s="31">
        <f t="shared" si="21"/>
        <v>0</v>
      </c>
      <c r="O311" s="37">
        <f t="shared" si="22"/>
        <v>0</v>
      </c>
      <c r="P311" s="41">
        <f t="shared" si="24"/>
        <v>0</v>
      </c>
      <c r="Q311" s="37">
        <f t="shared" si="23"/>
        <v>0</v>
      </c>
      <c r="T311" s="42"/>
      <c r="U311" s="42"/>
      <c r="V311" s="42"/>
      <c r="W311" s="48"/>
    </row>
    <row r="312" spans="12:23" hidden="1" x14ac:dyDescent="0.25">
      <c r="L312" s="31">
        <f t="shared" si="20"/>
        <v>5</v>
      </c>
      <c r="M312" s="31">
        <v>299</v>
      </c>
      <c r="N312" s="31">
        <f t="shared" si="21"/>
        <v>0</v>
      </c>
      <c r="O312" s="37">
        <f t="shared" si="22"/>
        <v>0</v>
      </c>
      <c r="P312" s="41">
        <f t="shared" si="24"/>
        <v>0</v>
      </c>
      <c r="Q312" s="37">
        <f t="shared" si="23"/>
        <v>0</v>
      </c>
      <c r="T312" s="42"/>
      <c r="U312" s="42"/>
      <c r="V312" s="42"/>
      <c r="W312" s="48"/>
    </row>
    <row r="313" spans="12:23" hidden="1" x14ac:dyDescent="0.25">
      <c r="L313" s="31">
        <f t="shared" si="20"/>
        <v>0</v>
      </c>
      <c r="M313" s="31">
        <v>300</v>
      </c>
      <c r="N313" s="31">
        <f t="shared" si="21"/>
        <v>0</v>
      </c>
      <c r="O313" s="37">
        <f t="shared" si="22"/>
        <v>0</v>
      </c>
      <c r="P313" s="41">
        <f t="shared" si="24"/>
        <v>0</v>
      </c>
      <c r="Q313" s="37">
        <f t="shared" si="23"/>
        <v>0</v>
      </c>
      <c r="T313" s="42"/>
      <c r="U313" s="42"/>
      <c r="V313" s="42"/>
      <c r="W313" s="48"/>
    </row>
    <row r="314" spans="12:23" hidden="1" x14ac:dyDescent="0.25">
      <c r="L314" s="31">
        <f t="shared" si="20"/>
        <v>1</v>
      </c>
      <c r="M314" s="31">
        <v>301</v>
      </c>
      <c r="N314" s="31">
        <f t="shared" si="21"/>
        <v>0</v>
      </c>
      <c r="O314" s="37">
        <f t="shared" si="22"/>
        <v>0</v>
      </c>
      <c r="P314" s="41">
        <f t="shared" si="24"/>
        <v>0</v>
      </c>
      <c r="Q314" s="37">
        <f t="shared" si="23"/>
        <v>0</v>
      </c>
      <c r="T314" s="42"/>
      <c r="U314" s="42"/>
      <c r="V314" s="42"/>
      <c r="W314" s="48"/>
    </row>
    <row r="315" spans="12:23" hidden="1" x14ac:dyDescent="0.25">
      <c r="L315" s="31">
        <f t="shared" si="20"/>
        <v>2</v>
      </c>
      <c r="M315" s="31">
        <v>302</v>
      </c>
      <c r="N315" s="31">
        <f t="shared" si="21"/>
        <v>0</v>
      </c>
      <c r="O315" s="37">
        <f t="shared" si="22"/>
        <v>0</v>
      </c>
      <c r="P315" s="41">
        <f t="shared" si="24"/>
        <v>0</v>
      </c>
      <c r="Q315" s="37">
        <f t="shared" si="23"/>
        <v>0</v>
      </c>
      <c r="T315" s="42"/>
      <c r="U315" s="42"/>
      <c r="V315" s="42"/>
      <c r="W315" s="48"/>
    </row>
    <row r="316" spans="12:23" hidden="1" x14ac:dyDescent="0.25">
      <c r="L316" s="31">
        <f t="shared" si="20"/>
        <v>3</v>
      </c>
      <c r="M316" s="31">
        <v>303</v>
      </c>
      <c r="N316" s="31">
        <f t="shared" si="21"/>
        <v>0</v>
      </c>
      <c r="O316" s="37">
        <f t="shared" si="22"/>
        <v>0</v>
      </c>
      <c r="P316" s="41">
        <f t="shared" si="24"/>
        <v>0</v>
      </c>
      <c r="Q316" s="37">
        <f t="shared" si="23"/>
        <v>0</v>
      </c>
      <c r="T316" s="42"/>
      <c r="U316" s="42"/>
      <c r="V316" s="42"/>
      <c r="W316" s="48"/>
    </row>
    <row r="317" spans="12:23" hidden="1" x14ac:dyDescent="0.25">
      <c r="L317" s="31">
        <f t="shared" si="20"/>
        <v>4</v>
      </c>
      <c r="M317" s="31">
        <v>304</v>
      </c>
      <c r="N317" s="31">
        <f t="shared" si="21"/>
        <v>0</v>
      </c>
      <c r="O317" s="37">
        <f t="shared" si="22"/>
        <v>0</v>
      </c>
      <c r="P317" s="41">
        <f t="shared" si="24"/>
        <v>0</v>
      </c>
      <c r="Q317" s="37">
        <f t="shared" si="23"/>
        <v>0</v>
      </c>
      <c r="T317" s="42"/>
      <c r="U317" s="42"/>
      <c r="V317" s="42"/>
      <c r="W317" s="48"/>
    </row>
    <row r="318" spans="12:23" hidden="1" x14ac:dyDescent="0.25">
      <c r="L318" s="31">
        <f t="shared" si="20"/>
        <v>5</v>
      </c>
      <c r="M318" s="31">
        <v>305</v>
      </c>
      <c r="N318" s="31">
        <f t="shared" si="21"/>
        <v>0</v>
      </c>
      <c r="O318" s="37">
        <f t="shared" si="22"/>
        <v>0</v>
      </c>
      <c r="P318" s="41">
        <f t="shared" si="24"/>
        <v>0</v>
      </c>
      <c r="Q318" s="37">
        <f t="shared" si="23"/>
        <v>0</v>
      </c>
      <c r="T318" s="42"/>
      <c r="U318" s="42"/>
      <c r="V318" s="42"/>
      <c r="W318" s="48"/>
    </row>
    <row r="319" spans="12:23" hidden="1" x14ac:dyDescent="0.25">
      <c r="L319" s="31">
        <f t="shared" si="20"/>
        <v>0</v>
      </c>
      <c r="M319" s="31">
        <v>306</v>
      </c>
      <c r="N319" s="31">
        <f t="shared" si="21"/>
        <v>0</v>
      </c>
      <c r="O319" s="37">
        <f t="shared" si="22"/>
        <v>0</v>
      </c>
      <c r="P319" s="41">
        <f t="shared" si="24"/>
        <v>0</v>
      </c>
      <c r="Q319" s="37">
        <f t="shared" si="23"/>
        <v>0</v>
      </c>
      <c r="T319" s="42"/>
      <c r="U319" s="42"/>
      <c r="V319" s="42"/>
      <c r="W319" s="48"/>
    </row>
    <row r="320" spans="12:23" hidden="1" x14ac:dyDescent="0.25">
      <c r="L320" s="31">
        <f t="shared" si="20"/>
        <v>1</v>
      </c>
      <c r="M320" s="31">
        <v>307</v>
      </c>
      <c r="N320" s="31">
        <f t="shared" si="21"/>
        <v>0</v>
      </c>
      <c r="O320" s="37">
        <f t="shared" si="22"/>
        <v>0</v>
      </c>
      <c r="P320" s="41">
        <f t="shared" si="24"/>
        <v>0</v>
      </c>
      <c r="Q320" s="37">
        <f t="shared" si="23"/>
        <v>0</v>
      </c>
      <c r="T320" s="42"/>
      <c r="U320" s="42"/>
      <c r="V320" s="42"/>
      <c r="W320" s="48"/>
    </row>
    <row r="321" spans="12:23" hidden="1" x14ac:dyDescent="0.25">
      <c r="L321" s="31">
        <f t="shared" si="20"/>
        <v>2</v>
      </c>
      <c r="M321" s="31">
        <v>308</v>
      </c>
      <c r="N321" s="31">
        <f t="shared" si="21"/>
        <v>0</v>
      </c>
      <c r="O321" s="37">
        <f t="shared" si="22"/>
        <v>0</v>
      </c>
      <c r="P321" s="41">
        <f t="shared" si="24"/>
        <v>0</v>
      </c>
      <c r="Q321" s="37">
        <f t="shared" si="23"/>
        <v>0</v>
      </c>
      <c r="T321" s="42"/>
      <c r="U321" s="42"/>
      <c r="V321" s="42"/>
      <c r="W321" s="48"/>
    </row>
    <row r="322" spans="12:23" hidden="1" x14ac:dyDescent="0.25">
      <c r="L322" s="31">
        <f t="shared" si="20"/>
        <v>3</v>
      </c>
      <c r="M322" s="31">
        <v>309</v>
      </c>
      <c r="N322" s="31">
        <f t="shared" si="21"/>
        <v>0</v>
      </c>
      <c r="O322" s="37">
        <f t="shared" si="22"/>
        <v>0</v>
      </c>
      <c r="P322" s="41">
        <f t="shared" si="24"/>
        <v>0</v>
      </c>
      <c r="Q322" s="37">
        <f t="shared" si="23"/>
        <v>0</v>
      </c>
      <c r="T322" s="42"/>
      <c r="U322" s="42"/>
      <c r="V322" s="42"/>
      <c r="W322" s="48"/>
    </row>
    <row r="323" spans="12:23" hidden="1" x14ac:dyDescent="0.25">
      <c r="L323" s="31">
        <f t="shared" si="20"/>
        <v>4</v>
      </c>
      <c r="M323" s="31">
        <v>310</v>
      </c>
      <c r="N323" s="31">
        <f t="shared" si="21"/>
        <v>0</v>
      </c>
      <c r="O323" s="37">
        <f t="shared" si="22"/>
        <v>0</v>
      </c>
      <c r="P323" s="41">
        <f t="shared" si="24"/>
        <v>0</v>
      </c>
      <c r="Q323" s="37">
        <f t="shared" si="23"/>
        <v>0</v>
      </c>
      <c r="T323" s="42"/>
      <c r="U323" s="42"/>
      <c r="V323" s="42"/>
      <c r="W323" s="48"/>
    </row>
    <row r="324" spans="12:23" hidden="1" x14ac:dyDescent="0.25">
      <c r="L324" s="31">
        <f t="shared" si="20"/>
        <v>5</v>
      </c>
      <c r="M324" s="31">
        <v>311</v>
      </c>
      <c r="N324" s="31">
        <f t="shared" si="21"/>
        <v>0</v>
      </c>
      <c r="O324" s="37">
        <f t="shared" si="22"/>
        <v>0</v>
      </c>
      <c r="P324" s="41">
        <f t="shared" si="24"/>
        <v>0</v>
      </c>
      <c r="Q324" s="37">
        <f t="shared" si="23"/>
        <v>0</v>
      </c>
      <c r="T324" s="42"/>
      <c r="U324" s="42"/>
      <c r="V324" s="42"/>
      <c r="W324" s="48"/>
    </row>
    <row r="325" spans="12:23" hidden="1" x14ac:dyDescent="0.25">
      <c r="L325" s="31">
        <f t="shared" si="20"/>
        <v>0</v>
      </c>
      <c r="M325" s="31">
        <v>312</v>
      </c>
      <c r="N325" s="31">
        <f t="shared" si="21"/>
        <v>0</v>
      </c>
      <c r="O325" s="37">
        <f t="shared" si="22"/>
        <v>0</v>
      </c>
      <c r="P325" s="41">
        <f t="shared" si="24"/>
        <v>0</v>
      </c>
      <c r="Q325" s="37">
        <f t="shared" si="23"/>
        <v>0</v>
      </c>
      <c r="T325" s="42"/>
      <c r="U325" s="42"/>
      <c r="V325" s="42"/>
      <c r="W325" s="48"/>
    </row>
    <row r="326" spans="12:23" hidden="1" x14ac:dyDescent="0.25">
      <c r="L326" s="31">
        <f t="shared" si="20"/>
        <v>1</v>
      </c>
      <c r="M326" s="31">
        <v>313</v>
      </c>
      <c r="N326" s="31">
        <f t="shared" si="21"/>
        <v>0</v>
      </c>
      <c r="O326" s="37">
        <f t="shared" si="22"/>
        <v>0</v>
      </c>
      <c r="P326" s="41">
        <f t="shared" si="24"/>
        <v>0</v>
      </c>
      <c r="Q326" s="37">
        <f t="shared" si="23"/>
        <v>0</v>
      </c>
      <c r="T326" s="42"/>
      <c r="U326" s="42"/>
      <c r="V326" s="42"/>
      <c r="W326" s="48"/>
    </row>
    <row r="327" spans="12:23" hidden="1" x14ac:dyDescent="0.25">
      <c r="L327" s="31">
        <f t="shared" si="20"/>
        <v>2</v>
      </c>
      <c r="M327" s="31">
        <v>314</v>
      </c>
      <c r="N327" s="31">
        <f t="shared" si="21"/>
        <v>0</v>
      </c>
      <c r="O327" s="37">
        <f t="shared" si="22"/>
        <v>0</v>
      </c>
      <c r="P327" s="41">
        <f t="shared" si="24"/>
        <v>0</v>
      </c>
      <c r="Q327" s="37">
        <f t="shared" si="23"/>
        <v>0</v>
      </c>
      <c r="T327" s="42"/>
      <c r="U327" s="42"/>
      <c r="V327" s="42"/>
      <c r="W327" s="48"/>
    </row>
    <row r="328" spans="12:23" hidden="1" x14ac:dyDescent="0.25">
      <c r="L328" s="31">
        <f t="shared" si="20"/>
        <v>3</v>
      </c>
      <c r="M328" s="31">
        <v>315</v>
      </c>
      <c r="N328" s="31">
        <f t="shared" si="21"/>
        <v>0</v>
      </c>
      <c r="O328" s="37">
        <f t="shared" si="22"/>
        <v>0</v>
      </c>
      <c r="P328" s="41">
        <f t="shared" si="24"/>
        <v>0</v>
      </c>
      <c r="Q328" s="37">
        <f t="shared" si="23"/>
        <v>0</v>
      </c>
      <c r="T328" s="42"/>
      <c r="U328" s="42"/>
      <c r="V328" s="42"/>
      <c r="W328" s="48"/>
    </row>
    <row r="329" spans="12:23" hidden="1" x14ac:dyDescent="0.25">
      <c r="L329" s="31">
        <f t="shared" si="20"/>
        <v>4</v>
      </c>
      <c r="M329" s="31">
        <v>316</v>
      </c>
      <c r="N329" s="31">
        <f t="shared" si="21"/>
        <v>0</v>
      </c>
      <c r="O329" s="37">
        <f t="shared" si="22"/>
        <v>0</v>
      </c>
      <c r="P329" s="41">
        <f t="shared" si="24"/>
        <v>0</v>
      </c>
      <c r="Q329" s="37">
        <f t="shared" si="23"/>
        <v>0</v>
      </c>
      <c r="T329" s="42"/>
      <c r="U329" s="42"/>
      <c r="V329" s="42"/>
      <c r="W329" s="48"/>
    </row>
    <row r="330" spans="12:23" hidden="1" x14ac:dyDescent="0.25">
      <c r="L330" s="31">
        <f t="shared" si="20"/>
        <v>5</v>
      </c>
      <c r="M330" s="31">
        <v>317</v>
      </c>
      <c r="N330" s="31">
        <f t="shared" si="21"/>
        <v>0</v>
      </c>
      <c r="O330" s="37">
        <f t="shared" si="22"/>
        <v>0</v>
      </c>
      <c r="P330" s="41">
        <f t="shared" si="24"/>
        <v>0</v>
      </c>
      <c r="Q330" s="37">
        <f t="shared" si="23"/>
        <v>0</v>
      </c>
      <c r="T330" s="42"/>
      <c r="U330" s="42"/>
      <c r="V330" s="42"/>
      <c r="W330" s="48"/>
    </row>
    <row r="331" spans="12:23" hidden="1" x14ac:dyDescent="0.25">
      <c r="L331" s="31">
        <f t="shared" si="20"/>
        <v>0</v>
      </c>
      <c r="M331" s="31">
        <v>318</v>
      </c>
      <c r="N331" s="31">
        <f t="shared" si="21"/>
        <v>0</v>
      </c>
      <c r="O331" s="37">
        <f t="shared" si="22"/>
        <v>0</v>
      </c>
      <c r="P331" s="41">
        <f t="shared" si="24"/>
        <v>0</v>
      </c>
      <c r="Q331" s="37">
        <f t="shared" si="23"/>
        <v>0</v>
      </c>
      <c r="T331" s="42"/>
      <c r="U331" s="42"/>
      <c r="V331" s="42"/>
      <c r="W331" s="48"/>
    </row>
    <row r="332" spans="12:23" hidden="1" x14ac:dyDescent="0.25">
      <c r="L332" s="31">
        <f t="shared" si="20"/>
        <v>1</v>
      </c>
      <c r="M332" s="31">
        <v>319</v>
      </c>
      <c r="N332" s="31">
        <f t="shared" si="21"/>
        <v>0</v>
      </c>
      <c r="O332" s="37">
        <f t="shared" si="22"/>
        <v>0</v>
      </c>
      <c r="P332" s="41">
        <f t="shared" si="24"/>
        <v>0</v>
      </c>
      <c r="Q332" s="37">
        <f t="shared" si="23"/>
        <v>0</v>
      </c>
      <c r="T332" s="42"/>
      <c r="U332" s="42"/>
      <c r="V332" s="42"/>
      <c r="W332" s="48"/>
    </row>
    <row r="333" spans="12:23" hidden="1" x14ac:dyDescent="0.25">
      <c r="L333" s="31">
        <f t="shared" ref="L333:L396" si="25">MOD(M333,12/$C$9)</f>
        <v>2</v>
      </c>
      <c r="M333" s="31">
        <v>320</v>
      </c>
      <c r="N333" s="31">
        <f t="shared" ref="N333:N396" si="26">IF(M333&lt;$O$8,IF(L333=0,$C$8,0),0)</f>
        <v>0</v>
      </c>
      <c r="O333" s="37">
        <f t="shared" ref="O333:O396" si="27">IF(M333&lt;=$O$8,FV(SRate,($O$8-M333),0,-N333,1),0)</f>
        <v>0</v>
      </c>
      <c r="P333" s="41">
        <f t="shared" si="24"/>
        <v>0</v>
      </c>
      <c r="Q333" s="37">
        <f t="shared" ref="Q333:Q396" si="28">(O333-N333)*TaxRate</f>
        <v>0</v>
      </c>
      <c r="T333" s="42"/>
      <c r="U333" s="42"/>
      <c r="V333" s="42"/>
      <c r="W333" s="48"/>
    </row>
    <row r="334" spans="12:23" hidden="1" x14ac:dyDescent="0.25">
      <c r="L334" s="31">
        <f t="shared" si="25"/>
        <v>3</v>
      </c>
      <c r="M334" s="31">
        <v>321</v>
      </c>
      <c r="N334" s="31">
        <f t="shared" si="26"/>
        <v>0</v>
      </c>
      <c r="O334" s="37">
        <f t="shared" si="27"/>
        <v>0</v>
      </c>
      <c r="P334" s="41">
        <f t="shared" ref="P334:P397" si="29">IF(M334&lt;=$O$8,FV(SRate,1,0,-P333,1),0)+N334</f>
        <v>0</v>
      </c>
      <c r="Q334" s="37">
        <f t="shared" si="28"/>
        <v>0</v>
      </c>
      <c r="T334" s="42"/>
      <c r="U334" s="42"/>
      <c r="V334" s="42"/>
      <c r="W334" s="48"/>
    </row>
    <row r="335" spans="12:23" hidden="1" x14ac:dyDescent="0.25">
      <c r="L335" s="31">
        <f t="shared" si="25"/>
        <v>4</v>
      </c>
      <c r="M335" s="31">
        <v>322</v>
      </c>
      <c r="N335" s="31">
        <f t="shared" si="26"/>
        <v>0</v>
      </c>
      <c r="O335" s="37">
        <f t="shared" si="27"/>
        <v>0</v>
      </c>
      <c r="P335" s="41">
        <f t="shared" si="29"/>
        <v>0</v>
      </c>
      <c r="Q335" s="37">
        <f t="shared" si="28"/>
        <v>0</v>
      </c>
      <c r="T335" s="42"/>
      <c r="U335" s="42"/>
      <c r="V335" s="42"/>
      <c r="W335" s="48"/>
    </row>
    <row r="336" spans="12:23" hidden="1" x14ac:dyDescent="0.25">
      <c r="L336" s="31">
        <f t="shared" si="25"/>
        <v>5</v>
      </c>
      <c r="M336" s="31">
        <v>323</v>
      </c>
      <c r="N336" s="31">
        <f t="shared" si="26"/>
        <v>0</v>
      </c>
      <c r="O336" s="37">
        <f t="shared" si="27"/>
        <v>0</v>
      </c>
      <c r="P336" s="41">
        <f t="shared" si="29"/>
        <v>0</v>
      </c>
      <c r="Q336" s="37">
        <f t="shared" si="28"/>
        <v>0</v>
      </c>
      <c r="T336" s="42"/>
      <c r="U336" s="42"/>
      <c r="V336" s="42"/>
      <c r="W336" s="48"/>
    </row>
    <row r="337" spans="12:23" hidden="1" x14ac:dyDescent="0.25">
      <c r="L337" s="31">
        <f t="shared" si="25"/>
        <v>0</v>
      </c>
      <c r="M337" s="31">
        <v>324</v>
      </c>
      <c r="N337" s="31">
        <f t="shared" si="26"/>
        <v>0</v>
      </c>
      <c r="O337" s="37">
        <f t="shared" si="27"/>
        <v>0</v>
      </c>
      <c r="P337" s="41">
        <f t="shared" si="29"/>
        <v>0</v>
      </c>
      <c r="Q337" s="37">
        <f t="shared" si="28"/>
        <v>0</v>
      </c>
      <c r="T337" s="42"/>
      <c r="U337" s="42"/>
      <c r="V337" s="42"/>
      <c r="W337" s="48"/>
    </row>
    <row r="338" spans="12:23" hidden="1" x14ac:dyDescent="0.25">
      <c r="L338" s="31">
        <f t="shared" si="25"/>
        <v>1</v>
      </c>
      <c r="M338" s="31">
        <v>325</v>
      </c>
      <c r="N338" s="31">
        <f t="shared" si="26"/>
        <v>0</v>
      </c>
      <c r="O338" s="37">
        <f t="shared" si="27"/>
        <v>0</v>
      </c>
      <c r="P338" s="41">
        <f t="shared" si="29"/>
        <v>0</v>
      </c>
      <c r="Q338" s="37">
        <f t="shared" si="28"/>
        <v>0</v>
      </c>
      <c r="T338" s="42"/>
      <c r="U338" s="42"/>
      <c r="V338" s="42"/>
      <c r="W338" s="48"/>
    </row>
    <row r="339" spans="12:23" hidden="1" x14ac:dyDescent="0.25">
      <c r="L339" s="31">
        <f t="shared" si="25"/>
        <v>2</v>
      </c>
      <c r="M339" s="31">
        <v>326</v>
      </c>
      <c r="N339" s="31">
        <f t="shared" si="26"/>
        <v>0</v>
      </c>
      <c r="O339" s="37">
        <f t="shared" si="27"/>
        <v>0</v>
      </c>
      <c r="P339" s="41">
        <f t="shared" si="29"/>
        <v>0</v>
      </c>
      <c r="Q339" s="37">
        <f t="shared" si="28"/>
        <v>0</v>
      </c>
      <c r="T339" s="42"/>
      <c r="U339" s="42"/>
      <c r="V339" s="42"/>
      <c r="W339" s="48"/>
    </row>
    <row r="340" spans="12:23" hidden="1" x14ac:dyDescent="0.25">
      <c r="L340" s="31">
        <f t="shared" si="25"/>
        <v>3</v>
      </c>
      <c r="M340" s="31">
        <v>327</v>
      </c>
      <c r="N340" s="31">
        <f t="shared" si="26"/>
        <v>0</v>
      </c>
      <c r="O340" s="37">
        <f t="shared" si="27"/>
        <v>0</v>
      </c>
      <c r="P340" s="41">
        <f t="shared" si="29"/>
        <v>0</v>
      </c>
      <c r="Q340" s="37">
        <f t="shared" si="28"/>
        <v>0</v>
      </c>
      <c r="T340" s="42"/>
      <c r="U340" s="42"/>
      <c r="V340" s="42"/>
      <c r="W340" s="48"/>
    </row>
    <row r="341" spans="12:23" hidden="1" x14ac:dyDescent="0.25">
      <c r="L341" s="31">
        <f t="shared" si="25"/>
        <v>4</v>
      </c>
      <c r="M341" s="31">
        <v>328</v>
      </c>
      <c r="N341" s="31">
        <f t="shared" si="26"/>
        <v>0</v>
      </c>
      <c r="O341" s="37">
        <f t="shared" si="27"/>
        <v>0</v>
      </c>
      <c r="P341" s="41">
        <f t="shared" si="29"/>
        <v>0</v>
      </c>
      <c r="Q341" s="37">
        <f t="shared" si="28"/>
        <v>0</v>
      </c>
      <c r="T341" s="42"/>
      <c r="U341" s="42"/>
      <c r="V341" s="42"/>
      <c r="W341" s="48"/>
    </row>
    <row r="342" spans="12:23" hidden="1" x14ac:dyDescent="0.25">
      <c r="L342" s="31">
        <f t="shared" si="25"/>
        <v>5</v>
      </c>
      <c r="M342" s="31">
        <v>329</v>
      </c>
      <c r="N342" s="31">
        <f t="shared" si="26"/>
        <v>0</v>
      </c>
      <c r="O342" s="37">
        <f t="shared" si="27"/>
        <v>0</v>
      </c>
      <c r="P342" s="41">
        <f t="shared" si="29"/>
        <v>0</v>
      </c>
      <c r="Q342" s="37">
        <f t="shared" si="28"/>
        <v>0</v>
      </c>
      <c r="T342" s="42"/>
      <c r="U342" s="42"/>
      <c r="V342" s="42"/>
      <c r="W342" s="48"/>
    </row>
    <row r="343" spans="12:23" hidden="1" x14ac:dyDescent="0.25">
      <c r="L343" s="31">
        <f t="shared" si="25"/>
        <v>0</v>
      </c>
      <c r="M343" s="31">
        <v>330</v>
      </c>
      <c r="N343" s="31">
        <f t="shared" si="26"/>
        <v>0</v>
      </c>
      <c r="O343" s="37">
        <f t="shared" si="27"/>
        <v>0</v>
      </c>
      <c r="P343" s="41">
        <f t="shared" si="29"/>
        <v>0</v>
      </c>
      <c r="Q343" s="37">
        <f t="shared" si="28"/>
        <v>0</v>
      </c>
      <c r="T343" s="42"/>
      <c r="U343" s="42"/>
      <c r="V343" s="42"/>
      <c r="W343" s="48"/>
    </row>
    <row r="344" spans="12:23" hidden="1" x14ac:dyDescent="0.25">
      <c r="L344" s="31">
        <f t="shared" si="25"/>
        <v>1</v>
      </c>
      <c r="M344" s="31">
        <v>331</v>
      </c>
      <c r="N344" s="31">
        <f t="shared" si="26"/>
        <v>0</v>
      </c>
      <c r="O344" s="37">
        <f t="shared" si="27"/>
        <v>0</v>
      </c>
      <c r="P344" s="41">
        <f t="shared" si="29"/>
        <v>0</v>
      </c>
      <c r="Q344" s="37">
        <f t="shared" si="28"/>
        <v>0</v>
      </c>
      <c r="T344" s="42"/>
      <c r="U344" s="42"/>
      <c r="V344" s="42"/>
      <c r="W344" s="48"/>
    </row>
    <row r="345" spans="12:23" hidden="1" x14ac:dyDescent="0.25">
      <c r="L345" s="31">
        <f t="shared" si="25"/>
        <v>2</v>
      </c>
      <c r="M345" s="31">
        <v>332</v>
      </c>
      <c r="N345" s="31">
        <f t="shared" si="26"/>
        <v>0</v>
      </c>
      <c r="O345" s="37">
        <f t="shared" si="27"/>
        <v>0</v>
      </c>
      <c r="P345" s="41">
        <f t="shared" si="29"/>
        <v>0</v>
      </c>
      <c r="Q345" s="37">
        <f t="shared" si="28"/>
        <v>0</v>
      </c>
      <c r="T345" s="42"/>
      <c r="U345" s="42"/>
      <c r="V345" s="42"/>
      <c r="W345" s="48"/>
    </row>
    <row r="346" spans="12:23" hidden="1" x14ac:dyDescent="0.25">
      <c r="L346" s="31">
        <f t="shared" si="25"/>
        <v>3</v>
      </c>
      <c r="M346" s="31">
        <v>333</v>
      </c>
      <c r="N346" s="31">
        <f t="shared" si="26"/>
        <v>0</v>
      </c>
      <c r="O346" s="37">
        <f t="shared" si="27"/>
        <v>0</v>
      </c>
      <c r="P346" s="41">
        <f t="shared" si="29"/>
        <v>0</v>
      </c>
      <c r="Q346" s="37">
        <f t="shared" si="28"/>
        <v>0</v>
      </c>
      <c r="T346" s="42"/>
      <c r="U346" s="42"/>
      <c r="V346" s="42"/>
      <c r="W346" s="48"/>
    </row>
    <row r="347" spans="12:23" hidden="1" x14ac:dyDescent="0.25">
      <c r="L347" s="31">
        <f t="shared" si="25"/>
        <v>4</v>
      </c>
      <c r="M347" s="31">
        <v>334</v>
      </c>
      <c r="N347" s="31">
        <f t="shared" si="26"/>
        <v>0</v>
      </c>
      <c r="O347" s="37">
        <f t="shared" si="27"/>
        <v>0</v>
      </c>
      <c r="P347" s="41">
        <f t="shared" si="29"/>
        <v>0</v>
      </c>
      <c r="Q347" s="37">
        <f t="shared" si="28"/>
        <v>0</v>
      </c>
      <c r="T347" s="42"/>
      <c r="U347" s="42"/>
      <c r="V347" s="42"/>
      <c r="W347" s="48"/>
    </row>
    <row r="348" spans="12:23" hidden="1" x14ac:dyDescent="0.25">
      <c r="L348" s="31">
        <f t="shared" si="25"/>
        <v>5</v>
      </c>
      <c r="M348" s="31">
        <v>335</v>
      </c>
      <c r="N348" s="31">
        <f t="shared" si="26"/>
        <v>0</v>
      </c>
      <c r="O348" s="37">
        <f t="shared" si="27"/>
        <v>0</v>
      </c>
      <c r="P348" s="41">
        <f t="shared" si="29"/>
        <v>0</v>
      </c>
      <c r="Q348" s="37">
        <f t="shared" si="28"/>
        <v>0</v>
      </c>
      <c r="T348" s="42"/>
      <c r="U348" s="42"/>
      <c r="V348" s="42"/>
      <c r="W348" s="48"/>
    </row>
    <row r="349" spans="12:23" hidden="1" x14ac:dyDescent="0.25">
      <c r="L349" s="31">
        <f t="shared" si="25"/>
        <v>0</v>
      </c>
      <c r="M349" s="31">
        <v>336</v>
      </c>
      <c r="N349" s="31">
        <f t="shared" si="26"/>
        <v>0</v>
      </c>
      <c r="O349" s="37">
        <f t="shared" si="27"/>
        <v>0</v>
      </c>
      <c r="P349" s="41">
        <f t="shared" si="29"/>
        <v>0</v>
      </c>
      <c r="Q349" s="37">
        <f t="shared" si="28"/>
        <v>0</v>
      </c>
      <c r="T349" s="42"/>
      <c r="U349" s="42"/>
      <c r="V349" s="42"/>
      <c r="W349" s="48"/>
    </row>
    <row r="350" spans="12:23" hidden="1" x14ac:dyDescent="0.25">
      <c r="L350" s="31">
        <f t="shared" si="25"/>
        <v>1</v>
      </c>
      <c r="M350" s="31">
        <v>337</v>
      </c>
      <c r="N350" s="31">
        <f t="shared" si="26"/>
        <v>0</v>
      </c>
      <c r="O350" s="37">
        <f t="shared" si="27"/>
        <v>0</v>
      </c>
      <c r="P350" s="41">
        <f t="shared" si="29"/>
        <v>0</v>
      </c>
      <c r="Q350" s="37">
        <f t="shared" si="28"/>
        <v>0</v>
      </c>
      <c r="T350" s="42"/>
      <c r="U350" s="42"/>
      <c r="V350" s="42"/>
      <c r="W350" s="48"/>
    </row>
    <row r="351" spans="12:23" hidden="1" x14ac:dyDescent="0.25">
      <c r="L351" s="31">
        <f t="shared" si="25"/>
        <v>2</v>
      </c>
      <c r="M351" s="31">
        <v>338</v>
      </c>
      <c r="N351" s="31">
        <f t="shared" si="26"/>
        <v>0</v>
      </c>
      <c r="O351" s="37">
        <f t="shared" si="27"/>
        <v>0</v>
      </c>
      <c r="P351" s="41">
        <f t="shared" si="29"/>
        <v>0</v>
      </c>
      <c r="Q351" s="37">
        <f t="shared" si="28"/>
        <v>0</v>
      </c>
      <c r="T351" s="42"/>
      <c r="U351" s="42"/>
      <c r="V351" s="42"/>
      <c r="W351" s="48"/>
    </row>
    <row r="352" spans="12:23" hidden="1" x14ac:dyDescent="0.25">
      <c r="L352" s="31">
        <f t="shared" si="25"/>
        <v>3</v>
      </c>
      <c r="M352" s="31">
        <v>339</v>
      </c>
      <c r="N352" s="31">
        <f t="shared" si="26"/>
        <v>0</v>
      </c>
      <c r="O352" s="37">
        <f t="shared" si="27"/>
        <v>0</v>
      </c>
      <c r="P352" s="41">
        <f t="shared" si="29"/>
        <v>0</v>
      </c>
      <c r="Q352" s="37">
        <f t="shared" si="28"/>
        <v>0</v>
      </c>
      <c r="T352" s="42"/>
      <c r="U352" s="42"/>
      <c r="V352" s="42"/>
      <c r="W352" s="48"/>
    </row>
    <row r="353" spans="12:23" hidden="1" x14ac:dyDescent="0.25">
      <c r="L353" s="31">
        <f t="shared" si="25"/>
        <v>4</v>
      </c>
      <c r="M353" s="31">
        <v>340</v>
      </c>
      <c r="N353" s="31">
        <f t="shared" si="26"/>
        <v>0</v>
      </c>
      <c r="O353" s="37">
        <f t="shared" si="27"/>
        <v>0</v>
      </c>
      <c r="P353" s="41">
        <f t="shared" si="29"/>
        <v>0</v>
      </c>
      <c r="Q353" s="37">
        <f t="shared" si="28"/>
        <v>0</v>
      </c>
      <c r="T353" s="42"/>
      <c r="U353" s="42"/>
      <c r="V353" s="42"/>
      <c r="W353" s="48"/>
    </row>
    <row r="354" spans="12:23" hidden="1" x14ac:dyDescent="0.25">
      <c r="L354" s="31">
        <f t="shared" si="25"/>
        <v>5</v>
      </c>
      <c r="M354" s="31">
        <v>341</v>
      </c>
      <c r="N354" s="31">
        <f t="shared" si="26"/>
        <v>0</v>
      </c>
      <c r="O354" s="37">
        <f t="shared" si="27"/>
        <v>0</v>
      </c>
      <c r="P354" s="41">
        <f t="shared" si="29"/>
        <v>0</v>
      </c>
      <c r="Q354" s="37">
        <f t="shared" si="28"/>
        <v>0</v>
      </c>
      <c r="T354" s="42"/>
      <c r="U354" s="42"/>
      <c r="V354" s="42"/>
      <c r="W354" s="48"/>
    </row>
    <row r="355" spans="12:23" hidden="1" x14ac:dyDescent="0.25">
      <c r="L355" s="31">
        <f t="shared" si="25"/>
        <v>0</v>
      </c>
      <c r="M355" s="31">
        <v>342</v>
      </c>
      <c r="N355" s="31">
        <f t="shared" si="26"/>
        <v>0</v>
      </c>
      <c r="O355" s="37">
        <f t="shared" si="27"/>
        <v>0</v>
      </c>
      <c r="P355" s="41">
        <f t="shared" si="29"/>
        <v>0</v>
      </c>
      <c r="Q355" s="37">
        <f t="shared" si="28"/>
        <v>0</v>
      </c>
      <c r="T355" s="42"/>
      <c r="U355" s="42"/>
      <c r="V355" s="42"/>
      <c r="W355" s="48"/>
    </row>
    <row r="356" spans="12:23" hidden="1" x14ac:dyDescent="0.25">
      <c r="L356" s="31">
        <f t="shared" si="25"/>
        <v>1</v>
      </c>
      <c r="M356" s="31">
        <v>343</v>
      </c>
      <c r="N356" s="31">
        <f t="shared" si="26"/>
        <v>0</v>
      </c>
      <c r="O356" s="37">
        <f t="shared" si="27"/>
        <v>0</v>
      </c>
      <c r="P356" s="41">
        <f t="shared" si="29"/>
        <v>0</v>
      </c>
      <c r="Q356" s="37">
        <f t="shared" si="28"/>
        <v>0</v>
      </c>
      <c r="T356" s="42"/>
      <c r="U356" s="42"/>
      <c r="V356" s="42"/>
      <c r="W356" s="48"/>
    </row>
    <row r="357" spans="12:23" hidden="1" x14ac:dyDescent="0.25">
      <c r="L357" s="31">
        <f t="shared" si="25"/>
        <v>2</v>
      </c>
      <c r="M357" s="31">
        <v>344</v>
      </c>
      <c r="N357" s="31">
        <f t="shared" si="26"/>
        <v>0</v>
      </c>
      <c r="O357" s="37">
        <f t="shared" si="27"/>
        <v>0</v>
      </c>
      <c r="P357" s="41">
        <f t="shared" si="29"/>
        <v>0</v>
      </c>
      <c r="Q357" s="37">
        <f t="shared" si="28"/>
        <v>0</v>
      </c>
      <c r="T357" s="42"/>
      <c r="U357" s="42"/>
      <c r="V357" s="42"/>
      <c r="W357" s="48"/>
    </row>
    <row r="358" spans="12:23" hidden="1" x14ac:dyDescent="0.25">
      <c r="L358" s="31">
        <f t="shared" si="25"/>
        <v>3</v>
      </c>
      <c r="M358" s="31">
        <v>345</v>
      </c>
      <c r="N358" s="31">
        <f t="shared" si="26"/>
        <v>0</v>
      </c>
      <c r="O358" s="37">
        <f t="shared" si="27"/>
        <v>0</v>
      </c>
      <c r="P358" s="41">
        <f t="shared" si="29"/>
        <v>0</v>
      </c>
      <c r="Q358" s="37">
        <f t="shared" si="28"/>
        <v>0</v>
      </c>
      <c r="T358" s="42"/>
      <c r="U358" s="42"/>
      <c r="V358" s="42"/>
      <c r="W358" s="48"/>
    </row>
    <row r="359" spans="12:23" hidden="1" x14ac:dyDescent="0.25">
      <c r="L359" s="31">
        <f t="shared" si="25"/>
        <v>4</v>
      </c>
      <c r="M359" s="31">
        <v>346</v>
      </c>
      <c r="N359" s="31">
        <f t="shared" si="26"/>
        <v>0</v>
      </c>
      <c r="O359" s="37">
        <f t="shared" si="27"/>
        <v>0</v>
      </c>
      <c r="P359" s="41">
        <f t="shared" si="29"/>
        <v>0</v>
      </c>
      <c r="Q359" s="37">
        <f t="shared" si="28"/>
        <v>0</v>
      </c>
      <c r="T359" s="42"/>
      <c r="U359" s="42"/>
      <c r="V359" s="42"/>
      <c r="W359" s="48"/>
    </row>
    <row r="360" spans="12:23" hidden="1" x14ac:dyDescent="0.25">
      <c r="L360" s="31">
        <f t="shared" si="25"/>
        <v>5</v>
      </c>
      <c r="M360" s="31">
        <v>347</v>
      </c>
      <c r="N360" s="31">
        <f t="shared" si="26"/>
        <v>0</v>
      </c>
      <c r="O360" s="37">
        <f t="shared" si="27"/>
        <v>0</v>
      </c>
      <c r="P360" s="41">
        <f t="shared" si="29"/>
        <v>0</v>
      </c>
      <c r="Q360" s="37">
        <f t="shared" si="28"/>
        <v>0</v>
      </c>
      <c r="T360" s="42"/>
      <c r="U360" s="42"/>
      <c r="V360" s="42"/>
      <c r="W360" s="48"/>
    </row>
    <row r="361" spans="12:23" hidden="1" x14ac:dyDescent="0.25">
      <c r="L361" s="31">
        <f t="shared" si="25"/>
        <v>0</v>
      </c>
      <c r="M361" s="31">
        <v>348</v>
      </c>
      <c r="N361" s="31">
        <f t="shared" si="26"/>
        <v>0</v>
      </c>
      <c r="O361" s="37">
        <f t="shared" si="27"/>
        <v>0</v>
      </c>
      <c r="P361" s="41">
        <f t="shared" si="29"/>
        <v>0</v>
      </c>
      <c r="Q361" s="37">
        <f t="shared" si="28"/>
        <v>0</v>
      </c>
      <c r="T361" s="42"/>
      <c r="U361" s="42"/>
      <c r="V361" s="42"/>
      <c r="W361" s="48"/>
    </row>
    <row r="362" spans="12:23" hidden="1" x14ac:dyDescent="0.25">
      <c r="L362" s="31">
        <f t="shared" si="25"/>
        <v>1</v>
      </c>
      <c r="M362" s="31">
        <v>349</v>
      </c>
      <c r="N362" s="31">
        <f t="shared" si="26"/>
        <v>0</v>
      </c>
      <c r="O362" s="37">
        <f t="shared" si="27"/>
        <v>0</v>
      </c>
      <c r="P362" s="41">
        <f t="shared" si="29"/>
        <v>0</v>
      </c>
      <c r="Q362" s="37">
        <f t="shared" si="28"/>
        <v>0</v>
      </c>
      <c r="T362" s="42"/>
      <c r="U362" s="42"/>
      <c r="V362" s="42"/>
      <c r="W362" s="48"/>
    </row>
    <row r="363" spans="12:23" hidden="1" x14ac:dyDescent="0.25">
      <c r="L363" s="31">
        <f t="shared" si="25"/>
        <v>2</v>
      </c>
      <c r="M363" s="31">
        <v>350</v>
      </c>
      <c r="N363" s="31">
        <f t="shared" si="26"/>
        <v>0</v>
      </c>
      <c r="O363" s="37">
        <f t="shared" si="27"/>
        <v>0</v>
      </c>
      <c r="P363" s="41">
        <f t="shared" si="29"/>
        <v>0</v>
      </c>
      <c r="Q363" s="37">
        <f t="shared" si="28"/>
        <v>0</v>
      </c>
      <c r="T363" s="42"/>
      <c r="U363" s="42"/>
      <c r="V363" s="42"/>
      <c r="W363" s="48"/>
    </row>
    <row r="364" spans="12:23" hidden="1" x14ac:dyDescent="0.25">
      <c r="L364" s="31">
        <f t="shared" si="25"/>
        <v>3</v>
      </c>
      <c r="M364" s="31">
        <v>351</v>
      </c>
      <c r="N364" s="31">
        <f t="shared" si="26"/>
        <v>0</v>
      </c>
      <c r="O364" s="37">
        <f t="shared" si="27"/>
        <v>0</v>
      </c>
      <c r="P364" s="41">
        <f t="shared" si="29"/>
        <v>0</v>
      </c>
      <c r="Q364" s="37">
        <f t="shared" si="28"/>
        <v>0</v>
      </c>
      <c r="T364" s="42"/>
      <c r="U364" s="42"/>
      <c r="V364" s="42"/>
      <c r="W364" s="48"/>
    </row>
    <row r="365" spans="12:23" hidden="1" x14ac:dyDescent="0.25">
      <c r="L365" s="31">
        <f t="shared" si="25"/>
        <v>4</v>
      </c>
      <c r="M365" s="31">
        <v>352</v>
      </c>
      <c r="N365" s="31">
        <f t="shared" si="26"/>
        <v>0</v>
      </c>
      <c r="O365" s="37">
        <f t="shared" si="27"/>
        <v>0</v>
      </c>
      <c r="P365" s="41">
        <f t="shared" si="29"/>
        <v>0</v>
      </c>
      <c r="Q365" s="37">
        <f t="shared" si="28"/>
        <v>0</v>
      </c>
      <c r="T365" s="42"/>
      <c r="U365" s="42"/>
      <c r="V365" s="42"/>
      <c r="W365" s="48"/>
    </row>
    <row r="366" spans="12:23" hidden="1" x14ac:dyDescent="0.25">
      <c r="L366" s="31">
        <f t="shared" si="25"/>
        <v>5</v>
      </c>
      <c r="M366" s="31">
        <v>353</v>
      </c>
      <c r="N366" s="31">
        <f t="shared" si="26"/>
        <v>0</v>
      </c>
      <c r="O366" s="37">
        <f t="shared" si="27"/>
        <v>0</v>
      </c>
      <c r="P366" s="41">
        <f t="shared" si="29"/>
        <v>0</v>
      </c>
      <c r="Q366" s="37">
        <f t="shared" si="28"/>
        <v>0</v>
      </c>
      <c r="T366" s="42"/>
      <c r="U366" s="42"/>
      <c r="V366" s="42"/>
      <c r="W366" s="48"/>
    </row>
    <row r="367" spans="12:23" hidden="1" x14ac:dyDescent="0.25">
      <c r="L367" s="31">
        <f t="shared" si="25"/>
        <v>0</v>
      </c>
      <c r="M367" s="31">
        <v>354</v>
      </c>
      <c r="N367" s="31">
        <f t="shared" si="26"/>
        <v>0</v>
      </c>
      <c r="O367" s="37">
        <f t="shared" si="27"/>
        <v>0</v>
      </c>
      <c r="P367" s="41">
        <f t="shared" si="29"/>
        <v>0</v>
      </c>
      <c r="Q367" s="37">
        <f t="shared" si="28"/>
        <v>0</v>
      </c>
      <c r="T367" s="42"/>
      <c r="U367" s="42"/>
      <c r="V367" s="42"/>
      <c r="W367" s="48"/>
    </row>
    <row r="368" spans="12:23" hidden="1" x14ac:dyDescent="0.25">
      <c r="L368" s="31">
        <f t="shared" si="25"/>
        <v>1</v>
      </c>
      <c r="M368" s="31">
        <v>355</v>
      </c>
      <c r="N368" s="31">
        <f t="shared" si="26"/>
        <v>0</v>
      </c>
      <c r="O368" s="37">
        <f t="shared" si="27"/>
        <v>0</v>
      </c>
      <c r="P368" s="41">
        <f t="shared" si="29"/>
        <v>0</v>
      </c>
      <c r="Q368" s="37">
        <f t="shared" si="28"/>
        <v>0</v>
      </c>
      <c r="T368" s="42"/>
      <c r="U368" s="42"/>
      <c r="V368" s="42"/>
      <c r="W368" s="48"/>
    </row>
    <row r="369" spans="12:23" hidden="1" x14ac:dyDescent="0.25">
      <c r="L369" s="31">
        <f t="shared" si="25"/>
        <v>2</v>
      </c>
      <c r="M369" s="31">
        <v>356</v>
      </c>
      <c r="N369" s="31">
        <f t="shared" si="26"/>
        <v>0</v>
      </c>
      <c r="O369" s="37">
        <f t="shared" si="27"/>
        <v>0</v>
      </c>
      <c r="P369" s="41">
        <f t="shared" si="29"/>
        <v>0</v>
      </c>
      <c r="Q369" s="37">
        <f t="shared" si="28"/>
        <v>0</v>
      </c>
      <c r="T369" s="42"/>
      <c r="U369" s="42"/>
      <c r="V369" s="42"/>
      <c r="W369" s="48"/>
    </row>
    <row r="370" spans="12:23" hidden="1" x14ac:dyDescent="0.25">
      <c r="L370" s="31">
        <f t="shared" si="25"/>
        <v>3</v>
      </c>
      <c r="M370" s="31">
        <v>357</v>
      </c>
      <c r="N370" s="31">
        <f t="shared" si="26"/>
        <v>0</v>
      </c>
      <c r="O370" s="37">
        <f t="shared" si="27"/>
        <v>0</v>
      </c>
      <c r="P370" s="41">
        <f t="shared" si="29"/>
        <v>0</v>
      </c>
      <c r="Q370" s="37">
        <f t="shared" si="28"/>
        <v>0</v>
      </c>
      <c r="T370" s="42"/>
      <c r="U370" s="42"/>
      <c r="V370" s="42"/>
      <c r="W370" s="48"/>
    </row>
    <row r="371" spans="12:23" hidden="1" x14ac:dyDescent="0.25">
      <c r="L371" s="31">
        <f t="shared" si="25"/>
        <v>4</v>
      </c>
      <c r="M371" s="31">
        <v>358</v>
      </c>
      <c r="N371" s="31">
        <f t="shared" si="26"/>
        <v>0</v>
      </c>
      <c r="O371" s="37">
        <f t="shared" si="27"/>
        <v>0</v>
      </c>
      <c r="P371" s="41">
        <f t="shared" si="29"/>
        <v>0</v>
      </c>
      <c r="Q371" s="37">
        <f t="shared" si="28"/>
        <v>0</v>
      </c>
      <c r="T371" s="42"/>
      <c r="U371" s="42"/>
      <c r="V371" s="42"/>
      <c r="W371" s="48"/>
    </row>
    <row r="372" spans="12:23" hidden="1" x14ac:dyDescent="0.25">
      <c r="L372" s="31">
        <f t="shared" si="25"/>
        <v>5</v>
      </c>
      <c r="M372" s="31">
        <v>359</v>
      </c>
      <c r="N372" s="31">
        <f t="shared" si="26"/>
        <v>0</v>
      </c>
      <c r="O372" s="37">
        <f t="shared" si="27"/>
        <v>0</v>
      </c>
      <c r="P372" s="41">
        <f t="shared" si="29"/>
        <v>0</v>
      </c>
      <c r="Q372" s="37">
        <f t="shared" si="28"/>
        <v>0</v>
      </c>
      <c r="T372" s="42"/>
      <c r="U372" s="42"/>
      <c r="V372" s="42"/>
      <c r="W372" s="48"/>
    </row>
    <row r="373" spans="12:23" hidden="1" x14ac:dyDescent="0.25">
      <c r="L373" s="31">
        <f t="shared" si="25"/>
        <v>0</v>
      </c>
      <c r="M373" s="31">
        <v>360</v>
      </c>
      <c r="N373" s="31">
        <f t="shared" si="26"/>
        <v>0</v>
      </c>
      <c r="O373" s="37">
        <f t="shared" si="27"/>
        <v>0</v>
      </c>
      <c r="P373" s="41">
        <f t="shared" si="29"/>
        <v>0</v>
      </c>
      <c r="Q373" s="37">
        <f t="shared" si="28"/>
        <v>0</v>
      </c>
      <c r="T373" s="42"/>
      <c r="U373" s="42"/>
      <c r="V373" s="42"/>
      <c r="W373" s="48"/>
    </row>
    <row r="374" spans="12:23" hidden="1" x14ac:dyDescent="0.25">
      <c r="L374" s="31">
        <f t="shared" si="25"/>
        <v>1</v>
      </c>
      <c r="M374" s="31">
        <v>361</v>
      </c>
      <c r="N374" s="31">
        <f t="shared" si="26"/>
        <v>0</v>
      </c>
      <c r="O374" s="37">
        <f t="shared" si="27"/>
        <v>0</v>
      </c>
      <c r="P374" s="41">
        <f t="shared" si="29"/>
        <v>0</v>
      </c>
      <c r="Q374" s="37">
        <f t="shared" si="28"/>
        <v>0</v>
      </c>
      <c r="T374" s="42"/>
      <c r="U374" s="42"/>
      <c r="V374" s="42"/>
      <c r="W374" s="48"/>
    </row>
    <row r="375" spans="12:23" hidden="1" x14ac:dyDescent="0.25">
      <c r="L375" s="31">
        <f t="shared" si="25"/>
        <v>2</v>
      </c>
      <c r="M375" s="31">
        <v>362</v>
      </c>
      <c r="N375" s="31">
        <f t="shared" si="26"/>
        <v>0</v>
      </c>
      <c r="O375" s="37">
        <f t="shared" si="27"/>
        <v>0</v>
      </c>
      <c r="P375" s="41">
        <f t="shared" si="29"/>
        <v>0</v>
      </c>
      <c r="Q375" s="37">
        <f t="shared" si="28"/>
        <v>0</v>
      </c>
      <c r="T375" s="42"/>
      <c r="U375" s="42"/>
      <c r="V375" s="42"/>
      <c r="W375" s="48"/>
    </row>
    <row r="376" spans="12:23" hidden="1" x14ac:dyDescent="0.25">
      <c r="L376" s="31">
        <f t="shared" si="25"/>
        <v>3</v>
      </c>
      <c r="M376" s="31">
        <v>363</v>
      </c>
      <c r="N376" s="31">
        <f t="shared" si="26"/>
        <v>0</v>
      </c>
      <c r="O376" s="37">
        <f t="shared" si="27"/>
        <v>0</v>
      </c>
      <c r="P376" s="41">
        <f t="shared" si="29"/>
        <v>0</v>
      </c>
      <c r="Q376" s="37">
        <f t="shared" si="28"/>
        <v>0</v>
      </c>
      <c r="T376" s="42"/>
      <c r="U376" s="42"/>
      <c r="V376" s="42"/>
      <c r="W376" s="48"/>
    </row>
    <row r="377" spans="12:23" hidden="1" x14ac:dyDescent="0.25">
      <c r="L377" s="31">
        <f t="shared" si="25"/>
        <v>4</v>
      </c>
      <c r="M377" s="31">
        <v>364</v>
      </c>
      <c r="N377" s="31">
        <f t="shared" si="26"/>
        <v>0</v>
      </c>
      <c r="O377" s="37">
        <f t="shared" si="27"/>
        <v>0</v>
      </c>
      <c r="P377" s="41">
        <f t="shared" si="29"/>
        <v>0</v>
      </c>
      <c r="Q377" s="37">
        <f t="shared" si="28"/>
        <v>0</v>
      </c>
      <c r="T377" s="42"/>
      <c r="U377" s="42"/>
      <c r="V377" s="42"/>
      <c r="W377" s="48"/>
    </row>
    <row r="378" spans="12:23" hidden="1" x14ac:dyDescent="0.25">
      <c r="L378" s="31">
        <f t="shared" si="25"/>
        <v>5</v>
      </c>
      <c r="M378" s="31">
        <v>365</v>
      </c>
      <c r="N378" s="31">
        <f t="shared" si="26"/>
        <v>0</v>
      </c>
      <c r="O378" s="37">
        <f t="shared" si="27"/>
        <v>0</v>
      </c>
      <c r="P378" s="41">
        <f t="shared" si="29"/>
        <v>0</v>
      </c>
      <c r="Q378" s="37">
        <f t="shared" si="28"/>
        <v>0</v>
      </c>
      <c r="T378" s="42"/>
      <c r="U378" s="42"/>
      <c r="V378" s="42"/>
      <c r="W378" s="48"/>
    </row>
    <row r="379" spans="12:23" hidden="1" x14ac:dyDescent="0.25">
      <c r="L379" s="31">
        <f t="shared" si="25"/>
        <v>0</v>
      </c>
      <c r="M379" s="31">
        <v>366</v>
      </c>
      <c r="N379" s="31">
        <f t="shared" si="26"/>
        <v>0</v>
      </c>
      <c r="O379" s="37">
        <f t="shared" si="27"/>
        <v>0</v>
      </c>
      <c r="P379" s="41">
        <f t="shared" si="29"/>
        <v>0</v>
      </c>
      <c r="Q379" s="37">
        <f t="shared" si="28"/>
        <v>0</v>
      </c>
      <c r="T379" s="42"/>
      <c r="U379" s="42"/>
      <c r="V379" s="42"/>
      <c r="W379" s="48"/>
    </row>
    <row r="380" spans="12:23" hidden="1" x14ac:dyDescent="0.25">
      <c r="L380" s="31">
        <f t="shared" si="25"/>
        <v>1</v>
      </c>
      <c r="M380" s="31">
        <v>367</v>
      </c>
      <c r="N380" s="31">
        <f t="shared" si="26"/>
        <v>0</v>
      </c>
      <c r="O380" s="37">
        <f t="shared" si="27"/>
        <v>0</v>
      </c>
      <c r="P380" s="41">
        <f t="shared" si="29"/>
        <v>0</v>
      </c>
      <c r="Q380" s="37">
        <f t="shared" si="28"/>
        <v>0</v>
      </c>
      <c r="T380" s="42"/>
      <c r="U380" s="42"/>
      <c r="V380" s="42"/>
      <c r="W380" s="48"/>
    </row>
    <row r="381" spans="12:23" hidden="1" x14ac:dyDescent="0.25">
      <c r="L381" s="31">
        <f t="shared" si="25"/>
        <v>2</v>
      </c>
      <c r="M381" s="31">
        <v>368</v>
      </c>
      <c r="N381" s="31">
        <f t="shared" si="26"/>
        <v>0</v>
      </c>
      <c r="O381" s="37">
        <f t="shared" si="27"/>
        <v>0</v>
      </c>
      <c r="P381" s="41">
        <f t="shared" si="29"/>
        <v>0</v>
      </c>
      <c r="Q381" s="37">
        <f t="shared" si="28"/>
        <v>0</v>
      </c>
      <c r="T381" s="42"/>
      <c r="U381" s="42"/>
      <c r="V381" s="42"/>
      <c r="W381" s="48"/>
    </row>
    <row r="382" spans="12:23" hidden="1" x14ac:dyDescent="0.25">
      <c r="L382" s="31">
        <f t="shared" si="25"/>
        <v>3</v>
      </c>
      <c r="M382" s="31">
        <v>369</v>
      </c>
      <c r="N382" s="31">
        <f t="shared" si="26"/>
        <v>0</v>
      </c>
      <c r="O382" s="37">
        <f t="shared" si="27"/>
        <v>0</v>
      </c>
      <c r="P382" s="41">
        <f t="shared" si="29"/>
        <v>0</v>
      </c>
      <c r="Q382" s="37">
        <f t="shared" si="28"/>
        <v>0</v>
      </c>
      <c r="T382" s="42"/>
      <c r="U382" s="42"/>
      <c r="V382" s="42"/>
      <c r="W382" s="48"/>
    </row>
    <row r="383" spans="12:23" hidden="1" x14ac:dyDescent="0.25">
      <c r="L383" s="31">
        <f t="shared" si="25"/>
        <v>4</v>
      </c>
      <c r="M383" s="31">
        <v>370</v>
      </c>
      <c r="N383" s="31">
        <f t="shared" si="26"/>
        <v>0</v>
      </c>
      <c r="O383" s="37">
        <f t="shared" si="27"/>
        <v>0</v>
      </c>
      <c r="P383" s="41">
        <f t="shared" si="29"/>
        <v>0</v>
      </c>
      <c r="Q383" s="37">
        <f t="shared" si="28"/>
        <v>0</v>
      </c>
      <c r="T383" s="42"/>
      <c r="U383" s="42"/>
      <c r="V383" s="42"/>
      <c r="W383" s="48"/>
    </row>
    <row r="384" spans="12:23" hidden="1" x14ac:dyDescent="0.25">
      <c r="L384" s="31">
        <f t="shared" si="25"/>
        <v>5</v>
      </c>
      <c r="M384" s="31">
        <v>371</v>
      </c>
      <c r="N384" s="31">
        <f t="shared" si="26"/>
        <v>0</v>
      </c>
      <c r="O384" s="37">
        <f t="shared" si="27"/>
        <v>0</v>
      </c>
      <c r="P384" s="41">
        <f t="shared" si="29"/>
        <v>0</v>
      </c>
      <c r="Q384" s="37">
        <f t="shared" si="28"/>
        <v>0</v>
      </c>
      <c r="T384" s="42"/>
      <c r="U384" s="42"/>
      <c r="V384" s="42"/>
      <c r="W384" s="48"/>
    </row>
    <row r="385" spans="12:23" hidden="1" x14ac:dyDescent="0.25">
      <c r="L385" s="31">
        <f t="shared" si="25"/>
        <v>0</v>
      </c>
      <c r="M385" s="31">
        <v>372</v>
      </c>
      <c r="N385" s="31">
        <f t="shared" si="26"/>
        <v>0</v>
      </c>
      <c r="O385" s="37">
        <f t="shared" si="27"/>
        <v>0</v>
      </c>
      <c r="P385" s="41">
        <f t="shared" si="29"/>
        <v>0</v>
      </c>
      <c r="Q385" s="37">
        <f t="shared" si="28"/>
        <v>0</v>
      </c>
      <c r="T385" s="42"/>
      <c r="U385" s="42"/>
      <c r="V385" s="42"/>
      <c r="W385" s="48"/>
    </row>
    <row r="386" spans="12:23" hidden="1" x14ac:dyDescent="0.25">
      <c r="L386" s="31">
        <f t="shared" si="25"/>
        <v>1</v>
      </c>
      <c r="M386" s="31">
        <v>373</v>
      </c>
      <c r="N386" s="31">
        <f t="shared" si="26"/>
        <v>0</v>
      </c>
      <c r="O386" s="37">
        <f t="shared" si="27"/>
        <v>0</v>
      </c>
      <c r="P386" s="41">
        <f t="shared" si="29"/>
        <v>0</v>
      </c>
      <c r="Q386" s="37">
        <f t="shared" si="28"/>
        <v>0</v>
      </c>
      <c r="T386" s="42"/>
      <c r="U386" s="42"/>
      <c r="V386" s="42"/>
      <c r="W386" s="48"/>
    </row>
    <row r="387" spans="12:23" hidden="1" x14ac:dyDescent="0.25">
      <c r="L387" s="31">
        <f t="shared" si="25"/>
        <v>2</v>
      </c>
      <c r="M387" s="31">
        <v>374</v>
      </c>
      <c r="N387" s="31">
        <f t="shared" si="26"/>
        <v>0</v>
      </c>
      <c r="O387" s="37">
        <f t="shared" si="27"/>
        <v>0</v>
      </c>
      <c r="P387" s="41">
        <f t="shared" si="29"/>
        <v>0</v>
      </c>
      <c r="Q387" s="37">
        <f t="shared" si="28"/>
        <v>0</v>
      </c>
      <c r="T387" s="42"/>
      <c r="U387" s="42"/>
      <c r="V387" s="42"/>
      <c r="W387" s="48"/>
    </row>
    <row r="388" spans="12:23" hidden="1" x14ac:dyDescent="0.25">
      <c r="L388" s="31">
        <f t="shared" si="25"/>
        <v>3</v>
      </c>
      <c r="M388" s="31">
        <v>375</v>
      </c>
      <c r="N388" s="31">
        <f t="shared" si="26"/>
        <v>0</v>
      </c>
      <c r="O388" s="37">
        <f t="shared" si="27"/>
        <v>0</v>
      </c>
      <c r="P388" s="41">
        <f t="shared" si="29"/>
        <v>0</v>
      </c>
      <c r="Q388" s="37">
        <f t="shared" si="28"/>
        <v>0</v>
      </c>
      <c r="T388" s="42"/>
      <c r="U388" s="42"/>
      <c r="V388" s="42"/>
      <c r="W388" s="48"/>
    </row>
    <row r="389" spans="12:23" hidden="1" x14ac:dyDescent="0.25">
      <c r="L389" s="31">
        <f t="shared" si="25"/>
        <v>4</v>
      </c>
      <c r="M389" s="31">
        <v>376</v>
      </c>
      <c r="N389" s="31">
        <f t="shared" si="26"/>
        <v>0</v>
      </c>
      <c r="O389" s="37">
        <f t="shared" si="27"/>
        <v>0</v>
      </c>
      <c r="P389" s="41">
        <f t="shared" si="29"/>
        <v>0</v>
      </c>
      <c r="Q389" s="37">
        <f t="shared" si="28"/>
        <v>0</v>
      </c>
      <c r="T389" s="42"/>
      <c r="U389" s="42"/>
      <c r="V389" s="42"/>
      <c r="W389" s="48"/>
    </row>
    <row r="390" spans="12:23" hidden="1" x14ac:dyDescent="0.25">
      <c r="L390" s="31">
        <f t="shared" si="25"/>
        <v>5</v>
      </c>
      <c r="M390" s="31">
        <v>377</v>
      </c>
      <c r="N390" s="31">
        <f t="shared" si="26"/>
        <v>0</v>
      </c>
      <c r="O390" s="37">
        <f t="shared" si="27"/>
        <v>0</v>
      </c>
      <c r="P390" s="41">
        <f t="shared" si="29"/>
        <v>0</v>
      </c>
      <c r="Q390" s="37">
        <f t="shared" si="28"/>
        <v>0</v>
      </c>
      <c r="T390" s="42"/>
      <c r="U390" s="42"/>
      <c r="V390" s="42"/>
      <c r="W390" s="48"/>
    </row>
    <row r="391" spans="12:23" hidden="1" x14ac:dyDescent="0.25">
      <c r="L391" s="31">
        <f t="shared" si="25"/>
        <v>0</v>
      </c>
      <c r="M391" s="31">
        <v>378</v>
      </c>
      <c r="N391" s="31">
        <f t="shared" si="26"/>
        <v>0</v>
      </c>
      <c r="O391" s="37">
        <f t="shared" si="27"/>
        <v>0</v>
      </c>
      <c r="P391" s="41">
        <f t="shared" si="29"/>
        <v>0</v>
      </c>
      <c r="Q391" s="37">
        <f t="shared" si="28"/>
        <v>0</v>
      </c>
      <c r="T391" s="42"/>
      <c r="U391" s="42"/>
      <c r="V391" s="42"/>
      <c r="W391" s="48"/>
    </row>
    <row r="392" spans="12:23" hidden="1" x14ac:dyDescent="0.25">
      <c r="L392" s="31">
        <f t="shared" si="25"/>
        <v>1</v>
      </c>
      <c r="M392" s="31">
        <v>379</v>
      </c>
      <c r="N392" s="31">
        <f t="shared" si="26"/>
        <v>0</v>
      </c>
      <c r="O392" s="37">
        <f t="shared" si="27"/>
        <v>0</v>
      </c>
      <c r="P392" s="41">
        <f t="shared" si="29"/>
        <v>0</v>
      </c>
      <c r="Q392" s="37">
        <f t="shared" si="28"/>
        <v>0</v>
      </c>
      <c r="T392" s="42"/>
      <c r="U392" s="42"/>
      <c r="V392" s="42"/>
      <c r="W392" s="48"/>
    </row>
    <row r="393" spans="12:23" hidden="1" x14ac:dyDescent="0.25">
      <c r="L393" s="31">
        <f t="shared" si="25"/>
        <v>2</v>
      </c>
      <c r="M393" s="31">
        <v>380</v>
      </c>
      <c r="N393" s="31">
        <f t="shared" si="26"/>
        <v>0</v>
      </c>
      <c r="O393" s="37">
        <f t="shared" si="27"/>
        <v>0</v>
      </c>
      <c r="P393" s="41">
        <f t="shared" si="29"/>
        <v>0</v>
      </c>
      <c r="Q393" s="37">
        <f t="shared" si="28"/>
        <v>0</v>
      </c>
      <c r="T393" s="42"/>
      <c r="U393" s="42"/>
      <c r="V393" s="42"/>
      <c r="W393" s="48"/>
    </row>
    <row r="394" spans="12:23" hidden="1" x14ac:dyDescent="0.25">
      <c r="L394" s="31">
        <f t="shared" si="25"/>
        <v>3</v>
      </c>
      <c r="M394" s="31">
        <v>381</v>
      </c>
      <c r="N394" s="31">
        <f t="shared" si="26"/>
        <v>0</v>
      </c>
      <c r="O394" s="37">
        <f t="shared" si="27"/>
        <v>0</v>
      </c>
      <c r="P394" s="41">
        <f t="shared" si="29"/>
        <v>0</v>
      </c>
      <c r="Q394" s="37">
        <f t="shared" si="28"/>
        <v>0</v>
      </c>
      <c r="T394" s="42"/>
      <c r="U394" s="42"/>
      <c r="V394" s="42"/>
      <c r="W394" s="48"/>
    </row>
    <row r="395" spans="12:23" hidden="1" x14ac:dyDescent="0.25">
      <c r="L395" s="31">
        <f t="shared" si="25"/>
        <v>4</v>
      </c>
      <c r="M395" s="31">
        <v>382</v>
      </c>
      <c r="N395" s="31">
        <f t="shared" si="26"/>
        <v>0</v>
      </c>
      <c r="O395" s="37">
        <f t="shared" si="27"/>
        <v>0</v>
      </c>
      <c r="P395" s="41">
        <f t="shared" si="29"/>
        <v>0</v>
      </c>
      <c r="Q395" s="37">
        <f t="shared" si="28"/>
        <v>0</v>
      </c>
      <c r="T395" s="42"/>
      <c r="U395" s="42"/>
      <c r="V395" s="42"/>
      <c r="W395" s="48"/>
    </row>
    <row r="396" spans="12:23" hidden="1" x14ac:dyDescent="0.25">
      <c r="L396" s="31">
        <f t="shared" si="25"/>
        <v>5</v>
      </c>
      <c r="M396" s="31">
        <v>383</v>
      </c>
      <c r="N396" s="31">
        <f t="shared" si="26"/>
        <v>0</v>
      </c>
      <c r="O396" s="37">
        <f t="shared" si="27"/>
        <v>0</v>
      </c>
      <c r="P396" s="41">
        <f t="shared" si="29"/>
        <v>0</v>
      </c>
      <c r="Q396" s="37">
        <f t="shared" si="28"/>
        <v>0</v>
      </c>
      <c r="T396" s="42"/>
      <c r="U396" s="42"/>
      <c r="V396" s="42"/>
      <c r="W396" s="48"/>
    </row>
    <row r="397" spans="12:23" hidden="1" x14ac:dyDescent="0.25">
      <c r="L397" s="31">
        <f t="shared" ref="L397:L460" si="30">MOD(M397,12/$C$9)</f>
        <v>0</v>
      </c>
      <c r="M397" s="31">
        <v>384</v>
      </c>
      <c r="N397" s="31">
        <f t="shared" ref="N397:N460" si="31">IF(M397&lt;$O$8,IF(L397=0,$C$8,0),0)</f>
        <v>0</v>
      </c>
      <c r="O397" s="37">
        <f t="shared" ref="O397:O460" si="32">IF(M397&lt;=$O$8,FV(SRate,($O$8-M397),0,-N397,1),0)</f>
        <v>0</v>
      </c>
      <c r="P397" s="41">
        <f t="shared" si="29"/>
        <v>0</v>
      </c>
      <c r="Q397" s="37">
        <f t="shared" ref="Q397:Q460" si="33">(O397-N397)*TaxRate</f>
        <v>0</v>
      </c>
      <c r="T397" s="42"/>
      <c r="U397" s="42"/>
      <c r="V397" s="42"/>
      <c r="W397" s="48"/>
    </row>
    <row r="398" spans="12:23" hidden="1" x14ac:dyDescent="0.25">
      <c r="L398" s="31">
        <f t="shared" si="30"/>
        <v>1</v>
      </c>
      <c r="M398" s="31">
        <v>385</v>
      </c>
      <c r="N398" s="31">
        <f t="shared" si="31"/>
        <v>0</v>
      </c>
      <c r="O398" s="37">
        <f t="shared" si="32"/>
        <v>0</v>
      </c>
      <c r="P398" s="41">
        <f t="shared" ref="P398:P461" si="34">IF(M398&lt;=$O$8,FV(SRate,1,0,-P397,1),0)+N398</f>
        <v>0</v>
      </c>
      <c r="Q398" s="37">
        <f t="shared" si="33"/>
        <v>0</v>
      </c>
      <c r="T398" s="42"/>
      <c r="U398" s="42"/>
      <c r="V398" s="42"/>
      <c r="W398" s="48"/>
    </row>
    <row r="399" spans="12:23" hidden="1" x14ac:dyDescent="0.25">
      <c r="L399" s="31">
        <f t="shared" si="30"/>
        <v>2</v>
      </c>
      <c r="M399" s="31">
        <v>386</v>
      </c>
      <c r="N399" s="31">
        <f t="shared" si="31"/>
        <v>0</v>
      </c>
      <c r="O399" s="37">
        <f t="shared" si="32"/>
        <v>0</v>
      </c>
      <c r="P399" s="41">
        <f t="shared" si="34"/>
        <v>0</v>
      </c>
      <c r="Q399" s="37">
        <f t="shared" si="33"/>
        <v>0</v>
      </c>
      <c r="T399" s="42"/>
      <c r="U399" s="42"/>
      <c r="V399" s="42"/>
      <c r="W399" s="48"/>
    </row>
    <row r="400" spans="12:23" hidden="1" x14ac:dyDescent="0.25">
      <c r="L400" s="31">
        <f t="shared" si="30"/>
        <v>3</v>
      </c>
      <c r="M400" s="31">
        <v>387</v>
      </c>
      <c r="N400" s="31">
        <f t="shared" si="31"/>
        <v>0</v>
      </c>
      <c r="O400" s="37">
        <f t="shared" si="32"/>
        <v>0</v>
      </c>
      <c r="P400" s="41">
        <f t="shared" si="34"/>
        <v>0</v>
      </c>
      <c r="Q400" s="37">
        <f t="shared" si="33"/>
        <v>0</v>
      </c>
      <c r="T400" s="42"/>
      <c r="U400" s="42"/>
      <c r="V400" s="42"/>
      <c r="W400" s="48"/>
    </row>
    <row r="401" spans="12:23" hidden="1" x14ac:dyDescent="0.25">
      <c r="L401" s="31">
        <f t="shared" si="30"/>
        <v>4</v>
      </c>
      <c r="M401" s="31">
        <v>388</v>
      </c>
      <c r="N401" s="31">
        <f t="shared" si="31"/>
        <v>0</v>
      </c>
      <c r="O401" s="37">
        <f t="shared" si="32"/>
        <v>0</v>
      </c>
      <c r="P401" s="41">
        <f t="shared" si="34"/>
        <v>0</v>
      </c>
      <c r="Q401" s="37">
        <f t="shared" si="33"/>
        <v>0</v>
      </c>
      <c r="T401" s="42"/>
      <c r="U401" s="42"/>
      <c r="V401" s="42"/>
      <c r="W401" s="48"/>
    </row>
    <row r="402" spans="12:23" hidden="1" x14ac:dyDescent="0.25">
      <c r="L402" s="31">
        <f t="shared" si="30"/>
        <v>5</v>
      </c>
      <c r="M402" s="31">
        <v>389</v>
      </c>
      <c r="N402" s="31">
        <f t="shared" si="31"/>
        <v>0</v>
      </c>
      <c r="O402" s="37">
        <f t="shared" si="32"/>
        <v>0</v>
      </c>
      <c r="P402" s="41">
        <f t="shared" si="34"/>
        <v>0</v>
      </c>
      <c r="Q402" s="37">
        <f t="shared" si="33"/>
        <v>0</v>
      </c>
      <c r="T402" s="42"/>
      <c r="U402" s="42"/>
      <c r="V402" s="42"/>
      <c r="W402" s="48"/>
    </row>
    <row r="403" spans="12:23" hidden="1" x14ac:dyDescent="0.25">
      <c r="L403" s="31">
        <f t="shared" si="30"/>
        <v>0</v>
      </c>
      <c r="M403" s="31">
        <v>390</v>
      </c>
      <c r="N403" s="31">
        <f t="shared" si="31"/>
        <v>0</v>
      </c>
      <c r="O403" s="37">
        <f t="shared" si="32"/>
        <v>0</v>
      </c>
      <c r="P403" s="41">
        <f t="shared" si="34"/>
        <v>0</v>
      </c>
      <c r="Q403" s="37">
        <f t="shared" si="33"/>
        <v>0</v>
      </c>
      <c r="T403" s="42"/>
      <c r="U403" s="42"/>
      <c r="V403" s="42"/>
      <c r="W403" s="48"/>
    </row>
    <row r="404" spans="12:23" hidden="1" x14ac:dyDescent="0.25">
      <c r="L404" s="31">
        <f t="shared" si="30"/>
        <v>1</v>
      </c>
      <c r="M404" s="31">
        <v>391</v>
      </c>
      <c r="N404" s="31">
        <f t="shared" si="31"/>
        <v>0</v>
      </c>
      <c r="O404" s="37">
        <f t="shared" si="32"/>
        <v>0</v>
      </c>
      <c r="P404" s="41">
        <f t="shared" si="34"/>
        <v>0</v>
      </c>
      <c r="Q404" s="37">
        <f t="shared" si="33"/>
        <v>0</v>
      </c>
      <c r="T404" s="42"/>
      <c r="U404" s="42"/>
      <c r="V404" s="42"/>
      <c r="W404" s="48"/>
    </row>
    <row r="405" spans="12:23" hidden="1" x14ac:dyDescent="0.25">
      <c r="L405" s="31">
        <f t="shared" si="30"/>
        <v>2</v>
      </c>
      <c r="M405" s="31">
        <v>392</v>
      </c>
      <c r="N405" s="31">
        <f t="shared" si="31"/>
        <v>0</v>
      </c>
      <c r="O405" s="37">
        <f t="shared" si="32"/>
        <v>0</v>
      </c>
      <c r="P405" s="41">
        <f t="shared" si="34"/>
        <v>0</v>
      </c>
      <c r="Q405" s="37">
        <f t="shared" si="33"/>
        <v>0</v>
      </c>
      <c r="T405" s="42"/>
      <c r="U405" s="42"/>
      <c r="V405" s="42"/>
      <c r="W405" s="48"/>
    </row>
    <row r="406" spans="12:23" hidden="1" x14ac:dyDescent="0.25">
      <c r="L406" s="31">
        <f t="shared" si="30"/>
        <v>3</v>
      </c>
      <c r="M406" s="31">
        <v>393</v>
      </c>
      <c r="N406" s="31">
        <f t="shared" si="31"/>
        <v>0</v>
      </c>
      <c r="O406" s="37">
        <f t="shared" si="32"/>
        <v>0</v>
      </c>
      <c r="P406" s="41">
        <f t="shared" si="34"/>
        <v>0</v>
      </c>
      <c r="Q406" s="37">
        <f t="shared" si="33"/>
        <v>0</v>
      </c>
      <c r="T406" s="42"/>
      <c r="U406" s="42"/>
      <c r="V406" s="42"/>
      <c r="W406" s="48"/>
    </row>
    <row r="407" spans="12:23" hidden="1" x14ac:dyDescent="0.25">
      <c r="L407" s="31">
        <f t="shared" si="30"/>
        <v>4</v>
      </c>
      <c r="M407" s="31">
        <v>394</v>
      </c>
      <c r="N407" s="31">
        <f t="shared" si="31"/>
        <v>0</v>
      </c>
      <c r="O407" s="37">
        <f t="shared" si="32"/>
        <v>0</v>
      </c>
      <c r="P407" s="41">
        <f t="shared" si="34"/>
        <v>0</v>
      </c>
      <c r="Q407" s="37">
        <f t="shared" si="33"/>
        <v>0</v>
      </c>
      <c r="T407" s="42"/>
      <c r="U407" s="42"/>
      <c r="V407" s="42"/>
      <c r="W407" s="48"/>
    </row>
    <row r="408" spans="12:23" hidden="1" x14ac:dyDescent="0.25">
      <c r="L408" s="31">
        <f t="shared" si="30"/>
        <v>5</v>
      </c>
      <c r="M408" s="31">
        <v>395</v>
      </c>
      <c r="N408" s="31">
        <f t="shared" si="31"/>
        <v>0</v>
      </c>
      <c r="O408" s="37">
        <f t="shared" si="32"/>
        <v>0</v>
      </c>
      <c r="P408" s="41">
        <f t="shared" si="34"/>
        <v>0</v>
      </c>
      <c r="Q408" s="37">
        <f t="shared" si="33"/>
        <v>0</v>
      </c>
      <c r="T408" s="42"/>
      <c r="U408" s="42"/>
      <c r="V408" s="42"/>
      <c r="W408" s="48"/>
    </row>
    <row r="409" spans="12:23" hidden="1" x14ac:dyDescent="0.25">
      <c r="L409" s="31">
        <f t="shared" si="30"/>
        <v>0</v>
      </c>
      <c r="M409" s="31">
        <v>396</v>
      </c>
      <c r="N409" s="31">
        <f t="shared" si="31"/>
        <v>0</v>
      </c>
      <c r="O409" s="37">
        <f t="shared" si="32"/>
        <v>0</v>
      </c>
      <c r="P409" s="41">
        <f t="shared" si="34"/>
        <v>0</v>
      </c>
      <c r="Q409" s="37">
        <f t="shared" si="33"/>
        <v>0</v>
      </c>
      <c r="T409" s="42"/>
      <c r="U409" s="42"/>
      <c r="V409" s="42"/>
      <c r="W409" s="48"/>
    </row>
    <row r="410" spans="12:23" hidden="1" x14ac:dyDescent="0.25">
      <c r="L410" s="31">
        <f t="shared" si="30"/>
        <v>1</v>
      </c>
      <c r="M410" s="31">
        <v>397</v>
      </c>
      <c r="N410" s="31">
        <f t="shared" si="31"/>
        <v>0</v>
      </c>
      <c r="O410" s="37">
        <f t="shared" si="32"/>
        <v>0</v>
      </c>
      <c r="P410" s="41">
        <f t="shared" si="34"/>
        <v>0</v>
      </c>
      <c r="Q410" s="37">
        <f t="shared" si="33"/>
        <v>0</v>
      </c>
      <c r="T410" s="42"/>
      <c r="U410" s="42"/>
      <c r="V410" s="42"/>
      <c r="W410" s="48"/>
    </row>
    <row r="411" spans="12:23" hidden="1" x14ac:dyDescent="0.25">
      <c r="L411" s="31">
        <f t="shared" si="30"/>
        <v>2</v>
      </c>
      <c r="M411" s="31">
        <v>398</v>
      </c>
      <c r="N411" s="31">
        <f t="shared" si="31"/>
        <v>0</v>
      </c>
      <c r="O411" s="37">
        <f t="shared" si="32"/>
        <v>0</v>
      </c>
      <c r="P411" s="41">
        <f t="shared" si="34"/>
        <v>0</v>
      </c>
      <c r="Q411" s="37">
        <f t="shared" si="33"/>
        <v>0</v>
      </c>
      <c r="T411" s="42"/>
      <c r="U411" s="42"/>
      <c r="V411" s="42"/>
      <c r="W411" s="48"/>
    </row>
    <row r="412" spans="12:23" hidden="1" x14ac:dyDescent="0.25">
      <c r="L412" s="31">
        <f t="shared" si="30"/>
        <v>3</v>
      </c>
      <c r="M412" s="31">
        <v>399</v>
      </c>
      <c r="N412" s="31">
        <f t="shared" si="31"/>
        <v>0</v>
      </c>
      <c r="O412" s="37">
        <f t="shared" si="32"/>
        <v>0</v>
      </c>
      <c r="P412" s="41">
        <f t="shared" si="34"/>
        <v>0</v>
      </c>
      <c r="Q412" s="37">
        <f t="shared" si="33"/>
        <v>0</v>
      </c>
      <c r="T412" s="42"/>
      <c r="U412" s="42"/>
      <c r="V412" s="42"/>
      <c r="W412" s="48"/>
    </row>
    <row r="413" spans="12:23" hidden="1" x14ac:dyDescent="0.25">
      <c r="L413" s="31">
        <f t="shared" si="30"/>
        <v>4</v>
      </c>
      <c r="M413" s="31">
        <v>400</v>
      </c>
      <c r="N413" s="31">
        <f t="shared" si="31"/>
        <v>0</v>
      </c>
      <c r="O413" s="37">
        <f t="shared" si="32"/>
        <v>0</v>
      </c>
      <c r="P413" s="41">
        <f t="shared" si="34"/>
        <v>0</v>
      </c>
      <c r="Q413" s="37">
        <f t="shared" si="33"/>
        <v>0</v>
      </c>
      <c r="T413" s="42"/>
      <c r="U413" s="42"/>
      <c r="V413" s="42"/>
      <c r="W413" s="48"/>
    </row>
    <row r="414" spans="12:23" hidden="1" x14ac:dyDescent="0.25">
      <c r="L414" s="31">
        <f t="shared" si="30"/>
        <v>5</v>
      </c>
      <c r="M414" s="31">
        <v>401</v>
      </c>
      <c r="N414" s="31">
        <f t="shared" si="31"/>
        <v>0</v>
      </c>
      <c r="O414" s="37">
        <f t="shared" si="32"/>
        <v>0</v>
      </c>
      <c r="P414" s="41">
        <f t="shared" si="34"/>
        <v>0</v>
      </c>
      <c r="Q414" s="37">
        <f t="shared" si="33"/>
        <v>0</v>
      </c>
      <c r="T414" s="42"/>
      <c r="U414" s="42"/>
      <c r="V414" s="42"/>
      <c r="W414" s="48"/>
    </row>
    <row r="415" spans="12:23" hidden="1" x14ac:dyDescent="0.25">
      <c r="L415" s="31">
        <f t="shared" si="30"/>
        <v>0</v>
      </c>
      <c r="M415" s="31">
        <v>402</v>
      </c>
      <c r="N415" s="31">
        <f t="shared" si="31"/>
        <v>0</v>
      </c>
      <c r="O415" s="37">
        <f t="shared" si="32"/>
        <v>0</v>
      </c>
      <c r="P415" s="41">
        <f t="shared" si="34"/>
        <v>0</v>
      </c>
      <c r="Q415" s="37">
        <f t="shared" si="33"/>
        <v>0</v>
      </c>
      <c r="T415" s="42"/>
      <c r="U415" s="42"/>
      <c r="V415" s="42"/>
      <c r="W415" s="48"/>
    </row>
    <row r="416" spans="12:23" hidden="1" x14ac:dyDescent="0.25">
      <c r="L416" s="31">
        <f t="shared" si="30"/>
        <v>1</v>
      </c>
      <c r="M416" s="31">
        <v>403</v>
      </c>
      <c r="N416" s="31">
        <f t="shared" si="31"/>
        <v>0</v>
      </c>
      <c r="O416" s="37">
        <f t="shared" si="32"/>
        <v>0</v>
      </c>
      <c r="P416" s="41">
        <f t="shared" si="34"/>
        <v>0</v>
      </c>
      <c r="Q416" s="37">
        <f t="shared" si="33"/>
        <v>0</v>
      </c>
      <c r="T416" s="42"/>
      <c r="U416" s="42"/>
      <c r="V416" s="42"/>
      <c r="W416" s="48"/>
    </row>
    <row r="417" spans="12:23" hidden="1" x14ac:dyDescent="0.25">
      <c r="L417" s="31">
        <f t="shared" si="30"/>
        <v>2</v>
      </c>
      <c r="M417" s="31">
        <v>404</v>
      </c>
      <c r="N417" s="31">
        <f t="shared" si="31"/>
        <v>0</v>
      </c>
      <c r="O417" s="37">
        <f t="shared" si="32"/>
        <v>0</v>
      </c>
      <c r="P417" s="41">
        <f t="shared" si="34"/>
        <v>0</v>
      </c>
      <c r="Q417" s="37">
        <f t="shared" si="33"/>
        <v>0</v>
      </c>
      <c r="T417" s="42"/>
      <c r="U417" s="42"/>
      <c r="V417" s="42"/>
      <c r="W417" s="48"/>
    </row>
    <row r="418" spans="12:23" hidden="1" x14ac:dyDescent="0.25">
      <c r="L418" s="31">
        <f t="shared" si="30"/>
        <v>3</v>
      </c>
      <c r="M418" s="31">
        <v>405</v>
      </c>
      <c r="N418" s="31">
        <f t="shared" si="31"/>
        <v>0</v>
      </c>
      <c r="O418" s="37">
        <f t="shared" si="32"/>
        <v>0</v>
      </c>
      <c r="P418" s="41">
        <f t="shared" si="34"/>
        <v>0</v>
      </c>
      <c r="Q418" s="37">
        <f t="shared" si="33"/>
        <v>0</v>
      </c>
      <c r="T418" s="42"/>
      <c r="U418" s="42"/>
      <c r="V418" s="42"/>
      <c r="W418" s="48"/>
    </row>
    <row r="419" spans="12:23" hidden="1" x14ac:dyDescent="0.25">
      <c r="L419" s="31">
        <f t="shared" si="30"/>
        <v>4</v>
      </c>
      <c r="M419" s="31">
        <v>406</v>
      </c>
      <c r="N419" s="31">
        <f t="shared" si="31"/>
        <v>0</v>
      </c>
      <c r="O419" s="37">
        <f t="shared" si="32"/>
        <v>0</v>
      </c>
      <c r="P419" s="41">
        <f t="shared" si="34"/>
        <v>0</v>
      </c>
      <c r="Q419" s="37">
        <f t="shared" si="33"/>
        <v>0</v>
      </c>
      <c r="T419" s="42"/>
      <c r="U419" s="42"/>
      <c r="V419" s="42"/>
      <c r="W419" s="48"/>
    </row>
    <row r="420" spans="12:23" hidden="1" x14ac:dyDescent="0.25">
      <c r="L420" s="31">
        <f t="shared" si="30"/>
        <v>5</v>
      </c>
      <c r="M420" s="31">
        <v>407</v>
      </c>
      <c r="N420" s="31">
        <f t="shared" si="31"/>
        <v>0</v>
      </c>
      <c r="O420" s="37">
        <f t="shared" si="32"/>
        <v>0</v>
      </c>
      <c r="P420" s="41">
        <f t="shared" si="34"/>
        <v>0</v>
      </c>
      <c r="Q420" s="37">
        <f t="shared" si="33"/>
        <v>0</v>
      </c>
      <c r="T420" s="42"/>
      <c r="U420" s="42"/>
      <c r="V420" s="42"/>
      <c r="W420" s="48"/>
    </row>
    <row r="421" spans="12:23" hidden="1" x14ac:dyDescent="0.25">
      <c r="L421" s="31">
        <f t="shared" si="30"/>
        <v>0</v>
      </c>
      <c r="M421" s="31">
        <v>408</v>
      </c>
      <c r="N421" s="31">
        <f t="shared" si="31"/>
        <v>0</v>
      </c>
      <c r="O421" s="37">
        <f t="shared" si="32"/>
        <v>0</v>
      </c>
      <c r="P421" s="41">
        <f t="shared" si="34"/>
        <v>0</v>
      </c>
      <c r="Q421" s="37">
        <f t="shared" si="33"/>
        <v>0</v>
      </c>
      <c r="T421" s="42"/>
      <c r="U421" s="42"/>
      <c r="V421" s="42"/>
      <c r="W421" s="48"/>
    </row>
    <row r="422" spans="12:23" hidden="1" x14ac:dyDescent="0.25">
      <c r="L422" s="31">
        <f t="shared" si="30"/>
        <v>1</v>
      </c>
      <c r="M422" s="31">
        <v>409</v>
      </c>
      <c r="N422" s="31">
        <f t="shared" si="31"/>
        <v>0</v>
      </c>
      <c r="O422" s="37">
        <f t="shared" si="32"/>
        <v>0</v>
      </c>
      <c r="P422" s="41">
        <f t="shared" si="34"/>
        <v>0</v>
      </c>
      <c r="Q422" s="37">
        <f t="shared" si="33"/>
        <v>0</v>
      </c>
      <c r="T422" s="42"/>
      <c r="U422" s="42"/>
      <c r="V422" s="42"/>
      <c r="W422" s="48"/>
    </row>
    <row r="423" spans="12:23" hidden="1" x14ac:dyDescent="0.25">
      <c r="L423" s="31">
        <f t="shared" si="30"/>
        <v>2</v>
      </c>
      <c r="M423" s="31">
        <v>410</v>
      </c>
      <c r="N423" s="31">
        <f t="shared" si="31"/>
        <v>0</v>
      </c>
      <c r="O423" s="37">
        <f t="shared" si="32"/>
        <v>0</v>
      </c>
      <c r="P423" s="41">
        <f t="shared" si="34"/>
        <v>0</v>
      </c>
      <c r="Q423" s="37">
        <f t="shared" si="33"/>
        <v>0</v>
      </c>
      <c r="T423" s="42"/>
      <c r="U423" s="42"/>
      <c r="V423" s="42"/>
      <c r="W423" s="48"/>
    </row>
    <row r="424" spans="12:23" hidden="1" x14ac:dyDescent="0.25">
      <c r="L424" s="31">
        <f t="shared" si="30"/>
        <v>3</v>
      </c>
      <c r="M424" s="31">
        <v>411</v>
      </c>
      <c r="N424" s="31">
        <f t="shared" si="31"/>
        <v>0</v>
      </c>
      <c r="O424" s="37">
        <f t="shared" si="32"/>
        <v>0</v>
      </c>
      <c r="P424" s="41">
        <f t="shared" si="34"/>
        <v>0</v>
      </c>
      <c r="Q424" s="37">
        <f t="shared" si="33"/>
        <v>0</v>
      </c>
      <c r="T424" s="42"/>
      <c r="U424" s="42"/>
      <c r="V424" s="42"/>
      <c r="W424" s="48"/>
    </row>
    <row r="425" spans="12:23" hidden="1" x14ac:dyDescent="0.25">
      <c r="L425" s="31">
        <f t="shared" si="30"/>
        <v>4</v>
      </c>
      <c r="M425" s="31">
        <v>412</v>
      </c>
      <c r="N425" s="31">
        <f t="shared" si="31"/>
        <v>0</v>
      </c>
      <c r="O425" s="37">
        <f t="shared" si="32"/>
        <v>0</v>
      </c>
      <c r="P425" s="41">
        <f t="shared" si="34"/>
        <v>0</v>
      </c>
      <c r="Q425" s="37">
        <f t="shared" si="33"/>
        <v>0</v>
      </c>
      <c r="T425" s="42"/>
      <c r="U425" s="42"/>
      <c r="V425" s="42"/>
      <c r="W425" s="48"/>
    </row>
    <row r="426" spans="12:23" hidden="1" x14ac:dyDescent="0.25">
      <c r="L426" s="31">
        <f t="shared" si="30"/>
        <v>5</v>
      </c>
      <c r="M426" s="31">
        <v>413</v>
      </c>
      <c r="N426" s="31">
        <f t="shared" si="31"/>
        <v>0</v>
      </c>
      <c r="O426" s="37">
        <f t="shared" si="32"/>
        <v>0</v>
      </c>
      <c r="P426" s="41">
        <f t="shared" si="34"/>
        <v>0</v>
      </c>
      <c r="Q426" s="37">
        <f t="shared" si="33"/>
        <v>0</v>
      </c>
      <c r="T426" s="42"/>
      <c r="U426" s="42"/>
      <c r="V426" s="42"/>
      <c r="W426" s="48"/>
    </row>
    <row r="427" spans="12:23" hidden="1" x14ac:dyDescent="0.25">
      <c r="L427" s="31">
        <f t="shared" si="30"/>
        <v>0</v>
      </c>
      <c r="M427" s="31">
        <v>414</v>
      </c>
      <c r="N427" s="31">
        <f t="shared" si="31"/>
        <v>0</v>
      </c>
      <c r="O427" s="37">
        <f t="shared" si="32"/>
        <v>0</v>
      </c>
      <c r="P427" s="41">
        <f t="shared" si="34"/>
        <v>0</v>
      </c>
      <c r="Q427" s="37">
        <f t="shared" si="33"/>
        <v>0</v>
      </c>
      <c r="T427" s="42"/>
      <c r="U427" s="42"/>
      <c r="V427" s="42"/>
      <c r="W427" s="48"/>
    </row>
    <row r="428" spans="12:23" hidden="1" x14ac:dyDescent="0.25">
      <c r="L428" s="31">
        <f t="shared" si="30"/>
        <v>1</v>
      </c>
      <c r="M428" s="31">
        <v>415</v>
      </c>
      <c r="N428" s="31">
        <f t="shared" si="31"/>
        <v>0</v>
      </c>
      <c r="O428" s="37">
        <f t="shared" si="32"/>
        <v>0</v>
      </c>
      <c r="P428" s="41">
        <f t="shared" si="34"/>
        <v>0</v>
      </c>
      <c r="Q428" s="37">
        <f t="shared" si="33"/>
        <v>0</v>
      </c>
      <c r="T428" s="42"/>
      <c r="U428" s="42"/>
      <c r="V428" s="42"/>
      <c r="W428" s="48"/>
    </row>
    <row r="429" spans="12:23" hidden="1" x14ac:dyDescent="0.25">
      <c r="L429" s="31">
        <f t="shared" si="30"/>
        <v>2</v>
      </c>
      <c r="M429" s="31">
        <v>416</v>
      </c>
      <c r="N429" s="31">
        <f t="shared" si="31"/>
        <v>0</v>
      </c>
      <c r="O429" s="37">
        <f t="shared" si="32"/>
        <v>0</v>
      </c>
      <c r="P429" s="41">
        <f t="shared" si="34"/>
        <v>0</v>
      </c>
      <c r="Q429" s="37">
        <f t="shared" si="33"/>
        <v>0</v>
      </c>
      <c r="T429" s="42"/>
      <c r="U429" s="42"/>
      <c r="V429" s="42"/>
      <c r="W429" s="48"/>
    </row>
    <row r="430" spans="12:23" hidden="1" x14ac:dyDescent="0.25">
      <c r="L430" s="31">
        <f t="shared" si="30"/>
        <v>3</v>
      </c>
      <c r="M430" s="31">
        <v>417</v>
      </c>
      <c r="N430" s="31">
        <f t="shared" si="31"/>
        <v>0</v>
      </c>
      <c r="O430" s="37">
        <f t="shared" si="32"/>
        <v>0</v>
      </c>
      <c r="P430" s="41">
        <f t="shared" si="34"/>
        <v>0</v>
      </c>
      <c r="Q430" s="37">
        <f t="shared" si="33"/>
        <v>0</v>
      </c>
      <c r="T430" s="42"/>
      <c r="U430" s="42"/>
      <c r="V430" s="42"/>
      <c r="W430" s="48"/>
    </row>
    <row r="431" spans="12:23" hidden="1" x14ac:dyDescent="0.25">
      <c r="L431" s="31">
        <f t="shared" si="30"/>
        <v>4</v>
      </c>
      <c r="M431" s="31">
        <v>418</v>
      </c>
      <c r="N431" s="31">
        <f t="shared" si="31"/>
        <v>0</v>
      </c>
      <c r="O431" s="37">
        <f t="shared" si="32"/>
        <v>0</v>
      </c>
      <c r="P431" s="41">
        <f t="shared" si="34"/>
        <v>0</v>
      </c>
      <c r="Q431" s="37">
        <f t="shared" si="33"/>
        <v>0</v>
      </c>
      <c r="T431" s="42"/>
      <c r="U431" s="42"/>
      <c r="V431" s="42"/>
      <c r="W431" s="48"/>
    </row>
    <row r="432" spans="12:23" hidden="1" x14ac:dyDescent="0.25">
      <c r="L432" s="31">
        <f t="shared" si="30"/>
        <v>5</v>
      </c>
      <c r="M432" s="31">
        <v>419</v>
      </c>
      <c r="N432" s="31">
        <f t="shared" si="31"/>
        <v>0</v>
      </c>
      <c r="O432" s="37">
        <f t="shared" si="32"/>
        <v>0</v>
      </c>
      <c r="P432" s="41">
        <f t="shared" si="34"/>
        <v>0</v>
      </c>
      <c r="Q432" s="37">
        <f t="shared" si="33"/>
        <v>0</v>
      </c>
      <c r="T432" s="42"/>
      <c r="U432" s="42"/>
      <c r="V432" s="42"/>
      <c r="W432" s="48"/>
    </row>
    <row r="433" spans="12:23" hidden="1" x14ac:dyDescent="0.25">
      <c r="L433" s="31">
        <f t="shared" si="30"/>
        <v>0</v>
      </c>
      <c r="M433" s="31">
        <v>420</v>
      </c>
      <c r="N433" s="31">
        <f t="shared" si="31"/>
        <v>0</v>
      </c>
      <c r="O433" s="37">
        <f t="shared" si="32"/>
        <v>0</v>
      </c>
      <c r="P433" s="41">
        <f t="shared" si="34"/>
        <v>0</v>
      </c>
      <c r="Q433" s="37">
        <f t="shared" si="33"/>
        <v>0</v>
      </c>
      <c r="T433" s="42"/>
      <c r="U433" s="42"/>
      <c r="V433" s="42"/>
      <c r="W433" s="48"/>
    </row>
    <row r="434" spans="12:23" hidden="1" x14ac:dyDescent="0.25">
      <c r="L434" s="31">
        <f t="shared" si="30"/>
        <v>1</v>
      </c>
      <c r="M434" s="31">
        <v>421</v>
      </c>
      <c r="N434" s="31">
        <f t="shared" si="31"/>
        <v>0</v>
      </c>
      <c r="O434" s="37">
        <f t="shared" si="32"/>
        <v>0</v>
      </c>
      <c r="P434" s="41">
        <f t="shared" si="34"/>
        <v>0</v>
      </c>
      <c r="Q434" s="37">
        <f t="shared" si="33"/>
        <v>0</v>
      </c>
      <c r="T434" s="42"/>
      <c r="U434" s="42"/>
      <c r="V434" s="42"/>
      <c r="W434" s="48"/>
    </row>
    <row r="435" spans="12:23" hidden="1" x14ac:dyDescent="0.25">
      <c r="L435" s="31">
        <f t="shared" si="30"/>
        <v>2</v>
      </c>
      <c r="M435" s="31">
        <v>422</v>
      </c>
      <c r="N435" s="31">
        <f t="shared" si="31"/>
        <v>0</v>
      </c>
      <c r="O435" s="37">
        <f t="shared" si="32"/>
        <v>0</v>
      </c>
      <c r="P435" s="41">
        <f t="shared" si="34"/>
        <v>0</v>
      </c>
      <c r="Q435" s="37">
        <f t="shared" si="33"/>
        <v>0</v>
      </c>
      <c r="T435" s="42"/>
      <c r="U435" s="42"/>
      <c r="V435" s="42"/>
      <c r="W435" s="48"/>
    </row>
    <row r="436" spans="12:23" hidden="1" x14ac:dyDescent="0.25">
      <c r="L436" s="31">
        <f t="shared" si="30"/>
        <v>3</v>
      </c>
      <c r="M436" s="31">
        <v>423</v>
      </c>
      <c r="N436" s="31">
        <f t="shared" si="31"/>
        <v>0</v>
      </c>
      <c r="O436" s="37">
        <f t="shared" si="32"/>
        <v>0</v>
      </c>
      <c r="P436" s="41">
        <f t="shared" si="34"/>
        <v>0</v>
      </c>
      <c r="Q436" s="37">
        <f t="shared" si="33"/>
        <v>0</v>
      </c>
      <c r="T436" s="42"/>
      <c r="U436" s="42"/>
      <c r="V436" s="42"/>
      <c r="W436" s="48"/>
    </row>
    <row r="437" spans="12:23" hidden="1" x14ac:dyDescent="0.25">
      <c r="L437" s="31">
        <f t="shared" si="30"/>
        <v>4</v>
      </c>
      <c r="M437" s="31">
        <v>424</v>
      </c>
      <c r="N437" s="31">
        <f t="shared" si="31"/>
        <v>0</v>
      </c>
      <c r="O437" s="37">
        <f t="shared" si="32"/>
        <v>0</v>
      </c>
      <c r="P437" s="41">
        <f t="shared" si="34"/>
        <v>0</v>
      </c>
      <c r="Q437" s="37">
        <f t="shared" si="33"/>
        <v>0</v>
      </c>
      <c r="T437" s="42"/>
      <c r="U437" s="42"/>
      <c r="V437" s="42"/>
      <c r="W437" s="48"/>
    </row>
    <row r="438" spans="12:23" hidden="1" x14ac:dyDescent="0.25">
      <c r="L438" s="31">
        <f t="shared" si="30"/>
        <v>5</v>
      </c>
      <c r="M438" s="31">
        <v>425</v>
      </c>
      <c r="N438" s="31">
        <f t="shared" si="31"/>
        <v>0</v>
      </c>
      <c r="O438" s="37">
        <f t="shared" si="32"/>
        <v>0</v>
      </c>
      <c r="P438" s="41">
        <f t="shared" si="34"/>
        <v>0</v>
      </c>
      <c r="Q438" s="37">
        <f t="shared" si="33"/>
        <v>0</v>
      </c>
      <c r="T438" s="42"/>
      <c r="U438" s="42"/>
      <c r="V438" s="42"/>
      <c r="W438" s="48"/>
    </row>
    <row r="439" spans="12:23" hidden="1" x14ac:dyDescent="0.25">
      <c r="L439" s="31">
        <f t="shared" si="30"/>
        <v>0</v>
      </c>
      <c r="M439" s="31">
        <v>426</v>
      </c>
      <c r="N439" s="31">
        <f t="shared" si="31"/>
        <v>0</v>
      </c>
      <c r="O439" s="37">
        <f t="shared" si="32"/>
        <v>0</v>
      </c>
      <c r="P439" s="41">
        <f t="shared" si="34"/>
        <v>0</v>
      </c>
      <c r="Q439" s="37">
        <f t="shared" si="33"/>
        <v>0</v>
      </c>
      <c r="T439" s="42"/>
      <c r="U439" s="42"/>
      <c r="V439" s="42"/>
      <c r="W439" s="48"/>
    </row>
    <row r="440" spans="12:23" hidden="1" x14ac:dyDescent="0.25">
      <c r="L440" s="31">
        <f t="shared" si="30"/>
        <v>1</v>
      </c>
      <c r="M440" s="31">
        <v>427</v>
      </c>
      <c r="N440" s="31">
        <f t="shared" si="31"/>
        <v>0</v>
      </c>
      <c r="O440" s="37">
        <f t="shared" si="32"/>
        <v>0</v>
      </c>
      <c r="P440" s="41">
        <f t="shared" si="34"/>
        <v>0</v>
      </c>
      <c r="Q440" s="37">
        <f t="shared" si="33"/>
        <v>0</v>
      </c>
      <c r="T440" s="42"/>
      <c r="U440" s="42"/>
      <c r="V440" s="42"/>
      <c r="W440" s="48"/>
    </row>
    <row r="441" spans="12:23" hidden="1" x14ac:dyDescent="0.25">
      <c r="L441" s="31">
        <f t="shared" si="30"/>
        <v>2</v>
      </c>
      <c r="M441" s="31">
        <v>428</v>
      </c>
      <c r="N441" s="31">
        <f t="shared" si="31"/>
        <v>0</v>
      </c>
      <c r="O441" s="37">
        <f t="shared" si="32"/>
        <v>0</v>
      </c>
      <c r="P441" s="41">
        <f t="shared" si="34"/>
        <v>0</v>
      </c>
      <c r="Q441" s="37">
        <f t="shared" si="33"/>
        <v>0</v>
      </c>
      <c r="T441" s="42"/>
      <c r="U441" s="42"/>
      <c r="V441" s="42"/>
      <c r="W441" s="48"/>
    </row>
    <row r="442" spans="12:23" hidden="1" x14ac:dyDescent="0.25">
      <c r="L442" s="31">
        <f t="shared" si="30"/>
        <v>3</v>
      </c>
      <c r="M442" s="31">
        <v>429</v>
      </c>
      <c r="N442" s="31">
        <f t="shared" si="31"/>
        <v>0</v>
      </c>
      <c r="O442" s="37">
        <f t="shared" si="32"/>
        <v>0</v>
      </c>
      <c r="P442" s="41">
        <f t="shared" si="34"/>
        <v>0</v>
      </c>
      <c r="Q442" s="37">
        <f t="shared" si="33"/>
        <v>0</v>
      </c>
      <c r="T442" s="42"/>
      <c r="U442" s="42"/>
      <c r="V442" s="42"/>
      <c r="W442" s="48"/>
    </row>
    <row r="443" spans="12:23" hidden="1" x14ac:dyDescent="0.25">
      <c r="L443" s="31">
        <f t="shared" si="30"/>
        <v>4</v>
      </c>
      <c r="M443" s="31">
        <v>430</v>
      </c>
      <c r="N443" s="31">
        <f t="shared" si="31"/>
        <v>0</v>
      </c>
      <c r="O443" s="37">
        <f t="shared" si="32"/>
        <v>0</v>
      </c>
      <c r="P443" s="41">
        <f t="shared" si="34"/>
        <v>0</v>
      </c>
      <c r="Q443" s="37">
        <f t="shared" si="33"/>
        <v>0</v>
      </c>
      <c r="T443" s="42"/>
      <c r="U443" s="42"/>
      <c r="V443" s="42"/>
      <c r="W443" s="48"/>
    </row>
    <row r="444" spans="12:23" hidden="1" x14ac:dyDescent="0.25">
      <c r="L444" s="31">
        <f t="shared" si="30"/>
        <v>5</v>
      </c>
      <c r="M444" s="31">
        <v>431</v>
      </c>
      <c r="N444" s="31">
        <f t="shared" si="31"/>
        <v>0</v>
      </c>
      <c r="O444" s="37">
        <f t="shared" si="32"/>
        <v>0</v>
      </c>
      <c r="P444" s="41">
        <f t="shared" si="34"/>
        <v>0</v>
      </c>
      <c r="Q444" s="37">
        <f t="shared" si="33"/>
        <v>0</v>
      </c>
      <c r="T444" s="42"/>
      <c r="U444" s="42"/>
      <c r="V444" s="42"/>
      <c r="W444" s="48"/>
    </row>
    <row r="445" spans="12:23" hidden="1" x14ac:dyDescent="0.25">
      <c r="L445" s="31">
        <f t="shared" si="30"/>
        <v>0</v>
      </c>
      <c r="M445" s="31">
        <v>432</v>
      </c>
      <c r="N445" s="31">
        <f t="shared" si="31"/>
        <v>0</v>
      </c>
      <c r="O445" s="37">
        <f t="shared" si="32"/>
        <v>0</v>
      </c>
      <c r="P445" s="41">
        <f t="shared" si="34"/>
        <v>0</v>
      </c>
      <c r="Q445" s="37">
        <f t="shared" si="33"/>
        <v>0</v>
      </c>
      <c r="T445" s="42"/>
      <c r="U445" s="42"/>
      <c r="V445" s="42"/>
      <c r="W445" s="48"/>
    </row>
    <row r="446" spans="12:23" hidden="1" x14ac:dyDescent="0.25">
      <c r="L446" s="31">
        <f t="shared" si="30"/>
        <v>1</v>
      </c>
      <c r="M446" s="31">
        <v>433</v>
      </c>
      <c r="N446" s="31">
        <f t="shared" si="31"/>
        <v>0</v>
      </c>
      <c r="O446" s="37">
        <f t="shared" si="32"/>
        <v>0</v>
      </c>
      <c r="P446" s="41">
        <f t="shared" si="34"/>
        <v>0</v>
      </c>
      <c r="Q446" s="37">
        <f t="shared" si="33"/>
        <v>0</v>
      </c>
      <c r="T446" s="42"/>
      <c r="U446" s="42"/>
      <c r="V446" s="42"/>
      <c r="W446" s="48"/>
    </row>
    <row r="447" spans="12:23" hidden="1" x14ac:dyDescent="0.25">
      <c r="L447" s="31">
        <f t="shared" si="30"/>
        <v>2</v>
      </c>
      <c r="M447" s="31">
        <v>434</v>
      </c>
      <c r="N447" s="31">
        <f t="shared" si="31"/>
        <v>0</v>
      </c>
      <c r="O447" s="37">
        <f t="shared" si="32"/>
        <v>0</v>
      </c>
      <c r="P447" s="41">
        <f t="shared" si="34"/>
        <v>0</v>
      </c>
      <c r="Q447" s="37">
        <f t="shared" si="33"/>
        <v>0</v>
      </c>
      <c r="T447" s="42"/>
      <c r="U447" s="42"/>
      <c r="V447" s="42"/>
      <c r="W447" s="48"/>
    </row>
    <row r="448" spans="12:23" hidden="1" x14ac:dyDescent="0.25">
      <c r="L448" s="31">
        <f t="shared" si="30"/>
        <v>3</v>
      </c>
      <c r="M448" s="31">
        <v>435</v>
      </c>
      <c r="N448" s="31">
        <f t="shared" si="31"/>
        <v>0</v>
      </c>
      <c r="O448" s="37">
        <f t="shared" si="32"/>
        <v>0</v>
      </c>
      <c r="P448" s="41">
        <f t="shared" si="34"/>
        <v>0</v>
      </c>
      <c r="Q448" s="37">
        <f t="shared" si="33"/>
        <v>0</v>
      </c>
      <c r="T448" s="42"/>
      <c r="U448" s="42"/>
      <c r="V448" s="42"/>
      <c r="W448" s="48"/>
    </row>
    <row r="449" spans="12:23" hidden="1" x14ac:dyDescent="0.25">
      <c r="L449" s="31">
        <f t="shared" si="30"/>
        <v>4</v>
      </c>
      <c r="M449" s="31">
        <v>436</v>
      </c>
      <c r="N449" s="31">
        <f t="shared" si="31"/>
        <v>0</v>
      </c>
      <c r="O449" s="37">
        <f t="shared" si="32"/>
        <v>0</v>
      </c>
      <c r="P449" s="41">
        <f t="shared" si="34"/>
        <v>0</v>
      </c>
      <c r="Q449" s="37">
        <f t="shared" si="33"/>
        <v>0</v>
      </c>
      <c r="T449" s="42"/>
      <c r="U449" s="42"/>
      <c r="V449" s="42"/>
      <c r="W449" s="48"/>
    </row>
    <row r="450" spans="12:23" hidden="1" x14ac:dyDescent="0.25">
      <c r="L450" s="31">
        <f t="shared" si="30"/>
        <v>5</v>
      </c>
      <c r="M450" s="31">
        <v>437</v>
      </c>
      <c r="N450" s="31">
        <f t="shared" si="31"/>
        <v>0</v>
      </c>
      <c r="O450" s="37">
        <f t="shared" si="32"/>
        <v>0</v>
      </c>
      <c r="P450" s="41">
        <f t="shared" si="34"/>
        <v>0</v>
      </c>
      <c r="Q450" s="37">
        <f t="shared" si="33"/>
        <v>0</v>
      </c>
      <c r="T450" s="42"/>
      <c r="U450" s="42"/>
      <c r="V450" s="42"/>
      <c r="W450" s="48"/>
    </row>
    <row r="451" spans="12:23" hidden="1" x14ac:dyDescent="0.25">
      <c r="L451" s="31">
        <f t="shared" si="30"/>
        <v>0</v>
      </c>
      <c r="M451" s="31">
        <v>438</v>
      </c>
      <c r="N451" s="31">
        <f t="shared" si="31"/>
        <v>0</v>
      </c>
      <c r="O451" s="37">
        <f t="shared" si="32"/>
        <v>0</v>
      </c>
      <c r="P451" s="41">
        <f t="shared" si="34"/>
        <v>0</v>
      </c>
      <c r="Q451" s="37">
        <f t="shared" si="33"/>
        <v>0</v>
      </c>
      <c r="T451" s="42"/>
      <c r="U451" s="42"/>
      <c r="V451" s="42"/>
      <c r="W451" s="48"/>
    </row>
    <row r="452" spans="12:23" hidden="1" x14ac:dyDescent="0.25">
      <c r="L452" s="31">
        <f t="shared" si="30"/>
        <v>1</v>
      </c>
      <c r="M452" s="31">
        <v>439</v>
      </c>
      <c r="N452" s="31">
        <f t="shared" si="31"/>
        <v>0</v>
      </c>
      <c r="O452" s="37">
        <f t="shared" si="32"/>
        <v>0</v>
      </c>
      <c r="P452" s="41">
        <f t="shared" si="34"/>
        <v>0</v>
      </c>
      <c r="Q452" s="37">
        <f t="shared" si="33"/>
        <v>0</v>
      </c>
      <c r="T452" s="42"/>
      <c r="U452" s="42"/>
      <c r="V452" s="42"/>
      <c r="W452" s="48"/>
    </row>
    <row r="453" spans="12:23" hidden="1" x14ac:dyDescent="0.25">
      <c r="L453" s="31">
        <f t="shared" si="30"/>
        <v>2</v>
      </c>
      <c r="M453" s="31">
        <v>440</v>
      </c>
      <c r="N453" s="31">
        <f t="shared" si="31"/>
        <v>0</v>
      </c>
      <c r="O453" s="37">
        <f t="shared" si="32"/>
        <v>0</v>
      </c>
      <c r="P453" s="41">
        <f t="shared" si="34"/>
        <v>0</v>
      </c>
      <c r="Q453" s="37">
        <f t="shared" si="33"/>
        <v>0</v>
      </c>
      <c r="T453" s="42"/>
      <c r="U453" s="42"/>
      <c r="V453" s="42"/>
      <c r="W453" s="48"/>
    </row>
    <row r="454" spans="12:23" hidden="1" x14ac:dyDescent="0.25">
      <c r="L454" s="31">
        <f t="shared" si="30"/>
        <v>3</v>
      </c>
      <c r="M454" s="31">
        <v>441</v>
      </c>
      <c r="N454" s="31">
        <f t="shared" si="31"/>
        <v>0</v>
      </c>
      <c r="O454" s="37">
        <f t="shared" si="32"/>
        <v>0</v>
      </c>
      <c r="P454" s="41">
        <f t="shared" si="34"/>
        <v>0</v>
      </c>
      <c r="Q454" s="37">
        <f t="shared" si="33"/>
        <v>0</v>
      </c>
      <c r="T454" s="42"/>
      <c r="U454" s="42"/>
      <c r="V454" s="42"/>
      <c r="W454" s="48"/>
    </row>
    <row r="455" spans="12:23" hidden="1" x14ac:dyDescent="0.25">
      <c r="L455" s="31">
        <f t="shared" si="30"/>
        <v>4</v>
      </c>
      <c r="M455" s="31">
        <v>442</v>
      </c>
      <c r="N455" s="31">
        <f t="shared" si="31"/>
        <v>0</v>
      </c>
      <c r="O455" s="37">
        <f t="shared" si="32"/>
        <v>0</v>
      </c>
      <c r="P455" s="41">
        <f t="shared" si="34"/>
        <v>0</v>
      </c>
      <c r="Q455" s="37">
        <f t="shared" si="33"/>
        <v>0</v>
      </c>
      <c r="T455" s="42"/>
      <c r="U455" s="42"/>
      <c r="V455" s="42"/>
      <c r="W455" s="48"/>
    </row>
    <row r="456" spans="12:23" hidden="1" x14ac:dyDescent="0.25">
      <c r="L456" s="31">
        <f t="shared" si="30"/>
        <v>5</v>
      </c>
      <c r="M456" s="31">
        <v>443</v>
      </c>
      <c r="N456" s="31">
        <f t="shared" si="31"/>
        <v>0</v>
      </c>
      <c r="O456" s="37">
        <f t="shared" si="32"/>
        <v>0</v>
      </c>
      <c r="P456" s="41">
        <f t="shared" si="34"/>
        <v>0</v>
      </c>
      <c r="Q456" s="37">
        <f t="shared" si="33"/>
        <v>0</v>
      </c>
      <c r="T456" s="42"/>
      <c r="U456" s="42"/>
      <c r="V456" s="42"/>
      <c r="W456" s="48"/>
    </row>
    <row r="457" spans="12:23" hidden="1" x14ac:dyDescent="0.25">
      <c r="L457" s="31">
        <f t="shared" si="30"/>
        <v>0</v>
      </c>
      <c r="M457" s="31">
        <v>444</v>
      </c>
      <c r="N457" s="31">
        <f t="shared" si="31"/>
        <v>0</v>
      </c>
      <c r="O457" s="37">
        <f t="shared" si="32"/>
        <v>0</v>
      </c>
      <c r="P457" s="41">
        <f t="shared" si="34"/>
        <v>0</v>
      </c>
      <c r="Q457" s="37">
        <f t="shared" si="33"/>
        <v>0</v>
      </c>
      <c r="T457" s="42"/>
      <c r="U457" s="42"/>
      <c r="V457" s="42"/>
      <c r="W457" s="48"/>
    </row>
    <row r="458" spans="12:23" hidden="1" x14ac:dyDescent="0.25">
      <c r="L458" s="31">
        <f t="shared" si="30"/>
        <v>1</v>
      </c>
      <c r="M458" s="31">
        <v>445</v>
      </c>
      <c r="N458" s="31">
        <f t="shared" si="31"/>
        <v>0</v>
      </c>
      <c r="O458" s="37">
        <f t="shared" si="32"/>
        <v>0</v>
      </c>
      <c r="P458" s="41">
        <f t="shared" si="34"/>
        <v>0</v>
      </c>
      <c r="Q458" s="37">
        <f t="shared" si="33"/>
        <v>0</v>
      </c>
      <c r="T458" s="42"/>
      <c r="U458" s="42"/>
      <c r="V458" s="42"/>
      <c r="W458" s="48"/>
    </row>
    <row r="459" spans="12:23" hidden="1" x14ac:dyDescent="0.25">
      <c r="L459" s="31">
        <f t="shared" si="30"/>
        <v>2</v>
      </c>
      <c r="M459" s="31">
        <v>446</v>
      </c>
      <c r="N459" s="31">
        <f t="shared" si="31"/>
        <v>0</v>
      </c>
      <c r="O459" s="37">
        <f t="shared" si="32"/>
        <v>0</v>
      </c>
      <c r="P459" s="41">
        <f t="shared" si="34"/>
        <v>0</v>
      </c>
      <c r="Q459" s="37">
        <f t="shared" si="33"/>
        <v>0</v>
      </c>
      <c r="T459" s="42"/>
      <c r="U459" s="42"/>
      <c r="V459" s="42"/>
      <c r="W459" s="48"/>
    </row>
    <row r="460" spans="12:23" hidden="1" x14ac:dyDescent="0.25">
      <c r="L460" s="31">
        <f t="shared" si="30"/>
        <v>3</v>
      </c>
      <c r="M460" s="31">
        <v>447</v>
      </c>
      <c r="N460" s="31">
        <f t="shared" si="31"/>
        <v>0</v>
      </c>
      <c r="O460" s="37">
        <f t="shared" si="32"/>
        <v>0</v>
      </c>
      <c r="P460" s="41">
        <f t="shared" si="34"/>
        <v>0</v>
      </c>
      <c r="Q460" s="37">
        <f t="shared" si="33"/>
        <v>0</v>
      </c>
      <c r="T460" s="42"/>
      <c r="U460" s="42"/>
      <c r="V460" s="42"/>
      <c r="W460" s="48"/>
    </row>
    <row r="461" spans="12:23" hidden="1" x14ac:dyDescent="0.25">
      <c r="L461" s="31">
        <f t="shared" ref="L461:L524" si="35">MOD(M461,12/$C$9)</f>
        <v>4</v>
      </c>
      <c r="M461" s="31">
        <v>448</v>
      </c>
      <c r="N461" s="31">
        <f t="shared" ref="N461:N524" si="36">IF(M461&lt;$O$8,IF(L461=0,$C$8,0),0)</f>
        <v>0</v>
      </c>
      <c r="O461" s="37">
        <f t="shared" ref="O461:O524" si="37">IF(M461&lt;=$O$8,FV(SRate,($O$8-M461),0,-N461,1),0)</f>
        <v>0</v>
      </c>
      <c r="P461" s="41">
        <f t="shared" si="34"/>
        <v>0</v>
      </c>
      <c r="Q461" s="37">
        <f t="shared" ref="Q461:Q524" si="38">(O461-N461)*TaxRate</f>
        <v>0</v>
      </c>
      <c r="T461" s="42"/>
      <c r="U461" s="42"/>
      <c r="V461" s="42"/>
      <c r="W461" s="48"/>
    </row>
    <row r="462" spans="12:23" hidden="1" x14ac:dyDescent="0.25">
      <c r="L462" s="31">
        <f t="shared" si="35"/>
        <v>5</v>
      </c>
      <c r="M462" s="31">
        <v>449</v>
      </c>
      <c r="N462" s="31">
        <f t="shared" si="36"/>
        <v>0</v>
      </c>
      <c r="O462" s="37">
        <f t="shared" si="37"/>
        <v>0</v>
      </c>
      <c r="P462" s="41">
        <f t="shared" ref="P462:P525" si="39">IF(M462&lt;=$O$8,FV(SRate,1,0,-P461,1),0)+N462</f>
        <v>0</v>
      </c>
      <c r="Q462" s="37">
        <f t="shared" si="38"/>
        <v>0</v>
      </c>
      <c r="T462" s="42"/>
      <c r="U462" s="42"/>
      <c r="V462" s="42"/>
      <c r="W462" s="48"/>
    </row>
    <row r="463" spans="12:23" hidden="1" x14ac:dyDescent="0.25">
      <c r="L463" s="31">
        <f t="shared" si="35"/>
        <v>0</v>
      </c>
      <c r="M463" s="31">
        <v>450</v>
      </c>
      <c r="N463" s="31">
        <f t="shared" si="36"/>
        <v>0</v>
      </c>
      <c r="O463" s="37">
        <f t="shared" si="37"/>
        <v>0</v>
      </c>
      <c r="P463" s="41">
        <f t="shared" si="39"/>
        <v>0</v>
      </c>
      <c r="Q463" s="37">
        <f t="shared" si="38"/>
        <v>0</v>
      </c>
      <c r="T463" s="42"/>
      <c r="U463" s="42"/>
      <c r="V463" s="42"/>
      <c r="W463" s="48"/>
    </row>
    <row r="464" spans="12:23" hidden="1" x14ac:dyDescent="0.25">
      <c r="L464" s="31">
        <f t="shared" si="35"/>
        <v>1</v>
      </c>
      <c r="M464" s="31">
        <v>451</v>
      </c>
      <c r="N464" s="31">
        <f t="shared" si="36"/>
        <v>0</v>
      </c>
      <c r="O464" s="37">
        <f t="shared" si="37"/>
        <v>0</v>
      </c>
      <c r="P464" s="41">
        <f t="shared" si="39"/>
        <v>0</v>
      </c>
      <c r="Q464" s="37">
        <f t="shared" si="38"/>
        <v>0</v>
      </c>
      <c r="T464" s="42"/>
      <c r="U464" s="42"/>
      <c r="V464" s="42"/>
      <c r="W464" s="48"/>
    </row>
    <row r="465" spans="12:23" hidden="1" x14ac:dyDescent="0.25">
      <c r="L465" s="31">
        <f t="shared" si="35"/>
        <v>2</v>
      </c>
      <c r="M465" s="31">
        <v>452</v>
      </c>
      <c r="N465" s="31">
        <f t="shared" si="36"/>
        <v>0</v>
      </c>
      <c r="O465" s="37">
        <f t="shared" si="37"/>
        <v>0</v>
      </c>
      <c r="P465" s="41">
        <f t="shared" si="39"/>
        <v>0</v>
      </c>
      <c r="Q465" s="37">
        <f t="shared" si="38"/>
        <v>0</v>
      </c>
      <c r="T465" s="42"/>
      <c r="U465" s="42"/>
      <c r="V465" s="42"/>
      <c r="W465" s="48"/>
    </row>
    <row r="466" spans="12:23" hidden="1" x14ac:dyDescent="0.25">
      <c r="L466" s="31">
        <f t="shared" si="35"/>
        <v>3</v>
      </c>
      <c r="M466" s="31">
        <v>453</v>
      </c>
      <c r="N466" s="31">
        <f t="shared" si="36"/>
        <v>0</v>
      </c>
      <c r="O466" s="37">
        <f t="shared" si="37"/>
        <v>0</v>
      </c>
      <c r="P466" s="41">
        <f t="shared" si="39"/>
        <v>0</v>
      </c>
      <c r="Q466" s="37">
        <f t="shared" si="38"/>
        <v>0</v>
      </c>
      <c r="T466" s="42"/>
      <c r="U466" s="42"/>
      <c r="V466" s="42"/>
      <c r="W466" s="48"/>
    </row>
    <row r="467" spans="12:23" hidden="1" x14ac:dyDescent="0.25">
      <c r="L467" s="31">
        <f t="shared" si="35"/>
        <v>4</v>
      </c>
      <c r="M467" s="31">
        <v>454</v>
      </c>
      <c r="N467" s="31">
        <f t="shared" si="36"/>
        <v>0</v>
      </c>
      <c r="O467" s="37">
        <f t="shared" si="37"/>
        <v>0</v>
      </c>
      <c r="P467" s="41">
        <f t="shared" si="39"/>
        <v>0</v>
      </c>
      <c r="Q467" s="37">
        <f t="shared" si="38"/>
        <v>0</v>
      </c>
      <c r="T467" s="42"/>
      <c r="U467" s="42"/>
      <c r="V467" s="42"/>
      <c r="W467" s="48"/>
    </row>
    <row r="468" spans="12:23" hidden="1" x14ac:dyDescent="0.25">
      <c r="L468" s="31">
        <f t="shared" si="35"/>
        <v>5</v>
      </c>
      <c r="M468" s="31">
        <v>455</v>
      </c>
      <c r="N468" s="31">
        <f t="shared" si="36"/>
        <v>0</v>
      </c>
      <c r="O468" s="37">
        <f t="shared" si="37"/>
        <v>0</v>
      </c>
      <c r="P468" s="41">
        <f t="shared" si="39"/>
        <v>0</v>
      </c>
      <c r="Q468" s="37">
        <f t="shared" si="38"/>
        <v>0</v>
      </c>
      <c r="T468" s="42"/>
      <c r="U468" s="42"/>
      <c r="V468" s="42"/>
      <c r="W468" s="48"/>
    </row>
    <row r="469" spans="12:23" hidden="1" x14ac:dyDescent="0.25">
      <c r="L469" s="31">
        <f t="shared" si="35"/>
        <v>0</v>
      </c>
      <c r="M469" s="31">
        <v>456</v>
      </c>
      <c r="N469" s="31">
        <f t="shared" si="36"/>
        <v>0</v>
      </c>
      <c r="O469" s="37">
        <f t="shared" si="37"/>
        <v>0</v>
      </c>
      <c r="P469" s="41">
        <f t="shared" si="39"/>
        <v>0</v>
      </c>
      <c r="Q469" s="37">
        <f t="shared" si="38"/>
        <v>0</v>
      </c>
      <c r="T469" s="42"/>
      <c r="U469" s="42"/>
      <c r="V469" s="42"/>
      <c r="W469" s="48"/>
    </row>
    <row r="470" spans="12:23" hidden="1" x14ac:dyDescent="0.25">
      <c r="L470" s="31">
        <f t="shared" si="35"/>
        <v>1</v>
      </c>
      <c r="M470" s="31">
        <v>457</v>
      </c>
      <c r="N470" s="31">
        <f t="shared" si="36"/>
        <v>0</v>
      </c>
      <c r="O470" s="37">
        <f t="shared" si="37"/>
        <v>0</v>
      </c>
      <c r="P470" s="41">
        <f t="shared" si="39"/>
        <v>0</v>
      </c>
      <c r="Q470" s="37">
        <f t="shared" si="38"/>
        <v>0</v>
      </c>
      <c r="T470" s="42"/>
      <c r="U470" s="42"/>
      <c r="V470" s="42"/>
      <c r="W470" s="48"/>
    </row>
    <row r="471" spans="12:23" hidden="1" x14ac:dyDescent="0.25">
      <c r="L471" s="31">
        <f t="shared" si="35"/>
        <v>2</v>
      </c>
      <c r="M471" s="31">
        <v>458</v>
      </c>
      <c r="N471" s="31">
        <f t="shared" si="36"/>
        <v>0</v>
      </c>
      <c r="O471" s="37">
        <f t="shared" si="37"/>
        <v>0</v>
      </c>
      <c r="P471" s="41">
        <f t="shared" si="39"/>
        <v>0</v>
      </c>
      <c r="Q471" s="37">
        <f t="shared" si="38"/>
        <v>0</v>
      </c>
      <c r="T471" s="42"/>
      <c r="U471" s="42"/>
      <c r="V471" s="42"/>
      <c r="W471" s="48"/>
    </row>
    <row r="472" spans="12:23" hidden="1" x14ac:dyDescent="0.25">
      <c r="L472" s="31">
        <f t="shared" si="35"/>
        <v>3</v>
      </c>
      <c r="M472" s="31">
        <v>459</v>
      </c>
      <c r="N472" s="31">
        <f t="shared" si="36"/>
        <v>0</v>
      </c>
      <c r="O472" s="37">
        <f t="shared" si="37"/>
        <v>0</v>
      </c>
      <c r="P472" s="41">
        <f t="shared" si="39"/>
        <v>0</v>
      </c>
      <c r="Q472" s="37">
        <f t="shared" si="38"/>
        <v>0</v>
      </c>
      <c r="T472" s="42"/>
      <c r="U472" s="42"/>
      <c r="V472" s="42"/>
      <c r="W472" s="48"/>
    </row>
    <row r="473" spans="12:23" hidden="1" x14ac:dyDescent="0.25">
      <c r="L473" s="31">
        <f t="shared" si="35"/>
        <v>4</v>
      </c>
      <c r="M473" s="31">
        <v>460</v>
      </c>
      <c r="N473" s="31">
        <f t="shared" si="36"/>
        <v>0</v>
      </c>
      <c r="O473" s="37">
        <f t="shared" si="37"/>
        <v>0</v>
      </c>
      <c r="P473" s="41">
        <f t="shared" si="39"/>
        <v>0</v>
      </c>
      <c r="Q473" s="37">
        <f t="shared" si="38"/>
        <v>0</v>
      </c>
      <c r="T473" s="42"/>
      <c r="U473" s="42"/>
      <c r="V473" s="42"/>
      <c r="W473" s="48"/>
    </row>
    <row r="474" spans="12:23" hidden="1" x14ac:dyDescent="0.25">
      <c r="L474" s="31">
        <f t="shared" si="35"/>
        <v>5</v>
      </c>
      <c r="M474" s="31">
        <v>461</v>
      </c>
      <c r="N474" s="31">
        <f t="shared" si="36"/>
        <v>0</v>
      </c>
      <c r="O474" s="37">
        <f t="shared" si="37"/>
        <v>0</v>
      </c>
      <c r="P474" s="41">
        <f t="shared" si="39"/>
        <v>0</v>
      </c>
      <c r="Q474" s="37">
        <f t="shared" si="38"/>
        <v>0</v>
      </c>
      <c r="T474" s="42"/>
      <c r="U474" s="42"/>
      <c r="V474" s="42"/>
      <c r="W474" s="48"/>
    </row>
    <row r="475" spans="12:23" hidden="1" x14ac:dyDescent="0.25">
      <c r="L475" s="31">
        <f t="shared" si="35"/>
        <v>0</v>
      </c>
      <c r="M475" s="31">
        <v>462</v>
      </c>
      <c r="N475" s="31">
        <f t="shared" si="36"/>
        <v>0</v>
      </c>
      <c r="O475" s="37">
        <f t="shared" si="37"/>
        <v>0</v>
      </c>
      <c r="P475" s="41">
        <f t="shared" si="39"/>
        <v>0</v>
      </c>
      <c r="Q475" s="37">
        <f t="shared" si="38"/>
        <v>0</v>
      </c>
      <c r="T475" s="42"/>
      <c r="U475" s="42"/>
      <c r="V475" s="42"/>
      <c r="W475" s="48"/>
    </row>
    <row r="476" spans="12:23" hidden="1" x14ac:dyDescent="0.25">
      <c r="L476" s="31">
        <f t="shared" si="35"/>
        <v>1</v>
      </c>
      <c r="M476" s="31">
        <v>463</v>
      </c>
      <c r="N476" s="31">
        <f t="shared" si="36"/>
        <v>0</v>
      </c>
      <c r="O476" s="37">
        <f t="shared" si="37"/>
        <v>0</v>
      </c>
      <c r="P476" s="41">
        <f t="shared" si="39"/>
        <v>0</v>
      </c>
      <c r="Q476" s="37">
        <f t="shared" si="38"/>
        <v>0</v>
      </c>
      <c r="T476" s="42"/>
      <c r="U476" s="42"/>
      <c r="V476" s="42"/>
      <c r="W476" s="48"/>
    </row>
    <row r="477" spans="12:23" hidden="1" x14ac:dyDescent="0.25">
      <c r="L477" s="31">
        <f t="shared" si="35"/>
        <v>2</v>
      </c>
      <c r="M477" s="31">
        <v>464</v>
      </c>
      <c r="N477" s="31">
        <f t="shared" si="36"/>
        <v>0</v>
      </c>
      <c r="O477" s="37">
        <f t="shared" si="37"/>
        <v>0</v>
      </c>
      <c r="P477" s="41">
        <f t="shared" si="39"/>
        <v>0</v>
      </c>
      <c r="Q477" s="37">
        <f t="shared" si="38"/>
        <v>0</v>
      </c>
      <c r="T477" s="42"/>
      <c r="U477" s="42"/>
      <c r="V477" s="42"/>
      <c r="W477" s="48"/>
    </row>
    <row r="478" spans="12:23" hidden="1" x14ac:dyDescent="0.25">
      <c r="L478" s="31">
        <f t="shared" si="35"/>
        <v>3</v>
      </c>
      <c r="M478" s="31">
        <v>465</v>
      </c>
      <c r="N478" s="31">
        <f t="shared" si="36"/>
        <v>0</v>
      </c>
      <c r="O478" s="37">
        <f t="shared" si="37"/>
        <v>0</v>
      </c>
      <c r="P478" s="41">
        <f t="shared" si="39"/>
        <v>0</v>
      </c>
      <c r="Q478" s="37">
        <f t="shared" si="38"/>
        <v>0</v>
      </c>
      <c r="T478" s="42"/>
      <c r="U478" s="42"/>
      <c r="V478" s="42"/>
      <c r="W478" s="48"/>
    </row>
    <row r="479" spans="12:23" hidden="1" x14ac:dyDescent="0.25">
      <c r="L479" s="31">
        <f t="shared" si="35"/>
        <v>4</v>
      </c>
      <c r="M479" s="31">
        <v>466</v>
      </c>
      <c r="N479" s="31">
        <f t="shared" si="36"/>
        <v>0</v>
      </c>
      <c r="O479" s="37">
        <f t="shared" si="37"/>
        <v>0</v>
      </c>
      <c r="P479" s="41">
        <f t="shared" si="39"/>
        <v>0</v>
      </c>
      <c r="Q479" s="37">
        <f t="shared" si="38"/>
        <v>0</v>
      </c>
      <c r="T479" s="42"/>
      <c r="U479" s="42"/>
      <c r="V479" s="42"/>
      <c r="W479" s="48"/>
    </row>
    <row r="480" spans="12:23" hidden="1" x14ac:dyDescent="0.25">
      <c r="L480" s="31">
        <f t="shared" si="35"/>
        <v>5</v>
      </c>
      <c r="M480" s="31">
        <v>467</v>
      </c>
      <c r="N480" s="31">
        <f t="shared" si="36"/>
        <v>0</v>
      </c>
      <c r="O480" s="37">
        <f t="shared" si="37"/>
        <v>0</v>
      </c>
      <c r="P480" s="41">
        <f t="shared" si="39"/>
        <v>0</v>
      </c>
      <c r="Q480" s="37">
        <f t="shared" si="38"/>
        <v>0</v>
      </c>
      <c r="T480" s="42"/>
      <c r="U480" s="42"/>
      <c r="V480" s="42"/>
      <c r="W480" s="48"/>
    </row>
    <row r="481" spans="12:23" hidden="1" x14ac:dyDescent="0.25">
      <c r="L481" s="31">
        <f t="shared" si="35"/>
        <v>0</v>
      </c>
      <c r="M481" s="31">
        <v>468</v>
      </c>
      <c r="N481" s="31">
        <f t="shared" si="36"/>
        <v>0</v>
      </c>
      <c r="O481" s="37">
        <f t="shared" si="37"/>
        <v>0</v>
      </c>
      <c r="P481" s="41">
        <f t="shared" si="39"/>
        <v>0</v>
      </c>
      <c r="Q481" s="37">
        <f t="shared" si="38"/>
        <v>0</v>
      </c>
      <c r="T481" s="42"/>
      <c r="U481" s="42"/>
      <c r="V481" s="42"/>
      <c r="W481" s="48"/>
    </row>
    <row r="482" spans="12:23" hidden="1" x14ac:dyDescent="0.25">
      <c r="L482" s="31">
        <f t="shared" si="35"/>
        <v>1</v>
      </c>
      <c r="M482" s="31">
        <v>469</v>
      </c>
      <c r="N482" s="31">
        <f t="shared" si="36"/>
        <v>0</v>
      </c>
      <c r="O482" s="37">
        <f t="shared" si="37"/>
        <v>0</v>
      </c>
      <c r="P482" s="41">
        <f t="shared" si="39"/>
        <v>0</v>
      </c>
      <c r="Q482" s="37">
        <f t="shared" si="38"/>
        <v>0</v>
      </c>
      <c r="T482" s="42"/>
      <c r="U482" s="42"/>
      <c r="V482" s="42"/>
      <c r="W482" s="48"/>
    </row>
    <row r="483" spans="12:23" hidden="1" x14ac:dyDescent="0.25">
      <c r="L483" s="31">
        <f t="shared" si="35"/>
        <v>2</v>
      </c>
      <c r="M483" s="31">
        <v>470</v>
      </c>
      <c r="N483" s="31">
        <f t="shared" si="36"/>
        <v>0</v>
      </c>
      <c r="O483" s="37">
        <f t="shared" si="37"/>
        <v>0</v>
      </c>
      <c r="P483" s="41">
        <f t="shared" si="39"/>
        <v>0</v>
      </c>
      <c r="Q483" s="37">
        <f t="shared" si="38"/>
        <v>0</v>
      </c>
      <c r="T483" s="42"/>
      <c r="U483" s="42"/>
      <c r="V483" s="42"/>
      <c r="W483" s="48"/>
    </row>
    <row r="484" spans="12:23" hidden="1" x14ac:dyDescent="0.25">
      <c r="L484" s="31">
        <f t="shared" si="35"/>
        <v>3</v>
      </c>
      <c r="M484" s="31">
        <v>471</v>
      </c>
      <c r="N484" s="31">
        <f t="shared" si="36"/>
        <v>0</v>
      </c>
      <c r="O484" s="37">
        <f t="shared" si="37"/>
        <v>0</v>
      </c>
      <c r="P484" s="41">
        <f t="shared" si="39"/>
        <v>0</v>
      </c>
      <c r="Q484" s="37">
        <f t="shared" si="38"/>
        <v>0</v>
      </c>
      <c r="T484" s="42"/>
      <c r="U484" s="42"/>
      <c r="V484" s="42"/>
      <c r="W484" s="48"/>
    </row>
    <row r="485" spans="12:23" hidden="1" x14ac:dyDescent="0.25">
      <c r="L485" s="31">
        <f t="shared" si="35"/>
        <v>4</v>
      </c>
      <c r="M485" s="31">
        <v>472</v>
      </c>
      <c r="N485" s="31">
        <f t="shared" si="36"/>
        <v>0</v>
      </c>
      <c r="O485" s="37">
        <f t="shared" si="37"/>
        <v>0</v>
      </c>
      <c r="P485" s="41">
        <f t="shared" si="39"/>
        <v>0</v>
      </c>
      <c r="Q485" s="37">
        <f t="shared" si="38"/>
        <v>0</v>
      </c>
      <c r="T485" s="42"/>
      <c r="U485" s="42"/>
      <c r="V485" s="42"/>
      <c r="W485" s="48"/>
    </row>
    <row r="486" spans="12:23" hidden="1" x14ac:dyDescent="0.25">
      <c r="L486" s="31">
        <f t="shared" si="35"/>
        <v>5</v>
      </c>
      <c r="M486" s="31">
        <v>473</v>
      </c>
      <c r="N486" s="31">
        <f t="shared" si="36"/>
        <v>0</v>
      </c>
      <c r="O486" s="37">
        <f t="shared" si="37"/>
        <v>0</v>
      </c>
      <c r="P486" s="41">
        <f t="shared" si="39"/>
        <v>0</v>
      </c>
      <c r="Q486" s="37">
        <f t="shared" si="38"/>
        <v>0</v>
      </c>
      <c r="T486" s="42"/>
      <c r="U486" s="42"/>
      <c r="V486" s="42"/>
      <c r="W486" s="48"/>
    </row>
    <row r="487" spans="12:23" hidden="1" x14ac:dyDescent="0.25">
      <c r="L487" s="31">
        <f t="shared" si="35"/>
        <v>0</v>
      </c>
      <c r="M487" s="31">
        <v>474</v>
      </c>
      <c r="N487" s="31">
        <f t="shared" si="36"/>
        <v>0</v>
      </c>
      <c r="O487" s="37">
        <f t="shared" si="37"/>
        <v>0</v>
      </c>
      <c r="P487" s="41">
        <f t="shared" si="39"/>
        <v>0</v>
      </c>
      <c r="Q487" s="37">
        <f t="shared" si="38"/>
        <v>0</v>
      </c>
      <c r="T487" s="42"/>
      <c r="U487" s="42"/>
      <c r="V487" s="42"/>
      <c r="W487" s="48"/>
    </row>
    <row r="488" spans="12:23" hidden="1" x14ac:dyDescent="0.25">
      <c r="L488" s="31">
        <f t="shared" si="35"/>
        <v>1</v>
      </c>
      <c r="M488" s="31">
        <v>475</v>
      </c>
      <c r="N488" s="31">
        <f t="shared" si="36"/>
        <v>0</v>
      </c>
      <c r="O488" s="37">
        <f t="shared" si="37"/>
        <v>0</v>
      </c>
      <c r="P488" s="41">
        <f t="shared" si="39"/>
        <v>0</v>
      </c>
      <c r="Q488" s="37">
        <f t="shared" si="38"/>
        <v>0</v>
      </c>
      <c r="T488" s="42"/>
      <c r="U488" s="42"/>
      <c r="V488" s="42"/>
      <c r="W488" s="48"/>
    </row>
    <row r="489" spans="12:23" hidden="1" x14ac:dyDescent="0.25">
      <c r="L489" s="31">
        <f t="shared" si="35"/>
        <v>2</v>
      </c>
      <c r="M489" s="31">
        <v>476</v>
      </c>
      <c r="N489" s="31">
        <f t="shared" si="36"/>
        <v>0</v>
      </c>
      <c r="O489" s="37">
        <f t="shared" si="37"/>
        <v>0</v>
      </c>
      <c r="P489" s="41">
        <f t="shared" si="39"/>
        <v>0</v>
      </c>
      <c r="Q489" s="37">
        <f t="shared" si="38"/>
        <v>0</v>
      </c>
      <c r="T489" s="42"/>
      <c r="U489" s="42"/>
      <c r="V489" s="42"/>
      <c r="W489" s="48"/>
    </row>
    <row r="490" spans="12:23" hidden="1" x14ac:dyDescent="0.25">
      <c r="L490" s="31">
        <f t="shared" si="35"/>
        <v>3</v>
      </c>
      <c r="M490" s="31">
        <v>477</v>
      </c>
      <c r="N490" s="31">
        <f t="shared" si="36"/>
        <v>0</v>
      </c>
      <c r="O490" s="37">
        <f t="shared" si="37"/>
        <v>0</v>
      </c>
      <c r="P490" s="41">
        <f t="shared" si="39"/>
        <v>0</v>
      </c>
      <c r="Q490" s="37">
        <f t="shared" si="38"/>
        <v>0</v>
      </c>
      <c r="T490" s="42"/>
      <c r="U490" s="42"/>
      <c r="V490" s="42"/>
      <c r="W490" s="48"/>
    </row>
    <row r="491" spans="12:23" hidden="1" x14ac:dyDescent="0.25">
      <c r="L491" s="31">
        <f t="shared" si="35"/>
        <v>4</v>
      </c>
      <c r="M491" s="31">
        <v>478</v>
      </c>
      <c r="N491" s="31">
        <f t="shared" si="36"/>
        <v>0</v>
      </c>
      <c r="O491" s="37">
        <f t="shared" si="37"/>
        <v>0</v>
      </c>
      <c r="P491" s="41">
        <f t="shared" si="39"/>
        <v>0</v>
      </c>
      <c r="Q491" s="37">
        <f t="shared" si="38"/>
        <v>0</v>
      </c>
      <c r="T491" s="42"/>
      <c r="U491" s="42"/>
      <c r="V491" s="42"/>
      <c r="W491" s="48"/>
    </row>
    <row r="492" spans="12:23" hidden="1" x14ac:dyDescent="0.25">
      <c r="L492" s="31">
        <f t="shared" si="35"/>
        <v>5</v>
      </c>
      <c r="M492" s="31">
        <v>479</v>
      </c>
      <c r="N492" s="31">
        <f t="shared" si="36"/>
        <v>0</v>
      </c>
      <c r="O492" s="37">
        <f t="shared" si="37"/>
        <v>0</v>
      </c>
      <c r="P492" s="41">
        <f t="shared" si="39"/>
        <v>0</v>
      </c>
      <c r="Q492" s="37">
        <f t="shared" si="38"/>
        <v>0</v>
      </c>
      <c r="T492" s="42"/>
      <c r="U492" s="42"/>
      <c r="V492" s="42"/>
      <c r="W492" s="48"/>
    </row>
    <row r="493" spans="12:23" hidden="1" x14ac:dyDescent="0.25">
      <c r="L493" s="31">
        <f t="shared" si="35"/>
        <v>0</v>
      </c>
      <c r="M493" s="31">
        <v>480</v>
      </c>
      <c r="N493" s="31">
        <f t="shared" si="36"/>
        <v>0</v>
      </c>
      <c r="O493" s="37">
        <f t="shared" si="37"/>
        <v>0</v>
      </c>
      <c r="P493" s="41">
        <f t="shared" si="39"/>
        <v>0</v>
      </c>
      <c r="Q493" s="37">
        <f t="shared" si="38"/>
        <v>0</v>
      </c>
      <c r="T493" s="42"/>
      <c r="U493" s="42"/>
      <c r="V493" s="42"/>
      <c r="W493" s="48"/>
    </row>
    <row r="494" spans="12:23" hidden="1" x14ac:dyDescent="0.25">
      <c r="L494" s="31">
        <f t="shared" si="35"/>
        <v>1</v>
      </c>
      <c r="M494" s="31">
        <v>481</v>
      </c>
      <c r="N494" s="31">
        <f t="shared" si="36"/>
        <v>0</v>
      </c>
      <c r="O494" s="37">
        <f t="shared" si="37"/>
        <v>0</v>
      </c>
      <c r="P494" s="41">
        <f t="shared" si="39"/>
        <v>0</v>
      </c>
      <c r="Q494" s="37">
        <f t="shared" si="38"/>
        <v>0</v>
      </c>
      <c r="T494" s="42"/>
      <c r="U494" s="42"/>
      <c r="V494" s="42"/>
      <c r="W494" s="48"/>
    </row>
    <row r="495" spans="12:23" hidden="1" x14ac:dyDescent="0.25">
      <c r="L495" s="31">
        <f t="shared" si="35"/>
        <v>2</v>
      </c>
      <c r="M495" s="31">
        <v>482</v>
      </c>
      <c r="N495" s="31">
        <f t="shared" si="36"/>
        <v>0</v>
      </c>
      <c r="O495" s="37">
        <f t="shared" si="37"/>
        <v>0</v>
      </c>
      <c r="P495" s="41">
        <f t="shared" si="39"/>
        <v>0</v>
      </c>
      <c r="Q495" s="37">
        <f t="shared" si="38"/>
        <v>0</v>
      </c>
      <c r="T495" s="42"/>
      <c r="U495" s="42"/>
      <c r="V495" s="42"/>
      <c r="W495" s="48"/>
    </row>
    <row r="496" spans="12:23" hidden="1" x14ac:dyDescent="0.25">
      <c r="L496" s="31">
        <f t="shared" si="35"/>
        <v>3</v>
      </c>
      <c r="M496" s="31">
        <v>483</v>
      </c>
      <c r="N496" s="31">
        <f t="shared" si="36"/>
        <v>0</v>
      </c>
      <c r="O496" s="37">
        <f t="shared" si="37"/>
        <v>0</v>
      </c>
      <c r="P496" s="41">
        <f t="shared" si="39"/>
        <v>0</v>
      </c>
      <c r="Q496" s="37">
        <f t="shared" si="38"/>
        <v>0</v>
      </c>
      <c r="T496" s="42"/>
      <c r="U496" s="42"/>
      <c r="V496" s="42"/>
      <c r="W496" s="48"/>
    </row>
    <row r="497" spans="12:23" hidden="1" x14ac:dyDescent="0.25">
      <c r="L497" s="31">
        <f t="shared" si="35"/>
        <v>4</v>
      </c>
      <c r="M497" s="31">
        <v>484</v>
      </c>
      <c r="N497" s="31">
        <f t="shared" si="36"/>
        <v>0</v>
      </c>
      <c r="O497" s="37">
        <f t="shared" si="37"/>
        <v>0</v>
      </c>
      <c r="P497" s="41">
        <f t="shared" si="39"/>
        <v>0</v>
      </c>
      <c r="Q497" s="37">
        <f t="shared" si="38"/>
        <v>0</v>
      </c>
      <c r="T497" s="42"/>
      <c r="U497" s="42"/>
      <c r="V497" s="42"/>
      <c r="W497" s="48"/>
    </row>
    <row r="498" spans="12:23" hidden="1" x14ac:dyDescent="0.25">
      <c r="L498" s="31">
        <f t="shared" si="35"/>
        <v>5</v>
      </c>
      <c r="M498" s="31">
        <v>485</v>
      </c>
      <c r="N498" s="31">
        <f t="shared" si="36"/>
        <v>0</v>
      </c>
      <c r="O498" s="37">
        <f t="shared" si="37"/>
        <v>0</v>
      </c>
      <c r="P498" s="41">
        <f t="shared" si="39"/>
        <v>0</v>
      </c>
      <c r="Q498" s="37">
        <f t="shared" si="38"/>
        <v>0</v>
      </c>
      <c r="T498" s="42"/>
      <c r="U498" s="42"/>
      <c r="V498" s="42"/>
      <c r="W498" s="48"/>
    </row>
    <row r="499" spans="12:23" hidden="1" x14ac:dyDescent="0.25">
      <c r="L499" s="31">
        <f t="shared" si="35"/>
        <v>0</v>
      </c>
      <c r="M499" s="31">
        <v>486</v>
      </c>
      <c r="N499" s="31">
        <f t="shared" si="36"/>
        <v>0</v>
      </c>
      <c r="O499" s="37">
        <f t="shared" si="37"/>
        <v>0</v>
      </c>
      <c r="P499" s="41">
        <f t="shared" si="39"/>
        <v>0</v>
      </c>
      <c r="Q499" s="37">
        <f t="shared" si="38"/>
        <v>0</v>
      </c>
      <c r="T499" s="42"/>
      <c r="U499" s="42"/>
      <c r="V499" s="42"/>
      <c r="W499" s="48"/>
    </row>
    <row r="500" spans="12:23" hidden="1" x14ac:dyDescent="0.25">
      <c r="L500" s="31">
        <f t="shared" si="35"/>
        <v>1</v>
      </c>
      <c r="M500" s="31">
        <v>487</v>
      </c>
      <c r="N500" s="31">
        <f t="shared" si="36"/>
        <v>0</v>
      </c>
      <c r="O500" s="37">
        <f t="shared" si="37"/>
        <v>0</v>
      </c>
      <c r="P500" s="41">
        <f t="shared" si="39"/>
        <v>0</v>
      </c>
      <c r="Q500" s="37">
        <f t="shared" si="38"/>
        <v>0</v>
      </c>
      <c r="T500" s="42"/>
      <c r="U500" s="42"/>
      <c r="V500" s="42"/>
      <c r="W500" s="48"/>
    </row>
    <row r="501" spans="12:23" hidden="1" x14ac:dyDescent="0.25">
      <c r="L501" s="31">
        <f t="shared" si="35"/>
        <v>2</v>
      </c>
      <c r="M501" s="31">
        <v>488</v>
      </c>
      <c r="N501" s="31">
        <f t="shared" si="36"/>
        <v>0</v>
      </c>
      <c r="O501" s="37">
        <f t="shared" si="37"/>
        <v>0</v>
      </c>
      <c r="P501" s="41">
        <f t="shared" si="39"/>
        <v>0</v>
      </c>
      <c r="Q501" s="37">
        <f t="shared" si="38"/>
        <v>0</v>
      </c>
      <c r="T501" s="42"/>
      <c r="U501" s="42"/>
      <c r="V501" s="42"/>
      <c r="W501" s="48"/>
    </row>
    <row r="502" spans="12:23" hidden="1" x14ac:dyDescent="0.25">
      <c r="L502" s="31">
        <f t="shared" si="35"/>
        <v>3</v>
      </c>
      <c r="M502" s="31">
        <v>489</v>
      </c>
      <c r="N502" s="31">
        <f t="shared" si="36"/>
        <v>0</v>
      </c>
      <c r="O502" s="37">
        <f t="shared" si="37"/>
        <v>0</v>
      </c>
      <c r="P502" s="41">
        <f t="shared" si="39"/>
        <v>0</v>
      </c>
      <c r="Q502" s="37">
        <f t="shared" si="38"/>
        <v>0</v>
      </c>
      <c r="T502" s="42"/>
      <c r="U502" s="42"/>
      <c r="V502" s="42"/>
      <c r="W502" s="48"/>
    </row>
    <row r="503" spans="12:23" hidden="1" x14ac:dyDescent="0.25">
      <c r="L503" s="31">
        <f t="shared" si="35"/>
        <v>4</v>
      </c>
      <c r="M503" s="31">
        <v>490</v>
      </c>
      <c r="N503" s="31">
        <f t="shared" si="36"/>
        <v>0</v>
      </c>
      <c r="O503" s="37">
        <f t="shared" si="37"/>
        <v>0</v>
      </c>
      <c r="P503" s="41">
        <f t="shared" si="39"/>
        <v>0</v>
      </c>
      <c r="Q503" s="37">
        <f t="shared" si="38"/>
        <v>0</v>
      </c>
      <c r="T503" s="42"/>
      <c r="U503" s="42"/>
      <c r="V503" s="42"/>
      <c r="W503" s="48"/>
    </row>
    <row r="504" spans="12:23" hidden="1" x14ac:dyDescent="0.25">
      <c r="L504" s="31">
        <f t="shared" si="35"/>
        <v>5</v>
      </c>
      <c r="M504" s="31">
        <v>491</v>
      </c>
      <c r="N504" s="31">
        <f t="shared" si="36"/>
        <v>0</v>
      </c>
      <c r="O504" s="37">
        <f t="shared" si="37"/>
        <v>0</v>
      </c>
      <c r="P504" s="41">
        <f t="shared" si="39"/>
        <v>0</v>
      </c>
      <c r="Q504" s="37">
        <f t="shared" si="38"/>
        <v>0</v>
      </c>
      <c r="T504" s="42"/>
      <c r="U504" s="42"/>
      <c r="V504" s="42"/>
      <c r="W504" s="48"/>
    </row>
    <row r="505" spans="12:23" hidden="1" x14ac:dyDescent="0.25">
      <c r="L505" s="31">
        <f t="shared" si="35"/>
        <v>0</v>
      </c>
      <c r="M505" s="31">
        <v>492</v>
      </c>
      <c r="N505" s="31">
        <f t="shared" si="36"/>
        <v>0</v>
      </c>
      <c r="O505" s="37">
        <f t="shared" si="37"/>
        <v>0</v>
      </c>
      <c r="P505" s="41">
        <f t="shared" si="39"/>
        <v>0</v>
      </c>
      <c r="Q505" s="37">
        <f t="shared" si="38"/>
        <v>0</v>
      </c>
      <c r="T505" s="42"/>
      <c r="U505" s="42"/>
      <c r="V505" s="42"/>
      <c r="W505" s="48"/>
    </row>
    <row r="506" spans="12:23" hidden="1" x14ac:dyDescent="0.25">
      <c r="L506" s="31">
        <f t="shared" si="35"/>
        <v>1</v>
      </c>
      <c r="M506" s="31">
        <v>493</v>
      </c>
      <c r="N506" s="31">
        <f t="shared" si="36"/>
        <v>0</v>
      </c>
      <c r="O506" s="37">
        <f t="shared" si="37"/>
        <v>0</v>
      </c>
      <c r="P506" s="41">
        <f t="shared" si="39"/>
        <v>0</v>
      </c>
      <c r="Q506" s="37">
        <f t="shared" si="38"/>
        <v>0</v>
      </c>
      <c r="T506" s="42"/>
      <c r="U506" s="42"/>
      <c r="V506" s="42"/>
      <c r="W506" s="48"/>
    </row>
    <row r="507" spans="12:23" hidden="1" x14ac:dyDescent="0.25">
      <c r="L507" s="31">
        <f t="shared" si="35"/>
        <v>2</v>
      </c>
      <c r="M507" s="31">
        <v>494</v>
      </c>
      <c r="N507" s="31">
        <f t="shared" si="36"/>
        <v>0</v>
      </c>
      <c r="O507" s="37">
        <f t="shared" si="37"/>
        <v>0</v>
      </c>
      <c r="P507" s="41">
        <f t="shared" si="39"/>
        <v>0</v>
      </c>
      <c r="Q507" s="37">
        <f t="shared" si="38"/>
        <v>0</v>
      </c>
      <c r="T507" s="42"/>
      <c r="U507" s="42"/>
      <c r="V507" s="42"/>
      <c r="W507" s="48"/>
    </row>
    <row r="508" spans="12:23" hidden="1" x14ac:dyDescent="0.25">
      <c r="L508" s="31">
        <f t="shared" si="35"/>
        <v>3</v>
      </c>
      <c r="M508" s="31">
        <v>495</v>
      </c>
      <c r="N508" s="31">
        <f t="shared" si="36"/>
        <v>0</v>
      </c>
      <c r="O508" s="37">
        <f t="shared" si="37"/>
        <v>0</v>
      </c>
      <c r="P508" s="41">
        <f t="shared" si="39"/>
        <v>0</v>
      </c>
      <c r="Q508" s="37">
        <f t="shared" si="38"/>
        <v>0</v>
      </c>
      <c r="T508" s="42"/>
      <c r="U508" s="42"/>
      <c r="V508" s="42"/>
      <c r="W508" s="48"/>
    </row>
    <row r="509" spans="12:23" hidden="1" x14ac:dyDescent="0.25">
      <c r="L509" s="31">
        <f t="shared" si="35"/>
        <v>4</v>
      </c>
      <c r="M509" s="31">
        <v>496</v>
      </c>
      <c r="N509" s="31">
        <f t="shared" si="36"/>
        <v>0</v>
      </c>
      <c r="O509" s="37">
        <f t="shared" si="37"/>
        <v>0</v>
      </c>
      <c r="P509" s="41">
        <f t="shared" si="39"/>
        <v>0</v>
      </c>
      <c r="Q509" s="37">
        <f t="shared" si="38"/>
        <v>0</v>
      </c>
      <c r="T509" s="42"/>
      <c r="U509" s="42"/>
      <c r="V509" s="42"/>
      <c r="W509" s="48"/>
    </row>
    <row r="510" spans="12:23" hidden="1" x14ac:dyDescent="0.25">
      <c r="L510" s="31">
        <f t="shared" si="35"/>
        <v>5</v>
      </c>
      <c r="M510" s="31">
        <v>497</v>
      </c>
      <c r="N510" s="31">
        <f t="shared" si="36"/>
        <v>0</v>
      </c>
      <c r="O510" s="37">
        <f t="shared" si="37"/>
        <v>0</v>
      </c>
      <c r="P510" s="41">
        <f t="shared" si="39"/>
        <v>0</v>
      </c>
      <c r="Q510" s="37">
        <f t="shared" si="38"/>
        <v>0</v>
      </c>
      <c r="T510" s="42"/>
      <c r="U510" s="42"/>
      <c r="V510" s="42"/>
      <c r="W510" s="48"/>
    </row>
    <row r="511" spans="12:23" hidden="1" x14ac:dyDescent="0.25">
      <c r="L511" s="31">
        <f t="shared" si="35"/>
        <v>0</v>
      </c>
      <c r="M511" s="31">
        <v>498</v>
      </c>
      <c r="N511" s="31">
        <f t="shared" si="36"/>
        <v>0</v>
      </c>
      <c r="O511" s="37">
        <f t="shared" si="37"/>
        <v>0</v>
      </c>
      <c r="P511" s="41">
        <f t="shared" si="39"/>
        <v>0</v>
      </c>
      <c r="Q511" s="37">
        <f t="shared" si="38"/>
        <v>0</v>
      </c>
      <c r="T511" s="42"/>
      <c r="U511" s="42"/>
      <c r="V511" s="42"/>
      <c r="W511" s="48"/>
    </row>
    <row r="512" spans="12:23" hidden="1" x14ac:dyDescent="0.25">
      <c r="L512" s="31">
        <f t="shared" si="35"/>
        <v>1</v>
      </c>
      <c r="M512" s="31">
        <v>499</v>
      </c>
      <c r="N512" s="31">
        <f t="shared" si="36"/>
        <v>0</v>
      </c>
      <c r="O512" s="37">
        <f t="shared" si="37"/>
        <v>0</v>
      </c>
      <c r="P512" s="41">
        <f t="shared" si="39"/>
        <v>0</v>
      </c>
      <c r="Q512" s="37">
        <f t="shared" si="38"/>
        <v>0</v>
      </c>
      <c r="T512" s="42"/>
      <c r="U512" s="42"/>
      <c r="V512" s="42"/>
      <c r="W512" s="48"/>
    </row>
    <row r="513" spans="12:23" hidden="1" x14ac:dyDescent="0.25">
      <c r="L513" s="31">
        <f t="shared" si="35"/>
        <v>2</v>
      </c>
      <c r="M513" s="31">
        <v>500</v>
      </c>
      <c r="N513" s="31">
        <f t="shared" si="36"/>
        <v>0</v>
      </c>
      <c r="O513" s="37">
        <f t="shared" si="37"/>
        <v>0</v>
      </c>
      <c r="P513" s="41">
        <f t="shared" si="39"/>
        <v>0</v>
      </c>
      <c r="Q513" s="37">
        <f t="shared" si="38"/>
        <v>0</v>
      </c>
      <c r="T513" s="42"/>
      <c r="U513" s="42"/>
      <c r="V513" s="42"/>
      <c r="W513" s="48"/>
    </row>
    <row r="514" spans="12:23" hidden="1" x14ac:dyDescent="0.25">
      <c r="L514" s="31">
        <f t="shared" si="35"/>
        <v>3</v>
      </c>
      <c r="M514" s="31">
        <v>501</v>
      </c>
      <c r="N514" s="31">
        <f t="shared" si="36"/>
        <v>0</v>
      </c>
      <c r="O514" s="37">
        <f t="shared" si="37"/>
        <v>0</v>
      </c>
      <c r="P514" s="41">
        <f t="shared" si="39"/>
        <v>0</v>
      </c>
      <c r="Q514" s="37">
        <f t="shared" si="38"/>
        <v>0</v>
      </c>
      <c r="T514" s="42"/>
      <c r="U514" s="42"/>
      <c r="V514" s="42"/>
      <c r="W514" s="48"/>
    </row>
    <row r="515" spans="12:23" hidden="1" x14ac:dyDescent="0.25">
      <c r="L515" s="31">
        <f t="shared" si="35"/>
        <v>4</v>
      </c>
      <c r="M515" s="31">
        <v>502</v>
      </c>
      <c r="N515" s="31">
        <f t="shared" si="36"/>
        <v>0</v>
      </c>
      <c r="O515" s="37">
        <f t="shared" si="37"/>
        <v>0</v>
      </c>
      <c r="P515" s="41">
        <f t="shared" si="39"/>
        <v>0</v>
      </c>
      <c r="Q515" s="37">
        <f t="shared" si="38"/>
        <v>0</v>
      </c>
      <c r="T515" s="42"/>
      <c r="U515" s="42"/>
      <c r="V515" s="42"/>
      <c r="W515" s="48"/>
    </row>
    <row r="516" spans="12:23" hidden="1" x14ac:dyDescent="0.25">
      <c r="L516" s="31">
        <f t="shared" si="35"/>
        <v>5</v>
      </c>
      <c r="M516" s="31">
        <v>503</v>
      </c>
      <c r="N516" s="31">
        <f t="shared" si="36"/>
        <v>0</v>
      </c>
      <c r="O516" s="37">
        <f t="shared" si="37"/>
        <v>0</v>
      </c>
      <c r="P516" s="41">
        <f t="shared" si="39"/>
        <v>0</v>
      </c>
      <c r="Q516" s="37">
        <f t="shared" si="38"/>
        <v>0</v>
      </c>
      <c r="T516" s="42"/>
      <c r="U516" s="42"/>
      <c r="V516" s="42"/>
      <c r="W516" s="48"/>
    </row>
    <row r="517" spans="12:23" hidden="1" x14ac:dyDescent="0.25">
      <c r="L517" s="31">
        <f t="shared" si="35"/>
        <v>0</v>
      </c>
      <c r="M517" s="31">
        <v>504</v>
      </c>
      <c r="N517" s="31">
        <f t="shared" si="36"/>
        <v>0</v>
      </c>
      <c r="O517" s="37">
        <f t="shared" si="37"/>
        <v>0</v>
      </c>
      <c r="P517" s="41">
        <f t="shared" si="39"/>
        <v>0</v>
      </c>
      <c r="Q517" s="37">
        <f t="shared" si="38"/>
        <v>0</v>
      </c>
      <c r="T517" s="42"/>
      <c r="U517" s="42"/>
      <c r="V517" s="42"/>
      <c r="W517" s="48"/>
    </row>
    <row r="518" spans="12:23" hidden="1" x14ac:dyDescent="0.25">
      <c r="L518" s="31">
        <f t="shared" si="35"/>
        <v>1</v>
      </c>
      <c r="M518" s="31">
        <v>505</v>
      </c>
      <c r="N518" s="31">
        <f t="shared" si="36"/>
        <v>0</v>
      </c>
      <c r="O518" s="37">
        <f t="shared" si="37"/>
        <v>0</v>
      </c>
      <c r="P518" s="41">
        <f t="shared" si="39"/>
        <v>0</v>
      </c>
      <c r="Q518" s="37">
        <f t="shared" si="38"/>
        <v>0</v>
      </c>
      <c r="T518" s="42"/>
      <c r="U518" s="42"/>
      <c r="V518" s="42"/>
      <c r="W518" s="48"/>
    </row>
    <row r="519" spans="12:23" hidden="1" x14ac:dyDescent="0.25">
      <c r="L519" s="31">
        <f t="shared" si="35"/>
        <v>2</v>
      </c>
      <c r="M519" s="31">
        <v>506</v>
      </c>
      <c r="N519" s="31">
        <f t="shared" si="36"/>
        <v>0</v>
      </c>
      <c r="O519" s="37">
        <f t="shared" si="37"/>
        <v>0</v>
      </c>
      <c r="P519" s="41">
        <f t="shared" si="39"/>
        <v>0</v>
      </c>
      <c r="Q519" s="37">
        <f t="shared" si="38"/>
        <v>0</v>
      </c>
      <c r="T519" s="42"/>
      <c r="U519" s="42"/>
      <c r="V519" s="42"/>
      <c r="W519" s="48"/>
    </row>
    <row r="520" spans="12:23" hidden="1" x14ac:dyDescent="0.25">
      <c r="L520" s="31">
        <f t="shared" si="35"/>
        <v>3</v>
      </c>
      <c r="M520" s="31">
        <v>507</v>
      </c>
      <c r="N520" s="31">
        <f t="shared" si="36"/>
        <v>0</v>
      </c>
      <c r="O520" s="37">
        <f t="shared" si="37"/>
        <v>0</v>
      </c>
      <c r="P520" s="41">
        <f t="shared" si="39"/>
        <v>0</v>
      </c>
      <c r="Q520" s="37">
        <f t="shared" si="38"/>
        <v>0</v>
      </c>
      <c r="T520" s="42"/>
      <c r="U520" s="42"/>
      <c r="V520" s="42"/>
      <c r="W520" s="48"/>
    </row>
    <row r="521" spans="12:23" hidden="1" x14ac:dyDescent="0.25">
      <c r="L521" s="31">
        <f t="shared" si="35"/>
        <v>4</v>
      </c>
      <c r="M521" s="31">
        <v>508</v>
      </c>
      <c r="N521" s="31">
        <f t="shared" si="36"/>
        <v>0</v>
      </c>
      <c r="O521" s="37">
        <f t="shared" si="37"/>
        <v>0</v>
      </c>
      <c r="P521" s="41">
        <f t="shared" si="39"/>
        <v>0</v>
      </c>
      <c r="Q521" s="37">
        <f t="shared" si="38"/>
        <v>0</v>
      </c>
      <c r="T521" s="42"/>
      <c r="U521" s="42"/>
      <c r="V521" s="42"/>
      <c r="W521" s="48"/>
    </row>
    <row r="522" spans="12:23" hidden="1" x14ac:dyDescent="0.25">
      <c r="L522" s="31">
        <f t="shared" si="35"/>
        <v>5</v>
      </c>
      <c r="M522" s="31">
        <v>509</v>
      </c>
      <c r="N522" s="31">
        <f t="shared" si="36"/>
        <v>0</v>
      </c>
      <c r="O522" s="37">
        <f t="shared" si="37"/>
        <v>0</v>
      </c>
      <c r="P522" s="41">
        <f t="shared" si="39"/>
        <v>0</v>
      </c>
      <c r="Q522" s="37">
        <f t="shared" si="38"/>
        <v>0</v>
      </c>
      <c r="T522" s="42"/>
      <c r="U522" s="42"/>
      <c r="V522" s="42"/>
      <c r="W522" s="48"/>
    </row>
    <row r="523" spans="12:23" hidden="1" x14ac:dyDescent="0.25">
      <c r="L523" s="31">
        <f t="shared" si="35"/>
        <v>0</v>
      </c>
      <c r="M523" s="31">
        <v>510</v>
      </c>
      <c r="N523" s="31">
        <f t="shared" si="36"/>
        <v>0</v>
      </c>
      <c r="O523" s="37">
        <f t="shared" si="37"/>
        <v>0</v>
      </c>
      <c r="P523" s="41">
        <f t="shared" si="39"/>
        <v>0</v>
      </c>
      <c r="Q523" s="37">
        <f t="shared" si="38"/>
        <v>0</v>
      </c>
      <c r="T523" s="42"/>
      <c r="U523" s="42"/>
      <c r="V523" s="42"/>
      <c r="W523" s="48"/>
    </row>
    <row r="524" spans="12:23" hidden="1" x14ac:dyDescent="0.25">
      <c r="L524" s="31">
        <f t="shared" si="35"/>
        <v>1</v>
      </c>
      <c r="M524" s="31">
        <v>511</v>
      </c>
      <c r="N524" s="31">
        <f t="shared" si="36"/>
        <v>0</v>
      </c>
      <c r="O524" s="37">
        <f t="shared" si="37"/>
        <v>0</v>
      </c>
      <c r="P524" s="41">
        <f t="shared" si="39"/>
        <v>0</v>
      </c>
      <c r="Q524" s="37">
        <f t="shared" si="38"/>
        <v>0</v>
      </c>
      <c r="T524" s="42"/>
      <c r="U524" s="42"/>
      <c r="V524" s="42"/>
      <c r="W524" s="48"/>
    </row>
    <row r="525" spans="12:23" hidden="1" x14ac:dyDescent="0.25">
      <c r="L525" s="31">
        <f t="shared" ref="L525:L588" si="40">MOD(M525,12/$C$9)</f>
        <v>2</v>
      </c>
      <c r="M525" s="31">
        <v>512</v>
      </c>
      <c r="N525" s="31">
        <f t="shared" ref="N525:N588" si="41">IF(M525&lt;$O$8,IF(L525=0,$C$8,0),0)</f>
        <v>0</v>
      </c>
      <c r="O525" s="37">
        <f t="shared" ref="O525:O588" si="42">IF(M525&lt;=$O$8,FV(SRate,($O$8-M525),0,-N525,1),0)</f>
        <v>0</v>
      </c>
      <c r="P525" s="41">
        <f t="shared" si="39"/>
        <v>0</v>
      </c>
      <c r="Q525" s="37">
        <f t="shared" ref="Q525:Q588" si="43">(O525-N525)*TaxRate</f>
        <v>0</v>
      </c>
      <c r="T525" s="42"/>
      <c r="U525" s="42"/>
      <c r="V525" s="42"/>
      <c r="W525" s="48"/>
    </row>
    <row r="526" spans="12:23" hidden="1" x14ac:dyDescent="0.25">
      <c r="L526" s="31">
        <f t="shared" si="40"/>
        <v>3</v>
      </c>
      <c r="M526" s="31">
        <v>513</v>
      </c>
      <c r="N526" s="31">
        <f t="shared" si="41"/>
        <v>0</v>
      </c>
      <c r="O526" s="37">
        <f t="shared" si="42"/>
        <v>0</v>
      </c>
      <c r="P526" s="41">
        <f t="shared" ref="P526:P589" si="44">IF(M526&lt;=$O$8,FV(SRate,1,0,-P525,1),0)+N526</f>
        <v>0</v>
      </c>
      <c r="Q526" s="37">
        <f t="shared" si="43"/>
        <v>0</v>
      </c>
      <c r="T526" s="42"/>
      <c r="U526" s="42"/>
      <c r="V526" s="42"/>
      <c r="W526" s="48"/>
    </row>
    <row r="527" spans="12:23" hidden="1" x14ac:dyDescent="0.25">
      <c r="L527" s="31">
        <f t="shared" si="40"/>
        <v>4</v>
      </c>
      <c r="M527" s="31">
        <v>514</v>
      </c>
      <c r="N527" s="31">
        <f t="shared" si="41"/>
        <v>0</v>
      </c>
      <c r="O527" s="37">
        <f t="shared" si="42"/>
        <v>0</v>
      </c>
      <c r="P527" s="41">
        <f t="shared" si="44"/>
        <v>0</v>
      </c>
      <c r="Q527" s="37">
        <f t="shared" si="43"/>
        <v>0</v>
      </c>
      <c r="T527" s="42"/>
      <c r="U527" s="42"/>
      <c r="V527" s="42"/>
      <c r="W527" s="48"/>
    </row>
    <row r="528" spans="12:23" hidden="1" x14ac:dyDescent="0.25">
      <c r="L528" s="31">
        <f t="shared" si="40"/>
        <v>5</v>
      </c>
      <c r="M528" s="31">
        <v>515</v>
      </c>
      <c r="N528" s="31">
        <f t="shared" si="41"/>
        <v>0</v>
      </c>
      <c r="O528" s="37">
        <f t="shared" si="42"/>
        <v>0</v>
      </c>
      <c r="P528" s="41">
        <f t="shared" si="44"/>
        <v>0</v>
      </c>
      <c r="Q528" s="37">
        <f t="shared" si="43"/>
        <v>0</v>
      </c>
      <c r="T528" s="42"/>
      <c r="U528" s="42"/>
      <c r="V528" s="42"/>
      <c r="W528" s="48"/>
    </row>
    <row r="529" spans="12:23" hidden="1" x14ac:dyDescent="0.25">
      <c r="L529" s="31">
        <f t="shared" si="40"/>
        <v>0</v>
      </c>
      <c r="M529" s="31">
        <v>516</v>
      </c>
      <c r="N529" s="31">
        <f t="shared" si="41"/>
        <v>0</v>
      </c>
      <c r="O529" s="37">
        <f t="shared" si="42"/>
        <v>0</v>
      </c>
      <c r="P529" s="41">
        <f t="shared" si="44"/>
        <v>0</v>
      </c>
      <c r="Q529" s="37">
        <f t="shared" si="43"/>
        <v>0</v>
      </c>
      <c r="T529" s="42"/>
      <c r="U529" s="42"/>
      <c r="V529" s="42"/>
      <c r="W529" s="48"/>
    </row>
    <row r="530" spans="12:23" hidden="1" x14ac:dyDescent="0.25">
      <c r="L530" s="31">
        <f t="shared" si="40"/>
        <v>1</v>
      </c>
      <c r="M530" s="31">
        <v>517</v>
      </c>
      <c r="N530" s="31">
        <f t="shared" si="41"/>
        <v>0</v>
      </c>
      <c r="O530" s="37">
        <f t="shared" si="42"/>
        <v>0</v>
      </c>
      <c r="P530" s="41">
        <f t="shared" si="44"/>
        <v>0</v>
      </c>
      <c r="Q530" s="37">
        <f t="shared" si="43"/>
        <v>0</v>
      </c>
      <c r="T530" s="42"/>
      <c r="U530" s="42"/>
      <c r="V530" s="42"/>
      <c r="W530" s="48"/>
    </row>
    <row r="531" spans="12:23" hidden="1" x14ac:dyDescent="0.25">
      <c r="L531" s="31">
        <f t="shared" si="40"/>
        <v>2</v>
      </c>
      <c r="M531" s="31">
        <v>518</v>
      </c>
      <c r="N531" s="31">
        <f t="shared" si="41"/>
        <v>0</v>
      </c>
      <c r="O531" s="37">
        <f t="shared" si="42"/>
        <v>0</v>
      </c>
      <c r="P531" s="41">
        <f t="shared" si="44"/>
        <v>0</v>
      </c>
      <c r="Q531" s="37">
        <f t="shared" si="43"/>
        <v>0</v>
      </c>
      <c r="T531" s="42"/>
      <c r="U531" s="42"/>
      <c r="V531" s="42"/>
      <c r="W531" s="48"/>
    </row>
    <row r="532" spans="12:23" hidden="1" x14ac:dyDescent="0.25">
      <c r="L532" s="31">
        <f t="shared" si="40"/>
        <v>3</v>
      </c>
      <c r="M532" s="31">
        <v>519</v>
      </c>
      <c r="N532" s="31">
        <f t="shared" si="41"/>
        <v>0</v>
      </c>
      <c r="O532" s="37">
        <f t="shared" si="42"/>
        <v>0</v>
      </c>
      <c r="P532" s="41">
        <f t="shared" si="44"/>
        <v>0</v>
      </c>
      <c r="Q532" s="37">
        <f t="shared" si="43"/>
        <v>0</v>
      </c>
      <c r="T532" s="42"/>
      <c r="U532" s="42"/>
      <c r="V532" s="42"/>
      <c r="W532" s="48"/>
    </row>
    <row r="533" spans="12:23" hidden="1" x14ac:dyDescent="0.25">
      <c r="L533" s="31">
        <f t="shared" si="40"/>
        <v>4</v>
      </c>
      <c r="M533" s="31">
        <v>520</v>
      </c>
      <c r="N533" s="31">
        <f t="shared" si="41"/>
        <v>0</v>
      </c>
      <c r="O533" s="37">
        <f t="shared" si="42"/>
        <v>0</v>
      </c>
      <c r="P533" s="41">
        <f t="shared" si="44"/>
        <v>0</v>
      </c>
      <c r="Q533" s="37">
        <f t="shared" si="43"/>
        <v>0</v>
      </c>
      <c r="T533" s="42"/>
      <c r="U533" s="42"/>
      <c r="V533" s="42"/>
      <c r="W533" s="48"/>
    </row>
    <row r="534" spans="12:23" hidden="1" x14ac:dyDescent="0.25">
      <c r="L534" s="31">
        <f t="shared" si="40"/>
        <v>5</v>
      </c>
      <c r="M534" s="31">
        <v>521</v>
      </c>
      <c r="N534" s="31">
        <f t="shared" si="41"/>
        <v>0</v>
      </c>
      <c r="O534" s="37">
        <f t="shared" si="42"/>
        <v>0</v>
      </c>
      <c r="P534" s="41">
        <f t="shared" si="44"/>
        <v>0</v>
      </c>
      <c r="Q534" s="37">
        <f t="shared" si="43"/>
        <v>0</v>
      </c>
      <c r="T534" s="42"/>
      <c r="U534" s="42"/>
      <c r="V534" s="42"/>
      <c r="W534" s="48"/>
    </row>
    <row r="535" spans="12:23" hidden="1" x14ac:dyDescent="0.25">
      <c r="L535" s="31">
        <f t="shared" si="40"/>
        <v>0</v>
      </c>
      <c r="M535" s="31">
        <v>522</v>
      </c>
      <c r="N535" s="31">
        <f t="shared" si="41"/>
        <v>0</v>
      </c>
      <c r="O535" s="37">
        <f t="shared" si="42"/>
        <v>0</v>
      </c>
      <c r="P535" s="41">
        <f t="shared" si="44"/>
        <v>0</v>
      </c>
      <c r="Q535" s="37">
        <f t="shared" si="43"/>
        <v>0</v>
      </c>
      <c r="T535" s="42"/>
      <c r="U535" s="42"/>
      <c r="V535" s="42"/>
      <c r="W535" s="48"/>
    </row>
    <row r="536" spans="12:23" hidden="1" x14ac:dyDescent="0.25">
      <c r="L536" s="31">
        <f t="shared" si="40"/>
        <v>1</v>
      </c>
      <c r="M536" s="31">
        <v>523</v>
      </c>
      <c r="N536" s="31">
        <f t="shared" si="41"/>
        <v>0</v>
      </c>
      <c r="O536" s="37">
        <f t="shared" si="42"/>
        <v>0</v>
      </c>
      <c r="P536" s="41">
        <f t="shared" si="44"/>
        <v>0</v>
      </c>
      <c r="Q536" s="37">
        <f t="shared" si="43"/>
        <v>0</v>
      </c>
      <c r="T536" s="42"/>
      <c r="U536" s="42"/>
      <c r="V536" s="42"/>
      <c r="W536" s="48"/>
    </row>
    <row r="537" spans="12:23" hidden="1" x14ac:dyDescent="0.25">
      <c r="L537" s="31">
        <f t="shared" si="40"/>
        <v>2</v>
      </c>
      <c r="M537" s="31">
        <v>524</v>
      </c>
      <c r="N537" s="31">
        <f t="shared" si="41"/>
        <v>0</v>
      </c>
      <c r="O537" s="37">
        <f t="shared" si="42"/>
        <v>0</v>
      </c>
      <c r="P537" s="41">
        <f t="shared" si="44"/>
        <v>0</v>
      </c>
      <c r="Q537" s="37">
        <f t="shared" si="43"/>
        <v>0</v>
      </c>
      <c r="T537" s="42"/>
      <c r="U537" s="42"/>
      <c r="V537" s="42"/>
      <c r="W537" s="48"/>
    </row>
    <row r="538" spans="12:23" hidden="1" x14ac:dyDescent="0.25">
      <c r="L538" s="31">
        <f t="shared" si="40"/>
        <v>3</v>
      </c>
      <c r="M538" s="31">
        <v>525</v>
      </c>
      <c r="N538" s="31">
        <f t="shared" si="41"/>
        <v>0</v>
      </c>
      <c r="O538" s="37">
        <f t="shared" si="42"/>
        <v>0</v>
      </c>
      <c r="P538" s="41">
        <f t="shared" si="44"/>
        <v>0</v>
      </c>
      <c r="Q538" s="37">
        <f t="shared" si="43"/>
        <v>0</v>
      </c>
      <c r="T538" s="42"/>
      <c r="U538" s="42"/>
      <c r="V538" s="42"/>
      <c r="W538" s="48"/>
    </row>
    <row r="539" spans="12:23" hidden="1" x14ac:dyDescent="0.25">
      <c r="L539" s="31">
        <f t="shared" si="40"/>
        <v>4</v>
      </c>
      <c r="M539" s="31">
        <v>526</v>
      </c>
      <c r="N539" s="31">
        <f t="shared" si="41"/>
        <v>0</v>
      </c>
      <c r="O539" s="37">
        <f t="shared" si="42"/>
        <v>0</v>
      </c>
      <c r="P539" s="41">
        <f t="shared" si="44"/>
        <v>0</v>
      </c>
      <c r="Q539" s="37">
        <f t="shared" si="43"/>
        <v>0</v>
      </c>
      <c r="T539" s="42"/>
      <c r="U539" s="42"/>
      <c r="V539" s="42"/>
      <c r="W539" s="48"/>
    </row>
    <row r="540" spans="12:23" hidden="1" x14ac:dyDescent="0.25">
      <c r="L540" s="31">
        <f t="shared" si="40"/>
        <v>5</v>
      </c>
      <c r="M540" s="31">
        <v>527</v>
      </c>
      <c r="N540" s="31">
        <f t="shared" si="41"/>
        <v>0</v>
      </c>
      <c r="O540" s="37">
        <f t="shared" si="42"/>
        <v>0</v>
      </c>
      <c r="P540" s="41">
        <f t="shared" si="44"/>
        <v>0</v>
      </c>
      <c r="Q540" s="37">
        <f t="shared" si="43"/>
        <v>0</v>
      </c>
      <c r="T540" s="42"/>
      <c r="U540" s="42"/>
      <c r="V540" s="42"/>
      <c r="W540" s="48"/>
    </row>
    <row r="541" spans="12:23" hidden="1" x14ac:dyDescent="0.25">
      <c r="L541" s="31">
        <f t="shared" si="40"/>
        <v>0</v>
      </c>
      <c r="M541" s="31">
        <v>528</v>
      </c>
      <c r="N541" s="31">
        <f t="shared" si="41"/>
        <v>0</v>
      </c>
      <c r="O541" s="37">
        <f t="shared" si="42"/>
        <v>0</v>
      </c>
      <c r="P541" s="41">
        <f t="shared" si="44"/>
        <v>0</v>
      </c>
      <c r="Q541" s="37">
        <f t="shared" si="43"/>
        <v>0</v>
      </c>
      <c r="T541" s="42"/>
      <c r="U541" s="42"/>
      <c r="V541" s="42"/>
      <c r="W541" s="48"/>
    </row>
    <row r="542" spans="12:23" hidden="1" x14ac:dyDescent="0.25">
      <c r="L542" s="31">
        <f t="shared" si="40"/>
        <v>1</v>
      </c>
      <c r="M542" s="31">
        <v>529</v>
      </c>
      <c r="N542" s="31">
        <f t="shared" si="41"/>
        <v>0</v>
      </c>
      <c r="O542" s="37">
        <f t="shared" si="42"/>
        <v>0</v>
      </c>
      <c r="P542" s="41">
        <f t="shared" si="44"/>
        <v>0</v>
      </c>
      <c r="Q542" s="37">
        <f t="shared" si="43"/>
        <v>0</v>
      </c>
      <c r="T542" s="42"/>
      <c r="U542" s="42"/>
      <c r="V542" s="42"/>
      <c r="W542" s="48"/>
    </row>
    <row r="543" spans="12:23" hidden="1" x14ac:dyDescent="0.25">
      <c r="L543" s="31">
        <f t="shared" si="40"/>
        <v>2</v>
      </c>
      <c r="M543" s="31">
        <v>530</v>
      </c>
      <c r="N543" s="31">
        <f t="shared" si="41"/>
        <v>0</v>
      </c>
      <c r="O543" s="37">
        <f t="shared" si="42"/>
        <v>0</v>
      </c>
      <c r="P543" s="41">
        <f t="shared" si="44"/>
        <v>0</v>
      </c>
      <c r="Q543" s="37">
        <f t="shared" si="43"/>
        <v>0</v>
      </c>
      <c r="T543" s="42"/>
      <c r="U543" s="42"/>
      <c r="V543" s="42"/>
      <c r="W543" s="48"/>
    </row>
    <row r="544" spans="12:23" hidden="1" x14ac:dyDescent="0.25">
      <c r="L544" s="31">
        <f t="shared" si="40"/>
        <v>3</v>
      </c>
      <c r="M544" s="31">
        <v>531</v>
      </c>
      <c r="N544" s="31">
        <f t="shared" si="41"/>
        <v>0</v>
      </c>
      <c r="O544" s="37">
        <f t="shared" si="42"/>
        <v>0</v>
      </c>
      <c r="P544" s="41">
        <f t="shared" si="44"/>
        <v>0</v>
      </c>
      <c r="Q544" s="37">
        <f t="shared" si="43"/>
        <v>0</v>
      </c>
      <c r="T544" s="42"/>
      <c r="U544" s="42"/>
      <c r="V544" s="42"/>
      <c r="W544" s="48"/>
    </row>
    <row r="545" spans="12:23" hidden="1" x14ac:dyDescent="0.25">
      <c r="L545" s="31">
        <f t="shared" si="40"/>
        <v>4</v>
      </c>
      <c r="M545" s="31">
        <v>532</v>
      </c>
      <c r="N545" s="31">
        <f t="shared" si="41"/>
        <v>0</v>
      </c>
      <c r="O545" s="37">
        <f t="shared" si="42"/>
        <v>0</v>
      </c>
      <c r="P545" s="41">
        <f t="shared" si="44"/>
        <v>0</v>
      </c>
      <c r="Q545" s="37">
        <f t="shared" si="43"/>
        <v>0</v>
      </c>
      <c r="T545" s="42"/>
      <c r="U545" s="42"/>
      <c r="V545" s="42"/>
      <c r="W545" s="48"/>
    </row>
    <row r="546" spans="12:23" hidden="1" x14ac:dyDescent="0.25">
      <c r="L546" s="31">
        <f t="shared" si="40"/>
        <v>5</v>
      </c>
      <c r="M546" s="31">
        <v>533</v>
      </c>
      <c r="N546" s="31">
        <f t="shared" si="41"/>
        <v>0</v>
      </c>
      <c r="O546" s="37">
        <f t="shared" si="42"/>
        <v>0</v>
      </c>
      <c r="P546" s="41">
        <f t="shared" si="44"/>
        <v>0</v>
      </c>
      <c r="Q546" s="37">
        <f t="shared" si="43"/>
        <v>0</v>
      </c>
      <c r="T546" s="42"/>
      <c r="U546" s="42"/>
      <c r="V546" s="42"/>
      <c r="W546" s="48"/>
    </row>
    <row r="547" spans="12:23" hidden="1" x14ac:dyDescent="0.25">
      <c r="L547" s="31">
        <f t="shared" si="40"/>
        <v>0</v>
      </c>
      <c r="M547" s="31">
        <v>534</v>
      </c>
      <c r="N547" s="31">
        <f t="shared" si="41"/>
        <v>0</v>
      </c>
      <c r="O547" s="37">
        <f t="shared" si="42"/>
        <v>0</v>
      </c>
      <c r="P547" s="41">
        <f t="shared" si="44"/>
        <v>0</v>
      </c>
      <c r="Q547" s="37">
        <f t="shared" si="43"/>
        <v>0</v>
      </c>
      <c r="T547" s="42"/>
      <c r="U547" s="42"/>
      <c r="V547" s="42"/>
      <c r="W547" s="48"/>
    </row>
    <row r="548" spans="12:23" hidden="1" x14ac:dyDescent="0.25">
      <c r="L548" s="31">
        <f t="shared" si="40"/>
        <v>1</v>
      </c>
      <c r="M548" s="31">
        <v>535</v>
      </c>
      <c r="N548" s="31">
        <f t="shared" si="41"/>
        <v>0</v>
      </c>
      <c r="O548" s="37">
        <f t="shared" si="42"/>
        <v>0</v>
      </c>
      <c r="P548" s="41">
        <f t="shared" si="44"/>
        <v>0</v>
      </c>
      <c r="Q548" s="37">
        <f t="shared" si="43"/>
        <v>0</v>
      </c>
      <c r="T548" s="42"/>
      <c r="U548" s="42"/>
      <c r="V548" s="42"/>
      <c r="W548" s="48"/>
    </row>
    <row r="549" spans="12:23" hidden="1" x14ac:dyDescent="0.25">
      <c r="L549" s="31">
        <f t="shared" si="40"/>
        <v>2</v>
      </c>
      <c r="M549" s="31">
        <v>536</v>
      </c>
      <c r="N549" s="31">
        <f t="shared" si="41"/>
        <v>0</v>
      </c>
      <c r="O549" s="37">
        <f t="shared" si="42"/>
        <v>0</v>
      </c>
      <c r="P549" s="41">
        <f t="shared" si="44"/>
        <v>0</v>
      </c>
      <c r="Q549" s="37">
        <f t="shared" si="43"/>
        <v>0</v>
      </c>
      <c r="T549" s="42"/>
      <c r="U549" s="42"/>
      <c r="V549" s="42"/>
      <c r="W549" s="48"/>
    </row>
    <row r="550" spans="12:23" hidden="1" x14ac:dyDescent="0.25">
      <c r="L550" s="31">
        <f t="shared" si="40"/>
        <v>3</v>
      </c>
      <c r="M550" s="31">
        <v>537</v>
      </c>
      <c r="N550" s="31">
        <f t="shared" si="41"/>
        <v>0</v>
      </c>
      <c r="O550" s="37">
        <f t="shared" si="42"/>
        <v>0</v>
      </c>
      <c r="P550" s="41">
        <f t="shared" si="44"/>
        <v>0</v>
      </c>
      <c r="Q550" s="37">
        <f t="shared" si="43"/>
        <v>0</v>
      </c>
      <c r="T550" s="42"/>
      <c r="U550" s="42"/>
      <c r="V550" s="42"/>
      <c r="W550" s="48"/>
    </row>
    <row r="551" spans="12:23" hidden="1" x14ac:dyDescent="0.25">
      <c r="L551" s="31">
        <f t="shared" si="40"/>
        <v>4</v>
      </c>
      <c r="M551" s="31">
        <v>538</v>
      </c>
      <c r="N551" s="31">
        <f t="shared" si="41"/>
        <v>0</v>
      </c>
      <c r="O551" s="37">
        <f t="shared" si="42"/>
        <v>0</v>
      </c>
      <c r="P551" s="41">
        <f t="shared" si="44"/>
        <v>0</v>
      </c>
      <c r="Q551" s="37">
        <f t="shared" si="43"/>
        <v>0</v>
      </c>
      <c r="T551" s="42"/>
      <c r="U551" s="42"/>
      <c r="V551" s="42"/>
      <c r="W551" s="48"/>
    </row>
    <row r="552" spans="12:23" hidden="1" x14ac:dyDescent="0.25">
      <c r="L552" s="31">
        <f t="shared" si="40"/>
        <v>5</v>
      </c>
      <c r="M552" s="31">
        <v>539</v>
      </c>
      <c r="N552" s="31">
        <f t="shared" si="41"/>
        <v>0</v>
      </c>
      <c r="O552" s="37">
        <f t="shared" si="42"/>
        <v>0</v>
      </c>
      <c r="P552" s="41">
        <f t="shared" si="44"/>
        <v>0</v>
      </c>
      <c r="Q552" s="37">
        <f t="shared" si="43"/>
        <v>0</v>
      </c>
      <c r="T552" s="42"/>
      <c r="U552" s="42"/>
      <c r="V552" s="42"/>
      <c r="W552" s="48"/>
    </row>
    <row r="553" spans="12:23" hidden="1" x14ac:dyDescent="0.25">
      <c r="L553" s="31">
        <f t="shared" si="40"/>
        <v>0</v>
      </c>
      <c r="M553" s="31">
        <v>540</v>
      </c>
      <c r="N553" s="31">
        <f t="shared" si="41"/>
        <v>0</v>
      </c>
      <c r="O553" s="37">
        <f t="shared" si="42"/>
        <v>0</v>
      </c>
      <c r="P553" s="41">
        <f t="shared" si="44"/>
        <v>0</v>
      </c>
      <c r="Q553" s="37">
        <f t="shared" si="43"/>
        <v>0</v>
      </c>
      <c r="T553" s="42"/>
      <c r="U553" s="42"/>
      <c r="V553" s="42"/>
      <c r="W553" s="48"/>
    </row>
    <row r="554" spans="12:23" hidden="1" x14ac:dyDescent="0.25">
      <c r="L554" s="31">
        <f t="shared" si="40"/>
        <v>1</v>
      </c>
      <c r="M554" s="31">
        <v>541</v>
      </c>
      <c r="N554" s="31">
        <f t="shared" si="41"/>
        <v>0</v>
      </c>
      <c r="O554" s="37">
        <f t="shared" si="42"/>
        <v>0</v>
      </c>
      <c r="P554" s="41">
        <f t="shared" si="44"/>
        <v>0</v>
      </c>
      <c r="Q554" s="37">
        <f t="shared" si="43"/>
        <v>0</v>
      </c>
      <c r="T554" s="42"/>
      <c r="U554" s="42"/>
      <c r="V554" s="42"/>
      <c r="W554" s="48"/>
    </row>
    <row r="555" spans="12:23" hidden="1" x14ac:dyDescent="0.25">
      <c r="L555" s="31">
        <f t="shared" si="40"/>
        <v>2</v>
      </c>
      <c r="M555" s="31">
        <v>542</v>
      </c>
      <c r="N555" s="31">
        <f t="shared" si="41"/>
        <v>0</v>
      </c>
      <c r="O555" s="37">
        <f t="shared" si="42"/>
        <v>0</v>
      </c>
      <c r="P555" s="41">
        <f t="shared" si="44"/>
        <v>0</v>
      </c>
      <c r="Q555" s="37">
        <f t="shared" si="43"/>
        <v>0</v>
      </c>
      <c r="T555" s="42"/>
      <c r="U555" s="42"/>
      <c r="V555" s="42"/>
      <c r="W555" s="48"/>
    </row>
    <row r="556" spans="12:23" hidden="1" x14ac:dyDescent="0.25">
      <c r="L556" s="31">
        <f t="shared" si="40"/>
        <v>3</v>
      </c>
      <c r="M556" s="31">
        <v>543</v>
      </c>
      <c r="N556" s="31">
        <f t="shared" si="41"/>
        <v>0</v>
      </c>
      <c r="O556" s="37">
        <f t="shared" si="42"/>
        <v>0</v>
      </c>
      <c r="P556" s="41">
        <f t="shared" si="44"/>
        <v>0</v>
      </c>
      <c r="Q556" s="37">
        <f t="shared" si="43"/>
        <v>0</v>
      </c>
      <c r="T556" s="42"/>
      <c r="U556" s="42"/>
      <c r="V556" s="42"/>
      <c r="W556" s="48"/>
    </row>
    <row r="557" spans="12:23" hidden="1" x14ac:dyDescent="0.25">
      <c r="L557" s="31">
        <f t="shared" si="40"/>
        <v>4</v>
      </c>
      <c r="M557" s="31">
        <v>544</v>
      </c>
      <c r="N557" s="31">
        <f t="shared" si="41"/>
        <v>0</v>
      </c>
      <c r="O557" s="37">
        <f t="shared" si="42"/>
        <v>0</v>
      </c>
      <c r="P557" s="41">
        <f t="shared" si="44"/>
        <v>0</v>
      </c>
      <c r="Q557" s="37">
        <f t="shared" si="43"/>
        <v>0</v>
      </c>
      <c r="T557" s="42"/>
      <c r="U557" s="42"/>
      <c r="V557" s="42"/>
      <c r="W557" s="48"/>
    </row>
    <row r="558" spans="12:23" hidden="1" x14ac:dyDescent="0.25">
      <c r="L558" s="31">
        <f t="shared" si="40"/>
        <v>5</v>
      </c>
      <c r="M558" s="31">
        <v>545</v>
      </c>
      <c r="N558" s="31">
        <f t="shared" si="41"/>
        <v>0</v>
      </c>
      <c r="O558" s="37">
        <f t="shared" si="42"/>
        <v>0</v>
      </c>
      <c r="P558" s="41">
        <f t="shared" si="44"/>
        <v>0</v>
      </c>
      <c r="Q558" s="37">
        <f t="shared" si="43"/>
        <v>0</v>
      </c>
      <c r="T558" s="42"/>
      <c r="U558" s="42"/>
      <c r="V558" s="42"/>
      <c r="W558" s="48"/>
    </row>
    <row r="559" spans="12:23" hidden="1" x14ac:dyDescent="0.25">
      <c r="L559" s="31">
        <f t="shared" si="40"/>
        <v>0</v>
      </c>
      <c r="M559" s="31">
        <v>546</v>
      </c>
      <c r="N559" s="31">
        <f t="shared" si="41"/>
        <v>0</v>
      </c>
      <c r="O559" s="37">
        <f t="shared" si="42"/>
        <v>0</v>
      </c>
      <c r="P559" s="41">
        <f t="shared" si="44"/>
        <v>0</v>
      </c>
      <c r="Q559" s="37">
        <f t="shared" si="43"/>
        <v>0</v>
      </c>
      <c r="T559" s="42"/>
      <c r="U559" s="42"/>
      <c r="V559" s="42"/>
      <c r="W559" s="48"/>
    </row>
    <row r="560" spans="12:23" hidden="1" x14ac:dyDescent="0.25">
      <c r="L560" s="31">
        <f t="shared" si="40"/>
        <v>1</v>
      </c>
      <c r="M560" s="31">
        <v>547</v>
      </c>
      <c r="N560" s="31">
        <f t="shared" si="41"/>
        <v>0</v>
      </c>
      <c r="O560" s="37">
        <f t="shared" si="42"/>
        <v>0</v>
      </c>
      <c r="P560" s="41">
        <f t="shared" si="44"/>
        <v>0</v>
      </c>
      <c r="Q560" s="37">
        <f t="shared" si="43"/>
        <v>0</v>
      </c>
      <c r="T560" s="42"/>
      <c r="U560" s="42"/>
      <c r="V560" s="42"/>
      <c r="W560" s="48"/>
    </row>
    <row r="561" spans="12:23" hidden="1" x14ac:dyDescent="0.25">
      <c r="L561" s="31">
        <f t="shared" si="40"/>
        <v>2</v>
      </c>
      <c r="M561" s="31">
        <v>548</v>
      </c>
      <c r="N561" s="31">
        <f t="shared" si="41"/>
        <v>0</v>
      </c>
      <c r="O561" s="37">
        <f t="shared" si="42"/>
        <v>0</v>
      </c>
      <c r="P561" s="41">
        <f t="shared" si="44"/>
        <v>0</v>
      </c>
      <c r="Q561" s="37">
        <f t="shared" si="43"/>
        <v>0</v>
      </c>
      <c r="T561" s="42"/>
      <c r="U561" s="42"/>
      <c r="V561" s="42"/>
      <c r="W561" s="48"/>
    </row>
    <row r="562" spans="12:23" hidden="1" x14ac:dyDescent="0.25">
      <c r="L562" s="31">
        <f t="shared" si="40"/>
        <v>3</v>
      </c>
      <c r="M562" s="31">
        <v>549</v>
      </c>
      <c r="N562" s="31">
        <f t="shared" si="41"/>
        <v>0</v>
      </c>
      <c r="O562" s="37">
        <f t="shared" si="42"/>
        <v>0</v>
      </c>
      <c r="P562" s="41">
        <f t="shared" si="44"/>
        <v>0</v>
      </c>
      <c r="Q562" s="37">
        <f t="shared" si="43"/>
        <v>0</v>
      </c>
      <c r="T562" s="42"/>
      <c r="U562" s="42"/>
      <c r="V562" s="42"/>
      <c r="W562" s="48"/>
    </row>
    <row r="563" spans="12:23" hidden="1" x14ac:dyDescent="0.25">
      <c r="L563" s="31">
        <f t="shared" si="40"/>
        <v>4</v>
      </c>
      <c r="M563" s="31">
        <v>550</v>
      </c>
      <c r="N563" s="31">
        <f t="shared" si="41"/>
        <v>0</v>
      </c>
      <c r="O563" s="37">
        <f t="shared" si="42"/>
        <v>0</v>
      </c>
      <c r="P563" s="41">
        <f t="shared" si="44"/>
        <v>0</v>
      </c>
      <c r="Q563" s="37">
        <f t="shared" si="43"/>
        <v>0</v>
      </c>
      <c r="T563" s="42"/>
      <c r="U563" s="42"/>
      <c r="V563" s="42"/>
      <c r="W563" s="48"/>
    </row>
    <row r="564" spans="12:23" hidden="1" x14ac:dyDescent="0.25">
      <c r="L564" s="31">
        <f t="shared" si="40"/>
        <v>5</v>
      </c>
      <c r="M564" s="31">
        <v>551</v>
      </c>
      <c r="N564" s="31">
        <f t="shared" si="41"/>
        <v>0</v>
      </c>
      <c r="O564" s="37">
        <f t="shared" si="42"/>
        <v>0</v>
      </c>
      <c r="P564" s="41">
        <f t="shared" si="44"/>
        <v>0</v>
      </c>
      <c r="Q564" s="37">
        <f t="shared" si="43"/>
        <v>0</v>
      </c>
      <c r="T564" s="42"/>
      <c r="U564" s="42"/>
      <c r="V564" s="42"/>
      <c r="W564" s="48"/>
    </row>
    <row r="565" spans="12:23" hidden="1" x14ac:dyDescent="0.25">
      <c r="L565" s="31">
        <f t="shared" si="40"/>
        <v>0</v>
      </c>
      <c r="M565" s="31">
        <v>552</v>
      </c>
      <c r="N565" s="31">
        <f t="shared" si="41"/>
        <v>0</v>
      </c>
      <c r="O565" s="37">
        <f t="shared" si="42"/>
        <v>0</v>
      </c>
      <c r="P565" s="41">
        <f t="shared" si="44"/>
        <v>0</v>
      </c>
      <c r="Q565" s="37">
        <f t="shared" si="43"/>
        <v>0</v>
      </c>
      <c r="T565" s="42"/>
      <c r="U565" s="42"/>
      <c r="V565" s="42"/>
      <c r="W565" s="48"/>
    </row>
    <row r="566" spans="12:23" hidden="1" x14ac:dyDescent="0.25">
      <c r="L566" s="31">
        <f t="shared" si="40"/>
        <v>1</v>
      </c>
      <c r="M566" s="31">
        <v>553</v>
      </c>
      <c r="N566" s="31">
        <f t="shared" si="41"/>
        <v>0</v>
      </c>
      <c r="O566" s="37">
        <f t="shared" si="42"/>
        <v>0</v>
      </c>
      <c r="P566" s="41">
        <f t="shared" si="44"/>
        <v>0</v>
      </c>
      <c r="Q566" s="37">
        <f t="shared" si="43"/>
        <v>0</v>
      </c>
      <c r="T566" s="42"/>
      <c r="U566" s="42"/>
      <c r="V566" s="42"/>
      <c r="W566" s="48"/>
    </row>
    <row r="567" spans="12:23" hidden="1" x14ac:dyDescent="0.25">
      <c r="L567" s="31">
        <f t="shared" si="40"/>
        <v>2</v>
      </c>
      <c r="M567" s="31">
        <v>554</v>
      </c>
      <c r="N567" s="31">
        <f t="shared" si="41"/>
        <v>0</v>
      </c>
      <c r="O567" s="37">
        <f t="shared" si="42"/>
        <v>0</v>
      </c>
      <c r="P567" s="41">
        <f t="shared" si="44"/>
        <v>0</v>
      </c>
      <c r="Q567" s="37">
        <f t="shared" si="43"/>
        <v>0</v>
      </c>
      <c r="T567" s="42"/>
      <c r="U567" s="42"/>
      <c r="V567" s="42"/>
      <c r="W567" s="48"/>
    </row>
    <row r="568" spans="12:23" hidden="1" x14ac:dyDescent="0.25">
      <c r="L568" s="31">
        <f t="shared" si="40"/>
        <v>3</v>
      </c>
      <c r="M568" s="31">
        <v>555</v>
      </c>
      <c r="N568" s="31">
        <f t="shared" si="41"/>
        <v>0</v>
      </c>
      <c r="O568" s="37">
        <f t="shared" si="42"/>
        <v>0</v>
      </c>
      <c r="P568" s="41">
        <f t="shared" si="44"/>
        <v>0</v>
      </c>
      <c r="Q568" s="37">
        <f t="shared" si="43"/>
        <v>0</v>
      </c>
      <c r="T568" s="42"/>
      <c r="U568" s="42"/>
      <c r="V568" s="42"/>
      <c r="W568" s="48"/>
    </row>
    <row r="569" spans="12:23" hidden="1" x14ac:dyDescent="0.25">
      <c r="L569" s="31">
        <f t="shared" si="40"/>
        <v>4</v>
      </c>
      <c r="M569" s="31">
        <v>556</v>
      </c>
      <c r="N569" s="31">
        <f t="shared" si="41"/>
        <v>0</v>
      </c>
      <c r="O569" s="37">
        <f t="shared" si="42"/>
        <v>0</v>
      </c>
      <c r="P569" s="41">
        <f t="shared" si="44"/>
        <v>0</v>
      </c>
      <c r="Q569" s="37">
        <f t="shared" si="43"/>
        <v>0</v>
      </c>
      <c r="T569" s="42"/>
      <c r="U569" s="42"/>
      <c r="V569" s="42"/>
      <c r="W569" s="48"/>
    </row>
    <row r="570" spans="12:23" hidden="1" x14ac:dyDescent="0.25">
      <c r="L570" s="31">
        <f t="shared" si="40"/>
        <v>5</v>
      </c>
      <c r="M570" s="31">
        <v>557</v>
      </c>
      <c r="N570" s="31">
        <f t="shared" si="41"/>
        <v>0</v>
      </c>
      <c r="O570" s="37">
        <f t="shared" si="42"/>
        <v>0</v>
      </c>
      <c r="P570" s="41">
        <f t="shared" si="44"/>
        <v>0</v>
      </c>
      <c r="Q570" s="37">
        <f t="shared" si="43"/>
        <v>0</v>
      </c>
      <c r="T570" s="42"/>
      <c r="U570" s="42"/>
      <c r="V570" s="42"/>
      <c r="W570" s="48"/>
    </row>
    <row r="571" spans="12:23" hidden="1" x14ac:dyDescent="0.25">
      <c r="L571" s="31">
        <f t="shared" si="40"/>
        <v>0</v>
      </c>
      <c r="M571" s="31">
        <v>558</v>
      </c>
      <c r="N571" s="31">
        <f t="shared" si="41"/>
        <v>0</v>
      </c>
      <c r="O571" s="37">
        <f t="shared" si="42"/>
        <v>0</v>
      </c>
      <c r="P571" s="41">
        <f t="shared" si="44"/>
        <v>0</v>
      </c>
      <c r="Q571" s="37">
        <f t="shared" si="43"/>
        <v>0</v>
      </c>
      <c r="T571" s="42"/>
      <c r="U571" s="42"/>
      <c r="V571" s="42"/>
      <c r="W571" s="48"/>
    </row>
    <row r="572" spans="12:23" hidden="1" x14ac:dyDescent="0.25">
      <c r="L572" s="31">
        <f t="shared" si="40"/>
        <v>1</v>
      </c>
      <c r="M572" s="31">
        <v>559</v>
      </c>
      <c r="N572" s="31">
        <f t="shared" si="41"/>
        <v>0</v>
      </c>
      <c r="O572" s="37">
        <f t="shared" si="42"/>
        <v>0</v>
      </c>
      <c r="P572" s="41">
        <f t="shared" si="44"/>
        <v>0</v>
      </c>
      <c r="Q572" s="37">
        <f t="shared" si="43"/>
        <v>0</v>
      </c>
      <c r="T572" s="42"/>
      <c r="U572" s="42"/>
      <c r="V572" s="42"/>
      <c r="W572" s="48"/>
    </row>
    <row r="573" spans="12:23" hidden="1" x14ac:dyDescent="0.25">
      <c r="L573" s="31">
        <f t="shared" si="40"/>
        <v>2</v>
      </c>
      <c r="M573" s="31">
        <v>560</v>
      </c>
      <c r="N573" s="31">
        <f t="shared" si="41"/>
        <v>0</v>
      </c>
      <c r="O573" s="37">
        <f t="shared" si="42"/>
        <v>0</v>
      </c>
      <c r="P573" s="41">
        <f t="shared" si="44"/>
        <v>0</v>
      </c>
      <c r="Q573" s="37">
        <f t="shared" si="43"/>
        <v>0</v>
      </c>
      <c r="T573" s="42"/>
      <c r="U573" s="42"/>
      <c r="V573" s="42"/>
      <c r="W573" s="48"/>
    </row>
    <row r="574" spans="12:23" hidden="1" x14ac:dyDescent="0.25">
      <c r="L574" s="31">
        <f t="shared" si="40"/>
        <v>3</v>
      </c>
      <c r="M574" s="31">
        <v>561</v>
      </c>
      <c r="N574" s="31">
        <f t="shared" si="41"/>
        <v>0</v>
      </c>
      <c r="O574" s="37">
        <f t="shared" si="42"/>
        <v>0</v>
      </c>
      <c r="P574" s="41">
        <f t="shared" si="44"/>
        <v>0</v>
      </c>
      <c r="Q574" s="37">
        <f t="shared" si="43"/>
        <v>0</v>
      </c>
      <c r="T574" s="42"/>
      <c r="U574" s="42"/>
      <c r="V574" s="42"/>
      <c r="W574" s="48"/>
    </row>
    <row r="575" spans="12:23" hidden="1" x14ac:dyDescent="0.25">
      <c r="L575" s="31">
        <f t="shared" si="40"/>
        <v>4</v>
      </c>
      <c r="M575" s="31">
        <v>562</v>
      </c>
      <c r="N575" s="31">
        <f t="shared" si="41"/>
        <v>0</v>
      </c>
      <c r="O575" s="37">
        <f t="shared" si="42"/>
        <v>0</v>
      </c>
      <c r="P575" s="41">
        <f t="shared" si="44"/>
        <v>0</v>
      </c>
      <c r="Q575" s="37">
        <f t="shared" si="43"/>
        <v>0</v>
      </c>
      <c r="T575" s="42"/>
      <c r="U575" s="42"/>
      <c r="V575" s="42"/>
      <c r="W575" s="48"/>
    </row>
    <row r="576" spans="12:23" hidden="1" x14ac:dyDescent="0.25">
      <c r="L576" s="31">
        <f t="shared" si="40"/>
        <v>5</v>
      </c>
      <c r="M576" s="31">
        <v>563</v>
      </c>
      <c r="N576" s="31">
        <f t="shared" si="41"/>
        <v>0</v>
      </c>
      <c r="O576" s="37">
        <f t="shared" si="42"/>
        <v>0</v>
      </c>
      <c r="P576" s="41">
        <f t="shared" si="44"/>
        <v>0</v>
      </c>
      <c r="Q576" s="37">
        <f t="shared" si="43"/>
        <v>0</v>
      </c>
      <c r="T576" s="42"/>
      <c r="U576" s="42"/>
      <c r="V576" s="42"/>
      <c r="W576" s="48"/>
    </row>
    <row r="577" spans="12:23" hidden="1" x14ac:dyDescent="0.25">
      <c r="L577" s="31">
        <f t="shared" si="40"/>
        <v>0</v>
      </c>
      <c r="M577" s="31">
        <v>564</v>
      </c>
      <c r="N577" s="31">
        <f t="shared" si="41"/>
        <v>0</v>
      </c>
      <c r="O577" s="37">
        <f t="shared" si="42"/>
        <v>0</v>
      </c>
      <c r="P577" s="41">
        <f t="shared" si="44"/>
        <v>0</v>
      </c>
      <c r="Q577" s="37">
        <f t="shared" si="43"/>
        <v>0</v>
      </c>
      <c r="T577" s="42"/>
      <c r="U577" s="42"/>
      <c r="V577" s="42"/>
      <c r="W577" s="48"/>
    </row>
    <row r="578" spans="12:23" hidden="1" x14ac:dyDescent="0.25">
      <c r="L578" s="31">
        <f t="shared" si="40"/>
        <v>1</v>
      </c>
      <c r="M578" s="31">
        <v>565</v>
      </c>
      <c r="N578" s="31">
        <f t="shared" si="41"/>
        <v>0</v>
      </c>
      <c r="O578" s="37">
        <f t="shared" si="42"/>
        <v>0</v>
      </c>
      <c r="P578" s="41">
        <f t="shared" si="44"/>
        <v>0</v>
      </c>
      <c r="Q578" s="37">
        <f t="shared" si="43"/>
        <v>0</v>
      </c>
      <c r="T578" s="42"/>
      <c r="U578" s="42"/>
      <c r="V578" s="42"/>
      <c r="W578" s="48"/>
    </row>
    <row r="579" spans="12:23" hidden="1" x14ac:dyDescent="0.25">
      <c r="L579" s="31">
        <f t="shared" si="40"/>
        <v>2</v>
      </c>
      <c r="M579" s="31">
        <v>566</v>
      </c>
      <c r="N579" s="31">
        <f t="shared" si="41"/>
        <v>0</v>
      </c>
      <c r="O579" s="37">
        <f t="shared" si="42"/>
        <v>0</v>
      </c>
      <c r="P579" s="41">
        <f t="shared" si="44"/>
        <v>0</v>
      </c>
      <c r="Q579" s="37">
        <f t="shared" si="43"/>
        <v>0</v>
      </c>
      <c r="T579" s="42"/>
      <c r="U579" s="42"/>
      <c r="V579" s="42"/>
      <c r="W579" s="48"/>
    </row>
    <row r="580" spans="12:23" hidden="1" x14ac:dyDescent="0.25">
      <c r="L580" s="31">
        <f t="shared" si="40"/>
        <v>3</v>
      </c>
      <c r="M580" s="31">
        <v>567</v>
      </c>
      <c r="N580" s="31">
        <f t="shared" si="41"/>
        <v>0</v>
      </c>
      <c r="O580" s="37">
        <f t="shared" si="42"/>
        <v>0</v>
      </c>
      <c r="P580" s="41">
        <f t="shared" si="44"/>
        <v>0</v>
      </c>
      <c r="Q580" s="37">
        <f t="shared" si="43"/>
        <v>0</v>
      </c>
      <c r="T580" s="42"/>
      <c r="U580" s="42"/>
      <c r="V580" s="42"/>
      <c r="W580" s="48"/>
    </row>
    <row r="581" spans="12:23" hidden="1" x14ac:dyDescent="0.25">
      <c r="L581" s="31">
        <f t="shared" si="40"/>
        <v>4</v>
      </c>
      <c r="M581" s="31">
        <v>568</v>
      </c>
      <c r="N581" s="31">
        <f t="shared" si="41"/>
        <v>0</v>
      </c>
      <c r="O581" s="37">
        <f t="shared" si="42"/>
        <v>0</v>
      </c>
      <c r="P581" s="41">
        <f t="shared" si="44"/>
        <v>0</v>
      </c>
      <c r="Q581" s="37">
        <f t="shared" si="43"/>
        <v>0</v>
      </c>
      <c r="T581" s="42"/>
      <c r="U581" s="42"/>
      <c r="V581" s="42"/>
      <c r="W581" s="48"/>
    </row>
    <row r="582" spans="12:23" hidden="1" x14ac:dyDescent="0.25">
      <c r="L582" s="31">
        <f t="shared" si="40"/>
        <v>5</v>
      </c>
      <c r="M582" s="31">
        <v>569</v>
      </c>
      <c r="N582" s="31">
        <f t="shared" si="41"/>
        <v>0</v>
      </c>
      <c r="O582" s="37">
        <f t="shared" si="42"/>
        <v>0</v>
      </c>
      <c r="P582" s="41">
        <f t="shared" si="44"/>
        <v>0</v>
      </c>
      <c r="Q582" s="37">
        <f t="shared" si="43"/>
        <v>0</v>
      </c>
      <c r="T582" s="42"/>
      <c r="U582" s="42"/>
      <c r="V582" s="42"/>
      <c r="W582" s="48"/>
    </row>
    <row r="583" spans="12:23" hidden="1" x14ac:dyDescent="0.25">
      <c r="L583" s="31">
        <f t="shared" si="40"/>
        <v>0</v>
      </c>
      <c r="M583" s="31">
        <v>570</v>
      </c>
      <c r="N583" s="31">
        <f t="shared" si="41"/>
        <v>0</v>
      </c>
      <c r="O583" s="37">
        <f t="shared" si="42"/>
        <v>0</v>
      </c>
      <c r="P583" s="41">
        <f t="shared" si="44"/>
        <v>0</v>
      </c>
      <c r="Q583" s="37">
        <f t="shared" si="43"/>
        <v>0</v>
      </c>
      <c r="T583" s="42"/>
      <c r="U583" s="42"/>
      <c r="V583" s="42"/>
      <c r="W583" s="48"/>
    </row>
    <row r="584" spans="12:23" hidden="1" x14ac:dyDescent="0.25">
      <c r="L584" s="31">
        <f t="shared" si="40"/>
        <v>1</v>
      </c>
      <c r="M584" s="31">
        <v>571</v>
      </c>
      <c r="N584" s="31">
        <f t="shared" si="41"/>
        <v>0</v>
      </c>
      <c r="O584" s="37">
        <f t="shared" si="42"/>
        <v>0</v>
      </c>
      <c r="P584" s="41">
        <f t="shared" si="44"/>
        <v>0</v>
      </c>
      <c r="Q584" s="37">
        <f t="shared" si="43"/>
        <v>0</v>
      </c>
      <c r="T584" s="42"/>
      <c r="U584" s="42"/>
      <c r="V584" s="42"/>
      <c r="W584" s="48"/>
    </row>
    <row r="585" spans="12:23" hidden="1" x14ac:dyDescent="0.25">
      <c r="L585" s="31">
        <f t="shared" si="40"/>
        <v>2</v>
      </c>
      <c r="M585" s="31">
        <v>572</v>
      </c>
      <c r="N585" s="31">
        <f t="shared" si="41"/>
        <v>0</v>
      </c>
      <c r="O585" s="37">
        <f t="shared" si="42"/>
        <v>0</v>
      </c>
      <c r="P585" s="41">
        <f t="shared" si="44"/>
        <v>0</v>
      </c>
      <c r="Q585" s="37">
        <f t="shared" si="43"/>
        <v>0</v>
      </c>
      <c r="T585" s="42"/>
      <c r="U585" s="42"/>
      <c r="V585" s="42"/>
      <c r="W585" s="48"/>
    </row>
    <row r="586" spans="12:23" hidden="1" x14ac:dyDescent="0.25">
      <c r="L586" s="31">
        <f t="shared" si="40"/>
        <v>3</v>
      </c>
      <c r="M586" s="31">
        <v>573</v>
      </c>
      <c r="N586" s="31">
        <f t="shared" si="41"/>
        <v>0</v>
      </c>
      <c r="O586" s="37">
        <f t="shared" si="42"/>
        <v>0</v>
      </c>
      <c r="P586" s="41">
        <f t="shared" si="44"/>
        <v>0</v>
      </c>
      <c r="Q586" s="37">
        <f t="shared" si="43"/>
        <v>0</v>
      </c>
      <c r="T586" s="42"/>
      <c r="U586" s="42"/>
      <c r="V586" s="42"/>
      <c r="W586" s="48"/>
    </row>
    <row r="587" spans="12:23" hidden="1" x14ac:dyDescent="0.25">
      <c r="L587" s="31">
        <f t="shared" si="40"/>
        <v>4</v>
      </c>
      <c r="M587" s="31">
        <v>574</v>
      </c>
      <c r="N587" s="31">
        <f t="shared" si="41"/>
        <v>0</v>
      </c>
      <c r="O587" s="37">
        <f t="shared" si="42"/>
        <v>0</v>
      </c>
      <c r="P587" s="41">
        <f t="shared" si="44"/>
        <v>0</v>
      </c>
      <c r="Q587" s="37">
        <f t="shared" si="43"/>
        <v>0</v>
      </c>
      <c r="T587" s="42"/>
      <c r="U587" s="42"/>
      <c r="V587" s="42"/>
      <c r="W587" s="48"/>
    </row>
    <row r="588" spans="12:23" hidden="1" x14ac:dyDescent="0.25">
      <c r="L588" s="31">
        <f t="shared" si="40"/>
        <v>5</v>
      </c>
      <c r="M588" s="31">
        <v>575</v>
      </c>
      <c r="N588" s="31">
        <f t="shared" si="41"/>
        <v>0</v>
      </c>
      <c r="O588" s="37">
        <f t="shared" si="42"/>
        <v>0</v>
      </c>
      <c r="P588" s="41">
        <f t="shared" si="44"/>
        <v>0</v>
      </c>
      <c r="Q588" s="37">
        <f t="shared" si="43"/>
        <v>0</v>
      </c>
      <c r="T588" s="42"/>
      <c r="U588" s="42"/>
      <c r="V588" s="42"/>
      <c r="W588" s="48"/>
    </row>
    <row r="589" spans="12:23" hidden="1" x14ac:dyDescent="0.25">
      <c r="L589" s="31">
        <f t="shared" ref="L589:L613" si="45">MOD(M589,12/$C$9)</f>
        <v>0</v>
      </c>
      <c r="M589" s="31">
        <v>576</v>
      </c>
      <c r="N589" s="31">
        <f t="shared" ref="N589:N613" si="46">IF(M589&lt;$O$8,IF(L589=0,$C$8,0),0)</f>
        <v>0</v>
      </c>
      <c r="O589" s="37">
        <f t="shared" ref="O589:O613" si="47">IF(M589&lt;=$O$8,FV(SRate,($O$8-M589),0,-N589,1),0)</f>
        <v>0</v>
      </c>
      <c r="P589" s="41">
        <f t="shared" si="44"/>
        <v>0</v>
      </c>
      <c r="Q589" s="37">
        <f t="shared" ref="Q589:Q612" si="48">(O589-N589)*TaxRate</f>
        <v>0</v>
      </c>
      <c r="T589" s="42"/>
      <c r="U589" s="42"/>
      <c r="V589" s="42"/>
      <c r="W589" s="48"/>
    </row>
    <row r="590" spans="12:23" hidden="1" x14ac:dyDescent="0.25">
      <c r="L590" s="31">
        <f t="shared" si="45"/>
        <v>1</v>
      </c>
      <c r="M590" s="31">
        <v>577</v>
      </c>
      <c r="N590" s="31">
        <f t="shared" si="46"/>
        <v>0</v>
      </c>
      <c r="O590" s="37">
        <f t="shared" si="47"/>
        <v>0</v>
      </c>
      <c r="P590" s="41">
        <f t="shared" ref="P590:P613" si="49">IF(M590&lt;=$O$8,FV(SRate,1,0,-P589,1),0)+N590</f>
        <v>0</v>
      </c>
      <c r="Q590" s="37">
        <f t="shared" si="48"/>
        <v>0</v>
      </c>
      <c r="T590" s="42"/>
      <c r="U590" s="42"/>
      <c r="V590" s="42"/>
      <c r="W590" s="48"/>
    </row>
    <row r="591" spans="12:23" hidden="1" x14ac:dyDescent="0.25">
      <c r="L591" s="31">
        <f t="shared" si="45"/>
        <v>2</v>
      </c>
      <c r="M591" s="31">
        <v>578</v>
      </c>
      <c r="N591" s="31">
        <f t="shared" si="46"/>
        <v>0</v>
      </c>
      <c r="O591" s="37">
        <f t="shared" si="47"/>
        <v>0</v>
      </c>
      <c r="P591" s="41">
        <f t="shared" si="49"/>
        <v>0</v>
      </c>
      <c r="Q591" s="37">
        <f t="shared" si="48"/>
        <v>0</v>
      </c>
      <c r="T591" s="42"/>
      <c r="U591" s="42"/>
      <c r="V591" s="42"/>
      <c r="W591" s="48"/>
    </row>
    <row r="592" spans="12:23" hidden="1" x14ac:dyDescent="0.25">
      <c r="L592" s="31">
        <f t="shared" si="45"/>
        <v>3</v>
      </c>
      <c r="M592" s="31">
        <v>579</v>
      </c>
      <c r="N592" s="31">
        <f t="shared" si="46"/>
        <v>0</v>
      </c>
      <c r="O592" s="37">
        <f t="shared" si="47"/>
        <v>0</v>
      </c>
      <c r="P592" s="41">
        <f t="shared" si="49"/>
        <v>0</v>
      </c>
      <c r="Q592" s="37">
        <f t="shared" si="48"/>
        <v>0</v>
      </c>
      <c r="T592" s="42"/>
      <c r="U592" s="42"/>
      <c r="V592" s="42"/>
      <c r="W592" s="48"/>
    </row>
    <row r="593" spans="12:23" hidden="1" x14ac:dyDescent="0.25">
      <c r="L593" s="31">
        <f t="shared" si="45"/>
        <v>4</v>
      </c>
      <c r="M593" s="31">
        <v>580</v>
      </c>
      <c r="N593" s="31">
        <f t="shared" si="46"/>
        <v>0</v>
      </c>
      <c r="O593" s="37">
        <f t="shared" si="47"/>
        <v>0</v>
      </c>
      <c r="P593" s="41">
        <f t="shared" si="49"/>
        <v>0</v>
      </c>
      <c r="Q593" s="37">
        <f t="shared" si="48"/>
        <v>0</v>
      </c>
      <c r="T593" s="42"/>
      <c r="U593" s="42"/>
      <c r="V593" s="42"/>
      <c r="W593" s="48"/>
    </row>
    <row r="594" spans="12:23" hidden="1" x14ac:dyDescent="0.25">
      <c r="L594" s="31">
        <f t="shared" si="45"/>
        <v>5</v>
      </c>
      <c r="M594" s="31">
        <v>581</v>
      </c>
      <c r="N594" s="31">
        <f t="shared" si="46"/>
        <v>0</v>
      </c>
      <c r="O594" s="37">
        <f t="shared" si="47"/>
        <v>0</v>
      </c>
      <c r="P594" s="41">
        <f t="shared" si="49"/>
        <v>0</v>
      </c>
      <c r="Q594" s="37">
        <f t="shared" si="48"/>
        <v>0</v>
      </c>
      <c r="T594" s="42"/>
      <c r="U594" s="42"/>
      <c r="V594" s="42"/>
      <c r="W594" s="48"/>
    </row>
    <row r="595" spans="12:23" hidden="1" x14ac:dyDescent="0.25">
      <c r="L595" s="31">
        <f t="shared" si="45"/>
        <v>0</v>
      </c>
      <c r="M595" s="31">
        <v>582</v>
      </c>
      <c r="N595" s="31">
        <f t="shared" si="46"/>
        <v>0</v>
      </c>
      <c r="O595" s="37">
        <f t="shared" si="47"/>
        <v>0</v>
      </c>
      <c r="P595" s="41">
        <f t="shared" si="49"/>
        <v>0</v>
      </c>
      <c r="Q595" s="37">
        <f t="shared" si="48"/>
        <v>0</v>
      </c>
      <c r="T595" s="42"/>
      <c r="U595" s="42"/>
      <c r="V595" s="42"/>
      <c r="W595" s="48"/>
    </row>
    <row r="596" spans="12:23" hidden="1" x14ac:dyDescent="0.25">
      <c r="L596" s="31">
        <f t="shared" si="45"/>
        <v>1</v>
      </c>
      <c r="M596" s="31">
        <v>583</v>
      </c>
      <c r="N596" s="31">
        <f t="shared" si="46"/>
        <v>0</v>
      </c>
      <c r="O596" s="37">
        <f t="shared" si="47"/>
        <v>0</v>
      </c>
      <c r="P596" s="41">
        <f t="shared" si="49"/>
        <v>0</v>
      </c>
      <c r="Q596" s="37">
        <f t="shared" si="48"/>
        <v>0</v>
      </c>
      <c r="T596" s="42"/>
      <c r="U596" s="42"/>
      <c r="V596" s="42"/>
      <c r="W596" s="48"/>
    </row>
    <row r="597" spans="12:23" hidden="1" x14ac:dyDescent="0.25">
      <c r="L597" s="31">
        <f t="shared" si="45"/>
        <v>2</v>
      </c>
      <c r="M597" s="31">
        <v>584</v>
      </c>
      <c r="N597" s="31">
        <f t="shared" si="46"/>
        <v>0</v>
      </c>
      <c r="O597" s="37">
        <f t="shared" si="47"/>
        <v>0</v>
      </c>
      <c r="P597" s="41">
        <f t="shared" si="49"/>
        <v>0</v>
      </c>
      <c r="Q597" s="37">
        <f t="shared" si="48"/>
        <v>0</v>
      </c>
      <c r="T597" s="42"/>
      <c r="U597" s="42"/>
      <c r="V597" s="42"/>
      <c r="W597" s="48"/>
    </row>
    <row r="598" spans="12:23" hidden="1" x14ac:dyDescent="0.25">
      <c r="L598" s="31">
        <f t="shared" si="45"/>
        <v>3</v>
      </c>
      <c r="M598" s="31">
        <v>585</v>
      </c>
      <c r="N598" s="31">
        <f t="shared" si="46"/>
        <v>0</v>
      </c>
      <c r="O598" s="37">
        <f t="shared" si="47"/>
        <v>0</v>
      </c>
      <c r="P598" s="41">
        <f t="shared" si="49"/>
        <v>0</v>
      </c>
      <c r="Q598" s="37">
        <f t="shared" si="48"/>
        <v>0</v>
      </c>
      <c r="T598" s="42"/>
      <c r="U598" s="42"/>
      <c r="V598" s="42"/>
      <c r="W598" s="48"/>
    </row>
    <row r="599" spans="12:23" hidden="1" x14ac:dyDescent="0.25">
      <c r="L599" s="31">
        <f t="shared" si="45"/>
        <v>4</v>
      </c>
      <c r="M599" s="31">
        <v>586</v>
      </c>
      <c r="N599" s="31">
        <f t="shared" si="46"/>
        <v>0</v>
      </c>
      <c r="O599" s="37">
        <f t="shared" si="47"/>
        <v>0</v>
      </c>
      <c r="P599" s="41">
        <f t="shared" si="49"/>
        <v>0</v>
      </c>
      <c r="Q599" s="37">
        <f t="shared" si="48"/>
        <v>0</v>
      </c>
      <c r="T599" s="42"/>
      <c r="U599" s="42"/>
      <c r="V599" s="42"/>
      <c r="W599" s="48"/>
    </row>
    <row r="600" spans="12:23" hidden="1" x14ac:dyDescent="0.25">
      <c r="L600" s="31">
        <f t="shared" si="45"/>
        <v>5</v>
      </c>
      <c r="M600" s="31">
        <v>587</v>
      </c>
      <c r="N600" s="31">
        <f t="shared" si="46"/>
        <v>0</v>
      </c>
      <c r="O600" s="37">
        <f t="shared" si="47"/>
        <v>0</v>
      </c>
      <c r="P600" s="41">
        <f t="shared" si="49"/>
        <v>0</v>
      </c>
      <c r="Q600" s="37">
        <f t="shared" si="48"/>
        <v>0</v>
      </c>
      <c r="T600" s="42"/>
      <c r="U600" s="42"/>
      <c r="V600" s="42"/>
      <c r="W600" s="48"/>
    </row>
    <row r="601" spans="12:23" hidden="1" x14ac:dyDescent="0.25">
      <c r="L601" s="31">
        <f t="shared" si="45"/>
        <v>0</v>
      </c>
      <c r="M601" s="31">
        <v>588</v>
      </c>
      <c r="N601" s="31">
        <f t="shared" si="46"/>
        <v>0</v>
      </c>
      <c r="O601" s="37">
        <f t="shared" si="47"/>
        <v>0</v>
      </c>
      <c r="P601" s="41">
        <f t="shared" si="49"/>
        <v>0</v>
      </c>
      <c r="Q601" s="37">
        <f t="shared" si="48"/>
        <v>0</v>
      </c>
      <c r="T601" s="42"/>
      <c r="U601" s="42"/>
      <c r="V601" s="42"/>
      <c r="W601" s="48"/>
    </row>
    <row r="602" spans="12:23" hidden="1" x14ac:dyDescent="0.25">
      <c r="L602" s="31">
        <f t="shared" si="45"/>
        <v>1</v>
      </c>
      <c r="M602" s="31">
        <v>589</v>
      </c>
      <c r="N602" s="31">
        <f t="shared" si="46"/>
        <v>0</v>
      </c>
      <c r="O602" s="37">
        <f t="shared" si="47"/>
        <v>0</v>
      </c>
      <c r="P602" s="41">
        <f t="shared" si="49"/>
        <v>0</v>
      </c>
      <c r="Q602" s="37">
        <f t="shared" si="48"/>
        <v>0</v>
      </c>
      <c r="T602" s="42"/>
      <c r="U602" s="42"/>
      <c r="V602" s="42"/>
      <c r="W602" s="48"/>
    </row>
    <row r="603" spans="12:23" hidden="1" x14ac:dyDescent="0.25">
      <c r="L603" s="31">
        <f t="shared" si="45"/>
        <v>2</v>
      </c>
      <c r="M603" s="31">
        <v>590</v>
      </c>
      <c r="N603" s="31">
        <f t="shared" si="46"/>
        <v>0</v>
      </c>
      <c r="O603" s="37">
        <f t="shared" si="47"/>
        <v>0</v>
      </c>
      <c r="P603" s="41">
        <f t="shared" si="49"/>
        <v>0</v>
      </c>
      <c r="Q603" s="37">
        <f t="shared" si="48"/>
        <v>0</v>
      </c>
      <c r="T603" s="42"/>
      <c r="U603" s="42"/>
      <c r="V603" s="42"/>
      <c r="W603" s="48"/>
    </row>
    <row r="604" spans="12:23" hidden="1" x14ac:dyDescent="0.25">
      <c r="L604" s="31">
        <f t="shared" si="45"/>
        <v>3</v>
      </c>
      <c r="M604" s="31">
        <v>591</v>
      </c>
      <c r="N604" s="31">
        <f t="shared" si="46"/>
        <v>0</v>
      </c>
      <c r="O604" s="37">
        <f t="shared" si="47"/>
        <v>0</v>
      </c>
      <c r="P604" s="41">
        <f t="shared" si="49"/>
        <v>0</v>
      </c>
      <c r="Q604" s="37">
        <f t="shared" si="48"/>
        <v>0</v>
      </c>
      <c r="T604" s="42"/>
      <c r="U604" s="42"/>
      <c r="V604" s="42"/>
      <c r="W604" s="48"/>
    </row>
    <row r="605" spans="12:23" hidden="1" x14ac:dyDescent="0.25">
      <c r="L605" s="31">
        <f t="shared" si="45"/>
        <v>4</v>
      </c>
      <c r="M605" s="31">
        <v>592</v>
      </c>
      <c r="N605" s="31">
        <f t="shared" si="46"/>
        <v>0</v>
      </c>
      <c r="O605" s="37">
        <f t="shared" si="47"/>
        <v>0</v>
      </c>
      <c r="P605" s="41">
        <f t="shared" si="49"/>
        <v>0</v>
      </c>
      <c r="Q605" s="37">
        <f t="shared" si="48"/>
        <v>0</v>
      </c>
      <c r="T605" s="42"/>
      <c r="U605" s="42"/>
      <c r="V605" s="42"/>
      <c r="W605" s="48"/>
    </row>
    <row r="606" spans="12:23" hidden="1" x14ac:dyDescent="0.25">
      <c r="L606" s="31">
        <f t="shared" si="45"/>
        <v>5</v>
      </c>
      <c r="M606" s="31">
        <v>593</v>
      </c>
      <c r="N606" s="31">
        <f t="shared" si="46"/>
        <v>0</v>
      </c>
      <c r="O606" s="37">
        <f t="shared" si="47"/>
        <v>0</v>
      </c>
      <c r="P606" s="41">
        <f t="shared" si="49"/>
        <v>0</v>
      </c>
      <c r="Q606" s="37">
        <f t="shared" si="48"/>
        <v>0</v>
      </c>
      <c r="T606" s="42"/>
      <c r="U606" s="42"/>
      <c r="V606" s="42"/>
      <c r="W606" s="48"/>
    </row>
    <row r="607" spans="12:23" hidden="1" x14ac:dyDescent="0.25">
      <c r="L607" s="31">
        <f t="shared" si="45"/>
        <v>0</v>
      </c>
      <c r="M607" s="31">
        <v>594</v>
      </c>
      <c r="N607" s="31">
        <f t="shared" si="46"/>
        <v>0</v>
      </c>
      <c r="O607" s="37">
        <f t="shared" si="47"/>
        <v>0</v>
      </c>
      <c r="P607" s="41">
        <f t="shared" si="49"/>
        <v>0</v>
      </c>
      <c r="Q607" s="37">
        <f t="shared" si="48"/>
        <v>0</v>
      </c>
      <c r="T607" s="42"/>
      <c r="U607" s="42"/>
      <c r="V607" s="42"/>
      <c r="W607" s="48"/>
    </row>
    <row r="608" spans="12:23" hidden="1" x14ac:dyDescent="0.25">
      <c r="L608" s="31">
        <f t="shared" si="45"/>
        <v>1</v>
      </c>
      <c r="M608" s="31">
        <v>595</v>
      </c>
      <c r="N608" s="31">
        <f t="shared" si="46"/>
        <v>0</v>
      </c>
      <c r="O608" s="37">
        <f t="shared" si="47"/>
        <v>0</v>
      </c>
      <c r="P608" s="41">
        <f t="shared" si="49"/>
        <v>0</v>
      </c>
      <c r="Q608" s="37">
        <f t="shared" si="48"/>
        <v>0</v>
      </c>
      <c r="T608" s="42"/>
      <c r="U608" s="42"/>
      <c r="V608" s="42"/>
      <c r="W608" s="48"/>
    </row>
    <row r="609" spans="12:23" hidden="1" x14ac:dyDescent="0.25">
      <c r="L609" s="31">
        <f t="shared" si="45"/>
        <v>2</v>
      </c>
      <c r="M609" s="31">
        <v>596</v>
      </c>
      <c r="N609" s="31">
        <f t="shared" si="46"/>
        <v>0</v>
      </c>
      <c r="O609" s="37">
        <f t="shared" si="47"/>
        <v>0</v>
      </c>
      <c r="P609" s="41">
        <f t="shared" si="49"/>
        <v>0</v>
      </c>
      <c r="Q609" s="37">
        <f t="shared" si="48"/>
        <v>0</v>
      </c>
      <c r="T609" s="42"/>
      <c r="U609" s="42"/>
      <c r="V609" s="42"/>
      <c r="W609" s="48"/>
    </row>
    <row r="610" spans="12:23" hidden="1" x14ac:dyDescent="0.25">
      <c r="L610" s="31">
        <f t="shared" si="45"/>
        <v>3</v>
      </c>
      <c r="M610" s="31">
        <v>597</v>
      </c>
      <c r="N610" s="31">
        <f t="shared" si="46"/>
        <v>0</v>
      </c>
      <c r="O610" s="37">
        <f t="shared" si="47"/>
        <v>0</v>
      </c>
      <c r="P610" s="41">
        <f t="shared" si="49"/>
        <v>0</v>
      </c>
      <c r="Q610" s="37">
        <f t="shared" si="48"/>
        <v>0</v>
      </c>
      <c r="T610" s="42"/>
      <c r="U610" s="42"/>
      <c r="V610" s="42"/>
      <c r="W610" s="48"/>
    </row>
    <row r="611" spans="12:23" hidden="1" x14ac:dyDescent="0.25">
      <c r="L611" s="31">
        <f t="shared" si="45"/>
        <v>4</v>
      </c>
      <c r="M611" s="31">
        <v>598</v>
      </c>
      <c r="N611" s="31">
        <f t="shared" si="46"/>
        <v>0</v>
      </c>
      <c r="O611" s="37">
        <f t="shared" si="47"/>
        <v>0</v>
      </c>
      <c r="P611" s="41">
        <f t="shared" si="49"/>
        <v>0</v>
      </c>
      <c r="Q611" s="37">
        <f t="shared" si="48"/>
        <v>0</v>
      </c>
      <c r="T611" s="42"/>
      <c r="U611" s="42"/>
      <c r="V611" s="42"/>
      <c r="W611" s="48"/>
    </row>
    <row r="612" spans="12:23" hidden="1" x14ac:dyDescent="0.25">
      <c r="L612" s="31">
        <f t="shared" si="45"/>
        <v>5</v>
      </c>
      <c r="M612" s="31">
        <v>599</v>
      </c>
      <c r="N612" s="31">
        <f t="shared" si="46"/>
        <v>0</v>
      </c>
      <c r="O612" s="37">
        <f t="shared" si="47"/>
        <v>0</v>
      </c>
      <c r="P612" s="41">
        <f t="shared" si="49"/>
        <v>0</v>
      </c>
      <c r="Q612" s="37">
        <f t="shared" si="48"/>
        <v>0</v>
      </c>
      <c r="T612" s="42"/>
      <c r="U612" s="42"/>
      <c r="V612" s="42"/>
      <c r="W612" s="48"/>
    </row>
    <row r="613" spans="12:23" hidden="1" x14ac:dyDescent="0.25">
      <c r="L613" s="31">
        <f t="shared" si="45"/>
        <v>0</v>
      </c>
      <c r="M613" s="31">
        <v>600</v>
      </c>
      <c r="N613" s="31">
        <f t="shared" si="46"/>
        <v>0</v>
      </c>
      <c r="O613" s="37">
        <f t="shared" si="47"/>
        <v>0</v>
      </c>
      <c r="P613" s="41">
        <f t="shared" si="49"/>
        <v>0</v>
      </c>
      <c r="Q613" s="37">
        <f t="shared" ref="Q613" si="50">(O613-N613)*TaxRate</f>
        <v>0</v>
      </c>
      <c r="T613" s="42"/>
      <c r="U613" s="42"/>
      <c r="V613" s="42"/>
      <c r="W613" s="48"/>
    </row>
    <row r="726" spans="19:19" hidden="1" x14ac:dyDescent="0.25">
      <c r="S726" s="31">
        <v>713</v>
      </c>
    </row>
    <row r="727" spans="19:19" hidden="1" x14ac:dyDescent="0.25">
      <c r="S727" s="31">
        <v>714</v>
      </c>
    </row>
    <row r="728" spans="19:19" hidden="1" x14ac:dyDescent="0.25">
      <c r="S728" s="31">
        <v>715</v>
      </c>
    </row>
    <row r="729" spans="19:19" hidden="1" x14ac:dyDescent="0.25">
      <c r="S729" s="31">
        <v>716</v>
      </c>
    </row>
    <row r="730" spans="19:19" hidden="1" x14ac:dyDescent="0.25">
      <c r="S730" s="31">
        <v>717</v>
      </c>
    </row>
    <row r="731" spans="19:19" hidden="1" x14ac:dyDescent="0.25">
      <c r="S731" s="31">
        <v>718</v>
      </c>
    </row>
    <row r="732" spans="19:19" hidden="1" x14ac:dyDescent="0.25">
      <c r="S732" s="31">
        <v>719</v>
      </c>
    </row>
    <row r="733" spans="19:19" hidden="1" x14ac:dyDescent="0.25">
      <c r="S733" s="31">
        <v>720</v>
      </c>
    </row>
  </sheetData>
  <sheetProtection selectLockedCells="1"/>
  <mergeCells count="1">
    <mergeCell ref="B2:D2"/>
  </mergeCells>
  <dataValidations count="1">
    <dataValidation type="list" allowBlank="1" showInputMessage="1" showErrorMessage="1" sqref="C9" xr:uid="{D665AF0E-16C4-48C1-A89F-F6286F815781}">
      <formula1>"1,2,3,4,6"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6" r:id="rId4" name="prtInv">
          <controlPr defaultSize="0" print="0" autoLine="0" r:id="rId5">
            <anchor moveWithCells="1">
              <from>
                <xdr:col>3</xdr:col>
                <xdr:colOff>251460</xdr:colOff>
                <xdr:row>4</xdr:row>
                <xdr:rowOff>22860</xdr:rowOff>
              </from>
              <to>
                <xdr:col>3</xdr:col>
                <xdr:colOff>541020</xdr:colOff>
                <xdr:row>5</xdr:row>
                <xdr:rowOff>129540</xdr:rowOff>
              </to>
            </anchor>
          </controlPr>
        </control>
      </mc:Choice>
      <mc:Fallback>
        <control shapeId="12296" r:id="rId4" name="prtInv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Periodic</vt:lpstr>
      <vt:lpstr>Periodic!GoalYears</vt:lpstr>
      <vt:lpstr>Periodic!GRate</vt:lpstr>
      <vt:lpstr>Periodic!SIPAmount</vt:lpstr>
      <vt:lpstr>Periodic!SIPGoal</vt:lpstr>
      <vt:lpstr>SIPGoalTax</vt:lpstr>
      <vt:lpstr>SIPGwTax</vt:lpstr>
      <vt:lpstr>SRate</vt:lpstr>
      <vt:lpstr>TaxRate</vt:lpstr>
      <vt:lpstr>Periodic!TotalInv</vt:lpstr>
      <vt:lpstr>Periodic!TotalLumpsum</vt:lpstr>
    </vt:vector>
  </TitlesOfParts>
  <Company>Jain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FinOptic Periodic Investment</dc:title>
  <dc:creator>Reddi, Sasmith</dc:creator>
  <dc:description>COPYRIGHT PROTECTED - FinOptic Financial Services, Hyderabad, India</dc:description>
  <cp:lastModifiedBy>Sasmith Reddi</cp:lastModifiedBy>
  <cp:lastPrinted>2025-07-06T06:24:52Z</cp:lastPrinted>
  <dcterms:created xsi:type="dcterms:W3CDTF">1996-10-14T23:33:28Z</dcterms:created>
  <dcterms:modified xsi:type="dcterms:W3CDTF">2026-08-10T04:52:56Z</dcterms:modified>
  <cp:contentStatus>Jul 4 2017</cp:contentStatus>
</cp:coreProperties>
</file>