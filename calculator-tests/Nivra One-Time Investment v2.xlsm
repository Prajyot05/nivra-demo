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Unprotected\"/>
    </mc:Choice>
  </mc:AlternateContent>
  <xr:revisionPtr revIDLastSave="0" documentId="8_{C5A3B954-3805-4181-A458-3D65697CF731}" xr6:coauthVersionLast="47" xr6:coauthVersionMax="47" xr10:uidLastSave="{00000000-0000-0000-0000-000000000000}"/>
  <bookViews>
    <workbookView xWindow="-108" yWindow="-108" windowWidth="23256" windowHeight="12456" tabRatio="716" xr2:uid="{00000000-000D-0000-FFFF-FFFF00000000}"/>
  </bookViews>
  <sheets>
    <sheet name="One-Time Investment" sheetId="29" r:id="rId1"/>
  </sheets>
  <functionGroups builtInGroupCount="19"/>
  <definedNames>
    <definedName name="_xleta.DATEVALUE" hidden="1" xlm="1">#NAME?</definedName>
    <definedName name="_xleta.FV" hidden="1" xlm="1">#NAME?</definedName>
    <definedName name="_xleta.IF" hidden="1" xlm="1">#NAME?</definedName>
    <definedName name="_xleta.MONTH" hidden="1" xlm="1">#NAME?</definedName>
    <definedName name="_xleta.OFFSET" hidden="1" xlm="1">#NAME?</definedName>
    <definedName name="_xleta.QUOTIENT" hidden="1" xlm="1">#NAME?</definedName>
    <definedName name="_xleta.TODAY" hidden="1" xlm="1">#NAME?</definedName>
    <definedName name="OTFinalAmt" localSheetId="0">'One-Time Investment'!$C$8</definedName>
    <definedName name="OTFullReturnGraph">OFFSET('One-Time Investment'!$M$6,0,0,'One-Time Investment'!$O$1,1)</definedName>
    <definedName name="OTInflationRate" localSheetId="0">'One-Time Investment'!$C$11</definedName>
    <definedName name="OTInflationReturnGraph">OFFSET('One-Time Investment'!$N$6,0,0,'One-Time Investment'!$O$1,1)</definedName>
    <definedName name="OTInvest" localSheetId="0">'One-Time Investment'!$C$4</definedName>
    <definedName name="OTYears">'One-Time Investment'!$C$5</definedName>
    <definedName name="OTYield" localSheetId="0">'One-Time Investment'!$C$6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9" l="1"/>
  <c r="C12" i="29" s="1"/>
  <c r="O1" i="29"/>
  <c r="M10" i="29" s="1"/>
  <c r="L3" i="29"/>
  <c r="B5" i="29"/>
  <c r="M21" i="29" l="1"/>
  <c r="N21" i="29" s="1"/>
  <c r="M8" i="29"/>
  <c r="N8" i="29" s="1"/>
  <c r="M56" i="29"/>
  <c r="N56" i="29" s="1"/>
  <c r="M45" i="29"/>
  <c r="N45" i="29" s="1"/>
  <c r="M44" i="29"/>
  <c r="N44" i="29" s="1"/>
  <c r="M33" i="29"/>
  <c r="N33" i="29" s="1"/>
  <c r="M32" i="29"/>
  <c r="M20" i="29"/>
  <c r="N20" i="29" s="1"/>
  <c r="M9" i="29"/>
  <c r="N9" i="29" s="1"/>
  <c r="C14" i="29"/>
  <c r="C18" i="29"/>
  <c r="M57" i="29"/>
  <c r="N57" i="29" s="1"/>
  <c r="M7" i="29"/>
  <c r="N7" i="29" s="1"/>
  <c r="M54" i="29"/>
  <c r="N54" i="29" s="1"/>
  <c r="M42" i="29"/>
  <c r="N42" i="29" s="1"/>
  <c r="M30" i="29"/>
  <c r="N30" i="29" s="1"/>
  <c r="M18" i="29"/>
  <c r="N18" i="29" s="1"/>
  <c r="M65" i="29"/>
  <c r="N65" i="29" s="1"/>
  <c r="M53" i="29"/>
  <c r="N53" i="29" s="1"/>
  <c r="M41" i="29"/>
  <c r="N41" i="29" s="1"/>
  <c r="M29" i="29"/>
  <c r="N29" i="29" s="1"/>
  <c r="M17" i="29"/>
  <c r="N17" i="29" s="1"/>
  <c r="M64" i="29"/>
  <c r="N64" i="29" s="1"/>
  <c r="M52" i="29"/>
  <c r="N52" i="29" s="1"/>
  <c r="M40" i="29"/>
  <c r="N40" i="29" s="1"/>
  <c r="M28" i="29"/>
  <c r="N28" i="29" s="1"/>
  <c r="M16" i="29"/>
  <c r="N16" i="29" s="1"/>
  <c r="R3" i="29"/>
  <c r="M63" i="29"/>
  <c r="N63" i="29" s="1"/>
  <c r="M51" i="29"/>
  <c r="N51" i="29" s="1"/>
  <c r="M39" i="29"/>
  <c r="N39" i="29" s="1"/>
  <c r="M27" i="29"/>
  <c r="N27" i="29" s="1"/>
  <c r="M15" i="29"/>
  <c r="N15" i="29" s="1"/>
  <c r="R4" i="29"/>
  <c r="M62" i="29"/>
  <c r="N62" i="29" s="1"/>
  <c r="M50" i="29"/>
  <c r="N50" i="29" s="1"/>
  <c r="M38" i="29"/>
  <c r="N38" i="29" s="1"/>
  <c r="M26" i="29"/>
  <c r="N26" i="29" s="1"/>
  <c r="M14" i="29"/>
  <c r="N14" i="29" s="1"/>
  <c r="R5" i="29"/>
  <c r="M61" i="29"/>
  <c r="N61" i="29" s="1"/>
  <c r="M49" i="29"/>
  <c r="N49" i="29" s="1"/>
  <c r="M37" i="29"/>
  <c r="N37" i="29" s="1"/>
  <c r="M25" i="29"/>
  <c r="N25" i="29" s="1"/>
  <c r="M13" i="29"/>
  <c r="N13" i="29" s="1"/>
  <c r="R6" i="29"/>
  <c r="M60" i="29"/>
  <c r="N60" i="29" s="1"/>
  <c r="M48" i="29"/>
  <c r="N48" i="29" s="1"/>
  <c r="M36" i="29"/>
  <c r="N36" i="29" s="1"/>
  <c r="M24" i="29"/>
  <c r="N24" i="29" s="1"/>
  <c r="M12" i="29"/>
  <c r="N12" i="29" s="1"/>
  <c r="C15" i="29"/>
  <c r="M6" i="29"/>
  <c r="N6" i="29" s="1"/>
  <c r="M55" i="29"/>
  <c r="N55" i="29" s="1"/>
  <c r="M43" i="29"/>
  <c r="N43" i="29" s="1"/>
  <c r="M31" i="29"/>
  <c r="N31" i="29" s="1"/>
  <c r="M19" i="29"/>
  <c r="N19" i="29" s="1"/>
  <c r="M59" i="29"/>
  <c r="N59" i="29" s="1"/>
  <c r="M47" i="29"/>
  <c r="N47" i="29" s="1"/>
  <c r="M35" i="29"/>
  <c r="N35" i="29" s="1"/>
  <c r="M23" i="29"/>
  <c r="N23" i="29" s="1"/>
  <c r="M11" i="29"/>
  <c r="N11" i="29" s="1"/>
  <c r="M58" i="29"/>
  <c r="N58" i="29" s="1"/>
  <c r="M46" i="29"/>
  <c r="N46" i="29" s="1"/>
  <c r="M34" i="29"/>
  <c r="N34" i="29" s="1"/>
  <c r="M22" i="29"/>
  <c r="N22" i="29" s="1"/>
  <c r="N32" i="29"/>
  <c r="N10" i="29"/>
  <c r="S6" i="29" l="1"/>
  <c r="S3" i="29"/>
  <c r="C19" i="29"/>
  <c r="S4" i="29"/>
  <c r="S5" i="29"/>
</calcChain>
</file>

<file path=xl/sharedStrings.xml><?xml version="1.0" encoding="utf-8"?>
<sst xmlns="http://schemas.openxmlformats.org/spreadsheetml/2006/main" count="26" uniqueCount="25">
  <si>
    <t>Months</t>
  </si>
  <si>
    <t>Inflation Rate/Year</t>
  </si>
  <si>
    <t>Cost of Delay</t>
  </si>
  <si>
    <t>Delay in Investing - Months</t>
  </si>
  <si>
    <t>Inflation Adjusted Value after term (Rs.)</t>
  </si>
  <si>
    <t>Inflation Adjusted Value</t>
  </si>
  <si>
    <t>Return</t>
  </si>
  <si>
    <t>Inflation Adjusted</t>
  </si>
  <si>
    <t>Maturity Value at the End of Term (Rs.)</t>
  </si>
  <si>
    <t>Total Invested</t>
  </si>
  <si>
    <t>Absolute Gain</t>
  </si>
  <si>
    <t>Inflation Adjusted Gain</t>
  </si>
  <si>
    <t>One-Time Investment Calculator</t>
  </si>
  <si>
    <t>Yearly</t>
  </si>
  <si>
    <t>* For Educational Purposes Only</t>
  </si>
  <si>
    <t>Maturity Value with Delay</t>
  </si>
  <si>
    <t>Investment Amount</t>
  </si>
  <si>
    <t>Expected Rate of Return</t>
  </si>
  <si>
    <t>Value at Maturity</t>
  </si>
  <si>
    <t>Cost</t>
  </si>
  <si>
    <t>Total Years</t>
  </si>
  <si>
    <t>Name:</t>
  </si>
  <si>
    <t>Age:</t>
  </si>
  <si>
    <t>Mr. Hiresh Singania</t>
  </si>
  <si>
    <t>© Copyright Nivra Fintech LLC,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</si>
</sst>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164" formatCode="_ [$₹-4009]\ * #,##0_ ;_ [$₹-4009]\ * \-#,##0_ ;_ [$₹-4009]\ * &quot;-&quot;??_ ;_ @_ "/>
    <numFmt numFmtId="165" formatCode="_ &quot;₹&quot;\ * #,##0_ ;_ &quot;₹&quot;\ * \-#,##0_ ;_ &quot;₹&quot;\ * &quot;-&quot;??_ ;_ @_ 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FF0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002060"/>
      <name val="Arial"/>
      <family val="2"/>
    </font>
    <font>
      <sz val="10"/>
      <color rgb="FF002060"/>
      <name val="Arial"/>
      <family val="2"/>
    </font>
    <font>
      <b/>
      <i/>
      <sz val="10"/>
      <color rgb="FF00206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6"/>
      <color theme="8" tint="-0.499984740745262"/>
      <name val="Arial"/>
      <family val="2"/>
    </font>
    <font>
      <i/>
      <sz val="10"/>
      <name val="Arial"/>
      <family val="2"/>
    </font>
    <font>
      <b/>
      <sz val="10"/>
      <color theme="7" tint="-0.499984740745262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7F6FD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164" fontId="0" fillId="2" borderId="1" xfId="0" applyNumberForma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0" xfId="0" applyFill="1" applyAlignment="1" applyProtection="1">
      <alignment vertical="center"/>
      <protection hidden="1"/>
    </xf>
    <xf numFmtId="0" fontId="5" fillId="4" borderId="1" xfId="0" applyFont="1" applyFill="1" applyBorder="1" applyAlignment="1" applyProtection="1">
      <alignment vertical="center"/>
      <protection hidden="1"/>
    </xf>
    <xf numFmtId="164" fontId="6" fillId="5" borderId="0" xfId="0" applyNumberFormat="1" applyFont="1" applyFill="1" applyAlignment="1" applyProtection="1">
      <alignment vertical="center"/>
      <protection hidden="1"/>
    </xf>
    <xf numFmtId="0" fontId="9" fillId="3" borderId="1" xfId="0" applyFont="1" applyFill="1" applyBorder="1" applyAlignment="1" applyProtection="1">
      <alignment vertical="center"/>
      <protection hidden="1"/>
    </xf>
    <xf numFmtId="0" fontId="8" fillId="3" borderId="1" xfId="0" applyFont="1" applyFill="1" applyBorder="1" applyAlignment="1" applyProtection="1">
      <alignment vertical="center"/>
      <protection hidden="1"/>
    </xf>
    <xf numFmtId="10" fontId="0" fillId="2" borderId="1" xfId="0" applyNumberFormat="1" applyFill="1" applyBorder="1" applyAlignment="1" applyProtection="1">
      <alignment vertical="center"/>
      <protection locked="0"/>
    </xf>
    <xf numFmtId="10" fontId="8" fillId="2" borderId="1" xfId="0" applyNumberFormat="1" applyFont="1" applyFill="1" applyBorder="1" applyAlignment="1" applyProtection="1">
      <alignment vertical="center"/>
      <protection locked="0"/>
    </xf>
    <xf numFmtId="0" fontId="6" fillId="6" borderId="0" xfId="0" applyFont="1" applyFill="1" applyAlignment="1" applyProtection="1">
      <alignment vertical="center"/>
      <protection hidden="1"/>
    </xf>
    <xf numFmtId="0" fontId="8" fillId="7" borderId="1" xfId="0" applyFont="1" applyFill="1" applyBorder="1" applyAlignment="1" applyProtection="1">
      <alignment vertical="center"/>
      <protection hidden="1"/>
    </xf>
    <xf numFmtId="0" fontId="7" fillId="8" borderId="1" xfId="0" applyFont="1" applyFill="1" applyBorder="1" applyAlignment="1" applyProtection="1">
      <alignment vertical="center"/>
      <protection hidden="1"/>
    </xf>
    <xf numFmtId="164" fontId="14" fillId="8" borderId="1" xfId="0" applyNumberFormat="1" applyFont="1" applyFill="1" applyBorder="1" applyAlignment="1" applyProtection="1">
      <alignment vertical="center"/>
      <protection hidden="1"/>
    </xf>
    <xf numFmtId="0" fontId="10" fillId="9" borderId="2" xfId="0" applyFont="1" applyFill="1" applyBorder="1" applyAlignment="1" applyProtection="1">
      <alignment vertical="center"/>
      <protection hidden="1"/>
    </xf>
    <xf numFmtId="164" fontId="10" fillId="9" borderId="2" xfId="0" applyNumberFormat="1" applyFont="1" applyFill="1" applyBorder="1" applyAlignment="1" applyProtection="1">
      <alignment vertical="center"/>
      <protection hidden="1"/>
    </xf>
    <xf numFmtId="0" fontId="5" fillId="10" borderId="1" xfId="0" applyFont="1" applyFill="1" applyBorder="1" applyAlignment="1" applyProtection="1">
      <alignment vertical="center"/>
      <protection hidden="1"/>
    </xf>
    <xf numFmtId="0" fontId="11" fillId="11" borderId="1" xfId="0" applyFont="1" applyFill="1" applyBorder="1" applyAlignment="1" applyProtection="1">
      <alignment vertical="center"/>
      <protection hidden="1"/>
    </xf>
    <xf numFmtId="0" fontId="0" fillId="10" borderId="1" xfId="0" applyFill="1" applyBorder="1" applyAlignment="1" applyProtection="1">
      <alignment vertical="center"/>
      <protection hidden="1"/>
    </xf>
    <xf numFmtId="0" fontId="5" fillId="11" borderId="1" xfId="0" applyFont="1" applyFill="1" applyBorder="1" applyAlignment="1" applyProtection="1">
      <alignment vertical="center"/>
      <protection hidden="1"/>
    </xf>
    <xf numFmtId="165" fontId="5" fillId="11" borderId="1" xfId="0" applyNumberFormat="1" applyFont="1" applyFill="1" applyBorder="1" applyAlignment="1" applyProtection="1">
      <alignment vertical="center"/>
      <protection hidden="1"/>
    </xf>
    <xf numFmtId="0" fontId="11" fillId="12" borderId="1" xfId="0" applyFont="1" applyFill="1" applyBorder="1" applyAlignment="1" applyProtection="1">
      <alignment vertical="center"/>
      <protection hidden="1"/>
    </xf>
    <xf numFmtId="165" fontId="11" fillId="12" borderId="1" xfId="0" applyNumberFormat="1" applyFont="1" applyFill="1" applyBorder="1" applyAlignment="1" applyProtection="1">
      <alignment vertical="center"/>
      <protection hidden="1"/>
    </xf>
    <xf numFmtId="0" fontId="14" fillId="8" borderId="2" xfId="0" applyFont="1" applyFill="1" applyBorder="1" applyAlignment="1" applyProtection="1">
      <alignment vertical="center"/>
      <protection hidden="1"/>
    </xf>
    <xf numFmtId="164" fontId="14" fillId="8" borderId="2" xfId="0" applyNumberFormat="1" applyFont="1" applyFill="1" applyBorder="1" applyAlignment="1" applyProtection="1">
      <alignment vertical="center"/>
      <protection hidden="1"/>
    </xf>
    <xf numFmtId="0" fontId="0" fillId="13" borderId="0" xfId="0" applyFill="1" applyAlignment="1" applyProtection="1">
      <alignment vertical="center"/>
      <protection hidden="1"/>
    </xf>
    <xf numFmtId="0" fontId="2" fillId="13" borderId="0" xfId="0" applyFont="1" applyFill="1" applyAlignment="1" applyProtection="1">
      <alignment vertical="center"/>
      <protection hidden="1"/>
    </xf>
    <xf numFmtId="0" fontId="11" fillId="13" borderId="0" xfId="1" applyFont="1" applyFill="1" applyAlignment="1" applyProtection="1">
      <alignment vertical="center"/>
      <protection hidden="1"/>
    </xf>
    <xf numFmtId="0" fontId="13" fillId="13" borderId="0" xfId="0" applyFont="1" applyFill="1" applyAlignment="1" applyProtection="1">
      <alignment vertical="center"/>
      <protection hidden="1"/>
    </xf>
    <xf numFmtId="1" fontId="0" fillId="13" borderId="0" xfId="0" applyNumberFormat="1" applyFill="1" applyAlignment="1" applyProtection="1">
      <alignment vertical="center"/>
      <protection hidden="1"/>
    </xf>
    <xf numFmtId="8" fontId="0" fillId="13" borderId="0" xfId="0" applyNumberFormat="1" applyFill="1" applyAlignment="1" applyProtection="1">
      <alignment vertical="center"/>
      <protection hidden="1"/>
    </xf>
    <xf numFmtId="1" fontId="3" fillId="13" borderId="0" xfId="0" applyNumberFormat="1" applyFont="1" applyFill="1" applyAlignment="1" applyProtection="1">
      <alignment vertical="center"/>
      <protection hidden="1"/>
    </xf>
    <xf numFmtId="0" fontId="1" fillId="13" borderId="0" xfId="0" applyFont="1" applyFill="1" applyAlignment="1" applyProtection="1">
      <alignment vertical="center"/>
      <protection hidden="1"/>
    </xf>
    <xf numFmtId="1" fontId="1" fillId="13" borderId="0" xfId="0" applyNumberFormat="1" applyFont="1" applyFill="1" applyAlignment="1" applyProtection="1">
      <alignment vertical="center"/>
      <protection hidden="1"/>
    </xf>
    <xf numFmtId="0" fontId="3" fillId="13" borderId="0" xfId="0" applyFont="1" applyFill="1" applyAlignment="1" applyProtection="1">
      <alignment vertical="center"/>
      <protection hidden="1"/>
    </xf>
    <xf numFmtId="0" fontId="0" fillId="13" borderId="0" xfId="0" applyFill="1" applyAlignment="1" applyProtection="1">
      <alignment vertical="center"/>
      <protection locked="0"/>
    </xf>
    <xf numFmtId="0" fontId="0" fillId="13" borderId="3" xfId="0" applyFill="1" applyBorder="1" applyAlignment="1" applyProtection="1">
      <alignment vertical="center"/>
      <protection hidden="1"/>
    </xf>
    <xf numFmtId="8" fontId="0" fillId="13" borderId="3" xfId="0" applyNumberFormat="1" applyFill="1" applyBorder="1" applyAlignment="1" applyProtection="1">
      <alignment vertical="center"/>
      <protection hidden="1"/>
    </xf>
    <xf numFmtId="0" fontId="0" fillId="13" borderId="3" xfId="0" applyFill="1" applyBorder="1" applyAlignment="1" applyProtection="1">
      <alignment horizontal="center" vertical="center"/>
      <protection hidden="1"/>
    </xf>
    <xf numFmtId="0" fontId="0" fillId="13" borderId="0" xfId="0" applyFill="1" applyAlignment="1" applyProtection="1">
      <alignment horizontal="center" vertical="center"/>
      <protection hidden="1"/>
    </xf>
    <xf numFmtId="164" fontId="3" fillId="14" borderId="0" xfId="0" quotePrefix="1" applyNumberFormat="1" applyFont="1" applyFill="1" applyAlignment="1" applyProtection="1">
      <alignment horizontal="center" vertical="center"/>
      <protection hidden="1"/>
    </xf>
    <xf numFmtId="0" fontId="1" fillId="13" borderId="0" xfId="0" applyFont="1" applyFill="1" applyAlignment="1" applyProtection="1">
      <alignment horizontal="center" vertical="center"/>
      <protection hidden="1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" fillId="2" borderId="4" xfId="1" applyFill="1" applyBorder="1" applyAlignment="1" applyProtection="1">
      <alignment horizontal="center" vertical="center"/>
      <protection locked="0"/>
    </xf>
    <xf numFmtId="0" fontId="15" fillId="13" borderId="4" xfId="1" applyFont="1" applyFill="1" applyBorder="1" applyAlignment="1" applyProtection="1">
      <alignment vertical="center"/>
      <protection hidden="1"/>
    </xf>
    <xf numFmtId="0" fontId="2" fillId="13" borderId="4" xfId="1" applyFont="1" applyFill="1" applyBorder="1" applyAlignment="1" applyProtection="1">
      <alignment vertical="center"/>
      <protection hidden="1"/>
    </xf>
    <xf numFmtId="0" fontId="12" fillId="13" borderId="0" xfId="0" applyFont="1" applyFill="1" applyAlignment="1" applyProtection="1">
      <alignment horizontal="right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3000000}"/>
  </cellStyles>
  <dxfs count="0"/>
  <tableStyles count="0" defaultTableStyle="TableStyleMedium9" defaultPivotStyle="PivotStyleLight16"/>
  <colors>
    <mruColors>
      <color rgb="FFE7F6FD"/>
      <color rgb="FFB2CBF4"/>
      <color rgb="FF4984E5"/>
      <color rgb="FF184FA8"/>
      <color rgb="FFF0FAFE"/>
      <color rgb="FFD0F4DE"/>
      <color rgb="FF9999EB"/>
      <color rgb="FF7B7BE5"/>
      <color rgb="FFE6E6FA"/>
      <color rgb="FFAED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bg1"/>
                </a:solidFill>
                <a:latin typeface="+mj-lt"/>
                <a:ea typeface="+mj-ea"/>
                <a:cs typeface="+mj-cs"/>
              </a:defRPr>
            </a:pPr>
            <a:r>
              <a:rPr lang="en-US" sz="1800" b="1" i="0" baseline="0">
                <a:solidFill>
                  <a:schemeClr val="bg1"/>
                </a:solidFill>
                <a:effectLst/>
              </a:rPr>
              <a:t>Investment Performance</a:t>
            </a:r>
            <a:endParaRPr lang="en-US">
              <a:solidFill>
                <a:schemeClr val="bg1"/>
              </a:solidFill>
              <a:effectLst/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bg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77559610408362"/>
          <c:y val="0.19437982235158724"/>
          <c:w val="0.8537768251465041"/>
          <c:h val="0.57067130297913071"/>
        </c:manualLayout>
      </c:layout>
      <c:lineChart>
        <c:grouping val="standard"/>
        <c:varyColors val="0"/>
        <c:ser>
          <c:idx val="0"/>
          <c:order val="0"/>
          <c:tx>
            <c:v>Full Return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[0]!OTFullReturnGraph</c:f>
              <c:numCache>
                <c:formatCode>0</c:formatCode>
                <c:ptCount val="16"/>
                <c:pt idx="0">
                  <c:v>5600000.0000000009</c:v>
                </c:pt>
                <c:pt idx="1">
                  <c:v>6272000.0000000009</c:v>
                </c:pt>
                <c:pt idx="2">
                  <c:v>7024640.0000000019</c:v>
                </c:pt>
                <c:pt idx="3">
                  <c:v>7867596.8000000017</c:v>
                </c:pt>
                <c:pt idx="4">
                  <c:v>8811708.416000003</c:v>
                </c:pt>
                <c:pt idx="5">
                  <c:v>9869113.425920004</c:v>
                </c:pt>
                <c:pt idx="6">
                  <c:v>11053407.037030404</c:v>
                </c:pt>
                <c:pt idx="7">
                  <c:v>12379815.881474055</c:v>
                </c:pt>
                <c:pt idx="8">
                  <c:v>13865393.787250942</c:v>
                </c:pt>
                <c:pt idx="9">
                  <c:v>15529241.041721055</c:v>
                </c:pt>
                <c:pt idx="10">
                  <c:v>17392749.966727585</c:v>
                </c:pt>
                <c:pt idx="11">
                  <c:v>19479879.962734893</c:v>
                </c:pt>
                <c:pt idx="12">
                  <c:v>21817465.558263086</c:v>
                </c:pt>
                <c:pt idx="13">
                  <c:v>24435561.425254658</c:v>
                </c:pt>
                <c:pt idx="14">
                  <c:v>27367828.796285216</c:v>
                </c:pt>
                <c:pt idx="15">
                  <c:v>30651968.251839444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3-4947-92D6-CF45CF331E08}"/>
            </c:ext>
          </c:extLst>
        </c:ser>
        <c:ser>
          <c:idx val="2"/>
          <c:order val="1"/>
          <c:tx>
            <c:v>Inflation Adjusted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[0]!OTInflationReturnGraph</c:f>
              <c:numCache>
                <c:formatCode>0</c:formatCode>
                <c:ptCount val="16"/>
                <c:pt idx="0">
                  <c:v>5295508.2742316788</c:v>
                </c:pt>
                <c:pt idx="1">
                  <c:v>5608481.576491233</c:v>
                </c:pt>
                <c:pt idx="2">
                  <c:v>5939952.1188370511</c:v>
                </c:pt>
                <c:pt idx="3">
                  <c:v>6291013.1187683176</c:v>
                </c:pt>
                <c:pt idx="4">
                  <c:v>6662822.4047475327</c:v>
                </c:pt>
                <c:pt idx="5">
                  <c:v>7056606.2348153535</c:v>
                </c:pt>
                <c:pt idx="6">
                  <c:v>7473663.3408919098</c:v>
                </c:pt>
                <c:pt idx="7">
                  <c:v>7915369.2121030157</c:v>
                </c:pt>
                <c:pt idx="8">
                  <c:v>8383180.6312580397</c:v>
                </c:pt>
                <c:pt idx="9">
                  <c:v>8878640.479441138</c:v>
                </c:pt>
                <c:pt idx="10">
                  <c:v>9403382.8245617729</c:v>
                </c:pt>
                <c:pt idx="11">
                  <c:v>9959138.3106469829</c:v>
                </c:pt>
                <c:pt idx="12">
                  <c:v>10547739.865649762</c:v>
                </c:pt>
                <c:pt idx="13">
                  <c:v>11171128.746598328</c:v>
                </c:pt>
                <c:pt idx="14">
                  <c:v>11831360.94202376</c:v>
                </c:pt>
                <c:pt idx="15">
                  <c:v>12530613.952781662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3-4947-92D6-CF45CF331E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93931344"/>
        <c:axId val="293931736"/>
      </c:lineChart>
      <c:catAx>
        <c:axId val="29393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Term in 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931736"/>
        <c:crosses val="autoZero"/>
        <c:auto val="1"/>
        <c:lblAlgn val="ctr"/>
        <c:lblOffset val="100"/>
        <c:noMultiLvlLbl val="0"/>
      </c:catAx>
      <c:valAx>
        <c:axId val="29393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FFFF00"/>
                    </a:solidFill>
                  </a:rPr>
                  <a:t>Value (Rs.)</a:t>
                </a:r>
              </a:p>
            </c:rich>
          </c:tx>
          <c:layout>
            <c:manualLayout>
              <c:xMode val="edge"/>
              <c:yMode val="edge"/>
              <c:x val="3.1274321369565081E-2"/>
              <c:y val="0.4254325196389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931344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2.9207998459894486E-2"/>
                <c:y val="0.22674296536503641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solidFill>
          <a:schemeClr val="accent4">
            <a:lumMod val="20000"/>
            <a:lumOff val="80000"/>
          </a:schemeClr>
        </a:solidFill>
        <a:ln>
          <a:noFill/>
        </a:ln>
        <a:effectLst/>
        <a:scene3d>
          <a:camera prst="orthographicFront"/>
          <a:lightRig rig="threePt" dir="t"/>
        </a:scene3d>
        <a:sp3d>
          <a:bevelT w="69850" h="120650"/>
          <a:bevelB w="152400" h="50800" prst="softRound"/>
        </a:sp3d>
      </c:spPr>
    </c:plotArea>
    <c:legend>
      <c:legendPos val="b"/>
      <c:layout>
        <c:manualLayout>
          <c:xMode val="edge"/>
          <c:yMode val="edge"/>
          <c:x val="0.15173179600248671"/>
          <c:y val="0.89994083802848224"/>
          <c:w val="0.66644976185678639"/>
          <c:h val="5.9609639386631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>
      <a:gsLst>
        <a:gs pos="0">
          <a:srgbClr val="B2CBF4"/>
        </a:gs>
        <a:gs pos="30000">
          <a:srgbClr val="4984E5"/>
        </a:gs>
        <a:gs pos="97000">
          <a:srgbClr val="184FA8"/>
        </a:gs>
      </a:gsLst>
      <a:path path="circle">
        <a:fillToRect l="50000" t="50000" r="50000" b="50000"/>
      </a:path>
    </a:gradFill>
    <a:ln w="28575" cap="flat" cmpd="sng" algn="ctr">
      <a:solidFill>
        <a:schemeClr val="bg1"/>
      </a:solidFill>
      <a:round/>
    </a:ln>
    <a:effectLst/>
    <a:scene3d>
      <a:camera prst="orthographicFront"/>
      <a:lightRig rig="threePt" dir="t"/>
    </a:scene3d>
    <a:sp3d>
      <a:bevelT w="63500" prst="relaxedInset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6.png"/><Relationship Id="rId1" Type="http://schemas.openxmlformats.org/officeDocument/2006/relationships/chart" Target="../charts/chart1.xml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5</xdr:row>
          <xdr:rowOff>68580</xdr:rowOff>
        </xdr:from>
        <xdr:to>
          <xdr:col>4</xdr:col>
          <xdr:colOff>182880</xdr:colOff>
          <xdr:row>5</xdr:row>
          <xdr:rowOff>213360</xdr:rowOff>
        </xdr:to>
        <xdr:sp macro="" textlink="">
          <xdr:nvSpPr>
            <xdr:cNvPr id="8193" name="GainPercen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10</xdr:row>
          <xdr:rowOff>45720</xdr:rowOff>
        </xdr:from>
        <xdr:to>
          <xdr:col>4</xdr:col>
          <xdr:colOff>182880</xdr:colOff>
          <xdr:row>10</xdr:row>
          <xdr:rowOff>190500</xdr:rowOff>
        </xdr:to>
        <xdr:sp macro="" textlink="">
          <xdr:nvSpPr>
            <xdr:cNvPr id="8194" name="InfPercen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6</xdr:col>
      <xdr:colOff>0</xdr:colOff>
      <xdr:row>5</xdr:row>
      <xdr:rowOff>164333</xdr:rowOff>
    </xdr:from>
    <xdr:to>
      <xdr:col>8</xdr:col>
      <xdr:colOff>3428999</xdr:colOff>
      <xdr:row>19</xdr:row>
      <xdr:rowOff>7620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4</xdr:row>
          <xdr:rowOff>83820</xdr:rowOff>
        </xdr:from>
        <xdr:to>
          <xdr:col>4</xdr:col>
          <xdr:colOff>182880</xdr:colOff>
          <xdr:row>4</xdr:row>
          <xdr:rowOff>228600</xdr:rowOff>
        </xdr:to>
        <xdr:sp macro="" textlink="">
          <xdr:nvSpPr>
            <xdr:cNvPr id="8195" name="TermSlider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3</xdr:row>
          <xdr:rowOff>60960</xdr:rowOff>
        </xdr:from>
        <xdr:to>
          <xdr:col>4</xdr:col>
          <xdr:colOff>182880</xdr:colOff>
          <xdr:row>3</xdr:row>
          <xdr:rowOff>205740</xdr:rowOff>
        </xdr:to>
        <xdr:sp macro="" textlink="">
          <xdr:nvSpPr>
            <xdr:cNvPr id="8198" name="InvAmount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8</xdr:col>
      <xdr:colOff>1905190</xdr:colOff>
      <xdr:row>7</xdr:row>
      <xdr:rowOff>89007</xdr:rowOff>
    </xdr:from>
    <xdr:to>
      <xdr:col>8</xdr:col>
      <xdr:colOff>3129190</xdr:colOff>
      <xdr:row>7</xdr:row>
      <xdr:rowOff>303081</xdr:rowOff>
    </xdr:to>
    <xdr:sp macro="" textlink="OTFinalAmt">
      <xdr:nvSpPr>
        <xdr:cNvPr id="10" name="MatValU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9578530" y="1628247"/>
          <a:ext cx="1224000" cy="214074"/>
        </a:xfrm>
        <a:prstGeom prst="rect">
          <a:avLst/>
        </a:prstGeom>
        <a:noFill/>
        <a:ln w="9525" cmpd="sng">
          <a:noFill/>
        </a:ln>
        <a:scene3d>
          <a:camera prst="orthographicFront"/>
          <a:lightRig rig="threePt" dir="t"/>
        </a:scene3d>
        <a:sp3d>
          <a:bevelB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FE078CA-F2B1-402A-8A51-C44F6D5DEB4A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l"/>
            <a:t> ₹ 3,06,51,968 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1232408</xdr:colOff>
      <xdr:row>7</xdr:row>
      <xdr:rowOff>111867</xdr:rowOff>
    </xdr:from>
    <xdr:to>
      <xdr:col>8</xdr:col>
      <xdr:colOff>615188</xdr:colOff>
      <xdr:row>7</xdr:row>
      <xdr:rowOff>325941</xdr:rowOff>
    </xdr:to>
    <xdr:sp macro="" textlink="L3">
      <xdr:nvSpPr>
        <xdr:cNvPr id="11" name="TotalInvestedValue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336028" y="1651107"/>
          <a:ext cx="952500" cy="214074"/>
        </a:xfrm>
        <a:prstGeom prst="rect">
          <a:avLst/>
        </a:prstGeom>
        <a:noFill/>
        <a:ln w="9525" cmpd="sng">
          <a:noFill/>
        </a:ln>
        <a:scene3d>
          <a:camera prst="orthographicFront"/>
          <a:lightRig rig="threePt" dir="t"/>
        </a:scene3d>
        <a:sp3d>
          <a:bevelB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20F0550-8EF9-467D-B30C-55774C5EA2D9}" type="TxLink">
            <a:rPr lang="en-US" sz="1000" b="1" i="0" u="none" strike="noStrike">
              <a:solidFill>
                <a:srgbClr val="FFFF00"/>
              </a:solidFill>
              <a:latin typeface="Arial"/>
              <a:cs typeface="Arial"/>
            </a:rPr>
            <a:pPr algn="l"/>
            <a:t> ₹ 50,00,000 </a:t>
          </a:fld>
          <a:endParaRPr lang="en-US" sz="1100" b="1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7</xdr:col>
      <xdr:colOff>285892</xdr:colOff>
      <xdr:row>7</xdr:row>
      <xdr:rowOff>92196</xdr:rowOff>
    </xdr:from>
    <xdr:to>
      <xdr:col>7</xdr:col>
      <xdr:colOff>1450689</xdr:colOff>
      <xdr:row>7</xdr:row>
      <xdr:rowOff>341047</xdr:rowOff>
    </xdr:to>
    <xdr:sp macro="" textlink="">
      <xdr:nvSpPr>
        <xdr:cNvPr id="12" name="TotalInvested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389512" y="1631436"/>
          <a:ext cx="1164797" cy="2488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" b="1" i="0" u="none" strike="noStrike" cap="none" spc="0">
              <a:ln w="0"/>
              <a:solidFill>
                <a:srgbClr val="FFFF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Total Invested:</a:t>
          </a:r>
          <a:endParaRPr lang="en-US" sz="1000" b="1" cap="none" spc="0">
            <a:ln w="0"/>
            <a:solidFill>
              <a:srgbClr val="FFFF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8</xdr:col>
      <xdr:colOff>904302</xdr:colOff>
      <xdr:row>7</xdr:row>
      <xdr:rowOff>92752</xdr:rowOff>
    </xdr:from>
    <xdr:to>
      <xdr:col>8</xdr:col>
      <xdr:colOff>2069099</xdr:colOff>
      <xdr:row>7</xdr:row>
      <xdr:rowOff>341603</xdr:rowOff>
    </xdr:to>
    <xdr:sp macro="" textlink="">
      <xdr:nvSpPr>
        <xdr:cNvPr id="13" name="MaturityValue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577642" y="1631992"/>
          <a:ext cx="1164797" cy="2488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" b="1" i="0" u="none" strike="noStrike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Maturity</a:t>
          </a:r>
          <a:r>
            <a:rPr lang="en-US" sz="1000" b="1" i="0" u="none" strike="noStrike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 Value</a:t>
          </a:r>
          <a:r>
            <a:rPr lang="en-US" sz="1000" b="1" i="0" u="none" strike="noStrike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"/>
              <a:cs typeface="Arial"/>
            </a:rPr>
            <a:t>:</a:t>
          </a:r>
          <a:endParaRPr lang="en-US" sz="10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6</xdr:col>
      <xdr:colOff>182879</xdr:colOff>
      <xdr:row>6</xdr:row>
      <xdr:rowOff>30480</xdr:rowOff>
    </xdr:from>
    <xdr:to>
      <xdr:col>6</xdr:col>
      <xdr:colOff>722879</xdr:colOff>
      <xdr:row>7</xdr:row>
      <xdr:rowOff>132088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2EFB8AD-6C9C-446D-8236-8E9142585252}"/>
            </a:ext>
          </a:extLst>
        </xdr:cNvPr>
        <xdr:cNvSpPr/>
      </xdr:nvSpPr>
      <xdr:spPr>
        <a:xfrm>
          <a:off x="5554979" y="1402080"/>
          <a:ext cx="540000" cy="26924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221003</xdr:colOff>
      <xdr:row>6</xdr:row>
      <xdr:rowOff>76207</xdr:rowOff>
    </xdr:from>
    <xdr:to>
      <xdr:col>6</xdr:col>
      <xdr:colOff>711205</xdr:colOff>
      <xdr:row>7</xdr:row>
      <xdr:rowOff>83676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47FF14-7C5D-4656-A861-6F3F7B86D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3103" y="1447807"/>
          <a:ext cx="490202" cy="1751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7</xdr:row>
          <xdr:rowOff>45720</xdr:rowOff>
        </xdr:from>
        <xdr:to>
          <xdr:col>5</xdr:col>
          <xdr:colOff>327660</xdr:colOff>
          <xdr:row>7</xdr:row>
          <xdr:rowOff>320040</xdr:rowOff>
        </xdr:to>
        <xdr:sp macro="" textlink="">
          <xdr:nvSpPr>
            <xdr:cNvPr id="8207" name="prtInvestment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205740</xdr:colOff>
      <xdr:row>0</xdr:row>
      <xdr:rowOff>68580</xdr:rowOff>
    </xdr:from>
    <xdr:to>
      <xdr:col>1</xdr:col>
      <xdr:colOff>1312833</xdr:colOff>
      <xdr:row>2</xdr:row>
      <xdr:rowOff>56072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1D60833-9ACC-4CD5-9DDD-841C591F4BFC}"/>
            </a:ext>
          </a:extLst>
        </xdr:cNvPr>
        <xdr:cNvGrpSpPr/>
      </xdr:nvGrpSpPr>
      <xdr:grpSpPr>
        <a:xfrm>
          <a:off x="205740" y="68580"/>
          <a:ext cx="1427133" cy="421832"/>
          <a:chOff x="220134" y="42333"/>
          <a:chExt cx="1427133" cy="421832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B9949F77-F02D-D250-567F-17EC8F1384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134" y="42333"/>
            <a:ext cx="423333" cy="421832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31B2907E-6656-4661-4E89-3821D2DEE62A}"/>
              </a:ext>
            </a:extLst>
          </xdr:cNvPr>
          <xdr:cNvSpPr/>
        </xdr:nvSpPr>
        <xdr:spPr>
          <a:xfrm>
            <a:off x="567267" y="152399"/>
            <a:ext cx="1080000" cy="270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rgbClr val="AA9B28"/>
                </a:solidFill>
                <a:latin typeface="Aptos Narrow" panose="020B0004020202020204" pitchFamily="34" charset="0"/>
              </a:rPr>
              <a:t>NIVRA</a:t>
            </a:r>
            <a:r>
              <a:rPr lang="en-US" sz="1100" baseline="0">
                <a:solidFill>
                  <a:srgbClr val="AA9B28"/>
                </a:solidFill>
                <a:latin typeface="Aptos Narrow" panose="020B0004020202020204" pitchFamily="34" charset="0"/>
              </a:rPr>
              <a:t> FINTECH</a:t>
            </a:r>
            <a:endParaRPr lang="en-US" sz="1100">
              <a:solidFill>
                <a:srgbClr val="AA9B28"/>
              </a:solidFill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Atlas">
  <a:themeElements>
    <a:clrScheme name="Atlas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F81B02"/>
      </a:accent1>
      <a:accent2>
        <a:srgbClr val="FC7715"/>
      </a:accent2>
      <a:accent3>
        <a:srgbClr val="AFBF41"/>
      </a:accent3>
      <a:accent4>
        <a:srgbClr val="50C49F"/>
      </a:accent4>
      <a:accent5>
        <a:srgbClr val="3B95C4"/>
      </a:accent5>
      <a:accent6>
        <a:srgbClr val="B560D4"/>
      </a:accent6>
      <a:hlink>
        <a:srgbClr val="FC5A1A"/>
      </a:hlink>
      <a:folHlink>
        <a:srgbClr val="B49E74"/>
      </a:folHlink>
    </a:clrScheme>
    <a:fontScheme name="Atlas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tlas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alpha val="60000"/>
                <a:satMod val="109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4000"/>
                <a:satMod val="130000"/>
                <a:lumMod val="92000"/>
              </a:schemeClr>
            </a:gs>
            <a:gs pos="100000">
              <a:schemeClr val="phClr">
                <a:shade val="76000"/>
                <a:satMod val="130000"/>
                <a:lumMod val="88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90000"/>
            </a:schemeClr>
          </a:solidFill>
          <a:prstDash val="solid"/>
        </a:ln>
        <a:ln w="15875" cap="flat" cmpd="sng" algn="ctr">
          <a:solidFill>
            <a:schemeClr val="phClr">
              <a:shade val="9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0" h="0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10000">
              <a:schemeClr val="phClr">
                <a:tint val="94000"/>
                <a:lumMod val="116000"/>
              </a:schemeClr>
            </a:gs>
            <a:gs pos="100000">
              <a:schemeClr val="phClr">
                <a:tint val="98000"/>
                <a:shade val="86000"/>
                <a:satMod val="90000"/>
                <a:lumMod val="88000"/>
              </a:schemeClr>
            </a:gs>
          </a:gsLst>
          <a:path path="circle">
            <a:fillToRect l="50000" t="15000" r="50000" b="169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tlas" id="{5156B0E4-0EB1-49FE-A26B-15F6F698AEC6}" vid="{508F7963-D0B5-43F7-BB2C-FCE3009C08EC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neTimeInvestment">
    <tabColor theme="8" tint="-0.249977111117893"/>
    <pageSetUpPr fitToPage="1"/>
  </sheetPr>
  <dimension ref="A1:S65"/>
  <sheetViews>
    <sheetView showGridLines="0" tabSelected="1" zoomScaleNormal="100" workbookViewId="0">
      <selection activeCell="C4" sqref="C4"/>
    </sheetView>
  </sheetViews>
  <sheetFormatPr defaultColWidth="0" defaultRowHeight="0" customHeight="1" zeroHeight="1" x14ac:dyDescent="0.25"/>
  <cols>
    <col min="1" max="1" width="4.6640625" style="27" customWidth="1"/>
    <col min="2" max="2" width="37.88671875" style="27" customWidth="1"/>
    <col min="3" max="3" width="15.6640625" style="27" customWidth="1"/>
    <col min="4" max="4" width="9.109375" style="27" customWidth="1"/>
    <col min="5" max="5" width="4.33203125" style="27" customWidth="1"/>
    <col min="6" max="6" width="6.6640625" style="27" customWidth="1"/>
    <col min="7" max="7" width="10.6640625" style="27" customWidth="1"/>
    <col min="8" max="8" width="22.88671875" style="27" customWidth="1"/>
    <col min="9" max="9" width="54.21875" style="27" customWidth="1"/>
    <col min="10" max="11" width="9.109375" style="27" hidden="1" customWidth="1"/>
    <col min="12" max="12" width="12.44140625" style="41" hidden="1" customWidth="1"/>
    <col min="13" max="13" width="8.33203125" style="31" hidden="1" customWidth="1"/>
    <col min="14" max="14" width="15.33203125" style="31" hidden="1" customWidth="1"/>
    <col min="15" max="15" width="9.109375" style="27" hidden="1" customWidth="1"/>
    <col min="16" max="16" width="13.33203125" style="27" hidden="1" customWidth="1"/>
    <col min="17" max="17" width="9.109375" style="27" hidden="1" customWidth="1"/>
    <col min="18" max="18" width="14.6640625" style="27" hidden="1" customWidth="1"/>
    <col min="19" max="16384" width="9.109375" style="27" hidden="1"/>
  </cols>
  <sheetData>
    <row r="1" spans="2:19" ht="13.2" x14ac:dyDescent="0.25">
      <c r="N1" s="35" t="s">
        <v>20</v>
      </c>
      <c r="O1" s="27">
        <f>OTYears</f>
        <v>16</v>
      </c>
      <c r="Q1" s="28" t="s">
        <v>2</v>
      </c>
      <c r="R1" s="28"/>
    </row>
    <row r="2" spans="2:19" ht="21" x14ac:dyDescent="0.25">
      <c r="B2" s="48" t="s">
        <v>12</v>
      </c>
      <c r="C2" s="48"/>
      <c r="D2" s="48"/>
      <c r="E2" s="48"/>
      <c r="M2" s="35"/>
      <c r="Q2" s="34" t="s">
        <v>0</v>
      </c>
      <c r="R2" s="34" t="s">
        <v>18</v>
      </c>
      <c r="S2" s="34" t="s">
        <v>19</v>
      </c>
    </row>
    <row r="3" spans="2:19" ht="13.2" x14ac:dyDescent="0.25">
      <c r="L3" s="42">
        <f>OTInvest</f>
        <v>5000000</v>
      </c>
      <c r="M3" s="33" t="s">
        <v>9</v>
      </c>
      <c r="Q3" s="40">
        <v>3</v>
      </c>
      <c r="R3" s="39">
        <f>IF($C$8=0,0,FV(OTYield,OTYears-Q3/12,0,-OTInvest,1))</f>
        <v>29795718.42035177</v>
      </c>
      <c r="S3" s="38">
        <f>IF($C$8=0,0,OTFinalAmt-R3)</f>
        <v>856249.83148767427</v>
      </c>
    </row>
    <row r="4" spans="2:19" ht="19.5" customHeight="1" x14ac:dyDescent="0.25">
      <c r="B4" s="3" t="s">
        <v>16</v>
      </c>
      <c r="C4" s="1">
        <v>5000000</v>
      </c>
      <c r="D4" s="4"/>
      <c r="E4" s="4"/>
      <c r="G4" s="46" t="s">
        <v>21</v>
      </c>
      <c r="H4" s="44" t="s">
        <v>23</v>
      </c>
      <c r="Q4" s="40">
        <v>6</v>
      </c>
      <c r="R4" s="39">
        <f>IF($C$8=0,0,FV(OTYield,OTYears-Q4/12,0,-OTInvest,1))</f>
        <v>28963387.567505162</v>
      </c>
      <c r="S4" s="38">
        <f>IF($C$8=0,0,OTFinalAmt-R4)</f>
        <v>1688580.6843342818</v>
      </c>
    </row>
    <row r="5" spans="2:19" ht="22.5" customHeight="1" x14ac:dyDescent="0.25">
      <c r="B5" s="3" t="str">
        <f>"Term in Years"</f>
        <v>Term in Years</v>
      </c>
      <c r="C5" s="2">
        <v>16</v>
      </c>
      <c r="D5" s="5"/>
      <c r="E5" s="6"/>
      <c r="G5" s="47" t="s">
        <v>22</v>
      </c>
      <c r="H5" s="45">
        <v>32</v>
      </c>
      <c r="L5" s="43" t="s">
        <v>13</v>
      </c>
      <c r="M5" s="33" t="s">
        <v>6</v>
      </c>
      <c r="N5" s="33" t="s">
        <v>7</v>
      </c>
      <c r="O5" s="36"/>
      <c r="Q5" s="40">
        <v>9</v>
      </c>
      <c r="R5" s="39">
        <f>IF($C$8=0,0,FV(OTYield,OTYears-Q5/12,0,-OTInvest,1))</f>
        <v>28154307.526698954</v>
      </c>
      <c r="S5" s="38">
        <f>IF($C$8=0,0,OTFinalAmt-R5)</f>
        <v>2497660.7251404896</v>
      </c>
    </row>
    <row r="6" spans="2:19" ht="19.5" customHeight="1" x14ac:dyDescent="0.25">
      <c r="B6" s="3" t="s">
        <v>17</v>
      </c>
      <c r="C6" s="10">
        <v>0.12</v>
      </c>
      <c r="D6" s="4"/>
      <c r="E6" s="4"/>
      <c r="K6" s="37">
        <v>1275</v>
      </c>
      <c r="L6" s="41">
        <v>1</v>
      </c>
      <c r="M6" s="31">
        <f t="shared" ref="M6:M37" si="0">IF($O$1&gt;=L6,OTInvest*((1+OTYield)^(L6)),0)</f>
        <v>5600000.0000000009</v>
      </c>
      <c r="N6" s="31">
        <f t="shared" ref="N6:N37" si="1">M6/((1+OTInflationRate)^(L6))</f>
        <v>5295508.2742316788</v>
      </c>
      <c r="Q6" s="40">
        <v>12</v>
      </c>
      <c r="R6" s="39">
        <f>IF($C$8=0,0,FV(OTYield,OTYears-Q6/12,0,-OTInvest,1))</f>
        <v>27367828.796285216</v>
      </c>
      <c r="S6" s="38">
        <f>IF($C$8=0,0,OTFinalAmt-R6)</f>
        <v>3284139.4555542283</v>
      </c>
    </row>
    <row r="7" spans="2:19" ht="13.2" x14ac:dyDescent="0.25">
      <c r="K7" s="27">
        <v>575</v>
      </c>
      <c r="L7" s="41">
        <v>2</v>
      </c>
      <c r="M7" s="31">
        <f t="shared" si="0"/>
        <v>6272000.0000000009</v>
      </c>
      <c r="N7" s="31">
        <f t="shared" si="1"/>
        <v>5608481.576491233</v>
      </c>
    </row>
    <row r="8" spans="2:19" ht="28.5" customHeight="1" x14ac:dyDescent="0.25">
      <c r="B8" s="12" t="s">
        <v>8</v>
      </c>
      <c r="C8" s="7">
        <f>FV(OTYield,OTYears,0,-OTInvest,1)</f>
        <v>30651968.251839444</v>
      </c>
      <c r="D8" s="49"/>
      <c r="E8" s="49"/>
      <c r="L8" s="41">
        <v>3</v>
      </c>
      <c r="M8" s="31">
        <f t="shared" si="0"/>
        <v>7024640.0000000019</v>
      </c>
      <c r="N8" s="31">
        <f t="shared" si="1"/>
        <v>5939952.1188370511</v>
      </c>
    </row>
    <row r="9" spans="2:19" ht="13.2" x14ac:dyDescent="0.25">
      <c r="L9" s="41">
        <v>4</v>
      </c>
      <c r="M9" s="31">
        <f t="shared" si="0"/>
        <v>7867596.8000000017</v>
      </c>
      <c r="N9" s="31">
        <f t="shared" si="1"/>
        <v>6291013.1187683176</v>
      </c>
    </row>
    <row r="10" spans="2:19" ht="13.2" x14ac:dyDescent="0.25">
      <c r="B10" s="8" t="s">
        <v>5</v>
      </c>
      <c r="C10" s="9"/>
      <c r="D10" s="9"/>
      <c r="E10" s="9"/>
      <c r="L10" s="41">
        <v>5</v>
      </c>
      <c r="M10" s="31">
        <f t="shared" si="0"/>
        <v>8811708.416000003</v>
      </c>
      <c r="N10" s="31">
        <f t="shared" si="1"/>
        <v>6662822.4047475327</v>
      </c>
    </row>
    <row r="11" spans="2:19" ht="24.6" customHeight="1" x14ac:dyDescent="0.25">
      <c r="B11" s="13" t="s">
        <v>1</v>
      </c>
      <c r="C11" s="11">
        <v>5.7500000000000002E-2</v>
      </c>
      <c r="D11" s="13"/>
      <c r="E11" s="13"/>
      <c r="I11" s="37"/>
      <c r="L11" s="41">
        <v>6</v>
      </c>
      <c r="M11" s="31">
        <f t="shared" si="0"/>
        <v>9869113.425920004</v>
      </c>
      <c r="N11" s="31">
        <f t="shared" si="1"/>
        <v>7056606.2348153535</v>
      </c>
    </row>
    <row r="12" spans="2:19" ht="24.6" customHeight="1" x14ac:dyDescent="0.25">
      <c r="B12" s="14" t="s">
        <v>4</v>
      </c>
      <c r="C12" s="15">
        <f>OTFinalAmt/((1+OTInflationRate)^(OTYears*12/12))</f>
        <v>12530613.952781662</v>
      </c>
      <c r="D12" s="14"/>
      <c r="E12" s="14"/>
      <c r="L12" s="41">
        <v>7</v>
      </c>
      <c r="M12" s="31">
        <f t="shared" si="0"/>
        <v>11053407.037030404</v>
      </c>
      <c r="N12" s="31">
        <f t="shared" si="1"/>
        <v>7473663.3408919098</v>
      </c>
    </row>
    <row r="13" spans="2:19" ht="13.2" x14ac:dyDescent="0.25">
      <c r="L13" s="41">
        <v>8</v>
      </c>
      <c r="M13" s="31">
        <f t="shared" si="0"/>
        <v>12379815.881474055</v>
      </c>
      <c r="N13" s="31">
        <f t="shared" si="1"/>
        <v>7915369.2121030157</v>
      </c>
    </row>
    <row r="14" spans="2:19" ht="22.8" customHeight="1" x14ac:dyDescent="0.25">
      <c r="B14" s="25" t="s">
        <v>10</v>
      </c>
      <c r="C14" s="26">
        <f>OTFinalAmt-OTInvest</f>
        <v>25651968.251839444</v>
      </c>
      <c r="D14" s="25"/>
      <c r="E14" s="25"/>
      <c r="L14" s="41">
        <v>9</v>
      </c>
      <c r="M14" s="31">
        <f t="shared" si="0"/>
        <v>13865393.787250942</v>
      </c>
      <c r="N14" s="31">
        <f t="shared" si="1"/>
        <v>8383180.6312580397</v>
      </c>
    </row>
    <row r="15" spans="2:19" ht="22.8" customHeight="1" x14ac:dyDescent="0.25">
      <c r="B15" s="16" t="s">
        <v>11</v>
      </c>
      <c r="C15" s="17">
        <f>C12-OTInvest</f>
        <v>7530613.9527816623</v>
      </c>
      <c r="D15" s="16"/>
      <c r="E15" s="16"/>
      <c r="L15" s="41">
        <v>10</v>
      </c>
      <c r="M15" s="31">
        <f t="shared" si="0"/>
        <v>15529241.041721055</v>
      </c>
      <c r="N15" s="31">
        <f t="shared" si="1"/>
        <v>8878640.479441138</v>
      </c>
    </row>
    <row r="16" spans="2:19" s="28" customFormat="1" ht="15.75" customHeight="1" x14ac:dyDescent="0.25">
      <c r="L16" s="41">
        <v>11</v>
      </c>
      <c r="M16" s="31">
        <f t="shared" si="0"/>
        <v>17392749.966727585</v>
      </c>
      <c r="N16" s="31">
        <f t="shared" si="1"/>
        <v>9403382.8245617729</v>
      </c>
      <c r="O16" s="27"/>
      <c r="P16" s="27"/>
      <c r="Q16" s="27"/>
    </row>
    <row r="17" spans="2:14" ht="15.75" customHeight="1" x14ac:dyDescent="0.25">
      <c r="B17" s="18" t="s">
        <v>3</v>
      </c>
      <c r="C17" s="2">
        <v>6</v>
      </c>
      <c r="D17" s="20"/>
      <c r="E17" s="20"/>
      <c r="L17" s="41">
        <v>12</v>
      </c>
      <c r="M17" s="31">
        <f t="shared" si="0"/>
        <v>19479879.962734893</v>
      </c>
      <c r="N17" s="31">
        <f t="shared" si="1"/>
        <v>9959138.3106469829</v>
      </c>
    </row>
    <row r="18" spans="2:14" ht="13.2" x14ac:dyDescent="0.25">
      <c r="B18" s="21" t="s">
        <v>15</v>
      </c>
      <c r="C18" s="22">
        <f>IF(C8=0,"",FV(OTYield,OTYears-C17/12,0,-OTInvest,1))</f>
        <v>28963387.567505162</v>
      </c>
      <c r="D18" s="19"/>
      <c r="E18" s="19"/>
      <c r="L18" s="41">
        <v>13</v>
      </c>
      <c r="M18" s="31">
        <f t="shared" si="0"/>
        <v>21817465.558263086</v>
      </c>
      <c r="N18" s="31">
        <f t="shared" si="1"/>
        <v>10547739.865649762</v>
      </c>
    </row>
    <row r="19" spans="2:14" ht="17.25" customHeight="1" x14ac:dyDescent="0.25">
      <c r="B19" s="23" t="s">
        <v>2</v>
      </c>
      <c r="C19" s="24">
        <f>IF(C8=0,"",OTFinalAmt-C18)</f>
        <v>1688580.6843342818</v>
      </c>
      <c r="D19" s="23"/>
      <c r="E19" s="23"/>
      <c r="L19" s="41">
        <v>14</v>
      </c>
      <c r="M19" s="31">
        <f t="shared" si="0"/>
        <v>24435561.425254658</v>
      </c>
      <c r="N19" s="31">
        <f t="shared" si="1"/>
        <v>11171128.746598328</v>
      </c>
    </row>
    <row r="20" spans="2:14" ht="17.25" customHeight="1" x14ac:dyDescent="0.25">
      <c r="L20" s="41">
        <v>15</v>
      </c>
      <c r="M20" s="31">
        <f t="shared" si="0"/>
        <v>27367828.796285216</v>
      </c>
      <c r="N20" s="31">
        <f t="shared" si="1"/>
        <v>11831360.94202376</v>
      </c>
    </row>
    <row r="21" spans="2:14" ht="13.2" x14ac:dyDescent="0.25">
      <c r="B21" s="29" t="s">
        <v>14</v>
      </c>
      <c r="H21" s="30" t="s">
        <v>24</v>
      </c>
      <c r="L21" s="41">
        <v>16</v>
      </c>
      <c r="M21" s="31">
        <f t="shared" si="0"/>
        <v>30651968.251839444</v>
      </c>
      <c r="N21" s="31">
        <f t="shared" si="1"/>
        <v>12530613.952781662</v>
      </c>
    </row>
    <row r="22" spans="2:14" ht="13.2" x14ac:dyDescent="0.25">
      <c r="L22" s="41">
        <v>17</v>
      </c>
      <c r="M22" s="31">
        <f t="shared" si="0"/>
        <v>0</v>
      </c>
      <c r="N22" s="31">
        <f t="shared" si="1"/>
        <v>0</v>
      </c>
    </row>
    <row r="23" spans="2:14" ht="13.2" hidden="1" x14ac:dyDescent="0.25">
      <c r="L23" s="41">
        <v>18</v>
      </c>
      <c r="M23" s="31">
        <f t="shared" si="0"/>
        <v>0</v>
      </c>
      <c r="N23" s="31">
        <f t="shared" si="1"/>
        <v>0</v>
      </c>
    </row>
    <row r="24" spans="2:14" ht="13.2" hidden="1" x14ac:dyDescent="0.25">
      <c r="L24" s="41">
        <v>19</v>
      </c>
      <c r="M24" s="31">
        <f t="shared" si="0"/>
        <v>0</v>
      </c>
      <c r="N24" s="31">
        <f t="shared" si="1"/>
        <v>0</v>
      </c>
    </row>
    <row r="25" spans="2:14" ht="13.2" hidden="1" x14ac:dyDescent="0.25">
      <c r="L25" s="41">
        <v>20</v>
      </c>
      <c r="M25" s="31">
        <f t="shared" si="0"/>
        <v>0</v>
      </c>
      <c r="N25" s="31">
        <f t="shared" si="1"/>
        <v>0</v>
      </c>
    </row>
    <row r="26" spans="2:14" ht="13.2" hidden="1" x14ac:dyDescent="0.25">
      <c r="L26" s="41">
        <v>21</v>
      </c>
      <c r="M26" s="31">
        <f t="shared" si="0"/>
        <v>0</v>
      </c>
      <c r="N26" s="31">
        <f t="shared" si="1"/>
        <v>0</v>
      </c>
    </row>
    <row r="27" spans="2:14" ht="13.2" hidden="1" x14ac:dyDescent="0.25">
      <c r="L27" s="41">
        <v>22</v>
      </c>
      <c r="M27" s="31">
        <f t="shared" si="0"/>
        <v>0</v>
      </c>
      <c r="N27" s="31">
        <f t="shared" si="1"/>
        <v>0</v>
      </c>
    </row>
    <row r="28" spans="2:14" ht="13.2" hidden="1" x14ac:dyDescent="0.25">
      <c r="L28" s="41">
        <v>23</v>
      </c>
      <c r="M28" s="31">
        <f t="shared" si="0"/>
        <v>0</v>
      </c>
      <c r="N28" s="31">
        <f t="shared" si="1"/>
        <v>0</v>
      </c>
    </row>
    <row r="29" spans="2:14" ht="13.2" hidden="1" x14ac:dyDescent="0.25">
      <c r="L29" s="41">
        <v>24</v>
      </c>
      <c r="M29" s="31">
        <f t="shared" si="0"/>
        <v>0</v>
      </c>
      <c r="N29" s="31">
        <f t="shared" si="1"/>
        <v>0</v>
      </c>
    </row>
    <row r="30" spans="2:14" ht="13.2" hidden="1" x14ac:dyDescent="0.25">
      <c r="L30" s="41">
        <v>25</v>
      </c>
      <c r="M30" s="31">
        <f t="shared" si="0"/>
        <v>0</v>
      </c>
      <c r="N30" s="31">
        <f t="shared" si="1"/>
        <v>0</v>
      </c>
    </row>
    <row r="31" spans="2:14" ht="13.2" hidden="1" x14ac:dyDescent="0.25">
      <c r="L31" s="41">
        <v>26</v>
      </c>
      <c r="M31" s="31">
        <f t="shared" si="0"/>
        <v>0</v>
      </c>
      <c r="N31" s="31">
        <f t="shared" si="1"/>
        <v>0</v>
      </c>
    </row>
    <row r="32" spans="2:14" ht="13.2" hidden="1" x14ac:dyDescent="0.25">
      <c r="L32" s="41">
        <v>27</v>
      </c>
      <c r="M32" s="31">
        <f t="shared" si="0"/>
        <v>0</v>
      </c>
      <c r="N32" s="31">
        <f t="shared" si="1"/>
        <v>0</v>
      </c>
    </row>
    <row r="33" spans="12:16" ht="13.2" hidden="1" x14ac:dyDescent="0.25">
      <c r="L33" s="41">
        <v>28</v>
      </c>
      <c r="M33" s="31">
        <f t="shared" si="0"/>
        <v>0</v>
      </c>
      <c r="N33" s="31">
        <f t="shared" si="1"/>
        <v>0</v>
      </c>
    </row>
    <row r="34" spans="12:16" ht="13.2" hidden="1" x14ac:dyDescent="0.25">
      <c r="L34" s="41">
        <v>29</v>
      </c>
      <c r="M34" s="31">
        <f t="shared" si="0"/>
        <v>0</v>
      </c>
      <c r="N34" s="31">
        <f t="shared" si="1"/>
        <v>0</v>
      </c>
    </row>
    <row r="35" spans="12:16" ht="13.2" hidden="1" x14ac:dyDescent="0.25">
      <c r="L35" s="41">
        <v>30</v>
      </c>
      <c r="M35" s="31">
        <f t="shared" si="0"/>
        <v>0</v>
      </c>
      <c r="N35" s="31">
        <f t="shared" si="1"/>
        <v>0</v>
      </c>
      <c r="P35" s="32"/>
    </row>
    <row r="36" spans="12:16" ht="13.2" hidden="1" x14ac:dyDescent="0.25">
      <c r="L36" s="41">
        <v>31</v>
      </c>
      <c r="M36" s="31">
        <f t="shared" si="0"/>
        <v>0</v>
      </c>
      <c r="N36" s="31">
        <f t="shared" si="1"/>
        <v>0</v>
      </c>
    </row>
    <row r="37" spans="12:16" ht="13.2" hidden="1" x14ac:dyDescent="0.25">
      <c r="L37" s="41">
        <v>32</v>
      </c>
      <c r="M37" s="31">
        <f t="shared" si="0"/>
        <v>0</v>
      </c>
      <c r="N37" s="31">
        <f t="shared" si="1"/>
        <v>0</v>
      </c>
    </row>
    <row r="38" spans="12:16" ht="13.2" hidden="1" x14ac:dyDescent="0.25">
      <c r="L38" s="41">
        <v>33</v>
      </c>
      <c r="M38" s="31">
        <f t="shared" ref="M38:M65" si="2">IF($O$1&gt;=L38,OTInvest*((1+OTYield)^(L38)),0)</f>
        <v>0</v>
      </c>
      <c r="N38" s="31">
        <f t="shared" ref="N38:N65" si="3">M38/((1+OTInflationRate)^(L38))</f>
        <v>0</v>
      </c>
    </row>
    <row r="39" spans="12:16" ht="13.2" hidden="1" x14ac:dyDescent="0.25">
      <c r="L39" s="41">
        <v>34</v>
      </c>
      <c r="M39" s="31">
        <f t="shared" si="2"/>
        <v>0</v>
      </c>
      <c r="N39" s="31">
        <f t="shared" si="3"/>
        <v>0</v>
      </c>
    </row>
    <row r="40" spans="12:16" ht="13.2" hidden="1" x14ac:dyDescent="0.25">
      <c r="L40" s="41">
        <v>35</v>
      </c>
      <c r="M40" s="31">
        <f t="shared" si="2"/>
        <v>0</v>
      </c>
      <c r="N40" s="31">
        <f t="shared" si="3"/>
        <v>0</v>
      </c>
    </row>
    <row r="41" spans="12:16" ht="13.2" hidden="1" x14ac:dyDescent="0.25">
      <c r="L41" s="41">
        <v>36</v>
      </c>
      <c r="M41" s="31">
        <f t="shared" si="2"/>
        <v>0</v>
      </c>
      <c r="N41" s="31">
        <f t="shared" si="3"/>
        <v>0</v>
      </c>
    </row>
    <row r="42" spans="12:16" ht="13.2" hidden="1" x14ac:dyDescent="0.25">
      <c r="L42" s="41">
        <v>37</v>
      </c>
      <c r="M42" s="31">
        <f t="shared" si="2"/>
        <v>0</v>
      </c>
      <c r="N42" s="31">
        <f t="shared" si="3"/>
        <v>0</v>
      </c>
    </row>
    <row r="43" spans="12:16" ht="13.2" hidden="1" x14ac:dyDescent="0.25">
      <c r="L43" s="41">
        <v>38</v>
      </c>
      <c r="M43" s="31">
        <f t="shared" si="2"/>
        <v>0</v>
      </c>
      <c r="N43" s="31">
        <f t="shared" si="3"/>
        <v>0</v>
      </c>
    </row>
    <row r="44" spans="12:16" ht="13.2" hidden="1" x14ac:dyDescent="0.25">
      <c r="L44" s="41">
        <v>39</v>
      </c>
      <c r="M44" s="31">
        <f t="shared" si="2"/>
        <v>0</v>
      </c>
      <c r="N44" s="31">
        <f t="shared" si="3"/>
        <v>0</v>
      </c>
    </row>
    <row r="45" spans="12:16" ht="13.2" hidden="1" x14ac:dyDescent="0.25">
      <c r="L45" s="41">
        <v>40</v>
      </c>
      <c r="M45" s="31">
        <f t="shared" si="2"/>
        <v>0</v>
      </c>
      <c r="N45" s="31">
        <f t="shared" si="3"/>
        <v>0</v>
      </c>
    </row>
    <row r="46" spans="12:16" ht="13.2" hidden="1" x14ac:dyDescent="0.25">
      <c r="L46" s="41">
        <v>41</v>
      </c>
      <c r="M46" s="31">
        <f t="shared" si="2"/>
        <v>0</v>
      </c>
      <c r="N46" s="31">
        <f t="shared" si="3"/>
        <v>0</v>
      </c>
    </row>
    <row r="47" spans="12:16" ht="13.2" hidden="1" x14ac:dyDescent="0.25">
      <c r="L47" s="41">
        <v>42</v>
      </c>
      <c r="M47" s="31">
        <f t="shared" si="2"/>
        <v>0</v>
      </c>
      <c r="N47" s="31">
        <f t="shared" si="3"/>
        <v>0</v>
      </c>
    </row>
    <row r="48" spans="12:16" ht="13.2" hidden="1" x14ac:dyDescent="0.25">
      <c r="L48" s="41">
        <v>43</v>
      </c>
      <c r="M48" s="31">
        <f t="shared" si="2"/>
        <v>0</v>
      </c>
      <c r="N48" s="31">
        <f t="shared" si="3"/>
        <v>0</v>
      </c>
    </row>
    <row r="49" spans="12:14" ht="13.2" hidden="1" x14ac:dyDescent="0.25">
      <c r="L49" s="41">
        <v>44</v>
      </c>
      <c r="M49" s="31">
        <f t="shared" si="2"/>
        <v>0</v>
      </c>
      <c r="N49" s="31">
        <f t="shared" si="3"/>
        <v>0</v>
      </c>
    </row>
    <row r="50" spans="12:14" ht="13.2" hidden="1" x14ac:dyDescent="0.25">
      <c r="L50" s="41">
        <v>45</v>
      </c>
      <c r="M50" s="31">
        <f t="shared" si="2"/>
        <v>0</v>
      </c>
      <c r="N50" s="31">
        <f t="shared" si="3"/>
        <v>0</v>
      </c>
    </row>
    <row r="51" spans="12:14" ht="13.2" hidden="1" x14ac:dyDescent="0.25">
      <c r="L51" s="41">
        <v>46</v>
      </c>
      <c r="M51" s="31">
        <f t="shared" si="2"/>
        <v>0</v>
      </c>
      <c r="N51" s="31">
        <f t="shared" si="3"/>
        <v>0</v>
      </c>
    </row>
    <row r="52" spans="12:14" ht="13.2" hidden="1" x14ac:dyDescent="0.25">
      <c r="L52" s="41">
        <v>47</v>
      </c>
      <c r="M52" s="31">
        <f t="shared" si="2"/>
        <v>0</v>
      </c>
      <c r="N52" s="31">
        <f t="shared" si="3"/>
        <v>0</v>
      </c>
    </row>
    <row r="53" spans="12:14" ht="13.2" hidden="1" x14ac:dyDescent="0.25">
      <c r="L53" s="41">
        <v>48</v>
      </c>
      <c r="M53" s="31">
        <f t="shared" si="2"/>
        <v>0</v>
      </c>
      <c r="N53" s="31">
        <f t="shared" si="3"/>
        <v>0</v>
      </c>
    </row>
    <row r="54" spans="12:14" ht="13.2" hidden="1" x14ac:dyDescent="0.25">
      <c r="L54" s="41">
        <v>49</v>
      </c>
      <c r="M54" s="31">
        <f t="shared" si="2"/>
        <v>0</v>
      </c>
      <c r="N54" s="31">
        <f t="shared" si="3"/>
        <v>0</v>
      </c>
    </row>
    <row r="55" spans="12:14" ht="13.2" hidden="1" x14ac:dyDescent="0.25">
      <c r="L55" s="41">
        <v>50</v>
      </c>
      <c r="M55" s="31">
        <f t="shared" si="2"/>
        <v>0</v>
      </c>
      <c r="N55" s="31">
        <f t="shared" si="3"/>
        <v>0</v>
      </c>
    </row>
    <row r="56" spans="12:14" ht="13.2" hidden="1" x14ac:dyDescent="0.25">
      <c r="L56" s="41">
        <v>51</v>
      </c>
      <c r="M56" s="31">
        <f t="shared" si="2"/>
        <v>0</v>
      </c>
      <c r="N56" s="31">
        <f t="shared" si="3"/>
        <v>0</v>
      </c>
    </row>
    <row r="57" spans="12:14" ht="13.2" hidden="1" x14ac:dyDescent="0.25">
      <c r="L57" s="41">
        <v>52</v>
      </c>
      <c r="M57" s="31">
        <f t="shared" si="2"/>
        <v>0</v>
      </c>
      <c r="N57" s="31">
        <f t="shared" si="3"/>
        <v>0</v>
      </c>
    </row>
    <row r="58" spans="12:14" ht="13.2" hidden="1" x14ac:dyDescent="0.25">
      <c r="L58" s="41">
        <v>53</v>
      </c>
      <c r="M58" s="31">
        <f t="shared" si="2"/>
        <v>0</v>
      </c>
      <c r="N58" s="31">
        <f t="shared" si="3"/>
        <v>0</v>
      </c>
    </row>
    <row r="59" spans="12:14" ht="13.2" hidden="1" x14ac:dyDescent="0.25">
      <c r="L59" s="41">
        <v>54</v>
      </c>
      <c r="M59" s="31">
        <f t="shared" si="2"/>
        <v>0</v>
      </c>
      <c r="N59" s="31">
        <f t="shared" si="3"/>
        <v>0</v>
      </c>
    </row>
    <row r="60" spans="12:14" ht="13.2" hidden="1" x14ac:dyDescent="0.25">
      <c r="L60" s="41">
        <v>55</v>
      </c>
      <c r="M60" s="31">
        <f t="shared" si="2"/>
        <v>0</v>
      </c>
      <c r="N60" s="31">
        <f t="shared" si="3"/>
        <v>0</v>
      </c>
    </row>
    <row r="61" spans="12:14" ht="13.2" hidden="1" x14ac:dyDescent="0.25">
      <c r="L61" s="41">
        <v>56</v>
      </c>
      <c r="M61" s="31">
        <f t="shared" si="2"/>
        <v>0</v>
      </c>
      <c r="N61" s="31">
        <f t="shared" si="3"/>
        <v>0</v>
      </c>
    </row>
    <row r="62" spans="12:14" ht="13.2" hidden="1" x14ac:dyDescent="0.25">
      <c r="L62" s="41">
        <v>57</v>
      </c>
      <c r="M62" s="31">
        <f t="shared" si="2"/>
        <v>0</v>
      </c>
      <c r="N62" s="31">
        <f t="shared" si="3"/>
        <v>0</v>
      </c>
    </row>
    <row r="63" spans="12:14" ht="13.2" hidden="1" x14ac:dyDescent="0.25">
      <c r="L63" s="41">
        <v>58</v>
      </c>
      <c r="M63" s="31">
        <f t="shared" si="2"/>
        <v>0</v>
      </c>
      <c r="N63" s="31">
        <f t="shared" si="3"/>
        <v>0</v>
      </c>
    </row>
    <row r="64" spans="12:14" ht="13.2" hidden="1" x14ac:dyDescent="0.25">
      <c r="L64" s="41">
        <v>59</v>
      </c>
      <c r="M64" s="31">
        <f t="shared" si="2"/>
        <v>0</v>
      </c>
      <c r="N64" s="31">
        <f t="shared" si="3"/>
        <v>0</v>
      </c>
    </row>
    <row r="65" spans="12:14" ht="13.2" hidden="1" x14ac:dyDescent="0.25">
      <c r="L65" s="41">
        <v>60</v>
      </c>
      <c r="M65" s="31">
        <f t="shared" si="2"/>
        <v>0</v>
      </c>
      <c r="N65" s="31">
        <f t="shared" si="3"/>
        <v>0</v>
      </c>
    </row>
  </sheetData>
  <sheetProtection selectLockedCells="1"/>
  <mergeCells count="2">
    <mergeCell ref="B2:E2"/>
    <mergeCell ref="D8:E8"/>
  </mergeCells>
  <pageMargins left="0.7" right="0.7" top="0.75" bottom="0.75" header="0.3" footer="0.3"/>
  <pageSetup paperSize="9" scale="66" orientation="landscape" r:id="rId1"/>
  <drawing r:id="rId2"/>
  <legacyDrawing r:id="rId3"/>
  <controls>
    <mc:AlternateContent xmlns:mc="http://schemas.openxmlformats.org/markup-compatibility/2006">
      <mc:Choice Requires="x14">
        <control shapeId="8207" r:id="rId4" name="prtInvestment">
          <controlPr defaultSize="0" print="0" autoLine="0" r:id="rId5">
            <anchor>
              <from>
                <xdr:col>5</xdr:col>
                <xdr:colOff>38100</xdr:colOff>
                <xdr:row>7</xdr:row>
                <xdr:rowOff>45720</xdr:rowOff>
              </from>
              <to>
                <xdr:col>5</xdr:col>
                <xdr:colOff>327660</xdr:colOff>
                <xdr:row>7</xdr:row>
                <xdr:rowOff>320040</xdr:rowOff>
              </to>
            </anchor>
          </controlPr>
        </control>
      </mc:Choice>
      <mc:Fallback>
        <control shapeId="8207" r:id="rId4" name="prtInvestment"/>
      </mc:Fallback>
    </mc:AlternateContent>
    <mc:AlternateContent xmlns:mc="http://schemas.openxmlformats.org/markup-compatibility/2006">
      <mc:Choice Requires="x14">
        <control shapeId="8198" r:id="rId6" name="InvAmount">
          <controlPr locked="0" defaultSize="0" autoLine="0" autoPict="0" linkedCell="C4" r:id="rId7">
            <anchor moveWithCells="1">
              <from>
                <xdr:col>3</xdr:col>
                <xdr:colOff>53340</xdr:colOff>
                <xdr:row>3</xdr:row>
                <xdr:rowOff>60960</xdr:rowOff>
              </from>
              <to>
                <xdr:col>4</xdr:col>
                <xdr:colOff>182880</xdr:colOff>
                <xdr:row>3</xdr:row>
                <xdr:rowOff>205740</xdr:rowOff>
              </to>
            </anchor>
          </controlPr>
        </control>
      </mc:Choice>
      <mc:Fallback>
        <control shapeId="8198" r:id="rId6" name="InvAmount"/>
      </mc:Fallback>
    </mc:AlternateContent>
    <mc:AlternateContent xmlns:mc="http://schemas.openxmlformats.org/markup-compatibility/2006">
      <mc:Choice Requires="x14">
        <control shapeId="8195" r:id="rId8" name="TermSlider">
          <controlPr locked="0" defaultSize="0" autoLine="0" autoPict="0" linkedCell="C5" r:id="rId9">
            <anchor moveWithCells="1">
              <from>
                <xdr:col>3</xdr:col>
                <xdr:colOff>53340</xdr:colOff>
                <xdr:row>4</xdr:row>
                <xdr:rowOff>83820</xdr:rowOff>
              </from>
              <to>
                <xdr:col>4</xdr:col>
                <xdr:colOff>182880</xdr:colOff>
                <xdr:row>4</xdr:row>
                <xdr:rowOff>228600</xdr:rowOff>
              </to>
            </anchor>
          </controlPr>
        </control>
      </mc:Choice>
      <mc:Fallback>
        <control shapeId="8195" r:id="rId8" name="TermSlider"/>
      </mc:Fallback>
    </mc:AlternateContent>
    <mc:AlternateContent xmlns:mc="http://schemas.openxmlformats.org/markup-compatibility/2006">
      <mc:Choice Requires="x14">
        <control shapeId="8194" r:id="rId10" name="InfPercent">
          <controlPr locked="0" defaultSize="0" autoLine="0" autoPict="0" linkedCell="K7" r:id="rId11">
            <anchor moveWithCells="1" sizeWithCells="1">
              <from>
                <xdr:col>3</xdr:col>
                <xdr:colOff>53340</xdr:colOff>
                <xdr:row>10</xdr:row>
                <xdr:rowOff>45720</xdr:rowOff>
              </from>
              <to>
                <xdr:col>4</xdr:col>
                <xdr:colOff>182880</xdr:colOff>
                <xdr:row>10</xdr:row>
                <xdr:rowOff>190500</xdr:rowOff>
              </to>
            </anchor>
          </controlPr>
        </control>
      </mc:Choice>
      <mc:Fallback>
        <control shapeId="8194" r:id="rId10" name="InfPercent"/>
      </mc:Fallback>
    </mc:AlternateContent>
    <mc:AlternateContent xmlns:mc="http://schemas.openxmlformats.org/markup-compatibility/2006">
      <mc:Choice Requires="x14">
        <control shapeId="8193" r:id="rId12" name="GainPercent">
          <controlPr locked="0" defaultSize="0" autoLine="0" autoPict="0" linkedCell="K6" r:id="rId13">
            <anchor moveWithCells="1" sizeWithCells="1">
              <from>
                <xdr:col>3</xdr:col>
                <xdr:colOff>53340</xdr:colOff>
                <xdr:row>5</xdr:row>
                <xdr:rowOff>68580</xdr:rowOff>
              </from>
              <to>
                <xdr:col>4</xdr:col>
                <xdr:colOff>182880</xdr:colOff>
                <xdr:row>5</xdr:row>
                <xdr:rowOff>213360</xdr:rowOff>
              </to>
            </anchor>
          </controlPr>
        </control>
      </mc:Choice>
      <mc:Fallback>
        <control shapeId="8193" r:id="rId12" name="GainPerce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One-Time Investment</vt:lpstr>
      <vt:lpstr>'One-Time Investment'!OTFinalAmt</vt:lpstr>
      <vt:lpstr>'One-Time Investment'!OTInflationRate</vt:lpstr>
      <vt:lpstr>'One-Time Investment'!OTInvest</vt:lpstr>
      <vt:lpstr>OTYears</vt:lpstr>
      <vt:lpstr>'One-Time Investment'!OTYield</vt:lpstr>
    </vt:vector>
  </TitlesOfParts>
  <Company>Jain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FinOptic Lumpsum Investment</dc:title>
  <dc:creator>Reddi, Sasmith</dc:creator>
  <dc:description>COPYRIGHT PROTECTED - FinOptic Financial Services, Hyderabad, India</dc:description>
  <cp:lastModifiedBy>Sasmith Reddi</cp:lastModifiedBy>
  <cp:lastPrinted>2025-07-06T06:24:52Z</cp:lastPrinted>
  <dcterms:created xsi:type="dcterms:W3CDTF">1996-10-14T23:33:28Z</dcterms:created>
  <dcterms:modified xsi:type="dcterms:W3CDTF">2026-08-10T04:53:18Z</dcterms:modified>
  <cp:contentStatus>Jul 4 2017</cp:contentStatus>
</cp:coreProperties>
</file>