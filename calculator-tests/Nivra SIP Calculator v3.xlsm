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_Personal\Finance\Investments\Nivra FinTech\Tools\Unprotected\"/>
    </mc:Choice>
  </mc:AlternateContent>
  <xr:revisionPtr revIDLastSave="0" documentId="8_{73D43941-1F83-4EEA-8495-9622FC4CADB4}" xr6:coauthVersionLast="47" xr6:coauthVersionMax="47" xr10:uidLastSave="{00000000-0000-0000-0000-000000000000}"/>
  <bookViews>
    <workbookView xWindow="-108" yWindow="-108" windowWidth="23256" windowHeight="12456" tabRatio="716" xr2:uid="{00000000-000D-0000-FFFF-FFFF00000000}"/>
  </bookViews>
  <sheets>
    <sheet name="SIP Calculator" sheetId="23" r:id="rId1"/>
  </sheets>
  <functionGroups builtInGroupCount="19"/>
  <definedNames>
    <definedName name="_xleta.DATEVALUE" hidden="1" xlm="1">#NAME?</definedName>
    <definedName name="_xleta.FV" hidden="1" xlm="1">#NAME?</definedName>
    <definedName name="_xleta.IF" hidden="1" xlm="1">#NAME?</definedName>
    <definedName name="_xleta.MONTH" hidden="1" xlm="1">#NAME?</definedName>
    <definedName name="_xleta.OFFSET" hidden="1" xlm="1">#NAME?</definedName>
    <definedName name="_xleta.QUOTIENT" hidden="1" xlm="1">#NAME?</definedName>
    <definedName name="_xleta.TODAY" hidden="1" xlm="1">#NAME?</definedName>
    <definedName name="InvestYears">'SIP Calculator'!$X$12</definedName>
    <definedName name="SIPDelayGraph" localSheetId="0">OFFSET('SIP Calculator'!$R$6,0,0,'SIP Calculator'!$X$2,1)</definedName>
    <definedName name="SIPDelayInflationWB">OFFSET('SIP Calculator'!$R$6,0,0,'SIP Calculator'!$X$2,1)</definedName>
    <definedName name="SIPFinalAmt" localSheetId="0">'SIP Calculator'!$C$9</definedName>
    <definedName name="SIPFullReturn" localSheetId="0">OFFSET('SIP Calculator'!$O$6,0,0,'SIP Calculator'!$X$2,1)</definedName>
    <definedName name="SIPFullReturnWB">OFFSET('SIP Calculator'!$O$6,0,0,'SIP Calculator'!$X$2,1)</definedName>
    <definedName name="SIPInflationRate" localSheetId="0">'SIP Calculator'!$C$12</definedName>
    <definedName name="SIPInflationRate">'SIP Calculator'!$C$12</definedName>
    <definedName name="SIPInflationReturn" localSheetId="0">OFFSET('SIP Calculator'!$P$6,0,0,'SIP Calculator'!$X$2,1)</definedName>
    <definedName name="SIPInflationReturnWB">OFFSET('SIP Calculator'!$P$6,0,0,'SIP Calculator'!$X$2,1)</definedName>
    <definedName name="SIPInvestmentGraph" localSheetId="0">OFFSET('SIP Calculator'!$N$6,0,0,'SIP Calculator'!$N$2,1)</definedName>
    <definedName name="SIPInvestmentGraphWB">OFFSET('SIP Calculator'!$N$6,0,0,'SIP Calculator'!$N$2,1)</definedName>
    <definedName name="SIPMonthlyPmt" localSheetId="0">'SIP Calculator'!$C$4</definedName>
    <definedName name="SIPMonths" localSheetId="0">'SIP Calculator'!$C$5</definedName>
    <definedName name="SIPYears">'SIP Calculator'!$C$5</definedName>
    <definedName name="SIPYield" localSheetId="0">'SIP Calculator'!$C$6</definedName>
    <definedName name="SRate">'SIP Calculator'!$X$13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7" i="23" l="1" a="1"/>
  <c r="U68" i="23" a="1"/>
  <c r="U69" i="23" a="1"/>
  <c r="U70" i="23" a="1"/>
  <c r="U71" i="23" a="1"/>
  <c r="U72" i="23" a="1"/>
  <c r="U73" i="23" a="1"/>
  <c r="U74" i="23" a="1"/>
  <c r="U75" i="23" a="1"/>
  <c r="U76" i="23" a="1"/>
  <c r="U77" i="23" a="1"/>
  <c r="U78" i="23" a="1"/>
  <c r="U79" i="23" a="1"/>
  <c r="U80" i="23" a="1"/>
  <c r="U81" i="23" a="1"/>
  <c r="U82" i="23" a="1"/>
  <c r="U83" i="23" a="1"/>
  <c r="U84" i="23" a="1"/>
  <c r="U85" i="23" a="1"/>
  <c r="U86" i="23" a="1"/>
  <c r="U87" i="23" a="1"/>
  <c r="U88" i="23" a="1"/>
  <c r="U89" i="23" a="1"/>
  <c r="U90" i="23" a="1"/>
  <c r="U91" i="23" a="1"/>
  <c r="U92" i="23" a="1"/>
  <c r="U93" i="23" a="1"/>
  <c r="U94" i="23" a="1"/>
  <c r="U95" i="23" a="1"/>
  <c r="U96" i="23" a="1"/>
  <c r="U97" i="23" a="1"/>
  <c r="U98" i="23" a="1"/>
  <c r="U99" i="23" a="1"/>
  <c r="U100" i="23" a="1"/>
  <c r="U101" i="23" a="1"/>
  <c r="U102" i="23" a="1"/>
  <c r="U103" i="23" a="1"/>
  <c r="U104" i="23" a="1"/>
  <c r="U105" i="23" a="1"/>
  <c r="U106" i="23" a="1"/>
  <c r="U107" i="23" a="1"/>
  <c r="U108" i="23" a="1"/>
  <c r="U109" i="23" a="1"/>
  <c r="U110" i="23" a="1"/>
  <c r="U111" i="23" a="1"/>
  <c r="U112" i="23" a="1"/>
  <c r="U113" i="23" a="1"/>
  <c r="U114" i="23" a="1"/>
  <c r="U115" i="23" a="1"/>
  <c r="U116" i="23" a="1"/>
  <c r="U117" i="23" a="1"/>
  <c r="U118" i="23" a="1"/>
  <c r="U119" i="23" a="1"/>
  <c r="U120" i="23" a="1"/>
  <c r="U121" i="23" a="1"/>
  <c r="U122" i="23" a="1"/>
  <c r="U123" i="23" a="1"/>
  <c r="U124" i="23" a="1"/>
  <c r="U125" i="23" a="1"/>
  <c r="U126" i="23" a="1"/>
  <c r="U127" i="23" a="1"/>
  <c r="U128" i="23" a="1"/>
  <c r="U129" i="23" a="1"/>
  <c r="U130" i="23" a="1"/>
  <c r="U131" i="23" a="1"/>
  <c r="U132" i="23" a="1"/>
  <c r="U133" i="23" a="1"/>
  <c r="U134" i="23" a="1"/>
  <c r="U135" i="23" a="1"/>
  <c r="U136" i="23" a="1"/>
  <c r="U137" i="23" a="1"/>
  <c r="U138" i="23" a="1"/>
  <c r="U139" i="23" a="1"/>
  <c r="U140" i="23" a="1"/>
  <c r="U141" i="23" a="1"/>
  <c r="U142" i="23" a="1"/>
  <c r="U143" i="23" a="1"/>
  <c r="U144" i="23" a="1"/>
  <c r="U145" i="23" a="1"/>
  <c r="U146" i="23" a="1"/>
  <c r="U147" i="23" a="1"/>
  <c r="U148" i="23" a="1"/>
  <c r="U149" i="23" a="1"/>
  <c r="U150" i="23" a="1"/>
  <c r="U151" i="23" a="1"/>
  <c r="U152" i="23" a="1"/>
  <c r="U153" i="23" a="1"/>
  <c r="U154" i="23" a="1"/>
  <c r="U155" i="23" a="1"/>
  <c r="U156" i="23" a="1"/>
  <c r="U157" i="23" a="1"/>
  <c r="U158" i="23" a="1"/>
  <c r="U159" i="23" a="1"/>
  <c r="U160" i="23" a="1"/>
  <c r="U161" i="23" a="1"/>
  <c r="U162" i="23" a="1"/>
  <c r="U163" i="23" a="1"/>
  <c r="U164" i="23" a="1"/>
  <c r="U165" i="23" a="1"/>
  <c r="U166" i="23" a="1"/>
  <c r="U167" i="23" a="1"/>
  <c r="U168" i="23" a="1"/>
  <c r="U169" i="23" a="1"/>
  <c r="U170" i="23" a="1"/>
  <c r="U171" i="23" a="1"/>
  <c r="U172" i="23" a="1"/>
  <c r="U173" i="23" a="1"/>
  <c r="U174" i="23" a="1"/>
  <c r="U175" i="23" a="1"/>
  <c r="U176" i="23" a="1"/>
  <c r="U177" i="23" a="1"/>
  <c r="U178" i="23" a="1"/>
  <c r="U179" i="23" a="1"/>
  <c r="U180" i="23" a="1"/>
  <c r="U181" i="23" a="1"/>
  <c r="U182" i="23" a="1"/>
  <c r="U183" i="23" a="1"/>
  <c r="U184" i="23" a="1"/>
  <c r="U185" i="23" a="1"/>
  <c r="U186" i="23" a="1"/>
  <c r="U187" i="23" a="1"/>
  <c r="U188" i="23" a="1"/>
  <c r="U189" i="23" a="1"/>
  <c r="U190" i="23" a="1"/>
  <c r="U191" i="23" a="1"/>
  <c r="U192" i="23" a="1"/>
  <c r="U193" i="23" a="1"/>
  <c r="U194" i="23" a="1"/>
  <c r="U195" i="23" a="1"/>
  <c r="U196" i="23" a="1"/>
  <c r="U197" i="23" a="1"/>
  <c r="U198" i="23" a="1"/>
  <c r="U199" i="23" a="1"/>
  <c r="U200" i="23" a="1"/>
  <c r="U201" i="23" a="1"/>
  <c r="U202" i="23" a="1"/>
  <c r="U203" i="23" a="1"/>
  <c r="U204" i="23" a="1"/>
  <c r="U205" i="23" a="1"/>
  <c r="U206" i="23" a="1"/>
  <c r="U207" i="23" a="1"/>
  <c r="U208" i="23" a="1"/>
  <c r="U209" i="23" a="1"/>
  <c r="U210" i="23" a="1"/>
  <c r="U211" i="23" a="1"/>
  <c r="U212" i="23" a="1"/>
  <c r="U213" i="23" a="1"/>
  <c r="U214" i="23" a="1"/>
  <c r="U215" i="23" a="1"/>
  <c r="U216" i="23" a="1"/>
  <c r="U217" i="23" a="1"/>
  <c r="U218" i="23" a="1"/>
  <c r="U219" i="23" a="1"/>
  <c r="U220" i="23" a="1"/>
  <c r="U221" i="23" a="1"/>
  <c r="U222" i="23" a="1"/>
  <c r="U223" i="23" a="1"/>
  <c r="U224" i="23" a="1"/>
  <c r="U225" i="23" a="1"/>
  <c r="U226" i="23" a="1"/>
  <c r="U227" i="23" a="1"/>
  <c r="U228" i="23" a="1"/>
  <c r="U229" i="23" a="1"/>
  <c r="U230" i="23" a="1"/>
  <c r="U231" i="23" a="1"/>
  <c r="U232" i="23" a="1"/>
  <c r="U233" i="23" a="1"/>
  <c r="U234" i="23" a="1"/>
  <c r="U235" i="23" a="1"/>
  <c r="U236" i="23" a="1"/>
  <c r="U237" i="23" a="1"/>
  <c r="U238" i="23" a="1"/>
  <c r="U239" i="23" a="1"/>
  <c r="U240" i="23" a="1"/>
  <c r="U241" i="23" a="1"/>
  <c r="U242" i="23" a="1"/>
  <c r="U243" i="23" a="1"/>
  <c r="U244" i="23" a="1"/>
  <c r="U245" i="23" a="1"/>
  <c r="U246" i="23" a="1"/>
  <c r="U247" i="23" a="1"/>
  <c r="U248" i="23" a="1"/>
  <c r="U249" i="23" a="1"/>
  <c r="U250" i="23" a="1"/>
  <c r="U251" i="23" a="1"/>
  <c r="U252" i="23" a="1"/>
  <c r="U253" i="23" a="1"/>
  <c r="U254" i="23" a="1"/>
  <c r="U255" i="23" a="1"/>
  <c r="U256" i="23" a="1"/>
  <c r="U257" i="23" a="1"/>
  <c r="U258" i="23" a="1"/>
  <c r="U259" i="23" a="1"/>
  <c r="U260" i="23" a="1"/>
  <c r="U261" i="23" a="1"/>
  <c r="U262" i="23" a="1"/>
  <c r="U263" i="23" a="1"/>
  <c r="U264" i="23" a="1"/>
  <c r="U265" i="23" a="1"/>
  <c r="U266" i="23" a="1"/>
  <c r="U267" i="23" a="1"/>
  <c r="U268" i="23" a="1"/>
  <c r="U269" i="23" a="1"/>
  <c r="U270" i="23" a="1"/>
  <c r="U271" i="23" a="1"/>
  <c r="U272" i="23" a="1"/>
  <c r="U273" i="23" a="1"/>
  <c r="U274" i="23" a="1"/>
  <c r="U275" i="23" a="1"/>
  <c r="U276" i="23" a="1"/>
  <c r="U277" i="23" a="1"/>
  <c r="U278" i="23" a="1"/>
  <c r="U279" i="23" a="1"/>
  <c r="U280" i="23" a="1"/>
  <c r="U281" i="23" a="1"/>
  <c r="U282" i="23" a="1"/>
  <c r="U283" i="23" a="1"/>
  <c r="U284" i="23" a="1"/>
  <c r="U285" i="23" a="1"/>
  <c r="U286" i="23" a="1"/>
  <c r="U287" i="23" a="1"/>
  <c r="U288" i="23" a="1"/>
  <c r="U289" i="23" a="1"/>
  <c r="U290" i="23" a="1"/>
  <c r="U291" i="23" a="1"/>
  <c r="U292" i="23" a="1"/>
  <c r="U293" i="23" a="1"/>
  <c r="U294" i="23" a="1"/>
  <c r="U295" i="23" a="1"/>
  <c r="U296" i="23" a="1"/>
  <c r="U297" i="23" a="1"/>
  <c r="U298" i="23" a="1"/>
  <c r="U299" i="23" a="1"/>
  <c r="U300" i="23" a="1"/>
  <c r="U301" i="23" a="1"/>
  <c r="U302" i="23" a="1"/>
  <c r="U303" i="23" a="1"/>
  <c r="U304" i="23" a="1"/>
  <c r="U305" i="23" a="1"/>
  <c r="U306" i="23" a="1"/>
  <c r="U307" i="23" a="1"/>
  <c r="U308" i="23" a="1"/>
  <c r="U309" i="23" a="1"/>
  <c r="U310" i="23" a="1"/>
  <c r="U311" i="23" a="1"/>
  <c r="U312" i="23" a="1"/>
  <c r="U313" i="23" a="1"/>
  <c r="U314" i="23" a="1"/>
  <c r="U315" i="23" a="1"/>
  <c r="U316" i="23" a="1"/>
  <c r="U317" i="23" a="1"/>
  <c r="U318" i="23" a="1"/>
  <c r="U319" i="23" a="1"/>
  <c r="U320" i="23" a="1"/>
  <c r="U321" i="23" a="1"/>
  <c r="U322" i="23" a="1"/>
  <c r="U323" i="23" a="1"/>
  <c r="U324" i="23" a="1"/>
  <c r="U325" i="23" a="1"/>
  <c r="U326" i="23" a="1"/>
  <c r="U327" i="23" a="1"/>
  <c r="U328" i="23" a="1"/>
  <c r="U329" i="23" a="1"/>
  <c r="U330" i="23" a="1"/>
  <c r="U331" i="23" a="1"/>
  <c r="U332" i="23" a="1"/>
  <c r="U333" i="23" a="1"/>
  <c r="U334" i="23" a="1"/>
  <c r="U335" i="23" a="1"/>
  <c r="U336" i="23" a="1"/>
  <c r="U337" i="23" a="1"/>
  <c r="U338" i="23" a="1"/>
  <c r="U339" i="23" a="1"/>
  <c r="U340" i="23" a="1"/>
  <c r="U341" i="23" a="1"/>
  <c r="U342" i="23" a="1"/>
  <c r="U343" i="23" a="1"/>
  <c r="U344" i="23" a="1"/>
  <c r="U345" i="23" a="1"/>
  <c r="U346" i="23" a="1"/>
  <c r="U347" i="23" a="1"/>
  <c r="U348" i="23" a="1"/>
  <c r="U349" i="23" a="1"/>
  <c r="U350" i="23" a="1"/>
  <c r="U351" i="23" a="1"/>
  <c r="U352" i="23" a="1"/>
  <c r="U353" i="23" a="1"/>
  <c r="U354" i="23" a="1"/>
  <c r="U355" i="23" a="1"/>
  <c r="U356" i="23" a="1"/>
  <c r="U357" i="23" a="1"/>
  <c r="U358" i="23" a="1"/>
  <c r="U359" i="23" a="1"/>
  <c r="U360" i="23" a="1"/>
  <c r="U361" i="23" a="1"/>
  <c r="U362" i="23" a="1"/>
  <c r="U363" i="23" a="1"/>
  <c r="U364" i="23" a="1"/>
  <c r="U365" i="23" a="1"/>
  <c r="U366" i="23" a="1"/>
  <c r="U367" i="23" a="1"/>
  <c r="U368" i="23" a="1"/>
  <c r="U369" i="23" a="1"/>
  <c r="U370" i="23" a="1"/>
  <c r="U371" i="23" a="1"/>
  <c r="U372" i="23" a="1"/>
  <c r="U373" i="23" a="1"/>
  <c r="U374" i="23" a="1"/>
  <c r="U375" i="23" a="1"/>
  <c r="U376" i="23" a="1"/>
  <c r="U377" i="23" a="1"/>
  <c r="U378" i="23" a="1"/>
  <c r="U379" i="23" a="1"/>
  <c r="U380" i="23" a="1"/>
  <c r="U381" i="23" a="1"/>
  <c r="U382" i="23" a="1"/>
  <c r="U383" i="23" a="1"/>
  <c r="U384" i="23" a="1"/>
  <c r="U385" i="23" a="1"/>
  <c r="U386" i="23" a="1"/>
  <c r="U387" i="23" a="1"/>
  <c r="U388" i="23" a="1"/>
  <c r="U389" i="23" a="1"/>
  <c r="U390" i="23" a="1"/>
  <c r="U391" i="23" a="1"/>
  <c r="U392" i="23" a="1"/>
  <c r="U393" i="23" a="1"/>
  <c r="U394" i="23" a="1"/>
  <c r="U395" i="23" a="1"/>
  <c r="U396" i="23" a="1"/>
  <c r="U397" i="23" a="1"/>
  <c r="U398" i="23" a="1"/>
  <c r="U399" i="23" a="1"/>
  <c r="U400" i="23" a="1"/>
  <c r="U401" i="23" a="1"/>
  <c r="U402" i="23" a="1"/>
  <c r="U403" i="23" a="1"/>
  <c r="U404" i="23" a="1"/>
  <c r="U405" i="23" a="1"/>
  <c r="U406" i="23" a="1"/>
  <c r="U407" i="23" a="1"/>
  <c r="U408" i="23" a="1"/>
  <c r="U409" i="23" a="1"/>
  <c r="U410" i="23" a="1"/>
  <c r="U411" i="23" a="1"/>
  <c r="U412" i="23" a="1"/>
  <c r="U413" i="23" a="1"/>
  <c r="U414" i="23" a="1"/>
  <c r="U415" i="23" a="1"/>
  <c r="U416" i="23" a="1"/>
  <c r="U417" i="23" a="1"/>
  <c r="U418" i="23" a="1"/>
  <c r="U419" i="23" a="1"/>
  <c r="U420" i="23" a="1"/>
  <c r="U421" i="23" a="1"/>
  <c r="U422" i="23" a="1"/>
  <c r="U423" i="23" a="1"/>
  <c r="U424" i="23" a="1"/>
  <c r="U425" i="23" a="1"/>
  <c r="U426" i="23" a="1"/>
  <c r="U427" i="23" a="1"/>
  <c r="U428" i="23" a="1"/>
  <c r="U429" i="23" a="1"/>
  <c r="U430" i="23" a="1"/>
  <c r="U431" i="23" a="1"/>
  <c r="U432" i="23" a="1"/>
  <c r="U433" i="23" a="1"/>
  <c r="U434" i="23" a="1"/>
  <c r="U435" i="23" a="1"/>
  <c r="U436" i="23" a="1"/>
  <c r="U437" i="23" a="1"/>
  <c r="U438" i="23" a="1"/>
  <c r="U439" i="23" a="1"/>
  <c r="U440" i="23" a="1"/>
  <c r="U441" i="23" a="1"/>
  <c r="U442" i="23" a="1"/>
  <c r="U443" i="23" a="1"/>
  <c r="U444" i="23" a="1"/>
  <c r="U445" i="23" a="1"/>
  <c r="U446" i="23" a="1"/>
  <c r="U447" i="23" a="1"/>
  <c r="U448" i="23" a="1"/>
  <c r="U449" i="23" a="1"/>
  <c r="U450" i="23" a="1"/>
  <c r="U451" i="23" a="1"/>
  <c r="U452" i="23" a="1"/>
  <c r="U453" i="23" a="1"/>
  <c r="U454" i="23" a="1"/>
  <c r="U455" i="23" a="1"/>
  <c r="U456" i="23" a="1"/>
  <c r="U457" i="23" a="1"/>
  <c r="U458" i="23" a="1"/>
  <c r="U459" i="23" a="1"/>
  <c r="U460" i="23" a="1"/>
  <c r="U461" i="23" a="1"/>
  <c r="U462" i="23" a="1"/>
  <c r="U463" i="23" a="1"/>
  <c r="U464" i="23" a="1"/>
  <c r="U465" i="23" a="1"/>
  <c r="U466" i="23" a="1"/>
  <c r="U467" i="23" a="1"/>
  <c r="U468" i="23" a="1"/>
  <c r="U469" i="23" a="1"/>
  <c r="U470" i="23" a="1"/>
  <c r="U471" i="23" a="1"/>
  <c r="U472" i="23" a="1"/>
  <c r="U473" i="23" a="1"/>
  <c r="U474" i="23" a="1"/>
  <c r="U475" i="23" a="1"/>
  <c r="U476" i="23" a="1"/>
  <c r="U477" i="23" a="1"/>
  <c r="U478" i="23" a="1"/>
  <c r="U479" i="23" a="1"/>
  <c r="U480" i="23" a="1"/>
  <c r="U481" i="23" a="1"/>
  <c r="U482" i="23" a="1"/>
  <c r="U483" i="23" a="1"/>
  <c r="U484" i="23" a="1"/>
  <c r="U485" i="23" a="1"/>
  <c r="U486" i="23" a="1"/>
  <c r="U487" i="23" a="1"/>
  <c r="U488" i="23" a="1"/>
  <c r="U489" i="23" a="1"/>
  <c r="U490" i="23" a="1"/>
  <c r="U491" i="23" a="1"/>
  <c r="U492" i="23" a="1"/>
  <c r="U493" i="23" a="1"/>
  <c r="U494" i="23" a="1"/>
  <c r="U495" i="23" a="1"/>
  <c r="U496" i="23" a="1"/>
  <c r="U497" i="23" a="1"/>
  <c r="U498" i="23" a="1"/>
  <c r="U499" i="23" a="1"/>
  <c r="U500" i="23" a="1"/>
  <c r="U501" i="23" a="1"/>
  <c r="U502" i="23" a="1"/>
  <c r="U503" i="23" a="1"/>
  <c r="U504" i="23" a="1"/>
  <c r="U505" i="23" a="1"/>
  <c r="U506" i="23" a="1"/>
  <c r="U507" i="23" a="1"/>
  <c r="U508" i="23" a="1"/>
  <c r="U509" i="23" a="1"/>
  <c r="U510" i="23" a="1"/>
  <c r="U511" i="23" a="1"/>
  <c r="U512" i="23" a="1"/>
  <c r="U513" i="23" a="1"/>
  <c r="U514" i="23" a="1"/>
  <c r="U515" i="23" a="1"/>
  <c r="U516" i="23" a="1"/>
  <c r="U517" i="23" a="1"/>
  <c r="U518" i="23" a="1"/>
  <c r="U519" i="23" a="1"/>
  <c r="U520" i="23" a="1"/>
  <c r="U521" i="23" a="1"/>
  <c r="U522" i="23" a="1"/>
  <c r="U523" i="23" a="1"/>
  <c r="U524" i="23" a="1"/>
  <c r="U525" i="23" a="1"/>
  <c r="U526" i="23" a="1"/>
  <c r="U527" i="23" a="1"/>
  <c r="U528" i="23" a="1"/>
  <c r="U529" i="23" a="1"/>
  <c r="U530" i="23" a="1"/>
  <c r="U531" i="23" a="1"/>
  <c r="U532" i="23" a="1"/>
  <c r="U533" i="23" a="1"/>
  <c r="U534" i="23" a="1"/>
  <c r="U535" i="23" a="1"/>
  <c r="U536" i="23" a="1"/>
  <c r="U537" i="23" a="1"/>
  <c r="U538" i="23" a="1"/>
  <c r="U539" i="23" a="1"/>
  <c r="U540" i="23" a="1"/>
  <c r="U541" i="23" a="1"/>
  <c r="U542" i="23" a="1"/>
  <c r="U543" i="23" a="1"/>
  <c r="U544" i="23" a="1"/>
  <c r="U545" i="23" a="1"/>
  <c r="U546" i="23" a="1"/>
  <c r="U547" i="23" a="1"/>
  <c r="U548" i="23" a="1"/>
  <c r="U549" i="23" a="1"/>
  <c r="U550" i="23" a="1"/>
  <c r="U551" i="23" a="1"/>
  <c r="U552" i="23" a="1"/>
  <c r="U553" i="23" a="1"/>
  <c r="U554" i="23" a="1"/>
  <c r="U555" i="23" a="1"/>
  <c r="U556" i="23" a="1"/>
  <c r="U557" i="23" a="1"/>
  <c r="U558" i="23" a="1"/>
  <c r="U559" i="23" a="1"/>
  <c r="U560" i="23" a="1"/>
  <c r="U561" i="23" a="1"/>
  <c r="U562" i="23" a="1"/>
  <c r="U563" i="23" a="1"/>
  <c r="U564" i="23" a="1"/>
  <c r="U565" i="23" a="1"/>
  <c r="U566" i="23" a="1"/>
  <c r="U567" i="23" a="1"/>
  <c r="U568" i="23" a="1"/>
  <c r="U569" i="23" a="1"/>
  <c r="U570" i="23" a="1"/>
  <c r="U571" i="23" a="1"/>
  <c r="U572" i="23" a="1"/>
  <c r="U573" i="23" a="1"/>
  <c r="U574" i="23" a="1"/>
  <c r="U575" i="23" a="1"/>
  <c r="U576" i="23" a="1"/>
  <c r="U577" i="23" a="1"/>
  <c r="U578" i="23" a="1"/>
  <c r="U579" i="23" a="1"/>
  <c r="U580" i="23" a="1"/>
  <c r="U581" i="23" a="1"/>
  <c r="U582" i="23" a="1"/>
  <c r="U583" i="23" a="1"/>
  <c r="U584" i="23" a="1"/>
  <c r="U585" i="23" a="1"/>
  <c r="U586" i="23" a="1"/>
  <c r="U587" i="23" a="1"/>
  <c r="U588" i="23" a="1"/>
  <c r="U589" i="23" a="1"/>
  <c r="U590" i="23" a="1"/>
  <c r="U591" i="23" a="1"/>
  <c r="U592" i="23" a="1"/>
  <c r="U593" i="23" a="1"/>
  <c r="U594" i="23" a="1"/>
  <c r="U595" i="23" a="1"/>
  <c r="U596" i="23" a="1"/>
  <c r="U597" i="23" a="1"/>
  <c r="U598" i="23" a="1"/>
  <c r="U599" i="23" a="1"/>
  <c r="U600" i="23" a="1"/>
  <c r="U601" i="23" a="1"/>
  <c r="U602" i="23" a="1"/>
  <c r="U603" i="23" a="1"/>
  <c r="U604" i="23" a="1"/>
  <c r="U605" i="23" a="1"/>
  <c r="U606" i="23" a="1"/>
  <c r="U607" i="23" a="1"/>
  <c r="U608" i="23" a="1"/>
  <c r="U609" i="23" a="1"/>
  <c r="U610" i="23" a="1"/>
  <c r="U611" i="23" a="1"/>
  <c r="U612" i="23" a="1"/>
  <c r="U613" i="23" a="1"/>
  <c r="U614" i="23" a="1"/>
  <c r="U615" i="23" a="1"/>
  <c r="U616" i="23" a="1"/>
  <c r="U617" i="23" a="1"/>
  <c r="U618" i="23" a="1"/>
  <c r="U619" i="23" a="1"/>
  <c r="U620" i="23" a="1"/>
  <c r="U621" i="23" a="1"/>
  <c r="U622" i="23" a="1"/>
  <c r="U623" i="23" a="1"/>
  <c r="U624" i="23" a="1"/>
  <c r="U625" i="23" a="1"/>
  <c r="U626" i="23" a="1"/>
  <c r="U627" i="23" a="1"/>
  <c r="U628" i="23" a="1"/>
  <c r="U629" i="23" a="1"/>
  <c r="U630" i="23" a="1"/>
  <c r="U631" i="23" a="1"/>
  <c r="U632" i="23" a="1"/>
  <c r="U633" i="23" a="1"/>
  <c r="U634" i="23" a="1"/>
  <c r="U635" i="23" a="1"/>
  <c r="U636" i="23" a="1"/>
  <c r="U637" i="23" a="1"/>
  <c r="U638" i="23" a="1"/>
  <c r="U639" i="23" a="1"/>
  <c r="U640" i="23" a="1"/>
  <c r="U641" i="23" a="1"/>
  <c r="U642" i="23" a="1"/>
  <c r="U643" i="23" a="1"/>
  <c r="U644" i="23" a="1"/>
  <c r="U645" i="23" a="1"/>
  <c r="U646" i="23" a="1"/>
  <c r="U647" i="23" a="1"/>
  <c r="U648" i="23" a="1"/>
  <c r="U649" i="23" a="1"/>
  <c r="U650" i="23" a="1"/>
  <c r="U651" i="23" a="1"/>
  <c r="U652" i="23" a="1"/>
  <c r="U653" i="23" a="1"/>
  <c r="U654" i="23" a="1"/>
  <c r="U655" i="23" a="1"/>
  <c r="U656" i="23" a="1"/>
  <c r="U657" i="23" a="1"/>
  <c r="U658" i="23" a="1"/>
  <c r="U659" i="23" a="1"/>
  <c r="U660" i="23" a="1"/>
  <c r="U661" i="23" a="1"/>
  <c r="U662" i="23" a="1"/>
  <c r="U663" i="23" a="1"/>
  <c r="U664" i="23" a="1"/>
  <c r="U665" i="23" a="1"/>
  <c r="U666" i="23" a="1"/>
  <c r="U667" i="23" a="1"/>
  <c r="U668" i="23" a="1"/>
  <c r="U669" i="23" a="1"/>
  <c r="U670" i="23" a="1"/>
  <c r="U671" i="23" a="1"/>
  <c r="U672" i="23" a="1"/>
  <c r="U673" i="23" a="1"/>
  <c r="U674" i="23" a="1"/>
  <c r="U675" i="23" a="1"/>
  <c r="U676" i="23" a="1"/>
  <c r="U677" i="23" a="1"/>
  <c r="U678" i="23" a="1"/>
  <c r="U679" i="23" a="1"/>
  <c r="U680" i="23" a="1"/>
  <c r="U681" i="23" a="1"/>
  <c r="U682" i="23" a="1"/>
  <c r="U683" i="23" a="1"/>
  <c r="U684" i="23" a="1"/>
  <c r="U685" i="23" a="1"/>
  <c r="U686" i="23" a="1"/>
  <c r="U687" i="23" a="1"/>
  <c r="U688" i="23" a="1"/>
  <c r="U689" i="23" a="1"/>
  <c r="U690" i="23" a="1"/>
  <c r="U691" i="23" a="1"/>
  <c r="U692" i="23" a="1"/>
  <c r="U693" i="23" a="1"/>
  <c r="U694" i="23" a="1"/>
  <c r="U695" i="23" a="1"/>
  <c r="U696" i="23" a="1"/>
  <c r="U697" i="23" a="1"/>
  <c r="U698" i="23" a="1"/>
  <c r="U699" i="23" a="1"/>
  <c r="U700" i="23" a="1"/>
  <c r="U701" i="23" a="1"/>
  <c r="U702" i="23" a="1"/>
  <c r="U703" i="23" a="1"/>
  <c r="U704" i="23" a="1"/>
  <c r="U705" i="23" a="1"/>
  <c r="U706" i="23" a="1"/>
  <c r="U707" i="23" a="1"/>
  <c r="U708" i="23" a="1"/>
  <c r="U709" i="23" a="1"/>
  <c r="U710" i="23" a="1"/>
  <c r="U711" i="23" a="1"/>
  <c r="U712" i="23" a="1"/>
  <c r="U713" i="23" a="1"/>
  <c r="U714" i="23" a="1"/>
  <c r="U715" i="23" a="1"/>
  <c r="U716" i="23" a="1"/>
  <c r="U717" i="23" a="1"/>
  <c r="U718" i="23" a="1"/>
  <c r="U719" i="23" a="1"/>
  <c r="U720" i="23" a="1"/>
  <c r="U721" i="23" a="1"/>
  <c r="U722" i="23" a="1"/>
  <c r="U723" i="23" a="1"/>
  <c r="U724" i="23" a="1"/>
  <c r="U725" i="23" a="1"/>
  <c r="U726" i="23" a="1"/>
  <c r="U727" i="23" a="1"/>
  <c r="U728" i="23" a="1"/>
  <c r="U729" i="23" a="1"/>
  <c r="U730" i="23" a="1"/>
  <c r="U731" i="23" a="1"/>
  <c r="U732" i="23" a="1"/>
  <c r="U733" i="23" a="1"/>
  <c r="U734" i="23" a="1"/>
  <c r="U735" i="23" a="1"/>
  <c r="U736" i="23" a="1"/>
  <c r="U737" i="23" a="1"/>
  <c r="U738" i="23" a="1"/>
  <c r="U739" i="23" a="1"/>
  <c r="U740" i="23" a="1"/>
  <c r="U741" i="23" a="1"/>
  <c r="U742" i="23" a="1"/>
  <c r="U743" i="23" a="1"/>
  <c r="U744" i="23" a="1"/>
  <c r="U745" i="23" a="1"/>
  <c r="U746" i="23" a="1"/>
  <c r="U747" i="23" a="1"/>
  <c r="U748" i="23" a="1"/>
  <c r="U749" i="23" a="1"/>
  <c r="U750" i="23" a="1"/>
  <c r="U751" i="23" a="1"/>
  <c r="U752" i="23" a="1"/>
  <c r="U753" i="23" a="1"/>
  <c r="U754" i="23" a="1"/>
  <c r="U755" i="23" a="1"/>
  <c r="U756" i="23" a="1"/>
  <c r="U757" i="23" a="1"/>
  <c r="U758" i="23" a="1"/>
  <c r="U759" i="23" a="1"/>
  <c r="U760" i="23" a="1"/>
  <c r="U761" i="23" a="1"/>
  <c r="U762" i="23" a="1"/>
  <c r="U763" i="23" a="1"/>
  <c r="U764" i="23" a="1"/>
  <c r="U765" i="23" a="1"/>
  <c r="U766" i="23" a="1"/>
  <c r="U767" i="23" a="1"/>
  <c r="U768" i="23" a="1"/>
  <c r="U769" i="23" a="1"/>
  <c r="U770" i="23" a="1"/>
  <c r="U771" i="23" a="1"/>
  <c r="U772" i="23" a="1"/>
  <c r="U773" i="23" a="1"/>
  <c r="U774" i="23" a="1"/>
  <c r="U775" i="23" a="1"/>
  <c r="U776" i="23" a="1"/>
  <c r="U777" i="23" a="1"/>
  <c r="U778" i="23" a="1"/>
  <c r="U779" i="23" a="1"/>
  <c r="U780" i="23" a="1"/>
  <c r="U781" i="23" a="1"/>
  <c r="U782" i="23" a="1"/>
  <c r="U783" i="23" a="1"/>
  <c r="U784" i="23" a="1"/>
  <c r="U785" i="23" a="1"/>
  <c r="U786" i="23" a="1"/>
  <c r="U787" i="23" a="1"/>
  <c r="U788" i="23" a="1"/>
  <c r="U789" i="23" a="1"/>
  <c r="U790" i="23" a="1"/>
  <c r="U791" i="23" a="1"/>
  <c r="U792" i="23" a="1"/>
  <c r="U793" i="23" a="1"/>
  <c r="U794" i="23" a="1"/>
  <c r="U795" i="23" a="1"/>
  <c r="U796" i="23" a="1"/>
  <c r="U797" i="23" a="1"/>
  <c r="U798" i="23" a="1"/>
  <c r="U799" i="23" a="1"/>
  <c r="U800" i="23" a="1"/>
  <c r="U801" i="23" a="1"/>
  <c r="U802" i="23" a="1"/>
  <c r="U803" i="23" a="1"/>
  <c r="U804" i="23" a="1"/>
  <c r="U805" i="23" a="1"/>
  <c r="U806" i="23" a="1"/>
  <c r="U807" i="23" a="1"/>
  <c r="U808" i="23" a="1"/>
  <c r="U809" i="23" a="1"/>
  <c r="U810" i="23" a="1"/>
  <c r="U811" i="23" a="1"/>
  <c r="U812" i="23" a="1"/>
  <c r="U813" i="23" a="1"/>
  <c r="U814" i="23" a="1"/>
  <c r="U815" i="23" a="1"/>
  <c r="U816" i="23" a="1"/>
  <c r="U817" i="23" a="1"/>
  <c r="U818" i="23" a="1"/>
  <c r="U819" i="23" a="1"/>
  <c r="U820" i="23" a="1"/>
  <c r="U821" i="23" a="1"/>
  <c r="U822" i="23" a="1"/>
  <c r="U823" i="23" a="1"/>
  <c r="U824" i="23" a="1"/>
  <c r="U825" i="23" a="1"/>
  <c r="U826" i="23" a="1"/>
  <c r="U827" i="23" a="1"/>
  <c r="U828" i="23" a="1"/>
  <c r="U829" i="23" a="1"/>
  <c r="U830" i="23" a="1"/>
  <c r="U831" i="23" a="1"/>
  <c r="U832" i="23" a="1"/>
  <c r="U833" i="23" a="1"/>
  <c r="U834" i="23" a="1"/>
  <c r="U835" i="23" a="1"/>
  <c r="U836" i="23" a="1"/>
  <c r="U837" i="23" a="1"/>
  <c r="U838" i="23" a="1"/>
  <c r="U839" i="23" a="1"/>
  <c r="U840" i="23" a="1"/>
  <c r="U841" i="23" a="1"/>
  <c r="U842" i="23" a="1"/>
  <c r="U843" i="23" a="1"/>
  <c r="U844" i="23" a="1"/>
  <c r="U845" i="23" a="1"/>
  <c r="U846" i="23" a="1"/>
  <c r="U847" i="23" a="1"/>
  <c r="U848" i="23" a="1"/>
  <c r="U849" i="23" a="1"/>
  <c r="U850" i="23" a="1"/>
  <c r="U851" i="23" a="1"/>
  <c r="U852" i="23" a="1"/>
  <c r="U853" i="23" a="1"/>
  <c r="U854" i="23" a="1"/>
  <c r="U855" i="23" a="1"/>
  <c r="U856" i="23" a="1"/>
  <c r="U857" i="23" a="1"/>
  <c r="U858" i="23" a="1"/>
  <c r="U859" i="23" a="1"/>
  <c r="U860" i="23" a="1"/>
  <c r="U861" i="23" a="1"/>
  <c r="U862" i="23" a="1"/>
  <c r="U863" i="23" a="1"/>
  <c r="U864" i="23" a="1"/>
  <c r="U865" i="23" a="1"/>
  <c r="U866" i="23" a="1"/>
  <c r="U867" i="23" a="1"/>
  <c r="U868" i="23" a="1"/>
  <c r="U869" i="23" a="1"/>
  <c r="U870" i="23" a="1"/>
  <c r="U871" i="23" a="1"/>
  <c r="U872" i="23" a="1"/>
  <c r="U873" i="23" a="1"/>
  <c r="U874" i="23" a="1"/>
  <c r="U875" i="23" a="1"/>
  <c r="U876" i="23" a="1"/>
  <c r="U877" i="23" a="1"/>
  <c r="U878" i="23" a="1"/>
  <c r="U879" i="23" a="1"/>
  <c r="U880" i="23" a="1"/>
  <c r="U881" i="23" a="1"/>
  <c r="U882" i="23" a="1"/>
  <c r="U883" i="23" a="1"/>
  <c r="U884" i="23" a="1"/>
  <c r="U885" i="23" a="1"/>
  <c r="U886" i="23" a="1"/>
  <c r="U887" i="23" a="1"/>
  <c r="U888" i="23" a="1"/>
  <c r="U889" i="23" a="1"/>
  <c r="U890" i="23" a="1"/>
  <c r="U891" i="23" a="1"/>
  <c r="U892" i="23" a="1"/>
  <c r="U893" i="23" a="1"/>
  <c r="U894" i="23" a="1"/>
  <c r="U895" i="23" a="1"/>
  <c r="U896" i="23" a="1"/>
  <c r="U897" i="23" a="1"/>
  <c r="U898" i="23" a="1"/>
  <c r="U899" i="23" a="1"/>
  <c r="U900" i="23" a="1"/>
  <c r="U901" i="23" a="1"/>
  <c r="U902" i="23" a="1"/>
  <c r="U903" i="23" a="1"/>
  <c r="U904" i="23" a="1"/>
  <c r="U905" i="23" a="1"/>
  <c r="U906" i="23" a="1"/>
  <c r="U907" i="23" a="1"/>
  <c r="U908" i="23" a="1"/>
  <c r="U909" i="23" a="1"/>
  <c r="U910" i="23" a="1"/>
  <c r="U911" i="23" a="1"/>
  <c r="U912" i="23" a="1"/>
  <c r="U913" i="23" a="1"/>
  <c r="U914" i="23" a="1"/>
  <c r="U915" i="23" a="1"/>
  <c r="U916" i="23" a="1"/>
  <c r="U917" i="23" a="1"/>
  <c r="U918" i="23" a="1"/>
  <c r="U919" i="23" a="1"/>
  <c r="U920" i="23" a="1"/>
  <c r="U921" i="23" a="1"/>
  <c r="U922" i="23" a="1"/>
  <c r="U923" i="23" a="1"/>
  <c r="U924" i="23" a="1"/>
  <c r="U925" i="23" a="1"/>
  <c r="U926" i="23" a="1"/>
  <c r="U927" i="23" a="1"/>
  <c r="U928" i="23" a="1"/>
  <c r="U929" i="23" a="1"/>
  <c r="U930" i="23" a="1"/>
  <c r="U931" i="23" a="1"/>
  <c r="U932" i="23" a="1"/>
  <c r="U933" i="23" a="1"/>
  <c r="U934" i="23" a="1"/>
  <c r="U935" i="23" a="1"/>
  <c r="U936" i="23" a="1"/>
  <c r="U937" i="23" a="1"/>
  <c r="U938" i="23" a="1"/>
  <c r="U939" i="23" a="1"/>
  <c r="U940" i="23" a="1"/>
  <c r="U941" i="23" a="1"/>
  <c r="U942" i="23" a="1"/>
  <c r="U943" i="23" a="1"/>
  <c r="U944" i="23" a="1"/>
  <c r="U945" i="23" a="1"/>
  <c r="U946" i="23" a="1"/>
  <c r="U947" i="23" a="1"/>
  <c r="U948" i="23" a="1"/>
  <c r="U949" i="23" a="1"/>
  <c r="U950" i="23" a="1"/>
  <c r="U951" i="23" a="1"/>
  <c r="U952" i="23" a="1"/>
  <c r="U953" i="23" a="1"/>
  <c r="U954" i="23" a="1"/>
  <c r="U955" i="23" a="1"/>
  <c r="U956" i="23" a="1"/>
  <c r="U957" i="23" a="1"/>
  <c r="U958" i="23" a="1"/>
  <c r="U959" i="23" a="1"/>
  <c r="U960" i="23" a="1"/>
  <c r="U961" i="23" a="1"/>
  <c r="U962" i="23" a="1"/>
  <c r="U963" i="23" a="1"/>
  <c r="U964" i="23" a="1"/>
  <c r="U965" i="23" a="1"/>
  <c r="U966" i="23" a="1"/>
  <c r="U967" i="23" a="1"/>
  <c r="U968" i="23" a="1"/>
  <c r="U969" i="23" a="1"/>
  <c r="U970" i="23" a="1"/>
  <c r="U971" i="23" a="1"/>
  <c r="U972" i="23" a="1"/>
  <c r="U973" i="23" a="1"/>
  <c r="U974" i="23" a="1"/>
  <c r="U975" i="23" a="1"/>
  <c r="U976" i="23" a="1"/>
  <c r="U977" i="23" a="1"/>
  <c r="U978" i="23" a="1"/>
  <c r="U979" i="23" a="1"/>
  <c r="U980" i="23" a="1"/>
  <c r="U981" i="23" a="1"/>
  <c r="U982" i="23" a="1"/>
  <c r="U983" i="23" a="1"/>
  <c r="U984" i="23" a="1"/>
  <c r="U985" i="23" a="1"/>
  <c r="U986" i="23" a="1"/>
  <c r="U987" i="23" a="1"/>
  <c r="U988" i="23" a="1"/>
  <c r="U989" i="23" a="1"/>
  <c r="U990" i="23" a="1"/>
  <c r="U991" i="23" a="1"/>
  <c r="U992" i="23" a="1"/>
  <c r="U993" i="23" a="1"/>
  <c r="U994" i="23" a="1"/>
  <c r="U995" i="23" a="1"/>
  <c r="U996" i="23" a="1"/>
  <c r="U997" i="23" a="1"/>
  <c r="U998" i="23" a="1"/>
  <c r="U999" i="23" a="1"/>
  <c r="U1000" i="23" a="1"/>
  <c r="U1001" i="23" a="1"/>
  <c r="U1002" i="23" a="1"/>
  <c r="U1003" i="23" a="1"/>
  <c r="U1004" i="23" a="1"/>
  <c r="U1005" i="23" a="1"/>
  <c r="U1006" i="23" a="1"/>
  <c r="U1007" i="23" a="1"/>
  <c r="U1008" i="23" a="1"/>
  <c r="U1009" i="23" a="1"/>
  <c r="U1010" i="23" a="1"/>
  <c r="U1011" i="23" a="1"/>
  <c r="U1012" i="23" a="1"/>
  <c r="U1013" i="23" a="1"/>
  <c r="U1014" i="23" a="1"/>
  <c r="U1015" i="23" a="1"/>
  <c r="U1016" i="23" a="1"/>
  <c r="U1017" i="23" a="1"/>
  <c r="U1018" i="23" a="1"/>
  <c r="U1019" i="23" a="1"/>
  <c r="U1020" i="23" a="1"/>
  <c r="U1021" i="23" a="1"/>
  <c r="U1022" i="23" a="1"/>
  <c r="U1023" i="23" a="1"/>
  <c r="U1024" i="23" a="1"/>
  <c r="U1025" i="23" a="1"/>
  <c r="U1026" i="23" a="1"/>
  <c r="U1027" i="23" a="1"/>
  <c r="U1028" i="23" a="1"/>
  <c r="U1029" i="23" a="1"/>
  <c r="U1030" i="23" a="1"/>
  <c r="U1031" i="23" a="1"/>
  <c r="U1032" i="23" a="1"/>
  <c r="U1033" i="23" a="1"/>
  <c r="U1034" i="23" a="1"/>
  <c r="U1035" i="23" a="1"/>
  <c r="U1036" i="23" a="1"/>
  <c r="U1037" i="23" a="1"/>
  <c r="U1038" i="23" a="1"/>
  <c r="U1039" i="23" a="1"/>
  <c r="U1040" i="23" a="1"/>
  <c r="U1041" i="23" a="1"/>
  <c r="U1042" i="23" a="1"/>
  <c r="U1043" i="23" a="1"/>
  <c r="U1044" i="23" a="1"/>
  <c r="U1045" i="23" a="1"/>
  <c r="U1046" i="23" a="1"/>
  <c r="U1047" i="23" a="1"/>
  <c r="U1048" i="23" a="1"/>
  <c r="U1049" i="23" a="1"/>
  <c r="U1050" i="23" a="1"/>
  <c r="U1051" i="23" a="1"/>
  <c r="U1052" i="23" a="1"/>
  <c r="U1053" i="23" a="1"/>
  <c r="U1054" i="23" a="1"/>
  <c r="U1055" i="23" a="1"/>
  <c r="U1056" i="23" a="1"/>
  <c r="U1057" i="23" a="1"/>
  <c r="U1058" i="23" a="1"/>
  <c r="U1059" i="23" a="1"/>
  <c r="U1060" i="23" a="1"/>
  <c r="U1061" i="23" a="1"/>
  <c r="U1062" i="23" a="1"/>
  <c r="U1063" i="23" a="1"/>
  <c r="U1064" i="23" a="1"/>
  <c r="U1065" i="23" a="1"/>
  <c r="U1066" i="23" a="1"/>
  <c r="U1067" i="23" a="1"/>
  <c r="U1068" i="23" a="1"/>
  <c r="U1069" i="23" a="1"/>
  <c r="U1070" i="23" a="1"/>
  <c r="U1071" i="23" a="1"/>
  <c r="U1072" i="23" a="1"/>
  <c r="U1073" i="23" a="1"/>
  <c r="U1074" i="23" a="1"/>
  <c r="U1075" i="23" a="1"/>
  <c r="U1076" i="23" a="1"/>
  <c r="U1077" i="23" a="1"/>
  <c r="U1078" i="23" a="1"/>
  <c r="U1079" i="23" a="1"/>
  <c r="U1080" i="23" a="1"/>
  <c r="U1081" i="23" a="1"/>
  <c r="U1082" i="23" a="1"/>
  <c r="U1083" i="23" a="1"/>
  <c r="U1084" i="23" a="1"/>
  <c r="U1085" i="23" a="1"/>
  <c r="U1086" i="23" a="1"/>
  <c r="U1087" i="23" a="1"/>
  <c r="U1088" i="23" a="1"/>
  <c r="U1089" i="23" a="1"/>
  <c r="U1090" i="23" a="1"/>
  <c r="U1091" i="23" a="1"/>
  <c r="U1092" i="23" a="1"/>
  <c r="U1093" i="23" a="1"/>
  <c r="U1094" i="23" a="1"/>
  <c r="U1095" i="23" a="1"/>
  <c r="U1096" i="23" a="1"/>
  <c r="U1097" i="23" a="1"/>
  <c r="U1098" i="23" a="1"/>
  <c r="U1099" i="23" a="1"/>
  <c r="U1100" i="23" a="1"/>
  <c r="U1101" i="23" a="1"/>
  <c r="U1102" i="23" a="1"/>
  <c r="U1103" i="23" a="1"/>
  <c r="U1104" i="23" a="1"/>
  <c r="U1105" i="23" a="1"/>
  <c r="U1106" i="23" a="1"/>
  <c r="U1107" i="23" a="1"/>
  <c r="U1108" i="23" a="1"/>
  <c r="U1109" i="23" a="1"/>
  <c r="U1110" i="23" a="1"/>
  <c r="U1111" i="23" a="1"/>
  <c r="U1112" i="23" a="1"/>
  <c r="U1113" i="23" a="1"/>
  <c r="U1114" i="23" a="1"/>
  <c r="U1115" i="23" a="1"/>
  <c r="U1116" i="23" a="1"/>
  <c r="U1117" i="23" a="1"/>
  <c r="U1118" i="23" a="1"/>
  <c r="U1119" i="23" a="1"/>
  <c r="U1120" i="23" a="1"/>
  <c r="U1121" i="23" a="1"/>
  <c r="U1122" i="23" a="1"/>
  <c r="U1123" i="23" a="1"/>
  <c r="U1124" i="23" a="1"/>
  <c r="U1125" i="23" a="1"/>
  <c r="U1126" i="23" a="1"/>
  <c r="U1127" i="23" a="1"/>
  <c r="U1128" i="23" a="1"/>
  <c r="U1129" i="23" a="1"/>
  <c r="U1130" i="23" a="1"/>
  <c r="U1131" i="23" a="1"/>
  <c r="U1132" i="23" a="1"/>
  <c r="U1133" i="23" a="1"/>
  <c r="U1134" i="23" a="1"/>
  <c r="U1135" i="23" a="1"/>
  <c r="U1136" i="23" a="1"/>
  <c r="U1137" i="23" a="1"/>
  <c r="U1138" i="23" a="1"/>
  <c r="U1139" i="23" a="1"/>
  <c r="U1140" i="23" a="1"/>
  <c r="U1141" i="23" a="1"/>
  <c r="U1142" i="23" a="1"/>
  <c r="U1143" i="23" a="1"/>
  <c r="U1144" i="23" a="1"/>
  <c r="U1145" i="23" a="1"/>
  <c r="U1146" i="23" a="1"/>
  <c r="U1147" i="23" a="1"/>
  <c r="U1148" i="23" a="1"/>
  <c r="U1149" i="23" a="1"/>
  <c r="U1150" i="23" a="1"/>
  <c r="U1151" i="23" a="1"/>
  <c r="U1152" i="23" a="1"/>
  <c r="U1153" i="23" a="1"/>
  <c r="U1154" i="23" a="1"/>
  <c r="U1155" i="23" a="1"/>
  <c r="U1156" i="23" a="1"/>
  <c r="U1157" i="23" a="1"/>
  <c r="U1158" i="23" a="1"/>
  <c r="U1159" i="23" a="1"/>
  <c r="U1160" i="23" a="1"/>
  <c r="U1161" i="23" a="1"/>
  <c r="U1162" i="23" a="1"/>
  <c r="U1163" i="23" a="1"/>
  <c r="U1164" i="23" a="1"/>
  <c r="U1165" i="23" a="1"/>
  <c r="U1166" i="23" a="1"/>
  <c r="U1167" i="23" a="1"/>
  <c r="U1168" i="23" a="1"/>
  <c r="U1169" i="23" a="1"/>
  <c r="U1170" i="23" a="1"/>
  <c r="U1171" i="23" a="1"/>
  <c r="U1172" i="23" a="1"/>
  <c r="U1173" i="23" a="1"/>
  <c r="U1174" i="23" a="1"/>
  <c r="U1175" i="23" a="1"/>
  <c r="U1176" i="23" a="1"/>
  <c r="U1177" i="23" a="1"/>
  <c r="U1178" i="23" a="1"/>
  <c r="U1179" i="23" a="1"/>
  <c r="U1180" i="23" a="1"/>
  <c r="U1181" i="23" a="1"/>
  <c r="U1182" i="23" a="1"/>
  <c r="U1183" i="23" a="1"/>
  <c r="U1184" i="23" a="1"/>
  <c r="U1185" i="23" a="1"/>
  <c r="U1186" i="23" a="1"/>
  <c r="U1187" i="23" a="1"/>
  <c r="U1188" i="23" a="1"/>
  <c r="U1189" i="23" a="1"/>
  <c r="U1190" i="23" a="1"/>
  <c r="U1191" i="23" a="1"/>
  <c r="U1192" i="23" a="1"/>
  <c r="U1193" i="23" a="1"/>
  <c r="U1194" i="23" a="1"/>
  <c r="U1195" i="23" a="1"/>
  <c r="U1196" i="23" a="1"/>
  <c r="U1197" i="23" a="1"/>
  <c r="U1198" i="23" a="1"/>
  <c r="U1199" i="23" a="1"/>
  <c r="U1200" i="23" a="1"/>
  <c r="U1201" i="23" a="1"/>
  <c r="U1202" i="23" a="1"/>
  <c r="U1203" i="23" a="1"/>
  <c r="U1204" i="23" a="1"/>
  <c r="U1205" i="23" a="1"/>
  <c r="N1" i="23"/>
  <c r="Q214" i="23" s="1"/>
  <c r="D7" i="23"/>
  <c r="C19" i="23"/>
  <c r="B5" i="23"/>
  <c r="AB3" i="23" a="1"/>
  <c r="Q749" i="23"/>
  <c r="Q693" i="23"/>
  <c r="Q1110" i="23"/>
  <c r="Q1052" i="23"/>
  <c r="Q492" i="23"/>
  <c r="Q1050" i="23"/>
  <c r="Q952" i="23"/>
  <c r="Q215" i="23"/>
  <c r="Q690" i="23"/>
  <c r="Q665" i="23"/>
  <c r="Q494" i="23"/>
  <c r="Q493" i="23"/>
  <c r="Q1051" i="23"/>
  <c r="Q462" i="23"/>
  <c r="Q301" i="23"/>
  <c r="Q882" i="23"/>
  <c r="Q267" i="23"/>
  <c r="Q881" i="23"/>
  <c r="Q863" i="23"/>
  <c r="Q99" i="23"/>
  <c r="Q6" i="23"/>
  <c r="Q112" i="23"/>
  <c r="Q226" i="23"/>
  <c r="Q326" i="23"/>
  <c r="Q421" i="23"/>
  <c r="Q498" i="23"/>
  <c r="Q617" i="23"/>
  <c r="Q694" i="23"/>
  <c r="Q791" i="23"/>
  <c r="Q887" i="23"/>
  <c r="Q982" i="23"/>
  <c r="Q1080" i="23"/>
  <c r="Q1159" i="23"/>
  <c r="Q7" i="23"/>
  <c r="Q113" i="23"/>
  <c r="Q228" i="23"/>
  <c r="Q328" i="23"/>
  <c r="Q422" i="23"/>
  <c r="Q519" i="23"/>
  <c r="Q627" i="23"/>
  <c r="Q722" i="23"/>
  <c r="Q801" i="23"/>
  <c r="Q894" i="23"/>
  <c r="Q993" i="23"/>
  <c r="Q1082" i="23"/>
  <c r="Q1160" i="23"/>
  <c r="Q8" i="23"/>
  <c r="Q134" i="23"/>
  <c r="Q229" i="23"/>
  <c r="Q329" i="23"/>
  <c r="Q425" i="23"/>
  <c r="Q532" i="23"/>
  <c r="Q628" i="23"/>
  <c r="Q723" i="23"/>
  <c r="Q820" i="23"/>
  <c r="Q897" i="23"/>
  <c r="Q1017" i="23"/>
  <c r="Q1083" i="23"/>
  <c r="Q1163" i="23"/>
  <c r="Q33" i="23"/>
  <c r="Q137" i="23"/>
  <c r="Q250" i="23"/>
  <c r="Q339" i="23"/>
  <c r="Q434" i="23"/>
  <c r="Q533" i="23"/>
  <c r="Q630" i="23"/>
  <c r="Q724" i="23"/>
  <c r="Q821" i="23"/>
  <c r="Q918" i="23"/>
  <c r="Q1018" i="23"/>
  <c r="Q1099" i="23"/>
  <c r="Q1164" i="23"/>
  <c r="Q34" i="23"/>
  <c r="Q147" i="23"/>
  <c r="Q253" i="23"/>
  <c r="Q360" i="23"/>
  <c r="Q459" i="23"/>
  <c r="Q555" i="23"/>
  <c r="Q633" i="23"/>
  <c r="Q729" i="23"/>
  <c r="Q822" i="23"/>
  <c r="Q923" i="23"/>
  <c r="Q1020" i="23"/>
  <c r="Q1100" i="23"/>
  <c r="Q1181" i="23"/>
  <c r="Q37" i="23"/>
  <c r="Q148" i="23"/>
  <c r="Q263" i="23"/>
  <c r="Q361" i="23"/>
  <c r="Q460" i="23"/>
  <c r="Q556" i="23"/>
  <c r="Q651" i="23"/>
  <c r="Q730" i="23"/>
  <c r="Q825" i="23"/>
  <c r="Q924" i="23"/>
  <c r="Q1021" i="23"/>
  <c r="Q1103" i="23"/>
  <c r="Q1182" i="23"/>
  <c r="Q59" i="23"/>
  <c r="Q153" i="23"/>
  <c r="Q264" i="23"/>
  <c r="Q364" i="23"/>
  <c r="Q461" i="23"/>
  <c r="Q558" i="23"/>
  <c r="Q652" i="23"/>
  <c r="Q1049" i="23"/>
  <c r="Q862" i="23"/>
  <c r="Q664" i="23"/>
  <c r="Q401" i="23"/>
  <c r="Q186" i="23"/>
  <c r="Q1192" i="23"/>
  <c r="Q1048" i="23"/>
  <c r="Q858" i="23"/>
  <c r="Q657" i="23"/>
  <c r="Q400" i="23"/>
  <c r="Q174" i="23"/>
  <c r="Q1191" i="23"/>
  <c r="Q1031" i="23"/>
  <c r="Q857" i="23"/>
  <c r="Q592" i="23"/>
  <c r="Q398" i="23"/>
  <c r="Q173" i="23"/>
  <c r="Q1158" i="23"/>
  <c r="Q981" i="23"/>
  <c r="Q790" i="23"/>
  <c r="Q591" i="23"/>
  <c r="Q397" i="23"/>
  <c r="Q98" i="23"/>
  <c r="Q1134" i="23"/>
  <c r="Q960" i="23"/>
  <c r="Q786" i="23"/>
  <c r="Q590" i="23"/>
  <c r="Q387" i="23"/>
  <c r="Q74" i="23"/>
  <c r="Q1131" i="23"/>
  <c r="Q959" i="23"/>
  <c r="Q785" i="23"/>
  <c r="Q569" i="23"/>
  <c r="Q325" i="23"/>
  <c r="Q73" i="23"/>
  <c r="Q1130" i="23"/>
  <c r="Q954" i="23"/>
  <c r="Q765" i="23"/>
  <c r="Q561" i="23"/>
  <c r="Q303" i="23"/>
  <c r="Q72" i="23"/>
  <c r="Q1111" i="23"/>
  <c r="Q953" i="23"/>
  <c r="Q750" i="23"/>
  <c r="Q497" i="23"/>
  <c r="Q302" i="23"/>
  <c r="Q60" i="23"/>
  <c r="Q1133" i="23"/>
  <c r="Q1079" i="23"/>
  <c r="Q995" i="23"/>
  <c r="Q922" i="23"/>
  <c r="Q849" i="23"/>
  <c r="Q762" i="23"/>
  <c r="Q689" i="23"/>
  <c r="Q594" i="23"/>
  <c r="Q531" i="23"/>
  <c r="Q458" i="23"/>
  <c r="Q363" i="23"/>
  <c r="Q290" i="23"/>
  <c r="Q190" i="23"/>
  <c r="Q110" i="23"/>
  <c r="Q22" i="23"/>
  <c r="Q1193" i="23"/>
  <c r="Q1132" i="23"/>
  <c r="Q1071" i="23"/>
  <c r="Q994" i="23"/>
  <c r="Q921" i="23"/>
  <c r="Q826" i="23"/>
  <c r="Q761" i="23"/>
  <c r="Q688" i="23"/>
  <c r="Q593" i="23"/>
  <c r="Q520" i="23"/>
  <c r="Q435" i="23"/>
  <c r="Q362" i="23"/>
  <c r="Q289" i="23"/>
  <c r="Q189" i="23"/>
  <c r="Q18" i="23"/>
  <c r="Q31" i="23"/>
  <c r="Q43" i="23"/>
  <c r="Q55" i="23"/>
  <c r="Q67" i="23"/>
  <c r="Q79" i="23"/>
  <c r="Q91" i="23"/>
  <c r="Q103" i="23"/>
  <c r="Q115" i="23"/>
  <c r="Q127" i="23"/>
  <c r="Q139" i="23"/>
  <c r="Q151" i="23"/>
  <c r="Q163" i="23"/>
  <c r="Q175" i="23"/>
  <c r="Q187" i="23"/>
  <c r="Q199" i="23"/>
  <c r="Q211" i="23"/>
  <c r="Q223" i="23"/>
  <c r="Q235" i="23"/>
  <c r="Q247" i="23"/>
  <c r="Q259" i="23"/>
  <c r="Q271" i="23"/>
  <c r="Q283" i="23"/>
  <c r="Q295" i="23"/>
  <c r="Q307" i="23"/>
  <c r="Q319" i="23"/>
  <c r="Q331" i="23"/>
  <c r="Q343" i="23"/>
  <c r="Q355" i="23"/>
  <c r="Q367" i="23"/>
  <c r="Q379" i="23"/>
  <c r="Q391" i="23"/>
  <c r="Q403" i="23"/>
  <c r="Q415" i="23"/>
  <c r="Q427" i="23"/>
  <c r="Q439" i="23"/>
  <c r="Q451" i="23"/>
  <c r="Q463" i="23"/>
  <c r="Q475" i="23"/>
  <c r="Q487" i="23"/>
  <c r="Q499" i="23"/>
  <c r="Q511" i="23"/>
  <c r="Q523" i="23"/>
  <c r="Q535" i="23"/>
  <c r="Q547" i="23"/>
  <c r="Q559" i="23"/>
  <c r="Q571" i="23"/>
  <c r="Q583" i="23"/>
  <c r="Q595" i="23"/>
  <c r="Q607" i="23"/>
  <c r="Q619" i="23"/>
  <c r="Q631" i="23"/>
  <c r="Q643" i="23"/>
  <c r="Q655" i="23"/>
  <c r="Q667" i="23"/>
  <c r="Q679" i="23"/>
  <c r="Q691" i="23"/>
  <c r="Q703" i="23"/>
  <c r="Q715" i="23"/>
  <c r="Q727" i="23"/>
  <c r="Q739" i="23"/>
  <c r="Q751" i="23"/>
  <c r="Q763" i="23"/>
  <c r="Q775" i="23"/>
  <c r="Q787" i="23"/>
  <c r="Q799" i="23"/>
  <c r="Q811" i="23"/>
  <c r="Q823" i="23"/>
  <c r="Q835" i="23"/>
  <c r="Q847" i="23"/>
  <c r="Q859" i="23"/>
  <c r="Q871" i="23"/>
  <c r="Q883" i="23"/>
  <c r="Q895" i="23"/>
  <c r="Q907" i="23"/>
  <c r="Q919" i="23"/>
  <c r="Q931" i="23"/>
  <c r="Q943" i="23"/>
  <c r="Q955" i="23"/>
  <c r="Q967" i="23"/>
  <c r="Q979" i="23"/>
  <c r="Q991" i="23"/>
  <c r="Q1003" i="23"/>
  <c r="Q1015" i="23"/>
  <c r="Q1027" i="23"/>
  <c r="Q19" i="23"/>
  <c r="Q32" i="23"/>
  <c r="Q44" i="23"/>
  <c r="Q56" i="23"/>
  <c r="Q68" i="23"/>
  <c r="Q80" i="23"/>
  <c r="Q92" i="23"/>
  <c r="Q104" i="23"/>
  <c r="Q116" i="23"/>
  <c r="Q128" i="23"/>
  <c r="Q140" i="23"/>
  <c r="Q152" i="23"/>
  <c r="Q164" i="23"/>
  <c r="Q176" i="23"/>
  <c r="Q188" i="23"/>
  <c r="Q200" i="23"/>
  <c r="Q212" i="23"/>
  <c r="Q224" i="23"/>
  <c r="Q236" i="23"/>
  <c r="Q248" i="23"/>
  <c r="Q260" i="23"/>
  <c r="Q272" i="23"/>
  <c r="Q284" i="23"/>
  <c r="Q296" i="23"/>
  <c r="Q308" i="23"/>
  <c r="Q320" i="23"/>
  <c r="Q332" i="23"/>
  <c r="Q344" i="23"/>
  <c r="Q356" i="23"/>
  <c r="Q368" i="23"/>
  <c r="Q380" i="23"/>
  <c r="Q392" i="23"/>
  <c r="Q404" i="23"/>
  <c r="Q416" i="23"/>
  <c r="Q428" i="23"/>
  <c r="Q440" i="23"/>
  <c r="Q452" i="23"/>
  <c r="Q464" i="23"/>
  <c r="Q476" i="23"/>
  <c r="Q488" i="23"/>
  <c r="Q500" i="23"/>
  <c r="Q512" i="23"/>
  <c r="Q524" i="23"/>
  <c r="Q536" i="23"/>
  <c r="Q548" i="23"/>
  <c r="Q560" i="23"/>
  <c r="Q572" i="23"/>
  <c r="Q584" i="23"/>
  <c r="Q596" i="23"/>
  <c r="Q608" i="23"/>
  <c r="Q620" i="23"/>
  <c r="Q632" i="23"/>
  <c r="Q644" i="23"/>
  <c r="Q656" i="23"/>
  <c r="Q668" i="23"/>
  <c r="Q680" i="23"/>
  <c r="Q692" i="23"/>
  <c r="Q704" i="23"/>
  <c r="Q716" i="23"/>
  <c r="Q728" i="23"/>
  <c r="Q740" i="23"/>
  <c r="Q752" i="23"/>
  <c r="Q764" i="23"/>
  <c r="Q776" i="23"/>
  <c r="Q788" i="23"/>
  <c r="Q800" i="23"/>
  <c r="Q812" i="23"/>
  <c r="Q824" i="23"/>
  <c r="Q836" i="23"/>
  <c r="Q848" i="23"/>
  <c r="Q860" i="23"/>
  <c r="Q872" i="23"/>
  <c r="Q884" i="23"/>
  <c r="Q896" i="23"/>
  <c r="Q908" i="23"/>
  <c r="Q920" i="23"/>
  <c r="Q932" i="23"/>
  <c r="Q944" i="23"/>
  <c r="Q956" i="23"/>
  <c r="Q968" i="23"/>
  <c r="Q980" i="23"/>
  <c r="Q992" i="23"/>
  <c r="Q1004" i="23"/>
  <c r="Q1016" i="23"/>
  <c r="Q1028" i="23"/>
  <c r="Q20" i="23"/>
  <c r="Q35" i="23"/>
  <c r="Q49" i="23"/>
  <c r="Q63" i="23"/>
  <c r="Q77" i="23"/>
  <c r="Q93" i="23"/>
  <c r="Q107" i="23"/>
  <c r="Q121" i="23"/>
  <c r="Q135" i="23"/>
  <c r="Q149" i="23"/>
  <c r="Q165" i="23"/>
  <c r="Q179" i="23"/>
  <c r="Q193" i="23"/>
  <c r="Q207" i="23"/>
  <c r="Q221" i="23"/>
  <c r="Q237" i="23"/>
  <c r="Q251" i="23"/>
  <c r="Q265" i="23"/>
  <c r="Q279" i="23"/>
  <c r="Q293" i="23"/>
  <c r="Q309" i="23"/>
  <c r="Q323" i="23"/>
  <c r="Q337" i="23"/>
  <c r="Q351" i="23"/>
  <c r="Q365" i="23"/>
  <c r="Q381" i="23"/>
  <c r="Q395" i="23"/>
  <c r="Q409" i="23"/>
  <c r="Q423" i="23"/>
  <c r="Q437" i="23"/>
  <c r="Q453" i="23"/>
  <c r="Q467" i="23"/>
  <c r="Q481" i="23"/>
  <c r="Q495" i="23"/>
  <c r="Q509" i="23"/>
  <c r="Q525" i="23"/>
  <c r="Q539" i="23"/>
  <c r="Q553" i="23"/>
  <c r="Q567" i="23"/>
  <c r="Q581" i="23"/>
  <c r="Q597" i="23"/>
  <c r="Q611" i="23"/>
  <c r="Q625" i="23"/>
  <c r="Q639" i="23"/>
  <c r="Q653" i="23"/>
  <c r="Q669" i="23"/>
  <c r="Q683" i="23"/>
  <c r="Q697" i="23"/>
  <c r="Q711" i="23"/>
  <c r="Q725" i="23"/>
  <c r="Q741" i="23"/>
  <c r="Q755" i="23"/>
  <c r="Q769" i="23"/>
  <c r="Q783" i="23"/>
  <c r="Q797" i="23"/>
  <c r="Q813" i="23"/>
  <c r="Q827" i="23"/>
  <c r="Q841" i="23"/>
  <c r="Q855" i="23"/>
  <c r="Q869" i="23"/>
  <c r="Q885" i="23"/>
  <c r="Q899" i="23"/>
  <c r="Q913" i="23"/>
  <c r="Q927" i="23"/>
  <c r="Q941" i="23"/>
  <c r="Q957" i="23"/>
  <c r="Q971" i="23"/>
  <c r="Q985" i="23"/>
  <c r="Q999" i="23"/>
  <c r="Q1013" i="23"/>
  <c r="Q1029" i="23"/>
  <c r="Q1041" i="23"/>
  <c r="Q1053" i="23"/>
  <c r="Q1065" i="23"/>
  <c r="Q1077" i="23"/>
  <c r="Q1089" i="23"/>
  <c r="Q1101" i="23"/>
  <c r="Q1113" i="23"/>
  <c r="Q1125" i="23"/>
  <c r="Q1137" i="23"/>
  <c r="Q1149" i="23"/>
  <c r="Q1161" i="23"/>
  <c r="Q1173" i="23"/>
  <c r="Q1185" i="23"/>
  <c r="Q1197" i="23"/>
  <c r="Q21" i="23"/>
  <c r="Q36" i="23"/>
  <c r="Q50" i="23"/>
  <c r="Q64" i="23"/>
  <c r="Q78" i="23"/>
  <c r="Q94" i="23"/>
  <c r="Q108" i="23"/>
  <c r="Q122" i="23"/>
  <c r="Q136" i="23"/>
  <c r="Q150" i="23"/>
  <c r="Q166" i="23"/>
  <c r="Q180" i="23"/>
  <c r="Q194" i="23"/>
  <c r="Q208" i="23"/>
  <c r="Q222" i="23"/>
  <c r="Q238" i="23"/>
  <c r="Q252" i="23"/>
  <c r="Q266" i="23"/>
  <c r="Q280" i="23"/>
  <c r="Q294" i="23"/>
  <c r="Q310" i="23"/>
  <c r="Q324" i="23"/>
  <c r="Q338" i="23"/>
  <c r="Q352" i="23"/>
  <c r="Q366" i="23"/>
  <c r="Q382" i="23"/>
  <c r="Q396" i="23"/>
  <c r="Q410" i="23"/>
  <c r="Q424" i="23"/>
  <c r="Q438" i="23"/>
  <c r="Q454" i="23"/>
  <c r="Q468" i="23"/>
  <c r="Q482" i="23"/>
  <c r="Q496" i="23"/>
  <c r="Q510" i="23"/>
  <c r="Q526" i="23"/>
  <c r="Q540" i="23"/>
  <c r="Q554" i="23"/>
  <c r="Q568" i="23"/>
  <c r="Q582" i="23"/>
  <c r="Q598" i="23"/>
  <c r="Q612" i="23"/>
  <c r="Q626" i="23"/>
  <c r="Q640" i="23"/>
  <c r="Q654" i="23"/>
  <c r="Q670" i="23"/>
  <c r="Q684" i="23"/>
  <c r="Q712" i="23"/>
  <c r="Q726" i="23"/>
  <c r="Q742" i="23"/>
  <c r="Q756" i="23"/>
  <c r="Q770" i="23"/>
  <c r="Q784" i="23"/>
  <c r="Q798" i="23"/>
  <c r="Q814" i="23"/>
  <c r="Q828" i="23"/>
  <c r="Q842" i="23"/>
  <c r="Q856" i="23"/>
  <c r="Q886" i="23"/>
  <c r="Q900" i="23"/>
  <c r="Q928" i="23"/>
  <c r="Q958" i="23"/>
  <c r="Q986" i="23"/>
  <c r="Q1014" i="23"/>
  <c r="Q1042" i="23"/>
  <c r="Q1066" i="23"/>
  <c r="Q1090" i="23"/>
  <c r="Q1114" i="23"/>
  <c r="Q1138" i="23"/>
  <c r="Q1162" i="23"/>
  <c r="Q1186" i="23"/>
  <c r="Q698" i="23"/>
  <c r="Q870" i="23"/>
  <c r="Q914" i="23"/>
  <c r="Q942" i="23"/>
  <c r="Q972" i="23"/>
  <c r="Q1000" i="23"/>
  <c r="Q1030" i="23"/>
  <c r="Q1054" i="23"/>
  <c r="Q1078" i="23"/>
  <c r="Q1102" i="23"/>
  <c r="Q1126" i="23"/>
  <c r="Q1150" i="23"/>
  <c r="Q1174" i="23"/>
  <c r="Q1198" i="23"/>
  <c r="Q10" i="23"/>
  <c r="Q25" i="23"/>
  <c r="Q39" i="23"/>
  <c r="Q53" i="23"/>
  <c r="Q69" i="23"/>
  <c r="Q83" i="23"/>
  <c r="Q97" i="23"/>
  <c r="Q111" i="23"/>
  <c r="Q125" i="23"/>
  <c r="Q141" i="23"/>
  <c r="Q155" i="23"/>
  <c r="Q169" i="23"/>
  <c r="Q183" i="23"/>
  <c r="Q197" i="23"/>
  <c r="Q213" i="23"/>
  <c r="Q227" i="23"/>
  <c r="Q241" i="23"/>
  <c r="Q255" i="23"/>
  <c r="Q269" i="23"/>
  <c r="Q285" i="23"/>
  <c r="Q299" i="23"/>
  <c r="Q313" i="23"/>
  <c r="Q327" i="23"/>
  <c r="Q341" i="23"/>
  <c r="Q357" i="23"/>
  <c r="Q371" i="23"/>
  <c r="Q385" i="23"/>
  <c r="Q399" i="23"/>
  <c r="Q413" i="23"/>
  <c r="Q429" i="23"/>
  <c r="Q443" i="23"/>
  <c r="Q457" i="23"/>
  <c r="Q471" i="23"/>
  <c r="Q485" i="23"/>
  <c r="Q501" i="23"/>
  <c r="Q515" i="23"/>
  <c r="Q529" i="23"/>
  <c r="Q543" i="23"/>
  <c r="Q557" i="23"/>
  <c r="Q573" i="23"/>
  <c r="Q587" i="23"/>
  <c r="Q601" i="23"/>
  <c r="Q615" i="23"/>
  <c r="Q629" i="23"/>
  <c r="Q645" i="23"/>
  <c r="Q659" i="23"/>
  <c r="Q673" i="23"/>
  <c r="Q687" i="23"/>
  <c r="Q701" i="23"/>
  <c r="Q717" i="23"/>
  <c r="Q731" i="23"/>
  <c r="Q745" i="23"/>
  <c r="Q759" i="23"/>
  <c r="Q773" i="23"/>
  <c r="Q789" i="23"/>
  <c r="Q803" i="23"/>
  <c r="Q817" i="23"/>
  <c r="Q831" i="23"/>
  <c r="Q845" i="23"/>
  <c r="Q861" i="23"/>
  <c r="Q875" i="23"/>
  <c r="Q889" i="23"/>
  <c r="Q903" i="23"/>
  <c r="Q917" i="23"/>
  <c r="Q933" i="23"/>
  <c r="Q947" i="23"/>
  <c r="Q961" i="23"/>
  <c r="Q975" i="23"/>
  <c r="Q989" i="23"/>
  <c r="Q1005" i="23"/>
  <c r="Q1019" i="23"/>
  <c r="Q1033" i="23"/>
  <c r="Q1045" i="23"/>
  <c r="Q1057" i="23"/>
  <c r="Q1069" i="23"/>
  <c r="Q1081" i="23"/>
  <c r="Q1093" i="23"/>
  <c r="Q1105" i="23"/>
  <c r="Q1117" i="23"/>
  <c r="Q1129" i="23"/>
  <c r="Q1141" i="23"/>
  <c r="Q1153" i="23"/>
  <c r="Q1165" i="23"/>
  <c r="Q1177" i="23"/>
  <c r="Q1189" i="23"/>
  <c r="Q23" i="23"/>
  <c r="Q42" i="23"/>
  <c r="Q61" i="23"/>
  <c r="Q82" i="23"/>
  <c r="Q100" i="23"/>
  <c r="Q119" i="23"/>
  <c r="Q138" i="23"/>
  <c r="Q158" i="23"/>
  <c r="Q177" i="23"/>
  <c r="Q196" i="23"/>
  <c r="Q216" i="23"/>
  <c r="Q233" i="23"/>
  <c r="Q254" i="23"/>
  <c r="Q274" i="23"/>
  <c r="Q291" i="23"/>
  <c r="Q312" i="23"/>
  <c r="Q330" i="23"/>
  <c r="Q349" i="23"/>
  <c r="Q370" i="23"/>
  <c r="Q388" i="23"/>
  <c r="Q407" i="23"/>
  <c r="Q426" i="23"/>
  <c r="Q446" i="23"/>
  <c r="Q465" i="23"/>
  <c r="Q484" i="23"/>
  <c r="Q504" i="23"/>
  <c r="Q521" i="23"/>
  <c r="Q542" i="23"/>
  <c r="Q562" i="23"/>
  <c r="Q579" i="23"/>
  <c r="Q600" i="23"/>
  <c r="Q618" i="23"/>
  <c r="Q637" i="23"/>
  <c r="Q658" i="23"/>
  <c r="Q676" i="23"/>
  <c r="Q695" i="23"/>
  <c r="Q714" i="23"/>
  <c r="Q734" i="23"/>
  <c r="Q753" i="23"/>
  <c r="Q772" i="23"/>
  <c r="Q792" i="23"/>
  <c r="Q809" i="23"/>
  <c r="Q830" i="23"/>
  <c r="Q850" i="23"/>
  <c r="Q867" i="23"/>
  <c r="Q888" i="23"/>
  <c r="Q906" i="23"/>
  <c r="Q925" i="23"/>
  <c r="Q946" i="23"/>
  <c r="Q964" i="23"/>
  <c r="Q983" i="23"/>
  <c r="Q1002" i="23"/>
  <c r="Q1022" i="23"/>
  <c r="Q1039" i="23"/>
  <c r="Q1056" i="23"/>
  <c r="Q1072" i="23"/>
  <c r="Q1087" i="23"/>
  <c r="Q1104" i="23"/>
  <c r="Q1120" i="23"/>
  <c r="Q1135" i="23"/>
  <c r="Q1152" i="23"/>
  <c r="Q1168" i="23"/>
  <c r="Q1183" i="23"/>
  <c r="Q1200" i="23"/>
  <c r="Q102" i="23"/>
  <c r="Q143" i="23"/>
  <c r="Q181" i="23"/>
  <c r="Q239" i="23"/>
  <c r="Q276" i="23"/>
  <c r="Q315" i="23"/>
  <c r="Q353" i="23"/>
  <c r="Q390" i="23"/>
  <c r="Q431" i="23"/>
  <c r="Q469" i="23"/>
  <c r="Q506" i="23"/>
  <c r="Q545" i="23"/>
  <c r="Q585" i="23"/>
  <c r="Q622" i="23"/>
  <c r="Q661" i="23"/>
  <c r="Q699" i="23"/>
  <c r="Q736" i="23"/>
  <c r="Q777" i="23"/>
  <c r="Q815" i="23"/>
  <c r="Q852" i="23"/>
  <c r="Q891" i="23"/>
  <c r="Q929" i="23"/>
  <c r="Q966" i="23"/>
  <c r="Q1007" i="23"/>
  <c r="Q1043" i="23"/>
  <c r="Q1074" i="23"/>
  <c r="Q1107" i="23"/>
  <c r="Q1139" i="23"/>
  <c r="Q1170" i="23"/>
  <c r="Q1202" i="23"/>
  <c r="Q28" i="23"/>
  <c r="Q47" i="23"/>
  <c r="Q86" i="23"/>
  <c r="Q124" i="23"/>
  <c r="Q144" i="23"/>
  <c r="Q182" i="23"/>
  <c r="Q219" i="23"/>
  <c r="Q258" i="23"/>
  <c r="Q298" i="23"/>
  <c r="Q335" i="23"/>
  <c r="Q354" i="23"/>
  <c r="Q393" i="23"/>
  <c r="Q449" i="23"/>
  <c r="Q490" i="23"/>
  <c r="Q528" i="23"/>
  <c r="Q565" i="23"/>
  <c r="Q604" i="23"/>
  <c r="Q642" i="23"/>
  <c r="Q681" i="23"/>
  <c r="Q720" i="23"/>
  <c r="Q758" i="23"/>
  <c r="Q795" i="23"/>
  <c r="Q834" i="23"/>
  <c r="Q874" i="23"/>
  <c r="Q911" i="23"/>
  <c r="Q950" i="23"/>
  <c r="Q988" i="23"/>
  <c r="Q1008" i="23"/>
  <c r="Q1044" i="23"/>
  <c r="Q1075" i="23"/>
  <c r="Q1108" i="23"/>
  <c r="Q1140" i="23"/>
  <c r="Q1171" i="23"/>
  <c r="Q1203" i="23"/>
  <c r="Q29" i="23"/>
  <c r="Q48" i="23"/>
  <c r="Q87" i="23"/>
  <c r="Q106" i="23"/>
  <c r="Q145" i="23"/>
  <c r="Q184" i="23"/>
  <c r="Q220" i="23"/>
  <c r="Q261" i="23"/>
  <c r="Q300" i="23"/>
  <c r="Q336" i="23"/>
  <c r="Q375" i="23"/>
  <c r="Q414" i="23"/>
  <c r="Q450" i="23"/>
  <c r="Q491" i="23"/>
  <c r="Q530" i="23"/>
  <c r="Q566" i="23"/>
  <c r="Q605" i="23"/>
  <c r="Q646" i="23"/>
  <c r="Q682" i="23"/>
  <c r="Q702" i="23"/>
  <c r="Q738" i="23"/>
  <c r="Q779" i="23"/>
  <c r="Q818" i="23"/>
  <c r="Q854" i="23"/>
  <c r="Q893" i="23"/>
  <c r="Q934" i="23"/>
  <c r="Q970" i="23"/>
  <c r="Q1009" i="23"/>
  <c r="Q1046" i="23"/>
  <c r="Q1076" i="23"/>
  <c r="Q1109" i="23"/>
  <c r="Q1142" i="23"/>
  <c r="Q1172" i="23"/>
  <c r="Q1204" i="23"/>
  <c r="Q30" i="23"/>
  <c r="Q51" i="23"/>
  <c r="Q88" i="23"/>
  <c r="Q129" i="23"/>
  <c r="Q146" i="23"/>
  <c r="Q185" i="23"/>
  <c r="Q225" i="23"/>
  <c r="Q262" i="23"/>
  <c r="Q26" i="23"/>
  <c r="Q45" i="23"/>
  <c r="Q62" i="23"/>
  <c r="Q84" i="23"/>
  <c r="Q101" i="23"/>
  <c r="Q120" i="23"/>
  <c r="Q142" i="23"/>
  <c r="Q159" i="23"/>
  <c r="Q178" i="23"/>
  <c r="Q198" i="23"/>
  <c r="Q217" i="23"/>
  <c r="Q234" i="23"/>
  <c r="Q256" i="23"/>
  <c r="Q275" i="23"/>
  <c r="Q292" i="23"/>
  <c r="Q314" i="23"/>
  <c r="Q333" i="23"/>
  <c r="Q350" i="23"/>
  <c r="Q372" i="23"/>
  <c r="Q389" i="23"/>
  <c r="Q408" i="23"/>
  <c r="Q430" i="23"/>
  <c r="Q447" i="23"/>
  <c r="Q466" i="23"/>
  <c r="Q486" i="23"/>
  <c r="Q505" i="23"/>
  <c r="Q522" i="23"/>
  <c r="Q544" i="23"/>
  <c r="Q563" i="23"/>
  <c r="Q580" i="23"/>
  <c r="Q602" i="23"/>
  <c r="Q621" i="23"/>
  <c r="Q638" i="23"/>
  <c r="Q660" i="23"/>
  <c r="Q677" i="23"/>
  <c r="Q696" i="23"/>
  <c r="Q718" i="23"/>
  <c r="Q735" i="23"/>
  <c r="Q754" i="23"/>
  <c r="Q774" i="23"/>
  <c r="Q793" i="23"/>
  <c r="Q810" i="23"/>
  <c r="Q832" i="23"/>
  <c r="Q851" i="23"/>
  <c r="Q868" i="23"/>
  <c r="Q890" i="23"/>
  <c r="Q909" i="23"/>
  <c r="Q926" i="23"/>
  <c r="Q948" i="23"/>
  <c r="Q965" i="23"/>
  <c r="Q984" i="23"/>
  <c r="Q1006" i="23"/>
  <c r="Q1023" i="23"/>
  <c r="Q1040" i="23"/>
  <c r="Q1058" i="23"/>
  <c r="Q1073" i="23"/>
  <c r="Q1088" i="23"/>
  <c r="Q1106" i="23"/>
  <c r="Q1121" i="23"/>
  <c r="Q1136" i="23"/>
  <c r="Q1154" i="23"/>
  <c r="Q1169" i="23"/>
  <c r="Q1184" i="23"/>
  <c r="Q1201" i="23"/>
  <c r="Q27" i="23"/>
  <c r="Q46" i="23"/>
  <c r="Q65" i="23"/>
  <c r="Q85" i="23"/>
  <c r="Q123" i="23"/>
  <c r="Q160" i="23"/>
  <c r="Q201" i="23"/>
  <c r="Q218" i="23"/>
  <c r="Q257" i="23"/>
  <c r="Q297" i="23"/>
  <c r="Q334" i="23"/>
  <c r="Q373" i="23"/>
  <c r="Q411" i="23"/>
  <c r="Q448" i="23"/>
  <c r="Q489" i="23"/>
  <c r="Q527" i="23"/>
  <c r="Q564" i="23"/>
  <c r="Q603" i="23"/>
  <c r="Q641" i="23"/>
  <c r="Q678" i="23"/>
  <c r="Q719" i="23"/>
  <c r="Q757" i="23"/>
  <c r="Q794" i="23"/>
  <c r="Q833" i="23"/>
  <c r="Q873" i="23"/>
  <c r="Q910" i="23"/>
  <c r="Q949" i="23"/>
  <c r="Q987" i="23"/>
  <c r="Q1024" i="23"/>
  <c r="Q1059" i="23"/>
  <c r="Q1091" i="23"/>
  <c r="Q1122" i="23"/>
  <c r="Q1155" i="23"/>
  <c r="Q1187" i="23"/>
  <c r="Q9" i="23"/>
  <c r="Q66" i="23"/>
  <c r="Q105" i="23"/>
  <c r="Q161" i="23"/>
  <c r="Q202" i="23"/>
  <c r="Q240" i="23"/>
  <c r="Q277" i="23"/>
  <c r="Q316" i="23"/>
  <c r="Q374" i="23"/>
  <c r="Q412" i="23"/>
  <c r="Q432" i="23"/>
  <c r="Q470" i="23"/>
  <c r="Q507" i="23"/>
  <c r="Q546" i="23"/>
  <c r="Q586" i="23"/>
  <c r="Q623" i="23"/>
  <c r="Q662" i="23"/>
  <c r="Q700" i="23"/>
  <c r="Q737" i="23"/>
  <c r="Q778" i="23"/>
  <c r="Q816" i="23"/>
  <c r="Q853" i="23"/>
  <c r="Q892" i="23"/>
  <c r="Q930" i="23"/>
  <c r="Q969" i="23"/>
  <c r="Q1025" i="23"/>
  <c r="Q1060" i="23"/>
  <c r="Q1092" i="23"/>
  <c r="Q1123" i="23"/>
  <c r="Q1156" i="23"/>
  <c r="Q1188" i="23"/>
  <c r="Q11" i="23"/>
  <c r="Q70" i="23"/>
  <c r="Q126" i="23"/>
  <c r="Q162" i="23"/>
  <c r="Q203" i="23"/>
  <c r="Q242" i="23"/>
  <c r="Q278" i="23"/>
  <c r="Q317" i="23"/>
  <c r="Q358" i="23"/>
  <c r="Q394" i="23"/>
  <c r="Q433" i="23"/>
  <c r="Q472" i="23"/>
  <c r="Q508" i="23"/>
  <c r="Q549" i="23"/>
  <c r="Q588" i="23"/>
  <c r="Q624" i="23"/>
  <c r="Q663" i="23"/>
  <c r="Q721" i="23"/>
  <c r="Q760" i="23"/>
  <c r="Q796" i="23"/>
  <c r="Q837" i="23"/>
  <c r="Q876" i="23"/>
  <c r="Q912" i="23"/>
  <c r="Q951" i="23"/>
  <c r="Q990" i="23"/>
  <c r="Q1026" i="23"/>
  <c r="Q1061" i="23"/>
  <c r="Q1094" i="23"/>
  <c r="Q1124" i="23"/>
  <c r="Q1157" i="23"/>
  <c r="Q1190" i="23"/>
  <c r="Q12" i="23"/>
  <c r="Q71" i="23"/>
  <c r="Q109" i="23"/>
  <c r="Q167" i="23"/>
  <c r="Q204" i="23"/>
  <c r="Q243" i="23"/>
  <c r="Q281" i="23"/>
  <c r="Q1180" i="23"/>
  <c r="Q1098" i="23"/>
  <c r="Q1047" i="23"/>
  <c r="Q978" i="23"/>
  <c r="Q916" i="23"/>
  <c r="Q846" i="23"/>
  <c r="Q782" i="23"/>
  <c r="Q713" i="23"/>
  <c r="Q650" i="23"/>
  <c r="Q552" i="23"/>
  <c r="Q483" i="23"/>
  <c r="Q420" i="23"/>
  <c r="Q359" i="23"/>
  <c r="Q288" i="23"/>
  <c r="Q210" i="23"/>
  <c r="Q133" i="23"/>
  <c r="Q16" i="23"/>
  <c r="Q1179" i="23"/>
  <c r="Q1148" i="23"/>
  <c r="Q1097" i="23"/>
  <c r="Q1038" i="23"/>
  <c r="Q977" i="23"/>
  <c r="Q915" i="23"/>
  <c r="Q844" i="23"/>
  <c r="Q781" i="23"/>
  <c r="Q710" i="23"/>
  <c r="Q649" i="23"/>
  <c r="Q578" i="23"/>
  <c r="Q551" i="23"/>
  <c r="Q480" i="23"/>
  <c r="Q419" i="23"/>
  <c r="Q384" i="23"/>
  <c r="Q321" i="23"/>
  <c r="Q246" i="23"/>
  <c r="Q171" i="23"/>
  <c r="Q95" i="23"/>
  <c r="Q57" i="23"/>
  <c r="Q1205" i="23"/>
  <c r="Q1147" i="23"/>
  <c r="Q1096" i="23"/>
  <c r="Q1037" i="23"/>
  <c r="Q939" i="23"/>
  <c r="Q878" i="23"/>
  <c r="Q807" i="23"/>
  <c r="Q746" i="23"/>
  <c r="Q675" i="23"/>
  <c r="Q613" i="23"/>
  <c r="Q577" i="23"/>
  <c r="Q516" i="23"/>
  <c r="Q445" i="23"/>
  <c r="Q383" i="23"/>
  <c r="Q318" i="23"/>
  <c r="Q245" i="23"/>
  <c r="Q170" i="23"/>
  <c r="Q90" i="23"/>
  <c r="Q54" i="23"/>
  <c r="Q1199" i="23"/>
  <c r="Q1176" i="23"/>
  <c r="Q1118" i="23"/>
  <c r="Q1064" i="23"/>
  <c r="Q1001" i="23"/>
  <c r="Q938" i="23"/>
  <c r="Q877" i="23"/>
  <c r="Q806" i="23"/>
  <c r="Q744" i="23"/>
  <c r="Q674" i="23"/>
  <c r="Q610" i="23"/>
  <c r="Q576" i="23"/>
  <c r="Q514" i="23"/>
  <c r="Q444" i="23"/>
  <c r="Q378" i="23"/>
  <c r="Q311" i="23"/>
  <c r="Q244" i="23"/>
  <c r="Q89" i="23"/>
  <c r="Q52" i="23"/>
  <c r="Q1175" i="23"/>
  <c r="Q1116" i="23"/>
  <c r="Q1063" i="23"/>
  <c r="Q998" i="23"/>
  <c r="Q937" i="23"/>
  <c r="Q866" i="23"/>
  <c r="Q805" i="23"/>
  <c r="Q743" i="23"/>
  <c r="Q672" i="23"/>
  <c r="Q609" i="23"/>
  <c r="Q575" i="23"/>
  <c r="Q513" i="23"/>
  <c r="Q442" i="23"/>
  <c r="Q377" i="23"/>
  <c r="Q306" i="23"/>
  <c r="Q232" i="23"/>
  <c r="Q157" i="23"/>
  <c r="Q81" i="23"/>
  <c r="Q1195" i="23"/>
  <c r="Q1167" i="23"/>
  <c r="Q1144" i="23"/>
  <c r="Q1115" i="23"/>
  <c r="Q1085" i="23"/>
  <c r="Q1062" i="23"/>
  <c r="Q1034" i="23"/>
  <c r="Q997" i="23"/>
  <c r="Q963" i="23"/>
  <c r="Q936" i="23"/>
  <c r="Q901" i="23"/>
  <c r="Q865" i="23"/>
  <c r="Q838" i="23"/>
  <c r="Q804" i="23"/>
  <c r="Q767" i="23"/>
  <c r="Q733" i="23"/>
  <c r="Q706" i="23"/>
  <c r="Q671" i="23"/>
  <c r="Q635" i="23"/>
  <c r="Q606" i="23"/>
  <c r="Q574" i="23"/>
  <c r="Q537" i="23"/>
  <c r="Q503" i="23"/>
  <c r="Q474" i="23"/>
  <c r="Q441" i="23"/>
  <c r="Q405" i="23"/>
  <c r="Q376" i="23"/>
  <c r="Q342" i="23"/>
  <c r="Q305" i="23"/>
  <c r="Q270" i="23"/>
  <c r="Q231" i="23"/>
  <c r="Q192" i="23"/>
  <c r="Q156" i="23"/>
  <c r="Q117" i="23"/>
  <c r="Q76" i="23"/>
  <c r="Q40" i="23"/>
  <c r="Q17" i="23"/>
  <c r="Q1151" i="23"/>
  <c r="Q1128" i="23"/>
  <c r="Q1070" i="23"/>
  <c r="Q1012" i="23"/>
  <c r="Q945" i="23"/>
  <c r="Q880" i="23"/>
  <c r="Q819" i="23"/>
  <c r="Q748" i="23"/>
  <c r="Q686" i="23"/>
  <c r="Q616" i="23"/>
  <c r="Q589" i="23"/>
  <c r="Q518" i="23"/>
  <c r="Q456" i="23"/>
  <c r="Q386" i="23"/>
  <c r="Q322" i="23"/>
  <c r="Q249" i="23"/>
  <c r="Q172" i="23"/>
  <c r="Q96" i="23"/>
  <c r="Q58" i="23"/>
  <c r="Q24" i="23"/>
  <c r="Q1127" i="23"/>
  <c r="Q1068" i="23"/>
  <c r="Q1011" i="23"/>
  <c r="Q940" i="23"/>
  <c r="Q879" i="23"/>
  <c r="Q808" i="23"/>
  <c r="Q747" i="23"/>
  <c r="Q685" i="23"/>
  <c r="Q614" i="23"/>
  <c r="Q517" i="23"/>
  <c r="Q455" i="23"/>
  <c r="Q348" i="23"/>
  <c r="Q287" i="23"/>
  <c r="Q209" i="23"/>
  <c r="Q132" i="23"/>
  <c r="Q15" i="23"/>
  <c r="Q1178" i="23"/>
  <c r="Q1119" i="23"/>
  <c r="Q1067" i="23"/>
  <c r="Q1010" i="23"/>
  <c r="Q976" i="23"/>
  <c r="Q905" i="23"/>
  <c r="Q843" i="23"/>
  <c r="Q780" i="23"/>
  <c r="Q709" i="23"/>
  <c r="Q648" i="23"/>
  <c r="Q550" i="23"/>
  <c r="Q479" i="23"/>
  <c r="Q418" i="23"/>
  <c r="Q347" i="23"/>
  <c r="Q286" i="23"/>
  <c r="Q206" i="23"/>
  <c r="Q131" i="23"/>
  <c r="Q14" i="23"/>
  <c r="Q1146" i="23"/>
  <c r="Q1095" i="23"/>
  <c r="Q1036" i="23"/>
  <c r="Q974" i="23"/>
  <c r="Q904" i="23"/>
  <c r="Q840" i="23"/>
  <c r="Q771" i="23"/>
  <c r="Q708" i="23"/>
  <c r="Q647" i="23"/>
  <c r="Q541" i="23"/>
  <c r="Q478" i="23"/>
  <c r="Q417" i="23"/>
  <c r="Q346" i="23"/>
  <c r="Q282" i="23"/>
  <c r="Q205" i="23"/>
  <c r="Q168" i="23"/>
  <c r="Q130" i="23"/>
  <c r="Q13" i="23"/>
  <c r="Q1196" i="23"/>
  <c r="Q1145" i="23"/>
  <c r="Q1086" i="23"/>
  <c r="Q1035" i="23"/>
  <c r="Q973" i="23"/>
  <c r="Q902" i="23"/>
  <c r="Q839" i="23"/>
  <c r="Q768" i="23"/>
  <c r="Q707" i="23"/>
  <c r="Q636" i="23"/>
  <c r="Q538" i="23"/>
  <c r="Q477" i="23"/>
  <c r="Q406" i="23"/>
  <c r="Q345" i="23"/>
  <c r="Q273" i="23"/>
  <c r="Q195" i="23"/>
  <c r="Q118" i="23"/>
  <c r="Q41" i="23"/>
  <c r="Q1194" i="23"/>
  <c r="Q1166" i="23"/>
  <c r="Q1143" i="23"/>
  <c r="Q1112" i="23"/>
  <c r="Q1084" i="23"/>
  <c r="Q1055" i="23"/>
  <c r="Q1032" i="23"/>
  <c r="Q996" i="23"/>
  <c r="Q962" i="23"/>
  <c r="Q935" i="23"/>
  <c r="Q898" i="23"/>
  <c r="Q864" i="23"/>
  <c r="Q829" i="23"/>
  <c r="Q802" i="23"/>
  <c r="Q766" i="23"/>
  <c r="Q732" i="23"/>
  <c r="Q705" i="23"/>
  <c r="Q666" i="23"/>
  <c r="Q634" i="23"/>
  <c r="Q599" i="23"/>
  <c r="Q570" i="23"/>
  <c r="Q534" i="23"/>
  <c r="Q502" i="23"/>
  <c r="Q473" i="23"/>
  <c r="Q436" i="23"/>
  <c r="Q402" i="23"/>
  <c r="Q369" i="23"/>
  <c r="Q340" i="23"/>
  <c r="Q304" i="23"/>
  <c r="Q268" i="23"/>
  <c r="Q230" i="23"/>
  <c r="Q191" i="23"/>
  <c r="Q154" i="23"/>
  <c r="Q114" i="23"/>
  <c r="Q75" i="23"/>
  <c r="Q38" i="23"/>
  <c r="X2" i="23" l="1"/>
  <c r="O488" i="23" s="1"/>
  <c r="L6" i="23"/>
  <c r="L7" i="23" l="1"/>
  <c r="U6" i="23" a="1"/>
  <c r="O1197" i="23"/>
  <c r="O1201" i="23"/>
  <c r="R1184" i="23"/>
  <c r="O1166" i="23"/>
  <c r="O1148" i="23"/>
  <c r="O1134" i="23"/>
  <c r="O1113" i="23"/>
  <c r="O1095" i="23"/>
  <c r="R1076" i="23"/>
  <c r="R1062" i="23"/>
  <c r="O1044" i="23"/>
  <c r="O1026" i="23"/>
  <c r="R1009" i="23"/>
  <c r="O992" i="23"/>
  <c r="R975" i="23"/>
  <c r="R960" i="23"/>
  <c r="R945" i="23"/>
  <c r="R930" i="23"/>
  <c r="O914" i="23"/>
  <c r="O901" i="23"/>
  <c r="O884" i="23"/>
  <c r="R868" i="23"/>
  <c r="O854" i="23"/>
  <c r="R843" i="23"/>
  <c r="R831" i="23"/>
  <c r="R820" i="23"/>
  <c r="R810" i="23"/>
  <c r="R798" i="23"/>
  <c r="O787" i="23"/>
  <c r="O775" i="23"/>
  <c r="O765" i="23"/>
  <c r="O753" i="23"/>
  <c r="R741" i="23"/>
  <c r="O732" i="23"/>
  <c r="O720" i="23"/>
  <c r="R708" i="23"/>
  <c r="R696" i="23"/>
  <c r="R687" i="23"/>
  <c r="R676" i="23"/>
  <c r="O666" i="23"/>
  <c r="O657" i="23"/>
  <c r="O646" i="23"/>
  <c r="R635" i="23"/>
  <c r="R624" i="23"/>
  <c r="R615" i="23"/>
  <c r="R604" i="23"/>
  <c r="R594" i="23"/>
  <c r="R586" i="23"/>
  <c r="O579" i="23"/>
  <c r="R570" i="23"/>
  <c r="R563" i="23"/>
  <c r="O556" i="23"/>
  <c r="O549" i="23"/>
  <c r="R542" i="23"/>
  <c r="O536" i="23"/>
  <c r="R529" i="23"/>
  <c r="R522" i="23"/>
  <c r="O516" i="23"/>
  <c r="R509" i="23"/>
  <c r="O503" i="23"/>
  <c r="R496" i="23"/>
  <c r="O490" i="23"/>
  <c r="O562" i="23"/>
  <c r="O548" i="23"/>
  <c r="R534" i="23"/>
  <c r="O528" i="23"/>
  <c r="O515" i="23"/>
  <c r="O502" i="23"/>
  <c r="O489" i="23"/>
  <c r="R1196" i="23"/>
  <c r="O1146" i="23"/>
  <c r="O1107" i="23"/>
  <c r="R1074" i="23"/>
  <c r="O1040" i="23"/>
  <c r="R1021" i="23"/>
  <c r="R986" i="23"/>
  <c r="O942" i="23"/>
  <c r="O912" i="23"/>
  <c r="O866" i="23"/>
  <c r="O840" i="23"/>
  <c r="R806" i="23"/>
  <c r="O785" i="23"/>
  <c r="R751" i="23"/>
  <c r="O716" i="23"/>
  <c r="O684" i="23"/>
  <c r="O664" i="23"/>
  <c r="R1200" i="23"/>
  <c r="O1184" i="23"/>
  <c r="R1165" i="23"/>
  <c r="R1147" i="23"/>
  <c r="O1129" i="23"/>
  <c r="R1112" i="23"/>
  <c r="O1094" i="23"/>
  <c r="O1076" i="23"/>
  <c r="O1062" i="23"/>
  <c r="O1041" i="23"/>
  <c r="O1023" i="23"/>
  <c r="R1004" i="23"/>
  <c r="R991" i="23"/>
  <c r="R974" i="23"/>
  <c r="O960" i="23"/>
  <c r="O945" i="23"/>
  <c r="O930" i="23"/>
  <c r="R913" i="23"/>
  <c r="R896" i="23"/>
  <c r="R883" i="23"/>
  <c r="O867" i="23"/>
  <c r="R853" i="23"/>
  <c r="O843" i="23"/>
  <c r="O831" i="23"/>
  <c r="R819" i="23"/>
  <c r="R807" i="23"/>
  <c r="O798" i="23"/>
  <c r="O786" i="23"/>
  <c r="R774" i="23"/>
  <c r="R764" i="23"/>
  <c r="R752" i="23"/>
  <c r="O741" i="23"/>
  <c r="O729" i="23"/>
  <c r="R719" i="23"/>
  <c r="R707" i="23"/>
  <c r="O696" i="23"/>
  <c r="O687" i="23"/>
  <c r="O676" i="23"/>
  <c r="R665" i="23"/>
  <c r="R654" i="23"/>
  <c r="R645" i="23"/>
  <c r="R634" i="23"/>
  <c r="O624" i="23"/>
  <c r="O615" i="23"/>
  <c r="O604" i="23"/>
  <c r="O594" i="23"/>
  <c r="O586" i="23"/>
  <c r="R578" i="23"/>
  <c r="O570" i="23"/>
  <c r="R562" i="23"/>
  <c r="R555" i="23"/>
  <c r="R548" i="23"/>
  <c r="O542" i="23"/>
  <c r="R535" i="23"/>
  <c r="R528" i="23"/>
  <c r="O522" i="23"/>
  <c r="R515" i="23"/>
  <c r="O509" i="23"/>
  <c r="R502" i="23"/>
  <c r="O496" i="23"/>
  <c r="R489" i="23"/>
  <c r="R508" i="23"/>
  <c r="R1178" i="23"/>
  <c r="O1128" i="23"/>
  <c r="O1093" i="23"/>
  <c r="R1056" i="23"/>
  <c r="R1003" i="23"/>
  <c r="R973" i="23"/>
  <c r="O927" i="23"/>
  <c r="R895" i="23"/>
  <c r="O852" i="23"/>
  <c r="O830" i="23"/>
  <c r="R794" i="23"/>
  <c r="R761" i="23"/>
  <c r="O728" i="23"/>
  <c r="R694" i="23"/>
  <c r="R653" i="23"/>
  <c r="O1200" i="23"/>
  <c r="O1179" i="23"/>
  <c r="O1165" i="23"/>
  <c r="R1146" i="23"/>
  <c r="R1128" i="23"/>
  <c r="O1112" i="23"/>
  <c r="R1093" i="23"/>
  <c r="R1075" i="23"/>
  <c r="O1057" i="23"/>
  <c r="R1040" i="23"/>
  <c r="O1022" i="23"/>
  <c r="O1004" i="23"/>
  <c r="O991" i="23"/>
  <c r="O974" i="23"/>
  <c r="R957" i="23"/>
  <c r="R942" i="23"/>
  <c r="R927" i="23"/>
  <c r="R912" i="23"/>
  <c r="O896" i="23"/>
  <c r="O883" i="23"/>
  <c r="R866" i="23"/>
  <c r="O853" i="23"/>
  <c r="R840" i="23"/>
  <c r="R830" i="23"/>
  <c r="R818" i="23"/>
  <c r="O807" i="23"/>
  <c r="R797" i="23"/>
  <c r="R785" i="23"/>
  <c r="O774" i="23"/>
  <c r="O762" i="23"/>
  <c r="O752" i="23"/>
  <c r="O740" i="23"/>
  <c r="R728" i="23"/>
  <c r="O719" i="23"/>
  <c r="O707" i="23"/>
  <c r="R695" i="23"/>
  <c r="R684" i="23"/>
  <c r="R675" i="23"/>
  <c r="R664" i="23"/>
  <c r="O654" i="23"/>
  <c r="O645" i="23"/>
  <c r="O634" i="23"/>
  <c r="R623" i="23"/>
  <c r="R612" i="23"/>
  <c r="R603" i="23"/>
  <c r="R593" i="23"/>
  <c r="R585" i="23"/>
  <c r="R577" i="23"/>
  <c r="R569" i="23"/>
  <c r="O555" i="23"/>
  <c r="R541" i="23"/>
  <c r="R521" i="23"/>
  <c r="R495" i="23"/>
  <c r="R1164" i="23"/>
  <c r="R956" i="23"/>
  <c r="R878" i="23"/>
  <c r="O818" i="23"/>
  <c r="O773" i="23"/>
  <c r="R739" i="23"/>
  <c r="R706" i="23"/>
  <c r="O675" i="23"/>
  <c r="O1196" i="23"/>
  <c r="O1173" i="23"/>
  <c r="O1143" i="23"/>
  <c r="O1118" i="23"/>
  <c r="R1092" i="23"/>
  <c r="O1065" i="23"/>
  <c r="O1035" i="23"/>
  <c r="R1014" i="23"/>
  <c r="O986" i="23"/>
  <c r="R966" i="23"/>
  <c r="R939" i="23"/>
  <c r="O920" i="23"/>
  <c r="R894" i="23"/>
  <c r="R873" i="23"/>
  <c r="O851" i="23"/>
  <c r="R836" i="23"/>
  <c r="R817" i="23"/>
  <c r="O801" i="23"/>
  <c r="R784" i="23"/>
  <c r="O768" i="23"/>
  <c r="O749" i="23"/>
  <c r="R734" i="23"/>
  <c r="R715" i="23"/>
  <c r="O701" i="23"/>
  <c r="R683" i="23"/>
  <c r="O670" i="23"/>
  <c r="R652" i="23"/>
  <c r="O640" i="23"/>
  <c r="R627" i="23"/>
  <c r="R611" i="23"/>
  <c r="R598" i="23"/>
  <c r="O588" i="23"/>
  <c r="O576" i="23"/>
  <c r="R566" i="23"/>
  <c r="R557" i="23"/>
  <c r="R546" i="23"/>
  <c r="R538" i="23"/>
  <c r="R530" i="23"/>
  <c r="R520" i="23"/>
  <c r="R512" i="23"/>
  <c r="O504" i="23"/>
  <c r="R494" i="23"/>
  <c r="O486" i="23"/>
  <c r="R639" i="23"/>
  <c r="O598" i="23"/>
  <c r="R575" i="23"/>
  <c r="R556" i="23"/>
  <c r="O538" i="23"/>
  <c r="O530" i="23"/>
  <c r="O512" i="23"/>
  <c r="R503" i="23"/>
  <c r="O669" i="23"/>
  <c r="O585" i="23"/>
  <c r="R565" i="23"/>
  <c r="R554" i="23"/>
  <c r="R537" i="23"/>
  <c r="R527" i="23"/>
  <c r="R501" i="23"/>
  <c r="R493" i="23"/>
  <c r="O1190" i="23"/>
  <c r="O984" i="23"/>
  <c r="R937" i="23"/>
  <c r="O891" i="23"/>
  <c r="O870" i="23"/>
  <c r="O847" i="23"/>
  <c r="R813" i="23"/>
  <c r="R780" i="23"/>
  <c r="R746" i="23"/>
  <c r="R732" i="23"/>
  <c r="O699" i="23"/>
  <c r="R681" i="23"/>
  <c r="O651" i="23"/>
  <c r="R636" i="23"/>
  <c r="O622" i="23"/>
  <c r="O597" i="23"/>
  <c r="R584" i="23"/>
  <c r="O574" i="23"/>
  <c r="O554" i="23"/>
  <c r="O545" i="23"/>
  <c r="O537" i="23"/>
  <c r="O519" i="23"/>
  <c r="R510" i="23"/>
  <c r="R492" i="23"/>
  <c r="R1159" i="23"/>
  <c r="R779" i="23"/>
  <c r="O564" i="23"/>
  <c r="O1002" i="23"/>
  <c r="O779" i="23"/>
  <c r="R1195" i="23"/>
  <c r="R1170" i="23"/>
  <c r="R1142" i="23"/>
  <c r="R1117" i="23"/>
  <c r="R1087" i="23"/>
  <c r="R1064" i="23"/>
  <c r="R1034" i="23"/>
  <c r="O1011" i="23"/>
  <c r="R985" i="23"/>
  <c r="O966" i="23"/>
  <c r="R938" i="23"/>
  <c r="R919" i="23"/>
  <c r="O894" i="23"/>
  <c r="O873" i="23"/>
  <c r="R850" i="23"/>
  <c r="O834" i="23"/>
  <c r="O817" i="23"/>
  <c r="R800" i="23"/>
  <c r="R781" i="23"/>
  <c r="R767" i="23"/>
  <c r="R748" i="23"/>
  <c r="R733" i="23"/>
  <c r="O715" i="23"/>
  <c r="R700" i="23"/>
  <c r="R682" i="23"/>
  <c r="R669" i="23"/>
  <c r="O652" i="23"/>
  <c r="O627" i="23"/>
  <c r="R610" i="23"/>
  <c r="R587" i="23"/>
  <c r="O566" i="23"/>
  <c r="O546" i="23"/>
  <c r="O520" i="23"/>
  <c r="O494" i="23"/>
  <c r="R511" i="23"/>
  <c r="O1167" i="23"/>
  <c r="O1137" i="23"/>
  <c r="O1116" i="23"/>
  <c r="R1086" i="23"/>
  <c r="O1063" i="23"/>
  <c r="O1033" i="23"/>
  <c r="O1010" i="23"/>
  <c r="O963" i="23"/>
  <c r="R914" i="23"/>
  <c r="O833" i="23"/>
  <c r="O799" i="23"/>
  <c r="R765" i="23"/>
  <c r="R713" i="23"/>
  <c r="R666" i="23"/>
  <c r="R609" i="23"/>
  <c r="R564" i="23"/>
  <c r="O527" i="23"/>
  <c r="O501" i="23"/>
  <c r="R1136" i="23"/>
  <c r="R1106" i="23"/>
  <c r="R1032" i="23"/>
  <c r="R981" i="23"/>
  <c r="O937" i="23"/>
  <c r="R888" i="23"/>
  <c r="R846" i="23"/>
  <c r="O813" i="23"/>
  <c r="O761" i="23"/>
  <c r="O727" i="23"/>
  <c r="O694" i="23"/>
  <c r="R663" i="23"/>
  <c r="O636" i="23"/>
  <c r="O609" i="23"/>
  <c r="R583" i="23"/>
  <c r="R553" i="23"/>
  <c r="R536" i="23"/>
  <c r="R518" i="23"/>
  <c r="R500" i="23"/>
  <c r="O1189" i="23"/>
  <c r="O1106" i="23"/>
  <c r="R1052" i="23"/>
  <c r="O981" i="23"/>
  <c r="R932" i="23"/>
  <c r="O888" i="23"/>
  <c r="O846" i="23"/>
  <c r="O827" i="23"/>
  <c r="R793" i="23"/>
  <c r="R745" i="23"/>
  <c r="R712" i="23"/>
  <c r="R678" i="23"/>
  <c r="R633" i="23"/>
  <c r="O1195" i="23"/>
  <c r="O1170" i="23"/>
  <c r="O1140" i="23"/>
  <c r="O1117" i="23"/>
  <c r="O1087" i="23"/>
  <c r="R1063" i="23"/>
  <c r="O1034" i="23"/>
  <c r="R1010" i="23"/>
  <c r="R984" i="23"/>
  <c r="R963" i="23"/>
  <c r="O938" i="23"/>
  <c r="O919" i="23"/>
  <c r="R891" i="23"/>
  <c r="R870" i="23"/>
  <c r="R849" i="23"/>
  <c r="R833" i="23"/>
  <c r="R814" i="23"/>
  <c r="O800" i="23"/>
  <c r="O781" i="23"/>
  <c r="R766" i="23"/>
  <c r="R747" i="23"/>
  <c r="O733" i="23"/>
  <c r="O714" i="23"/>
  <c r="R699" i="23"/>
  <c r="O682" i="23"/>
  <c r="R651" i="23"/>
  <c r="O639" i="23"/>
  <c r="R622" i="23"/>
  <c r="O610" i="23"/>
  <c r="R597" i="23"/>
  <c r="R574" i="23"/>
  <c r="R545" i="23"/>
  <c r="R519" i="23"/>
  <c r="R1189" i="23"/>
  <c r="O1083" i="23"/>
  <c r="O1056" i="23"/>
  <c r="R1002" i="23"/>
  <c r="O956" i="23"/>
  <c r="R909" i="23"/>
  <c r="R865" i="23"/>
  <c r="R827" i="23"/>
  <c r="O794" i="23"/>
  <c r="O746" i="23"/>
  <c r="O713" i="23"/>
  <c r="O681" i="23"/>
  <c r="R648" i="23"/>
  <c r="R621" i="23"/>
  <c r="R596" i="23"/>
  <c r="R573" i="23"/>
  <c r="R544" i="23"/>
  <c r="R526" i="23"/>
  <c r="O510" i="23"/>
  <c r="O492" i="23"/>
  <c r="O1159" i="23"/>
  <c r="R1135" i="23"/>
  <c r="R1082" i="23"/>
  <c r="O1032" i="23"/>
  <c r="R955" i="23"/>
  <c r="O909" i="23"/>
  <c r="R861" i="23"/>
  <c r="O812" i="23"/>
  <c r="R759" i="23"/>
  <c r="R726" i="23"/>
  <c r="R693" i="23"/>
  <c r="O648" i="23"/>
  <c r="O621" i="23"/>
  <c r="O1188" i="23"/>
  <c r="O1135" i="23"/>
  <c r="O1082" i="23"/>
  <c r="O1029" i="23"/>
  <c r="R978" i="23"/>
  <c r="O932" i="23"/>
  <c r="R885" i="23"/>
  <c r="O845" i="23"/>
  <c r="R811" i="23"/>
  <c r="R778" i="23"/>
  <c r="O745" i="23"/>
  <c r="R709" i="23"/>
  <c r="O678" i="23"/>
  <c r="R657" i="23"/>
  <c r="O628" i="23"/>
  <c r="O600" i="23"/>
  <c r="R580" i="23"/>
  <c r="O561" i="23"/>
  <c r="R547" i="23"/>
  <c r="O532" i="23"/>
  <c r="R516" i="23"/>
  <c r="O500" i="23"/>
  <c r="R487" i="23"/>
  <c r="O1177" i="23"/>
  <c r="R617" i="23"/>
  <c r="O526" i="23"/>
  <c r="R1123" i="23"/>
  <c r="O968" i="23"/>
  <c r="R921" i="23"/>
  <c r="R804" i="23"/>
  <c r="R671" i="23"/>
  <c r="O642" i="23"/>
  <c r="O573" i="23"/>
  <c r="R540" i="23"/>
  <c r="O513" i="23"/>
  <c r="O1176" i="23"/>
  <c r="R967" i="23"/>
  <c r="O837" i="23"/>
  <c r="O735" i="23"/>
  <c r="R641" i="23"/>
  <c r="R572" i="23"/>
  <c r="O525" i="23"/>
  <c r="O1052" i="23"/>
  <c r="R999" i="23"/>
  <c r="O861" i="23"/>
  <c r="R792" i="23"/>
  <c r="O693" i="23"/>
  <c r="R590" i="23"/>
  <c r="R524" i="23"/>
  <c r="O1155" i="23"/>
  <c r="O825" i="23"/>
  <c r="R725" i="23"/>
  <c r="R606" i="23"/>
  <c r="O552" i="23"/>
  <c r="O524" i="23"/>
  <c r="R491" i="23"/>
  <c r="O1051" i="23"/>
  <c r="O950" i="23"/>
  <c r="R824" i="23"/>
  <c r="R722" i="23"/>
  <c r="R630" i="23"/>
  <c r="R551" i="23"/>
  <c r="R506" i="23"/>
  <c r="O1101" i="23"/>
  <c r="O1046" i="23"/>
  <c r="R902" i="23"/>
  <c r="O824" i="23"/>
  <c r="O722" i="23"/>
  <c r="R689" i="23"/>
  <c r="R605" i="23"/>
  <c r="R582" i="23"/>
  <c r="R550" i="23"/>
  <c r="R490" i="23"/>
  <c r="R1098" i="23"/>
  <c r="O788" i="23"/>
  <c r="R688" i="23"/>
  <c r="O603" i="23"/>
  <c r="O550" i="23"/>
  <c r="O533" i="23"/>
  <c r="R505" i="23"/>
  <c r="O1045" i="23"/>
  <c r="O948" i="23"/>
  <c r="O821" i="23"/>
  <c r="R720" i="23"/>
  <c r="O1185" i="23"/>
  <c r="R1134" i="23"/>
  <c r="R1081" i="23"/>
  <c r="R1026" i="23"/>
  <c r="O978" i="23"/>
  <c r="R931" i="23"/>
  <c r="R884" i="23"/>
  <c r="R844" i="23"/>
  <c r="O811" i="23"/>
  <c r="R777" i="23"/>
  <c r="R742" i="23"/>
  <c r="O709" i="23"/>
  <c r="R677" i="23"/>
  <c r="R647" i="23"/>
  <c r="R618" i="23"/>
  <c r="R599" i="23"/>
  <c r="O580" i="23"/>
  <c r="R560" i="23"/>
  <c r="O544" i="23"/>
  <c r="R531" i="23"/>
  <c r="R514" i="23"/>
  <c r="R499" i="23"/>
  <c r="R486" i="23"/>
  <c r="O560" i="23"/>
  <c r="O531" i="23"/>
  <c r="O514" i="23"/>
  <c r="R498" i="23"/>
  <c r="O1124" i="23"/>
  <c r="R642" i="23"/>
  <c r="O543" i="23"/>
  <c r="R1070" i="23"/>
  <c r="R1015" i="23"/>
  <c r="R876" i="23"/>
  <c r="R837" i="23"/>
  <c r="O771" i="23"/>
  <c r="R702" i="23"/>
  <c r="R616" i="23"/>
  <c r="R558" i="23"/>
  <c r="R525" i="23"/>
  <c r="O1123" i="23"/>
  <c r="O1015" i="23"/>
  <c r="R920" i="23"/>
  <c r="O804" i="23"/>
  <c r="O702" i="23"/>
  <c r="O616" i="23"/>
  <c r="O558" i="23"/>
  <c r="O508" i="23"/>
  <c r="O1105" i="23"/>
  <c r="O955" i="23"/>
  <c r="R906" i="23"/>
  <c r="O759" i="23"/>
  <c r="O726" i="23"/>
  <c r="R640" i="23"/>
  <c r="O612" i="23"/>
  <c r="R571" i="23"/>
  <c r="R539" i="23"/>
  <c r="O495" i="23"/>
  <c r="R1051" i="23"/>
  <c r="O906" i="23"/>
  <c r="O792" i="23"/>
  <c r="R690" i="23"/>
  <c r="O633" i="23"/>
  <c r="R568" i="23"/>
  <c r="O507" i="23"/>
  <c r="O1104" i="23"/>
  <c r="R859" i="23"/>
  <c r="O758" i="23"/>
  <c r="O660" i="23"/>
  <c r="R588" i="23"/>
  <c r="O534" i="23"/>
  <c r="O491" i="23"/>
  <c r="O1154" i="23"/>
  <c r="R949" i="23"/>
  <c r="O859" i="23"/>
  <c r="R755" i="23"/>
  <c r="O630" i="23"/>
  <c r="R533" i="23"/>
  <c r="R948" i="23"/>
  <c r="O755" i="23"/>
  <c r="R629" i="23"/>
  <c r="O567" i="23"/>
  <c r="R488" i="23"/>
  <c r="R1148" i="23"/>
  <c r="R992" i="23"/>
  <c r="R901" i="23"/>
  <c r="R787" i="23"/>
  <c r="O688" i="23"/>
  <c r="O1178" i="23"/>
  <c r="R1124" i="23"/>
  <c r="O1074" i="23"/>
  <c r="O1021" i="23"/>
  <c r="O973" i="23"/>
  <c r="R924" i="23"/>
  <c r="O878" i="23"/>
  <c r="R839" i="23"/>
  <c r="R805" i="23"/>
  <c r="R772" i="23"/>
  <c r="O739" i="23"/>
  <c r="R705" i="23"/>
  <c r="R672" i="23"/>
  <c r="R646" i="23"/>
  <c r="O618" i="23"/>
  <c r="R592" i="23"/>
  <c r="R579" i="23"/>
  <c r="R543" i="23"/>
  <c r="O1071" i="23"/>
  <c r="R1020" i="23"/>
  <c r="R968" i="23"/>
  <c r="O924" i="23"/>
  <c r="R877" i="23"/>
  <c r="R838" i="23"/>
  <c r="O805" i="23"/>
  <c r="R771" i="23"/>
  <c r="R738" i="23"/>
  <c r="O703" i="23"/>
  <c r="O672" i="23"/>
  <c r="O592" i="23"/>
  <c r="R576" i="23"/>
  <c r="R559" i="23"/>
  <c r="R513" i="23"/>
  <c r="O498" i="23"/>
  <c r="R1176" i="23"/>
  <c r="R735" i="23"/>
  <c r="R591" i="23"/>
  <c r="R497" i="23"/>
  <c r="O1068" i="23"/>
  <c r="O876" i="23"/>
  <c r="R768" i="23"/>
  <c r="R670" i="23"/>
  <c r="O591" i="23"/>
  <c r="O540" i="23"/>
  <c r="O497" i="23"/>
  <c r="R1158" i="23"/>
  <c r="R826" i="23"/>
  <c r="O663" i="23"/>
  <c r="R552" i="23"/>
  <c r="R507" i="23"/>
  <c r="R1104" i="23"/>
  <c r="O999" i="23"/>
  <c r="R950" i="23"/>
  <c r="R860" i="23"/>
  <c r="R758" i="23"/>
  <c r="R660" i="23"/>
  <c r="R589" i="23"/>
  <c r="O539" i="23"/>
  <c r="R1154" i="23"/>
  <c r="R996" i="23"/>
  <c r="R903" i="23"/>
  <c r="R791" i="23"/>
  <c r="O690" i="23"/>
  <c r="O606" i="23"/>
  <c r="O568" i="23"/>
  <c r="R523" i="23"/>
  <c r="O996" i="23"/>
  <c r="O791" i="23"/>
  <c r="R659" i="23"/>
  <c r="R567" i="23"/>
  <c r="O521" i="23"/>
  <c r="O506" i="23"/>
  <c r="R1153" i="23"/>
  <c r="R1045" i="23"/>
  <c r="R993" i="23"/>
  <c r="O902" i="23"/>
  <c r="R858" i="23"/>
  <c r="R823" i="23"/>
  <c r="R721" i="23"/>
  <c r="R658" i="23"/>
  <c r="O582" i="23"/>
  <c r="O518" i="23"/>
  <c r="O1098" i="23"/>
  <c r="O858" i="23"/>
  <c r="R754" i="23"/>
  <c r="R532" i="23"/>
  <c r="R561" i="23"/>
  <c r="R628" i="23"/>
  <c r="R504" i="23"/>
  <c r="R517" i="23"/>
  <c r="R549" i="23"/>
  <c r="R581" i="23"/>
  <c r="R600" i="23"/>
  <c r="O658" i="23"/>
  <c r="O551" i="23"/>
  <c r="O557" i="23"/>
  <c r="O563" i="23"/>
  <c r="O569" i="23"/>
  <c r="O575" i="23"/>
  <c r="O581" i="23"/>
  <c r="O587" i="23"/>
  <c r="O593" i="23"/>
  <c r="O599" i="23"/>
  <c r="O605" i="23"/>
  <c r="O611" i="23"/>
  <c r="O617" i="23"/>
  <c r="O623" i="23"/>
  <c r="O629" i="23"/>
  <c r="O635" i="23"/>
  <c r="O641" i="23"/>
  <c r="O647" i="23"/>
  <c r="O653" i="23"/>
  <c r="O659" i="23"/>
  <c r="O665" i="23"/>
  <c r="O671" i="23"/>
  <c r="O677" i="23"/>
  <c r="O683" i="23"/>
  <c r="O689" i="23"/>
  <c r="O695" i="23"/>
  <c r="R701" i="23"/>
  <c r="O708" i="23"/>
  <c r="R714" i="23"/>
  <c r="O721" i="23"/>
  <c r="R727" i="23"/>
  <c r="O734" i="23"/>
  <c r="R740" i="23"/>
  <c r="O747" i="23"/>
  <c r="R753" i="23"/>
  <c r="R760" i="23"/>
  <c r="O767" i="23"/>
  <c r="R773" i="23"/>
  <c r="O780" i="23"/>
  <c r="R786" i="23"/>
  <c r="O793" i="23"/>
  <c r="R799" i="23"/>
  <c r="O806" i="23"/>
  <c r="R812" i="23"/>
  <c r="O819" i="23"/>
  <c r="R825" i="23"/>
  <c r="R832" i="23"/>
  <c r="O839" i="23"/>
  <c r="R845" i="23"/>
  <c r="R852" i="23"/>
  <c r="O860" i="23"/>
  <c r="R867" i="23"/>
  <c r="O877" i="23"/>
  <c r="O885" i="23"/>
  <c r="O895" i="23"/>
  <c r="O903" i="23"/>
  <c r="O913" i="23"/>
  <c r="O921" i="23"/>
  <c r="O931" i="23"/>
  <c r="O939" i="23"/>
  <c r="O949" i="23"/>
  <c r="O957" i="23"/>
  <c r="O967" i="23"/>
  <c r="O975" i="23"/>
  <c r="O985" i="23"/>
  <c r="O993" i="23"/>
  <c r="O1003" i="23"/>
  <c r="O1014" i="23"/>
  <c r="R1022" i="23"/>
  <c r="R1033" i="23"/>
  <c r="R1044" i="23"/>
  <c r="O1053" i="23"/>
  <c r="O1064" i="23"/>
  <c r="O1075" i="23"/>
  <c r="O1086" i="23"/>
  <c r="R1094" i="23"/>
  <c r="R1105" i="23"/>
  <c r="R1116" i="23"/>
  <c r="O1125" i="23"/>
  <c r="O1136" i="23"/>
  <c r="O1147" i="23"/>
  <c r="O1158" i="23"/>
  <c r="R1166" i="23"/>
  <c r="R1177" i="23"/>
  <c r="R1188" i="23"/>
  <c r="R1205" i="23"/>
  <c r="R1199" i="23"/>
  <c r="R1193" i="23"/>
  <c r="R1187" i="23"/>
  <c r="R1181" i="23"/>
  <c r="R1175" i="23"/>
  <c r="R1169" i="23"/>
  <c r="R1163" i="23"/>
  <c r="R1157" i="23"/>
  <c r="R1151" i="23"/>
  <c r="R1145" i="23"/>
  <c r="R1139" i="23"/>
  <c r="R1133" i="23"/>
  <c r="R1127" i="23"/>
  <c r="R1121" i="23"/>
  <c r="R1115" i="23"/>
  <c r="R1109" i="23"/>
  <c r="R1103" i="23"/>
  <c r="R1097" i="23"/>
  <c r="R1091" i="23"/>
  <c r="R1085" i="23"/>
  <c r="R1079" i="23"/>
  <c r="R1073" i="23"/>
  <c r="R1067" i="23"/>
  <c r="R1061" i="23"/>
  <c r="R1055" i="23"/>
  <c r="R1049" i="23"/>
  <c r="R1043" i="23"/>
  <c r="R1037" i="23"/>
  <c r="R1031" i="23"/>
  <c r="R1025" i="23"/>
  <c r="R1019" i="23"/>
  <c r="R1013" i="23"/>
  <c r="R1007" i="23"/>
  <c r="R1001" i="23"/>
  <c r="R995" i="23"/>
  <c r="R989" i="23"/>
  <c r="R983" i="23"/>
  <c r="R977" i="23"/>
  <c r="R971" i="23"/>
  <c r="R965" i="23"/>
  <c r="R959" i="23"/>
  <c r="R953" i="23"/>
  <c r="R947" i="23"/>
  <c r="R941" i="23"/>
  <c r="R935" i="23"/>
  <c r="R929" i="23"/>
  <c r="R923" i="23"/>
  <c r="R917" i="23"/>
  <c r="R911" i="23"/>
  <c r="R905" i="23"/>
  <c r="R899" i="23"/>
  <c r="R893" i="23"/>
  <c r="R887" i="23"/>
  <c r="R881" i="23"/>
  <c r="R875" i="23"/>
  <c r="R869" i="23"/>
  <c r="R863" i="23"/>
  <c r="R857" i="23"/>
  <c r="R851" i="23"/>
  <c r="O1205" i="23"/>
  <c r="O1199" i="23"/>
  <c r="O1193" i="23"/>
  <c r="O1187" i="23"/>
  <c r="O1181" i="23"/>
  <c r="O1175" i="23"/>
  <c r="O1169" i="23"/>
  <c r="O1163" i="23"/>
  <c r="O1157" i="23"/>
  <c r="O1151" i="23"/>
  <c r="O1145" i="23"/>
  <c r="O1139" i="23"/>
  <c r="O1133" i="23"/>
  <c r="O1127" i="23"/>
  <c r="O1121" i="23"/>
  <c r="O1115" i="23"/>
  <c r="O1109" i="23"/>
  <c r="O1103" i="23"/>
  <c r="O1097" i="23"/>
  <c r="O1091" i="23"/>
  <c r="O1085" i="23"/>
  <c r="O1079" i="23"/>
  <c r="O1073" i="23"/>
  <c r="O1067" i="23"/>
  <c r="O1061" i="23"/>
  <c r="O1055" i="23"/>
  <c r="O1049" i="23"/>
  <c r="O1043" i="23"/>
  <c r="O1037" i="23"/>
  <c r="O1031" i="23"/>
  <c r="O1025" i="23"/>
  <c r="O1019" i="23"/>
  <c r="O1013" i="23"/>
  <c r="O1007" i="23"/>
  <c r="O1001" i="23"/>
  <c r="O995" i="23"/>
  <c r="O989" i="23"/>
  <c r="O983" i="23"/>
  <c r="O977" i="23"/>
  <c r="O971" i="23"/>
  <c r="O965" i="23"/>
  <c r="O959" i="23"/>
  <c r="O953" i="23"/>
  <c r="O947" i="23"/>
  <c r="O941" i="23"/>
  <c r="O935" i="23"/>
  <c r="O929" i="23"/>
  <c r="O923" i="23"/>
  <c r="O917" i="23"/>
  <c r="O911" i="23"/>
  <c r="O905" i="23"/>
  <c r="O899" i="23"/>
  <c r="O893" i="23"/>
  <c r="O887" i="23"/>
  <c r="O881" i="23"/>
  <c r="O875" i="23"/>
  <c r="O869" i="23"/>
  <c r="O863" i="23"/>
  <c r="O857" i="23"/>
  <c r="R1204" i="23"/>
  <c r="R1198" i="23"/>
  <c r="R1192" i="23"/>
  <c r="R1186" i="23"/>
  <c r="R1180" i="23"/>
  <c r="R1174" i="23"/>
  <c r="R1168" i="23"/>
  <c r="R1162" i="23"/>
  <c r="R1156" i="23"/>
  <c r="R1150" i="23"/>
  <c r="R1144" i="23"/>
  <c r="R1138" i="23"/>
  <c r="R1132" i="23"/>
  <c r="R1126" i="23"/>
  <c r="R1120" i="23"/>
  <c r="R1114" i="23"/>
  <c r="R1108" i="23"/>
  <c r="R1102" i="23"/>
  <c r="R1096" i="23"/>
  <c r="R1090" i="23"/>
  <c r="R1084" i="23"/>
  <c r="R1078" i="23"/>
  <c r="R1072" i="23"/>
  <c r="R1066" i="23"/>
  <c r="R1060" i="23"/>
  <c r="R1054" i="23"/>
  <c r="R1048" i="23"/>
  <c r="R1042" i="23"/>
  <c r="R1036" i="23"/>
  <c r="R1030" i="23"/>
  <c r="R1024" i="23"/>
  <c r="R1018" i="23"/>
  <c r="R1012" i="23"/>
  <c r="R1006" i="23"/>
  <c r="R1000" i="23"/>
  <c r="R994" i="23"/>
  <c r="R988" i="23"/>
  <c r="R982" i="23"/>
  <c r="R976" i="23"/>
  <c r="R970" i="23"/>
  <c r="R964" i="23"/>
  <c r="R958" i="23"/>
  <c r="R952" i="23"/>
  <c r="R946" i="23"/>
  <c r="R940" i="23"/>
  <c r="R934" i="23"/>
  <c r="R928" i="23"/>
  <c r="R922" i="23"/>
  <c r="R916" i="23"/>
  <c r="R910" i="23"/>
  <c r="R904" i="23"/>
  <c r="R898" i="23"/>
  <c r="R892" i="23"/>
  <c r="R886" i="23"/>
  <c r="R880" i="23"/>
  <c r="R874" i="23"/>
  <c r="O1204" i="23"/>
  <c r="O1198" i="23"/>
  <c r="O1192" i="23"/>
  <c r="O1186" i="23"/>
  <c r="O1180" i="23"/>
  <c r="O1174" i="23"/>
  <c r="O1168" i="23"/>
  <c r="O1162" i="23"/>
  <c r="O1156" i="23"/>
  <c r="O1150" i="23"/>
  <c r="O1144" i="23"/>
  <c r="O1138" i="23"/>
  <c r="O1132" i="23"/>
  <c r="O1126" i="23"/>
  <c r="O1120" i="23"/>
  <c r="O1114" i="23"/>
  <c r="O1108" i="23"/>
  <c r="O1102" i="23"/>
  <c r="O1096" i="23"/>
  <c r="O1090" i="23"/>
  <c r="O1084" i="23"/>
  <c r="O1078" i="23"/>
  <c r="O1072" i="23"/>
  <c r="O1066" i="23"/>
  <c r="O1060" i="23"/>
  <c r="O1054" i="23"/>
  <c r="O1048" i="23"/>
  <c r="O1042" i="23"/>
  <c r="O1036" i="23"/>
  <c r="O1030" i="23"/>
  <c r="O1024" i="23"/>
  <c r="O1018" i="23"/>
  <c r="O1012" i="23"/>
  <c r="O1006" i="23"/>
  <c r="O1000" i="23"/>
  <c r="O994" i="23"/>
  <c r="O988" i="23"/>
  <c r="O982" i="23"/>
  <c r="O976" i="23"/>
  <c r="O970" i="23"/>
  <c r="O964" i="23"/>
  <c r="O958" i="23"/>
  <c r="O952" i="23"/>
  <c r="O946" i="23"/>
  <c r="O940" i="23"/>
  <c r="O934" i="23"/>
  <c r="O928" i="23"/>
  <c r="O922" i="23"/>
  <c r="O916" i="23"/>
  <c r="O910" i="23"/>
  <c r="O904" i="23"/>
  <c r="O898" i="23"/>
  <c r="O892" i="23"/>
  <c r="O886" i="23"/>
  <c r="O880" i="23"/>
  <c r="O874" i="23"/>
  <c r="O868" i="23"/>
  <c r="O862" i="23"/>
  <c r="O856" i="23"/>
  <c r="O850" i="23"/>
  <c r="O844" i="23"/>
  <c r="O838" i="23"/>
  <c r="O832" i="23"/>
  <c r="O826" i="23"/>
  <c r="O820" i="23"/>
  <c r="O814" i="23"/>
  <c r="O808" i="23"/>
  <c r="O802" i="23"/>
  <c r="O796" i="23"/>
  <c r="O790" i="23"/>
  <c r="O784" i="23"/>
  <c r="O778" i="23"/>
  <c r="O772" i="23"/>
  <c r="O766" i="23"/>
  <c r="O760" i="23"/>
  <c r="O754" i="23"/>
  <c r="O748" i="23"/>
  <c r="O742" i="23"/>
  <c r="O736" i="23"/>
  <c r="O730" i="23"/>
  <c r="O724" i="23"/>
  <c r="O718" i="23"/>
  <c r="O712" i="23"/>
  <c r="O706" i="23"/>
  <c r="O700" i="23"/>
  <c r="R1203" i="23"/>
  <c r="R1197" i="23"/>
  <c r="R1191" i="23"/>
  <c r="R1185" i="23"/>
  <c r="R1179" i="23"/>
  <c r="R1173" i="23"/>
  <c r="R1167" i="23"/>
  <c r="R1161" i="23"/>
  <c r="R1155" i="23"/>
  <c r="R1149" i="23"/>
  <c r="R1143" i="23"/>
  <c r="R1137" i="23"/>
  <c r="R1131" i="23"/>
  <c r="R1125" i="23"/>
  <c r="R1119" i="23"/>
  <c r="R1113" i="23"/>
  <c r="R1107" i="23"/>
  <c r="R1101" i="23"/>
  <c r="R1095" i="23"/>
  <c r="R1089" i="23"/>
  <c r="R1083" i="23"/>
  <c r="R1077" i="23"/>
  <c r="R1071" i="23"/>
  <c r="R1065" i="23"/>
  <c r="R1059" i="23"/>
  <c r="R1053" i="23"/>
  <c r="R1047" i="23"/>
  <c r="R1041" i="23"/>
  <c r="R1035" i="23"/>
  <c r="R1029" i="23"/>
  <c r="R1023" i="23"/>
  <c r="R1017" i="23"/>
  <c r="R1011" i="23"/>
  <c r="R1005" i="23"/>
  <c r="O487" i="23"/>
  <c r="O493" i="23"/>
  <c r="O499" i="23"/>
  <c r="O505" i="23"/>
  <c r="O511" i="23"/>
  <c r="O517" i="23"/>
  <c r="O523" i="23"/>
  <c r="O529" i="23"/>
  <c r="O535" i="23"/>
  <c r="O541" i="23"/>
  <c r="O547" i="23"/>
  <c r="O553" i="23"/>
  <c r="O559" i="23"/>
  <c r="O565" i="23"/>
  <c r="O571" i="23"/>
  <c r="O577" i="23"/>
  <c r="O583" i="23"/>
  <c r="O589" i="23"/>
  <c r="O595" i="23"/>
  <c r="O601" i="23"/>
  <c r="O607" i="23"/>
  <c r="O613" i="23"/>
  <c r="O619" i="23"/>
  <c r="O625" i="23"/>
  <c r="O631" i="23"/>
  <c r="O637" i="23"/>
  <c r="O643" i="23"/>
  <c r="O649" i="23"/>
  <c r="O655" i="23"/>
  <c r="O661" i="23"/>
  <c r="O667" i="23"/>
  <c r="O673" i="23"/>
  <c r="O679" i="23"/>
  <c r="O685" i="23"/>
  <c r="O691" i="23"/>
  <c r="O697" i="23"/>
  <c r="R703" i="23"/>
  <c r="O710" i="23"/>
  <c r="R716" i="23"/>
  <c r="O723" i="23"/>
  <c r="R729" i="23"/>
  <c r="R736" i="23"/>
  <c r="O743" i="23"/>
  <c r="R749" i="23"/>
  <c r="O756" i="23"/>
  <c r="R762" i="23"/>
  <c r="O769" i="23"/>
  <c r="R775" i="23"/>
  <c r="O782" i="23"/>
  <c r="R788" i="23"/>
  <c r="O795" i="23"/>
  <c r="R801" i="23"/>
  <c r="R808" i="23"/>
  <c r="O815" i="23"/>
  <c r="R821" i="23"/>
  <c r="O828" i="23"/>
  <c r="R834" i="23"/>
  <c r="O841" i="23"/>
  <c r="R847" i="23"/>
  <c r="R854" i="23"/>
  <c r="R862" i="23"/>
  <c r="O871" i="23"/>
  <c r="O879" i="23"/>
  <c r="O889" i="23"/>
  <c r="O897" i="23"/>
  <c r="O907" i="23"/>
  <c r="O915" i="23"/>
  <c r="O925" i="23"/>
  <c r="O933" i="23"/>
  <c r="O943" i="23"/>
  <c r="O951" i="23"/>
  <c r="O961" i="23"/>
  <c r="O969" i="23"/>
  <c r="O979" i="23"/>
  <c r="O987" i="23"/>
  <c r="O997" i="23"/>
  <c r="O1005" i="23"/>
  <c r="O1016" i="23"/>
  <c r="O1027" i="23"/>
  <c r="O1038" i="23"/>
  <c r="R1046" i="23"/>
  <c r="R1057" i="23"/>
  <c r="R1068" i="23"/>
  <c r="O1077" i="23"/>
  <c r="O1088" i="23"/>
  <c r="O1099" i="23"/>
  <c r="O1110" i="23"/>
  <c r="R1118" i="23"/>
  <c r="R1129" i="23"/>
  <c r="R1140" i="23"/>
  <c r="O1149" i="23"/>
  <c r="O1160" i="23"/>
  <c r="O1171" i="23"/>
  <c r="O1182" i="23"/>
  <c r="R1190" i="23"/>
  <c r="R1201" i="23"/>
  <c r="R595" i="23"/>
  <c r="R601" i="23"/>
  <c r="R607" i="23"/>
  <c r="R613" i="23"/>
  <c r="R619" i="23"/>
  <c r="R625" i="23"/>
  <c r="R631" i="23"/>
  <c r="R637" i="23"/>
  <c r="R643" i="23"/>
  <c r="R649" i="23"/>
  <c r="R655" i="23"/>
  <c r="R661" i="23"/>
  <c r="R667" i="23"/>
  <c r="R673" i="23"/>
  <c r="R679" i="23"/>
  <c r="R685" i="23"/>
  <c r="R691" i="23"/>
  <c r="R697" i="23"/>
  <c r="O704" i="23"/>
  <c r="R710" i="23"/>
  <c r="O717" i="23"/>
  <c r="R723" i="23"/>
  <c r="R730" i="23"/>
  <c r="O737" i="23"/>
  <c r="R743" i="23"/>
  <c r="O750" i="23"/>
  <c r="R756" i="23"/>
  <c r="O763" i="23"/>
  <c r="R769" i="23"/>
  <c r="O776" i="23"/>
  <c r="R782" i="23"/>
  <c r="O789" i="23"/>
  <c r="R795" i="23"/>
  <c r="R802" i="23"/>
  <c r="O809" i="23"/>
  <c r="R815" i="23"/>
  <c r="O822" i="23"/>
  <c r="R828" i="23"/>
  <c r="O835" i="23"/>
  <c r="R841" i="23"/>
  <c r="O848" i="23"/>
  <c r="O855" i="23"/>
  <c r="O864" i="23"/>
  <c r="R871" i="23"/>
  <c r="R879" i="23"/>
  <c r="R889" i="23"/>
  <c r="R897" i="23"/>
  <c r="R907" i="23"/>
  <c r="R915" i="23"/>
  <c r="R925" i="23"/>
  <c r="R933" i="23"/>
  <c r="R943" i="23"/>
  <c r="R951" i="23"/>
  <c r="R961" i="23"/>
  <c r="R969" i="23"/>
  <c r="R979" i="23"/>
  <c r="R987" i="23"/>
  <c r="R997" i="23"/>
  <c r="O1008" i="23"/>
  <c r="R1016" i="23"/>
  <c r="R1027" i="23"/>
  <c r="R1038" i="23"/>
  <c r="O1047" i="23"/>
  <c r="O1058" i="23"/>
  <c r="O1069" i="23"/>
  <c r="O1080" i="23"/>
  <c r="R1088" i="23"/>
  <c r="R1099" i="23"/>
  <c r="R1110" i="23"/>
  <c r="O1119" i="23"/>
  <c r="O1130" i="23"/>
  <c r="O1141" i="23"/>
  <c r="O1152" i="23"/>
  <c r="R1160" i="23"/>
  <c r="R1171" i="23"/>
  <c r="R1182" i="23"/>
  <c r="O1191" i="23"/>
  <c r="O1202" i="23"/>
  <c r="O572" i="23"/>
  <c r="O578" i="23"/>
  <c r="O584" i="23"/>
  <c r="O590" i="23"/>
  <c r="O596" i="23"/>
  <c r="O602" i="23"/>
  <c r="O608" i="23"/>
  <c r="O614" i="23"/>
  <c r="O620" i="23"/>
  <c r="O626" i="23"/>
  <c r="O632" i="23"/>
  <c r="O638" i="23"/>
  <c r="O644" i="23"/>
  <c r="O650" i="23"/>
  <c r="O656" i="23"/>
  <c r="O662" i="23"/>
  <c r="O668" i="23"/>
  <c r="O674" i="23"/>
  <c r="O680" i="23"/>
  <c r="O686" i="23"/>
  <c r="O692" i="23"/>
  <c r="O698" i="23"/>
  <c r="R704" i="23"/>
  <c r="O711" i="23"/>
  <c r="R717" i="23"/>
  <c r="R724" i="23"/>
  <c r="O731" i="23"/>
  <c r="R737" i="23"/>
  <c r="O744" i="23"/>
  <c r="R750" i="23"/>
  <c r="O757" i="23"/>
  <c r="R763" i="23"/>
  <c r="O770" i="23"/>
  <c r="R776" i="23"/>
  <c r="O783" i="23"/>
  <c r="R789" i="23"/>
  <c r="R796" i="23"/>
  <c r="O803" i="23"/>
  <c r="R809" i="23"/>
  <c r="O816" i="23"/>
  <c r="R822" i="23"/>
  <c r="O829" i="23"/>
  <c r="R835" i="23"/>
  <c r="O842" i="23"/>
  <c r="R848" i="23"/>
  <c r="R855" i="23"/>
  <c r="R864" i="23"/>
  <c r="O872" i="23"/>
  <c r="O882" i="23"/>
  <c r="O890" i="23"/>
  <c r="O900" i="23"/>
  <c r="O908" i="23"/>
  <c r="O918" i="23"/>
  <c r="O926" i="23"/>
  <c r="O936" i="23"/>
  <c r="O944" i="23"/>
  <c r="O954" i="23"/>
  <c r="O962" i="23"/>
  <c r="O972" i="23"/>
  <c r="O980" i="23"/>
  <c r="O990" i="23"/>
  <c r="O998" i="23"/>
  <c r="R1008" i="23"/>
  <c r="O1017" i="23"/>
  <c r="O1028" i="23"/>
  <c r="O1039" i="23"/>
  <c r="O1050" i="23"/>
  <c r="R1058" i="23"/>
  <c r="R1069" i="23"/>
  <c r="R1080" i="23"/>
  <c r="O1089" i="23"/>
  <c r="O1100" i="23"/>
  <c r="O1111" i="23"/>
  <c r="O1122" i="23"/>
  <c r="R1130" i="23"/>
  <c r="R1141" i="23"/>
  <c r="R1152" i="23"/>
  <c r="O1161" i="23"/>
  <c r="O1172" i="23"/>
  <c r="O1183" i="23"/>
  <c r="O1194" i="23"/>
  <c r="R1202" i="23"/>
  <c r="R602" i="23"/>
  <c r="R608" i="23"/>
  <c r="R614" i="23"/>
  <c r="R620" i="23"/>
  <c r="R626" i="23"/>
  <c r="R632" i="23"/>
  <c r="R638" i="23"/>
  <c r="R644" i="23"/>
  <c r="R650" i="23"/>
  <c r="R656" i="23"/>
  <c r="R662" i="23"/>
  <c r="R668" i="23"/>
  <c r="R674" i="23"/>
  <c r="R680" i="23"/>
  <c r="R686" i="23"/>
  <c r="R692" i="23"/>
  <c r="R698" i="23"/>
  <c r="O705" i="23"/>
  <c r="R711" i="23"/>
  <c r="R718" i="23"/>
  <c r="O725" i="23"/>
  <c r="R731" i="23"/>
  <c r="O738" i="23"/>
  <c r="R744" i="23"/>
  <c r="O751" i="23"/>
  <c r="R757" i="23"/>
  <c r="O764" i="23"/>
  <c r="R770" i="23"/>
  <c r="O777" i="23"/>
  <c r="R783" i="23"/>
  <c r="R790" i="23"/>
  <c r="O797" i="23"/>
  <c r="R803" i="23"/>
  <c r="O810" i="23"/>
  <c r="R816" i="23"/>
  <c r="O823" i="23"/>
  <c r="R829" i="23"/>
  <c r="O836" i="23"/>
  <c r="R842" i="23"/>
  <c r="O849" i="23"/>
  <c r="R856" i="23"/>
  <c r="O865" i="23"/>
  <c r="R872" i="23"/>
  <c r="R882" i="23"/>
  <c r="R890" i="23"/>
  <c r="R900" i="23"/>
  <c r="R908" i="23"/>
  <c r="R918" i="23"/>
  <c r="R926" i="23"/>
  <c r="R936" i="23"/>
  <c r="R944" i="23"/>
  <c r="R954" i="23"/>
  <c r="R962" i="23"/>
  <c r="R972" i="23"/>
  <c r="R980" i="23"/>
  <c r="R990" i="23"/>
  <c r="R998" i="23"/>
  <c r="O1009" i="23"/>
  <c r="O1020" i="23"/>
  <c r="R1028" i="23"/>
  <c r="R1039" i="23"/>
  <c r="R1050" i="23"/>
  <c r="O1059" i="23"/>
  <c r="O1070" i="23"/>
  <c r="O1081" i="23"/>
  <c r="O1092" i="23"/>
  <c r="R1100" i="23"/>
  <c r="R1111" i="23"/>
  <c r="R1122" i="23"/>
  <c r="O1131" i="23"/>
  <c r="O1142" i="23"/>
  <c r="O1153" i="23"/>
  <c r="O1164" i="23"/>
  <c r="R1172" i="23"/>
  <c r="R1183" i="23"/>
  <c r="R1194" i="23"/>
  <c r="O1203" i="23"/>
  <c r="N9" i="23"/>
  <c r="N7" i="23"/>
  <c r="X3" i="23"/>
  <c r="T8" i="23"/>
  <c r="N8" i="23"/>
  <c r="T9" i="23"/>
  <c r="N6" i="23"/>
  <c r="N10" i="23"/>
  <c r="T10" i="23"/>
  <c r="N11" i="23"/>
  <c r="T11" i="23"/>
  <c r="X11" i="23"/>
  <c r="N12" i="23"/>
  <c r="X12" i="23"/>
  <c r="N13" i="23"/>
  <c r="T13" i="23"/>
  <c r="X13" i="23"/>
  <c r="N14" i="23"/>
  <c r="T14" i="23"/>
  <c r="N15" i="23"/>
  <c r="T15" i="23"/>
  <c r="N16" i="23"/>
  <c r="T16" i="23"/>
  <c r="N17" i="23"/>
  <c r="T17" i="23"/>
  <c r="N18" i="23"/>
  <c r="N19" i="23"/>
  <c r="T19" i="23"/>
  <c r="N20" i="23"/>
  <c r="T20" i="23"/>
  <c r="N21" i="23"/>
  <c r="T21" i="23"/>
  <c r="N22" i="23"/>
  <c r="N23" i="23"/>
  <c r="T23" i="23"/>
  <c r="N24" i="23"/>
  <c r="N25" i="23"/>
  <c r="T25" i="23"/>
  <c r="N26" i="23"/>
  <c r="T26" i="23"/>
  <c r="N27" i="23"/>
  <c r="T27" i="23"/>
  <c r="N28" i="23"/>
  <c r="T28" i="23"/>
  <c r="N29" i="23"/>
  <c r="T29" i="23"/>
  <c r="N30" i="23"/>
  <c r="T30" i="23"/>
  <c r="N31" i="23"/>
  <c r="T31" i="23"/>
  <c r="N32" i="23"/>
  <c r="T32" i="23"/>
  <c r="N33" i="23"/>
  <c r="T33" i="23"/>
  <c r="N34" i="23"/>
  <c r="T34" i="23"/>
  <c r="N35" i="23"/>
  <c r="T35" i="23"/>
  <c r="N36" i="23"/>
  <c r="T36" i="23"/>
  <c r="N37" i="23"/>
  <c r="T37" i="23"/>
  <c r="N38" i="23"/>
  <c r="T38" i="23"/>
  <c r="N39" i="23"/>
  <c r="T39" i="23"/>
  <c r="N40" i="23"/>
  <c r="T40" i="23"/>
  <c r="N41" i="23"/>
  <c r="T41" i="23"/>
  <c r="N42" i="23"/>
  <c r="T42" i="23"/>
  <c r="N43" i="23"/>
  <c r="T43" i="23"/>
  <c r="N44" i="23"/>
  <c r="T44" i="23"/>
  <c r="N45" i="23"/>
  <c r="T45" i="23"/>
  <c r="N46" i="23"/>
  <c r="T46" i="23"/>
  <c r="N47" i="23"/>
  <c r="T47" i="23"/>
  <c r="N48" i="23"/>
  <c r="T48" i="23"/>
  <c r="N49" i="23"/>
  <c r="T49" i="23"/>
  <c r="N50" i="23"/>
  <c r="T50" i="23"/>
  <c r="N51" i="23"/>
  <c r="T51" i="23"/>
  <c r="N52" i="23"/>
  <c r="T52" i="23"/>
  <c r="N53" i="23"/>
  <c r="T53" i="23"/>
  <c r="N54" i="23"/>
  <c r="T54" i="23"/>
  <c r="N55" i="23"/>
  <c r="T55" i="23"/>
  <c r="N56" i="23"/>
  <c r="T56" i="23"/>
  <c r="N57" i="23"/>
  <c r="T57" i="23"/>
  <c r="N58" i="23"/>
  <c r="T58" i="23"/>
  <c r="N59" i="23"/>
  <c r="T59" i="23"/>
  <c r="N60" i="23"/>
  <c r="T60" i="23"/>
  <c r="N61" i="23"/>
  <c r="T61" i="23"/>
  <c r="N62" i="23"/>
  <c r="T62" i="23"/>
  <c r="N63" i="23"/>
  <c r="T63" i="23"/>
  <c r="N64" i="23"/>
  <c r="T64" i="23"/>
  <c r="N65" i="23"/>
  <c r="T65" i="23"/>
  <c r="N66" i="23"/>
  <c r="N67" i="23"/>
  <c r="T67" i="23"/>
  <c r="N68" i="23"/>
  <c r="T68" i="23"/>
  <c r="N69" i="23"/>
  <c r="T69" i="23"/>
  <c r="N70" i="23"/>
  <c r="T70" i="23"/>
  <c r="N71" i="23"/>
  <c r="T71" i="23"/>
  <c r="N72" i="23"/>
  <c r="T72" i="23"/>
  <c r="N73" i="23"/>
  <c r="T73" i="23"/>
  <c r="N74" i="23"/>
  <c r="T74" i="23"/>
  <c r="N75" i="23"/>
  <c r="T75" i="23"/>
  <c r="N76" i="23"/>
  <c r="T76" i="23"/>
  <c r="N77" i="23"/>
  <c r="T77" i="23"/>
  <c r="N78" i="23"/>
  <c r="N79" i="23"/>
  <c r="T79" i="23"/>
  <c r="N80" i="23"/>
  <c r="T80" i="23"/>
  <c r="N81" i="23"/>
  <c r="T81" i="23"/>
  <c r="N82" i="23"/>
  <c r="T82" i="23"/>
  <c r="N83" i="23"/>
  <c r="T83" i="23"/>
  <c r="N84" i="23"/>
  <c r="T84" i="23"/>
  <c r="N85" i="23"/>
  <c r="T85" i="23"/>
  <c r="N86" i="23"/>
  <c r="T86" i="23"/>
  <c r="N87" i="23"/>
  <c r="T87" i="23"/>
  <c r="N88" i="23"/>
  <c r="T88" i="23"/>
  <c r="N89" i="23"/>
  <c r="T89" i="23"/>
  <c r="N90" i="23"/>
  <c r="N91" i="23"/>
  <c r="T91" i="23"/>
  <c r="N92" i="23"/>
  <c r="T92" i="23"/>
  <c r="N93" i="23"/>
  <c r="T93" i="23"/>
  <c r="N94" i="23"/>
  <c r="T94" i="23"/>
  <c r="N95" i="23"/>
  <c r="T95" i="23"/>
  <c r="N96" i="23"/>
  <c r="T96" i="23"/>
  <c r="N97" i="23"/>
  <c r="T97" i="23"/>
  <c r="N98" i="23"/>
  <c r="T98" i="23"/>
  <c r="N99" i="23"/>
  <c r="T99" i="23"/>
  <c r="N100" i="23"/>
  <c r="T100" i="23"/>
  <c r="N101" i="23"/>
  <c r="T101" i="23"/>
  <c r="N102" i="23"/>
  <c r="N103" i="23"/>
  <c r="T103" i="23"/>
  <c r="N104" i="23"/>
  <c r="T104" i="23"/>
  <c r="N105" i="23"/>
  <c r="T105" i="23"/>
  <c r="N106" i="23"/>
  <c r="T106" i="23"/>
  <c r="N107" i="23"/>
  <c r="T107" i="23"/>
  <c r="N108" i="23"/>
  <c r="T108" i="23"/>
  <c r="N109" i="23"/>
  <c r="T109" i="23"/>
  <c r="N110" i="23"/>
  <c r="T110" i="23"/>
  <c r="N111" i="23"/>
  <c r="T111" i="23"/>
  <c r="N112" i="23"/>
  <c r="T112" i="23"/>
  <c r="N113" i="23"/>
  <c r="T113" i="23"/>
  <c r="N114" i="23"/>
  <c r="N115" i="23"/>
  <c r="T115" i="23"/>
  <c r="N116" i="23"/>
  <c r="T116" i="23"/>
  <c r="N117" i="23"/>
  <c r="T117" i="23"/>
  <c r="N118" i="23"/>
  <c r="T118" i="23"/>
  <c r="N119" i="23"/>
  <c r="T119" i="23"/>
  <c r="N120" i="23"/>
  <c r="T120" i="23"/>
  <c r="N121" i="23"/>
  <c r="T121" i="23"/>
  <c r="N122" i="23"/>
  <c r="T122" i="23"/>
  <c r="N123" i="23"/>
  <c r="T123" i="23"/>
  <c r="N124" i="23"/>
  <c r="T124" i="23"/>
  <c r="N125" i="23"/>
  <c r="T125" i="23"/>
  <c r="N126" i="23"/>
  <c r="N127" i="23"/>
  <c r="T127" i="23"/>
  <c r="N128" i="23"/>
  <c r="T128" i="23"/>
  <c r="N129" i="23"/>
  <c r="T129" i="23"/>
  <c r="N130" i="23"/>
  <c r="T130" i="23"/>
  <c r="N131" i="23"/>
  <c r="T131" i="23"/>
  <c r="N132" i="23"/>
  <c r="T132" i="23"/>
  <c r="N133" i="23"/>
  <c r="T133" i="23"/>
  <c r="N134" i="23"/>
  <c r="T134" i="23"/>
  <c r="N135" i="23"/>
  <c r="T135" i="23"/>
  <c r="N136" i="23"/>
  <c r="T136" i="23"/>
  <c r="N137" i="23"/>
  <c r="T137" i="23"/>
  <c r="N138" i="23"/>
  <c r="N139" i="23"/>
  <c r="T139" i="23"/>
  <c r="N140" i="23"/>
  <c r="T140" i="23"/>
  <c r="N141" i="23"/>
  <c r="T141" i="23"/>
  <c r="N142" i="23"/>
  <c r="T142" i="23"/>
  <c r="N143" i="23"/>
  <c r="T143" i="23"/>
  <c r="N144" i="23"/>
  <c r="T144" i="23"/>
  <c r="N145" i="23"/>
  <c r="T145" i="23"/>
  <c r="N146" i="23"/>
  <c r="T146" i="23"/>
  <c r="N147" i="23"/>
  <c r="T147" i="23"/>
  <c r="N148" i="23"/>
  <c r="T148" i="23"/>
  <c r="N149" i="23"/>
  <c r="T149" i="23"/>
  <c r="N150" i="23"/>
  <c r="N151" i="23"/>
  <c r="T151" i="23"/>
  <c r="N152" i="23"/>
  <c r="T152" i="23"/>
  <c r="N153" i="23"/>
  <c r="T153" i="23"/>
  <c r="N154" i="23"/>
  <c r="T154" i="23"/>
  <c r="N155" i="23"/>
  <c r="T155" i="23"/>
  <c r="N156" i="23"/>
  <c r="T156" i="23"/>
  <c r="N157" i="23"/>
  <c r="T157" i="23"/>
  <c r="N158" i="23"/>
  <c r="T158" i="23"/>
  <c r="N159" i="23"/>
  <c r="T159" i="23"/>
  <c r="N160" i="23"/>
  <c r="T160" i="23"/>
  <c r="N161" i="23"/>
  <c r="T161" i="23"/>
  <c r="N162" i="23"/>
  <c r="N163" i="23"/>
  <c r="T163" i="23"/>
  <c r="N164" i="23"/>
  <c r="T164" i="23"/>
  <c r="N165" i="23"/>
  <c r="T165" i="23"/>
  <c r="N166" i="23"/>
  <c r="T166" i="23"/>
  <c r="N167" i="23"/>
  <c r="T167" i="23"/>
  <c r="N168" i="23"/>
  <c r="T168" i="23"/>
  <c r="N169" i="23"/>
  <c r="T169" i="23"/>
  <c r="N170" i="23"/>
  <c r="T170" i="23"/>
  <c r="N171" i="23"/>
  <c r="T171" i="23"/>
  <c r="N172" i="23"/>
  <c r="T172" i="23"/>
  <c r="N173" i="23"/>
  <c r="T173" i="23"/>
  <c r="N174" i="23"/>
  <c r="N175" i="23"/>
  <c r="T175" i="23"/>
  <c r="N176" i="23"/>
  <c r="T176" i="23"/>
  <c r="N177" i="23"/>
  <c r="T177" i="23"/>
  <c r="N178" i="23"/>
  <c r="T178" i="23"/>
  <c r="N179" i="23"/>
  <c r="T179" i="23"/>
  <c r="N180" i="23"/>
  <c r="T180" i="23"/>
  <c r="N181" i="23"/>
  <c r="T181" i="23"/>
  <c r="N182" i="23"/>
  <c r="T182" i="23"/>
  <c r="N183" i="23"/>
  <c r="T183" i="23"/>
  <c r="N184" i="23"/>
  <c r="T184" i="23"/>
  <c r="N185" i="23"/>
  <c r="T185" i="23"/>
  <c r="N186" i="23"/>
  <c r="N187" i="23"/>
  <c r="T187" i="23"/>
  <c r="N188" i="23"/>
  <c r="T188" i="23"/>
  <c r="N189" i="23"/>
  <c r="T189" i="23"/>
  <c r="N190" i="23"/>
  <c r="T190" i="23"/>
  <c r="N191" i="23"/>
  <c r="T191" i="23"/>
  <c r="N192" i="23"/>
  <c r="T192" i="23"/>
  <c r="N193" i="23"/>
  <c r="T193" i="23"/>
  <c r="N194" i="23"/>
  <c r="T194" i="23"/>
  <c r="N195" i="23"/>
  <c r="T195" i="23"/>
  <c r="N196" i="23"/>
  <c r="T196" i="23"/>
  <c r="N197" i="23"/>
  <c r="T197" i="23"/>
  <c r="N198" i="23"/>
  <c r="N199" i="23"/>
  <c r="T199" i="23"/>
  <c r="N200" i="23"/>
  <c r="T200" i="23"/>
  <c r="N201" i="23"/>
  <c r="T201" i="23"/>
  <c r="N202" i="23"/>
  <c r="T202" i="23"/>
  <c r="N203" i="23"/>
  <c r="T203" i="23"/>
  <c r="N204" i="23"/>
  <c r="T204" i="23"/>
  <c r="N205" i="23"/>
  <c r="T205" i="23"/>
  <c r="N206" i="23"/>
  <c r="T206" i="23"/>
  <c r="N207" i="23"/>
  <c r="T207" i="23"/>
  <c r="N208" i="23"/>
  <c r="T208" i="23"/>
  <c r="N209" i="23"/>
  <c r="T209" i="23"/>
  <c r="N210" i="23"/>
  <c r="N211" i="23"/>
  <c r="T211" i="23"/>
  <c r="N212" i="23"/>
  <c r="T212" i="23"/>
  <c r="N213" i="23"/>
  <c r="T213" i="23"/>
  <c r="N214" i="23"/>
  <c r="T214" i="23"/>
  <c r="N215" i="23"/>
  <c r="T215" i="23"/>
  <c r="N216" i="23"/>
  <c r="T216" i="23"/>
  <c r="N217" i="23"/>
  <c r="T217" i="23"/>
  <c r="N218" i="23"/>
  <c r="T218" i="23"/>
  <c r="N219" i="23"/>
  <c r="T219" i="23"/>
  <c r="N220" i="23"/>
  <c r="T220" i="23"/>
  <c r="N221" i="23"/>
  <c r="T221" i="23"/>
  <c r="N222" i="23"/>
  <c r="N223" i="23"/>
  <c r="T223" i="23"/>
  <c r="N224" i="23"/>
  <c r="T224" i="23"/>
  <c r="N225" i="23"/>
  <c r="T225" i="23"/>
  <c r="N226" i="23"/>
  <c r="T226" i="23"/>
  <c r="N227" i="23"/>
  <c r="T227" i="23"/>
  <c r="N228" i="23"/>
  <c r="T228" i="23"/>
  <c r="N229" i="23"/>
  <c r="T229" i="23"/>
  <c r="N230" i="23"/>
  <c r="T230" i="23"/>
  <c r="N231" i="23"/>
  <c r="T231" i="23"/>
  <c r="N232" i="23"/>
  <c r="T232" i="23"/>
  <c r="N233" i="23"/>
  <c r="T233" i="23"/>
  <c r="N234" i="23"/>
  <c r="N235" i="23"/>
  <c r="T235" i="23"/>
  <c r="N236" i="23"/>
  <c r="T236" i="23"/>
  <c r="N237" i="23"/>
  <c r="T237" i="23"/>
  <c r="N238" i="23"/>
  <c r="T238" i="23"/>
  <c r="N239" i="23"/>
  <c r="T239" i="23"/>
  <c r="N240" i="23"/>
  <c r="T240" i="23"/>
  <c r="N241" i="23"/>
  <c r="T241" i="23"/>
  <c r="N242" i="23"/>
  <c r="T242" i="23"/>
  <c r="N243" i="23"/>
  <c r="T243" i="23"/>
  <c r="N244" i="23"/>
  <c r="T244" i="23"/>
  <c r="N245" i="23"/>
  <c r="T245" i="23"/>
  <c r="N246" i="23"/>
  <c r="AB59" i="23" a="1"/>
  <c r="AB48" i="23" a="1"/>
  <c r="AB55" i="23" a="1"/>
  <c r="AB70" i="23" a="1"/>
  <c r="AB60" i="23" a="1"/>
  <c r="AB63" i="23" a="1"/>
  <c r="AB65" i="23" a="1"/>
  <c r="AB54" i="23" a="1"/>
  <c r="AB57" i="23" a="1"/>
  <c r="AB50" i="23" a="1"/>
  <c r="AB66" i="23" a="1"/>
  <c r="AB53" i="23" a="1"/>
  <c r="AB52" i="23" a="1"/>
  <c r="AB46" i="23" a="1"/>
  <c r="AB45" i="23" a="1"/>
  <c r="AB71" i="23" a="1"/>
  <c r="AB49" i="23" a="1"/>
  <c r="AB67" i="23" a="1"/>
  <c r="AB43" i="23" a="1"/>
  <c r="AB51" i="23" a="1"/>
  <c r="AB47" i="23" a="1"/>
  <c r="AB69" i="23" a="1"/>
  <c r="AB56" i="23" a="1"/>
  <c r="AB64" i="23" a="1"/>
  <c r="AB62" i="23" a="1"/>
  <c r="AB44" i="23" a="1"/>
  <c r="AB58" i="23" a="1"/>
  <c r="AB61" i="23" a="1"/>
  <c r="AB72" i="23" a="1"/>
  <c r="AB68" i="23" a="1"/>
  <c r="X1" i="23"/>
  <c r="O442" i="23" s="1"/>
  <c r="P442" i="23" s="1"/>
  <c r="R8" i="23"/>
  <c r="S8" i="23" s="1"/>
  <c r="R7" i="23"/>
  <c r="S7" i="23" s="1"/>
  <c r="R6" i="23"/>
  <c r="S6" i="23" s="1"/>
  <c r="R11" i="23"/>
  <c r="S11" i="23" s="1"/>
  <c r="R9" i="23"/>
  <c r="S9" i="23" s="1"/>
  <c r="R14" i="23"/>
  <c r="S14" i="23" s="1"/>
  <c r="R12" i="23"/>
  <c r="S12" i="23" s="1"/>
  <c r="R10" i="23"/>
  <c r="S10" i="23" s="1"/>
  <c r="R13" i="23"/>
  <c r="S13" i="23" s="1"/>
  <c r="R35" i="23"/>
  <c r="S35" i="23" s="1"/>
  <c r="R256" i="23"/>
  <c r="S256" i="23" s="1"/>
  <c r="R387" i="23"/>
  <c r="S387" i="23" s="1"/>
  <c r="O330" i="23"/>
  <c r="P330" i="23" s="1"/>
  <c r="R226" i="23"/>
  <c r="S226" i="23" s="1"/>
  <c r="O49" i="23"/>
  <c r="P49" i="23" s="1"/>
  <c r="O55" i="23"/>
  <c r="P55" i="23" s="1"/>
  <c r="O48" i="23"/>
  <c r="P48" i="23" s="1"/>
  <c r="O60" i="23"/>
  <c r="P60" i="23" s="1"/>
  <c r="R39" i="23"/>
  <c r="S39" i="23" s="1"/>
  <c r="O30" i="23"/>
  <c r="P30" i="23" s="1"/>
  <c r="R27" i="23"/>
  <c r="S27" i="23" s="1"/>
  <c r="R399" i="23"/>
  <c r="S399" i="23" s="1"/>
  <c r="O37" i="23"/>
  <c r="P37" i="23" s="1"/>
  <c r="O6" i="23"/>
  <c r="P6" i="23" s="1"/>
  <c r="O43" i="23"/>
  <c r="P43" i="23" s="1"/>
  <c r="R15" i="23"/>
  <c r="S15" i="23" s="1"/>
  <c r="O363" i="23"/>
  <c r="P363" i="23" s="1"/>
  <c r="R59" i="23"/>
  <c r="S59" i="23" s="1"/>
  <c r="R49" i="23"/>
  <c r="S49" i="23" s="1"/>
  <c r="O41" i="23"/>
  <c r="R96" i="23"/>
  <c r="S96" i="23" s="1"/>
  <c r="R52" i="23"/>
  <c r="S52" i="23" s="1"/>
  <c r="O32" i="23"/>
  <c r="P32" i="23" s="1"/>
  <c r="R31" i="23"/>
  <c r="S31" i="23" s="1"/>
  <c r="O53" i="23"/>
  <c r="R55" i="23"/>
  <c r="S55" i="23" s="1"/>
  <c r="O28" i="23"/>
  <c r="P28" i="23" s="1"/>
  <c r="R23" i="23"/>
  <c r="S23" i="23" s="1"/>
  <c r="R20" i="23"/>
  <c r="S20" i="23" s="1"/>
  <c r="O68" i="23"/>
  <c r="P68" i="23" s="1"/>
  <c r="R40" i="23"/>
  <c r="S40" i="23" s="1"/>
  <c r="R24" i="23"/>
  <c r="S24" i="23" s="1"/>
  <c r="O106" i="23"/>
  <c r="P106" i="23" s="1"/>
  <c r="R98" i="23"/>
  <c r="S98" i="23" s="1"/>
  <c r="O63" i="23"/>
  <c r="P63" i="23" s="1"/>
  <c r="O50" i="23"/>
  <c r="P50" i="23" s="1"/>
  <c r="O118" i="23"/>
  <c r="P118" i="23" s="1"/>
  <c r="O27" i="23"/>
  <c r="P27" i="23" s="1"/>
  <c r="O39" i="23"/>
  <c r="P39" i="23" s="1"/>
  <c r="R58" i="23"/>
  <c r="S58" i="23" s="1"/>
  <c r="R33" i="23"/>
  <c r="S33" i="23" s="1"/>
  <c r="R104" i="23"/>
  <c r="S104" i="23" s="1"/>
  <c r="O61" i="23"/>
  <c r="P61" i="23" s="1"/>
  <c r="O46" i="23"/>
  <c r="P46" i="23" s="1"/>
  <c r="R65" i="23"/>
  <c r="S65" i="23" s="1"/>
  <c r="R220" i="23"/>
  <c r="S220" i="23" s="1"/>
  <c r="O42" i="23"/>
  <c r="P42" i="23" s="1"/>
  <c r="R21" i="23"/>
  <c r="S21" i="23" s="1"/>
  <c r="R34" i="23"/>
  <c r="S34" i="23" s="1"/>
  <c r="O15" i="23"/>
  <c r="P15" i="23" s="1"/>
  <c r="O98" i="23"/>
  <c r="P98" i="23" s="1"/>
  <c r="R77" i="23"/>
  <c r="S77" i="23" s="1"/>
  <c r="O65" i="23"/>
  <c r="R51" i="23"/>
  <c r="S51" i="23" s="1"/>
  <c r="R47" i="23"/>
  <c r="S47" i="23" s="1"/>
  <c r="R330" i="23"/>
  <c r="S330" i="23" s="1"/>
  <c r="O36" i="23"/>
  <c r="P36" i="23" s="1"/>
  <c r="O359" i="23"/>
  <c r="P359" i="23" s="1"/>
  <c r="O368" i="23"/>
  <c r="P368" i="23" s="1"/>
  <c r="O108" i="23"/>
  <c r="P108" i="23" s="1"/>
  <c r="R103" i="23"/>
  <c r="S103" i="23" s="1"/>
  <c r="O35" i="23"/>
  <c r="P35" i="23" s="1"/>
  <c r="O58" i="23"/>
  <c r="P58" i="23" s="1"/>
  <c r="O472" i="23"/>
  <c r="P472" i="23" s="1"/>
  <c r="R69" i="23"/>
  <c r="S69" i="23" s="1"/>
  <c r="O10" i="23"/>
  <c r="P10" i="23" s="1"/>
  <c r="O89" i="23"/>
  <c r="O73" i="23"/>
  <c r="P73" i="23" s="1"/>
  <c r="O122" i="23"/>
  <c r="P122" i="23" s="1"/>
  <c r="R416" i="23"/>
  <c r="S416" i="23" s="1"/>
  <c r="R117" i="23"/>
  <c r="S117" i="23" s="1"/>
  <c r="R70" i="23"/>
  <c r="S70" i="23" s="1"/>
  <c r="O9" i="23"/>
  <c r="P9" i="23" s="1"/>
  <c r="O78" i="23"/>
  <c r="P78" i="23" s="1"/>
  <c r="R25" i="23"/>
  <c r="S25" i="23" s="1"/>
  <c r="O174" i="23"/>
  <c r="P174" i="23" s="1"/>
  <c r="O95" i="23"/>
  <c r="P95" i="23" s="1"/>
  <c r="O109" i="23"/>
  <c r="P109" i="23" s="1"/>
  <c r="O397" i="23"/>
  <c r="P397" i="23" s="1"/>
  <c r="O38" i="23"/>
  <c r="P38" i="23" s="1"/>
  <c r="O44" i="23"/>
  <c r="P44" i="23" s="1"/>
  <c r="O16" i="23"/>
  <c r="P16" i="23" s="1"/>
  <c r="R57" i="23"/>
  <c r="S57" i="23" s="1"/>
  <c r="O101" i="23"/>
  <c r="R18" i="23"/>
  <c r="S18" i="23" s="1"/>
  <c r="R480" i="23"/>
  <c r="S480" i="23" s="1"/>
  <c r="R26" i="23"/>
  <c r="S26" i="23" s="1"/>
  <c r="R106" i="23"/>
  <c r="S106" i="23" s="1"/>
  <c r="R73" i="23"/>
  <c r="S73" i="23" s="1"/>
  <c r="R131" i="23"/>
  <c r="S131" i="23" s="1"/>
  <c r="R22" i="23"/>
  <c r="S22" i="23" s="1"/>
  <c r="O24" i="23"/>
  <c r="P24" i="23" s="1"/>
  <c r="R29" i="23"/>
  <c r="S29" i="23" s="1"/>
  <c r="R257" i="23"/>
  <c r="S257" i="23" s="1"/>
  <c r="R100" i="23"/>
  <c r="S100" i="23" s="1"/>
  <c r="R93" i="23"/>
  <c r="S93" i="23" s="1"/>
  <c r="R43" i="23"/>
  <c r="S43" i="23" s="1"/>
  <c r="O11" i="23"/>
  <c r="P11" i="23" s="1"/>
  <c r="O329" i="23"/>
  <c r="R42" i="23"/>
  <c r="S42" i="23" s="1"/>
  <c r="R36" i="23"/>
  <c r="S36" i="23" s="1"/>
  <c r="R32" i="23"/>
  <c r="S32" i="23" s="1"/>
  <c r="R19" i="23"/>
  <c r="S19" i="23" s="1"/>
  <c r="O12" i="23"/>
  <c r="P12" i="23" s="1"/>
  <c r="R442" i="23"/>
  <c r="S442" i="23" s="1"/>
  <c r="R53" i="23"/>
  <c r="S53" i="23" s="1"/>
  <c r="R85" i="23"/>
  <c r="S85" i="23" s="1"/>
  <c r="O8" i="23"/>
  <c r="P8" i="23" s="1"/>
  <c r="O33" i="23"/>
  <c r="P33" i="23" s="1"/>
  <c r="R121" i="23"/>
  <c r="S121" i="23" s="1"/>
  <c r="R105" i="23"/>
  <c r="S105" i="23" s="1"/>
  <c r="O52" i="23"/>
  <c r="P52" i="23" s="1"/>
  <c r="O17" i="23"/>
  <c r="R66" i="23"/>
  <c r="S66" i="23" s="1"/>
  <c r="R38" i="23"/>
  <c r="S38" i="23" s="1"/>
  <c r="R369" i="23"/>
  <c r="S369" i="23" s="1"/>
  <c r="R107" i="23"/>
  <c r="S107" i="23" s="1"/>
  <c r="R16" i="23"/>
  <c r="S16" i="23" s="1"/>
  <c r="R28" i="23"/>
  <c r="S28" i="23" s="1"/>
  <c r="O190" i="23"/>
  <c r="P190" i="23" s="1"/>
  <c r="R347" i="23"/>
  <c r="S347" i="23" s="1"/>
  <c r="O40" i="23"/>
  <c r="P40" i="23" s="1"/>
  <c r="O57" i="23"/>
  <c r="P57" i="23" s="1"/>
  <c r="R41" i="23"/>
  <c r="S41" i="23" s="1"/>
  <c r="R115" i="23"/>
  <c r="S115" i="23" s="1"/>
  <c r="O70" i="23"/>
  <c r="P70" i="23" s="1"/>
  <c r="O294" i="23"/>
  <c r="P294" i="23" s="1"/>
  <c r="O23" i="23"/>
  <c r="P23" i="23" s="1"/>
  <c r="O341" i="23"/>
  <c r="R84" i="23"/>
  <c r="S84" i="23" s="1"/>
  <c r="O7" i="23"/>
  <c r="P7" i="23" s="1"/>
  <c r="R44" i="23"/>
  <c r="S44" i="23" s="1"/>
  <c r="O34" i="23"/>
  <c r="P34" i="23" s="1"/>
  <c r="R455" i="23"/>
  <c r="S455" i="23" s="1"/>
  <c r="O14" i="23"/>
  <c r="P14" i="23" s="1"/>
  <c r="R67" i="23"/>
  <c r="S67" i="23" s="1"/>
  <c r="O51" i="23"/>
  <c r="P51" i="23" s="1"/>
  <c r="R208" i="23"/>
  <c r="S208" i="23" s="1"/>
  <c r="R125" i="23"/>
  <c r="S125" i="23" s="1"/>
  <c r="R341" i="23"/>
  <c r="S341" i="23" s="1"/>
  <c r="R263" i="23"/>
  <c r="S263" i="23" s="1"/>
  <c r="O29" i="23"/>
  <c r="O13" i="23"/>
  <c r="P13" i="23" s="1"/>
  <c r="R56" i="23"/>
  <c r="S56" i="23" s="1"/>
  <c r="O100" i="23"/>
  <c r="P100" i="23" s="1"/>
  <c r="R17" i="23"/>
  <c r="S17" i="23" s="1"/>
  <c r="O279" i="23"/>
  <c r="P279" i="23" s="1"/>
  <c r="R61" i="23"/>
  <c r="S61" i="23" s="1"/>
  <c r="O186" i="23"/>
  <c r="P186" i="23" s="1"/>
  <c r="O47" i="23"/>
  <c r="P47" i="23" s="1"/>
  <c r="O119" i="23"/>
  <c r="P119" i="23" s="1"/>
  <c r="R108" i="23"/>
  <c r="S108" i="23" s="1"/>
  <c r="R48" i="23"/>
  <c r="S48" i="23" s="1"/>
  <c r="O116" i="23"/>
  <c r="P116" i="23" s="1"/>
  <c r="R50" i="23"/>
  <c r="S50" i="23" s="1"/>
  <c r="R122" i="23"/>
  <c r="S122" i="23" s="1"/>
  <c r="R266" i="23"/>
  <c r="S266" i="23" s="1"/>
  <c r="R410" i="23"/>
  <c r="S410" i="23" s="1"/>
  <c r="R118" i="23"/>
  <c r="S118" i="23" s="1"/>
  <c r="R45" i="23"/>
  <c r="S45" i="23" s="1"/>
  <c r="R63" i="23"/>
  <c r="S63" i="23" s="1"/>
  <c r="O64" i="23"/>
  <c r="P64" i="23" s="1"/>
  <c r="O59" i="23"/>
  <c r="P59" i="23" s="1"/>
  <c r="R30" i="23"/>
  <c r="S30" i="23" s="1"/>
  <c r="R252" i="23"/>
  <c r="S252" i="23" s="1"/>
  <c r="R396" i="23"/>
  <c r="S396" i="23" s="1"/>
  <c r="O79" i="23"/>
  <c r="P79" i="23" s="1"/>
  <c r="R253" i="23"/>
  <c r="S253" i="23" s="1"/>
  <c r="R62" i="23"/>
  <c r="S62" i="23" s="1"/>
  <c r="R422" i="23"/>
  <c r="S422" i="23" s="1"/>
  <c r="R71" i="23"/>
  <c r="S71" i="23" s="1"/>
  <c r="R99" i="23"/>
  <c r="S99" i="23" s="1"/>
  <c r="R64" i="23"/>
  <c r="S64" i="23" s="1"/>
  <c r="R402" i="23"/>
  <c r="S402" i="23" s="1"/>
  <c r="R68" i="23"/>
  <c r="S68" i="23" s="1"/>
  <c r="R284" i="23"/>
  <c r="S284" i="23" s="1"/>
  <c r="R428" i="23"/>
  <c r="S428" i="23" s="1"/>
  <c r="R46" i="23"/>
  <c r="S46" i="23" s="1"/>
  <c r="R129" i="23"/>
  <c r="S129" i="23" s="1"/>
  <c r="O81" i="23"/>
  <c r="P81" i="23" s="1"/>
  <c r="R37" i="23"/>
  <c r="S37" i="23" s="1"/>
  <c r="R54" i="23"/>
  <c r="S54" i="23" s="1"/>
  <c r="O19" i="23"/>
  <c r="P19" i="23" s="1"/>
  <c r="O199" i="23"/>
  <c r="P199" i="23" s="1"/>
  <c r="R127" i="23"/>
  <c r="S127" i="23" s="1"/>
  <c r="R74" i="23"/>
  <c r="S74" i="23" s="1"/>
  <c r="R290" i="23"/>
  <c r="S290" i="23" s="1"/>
  <c r="R434" i="23"/>
  <c r="S434" i="23" s="1"/>
  <c r="O82" i="23"/>
  <c r="P82" i="23" s="1"/>
  <c r="O45" i="23"/>
  <c r="P45" i="23" s="1"/>
  <c r="O21" i="23"/>
  <c r="P21" i="23" s="1"/>
  <c r="O56" i="23"/>
  <c r="P56" i="23" s="1"/>
  <c r="O26" i="23"/>
  <c r="P26" i="23" s="1"/>
  <c r="O62" i="23"/>
  <c r="P62" i="23" s="1"/>
  <c r="O179" i="23"/>
  <c r="P179" i="23" s="1"/>
  <c r="O281" i="23"/>
  <c r="O413" i="23"/>
  <c r="R60" i="23"/>
  <c r="S60" i="23" s="1"/>
  <c r="O25" i="23"/>
  <c r="P25" i="23" s="1"/>
  <c r="O97" i="23"/>
  <c r="P97" i="23" s="1"/>
  <c r="R415" i="23"/>
  <c r="S415" i="23" s="1"/>
  <c r="O314" i="23"/>
  <c r="P314" i="23" s="1"/>
  <c r="R440" i="23"/>
  <c r="S440" i="23" s="1"/>
  <c r="O54" i="23"/>
  <c r="P54" i="23" s="1"/>
  <c r="O18" i="23"/>
  <c r="P18" i="23" s="1"/>
  <c r="O99" i="23"/>
  <c r="P99" i="23" s="1"/>
  <c r="O22" i="23"/>
  <c r="P22" i="23" s="1"/>
  <c r="O117" i="23"/>
  <c r="P117" i="23" s="1"/>
  <c r="O306" i="23"/>
  <c r="P306" i="23" s="1"/>
  <c r="O287" i="23"/>
  <c r="P287" i="23" s="1"/>
  <c r="O419" i="23"/>
  <c r="P419" i="23" s="1"/>
  <c r="O31" i="23"/>
  <c r="P31" i="23" s="1"/>
  <c r="O320" i="23"/>
  <c r="P320" i="23" s="1"/>
  <c r="O464" i="23"/>
  <c r="P464" i="23" s="1"/>
  <c r="R86" i="23"/>
  <c r="S86" i="23" s="1"/>
  <c r="R194" i="23"/>
  <c r="S194" i="23" s="1"/>
  <c r="O20" i="23"/>
  <c r="P20" i="23" s="1"/>
  <c r="R270" i="23"/>
  <c r="S270" i="23" s="1"/>
  <c r="O277" i="23"/>
  <c r="P277" i="23" s="1"/>
  <c r="O349" i="23"/>
  <c r="P349" i="23" s="1"/>
  <c r="O260" i="23"/>
  <c r="P260" i="23" s="1"/>
  <c r="O404" i="23"/>
  <c r="P404" i="23" s="1"/>
  <c r="O476" i="23"/>
  <c r="R213" i="23"/>
  <c r="S213" i="23" s="1"/>
  <c r="O177" i="23"/>
  <c r="P177" i="23" s="1"/>
  <c r="O454" i="23"/>
  <c r="P454" i="23" s="1"/>
  <c r="R358" i="23"/>
  <c r="S358" i="23" s="1"/>
  <c r="O250" i="23"/>
  <c r="P250" i="23" s="1"/>
  <c r="R394" i="23"/>
  <c r="S394" i="23" s="1"/>
  <c r="R357" i="23"/>
  <c r="S357" i="23" s="1"/>
  <c r="O429" i="23"/>
  <c r="P429" i="23" s="1"/>
  <c r="O418" i="23"/>
  <c r="P418" i="23" s="1"/>
  <c r="O274" i="23"/>
  <c r="P274" i="23" s="1"/>
  <c r="R309" i="23"/>
  <c r="S309" i="23" s="1"/>
  <c r="R201" i="23"/>
  <c r="S201" i="23" s="1"/>
  <c r="O417" i="23"/>
  <c r="P417" i="23" s="1"/>
  <c r="O129" i="23"/>
  <c r="P129" i="23" s="1"/>
  <c r="R393" i="23"/>
  <c r="S393" i="23" s="1"/>
  <c r="O393" i="23"/>
  <c r="P393" i="23" s="1"/>
  <c r="O141" i="23"/>
  <c r="P141" i="23" s="1"/>
  <c r="R418" i="23"/>
  <c r="S418" i="23" s="1"/>
  <c r="R417" i="23"/>
  <c r="S417" i="23" s="1"/>
  <c r="R165" i="23"/>
  <c r="S165" i="23" s="1"/>
  <c r="O273" i="23"/>
  <c r="P273" i="23" s="1"/>
  <c r="O165" i="23"/>
  <c r="P165" i="23" s="1"/>
  <c r="R430" i="23"/>
  <c r="S430" i="23" s="1"/>
  <c r="O465" i="23"/>
  <c r="P465" i="23" s="1"/>
  <c r="O285" i="23"/>
  <c r="P285" i="23" s="1"/>
  <c r="R346" i="23"/>
  <c r="S346" i="23" s="1"/>
  <c r="R202" i="23"/>
  <c r="S202" i="23" s="1"/>
  <c r="O310" i="23"/>
  <c r="P310" i="23" s="1"/>
  <c r="O202" i="23"/>
  <c r="P202" i="23" s="1"/>
  <c r="R237" i="23"/>
  <c r="S237" i="23" s="1"/>
  <c r="O358" i="23"/>
  <c r="P358" i="23" s="1"/>
  <c r="O286" i="23"/>
  <c r="P286" i="23" s="1"/>
  <c r="O142" i="23"/>
  <c r="P142" i="23" s="1"/>
  <c r="O213" i="23"/>
  <c r="P213" i="23" s="1"/>
  <c r="R454" i="23"/>
  <c r="S454" i="23" s="1"/>
  <c r="O309" i="23"/>
  <c r="P309" i="23" s="1"/>
  <c r="O149" i="23"/>
  <c r="O221" i="23"/>
  <c r="R276" i="23"/>
  <c r="S276" i="23" s="1"/>
  <c r="R348" i="23"/>
  <c r="S348" i="23" s="1"/>
  <c r="O139" i="23"/>
  <c r="P139" i="23" s="1"/>
  <c r="O211" i="23"/>
  <c r="P211" i="23" s="1"/>
  <c r="O283" i="23"/>
  <c r="P283" i="23" s="1"/>
  <c r="O355" i="23"/>
  <c r="P355" i="23" s="1"/>
  <c r="O427" i="23"/>
  <c r="P427" i="23" s="1"/>
  <c r="R427" i="23"/>
  <c r="S427" i="23" s="1"/>
  <c r="O194" i="23"/>
  <c r="P194" i="23" s="1"/>
  <c r="O266" i="23"/>
  <c r="P266" i="23" s="1"/>
  <c r="O338" i="23"/>
  <c r="P338" i="23" s="1"/>
  <c r="O410" i="23"/>
  <c r="P410" i="23" s="1"/>
  <c r="O482" i="23"/>
  <c r="R236" i="23"/>
  <c r="S236" i="23" s="1"/>
  <c r="O369" i="23"/>
  <c r="P369" i="23" s="1"/>
  <c r="O468" i="23"/>
  <c r="P468" i="23" s="1"/>
  <c r="R269" i="23"/>
  <c r="S269" i="23" s="1"/>
  <c r="R413" i="23"/>
  <c r="S413" i="23" s="1"/>
  <c r="R311" i="23"/>
  <c r="S311" i="23" s="1"/>
  <c r="O300" i="23"/>
  <c r="P300" i="23" s="1"/>
  <c r="O210" i="23"/>
  <c r="P210" i="23" s="1"/>
  <c r="O354" i="23"/>
  <c r="P354" i="23" s="1"/>
  <c r="O443" i="23"/>
  <c r="P443" i="23" s="1"/>
  <c r="R138" i="23"/>
  <c r="S138" i="23" s="1"/>
  <c r="R282" i="23"/>
  <c r="S282" i="23" s="1"/>
  <c r="R354" i="23"/>
  <c r="S354" i="23" s="1"/>
  <c r="R426" i="23"/>
  <c r="S426" i="23" s="1"/>
  <c r="O145" i="23"/>
  <c r="P145" i="23" s="1"/>
  <c r="O217" i="23"/>
  <c r="P217" i="23" s="1"/>
  <c r="R217" i="23"/>
  <c r="S217" i="23" s="1"/>
  <c r="R289" i="23"/>
  <c r="S289" i="23" s="1"/>
  <c r="R361" i="23"/>
  <c r="S361" i="23" s="1"/>
  <c r="R433" i="23"/>
  <c r="S433" i="23" s="1"/>
  <c r="O128" i="23"/>
  <c r="P128" i="23" s="1"/>
  <c r="O200" i="23"/>
  <c r="P200" i="23" s="1"/>
  <c r="O344" i="23"/>
  <c r="P344" i="23" s="1"/>
  <c r="R386" i="23"/>
  <c r="S386" i="23" s="1"/>
  <c r="R458" i="23"/>
  <c r="S458" i="23" s="1"/>
  <c r="R225" i="23"/>
  <c r="S225" i="23" s="1"/>
  <c r="O225" i="23"/>
  <c r="P225" i="23" s="1"/>
  <c r="O334" i="23"/>
  <c r="P334" i="23" s="1"/>
  <c r="O153" i="23"/>
  <c r="P153" i="23" s="1"/>
  <c r="O459" i="23"/>
  <c r="P459" i="23" s="1"/>
  <c r="O480" i="23"/>
  <c r="P480" i="23" s="1"/>
  <c r="O387" i="23"/>
  <c r="P387" i="23" s="1"/>
  <c r="O148" i="23"/>
  <c r="P148" i="23" s="1"/>
  <c r="O147" i="23"/>
  <c r="P147" i="23" s="1"/>
  <c r="O316" i="23"/>
  <c r="P316" i="23" s="1"/>
  <c r="R160" i="23"/>
  <c r="S160" i="23" s="1"/>
  <c r="R304" i="23"/>
  <c r="S304" i="23" s="1"/>
  <c r="R448" i="23"/>
  <c r="S448" i="23" s="1"/>
  <c r="O222" i="23"/>
  <c r="P222" i="23" s="1"/>
  <c r="O366" i="23"/>
  <c r="P366" i="23" s="1"/>
  <c r="O161" i="23"/>
  <c r="O233" i="23"/>
  <c r="O305" i="23"/>
  <c r="O377" i="23"/>
  <c r="R144" i="23"/>
  <c r="S144" i="23" s="1"/>
  <c r="O151" i="23"/>
  <c r="P151" i="23" s="1"/>
  <c r="O223" i="23"/>
  <c r="P223" i="23" s="1"/>
  <c r="O295" i="23"/>
  <c r="P295" i="23" s="1"/>
  <c r="O367" i="23"/>
  <c r="P367" i="23" s="1"/>
  <c r="O439" i="23"/>
  <c r="P439" i="23" s="1"/>
  <c r="R151" i="23"/>
  <c r="S151" i="23" s="1"/>
  <c r="R223" i="23"/>
  <c r="S223" i="23" s="1"/>
  <c r="R295" i="23"/>
  <c r="S295" i="23" s="1"/>
  <c r="O278" i="23"/>
  <c r="P278" i="23" s="1"/>
  <c r="O350" i="23"/>
  <c r="P350" i="23" s="1"/>
  <c r="R176" i="23"/>
  <c r="S176" i="23" s="1"/>
  <c r="R248" i="23"/>
  <c r="S248" i="23" s="1"/>
  <c r="R320" i="23"/>
  <c r="S320" i="23" s="1"/>
  <c r="R392" i="23"/>
  <c r="S392" i="23" s="1"/>
  <c r="R464" i="23"/>
  <c r="S464" i="23" s="1"/>
  <c r="O448" i="23"/>
  <c r="P448" i="23" s="1"/>
  <c r="O231" i="23"/>
  <c r="P231" i="23" s="1"/>
  <c r="O340" i="23"/>
  <c r="P340" i="23" s="1"/>
  <c r="R172" i="23"/>
  <c r="S172" i="23" s="1"/>
  <c r="R316" i="23"/>
  <c r="S316" i="23" s="1"/>
  <c r="R460" i="23"/>
  <c r="S460" i="23" s="1"/>
  <c r="R293" i="23"/>
  <c r="S293" i="23" s="1"/>
  <c r="O378" i="23"/>
  <c r="P378" i="23" s="1"/>
  <c r="O167" i="23"/>
  <c r="P167" i="23" s="1"/>
  <c r="O239" i="23"/>
  <c r="P239" i="23" s="1"/>
  <c r="O311" i="23"/>
  <c r="P311" i="23" s="1"/>
  <c r="O383" i="23"/>
  <c r="P383" i="23" s="1"/>
  <c r="O455" i="23"/>
  <c r="P455" i="23" s="1"/>
  <c r="R150" i="23"/>
  <c r="S150" i="23" s="1"/>
  <c r="R222" i="23"/>
  <c r="S222" i="23" s="1"/>
  <c r="O229" i="23"/>
  <c r="P229" i="23" s="1"/>
  <c r="O301" i="23"/>
  <c r="P301" i="23" s="1"/>
  <c r="O445" i="23"/>
  <c r="P445" i="23" s="1"/>
  <c r="R157" i="23"/>
  <c r="S157" i="23" s="1"/>
  <c r="R229" i="23"/>
  <c r="S229" i="23" s="1"/>
  <c r="R301" i="23"/>
  <c r="S301" i="23" s="1"/>
  <c r="R373" i="23"/>
  <c r="S373" i="23" s="1"/>
  <c r="O356" i="23"/>
  <c r="P356" i="23" s="1"/>
  <c r="O428" i="23"/>
  <c r="P428" i="23" s="1"/>
  <c r="R182" i="23"/>
  <c r="S182" i="23" s="1"/>
  <c r="R254" i="23"/>
  <c r="S254" i="23" s="1"/>
  <c r="R326" i="23"/>
  <c r="S326" i="23" s="1"/>
  <c r="R398" i="23"/>
  <c r="S398" i="23" s="1"/>
  <c r="R153" i="23"/>
  <c r="S153" i="23" s="1"/>
  <c r="R328" i="23"/>
  <c r="S328" i="23" s="1"/>
  <c r="R472" i="23"/>
  <c r="S472" i="23" s="1"/>
  <c r="R161" i="23"/>
  <c r="S161" i="23" s="1"/>
  <c r="R305" i="23"/>
  <c r="R449" i="23"/>
  <c r="S449" i="23" s="1"/>
  <c r="R443" i="23"/>
  <c r="S443" i="23" s="1"/>
  <c r="O456" i="23"/>
  <c r="P456" i="23" s="1"/>
  <c r="O246" i="23"/>
  <c r="P246" i="23" s="1"/>
  <c r="O389" i="23"/>
  <c r="O461" i="23"/>
  <c r="R228" i="23"/>
  <c r="S228" i="23" s="1"/>
  <c r="R300" i="23"/>
  <c r="S300" i="23" s="1"/>
  <c r="R372" i="23"/>
  <c r="S372" i="23" s="1"/>
  <c r="R444" i="23"/>
  <c r="S444" i="23" s="1"/>
  <c r="O163" i="23"/>
  <c r="P163" i="23" s="1"/>
  <c r="R163" i="23"/>
  <c r="S163" i="23" s="1"/>
  <c r="R235" i="23"/>
  <c r="S235" i="23" s="1"/>
  <c r="R307" i="23"/>
  <c r="S307" i="23" s="1"/>
  <c r="R379" i="23"/>
  <c r="S379" i="23" s="1"/>
  <c r="R451" i="23"/>
  <c r="S451" i="23" s="1"/>
  <c r="O146" i="23"/>
  <c r="P146" i="23" s="1"/>
  <c r="O290" i="23"/>
  <c r="P290" i="23" s="1"/>
  <c r="R332" i="23"/>
  <c r="S332" i="23" s="1"/>
  <c r="R404" i="23"/>
  <c r="S404" i="23" s="1"/>
  <c r="R476" i="23"/>
  <c r="S476" i="23" s="1"/>
  <c r="R477" i="23"/>
  <c r="S477" i="23" s="1"/>
  <c r="X4" i="23"/>
  <c r="T66" i="23" s="1"/>
  <c r="N247" i="23"/>
  <c r="T247" i="23"/>
  <c r="N248" i="23"/>
  <c r="T248" i="23"/>
  <c r="N249" i="23"/>
  <c r="T249" i="23"/>
  <c r="N250" i="23"/>
  <c r="T250" i="23"/>
  <c r="N251" i="23"/>
  <c r="T251" i="23"/>
  <c r="N252" i="23"/>
  <c r="T252" i="23"/>
  <c r="N253" i="23"/>
  <c r="T253" i="23"/>
  <c r="N254" i="23"/>
  <c r="T254" i="23"/>
  <c r="N255" i="23"/>
  <c r="T255" i="23"/>
  <c r="N256" i="23"/>
  <c r="T256" i="23"/>
  <c r="N257" i="23"/>
  <c r="T257" i="23"/>
  <c r="N258" i="23"/>
  <c r="T258" i="23"/>
  <c r="N259" i="23"/>
  <c r="T259" i="23"/>
  <c r="N260" i="23"/>
  <c r="T260" i="23"/>
  <c r="N261" i="23"/>
  <c r="T261" i="23"/>
  <c r="N262" i="23"/>
  <c r="T262" i="23"/>
  <c r="N263" i="23"/>
  <c r="T263" i="23"/>
  <c r="N264" i="23"/>
  <c r="T264" i="23"/>
  <c r="N265" i="23"/>
  <c r="T265" i="23"/>
  <c r="N266" i="23"/>
  <c r="T266" i="23"/>
  <c r="N267" i="23"/>
  <c r="T267" i="23"/>
  <c r="N268" i="23"/>
  <c r="T268" i="23"/>
  <c r="N269" i="23"/>
  <c r="T269" i="23"/>
  <c r="N270" i="23"/>
  <c r="T270" i="23"/>
  <c r="N271" i="23"/>
  <c r="T271" i="23"/>
  <c r="N272" i="23"/>
  <c r="T272" i="23"/>
  <c r="N273" i="23"/>
  <c r="T273" i="23"/>
  <c r="N274" i="23"/>
  <c r="T274" i="23"/>
  <c r="N275" i="23"/>
  <c r="T275" i="23"/>
  <c r="N276" i="23"/>
  <c r="T276" i="23"/>
  <c r="N277" i="23"/>
  <c r="T277" i="23"/>
  <c r="N278" i="23"/>
  <c r="T278" i="23"/>
  <c r="N279" i="23"/>
  <c r="T279" i="23"/>
  <c r="N280" i="23"/>
  <c r="T280" i="23"/>
  <c r="N281" i="23"/>
  <c r="T281" i="23"/>
  <c r="N282" i="23"/>
  <c r="T282" i="23"/>
  <c r="N283" i="23"/>
  <c r="T283" i="23"/>
  <c r="N284" i="23"/>
  <c r="T284" i="23"/>
  <c r="N285" i="23"/>
  <c r="T285" i="23"/>
  <c r="N286" i="23"/>
  <c r="T286" i="23"/>
  <c r="N287" i="23"/>
  <c r="T287" i="23"/>
  <c r="N288" i="23"/>
  <c r="T288" i="23"/>
  <c r="N289" i="23"/>
  <c r="T289" i="23"/>
  <c r="N290" i="23"/>
  <c r="T290" i="23"/>
  <c r="N291" i="23"/>
  <c r="T291" i="23"/>
  <c r="N292" i="23"/>
  <c r="T292" i="23"/>
  <c r="N293" i="23"/>
  <c r="T293" i="23"/>
  <c r="N294" i="23"/>
  <c r="T294" i="23"/>
  <c r="N295" i="23"/>
  <c r="T295" i="23"/>
  <c r="N296" i="23"/>
  <c r="T296" i="23"/>
  <c r="N297" i="23"/>
  <c r="T297" i="23"/>
  <c r="N298" i="23"/>
  <c r="T298" i="23"/>
  <c r="N299" i="23"/>
  <c r="T299" i="23"/>
  <c r="N300" i="23"/>
  <c r="T300" i="23"/>
  <c r="N301" i="23"/>
  <c r="T301" i="23"/>
  <c r="N302" i="23"/>
  <c r="T302" i="23"/>
  <c r="N303" i="23"/>
  <c r="T303" i="23"/>
  <c r="N304" i="23"/>
  <c r="T304" i="23"/>
  <c r="N305" i="23"/>
  <c r="T305" i="23"/>
  <c r="N306" i="23"/>
  <c r="T306" i="23"/>
  <c r="N307" i="23"/>
  <c r="T307" i="23"/>
  <c r="N308" i="23"/>
  <c r="T308" i="23"/>
  <c r="N309" i="23"/>
  <c r="T309" i="23"/>
  <c r="N310" i="23"/>
  <c r="T310" i="23"/>
  <c r="N311" i="23"/>
  <c r="T311" i="23"/>
  <c r="N312" i="23"/>
  <c r="T312" i="23"/>
  <c r="N313" i="23"/>
  <c r="T313" i="23"/>
  <c r="N314" i="23"/>
  <c r="T314" i="23"/>
  <c r="N315" i="23"/>
  <c r="T315" i="23"/>
  <c r="N316" i="23"/>
  <c r="T316" i="23"/>
  <c r="N317" i="23"/>
  <c r="T317" i="23"/>
  <c r="N318" i="23"/>
  <c r="T318" i="23"/>
  <c r="N319" i="23"/>
  <c r="T319" i="23"/>
  <c r="N320" i="23"/>
  <c r="T320" i="23"/>
  <c r="N321" i="23"/>
  <c r="T321" i="23"/>
  <c r="N322" i="23"/>
  <c r="T322" i="23"/>
  <c r="N323" i="23"/>
  <c r="T323" i="23"/>
  <c r="N324" i="23"/>
  <c r="T324" i="23"/>
  <c r="N325" i="23"/>
  <c r="T325" i="23"/>
  <c r="N326" i="23"/>
  <c r="T326" i="23"/>
  <c r="N327" i="23"/>
  <c r="T327" i="23"/>
  <c r="N328" i="23"/>
  <c r="T328" i="23"/>
  <c r="N329" i="23"/>
  <c r="T329" i="23"/>
  <c r="N330" i="23"/>
  <c r="T330" i="23"/>
  <c r="N331" i="23"/>
  <c r="T331" i="23"/>
  <c r="N332" i="23"/>
  <c r="T332" i="23"/>
  <c r="N333" i="23"/>
  <c r="T333" i="23"/>
  <c r="N334" i="23"/>
  <c r="T334" i="23"/>
  <c r="N335" i="23"/>
  <c r="T335" i="23"/>
  <c r="N336" i="23"/>
  <c r="T336" i="23"/>
  <c r="N337" i="23"/>
  <c r="T337" i="23"/>
  <c r="N338" i="23"/>
  <c r="T338" i="23"/>
  <c r="N339" i="23"/>
  <c r="T339" i="23"/>
  <c r="N340" i="23"/>
  <c r="T340" i="23"/>
  <c r="N341" i="23"/>
  <c r="T341" i="23"/>
  <c r="N342" i="23"/>
  <c r="T342" i="23"/>
  <c r="N343" i="23"/>
  <c r="T343" i="23"/>
  <c r="N344" i="23"/>
  <c r="T344" i="23"/>
  <c r="N345" i="23"/>
  <c r="T345" i="23"/>
  <c r="N346" i="23"/>
  <c r="T346" i="23"/>
  <c r="N347" i="23"/>
  <c r="T347" i="23"/>
  <c r="N348" i="23"/>
  <c r="T348" i="23"/>
  <c r="N349" i="23"/>
  <c r="T349" i="23"/>
  <c r="N350" i="23"/>
  <c r="T350" i="23"/>
  <c r="N351" i="23"/>
  <c r="T351" i="23"/>
  <c r="N352" i="23"/>
  <c r="T352" i="23"/>
  <c r="N353" i="23"/>
  <c r="T353" i="23"/>
  <c r="N354" i="23"/>
  <c r="T354" i="23"/>
  <c r="N355" i="23"/>
  <c r="T355" i="23"/>
  <c r="N356" i="23"/>
  <c r="T356" i="23"/>
  <c r="N357" i="23"/>
  <c r="T357" i="23"/>
  <c r="N358" i="23"/>
  <c r="T358" i="23"/>
  <c r="N359" i="23"/>
  <c r="T359" i="23"/>
  <c r="N360" i="23"/>
  <c r="T360" i="23"/>
  <c r="N361" i="23"/>
  <c r="T361" i="23"/>
  <c r="N362" i="23"/>
  <c r="T362" i="23"/>
  <c r="N363" i="23"/>
  <c r="T363" i="23"/>
  <c r="N364" i="23"/>
  <c r="T364" i="23"/>
  <c r="N365" i="23"/>
  <c r="T365" i="23"/>
  <c r="N366" i="23"/>
  <c r="T366" i="23"/>
  <c r="N367" i="23"/>
  <c r="T367" i="23"/>
  <c r="N368" i="23"/>
  <c r="T368" i="23"/>
  <c r="N369" i="23"/>
  <c r="T369" i="23"/>
  <c r="N370" i="23"/>
  <c r="T370" i="23"/>
  <c r="N371" i="23"/>
  <c r="T371" i="23"/>
  <c r="N372" i="23"/>
  <c r="T372" i="23"/>
  <c r="N373" i="23"/>
  <c r="T373" i="23"/>
  <c r="N374" i="23"/>
  <c r="T374" i="23"/>
  <c r="N375" i="23"/>
  <c r="T375" i="23"/>
  <c r="N376" i="23"/>
  <c r="T376" i="23"/>
  <c r="N377" i="23"/>
  <c r="T377" i="23"/>
  <c r="N378" i="23"/>
  <c r="T378" i="23"/>
  <c r="N379" i="23"/>
  <c r="T379" i="23"/>
  <c r="N380" i="23"/>
  <c r="T380" i="23"/>
  <c r="N381" i="23"/>
  <c r="T381" i="23"/>
  <c r="N382" i="23"/>
  <c r="T382" i="23"/>
  <c r="N383" i="23"/>
  <c r="T383" i="23"/>
  <c r="N384" i="23"/>
  <c r="T384" i="23"/>
  <c r="N385" i="23"/>
  <c r="T385" i="23"/>
  <c r="N386" i="23"/>
  <c r="T386" i="23"/>
  <c r="N387" i="23"/>
  <c r="T387" i="23"/>
  <c r="N388" i="23"/>
  <c r="T388" i="23"/>
  <c r="N389" i="23"/>
  <c r="T389" i="23"/>
  <c r="N390" i="23"/>
  <c r="T390" i="23"/>
  <c r="N391" i="23"/>
  <c r="T391" i="23"/>
  <c r="N392" i="23"/>
  <c r="T392" i="23"/>
  <c r="N393" i="23"/>
  <c r="T393" i="23"/>
  <c r="N394" i="23"/>
  <c r="T394" i="23"/>
  <c r="N395" i="23"/>
  <c r="T395" i="23"/>
  <c r="N396" i="23"/>
  <c r="T396" i="23"/>
  <c r="N397" i="23"/>
  <c r="T397" i="23"/>
  <c r="N398" i="23"/>
  <c r="T398" i="23"/>
  <c r="N399" i="23"/>
  <c r="T399" i="23"/>
  <c r="N400" i="23"/>
  <c r="T400" i="23"/>
  <c r="N401" i="23"/>
  <c r="T401" i="23"/>
  <c r="N402" i="23"/>
  <c r="T402" i="23"/>
  <c r="N403" i="23"/>
  <c r="T403" i="23"/>
  <c r="N404" i="23"/>
  <c r="T404" i="23"/>
  <c r="N405" i="23"/>
  <c r="T405" i="23"/>
  <c r="N406" i="23"/>
  <c r="T406" i="23"/>
  <c r="N407" i="23"/>
  <c r="T407" i="23"/>
  <c r="N408" i="23"/>
  <c r="T408" i="23"/>
  <c r="N409" i="23"/>
  <c r="T409" i="23"/>
  <c r="N410" i="23"/>
  <c r="T410" i="23"/>
  <c r="N411" i="23"/>
  <c r="T411" i="23"/>
  <c r="N412" i="23"/>
  <c r="T412" i="23"/>
  <c r="N413" i="23"/>
  <c r="T413" i="23"/>
  <c r="N414" i="23"/>
  <c r="T414" i="23"/>
  <c r="N415" i="23"/>
  <c r="T415" i="23"/>
  <c r="N416" i="23"/>
  <c r="T416" i="23"/>
  <c r="N417" i="23"/>
  <c r="T417" i="23"/>
  <c r="N418" i="23"/>
  <c r="T418" i="23"/>
  <c r="N419" i="23"/>
  <c r="T419" i="23"/>
  <c r="N420" i="23"/>
  <c r="T420" i="23"/>
  <c r="N421" i="23"/>
  <c r="T421" i="23"/>
  <c r="N422" i="23"/>
  <c r="T422" i="23"/>
  <c r="N423" i="23"/>
  <c r="T423" i="23"/>
  <c r="N424" i="23"/>
  <c r="T424" i="23"/>
  <c r="N425" i="23"/>
  <c r="T425" i="23"/>
  <c r="N426" i="23"/>
  <c r="T426" i="23"/>
  <c r="N427" i="23"/>
  <c r="T427" i="23"/>
  <c r="N428" i="23"/>
  <c r="T428" i="23"/>
  <c r="N429" i="23"/>
  <c r="T429" i="23"/>
  <c r="N430" i="23"/>
  <c r="T430" i="23"/>
  <c r="N431" i="23"/>
  <c r="T431" i="23"/>
  <c r="N432" i="23"/>
  <c r="T432" i="23"/>
  <c r="N433" i="23"/>
  <c r="T433" i="23"/>
  <c r="N434" i="23"/>
  <c r="T434" i="23"/>
  <c r="N435" i="23"/>
  <c r="T435" i="23"/>
  <c r="N436" i="23"/>
  <c r="T436" i="23"/>
  <c r="N437" i="23"/>
  <c r="T437" i="23"/>
  <c r="N438" i="23"/>
  <c r="T438" i="23"/>
  <c r="N439" i="23"/>
  <c r="T439" i="23"/>
  <c r="N440" i="23"/>
  <c r="T440" i="23"/>
  <c r="N441" i="23"/>
  <c r="T441" i="23"/>
  <c r="N442" i="23"/>
  <c r="T442" i="23"/>
  <c r="N443" i="23"/>
  <c r="T443" i="23"/>
  <c r="N444" i="23"/>
  <c r="T444" i="23"/>
  <c r="N445" i="23"/>
  <c r="T445" i="23"/>
  <c r="N446" i="23"/>
  <c r="T446" i="23"/>
  <c r="N447" i="23"/>
  <c r="T447" i="23"/>
  <c r="N448" i="23"/>
  <c r="T448" i="23"/>
  <c r="N449" i="23"/>
  <c r="T449" i="23"/>
  <c r="N450" i="23"/>
  <c r="T450" i="23"/>
  <c r="N451" i="23"/>
  <c r="T451" i="23"/>
  <c r="N452" i="23"/>
  <c r="T452" i="23"/>
  <c r="N453" i="23"/>
  <c r="T453" i="23"/>
  <c r="N454" i="23"/>
  <c r="T454" i="23"/>
  <c r="N455" i="23"/>
  <c r="T455" i="23"/>
  <c r="N456" i="23"/>
  <c r="T456" i="23"/>
  <c r="N457" i="23"/>
  <c r="T457" i="23"/>
  <c r="N458" i="23"/>
  <c r="T458" i="23"/>
  <c r="N459" i="23"/>
  <c r="T459" i="23"/>
  <c r="N460" i="23"/>
  <c r="T460" i="23"/>
  <c r="N461" i="23"/>
  <c r="T461" i="23"/>
  <c r="N462" i="23"/>
  <c r="T462" i="23"/>
  <c r="N463" i="23"/>
  <c r="T463" i="23"/>
  <c r="N464" i="23"/>
  <c r="T464" i="23"/>
  <c r="N465" i="23"/>
  <c r="T465" i="23"/>
  <c r="N466" i="23"/>
  <c r="T466" i="23"/>
  <c r="N467" i="23"/>
  <c r="T467" i="23"/>
  <c r="N468" i="23"/>
  <c r="T468" i="23"/>
  <c r="N469" i="23"/>
  <c r="T469" i="23"/>
  <c r="N470" i="23"/>
  <c r="T470" i="23"/>
  <c r="N471" i="23"/>
  <c r="T471" i="23"/>
  <c r="N472" i="23"/>
  <c r="T472" i="23"/>
  <c r="N473" i="23"/>
  <c r="T473" i="23"/>
  <c r="N474" i="23"/>
  <c r="T474" i="23"/>
  <c r="N475" i="23"/>
  <c r="T475" i="23"/>
  <c r="N476" i="23"/>
  <c r="T476" i="23"/>
  <c r="N477" i="23"/>
  <c r="T477" i="23"/>
  <c r="N478" i="23"/>
  <c r="T478" i="23"/>
  <c r="N479" i="23"/>
  <c r="T479" i="23"/>
  <c r="N480" i="23"/>
  <c r="T480" i="23"/>
  <c r="N481" i="23"/>
  <c r="T481" i="23"/>
  <c r="N482" i="23"/>
  <c r="T482" i="23"/>
  <c r="N483" i="23"/>
  <c r="T483" i="23"/>
  <c r="N484" i="23"/>
  <c r="T484" i="23"/>
  <c r="N485" i="23"/>
  <c r="T485" i="23"/>
  <c r="N486" i="23"/>
  <c r="P486" i="23"/>
  <c r="S486" i="23"/>
  <c r="T486" i="23"/>
  <c r="N487" i="23"/>
  <c r="P487" i="23"/>
  <c r="S487" i="23"/>
  <c r="T487" i="23"/>
  <c r="N488" i="23"/>
  <c r="P488" i="23"/>
  <c r="S488" i="23"/>
  <c r="T488" i="23"/>
  <c r="N489" i="23"/>
  <c r="P489" i="23"/>
  <c r="S489" i="23"/>
  <c r="T489" i="23"/>
  <c r="N490" i="23"/>
  <c r="P490" i="23"/>
  <c r="S490" i="23"/>
  <c r="T490" i="23"/>
  <c r="N491" i="23"/>
  <c r="P491" i="23"/>
  <c r="S491" i="23"/>
  <c r="T491" i="23"/>
  <c r="N492" i="23"/>
  <c r="P492" i="23"/>
  <c r="S492" i="23"/>
  <c r="T492" i="23"/>
  <c r="N493" i="23"/>
  <c r="P493" i="23"/>
  <c r="S493" i="23"/>
  <c r="T493" i="23"/>
  <c r="N494" i="23"/>
  <c r="P494" i="23"/>
  <c r="S494" i="23"/>
  <c r="T494" i="23"/>
  <c r="N495" i="23"/>
  <c r="P495" i="23"/>
  <c r="S495" i="23"/>
  <c r="T495" i="23"/>
  <c r="N496" i="23"/>
  <c r="P496" i="23"/>
  <c r="S496" i="23"/>
  <c r="T496" i="23"/>
  <c r="N497" i="23"/>
  <c r="P497" i="23"/>
  <c r="S497" i="23"/>
  <c r="T497" i="23"/>
  <c r="N498" i="23"/>
  <c r="P498" i="23"/>
  <c r="S498" i="23"/>
  <c r="T498" i="23"/>
  <c r="N499" i="23"/>
  <c r="P499" i="23"/>
  <c r="S499" i="23"/>
  <c r="T499" i="23"/>
  <c r="N500" i="23"/>
  <c r="P500" i="23"/>
  <c r="S500" i="23"/>
  <c r="T500" i="23"/>
  <c r="N501" i="23"/>
  <c r="P501" i="23"/>
  <c r="S501" i="23"/>
  <c r="T501" i="23"/>
  <c r="N502" i="23"/>
  <c r="P502" i="23"/>
  <c r="S502" i="23"/>
  <c r="T502" i="23"/>
  <c r="N503" i="23"/>
  <c r="P503" i="23"/>
  <c r="S503" i="23"/>
  <c r="T503" i="23"/>
  <c r="N504" i="23"/>
  <c r="P504" i="23"/>
  <c r="S504" i="23"/>
  <c r="T504" i="23"/>
  <c r="N505" i="23"/>
  <c r="P505" i="23"/>
  <c r="S505" i="23"/>
  <c r="T505" i="23"/>
  <c r="N506" i="23"/>
  <c r="P506" i="23"/>
  <c r="S506" i="23"/>
  <c r="T506" i="23"/>
  <c r="N507" i="23"/>
  <c r="P507" i="23"/>
  <c r="S507" i="23"/>
  <c r="T507" i="23"/>
  <c r="N508" i="23"/>
  <c r="P508" i="23"/>
  <c r="S508" i="23"/>
  <c r="T508" i="23"/>
  <c r="N509" i="23"/>
  <c r="P509" i="23"/>
  <c r="S509" i="23"/>
  <c r="T509" i="23"/>
  <c r="N510" i="23"/>
  <c r="P510" i="23"/>
  <c r="S510" i="23"/>
  <c r="T510" i="23"/>
  <c r="N511" i="23"/>
  <c r="P511" i="23"/>
  <c r="S511" i="23"/>
  <c r="T511" i="23"/>
  <c r="N512" i="23"/>
  <c r="P512" i="23"/>
  <c r="S512" i="23"/>
  <c r="T512" i="23"/>
  <c r="N513" i="23"/>
  <c r="P513" i="23"/>
  <c r="S513" i="23"/>
  <c r="T513" i="23"/>
  <c r="N514" i="23"/>
  <c r="P514" i="23"/>
  <c r="S514" i="23"/>
  <c r="T514" i="23"/>
  <c r="N515" i="23"/>
  <c r="P515" i="23"/>
  <c r="S515" i="23"/>
  <c r="T515" i="23"/>
  <c r="N516" i="23"/>
  <c r="P516" i="23"/>
  <c r="S516" i="23"/>
  <c r="T516" i="23"/>
  <c r="N517" i="23"/>
  <c r="P517" i="23"/>
  <c r="S517" i="23"/>
  <c r="T517" i="23"/>
  <c r="N518" i="23"/>
  <c r="P518" i="23"/>
  <c r="S518" i="23"/>
  <c r="T518" i="23"/>
  <c r="N519" i="23"/>
  <c r="P519" i="23"/>
  <c r="S519" i="23"/>
  <c r="T519" i="23"/>
  <c r="N520" i="23"/>
  <c r="P520" i="23"/>
  <c r="S520" i="23"/>
  <c r="T520" i="23"/>
  <c r="N521" i="23"/>
  <c r="P521" i="23"/>
  <c r="S521" i="23"/>
  <c r="T521" i="23"/>
  <c r="N522" i="23"/>
  <c r="P522" i="23"/>
  <c r="S522" i="23"/>
  <c r="T522" i="23"/>
  <c r="N523" i="23"/>
  <c r="P523" i="23"/>
  <c r="S523" i="23"/>
  <c r="T523" i="23"/>
  <c r="N524" i="23"/>
  <c r="P524" i="23"/>
  <c r="S524" i="23"/>
  <c r="T524" i="23"/>
  <c r="N525" i="23"/>
  <c r="P525" i="23"/>
  <c r="S525" i="23"/>
  <c r="T525" i="23"/>
  <c r="N526" i="23"/>
  <c r="P526" i="23"/>
  <c r="S526" i="23"/>
  <c r="T526" i="23"/>
  <c r="N527" i="23"/>
  <c r="P527" i="23"/>
  <c r="S527" i="23"/>
  <c r="T527" i="23"/>
  <c r="N528" i="23"/>
  <c r="P528" i="23"/>
  <c r="S528" i="23"/>
  <c r="T528" i="23"/>
  <c r="N529" i="23"/>
  <c r="P529" i="23"/>
  <c r="S529" i="23"/>
  <c r="T529" i="23"/>
  <c r="N530" i="23"/>
  <c r="P530" i="23"/>
  <c r="S530" i="23"/>
  <c r="T530" i="23"/>
  <c r="N531" i="23"/>
  <c r="P531" i="23"/>
  <c r="S531" i="23"/>
  <c r="T531" i="23"/>
  <c r="N532" i="23"/>
  <c r="P532" i="23"/>
  <c r="S532" i="23"/>
  <c r="T532" i="23"/>
  <c r="N533" i="23"/>
  <c r="P533" i="23"/>
  <c r="S533" i="23"/>
  <c r="T533" i="23"/>
  <c r="N534" i="23"/>
  <c r="P534" i="23"/>
  <c r="S534" i="23"/>
  <c r="T534" i="23"/>
  <c r="N535" i="23"/>
  <c r="P535" i="23"/>
  <c r="S535" i="23"/>
  <c r="T535" i="23"/>
  <c r="N536" i="23"/>
  <c r="P536" i="23"/>
  <c r="S536" i="23"/>
  <c r="T536" i="23"/>
  <c r="N537" i="23"/>
  <c r="P537" i="23"/>
  <c r="S537" i="23"/>
  <c r="T537" i="23"/>
  <c r="N538" i="23"/>
  <c r="P538" i="23"/>
  <c r="S538" i="23"/>
  <c r="T538" i="23"/>
  <c r="N539" i="23"/>
  <c r="P539" i="23"/>
  <c r="S539" i="23"/>
  <c r="T539" i="23"/>
  <c r="N540" i="23"/>
  <c r="P540" i="23"/>
  <c r="S540" i="23"/>
  <c r="T540" i="23"/>
  <c r="N541" i="23"/>
  <c r="P541" i="23"/>
  <c r="S541" i="23"/>
  <c r="T541" i="23"/>
  <c r="N542" i="23"/>
  <c r="P542" i="23"/>
  <c r="S542" i="23"/>
  <c r="T542" i="23"/>
  <c r="N543" i="23"/>
  <c r="P543" i="23"/>
  <c r="S543" i="23"/>
  <c r="T543" i="23"/>
  <c r="N544" i="23"/>
  <c r="P544" i="23"/>
  <c r="S544" i="23"/>
  <c r="T544" i="23"/>
  <c r="N545" i="23"/>
  <c r="P545" i="23"/>
  <c r="S545" i="23"/>
  <c r="T545" i="23"/>
  <c r="N546" i="23"/>
  <c r="P546" i="23"/>
  <c r="S546" i="23"/>
  <c r="T546" i="23"/>
  <c r="N547" i="23"/>
  <c r="P547" i="23"/>
  <c r="S547" i="23"/>
  <c r="T547" i="23"/>
  <c r="N548" i="23"/>
  <c r="P548" i="23"/>
  <c r="S548" i="23"/>
  <c r="T548" i="23"/>
  <c r="N549" i="23"/>
  <c r="P549" i="23"/>
  <c r="S549" i="23"/>
  <c r="T549" i="23"/>
  <c r="N550" i="23"/>
  <c r="P550" i="23"/>
  <c r="S550" i="23"/>
  <c r="T550" i="23"/>
  <c r="N551" i="23"/>
  <c r="P551" i="23"/>
  <c r="S551" i="23"/>
  <c r="T551" i="23"/>
  <c r="N552" i="23"/>
  <c r="P552" i="23"/>
  <c r="S552" i="23"/>
  <c r="T552" i="23"/>
  <c r="N553" i="23"/>
  <c r="P553" i="23"/>
  <c r="S553" i="23"/>
  <c r="T553" i="23"/>
  <c r="N554" i="23"/>
  <c r="P554" i="23"/>
  <c r="S554" i="23"/>
  <c r="T554" i="23"/>
  <c r="N555" i="23"/>
  <c r="P555" i="23"/>
  <c r="S555" i="23"/>
  <c r="T555" i="23"/>
  <c r="N556" i="23"/>
  <c r="P556" i="23"/>
  <c r="S556" i="23"/>
  <c r="T556" i="23"/>
  <c r="N557" i="23"/>
  <c r="P557" i="23"/>
  <c r="S557" i="23"/>
  <c r="T557" i="23"/>
  <c r="N558" i="23"/>
  <c r="P558" i="23"/>
  <c r="S558" i="23"/>
  <c r="T558" i="23"/>
  <c r="N559" i="23"/>
  <c r="P559" i="23"/>
  <c r="S559" i="23"/>
  <c r="T559" i="23"/>
  <c r="N560" i="23"/>
  <c r="P560" i="23"/>
  <c r="S560" i="23"/>
  <c r="T560" i="23"/>
  <c r="N561" i="23"/>
  <c r="P561" i="23"/>
  <c r="S561" i="23"/>
  <c r="T561" i="23"/>
  <c r="N562" i="23"/>
  <c r="P562" i="23"/>
  <c r="S562" i="23"/>
  <c r="T562" i="23"/>
  <c r="N563" i="23"/>
  <c r="P563" i="23"/>
  <c r="S563" i="23"/>
  <c r="T563" i="23"/>
  <c r="N564" i="23"/>
  <c r="P564" i="23"/>
  <c r="S564" i="23"/>
  <c r="T564" i="23"/>
  <c r="N565" i="23"/>
  <c r="P565" i="23"/>
  <c r="S565" i="23"/>
  <c r="T565" i="23"/>
  <c r="N566" i="23"/>
  <c r="P566" i="23"/>
  <c r="S566" i="23"/>
  <c r="T566" i="23"/>
  <c r="N567" i="23"/>
  <c r="P567" i="23"/>
  <c r="S567" i="23"/>
  <c r="T567" i="23"/>
  <c r="N568" i="23"/>
  <c r="P568" i="23"/>
  <c r="S568" i="23"/>
  <c r="T568" i="23"/>
  <c r="N569" i="23"/>
  <c r="P569" i="23"/>
  <c r="S569" i="23"/>
  <c r="T569" i="23"/>
  <c r="N570" i="23"/>
  <c r="P570" i="23"/>
  <c r="S570" i="23"/>
  <c r="T570" i="23"/>
  <c r="N571" i="23"/>
  <c r="P571" i="23"/>
  <c r="S571" i="23"/>
  <c r="T571" i="23"/>
  <c r="N572" i="23"/>
  <c r="P572" i="23"/>
  <c r="S572" i="23"/>
  <c r="T572" i="23"/>
  <c r="N573" i="23"/>
  <c r="P573" i="23"/>
  <c r="S573" i="23"/>
  <c r="T573" i="23"/>
  <c r="N574" i="23"/>
  <c r="P574" i="23"/>
  <c r="S574" i="23"/>
  <c r="T574" i="23"/>
  <c r="N575" i="23"/>
  <c r="P575" i="23"/>
  <c r="S575" i="23"/>
  <c r="T575" i="23"/>
  <c r="N576" i="23"/>
  <c r="P576" i="23"/>
  <c r="S576" i="23"/>
  <c r="T576" i="23"/>
  <c r="N577" i="23"/>
  <c r="P577" i="23"/>
  <c r="S577" i="23"/>
  <c r="T577" i="23"/>
  <c r="N578" i="23"/>
  <c r="P578" i="23"/>
  <c r="S578" i="23"/>
  <c r="T578" i="23"/>
  <c r="N579" i="23"/>
  <c r="P579" i="23"/>
  <c r="S579" i="23"/>
  <c r="T579" i="23"/>
  <c r="N580" i="23"/>
  <c r="P580" i="23"/>
  <c r="S580" i="23"/>
  <c r="T580" i="23"/>
  <c r="N581" i="23"/>
  <c r="P581" i="23"/>
  <c r="S581" i="23"/>
  <c r="T581" i="23"/>
  <c r="N582" i="23"/>
  <c r="P582" i="23"/>
  <c r="S582" i="23"/>
  <c r="T582" i="23"/>
  <c r="N583" i="23"/>
  <c r="P583" i="23"/>
  <c r="S583" i="23"/>
  <c r="T583" i="23"/>
  <c r="N584" i="23"/>
  <c r="P584" i="23"/>
  <c r="S584" i="23"/>
  <c r="T584" i="23"/>
  <c r="N585" i="23"/>
  <c r="P585" i="23"/>
  <c r="S585" i="23"/>
  <c r="T585" i="23"/>
  <c r="N586" i="23"/>
  <c r="P586" i="23"/>
  <c r="S586" i="23"/>
  <c r="T586" i="23"/>
  <c r="N587" i="23"/>
  <c r="P587" i="23"/>
  <c r="S587" i="23"/>
  <c r="T587" i="23"/>
  <c r="N588" i="23"/>
  <c r="P588" i="23"/>
  <c r="S588" i="23"/>
  <c r="T588" i="23"/>
  <c r="N589" i="23"/>
  <c r="P589" i="23"/>
  <c r="S589" i="23"/>
  <c r="T589" i="23"/>
  <c r="N590" i="23"/>
  <c r="P590" i="23"/>
  <c r="S590" i="23"/>
  <c r="T590" i="23"/>
  <c r="N591" i="23"/>
  <c r="P591" i="23"/>
  <c r="S591" i="23"/>
  <c r="T591" i="23"/>
  <c r="N592" i="23"/>
  <c r="P592" i="23"/>
  <c r="S592" i="23"/>
  <c r="T592" i="23"/>
  <c r="N593" i="23"/>
  <c r="P593" i="23"/>
  <c r="S593" i="23"/>
  <c r="T593" i="23"/>
  <c r="N594" i="23"/>
  <c r="P594" i="23"/>
  <c r="S594" i="23"/>
  <c r="T594" i="23"/>
  <c r="N595" i="23"/>
  <c r="P595" i="23"/>
  <c r="S595" i="23"/>
  <c r="T595" i="23"/>
  <c r="N596" i="23"/>
  <c r="P596" i="23"/>
  <c r="S596" i="23"/>
  <c r="T596" i="23"/>
  <c r="N597" i="23"/>
  <c r="P597" i="23"/>
  <c r="S597" i="23"/>
  <c r="T597" i="23"/>
  <c r="N598" i="23"/>
  <c r="P598" i="23"/>
  <c r="S598" i="23"/>
  <c r="T598" i="23"/>
  <c r="N599" i="23"/>
  <c r="P599" i="23"/>
  <c r="S599" i="23"/>
  <c r="T599" i="23"/>
  <c r="N600" i="23"/>
  <c r="P600" i="23"/>
  <c r="S600" i="23"/>
  <c r="T600" i="23"/>
  <c r="N601" i="23"/>
  <c r="P601" i="23"/>
  <c r="S601" i="23"/>
  <c r="T601" i="23"/>
  <c r="N602" i="23"/>
  <c r="P602" i="23"/>
  <c r="S602" i="23"/>
  <c r="T602" i="23"/>
  <c r="N603" i="23"/>
  <c r="P603" i="23"/>
  <c r="S603" i="23"/>
  <c r="T603" i="23"/>
  <c r="N604" i="23"/>
  <c r="P604" i="23"/>
  <c r="S604" i="23"/>
  <c r="T604" i="23"/>
  <c r="N605" i="23"/>
  <c r="P605" i="23"/>
  <c r="S605" i="23"/>
  <c r="T605" i="23"/>
  <c r="N606" i="23"/>
  <c r="P606" i="23"/>
  <c r="S606" i="23"/>
  <c r="T606" i="23"/>
  <c r="N607" i="23"/>
  <c r="P607" i="23"/>
  <c r="S607" i="23"/>
  <c r="T607" i="23"/>
  <c r="N608" i="23"/>
  <c r="P608" i="23"/>
  <c r="S608" i="23"/>
  <c r="T608" i="23"/>
  <c r="N609" i="23"/>
  <c r="P609" i="23"/>
  <c r="S609" i="23"/>
  <c r="T609" i="23"/>
  <c r="N610" i="23"/>
  <c r="P610" i="23"/>
  <c r="S610" i="23"/>
  <c r="T610" i="23"/>
  <c r="N611" i="23"/>
  <c r="P611" i="23"/>
  <c r="S611" i="23"/>
  <c r="T611" i="23"/>
  <c r="N612" i="23"/>
  <c r="P612" i="23"/>
  <c r="S612" i="23"/>
  <c r="T612" i="23"/>
  <c r="N613" i="23"/>
  <c r="P613" i="23"/>
  <c r="S613" i="23"/>
  <c r="T613" i="23"/>
  <c r="N614" i="23"/>
  <c r="P614" i="23"/>
  <c r="S614" i="23"/>
  <c r="T614" i="23"/>
  <c r="N615" i="23"/>
  <c r="P615" i="23"/>
  <c r="S615" i="23"/>
  <c r="T615" i="23"/>
  <c r="N616" i="23"/>
  <c r="P616" i="23"/>
  <c r="S616" i="23"/>
  <c r="T616" i="23"/>
  <c r="N617" i="23"/>
  <c r="P617" i="23"/>
  <c r="S617" i="23"/>
  <c r="T617" i="23"/>
  <c r="N618" i="23"/>
  <c r="P618" i="23"/>
  <c r="S618" i="23"/>
  <c r="T618" i="23"/>
  <c r="N619" i="23"/>
  <c r="P619" i="23"/>
  <c r="S619" i="23"/>
  <c r="T619" i="23"/>
  <c r="N620" i="23"/>
  <c r="P620" i="23"/>
  <c r="S620" i="23"/>
  <c r="T620" i="23"/>
  <c r="N621" i="23"/>
  <c r="P621" i="23"/>
  <c r="S621" i="23"/>
  <c r="T621" i="23"/>
  <c r="N622" i="23"/>
  <c r="P622" i="23"/>
  <c r="S622" i="23"/>
  <c r="T622" i="23"/>
  <c r="N623" i="23"/>
  <c r="P623" i="23"/>
  <c r="S623" i="23"/>
  <c r="T623" i="23"/>
  <c r="N624" i="23"/>
  <c r="P624" i="23"/>
  <c r="S624" i="23"/>
  <c r="T624" i="23"/>
  <c r="N625" i="23"/>
  <c r="P625" i="23"/>
  <c r="S625" i="23"/>
  <c r="T625" i="23"/>
  <c r="N626" i="23"/>
  <c r="P626" i="23"/>
  <c r="S626" i="23"/>
  <c r="T626" i="23"/>
  <c r="N627" i="23"/>
  <c r="P627" i="23"/>
  <c r="S627" i="23"/>
  <c r="T627" i="23"/>
  <c r="N628" i="23"/>
  <c r="P628" i="23"/>
  <c r="S628" i="23"/>
  <c r="T628" i="23"/>
  <c r="N629" i="23"/>
  <c r="P629" i="23"/>
  <c r="S629" i="23"/>
  <c r="T629" i="23"/>
  <c r="N630" i="23"/>
  <c r="P630" i="23"/>
  <c r="S630" i="23"/>
  <c r="T630" i="23"/>
  <c r="N631" i="23"/>
  <c r="P631" i="23"/>
  <c r="S631" i="23"/>
  <c r="T631" i="23"/>
  <c r="N632" i="23"/>
  <c r="P632" i="23"/>
  <c r="S632" i="23"/>
  <c r="T632" i="23"/>
  <c r="N633" i="23"/>
  <c r="P633" i="23"/>
  <c r="S633" i="23"/>
  <c r="T633" i="23"/>
  <c r="N634" i="23"/>
  <c r="P634" i="23"/>
  <c r="S634" i="23"/>
  <c r="T634" i="23"/>
  <c r="N635" i="23"/>
  <c r="P635" i="23"/>
  <c r="S635" i="23"/>
  <c r="T635" i="23"/>
  <c r="N636" i="23"/>
  <c r="P636" i="23"/>
  <c r="S636" i="23"/>
  <c r="T636" i="23"/>
  <c r="N637" i="23"/>
  <c r="P637" i="23"/>
  <c r="S637" i="23"/>
  <c r="T637" i="23"/>
  <c r="N638" i="23"/>
  <c r="P638" i="23"/>
  <c r="S638" i="23"/>
  <c r="T638" i="23"/>
  <c r="N639" i="23"/>
  <c r="P639" i="23"/>
  <c r="S639" i="23"/>
  <c r="T639" i="23"/>
  <c r="N640" i="23"/>
  <c r="P640" i="23"/>
  <c r="S640" i="23"/>
  <c r="T640" i="23"/>
  <c r="N641" i="23"/>
  <c r="P641" i="23"/>
  <c r="S641" i="23"/>
  <c r="T641" i="23"/>
  <c r="N642" i="23"/>
  <c r="P642" i="23"/>
  <c r="S642" i="23"/>
  <c r="T642" i="23"/>
  <c r="N643" i="23"/>
  <c r="P643" i="23"/>
  <c r="S643" i="23"/>
  <c r="T643" i="23"/>
  <c r="N644" i="23"/>
  <c r="P644" i="23"/>
  <c r="S644" i="23"/>
  <c r="T644" i="23"/>
  <c r="N645" i="23"/>
  <c r="P645" i="23"/>
  <c r="S645" i="23"/>
  <c r="T645" i="23"/>
  <c r="N646" i="23"/>
  <c r="P646" i="23"/>
  <c r="S646" i="23"/>
  <c r="T646" i="23"/>
  <c r="N647" i="23"/>
  <c r="P647" i="23"/>
  <c r="S647" i="23"/>
  <c r="T647" i="23"/>
  <c r="N648" i="23"/>
  <c r="P648" i="23"/>
  <c r="S648" i="23"/>
  <c r="T648" i="23"/>
  <c r="N649" i="23"/>
  <c r="P649" i="23"/>
  <c r="S649" i="23"/>
  <c r="T649" i="23"/>
  <c r="N650" i="23"/>
  <c r="P650" i="23"/>
  <c r="S650" i="23"/>
  <c r="T650" i="23"/>
  <c r="N651" i="23"/>
  <c r="P651" i="23"/>
  <c r="S651" i="23"/>
  <c r="T651" i="23"/>
  <c r="N652" i="23"/>
  <c r="P652" i="23"/>
  <c r="S652" i="23"/>
  <c r="T652" i="23"/>
  <c r="N653" i="23"/>
  <c r="P653" i="23"/>
  <c r="S653" i="23"/>
  <c r="T653" i="23"/>
  <c r="N654" i="23"/>
  <c r="P654" i="23"/>
  <c r="S654" i="23"/>
  <c r="T654" i="23"/>
  <c r="N655" i="23"/>
  <c r="P655" i="23"/>
  <c r="S655" i="23"/>
  <c r="T655" i="23"/>
  <c r="N656" i="23"/>
  <c r="P656" i="23"/>
  <c r="S656" i="23"/>
  <c r="T656" i="23"/>
  <c r="N657" i="23"/>
  <c r="P657" i="23"/>
  <c r="S657" i="23"/>
  <c r="T657" i="23"/>
  <c r="N658" i="23"/>
  <c r="P658" i="23"/>
  <c r="S658" i="23"/>
  <c r="T658" i="23"/>
  <c r="N659" i="23"/>
  <c r="P659" i="23"/>
  <c r="S659" i="23"/>
  <c r="T659" i="23"/>
  <c r="N660" i="23"/>
  <c r="P660" i="23"/>
  <c r="S660" i="23"/>
  <c r="T660" i="23"/>
  <c r="N661" i="23"/>
  <c r="P661" i="23"/>
  <c r="S661" i="23"/>
  <c r="T661" i="23"/>
  <c r="N662" i="23"/>
  <c r="P662" i="23"/>
  <c r="S662" i="23"/>
  <c r="T662" i="23"/>
  <c r="N663" i="23"/>
  <c r="P663" i="23"/>
  <c r="S663" i="23"/>
  <c r="T663" i="23"/>
  <c r="N664" i="23"/>
  <c r="P664" i="23"/>
  <c r="S664" i="23"/>
  <c r="T664" i="23"/>
  <c r="N665" i="23"/>
  <c r="P665" i="23"/>
  <c r="S665" i="23"/>
  <c r="T665" i="23"/>
  <c r="N666" i="23"/>
  <c r="P666" i="23"/>
  <c r="S666" i="23"/>
  <c r="T666" i="23"/>
  <c r="N667" i="23"/>
  <c r="P667" i="23"/>
  <c r="S667" i="23"/>
  <c r="T667" i="23"/>
  <c r="N668" i="23"/>
  <c r="P668" i="23"/>
  <c r="S668" i="23"/>
  <c r="T668" i="23"/>
  <c r="N669" i="23"/>
  <c r="P669" i="23"/>
  <c r="S669" i="23"/>
  <c r="T669" i="23"/>
  <c r="N670" i="23"/>
  <c r="P670" i="23"/>
  <c r="S670" i="23"/>
  <c r="T670" i="23"/>
  <c r="N671" i="23"/>
  <c r="P671" i="23"/>
  <c r="S671" i="23"/>
  <c r="T671" i="23"/>
  <c r="N672" i="23"/>
  <c r="P672" i="23"/>
  <c r="S672" i="23"/>
  <c r="T672" i="23"/>
  <c r="N673" i="23"/>
  <c r="P673" i="23"/>
  <c r="S673" i="23"/>
  <c r="T673" i="23"/>
  <c r="N674" i="23"/>
  <c r="P674" i="23"/>
  <c r="S674" i="23"/>
  <c r="T674" i="23"/>
  <c r="N675" i="23"/>
  <c r="P675" i="23"/>
  <c r="S675" i="23"/>
  <c r="T675" i="23"/>
  <c r="N676" i="23"/>
  <c r="P676" i="23"/>
  <c r="S676" i="23"/>
  <c r="T676" i="23"/>
  <c r="N677" i="23"/>
  <c r="P677" i="23"/>
  <c r="S677" i="23"/>
  <c r="T677" i="23"/>
  <c r="N678" i="23"/>
  <c r="P678" i="23"/>
  <c r="S678" i="23"/>
  <c r="T678" i="23"/>
  <c r="N679" i="23"/>
  <c r="P679" i="23"/>
  <c r="S679" i="23"/>
  <c r="T679" i="23"/>
  <c r="N680" i="23"/>
  <c r="P680" i="23"/>
  <c r="S680" i="23"/>
  <c r="T680" i="23"/>
  <c r="N681" i="23"/>
  <c r="P681" i="23"/>
  <c r="S681" i="23"/>
  <c r="T681" i="23"/>
  <c r="N682" i="23"/>
  <c r="P682" i="23"/>
  <c r="S682" i="23"/>
  <c r="T682" i="23"/>
  <c r="N683" i="23"/>
  <c r="P683" i="23"/>
  <c r="S683" i="23"/>
  <c r="T683" i="23"/>
  <c r="N684" i="23"/>
  <c r="P684" i="23"/>
  <c r="S684" i="23"/>
  <c r="T684" i="23"/>
  <c r="N685" i="23"/>
  <c r="P685" i="23"/>
  <c r="S685" i="23"/>
  <c r="T685" i="23"/>
  <c r="N686" i="23"/>
  <c r="P686" i="23"/>
  <c r="S686" i="23"/>
  <c r="T686" i="23"/>
  <c r="N687" i="23"/>
  <c r="P687" i="23"/>
  <c r="S687" i="23"/>
  <c r="T687" i="23"/>
  <c r="N688" i="23"/>
  <c r="P688" i="23"/>
  <c r="S688" i="23"/>
  <c r="T688" i="23"/>
  <c r="N689" i="23"/>
  <c r="P689" i="23"/>
  <c r="S689" i="23"/>
  <c r="T689" i="23"/>
  <c r="N690" i="23"/>
  <c r="P690" i="23"/>
  <c r="S690" i="23"/>
  <c r="T690" i="23"/>
  <c r="N691" i="23"/>
  <c r="P691" i="23"/>
  <c r="S691" i="23"/>
  <c r="T691" i="23"/>
  <c r="N692" i="23"/>
  <c r="P692" i="23"/>
  <c r="S692" i="23"/>
  <c r="T692" i="23"/>
  <c r="N693" i="23"/>
  <c r="P693" i="23"/>
  <c r="S693" i="23"/>
  <c r="T693" i="23"/>
  <c r="N694" i="23"/>
  <c r="P694" i="23"/>
  <c r="S694" i="23"/>
  <c r="T694" i="23"/>
  <c r="N695" i="23"/>
  <c r="P695" i="23"/>
  <c r="S695" i="23"/>
  <c r="T695" i="23"/>
  <c r="N696" i="23"/>
  <c r="P696" i="23"/>
  <c r="S696" i="23"/>
  <c r="T696" i="23"/>
  <c r="N697" i="23"/>
  <c r="P697" i="23"/>
  <c r="S697" i="23"/>
  <c r="T697" i="23"/>
  <c r="N698" i="23"/>
  <c r="P698" i="23"/>
  <c r="S698" i="23"/>
  <c r="T698" i="23"/>
  <c r="N699" i="23"/>
  <c r="P699" i="23"/>
  <c r="S699" i="23"/>
  <c r="T699" i="23"/>
  <c r="N700" i="23"/>
  <c r="P700" i="23"/>
  <c r="S700" i="23"/>
  <c r="T700" i="23"/>
  <c r="N701" i="23"/>
  <c r="P701" i="23"/>
  <c r="S701" i="23"/>
  <c r="T701" i="23"/>
  <c r="N702" i="23"/>
  <c r="P702" i="23"/>
  <c r="S702" i="23"/>
  <c r="T702" i="23"/>
  <c r="N703" i="23"/>
  <c r="P703" i="23"/>
  <c r="S703" i="23"/>
  <c r="T703" i="23"/>
  <c r="N704" i="23"/>
  <c r="P704" i="23"/>
  <c r="S704" i="23"/>
  <c r="T704" i="23"/>
  <c r="N705" i="23"/>
  <c r="P705" i="23"/>
  <c r="S705" i="23"/>
  <c r="T705" i="23"/>
  <c r="N706" i="23"/>
  <c r="P706" i="23"/>
  <c r="S706" i="23"/>
  <c r="T706" i="23"/>
  <c r="N707" i="23"/>
  <c r="P707" i="23"/>
  <c r="S707" i="23"/>
  <c r="T707" i="23"/>
  <c r="N708" i="23"/>
  <c r="P708" i="23"/>
  <c r="S708" i="23"/>
  <c r="T708" i="23"/>
  <c r="N709" i="23"/>
  <c r="P709" i="23"/>
  <c r="S709" i="23"/>
  <c r="T709" i="23"/>
  <c r="N710" i="23"/>
  <c r="P710" i="23"/>
  <c r="S710" i="23"/>
  <c r="T710" i="23"/>
  <c r="N711" i="23"/>
  <c r="P711" i="23"/>
  <c r="S711" i="23"/>
  <c r="T711" i="23"/>
  <c r="N712" i="23"/>
  <c r="P712" i="23"/>
  <c r="S712" i="23"/>
  <c r="T712" i="23"/>
  <c r="N713" i="23"/>
  <c r="P713" i="23"/>
  <c r="S713" i="23"/>
  <c r="T713" i="23"/>
  <c r="N714" i="23"/>
  <c r="P714" i="23"/>
  <c r="S714" i="23"/>
  <c r="T714" i="23"/>
  <c r="N715" i="23"/>
  <c r="P715" i="23"/>
  <c r="S715" i="23"/>
  <c r="T715" i="23"/>
  <c r="N716" i="23"/>
  <c r="P716" i="23"/>
  <c r="S716" i="23"/>
  <c r="T716" i="23"/>
  <c r="N717" i="23"/>
  <c r="P717" i="23"/>
  <c r="S717" i="23"/>
  <c r="T717" i="23"/>
  <c r="N718" i="23"/>
  <c r="P718" i="23"/>
  <c r="S718" i="23"/>
  <c r="T718" i="23"/>
  <c r="N719" i="23"/>
  <c r="P719" i="23"/>
  <c r="S719" i="23"/>
  <c r="T719" i="23"/>
  <c r="N720" i="23"/>
  <c r="P720" i="23"/>
  <c r="S720" i="23"/>
  <c r="T720" i="23"/>
  <c r="N721" i="23"/>
  <c r="P721" i="23"/>
  <c r="S721" i="23"/>
  <c r="T721" i="23"/>
  <c r="N722" i="23"/>
  <c r="P722" i="23"/>
  <c r="S722" i="23"/>
  <c r="T722" i="23"/>
  <c r="N723" i="23"/>
  <c r="P723" i="23"/>
  <c r="S723" i="23"/>
  <c r="T723" i="23"/>
  <c r="N724" i="23"/>
  <c r="P724" i="23"/>
  <c r="S724" i="23"/>
  <c r="T724" i="23"/>
  <c r="N725" i="23"/>
  <c r="P725" i="23"/>
  <c r="S725" i="23"/>
  <c r="T725" i="23"/>
  <c r="N726" i="23"/>
  <c r="P726" i="23"/>
  <c r="S726" i="23"/>
  <c r="T726" i="23"/>
  <c r="N727" i="23"/>
  <c r="P727" i="23"/>
  <c r="S727" i="23"/>
  <c r="T727" i="23"/>
  <c r="N728" i="23"/>
  <c r="P728" i="23"/>
  <c r="S728" i="23"/>
  <c r="T728" i="23"/>
  <c r="N729" i="23"/>
  <c r="P729" i="23"/>
  <c r="S729" i="23"/>
  <c r="T729" i="23"/>
  <c r="N730" i="23"/>
  <c r="P730" i="23"/>
  <c r="S730" i="23"/>
  <c r="T730" i="23"/>
  <c r="N731" i="23"/>
  <c r="P731" i="23"/>
  <c r="S731" i="23"/>
  <c r="T731" i="23"/>
  <c r="N732" i="23"/>
  <c r="P732" i="23"/>
  <c r="S732" i="23"/>
  <c r="T732" i="23"/>
  <c r="N733" i="23"/>
  <c r="P733" i="23"/>
  <c r="S733" i="23"/>
  <c r="T733" i="23"/>
  <c r="N734" i="23"/>
  <c r="P734" i="23"/>
  <c r="S734" i="23"/>
  <c r="T734" i="23"/>
  <c r="N735" i="23"/>
  <c r="P735" i="23"/>
  <c r="S735" i="23"/>
  <c r="T735" i="23"/>
  <c r="N736" i="23"/>
  <c r="P736" i="23"/>
  <c r="S736" i="23"/>
  <c r="T736" i="23"/>
  <c r="N737" i="23"/>
  <c r="P737" i="23"/>
  <c r="S737" i="23"/>
  <c r="T737" i="23"/>
  <c r="N738" i="23"/>
  <c r="P738" i="23"/>
  <c r="S738" i="23"/>
  <c r="T738" i="23"/>
  <c r="N739" i="23"/>
  <c r="P739" i="23"/>
  <c r="S739" i="23"/>
  <c r="T739" i="23"/>
  <c r="N740" i="23"/>
  <c r="P740" i="23"/>
  <c r="S740" i="23"/>
  <c r="T740" i="23"/>
  <c r="N741" i="23"/>
  <c r="P741" i="23"/>
  <c r="S741" i="23"/>
  <c r="T741" i="23"/>
  <c r="N742" i="23"/>
  <c r="P742" i="23"/>
  <c r="S742" i="23"/>
  <c r="T742" i="23"/>
  <c r="N743" i="23"/>
  <c r="P743" i="23"/>
  <c r="S743" i="23"/>
  <c r="T743" i="23"/>
  <c r="N744" i="23"/>
  <c r="P744" i="23"/>
  <c r="S744" i="23"/>
  <c r="T744" i="23"/>
  <c r="N745" i="23"/>
  <c r="P745" i="23"/>
  <c r="S745" i="23"/>
  <c r="T745" i="23"/>
  <c r="N746" i="23"/>
  <c r="P746" i="23"/>
  <c r="S746" i="23"/>
  <c r="T746" i="23"/>
  <c r="N747" i="23"/>
  <c r="P747" i="23"/>
  <c r="S747" i="23"/>
  <c r="T747" i="23"/>
  <c r="N748" i="23"/>
  <c r="P748" i="23"/>
  <c r="S748" i="23"/>
  <c r="T748" i="23"/>
  <c r="N749" i="23"/>
  <c r="P749" i="23"/>
  <c r="S749" i="23"/>
  <c r="T749" i="23"/>
  <c r="N750" i="23"/>
  <c r="P750" i="23"/>
  <c r="S750" i="23"/>
  <c r="T750" i="23"/>
  <c r="N751" i="23"/>
  <c r="P751" i="23"/>
  <c r="S751" i="23"/>
  <c r="T751" i="23"/>
  <c r="N752" i="23"/>
  <c r="P752" i="23"/>
  <c r="S752" i="23"/>
  <c r="T752" i="23"/>
  <c r="N753" i="23"/>
  <c r="P753" i="23"/>
  <c r="S753" i="23"/>
  <c r="T753" i="23"/>
  <c r="N754" i="23"/>
  <c r="P754" i="23"/>
  <c r="S754" i="23"/>
  <c r="T754" i="23"/>
  <c r="N755" i="23"/>
  <c r="P755" i="23"/>
  <c r="S755" i="23"/>
  <c r="T755" i="23"/>
  <c r="N756" i="23"/>
  <c r="P756" i="23"/>
  <c r="S756" i="23"/>
  <c r="T756" i="23"/>
  <c r="N757" i="23"/>
  <c r="P757" i="23"/>
  <c r="S757" i="23"/>
  <c r="T757" i="23"/>
  <c r="N758" i="23"/>
  <c r="P758" i="23"/>
  <c r="S758" i="23"/>
  <c r="T758" i="23"/>
  <c r="N759" i="23"/>
  <c r="P759" i="23"/>
  <c r="S759" i="23"/>
  <c r="T759" i="23"/>
  <c r="N760" i="23"/>
  <c r="P760" i="23"/>
  <c r="S760" i="23"/>
  <c r="T760" i="23"/>
  <c r="N761" i="23"/>
  <c r="P761" i="23"/>
  <c r="S761" i="23"/>
  <c r="T761" i="23"/>
  <c r="N762" i="23"/>
  <c r="P762" i="23"/>
  <c r="S762" i="23"/>
  <c r="T762" i="23"/>
  <c r="N763" i="23"/>
  <c r="P763" i="23"/>
  <c r="S763" i="23"/>
  <c r="T763" i="23"/>
  <c r="N764" i="23"/>
  <c r="P764" i="23"/>
  <c r="S764" i="23"/>
  <c r="T764" i="23"/>
  <c r="N765" i="23"/>
  <c r="P765" i="23"/>
  <c r="S765" i="23"/>
  <c r="T765" i="23"/>
  <c r="N766" i="23"/>
  <c r="P766" i="23"/>
  <c r="S766" i="23"/>
  <c r="T766" i="23"/>
  <c r="N767" i="23"/>
  <c r="P767" i="23"/>
  <c r="S767" i="23"/>
  <c r="T767" i="23"/>
  <c r="N768" i="23"/>
  <c r="P768" i="23"/>
  <c r="S768" i="23"/>
  <c r="T768" i="23"/>
  <c r="N769" i="23"/>
  <c r="P769" i="23"/>
  <c r="S769" i="23"/>
  <c r="T769" i="23"/>
  <c r="N770" i="23"/>
  <c r="P770" i="23"/>
  <c r="S770" i="23"/>
  <c r="T770" i="23"/>
  <c r="N771" i="23"/>
  <c r="P771" i="23"/>
  <c r="S771" i="23"/>
  <c r="T771" i="23"/>
  <c r="N772" i="23"/>
  <c r="P772" i="23"/>
  <c r="S772" i="23"/>
  <c r="T772" i="23"/>
  <c r="N773" i="23"/>
  <c r="P773" i="23"/>
  <c r="S773" i="23"/>
  <c r="T773" i="23"/>
  <c r="N774" i="23"/>
  <c r="P774" i="23"/>
  <c r="S774" i="23"/>
  <c r="T774" i="23"/>
  <c r="N775" i="23"/>
  <c r="P775" i="23"/>
  <c r="S775" i="23"/>
  <c r="T775" i="23"/>
  <c r="N776" i="23"/>
  <c r="P776" i="23"/>
  <c r="S776" i="23"/>
  <c r="T776" i="23"/>
  <c r="N777" i="23"/>
  <c r="P777" i="23"/>
  <c r="S777" i="23"/>
  <c r="T777" i="23"/>
  <c r="N778" i="23"/>
  <c r="P778" i="23"/>
  <c r="S778" i="23"/>
  <c r="T778" i="23"/>
  <c r="N779" i="23"/>
  <c r="P779" i="23"/>
  <c r="S779" i="23"/>
  <c r="T779" i="23"/>
  <c r="N780" i="23"/>
  <c r="P780" i="23"/>
  <c r="S780" i="23"/>
  <c r="T780" i="23"/>
  <c r="N781" i="23"/>
  <c r="P781" i="23"/>
  <c r="S781" i="23"/>
  <c r="T781" i="23"/>
  <c r="N782" i="23"/>
  <c r="P782" i="23"/>
  <c r="S782" i="23"/>
  <c r="T782" i="23"/>
  <c r="N783" i="23"/>
  <c r="P783" i="23"/>
  <c r="S783" i="23"/>
  <c r="T783" i="23"/>
  <c r="N784" i="23"/>
  <c r="P784" i="23"/>
  <c r="S784" i="23"/>
  <c r="T784" i="23"/>
  <c r="N785" i="23"/>
  <c r="P785" i="23"/>
  <c r="S785" i="23"/>
  <c r="T785" i="23"/>
  <c r="N786" i="23"/>
  <c r="P786" i="23"/>
  <c r="S786" i="23"/>
  <c r="T786" i="23"/>
  <c r="N787" i="23"/>
  <c r="P787" i="23"/>
  <c r="S787" i="23"/>
  <c r="T787" i="23"/>
  <c r="N788" i="23"/>
  <c r="P788" i="23"/>
  <c r="S788" i="23"/>
  <c r="T788" i="23"/>
  <c r="N789" i="23"/>
  <c r="P789" i="23"/>
  <c r="S789" i="23"/>
  <c r="T789" i="23"/>
  <c r="N790" i="23"/>
  <c r="P790" i="23"/>
  <c r="S790" i="23"/>
  <c r="T790" i="23"/>
  <c r="N791" i="23"/>
  <c r="P791" i="23"/>
  <c r="S791" i="23"/>
  <c r="T791" i="23"/>
  <c r="N792" i="23"/>
  <c r="P792" i="23"/>
  <c r="S792" i="23"/>
  <c r="T792" i="23"/>
  <c r="N793" i="23"/>
  <c r="P793" i="23"/>
  <c r="S793" i="23"/>
  <c r="T793" i="23"/>
  <c r="N794" i="23"/>
  <c r="P794" i="23"/>
  <c r="S794" i="23"/>
  <c r="T794" i="23"/>
  <c r="N795" i="23"/>
  <c r="P795" i="23"/>
  <c r="S795" i="23"/>
  <c r="T795" i="23"/>
  <c r="N796" i="23"/>
  <c r="P796" i="23"/>
  <c r="S796" i="23"/>
  <c r="T796" i="23"/>
  <c r="N797" i="23"/>
  <c r="P797" i="23"/>
  <c r="S797" i="23"/>
  <c r="T797" i="23"/>
  <c r="N798" i="23"/>
  <c r="P798" i="23"/>
  <c r="S798" i="23"/>
  <c r="T798" i="23"/>
  <c r="N799" i="23"/>
  <c r="P799" i="23"/>
  <c r="S799" i="23"/>
  <c r="T799" i="23"/>
  <c r="N800" i="23"/>
  <c r="P800" i="23"/>
  <c r="S800" i="23"/>
  <c r="T800" i="23"/>
  <c r="N801" i="23"/>
  <c r="P801" i="23"/>
  <c r="S801" i="23"/>
  <c r="T801" i="23"/>
  <c r="N802" i="23"/>
  <c r="P802" i="23"/>
  <c r="S802" i="23"/>
  <c r="T802" i="23"/>
  <c r="N803" i="23"/>
  <c r="P803" i="23"/>
  <c r="S803" i="23"/>
  <c r="T803" i="23"/>
  <c r="N804" i="23"/>
  <c r="P804" i="23"/>
  <c r="S804" i="23"/>
  <c r="T804" i="23"/>
  <c r="N805" i="23"/>
  <c r="P805" i="23"/>
  <c r="S805" i="23"/>
  <c r="T805" i="23"/>
  <c r="N806" i="23"/>
  <c r="P806" i="23"/>
  <c r="S806" i="23"/>
  <c r="T806" i="23"/>
  <c r="N807" i="23"/>
  <c r="P807" i="23"/>
  <c r="S807" i="23"/>
  <c r="T807" i="23"/>
  <c r="N808" i="23"/>
  <c r="P808" i="23"/>
  <c r="S808" i="23"/>
  <c r="T808" i="23"/>
  <c r="N809" i="23"/>
  <c r="P809" i="23"/>
  <c r="S809" i="23"/>
  <c r="T809" i="23"/>
  <c r="N810" i="23"/>
  <c r="P810" i="23"/>
  <c r="S810" i="23"/>
  <c r="T810" i="23"/>
  <c r="N811" i="23"/>
  <c r="P811" i="23"/>
  <c r="S811" i="23"/>
  <c r="T811" i="23"/>
  <c r="N812" i="23"/>
  <c r="P812" i="23"/>
  <c r="S812" i="23"/>
  <c r="T812" i="23"/>
  <c r="N813" i="23"/>
  <c r="P813" i="23"/>
  <c r="S813" i="23"/>
  <c r="T813" i="23"/>
  <c r="N814" i="23"/>
  <c r="P814" i="23"/>
  <c r="S814" i="23"/>
  <c r="T814" i="23"/>
  <c r="N815" i="23"/>
  <c r="P815" i="23"/>
  <c r="S815" i="23"/>
  <c r="T815" i="23"/>
  <c r="N816" i="23"/>
  <c r="P816" i="23"/>
  <c r="S816" i="23"/>
  <c r="T816" i="23"/>
  <c r="N817" i="23"/>
  <c r="P817" i="23"/>
  <c r="S817" i="23"/>
  <c r="T817" i="23"/>
  <c r="N818" i="23"/>
  <c r="P818" i="23"/>
  <c r="S818" i="23"/>
  <c r="T818" i="23"/>
  <c r="N819" i="23"/>
  <c r="P819" i="23"/>
  <c r="S819" i="23"/>
  <c r="T819" i="23"/>
  <c r="N820" i="23"/>
  <c r="P820" i="23"/>
  <c r="S820" i="23"/>
  <c r="T820" i="23"/>
  <c r="N821" i="23"/>
  <c r="P821" i="23"/>
  <c r="S821" i="23"/>
  <c r="T821" i="23"/>
  <c r="N822" i="23"/>
  <c r="P822" i="23"/>
  <c r="S822" i="23"/>
  <c r="T822" i="23"/>
  <c r="N823" i="23"/>
  <c r="P823" i="23"/>
  <c r="S823" i="23"/>
  <c r="T823" i="23"/>
  <c r="N824" i="23"/>
  <c r="P824" i="23"/>
  <c r="S824" i="23"/>
  <c r="T824" i="23"/>
  <c r="N825" i="23"/>
  <c r="P825" i="23"/>
  <c r="S825" i="23"/>
  <c r="T825" i="23"/>
  <c r="N826" i="23"/>
  <c r="P826" i="23"/>
  <c r="S826" i="23"/>
  <c r="T826" i="23"/>
  <c r="N827" i="23"/>
  <c r="P827" i="23"/>
  <c r="S827" i="23"/>
  <c r="T827" i="23"/>
  <c r="N828" i="23"/>
  <c r="P828" i="23"/>
  <c r="S828" i="23"/>
  <c r="T828" i="23"/>
  <c r="N829" i="23"/>
  <c r="P829" i="23"/>
  <c r="S829" i="23"/>
  <c r="T829" i="23"/>
  <c r="N830" i="23"/>
  <c r="P830" i="23"/>
  <c r="S830" i="23"/>
  <c r="T830" i="23"/>
  <c r="N831" i="23"/>
  <c r="P831" i="23"/>
  <c r="S831" i="23"/>
  <c r="T831" i="23"/>
  <c r="N832" i="23"/>
  <c r="P832" i="23"/>
  <c r="S832" i="23"/>
  <c r="T832" i="23"/>
  <c r="N833" i="23"/>
  <c r="P833" i="23"/>
  <c r="S833" i="23"/>
  <c r="T833" i="23"/>
  <c r="N834" i="23"/>
  <c r="P834" i="23"/>
  <c r="S834" i="23"/>
  <c r="T834" i="23"/>
  <c r="N835" i="23"/>
  <c r="P835" i="23"/>
  <c r="S835" i="23"/>
  <c r="T835" i="23"/>
  <c r="N836" i="23"/>
  <c r="P836" i="23"/>
  <c r="S836" i="23"/>
  <c r="T836" i="23"/>
  <c r="N837" i="23"/>
  <c r="P837" i="23"/>
  <c r="S837" i="23"/>
  <c r="T837" i="23"/>
  <c r="N838" i="23"/>
  <c r="P838" i="23"/>
  <c r="S838" i="23"/>
  <c r="T838" i="23"/>
  <c r="N839" i="23"/>
  <c r="P839" i="23"/>
  <c r="S839" i="23"/>
  <c r="T839" i="23"/>
  <c r="N840" i="23"/>
  <c r="P840" i="23"/>
  <c r="S840" i="23"/>
  <c r="T840" i="23"/>
  <c r="N841" i="23"/>
  <c r="P841" i="23"/>
  <c r="S841" i="23"/>
  <c r="T841" i="23"/>
  <c r="N842" i="23"/>
  <c r="P842" i="23"/>
  <c r="S842" i="23"/>
  <c r="T842" i="23"/>
  <c r="N843" i="23"/>
  <c r="P843" i="23"/>
  <c r="S843" i="23"/>
  <c r="T843" i="23"/>
  <c r="N844" i="23"/>
  <c r="P844" i="23"/>
  <c r="S844" i="23"/>
  <c r="T844" i="23"/>
  <c r="N845" i="23"/>
  <c r="P845" i="23"/>
  <c r="S845" i="23"/>
  <c r="T845" i="23"/>
  <c r="N846" i="23"/>
  <c r="P846" i="23"/>
  <c r="S846" i="23"/>
  <c r="T846" i="23"/>
  <c r="N847" i="23"/>
  <c r="P847" i="23"/>
  <c r="S847" i="23"/>
  <c r="T847" i="23"/>
  <c r="N848" i="23"/>
  <c r="P848" i="23"/>
  <c r="S848" i="23"/>
  <c r="T848" i="23"/>
  <c r="N849" i="23"/>
  <c r="P849" i="23"/>
  <c r="S849" i="23"/>
  <c r="T849" i="23"/>
  <c r="N850" i="23"/>
  <c r="P850" i="23"/>
  <c r="S850" i="23"/>
  <c r="T850" i="23"/>
  <c r="N851" i="23"/>
  <c r="P851" i="23"/>
  <c r="S851" i="23"/>
  <c r="T851" i="23"/>
  <c r="N852" i="23"/>
  <c r="P852" i="23"/>
  <c r="S852" i="23"/>
  <c r="T852" i="23"/>
  <c r="N853" i="23"/>
  <c r="P853" i="23"/>
  <c r="S853" i="23"/>
  <c r="T853" i="23"/>
  <c r="N854" i="23"/>
  <c r="P854" i="23"/>
  <c r="S854" i="23"/>
  <c r="T854" i="23"/>
  <c r="N855" i="23"/>
  <c r="P855" i="23"/>
  <c r="S855" i="23"/>
  <c r="T855" i="23"/>
  <c r="N856" i="23"/>
  <c r="P856" i="23"/>
  <c r="S856" i="23"/>
  <c r="T856" i="23"/>
  <c r="N857" i="23"/>
  <c r="P857" i="23"/>
  <c r="S857" i="23"/>
  <c r="T857" i="23"/>
  <c r="N858" i="23"/>
  <c r="P858" i="23"/>
  <c r="S858" i="23"/>
  <c r="T858" i="23"/>
  <c r="N859" i="23"/>
  <c r="P859" i="23"/>
  <c r="S859" i="23"/>
  <c r="T859" i="23"/>
  <c r="N860" i="23"/>
  <c r="P860" i="23"/>
  <c r="S860" i="23"/>
  <c r="T860" i="23"/>
  <c r="N861" i="23"/>
  <c r="P861" i="23"/>
  <c r="S861" i="23"/>
  <c r="T861" i="23"/>
  <c r="N862" i="23"/>
  <c r="P862" i="23"/>
  <c r="S862" i="23"/>
  <c r="T862" i="23"/>
  <c r="N863" i="23"/>
  <c r="P863" i="23"/>
  <c r="S863" i="23"/>
  <c r="T863" i="23"/>
  <c r="N864" i="23"/>
  <c r="P864" i="23"/>
  <c r="S864" i="23"/>
  <c r="T864" i="23"/>
  <c r="N865" i="23"/>
  <c r="P865" i="23"/>
  <c r="S865" i="23"/>
  <c r="T865" i="23"/>
  <c r="N866" i="23"/>
  <c r="P866" i="23"/>
  <c r="S866" i="23"/>
  <c r="T866" i="23"/>
  <c r="N867" i="23"/>
  <c r="P867" i="23"/>
  <c r="S867" i="23"/>
  <c r="T867" i="23"/>
  <c r="N868" i="23"/>
  <c r="P868" i="23"/>
  <c r="S868" i="23"/>
  <c r="T868" i="23"/>
  <c r="N869" i="23"/>
  <c r="P869" i="23"/>
  <c r="S869" i="23"/>
  <c r="T869" i="23"/>
  <c r="N870" i="23"/>
  <c r="P870" i="23"/>
  <c r="S870" i="23"/>
  <c r="T870" i="23"/>
  <c r="N871" i="23"/>
  <c r="P871" i="23"/>
  <c r="S871" i="23"/>
  <c r="T871" i="23"/>
  <c r="N872" i="23"/>
  <c r="P872" i="23"/>
  <c r="S872" i="23"/>
  <c r="T872" i="23"/>
  <c r="N873" i="23"/>
  <c r="P873" i="23"/>
  <c r="S873" i="23"/>
  <c r="T873" i="23"/>
  <c r="N874" i="23"/>
  <c r="P874" i="23"/>
  <c r="S874" i="23"/>
  <c r="T874" i="23"/>
  <c r="N875" i="23"/>
  <c r="P875" i="23"/>
  <c r="S875" i="23"/>
  <c r="T875" i="23"/>
  <c r="N876" i="23"/>
  <c r="P876" i="23"/>
  <c r="S876" i="23"/>
  <c r="T876" i="23"/>
  <c r="N877" i="23"/>
  <c r="P877" i="23"/>
  <c r="S877" i="23"/>
  <c r="T877" i="23"/>
  <c r="N878" i="23"/>
  <c r="P878" i="23"/>
  <c r="S878" i="23"/>
  <c r="T878" i="23"/>
  <c r="N879" i="23"/>
  <c r="P879" i="23"/>
  <c r="S879" i="23"/>
  <c r="T879" i="23"/>
  <c r="N880" i="23"/>
  <c r="P880" i="23"/>
  <c r="S880" i="23"/>
  <c r="T880" i="23"/>
  <c r="N881" i="23"/>
  <c r="P881" i="23"/>
  <c r="S881" i="23"/>
  <c r="T881" i="23"/>
  <c r="N882" i="23"/>
  <c r="P882" i="23"/>
  <c r="S882" i="23"/>
  <c r="T882" i="23"/>
  <c r="N883" i="23"/>
  <c r="P883" i="23"/>
  <c r="S883" i="23"/>
  <c r="T883" i="23"/>
  <c r="N884" i="23"/>
  <c r="P884" i="23"/>
  <c r="S884" i="23"/>
  <c r="T884" i="23"/>
  <c r="N885" i="23"/>
  <c r="P885" i="23"/>
  <c r="S885" i="23"/>
  <c r="T885" i="23"/>
  <c r="N886" i="23"/>
  <c r="P886" i="23"/>
  <c r="S886" i="23"/>
  <c r="T886" i="23"/>
  <c r="N887" i="23"/>
  <c r="P887" i="23"/>
  <c r="S887" i="23"/>
  <c r="T887" i="23"/>
  <c r="N888" i="23"/>
  <c r="P888" i="23"/>
  <c r="S888" i="23"/>
  <c r="T888" i="23"/>
  <c r="N889" i="23"/>
  <c r="P889" i="23"/>
  <c r="S889" i="23"/>
  <c r="T889" i="23"/>
  <c r="N890" i="23"/>
  <c r="P890" i="23"/>
  <c r="S890" i="23"/>
  <c r="T890" i="23"/>
  <c r="N891" i="23"/>
  <c r="P891" i="23"/>
  <c r="S891" i="23"/>
  <c r="T891" i="23"/>
  <c r="N892" i="23"/>
  <c r="P892" i="23"/>
  <c r="S892" i="23"/>
  <c r="T892" i="23"/>
  <c r="N893" i="23"/>
  <c r="P893" i="23"/>
  <c r="S893" i="23"/>
  <c r="T893" i="23"/>
  <c r="N894" i="23"/>
  <c r="P894" i="23"/>
  <c r="S894" i="23"/>
  <c r="T894" i="23"/>
  <c r="N895" i="23"/>
  <c r="P895" i="23"/>
  <c r="S895" i="23"/>
  <c r="T895" i="23"/>
  <c r="N896" i="23"/>
  <c r="P896" i="23"/>
  <c r="S896" i="23"/>
  <c r="T896" i="23"/>
  <c r="N897" i="23"/>
  <c r="P897" i="23"/>
  <c r="S897" i="23"/>
  <c r="T897" i="23"/>
  <c r="N898" i="23"/>
  <c r="P898" i="23"/>
  <c r="S898" i="23"/>
  <c r="T898" i="23"/>
  <c r="N899" i="23"/>
  <c r="P899" i="23"/>
  <c r="S899" i="23"/>
  <c r="T899" i="23"/>
  <c r="N900" i="23"/>
  <c r="P900" i="23"/>
  <c r="S900" i="23"/>
  <c r="T900" i="23"/>
  <c r="N901" i="23"/>
  <c r="P901" i="23"/>
  <c r="S901" i="23"/>
  <c r="T901" i="23"/>
  <c r="N902" i="23"/>
  <c r="P902" i="23"/>
  <c r="S902" i="23"/>
  <c r="T902" i="23"/>
  <c r="N903" i="23"/>
  <c r="P903" i="23"/>
  <c r="S903" i="23"/>
  <c r="T903" i="23"/>
  <c r="N904" i="23"/>
  <c r="P904" i="23"/>
  <c r="S904" i="23"/>
  <c r="T904" i="23"/>
  <c r="N905" i="23"/>
  <c r="P905" i="23"/>
  <c r="S905" i="23"/>
  <c r="T905" i="23"/>
  <c r="N906" i="23"/>
  <c r="P906" i="23"/>
  <c r="S906" i="23"/>
  <c r="T906" i="23"/>
  <c r="N907" i="23"/>
  <c r="P907" i="23"/>
  <c r="S907" i="23"/>
  <c r="T907" i="23"/>
  <c r="N908" i="23"/>
  <c r="P908" i="23"/>
  <c r="S908" i="23"/>
  <c r="T908" i="23"/>
  <c r="N909" i="23"/>
  <c r="P909" i="23"/>
  <c r="S909" i="23"/>
  <c r="T909" i="23"/>
  <c r="N910" i="23"/>
  <c r="P910" i="23"/>
  <c r="S910" i="23"/>
  <c r="T910" i="23"/>
  <c r="N911" i="23"/>
  <c r="P911" i="23"/>
  <c r="S911" i="23"/>
  <c r="T911" i="23"/>
  <c r="N912" i="23"/>
  <c r="P912" i="23"/>
  <c r="S912" i="23"/>
  <c r="T912" i="23"/>
  <c r="N913" i="23"/>
  <c r="P913" i="23"/>
  <c r="S913" i="23"/>
  <c r="T913" i="23"/>
  <c r="N914" i="23"/>
  <c r="P914" i="23"/>
  <c r="S914" i="23"/>
  <c r="T914" i="23"/>
  <c r="N915" i="23"/>
  <c r="P915" i="23"/>
  <c r="S915" i="23"/>
  <c r="T915" i="23"/>
  <c r="N916" i="23"/>
  <c r="P916" i="23"/>
  <c r="S916" i="23"/>
  <c r="T916" i="23"/>
  <c r="N917" i="23"/>
  <c r="P917" i="23"/>
  <c r="S917" i="23"/>
  <c r="T917" i="23"/>
  <c r="N918" i="23"/>
  <c r="P918" i="23"/>
  <c r="S918" i="23"/>
  <c r="T918" i="23"/>
  <c r="N919" i="23"/>
  <c r="P919" i="23"/>
  <c r="S919" i="23"/>
  <c r="T919" i="23"/>
  <c r="N920" i="23"/>
  <c r="P920" i="23"/>
  <c r="S920" i="23"/>
  <c r="T920" i="23"/>
  <c r="N921" i="23"/>
  <c r="P921" i="23"/>
  <c r="S921" i="23"/>
  <c r="T921" i="23"/>
  <c r="N922" i="23"/>
  <c r="P922" i="23"/>
  <c r="S922" i="23"/>
  <c r="T922" i="23"/>
  <c r="N923" i="23"/>
  <c r="P923" i="23"/>
  <c r="S923" i="23"/>
  <c r="T923" i="23"/>
  <c r="N924" i="23"/>
  <c r="P924" i="23"/>
  <c r="S924" i="23"/>
  <c r="T924" i="23"/>
  <c r="N925" i="23"/>
  <c r="P925" i="23"/>
  <c r="S925" i="23"/>
  <c r="T925" i="23"/>
  <c r="N926" i="23"/>
  <c r="P926" i="23"/>
  <c r="S926" i="23"/>
  <c r="T926" i="23"/>
  <c r="N927" i="23"/>
  <c r="P927" i="23"/>
  <c r="S927" i="23"/>
  <c r="T927" i="23"/>
  <c r="N928" i="23"/>
  <c r="P928" i="23"/>
  <c r="S928" i="23"/>
  <c r="T928" i="23"/>
  <c r="N929" i="23"/>
  <c r="P929" i="23"/>
  <c r="S929" i="23"/>
  <c r="T929" i="23"/>
  <c r="N930" i="23"/>
  <c r="P930" i="23"/>
  <c r="S930" i="23"/>
  <c r="T930" i="23"/>
  <c r="N931" i="23"/>
  <c r="P931" i="23"/>
  <c r="S931" i="23"/>
  <c r="T931" i="23"/>
  <c r="N932" i="23"/>
  <c r="P932" i="23"/>
  <c r="S932" i="23"/>
  <c r="T932" i="23"/>
  <c r="N933" i="23"/>
  <c r="P933" i="23"/>
  <c r="S933" i="23"/>
  <c r="T933" i="23"/>
  <c r="N934" i="23"/>
  <c r="P934" i="23"/>
  <c r="S934" i="23"/>
  <c r="T934" i="23"/>
  <c r="N935" i="23"/>
  <c r="P935" i="23"/>
  <c r="S935" i="23"/>
  <c r="T935" i="23"/>
  <c r="N936" i="23"/>
  <c r="P936" i="23"/>
  <c r="S936" i="23"/>
  <c r="T936" i="23"/>
  <c r="N937" i="23"/>
  <c r="P937" i="23"/>
  <c r="S937" i="23"/>
  <c r="T937" i="23"/>
  <c r="N938" i="23"/>
  <c r="P938" i="23"/>
  <c r="S938" i="23"/>
  <c r="T938" i="23"/>
  <c r="N939" i="23"/>
  <c r="P939" i="23"/>
  <c r="S939" i="23"/>
  <c r="T939" i="23"/>
  <c r="N940" i="23"/>
  <c r="P940" i="23"/>
  <c r="S940" i="23"/>
  <c r="T940" i="23"/>
  <c r="N941" i="23"/>
  <c r="P941" i="23"/>
  <c r="S941" i="23"/>
  <c r="T941" i="23"/>
  <c r="N942" i="23"/>
  <c r="P942" i="23"/>
  <c r="S942" i="23"/>
  <c r="T942" i="23"/>
  <c r="N943" i="23"/>
  <c r="P943" i="23"/>
  <c r="S943" i="23"/>
  <c r="T943" i="23"/>
  <c r="N944" i="23"/>
  <c r="P944" i="23"/>
  <c r="S944" i="23"/>
  <c r="T944" i="23"/>
  <c r="N945" i="23"/>
  <c r="P945" i="23"/>
  <c r="S945" i="23"/>
  <c r="T945" i="23"/>
  <c r="N946" i="23"/>
  <c r="P946" i="23"/>
  <c r="S946" i="23"/>
  <c r="T946" i="23"/>
  <c r="N947" i="23"/>
  <c r="P947" i="23"/>
  <c r="S947" i="23"/>
  <c r="T947" i="23"/>
  <c r="N948" i="23"/>
  <c r="P948" i="23"/>
  <c r="S948" i="23"/>
  <c r="T948" i="23"/>
  <c r="N949" i="23"/>
  <c r="P949" i="23"/>
  <c r="S949" i="23"/>
  <c r="T949" i="23"/>
  <c r="N950" i="23"/>
  <c r="P950" i="23"/>
  <c r="S950" i="23"/>
  <c r="T950" i="23"/>
  <c r="N951" i="23"/>
  <c r="P951" i="23"/>
  <c r="S951" i="23"/>
  <c r="T951" i="23"/>
  <c r="N952" i="23"/>
  <c r="P952" i="23"/>
  <c r="S952" i="23"/>
  <c r="T952" i="23"/>
  <c r="N953" i="23"/>
  <c r="P953" i="23"/>
  <c r="S953" i="23"/>
  <c r="T953" i="23"/>
  <c r="N954" i="23"/>
  <c r="P954" i="23"/>
  <c r="S954" i="23"/>
  <c r="T954" i="23"/>
  <c r="N955" i="23"/>
  <c r="P955" i="23"/>
  <c r="S955" i="23"/>
  <c r="T955" i="23"/>
  <c r="N956" i="23"/>
  <c r="P956" i="23"/>
  <c r="S956" i="23"/>
  <c r="T956" i="23"/>
  <c r="N957" i="23"/>
  <c r="P957" i="23"/>
  <c r="S957" i="23"/>
  <c r="T957" i="23"/>
  <c r="N958" i="23"/>
  <c r="P958" i="23"/>
  <c r="S958" i="23"/>
  <c r="T958" i="23"/>
  <c r="N959" i="23"/>
  <c r="P959" i="23"/>
  <c r="S959" i="23"/>
  <c r="T959" i="23"/>
  <c r="N960" i="23"/>
  <c r="P960" i="23"/>
  <c r="S960" i="23"/>
  <c r="T960" i="23"/>
  <c r="N961" i="23"/>
  <c r="P961" i="23"/>
  <c r="S961" i="23"/>
  <c r="T961" i="23"/>
  <c r="N962" i="23"/>
  <c r="P962" i="23"/>
  <c r="S962" i="23"/>
  <c r="T962" i="23"/>
  <c r="N963" i="23"/>
  <c r="P963" i="23"/>
  <c r="S963" i="23"/>
  <c r="T963" i="23"/>
  <c r="N964" i="23"/>
  <c r="P964" i="23"/>
  <c r="S964" i="23"/>
  <c r="T964" i="23"/>
  <c r="N965" i="23"/>
  <c r="P965" i="23"/>
  <c r="S965" i="23"/>
  <c r="T965" i="23"/>
  <c r="N966" i="23"/>
  <c r="P966" i="23"/>
  <c r="S966" i="23"/>
  <c r="T966" i="23"/>
  <c r="N967" i="23"/>
  <c r="P967" i="23"/>
  <c r="S967" i="23"/>
  <c r="T967" i="23"/>
  <c r="N968" i="23"/>
  <c r="P968" i="23"/>
  <c r="S968" i="23"/>
  <c r="T968" i="23"/>
  <c r="N969" i="23"/>
  <c r="P969" i="23"/>
  <c r="S969" i="23"/>
  <c r="T969" i="23"/>
  <c r="N970" i="23"/>
  <c r="P970" i="23"/>
  <c r="S970" i="23"/>
  <c r="T970" i="23"/>
  <c r="N971" i="23"/>
  <c r="P971" i="23"/>
  <c r="S971" i="23"/>
  <c r="T971" i="23"/>
  <c r="N972" i="23"/>
  <c r="P972" i="23"/>
  <c r="S972" i="23"/>
  <c r="T972" i="23"/>
  <c r="N973" i="23"/>
  <c r="P973" i="23"/>
  <c r="S973" i="23"/>
  <c r="T973" i="23"/>
  <c r="N974" i="23"/>
  <c r="P974" i="23"/>
  <c r="S974" i="23"/>
  <c r="T974" i="23"/>
  <c r="N975" i="23"/>
  <c r="P975" i="23"/>
  <c r="S975" i="23"/>
  <c r="T975" i="23"/>
  <c r="N976" i="23"/>
  <c r="P976" i="23"/>
  <c r="S976" i="23"/>
  <c r="T976" i="23"/>
  <c r="N977" i="23"/>
  <c r="P977" i="23"/>
  <c r="S977" i="23"/>
  <c r="T977" i="23"/>
  <c r="N978" i="23"/>
  <c r="P978" i="23"/>
  <c r="S978" i="23"/>
  <c r="T978" i="23"/>
  <c r="N979" i="23"/>
  <c r="P979" i="23"/>
  <c r="S979" i="23"/>
  <c r="T979" i="23"/>
  <c r="N980" i="23"/>
  <c r="P980" i="23"/>
  <c r="S980" i="23"/>
  <c r="T980" i="23"/>
  <c r="N981" i="23"/>
  <c r="P981" i="23"/>
  <c r="S981" i="23"/>
  <c r="T981" i="23"/>
  <c r="N982" i="23"/>
  <c r="P982" i="23"/>
  <c r="S982" i="23"/>
  <c r="T982" i="23"/>
  <c r="N983" i="23"/>
  <c r="P983" i="23"/>
  <c r="S983" i="23"/>
  <c r="T983" i="23"/>
  <c r="N984" i="23"/>
  <c r="P984" i="23"/>
  <c r="S984" i="23"/>
  <c r="T984" i="23"/>
  <c r="N985" i="23"/>
  <c r="P985" i="23"/>
  <c r="S985" i="23"/>
  <c r="T985" i="23"/>
  <c r="N986" i="23"/>
  <c r="P986" i="23"/>
  <c r="S986" i="23"/>
  <c r="T986" i="23"/>
  <c r="N987" i="23"/>
  <c r="P987" i="23"/>
  <c r="S987" i="23"/>
  <c r="T987" i="23"/>
  <c r="N988" i="23"/>
  <c r="P988" i="23"/>
  <c r="S988" i="23"/>
  <c r="T988" i="23"/>
  <c r="N989" i="23"/>
  <c r="P989" i="23"/>
  <c r="S989" i="23"/>
  <c r="T989" i="23"/>
  <c r="N990" i="23"/>
  <c r="P990" i="23"/>
  <c r="S990" i="23"/>
  <c r="T990" i="23"/>
  <c r="N991" i="23"/>
  <c r="P991" i="23"/>
  <c r="S991" i="23"/>
  <c r="T991" i="23"/>
  <c r="N992" i="23"/>
  <c r="P992" i="23"/>
  <c r="S992" i="23"/>
  <c r="T992" i="23"/>
  <c r="N993" i="23"/>
  <c r="P993" i="23"/>
  <c r="S993" i="23"/>
  <c r="T993" i="23"/>
  <c r="N994" i="23"/>
  <c r="P994" i="23"/>
  <c r="S994" i="23"/>
  <c r="T994" i="23"/>
  <c r="N995" i="23"/>
  <c r="P995" i="23"/>
  <c r="S995" i="23"/>
  <c r="T995" i="23"/>
  <c r="N996" i="23"/>
  <c r="P996" i="23"/>
  <c r="S996" i="23"/>
  <c r="T996" i="23"/>
  <c r="N997" i="23"/>
  <c r="P997" i="23"/>
  <c r="S997" i="23"/>
  <c r="T997" i="23"/>
  <c r="N998" i="23"/>
  <c r="P998" i="23"/>
  <c r="S998" i="23"/>
  <c r="T998" i="23"/>
  <c r="N999" i="23"/>
  <c r="P999" i="23"/>
  <c r="S999" i="23"/>
  <c r="T999" i="23"/>
  <c r="N1000" i="23"/>
  <c r="P1000" i="23"/>
  <c r="S1000" i="23"/>
  <c r="T1000" i="23"/>
  <c r="N1001" i="23"/>
  <c r="P1001" i="23"/>
  <c r="S1001" i="23"/>
  <c r="T1001" i="23"/>
  <c r="N1002" i="23"/>
  <c r="P1002" i="23"/>
  <c r="S1002" i="23"/>
  <c r="T1002" i="23"/>
  <c r="N1003" i="23"/>
  <c r="P1003" i="23"/>
  <c r="S1003" i="23"/>
  <c r="T1003" i="23"/>
  <c r="N1004" i="23"/>
  <c r="P1004" i="23"/>
  <c r="S1004" i="23"/>
  <c r="T1004" i="23"/>
  <c r="N1005" i="23"/>
  <c r="P1005" i="23"/>
  <c r="S1005" i="23"/>
  <c r="T1005" i="23"/>
  <c r="N1006" i="23"/>
  <c r="P1006" i="23"/>
  <c r="S1006" i="23"/>
  <c r="T1006" i="23"/>
  <c r="N1007" i="23"/>
  <c r="P1007" i="23"/>
  <c r="S1007" i="23"/>
  <c r="T1007" i="23"/>
  <c r="N1008" i="23"/>
  <c r="P1008" i="23"/>
  <c r="S1008" i="23"/>
  <c r="T1008" i="23"/>
  <c r="N1009" i="23"/>
  <c r="P1009" i="23"/>
  <c r="S1009" i="23"/>
  <c r="T1009" i="23"/>
  <c r="N1010" i="23"/>
  <c r="P1010" i="23"/>
  <c r="S1010" i="23"/>
  <c r="T1010" i="23"/>
  <c r="N1011" i="23"/>
  <c r="P1011" i="23"/>
  <c r="S1011" i="23"/>
  <c r="T1011" i="23"/>
  <c r="N1012" i="23"/>
  <c r="P1012" i="23"/>
  <c r="S1012" i="23"/>
  <c r="T1012" i="23"/>
  <c r="N1013" i="23"/>
  <c r="P1013" i="23"/>
  <c r="S1013" i="23"/>
  <c r="T1013" i="23"/>
  <c r="N1014" i="23"/>
  <c r="P1014" i="23"/>
  <c r="S1014" i="23"/>
  <c r="T1014" i="23"/>
  <c r="N1015" i="23"/>
  <c r="P1015" i="23"/>
  <c r="S1015" i="23"/>
  <c r="T1015" i="23"/>
  <c r="N1016" i="23"/>
  <c r="P1016" i="23"/>
  <c r="S1016" i="23"/>
  <c r="T1016" i="23"/>
  <c r="N1017" i="23"/>
  <c r="P1017" i="23"/>
  <c r="S1017" i="23"/>
  <c r="T1017" i="23"/>
  <c r="N1018" i="23"/>
  <c r="P1018" i="23"/>
  <c r="S1018" i="23"/>
  <c r="T1018" i="23"/>
  <c r="N1019" i="23"/>
  <c r="P1019" i="23"/>
  <c r="S1019" i="23"/>
  <c r="T1019" i="23"/>
  <c r="N1020" i="23"/>
  <c r="P1020" i="23"/>
  <c r="S1020" i="23"/>
  <c r="T1020" i="23"/>
  <c r="N1021" i="23"/>
  <c r="P1021" i="23"/>
  <c r="S1021" i="23"/>
  <c r="T1021" i="23"/>
  <c r="N1022" i="23"/>
  <c r="P1022" i="23"/>
  <c r="S1022" i="23"/>
  <c r="T1022" i="23"/>
  <c r="N1023" i="23"/>
  <c r="P1023" i="23"/>
  <c r="S1023" i="23"/>
  <c r="T1023" i="23"/>
  <c r="N1024" i="23"/>
  <c r="P1024" i="23"/>
  <c r="S1024" i="23"/>
  <c r="T1024" i="23"/>
  <c r="N1025" i="23"/>
  <c r="P1025" i="23"/>
  <c r="S1025" i="23"/>
  <c r="T1025" i="23"/>
  <c r="N1026" i="23"/>
  <c r="P1026" i="23"/>
  <c r="S1026" i="23"/>
  <c r="T1026" i="23"/>
  <c r="N1027" i="23"/>
  <c r="P1027" i="23"/>
  <c r="S1027" i="23"/>
  <c r="T1027" i="23"/>
  <c r="N1028" i="23"/>
  <c r="P1028" i="23"/>
  <c r="S1028" i="23"/>
  <c r="T1028" i="23"/>
  <c r="N1029" i="23"/>
  <c r="P1029" i="23"/>
  <c r="S1029" i="23"/>
  <c r="T1029" i="23"/>
  <c r="N1030" i="23"/>
  <c r="P1030" i="23"/>
  <c r="S1030" i="23"/>
  <c r="T1030" i="23"/>
  <c r="N1031" i="23"/>
  <c r="P1031" i="23"/>
  <c r="S1031" i="23"/>
  <c r="T1031" i="23"/>
  <c r="N1032" i="23"/>
  <c r="P1032" i="23"/>
  <c r="S1032" i="23"/>
  <c r="T1032" i="23"/>
  <c r="N1033" i="23"/>
  <c r="P1033" i="23"/>
  <c r="S1033" i="23"/>
  <c r="T1033" i="23"/>
  <c r="N1034" i="23"/>
  <c r="P1034" i="23"/>
  <c r="S1034" i="23"/>
  <c r="T1034" i="23"/>
  <c r="N1035" i="23"/>
  <c r="P1035" i="23"/>
  <c r="S1035" i="23"/>
  <c r="T1035" i="23"/>
  <c r="N1036" i="23"/>
  <c r="P1036" i="23"/>
  <c r="S1036" i="23"/>
  <c r="T1036" i="23"/>
  <c r="N1037" i="23"/>
  <c r="P1037" i="23"/>
  <c r="S1037" i="23"/>
  <c r="T1037" i="23"/>
  <c r="N1038" i="23"/>
  <c r="P1038" i="23"/>
  <c r="S1038" i="23"/>
  <c r="T1038" i="23"/>
  <c r="N1039" i="23"/>
  <c r="P1039" i="23"/>
  <c r="S1039" i="23"/>
  <c r="T1039" i="23"/>
  <c r="N1040" i="23"/>
  <c r="P1040" i="23"/>
  <c r="S1040" i="23"/>
  <c r="T1040" i="23"/>
  <c r="N1041" i="23"/>
  <c r="P1041" i="23"/>
  <c r="S1041" i="23"/>
  <c r="T1041" i="23"/>
  <c r="N1042" i="23"/>
  <c r="P1042" i="23"/>
  <c r="S1042" i="23"/>
  <c r="T1042" i="23"/>
  <c r="N1043" i="23"/>
  <c r="P1043" i="23"/>
  <c r="S1043" i="23"/>
  <c r="T1043" i="23"/>
  <c r="N1044" i="23"/>
  <c r="P1044" i="23"/>
  <c r="S1044" i="23"/>
  <c r="T1044" i="23"/>
  <c r="N1045" i="23"/>
  <c r="P1045" i="23"/>
  <c r="S1045" i="23"/>
  <c r="T1045" i="23"/>
  <c r="N1046" i="23"/>
  <c r="P1046" i="23"/>
  <c r="S1046" i="23"/>
  <c r="T1046" i="23"/>
  <c r="N1047" i="23"/>
  <c r="P1047" i="23"/>
  <c r="S1047" i="23"/>
  <c r="T1047" i="23"/>
  <c r="N1048" i="23"/>
  <c r="P1048" i="23"/>
  <c r="S1048" i="23"/>
  <c r="T1048" i="23"/>
  <c r="N1049" i="23"/>
  <c r="P1049" i="23"/>
  <c r="S1049" i="23"/>
  <c r="T1049" i="23"/>
  <c r="N1050" i="23"/>
  <c r="P1050" i="23"/>
  <c r="S1050" i="23"/>
  <c r="T1050" i="23"/>
  <c r="N1051" i="23"/>
  <c r="P1051" i="23"/>
  <c r="S1051" i="23"/>
  <c r="T1051" i="23"/>
  <c r="N1052" i="23"/>
  <c r="P1052" i="23"/>
  <c r="S1052" i="23"/>
  <c r="T1052" i="23"/>
  <c r="N1053" i="23"/>
  <c r="P1053" i="23"/>
  <c r="S1053" i="23"/>
  <c r="T1053" i="23"/>
  <c r="N1054" i="23"/>
  <c r="P1054" i="23"/>
  <c r="S1054" i="23"/>
  <c r="T1054" i="23"/>
  <c r="N1055" i="23"/>
  <c r="P1055" i="23"/>
  <c r="S1055" i="23"/>
  <c r="T1055" i="23"/>
  <c r="N1056" i="23"/>
  <c r="P1056" i="23"/>
  <c r="S1056" i="23"/>
  <c r="T1056" i="23"/>
  <c r="N1057" i="23"/>
  <c r="P1057" i="23"/>
  <c r="S1057" i="23"/>
  <c r="T1057" i="23"/>
  <c r="N1058" i="23"/>
  <c r="P1058" i="23"/>
  <c r="S1058" i="23"/>
  <c r="T1058" i="23"/>
  <c r="N1059" i="23"/>
  <c r="P1059" i="23"/>
  <c r="S1059" i="23"/>
  <c r="T1059" i="23"/>
  <c r="N1060" i="23"/>
  <c r="P1060" i="23"/>
  <c r="S1060" i="23"/>
  <c r="T1060" i="23"/>
  <c r="N1061" i="23"/>
  <c r="P1061" i="23"/>
  <c r="S1061" i="23"/>
  <c r="T1061" i="23"/>
  <c r="N1062" i="23"/>
  <c r="P1062" i="23"/>
  <c r="S1062" i="23"/>
  <c r="T1062" i="23"/>
  <c r="N1063" i="23"/>
  <c r="P1063" i="23"/>
  <c r="S1063" i="23"/>
  <c r="T1063" i="23"/>
  <c r="N1064" i="23"/>
  <c r="P1064" i="23"/>
  <c r="S1064" i="23"/>
  <c r="T1064" i="23"/>
  <c r="N1065" i="23"/>
  <c r="P1065" i="23"/>
  <c r="S1065" i="23"/>
  <c r="T1065" i="23"/>
  <c r="N1066" i="23"/>
  <c r="P1066" i="23"/>
  <c r="S1066" i="23"/>
  <c r="T1066" i="23"/>
  <c r="N1067" i="23"/>
  <c r="P1067" i="23"/>
  <c r="S1067" i="23"/>
  <c r="T1067" i="23"/>
  <c r="N1068" i="23"/>
  <c r="P1068" i="23"/>
  <c r="S1068" i="23"/>
  <c r="T1068" i="23"/>
  <c r="N1069" i="23"/>
  <c r="P1069" i="23"/>
  <c r="S1069" i="23"/>
  <c r="T1069" i="23"/>
  <c r="N1070" i="23"/>
  <c r="P1070" i="23"/>
  <c r="S1070" i="23"/>
  <c r="T1070" i="23"/>
  <c r="N1071" i="23"/>
  <c r="P1071" i="23"/>
  <c r="S1071" i="23"/>
  <c r="T1071" i="23"/>
  <c r="N1072" i="23"/>
  <c r="P1072" i="23"/>
  <c r="S1072" i="23"/>
  <c r="T1072" i="23"/>
  <c r="N1073" i="23"/>
  <c r="P1073" i="23"/>
  <c r="S1073" i="23"/>
  <c r="T1073" i="23"/>
  <c r="N1074" i="23"/>
  <c r="P1074" i="23"/>
  <c r="S1074" i="23"/>
  <c r="T1074" i="23"/>
  <c r="N1075" i="23"/>
  <c r="P1075" i="23"/>
  <c r="S1075" i="23"/>
  <c r="T1075" i="23"/>
  <c r="N1076" i="23"/>
  <c r="P1076" i="23"/>
  <c r="S1076" i="23"/>
  <c r="T1076" i="23"/>
  <c r="N1077" i="23"/>
  <c r="P1077" i="23"/>
  <c r="S1077" i="23"/>
  <c r="T1077" i="23"/>
  <c r="N1078" i="23"/>
  <c r="P1078" i="23"/>
  <c r="S1078" i="23"/>
  <c r="T1078" i="23"/>
  <c r="N1079" i="23"/>
  <c r="P1079" i="23"/>
  <c r="S1079" i="23"/>
  <c r="T1079" i="23"/>
  <c r="N1080" i="23"/>
  <c r="P1080" i="23"/>
  <c r="S1080" i="23"/>
  <c r="T1080" i="23"/>
  <c r="N1081" i="23"/>
  <c r="P1081" i="23"/>
  <c r="S1081" i="23"/>
  <c r="T1081" i="23"/>
  <c r="N1082" i="23"/>
  <c r="P1082" i="23"/>
  <c r="S1082" i="23"/>
  <c r="T1082" i="23"/>
  <c r="N1083" i="23"/>
  <c r="P1083" i="23"/>
  <c r="S1083" i="23"/>
  <c r="T1083" i="23"/>
  <c r="N1084" i="23"/>
  <c r="P1084" i="23"/>
  <c r="S1084" i="23"/>
  <c r="T1084" i="23"/>
  <c r="N1085" i="23"/>
  <c r="P1085" i="23"/>
  <c r="S1085" i="23"/>
  <c r="T1085" i="23"/>
  <c r="N1086" i="23"/>
  <c r="P1086" i="23"/>
  <c r="S1086" i="23"/>
  <c r="T1086" i="23"/>
  <c r="N1087" i="23"/>
  <c r="P1087" i="23"/>
  <c r="S1087" i="23"/>
  <c r="T1087" i="23"/>
  <c r="N1088" i="23"/>
  <c r="P1088" i="23"/>
  <c r="S1088" i="23"/>
  <c r="T1088" i="23"/>
  <c r="N1089" i="23"/>
  <c r="P1089" i="23"/>
  <c r="S1089" i="23"/>
  <c r="T1089" i="23"/>
  <c r="N1090" i="23"/>
  <c r="P1090" i="23"/>
  <c r="S1090" i="23"/>
  <c r="T1090" i="23"/>
  <c r="N1091" i="23"/>
  <c r="P1091" i="23"/>
  <c r="S1091" i="23"/>
  <c r="T1091" i="23"/>
  <c r="N1092" i="23"/>
  <c r="P1092" i="23"/>
  <c r="S1092" i="23"/>
  <c r="T1092" i="23"/>
  <c r="N1093" i="23"/>
  <c r="P1093" i="23"/>
  <c r="S1093" i="23"/>
  <c r="T1093" i="23"/>
  <c r="N1094" i="23"/>
  <c r="P1094" i="23"/>
  <c r="S1094" i="23"/>
  <c r="T1094" i="23"/>
  <c r="N1095" i="23"/>
  <c r="P1095" i="23"/>
  <c r="S1095" i="23"/>
  <c r="T1095" i="23"/>
  <c r="N1096" i="23"/>
  <c r="P1096" i="23"/>
  <c r="S1096" i="23"/>
  <c r="T1096" i="23"/>
  <c r="N1097" i="23"/>
  <c r="P1097" i="23"/>
  <c r="S1097" i="23"/>
  <c r="T1097" i="23"/>
  <c r="N1098" i="23"/>
  <c r="P1098" i="23"/>
  <c r="S1098" i="23"/>
  <c r="T1098" i="23"/>
  <c r="N1099" i="23"/>
  <c r="P1099" i="23"/>
  <c r="S1099" i="23"/>
  <c r="T1099" i="23"/>
  <c r="N1100" i="23"/>
  <c r="P1100" i="23"/>
  <c r="S1100" i="23"/>
  <c r="T1100" i="23"/>
  <c r="N1101" i="23"/>
  <c r="P1101" i="23"/>
  <c r="S1101" i="23"/>
  <c r="T1101" i="23"/>
  <c r="N1102" i="23"/>
  <c r="P1102" i="23"/>
  <c r="S1102" i="23"/>
  <c r="T1102" i="23"/>
  <c r="N1103" i="23"/>
  <c r="P1103" i="23"/>
  <c r="S1103" i="23"/>
  <c r="T1103" i="23"/>
  <c r="N1104" i="23"/>
  <c r="P1104" i="23"/>
  <c r="S1104" i="23"/>
  <c r="T1104" i="23"/>
  <c r="N1105" i="23"/>
  <c r="P1105" i="23"/>
  <c r="S1105" i="23"/>
  <c r="T1105" i="23"/>
  <c r="N1106" i="23"/>
  <c r="P1106" i="23"/>
  <c r="S1106" i="23"/>
  <c r="T1106" i="23"/>
  <c r="N1107" i="23"/>
  <c r="P1107" i="23"/>
  <c r="S1107" i="23"/>
  <c r="T1107" i="23"/>
  <c r="N1108" i="23"/>
  <c r="P1108" i="23"/>
  <c r="S1108" i="23"/>
  <c r="T1108" i="23"/>
  <c r="N1109" i="23"/>
  <c r="P1109" i="23"/>
  <c r="S1109" i="23"/>
  <c r="T1109" i="23"/>
  <c r="N1110" i="23"/>
  <c r="P1110" i="23"/>
  <c r="S1110" i="23"/>
  <c r="T1110" i="23"/>
  <c r="N1111" i="23"/>
  <c r="P1111" i="23"/>
  <c r="S1111" i="23"/>
  <c r="T1111" i="23"/>
  <c r="N1112" i="23"/>
  <c r="P1112" i="23"/>
  <c r="S1112" i="23"/>
  <c r="T1112" i="23"/>
  <c r="N1113" i="23"/>
  <c r="P1113" i="23"/>
  <c r="S1113" i="23"/>
  <c r="T1113" i="23"/>
  <c r="N1114" i="23"/>
  <c r="P1114" i="23"/>
  <c r="S1114" i="23"/>
  <c r="T1114" i="23"/>
  <c r="N1115" i="23"/>
  <c r="P1115" i="23"/>
  <c r="S1115" i="23"/>
  <c r="T1115" i="23"/>
  <c r="N1116" i="23"/>
  <c r="P1116" i="23"/>
  <c r="S1116" i="23"/>
  <c r="T1116" i="23"/>
  <c r="N1117" i="23"/>
  <c r="P1117" i="23"/>
  <c r="S1117" i="23"/>
  <c r="T1117" i="23"/>
  <c r="N1118" i="23"/>
  <c r="P1118" i="23"/>
  <c r="S1118" i="23"/>
  <c r="T1118" i="23"/>
  <c r="N1119" i="23"/>
  <c r="P1119" i="23"/>
  <c r="S1119" i="23"/>
  <c r="T1119" i="23"/>
  <c r="N1120" i="23"/>
  <c r="P1120" i="23"/>
  <c r="S1120" i="23"/>
  <c r="T1120" i="23"/>
  <c r="N1121" i="23"/>
  <c r="P1121" i="23"/>
  <c r="S1121" i="23"/>
  <c r="T1121" i="23"/>
  <c r="N1122" i="23"/>
  <c r="P1122" i="23"/>
  <c r="S1122" i="23"/>
  <c r="T1122" i="23"/>
  <c r="N1123" i="23"/>
  <c r="P1123" i="23"/>
  <c r="S1123" i="23"/>
  <c r="T1123" i="23"/>
  <c r="N1124" i="23"/>
  <c r="P1124" i="23"/>
  <c r="S1124" i="23"/>
  <c r="T1124" i="23"/>
  <c r="N1125" i="23"/>
  <c r="P1125" i="23"/>
  <c r="S1125" i="23"/>
  <c r="T1125" i="23"/>
  <c r="N1126" i="23"/>
  <c r="P1126" i="23"/>
  <c r="S1126" i="23"/>
  <c r="T1126" i="23"/>
  <c r="N1127" i="23"/>
  <c r="P1127" i="23"/>
  <c r="S1127" i="23"/>
  <c r="T1127" i="23"/>
  <c r="N1128" i="23"/>
  <c r="P1128" i="23"/>
  <c r="S1128" i="23"/>
  <c r="T1128" i="23"/>
  <c r="N1129" i="23"/>
  <c r="P1129" i="23"/>
  <c r="S1129" i="23"/>
  <c r="T1129" i="23"/>
  <c r="N1130" i="23"/>
  <c r="P1130" i="23"/>
  <c r="S1130" i="23"/>
  <c r="T1130" i="23"/>
  <c r="N1131" i="23"/>
  <c r="P1131" i="23"/>
  <c r="S1131" i="23"/>
  <c r="T1131" i="23"/>
  <c r="N1132" i="23"/>
  <c r="P1132" i="23"/>
  <c r="S1132" i="23"/>
  <c r="T1132" i="23"/>
  <c r="N1133" i="23"/>
  <c r="P1133" i="23"/>
  <c r="S1133" i="23"/>
  <c r="T1133" i="23"/>
  <c r="N1134" i="23"/>
  <c r="P1134" i="23"/>
  <c r="S1134" i="23"/>
  <c r="T1134" i="23"/>
  <c r="N1135" i="23"/>
  <c r="P1135" i="23"/>
  <c r="S1135" i="23"/>
  <c r="T1135" i="23"/>
  <c r="N1136" i="23"/>
  <c r="P1136" i="23"/>
  <c r="S1136" i="23"/>
  <c r="T1136" i="23"/>
  <c r="N1137" i="23"/>
  <c r="P1137" i="23"/>
  <c r="S1137" i="23"/>
  <c r="T1137" i="23"/>
  <c r="N1138" i="23"/>
  <c r="P1138" i="23"/>
  <c r="S1138" i="23"/>
  <c r="T1138" i="23"/>
  <c r="N1139" i="23"/>
  <c r="P1139" i="23"/>
  <c r="S1139" i="23"/>
  <c r="T1139" i="23"/>
  <c r="N1140" i="23"/>
  <c r="P1140" i="23"/>
  <c r="S1140" i="23"/>
  <c r="T1140" i="23"/>
  <c r="N1141" i="23"/>
  <c r="P1141" i="23"/>
  <c r="S1141" i="23"/>
  <c r="T1141" i="23"/>
  <c r="N1142" i="23"/>
  <c r="P1142" i="23"/>
  <c r="S1142" i="23"/>
  <c r="T1142" i="23"/>
  <c r="N1143" i="23"/>
  <c r="P1143" i="23"/>
  <c r="S1143" i="23"/>
  <c r="T1143" i="23"/>
  <c r="N1144" i="23"/>
  <c r="P1144" i="23"/>
  <c r="S1144" i="23"/>
  <c r="T1144" i="23"/>
  <c r="N1145" i="23"/>
  <c r="P1145" i="23"/>
  <c r="S1145" i="23"/>
  <c r="T1145" i="23"/>
  <c r="N1146" i="23"/>
  <c r="P1146" i="23"/>
  <c r="S1146" i="23"/>
  <c r="T1146" i="23"/>
  <c r="N1147" i="23"/>
  <c r="P1147" i="23"/>
  <c r="S1147" i="23"/>
  <c r="T1147" i="23"/>
  <c r="N1148" i="23"/>
  <c r="P1148" i="23"/>
  <c r="S1148" i="23"/>
  <c r="T1148" i="23"/>
  <c r="N1149" i="23"/>
  <c r="P1149" i="23"/>
  <c r="S1149" i="23"/>
  <c r="T1149" i="23"/>
  <c r="N1150" i="23"/>
  <c r="P1150" i="23"/>
  <c r="S1150" i="23"/>
  <c r="T1150" i="23"/>
  <c r="N1151" i="23"/>
  <c r="P1151" i="23"/>
  <c r="S1151" i="23"/>
  <c r="T1151" i="23"/>
  <c r="N1152" i="23"/>
  <c r="P1152" i="23"/>
  <c r="S1152" i="23"/>
  <c r="T1152" i="23"/>
  <c r="N1153" i="23"/>
  <c r="P1153" i="23"/>
  <c r="S1153" i="23"/>
  <c r="T1153" i="23"/>
  <c r="N1154" i="23"/>
  <c r="P1154" i="23"/>
  <c r="S1154" i="23"/>
  <c r="T1154" i="23"/>
  <c r="N1155" i="23"/>
  <c r="P1155" i="23"/>
  <c r="S1155" i="23"/>
  <c r="T1155" i="23"/>
  <c r="N1156" i="23"/>
  <c r="P1156" i="23"/>
  <c r="S1156" i="23"/>
  <c r="T1156" i="23"/>
  <c r="N1157" i="23"/>
  <c r="P1157" i="23"/>
  <c r="S1157" i="23"/>
  <c r="T1157" i="23"/>
  <c r="N1158" i="23"/>
  <c r="P1158" i="23"/>
  <c r="S1158" i="23"/>
  <c r="T1158" i="23"/>
  <c r="N1159" i="23"/>
  <c r="P1159" i="23"/>
  <c r="S1159" i="23"/>
  <c r="T1159" i="23"/>
  <c r="N1160" i="23"/>
  <c r="P1160" i="23"/>
  <c r="S1160" i="23"/>
  <c r="T1160" i="23"/>
  <c r="N1161" i="23"/>
  <c r="P1161" i="23"/>
  <c r="S1161" i="23"/>
  <c r="T1161" i="23"/>
  <c r="N1162" i="23"/>
  <c r="P1162" i="23"/>
  <c r="S1162" i="23"/>
  <c r="T1162" i="23"/>
  <c r="N1163" i="23"/>
  <c r="P1163" i="23"/>
  <c r="S1163" i="23"/>
  <c r="T1163" i="23"/>
  <c r="N1164" i="23"/>
  <c r="P1164" i="23"/>
  <c r="S1164" i="23"/>
  <c r="T1164" i="23"/>
  <c r="N1165" i="23"/>
  <c r="P1165" i="23"/>
  <c r="S1165" i="23"/>
  <c r="T1165" i="23"/>
  <c r="N1166" i="23"/>
  <c r="P1166" i="23"/>
  <c r="S1166" i="23"/>
  <c r="T1166" i="23"/>
  <c r="N1167" i="23"/>
  <c r="P1167" i="23"/>
  <c r="S1167" i="23"/>
  <c r="T1167" i="23"/>
  <c r="N1168" i="23"/>
  <c r="P1168" i="23"/>
  <c r="S1168" i="23"/>
  <c r="T1168" i="23"/>
  <c r="N1169" i="23"/>
  <c r="P1169" i="23"/>
  <c r="S1169" i="23"/>
  <c r="T1169" i="23"/>
  <c r="N1170" i="23"/>
  <c r="P1170" i="23"/>
  <c r="S1170" i="23"/>
  <c r="T1170" i="23"/>
  <c r="N1171" i="23"/>
  <c r="P1171" i="23"/>
  <c r="S1171" i="23"/>
  <c r="T1171" i="23"/>
  <c r="N1172" i="23"/>
  <c r="P1172" i="23"/>
  <c r="S1172" i="23"/>
  <c r="T1172" i="23"/>
  <c r="N1173" i="23"/>
  <c r="P1173" i="23"/>
  <c r="S1173" i="23"/>
  <c r="T1173" i="23"/>
  <c r="N1174" i="23"/>
  <c r="P1174" i="23"/>
  <c r="S1174" i="23"/>
  <c r="T1174" i="23"/>
  <c r="N1175" i="23"/>
  <c r="P1175" i="23"/>
  <c r="S1175" i="23"/>
  <c r="T1175" i="23"/>
  <c r="N1176" i="23"/>
  <c r="P1176" i="23"/>
  <c r="S1176" i="23"/>
  <c r="T1176" i="23"/>
  <c r="N1177" i="23"/>
  <c r="P1177" i="23"/>
  <c r="S1177" i="23"/>
  <c r="T1177" i="23"/>
  <c r="N1178" i="23"/>
  <c r="P1178" i="23"/>
  <c r="S1178" i="23"/>
  <c r="T1178" i="23"/>
  <c r="N1179" i="23"/>
  <c r="P1179" i="23"/>
  <c r="S1179" i="23"/>
  <c r="T1179" i="23"/>
  <c r="N1180" i="23"/>
  <c r="P1180" i="23"/>
  <c r="S1180" i="23"/>
  <c r="T1180" i="23"/>
  <c r="N1181" i="23"/>
  <c r="P1181" i="23"/>
  <c r="S1181" i="23"/>
  <c r="T1181" i="23"/>
  <c r="N1182" i="23"/>
  <c r="P1182" i="23"/>
  <c r="S1182" i="23"/>
  <c r="T1182" i="23"/>
  <c r="N1183" i="23"/>
  <c r="P1183" i="23"/>
  <c r="S1183" i="23"/>
  <c r="T1183" i="23"/>
  <c r="N1184" i="23"/>
  <c r="P1184" i="23"/>
  <c r="S1184" i="23"/>
  <c r="T1184" i="23"/>
  <c r="N1185" i="23"/>
  <c r="P1185" i="23"/>
  <c r="S1185" i="23"/>
  <c r="T1185" i="23"/>
  <c r="N1186" i="23"/>
  <c r="P1186" i="23"/>
  <c r="S1186" i="23"/>
  <c r="T1186" i="23"/>
  <c r="N1187" i="23"/>
  <c r="P1187" i="23"/>
  <c r="S1187" i="23"/>
  <c r="T1187" i="23"/>
  <c r="N1188" i="23"/>
  <c r="P1188" i="23"/>
  <c r="S1188" i="23"/>
  <c r="T1188" i="23"/>
  <c r="N1189" i="23"/>
  <c r="P1189" i="23"/>
  <c r="S1189" i="23"/>
  <c r="T1189" i="23"/>
  <c r="N1190" i="23"/>
  <c r="P1190" i="23"/>
  <c r="S1190" i="23"/>
  <c r="T1190" i="23"/>
  <c r="N1191" i="23"/>
  <c r="P1191" i="23"/>
  <c r="S1191" i="23"/>
  <c r="T1191" i="23"/>
  <c r="N1192" i="23"/>
  <c r="P1192" i="23"/>
  <c r="S1192" i="23"/>
  <c r="T1192" i="23"/>
  <c r="N1193" i="23"/>
  <c r="P1193" i="23"/>
  <c r="S1193" i="23"/>
  <c r="T1193" i="23"/>
  <c r="N1194" i="23"/>
  <c r="P1194" i="23"/>
  <c r="S1194" i="23"/>
  <c r="T1194" i="23"/>
  <c r="N1195" i="23"/>
  <c r="P1195" i="23"/>
  <c r="S1195" i="23"/>
  <c r="T1195" i="23"/>
  <c r="N1196" i="23"/>
  <c r="P1196" i="23"/>
  <c r="S1196" i="23"/>
  <c r="T1196" i="23"/>
  <c r="N1197" i="23"/>
  <c r="P1197" i="23"/>
  <c r="S1197" i="23"/>
  <c r="T1197" i="23"/>
  <c r="N1198" i="23"/>
  <c r="P1198" i="23"/>
  <c r="S1198" i="23"/>
  <c r="T1198" i="23"/>
  <c r="N1199" i="23"/>
  <c r="P1199" i="23"/>
  <c r="S1199" i="23"/>
  <c r="T1199" i="23"/>
  <c r="N1200" i="23"/>
  <c r="P1200" i="23"/>
  <c r="S1200" i="23"/>
  <c r="T1200" i="23"/>
  <c r="N1201" i="23"/>
  <c r="P1201" i="23"/>
  <c r="S1201" i="23"/>
  <c r="T1201" i="23"/>
  <c r="N1202" i="23"/>
  <c r="P1202" i="23"/>
  <c r="S1202" i="23"/>
  <c r="T1202" i="23"/>
  <c r="N1203" i="23"/>
  <c r="P1203" i="23"/>
  <c r="S1203" i="23"/>
  <c r="T1203" i="23"/>
  <c r="N1204" i="23"/>
  <c r="P1204" i="23"/>
  <c r="S1204" i="23"/>
  <c r="T1204" i="23"/>
  <c r="N1205" i="23"/>
  <c r="P1205" i="23"/>
  <c r="S1205" i="23"/>
  <c r="T1205" i="23"/>
  <c r="AB5" i="23" a="1"/>
  <c r="AB29" i="23" a="1"/>
  <c r="AB10" i="23" a="1"/>
  <c r="AB33" i="23" a="1"/>
  <c r="AB25" i="23" a="1"/>
  <c r="AB14" i="23" a="1"/>
  <c r="AB36" i="23" a="1"/>
  <c r="AB40" i="23" a="1"/>
  <c r="AB20" i="23" a="1"/>
  <c r="AB21" i="23" a="1"/>
  <c r="AB4" i="23" a="1"/>
  <c r="AB9" i="23" a="1"/>
  <c r="AB7" i="23" a="1"/>
  <c r="AB27" i="23" a="1"/>
  <c r="AB30" i="23" a="1"/>
  <c r="AB34" i="23" a="1"/>
  <c r="AB15" i="23" a="1"/>
  <c r="AB6" i="23" a="1"/>
  <c r="O321" i="23"/>
  <c r="P321" i="23" s="1"/>
  <c r="R249" i="23"/>
  <c r="S249" i="23" s="1"/>
  <c r="O332" i="23"/>
  <c r="P332" i="23" s="1"/>
  <c r="O176" i="23"/>
  <c r="P176" i="23" s="1"/>
  <c r="O477" i="23"/>
  <c r="P477" i="23" s="1"/>
  <c r="O77" i="23"/>
  <c r="O343" i="23"/>
  <c r="P343" i="23" s="1"/>
  <c r="O85" i="23"/>
  <c r="P85" i="23" s="1"/>
  <c r="R120" i="23"/>
  <c r="S120" i="23" s="1"/>
  <c r="R241" i="23"/>
  <c r="S241" i="23" s="1"/>
  <c r="O154" i="23"/>
  <c r="P154" i="23" s="1"/>
  <c r="O335" i="23"/>
  <c r="P335" i="23" s="1"/>
  <c r="O104" i="23"/>
  <c r="P104" i="23" s="1"/>
  <c r="O86" i="23"/>
  <c r="P86" i="23" s="1"/>
  <c r="R92" i="23"/>
  <c r="S92" i="23" s="1"/>
  <c r="O72" i="23"/>
  <c r="P72" i="23" s="1"/>
  <c r="O92" i="23"/>
  <c r="P92" i="23" s="1"/>
  <c r="O463" i="23"/>
  <c r="P463" i="23" s="1"/>
  <c r="O113" i="23"/>
  <c r="R405" i="23"/>
  <c r="S405" i="23" s="1"/>
  <c r="O303" i="23"/>
  <c r="P303" i="23" s="1"/>
  <c r="R245" i="23"/>
  <c r="S245" i="23" s="1"/>
  <c r="R471" i="23"/>
  <c r="S471" i="23" s="1"/>
  <c r="R76" i="23"/>
  <c r="S76" i="23" s="1"/>
  <c r="O328" i="23"/>
  <c r="P328" i="23" s="1"/>
  <c r="R141" i="23"/>
  <c r="S141" i="23" s="1"/>
  <c r="O322" i="23"/>
  <c r="P322" i="23" s="1"/>
  <c r="O188" i="23"/>
  <c r="P188" i="23" s="1"/>
  <c r="R168" i="23"/>
  <c r="S168" i="23" s="1"/>
  <c r="R80" i="23"/>
  <c r="S80" i="23" s="1"/>
  <c r="R88" i="23"/>
  <c r="S88" i="23" s="1"/>
  <c r="O91" i="23"/>
  <c r="P91" i="23" s="1"/>
  <c r="R258" i="23"/>
  <c r="S258" i="23" s="1"/>
  <c r="R327" i="23"/>
  <c r="S327" i="23" s="1"/>
  <c r="O192" i="23"/>
  <c r="P192" i="23" s="1"/>
  <c r="R87" i="23"/>
  <c r="S87" i="23" s="1"/>
  <c r="O93" i="23"/>
  <c r="P93" i="23" s="1"/>
  <c r="O204" i="23"/>
  <c r="P204" i="23" s="1"/>
  <c r="R291" i="23"/>
  <c r="S291" i="23" s="1"/>
  <c r="O90" i="23"/>
  <c r="P90" i="23" s="1"/>
  <c r="O76" i="23"/>
  <c r="P76" i="23" s="1"/>
  <c r="R285" i="23"/>
  <c r="S285" i="23" s="1"/>
  <c r="R286" i="23"/>
  <c r="S286" i="23" s="1"/>
  <c r="R421" i="23"/>
  <c r="S421" i="23" s="1"/>
  <c r="R72" i="23"/>
  <c r="S72" i="23" s="1"/>
  <c r="O458" i="23"/>
  <c r="P458" i="23" s="1"/>
  <c r="R240" i="23"/>
  <c r="S240" i="23" s="1"/>
  <c r="O88" i="23"/>
  <c r="P88" i="23" s="1"/>
  <c r="O74" i="23"/>
  <c r="P74" i="23" s="1"/>
  <c r="O276" i="23"/>
  <c r="P276" i="23" s="1"/>
  <c r="O111" i="23"/>
  <c r="P111" i="23" s="1"/>
  <c r="O80" i="23"/>
  <c r="P80" i="23" s="1"/>
  <c r="R114" i="23"/>
  <c r="S114" i="23" s="1"/>
  <c r="R83" i="23"/>
  <c r="S83" i="23" s="1"/>
  <c r="O69" i="23"/>
  <c r="P69" i="23" s="1"/>
  <c r="R101" i="23"/>
  <c r="S101" i="23" s="1"/>
  <c r="O66" i="23"/>
  <c r="P66" i="23" s="1"/>
  <c r="O399" i="23"/>
  <c r="P399" i="23" s="1"/>
  <c r="O218" i="23"/>
  <c r="P218" i="23" s="1"/>
  <c r="R156" i="23"/>
  <c r="S156" i="23" s="1"/>
  <c r="R470" i="23"/>
  <c r="S470" i="23" s="1"/>
  <c r="O373" i="23"/>
  <c r="P373" i="23" s="1"/>
  <c r="R149" i="23"/>
  <c r="S149" i="23" s="1"/>
  <c r="O422" i="23"/>
  <c r="P422" i="23" s="1"/>
  <c r="O449" i="23"/>
  <c r="O424" i="23"/>
  <c r="P424" i="23" s="1"/>
  <c r="O272" i="23"/>
  <c r="P272" i="23" s="1"/>
  <c r="R210" i="23"/>
  <c r="S210" i="23" s="1"/>
  <c r="R164" i="23"/>
  <c r="S164" i="23" s="1"/>
  <c r="R420" i="23"/>
  <c r="S420" i="23" s="1"/>
  <c r="R453" i="23"/>
  <c r="S453" i="23" s="1"/>
  <c r="O130" i="23"/>
  <c r="P130" i="23" s="1"/>
  <c r="R381" i="23"/>
  <c r="S381" i="23" s="1"/>
  <c r="R310" i="23"/>
  <c r="S310" i="23" s="1"/>
  <c r="R130" i="23"/>
  <c r="S130" i="23" s="1"/>
  <c r="O83" i="23"/>
  <c r="P83" i="23" s="1"/>
  <c r="O170" i="23"/>
  <c r="P170" i="23" s="1"/>
  <c r="R132" i="23"/>
  <c r="S132" i="23" s="1"/>
  <c r="R384" i="23"/>
  <c r="S384" i="23" s="1"/>
  <c r="R90" i="23"/>
  <c r="S90" i="23" s="1"/>
  <c r="O261" i="23"/>
  <c r="P261" i="23" s="1"/>
  <c r="R78" i="23"/>
  <c r="S78" i="23" s="1"/>
  <c r="O96" i="23"/>
  <c r="P96" i="23" s="1"/>
  <c r="O447" i="23"/>
  <c r="P447" i="23" s="1"/>
  <c r="O412" i="23"/>
  <c r="P412" i="23" s="1"/>
  <c r="O123" i="23"/>
  <c r="P123" i="23" s="1"/>
  <c r="O402" i="23"/>
  <c r="P402" i="23" s="1"/>
  <c r="O94" i="23"/>
  <c r="P94" i="23" s="1"/>
  <c r="R280" i="23"/>
  <c r="S280" i="23" s="1"/>
  <c r="R350" i="23"/>
  <c r="S350" i="23" s="1"/>
  <c r="R75" i="23"/>
  <c r="S75" i="23" s="1"/>
  <c r="R89" i="23"/>
  <c r="S89" i="23" s="1"/>
  <c r="R109" i="23"/>
  <c r="S109" i="23" s="1"/>
  <c r="R79" i="23"/>
  <c r="S79" i="23" s="1"/>
  <c r="O67" i="23"/>
  <c r="P67" i="23" s="1"/>
  <c r="R91" i="23"/>
  <c r="S91" i="23" s="1"/>
  <c r="R375" i="23"/>
  <c r="S375" i="23" s="1"/>
  <c r="O125" i="23"/>
  <c r="O107" i="23"/>
  <c r="P107" i="23" s="1"/>
  <c r="R339" i="23"/>
  <c r="S339" i="23" s="1"/>
  <c r="R124" i="23"/>
  <c r="S124" i="23" s="1"/>
  <c r="R94" i="23"/>
  <c r="S94" i="23" s="1"/>
  <c r="O105" i="23"/>
  <c r="P105" i="23" s="1"/>
  <c r="O110" i="23"/>
  <c r="P110" i="23" s="1"/>
  <c r="O87" i="23"/>
  <c r="P87" i="23" s="1"/>
  <c r="R111" i="23"/>
  <c r="S111" i="23" s="1"/>
  <c r="O352" i="23"/>
  <c r="P352" i="23" s="1"/>
  <c r="R97" i="23"/>
  <c r="S97" i="23" s="1"/>
  <c r="R82" i="23"/>
  <c r="S82" i="23" s="1"/>
  <c r="O324" i="23"/>
  <c r="P324" i="23" s="1"/>
  <c r="R244" i="23"/>
  <c r="S244" i="23" s="1"/>
  <c r="R126" i="23"/>
  <c r="S126" i="23" s="1"/>
  <c r="O386" i="23"/>
  <c r="P386" i="23" s="1"/>
  <c r="O408" i="23"/>
  <c r="P408" i="23" s="1"/>
  <c r="R81" i="23"/>
  <c r="S81" i="23" s="1"/>
  <c r="O470" i="23"/>
  <c r="P470" i="23" s="1"/>
  <c r="O120" i="23"/>
  <c r="P120" i="23" s="1"/>
  <c r="R113" i="23"/>
  <c r="S113" i="23" s="1"/>
  <c r="O265" i="23"/>
  <c r="P265" i="23" s="1"/>
  <c r="R95" i="23"/>
  <c r="S95" i="23" s="1"/>
  <c r="O71" i="23"/>
  <c r="P71" i="23" s="1"/>
  <c r="R102" i="23"/>
  <c r="S102" i="23" s="1"/>
  <c r="O84" i="23"/>
  <c r="P84" i="23" s="1"/>
  <c r="O75" i="23"/>
  <c r="P75" i="23" s="1"/>
  <c r="O214" i="23"/>
  <c r="P214" i="23" s="1"/>
  <c r="O205" i="23"/>
  <c r="P205" i="23" s="1"/>
  <c r="R457" i="23"/>
  <c r="S457" i="23" s="1"/>
  <c r="R135" i="23"/>
  <c r="S135" i="23" s="1"/>
  <c r="R140" i="23"/>
  <c r="S140" i="23" s="1"/>
  <c r="R278" i="23"/>
  <c r="S278" i="23" s="1"/>
  <c r="O144" i="23"/>
  <c r="P144" i="23" s="1"/>
  <c r="O319" i="23"/>
  <c r="P319" i="23" s="1"/>
  <c r="O232" i="23"/>
  <c r="P232" i="23" s="1"/>
  <c r="R218" i="23"/>
  <c r="S218" i="23" s="1"/>
  <c r="O208" i="23"/>
  <c r="P208" i="23" s="1"/>
  <c r="O230" i="23"/>
  <c r="P230" i="23" s="1"/>
  <c r="O160" i="23"/>
  <c r="P160" i="23" s="1"/>
  <c r="R247" i="23"/>
  <c r="S247" i="23" s="1"/>
  <c r="R116" i="23"/>
  <c r="S116" i="23" s="1"/>
  <c r="O411" i="23"/>
  <c r="P411" i="23" s="1"/>
  <c r="O102" i="23"/>
  <c r="P102" i="23" s="1"/>
  <c r="O112" i="23"/>
  <c r="P112" i="23" s="1"/>
  <c r="O406" i="23"/>
  <c r="P406" i="23" s="1"/>
  <c r="O453" i="23"/>
  <c r="P453" i="23" s="1"/>
  <c r="O178" i="23"/>
  <c r="P178" i="23" s="1"/>
  <c r="R465" i="23"/>
  <c r="S465" i="23" s="1"/>
  <c r="R250" i="23"/>
  <c r="S250" i="23" s="1"/>
  <c r="O133" i="23"/>
  <c r="P133" i="23" s="1"/>
  <c r="O391" i="23"/>
  <c r="P391" i="23" s="1"/>
  <c r="O175" i="23"/>
  <c r="P175" i="23" s="1"/>
  <c r="O256" i="23"/>
  <c r="P256" i="23" s="1"/>
  <c r="O169" i="23"/>
  <c r="P169" i="23" s="1"/>
  <c r="R219" i="23"/>
  <c r="S219" i="23" s="1"/>
  <c r="R171" i="23"/>
  <c r="S171" i="23" s="1"/>
  <c r="R331" i="23"/>
  <c r="S331" i="23" s="1"/>
  <c r="R206" i="23"/>
  <c r="S206" i="23" s="1"/>
  <c r="R123" i="23"/>
  <c r="S123" i="23" s="1"/>
  <c r="O114" i="23"/>
  <c r="P114" i="23" s="1"/>
  <c r="O325" i="23"/>
  <c r="P325" i="23" s="1"/>
  <c r="R175" i="23"/>
  <c r="S175" i="23" s="1"/>
  <c r="R110" i="23"/>
  <c r="S110" i="23" s="1"/>
  <c r="R174" i="23"/>
  <c r="S174" i="23" s="1"/>
  <c r="R484" i="23"/>
  <c r="S484" i="23" s="1"/>
  <c r="R334" i="23"/>
  <c r="S334" i="23" s="1"/>
  <c r="R112" i="23"/>
  <c r="S112" i="23" s="1"/>
  <c r="R230" i="23"/>
  <c r="S230" i="23" s="1"/>
  <c r="R414" i="23"/>
  <c r="S414" i="23" s="1"/>
  <c r="O247" i="23"/>
  <c r="P247" i="23" s="1"/>
  <c r="R306" i="23"/>
  <c r="S306" i="23" s="1"/>
  <c r="R408" i="23"/>
  <c r="S408" i="23" s="1"/>
  <c r="R403" i="23"/>
  <c r="S403" i="23" s="1"/>
  <c r="O152" i="23"/>
  <c r="P152" i="23" s="1"/>
  <c r="R431" i="23"/>
  <c r="S431" i="23" s="1"/>
  <c r="O121" i="23"/>
  <c r="P121" i="23" s="1"/>
  <c r="R215" i="23"/>
  <c r="S215" i="23" s="1"/>
  <c r="O197" i="23"/>
  <c r="O191" i="23"/>
  <c r="P191" i="23" s="1"/>
  <c r="R262" i="23"/>
  <c r="S262" i="23" s="1"/>
  <c r="O388" i="23"/>
  <c r="P388" i="23" s="1"/>
  <c r="R119" i="23"/>
  <c r="S119" i="23" s="1"/>
  <c r="R273" i="23"/>
  <c r="S273" i="23" s="1"/>
  <c r="O237" i="23"/>
  <c r="P237" i="23" s="1"/>
  <c r="R178" i="23"/>
  <c r="S178" i="23" s="1"/>
  <c r="R158" i="23"/>
  <c r="S158" i="23" s="1"/>
  <c r="R342" i="23"/>
  <c r="S342" i="23" s="1"/>
  <c r="O103" i="23"/>
  <c r="P103" i="23" s="1"/>
  <c r="R162" i="23"/>
  <c r="S162" i="23" s="1"/>
  <c r="O405" i="23"/>
  <c r="P405" i="23" s="1"/>
  <c r="R264" i="23"/>
  <c r="S264" i="23" s="1"/>
  <c r="R259" i="23"/>
  <c r="S259" i="23" s="1"/>
  <c r="R397" i="23"/>
  <c r="S397" i="23" s="1"/>
  <c r="R251" i="23"/>
  <c r="S251" i="23" s="1"/>
  <c r="R318" i="23"/>
  <c r="S318" i="23" s="1"/>
  <c r="O244" i="23"/>
  <c r="P244" i="23" s="1"/>
  <c r="R246" i="23"/>
  <c r="S246" i="23" s="1"/>
  <c r="O220" i="23"/>
  <c r="P220" i="23" s="1"/>
  <c r="O196" i="23"/>
  <c r="P196" i="23" s="1"/>
  <c r="O115" i="23"/>
  <c r="P115" i="23" s="1"/>
  <c r="O124" i="23"/>
  <c r="P124" i="23" s="1"/>
  <c r="R232" i="23"/>
  <c r="S232" i="23" s="1"/>
  <c r="R401" i="23"/>
  <c r="S401" i="23" s="1"/>
  <c r="R260" i="23"/>
  <c r="S260" i="23" s="1"/>
  <c r="O451" i="23"/>
  <c r="P451" i="23" s="1"/>
  <c r="O317" i="23"/>
  <c r="R184" i="23"/>
  <c r="S184" i="23" s="1"/>
  <c r="O284" i="23"/>
  <c r="P284" i="23" s="1"/>
  <c r="O157" i="23"/>
  <c r="P157" i="23" s="1"/>
  <c r="O234" i="23"/>
  <c r="P234" i="23" s="1"/>
  <c r="O172" i="23"/>
  <c r="P172" i="23" s="1"/>
  <c r="O206" i="23"/>
  <c r="P206" i="23" s="1"/>
  <c r="R432" i="23"/>
  <c r="S432" i="23" s="1"/>
  <c r="O348" i="23"/>
  <c r="P348" i="23" s="1"/>
  <c r="O336" i="23"/>
  <c r="P336" i="23" s="1"/>
  <c r="R314" i="23"/>
  <c r="S314" i="23" s="1"/>
  <c r="R145" i="23"/>
  <c r="S145" i="23" s="1"/>
  <c r="O371" i="23"/>
  <c r="P371" i="23" s="1"/>
  <c r="R261" i="23"/>
  <c r="S261" i="23" s="1"/>
  <c r="R355" i="23"/>
  <c r="S355" i="23" s="1"/>
  <c r="R204" i="23"/>
  <c r="S204" i="23" s="1"/>
  <c r="O430" i="23"/>
  <c r="P430" i="23" s="1"/>
  <c r="R177" i="23"/>
  <c r="S177" i="23" s="1"/>
  <c r="O238" i="23"/>
  <c r="P238" i="23" s="1"/>
  <c r="O394" i="23"/>
  <c r="P394" i="23" s="1"/>
  <c r="R238" i="23"/>
  <c r="S238" i="23" s="1"/>
  <c r="O345" i="23"/>
  <c r="P345" i="23" s="1"/>
  <c r="R297" i="23"/>
  <c r="S297" i="23" s="1"/>
  <c r="R349" i="23"/>
  <c r="S349" i="23" s="1"/>
  <c r="R271" i="23"/>
  <c r="S271" i="23" s="1"/>
  <c r="R146" i="23"/>
  <c r="S146" i="23" s="1"/>
  <c r="O481" i="23"/>
  <c r="P481" i="23" s="1"/>
  <c r="R134" i="23"/>
  <c r="S134" i="23" s="1"/>
  <c r="O395" i="23"/>
  <c r="P395" i="23" s="1"/>
  <c r="R324" i="23"/>
  <c r="S324" i="23" s="1"/>
  <c r="R279" i="23"/>
  <c r="S279" i="23" s="1"/>
  <c r="O240" i="23"/>
  <c r="P240" i="23" s="1"/>
  <c r="R478" i="23"/>
  <c r="S478" i="23" s="1"/>
  <c r="R315" i="23"/>
  <c r="S315" i="23" s="1"/>
  <c r="R180" i="23"/>
  <c r="S180" i="23" s="1"/>
  <c r="R390" i="23"/>
  <c r="S390" i="23" s="1"/>
  <c r="O467" i="23"/>
  <c r="P467" i="23" s="1"/>
  <c r="R424" i="23"/>
  <c r="S424" i="23" s="1"/>
  <c r="O288" i="23"/>
  <c r="P288" i="23" s="1"/>
  <c r="R188" i="23"/>
  <c r="S188" i="23" s="1"/>
  <c r="O379" i="23"/>
  <c r="P379" i="23" s="1"/>
  <c r="O245" i="23"/>
  <c r="O364" i="23"/>
  <c r="P364" i="23" s="1"/>
  <c r="O212" i="23"/>
  <c r="P212" i="23" s="1"/>
  <c r="R438" i="23"/>
  <c r="S438" i="23" s="1"/>
  <c r="O384" i="23"/>
  <c r="P384" i="23" s="1"/>
  <c r="O360" i="23"/>
  <c r="P360" i="23" s="1"/>
  <c r="O134" i="23"/>
  <c r="P134" i="23" s="1"/>
  <c r="R360" i="23"/>
  <c r="S360" i="23" s="1"/>
  <c r="R359" i="23"/>
  <c r="S359" i="23" s="1"/>
  <c r="R335" i="23"/>
  <c r="S335" i="23" s="1"/>
  <c r="R242" i="23"/>
  <c r="S242" i="23" s="1"/>
  <c r="O433" i="23"/>
  <c r="P433" i="23" s="1"/>
  <c r="O299" i="23"/>
  <c r="P299" i="23" s="1"/>
  <c r="R452" i="23"/>
  <c r="S452" i="23" s="1"/>
  <c r="R283" i="23"/>
  <c r="S283" i="23" s="1"/>
  <c r="O437" i="23"/>
  <c r="O466" i="23"/>
  <c r="P466" i="23" s="1"/>
  <c r="R321" i="23"/>
  <c r="S321" i="23" s="1"/>
  <c r="O382" i="23"/>
  <c r="P382" i="23" s="1"/>
  <c r="R214" i="23"/>
  <c r="S214" i="23" s="1"/>
  <c r="R382" i="23"/>
  <c r="S382" i="23" s="1"/>
  <c r="R345" i="23"/>
  <c r="S345" i="23" s="1"/>
  <c r="R446" i="23"/>
  <c r="S446" i="23" s="1"/>
  <c r="R277" i="23"/>
  <c r="S277" i="23" s="1"/>
  <c r="O441" i="23"/>
  <c r="P441" i="23" s="1"/>
  <c r="R143" i="23"/>
  <c r="S143" i="23" s="1"/>
  <c r="R133" i="23"/>
  <c r="S133" i="23" s="1"/>
  <c r="O143" i="23"/>
  <c r="P143" i="23" s="1"/>
  <c r="O337" i="23"/>
  <c r="P337" i="23" s="1"/>
  <c r="O263" i="23"/>
  <c r="P263" i="23" s="1"/>
  <c r="O268" i="23"/>
  <c r="P268" i="23" s="1"/>
  <c r="R333" i="23"/>
  <c r="S333" i="23" s="1"/>
  <c r="R406" i="23"/>
  <c r="S406" i="23" s="1"/>
  <c r="O282" i="23"/>
  <c r="P282" i="23" s="1"/>
  <c r="R351" i="23"/>
  <c r="S351" i="23" s="1"/>
  <c r="R136" i="23"/>
  <c r="S136" i="23" s="1"/>
  <c r="R407" i="23"/>
  <c r="S407" i="23" s="1"/>
  <c r="R186" i="23"/>
  <c r="S186" i="23" s="1"/>
  <c r="O243" i="23"/>
  <c r="P243" i="23" s="1"/>
  <c r="O150" i="23"/>
  <c r="P150" i="23" s="1"/>
  <c r="O438" i="23"/>
  <c r="P438" i="23" s="1"/>
  <c r="O434" i="23"/>
  <c r="P434" i="23" s="1"/>
  <c r="O307" i="23"/>
  <c r="P307" i="23" s="1"/>
  <c r="O173" i="23"/>
  <c r="O375" i="23"/>
  <c r="P375" i="23" s="1"/>
  <c r="O140" i="23"/>
  <c r="P140" i="23" s="1"/>
  <c r="R366" i="23"/>
  <c r="S366" i="23" s="1"/>
  <c r="R383" i="23"/>
  <c r="S383" i="23" s="1"/>
  <c r="R371" i="23"/>
  <c r="S371" i="23" s="1"/>
  <c r="R439" i="23"/>
  <c r="S439" i="23" s="1"/>
  <c r="R288" i="23"/>
  <c r="S288" i="23" s="1"/>
  <c r="R425" i="23"/>
  <c r="S425" i="23" s="1"/>
  <c r="R411" i="23"/>
  <c r="S411" i="23" s="1"/>
  <c r="R170" i="23"/>
  <c r="S170" i="23" s="1"/>
  <c r="O361" i="23"/>
  <c r="P361" i="23" s="1"/>
  <c r="O227" i="23"/>
  <c r="P227" i="23" s="1"/>
  <c r="R380" i="23"/>
  <c r="S380" i="23" s="1"/>
  <c r="R211" i="23"/>
  <c r="S211" i="23" s="1"/>
  <c r="O365" i="23"/>
  <c r="O201" i="23"/>
  <c r="P201" i="23" s="1"/>
  <c r="R429" i="23"/>
  <c r="S429" i="23" s="1"/>
  <c r="R166" i="23"/>
  <c r="S166" i="23" s="1"/>
  <c r="R322" i="23"/>
  <c r="S322" i="23" s="1"/>
  <c r="O249" i="23"/>
  <c r="P249" i="23" s="1"/>
  <c r="O166" i="23"/>
  <c r="P166" i="23" s="1"/>
  <c r="R374" i="23"/>
  <c r="S374" i="23" s="1"/>
  <c r="R205" i="23"/>
  <c r="S205" i="23" s="1"/>
  <c r="R482" i="23"/>
  <c r="S482" i="23" s="1"/>
  <c r="R456" i="23"/>
  <c r="S456" i="23" s="1"/>
  <c r="O385" i="23"/>
  <c r="P385" i="23" s="1"/>
  <c r="O452" i="23"/>
  <c r="P452" i="23" s="1"/>
  <c r="O193" i="23"/>
  <c r="P193" i="23" s="1"/>
  <c r="O440" i="23"/>
  <c r="P440" i="23" s="1"/>
  <c r="O131" i="23"/>
  <c r="P131" i="23" s="1"/>
  <c r="O347" i="23"/>
  <c r="P347" i="23" s="1"/>
  <c r="R224" i="23"/>
  <c r="S224" i="23" s="1"/>
  <c r="R376" i="23"/>
  <c r="S376" i="23" s="1"/>
  <c r="R234" i="23"/>
  <c r="S234" i="23" s="1"/>
  <c r="O269" i="23"/>
  <c r="O195" i="23"/>
  <c r="P195" i="23" s="1"/>
  <c r="R243" i="23"/>
  <c r="S243" i="23" s="1"/>
  <c r="R353" i="23"/>
  <c r="S353" i="23" s="1"/>
  <c r="O323" i="23"/>
  <c r="P323" i="23" s="1"/>
  <c r="O362" i="23"/>
  <c r="P362" i="23" s="1"/>
  <c r="O235" i="23"/>
  <c r="P235" i="23" s="1"/>
  <c r="O390" i="23"/>
  <c r="P390" i="23" s="1"/>
  <c r="O333" i="23"/>
  <c r="P333" i="23" s="1"/>
  <c r="R445" i="23"/>
  <c r="S445" i="23" s="1"/>
  <c r="R294" i="23"/>
  <c r="S294" i="23" s="1"/>
  <c r="R437" i="23"/>
  <c r="S437" i="23" s="1"/>
  <c r="R189" i="23"/>
  <c r="S189" i="23" s="1"/>
  <c r="R367" i="23"/>
  <c r="S367" i="23" s="1"/>
  <c r="R216" i="23"/>
  <c r="S216" i="23" s="1"/>
  <c r="R281" i="23"/>
  <c r="S281" i="23" s="1"/>
  <c r="R255" i="23"/>
  <c r="S255" i="23" s="1"/>
  <c r="O416" i="23"/>
  <c r="P416" i="23" s="1"/>
  <c r="O289" i="23"/>
  <c r="P289" i="23" s="1"/>
  <c r="O155" i="23"/>
  <c r="P155" i="23" s="1"/>
  <c r="R308" i="23"/>
  <c r="S308" i="23" s="1"/>
  <c r="R139" i="23"/>
  <c r="S139" i="23" s="1"/>
  <c r="O293" i="23"/>
  <c r="O381" i="23"/>
  <c r="P381" i="23" s="1"/>
  <c r="R142" i="23"/>
  <c r="S142" i="23" s="1"/>
  <c r="R274" i="23"/>
  <c r="S274" i="23" s="1"/>
  <c r="R466" i="23"/>
  <c r="S466" i="23" s="1"/>
  <c r="O357" i="23"/>
  <c r="P357" i="23" s="1"/>
  <c r="O346" i="23"/>
  <c r="P346" i="23" s="1"/>
  <c r="R302" i="23"/>
  <c r="S302" i="23" s="1"/>
  <c r="O421" i="23"/>
  <c r="P421" i="23" s="1"/>
  <c r="R338" i="23"/>
  <c r="S338" i="23" s="1"/>
  <c r="R312" i="23"/>
  <c r="S312" i="23" s="1"/>
  <c r="O241" i="23"/>
  <c r="P241" i="23" s="1"/>
  <c r="R265" i="23"/>
  <c r="S265" i="23" s="1"/>
  <c r="O296" i="23"/>
  <c r="P296" i="23" s="1"/>
  <c r="R385" i="23"/>
  <c r="S385" i="23" s="1"/>
  <c r="O426" i="23"/>
  <c r="P426" i="23" s="1"/>
  <c r="O137" i="23"/>
  <c r="O396" i="23"/>
  <c r="P396" i="23" s="1"/>
  <c r="R179" i="23"/>
  <c r="S179" i="23" s="1"/>
  <c r="O226" i="23"/>
  <c r="P226" i="23" s="1"/>
  <c r="R147" i="23"/>
  <c r="S147" i="23" s="1"/>
  <c r="R441" i="23"/>
  <c r="S441" i="23" s="1"/>
  <c r="R377" i="23"/>
  <c r="S377" i="23" s="1"/>
  <c r="R187" i="23"/>
  <c r="S187" i="23" s="1"/>
  <c r="O435" i="23"/>
  <c r="P435" i="23" s="1"/>
  <c r="R459" i="23"/>
  <c r="S459" i="23" s="1"/>
  <c r="R298" i="23"/>
  <c r="S298" i="23" s="1"/>
  <c r="O280" i="23"/>
  <c r="P280" i="23" s="1"/>
  <c r="O308" i="23"/>
  <c r="P308" i="23" s="1"/>
  <c r="O446" i="23"/>
  <c r="P446" i="23" s="1"/>
  <c r="O475" i="23"/>
  <c r="P475" i="23" s="1"/>
  <c r="O450" i="23"/>
  <c r="P450" i="23" s="1"/>
  <c r="O392" i="23"/>
  <c r="P392" i="23" s="1"/>
  <c r="R391" i="23"/>
  <c r="S391" i="23" s="1"/>
  <c r="R183" i="23"/>
  <c r="S183" i="23" s="1"/>
  <c r="O242" i="23"/>
  <c r="P242" i="23" s="1"/>
  <c r="O183" i="23"/>
  <c r="P183" i="23" s="1"/>
  <c r="R203" i="23"/>
  <c r="S203" i="23" s="1"/>
  <c r="R337" i="23"/>
  <c r="S337" i="23" s="1"/>
  <c r="R395" i="23"/>
  <c r="S395" i="23" s="1"/>
  <c r="O409" i="23"/>
  <c r="P409" i="23" s="1"/>
  <c r="R275" i="23"/>
  <c r="S275" i="23" s="1"/>
  <c r="R192" i="23"/>
  <c r="S192" i="23" s="1"/>
  <c r="O264" i="23"/>
  <c r="P264" i="23" s="1"/>
  <c r="O370" i="23"/>
  <c r="P370" i="23" s="1"/>
  <c r="R221" i="23"/>
  <c r="S221" i="23" s="1"/>
  <c r="O401" i="23"/>
  <c r="O215" i="23"/>
  <c r="P215" i="23" s="1"/>
  <c r="R365" i="23"/>
  <c r="S365" i="23" s="1"/>
  <c r="R190" i="23"/>
  <c r="S190" i="23" s="1"/>
  <c r="R435" i="23"/>
  <c r="S435" i="23" s="1"/>
  <c r="R198" i="23"/>
  <c r="S198" i="23" s="1"/>
  <c r="R313" i="23"/>
  <c r="S313" i="23" s="1"/>
  <c r="O185" i="23"/>
  <c r="R296" i="23"/>
  <c r="S296" i="23" s="1"/>
  <c r="O164" i="23"/>
  <c r="P164" i="23" s="1"/>
  <c r="O407" i="23"/>
  <c r="P407" i="23" s="1"/>
  <c r="O302" i="23"/>
  <c r="P302" i="23" s="1"/>
  <c r="O331" i="23"/>
  <c r="P331" i="23" s="1"/>
  <c r="O258" i="23"/>
  <c r="P258" i="23" s="1"/>
  <c r="O248" i="23"/>
  <c r="P248" i="23" s="1"/>
  <c r="O353" i="23"/>
  <c r="O469" i="23"/>
  <c r="P469" i="23" s="1"/>
  <c r="O372" i="23"/>
  <c r="P372" i="23" s="1"/>
  <c r="R343" i="23"/>
  <c r="S343" i="23" s="1"/>
  <c r="R227" i="23"/>
  <c r="S227" i="23" s="1"/>
  <c r="R363" i="23"/>
  <c r="S363" i="23" s="1"/>
  <c r="O127" i="23"/>
  <c r="P127" i="23" s="1"/>
  <c r="R364" i="23"/>
  <c r="S364" i="23" s="1"/>
  <c r="O315" i="23"/>
  <c r="P315" i="23" s="1"/>
  <c r="R483" i="23"/>
  <c r="S483" i="23" s="1"/>
  <c r="O304" i="23"/>
  <c r="P304" i="23" s="1"/>
  <c r="R154" i="23"/>
  <c r="S154" i="23" s="1"/>
  <c r="O431" i="23"/>
  <c r="P431" i="23" s="1"/>
  <c r="R169" i="23"/>
  <c r="S169" i="23" s="1"/>
  <c r="R152" i="23"/>
  <c r="S152" i="23" s="1"/>
  <c r="R450" i="23"/>
  <c r="S450" i="23" s="1"/>
  <c r="R409" i="23"/>
  <c r="S409" i="23" s="1"/>
  <c r="O275" i="23"/>
  <c r="P275" i="23" s="1"/>
  <c r="O158" i="23"/>
  <c r="P158" i="23" s="1"/>
  <c r="O187" i="23"/>
  <c r="P187" i="23" s="1"/>
  <c r="O181" i="23"/>
  <c r="P181" i="23" s="1"/>
  <c r="R388" i="23"/>
  <c r="S388" i="23" s="1"/>
  <c r="O339" i="23"/>
  <c r="P339" i="23" s="1"/>
  <c r="O457" i="23"/>
  <c r="P457" i="23" s="1"/>
  <c r="R329" i="23"/>
  <c r="S329" i="23" s="1"/>
  <c r="R467" i="23"/>
  <c r="S467" i="23" s="1"/>
  <c r="R148" i="23"/>
  <c r="S148" i="23" s="1"/>
  <c r="R239" i="23"/>
  <c r="S239" i="23" s="1"/>
  <c r="R352" i="23"/>
  <c r="S352" i="23" s="1"/>
  <c r="O262" i="23"/>
  <c r="P262" i="23" s="1"/>
  <c r="R287" i="23"/>
  <c r="S287" i="23" s="1"/>
  <c r="R191" i="23"/>
  <c r="S191" i="23" s="1"/>
  <c r="R462" i="23"/>
  <c r="S462" i="23" s="1"/>
  <c r="R419" i="23"/>
  <c r="S419" i="23" s="1"/>
  <c r="R137" i="23"/>
  <c r="S137" i="23" s="1"/>
  <c r="O485" i="23"/>
  <c r="R272" i="23"/>
  <c r="S272" i="23" s="1"/>
  <c r="O318" i="23"/>
  <c r="P318" i="23" s="1"/>
  <c r="O168" i="23"/>
  <c r="P168" i="23" s="1"/>
  <c r="R370" i="23"/>
  <c r="S370" i="23" s="1"/>
  <c r="O252" i="23"/>
  <c r="P252" i="23" s="1"/>
  <c r="R159" i="23"/>
  <c r="S159" i="23" s="1"/>
  <c r="O236" i="23"/>
  <c r="P236" i="23" s="1"/>
  <c r="O135" i="23"/>
  <c r="P135" i="23" s="1"/>
  <c r="O184" i="23"/>
  <c r="P184" i="23" s="1"/>
  <c r="O198" i="23"/>
  <c r="P198" i="23" s="1"/>
  <c r="O156" i="23"/>
  <c r="P156" i="23" s="1"/>
  <c r="O483" i="23"/>
  <c r="P483" i="23" s="1"/>
  <c r="R468" i="23"/>
  <c r="S468" i="23" s="1"/>
  <c r="O259" i="23"/>
  <c r="P259" i="23" s="1"/>
  <c r="O380" i="23"/>
  <c r="P380" i="23" s="1"/>
  <c r="O209" i="23"/>
  <c r="R412" i="23"/>
  <c r="S412" i="23" s="1"/>
  <c r="O251" i="23"/>
  <c r="P251" i="23" s="1"/>
  <c r="O254" i="23"/>
  <c r="P254" i="23" s="1"/>
  <c r="O219" i="23"/>
  <c r="P219" i="23" s="1"/>
  <c r="O267" i="23"/>
  <c r="P267" i="23" s="1"/>
  <c r="R196" i="23"/>
  <c r="S196" i="23" s="1"/>
  <c r="O327" i="23"/>
  <c r="P327" i="23" s="1"/>
  <c r="O415" i="23"/>
  <c r="P415" i="23" s="1"/>
  <c r="R317" i="23"/>
  <c r="S317" i="23" s="1"/>
  <c r="R167" i="23"/>
  <c r="S167" i="23" s="1"/>
  <c r="R212" i="23"/>
  <c r="S212" i="23" s="1"/>
  <c r="O270" i="23"/>
  <c r="P270" i="23" s="1"/>
  <c r="R323" i="23"/>
  <c r="S323" i="23" s="1"/>
  <c r="R485" i="23"/>
  <c r="S485" i="23" s="1"/>
  <c r="O351" i="23"/>
  <c r="P351" i="23" s="1"/>
  <c r="R233" i="23"/>
  <c r="S233" i="23" s="1"/>
  <c r="O257" i="23"/>
  <c r="R155" i="23"/>
  <c r="S155" i="23" s="1"/>
  <c r="R193" i="23"/>
  <c r="S193" i="23" s="1"/>
  <c r="R479" i="23"/>
  <c r="S479" i="23" s="1"/>
  <c r="O473" i="23"/>
  <c r="R389" i="23"/>
  <c r="S389" i="23" s="1"/>
  <c r="R231" i="23"/>
  <c r="S231" i="23" s="1"/>
  <c r="R299" i="23"/>
  <c r="S299" i="23" s="1"/>
  <c r="R195" i="23"/>
  <c r="S195" i="23" s="1"/>
  <c r="O425" i="23"/>
  <c r="R423" i="23"/>
  <c r="S423" i="23" s="1"/>
  <c r="O312" i="23"/>
  <c r="P312" i="23" s="1"/>
  <c r="R325" i="23"/>
  <c r="S325" i="23" s="1"/>
  <c r="O182" i="23"/>
  <c r="P182" i="23" s="1"/>
  <c r="R292" i="23"/>
  <c r="S292" i="23" s="1"/>
  <c r="O374" i="23"/>
  <c r="P374" i="23" s="1"/>
  <c r="O444" i="23"/>
  <c r="P444" i="23" s="1"/>
  <c r="O271" i="23"/>
  <c r="P271" i="23" s="1"/>
  <c r="O159" i="23"/>
  <c r="P159" i="23" s="1"/>
  <c r="R447" i="23"/>
  <c r="S447" i="23" s="1"/>
  <c r="R481" i="23"/>
  <c r="S481" i="23" s="1"/>
  <c r="R474" i="23"/>
  <c r="S474" i="23" s="1"/>
  <c r="O171" i="23"/>
  <c r="P171" i="23" s="1"/>
  <c r="R378" i="23"/>
  <c r="S378" i="23" s="1"/>
  <c r="R181" i="23"/>
  <c r="S181" i="23" s="1"/>
  <c r="O297" i="23"/>
  <c r="P297" i="23" s="1"/>
  <c r="R356" i="23"/>
  <c r="S356" i="23" s="1"/>
  <c r="R469" i="23"/>
  <c r="S469" i="23" s="1"/>
  <c r="R475" i="23"/>
  <c r="S475" i="23" s="1"/>
  <c r="O479" i="23"/>
  <c r="P479" i="23" s="1"/>
  <c r="O136" i="23"/>
  <c r="P136" i="23" s="1"/>
  <c r="R461" i="23"/>
  <c r="S461" i="23" s="1"/>
  <c r="R368" i="23"/>
  <c r="S368" i="23" s="1"/>
  <c r="O471" i="23"/>
  <c r="P471" i="23" s="1"/>
  <c r="R209" i="23"/>
  <c r="S209" i="23" s="1"/>
  <c r="O180" i="23"/>
  <c r="P180" i="23" s="1"/>
  <c r="R173" i="23"/>
  <c r="S173" i="23" s="1"/>
  <c r="R400" i="23"/>
  <c r="S400" i="23" s="1"/>
  <c r="O224" i="23"/>
  <c r="P224" i="23" s="1"/>
  <c r="O474" i="23"/>
  <c r="P474" i="23" s="1"/>
  <c r="O484" i="23"/>
  <c r="P484" i="23" s="1"/>
  <c r="O462" i="23"/>
  <c r="P462" i="23" s="1"/>
  <c r="R362" i="23"/>
  <c r="S362" i="23" s="1"/>
  <c r="R199" i="23"/>
  <c r="S199" i="23" s="1"/>
  <c r="O478" i="23"/>
  <c r="P478" i="23" s="1"/>
  <c r="R336" i="23"/>
  <c r="S336" i="23" s="1"/>
  <c r="O292" i="23"/>
  <c r="P292" i="23" s="1"/>
  <c r="O189" i="23"/>
  <c r="P189" i="23" s="1"/>
  <c r="O253" i="23"/>
  <c r="P253" i="23" s="1"/>
  <c r="O436" i="23"/>
  <c r="P436" i="23" s="1"/>
  <c r="O432" i="23"/>
  <c r="P432" i="23" s="1"/>
  <c r="O420" i="23"/>
  <c r="P420" i="23" s="1"/>
  <c r="O376" i="23"/>
  <c r="P376" i="23" s="1"/>
  <c r="O228" i="23"/>
  <c r="P228" i="23" s="1"/>
  <c r="O291" i="23"/>
  <c r="P291" i="23" s="1"/>
  <c r="O403" i="23"/>
  <c r="P403" i="23" s="1"/>
  <c r="R340" i="23"/>
  <c r="S340" i="23" s="1"/>
  <c r="R200" i="23"/>
  <c r="S200" i="23" s="1"/>
  <c r="O207" i="23"/>
  <c r="P207" i="23" s="1"/>
  <c r="O398" i="23"/>
  <c r="P398" i="23" s="1"/>
  <c r="O216" i="23"/>
  <c r="P216" i="23" s="1"/>
  <c r="O313" i="23"/>
  <c r="P313" i="23" s="1"/>
  <c r="O203" i="23"/>
  <c r="P203" i="23" s="1"/>
  <c r="O138" i="23"/>
  <c r="P138" i="23" s="1"/>
  <c r="O423" i="23"/>
  <c r="P423" i="23" s="1"/>
  <c r="R267" i="23"/>
  <c r="S267" i="23" s="1"/>
  <c r="R436" i="23"/>
  <c r="S436" i="23" s="1"/>
  <c r="O326" i="23"/>
  <c r="P326" i="23" s="1"/>
  <c r="O255" i="23"/>
  <c r="P255" i="23" s="1"/>
  <c r="R185" i="23"/>
  <c r="S185" i="23" s="1"/>
  <c r="R344" i="23"/>
  <c r="S344" i="23" s="1"/>
  <c r="O298" i="23"/>
  <c r="P298" i="23" s="1"/>
  <c r="R463" i="23"/>
  <c r="S463" i="23" s="1"/>
  <c r="O342" i="23"/>
  <c r="P342" i="23" s="1"/>
  <c r="R319" i="23"/>
  <c r="S319" i="23" s="1"/>
  <c r="R473" i="23"/>
  <c r="S473" i="23" s="1"/>
  <c r="O132" i="23"/>
  <c r="P132" i="23" s="1"/>
  <c r="R128" i="23"/>
  <c r="S128" i="23" s="1"/>
  <c r="O162" i="23"/>
  <c r="P162" i="23" s="1"/>
  <c r="O400" i="23"/>
  <c r="P400" i="23" s="1"/>
  <c r="O414" i="23"/>
  <c r="P414" i="23" s="1"/>
  <c r="R303" i="23"/>
  <c r="S303" i="23" s="1"/>
  <c r="R197" i="23"/>
  <c r="S197" i="23" s="1"/>
  <c r="O126" i="23"/>
  <c r="P126" i="23" s="1"/>
  <c r="R207" i="23"/>
  <c r="S207" i="23" s="1"/>
  <c r="O460" i="23"/>
  <c r="P460" i="23" s="1"/>
  <c r="R268" i="23"/>
  <c r="S268" i="23" s="1"/>
  <c r="P17" i="23"/>
  <c r="P281" i="23"/>
  <c r="P476" i="23"/>
  <c r="AF5" i="23"/>
  <c r="AG5" i="23" s="1"/>
  <c r="P305" i="23"/>
  <c r="P65" i="23"/>
  <c r="P113" i="23"/>
  <c r="P89" i="23"/>
  <c r="P341" i="23"/>
  <c r="P101" i="23"/>
  <c r="P149" i="23"/>
  <c r="P377" i="23"/>
  <c r="P77" i="23"/>
  <c r="P233" i="23"/>
  <c r="P29" i="23"/>
  <c r="P389" i="23"/>
  <c r="P482" i="23"/>
  <c r="AF3" i="23"/>
  <c r="AG3" i="23" s="1"/>
  <c r="P41" i="23"/>
  <c r="P161" i="23"/>
  <c r="P461" i="23"/>
  <c r="P329" i="23"/>
  <c r="P221" i="23"/>
  <c r="P413" i="23"/>
  <c r="P53" i="23"/>
  <c r="T7" i="23"/>
  <c r="T6" i="23"/>
  <c r="T24" i="23"/>
  <c r="T18" i="23"/>
  <c r="T12" i="23"/>
  <c r="T22" i="23"/>
  <c r="T90" i="23"/>
  <c r="T78" i="23"/>
  <c r="T114" i="23"/>
  <c r="T102" i="23"/>
  <c r="T138" i="23"/>
  <c r="T126" i="23"/>
  <c r="T162" i="23"/>
  <c r="T150" i="23"/>
  <c r="T186" i="23"/>
  <c r="T174" i="23"/>
  <c r="T210" i="23"/>
  <c r="T198" i="23"/>
  <c r="T234" i="23"/>
  <c r="T222" i="23"/>
  <c r="S305" i="23"/>
  <c r="T246" i="23"/>
  <c r="N2" i="23"/>
  <c r="N3" i="23" s="1"/>
  <c r="AB8" i="23" a="1"/>
  <c r="AB24" i="23" a="1"/>
  <c r="AB31" i="23" a="1"/>
  <c r="AB28" i="23" a="1"/>
  <c r="AB17" i="23" a="1"/>
  <c r="AB41" i="23" a="1"/>
  <c r="AB37" i="23" a="1"/>
  <c r="AB32" i="23" a="1"/>
  <c r="AB39" i="23" a="1"/>
  <c r="AB35" i="23" a="1"/>
  <c r="AB13" i="23" a="1"/>
  <c r="AB12" i="23" a="1"/>
  <c r="AB42" i="23" a="1"/>
  <c r="AB19" i="23" a="1"/>
  <c r="AB22" i="23" a="1"/>
  <c r="AB23" i="23" a="1"/>
  <c r="AB38" i="23" a="1"/>
  <c r="AB26" i="23" a="1"/>
  <c r="AB16" i="23" a="1"/>
  <c r="AB18" i="23" a="1"/>
  <c r="AB11" i="23" a="1"/>
  <c r="P185" i="23"/>
  <c r="P125" i="23"/>
  <c r="P173" i="23"/>
  <c r="P317" i="23"/>
  <c r="P425" i="23"/>
  <c r="P209" i="23"/>
  <c r="P269" i="23"/>
  <c r="P473" i="23"/>
  <c r="P353" i="23"/>
  <c r="P137" i="23"/>
  <c r="P485" i="23"/>
  <c r="P293" i="23"/>
  <c r="P197" i="23"/>
  <c r="P401" i="23"/>
  <c r="P257" i="23"/>
  <c r="P245" i="23"/>
  <c r="P449" i="23"/>
  <c r="AF6" i="23"/>
  <c r="AG6" i="23" s="1"/>
  <c r="P365" i="23"/>
  <c r="P437" i="23"/>
  <c r="AF4" i="23"/>
  <c r="AG4" i="23" s="1"/>
  <c r="L8" i="23" l="1"/>
  <c r="U8" i="23" s="1" a="1"/>
  <c r="U7" i="23" a="1"/>
  <c r="L9" i="23"/>
  <c r="L10" i="23" l="1"/>
  <c r="U9" i="23" a="1"/>
  <c r="C9" i="23"/>
  <c r="C13" i="23" s="1"/>
  <c r="L11" i="23" l="1"/>
  <c r="U10" i="23" a="1"/>
  <c r="X5" i="23"/>
  <c r="C20" i="23"/>
  <c r="L12" i="23" l="1"/>
  <c r="U11" i="23" a="1"/>
  <c r="L13" i="23" l="1"/>
  <c r="U12" i="23" a="1"/>
  <c r="L14" i="23" l="1"/>
  <c r="U13" i="23" a="1"/>
  <c r="L15" i="23" l="1"/>
  <c r="U14" i="23" a="1"/>
  <c r="L16" i="23" l="1"/>
  <c r="U15" i="23" a="1"/>
  <c r="L17" i="23" l="1"/>
  <c r="U16" i="23" a="1"/>
  <c r="L18" i="23" l="1"/>
  <c r="U17" i="23" a="1"/>
  <c r="L19" i="23" l="1"/>
  <c r="U18" i="23" a="1"/>
  <c r="L20" i="23" l="1"/>
  <c r="U19" i="23" a="1"/>
  <c r="L21" i="23" l="1"/>
  <c r="U20" i="23" a="1"/>
  <c r="L22" i="23" l="1"/>
  <c r="U21" i="23" a="1"/>
  <c r="L23" i="23" l="1"/>
  <c r="U22" i="23" a="1"/>
  <c r="L24" i="23" l="1"/>
  <c r="U23" i="23" a="1"/>
  <c r="L25" i="23" l="1"/>
  <c r="U24" i="23" a="1"/>
  <c r="L26" i="23" l="1"/>
  <c r="U25" i="23" a="1"/>
  <c r="L27" i="23" l="1"/>
  <c r="U26" i="23" a="1"/>
  <c r="L28" i="23" l="1"/>
  <c r="U27" i="23" a="1"/>
  <c r="L29" i="23" l="1"/>
  <c r="U28" i="23" a="1"/>
  <c r="U29" i="23" l="1" a="1"/>
  <c r="L30" i="23"/>
  <c r="L31" i="23" l="1"/>
  <c r="U30" i="23" a="1"/>
  <c r="L32" i="23" l="1"/>
  <c r="U31" i="23" a="1"/>
  <c r="U32" i="23" l="1" a="1"/>
  <c r="L33" i="23"/>
  <c r="L34" i="23" l="1"/>
  <c r="U33" i="23" a="1"/>
  <c r="U34" i="23" l="1" a="1"/>
  <c r="L35" i="23"/>
  <c r="L36" i="23" l="1"/>
  <c r="U35" i="23" a="1"/>
  <c r="L37" i="23" l="1"/>
  <c r="U36" i="23" a="1"/>
  <c r="L38" i="23" l="1"/>
  <c r="U37" i="23" a="1"/>
  <c r="L39" i="23" l="1"/>
  <c r="U38" i="23" a="1"/>
  <c r="L40" i="23" l="1"/>
  <c r="U39" i="23" a="1"/>
  <c r="L41" i="23" l="1"/>
  <c r="U40" i="23" a="1"/>
  <c r="L42" i="23" l="1"/>
  <c r="U41" i="23" a="1"/>
  <c r="L43" i="23" l="1"/>
  <c r="U42" i="23" a="1"/>
  <c r="L44" i="23" l="1"/>
  <c r="U43" i="23" a="1"/>
  <c r="L45" i="23" l="1"/>
  <c r="U44" i="23" a="1"/>
  <c r="L46" i="23" l="1"/>
  <c r="U45" i="23" a="1"/>
  <c r="L47" i="23" l="1"/>
  <c r="U46" i="23" a="1"/>
  <c r="L48" i="23" l="1"/>
  <c r="U47" i="23" a="1"/>
  <c r="L49" i="23" l="1"/>
  <c r="U48" i="23" a="1"/>
  <c r="L50" i="23" l="1"/>
  <c r="U49" i="23" a="1"/>
  <c r="U50" i="23" l="1" a="1"/>
  <c r="L51" i="23"/>
  <c r="L52" i="23" l="1"/>
  <c r="U51" i="23" a="1"/>
  <c r="L53" i="23" l="1"/>
  <c r="U52" i="23" a="1"/>
  <c r="L54" i="23" l="1"/>
  <c r="U53" i="23" a="1"/>
  <c r="U54" i="23" l="1" a="1"/>
  <c r="L55" i="23"/>
  <c r="L56" i="23" l="1"/>
  <c r="U55" i="23" a="1"/>
  <c r="U56" i="23" l="1" a="1"/>
  <c r="L57" i="23"/>
  <c r="U57" i="23" l="1" a="1"/>
  <c r="L58" i="23"/>
  <c r="L59" i="23" l="1"/>
  <c r="U58" i="23" a="1"/>
  <c r="U59" i="23" l="1" a="1"/>
  <c r="L60" i="23"/>
  <c r="L61" i="23" l="1"/>
  <c r="U60" i="23" a="1"/>
  <c r="U61" i="23" l="1" a="1"/>
  <c r="L62" i="23"/>
  <c r="U62" i="23" l="1" a="1"/>
  <c r="L63" i="23"/>
  <c r="L64" i="23" l="1"/>
  <c r="U63" i="23" a="1"/>
  <c r="L65" i="23" l="1"/>
  <c r="U64" i="23" a="1"/>
  <c r="L66" i="23" l="1"/>
  <c r="L67" i="23" s="1"/>
  <c r="L68" i="23" s="1"/>
  <c r="L69" i="23" s="1"/>
  <c r="L70" i="23" s="1"/>
  <c r="L71" i="23" s="1"/>
  <c r="U65" i="23" a="1"/>
  <c r="L72" i="23" l="1"/>
  <c r="L73" i="23" l="1"/>
  <c r="L74" i="23" l="1"/>
  <c r="L75" i="23" l="1"/>
  <c r="L76" i="23" l="1"/>
  <c r="L77" i="23" l="1"/>
  <c r="L78" i="23" l="1"/>
  <c r="L79" i="23" l="1"/>
  <c r="L80" i="23" l="1"/>
  <c r="L81" i="23" l="1"/>
  <c r="L82" i="23" l="1"/>
  <c r="L83" i="23" l="1"/>
  <c r="L84" i="23" l="1"/>
  <c r="L85" i="23" l="1"/>
  <c r="L86" i="23" l="1"/>
  <c r="L87" i="23" l="1"/>
  <c r="L88" i="23" l="1"/>
  <c r="L89" i="23" l="1"/>
  <c r="L90" i="23" l="1"/>
  <c r="L91" i="23" l="1"/>
  <c r="L92" i="23" l="1"/>
  <c r="L93" i="23" l="1"/>
  <c r="L94" i="23" l="1"/>
  <c r="L95" i="23" l="1"/>
  <c r="L96" i="23" l="1"/>
  <c r="L97" i="23" l="1"/>
  <c r="L98" i="23" l="1"/>
  <c r="L99" i="23" l="1"/>
  <c r="L100" i="23" l="1"/>
  <c r="L101" i="23" l="1"/>
  <c r="L102" i="23" l="1"/>
  <c r="L103" i="23" l="1"/>
  <c r="L104" i="23" l="1"/>
  <c r="L105" i="23" l="1"/>
  <c r="L106" i="23" l="1"/>
  <c r="L107" i="23" l="1"/>
  <c r="L108" i="23" l="1"/>
  <c r="L109" i="23" l="1"/>
  <c r="L110" i="23" l="1"/>
  <c r="L111" i="23" l="1"/>
  <c r="L112" i="23" l="1"/>
  <c r="L113" i="23" l="1"/>
  <c r="L114" i="23" l="1"/>
  <c r="L115" i="23" l="1"/>
  <c r="L116" i="23" l="1"/>
  <c r="L117" i="23" l="1"/>
  <c r="L118" i="23" l="1"/>
  <c r="L119" i="23" l="1"/>
  <c r="L120" i="23" l="1"/>
  <c r="L121" i="23" l="1"/>
  <c r="L122" i="23" l="1"/>
  <c r="L123" i="23" l="1"/>
  <c r="L124" i="23" l="1"/>
  <c r="L125" i="23" l="1"/>
  <c r="L126" i="23" l="1"/>
  <c r="L127" i="23" l="1"/>
  <c r="L128" i="23" l="1"/>
  <c r="L129" i="23" l="1"/>
  <c r="L130" i="23" l="1"/>
  <c r="L131" i="23" l="1"/>
  <c r="L132" i="23" l="1"/>
  <c r="L133" i="23" l="1"/>
  <c r="L134" i="23" l="1"/>
  <c r="L135" i="23" l="1"/>
  <c r="L136" i="23" l="1"/>
  <c r="L137" i="23" l="1"/>
  <c r="L138" i="23" l="1"/>
  <c r="L139" i="23" l="1"/>
  <c r="L140" i="23" l="1"/>
  <c r="L141" i="23" l="1"/>
  <c r="L142" i="23" l="1"/>
  <c r="L143" i="23" l="1"/>
  <c r="L144" i="23" l="1"/>
  <c r="L145" i="23" l="1"/>
  <c r="L146" i="23" l="1"/>
  <c r="L147" i="23" l="1"/>
  <c r="L148" i="23" l="1"/>
  <c r="L149" i="23" l="1"/>
  <c r="L150" i="23" l="1"/>
  <c r="L151" i="23" l="1"/>
  <c r="L152" i="23" l="1"/>
  <c r="L153" i="23" l="1"/>
  <c r="L154" i="23" l="1"/>
  <c r="L155" i="23" l="1"/>
  <c r="L156" i="23" l="1"/>
  <c r="L157" i="23" l="1"/>
  <c r="L158" i="23" l="1"/>
  <c r="L159" i="23" l="1"/>
  <c r="L160" i="23" l="1"/>
  <c r="L161" i="23" l="1"/>
  <c r="L162" i="23" l="1"/>
  <c r="L163" i="23" l="1"/>
  <c r="L164" i="23" l="1"/>
  <c r="L165" i="23" l="1"/>
  <c r="L166" i="23" l="1"/>
  <c r="L167" i="23" l="1"/>
  <c r="L168" i="23" l="1"/>
  <c r="L169" i="23" l="1"/>
  <c r="L170" i="23" l="1"/>
  <c r="L171" i="23" l="1"/>
  <c r="L172" i="23" l="1"/>
  <c r="L173" i="23" l="1"/>
  <c r="L174" i="23" l="1"/>
  <c r="L175" i="23" l="1"/>
  <c r="L176" i="23" l="1"/>
  <c r="L177" i="23" l="1"/>
  <c r="L178" i="23" l="1"/>
  <c r="L179" i="23" l="1"/>
  <c r="L180" i="23" l="1"/>
  <c r="L181" i="23" l="1"/>
  <c r="L182" i="23" l="1"/>
  <c r="L183" i="23" l="1"/>
  <c r="L184" i="23" l="1"/>
  <c r="L185" i="23" l="1"/>
  <c r="L186" i="23" l="1"/>
  <c r="L187" i="23" l="1"/>
  <c r="L188" i="23" l="1"/>
  <c r="L189" i="23" l="1"/>
  <c r="L190" i="23" l="1"/>
  <c r="L191" i="23" l="1"/>
  <c r="L192" i="23" l="1"/>
  <c r="L193" i="23" l="1"/>
  <c r="L194" i="23" l="1"/>
  <c r="L195" i="23" l="1"/>
  <c r="L196" i="23" l="1"/>
  <c r="L197" i="23" l="1"/>
  <c r="L198" i="23" l="1"/>
  <c r="L199" i="23" l="1"/>
  <c r="L200" i="23" l="1"/>
  <c r="L201" i="23" l="1"/>
  <c r="L202" i="23" l="1"/>
  <c r="L203" i="23" l="1"/>
  <c r="L204" i="23" l="1"/>
  <c r="L205" i="23" l="1"/>
  <c r="L206" i="23" l="1"/>
  <c r="L207" i="23" l="1"/>
  <c r="L208" i="23" l="1"/>
  <c r="L209" i="23" l="1"/>
  <c r="L210" i="23" l="1"/>
  <c r="L211" i="23" l="1"/>
  <c r="L212" i="23" l="1"/>
  <c r="L213" i="23" l="1"/>
  <c r="L214" i="23" l="1"/>
  <c r="L215" i="23" l="1"/>
  <c r="L216" i="23" l="1"/>
  <c r="L217" i="23" l="1"/>
  <c r="L218" i="23" l="1"/>
  <c r="L219" i="23" l="1"/>
  <c r="L220" i="23" l="1"/>
  <c r="L221" i="23" l="1"/>
  <c r="L222" i="23" l="1"/>
  <c r="L223" i="23" l="1"/>
  <c r="L224" i="23" l="1"/>
  <c r="L225" i="23" l="1"/>
  <c r="L226" i="23" l="1"/>
  <c r="L227" i="23" l="1"/>
  <c r="L228" i="23" l="1"/>
  <c r="L229" i="23" l="1"/>
  <c r="L230" i="23" l="1"/>
  <c r="L231" i="23" l="1"/>
  <c r="L232" i="23" l="1"/>
  <c r="L233" i="23" l="1"/>
  <c r="L234" i="23" l="1"/>
  <c r="L235" i="23" l="1"/>
  <c r="L236" i="23" l="1"/>
  <c r="L237" i="23" l="1"/>
  <c r="L238" i="23" l="1"/>
  <c r="L239" i="23" l="1"/>
  <c r="L240" i="23" l="1"/>
  <c r="L241" i="23" l="1"/>
  <c r="L242" i="23" l="1"/>
  <c r="L243" i="23" l="1"/>
  <c r="L244" i="23" l="1"/>
  <c r="L245" i="23" l="1"/>
  <c r="L246" i="23" l="1"/>
  <c r="L247" i="23" s="1"/>
  <c r="L248" i="23" l="1"/>
  <c r="L249" i="23" l="1"/>
  <c r="L250" i="23" l="1"/>
  <c r="L251" i="23" l="1"/>
  <c r="X6" i="23"/>
  <c r="C17" i="23" s="1"/>
  <c r="C16" i="23"/>
  <c r="L252" i="23" l="1"/>
  <c r="L253" i="23" l="1"/>
  <c r="L254" i="23" l="1"/>
  <c r="L255" i="23" l="1"/>
  <c r="L256" i="23" l="1"/>
  <c r="L257" i="23" l="1"/>
  <c r="L258" i="23" l="1"/>
  <c r="L259" i="23" l="1"/>
  <c r="L260" i="23" l="1"/>
  <c r="L261" i="23" l="1"/>
  <c r="L262" i="23" l="1"/>
  <c r="L263" i="23" l="1"/>
  <c r="L264" i="23" l="1"/>
  <c r="L265" i="23" l="1"/>
  <c r="L266" i="23" l="1"/>
  <c r="L267" i="23" l="1"/>
  <c r="L268" i="23" l="1"/>
  <c r="L269" i="23" l="1"/>
  <c r="L270" i="23" l="1"/>
  <c r="L271" i="23" l="1"/>
  <c r="L272" i="23" l="1"/>
  <c r="L273" i="23" l="1"/>
  <c r="L274" i="23" l="1"/>
  <c r="L275" i="23" l="1"/>
  <c r="L276" i="23" l="1"/>
  <c r="L277" i="23" l="1"/>
  <c r="L278" i="23" l="1"/>
  <c r="L279" i="23" l="1"/>
  <c r="L280" i="23" l="1"/>
  <c r="L281" i="23" l="1"/>
  <c r="L282" i="23" l="1"/>
  <c r="L283" i="23" l="1"/>
  <c r="L284" i="23" l="1"/>
  <c r="L285" i="23" l="1"/>
  <c r="L286" i="23" l="1"/>
  <c r="L287" i="23" l="1"/>
  <c r="L288" i="23" l="1"/>
  <c r="L289" i="23" l="1"/>
  <c r="L290" i="23" l="1"/>
  <c r="L291" i="23" l="1"/>
  <c r="L292" i="23" l="1"/>
  <c r="L293" i="23" l="1"/>
  <c r="L294" i="23" l="1"/>
  <c r="L295" i="23" l="1"/>
  <c r="L296" i="23" l="1"/>
  <c r="L297" i="23" l="1"/>
  <c r="L298" i="23" l="1"/>
  <c r="L299" i="23" l="1"/>
  <c r="L300" i="23" l="1"/>
  <c r="L301" i="23" l="1"/>
  <c r="L302" i="23" l="1"/>
  <c r="L303" i="23" l="1"/>
  <c r="L304" i="23" l="1"/>
  <c r="L305" i="23" l="1"/>
  <c r="L306" i="23" l="1"/>
  <c r="L307" i="23" l="1"/>
  <c r="L308" i="23" l="1"/>
  <c r="L309" i="23" l="1"/>
  <c r="L310" i="23" l="1"/>
  <c r="L311" i="23" l="1"/>
  <c r="L312" i="23" l="1"/>
  <c r="L313" i="23" l="1"/>
  <c r="L314" i="23" l="1"/>
  <c r="L315" i="23" l="1"/>
  <c r="L316" i="23" l="1"/>
  <c r="L317" i="23" l="1"/>
  <c r="L318" i="23" l="1"/>
  <c r="L319" i="23" l="1"/>
  <c r="L320" i="23" l="1"/>
  <c r="L321" i="23" l="1"/>
  <c r="L322" i="23" l="1"/>
  <c r="L323" i="23" l="1"/>
  <c r="L324" i="23" l="1"/>
  <c r="L325" i="23" l="1"/>
  <c r="L326" i="23" l="1"/>
  <c r="L327" i="23" l="1"/>
  <c r="L328" i="23" l="1"/>
  <c r="L329" i="23" l="1"/>
  <c r="L330" i="23" l="1"/>
  <c r="L331" i="23" l="1"/>
  <c r="L332" i="23" l="1"/>
  <c r="L333" i="23" l="1"/>
  <c r="L334" i="23" l="1"/>
  <c r="L335" i="23" l="1"/>
  <c r="L336" i="23" l="1"/>
  <c r="L337" i="23" l="1"/>
  <c r="L338" i="23" l="1"/>
  <c r="L339" i="23" l="1"/>
  <c r="L340" i="23" l="1"/>
  <c r="L341" i="23" l="1"/>
  <c r="L342" i="23" l="1"/>
  <c r="L343" i="23" l="1"/>
  <c r="L344" i="23" l="1"/>
  <c r="L345" i="23" l="1"/>
  <c r="L346" i="23" l="1"/>
  <c r="L347" i="23" l="1"/>
  <c r="L348" i="23" l="1"/>
  <c r="L349" i="23" l="1"/>
  <c r="L350" i="23" l="1"/>
  <c r="L351" i="23" l="1"/>
  <c r="L352" i="23" l="1"/>
  <c r="L353" i="23" l="1"/>
  <c r="L354" i="23" l="1"/>
  <c r="L355" i="23" l="1"/>
  <c r="L356" i="23" l="1"/>
  <c r="L357" i="23" l="1"/>
  <c r="L358" i="23" l="1"/>
  <c r="L359" i="23" l="1"/>
  <c r="L360" i="23" l="1"/>
  <c r="L361" i="23" l="1"/>
  <c r="L362" i="23" l="1"/>
  <c r="L363" i="23" l="1"/>
  <c r="L364" i="23" l="1"/>
  <c r="L365" i="23" l="1"/>
  <c r="L366" i="23" l="1"/>
  <c r="L367" i="23" l="1"/>
  <c r="L368" i="23" l="1"/>
  <c r="L369" i="23" l="1"/>
  <c r="L370" i="23" l="1"/>
  <c r="L371" i="23" l="1"/>
  <c r="L372" i="23" l="1"/>
  <c r="L373" i="23" l="1"/>
  <c r="L374" i="23" l="1"/>
  <c r="L375" i="23" l="1"/>
  <c r="L376" i="23" l="1"/>
  <c r="L377" i="23" l="1"/>
  <c r="L378" i="23" l="1"/>
  <c r="L379" i="23" l="1"/>
  <c r="L380" i="23" l="1"/>
  <c r="L381" i="23" l="1"/>
  <c r="L382" i="23" l="1"/>
  <c r="L383" i="23" l="1"/>
  <c r="L384" i="23" l="1"/>
  <c r="L385" i="23" l="1"/>
  <c r="L386" i="23" l="1"/>
  <c r="L387" i="23" l="1"/>
  <c r="L388" i="23" l="1"/>
  <c r="L389" i="23" l="1"/>
  <c r="L390" i="23" l="1"/>
  <c r="L391" i="23" l="1"/>
  <c r="L392" i="23" l="1"/>
  <c r="L393" i="23" l="1"/>
  <c r="L394" i="23" l="1"/>
  <c r="L395" i="23" l="1"/>
  <c r="L396" i="23" l="1"/>
  <c r="L397" i="23" l="1"/>
  <c r="L398" i="23" l="1"/>
  <c r="L399" i="23" l="1"/>
  <c r="L400" i="23" l="1"/>
  <c r="L401" i="23" l="1"/>
  <c r="L402" i="23" l="1"/>
  <c r="L403" i="23" l="1"/>
  <c r="L404" i="23" l="1"/>
  <c r="L405" i="23" l="1"/>
  <c r="L406" i="23" l="1"/>
  <c r="L407" i="23" l="1"/>
  <c r="L408" i="23" l="1"/>
  <c r="L409" i="23" l="1"/>
  <c r="L410" i="23" l="1"/>
  <c r="L411" i="23" l="1"/>
  <c r="L412" i="23" l="1"/>
  <c r="L413" i="23" l="1"/>
  <c r="L414" i="23" l="1"/>
  <c r="L415" i="23" l="1"/>
  <c r="L416" i="23" l="1"/>
  <c r="L417" i="23" l="1"/>
  <c r="L418" i="23" l="1"/>
  <c r="L419" i="23" l="1"/>
  <c r="L420" i="23" l="1"/>
  <c r="L421" i="23" l="1"/>
  <c r="L422" i="23" l="1"/>
  <c r="L423" i="23" l="1"/>
  <c r="L424" i="23" l="1"/>
  <c r="L425" i="23" l="1"/>
  <c r="L426" i="23" l="1"/>
  <c r="L427" i="23" l="1"/>
  <c r="L428" i="23" l="1"/>
  <c r="L429" i="23" l="1"/>
  <c r="L430" i="23" l="1"/>
  <c r="L431" i="23" l="1"/>
  <c r="L432" i="23" l="1"/>
  <c r="L433" i="23" l="1"/>
  <c r="L434" i="23" l="1"/>
  <c r="L435" i="23" l="1"/>
  <c r="L436" i="23" l="1"/>
  <c r="L437" i="23" l="1"/>
  <c r="L438" i="23" l="1"/>
  <c r="L439" i="23" l="1"/>
  <c r="L440" i="23" l="1"/>
  <c r="L441" i="23" l="1"/>
  <c r="L442" i="23" l="1"/>
  <c r="L443" i="23" l="1"/>
  <c r="L444" i="23" l="1"/>
  <c r="L445" i="23" l="1"/>
  <c r="L446" i="23" l="1"/>
  <c r="L447" i="23" l="1"/>
  <c r="L448" i="23" l="1"/>
  <c r="L449" i="23" l="1"/>
  <c r="L450" i="23" l="1"/>
  <c r="L451" i="23" l="1"/>
  <c r="L452" i="23" l="1"/>
  <c r="L453" i="23" l="1"/>
  <c r="L454" i="23" l="1"/>
  <c r="L455" i="23" l="1"/>
  <c r="L456" i="23" l="1"/>
  <c r="L457" i="23" l="1"/>
  <c r="L458" i="23" l="1"/>
  <c r="L459" i="23" l="1"/>
  <c r="L460" i="23" l="1"/>
  <c r="L461" i="23" l="1"/>
  <c r="L462" i="23" l="1"/>
  <c r="L463" i="23" l="1"/>
  <c r="L464" i="23" l="1"/>
  <c r="L465" i="23" l="1"/>
  <c r="L466" i="23" l="1"/>
  <c r="L467" i="23" l="1"/>
  <c r="L468" i="23" l="1"/>
  <c r="L469" i="23" l="1"/>
  <c r="L470" i="23" l="1"/>
  <c r="L471" i="23" l="1"/>
  <c r="L472" i="23" l="1"/>
  <c r="L473" i="23" l="1"/>
  <c r="L474" i="23" l="1"/>
  <c r="L475" i="23" l="1"/>
  <c r="L476" i="23" l="1"/>
  <c r="L477" i="23" l="1"/>
  <c r="L478" i="23" l="1"/>
  <c r="L479" i="23" l="1"/>
  <c r="L480" i="23" l="1"/>
  <c r="L481" i="23" l="1"/>
  <c r="L482" i="23" l="1"/>
  <c r="L483" i="23" l="1"/>
  <c r="L484" i="23" l="1"/>
  <c r="L485" i="23" l="1"/>
  <c r="L486" i="23" s="1"/>
  <c r="U66" i="23" a="1"/>
  <c r="L487" i="23" l="1"/>
  <c r="L488" i="23" l="1"/>
  <c r="L489" i="23" l="1"/>
  <c r="L490" i="23" l="1"/>
  <c r="L491" i="23" l="1"/>
  <c r="L492" i="23" l="1"/>
  <c r="L493" i="23" l="1"/>
  <c r="L494" i="23" l="1"/>
  <c r="L495" i="23" l="1"/>
  <c r="L496" i="23" l="1"/>
  <c r="L497" i="23" l="1"/>
  <c r="L498" i="23" l="1"/>
  <c r="L499" i="23" l="1"/>
  <c r="L500" i="23" l="1"/>
  <c r="L501" i="23" l="1"/>
  <c r="L502" i="23" l="1"/>
  <c r="L503" i="23" l="1"/>
  <c r="L504" i="23" l="1"/>
  <c r="L505" i="23" l="1"/>
  <c r="L506" i="23" l="1"/>
  <c r="L507" i="23" l="1"/>
  <c r="L508" i="23" l="1"/>
  <c r="L509" i="23" l="1"/>
  <c r="L510" i="23" l="1"/>
  <c r="L511" i="23" l="1"/>
  <c r="L512" i="23" l="1"/>
  <c r="L513" i="23" l="1"/>
  <c r="L514" i="23" l="1"/>
  <c r="L515" i="23" l="1"/>
  <c r="L516" i="23" l="1"/>
  <c r="L517" i="23" l="1"/>
  <c r="L518" i="23" l="1"/>
  <c r="L519" i="23" l="1"/>
  <c r="L520" i="23" l="1"/>
  <c r="L521" i="23" l="1"/>
  <c r="L522" i="23" l="1"/>
  <c r="L523" i="23" l="1"/>
  <c r="L524" i="23" l="1"/>
  <c r="L525" i="23" l="1"/>
  <c r="L526" i="23" l="1"/>
  <c r="L527" i="23" l="1"/>
  <c r="L528" i="23" l="1"/>
  <c r="L529" i="23" l="1"/>
  <c r="L530" i="23" l="1"/>
  <c r="L531" i="23" l="1"/>
  <c r="L532" i="23" l="1"/>
  <c r="L533" i="23" l="1"/>
  <c r="L534" i="23" l="1"/>
  <c r="L535" i="23" l="1"/>
  <c r="L536" i="23" l="1"/>
  <c r="L537" i="23" l="1"/>
  <c r="L538" i="23" l="1"/>
  <c r="L539" i="23" l="1"/>
  <c r="L540" i="23" l="1"/>
  <c r="L541" i="23" l="1"/>
  <c r="L542" i="23" l="1"/>
  <c r="L543" i="23" l="1"/>
  <c r="L544" i="23" l="1"/>
  <c r="L545" i="23" l="1"/>
  <c r="L546" i="23" l="1"/>
  <c r="L547" i="23" l="1"/>
  <c r="L548" i="23" l="1"/>
  <c r="L549" i="23" l="1"/>
  <c r="L550" i="23" l="1"/>
  <c r="L551" i="23" l="1"/>
  <c r="L552" i="23" l="1"/>
  <c r="L553" i="23" l="1"/>
  <c r="L554" i="23" l="1"/>
  <c r="L555" i="23" l="1"/>
  <c r="L556" i="23" l="1"/>
  <c r="L557" i="23" l="1"/>
  <c r="L558" i="23" l="1"/>
  <c r="L559" i="23" l="1"/>
  <c r="L560" i="23" l="1"/>
  <c r="L561" i="23" l="1"/>
  <c r="L562" i="23" l="1"/>
  <c r="L563" i="23" l="1"/>
  <c r="L564" i="23" l="1"/>
  <c r="L565" i="23" l="1"/>
  <c r="L566" i="23" l="1"/>
  <c r="L567" i="23" l="1"/>
  <c r="L568" i="23" l="1"/>
  <c r="L569" i="23" l="1"/>
  <c r="L570" i="23" l="1"/>
  <c r="L571" i="23" l="1"/>
  <c r="L572" i="23" l="1"/>
  <c r="L573" i="23" l="1"/>
  <c r="L574" i="23" l="1"/>
  <c r="L575" i="23" l="1"/>
  <c r="L576" i="23" l="1"/>
  <c r="L577" i="23" l="1"/>
  <c r="L578" i="23" l="1"/>
  <c r="L579" i="23" l="1"/>
  <c r="L580" i="23" l="1"/>
  <c r="L581" i="23" l="1"/>
  <c r="L582" i="23" l="1"/>
  <c r="L583" i="23" l="1"/>
  <c r="L584" i="23" l="1"/>
  <c r="L585" i="23" l="1"/>
  <c r="L586" i="23" l="1"/>
  <c r="L587" i="23" l="1"/>
  <c r="L588" i="23" l="1"/>
  <c r="L589" i="23" l="1"/>
  <c r="L590" i="23" l="1"/>
  <c r="L591" i="23" l="1"/>
  <c r="L592" i="23" l="1"/>
  <c r="L593" i="23" l="1"/>
  <c r="L594" i="23" l="1"/>
  <c r="L595" i="23" l="1"/>
  <c r="L596" i="23" l="1"/>
  <c r="L597" i="23" l="1"/>
  <c r="L598" i="23" l="1"/>
  <c r="L599" i="23" l="1"/>
  <c r="L600" i="23" l="1"/>
  <c r="L601" i="23" l="1"/>
  <c r="L602" i="23" l="1"/>
  <c r="L603" i="23" l="1"/>
  <c r="L604" i="23" l="1"/>
  <c r="L605" i="23" l="1"/>
  <c r="L606" i="23" l="1"/>
  <c r="L607" i="23" l="1"/>
  <c r="L608" i="23" l="1"/>
  <c r="L609" i="23" l="1"/>
  <c r="L610" i="23" l="1"/>
  <c r="L611" i="23" l="1"/>
  <c r="L612" i="23" l="1"/>
  <c r="L613" i="23" l="1"/>
  <c r="L614" i="23" l="1"/>
  <c r="L615" i="23" l="1"/>
  <c r="L616" i="23" l="1"/>
  <c r="L617" i="23" l="1"/>
  <c r="L618" i="23" l="1"/>
  <c r="L619" i="23" l="1"/>
  <c r="L620" i="23" l="1"/>
  <c r="L621" i="23" l="1"/>
  <c r="L622" i="23" l="1"/>
  <c r="L623" i="23" l="1"/>
  <c r="L624" i="23" l="1"/>
  <c r="L625" i="23" l="1"/>
  <c r="L626" i="23" l="1"/>
  <c r="L627" i="23" l="1"/>
  <c r="L628" i="23" l="1"/>
  <c r="L629" i="23" l="1"/>
  <c r="L630" i="23" l="1"/>
  <c r="L631" i="23" l="1"/>
  <c r="L632" i="23" l="1"/>
  <c r="L633" i="23" l="1"/>
  <c r="L634" i="23" l="1"/>
  <c r="L635" i="23" l="1"/>
  <c r="L636" i="23" l="1"/>
  <c r="L637" i="23" l="1"/>
  <c r="L638" i="23" l="1"/>
  <c r="L639" i="23" l="1"/>
  <c r="L640" i="23" l="1"/>
  <c r="L641" i="23" l="1"/>
  <c r="L642" i="23" l="1"/>
  <c r="L643" i="23" l="1"/>
  <c r="L644" i="23" l="1"/>
  <c r="L645" i="23" l="1"/>
  <c r="L646" i="23" l="1"/>
  <c r="L647" i="23" l="1"/>
  <c r="L648" i="23" l="1"/>
  <c r="L649" i="23" l="1"/>
  <c r="L650" i="23" l="1"/>
  <c r="L651" i="23" l="1"/>
  <c r="L652" i="23" l="1"/>
  <c r="L653" i="23" l="1"/>
  <c r="L654" i="23" l="1"/>
  <c r="L655" i="23" l="1"/>
  <c r="L656" i="23" l="1"/>
  <c r="L657" i="23" l="1"/>
  <c r="L658" i="23" l="1"/>
  <c r="L659" i="23" l="1"/>
  <c r="L660" i="23" l="1"/>
  <c r="L661" i="23" l="1"/>
  <c r="L662" i="23" l="1"/>
  <c r="L663" i="23" l="1"/>
  <c r="L664" i="23" l="1"/>
  <c r="L665" i="23" l="1"/>
  <c r="L666" i="23" l="1"/>
  <c r="L667" i="23" l="1"/>
  <c r="L668" i="23" l="1"/>
  <c r="L669" i="23" l="1"/>
  <c r="L670" i="23" l="1"/>
  <c r="L671" i="23" l="1"/>
  <c r="L672" i="23" l="1"/>
  <c r="L673" i="23" l="1"/>
  <c r="L674" i="23" l="1"/>
  <c r="L675" i="23" l="1"/>
  <c r="L676" i="23" l="1"/>
  <c r="L677" i="23" l="1"/>
  <c r="L678" i="23" l="1"/>
  <c r="L679" i="23" l="1"/>
  <c r="L680" i="23" l="1"/>
  <c r="L681" i="23" l="1"/>
  <c r="L682" i="23" l="1"/>
  <c r="L683" i="23" l="1"/>
  <c r="L684" i="23" l="1"/>
  <c r="L685" i="23" l="1"/>
  <c r="L686" i="23" l="1"/>
  <c r="L687" i="23" l="1"/>
  <c r="L688" i="23" l="1"/>
  <c r="L689" i="23" l="1"/>
  <c r="L690" i="23" l="1"/>
  <c r="L691" i="23" l="1"/>
  <c r="L692" i="23" l="1"/>
  <c r="L693" i="23" l="1"/>
  <c r="L694" i="23" l="1"/>
  <c r="L695" i="23" l="1"/>
  <c r="L696" i="23" l="1"/>
  <c r="L697" i="23" l="1"/>
  <c r="L698" i="23" l="1"/>
  <c r="L699" i="23" l="1"/>
  <c r="L700" i="23" l="1"/>
  <c r="L701" i="23" l="1"/>
  <c r="L702" i="23" l="1"/>
  <c r="L703" i="23" l="1"/>
  <c r="L704" i="23" l="1"/>
  <c r="L705" i="23" l="1"/>
  <c r="L706" i="23" l="1"/>
  <c r="L707" i="23" l="1"/>
  <c r="L708" i="23" l="1"/>
  <c r="L709" i="23" l="1"/>
  <c r="L710" i="23" l="1"/>
  <c r="L711" i="23" l="1"/>
  <c r="L712" i="23" l="1"/>
  <c r="L713" i="23" l="1"/>
  <c r="L714" i="23" l="1"/>
  <c r="L715" i="23" l="1"/>
  <c r="L716" i="23" l="1"/>
  <c r="L717" i="23" l="1"/>
  <c r="L718" i="23" l="1"/>
  <c r="L719" i="23" l="1"/>
  <c r="L720" i="23" l="1"/>
  <c r="L721" i="23" l="1"/>
  <c r="L722" i="23" l="1"/>
  <c r="L723" i="23" l="1"/>
  <c r="L724" i="23" l="1"/>
  <c r="L725" i="23" l="1"/>
  <c r="L726" i="23" l="1"/>
  <c r="L727" i="23" l="1"/>
  <c r="L728" i="23" l="1"/>
  <c r="L729" i="23" l="1"/>
  <c r="L730" i="23" l="1"/>
  <c r="L731" i="23" l="1"/>
  <c r="L732" i="23" l="1"/>
  <c r="L733" i="23" l="1"/>
  <c r="L734" i="23" l="1"/>
  <c r="L735" i="23" l="1"/>
  <c r="L736" i="23" l="1"/>
  <c r="L737" i="23" l="1"/>
  <c r="L738" i="23" l="1"/>
  <c r="L739" i="23" l="1"/>
  <c r="L740" i="23" l="1"/>
  <c r="L741" i="23" l="1"/>
  <c r="L742" i="23" l="1"/>
  <c r="L743" i="23" l="1"/>
  <c r="L744" i="23" l="1"/>
  <c r="L745" i="23" l="1"/>
  <c r="L746" i="23" l="1"/>
  <c r="L747" i="23" l="1"/>
  <c r="L748" i="23" l="1"/>
  <c r="L749" i="23" l="1"/>
  <c r="L750" i="23" l="1"/>
  <c r="L751" i="23" l="1"/>
  <c r="L752" i="23" l="1"/>
  <c r="L753" i="23" l="1"/>
  <c r="L754" i="23" l="1"/>
  <c r="L755" i="23" l="1"/>
  <c r="L756" i="23" l="1"/>
  <c r="L757" i="23" l="1"/>
  <c r="L758" i="23" l="1"/>
  <c r="L759" i="23" l="1"/>
  <c r="L760" i="23" l="1"/>
  <c r="L761" i="23" l="1"/>
  <c r="L762" i="23" l="1"/>
  <c r="L763" i="23" l="1"/>
  <c r="L764" i="23" l="1"/>
  <c r="L765" i="23" l="1"/>
  <c r="L766" i="23" l="1"/>
  <c r="L767" i="23" l="1"/>
  <c r="L768" i="23" l="1"/>
  <c r="L769" i="23" l="1"/>
  <c r="L770" i="23" l="1"/>
  <c r="L771" i="23" l="1"/>
  <c r="L772" i="23" l="1"/>
  <c r="L773" i="23" l="1"/>
  <c r="L774" i="23" l="1"/>
  <c r="L775" i="23" l="1"/>
  <c r="L776" i="23" l="1"/>
  <c r="L777" i="23" l="1"/>
  <c r="L778" i="23" l="1"/>
  <c r="L779" i="23" l="1"/>
  <c r="L780" i="23" l="1"/>
  <c r="L781" i="23" l="1"/>
  <c r="L782" i="23" l="1"/>
  <c r="L783" i="23" l="1"/>
  <c r="L784" i="23" l="1"/>
  <c r="L785" i="23" l="1"/>
  <c r="L786" i="23" l="1"/>
  <c r="L787" i="23" l="1"/>
  <c r="L788" i="23" l="1"/>
  <c r="L789" i="23" l="1"/>
  <c r="L790" i="23" l="1"/>
  <c r="L791" i="23" l="1"/>
  <c r="L792" i="23" l="1"/>
  <c r="L793" i="23" l="1"/>
  <c r="L794" i="23" l="1"/>
  <c r="L795" i="23" l="1"/>
  <c r="L796" i="23" l="1"/>
  <c r="L797" i="23" l="1"/>
  <c r="L798" i="23" l="1"/>
  <c r="L799" i="23" l="1"/>
  <c r="L800" i="23" l="1"/>
  <c r="L801" i="23" l="1"/>
  <c r="L802" i="23" l="1"/>
  <c r="L803" i="23" l="1"/>
  <c r="L804" i="23" l="1"/>
  <c r="L805" i="23" l="1"/>
  <c r="L806" i="23" l="1"/>
  <c r="L807" i="23" l="1"/>
  <c r="L808" i="23" l="1"/>
  <c r="L809" i="23" l="1"/>
  <c r="L810" i="23" l="1"/>
  <c r="L811" i="23" l="1"/>
  <c r="L812" i="23" l="1"/>
  <c r="L813" i="23" l="1"/>
  <c r="L814" i="23" l="1"/>
  <c r="L815" i="23" l="1"/>
  <c r="L816" i="23" l="1"/>
  <c r="L817" i="23" l="1"/>
  <c r="L818" i="23" l="1"/>
  <c r="L819" i="23" l="1"/>
  <c r="L820" i="23" l="1"/>
  <c r="L821" i="23" l="1"/>
  <c r="L822" i="23" l="1"/>
  <c r="L823" i="23" l="1"/>
  <c r="L824" i="23" l="1"/>
  <c r="L825" i="23" l="1"/>
  <c r="L826" i="23" l="1"/>
  <c r="L827" i="23" l="1"/>
  <c r="L828" i="23" l="1"/>
  <c r="L829" i="23" l="1"/>
  <c r="L830" i="23" l="1"/>
  <c r="L831" i="23" l="1"/>
  <c r="L832" i="23" l="1"/>
  <c r="L833" i="23" l="1"/>
  <c r="L834" i="23" l="1"/>
  <c r="L835" i="23" l="1"/>
  <c r="L836" i="23" l="1"/>
  <c r="L837" i="23" l="1"/>
  <c r="L838" i="23" l="1"/>
  <c r="L839" i="23" l="1"/>
  <c r="L840" i="23" l="1"/>
  <c r="L841" i="23" l="1"/>
  <c r="L842" i="23" l="1"/>
  <c r="L843" i="23" l="1"/>
  <c r="L844" i="23" l="1"/>
  <c r="L845" i="23" l="1"/>
  <c r="L846" i="23" l="1"/>
  <c r="L847" i="23" l="1"/>
  <c r="L848" i="23" l="1"/>
  <c r="L849" i="23" l="1"/>
  <c r="L850" i="23" l="1"/>
  <c r="L851" i="23" l="1"/>
  <c r="L852" i="23" l="1"/>
  <c r="L853" i="23" l="1"/>
  <c r="L854" i="23" l="1"/>
  <c r="L855" i="23" l="1"/>
  <c r="L856" i="23" l="1"/>
  <c r="L857" i="23" l="1"/>
  <c r="L858" i="23" l="1"/>
  <c r="L859" i="23" l="1"/>
  <c r="L860" i="23" l="1"/>
  <c r="L861" i="23" l="1"/>
  <c r="L862" i="23" l="1"/>
  <c r="L863" i="23" l="1"/>
  <c r="L864" i="23" l="1"/>
  <c r="L865" i="23" l="1"/>
  <c r="L866" i="23" l="1"/>
  <c r="L867" i="23" l="1"/>
  <c r="L868" i="23" l="1"/>
  <c r="L869" i="23" l="1"/>
  <c r="L870" i="23" l="1"/>
  <c r="L871" i="23" l="1"/>
  <c r="L872" i="23" l="1"/>
  <c r="L873" i="23" l="1"/>
  <c r="L874" i="23" l="1"/>
  <c r="L875" i="23" l="1"/>
  <c r="L876" i="23" l="1"/>
  <c r="L877" i="23" l="1"/>
  <c r="L878" i="23" l="1"/>
  <c r="L879" i="23" l="1"/>
  <c r="L880" i="23" l="1"/>
  <c r="L881" i="23" l="1"/>
  <c r="L882" i="23" l="1"/>
  <c r="L883" i="23" l="1"/>
  <c r="L884" i="23" l="1"/>
  <c r="L885" i="23" l="1"/>
  <c r="L886" i="23" l="1"/>
  <c r="L887" i="23" l="1"/>
  <c r="L888" i="23" l="1"/>
  <c r="L889" i="23" l="1"/>
  <c r="L890" i="23" l="1"/>
  <c r="L891" i="23" l="1"/>
  <c r="L892" i="23" l="1"/>
  <c r="L893" i="23" l="1"/>
  <c r="L894" i="23" l="1"/>
  <c r="L895" i="23" l="1"/>
  <c r="L896" i="23" l="1"/>
  <c r="L897" i="23" l="1"/>
  <c r="L898" i="23" l="1"/>
  <c r="L899" i="23" l="1"/>
  <c r="L900" i="23" l="1"/>
  <c r="L901" i="23" l="1"/>
  <c r="L902" i="23" l="1"/>
  <c r="L903" i="23" l="1"/>
  <c r="L904" i="23" l="1"/>
  <c r="L905" i="23" l="1"/>
  <c r="L906" i="23" l="1"/>
  <c r="L907" i="23" l="1"/>
  <c r="L908" i="23" l="1"/>
  <c r="L909" i="23" l="1"/>
  <c r="L910" i="23" l="1"/>
  <c r="L911" i="23" l="1"/>
  <c r="L912" i="23" l="1"/>
  <c r="L913" i="23" l="1"/>
  <c r="L914" i="23" l="1"/>
  <c r="L915" i="23" l="1"/>
  <c r="L916" i="23" l="1"/>
  <c r="L917" i="23" l="1"/>
  <c r="L918" i="23" l="1"/>
  <c r="L919" i="23" l="1"/>
  <c r="L920" i="23" l="1"/>
  <c r="L921" i="23" l="1"/>
  <c r="L922" i="23" l="1"/>
  <c r="L923" i="23" l="1"/>
  <c r="L924" i="23" l="1"/>
  <c r="L925" i="23" l="1"/>
  <c r="L926" i="23" l="1"/>
  <c r="L927" i="23" l="1"/>
  <c r="L928" i="23" l="1"/>
  <c r="L929" i="23" l="1"/>
  <c r="L930" i="23" l="1"/>
  <c r="L931" i="23" l="1"/>
  <c r="L932" i="23" l="1"/>
  <c r="L933" i="23" l="1"/>
  <c r="L934" i="23" l="1"/>
  <c r="L935" i="23" l="1"/>
  <c r="L936" i="23" l="1"/>
  <c r="L937" i="23" l="1"/>
  <c r="L938" i="23" l="1"/>
  <c r="L939" i="23" l="1"/>
  <c r="L940" i="23" l="1"/>
  <c r="L941" i="23" l="1"/>
  <c r="L942" i="23" l="1"/>
  <c r="L943" i="23" l="1"/>
  <c r="L944" i="23" l="1"/>
  <c r="L945" i="23" l="1"/>
  <c r="L946" i="23" l="1"/>
  <c r="L947" i="23" l="1"/>
  <c r="L948" i="23" l="1"/>
  <c r="L949" i="23" l="1"/>
  <c r="L950" i="23" l="1"/>
  <c r="L951" i="23" l="1"/>
  <c r="L952" i="23" l="1"/>
  <c r="L953" i="23" l="1"/>
  <c r="L954" i="23" l="1"/>
  <c r="L955" i="23" l="1"/>
  <c r="L956" i="23" l="1"/>
  <c r="L957" i="23" l="1"/>
  <c r="L958" i="23" l="1"/>
  <c r="L959" i="23" l="1"/>
  <c r="L960" i="23" l="1"/>
  <c r="L961" i="23" l="1"/>
  <c r="L962" i="23" l="1"/>
  <c r="L963" i="23" l="1"/>
  <c r="L964" i="23" l="1"/>
  <c r="L965" i="23" l="1"/>
  <c r="L966" i="23" l="1"/>
  <c r="L967" i="23" l="1"/>
  <c r="L968" i="23" l="1"/>
  <c r="L969" i="23" l="1"/>
  <c r="L970" i="23" l="1"/>
  <c r="L971" i="23" l="1"/>
  <c r="L972" i="23" l="1"/>
  <c r="L973" i="23" l="1"/>
  <c r="L974" i="23" l="1"/>
  <c r="L975" i="23" l="1"/>
  <c r="L976" i="23" l="1"/>
  <c r="L977" i="23" l="1"/>
  <c r="L978" i="23" l="1"/>
  <c r="L979" i="23" l="1"/>
  <c r="L980" i="23" l="1"/>
  <c r="L981" i="23" l="1"/>
  <c r="L982" i="23" l="1"/>
  <c r="L983" i="23" l="1"/>
  <c r="L984" i="23" l="1"/>
  <c r="L985" i="23" l="1"/>
  <c r="L986" i="23" l="1"/>
  <c r="L987" i="23" l="1"/>
  <c r="L988" i="23" l="1"/>
  <c r="L989" i="23" l="1"/>
  <c r="L990" i="23" l="1"/>
  <c r="L991" i="23" l="1"/>
  <c r="L992" i="23" l="1"/>
  <c r="L993" i="23" l="1"/>
  <c r="L994" i="23" l="1"/>
  <c r="L995" i="23" l="1"/>
  <c r="L996" i="23" l="1"/>
  <c r="L997" i="23" l="1"/>
  <c r="L998" i="23" l="1"/>
  <c r="L999" i="23" l="1"/>
  <c r="L1000" i="23" l="1"/>
  <c r="L1001" i="23" l="1"/>
  <c r="L1002" i="23" l="1"/>
  <c r="L1003" i="23" l="1"/>
  <c r="L1004" i="23" l="1"/>
  <c r="L1005" i="23" l="1"/>
  <c r="L1006" i="23" l="1"/>
  <c r="L1007" i="23" l="1"/>
  <c r="L1008" i="23" l="1"/>
  <c r="L1009" i="23" l="1"/>
  <c r="L1010" i="23" l="1"/>
  <c r="L1011" i="23" l="1"/>
  <c r="L1012" i="23" l="1"/>
  <c r="L1013" i="23" l="1"/>
  <c r="L1014" i="23" l="1"/>
  <c r="L1015" i="23" l="1"/>
  <c r="L1016" i="23" l="1"/>
  <c r="L1017" i="23" l="1"/>
  <c r="L1018" i="23" l="1"/>
  <c r="L1019" i="23" l="1"/>
  <c r="L1020" i="23" l="1"/>
  <c r="L1021" i="23" l="1"/>
  <c r="L1022" i="23" l="1"/>
  <c r="L1023" i="23" l="1"/>
  <c r="L1024" i="23" l="1"/>
  <c r="L1025" i="23" l="1"/>
  <c r="L1026" i="23" l="1"/>
  <c r="L1027" i="23" l="1"/>
  <c r="L1028" i="23" l="1"/>
  <c r="L1029" i="23" l="1"/>
  <c r="L1030" i="23" l="1"/>
  <c r="L1031" i="23" l="1"/>
  <c r="L1032" i="23" l="1"/>
  <c r="L1033" i="23" l="1"/>
  <c r="L1034" i="23" l="1"/>
  <c r="L1035" i="23" l="1"/>
  <c r="L1036" i="23" l="1"/>
  <c r="L1037" i="23" l="1"/>
  <c r="L1038" i="23" l="1"/>
  <c r="L1039" i="23" l="1"/>
  <c r="L1040" i="23" l="1"/>
  <c r="L1041" i="23" l="1"/>
  <c r="L1042" i="23" l="1"/>
  <c r="L1043" i="23" l="1"/>
  <c r="L1044" i="23" l="1"/>
  <c r="L1045" i="23" l="1"/>
  <c r="L1046" i="23" l="1"/>
  <c r="L1047" i="23" l="1"/>
  <c r="L1048" i="23" l="1"/>
  <c r="L1049" i="23" l="1"/>
  <c r="L1050" i="23" l="1"/>
  <c r="L1051" i="23" l="1"/>
  <c r="L1052" i="23" l="1"/>
  <c r="L1053" i="23" l="1"/>
  <c r="L1054" i="23" l="1"/>
  <c r="L1055" i="23" l="1"/>
  <c r="L1056" i="23" l="1"/>
  <c r="L1057" i="23" l="1"/>
  <c r="L1058" i="23" l="1"/>
  <c r="L1059" i="23" l="1"/>
  <c r="L1060" i="23" l="1"/>
  <c r="L1061" i="23" l="1"/>
  <c r="L1062" i="23" l="1"/>
  <c r="L1063" i="23" l="1"/>
  <c r="L1064" i="23" l="1"/>
  <c r="L1065" i="23" l="1"/>
  <c r="L1066" i="23" l="1"/>
  <c r="L1067" i="23" l="1"/>
  <c r="L1068" i="23" l="1"/>
  <c r="L1069" i="23" l="1"/>
  <c r="L1070" i="23" l="1"/>
  <c r="L1071" i="23" l="1"/>
  <c r="L1072" i="23" l="1"/>
  <c r="L1073" i="23" l="1"/>
  <c r="L1074" i="23" l="1"/>
  <c r="L1075" i="23" l="1"/>
  <c r="L1076" i="23" l="1"/>
  <c r="L1077" i="23" l="1"/>
  <c r="L1078" i="23" l="1"/>
  <c r="L1079" i="23" l="1"/>
  <c r="L1080" i="23" l="1"/>
  <c r="L1081" i="23" l="1"/>
  <c r="L1082" i="23" l="1"/>
  <c r="L1083" i="23" l="1"/>
  <c r="L1084" i="23" l="1"/>
  <c r="L1085" i="23" l="1"/>
  <c r="L1086" i="23" l="1"/>
  <c r="L1087" i="23" l="1"/>
  <c r="L1088" i="23" l="1"/>
  <c r="L1089" i="23" l="1"/>
  <c r="L1090" i="23" l="1"/>
  <c r="L1091" i="23" l="1"/>
  <c r="L1092" i="23" l="1"/>
  <c r="L1093" i="23" l="1"/>
  <c r="L1094" i="23" l="1"/>
  <c r="L1095" i="23" l="1"/>
  <c r="L1096" i="23" l="1"/>
  <c r="L1097" i="23" l="1"/>
  <c r="L1098" i="23" l="1"/>
  <c r="L1099" i="23" l="1"/>
  <c r="L1100" i="23" l="1"/>
  <c r="L1101" i="23" l="1"/>
  <c r="L1102" i="23" l="1"/>
  <c r="L1103" i="23" l="1"/>
  <c r="L1104" i="23" l="1"/>
  <c r="L1105" i="23" l="1"/>
  <c r="L1106" i="23" l="1"/>
  <c r="L1107" i="23" l="1"/>
  <c r="L1108" i="23" l="1"/>
  <c r="L1109" i="23" l="1"/>
  <c r="L1110" i="23" l="1"/>
  <c r="L1111" i="23" l="1"/>
  <c r="L1112" i="23" l="1"/>
  <c r="L1113" i="23" l="1"/>
  <c r="L1114" i="23" l="1"/>
  <c r="L1115" i="23" l="1"/>
  <c r="L1116" i="23" l="1"/>
  <c r="L1117" i="23" l="1"/>
  <c r="L1118" i="23" l="1"/>
  <c r="L1119" i="23" l="1"/>
  <c r="L1120" i="23" l="1"/>
  <c r="L1121" i="23" l="1"/>
  <c r="L1122" i="23" l="1"/>
  <c r="L1123" i="23" l="1"/>
  <c r="L1124" i="23" l="1"/>
  <c r="L1125" i="23" l="1"/>
  <c r="L1126" i="23" l="1"/>
  <c r="L1127" i="23" l="1"/>
  <c r="L1128" i="23" l="1"/>
  <c r="L1129" i="23" l="1"/>
  <c r="L1130" i="23" l="1"/>
  <c r="L1131" i="23" l="1"/>
  <c r="L1132" i="23" l="1"/>
  <c r="L1133" i="23" l="1"/>
  <c r="L1134" i="23" l="1"/>
  <c r="L1135" i="23" l="1"/>
  <c r="L1136" i="23" l="1"/>
  <c r="L1137" i="23" l="1"/>
  <c r="L1138" i="23" l="1"/>
  <c r="L1139" i="23" l="1"/>
  <c r="L1140" i="23" l="1"/>
  <c r="L1141" i="23" l="1"/>
  <c r="L1142" i="23" l="1"/>
  <c r="L1143" i="23" l="1"/>
  <c r="L1144" i="23" l="1"/>
  <c r="L1145" i="23" l="1"/>
  <c r="L1146" i="23" l="1"/>
  <c r="L1147" i="23" l="1"/>
  <c r="L1148" i="23" l="1"/>
  <c r="L1149" i="23" l="1"/>
  <c r="L1150" i="23" l="1"/>
  <c r="L1151" i="23" l="1"/>
  <c r="L1152" i="23" l="1"/>
  <c r="L1153" i="23" l="1"/>
  <c r="L1154" i="23" l="1"/>
  <c r="L1155" i="23" l="1"/>
  <c r="L1156" i="23" l="1"/>
  <c r="L1157" i="23" l="1"/>
  <c r="L1158" i="23" l="1"/>
  <c r="L1159" i="23" l="1"/>
  <c r="L1160" i="23" l="1"/>
  <c r="L1161" i="23" l="1"/>
  <c r="L1162" i="23" l="1"/>
  <c r="L1163" i="23" l="1"/>
  <c r="L1164" i="23" l="1"/>
  <c r="L1165" i="23" l="1"/>
  <c r="L1166" i="23" l="1"/>
  <c r="L1167" i="23" l="1"/>
  <c r="L1168" i="23" l="1"/>
  <c r="L1169" i="23" l="1"/>
  <c r="L1170" i="23" l="1"/>
  <c r="L1171" i="23" l="1"/>
  <c r="L1172" i="23" l="1"/>
  <c r="L1173" i="23" l="1"/>
  <c r="L1174" i="23" l="1"/>
  <c r="L1175" i="23" l="1"/>
  <c r="L1176" i="23" l="1"/>
  <c r="L1177" i="23" l="1"/>
  <c r="L1178" i="23" l="1"/>
  <c r="L1179" i="23" l="1"/>
  <c r="L1180" i="23" l="1"/>
  <c r="L1181" i="23" l="1"/>
  <c r="L1182" i="23" l="1"/>
  <c r="L1183" i="23" l="1"/>
  <c r="L1184" i="23" l="1"/>
  <c r="L1185" i="23" l="1"/>
  <c r="L1186" i="23" l="1"/>
  <c r="L1187" i="23" l="1"/>
  <c r="L1188" i="23" l="1"/>
  <c r="L1189" i="23" l="1"/>
  <c r="L1190" i="23" l="1"/>
  <c r="L1191" i="23" l="1"/>
  <c r="L1192" i="23" l="1"/>
  <c r="L1193" i="23" l="1"/>
  <c r="L1194" i="23" l="1"/>
  <c r="L1195" i="23" l="1"/>
  <c r="L1196" i="23" l="1"/>
  <c r="L1197" i="23" l="1"/>
  <c r="L1198" i="23" l="1"/>
  <c r="L1199" i="23" l="1"/>
  <c r="L1200" i="23" l="1"/>
  <c r="L1201" i="23" l="1"/>
  <c r="L1202" i="23" l="1"/>
  <c r="L1203" i="23" l="1"/>
  <c r="L1204" i="23" l="1"/>
  <c r="L1205" i="23" l="1"/>
  <c r="X9" i="23" l="1"/>
  <c r="C10" i="2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<sst xmlns="http://schemas.openxmlformats.org/spreadsheetml/2006/main" count="43" uniqueCount="38">
  <si>
    <t>Months</t>
  </si>
  <si>
    <t>Inflation Rate/Year</t>
  </si>
  <si>
    <t>Monthly</t>
  </si>
  <si>
    <t>Cost of Delay</t>
  </si>
  <si>
    <t>Delay in Investing - Months</t>
  </si>
  <si>
    <t>Inflation Adjusted Value after term (Rs.)</t>
  </si>
  <si>
    <t>SIP (Systematic Investment Plan) Calculator</t>
  </si>
  <si>
    <t>Return</t>
  </si>
  <si>
    <t>Inflation Adjusted</t>
  </si>
  <si>
    <t>Maturity Value at the End of Term (Rs.)</t>
  </si>
  <si>
    <t>Total Invested</t>
  </si>
  <si>
    <t>Delay</t>
  </si>
  <si>
    <t>Total Months</t>
  </si>
  <si>
    <t>Total Amount Invested</t>
  </si>
  <si>
    <t>Absolute Gain</t>
  </si>
  <si>
    <t>* For Educational Purposes Only</t>
  </si>
  <si>
    <t>Total Investment Months</t>
  </si>
  <si>
    <t>Growth Months</t>
  </si>
  <si>
    <t>FV</t>
  </si>
  <si>
    <t>FV During SIP</t>
  </si>
  <si>
    <t>Value after of Delay</t>
  </si>
  <si>
    <t>Maturity Value with Delay</t>
  </si>
  <si>
    <t>Monthly Investment Amount</t>
  </si>
  <si>
    <t>XIRR</t>
  </si>
  <si>
    <t>XIRR %</t>
  </si>
  <si>
    <t>Expected Rate of Return</t>
  </si>
  <si>
    <t>SIP Years</t>
  </si>
  <si>
    <t>Invest Years</t>
  </si>
  <si>
    <t>SIPRate Compounding</t>
  </si>
  <si>
    <t>For Table in Document</t>
  </si>
  <si>
    <t>Value</t>
  </si>
  <si>
    <t>Loss</t>
  </si>
  <si>
    <t>Total Investment Duration in Years (Max. 100)</t>
  </si>
  <si>
    <t>Years</t>
  </si>
  <si>
    <t>Name:</t>
  </si>
  <si>
    <t>Age:</t>
  </si>
  <si>
    <t>Mr. Anshu Kaul</t>
  </si>
  <si>
    <t>© Copyright Nivra Fintech LLC,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</si>
</sst>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₹&quot;\ #,##0;[Red]&quot;₹&quot;\ \-#,##0"/>
    <numFmt numFmtId="8" formatCode="&quot;₹&quot;\ #,##0.00;[Red]&quot;₹&quot;\ \-#,##0.00"/>
    <numFmt numFmtId="164" formatCode="_ [$₹-4009]\ * #,##0_ ;_ [$₹-4009]\ * \-#,##0_ ;_ [$₹-4009]\ * &quot;-&quot;??_ ;_ @_ "/>
    <numFmt numFmtId="165" formatCode="_ &quot;₹&quot;\ * #,##0_ ;_ &quot;₹&quot;\ * \-#,##0_ ;_ &quot;₹&quot;\ * &quot;-&quot;??_ ;_ @_ "/>
  </numFmts>
  <fonts count="1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FFFF0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rgb="FF002060"/>
      <name val="Arial"/>
      <family val="2"/>
    </font>
    <font>
      <sz val="10"/>
      <color rgb="FF002060"/>
      <name val="Arial"/>
      <family val="2"/>
    </font>
    <font>
      <b/>
      <sz val="10"/>
      <color rgb="FFFFFF00"/>
      <name val="Arial"/>
      <family val="2"/>
    </font>
    <font>
      <b/>
      <i/>
      <sz val="10"/>
      <color rgb="FFFF0000"/>
      <name val="Arial"/>
      <family val="2"/>
    </font>
    <font>
      <b/>
      <sz val="16"/>
      <color theme="8" tint="-0.499984740745262"/>
      <name val="Arial"/>
      <family val="2"/>
    </font>
    <font>
      <i/>
      <sz val="10"/>
      <name val="Arial"/>
      <family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AEDFF7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/>
  </cellStyleXfs>
  <cellXfs count="54">
    <xf numFmtId="0" fontId="0" fillId="0" borderId="0" xfId="0"/>
    <xf numFmtId="0" fontId="0" fillId="2" borderId="1" xfId="0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hidden="1"/>
    </xf>
    <xf numFmtId="0" fontId="0" fillId="3" borderId="1" xfId="0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5" fillId="3" borderId="1" xfId="0" applyFont="1" applyFill="1" applyBorder="1" applyAlignment="1" applyProtection="1">
      <alignment vertical="center"/>
      <protection hidden="1"/>
    </xf>
    <xf numFmtId="10" fontId="0" fillId="2" borderId="1" xfId="0" applyNumberFormat="1" applyFill="1" applyBorder="1" applyAlignment="1" applyProtection="1">
      <alignment vertical="center"/>
      <protection locked="0"/>
    </xf>
    <xf numFmtId="0" fontId="9" fillId="3" borderId="2" xfId="0" applyFont="1" applyFill="1" applyBorder="1" applyAlignment="1" applyProtection="1">
      <alignment vertical="center"/>
      <protection hidden="1"/>
    </xf>
    <xf numFmtId="164" fontId="9" fillId="3" borderId="2" xfId="0" applyNumberFormat="1" applyFont="1" applyFill="1" applyBorder="1" applyAlignment="1" applyProtection="1">
      <alignment vertical="center"/>
      <protection hidden="1"/>
    </xf>
    <xf numFmtId="164" fontId="6" fillId="4" borderId="0" xfId="0" applyNumberFormat="1" applyFont="1" applyFill="1" applyAlignment="1" applyProtection="1">
      <alignment horizontal="right" vertical="center"/>
      <protection hidden="1"/>
    </xf>
    <xf numFmtId="10" fontId="6" fillId="4" borderId="3" xfId="1" applyNumberFormat="1" applyFont="1" applyFill="1" applyBorder="1" applyAlignment="1" applyProtection="1">
      <alignment horizontal="right" vertical="center"/>
      <protection hidden="1"/>
    </xf>
    <xf numFmtId="164" fontId="1" fillId="2" borderId="1" xfId="0" applyNumberFormat="1" applyFont="1" applyFill="1" applyBorder="1" applyAlignment="1" applyProtection="1">
      <alignment vertical="center"/>
      <protection locked="0"/>
    </xf>
    <xf numFmtId="0" fontId="6" fillId="4" borderId="0" xfId="0" applyFont="1" applyFill="1" applyAlignment="1" applyProtection="1">
      <alignment vertical="center"/>
      <protection hidden="1"/>
    </xf>
    <xf numFmtId="0" fontId="6" fillId="4" borderId="3" xfId="0" applyFont="1" applyFill="1" applyBorder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 applyProtection="1">
      <alignment vertical="center"/>
      <protection hidden="1"/>
    </xf>
    <xf numFmtId="0" fontId="10" fillId="6" borderId="0" xfId="2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14" fontId="0" fillId="6" borderId="0" xfId="0" applyNumberFormat="1" applyFill="1" applyAlignment="1" applyProtection="1">
      <alignment vertical="center"/>
      <protection hidden="1"/>
    </xf>
    <xf numFmtId="1" fontId="0" fillId="6" borderId="0" xfId="0" applyNumberFormat="1" applyFill="1" applyAlignment="1" applyProtection="1">
      <alignment vertical="center"/>
      <protection hidden="1"/>
    </xf>
    <xf numFmtId="2" fontId="0" fillId="6" borderId="0" xfId="0" applyNumberFormat="1" applyFill="1" applyAlignment="1" applyProtection="1">
      <alignment vertical="center"/>
      <protection hidden="1"/>
    </xf>
    <xf numFmtId="1" fontId="3" fillId="6" borderId="0" xfId="0" applyNumberFormat="1" applyFont="1" applyFill="1" applyAlignment="1" applyProtection="1">
      <alignment vertical="center"/>
      <protection hidden="1"/>
    </xf>
    <xf numFmtId="6" fontId="0" fillId="6" borderId="0" xfId="0" applyNumberFormat="1" applyFill="1" applyAlignment="1" applyProtection="1">
      <alignment vertical="center"/>
      <protection hidden="1"/>
    </xf>
    <xf numFmtId="0" fontId="1" fillId="6" borderId="0" xfId="0" applyFont="1" applyFill="1" applyAlignment="1" applyProtection="1">
      <alignment vertical="center"/>
      <protection hidden="1"/>
    </xf>
    <xf numFmtId="164" fontId="3" fillId="6" borderId="0" xfId="0" quotePrefix="1" applyNumberFormat="1" applyFont="1" applyFill="1" applyAlignment="1" applyProtection="1">
      <alignment vertical="center"/>
      <protection hidden="1"/>
    </xf>
    <xf numFmtId="8" fontId="0" fillId="6" borderId="0" xfId="0" applyNumberFormat="1" applyFill="1" applyAlignment="1" applyProtection="1">
      <alignment vertical="center"/>
      <protection hidden="1"/>
    </xf>
    <xf numFmtId="1" fontId="2" fillId="6" borderId="0" xfId="0" applyNumberFormat="1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locked="0"/>
    </xf>
    <xf numFmtId="10" fontId="0" fillId="6" borderId="0" xfId="1" applyNumberFormat="1" applyFont="1" applyFill="1" applyAlignment="1" applyProtection="1">
      <alignment vertical="center"/>
      <protection hidden="1"/>
    </xf>
    <xf numFmtId="0" fontId="3" fillId="9" borderId="2" xfId="0" applyFont="1" applyFill="1" applyBorder="1" applyAlignment="1" applyProtection="1">
      <alignment vertical="center"/>
      <protection hidden="1"/>
    </xf>
    <xf numFmtId="164" fontId="3" fillId="9" borderId="2" xfId="0" applyNumberFormat="1" applyFont="1" applyFill="1" applyBorder="1" applyAlignment="1" applyProtection="1">
      <alignment vertical="center"/>
      <protection hidden="1"/>
    </xf>
    <xf numFmtId="0" fontId="5" fillId="7" borderId="1" xfId="0" applyFont="1" applyFill="1" applyBorder="1" applyAlignment="1" applyProtection="1">
      <alignment vertical="center"/>
      <protection hidden="1"/>
    </xf>
    <xf numFmtId="0" fontId="10" fillId="7" borderId="1" xfId="0" applyFont="1" applyFill="1" applyBorder="1" applyAlignment="1" applyProtection="1">
      <alignment vertical="center"/>
      <protection hidden="1"/>
    </xf>
    <xf numFmtId="0" fontId="0" fillId="7" borderId="1" xfId="0" applyFill="1" applyBorder="1" applyAlignment="1" applyProtection="1">
      <alignment vertical="center"/>
      <protection hidden="1"/>
    </xf>
    <xf numFmtId="165" fontId="5" fillId="7" borderId="1" xfId="0" applyNumberFormat="1" applyFont="1" applyFill="1" applyBorder="1" applyAlignment="1" applyProtection="1">
      <alignment vertical="center"/>
      <protection hidden="1"/>
    </xf>
    <xf numFmtId="165" fontId="10" fillId="7" borderId="1" xfId="0" applyNumberFormat="1" applyFont="1" applyFill="1" applyBorder="1" applyAlignment="1" applyProtection="1">
      <alignment vertical="center"/>
      <protection hidden="1"/>
    </xf>
    <xf numFmtId="6" fontId="0" fillId="6" borderId="5" xfId="0" applyNumberFormat="1" applyFill="1" applyBorder="1" applyAlignment="1" applyProtection="1">
      <alignment vertical="center"/>
      <protection hidden="1"/>
    </xf>
    <xf numFmtId="0" fontId="0" fillId="6" borderId="5" xfId="0" applyFill="1" applyBorder="1" applyAlignment="1" applyProtection="1">
      <alignment horizontal="center" vertical="center"/>
      <protection hidden="1"/>
    </xf>
    <xf numFmtId="0" fontId="8" fillId="9" borderId="2" xfId="0" applyFont="1" applyFill="1" applyBorder="1" applyAlignment="1" applyProtection="1">
      <alignment vertical="center"/>
      <protection hidden="1"/>
    </xf>
    <xf numFmtId="10" fontId="8" fillId="2" borderId="2" xfId="0" applyNumberFormat="1" applyFont="1" applyFill="1" applyBorder="1" applyAlignment="1" applyProtection="1">
      <alignment vertical="center"/>
      <protection locked="0"/>
    </xf>
    <xf numFmtId="0" fontId="7" fillId="9" borderId="2" xfId="0" applyFont="1" applyFill="1" applyBorder="1" applyAlignment="1" applyProtection="1">
      <alignment vertical="center"/>
      <protection hidden="1"/>
    </xf>
    <xf numFmtId="164" fontId="6" fillId="5" borderId="2" xfId="0" applyNumberFormat="1" applyFont="1" applyFill="1" applyBorder="1" applyAlignment="1" applyProtection="1">
      <alignment horizontal="right" vertical="center"/>
      <protection hidden="1"/>
    </xf>
    <xf numFmtId="0" fontId="4" fillId="10" borderId="0" xfId="0" applyFont="1" applyFill="1" applyAlignment="1" applyProtection="1">
      <alignment vertical="center"/>
      <protection hidden="1"/>
    </xf>
    <xf numFmtId="0" fontId="0" fillId="2" borderId="2" xfId="0" applyFill="1" applyBorder="1" applyAlignment="1" applyProtection="1">
      <alignment vertical="center"/>
      <protection locked="0"/>
    </xf>
    <xf numFmtId="0" fontId="4" fillId="8" borderId="0" xfId="0" applyFont="1" applyFill="1" applyAlignment="1" applyProtection="1">
      <alignment horizontal="center" vertical="center"/>
      <protection hidden="1"/>
    </xf>
    <xf numFmtId="0" fontId="14" fillId="2" borderId="6" xfId="2" applyFont="1" applyFill="1" applyBorder="1" applyAlignment="1" applyProtection="1">
      <alignment horizontal="center" vertical="center"/>
      <protection locked="0"/>
    </xf>
    <xf numFmtId="0" fontId="1" fillId="2" borderId="6" xfId="2" applyFill="1" applyBorder="1" applyAlignment="1" applyProtection="1">
      <alignment horizontal="center" vertical="center"/>
      <protection locked="0"/>
    </xf>
    <xf numFmtId="0" fontId="13" fillId="6" borderId="6" xfId="2" applyFont="1" applyFill="1" applyBorder="1" applyAlignment="1" applyProtection="1">
      <alignment vertical="center"/>
      <protection hidden="1"/>
    </xf>
    <xf numFmtId="0" fontId="2" fillId="6" borderId="6" xfId="2" applyFont="1" applyFill="1" applyBorder="1" applyAlignment="1" applyProtection="1">
      <alignment vertical="center"/>
      <protection hidden="1"/>
    </xf>
    <xf numFmtId="8" fontId="6" fillId="4" borderId="4" xfId="0" applyNumberFormat="1" applyFont="1" applyFill="1" applyBorder="1" applyAlignment="1" applyProtection="1">
      <alignment vertical="center"/>
      <protection hidden="1"/>
    </xf>
    <xf numFmtId="8" fontId="6" fillId="4" borderId="3" xfId="0" applyNumberFormat="1" applyFont="1" applyFill="1" applyBorder="1" applyAlignment="1" applyProtection="1">
      <alignment vertical="center"/>
      <protection hidden="1"/>
    </xf>
    <xf numFmtId="0" fontId="2" fillId="7" borderId="0" xfId="0" applyFont="1" applyFill="1" applyAlignment="1" applyProtection="1">
      <alignment horizontal="center" vertical="center"/>
      <protection hidden="1"/>
    </xf>
    <xf numFmtId="0" fontId="6" fillId="10" borderId="3" xfId="0" applyFont="1" applyFill="1" applyBorder="1" applyAlignment="1" applyProtection="1">
      <alignment horizontal="left" vertical="center"/>
      <protection hidden="1"/>
    </xf>
    <xf numFmtId="0" fontId="11" fillId="6" borderId="0" xfId="0" applyFont="1" applyFill="1" applyAlignment="1" applyProtection="1">
      <alignment horizontal="right" vertical="center"/>
      <protection hidden="1"/>
    </xf>
  </cellXfs>
  <cellStyles count="3">
    <cellStyle name="Normal" xfId="0" builtinId="0"/>
    <cellStyle name="Normal 2" xfId="2" xr:uid="{00000000-0005-0000-0000-000003000000}"/>
    <cellStyle name="Percent" xfId="1" builtinId="5"/>
  </cellStyles>
  <dxfs count="0"/>
  <tableStyles count="0" defaultTableStyle="TableStyleMedium9" defaultPivotStyle="PivotStyleLight16"/>
  <colors>
    <mruColors>
      <color rgb="FFF0FAFE"/>
      <color rgb="FFAEDFF7"/>
      <color rgb="FFE7F6FD"/>
      <color rgb="FFE6E6FA"/>
      <color rgb="FFD0F4DE"/>
      <color rgb="FFA8DADC"/>
      <color rgb="FFE1E9F3"/>
      <color rgb="FF334E68"/>
      <color rgb="FFDCE3EC"/>
      <color rgb="FFA5B7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bg1"/>
                </a:solidFill>
                <a:latin typeface="+mj-lt"/>
                <a:ea typeface="+mj-ea"/>
                <a:cs typeface="+mj-cs"/>
              </a:defRPr>
            </a:pPr>
            <a:r>
              <a:rPr lang="en-US" sz="1800" b="1" i="0" baseline="0">
                <a:solidFill>
                  <a:schemeClr val="bg1"/>
                </a:solidFill>
                <a:effectLst/>
              </a:rPr>
              <a:t>SIP Investment Performance</a:t>
            </a:r>
            <a:endParaRPr lang="en-US">
              <a:solidFill>
                <a:schemeClr val="bg1"/>
              </a:solidFill>
              <a:effectLst/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bg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77559610408362"/>
          <c:y val="0.19437982235158724"/>
          <c:w val="0.8537768251465041"/>
          <c:h val="0.57067130297913071"/>
        </c:manualLayout>
      </c:layout>
      <c:lineChart>
        <c:grouping val="standard"/>
        <c:varyColors val="0"/>
        <c:ser>
          <c:idx val="1"/>
          <c:order val="0"/>
          <c:tx>
            <c:v>Investment</c:v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[0]!SIPInvestmentGraphWB</c:f>
              <c:numCache>
                <c:formatCode>General</c:formatCode>
                <c:ptCount val="60"/>
                <c:pt idx="0">
                  <c:v>1500</c:v>
                </c:pt>
                <c:pt idx="1">
                  <c:v>3000</c:v>
                </c:pt>
                <c:pt idx="2">
                  <c:v>4500</c:v>
                </c:pt>
                <c:pt idx="3">
                  <c:v>6000</c:v>
                </c:pt>
                <c:pt idx="4">
                  <c:v>7500</c:v>
                </c:pt>
                <c:pt idx="5">
                  <c:v>9000</c:v>
                </c:pt>
                <c:pt idx="6">
                  <c:v>10500</c:v>
                </c:pt>
                <c:pt idx="7">
                  <c:v>12000</c:v>
                </c:pt>
                <c:pt idx="8">
                  <c:v>13500</c:v>
                </c:pt>
                <c:pt idx="9">
                  <c:v>15000</c:v>
                </c:pt>
                <c:pt idx="10">
                  <c:v>16500</c:v>
                </c:pt>
                <c:pt idx="11">
                  <c:v>18000</c:v>
                </c:pt>
                <c:pt idx="12">
                  <c:v>19500</c:v>
                </c:pt>
                <c:pt idx="13">
                  <c:v>21000</c:v>
                </c:pt>
                <c:pt idx="14">
                  <c:v>22500</c:v>
                </c:pt>
                <c:pt idx="15">
                  <c:v>24000</c:v>
                </c:pt>
                <c:pt idx="16">
                  <c:v>25500</c:v>
                </c:pt>
                <c:pt idx="17">
                  <c:v>27000</c:v>
                </c:pt>
                <c:pt idx="18">
                  <c:v>28500</c:v>
                </c:pt>
                <c:pt idx="19">
                  <c:v>30000</c:v>
                </c:pt>
                <c:pt idx="20">
                  <c:v>31500</c:v>
                </c:pt>
                <c:pt idx="21">
                  <c:v>33000</c:v>
                </c:pt>
                <c:pt idx="22">
                  <c:v>34500</c:v>
                </c:pt>
                <c:pt idx="23">
                  <c:v>36000</c:v>
                </c:pt>
                <c:pt idx="24">
                  <c:v>37500</c:v>
                </c:pt>
                <c:pt idx="25">
                  <c:v>39000</c:v>
                </c:pt>
                <c:pt idx="26">
                  <c:v>40500</c:v>
                </c:pt>
                <c:pt idx="27">
                  <c:v>42000</c:v>
                </c:pt>
                <c:pt idx="28">
                  <c:v>43500</c:v>
                </c:pt>
                <c:pt idx="29">
                  <c:v>45000</c:v>
                </c:pt>
                <c:pt idx="30">
                  <c:v>46500</c:v>
                </c:pt>
                <c:pt idx="31">
                  <c:v>48000</c:v>
                </c:pt>
                <c:pt idx="32">
                  <c:v>49500</c:v>
                </c:pt>
                <c:pt idx="33">
                  <c:v>51000</c:v>
                </c:pt>
                <c:pt idx="34">
                  <c:v>52500</c:v>
                </c:pt>
                <c:pt idx="35">
                  <c:v>54000</c:v>
                </c:pt>
                <c:pt idx="36">
                  <c:v>55500</c:v>
                </c:pt>
                <c:pt idx="37">
                  <c:v>57000</c:v>
                </c:pt>
                <c:pt idx="38">
                  <c:v>58500</c:v>
                </c:pt>
                <c:pt idx="39">
                  <c:v>60000</c:v>
                </c:pt>
                <c:pt idx="40">
                  <c:v>61500</c:v>
                </c:pt>
                <c:pt idx="41">
                  <c:v>63000</c:v>
                </c:pt>
                <c:pt idx="42">
                  <c:v>64500</c:v>
                </c:pt>
                <c:pt idx="43">
                  <c:v>66000</c:v>
                </c:pt>
                <c:pt idx="44">
                  <c:v>67500</c:v>
                </c:pt>
                <c:pt idx="45">
                  <c:v>69000</c:v>
                </c:pt>
                <c:pt idx="46">
                  <c:v>70500</c:v>
                </c:pt>
                <c:pt idx="47">
                  <c:v>72000</c:v>
                </c:pt>
                <c:pt idx="48">
                  <c:v>73500</c:v>
                </c:pt>
                <c:pt idx="49">
                  <c:v>75000</c:v>
                </c:pt>
                <c:pt idx="50">
                  <c:v>76500</c:v>
                </c:pt>
                <c:pt idx="51">
                  <c:v>78000</c:v>
                </c:pt>
                <c:pt idx="52">
                  <c:v>79500</c:v>
                </c:pt>
                <c:pt idx="53">
                  <c:v>81000</c:v>
                </c:pt>
                <c:pt idx="54">
                  <c:v>82500</c:v>
                </c:pt>
                <c:pt idx="55">
                  <c:v>84000</c:v>
                </c:pt>
                <c:pt idx="56">
                  <c:v>85500</c:v>
                </c:pt>
                <c:pt idx="57">
                  <c:v>87000</c:v>
                </c:pt>
                <c:pt idx="58">
                  <c:v>88500</c:v>
                </c:pt>
                <c:pt idx="59">
                  <c:v>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AE-485E-BCF2-F4F3DE42E135}"/>
            </c:ext>
          </c:extLst>
        </c:ser>
        <c:ser>
          <c:idx val="3"/>
          <c:order val="1"/>
          <c:tx>
            <c:v>Delayed Investment</c:v>
          </c:tx>
          <c:spPr>
            <a:ln w="412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[0]!SIPDelayInflationWB</c:f>
              <c:numCache>
                <c:formatCode>0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1514.2331894018746</c:v>
                </c:pt>
                <c:pt idx="7">
                  <c:v>3042.8346239926695</c:v>
                </c:pt>
                <c:pt idx="8">
                  <c:v>4585.9406410758056</c:v>
                </c:pt>
                <c:pt idx="9">
                  <c:v>6143.6888716311305</c:v>
                </c:pt>
                <c:pt idx="10">
                  <c:v>7716.2182525904154</c:v>
                </c:pt>
                <c:pt idx="11">
                  <c:v>9303.6690392291966</c:v>
                </c:pt>
                <c:pt idx="12">
                  <c:v>10906.182817676219</c:v>
                </c:pt>
                <c:pt idx="13">
                  <c:v>12523.902517541717</c:v>
                </c:pt>
                <c:pt idx="14">
                  <c:v>14156.972424665439</c:v>
                </c:pt>
                <c:pt idx="15">
                  <c:v>15805.5381939856</c:v>
                </c:pt>
                <c:pt idx="16">
                  <c:v>17469.746862529853</c:v>
                </c:pt>
                <c:pt idx="17">
                  <c:v>19149.746862529853</c:v>
                </c:pt>
                <c:pt idx="18">
                  <c:v>20845.68803465995</c:v>
                </c:pt>
                <c:pt idx="19">
                  <c:v>22557.721641401655</c:v>
                </c:pt>
                <c:pt idx="20">
                  <c:v>24286.00038053477</c:v>
                </c:pt>
                <c:pt idx="21">
                  <c:v>26030.678398756725</c:v>
                </c:pt>
                <c:pt idx="22">
                  <c:v>27791.911305431124</c:v>
                </c:pt>
                <c:pt idx="23">
                  <c:v>29569.856186466535</c:v>
                </c:pt>
                <c:pt idx="24">
                  <c:v>31364.671618327207</c:v>
                </c:pt>
                <c:pt idx="25">
                  <c:v>33176.517682176593</c:v>
                </c:pt>
                <c:pt idx="26">
                  <c:v>35005.555978155186</c:v>
                </c:pt>
                <c:pt idx="27">
                  <c:v>36851.949639793733</c:v>
                </c:pt>
                <c:pt idx="28">
                  <c:v>38715.863348563311</c:v>
                </c:pt>
                <c:pt idx="29">
                  <c:v>40597.463348563295</c:v>
                </c:pt>
                <c:pt idx="30">
                  <c:v>42496.917461348996</c:v>
                </c:pt>
                <c:pt idx="31">
                  <c:v>44414.395100899717</c:v>
                </c:pt>
                <c:pt idx="32">
                  <c:v>46350.067288728824</c:v>
                </c:pt>
                <c:pt idx="33">
                  <c:v>48304.106669137436</c:v>
                </c:pt>
                <c:pt idx="34">
                  <c:v>50276.687524612738</c:v>
                </c:pt>
                <c:pt idx="35">
                  <c:v>52267.985791372441</c:v>
                </c:pt>
                <c:pt idx="36">
                  <c:v>54278.179075056381</c:v>
                </c:pt>
                <c:pt idx="37">
                  <c:v>56307.446666567696</c:v>
                </c:pt>
                <c:pt idx="38">
                  <c:v>58355.969558063684</c:v>
                </c:pt>
                <c:pt idx="39">
                  <c:v>60423.930459098905</c:v>
                </c:pt>
                <c:pt idx="40">
                  <c:v>62511.513812920828</c:v>
                </c:pt>
                <c:pt idx="41">
                  <c:v>64618.90581292085</c:v>
                </c:pt>
                <c:pt idx="42">
                  <c:v>66746.294419240832</c:v>
                </c:pt>
                <c:pt idx="43">
                  <c:v>68893.86937553763</c:v>
                </c:pt>
                <c:pt idx="44">
                  <c:v>71061.822225906217</c:v>
                </c:pt>
                <c:pt idx="45">
                  <c:v>73250.346331963854</c:v>
                </c:pt>
                <c:pt idx="46">
                  <c:v>75459.636890096197</c:v>
                </c:pt>
                <c:pt idx="47">
                  <c:v>77689.890948867062</c:v>
                </c:pt>
                <c:pt idx="48">
                  <c:v>79941.307426593092</c:v>
                </c:pt>
                <c:pt idx="49">
                  <c:v>82214.087129085761</c:v>
                </c:pt>
                <c:pt idx="50">
                  <c:v>84508.432767561273</c:v>
                </c:pt>
                <c:pt idx="51">
                  <c:v>86824.548976720718</c:v>
                </c:pt>
                <c:pt idx="52">
                  <c:v>89162.642333001291</c:v>
                </c:pt>
                <c:pt idx="53">
                  <c:v>91522.921373001285</c:v>
                </c:pt>
                <c:pt idx="54">
                  <c:v>93905.59661207968</c:v>
                </c:pt>
                <c:pt idx="55">
                  <c:v>96310.880563132087</c:v>
                </c:pt>
                <c:pt idx="56">
                  <c:v>98738.987755544891</c:v>
                </c:pt>
                <c:pt idx="57">
                  <c:v>101190.13475432945</c:v>
                </c:pt>
                <c:pt idx="58">
                  <c:v>103664.54017943772</c:v>
                </c:pt>
                <c:pt idx="59">
                  <c:v>106162.42472526108</c:v>
                </c:pt>
                <c:pt idx="60">
                  <c:v>108684.01118031426</c:v>
                </c:pt>
                <c:pt idx="61">
                  <c:v>111229.52444710599</c:v>
                </c:pt>
                <c:pt idx="62">
                  <c:v>113799.1915621986</c:v>
                </c:pt>
                <c:pt idx="63">
                  <c:v>116393.24171645715</c:v>
                </c:pt>
                <c:pt idx="64">
                  <c:v>119011.9062754914</c:v>
                </c:pt>
                <c:pt idx="65">
                  <c:v>121655.41880029142</c:v>
                </c:pt>
                <c:pt idx="66">
                  <c:v>122809.78187865736</c:v>
                </c:pt>
                <c:pt idx="67">
                  <c:v>123975.09846924526</c:v>
                </c:pt>
                <c:pt idx="68">
                  <c:v>125151.47250766448</c:v>
                </c:pt>
                <c:pt idx="69">
                  <c:v>126339.00891574787</c:v>
                </c:pt>
                <c:pt idx="70">
                  <c:v>127537.81361090984</c:v>
                </c:pt>
                <c:pt idx="71">
                  <c:v>128747.99351559323</c:v>
                </c:pt>
                <c:pt idx="72">
                  <c:v>129969.65656680574</c:v>
                </c:pt>
                <c:pt idx="73">
                  <c:v>131202.91172574702</c:v>
                </c:pt>
                <c:pt idx="74">
                  <c:v>132447.86898752701</c:v>
                </c:pt>
                <c:pt idx="75">
                  <c:v>133704.63939097646</c:v>
                </c:pt>
                <c:pt idx="76">
                  <c:v>134973.33502855053</c:v>
                </c:pt>
                <c:pt idx="77">
                  <c:v>136254.06905632655</c:v>
                </c:pt>
                <c:pt idx="78">
                  <c:v>137546.95570409641</c:v>
                </c:pt>
                <c:pt idx="79">
                  <c:v>138852.11028555487</c:v>
                </c:pt>
                <c:pt idx="80">
                  <c:v>140169.64920858442</c:v>
                </c:pt>
                <c:pt idx="81">
                  <c:v>141499.68998563779</c:v>
                </c:pt>
                <c:pt idx="82">
                  <c:v>142842.3512442192</c:v>
                </c:pt>
                <c:pt idx="83">
                  <c:v>144197.75273746459</c:v>
                </c:pt>
                <c:pt idx="84">
                  <c:v>145566.01535482259</c:v>
                </c:pt>
                <c:pt idx="85">
                  <c:v>146947.26113283687</c:v>
                </c:pt>
                <c:pt idx="86">
                  <c:v>148341.61326603044</c:v>
                </c:pt>
                <c:pt idx="87">
                  <c:v>149749.19611789382</c:v>
                </c:pt>
                <c:pt idx="88">
                  <c:v>151170.1352319768</c:v>
                </c:pt>
                <c:pt idx="89">
                  <c:v>152604.55734308594</c:v>
                </c:pt>
                <c:pt idx="90">
                  <c:v>154052.59038858817</c:v>
                </c:pt>
                <c:pt idx="91">
                  <c:v>155514.36351982164</c:v>
                </c:pt>
                <c:pt idx="92">
                  <c:v>156990.00711361473</c:v>
                </c:pt>
                <c:pt idx="93">
                  <c:v>158479.65278391453</c:v>
                </c:pt>
                <c:pt idx="94">
                  <c:v>159983.43339352569</c:v>
                </c:pt>
                <c:pt idx="95">
                  <c:v>161501.48306596055</c:v>
                </c:pt>
                <c:pt idx="96">
                  <c:v>163033.93719740154</c:v>
                </c:pt>
                <c:pt idx="97">
                  <c:v>164580.93246877749</c:v>
                </c:pt>
                <c:pt idx="98">
                  <c:v>166142.60685795432</c:v>
                </c:pt>
                <c:pt idx="99">
                  <c:v>167719.0996520413</c:v>
                </c:pt>
                <c:pt idx="100">
                  <c:v>169310.55145981425</c:v>
                </c:pt>
                <c:pt idx="101">
                  <c:v>170917.1042242565</c:v>
                </c:pt>
                <c:pt idx="102">
                  <c:v>172538.901235219</c:v>
                </c:pt>
                <c:pt idx="103">
                  <c:v>174176.0871422005</c:v>
                </c:pt>
                <c:pt idx="104">
                  <c:v>175828.80796724875</c:v>
                </c:pt>
                <c:pt idx="105">
                  <c:v>177497.21111798452</c:v>
                </c:pt>
                <c:pt idx="106">
                  <c:v>179181.44540074901</c:v>
                </c:pt>
                <c:pt idx="107">
                  <c:v>180881.66103387607</c:v>
                </c:pt>
                <c:pt idx="108">
                  <c:v>182598.00966108995</c:v>
                </c:pt>
                <c:pt idx="109">
                  <c:v>184330.64436503104</c:v>
                </c:pt>
                <c:pt idx="110">
                  <c:v>186079.71968090907</c:v>
                </c:pt>
                <c:pt idx="111">
                  <c:v>187845.39161028652</c:v>
                </c:pt>
                <c:pt idx="112">
                  <c:v>189627.81763499221</c:v>
                </c:pt>
                <c:pt idx="113">
                  <c:v>191427.15673116752</c:v>
                </c:pt>
                <c:pt idx="114">
                  <c:v>193243.56938344552</c:v>
                </c:pt>
                <c:pt idx="115">
                  <c:v>195077.21759926478</c:v>
                </c:pt>
                <c:pt idx="116">
                  <c:v>196928.26492331881</c:v>
                </c:pt>
                <c:pt idx="117">
                  <c:v>198796.8764521429</c:v>
                </c:pt>
                <c:pt idx="118">
                  <c:v>200683.21884883917</c:v>
                </c:pt>
                <c:pt idx="119">
                  <c:v>202587.46035794143</c:v>
                </c:pt>
                <c:pt idx="120">
                  <c:v>204509.77082042102</c:v>
                </c:pt>
                <c:pt idx="121">
                  <c:v>206450.32168883499</c:v>
                </c:pt>
                <c:pt idx="122">
                  <c:v>208409.28604261842</c:v>
                </c:pt>
                <c:pt idx="123">
                  <c:v>210386.83860352114</c:v>
                </c:pt>
                <c:pt idx="124">
                  <c:v>212383.15575119152</c:v>
                </c:pt>
                <c:pt idx="125">
                  <c:v>214398.4155389079</c:v>
                </c:pt>
                <c:pt idx="126">
                  <c:v>216432.79770945924</c:v>
                </c:pt>
                <c:pt idx="127">
                  <c:v>218486.48371117684</c:v>
                </c:pt>
                <c:pt idx="128">
                  <c:v>220559.65671411736</c:v>
                </c:pt>
                <c:pt idx="129">
                  <c:v>222652.50162640036</c:v>
                </c:pt>
                <c:pt idx="130">
                  <c:v>224765.20511070019</c:v>
                </c:pt>
                <c:pt idx="131">
                  <c:v>226897.95560089473</c:v>
                </c:pt>
                <c:pt idx="132">
                  <c:v>229050.94331887187</c:v>
                </c:pt>
                <c:pt idx="133">
                  <c:v>231224.36029149554</c:v>
                </c:pt>
                <c:pt idx="134">
                  <c:v>233418.40036773297</c:v>
                </c:pt>
                <c:pt idx="135">
                  <c:v>235633.25923594405</c:v>
                </c:pt>
                <c:pt idx="136">
                  <c:v>237869.13444133484</c:v>
                </c:pt>
                <c:pt idx="137">
                  <c:v>240126.22540357715</c:v>
                </c:pt>
                <c:pt idx="138">
                  <c:v>242404.7334345947</c:v>
                </c:pt>
                <c:pt idx="139">
                  <c:v>244704.8617565184</c:v>
                </c:pt>
                <c:pt idx="140">
                  <c:v>247026.81551981176</c:v>
                </c:pt>
                <c:pt idx="141">
                  <c:v>249370.80182156872</c:v>
                </c:pt>
                <c:pt idx="142">
                  <c:v>251737.02972398451</c:v>
                </c:pt>
                <c:pt idx="143">
                  <c:v>254125.71027300242</c:v>
                </c:pt>
                <c:pt idx="144">
                  <c:v>256537.05651713681</c:v>
                </c:pt>
                <c:pt idx="145">
                  <c:v>258971.28352647534</c:v>
                </c:pt>
                <c:pt idx="146">
                  <c:v>261428.60841186126</c:v>
                </c:pt>
                <c:pt idx="147">
                  <c:v>263909.25034425757</c:v>
                </c:pt>
                <c:pt idx="148">
                  <c:v>266413.43057429529</c:v>
                </c:pt>
                <c:pt idx="149">
                  <c:v>268941.37245200673</c:v>
                </c:pt>
                <c:pt idx="150">
                  <c:v>271493.30144674645</c:v>
                </c:pt>
                <c:pt idx="151">
                  <c:v>274069.44516730093</c:v>
                </c:pt>
                <c:pt idx="152">
                  <c:v>276670.03338218952</c:v>
                </c:pt>
                <c:pt idx="153">
                  <c:v>279295.2980401573</c:v>
                </c:pt>
                <c:pt idx="154">
                  <c:v>281945.47329086298</c:v>
                </c:pt>
                <c:pt idx="155">
                  <c:v>284620.79550576303</c:v>
                </c:pt>
                <c:pt idx="156">
                  <c:v>287321.50329919363</c:v>
                </c:pt>
                <c:pt idx="157">
                  <c:v>290047.83754965273</c:v>
                </c:pt>
                <c:pt idx="158">
                  <c:v>292800.04142128496</c:v>
                </c:pt>
                <c:pt idx="159">
                  <c:v>295578.36038556893</c:v>
                </c:pt>
                <c:pt idx="160">
                  <c:v>298383.04224321112</c:v>
                </c:pt>
                <c:pt idx="161">
                  <c:v>301214.33714624797</c:v>
                </c:pt>
                <c:pt idx="162">
                  <c:v>304072.49762035633</c:v>
                </c:pt>
                <c:pt idx="163">
                  <c:v>306957.77858737746</c:v>
                </c:pt>
                <c:pt idx="164">
                  <c:v>309870.4373880527</c:v>
                </c:pt>
                <c:pt idx="165">
                  <c:v>312810.73380497663</c:v>
                </c:pt>
                <c:pt idx="166">
                  <c:v>315778.930085767</c:v>
                </c:pt>
                <c:pt idx="167">
                  <c:v>318775.29096645513</c:v>
                </c:pt>
                <c:pt idx="168">
                  <c:v>321800.08369509724</c:v>
                </c:pt>
                <c:pt idx="169">
                  <c:v>324853.57805561152</c:v>
                </c:pt>
                <c:pt idx="170">
                  <c:v>327936.04639183957</c:v>
                </c:pt>
                <c:pt idx="171">
                  <c:v>331047.76363183762</c:v>
                </c:pt>
                <c:pt idx="172">
                  <c:v>334189.00731239695</c:v>
                </c:pt>
                <c:pt idx="173">
                  <c:v>337360.05760379811</c:v>
                </c:pt>
                <c:pt idx="174">
                  <c:v>340561.19733479957</c:v>
                </c:pt>
                <c:pt idx="175">
                  <c:v>343792.71201786323</c:v>
                </c:pt>
                <c:pt idx="176">
                  <c:v>347054.88987461949</c:v>
                </c:pt>
                <c:pt idx="177">
                  <c:v>350348.02186157426</c:v>
                </c:pt>
                <c:pt idx="178">
                  <c:v>353672.4016960595</c:v>
                </c:pt>
                <c:pt idx="179">
                  <c:v>357028.32588243013</c:v>
                </c:pt>
                <c:pt idx="180">
                  <c:v>360416.0937385094</c:v>
                </c:pt>
                <c:pt idx="181">
                  <c:v>363836.00742228533</c:v>
                </c:pt>
                <c:pt idx="182">
                  <c:v>367288.37195886084</c:v>
                </c:pt>
                <c:pt idx="183">
                  <c:v>370773.49526765861</c:v>
                </c:pt>
                <c:pt idx="184">
                  <c:v>374291.68818988511</c:v>
                </c:pt>
                <c:pt idx="185">
                  <c:v>377843.26451625436</c:v>
                </c:pt>
                <c:pt idx="186">
                  <c:v>381428.54101497593</c:v>
                </c:pt>
                <c:pt idx="187">
                  <c:v>385047.83746000723</c:v>
                </c:pt>
                <c:pt idx="188">
                  <c:v>388701.47665957431</c:v>
                </c:pt>
                <c:pt idx="189">
                  <c:v>392389.78448496369</c:v>
                </c:pt>
                <c:pt idx="190">
                  <c:v>396113.08989958715</c:v>
                </c:pt>
                <c:pt idx="191">
                  <c:v>399871.72498832224</c:v>
                </c:pt>
                <c:pt idx="192">
                  <c:v>403666.02498713101</c:v>
                </c:pt>
                <c:pt idx="193">
                  <c:v>407496.3283129601</c:v>
                </c:pt>
                <c:pt idx="194">
                  <c:v>411362.97659392469</c:v>
                </c:pt>
                <c:pt idx="195">
                  <c:v>415266.31469977822</c:v>
                </c:pt>
                <c:pt idx="196">
                  <c:v>419206.69077267183</c:v>
                </c:pt>
                <c:pt idx="197">
                  <c:v>423184.45625820546</c:v>
                </c:pt>
                <c:pt idx="198">
                  <c:v>427199.96593677375</c:v>
                </c:pt>
                <c:pt idx="199">
                  <c:v>431253.57795520872</c:v>
                </c:pt>
                <c:pt idx="200">
                  <c:v>435345.65385872382</c:v>
                </c:pt>
                <c:pt idx="201">
                  <c:v>439476.55862315989</c:v>
                </c:pt>
                <c:pt idx="202">
                  <c:v>443646.66068753815</c:v>
                </c:pt>
                <c:pt idx="203">
                  <c:v>447856.33198692149</c:v>
                </c:pt>
                <c:pt idx="204">
                  <c:v>452105.94798558735</c:v>
                </c:pt>
                <c:pt idx="205">
                  <c:v>456395.88771051593</c:v>
                </c:pt>
                <c:pt idx="206">
                  <c:v>460726.5337851962</c:v>
                </c:pt>
                <c:pt idx="207">
                  <c:v>465098.27246375219</c:v>
                </c:pt>
                <c:pt idx="208">
                  <c:v>469511.49366539309</c:v>
                </c:pt>
                <c:pt idx="209">
                  <c:v>473966.59100919077</c:v>
                </c:pt>
                <c:pt idx="210">
                  <c:v>478463.96184918715</c:v>
                </c:pt>
                <c:pt idx="211">
                  <c:v>483004.00730983436</c:v>
                </c:pt>
                <c:pt idx="212">
                  <c:v>487587.13232177129</c:v>
                </c:pt>
                <c:pt idx="213">
                  <c:v>492213.7456579397</c:v>
                </c:pt>
                <c:pt idx="214">
                  <c:v>496884.25997004338</c:v>
                </c:pt>
                <c:pt idx="215">
                  <c:v>501599.09182535269</c:v>
                </c:pt>
                <c:pt idx="216">
                  <c:v>506358.66174385842</c:v>
                </c:pt>
                <c:pt idx="217">
                  <c:v>511163.39423577837</c:v>
                </c:pt>
                <c:pt idx="218">
                  <c:v>516013.71783942031</c:v>
                </c:pt>
                <c:pt idx="219">
                  <c:v>520910.06515940308</c:v>
                </c:pt>
                <c:pt idx="220">
                  <c:v>525852.87290524086</c:v>
                </c:pt>
                <c:pt idx="221">
                  <c:v>530842.58193029428</c:v>
                </c:pt>
                <c:pt idx="222">
                  <c:v>535879.63727109018</c:v>
                </c:pt>
                <c:pt idx="223">
                  <c:v>540964.48818701517</c:v>
                </c:pt>
                <c:pt idx="224">
                  <c:v>546097.58820038452</c:v>
                </c:pt>
                <c:pt idx="225">
                  <c:v>551279.39513689326</c:v>
                </c:pt>
                <c:pt idx="226">
                  <c:v>556510.37116644927</c:v>
                </c:pt>
                <c:pt idx="227">
                  <c:v>561790.9828443958</c:v>
                </c:pt>
                <c:pt idx="228">
                  <c:v>567121.70115312224</c:v>
                </c:pt>
                <c:pt idx="229">
                  <c:v>572503.00154407264</c:v>
                </c:pt>
                <c:pt idx="230">
                  <c:v>577935.3639801516</c:v>
                </c:pt>
                <c:pt idx="231">
                  <c:v>583419.27297853236</c:v>
                </c:pt>
                <c:pt idx="232">
                  <c:v>588955.21765387058</c:v>
                </c:pt>
                <c:pt idx="233">
                  <c:v>594543.69176193036</c:v>
                </c:pt>
                <c:pt idx="234">
                  <c:v>600185.19374362193</c:v>
                </c:pt>
                <c:pt idx="235">
                  <c:v>605880.2267694578</c:v>
                </c:pt>
                <c:pt idx="236">
                  <c:v>611629.29878443154</c:v>
                </c:pt>
                <c:pt idx="237">
                  <c:v>617432.92255332123</c:v>
                </c:pt>
                <c:pt idx="238">
                  <c:v>623291.615706424</c:v>
                </c:pt>
                <c:pt idx="239">
                  <c:v>629205.90078572405</c:v>
                </c:pt>
                <c:pt idx="240">
                  <c:v>635176.30529149773</c:v>
                </c:pt>
                <c:pt idx="241">
                  <c:v>641203.36172936216</c:v>
                </c:pt>
                <c:pt idx="242">
                  <c:v>647287.60765777063</c:v>
                </c:pt>
                <c:pt idx="243">
                  <c:v>653429.58573595691</c:v>
                </c:pt>
                <c:pt idx="244">
                  <c:v>659629.84377233591</c:v>
                </c:pt>
                <c:pt idx="245">
                  <c:v>665888.93477336282</c:v>
                </c:pt>
                <c:pt idx="246">
                  <c:v>672207.41699285735</c:v>
                </c:pt>
                <c:pt idx="247">
                  <c:v>678585.85398179351</c:v>
                </c:pt>
                <c:pt idx="248">
                  <c:v>685024.81463856413</c:v>
                </c:pt>
                <c:pt idx="249">
                  <c:v>691524.87325972051</c:v>
                </c:pt>
                <c:pt idx="250">
                  <c:v>698086.60959119583</c:v>
                </c:pt>
                <c:pt idx="251">
                  <c:v>704710.60888001183</c:v>
                </c:pt>
                <c:pt idx="252">
                  <c:v>711397.46192647831</c:v>
                </c:pt>
                <c:pt idx="253">
                  <c:v>718147.76513688662</c:v>
                </c:pt>
                <c:pt idx="254">
                  <c:v>724962.12057670404</c:v>
                </c:pt>
                <c:pt idx="255">
                  <c:v>731841.13602427265</c:v>
                </c:pt>
                <c:pt idx="256">
                  <c:v>738785.42502501712</c:v>
                </c:pt>
                <c:pt idx="257">
                  <c:v>745795.60694616754</c:v>
                </c:pt>
                <c:pt idx="258">
                  <c:v>752872.30703200132</c:v>
                </c:pt>
                <c:pt idx="259">
                  <c:v>760016.15645960986</c:v>
                </c:pt>
                <c:pt idx="260">
                  <c:v>767227.7923951929</c:v>
                </c:pt>
                <c:pt idx="261">
                  <c:v>774507.85805088817</c:v>
                </c:pt>
                <c:pt idx="262">
                  <c:v>781857.00274214044</c:v>
                </c:pt>
                <c:pt idx="263">
                  <c:v>789275.88194561447</c:v>
                </c:pt>
                <c:pt idx="264">
                  <c:v>796765.15735765686</c:v>
                </c:pt>
                <c:pt idx="265">
                  <c:v>804325.49695331405</c:v>
                </c:pt>
                <c:pt idx="266">
                  <c:v>811957.57504590962</c:v>
                </c:pt>
                <c:pt idx="267">
                  <c:v>819662.07234718651</c:v>
                </c:pt>
                <c:pt idx="268">
                  <c:v>827439.67602802021</c:v>
                </c:pt>
                <c:pt idx="269">
                  <c:v>835291.07977970864</c:v>
                </c:pt>
                <c:pt idx="270">
                  <c:v>843216.98387584253</c:v>
                </c:pt>
                <c:pt idx="271">
                  <c:v>851218.09523476416</c:v>
                </c:pt>
                <c:pt idx="272">
                  <c:v>859295.12748261716</c:v>
                </c:pt>
                <c:pt idx="273">
                  <c:v>867448.8010169958</c:v>
                </c:pt>
                <c:pt idx="274">
                  <c:v>875679.84307119832</c:v>
                </c:pt>
                <c:pt idx="275">
                  <c:v>883988.98777908902</c:v>
                </c:pt>
                <c:pt idx="276">
                  <c:v>892376.97624057659</c:v>
                </c:pt>
                <c:pt idx="277">
                  <c:v>900844.55658771284</c:v>
                </c:pt>
                <c:pt idx="278">
                  <c:v>909392.48405142</c:v>
                </c:pt>
                <c:pt idx="279">
                  <c:v>918021.52102885011</c:v>
                </c:pt>
                <c:pt idx="280">
                  <c:v>926732.43715138384</c:v>
                </c:pt>
                <c:pt idx="281">
                  <c:v>935526.00935327471</c:v>
                </c:pt>
                <c:pt idx="282">
                  <c:v>944403.02194094483</c:v>
                </c:pt>
                <c:pt idx="283">
                  <c:v>953364.26666293689</c:v>
                </c:pt>
                <c:pt idx="284">
                  <c:v>962410.5427805325</c:v>
                </c:pt>
                <c:pt idx="285">
                  <c:v>971542.65713903657</c:v>
                </c:pt>
                <c:pt idx="286">
                  <c:v>980761.42423974338</c:v>
                </c:pt>
                <c:pt idx="287">
                  <c:v>990067.66631258116</c:v>
                </c:pt>
                <c:pt idx="288">
                  <c:v>999462.21338944719</c:v>
                </c:pt>
                <c:pt idx="289">
                  <c:v>1008945.9033782397</c:v>
                </c:pt>
                <c:pt idx="290">
                  <c:v>1018519.5821375916</c:v>
                </c:pt>
                <c:pt idx="291">
                  <c:v>1028184.1035523134</c:v>
                </c:pt>
                <c:pt idx="292">
                  <c:v>1037940.3296095512</c:v>
                </c:pt>
                <c:pt idx="293">
                  <c:v>1047789.1304756693</c:v>
                </c:pt>
                <c:pt idx="294">
                  <c:v>1057731.3845738596</c:v>
                </c:pt>
                <c:pt idx="295">
                  <c:v>1067767.9786624911</c:v>
                </c:pt>
                <c:pt idx="296">
                  <c:v>1077899.8079141977</c:v>
                </c:pt>
                <c:pt idx="297">
                  <c:v>1088127.7759957225</c:v>
                </c:pt>
                <c:pt idx="298">
                  <c:v>1098452.795148514</c:v>
                </c:pt>
                <c:pt idx="299">
                  <c:v>1108875.7862700925</c:v>
                </c:pt>
                <c:pt idx="300">
                  <c:v>1119397.6789961825</c:v>
                </c:pt>
                <c:pt idx="301">
                  <c:v>1130019.41178363</c:v>
                </c:pt>
                <c:pt idx="302">
                  <c:v>1140741.9319941041</c:v>
                </c:pt>
                <c:pt idx="303">
                  <c:v>1151566.1959785926</c:v>
                </c:pt>
                <c:pt idx="304">
                  <c:v>1162493.169162699</c:v>
                </c:pt>
                <c:pt idx="305">
                  <c:v>1173523.8261327511</c:v>
                </c:pt>
                <c:pt idx="306">
                  <c:v>1184659.1507227244</c:v>
                </c:pt>
                <c:pt idx="307">
                  <c:v>1195900.1361019912</c:v>
                </c:pt>
                <c:pt idx="308">
                  <c:v>1207247.784863903</c:v>
                </c:pt>
                <c:pt idx="309">
                  <c:v>1218703.1091152104</c:v>
                </c:pt>
                <c:pt idx="310">
                  <c:v>1230267.1305663374</c:v>
                </c:pt>
                <c:pt idx="311">
                  <c:v>1241940.8806225052</c:v>
                </c:pt>
                <c:pt idx="312">
                  <c:v>1253725.400475726</c:v>
                </c:pt>
                <c:pt idx="313">
                  <c:v>1265621.7411976671</c:v>
                </c:pt>
                <c:pt idx="314">
                  <c:v>1277630.9638333982</c:v>
                </c:pt>
                <c:pt idx="315">
                  <c:v>1289754.1394960249</c:v>
                </c:pt>
                <c:pt idx="316">
                  <c:v>1301992.3494622244</c:v>
                </c:pt>
                <c:pt idx="317">
                  <c:v>1314346.6852686829</c:v>
                </c:pt>
                <c:pt idx="318">
                  <c:v>1326818.2488094529</c:v>
                </c:pt>
                <c:pt idx="319">
                  <c:v>1339408.1524342322</c:v>
                </c:pt>
                <c:pt idx="320">
                  <c:v>1352117.519047573</c:v>
                </c:pt>
                <c:pt idx="321">
                  <c:v>1364947.4822090375</c:v>
                </c:pt>
                <c:pt idx="322">
                  <c:v>1377899.1862342996</c:v>
                </c:pt>
                <c:pt idx="323">
                  <c:v>1390973.7862972075</c:v>
                </c:pt>
                <c:pt idx="324">
                  <c:v>1404172.4485328146</c:v>
                </c:pt>
                <c:pt idx="325">
                  <c:v>1417496.3501413891</c:v>
                </c:pt>
                <c:pt idx="326">
                  <c:v>1430946.679493408</c:v>
                </c:pt>
                <c:pt idx="327">
                  <c:v>1444524.6362355503</c:v>
                </c:pt>
                <c:pt idx="328">
                  <c:v>1458231.4313976935</c:v>
                </c:pt>
                <c:pt idx="329">
                  <c:v>1472068.2875009265</c:v>
                </c:pt>
                <c:pt idx="330">
                  <c:v>1486036.4386665891</c:v>
                </c:pt>
                <c:pt idx="331">
                  <c:v>1500137.1307263419</c:v>
                </c:pt>
                <c:pt idx="332">
                  <c:v>1514371.6213332838</c:v>
                </c:pt>
                <c:pt idx="333">
                  <c:v>1528741.1800741239</c:v>
                </c:pt>
                <c:pt idx="334">
                  <c:v>1543247.0885824175</c:v>
                </c:pt>
                <c:pt idx="335">
                  <c:v>1557890.6406528745</c:v>
                </c:pt>
                <c:pt idx="336">
                  <c:v>1572673.1423567547</c:v>
                </c:pt>
                <c:pt idx="337">
                  <c:v>1587595.9121583577</c:v>
                </c:pt>
                <c:pt idx="338">
                  <c:v>1602660.2810326188</c:v>
                </c:pt>
                <c:pt idx="339">
                  <c:v>1617867.5925838181</c:v>
                </c:pt>
                <c:pt idx="340">
                  <c:v>1633219.2031654185</c:v>
                </c:pt>
                <c:pt idx="341">
                  <c:v>1648716.4820010399</c:v>
                </c:pt>
                <c:pt idx="342">
                  <c:v>1664360.8113065821</c:v>
                </c:pt>
                <c:pt idx="343">
                  <c:v>1680153.5864135048</c:v>
                </c:pt>
                <c:pt idx="344">
                  <c:v>1696096.2158932798</c:v>
                </c:pt>
                <c:pt idx="345">
                  <c:v>1712190.1216830208</c:v>
                </c:pt>
                <c:pt idx="346">
                  <c:v>1728436.7392123095</c:v>
                </c:pt>
                <c:pt idx="347">
                  <c:v>1744837.5175312215</c:v>
                </c:pt>
                <c:pt idx="348">
                  <c:v>1761393.9194395673</c:v>
                </c:pt>
                <c:pt idx="349">
                  <c:v>1778107.4216173629</c:v>
                </c:pt>
                <c:pt idx="350">
                  <c:v>1794979.5147565352</c:v>
                </c:pt>
                <c:pt idx="351">
                  <c:v>1812011.7036938788</c:v>
                </c:pt>
                <c:pt idx="352">
                  <c:v>1829205.5075452712</c:v>
                </c:pt>
                <c:pt idx="353">
                  <c:v>1846562.4598411673</c:v>
                </c:pt>
                <c:pt idx="354">
                  <c:v>1864084.1086633741</c:v>
                </c:pt>
                <c:pt idx="355">
                  <c:v>1881772.016783128</c:v>
                </c:pt>
                <c:pt idx="356">
                  <c:v>1899627.7618004761</c:v>
                </c:pt>
                <c:pt idx="357">
                  <c:v>1917652.9362849863</c:v>
                </c:pt>
                <c:pt idx="358">
                  <c:v>1935849.1479177894</c:v>
                </c:pt>
                <c:pt idx="359">
                  <c:v>1954218.0196349707</c:v>
                </c:pt>
                <c:pt idx="360">
                  <c:v>1972761.1897723184</c:v>
                </c:pt>
                <c:pt idx="361">
                  <c:v>1991480.3122114493</c:v>
                </c:pt>
                <c:pt idx="362">
                  <c:v>2010377.0565273224</c:v>
                </c:pt>
                <c:pt idx="363">
                  <c:v>2029453.108137147</c:v>
                </c:pt>
                <c:pt idx="364">
                  <c:v>2048710.1684507064</c:v>
                </c:pt>
                <c:pt idx="365">
                  <c:v>2068149.9550221097</c:v>
                </c:pt>
                <c:pt idx="366">
                  <c:v>2087774.201702982</c:v>
                </c:pt>
                <c:pt idx="367">
                  <c:v>2107584.6587971062</c:v>
                </c:pt>
                <c:pt idx="368">
                  <c:v>2127583.0932165361</c:v>
                </c:pt>
                <c:pt idx="369">
                  <c:v>2147771.2886391873</c:v>
                </c:pt>
                <c:pt idx="370">
                  <c:v>2168151.0456679268</c:v>
                </c:pt>
                <c:pt idx="371">
                  <c:v>2188724.1819911702</c:v>
                </c:pt>
                <c:pt idx="372">
                  <c:v>2209492.5325449989</c:v>
                </c:pt>
                <c:pt idx="373">
                  <c:v>2230457.9496768257</c:v>
                </c:pt>
                <c:pt idx="374">
                  <c:v>2251622.3033106038</c:v>
                </c:pt>
                <c:pt idx="375">
                  <c:v>2272987.4811136071</c:v>
                </c:pt>
                <c:pt idx="376">
                  <c:v>2294555.3886647942</c:v>
                </c:pt>
                <c:pt idx="377">
                  <c:v>2316327.9496247657</c:v>
                </c:pt>
                <c:pt idx="378">
                  <c:v>2338307.1059073424</c:v>
                </c:pt>
                <c:pt idx="379">
                  <c:v>2360494.8178527616</c:v>
                </c:pt>
                <c:pt idx="380">
                  <c:v>2382893.064402523</c:v>
                </c:pt>
                <c:pt idx="381">
                  <c:v>2405503.8432758925</c:v>
                </c:pt>
                <c:pt idx="382">
                  <c:v>2428329.1711480813</c:v>
                </c:pt>
                <c:pt idx="383">
                  <c:v>2451371.0838301135</c:v>
                </c:pt>
                <c:pt idx="384">
                  <c:v>2474631.636450402</c:v>
                </c:pt>
                <c:pt idx="385">
                  <c:v>2498112.9036380486</c:v>
                </c:pt>
                <c:pt idx="386">
                  <c:v>2521816.9797078795</c:v>
                </c:pt>
                <c:pt idx="387">
                  <c:v>2545745.9788472434</c:v>
                </c:pt>
                <c:pt idx="388">
                  <c:v>2569902.0353045729</c:v>
                </c:pt>
                <c:pt idx="389">
                  <c:v>2594287.3035797412</c:v>
                </c:pt>
                <c:pt idx="390">
                  <c:v>2618903.9586162274</c:v>
                </c:pt>
                <c:pt idx="391">
                  <c:v>2643754.195995097</c:v>
                </c:pt>
                <c:pt idx="392">
                  <c:v>2668840.2321308297</c:v>
                </c:pt>
                <c:pt idx="393">
                  <c:v>2694164.3044690038</c:v>
                </c:pt>
                <c:pt idx="394">
                  <c:v>2719728.6716858544</c:v>
                </c:pt>
                <c:pt idx="395">
                  <c:v>2745535.613889731</c:v>
                </c:pt>
                <c:pt idx="396">
                  <c:v>2771587.4328244538</c:v>
                </c:pt>
                <c:pt idx="397">
                  <c:v>2797886.4520746176</c:v>
                </c:pt>
                <c:pt idx="398">
                  <c:v>2824435.0172728291</c:v>
                </c:pt>
                <c:pt idx="399">
                  <c:v>2851235.4963089162</c:v>
                </c:pt>
                <c:pt idx="400">
                  <c:v>2878290.2795411251</c:v>
                </c:pt>
                <c:pt idx="401">
                  <c:v>2905601.780009314</c:v>
                </c:pt>
                <c:pt idx="402">
                  <c:v>2933172.4336501784</c:v>
                </c:pt>
                <c:pt idx="403">
                  <c:v>2961004.6995145115</c:v>
                </c:pt>
                <c:pt idx="404">
                  <c:v>2989101.0599865322</c:v>
                </c:pt>
                <c:pt idx="405">
                  <c:v>3017464.0210052878</c:v>
                </c:pt>
                <c:pt idx="406">
                  <c:v>3046096.1122881616</c:v>
                </c:pt>
                <c:pt idx="407">
                  <c:v>3074999.8875565026</c:v>
                </c:pt>
                <c:pt idx="408">
                  <c:v>3104177.9247633922</c:v>
                </c:pt>
                <c:pt idx="409">
                  <c:v>3133632.8263235753</c:v>
                </c:pt>
                <c:pt idx="410">
                  <c:v>3163367.2193455724</c:v>
                </c:pt>
                <c:pt idx="411">
                  <c:v>3193383.7558659902</c:v>
                </c:pt>
                <c:pt idx="412">
                  <c:v>3223685.1130860648</c:v>
                </c:pt>
                <c:pt idx="413">
                  <c:v>3254273.9936104356</c:v>
                </c:pt>
                <c:pt idx="414">
                  <c:v>3285153.1256882036</c:v>
                </c:pt>
                <c:pt idx="415">
                  <c:v>3316325.263456258</c:v>
                </c:pt>
                <c:pt idx="416">
                  <c:v>3347793.187184921</c:v>
                </c:pt>
                <c:pt idx="417">
                  <c:v>3379559.7035259269</c:v>
                </c:pt>
                <c:pt idx="418">
                  <c:v>3411627.6457627448</c:v>
                </c:pt>
                <c:pt idx="419">
                  <c:v>3443999.8740632874</c:v>
                </c:pt>
                <c:pt idx="420">
                  <c:v>3476679.2757350039</c:v>
                </c:pt>
                <c:pt idx="421">
                  <c:v>3509668.7654824099</c:v>
                </c:pt>
                <c:pt idx="422">
                  <c:v>3542971.2856670455</c:v>
                </c:pt>
                <c:pt idx="423">
                  <c:v>3576589.8065699148</c:v>
                </c:pt>
                <c:pt idx="424">
                  <c:v>3610527.3266563974</c:v>
                </c:pt>
                <c:pt idx="425">
                  <c:v>3644786.872843693</c:v>
                </c:pt>
                <c:pt idx="426">
                  <c:v>3679371.5007707928</c:v>
                </c:pt>
                <c:pt idx="427">
                  <c:v>3714284.2950710137</c:v>
                </c:pt>
                <c:pt idx="428">
                  <c:v>3749528.3696471169</c:v>
                </c:pt>
                <c:pt idx="429">
                  <c:v>3785106.8679490425</c:v>
                </c:pt>
                <c:pt idx="430">
                  <c:v>3821022.963254279</c:v>
                </c:pt>
                <c:pt idx="431">
                  <c:v>3857279.8589508869</c:v>
                </c:pt>
                <c:pt idx="432">
                  <c:v>3893880.7888232097</c:v>
                </c:pt>
                <c:pt idx="433">
                  <c:v>3930829.0173403043</c:v>
                </c:pt>
                <c:pt idx="434">
                  <c:v>3968127.8399470965</c:v>
                </c:pt>
                <c:pt idx="435">
                  <c:v>4005780.5833583088</c:v>
                </c:pt>
                <c:pt idx="436">
                  <c:v>4043790.6058551697</c:v>
                </c:pt>
                <c:pt idx="437">
                  <c:v>4082161.2975849407</c:v>
                </c:pt>
                <c:pt idx="438">
                  <c:v>4120896.0808632942</c:v>
                </c:pt>
                <c:pt idx="439">
                  <c:v>4159998.41047954</c:v>
                </c:pt>
                <c:pt idx="440">
                  <c:v>4199471.774004777</c:v>
                </c:pt>
                <c:pt idx="441">
                  <c:v>4239319.6921029324</c:v>
                </c:pt>
                <c:pt idx="442">
                  <c:v>4279545.7188447975</c:v>
                </c:pt>
                <c:pt idx="443">
                  <c:v>4320153.4420249974</c:v>
                </c:pt>
                <c:pt idx="444">
                  <c:v>4361146.4834820004</c:v>
                </c:pt>
                <c:pt idx="445">
                  <c:v>4402528.4994211467</c:v>
                </c:pt>
                <c:pt idx="446">
                  <c:v>4444303.1807407541</c:v>
                </c:pt>
                <c:pt idx="447">
                  <c:v>4486474.2533613127</c:v>
                </c:pt>
                <c:pt idx="448">
                  <c:v>4529045.4785577962</c:v>
                </c:pt>
                <c:pt idx="449">
                  <c:v>4572020.6532951407</c:v>
                </c:pt>
                <c:pt idx="450">
                  <c:v>4615403.6105668945</c:v>
                </c:pt>
                <c:pt idx="451">
                  <c:v>4659198.2197370911</c:v>
                </c:pt>
                <c:pt idx="452">
                  <c:v>4703408.3868853552</c:v>
                </c:pt>
                <c:pt idx="453">
                  <c:v>4748038.0551552912</c:v>
                </c:pt>
                <c:pt idx="454">
                  <c:v>4793091.2051061811</c:v>
                </c:pt>
                <c:pt idx="455">
                  <c:v>4838571.8550680047</c:v>
                </c:pt>
                <c:pt idx="456">
                  <c:v>4884484.0614998471</c:v>
                </c:pt>
                <c:pt idx="457">
                  <c:v>4930831.9193516895</c:v>
                </c:pt>
                <c:pt idx="458">
                  <c:v>4977619.5624296498</c:v>
                </c:pt>
                <c:pt idx="459">
                  <c:v>5024851.1637646761</c:v>
                </c:pt>
                <c:pt idx="460">
                  <c:v>5072530.9359847382</c:v>
                </c:pt>
                <c:pt idx="461">
                  <c:v>5120663.1316905636</c:v>
                </c:pt>
                <c:pt idx="462">
                  <c:v>5169252.0438349284</c:v>
                </c:pt>
                <c:pt idx="463">
                  <c:v>5218302.0061055496</c:v>
                </c:pt>
                <c:pt idx="464">
                  <c:v>5267817.3933116049</c:v>
                </c:pt>
                <c:pt idx="465">
                  <c:v>5317802.621773934</c:v>
                </c:pt>
                <c:pt idx="466">
                  <c:v>5368262.1497189291</c:v>
                </c:pt>
                <c:pt idx="467">
                  <c:v>5419200.4776761718</c:v>
                </c:pt>
                <c:pt idx="468">
                  <c:v>5470622.1488798354</c:v>
                </c:pt>
                <c:pt idx="469">
                  <c:v>5522531.7496738993</c:v>
                </c:pt>
                <c:pt idx="470">
                  <c:v>5574933.9099212158</c:v>
                </c:pt>
                <c:pt idx="471">
                  <c:v>5627833.303416444</c:v>
                </c:pt>
                <c:pt idx="472">
                  <c:v>5681234.6483029136</c:v>
                </c:pt>
                <c:pt idx="473">
                  <c:v>5735142.7074934375</c:v>
                </c:pt>
                <c:pt idx="474">
                  <c:v>5789562.289095127</c:v>
                </c:pt>
                <c:pt idx="475">
                  <c:v>5844498.2468382223</c:v>
                </c:pt>
                <c:pt idx="476">
                  <c:v>5899955.4805090055</c:v>
                </c:pt>
                <c:pt idx="477">
                  <c:v>5955938.9363868125</c:v>
                </c:pt>
                <c:pt idx="478">
                  <c:v>6012453.6076852074</c:v>
                </c:pt>
                <c:pt idx="479">
                  <c:v>6069504.5349973207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AE-485E-BCF2-F4F3DE42E135}"/>
            </c:ext>
          </c:extLst>
        </c:ser>
        <c:ser>
          <c:idx val="2"/>
          <c:order val="2"/>
          <c:tx>
            <c:v>Inflation Adjusted</c:v>
          </c:tx>
          <c:spPr>
            <a:ln w="28575" cap="rnd">
              <a:solidFill>
                <a:schemeClr val="accent2">
                  <a:lumMod val="50000"/>
                  <a:alpha val="52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[0]!SIPInflationReturnWB</c:f>
              <c:numCache>
                <c:formatCode>0</c:formatCode>
                <c:ptCount val="480"/>
                <c:pt idx="0">
                  <c:v>1507.1948318938057</c:v>
                </c:pt>
                <c:pt idx="1">
                  <c:v>3014.6133638003116</c:v>
                </c:pt>
                <c:pt idx="2">
                  <c:v>4522.2892318670838</c:v>
                </c:pt>
                <c:pt idx="3">
                  <c:v>6030.2560822213945</c:v>
                </c:pt>
                <c:pt idx="4">
                  <c:v>7538.5475717216941</c:v>
                </c:pt>
                <c:pt idx="5">
                  <c:v>9047.1973687092759</c:v>
                </c:pt>
                <c:pt idx="6">
                  <c:v>10556.23915376032</c:v>
                </c:pt>
                <c:pt idx="7">
                  <c:v>12065.706620438426</c:v>
                </c:pt>
                <c:pt idx="8">
                  <c:v>13575.633476047466</c:v>
                </c:pt>
                <c:pt idx="9">
                  <c:v>15086.053442384782</c:v>
                </c:pt>
                <c:pt idx="10">
                  <c:v>16597.000256494746</c:v>
                </c:pt>
                <c:pt idx="11">
                  <c:v>18108.507671423027</c:v>
                </c:pt>
                <c:pt idx="12">
                  <c:v>19620.60945697104</c:v>
                </c:pt>
                <c:pt idx="13">
                  <c:v>21133.339400450997</c:v>
                </c:pt>
                <c:pt idx="14">
                  <c:v>22646.731307441314</c:v>
                </c:pt>
                <c:pt idx="15">
                  <c:v>24160.819002542681</c:v>
                </c:pt>
                <c:pt idx="16">
                  <c:v>25675.636330134654</c:v>
                </c:pt>
                <c:pt idx="17">
                  <c:v>27191.217155132577</c:v>
                </c:pt>
                <c:pt idx="18">
                  <c:v>28707.595363745266</c:v>
                </c:pt>
                <c:pt idx="19">
                  <c:v>30224.804864233131</c:v>
                </c:pt>
                <c:pt idx="20">
                  <c:v>31742.879587667023</c:v>
                </c:pt>
                <c:pt idx="21">
                  <c:v>33261.853488687542</c:v>
                </c:pt>
                <c:pt idx="22">
                  <c:v>34781.760546265075</c:v>
                </c:pt>
                <c:pt idx="23">
                  <c:v>36302.634764460345</c:v>
                </c:pt>
                <c:pt idx="24">
                  <c:v>37824.510173185845</c:v>
                </c:pt>
                <c:pt idx="25">
                  <c:v>39347.420828967683</c:v>
                </c:pt>
                <c:pt idx="26">
                  <c:v>40871.400815708177</c:v>
                </c:pt>
                <c:pt idx="27">
                  <c:v>42396.484245449319</c:v>
                </c:pt>
                <c:pt idx="28">
                  <c:v>43922.705259136848</c:v>
                </c:pt>
                <c:pt idx="29">
                  <c:v>45450.098027385095</c:v>
                </c:pt>
                <c:pt idx="30">
                  <c:v>46978.696751242343</c:v>
                </c:pt>
                <c:pt idx="31">
                  <c:v>48508.535662957496</c:v>
                </c:pt>
                <c:pt idx="32">
                  <c:v>50039.649026746934</c:v>
                </c:pt>
                <c:pt idx="33">
                  <c:v>51572.071139562795</c:v>
                </c:pt>
                <c:pt idx="34">
                  <c:v>53105.836331861326</c:v>
                </c:pt>
                <c:pt idx="35">
                  <c:v>54640.978968372889</c:v>
                </c:pt>
                <c:pt idx="36">
                  <c:v>56177.533448872229</c:v>
                </c:pt>
                <c:pt idx="37">
                  <c:v>57715.534208950012</c:v>
                </c:pt>
                <c:pt idx="38">
                  <c:v>59255.015720784846</c:v>
                </c:pt>
                <c:pt idx="39">
                  <c:v>60796.01249391662</c:v>
                </c:pt>
                <c:pt idx="40">
                  <c:v>62338.559076020647</c:v>
                </c:pt>
                <c:pt idx="41">
                  <c:v>63882.690053682651</c:v>
                </c:pt>
                <c:pt idx="42">
                  <c:v>65428.440053174643</c:v>
                </c:pt>
                <c:pt idx="43">
                  <c:v>66975.843741232165</c:v>
                </c:pt>
                <c:pt idx="44">
                  <c:v>68524.935825832101</c:v>
                </c:pt>
                <c:pt idx="45">
                  <c:v>70075.751056971916</c:v>
                </c:pt>
                <c:pt idx="46">
                  <c:v>71628.324227449382</c:v>
                </c:pt>
                <c:pt idx="47">
                  <c:v>73182.690173643903</c:v>
                </c:pt>
                <c:pt idx="48">
                  <c:v>74738.883776298753</c:v>
                </c:pt>
                <c:pt idx="49">
                  <c:v>76296.939961304175</c:v>
                </c:pt>
                <c:pt idx="50">
                  <c:v>77856.893700481742</c:v>
                </c:pt>
                <c:pt idx="51">
                  <c:v>79418.78001237</c:v>
                </c:pt>
                <c:pt idx="52">
                  <c:v>80982.633963011001</c:v>
                </c:pt>
                <c:pt idx="53">
                  <c:v>82548.490666738086</c:v>
                </c:pt>
                <c:pt idx="54">
                  <c:v>84116.385286964884</c:v>
                </c:pt>
                <c:pt idx="55">
                  <c:v>85686.353036975328</c:v>
                </c:pt>
                <c:pt idx="56">
                  <c:v>87258.429180715437</c:v>
                </c:pt>
                <c:pt idx="57">
                  <c:v>88832.649033585403</c:v>
                </c:pt>
                <c:pt idx="58">
                  <c:v>90409.047963233752</c:v>
                </c:pt>
                <c:pt idx="59">
                  <c:v>91987.661390352296</c:v>
                </c:pt>
                <c:pt idx="60">
                  <c:v>92428.88523035757</c:v>
                </c:pt>
                <c:pt idx="61">
                  <c:v>92872.22542460043</c:v>
                </c:pt>
                <c:pt idx="62">
                  <c:v>93317.692124289504</c:v>
                </c:pt>
                <c:pt idx="63">
                  <c:v>93765.295529324285</c:v>
                </c:pt>
                <c:pt idx="64">
                  <c:v>94215.045888528621</c:v>
                </c:pt>
                <c:pt idx="65">
                  <c:v>94666.953499885392</c:v>
                </c:pt>
                <c:pt idx="66">
                  <c:v>95121.028710772327</c:v>
                </c:pt>
                <c:pt idx="67">
                  <c:v>95577.281918198889</c:v>
                </c:pt>
                <c:pt idx="68">
                  <c:v>96035.723569044421</c:v>
                </c:pt>
                <c:pt idx="69">
                  <c:v>96496.364160297278</c:v>
                </c:pt>
                <c:pt idx="70">
                  <c:v>96959.214239295135</c:v>
                </c:pt>
                <c:pt idx="71">
                  <c:v>97424.284403966594</c:v>
                </c:pt>
                <c:pt idx="72">
                  <c:v>97891.585303073851</c:v>
                </c:pt>
                <c:pt idx="73">
                  <c:v>98361.127636456353</c:v>
                </c:pt>
                <c:pt idx="74">
                  <c:v>98832.922155276028</c:v>
                </c:pt>
                <c:pt idx="75">
                  <c:v>99306.979662263198</c:v>
                </c:pt>
                <c:pt idx="76">
                  <c:v>99783.311011964222</c:v>
                </c:pt>
                <c:pt idx="77">
                  <c:v>100261.92711098984</c:v>
                </c:pt>
                <c:pt idx="78">
                  <c:v>100742.83891826487</c:v>
                </c:pt>
                <c:pt idx="79">
                  <c:v>101226.05744527932</c:v>
                </c:pt>
                <c:pt idx="80">
                  <c:v>101711.59375634031</c:v>
                </c:pt>
                <c:pt idx="81">
                  <c:v>102199.45896882561</c:v>
                </c:pt>
                <c:pt idx="82">
                  <c:v>102689.66425343801</c:v>
                </c:pt>
                <c:pt idx="83">
                  <c:v>103182.2208344612</c:v>
                </c:pt>
                <c:pt idx="84">
                  <c:v>103677.13999001686</c:v>
                </c:pt>
                <c:pt idx="85">
                  <c:v>104174.43305232268</c:v>
                </c:pt>
                <c:pt idx="86">
                  <c:v>104674.11140795202</c:v>
                </c:pt>
                <c:pt idx="87">
                  <c:v>105176.18649809448</c:v>
                </c:pt>
                <c:pt idx="88">
                  <c:v>105680.66981881802</c:v>
                </c:pt>
                <c:pt idx="89">
                  <c:v>106187.57292133215</c:v>
                </c:pt>
                <c:pt idx="90">
                  <c:v>106696.9074122523</c:v>
                </c:pt>
                <c:pt idx="91">
                  <c:v>107208.6849538657</c:v>
                </c:pt>
                <c:pt idx="92">
                  <c:v>107722.91726439839</c:v>
                </c:pt>
                <c:pt idx="93">
                  <c:v>108239.61611828351</c:v>
                </c:pt>
                <c:pt idx="94">
                  <c:v>108758.79334643093</c:v>
                </c:pt>
                <c:pt idx="95">
                  <c:v>109280.46083649807</c:v>
                </c:pt>
                <c:pt idx="96">
                  <c:v>109804.63053316221</c:v>
                </c:pt>
                <c:pt idx="97">
                  <c:v>110331.31443839394</c:v>
                </c:pt>
                <c:pt idx="98">
                  <c:v>110860.52461173183</c:v>
                </c:pt>
                <c:pt idx="99">
                  <c:v>111392.27317055882</c:v>
                </c:pt>
                <c:pt idx="100">
                  <c:v>111926.57229037951</c:v>
                </c:pt>
                <c:pt idx="101">
                  <c:v>112463.43420509897</c:v>
                </c:pt>
                <c:pt idx="102">
                  <c:v>113002.87120730281</c:v>
                </c:pt>
                <c:pt idx="103">
                  <c:v>113544.89564853878</c:v>
                </c:pt>
                <c:pt idx="104">
                  <c:v>114089.51993959937</c:v>
                </c:pt>
                <c:pt idx="105">
                  <c:v>114636.75655080633</c:v>
                </c:pt>
                <c:pt idx="106">
                  <c:v>115186.6180122958</c:v>
                </c:pt>
                <c:pt idx="107">
                  <c:v>115739.11691430541</c:v>
                </c:pt>
                <c:pt idx="108">
                  <c:v>116294.2659074627</c:v>
                </c:pt>
                <c:pt idx="109">
                  <c:v>116852.07770307452</c:v>
                </c:pt>
                <c:pt idx="110">
                  <c:v>117412.56507341824</c:v>
                </c:pt>
                <c:pt idx="111">
                  <c:v>117975.74085203405</c:v>
                </c:pt>
                <c:pt idx="112">
                  <c:v>118541.61793401912</c:v>
                </c:pt>
                <c:pt idx="113">
                  <c:v>119110.20927632245</c:v>
                </c:pt>
                <c:pt idx="114">
                  <c:v>119681.5278980419</c:v>
                </c:pt>
                <c:pt idx="115">
                  <c:v>120255.58688072201</c:v>
                </c:pt>
                <c:pt idx="116">
                  <c:v>120832.39936865386</c:v>
                </c:pt>
                <c:pt idx="117">
                  <c:v>121411.97856917563</c:v>
                </c:pt>
                <c:pt idx="118">
                  <c:v>121994.33775297533</c:v>
                </c:pt>
                <c:pt idx="119">
                  <c:v>122579.49025439452</c:v>
                </c:pt>
                <c:pt idx="120">
                  <c:v>123167.44947173369</c:v>
                </c:pt>
                <c:pt idx="121">
                  <c:v>123758.228867559</c:v>
                </c:pt>
                <c:pt idx="122">
                  <c:v>124351.84196901048</c:v>
                </c:pt>
                <c:pt idx="123">
                  <c:v>124948.30236811189</c:v>
                </c:pt>
                <c:pt idx="124">
                  <c:v>125547.62372208187</c:v>
                </c:pt>
                <c:pt idx="125">
                  <c:v>126149.81975364663</c:v>
                </c:pt>
                <c:pt idx="126">
                  <c:v>126754.90425135424</c:v>
                </c:pt>
                <c:pt idx="127">
                  <c:v>127362.89106989016</c:v>
                </c:pt>
                <c:pt idx="128">
                  <c:v>127973.79413039479</c:v>
                </c:pt>
                <c:pt idx="129">
                  <c:v>128587.62742078192</c:v>
                </c:pt>
                <c:pt idx="130">
                  <c:v>129204.40499605915</c:v>
                </c:pt>
                <c:pt idx="131">
                  <c:v>129824.14097864967</c:v>
                </c:pt>
                <c:pt idx="132">
                  <c:v>130446.84955871575</c:v>
                </c:pt>
                <c:pt idx="133">
                  <c:v>131072.54499448347</c:v>
                </c:pt>
                <c:pt idx="134">
                  <c:v>131701.24161256917</c:v>
                </c:pt>
                <c:pt idx="135">
                  <c:v>132332.95380830776</c:v>
                </c:pt>
                <c:pt idx="136">
                  <c:v>132967.69604608213</c:v>
                </c:pt>
                <c:pt idx="137">
                  <c:v>133605.48285965429</c:v>
                </c:pt>
                <c:pt idx="138">
                  <c:v>134246.32885249823</c:v>
                </c:pt>
                <c:pt idx="139">
                  <c:v>134890.24869813444</c:v>
                </c:pt>
                <c:pt idx="140">
                  <c:v>135537.25714046555</c:v>
                </c:pt>
                <c:pt idx="141">
                  <c:v>136187.36899411431</c:v>
                </c:pt>
                <c:pt idx="142">
                  <c:v>136840.59914476253</c:v>
                </c:pt>
                <c:pt idx="143">
                  <c:v>137496.96254949199</c:v>
                </c:pt>
                <c:pt idx="144">
                  <c:v>138156.47423712703</c:v>
                </c:pt>
                <c:pt idx="145">
                  <c:v>138819.14930857837</c:v>
                </c:pt>
                <c:pt idx="146">
                  <c:v>139485.00293718925</c:v>
                </c:pt>
                <c:pt idx="147">
                  <c:v>140154.05036908263</c:v>
                </c:pt>
                <c:pt idx="148">
                  <c:v>140826.30692351027</c:v>
                </c:pt>
                <c:pt idx="149">
                  <c:v>141501.78799320373</c:v>
                </c:pt>
                <c:pt idx="150">
                  <c:v>142180.50904472647</c:v>
                </c:pt>
                <c:pt idx="151">
                  <c:v>142862.48561882813</c:v>
                </c:pt>
                <c:pt idx="152">
                  <c:v>143547.73333080055</c:v>
                </c:pt>
                <c:pt idx="153">
                  <c:v>144236.26787083523</c:v>
                </c:pt>
                <c:pt idx="154">
                  <c:v>144928.10500438226</c:v>
                </c:pt>
                <c:pt idx="155">
                  <c:v>145623.26057251182</c:v>
                </c:pt>
                <c:pt idx="156">
                  <c:v>146321.75049227654</c:v>
                </c:pt>
                <c:pt idx="157">
                  <c:v>147023.59075707608</c:v>
                </c:pt>
                <c:pt idx="158">
                  <c:v>147728.79743702331</c:v>
                </c:pt>
                <c:pt idx="159">
                  <c:v>148437.3866793123</c:v>
                </c:pt>
                <c:pt idx="160">
                  <c:v>149149.37470858794</c:v>
                </c:pt>
                <c:pt idx="161">
                  <c:v>149864.77782731765</c:v>
                </c:pt>
                <c:pt idx="162">
                  <c:v>150583.61241616437</c:v>
                </c:pt>
                <c:pt idx="163">
                  <c:v>151305.89493436186</c:v>
                </c:pt>
                <c:pt idx="164">
                  <c:v>152031.64192009156</c:v>
                </c:pt>
                <c:pt idx="165">
                  <c:v>152760.8699908611</c:v>
                </c:pt>
                <c:pt idx="166">
                  <c:v>153493.59584388495</c:v>
                </c:pt>
                <c:pt idx="167">
                  <c:v>154229.83625646657</c:v>
                </c:pt>
                <c:pt idx="168">
                  <c:v>154969.60808638288</c:v>
                </c:pt>
                <c:pt idx="169">
                  <c:v>155712.92827226993</c:v>
                </c:pt>
                <c:pt idx="170">
                  <c:v>156459.81383401071</c:v>
                </c:pt>
                <c:pt idx="171">
                  <c:v>157210.28187312523</c:v>
                </c:pt>
                <c:pt idx="172">
                  <c:v>157964.34957316189</c:v>
                </c:pt>
                <c:pt idx="173">
                  <c:v>158722.03420009071</c:v>
                </c:pt>
                <c:pt idx="174">
                  <c:v>159483.3531026991</c:v>
                </c:pt>
                <c:pt idx="175">
                  <c:v>160248.32371298864</c:v>
                </c:pt>
                <c:pt idx="176">
                  <c:v>161016.96354657473</c:v>
                </c:pt>
                <c:pt idx="177">
                  <c:v>161789.29020308715</c:v>
                </c:pt>
                <c:pt idx="178">
                  <c:v>162565.32136657342</c:v>
                </c:pt>
                <c:pt idx="179">
                  <c:v>163345.07480590334</c:v>
                </c:pt>
                <c:pt idx="180">
                  <c:v>164128.5683751764</c:v>
                </c:pt>
                <c:pt idx="181">
                  <c:v>164915.82001413</c:v>
                </c:pt>
                <c:pt idx="182">
                  <c:v>165706.84774855056</c:v>
                </c:pt>
                <c:pt idx="183">
                  <c:v>166501.66969068605</c:v>
                </c:pt>
                <c:pt idx="184">
                  <c:v>167300.30403966102</c:v>
                </c:pt>
                <c:pt idx="185">
                  <c:v>168102.76908189297</c:v>
                </c:pt>
                <c:pt idx="186">
                  <c:v>168909.08319151128</c:v>
                </c:pt>
                <c:pt idx="187">
                  <c:v>169719.26483077777</c:v>
                </c:pt>
                <c:pt idx="188">
                  <c:v>170533.3325505096</c:v>
                </c:pt>
                <c:pt idx="189">
                  <c:v>171351.30499050385</c:v>
                </c:pt>
                <c:pt idx="190">
                  <c:v>172173.20087996445</c:v>
                </c:pt>
                <c:pt idx="191">
                  <c:v>172999.0390379309</c:v>
                </c:pt>
                <c:pt idx="192">
                  <c:v>173828.83837370956</c:v>
                </c:pt>
                <c:pt idx="193">
                  <c:v>174662.61788730577</c:v>
                </c:pt>
                <c:pt idx="194">
                  <c:v>175500.39666985988</c:v>
                </c:pt>
                <c:pt idx="195">
                  <c:v>176342.1939040838</c:v>
                </c:pt>
                <c:pt idx="196">
                  <c:v>177188.02886470026</c:v>
                </c:pt>
                <c:pt idx="197">
                  <c:v>178037.92091888448</c:v>
                </c:pt>
                <c:pt idx="198">
                  <c:v>178891.88952670724</c:v>
                </c:pt>
                <c:pt idx="199">
                  <c:v>179749.95424158045</c:v>
                </c:pt>
                <c:pt idx="200">
                  <c:v>180612.13471070537</c:v>
                </c:pt>
                <c:pt idx="201">
                  <c:v>181478.45067552204</c:v>
                </c:pt>
                <c:pt idx="202">
                  <c:v>182348.92197216116</c:v>
                </c:pt>
                <c:pt idx="203">
                  <c:v>183223.56853189867</c:v>
                </c:pt>
                <c:pt idx="204">
                  <c:v>184102.41038161219</c:v>
                </c:pt>
                <c:pt idx="205">
                  <c:v>184985.4676442389</c:v>
                </c:pt>
                <c:pt idx="206">
                  <c:v>185872.76053923718</c:v>
                </c:pt>
                <c:pt idx="207">
                  <c:v>186764.30938304876</c:v>
                </c:pt>
                <c:pt idx="208">
                  <c:v>187660.13458956455</c:v>
                </c:pt>
                <c:pt idx="209">
                  <c:v>188560.25667059183</c:v>
                </c:pt>
                <c:pt idx="210">
                  <c:v>189464.69623632371</c:v>
                </c:pt>
                <c:pt idx="211">
                  <c:v>190373.47399581116</c:v>
                </c:pt>
                <c:pt idx="212">
                  <c:v>191286.61075743759</c:v>
                </c:pt>
                <c:pt idx="213">
                  <c:v>192204.12742939472</c:v>
                </c:pt>
                <c:pt idx="214">
                  <c:v>193126.04502016143</c:v>
                </c:pt>
                <c:pt idx="215">
                  <c:v>194052.3846389851</c:v>
                </c:pt>
                <c:pt idx="216">
                  <c:v>194983.16749636491</c:v>
                </c:pt>
                <c:pt idx="217">
                  <c:v>195918.41490453697</c:v>
                </c:pt>
                <c:pt idx="218">
                  <c:v>196858.14827796299</c:v>
                </c:pt>
                <c:pt idx="219">
                  <c:v>197802.38913382025</c:v>
                </c:pt>
                <c:pt idx="220">
                  <c:v>198751.15909249414</c:v>
                </c:pt>
                <c:pt idx="221">
                  <c:v>199704.47987807388</c:v>
                </c:pt>
                <c:pt idx="222">
                  <c:v>200662.37331884899</c:v>
                </c:pt>
                <c:pt idx="223">
                  <c:v>201624.8613478097</c:v>
                </c:pt>
                <c:pt idx="224">
                  <c:v>202591.96600314928</c:v>
                </c:pt>
                <c:pt idx="225">
                  <c:v>203563.70942876826</c:v>
                </c:pt>
                <c:pt idx="226">
                  <c:v>204540.11387478118</c:v>
                </c:pt>
                <c:pt idx="227">
                  <c:v>205521.201698027</c:v>
                </c:pt>
                <c:pt idx="228">
                  <c:v>206506.99536258058</c:v>
                </c:pt>
                <c:pt idx="229">
                  <c:v>207497.51744026635</c:v>
                </c:pt>
                <c:pt idx="230">
                  <c:v>208492.79061117623</c:v>
                </c:pt>
                <c:pt idx="231">
                  <c:v>209492.83766418809</c:v>
                </c:pt>
                <c:pt idx="232">
                  <c:v>210497.68149748811</c:v>
                </c:pt>
                <c:pt idx="233">
                  <c:v>211507.34511909503</c:v>
                </c:pt>
                <c:pt idx="234">
                  <c:v>212521.85164738641</c:v>
                </c:pt>
                <c:pt idx="235">
                  <c:v>213541.2243116285</c:v>
                </c:pt>
                <c:pt idx="236">
                  <c:v>214565.48645250825</c:v>
                </c:pt>
                <c:pt idx="237">
                  <c:v>215594.66152266727</c:v>
                </c:pt>
                <c:pt idx="238">
                  <c:v>216628.77308723895</c:v>
                </c:pt>
                <c:pt idx="239">
                  <c:v>217667.84482438816</c:v>
                </c:pt>
                <c:pt idx="240">
                  <c:v>218711.90052585391</c:v>
                </c:pt>
                <c:pt idx="241">
                  <c:v>219760.96409749275</c:v>
                </c:pt>
                <c:pt idx="242">
                  <c:v>220815.05955982755</c:v>
                </c:pt>
                <c:pt idx="243">
                  <c:v>221874.21104859663</c:v>
                </c:pt>
                <c:pt idx="244">
                  <c:v>222938.44281530683</c:v>
                </c:pt>
                <c:pt idx="245">
                  <c:v>224007.77922778885</c:v>
                </c:pt>
                <c:pt idx="246">
                  <c:v>225082.24477075468</c:v>
                </c:pt>
                <c:pt idx="247">
                  <c:v>226161.86404635862</c:v>
                </c:pt>
                <c:pt idx="248">
                  <c:v>227246.66177476078</c:v>
                </c:pt>
                <c:pt idx="249">
                  <c:v>228336.66279469279</c:v>
                </c:pt>
                <c:pt idx="250">
                  <c:v>229431.89206402638</c:v>
                </c:pt>
                <c:pt idx="251">
                  <c:v>230532.37466034526</c:v>
                </c:pt>
                <c:pt idx="252">
                  <c:v>231638.13578151935</c:v>
                </c:pt>
                <c:pt idx="253">
                  <c:v>232749.20074628104</c:v>
                </c:pt>
                <c:pt idx="254">
                  <c:v>233865.59499480584</c:v>
                </c:pt>
                <c:pt idx="255">
                  <c:v>234987.34408929417</c:v>
                </c:pt>
                <c:pt idx="256">
                  <c:v>236114.47371455695</c:v>
                </c:pt>
                <c:pt idx="257">
                  <c:v>237247.00967860408</c:v>
                </c:pt>
                <c:pt idx="258">
                  <c:v>238384.97791323459</c:v>
                </c:pt>
                <c:pt idx="259">
                  <c:v>239528.40447463069</c:v>
                </c:pt>
                <c:pt idx="260">
                  <c:v>240677.31554395499</c:v>
                </c:pt>
                <c:pt idx="261">
                  <c:v>241831.73742794912</c:v>
                </c:pt>
                <c:pt idx="262">
                  <c:v>242991.69655953647</c:v>
                </c:pt>
                <c:pt idx="263">
                  <c:v>244157.21949842738</c:v>
                </c:pt>
                <c:pt idx="264">
                  <c:v>245328.33293172761</c:v>
                </c:pt>
                <c:pt idx="265">
                  <c:v>246505.0636745485</c:v>
                </c:pt>
                <c:pt idx="266">
                  <c:v>247687.43867062207</c:v>
                </c:pt>
                <c:pt idx="267">
                  <c:v>248875.48499291702</c:v>
                </c:pt>
                <c:pt idx="268">
                  <c:v>250069.22984425919</c:v>
                </c:pt>
                <c:pt idx="269">
                  <c:v>251268.70055795443</c:v>
                </c:pt>
                <c:pt idx="270">
                  <c:v>252473.92459841419</c:v>
                </c:pt>
                <c:pt idx="271">
                  <c:v>253684.92956178408</c:v>
                </c:pt>
                <c:pt idx="272">
                  <c:v>254901.74317657677</c:v>
                </c:pt>
                <c:pt idx="273">
                  <c:v>256124.39330430579</c:v>
                </c:pt>
                <c:pt idx="274">
                  <c:v>257352.90794012405</c:v>
                </c:pt>
                <c:pt idx="275">
                  <c:v>258587.31521346472</c:v>
                </c:pt>
                <c:pt idx="276">
                  <c:v>259827.64338868583</c:v>
                </c:pt>
                <c:pt idx="277">
                  <c:v>261073.92086571595</c:v>
                </c:pt>
                <c:pt idx="278">
                  <c:v>262326.17618070648</c:v>
                </c:pt>
                <c:pt idx="279">
                  <c:v>263584.43800668314</c:v>
                </c:pt>
                <c:pt idx="280">
                  <c:v>264848.7351542039</c:v>
                </c:pt>
                <c:pt idx="281">
                  <c:v>266119.09657201829</c:v>
                </c:pt>
                <c:pt idx="282">
                  <c:v>267395.55134772975</c:v>
                </c:pt>
                <c:pt idx="283">
                  <c:v>268678.128708462</c:v>
                </c:pt>
                <c:pt idx="284">
                  <c:v>269966.8580215284</c:v>
                </c:pt>
                <c:pt idx="285">
                  <c:v>271261.76879510429</c:v>
                </c:pt>
                <c:pt idx="286">
                  <c:v>272562.89067890245</c:v>
                </c:pt>
                <c:pt idx="287">
                  <c:v>273870.25346485194</c:v>
                </c:pt>
                <c:pt idx="288">
                  <c:v>275183.8870877811</c:v>
                </c:pt>
                <c:pt idx="289">
                  <c:v>276503.82162610145</c:v>
                </c:pt>
                <c:pt idx="290">
                  <c:v>277830.08730249788</c:v>
                </c:pt>
                <c:pt idx="291">
                  <c:v>279162.71448461985</c:v>
                </c:pt>
                <c:pt idx="292">
                  <c:v>280501.73368577659</c:v>
                </c:pt>
                <c:pt idx="293">
                  <c:v>281847.17556563677</c:v>
                </c:pt>
                <c:pt idx="294">
                  <c:v>283199.07093092927</c:v>
                </c:pt>
                <c:pt idx="295">
                  <c:v>284557.45073614921</c:v>
                </c:pt>
                <c:pt idx="296">
                  <c:v>285922.34608426684</c:v>
                </c:pt>
                <c:pt idx="297">
                  <c:v>287293.78822743945</c:v>
                </c:pt>
                <c:pt idx="298">
                  <c:v>288671.80856772681</c:v>
                </c:pt>
                <c:pt idx="299">
                  <c:v>290056.43865781039</c:v>
                </c:pt>
                <c:pt idx="300">
                  <c:v>291447.71020171652</c:v>
                </c:pt>
                <c:pt idx="301">
                  <c:v>292845.65505554038</c:v>
                </c:pt>
                <c:pt idx="302">
                  <c:v>294250.30522817775</c:v>
                </c:pt>
                <c:pt idx="303">
                  <c:v>295661.69288205623</c:v>
                </c:pt>
                <c:pt idx="304">
                  <c:v>297079.85033387254</c:v>
                </c:pt>
                <c:pt idx="305">
                  <c:v>298504.81005533203</c:v>
                </c:pt>
                <c:pt idx="306">
                  <c:v>299936.60467389238</c:v>
                </c:pt>
                <c:pt idx="307">
                  <c:v>301375.26697351062</c:v>
                </c:pt>
                <c:pt idx="308">
                  <c:v>302820.8298953941</c:v>
                </c:pt>
                <c:pt idx="309">
                  <c:v>304273.3265387541</c:v>
                </c:pt>
                <c:pt idx="310">
                  <c:v>305732.79016156436</c:v>
                </c:pt>
                <c:pt idx="311">
                  <c:v>307199.254181322</c:v>
                </c:pt>
                <c:pt idx="312">
                  <c:v>308672.75217581354</c:v>
                </c:pt>
                <c:pt idx="313">
                  <c:v>310153.31788388244</c:v>
                </c:pt>
                <c:pt idx="314">
                  <c:v>311640.98520620278</c:v>
                </c:pt>
                <c:pt idx="315">
                  <c:v>313135.78820605518</c:v>
                </c:pt>
                <c:pt idx="316">
                  <c:v>314637.76111010648</c:v>
                </c:pt>
                <c:pt idx="317">
                  <c:v>316146.93830919353</c:v>
                </c:pt>
                <c:pt idx="318">
                  <c:v>317663.35435911093</c:v>
                </c:pt>
                <c:pt idx="319">
                  <c:v>319187.04398140172</c:v>
                </c:pt>
                <c:pt idx="320">
                  <c:v>320718.04206415301</c:v>
                </c:pt>
                <c:pt idx="321">
                  <c:v>322256.38366279443</c:v>
                </c:pt>
                <c:pt idx="322">
                  <c:v>323802.10400090076</c:v>
                </c:pt>
                <c:pt idx="323">
                  <c:v>325355.23847099853</c:v>
                </c:pt>
                <c:pt idx="324">
                  <c:v>326915.82263537741</c:v>
                </c:pt>
                <c:pt idx="325">
                  <c:v>328483.89222690184</c:v>
                </c:pt>
                <c:pt idx="326">
                  <c:v>330059.48314983223</c:v>
                </c:pt>
                <c:pt idx="327">
                  <c:v>331642.6314806451</c:v>
                </c:pt>
                <c:pt idx="328">
                  <c:v>333233.37346886023</c:v>
                </c:pt>
                <c:pt idx="329">
                  <c:v>334831.74553786975</c:v>
                </c:pt>
                <c:pt idx="330">
                  <c:v>336437.78428577282</c:v>
                </c:pt>
                <c:pt idx="331">
                  <c:v>338051.52648621297</c:v>
                </c:pt>
                <c:pt idx="332">
                  <c:v>339673.00908922154</c:v>
                </c:pt>
                <c:pt idx="333">
                  <c:v>341302.26922206162</c:v>
                </c:pt>
                <c:pt idx="334">
                  <c:v>342939.3441900796</c:v>
                </c:pt>
                <c:pt idx="335">
                  <c:v>344584.27147755912</c:v>
                </c:pt>
                <c:pt idx="336">
                  <c:v>346237.08874857984</c:v>
                </c:pt>
                <c:pt idx="337">
                  <c:v>347897.83384787751</c:v>
                </c:pt>
                <c:pt idx="338">
                  <c:v>349566.54480171396</c:v>
                </c:pt>
                <c:pt idx="339">
                  <c:v>351243.25981874514</c:v>
                </c:pt>
                <c:pt idx="340">
                  <c:v>352928.01729089726</c:v>
                </c:pt>
                <c:pt idx="341">
                  <c:v>354620.85579424538</c:v>
                </c:pt>
                <c:pt idx="342">
                  <c:v>356321.8140898968</c:v>
                </c:pt>
                <c:pt idx="343">
                  <c:v>358030.93112487852</c:v>
                </c:pt>
                <c:pt idx="344">
                  <c:v>359748.2460330294</c:v>
                </c:pt>
                <c:pt idx="345">
                  <c:v>361473.79813589546</c:v>
                </c:pt>
                <c:pt idx="346">
                  <c:v>363207.62694363092</c:v>
                </c:pt>
                <c:pt idx="347">
                  <c:v>364949.77215590241</c:v>
                </c:pt>
                <c:pt idx="348">
                  <c:v>366700.27366279881</c:v>
                </c:pt>
                <c:pt idx="349">
                  <c:v>368459.17154574307</c:v>
                </c:pt>
                <c:pt idx="350">
                  <c:v>370226.50607841148</c:v>
                </c:pt>
                <c:pt idx="351">
                  <c:v>372002.31772765494</c:v>
                </c:pt>
                <c:pt idx="352">
                  <c:v>373786.64715442591</c:v>
                </c:pt>
                <c:pt idx="353">
                  <c:v>375579.53521470953</c:v>
                </c:pt>
                <c:pt idx="354">
                  <c:v>377381.02296045865</c:v>
                </c:pt>
                <c:pt idx="355">
                  <c:v>379191.15164053376</c:v>
                </c:pt>
                <c:pt idx="356">
                  <c:v>381009.96270164859</c:v>
                </c:pt>
                <c:pt idx="357">
                  <c:v>382837.49778931774</c:v>
                </c:pt>
                <c:pt idx="358">
                  <c:v>384673.79874881054</c:v>
                </c:pt>
                <c:pt idx="359">
                  <c:v>386518.90762610978</c:v>
                </c:pt>
                <c:pt idx="360">
                  <c:v>388372.86666887492</c:v>
                </c:pt>
                <c:pt idx="361">
                  <c:v>390235.71832740691</c:v>
                </c:pt>
                <c:pt idx="362">
                  <c:v>392107.50525562308</c:v>
                </c:pt>
                <c:pt idx="363">
                  <c:v>393988.2703120322</c:v>
                </c:pt>
                <c:pt idx="364">
                  <c:v>395878.05656071624</c:v>
                </c:pt>
                <c:pt idx="365">
                  <c:v>397776.90727231698</c:v>
                </c:pt>
                <c:pt idx="366">
                  <c:v>399684.86592502514</c:v>
                </c:pt>
                <c:pt idx="367">
                  <c:v>401601.97620557755</c:v>
                </c:pt>
                <c:pt idx="368">
                  <c:v>403528.28201025707</c:v>
                </c:pt>
                <c:pt idx="369">
                  <c:v>405463.82744589722</c:v>
                </c:pt>
                <c:pt idx="370">
                  <c:v>407408.65683089197</c:v>
                </c:pt>
                <c:pt idx="371">
                  <c:v>409362.81469621131</c:v>
                </c:pt>
                <c:pt idx="372">
                  <c:v>411326.34578642109</c:v>
                </c:pt>
                <c:pt idx="373">
                  <c:v>413299.29506070563</c:v>
                </c:pt>
                <c:pt idx="374">
                  <c:v>415281.70769389911</c:v>
                </c:pt>
                <c:pt idx="375">
                  <c:v>417273.62907751917</c:v>
                </c:pt>
                <c:pt idx="376">
                  <c:v>419275.10482080642</c:v>
                </c:pt>
                <c:pt idx="377">
                  <c:v>421286.18075176887</c:v>
                </c:pt>
                <c:pt idx="378">
                  <c:v>423306.90291823045</c:v>
                </c:pt>
                <c:pt idx="379">
                  <c:v>425337.31758888654</c:v>
                </c:pt>
                <c:pt idx="380">
                  <c:v>427377.47125436261</c:v>
                </c:pt>
                <c:pt idx="381">
                  <c:v>429427.41062827926</c:v>
                </c:pt>
                <c:pt idx="382">
                  <c:v>431487.18264832121</c:v>
                </c:pt>
                <c:pt idx="383">
                  <c:v>433556.8344773117</c:v>
                </c:pt>
                <c:pt idx="384">
                  <c:v>435636.41350429523</c:v>
                </c:pt>
                <c:pt idx="385">
                  <c:v>437725.96734561789</c:v>
                </c:pt>
                <c:pt idx="386">
                  <c:v>439825.54384602141</c:v>
                </c:pt>
                <c:pt idx="387">
                  <c:v>441935.19107973715</c:v>
                </c:pt>
                <c:pt idx="388">
                  <c:v>444054.95735158754</c:v>
                </c:pt>
                <c:pt idx="389">
                  <c:v>446184.89119809138</c:v>
                </c:pt>
                <c:pt idx="390">
                  <c:v>448325.04138857551</c:v>
                </c:pt>
                <c:pt idx="391">
                  <c:v>450475.45692629181</c:v>
                </c:pt>
                <c:pt idx="392">
                  <c:v>452636.18704953836</c:v>
                </c:pt>
                <c:pt idx="393">
                  <c:v>454807.28123278794</c:v>
                </c:pt>
                <c:pt idx="394">
                  <c:v>456988.78918782063</c:v>
                </c:pt>
                <c:pt idx="395">
                  <c:v>459180.7608648602</c:v>
                </c:pt>
                <c:pt idx="396">
                  <c:v>461383.24645372218</c:v>
                </c:pt>
                <c:pt idx="397">
                  <c:v>463596.29638495744</c:v>
                </c:pt>
                <c:pt idx="398">
                  <c:v>465819.96133101126</c:v>
                </c:pt>
                <c:pt idx="399">
                  <c:v>468054.29220738175</c:v>
                </c:pt>
                <c:pt idx="400">
                  <c:v>470299.3401737861</c:v>
                </c:pt>
                <c:pt idx="401">
                  <c:v>472555.15663533134</c:v>
                </c:pt>
                <c:pt idx="402">
                  <c:v>474821.79324369284</c:v>
                </c:pt>
                <c:pt idx="403">
                  <c:v>477099.30189829529</c:v>
                </c:pt>
                <c:pt idx="404">
                  <c:v>479387.73474750214</c:v>
                </c:pt>
                <c:pt idx="405">
                  <c:v>481687.14418980904</c:v>
                </c:pt>
                <c:pt idx="406">
                  <c:v>483997.58287504467</c:v>
                </c:pt>
                <c:pt idx="407">
                  <c:v>486319.10370557354</c:v>
                </c:pt>
                <c:pt idx="408">
                  <c:v>488651.75983751245</c:v>
                </c:pt>
                <c:pt idx="409">
                  <c:v>490995.60468194151</c:v>
                </c:pt>
                <c:pt idx="410">
                  <c:v>493350.69190613076</c:v>
                </c:pt>
                <c:pt idx="411">
                  <c:v>495717.07543476898</c:v>
                </c:pt>
                <c:pt idx="412">
                  <c:v>498094.8094511971</c:v>
                </c:pt>
                <c:pt idx="413">
                  <c:v>500483.94839864946</c:v>
                </c:pt>
                <c:pt idx="414">
                  <c:v>502884.54698150035</c:v>
                </c:pt>
                <c:pt idx="415">
                  <c:v>505296.66016651684</c:v>
                </c:pt>
                <c:pt idx="416">
                  <c:v>507720.3431841163</c:v>
                </c:pt>
                <c:pt idx="417">
                  <c:v>510155.65152963303</c:v>
                </c:pt>
                <c:pt idx="418">
                  <c:v>512602.64096458699</c:v>
                </c:pt>
                <c:pt idx="419">
                  <c:v>515061.36751796037</c:v>
                </c:pt>
                <c:pt idx="420">
                  <c:v>517531.88748748426</c:v>
                </c:pt>
                <c:pt idx="421">
                  <c:v>520014.25744092208</c:v>
                </c:pt>
                <c:pt idx="422">
                  <c:v>522508.5342173684</c:v>
                </c:pt>
                <c:pt idx="423">
                  <c:v>525014.77492855012</c:v>
                </c:pt>
                <c:pt idx="424">
                  <c:v>527533.0369601337</c:v>
                </c:pt>
                <c:pt idx="425">
                  <c:v>530063.37797303835</c:v>
                </c:pt>
                <c:pt idx="426">
                  <c:v>532605.85590475739</c:v>
                </c:pt>
                <c:pt idx="427">
                  <c:v>535160.52897068521</c:v>
                </c:pt>
                <c:pt idx="428">
                  <c:v>537727.45566544775</c:v>
                </c:pt>
                <c:pt idx="429">
                  <c:v>540306.69476424542</c:v>
                </c:pt>
                <c:pt idx="430">
                  <c:v>542898.3053241967</c:v>
                </c:pt>
                <c:pt idx="431">
                  <c:v>545502.34668568906</c:v>
                </c:pt>
                <c:pt idx="432">
                  <c:v>548118.87847374287</c:v>
                </c:pt>
                <c:pt idx="433">
                  <c:v>550747.96059936972</c:v>
                </c:pt>
                <c:pt idx="434">
                  <c:v>553389.65326094907</c:v>
                </c:pt>
                <c:pt idx="435">
                  <c:v>556044.01694560458</c:v>
                </c:pt>
                <c:pt idx="436">
                  <c:v>558711.11243059137</c:v>
                </c:pt>
                <c:pt idx="437">
                  <c:v>561391.00078468409</c:v>
                </c:pt>
                <c:pt idx="438">
                  <c:v>564083.74336957827</c:v>
                </c:pt>
                <c:pt idx="439">
                  <c:v>566789.40184129367</c:v>
                </c:pt>
                <c:pt idx="440">
                  <c:v>569508.03815158596</c:v>
                </c:pt>
                <c:pt idx="441">
                  <c:v>572239.71454936732</c:v>
                </c:pt>
                <c:pt idx="442">
                  <c:v>574984.49358212878</c:v>
                </c:pt>
                <c:pt idx="443">
                  <c:v>577742.43809737358</c:v>
                </c:pt>
                <c:pt idx="444">
                  <c:v>580513.61124405928</c:v>
                </c:pt>
                <c:pt idx="445">
                  <c:v>583298.07647403749</c:v>
                </c:pt>
                <c:pt idx="446">
                  <c:v>586095.89754351147</c:v>
                </c:pt>
                <c:pt idx="447">
                  <c:v>588907.13851449452</c:v>
                </c:pt>
                <c:pt idx="448">
                  <c:v>591731.86375627725</c:v>
                </c:pt>
                <c:pt idx="449">
                  <c:v>594570.13794690021</c:v>
                </c:pt>
                <c:pt idx="450">
                  <c:v>597422.02607463696</c:v>
                </c:pt>
                <c:pt idx="451">
                  <c:v>600287.59343947947</c:v>
                </c:pt>
                <c:pt idx="452">
                  <c:v>603166.90565463551</c:v>
                </c:pt>
                <c:pt idx="453">
                  <c:v>606060.02864803013</c:v>
                </c:pt>
                <c:pt idx="454">
                  <c:v>608967.02866381546</c:v>
                </c:pt>
                <c:pt idx="455">
                  <c:v>611887.97226388566</c:v>
                </c:pt>
                <c:pt idx="456">
                  <c:v>614822.92632940621</c:v>
                </c:pt>
                <c:pt idx="457">
                  <c:v>617771.95806233841</c:v>
                </c:pt>
                <c:pt idx="458">
                  <c:v>620735.13498698233</c:v>
                </c:pt>
                <c:pt idx="459">
                  <c:v>623712.52495152224</c:v>
                </c:pt>
                <c:pt idx="460">
                  <c:v>626704.19612958049</c:v>
                </c:pt>
                <c:pt idx="461">
                  <c:v>629710.21702177695</c:v>
                </c:pt>
                <c:pt idx="462">
                  <c:v>632730.65645729925</c:v>
                </c:pt>
                <c:pt idx="463">
                  <c:v>635765.58359547774</c:v>
                </c:pt>
                <c:pt idx="464">
                  <c:v>638815.0679273688</c:v>
                </c:pt>
                <c:pt idx="465">
                  <c:v>641879.17927734694</c:v>
                </c:pt>
                <c:pt idx="466">
                  <c:v>644957.98780470376</c:v>
                </c:pt>
                <c:pt idx="467">
                  <c:v>648051.56400525069</c:v>
                </c:pt>
                <c:pt idx="468">
                  <c:v>651159.97871294175</c:v>
                </c:pt>
                <c:pt idx="469">
                  <c:v>654283.30310148455</c:v>
                </c:pt>
                <c:pt idx="470">
                  <c:v>657421.60868597729</c:v>
                </c:pt>
                <c:pt idx="471">
                  <c:v>660574.96732454421</c:v>
                </c:pt>
                <c:pt idx="472">
                  <c:v>663743.45121998177</c:v>
                </c:pt>
                <c:pt idx="473">
                  <c:v>666927.13292140991</c:v>
                </c:pt>
                <c:pt idx="474">
                  <c:v>670126.08532593516</c:v>
                </c:pt>
                <c:pt idx="475">
                  <c:v>673340.38168031804</c:v>
                </c:pt>
                <c:pt idx="476">
                  <c:v>676570.09558265156</c:v>
                </c:pt>
                <c:pt idx="477">
                  <c:v>679815.300984047</c:v>
                </c:pt>
                <c:pt idx="478">
                  <c:v>683076.07219032524</c:v>
                </c:pt>
                <c:pt idx="479">
                  <c:v>686352.48386371811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AE-485E-BCF2-F4F3DE42E135}"/>
            </c:ext>
          </c:extLst>
        </c:ser>
        <c:ser>
          <c:idx val="0"/>
          <c:order val="3"/>
          <c:tx>
            <c:v>Full Return</c:v>
          </c:tx>
          <c:spPr>
            <a:ln w="38100" cap="rnd">
              <a:solidFill>
                <a:srgbClr val="00B050">
                  <a:alpha val="59000"/>
                </a:srgb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[0]!SIPFullReturnWB</c:f>
              <c:numCache>
                <c:formatCode>0</c:formatCode>
                <c:ptCount val="480"/>
                <c:pt idx="0">
                  <c:v>1514.2331894018746</c:v>
                </c:pt>
                <c:pt idx="1">
                  <c:v>3042.8346239926695</c:v>
                </c:pt>
                <c:pt idx="2">
                  <c:v>4585.9406410758056</c:v>
                </c:pt>
                <c:pt idx="3">
                  <c:v>6143.6888716311305</c:v>
                </c:pt>
                <c:pt idx="4">
                  <c:v>7716.2182525904154</c:v>
                </c:pt>
                <c:pt idx="5">
                  <c:v>9303.6690392291966</c:v>
                </c:pt>
                <c:pt idx="6">
                  <c:v>10906.182817676219</c:v>
                </c:pt>
                <c:pt idx="7">
                  <c:v>12523.902517541717</c:v>
                </c:pt>
                <c:pt idx="8">
                  <c:v>14156.972424665439</c:v>
                </c:pt>
                <c:pt idx="9">
                  <c:v>15805.5381939856</c:v>
                </c:pt>
                <c:pt idx="10">
                  <c:v>17469.746862529853</c:v>
                </c:pt>
                <c:pt idx="11">
                  <c:v>19149.746862529853</c:v>
                </c:pt>
                <c:pt idx="12">
                  <c:v>20845.68803465995</c:v>
                </c:pt>
                <c:pt idx="13">
                  <c:v>22557.721641401655</c:v>
                </c:pt>
                <c:pt idx="14">
                  <c:v>24286.00038053477</c:v>
                </c:pt>
                <c:pt idx="15">
                  <c:v>26030.678398756725</c:v>
                </c:pt>
                <c:pt idx="16">
                  <c:v>27791.911305431124</c:v>
                </c:pt>
                <c:pt idx="17">
                  <c:v>29569.856186466535</c:v>
                </c:pt>
                <c:pt idx="18">
                  <c:v>31364.671618327207</c:v>
                </c:pt>
                <c:pt idx="19">
                  <c:v>33176.517682176593</c:v>
                </c:pt>
                <c:pt idx="20">
                  <c:v>35005.555978155186</c:v>
                </c:pt>
                <c:pt idx="21">
                  <c:v>36851.949639793733</c:v>
                </c:pt>
                <c:pt idx="22">
                  <c:v>38715.863348563311</c:v>
                </c:pt>
                <c:pt idx="23">
                  <c:v>40597.463348563295</c:v>
                </c:pt>
                <c:pt idx="24">
                  <c:v>42496.917461348996</c:v>
                </c:pt>
                <c:pt idx="25">
                  <c:v>44414.395100899717</c:v>
                </c:pt>
                <c:pt idx="26">
                  <c:v>46350.067288728824</c:v>
                </c:pt>
                <c:pt idx="27">
                  <c:v>48304.106669137436</c:v>
                </c:pt>
                <c:pt idx="28">
                  <c:v>50276.687524612738</c:v>
                </c:pt>
                <c:pt idx="29">
                  <c:v>52267.985791372441</c:v>
                </c:pt>
                <c:pt idx="30">
                  <c:v>54278.179075056381</c:v>
                </c:pt>
                <c:pt idx="31">
                  <c:v>56307.446666567696</c:v>
                </c:pt>
                <c:pt idx="32">
                  <c:v>58355.969558063684</c:v>
                </c:pt>
                <c:pt idx="33">
                  <c:v>60423.930459098905</c:v>
                </c:pt>
                <c:pt idx="34">
                  <c:v>62511.513812920828</c:v>
                </c:pt>
                <c:pt idx="35">
                  <c:v>64618.90581292085</c:v>
                </c:pt>
                <c:pt idx="36">
                  <c:v>66746.294419240832</c:v>
                </c:pt>
                <c:pt idx="37">
                  <c:v>68893.86937553763</c:v>
                </c:pt>
                <c:pt idx="38">
                  <c:v>71061.822225906217</c:v>
                </c:pt>
                <c:pt idx="39">
                  <c:v>73250.346331963854</c:v>
                </c:pt>
                <c:pt idx="40">
                  <c:v>75459.636890096197</c:v>
                </c:pt>
                <c:pt idx="41">
                  <c:v>77689.890948867062</c:v>
                </c:pt>
                <c:pt idx="42">
                  <c:v>79941.307426593092</c:v>
                </c:pt>
                <c:pt idx="43">
                  <c:v>82214.087129085761</c:v>
                </c:pt>
                <c:pt idx="44">
                  <c:v>84508.432767561273</c:v>
                </c:pt>
                <c:pt idx="45">
                  <c:v>86824.548976720718</c:v>
                </c:pt>
                <c:pt idx="46">
                  <c:v>89162.642333001291</c:v>
                </c:pt>
                <c:pt idx="47">
                  <c:v>91522.921373001285</c:v>
                </c:pt>
                <c:pt idx="48">
                  <c:v>93905.59661207968</c:v>
                </c:pt>
                <c:pt idx="49">
                  <c:v>96310.880563132087</c:v>
                </c:pt>
                <c:pt idx="50">
                  <c:v>98738.987755544891</c:v>
                </c:pt>
                <c:pt idx="51">
                  <c:v>101190.13475432945</c:v>
                </c:pt>
                <c:pt idx="52">
                  <c:v>103664.54017943772</c:v>
                </c:pt>
                <c:pt idx="53">
                  <c:v>106162.42472526108</c:v>
                </c:pt>
                <c:pt idx="54">
                  <c:v>108684.01118031426</c:v>
                </c:pt>
                <c:pt idx="55">
                  <c:v>111229.52444710599</c:v>
                </c:pt>
                <c:pt idx="56">
                  <c:v>113799.1915621986</c:v>
                </c:pt>
                <c:pt idx="57">
                  <c:v>116393.24171645715</c:v>
                </c:pt>
                <c:pt idx="58">
                  <c:v>119011.9062754914</c:v>
                </c:pt>
                <c:pt idx="59">
                  <c:v>121655.41880029142</c:v>
                </c:pt>
                <c:pt idx="60">
                  <c:v>122809.78187865736</c:v>
                </c:pt>
                <c:pt idx="61">
                  <c:v>123975.09846924526</c:v>
                </c:pt>
                <c:pt idx="62">
                  <c:v>125151.47250766448</c:v>
                </c:pt>
                <c:pt idx="63">
                  <c:v>126339.00891574787</c:v>
                </c:pt>
                <c:pt idx="64">
                  <c:v>127537.81361090984</c:v>
                </c:pt>
                <c:pt idx="65">
                  <c:v>128747.99351559323</c:v>
                </c:pt>
                <c:pt idx="66">
                  <c:v>129969.65656680574</c:v>
                </c:pt>
                <c:pt idx="67">
                  <c:v>131202.91172574702</c:v>
                </c:pt>
                <c:pt idx="68">
                  <c:v>132447.86898752701</c:v>
                </c:pt>
                <c:pt idx="69">
                  <c:v>133704.63939097646</c:v>
                </c:pt>
                <c:pt idx="70">
                  <c:v>134973.33502855053</c:v>
                </c:pt>
                <c:pt idx="71">
                  <c:v>136254.06905632655</c:v>
                </c:pt>
                <c:pt idx="72">
                  <c:v>137546.95570409641</c:v>
                </c:pt>
                <c:pt idx="73">
                  <c:v>138852.11028555487</c:v>
                </c:pt>
                <c:pt idx="74">
                  <c:v>140169.64920858442</c:v>
                </c:pt>
                <c:pt idx="75">
                  <c:v>141499.68998563779</c:v>
                </c:pt>
                <c:pt idx="76">
                  <c:v>142842.3512442192</c:v>
                </c:pt>
                <c:pt idx="77">
                  <c:v>144197.75273746459</c:v>
                </c:pt>
                <c:pt idx="78">
                  <c:v>145566.01535482259</c:v>
                </c:pt>
                <c:pt idx="79">
                  <c:v>146947.26113283687</c:v>
                </c:pt>
                <c:pt idx="80">
                  <c:v>148341.61326603044</c:v>
                </c:pt>
                <c:pt idx="81">
                  <c:v>149749.19611789382</c:v>
                </c:pt>
                <c:pt idx="82">
                  <c:v>151170.1352319768</c:v>
                </c:pt>
                <c:pt idx="83">
                  <c:v>152604.55734308594</c:v>
                </c:pt>
                <c:pt idx="84">
                  <c:v>154052.59038858817</c:v>
                </c:pt>
                <c:pt idx="85">
                  <c:v>155514.36351982164</c:v>
                </c:pt>
                <c:pt idx="86">
                  <c:v>156990.00711361473</c:v>
                </c:pt>
                <c:pt idx="87">
                  <c:v>158479.65278391453</c:v>
                </c:pt>
                <c:pt idx="88">
                  <c:v>159983.43339352569</c:v>
                </c:pt>
                <c:pt idx="89">
                  <c:v>161501.48306596055</c:v>
                </c:pt>
                <c:pt idx="90">
                  <c:v>163033.93719740154</c:v>
                </c:pt>
                <c:pt idx="91">
                  <c:v>164580.93246877749</c:v>
                </c:pt>
                <c:pt idx="92">
                  <c:v>166142.60685795432</c:v>
                </c:pt>
                <c:pt idx="93">
                  <c:v>167719.0996520413</c:v>
                </c:pt>
                <c:pt idx="94">
                  <c:v>169310.55145981425</c:v>
                </c:pt>
                <c:pt idx="95">
                  <c:v>170917.1042242565</c:v>
                </c:pt>
                <c:pt idx="96">
                  <c:v>172538.901235219</c:v>
                </c:pt>
                <c:pt idx="97">
                  <c:v>174176.0871422005</c:v>
                </c:pt>
                <c:pt idx="98">
                  <c:v>175828.80796724875</c:v>
                </c:pt>
                <c:pt idx="99">
                  <c:v>177497.21111798452</c:v>
                </c:pt>
                <c:pt idx="100">
                  <c:v>179181.44540074901</c:v>
                </c:pt>
                <c:pt idx="101">
                  <c:v>180881.66103387607</c:v>
                </c:pt>
                <c:pt idx="102">
                  <c:v>182598.00966108995</c:v>
                </c:pt>
                <c:pt idx="103">
                  <c:v>184330.64436503104</c:v>
                </c:pt>
                <c:pt idx="104">
                  <c:v>186079.71968090907</c:v>
                </c:pt>
                <c:pt idx="105">
                  <c:v>187845.39161028652</c:v>
                </c:pt>
                <c:pt idx="106">
                  <c:v>189627.81763499221</c:v>
                </c:pt>
                <c:pt idx="107">
                  <c:v>191427.15673116752</c:v>
                </c:pt>
                <c:pt idx="108">
                  <c:v>193243.56938344552</c:v>
                </c:pt>
                <c:pt idx="109">
                  <c:v>195077.21759926478</c:v>
                </c:pt>
                <c:pt idx="110">
                  <c:v>196928.26492331881</c:v>
                </c:pt>
                <c:pt idx="111">
                  <c:v>198796.8764521429</c:v>
                </c:pt>
                <c:pt idx="112">
                  <c:v>200683.21884883917</c:v>
                </c:pt>
                <c:pt idx="113">
                  <c:v>202587.46035794143</c:v>
                </c:pt>
                <c:pt idx="114">
                  <c:v>204509.77082042102</c:v>
                </c:pt>
                <c:pt idx="115">
                  <c:v>206450.32168883499</c:v>
                </c:pt>
                <c:pt idx="116">
                  <c:v>208409.28604261842</c:v>
                </c:pt>
                <c:pt idx="117">
                  <c:v>210386.83860352114</c:v>
                </c:pt>
                <c:pt idx="118">
                  <c:v>212383.15575119152</c:v>
                </c:pt>
                <c:pt idx="119">
                  <c:v>214398.4155389079</c:v>
                </c:pt>
                <c:pt idx="120">
                  <c:v>216432.79770945924</c:v>
                </c:pt>
                <c:pt idx="121">
                  <c:v>218486.48371117684</c:v>
                </c:pt>
                <c:pt idx="122">
                  <c:v>220559.65671411736</c:v>
                </c:pt>
                <c:pt idx="123">
                  <c:v>222652.50162640036</c:v>
                </c:pt>
                <c:pt idx="124">
                  <c:v>224765.20511070019</c:v>
                </c:pt>
                <c:pt idx="125">
                  <c:v>226897.95560089473</c:v>
                </c:pt>
                <c:pt idx="126">
                  <c:v>229050.94331887187</c:v>
                </c:pt>
                <c:pt idx="127">
                  <c:v>231224.36029149554</c:v>
                </c:pt>
                <c:pt idx="128">
                  <c:v>233418.40036773297</c:v>
                </c:pt>
                <c:pt idx="129">
                  <c:v>235633.25923594405</c:v>
                </c:pt>
                <c:pt idx="130">
                  <c:v>237869.13444133484</c:v>
                </c:pt>
                <c:pt idx="131">
                  <c:v>240126.22540357715</c:v>
                </c:pt>
                <c:pt idx="132">
                  <c:v>242404.7334345947</c:v>
                </c:pt>
                <c:pt idx="133">
                  <c:v>244704.8617565184</c:v>
                </c:pt>
                <c:pt idx="134">
                  <c:v>247026.81551981176</c:v>
                </c:pt>
                <c:pt idx="135">
                  <c:v>249370.80182156872</c:v>
                </c:pt>
                <c:pt idx="136">
                  <c:v>251737.02972398451</c:v>
                </c:pt>
                <c:pt idx="137">
                  <c:v>254125.71027300242</c:v>
                </c:pt>
                <c:pt idx="138">
                  <c:v>256537.05651713681</c:v>
                </c:pt>
                <c:pt idx="139">
                  <c:v>258971.28352647534</c:v>
                </c:pt>
                <c:pt idx="140">
                  <c:v>261428.60841186126</c:v>
                </c:pt>
                <c:pt idx="141">
                  <c:v>263909.25034425757</c:v>
                </c:pt>
                <c:pt idx="142">
                  <c:v>266413.43057429529</c:v>
                </c:pt>
                <c:pt idx="143">
                  <c:v>268941.37245200673</c:v>
                </c:pt>
                <c:pt idx="144">
                  <c:v>271493.30144674645</c:v>
                </c:pt>
                <c:pt idx="145">
                  <c:v>274069.44516730093</c:v>
                </c:pt>
                <c:pt idx="146">
                  <c:v>276670.03338218952</c:v>
                </c:pt>
                <c:pt idx="147">
                  <c:v>279295.2980401573</c:v>
                </c:pt>
                <c:pt idx="148">
                  <c:v>281945.47329086298</c:v>
                </c:pt>
                <c:pt idx="149">
                  <c:v>284620.79550576303</c:v>
                </c:pt>
                <c:pt idx="150">
                  <c:v>287321.50329919363</c:v>
                </c:pt>
                <c:pt idx="151">
                  <c:v>290047.83754965273</c:v>
                </c:pt>
                <c:pt idx="152">
                  <c:v>292800.04142128496</c:v>
                </c:pt>
                <c:pt idx="153">
                  <c:v>295578.36038556893</c:v>
                </c:pt>
                <c:pt idx="154">
                  <c:v>298383.04224321112</c:v>
                </c:pt>
                <c:pt idx="155">
                  <c:v>301214.33714624797</c:v>
                </c:pt>
                <c:pt idx="156">
                  <c:v>304072.49762035633</c:v>
                </c:pt>
                <c:pt idx="157">
                  <c:v>306957.77858737746</c:v>
                </c:pt>
                <c:pt idx="158">
                  <c:v>309870.4373880527</c:v>
                </c:pt>
                <c:pt idx="159">
                  <c:v>312810.73380497663</c:v>
                </c:pt>
                <c:pt idx="160">
                  <c:v>315778.930085767</c:v>
                </c:pt>
                <c:pt idx="161">
                  <c:v>318775.29096645513</c:v>
                </c:pt>
                <c:pt idx="162">
                  <c:v>321800.08369509724</c:v>
                </c:pt>
                <c:pt idx="163">
                  <c:v>324853.57805561152</c:v>
                </c:pt>
                <c:pt idx="164">
                  <c:v>327936.04639183957</c:v>
                </c:pt>
                <c:pt idx="165">
                  <c:v>331047.76363183762</c:v>
                </c:pt>
                <c:pt idx="166">
                  <c:v>334189.00731239695</c:v>
                </c:pt>
                <c:pt idx="167">
                  <c:v>337360.05760379811</c:v>
                </c:pt>
                <c:pt idx="168">
                  <c:v>340561.19733479957</c:v>
                </c:pt>
                <c:pt idx="169">
                  <c:v>343792.71201786323</c:v>
                </c:pt>
                <c:pt idx="170">
                  <c:v>347054.88987461949</c:v>
                </c:pt>
                <c:pt idx="171">
                  <c:v>350348.02186157426</c:v>
                </c:pt>
                <c:pt idx="172">
                  <c:v>353672.4016960595</c:v>
                </c:pt>
                <c:pt idx="173">
                  <c:v>357028.32588243013</c:v>
                </c:pt>
                <c:pt idx="174">
                  <c:v>360416.0937385094</c:v>
                </c:pt>
                <c:pt idx="175">
                  <c:v>363836.00742228533</c:v>
                </c:pt>
                <c:pt idx="176">
                  <c:v>367288.37195886084</c:v>
                </c:pt>
                <c:pt idx="177">
                  <c:v>370773.49526765861</c:v>
                </c:pt>
                <c:pt idx="178">
                  <c:v>374291.68818988511</c:v>
                </c:pt>
                <c:pt idx="179">
                  <c:v>377843.26451625436</c:v>
                </c:pt>
                <c:pt idx="180">
                  <c:v>381428.54101497593</c:v>
                </c:pt>
                <c:pt idx="181">
                  <c:v>385047.83746000723</c:v>
                </c:pt>
                <c:pt idx="182">
                  <c:v>388701.47665957431</c:v>
                </c:pt>
                <c:pt idx="183">
                  <c:v>392389.78448496369</c:v>
                </c:pt>
                <c:pt idx="184">
                  <c:v>396113.08989958715</c:v>
                </c:pt>
                <c:pt idx="185">
                  <c:v>399871.72498832224</c:v>
                </c:pt>
                <c:pt idx="186">
                  <c:v>403666.02498713101</c:v>
                </c:pt>
                <c:pt idx="187">
                  <c:v>407496.3283129601</c:v>
                </c:pt>
                <c:pt idx="188">
                  <c:v>411362.97659392469</c:v>
                </c:pt>
                <c:pt idx="189">
                  <c:v>415266.31469977822</c:v>
                </c:pt>
                <c:pt idx="190">
                  <c:v>419206.69077267183</c:v>
                </c:pt>
                <c:pt idx="191">
                  <c:v>423184.45625820546</c:v>
                </c:pt>
                <c:pt idx="192">
                  <c:v>427199.96593677375</c:v>
                </c:pt>
                <c:pt idx="193">
                  <c:v>431253.57795520872</c:v>
                </c:pt>
                <c:pt idx="194">
                  <c:v>435345.65385872382</c:v>
                </c:pt>
                <c:pt idx="195">
                  <c:v>439476.55862315989</c:v>
                </c:pt>
                <c:pt idx="196">
                  <c:v>443646.66068753815</c:v>
                </c:pt>
                <c:pt idx="197">
                  <c:v>447856.33198692149</c:v>
                </c:pt>
                <c:pt idx="198">
                  <c:v>452105.94798558735</c:v>
                </c:pt>
                <c:pt idx="199">
                  <c:v>456395.88771051593</c:v>
                </c:pt>
                <c:pt idx="200">
                  <c:v>460726.5337851962</c:v>
                </c:pt>
                <c:pt idx="201">
                  <c:v>465098.27246375219</c:v>
                </c:pt>
                <c:pt idx="202">
                  <c:v>469511.49366539309</c:v>
                </c:pt>
                <c:pt idx="203">
                  <c:v>473966.59100919077</c:v>
                </c:pt>
                <c:pt idx="204">
                  <c:v>478463.96184918715</c:v>
                </c:pt>
                <c:pt idx="205">
                  <c:v>483004.00730983436</c:v>
                </c:pt>
                <c:pt idx="206">
                  <c:v>487587.13232177129</c:v>
                </c:pt>
                <c:pt idx="207">
                  <c:v>492213.7456579397</c:v>
                </c:pt>
                <c:pt idx="208">
                  <c:v>496884.25997004338</c:v>
                </c:pt>
                <c:pt idx="209">
                  <c:v>501599.09182535269</c:v>
                </c:pt>
                <c:pt idx="210">
                  <c:v>506358.66174385842</c:v>
                </c:pt>
                <c:pt idx="211">
                  <c:v>511163.39423577837</c:v>
                </c:pt>
                <c:pt idx="212">
                  <c:v>516013.71783942031</c:v>
                </c:pt>
                <c:pt idx="213">
                  <c:v>520910.06515940308</c:v>
                </c:pt>
                <c:pt idx="214">
                  <c:v>525852.87290524086</c:v>
                </c:pt>
                <c:pt idx="215">
                  <c:v>530842.58193029428</c:v>
                </c:pt>
                <c:pt idx="216">
                  <c:v>535879.63727109018</c:v>
                </c:pt>
                <c:pt idx="217">
                  <c:v>540964.48818701517</c:v>
                </c:pt>
                <c:pt idx="218">
                  <c:v>546097.58820038452</c:v>
                </c:pt>
                <c:pt idx="219">
                  <c:v>551279.39513689326</c:v>
                </c:pt>
                <c:pt idx="220">
                  <c:v>556510.37116644927</c:v>
                </c:pt>
                <c:pt idx="221">
                  <c:v>561790.9828443958</c:v>
                </c:pt>
                <c:pt idx="222">
                  <c:v>567121.70115312224</c:v>
                </c:pt>
                <c:pt idx="223">
                  <c:v>572503.00154407264</c:v>
                </c:pt>
                <c:pt idx="224">
                  <c:v>577935.3639801516</c:v>
                </c:pt>
                <c:pt idx="225">
                  <c:v>583419.27297853236</c:v>
                </c:pt>
                <c:pt idx="226">
                  <c:v>588955.21765387058</c:v>
                </c:pt>
                <c:pt idx="227">
                  <c:v>594543.69176193036</c:v>
                </c:pt>
                <c:pt idx="228">
                  <c:v>600185.19374362193</c:v>
                </c:pt>
                <c:pt idx="229">
                  <c:v>605880.2267694578</c:v>
                </c:pt>
                <c:pt idx="230">
                  <c:v>611629.29878443154</c:v>
                </c:pt>
                <c:pt idx="231">
                  <c:v>617432.92255332123</c:v>
                </c:pt>
                <c:pt idx="232">
                  <c:v>623291.615706424</c:v>
                </c:pt>
                <c:pt idx="233">
                  <c:v>629205.90078572405</c:v>
                </c:pt>
                <c:pt idx="234">
                  <c:v>635176.30529149773</c:v>
                </c:pt>
                <c:pt idx="235">
                  <c:v>641203.36172936216</c:v>
                </c:pt>
                <c:pt idx="236">
                  <c:v>647287.60765777063</c:v>
                </c:pt>
                <c:pt idx="237">
                  <c:v>653429.58573595691</c:v>
                </c:pt>
                <c:pt idx="238">
                  <c:v>659629.84377233591</c:v>
                </c:pt>
                <c:pt idx="239">
                  <c:v>665888.93477336282</c:v>
                </c:pt>
                <c:pt idx="240">
                  <c:v>672207.41699285735</c:v>
                </c:pt>
                <c:pt idx="241">
                  <c:v>678585.85398179351</c:v>
                </c:pt>
                <c:pt idx="242">
                  <c:v>685024.81463856413</c:v>
                </c:pt>
                <c:pt idx="243">
                  <c:v>691524.87325972051</c:v>
                </c:pt>
                <c:pt idx="244">
                  <c:v>698086.60959119583</c:v>
                </c:pt>
                <c:pt idx="245">
                  <c:v>704710.60888001183</c:v>
                </c:pt>
                <c:pt idx="246">
                  <c:v>711397.46192647831</c:v>
                </c:pt>
                <c:pt idx="247">
                  <c:v>718147.76513688662</c:v>
                </c:pt>
                <c:pt idx="248">
                  <c:v>724962.12057670404</c:v>
                </c:pt>
                <c:pt idx="249">
                  <c:v>731841.13602427265</c:v>
                </c:pt>
                <c:pt idx="250">
                  <c:v>738785.42502501712</c:v>
                </c:pt>
                <c:pt idx="251">
                  <c:v>745795.60694616754</c:v>
                </c:pt>
                <c:pt idx="252">
                  <c:v>752872.30703200132</c:v>
                </c:pt>
                <c:pt idx="253">
                  <c:v>760016.15645960986</c:v>
                </c:pt>
                <c:pt idx="254">
                  <c:v>767227.7923951929</c:v>
                </c:pt>
                <c:pt idx="255">
                  <c:v>774507.85805088817</c:v>
                </c:pt>
                <c:pt idx="256">
                  <c:v>781857.00274214044</c:v>
                </c:pt>
                <c:pt idx="257">
                  <c:v>789275.88194561447</c:v>
                </c:pt>
                <c:pt idx="258">
                  <c:v>796765.15735765686</c:v>
                </c:pt>
                <c:pt idx="259">
                  <c:v>804325.49695331405</c:v>
                </c:pt>
                <c:pt idx="260">
                  <c:v>811957.57504590962</c:v>
                </c:pt>
                <c:pt idx="261">
                  <c:v>819662.07234718651</c:v>
                </c:pt>
                <c:pt idx="262">
                  <c:v>827439.67602802021</c:v>
                </c:pt>
                <c:pt idx="263">
                  <c:v>835291.07977970864</c:v>
                </c:pt>
                <c:pt idx="264">
                  <c:v>843216.98387584253</c:v>
                </c:pt>
                <c:pt idx="265">
                  <c:v>851218.09523476416</c:v>
                </c:pt>
                <c:pt idx="266">
                  <c:v>859295.12748261716</c:v>
                </c:pt>
                <c:pt idx="267">
                  <c:v>867448.8010169958</c:v>
                </c:pt>
                <c:pt idx="268">
                  <c:v>875679.84307119832</c:v>
                </c:pt>
                <c:pt idx="269">
                  <c:v>883988.98777908902</c:v>
                </c:pt>
                <c:pt idx="270">
                  <c:v>892376.97624057659</c:v>
                </c:pt>
                <c:pt idx="271">
                  <c:v>900844.55658771284</c:v>
                </c:pt>
                <c:pt idx="272">
                  <c:v>909392.48405142</c:v>
                </c:pt>
                <c:pt idx="273">
                  <c:v>918021.52102885011</c:v>
                </c:pt>
                <c:pt idx="274">
                  <c:v>926732.43715138384</c:v>
                </c:pt>
                <c:pt idx="275">
                  <c:v>935526.00935327471</c:v>
                </c:pt>
                <c:pt idx="276">
                  <c:v>944403.02194094483</c:v>
                </c:pt>
                <c:pt idx="277">
                  <c:v>953364.26666293689</c:v>
                </c:pt>
                <c:pt idx="278">
                  <c:v>962410.5427805325</c:v>
                </c:pt>
                <c:pt idx="279">
                  <c:v>971542.65713903657</c:v>
                </c:pt>
                <c:pt idx="280">
                  <c:v>980761.42423974338</c:v>
                </c:pt>
                <c:pt idx="281">
                  <c:v>990067.66631258116</c:v>
                </c:pt>
                <c:pt idx="282">
                  <c:v>999462.21338944719</c:v>
                </c:pt>
                <c:pt idx="283">
                  <c:v>1008945.9033782397</c:v>
                </c:pt>
                <c:pt idx="284">
                  <c:v>1018519.5821375916</c:v>
                </c:pt>
                <c:pt idx="285">
                  <c:v>1028184.1035523134</c:v>
                </c:pt>
                <c:pt idx="286">
                  <c:v>1037940.3296095512</c:v>
                </c:pt>
                <c:pt idx="287">
                  <c:v>1047789.1304756693</c:v>
                </c:pt>
                <c:pt idx="288">
                  <c:v>1057731.3845738596</c:v>
                </c:pt>
                <c:pt idx="289">
                  <c:v>1067767.9786624911</c:v>
                </c:pt>
                <c:pt idx="290">
                  <c:v>1077899.8079141977</c:v>
                </c:pt>
                <c:pt idx="291">
                  <c:v>1088127.7759957225</c:v>
                </c:pt>
                <c:pt idx="292">
                  <c:v>1098452.795148514</c:v>
                </c:pt>
                <c:pt idx="293">
                  <c:v>1108875.7862700925</c:v>
                </c:pt>
                <c:pt idx="294">
                  <c:v>1119397.6789961825</c:v>
                </c:pt>
                <c:pt idx="295">
                  <c:v>1130019.41178363</c:v>
                </c:pt>
                <c:pt idx="296">
                  <c:v>1140741.9319941041</c:v>
                </c:pt>
                <c:pt idx="297">
                  <c:v>1151566.1959785926</c:v>
                </c:pt>
                <c:pt idx="298">
                  <c:v>1162493.169162699</c:v>
                </c:pt>
                <c:pt idx="299">
                  <c:v>1173523.8261327511</c:v>
                </c:pt>
                <c:pt idx="300">
                  <c:v>1184659.1507227244</c:v>
                </c:pt>
                <c:pt idx="301">
                  <c:v>1195900.1361019912</c:v>
                </c:pt>
                <c:pt idx="302">
                  <c:v>1207247.784863903</c:v>
                </c:pt>
                <c:pt idx="303">
                  <c:v>1218703.1091152104</c:v>
                </c:pt>
                <c:pt idx="304">
                  <c:v>1230267.1305663374</c:v>
                </c:pt>
                <c:pt idx="305">
                  <c:v>1241940.8806225052</c:v>
                </c:pt>
                <c:pt idx="306">
                  <c:v>1253725.400475726</c:v>
                </c:pt>
                <c:pt idx="307">
                  <c:v>1265621.7411976671</c:v>
                </c:pt>
                <c:pt idx="308">
                  <c:v>1277630.9638333982</c:v>
                </c:pt>
                <c:pt idx="309">
                  <c:v>1289754.1394960249</c:v>
                </c:pt>
                <c:pt idx="310">
                  <c:v>1301992.3494622244</c:v>
                </c:pt>
                <c:pt idx="311">
                  <c:v>1314346.6852686829</c:v>
                </c:pt>
                <c:pt idx="312">
                  <c:v>1326818.2488094529</c:v>
                </c:pt>
                <c:pt idx="313">
                  <c:v>1339408.1524342322</c:v>
                </c:pt>
                <c:pt idx="314">
                  <c:v>1352117.519047573</c:v>
                </c:pt>
                <c:pt idx="315">
                  <c:v>1364947.4822090375</c:v>
                </c:pt>
                <c:pt idx="316">
                  <c:v>1377899.1862342996</c:v>
                </c:pt>
                <c:pt idx="317">
                  <c:v>1390973.7862972075</c:v>
                </c:pt>
                <c:pt idx="318">
                  <c:v>1404172.4485328146</c:v>
                </c:pt>
                <c:pt idx="319">
                  <c:v>1417496.3501413891</c:v>
                </c:pt>
                <c:pt idx="320">
                  <c:v>1430946.679493408</c:v>
                </c:pt>
                <c:pt idx="321">
                  <c:v>1444524.6362355503</c:v>
                </c:pt>
                <c:pt idx="322">
                  <c:v>1458231.4313976935</c:v>
                </c:pt>
                <c:pt idx="323">
                  <c:v>1472068.2875009265</c:v>
                </c:pt>
                <c:pt idx="324">
                  <c:v>1486036.4386665891</c:v>
                </c:pt>
                <c:pt idx="325">
                  <c:v>1500137.1307263419</c:v>
                </c:pt>
                <c:pt idx="326">
                  <c:v>1514371.6213332838</c:v>
                </c:pt>
                <c:pt idx="327">
                  <c:v>1528741.1800741239</c:v>
                </c:pt>
                <c:pt idx="328">
                  <c:v>1543247.0885824175</c:v>
                </c:pt>
                <c:pt idx="329">
                  <c:v>1557890.6406528745</c:v>
                </c:pt>
                <c:pt idx="330">
                  <c:v>1572673.1423567547</c:v>
                </c:pt>
                <c:pt idx="331">
                  <c:v>1587595.9121583577</c:v>
                </c:pt>
                <c:pt idx="332">
                  <c:v>1602660.2810326188</c:v>
                </c:pt>
                <c:pt idx="333">
                  <c:v>1617867.5925838181</c:v>
                </c:pt>
                <c:pt idx="334">
                  <c:v>1633219.2031654185</c:v>
                </c:pt>
                <c:pt idx="335">
                  <c:v>1648716.4820010399</c:v>
                </c:pt>
                <c:pt idx="336">
                  <c:v>1664360.8113065821</c:v>
                </c:pt>
                <c:pt idx="337">
                  <c:v>1680153.5864135048</c:v>
                </c:pt>
                <c:pt idx="338">
                  <c:v>1696096.2158932798</c:v>
                </c:pt>
                <c:pt idx="339">
                  <c:v>1712190.1216830208</c:v>
                </c:pt>
                <c:pt idx="340">
                  <c:v>1728436.7392123095</c:v>
                </c:pt>
                <c:pt idx="341">
                  <c:v>1744837.5175312215</c:v>
                </c:pt>
                <c:pt idx="342">
                  <c:v>1761393.9194395673</c:v>
                </c:pt>
                <c:pt idx="343">
                  <c:v>1778107.4216173629</c:v>
                </c:pt>
                <c:pt idx="344">
                  <c:v>1794979.5147565352</c:v>
                </c:pt>
                <c:pt idx="345">
                  <c:v>1812011.7036938788</c:v>
                </c:pt>
                <c:pt idx="346">
                  <c:v>1829205.5075452712</c:v>
                </c:pt>
                <c:pt idx="347">
                  <c:v>1846562.4598411673</c:v>
                </c:pt>
                <c:pt idx="348">
                  <c:v>1864084.1086633741</c:v>
                </c:pt>
                <c:pt idx="349">
                  <c:v>1881772.016783128</c:v>
                </c:pt>
                <c:pt idx="350">
                  <c:v>1899627.7618004761</c:v>
                </c:pt>
                <c:pt idx="351">
                  <c:v>1917652.9362849863</c:v>
                </c:pt>
                <c:pt idx="352">
                  <c:v>1935849.1479177894</c:v>
                </c:pt>
                <c:pt idx="353">
                  <c:v>1954218.0196349707</c:v>
                </c:pt>
                <c:pt idx="354">
                  <c:v>1972761.1897723184</c:v>
                </c:pt>
                <c:pt idx="355">
                  <c:v>1991480.3122114493</c:v>
                </c:pt>
                <c:pt idx="356">
                  <c:v>2010377.0565273224</c:v>
                </c:pt>
                <c:pt idx="357">
                  <c:v>2029453.108137147</c:v>
                </c:pt>
                <c:pt idx="358">
                  <c:v>2048710.1684507064</c:v>
                </c:pt>
                <c:pt idx="359">
                  <c:v>2068149.9550221097</c:v>
                </c:pt>
                <c:pt idx="360">
                  <c:v>2087774.201702982</c:v>
                </c:pt>
                <c:pt idx="361">
                  <c:v>2107584.6587971062</c:v>
                </c:pt>
                <c:pt idx="362">
                  <c:v>2127583.0932165361</c:v>
                </c:pt>
                <c:pt idx="363">
                  <c:v>2147771.2886391873</c:v>
                </c:pt>
                <c:pt idx="364">
                  <c:v>2168151.0456679268</c:v>
                </c:pt>
                <c:pt idx="365">
                  <c:v>2188724.1819911702</c:v>
                </c:pt>
                <c:pt idx="366">
                  <c:v>2209492.5325449989</c:v>
                </c:pt>
                <c:pt idx="367">
                  <c:v>2230457.9496768257</c:v>
                </c:pt>
                <c:pt idx="368">
                  <c:v>2251622.3033106038</c:v>
                </c:pt>
                <c:pt idx="369">
                  <c:v>2272987.4811136071</c:v>
                </c:pt>
                <c:pt idx="370">
                  <c:v>2294555.3886647942</c:v>
                </c:pt>
                <c:pt idx="371">
                  <c:v>2316327.9496247657</c:v>
                </c:pt>
                <c:pt idx="372">
                  <c:v>2338307.1059073424</c:v>
                </c:pt>
                <c:pt idx="373">
                  <c:v>2360494.8178527616</c:v>
                </c:pt>
                <c:pt idx="374">
                  <c:v>2382893.064402523</c:v>
                </c:pt>
                <c:pt idx="375">
                  <c:v>2405503.8432758925</c:v>
                </c:pt>
                <c:pt idx="376">
                  <c:v>2428329.1711480813</c:v>
                </c:pt>
                <c:pt idx="377">
                  <c:v>2451371.0838301135</c:v>
                </c:pt>
                <c:pt idx="378">
                  <c:v>2474631.636450402</c:v>
                </c:pt>
                <c:pt idx="379">
                  <c:v>2498112.9036380486</c:v>
                </c:pt>
                <c:pt idx="380">
                  <c:v>2521816.9797078795</c:v>
                </c:pt>
                <c:pt idx="381">
                  <c:v>2545745.9788472434</c:v>
                </c:pt>
                <c:pt idx="382">
                  <c:v>2569902.0353045729</c:v>
                </c:pt>
                <c:pt idx="383">
                  <c:v>2594287.3035797412</c:v>
                </c:pt>
                <c:pt idx="384">
                  <c:v>2618903.9586162274</c:v>
                </c:pt>
                <c:pt idx="385">
                  <c:v>2643754.195995097</c:v>
                </c:pt>
                <c:pt idx="386">
                  <c:v>2668840.2321308297</c:v>
                </c:pt>
                <c:pt idx="387">
                  <c:v>2694164.3044690038</c:v>
                </c:pt>
                <c:pt idx="388">
                  <c:v>2719728.6716858544</c:v>
                </c:pt>
                <c:pt idx="389">
                  <c:v>2745535.613889731</c:v>
                </c:pt>
                <c:pt idx="390">
                  <c:v>2771587.4328244538</c:v>
                </c:pt>
                <c:pt idx="391">
                  <c:v>2797886.4520746176</c:v>
                </c:pt>
                <c:pt idx="392">
                  <c:v>2824435.0172728291</c:v>
                </c:pt>
                <c:pt idx="393">
                  <c:v>2851235.4963089162</c:v>
                </c:pt>
                <c:pt idx="394">
                  <c:v>2878290.2795411251</c:v>
                </c:pt>
                <c:pt idx="395">
                  <c:v>2905601.780009314</c:v>
                </c:pt>
                <c:pt idx="396">
                  <c:v>2933172.4336501784</c:v>
                </c:pt>
                <c:pt idx="397">
                  <c:v>2961004.6995145115</c:v>
                </c:pt>
                <c:pt idx="398">
                  <c:v>2989101.0599865322</c:v>
                </c:pt>
                <c:pt idx="399">
                  <c:v>3017464.0210052878</c:v>
                </c:pt>
                <c:pt idx="400">
                  <c:v>3046096.1122881616</c:v>
                </c:pt>
                <c:pt idx="401">
                  <c:v>3074999.8875565026</c:v>
                </c:pt>
                <c:pt idx="402">
                  <c:v>3104177.9247633922</c:v>
                </c:pt>
                <c:pt idx="403">
                  <c:v>3133632.8263235753</c:v>
                </c:pt>
                <c:pt idx="404">
                  <c:v>3163367.2193455724</c:v>
                </c:pt>
                <c:pt idx="405">
                  <c:v>3193383.7558659902</c:v>
                </c:pt>
                <c:pt idx="406">
                  <c:v>3223685.1130860648</c:v>
                </c:pt>
                <c:pt idx="407">
                  <c:v>3254273.9936104356</c:v>
                </c:pt>
                <c:pt idx="408">
                  <c:v>3285153.1256882036</c:v>
                </c:pt>
                <c:pt idx="409">
                  <c:v>3316325.263456258</c:v>
                </c:pt>
                <c:pt idx="410">
                  <c:v>3347793.187184921</c:v>
                </c:pt>
                <c:pt idx="411">
                  <c:v>3379559.7035259269</c:v>
                </c:pt>
                <c:pt idx="412">
                  <c:v>3411627.6457627448</c:v>
                </c:pt>
                <c:pt idx="413">
                  <c:v>3443999.8740632874</c:v>
                </c:pt>
                <c:pt idx="414">
                  <c:v>3476679.2757350039</c:v>
                </c:pt>
                <c:pt idx="415">
                  <c:v>3509668.7654824099</c:v>
                </c:pt>
                <c:pt idx="416">
                  <c:v>3542971.2856670455</c:v>
                </c:pt>
                <c:pt idx="417">
                  <c:v>3576589.8065699148</c:v>
                </c:pt>
                <c:pt idx="418">
                  <c:v>3610527.3266563974</c:v>
                </c:pt>
                <c:pt idx="419">
                  <c:v>3644786.872843693</c:v>
                </c:pt>
                <c:pt idx="420">
                  <c:v>3679371.5007707928</c:v>
                </c:pt>
                <c:pt idx="421">
                  <c:v>3714284.2950710137</c:v>
                </c:pt>
                <c:pt idx="422">
                  <c:v>3749528.3696471169</c:v>
                </c:pt>
                <c:pt idx="423">
                  <c:v>3785106.8679490425</c:v>
                </c:pt>
                <c:pt idx="424">
                  <c:v>3821022.963254279</c:v>
                </c:pt>
                <c:pt idx="425">
                  <c:v>3857279.8589508869</c:v>
                </c:pt>
                <c:pt idx="426">
                  <c:v>3893880.7888232097</c:v>
                </c:pt>
                <c:pt idx="427">
                  <c:v>3930829.0173403043</c:v>
                </c:pt>
                <c:pt idx="428">
                  <c:v>3968127.8399470965</c:v>
                </c:pt>
                <c:pt idx="429">
                  <c:v>4005780.5833583088</c:v>
                </c:pt>
                <c:pt idx="430">
                  <c:v>4043790.6058551697</c:v>
                </c:pt>
                <c:pt idx="431">
                  <c:v>4082161.2975849407</c:v>
                </c:pt>
                <c:pt idx="432">
                  <c:v>4120896.0808632942</c:v>
                </c:pt>
                <c:pt idx="433">
                  <c:v>4159998.41047954</c:v>
                </c:pt>
                <c:pt idx="434">
                  <c:v>4199471.774004777</c:v>
                </c:pt>
                <c:pt idx="435">
                  <c:v>4239319.6921029324</c:v>
                </c:pt>
                <c:pt idx="436">
                  <c:v>4279545.7188447975</c:v>
                </c:pt>
                <c:pt idx="437">
                  <c:v>4320153.4420249974</c:v>
                </c:pt>
                <c:pt idx="438">
                  <c:v>4361146.4834820004</c:v>
                </c:pt>
                <c:pt idx="439">
                  <c:v>4402528.4994211467</c:v>
                </c:pt>
                <c:pt idx="440">
                  <c:v>4444303.1807407541</c:v>
                </c:pt>
                <c:pt idx="441">
                  <c:v>4486474.2533613127</c:v>
                </c:pt>
                <c:pt idx="442">
                  <c:v>4529045.4785577962</c:v>
                </c:pt>
                <c:pt idx="443">
                  <c:v>4572020.6532951407</c:v>
                </c:pt>
                <c:pt idx="444">
                  <c:v>4615403.6105668945</c:v>
                </c:pt>
                <c:pt idx="445">
                  <c:v>4659198.2197370911</c:v>
                </c:pt>
                <c:pt idx="446">
                  <c:v>4703408.3868853552</c:v>
                </c:pt>
                <c:pt idx="447">
                  <c:v>4748038.0551552912</c:v>
                </c:pt>
                <c:pt idx="448">
                  <c:v>4793091.2051061811</c:v>
                </c:pt>
                <c:pt idx="449">
                  <c:v>4838571.8550680047</c:v>
                </c:pt>
                <c:pt idx="450">
                  <c:v>4884484.0614998471</c:v>
                </c:pt>
                <c:pt idx="451">
                  <c:v>4930831.9193516895</c:v>
                </c:pt>
                <c:pt idx="452">
                  <c:v>4977619.5624296498</c:v>
                </c:pt>
                <c:pt idx="453">
                  <c:v>5024851.1637646761</c:v>
                </c:pt>
                <c:pt idx="454">
                  <c:v>5072530.9359847382</c:v>
                </c:pt>
                <c:pt idx="455">
                  <c:v>5120663.1316905636</c:v>
                </c:pt>
                <c:pt idx="456">
                  <c:v>5169252.0438349284</c:v>
                </c:pt>
                <c:pt idx="457">
                  <c:v>5218302.0061055496</c:v>
                </c:pt>
                <c:pt idx="458">
                  <c:v>5267817.3933116049</c:v>
                </c:pt>
                <c:pt idx="459">
                  <c:v>5317802.621773934</c:v>
                </c:pt>
                <c:pt idx="460">
                  <c:v>5368262.1497189291</c:v>
                </c:pt>
                <c:pt idx="461">
                  <c:v>5419200.4776761718</c:v>
                </c:pt>
                <c:pt idx="462">
                  <c:v>5470622.1488798354</c:v>
                </c:pt>
                <c:pt idx="463">
                  <c:v>5522531.7496738993</c:v>
                </c:pt>
                <c:pt idx="464">
                  <c:v>5574933.9099212158</c:v>
                </c:pt>
                <c:pt idx="465">
                  <c:v>5627833.303416444</c:v>
                </c:pt>
                <c:pt idx="466">
                  <c:v>5681234.6483029136</c:v>
                </c:pt>
                <c:pt idx="467">
                  <c:v>5735142.7074934375</c:v>
                </c:pt>
                <c:pt idx="468">
                  <c:v>5789562.289095127</c:v>
                </c:pt>
                <c:pt idx="469">
                  <c:v>5844498.2468382223</c:v>
                </c:pt>
                <c:pt idx="470">
                  <c:v>5899955.4805090055</c:v>
                </c:pt>
                <c:pt idx="471">
                  <c:v>5955938.9363868125</c:v>
                </c:pt>
                <c:pt idx="472">
                  <c:v>6012453.6076852074</c:v>
                </c:pt>
                <c:pt idx="473">
                  <c:v>6069504.5349973207</c:v>
                </c:pt>
                <c:pt idx="474">
                  <c:v>6127096.8067454239</c:v>
                </c:pt>
                <c:pt idx="475">
                  <c:v>6185235.5596347768</c:v>
                </c:pt>
                <c:pt idx="476">
                  <c:v>6243925.9791117692</c:v>
                </c:pt>
                <c:pt idx="477">
                  <c:v>6303173.2998264255</c:v>
                </c:pt>
                <c:pt idx="478">
                  <c:v>6362982.8060992714</c:v>
                </c:pt>
                <c:pt idx="479">
                  <c:v>6423359.83239266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AE-485E-BCF2-F4F3DE42E1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93932912"/>
        <c:axId val="293933304"/>
      </c:lineChart>
      <c:catAx>
        <c:axId val="29393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Term in 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933304"/>
        <c:crosses val="autoZero"/>
        <c:auto val="1"/>
        <c:lblAlgn val="ctr"/>
        <c:lblOffset val="100"/>
        <c:noMultiLvlLbl val="0"/>
      </c:catAx>
      <c:valAx>
        <c:axId val="293933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FFFF00"/>
                    </a:solidFill>
                  </a:rPr>
                  <a:t>Value (Rs.) Thousands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932912"/>
        <c:crosses val="autoZero"/>
        <c:crossBetween val="between"/>
        <c:dispUnits>
          <c:builtInUnit val="thousands"/>
        </c:dispUnits>
      </c:valAx>
      <c:spPr>
        <a:solidFill>
          <a:schemeClr val="accent4">
            <a:lumMod val="20000"/>
            <a:lumOff val="8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69850" h="120650"/>
          <a:bevelB w="152400" h="50800" prst="softRound"/>
        </a:sp3d>
      </c:spPr>
    </c:plotArea>
    <c:legend>
      <c:legendPos val="b"/>
      <c:layout>
        <c:manualLayout>
          <c:xMode val="edge"/>
          <c:yMode val="edge"/>
          <c:x val="0.27503879659056685"/>
          <c:y val="0.89994077727112753"/>
          <c:w val="0.66644976185678639"/>
          <c:h val="5.9609639386631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accent5">
            <a:lumMod val="89000"/>
          </a:schemeClr>
        </a:gs>
        <a:gs pos="23000">
          <a:schemeClr val="accent5">
            <a:lumMod val="89000"/>
          </a:schemeClr>
        </a:gs>
        <a:gs pos="69000">
          <a:schemeClr val="accent5">
            <a:lumMod val="75000"/>
          </a:schemeClr>
        </a:gs>
        <a:gs pos="97000">
          <a:schemeClr val="accent5">
            <a:lumMod val="70000"/>
          </a:schemeClr>
        </a:gs>
      </a:gsLst>
      <a:path path="circle">
        <a:fillToRect l="50000" t="50000" r="50000" b="50000"/>
      </a:path>
      <a:tileRect/>
    </a:gradFill>
    <a:ln w="28575" cap="flat" cmpd="sng" algn="ctr">
      <a:solidFill>
        <a:schemeClr val="bg1"/>
      </a:solidFill>
      <a:round/>
    </a:ln>
    <a:effectLst/>
    <a:scene3d>
      <a:camera prst="orthographicFront"/>
      <a:lightRig rig="threePt" dir="t"/>
    </a:scene3d>
    <a:sp3d>
      <a:bevelT w="63500" prst="relaxedInset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38247</xdr:colOff>
      <xdr:row>5</xdr:row>
      <xdr:rowOff>213521</xdr:rowOff>
    </xdr:from>
    <xdr:to>
      <xdr:col>8</xdr:col>
      <xdr:colOff>3162300</xdr:colOff>
      <xdr:row>20</xdr:row>
      <xdr:rowOff>53340</xdr:rowOff>
    </xdr:to>
    <xdr:graphicFrame macro="">
      <xdr:nvGraphicFramePr>
        <xdr:cNvPr id="3" name="Chart1" descr="Chart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1935670</xdr:colOff>
      <xdr:row>7</xdr:row>
      <xdr:rowOff>124020</xdr:rowOff>
    </xdr:from>
    <xdr:to>
      <xdr:col>16384</xdr:col>
      <xdr:colOff>16570</xdr:colOff>
      <xdr:row>8</xdr:row>
      <xdr:rowOff>68961</xdr:rowOff>
    </xdr:to>
    <xdr:sp macro="" textlink="SIPFinalAmt">
      <xdr:nvSpPr>
        <xdr:cNvPr id="4" name="MatValu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0348150" y="1739460"/>
          <a:ext cx="1548000" cy="211641"/>
        </a:xfrm>
        <a:prstGeom prst="rect">
          <a:avLst/>
        </a:prstGeom>
        <a:noFill/>
        <a:ln w="9525" cmpd="sng">
          <a:noFill/>
        </a:ln>
        <a:scene3d>
          <a:camera prst="orthographicFront"/>
          <a:lightRig rig="threePt" dir="t"/>
        </a:scene3d>
        <a:sp3d>
          <a:bevelB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3FE078CA-F2B1-402A-8A51-C44F6D5DEB4A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l"/>
            <a:t> ₹ 64,23,360 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7</xdr:col>
      <xdr:colOff>1386267</xdr:colOff>
      <xdr:row>7</xdr:row>
      <xdr:rowOff>124021</xdr:rowOff>
    </xdr:from>
    <xdr:to>
      <xdr:col>8</xdr:col>
      <xdr:colOff>753245</xdr:colOff>
      <xdr:row>8</xdr:row>
      <xdr:rowOff>73119</xdr:rowOff>
    </xdr:to>
    <xdr:sp macro="" textlink="N3">
      <xdr:nvSpPr>
        <xdr:cNvPr id="11" name="TotalInvValue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8030907" y="1739461"/>
          <a:ext cx="1134818" cy="215798"/>
        </a:xfrm>
        <a:prstGeom prst="rect">
          <a:avLst/>
        </a:prstGeom>
        <a:noFill/>
        <a:ln w="9525" cmpd="sng">
          <a:noFill/>
        </a:ln>
        <a:scene3d>
          <a:camera prst="orthographicFront"/>
          <a:lightRig rig="threePt" dir="t"/>
        </a:scene3d>
        <a:sp3d>
          <a:bevelB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20F0550-8EF9-467D-B30C-55774C5EA2D9}" type="TxLink">
            <a:rPr lang="en-US" sz="1000" b="1" i="0" u="none" strike="noStrike">
              <a:solidFill>
                <a:srgbClr val="FFFF00"/>
              </a:solidFill>
              <a:latin typeface="Arial"/>
              <a:cs typeface="Arial"/>
            </a:rPr>
            <a:pPr algn="l"/>
            <a:t> ₹ 90,000 </a:t>
          </a:fld>
          <a:endParaRPr lang="en-US" sz="1100" b="1">
            <a:solidFill>
              <a:srgbClr val="FFFF00"/>
            </a:solidFill>
          </a:endParaRPr>
        </a:p>
      </xdr:txBody>
    </xdr:sp>
    <xdr:clientData/>
  </xdr:twoCellAnchor>
  <xdr:twoCellAnchor editAs="absolute">
    <xdr:from>
      <xdr:col>7</xdr:col>
      <xdr:colOff>415432</xdr:colOff>
      <xdr:row>7</xdr:row>
      <xdr:rowOff>112943</xdr:rowOff>
    </xdr:from>
    <xdr:to>
      <xdr:col>7</xdr:col>
      <xdr:colOff>1580229</xdr:colOff>
      <xdr:row>8</xdr:row>
      <xdr:rowOff>95094</xdr:rowOff>
    </xdr:to>
    <xdr:sp macro="" textlink="">
      <xdr:nvSpPr>
        <xdr:cNvPr id="6" name="TotalInvLbl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060072" y="1728383"/>
          <a:ext cx="1164797" cy="2488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000" b="1" i="0" u="none" strike="noStrike" cap="none" spc="0">
              <a:ln w="0"/>
              <a:solidFill>
                <a:srgbClr val="FFFF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"/>
              <a:cs typeface="Arial"/>
            </a:rPr>
            <a:t>Total Invested:</a:t>
          </a:r>
          <a:endParaRPr lang="en-US" sz="1000" b="1" cap="none" spc="0">
            <a:ln w="0"/>
            <a:solidFill>
              <a:srgbClr val="FFFF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8</xdr:col>
      <xdr:colOff>972882</xdr:colOff>
      <xdr:row>7</xdr:row>
      <xdr:rowOff>120145</xdr:rowOff>
    </xdr:from>
    <xdr:to>
      <xdr:col>8</xdr:col>
      <xdr:colOff>2137679</xdr:colOff>
      <xdr:row>8</xdr:row>
      <xdr:rowOff>102296</xdr:rowOff>
    </xdr:to>
    <xdr:sp macro="" textlink="">
      <xdr:nvSpPr>
        <xdr:cNvPr id="14" name="MatValueLbl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9385362" y="1735585"/>
          <a:ext cx="1164797" cy="2488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000" b="1" i="0" u="none" strike="noStrike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"/>
              <a:cs typeface="Arial"/>
            </a:rPr>
            <a:t>Maturity</a:t>
          </a:r>
          <a:r>
            <a:rPr lang="en-US" sz="1000" b="1" i="0" u="none" strike="noStrike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"/>
              <a:cs typeface="Arial"/>
            </a:rPr>
            <a:t> Value</a:t>
          </a:r>
          <a:r>
            <a:rPr lang="en-US" sz="1000" b="1" i="0" u="none" strike="noStrike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"/>
              <a:cs typeface="Arial"/>
            </a:rPr>
            <a:t>:</a:t>
          </a:r>
          <a:endParaRPr lang="en-US" sz="10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15240</xdr:rowOff>
        </xdr:from>
        <xdr:to>
          <xdr:col>5</xdr:col>
          <xdr:colOff>365760</xdr:colOff>
          <xdr:row>4</xdr:row>
          <xdr:rowOff>45720</xdr:rowOff>
        </xdr:to>
        <xdr:sp macro="" textlink="">
          <xdr:nvSpPr>
            <xdr:cNvPr id="1189" name="btnPrint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</xdr:row>
          <xdr:rowOff>45720</xdr:rowOff>
        </xdr:from>
        <xdr:to>
          <xdr:col>4</xdr:col>
          <xdr:colOff>502920</xdr:colOff>
          <xdr:row>3</xdr:row>
          <xdr:rowOff>190500</xdr:rowOff>
        </xdr:to>
        <xdr:sp macro="" textlink="">
          <xdr:nvSpPr>
            <xdr:cNvPr id="1190" name="MonthlyInvestAmount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</xdr:row>
          <xdr:rowOff>68580</xdr:rowOff>
        </xdr:from>
        <xdr:to>
          <xdr:col>4</xdr:col>
          <xdr:colOff>502920</xdr:colOff>
          <xdr:row>4</xdr:row>
          <xdr:rowOff>213360</xdr:rowOff>
        </xdr:to>
        <xdr:sp macro="" textlink="">
          <xdr:nvSpPr>
            <xdr:cNvPr id="1191" name="ScrollBar1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5</xdr:row>
          <xdr:rowOff>53340</xdr:rowOff>
        </xdr:from>
        <xdr:to>
          <xdr:col>4</xdr:col>
          <xdr:colOff>502920</xdr:colOff>
          <xdr:row>5</xdr:row>
          <xdr:rowOff>198120</xdr:rowOff>
        </xdr:to>
        <xdr:sp macro="" textlink="">
          <xdr:nvSpPr>
            <xdr:cNvPr id="1192" name="GainPercent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11</xdr:row>
          <xdr:rowOff>30480</xdr:rowOff>
        </xdr:from>
        <xdr:to>
          <xdr:col>4</xdr:col>
          <xdr:colOff>502920</xdr:colOff>
          <xdr:row>11</xdr:row>
          <xdr:rowOff>175260</xdr:rowOff>
        </xdr:to>
        <xdr:sp macro="" textlink="">
          <xdr:nvSpPr>
            <xdr:cNvPr id="1193" name="InfPercent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</xdr:col>
      <xdr:colOff>22860</xdr:colOff>
      <xdr:row>0</xdr:row>
      <xdr:rowOff>68580</xdr:rowOff>
    </xdr:from>
    <xdr:to>
      <xdr:col>1</xdr:col>
      <xdr:colOff>1449993</xdr:colOff>
      <xdr:row>2</xdr:row>
      <xdr:rowOff>56072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032E497-EBC7-40AF-B700-154891D3E440}"/>
            </a:ext>
          </a:extLst>
        </xdr:cNvPr>
        <xdr:cNvGrpSpPr/>
      </xdr:nvGrpSpPr>
      <xdr:grpSpPr>
        <a:xfrm>
          <a:off x="342900" y="68580"/>
          <a:ext cx="1427133" cy="421832"/>
          <a:chOff x="220134" y="42333"/>
          <a:chExt cx="1427133" cy="421832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BF365BA4-B881-061B-2AD1-045766EE59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134" y="42333"/>
            <a:ext cx="423333" cy="421832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A3313AFB-C801-41EC-398A-F3EA4CAED9C9}"/>
              </a:ext>
            </a:extLst>
          </xdr:cNvPr>
          <xdr:cNvSpPr/>
        </xdr:nvSpPr>
        <xdr:spPr>
          <a:xfrm>
            <a:off x="567267" y="152399"/>
            <a:ext cx="1080000" cy="2709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1">
                <a:solidFill>
                  <a:srgbClr val="AA9B28"/>
                </a:solidFill>
                <a:latin typeface="Aptos Narrow" panose="020B0004020202020204" pitchFamily="34" charset="0"/>
              </a:rPr>
              <a:t>NIVRA</a:t>
            </a:r>
            <a:r>
              <a:rPr lang="en-US" sz="1100" baseline="0">
                <a:solidFill>
                  <a:srgbClr val="AA9B28"/>
                </a:solidFill>
                <a:latin typeface="Aptos Narrow" panose="020B0004020202020204" pitchFamily="34" charset="0"/>
              </a:rPr>
              <a:t> FINTECH</a:t>
            </a:r>
            <a:endParaRPr lang="en-US" sz="1100">
              <a:solidFill>
                <a:srgbClr val="AA9B28"/>
              </a:solidFill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0.01899</cdr:x>
      <cdr:y>0.03819</cdr:y>
    </cdr:from>
    <cdr:to>
      <cdr:x>0.11202</cdr:x>
      <cdr:y>0.11618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id="{BB0263FD-2FDC-1258-258A-E539F6C60AB6}"/>
            </a:ext>
          </a:extLst>
        </cdr:cNvPr>
        <cdr:cNvGrpSpPr/>
      </cdr:nvGrpSpPr>
      <cdr:grpSpPr>
        <a:xfrm xmlns:a="http://schemas.openxmlformats.org/drawingml/2006/main">
          <a:off x="107512" y="121344"/>
          <a:ext cx="526691" cy="247804"/>
          <a:chOff x="115650" y="131861"/>
          <a:chExt cx="566441" cy="269248"/>
        </a:xfrm>
      </cdr:grpSpPr>
      <cdr:sp macro="" textlink="">
        <cdr:nvSpPr>
          <cdr:cNvPr id="2" name="Rectangle 1">
            <a:extLst xmlns:a="http://schemas.openxmlformats.org/drawingml/2006/main">
              <a:ext uri="{FF2B5EF4-FFF2-40B4-BE49-F238E27FC236}">
                <a16:creationId xmlns:a16="http://schemas.microsoft.com/office/drawing/2014/main" id="{82EFB8AD-6C9C-446D-8236-8E9142585252}"/>
              </a:ext>
            </a:extLst>
          </cdr:cNvPr>
          <cdr:cNvSpPr/>
        </cdr:nvSpPr>
        <cdr:spPr>
          <a:xfrm xmlns:a="http://schemas.openxmlformats.org/drawingml/2006/main">
            <a:off x="115650" y="131861"/>
            <a:ext cx="566441" cy="269248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accent1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en-US" sz="1100"/>
          </a:p>
        </cdr:txBody>
      </cdr:sp>
      <cdr:pic>
        <cdr:nvPicPr>
          <cdr:cNvPr id="3" name="Picture 2">
            <a:extLst xmlns:a="http://schemas.openxmlformats.org/drawingml/2006/main">
              <a:ext uri="{FF2B5EF4-FFF2-40B4-BE49-F238E27FC236}">
                <a16:creationId xmlns:a16="http://schemas.microsoft.com/office/drawing/2014/main" id="{0147FF14-7C5D-4656-A861-6F3F7B86DA77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161876" y="185694"/>
            <a:ext cx="490202" cy="175109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ganic">
  <a:themeElements>
    <a:clrScheme name="Organic">
      <a:dk1>
        <a:sysClr val="windowText" lastClr="000000"/>
      </a:dk1>
      <a:lt1>
        <a:sysClr val="window" lastClr="FFFFFF"/>
      </a:lt1>
      <a:dk2>
        <a:srgbClr val="212121"/>
      </a:dk2>
      <a:lt2>
        <a:srgbClr val="DADADA"/>
      </a:lt2>
      <a:accent1>
        <a:srgbClr val="83992A"/>
      </a:accent1>
      <a:accent2>
        <a:srgbClr val="3C9770"/>
      </a:accent2>
      <a:accent3>
        <a:srgbClr val="44709D"/>
      </a:accent3>
      <a:accent4>
        <a:srgbClr val="A23C33"/>
      </a:accent4>
      <a:accent5>
        <a:srgbClr val="D97828"/>
      </a:accent5>
      <a:accent6>
        <a:srgbClr val="DEB340"/>
      </a:accent6>
      <a:hlink>
        <a:srgbClr val="A8BF4D"/>
      </a:hlink>
      <a:folHlink>
        <a:srgbClr val="B4CA80"/>
      </a:folHlink>
    </a:clrScheme>
    <a:fontScheme name="Organic">
      <a:majorFont>
        <a:latin typeface="Garamond" panose="02020404030301010803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aramond" panose="02020404030301010803"/>
        <a:ea typeface=""/>
        <a:cs typeface=""/>
        <a:font script="Jpan" typeface="ＭＳ Ｐ明朝"/>
        <a:font script="Hang" typeface="바탕"/>
        <a:font script="Hans" typeface="方正舒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Organic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2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74000"/>
                <a:satMod val="130000"/>
                <a:lumMod val="90000"/>
              </a:schemeClr>
              <a:schemeClr val="phClr">
                <a:tint val="94000"/>
                <a:satMod val="120000"/>
                <a:lumMod val="104000"/>
              </a:schemeClr>
            </a:duotone>
          </a:blip>
          <a:tile tx="0" ty="0" sx="100000" sy="100000" flip="none" algn="tl"/>
        </a:blip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38100" dist="25400" dir="5400000" rotWithShape="0">
              <a:srgbClr val="000000">
                <a:alpha val="60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88000"/>
                <a:lumMod val="98000"/>
              </a:schemeClr>
            </a:gs>
          </a:gsLst>
          <a:lin ang="5400000" scaled="0"/>
        </a:gradFill>
        <a:blipFill>
          <a:blip xmlns:r="http://schemas.openxmlformats.org/officeDocument/2006/relationships"/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rganic" id="{28CDC826-8792-45C0-861B-85EB3ADEDA33}" vid="{7DAC20F1-423D-49E2-BD0B-50532748BAD0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PCalc">
    <tabColor theme="8" tint="-0.499984740745262"/>
    <pageSetUpPr fitToPage="1"/>
  </sheetPr>
  <dimension ref="A1:AJ1205"/>
  <sheetViews>
    <sheetView showGridLines="0" tabSelected="1" zoomScaleNormal="100" workbookViewId="0">
      <selection activeCell="C4" sqref="C4"/>
    </sheetView>
  </sheetViews>
  <sheetFormatPr defaultColWidth="0" defaultRowHeight="13.2" zeroHeight="1" x14ac:dyDescent="0.25"/>
  <cols>
    <col min="1" max="1" width="4.6640625" style="14" customWidth="1"/>
    <col min="2" max="2" width="37.88671875" style="14" customWidth="1"/>
    <col min="3" max="3" width="17.6640625" style="14" customWidth="1"/>
    <col min="4" max="4" width="9.109375" style="14" customWidth="1"/>
    <col min="5" max="5" width="9.33203125" style="14" customWidth="1"/>
    <col min="6" max="6" width="7" style="14" customWidth="1"/>
    <col min="7" max="7" width="11.21875" style="14" customWidth="1"/>
    <col min="8" max="8" width="25.77734375" style="14" customWidth="1"/>
    <col min="9" max="9" width="50.5546875" style="14" customWidth="1"/>
    <col min="10" max="10" width="6.109375" style="14" hidden="1" customWidth="1"/>
    <col min="11" max="11" width="5.33203125" style="14" hidden="1" customWidth="1"/>
    <col min="12" max="12" width="10.77734375" style="14" hidden="1" customWidth="1"/>
    <col min="13" max="13" width="5.33203125" style="14" hidden="1" customWidth="1"/>
    <col min="14" max="14" width="13.44140625" style="14" hidden="1" customWidth="1"/>
    <col min="15" max="15" width="12.33203125" style="19" hidden="1" customWidth="1"/>
    <col min="16" max="16" width="15" style="19" hidden="1" customWidth="1"/>
    <col min="17" max="17" width="12.77734375" style="14" hidden="1" customWidth="1"/>
    <col min="18" max="18" width="10.6640625" style="14" hidden="1" customWidth="1"/>
    <col min="19" max="19" width="9.5546875" style="14" hidden="1" customWidth="1"/>
    <col min="20" max="20" width="12.77734375" style="14" hidden="1" customWidth="1"/>
    <col min="21" max="21" width="10.77734375" style="14" hidden="1" customWidth="1"/>
    <col min="22" max="22" width="20.44140625" style="14" hidden="1" customWidth="1"/>
    <col min="23" max="23" width="23.5546875" style="14" hidden="1" customWidth="1"/>
    <col min="24" max="24" width="16.33203125" style="14" hidden="1" customWidth="1"/>
    <col min="25" max="27" width="9.109375" style="14" hidden="1" customWidth="1"/>
    <col min="28" max="28" width="14.77734375" style="14" hidden="1" customWidth="1"/>
    <col min="29" max="31" width="9.109375" style="14" hidden="1" customWidth="1"/>
    <col min="32" max="33" width="12.21875" style="14" hidden="1" customWidth="1"/>
    <col min="34" max="35" width="9.109375" style="14" hidden="1" customWidth="1"/>
    <col min="36" max="36" width="12.5546875" style="14" hidden="1" customWidth="1"/>
    <col min="37" max="16384" width="9.109375" style="14" hidden="1"/>
  </cols>
  <sheetData>
    <row r="1" spans="2:33" x14ac:dyDescent="0.25">
      <c r="N1" s="14">
        <f>SIPYears*12</f>
        <v>60</v>
      </c>
      <c r="O1" s="21" t="s">
        <v>12</v>
      </c>
      <c r="W1" s="15" t="s">
        <v>19</v>
      </c>
      <c r="X1" s="22">
        <f>FV(SRate,N1,-SIPMonthlyPmt,,1)</f>
        <v>121655.41880029142</v>
      </c>
      <c r="AA1" s="15" t="s">
        <v>29</v>
      </c>
      <c r="AE1" s="15" t="s">
        <v>3</v>
      </c>
    </row>
    <row r="2" spans="2:33" ht="21" x14ac:dyDescent="0.25">
      <c r="B2" s="53" t="s">
        <v>6</v>
      </c>
      <c r="C2" s="53"/>
      <c r="D2" s="53"/>
      <c r="E2" s="53"/>
      <c r="F2" s="53"/>
      <c r="G2" s="53"/>
      <c r="N2" s="14">
        <f>COUNTIF(N6:N480,"&gt;0")</f>
        <v>60</v>
      </c>
      <c r="O2" s="21" t="s">
        <v>0</v>
      </c>
      <c r="W2" s="15" t="s">
        <v>16</v>
      </c>
      <c r="X2" s="14">
        <f>C7*12</f>
        <v>480</v>
      </c>
      <c r="AE2" s="23" t="s">
        <v>0</v>
      </c>
      <c r="AF2" s="23" t="s">
        <v>30</v>
      </c>
      <c r="AG2" s="23" t="s">
        <v>31</v>
      </c>
    </row>
    <row r="3" spans="2:33" x14ac:dyDescent="0.25">
      <c r="N3" s="24">
        <f ca="1">OFFSET(N6,N2-1,0)</f>
        <v>90000</v>
      </c>
      <c r="O3" s="21" t="s">
        <v>10</v>
      </c>
      <c r="W3" s="15" t="s">
        <v>17</v>
      </c>
      <c r="X3" s="14">
        <f>X2-N1</f>
        <v>420</v>
      </c>
      <c r="AA3" s="14">
        <v>1</v>
      </c>
      <c r="AB3" s="20" cm="1">
        <f t="array" aca="1" ref="AB3" ca="1">INDIRECT("O" &amp; 5+AA3*12)</f>
        <v>19149.746862529853</v>
      </c>
      <c r="AE3" s="37">
        <v>3</v>
      </c>
      <c r="AF3" s="36">
        <f ca="1">OFFSET($O$5,$X$2-AE3,0)</f>
        <v>6243925.9791117692</v>
      </c>
      <c r="AG3" s="36">
        <f ca="1">IF(AF3=0,0,$X$4-AF3)</f>
        <v>179433.85328061599</v>
      </c>
    </row>
    <row r="4" spans="2:33" ht="19.5" customHeight="1" x14ac:dyDescent="0.25">
      <c r="B4" s="2" t="s">
        <v>22</v>
      </c>
      <c r="C4" s="11">
        <v>1500</v>
      </c>
      <c r="D4" s="3"/>
      <c r="E4" s="3"/>
      <c r="G4" s="47" t="s">
        <v>34</v>
      </c>
      <c r="H4" s="45" t="s">
        <v>36</v>
      </c>
      <c r="W4" s="15" t="s">
        <v>18</v>
      </c>
      <c r="X4" s="22">
        <f>FV(SIPYield,X3/12,0,-X1,1)</f>
        <v>6423359.8323923852</v>
      </c>
      <c r="AA4" s="14">
        <v>2</v>
      </c>
      <c r="AB4" s="20" cm="1">
        <f t="array" aca="1" ref="AB4" ca="1">INDIRECT("O" &amp; 5+AA4*12)</f>
        <v>40597.463348563295</v>
      </c>
      <c r="AE4" s="37">
        <v>6</v>
      </c>
      <c r="AF4" s="36">
        <f t="shared" ref="AF4:AF6" ca="1" si="0">OFFSET($O$5,$X$2-AE4,0)</f>
        <v>6069504.5349973207</v>
      </c>
      <c r="AG4" s="36">
        <f t="shared" ref="AG4:AG6" ca="1" si="1">IF(AF4=0,0,$X$4-AF4)</f>
        <v>353855.2973950645</v>
      </c>
    </row>
    <row r="5" spans="2:33" ht="22.5" customHeight="1" x14ac:dyDescent="0.25">
      <c r="B5" s="2" t="str">
        <f>"SIP Term in Years"</f>
        <v>SIP Term in Years</v>
      </c>
      <c r="C5" s="1">
        <v>5</v>
      </c>
      <c r="D5" s="4"/>
      <c r="E5" s="5"/>
      <c r="G5" s="48" t="s">
        <v>35</v>
      </c>
      <c r="H5" s="46">
        <v>30</v>
      </c>
      <c r="L5" s="44" t="s">
        <v>33</v>
      </c>
      <c r="N5" s="15" t="s">
        <v>2</v>
      </c>
      <c r="O5" s="26" t="s">
        <v>7</v>
      </c>
      <c r="P5" s="26" t="s">
        <v>8</v>
      </c>
      <c r="Q5" s="51" t="s">
        <v>11</v>
      </c>
      <c r="R5" s="51"/>
      <c r="S5" s="51"/>
      <c r="T5" s="15" t="s">
        <v>23</v>
      </c>
      <c r="U5" s="15" t="s">
        <v>23</v>
      </c>
      <c r="W5" s="15" t="s">
        <v>20</v>
      </c>
      <c r="X5" s="22">
        <f ca="1">IF(OR(SIPFinalAmt="Invalid",C15=0),0,OFFSET(R5:R1205,X2,0,1,1))</f>
        <v>6069504.5349973207</v>
      </c>
      <c r="AA5" s="14">
        <v>3</v>
      </c>
      <c r="AB5" s="20" cm="1">
        <f t="array" aca="1" ref="AB5" ca="1">INDIRECT("O" &amp; 5+AA5*12)</f>
        <v>64618.90581292085</v>
      </c>
      <c r="AE5" s="37">
        <v>9</v>
      </c>
      <c r="AF5" s="36">
        <f t="shared" ca="1" si="0"/>
        <v>5899955.4805090055</v>
      </c>
      <c r="AG5" s="36">
        <f t="shared" ca="1" si="1"/>
        <v>523404.35188337974</v>
      </c>
    </row>
    <row r="6" spans="2:33" ht="19.5" customHeight="1" x14ac:dyDescent="0.25">
      <c r="B6" s="2" t="s">
        <v>25</v>
      </c>
      <c r="C6" s="6">
        <v>0.12</v>
      </c>
      <c r="D6" s="3"/>
      <c r="E6" s="3"/>
      <c r="K6" s="27">
        <v>1200</v>
      </c>
      <c r="L6" s="18">
        <f ca="1">TODAY()</f>
        <v>46244</v>
      </c>
      <c r="M6" s="14">
        <v>1</v>
      </c>
      <c r="N6" s="14">
        <f t="shared" ref="N6:N69" si="2">IF($N$1&gt;=M6,SIPMonthlyPmt*M6,0)</f>
        <v>1500</v>
      </c>
      <c r="O6" s="19">
        <f t="shared" ref="O6:O69" si="3">IF($X$2&gt;=M6,IF(M6&lt;=$N$1,FV(SRate,M6,-SIPMonthlyPmt,0,1),FV(SRate,M6-$N$1,0,-$X$1,1)),0)</f>
        <v>1514.2331894018746</v>
      </c>
      <c r="P6" s="19">
        <f t="shared" ref="P6:P69" si="4">O6/((1+SIPInflationRate)^(M6/12))</f>
        <v>1507.1948318938057</v>
      </c>
      <c r="Q6" s="14">
        <f t="shared" ref="Q6:Q69" si="5">IF((M6-$C$15)&gt;0, IF($N$1+$C$15&gt;=M6,SIPMonthlyPmt*(M6-$C$15),0),0)</f>
        <v>0</v>
      </c>
      <c r="R6" s="19">
        <f t="shared" ref="R6:R69" si="6">IF(M6&lt;=$C$15,0,IF($X$2&gt;=M6,IF(M6&lt;=($N$1+$C$15),FV(SRate,M6-$C$15,-SIPMonthlyPmt,0,1),FV(SRate,M6-$N$1-$C$15,0,-$X$1,1)),0))</f>
        <v>0</v>
      </c>
      <c r="S6" s="19">
        <f t="shared" ref="S6:S69" si="7">R6/((1+SIPInflationRate)^((M6-$C$15)/12))</f>
        <v>0</v>
      </c>
      <c r="T6" s="14">
        <f t="shared" ref="T6:T69" si="8">IF(M6&lt;=$N$1,-SIPMonthlyPmt,IF(M6&lt;=($N$1+1),$X$4,0))</f>
        <v>-1500</v>
      </c>
      <c r="U6" s="18" cm="1">
        <f t="array" aca="1" ref="U6" ca="1">IF(M6&lt;=$N$1,L6,IF(M6&lt;=($N$1+1),INDIRECT("L"&amp;5+$X$2),""))</f>
        <v>46244</v>
      </c>
      <c r="W6" s="15" t="s">
        <v>3</v>
      </c>
      <c r="X6" s="22">
        <f ca="1">X4-X5</f>
        <v>353855.2973950645</v>
      </c>
      <c r="AA6" s="14">
        <v>4</v>
      </c>
      <c r="AB6" s="20" cm="1">
        <f t="array" aca="1" ref="AB6" ca="1">INDIRECT("O" &amp; 5+AA6*12)</f>
        <v>91522.921373001285</v>
      </c>
      <c r="AE6" s="37">
        <v>12</v>
      </c>
      <c r="AF6" s="36">
        <f t="shared" ca="1" si="0"/>
        <v>5735142.7074934375</v>
      </c>
      <c r="AG6" s="36">
        <f t="shared" ca="1" si="1"/>
        <v>688217.12489894778</v>
      </c>
    </row>
    <row r="7" spans="2:33" ht="19.2" customHeight="1" x14ac:dyDescent="0.25">
      <c r="B7" s="42" t="s">
        <v>32</v>
      </c>
      <c r="C7" s="43">
        <v>40</v>
      </c>
      <c r="D7" s="52" t="str">
        <f>IF(C7&lt;SIPYears,"Invalid","Min." &amp; SIPYears &amp; " Years")</f>
        <v>Min.5 Years</v>
      </c>
      <c r="E7" s="52"/>
      <c r="K7" s="27">
        <v>575</v>
      </c>
      <c r="L7" s="18">
        <f ca="1">EDATE(L6,1)</f>
        <v>46275</v>
      </c>
      <c r="M7" s="14">
        <v>2</v>
      </c>
      <c r="N7" s="14">
        <f t="shared" si="2"/>
        <v>3000</v>
      </c>
      <c r="O7" s="19">
        <f t="shared" si="3"/>
        <v>3042.8346239926695</v>
      </c>
      <c r="P7" s="19">
        <f t="shared" si="4"/>
        <v>3014.6133638003116</v>
      </c>
      <c r="Q7" s="14">
        <f t="shared" si="5"/>
        <v>0</v>
      </c>
      <c r="R7" s="19">
        <f t="shared" si="6"/>
        <v>0</v>
      </c>
      <c r="S7" s="19">
        <f t="shared" si="7"/>
        <v>0</v>
      </c>
      <c r="T7" s="14">
        <f t="shared" si="8"/>
        <v>-1500</v>
      </c>
      <c r="U7" s="18" cm="1">
        <f t="array" aca="1" ref="U7" ca="1">IF(M7&lt;=$N$1,L7,IF(M7&lt;=($N$1+1),INDIRECT("L"&amp;5+$X$2),""))</f>
        <v>46275</v>
      </c>
      <c r="W7" s="15"/>
      <c r="AA7" s="14">
        <v>5</v>
      </c>
      <c r="AB7" s="20" cm="1">
        <f t="array" aca="1" ref="AB7" ca="1">INDIRECT("O" &amp; 5+AA7*12)</f>
        <v>121655.41880029142</v>
      </c>
    </row>
    <row r="8" spans="2:33" ht="21" customHeight="1" x14ac:dyDescent="0.25">
      <c r="L8" s="18">
        <f ca="1">EDATE(L7,1)</f>
        <v>46305</v>
      </c>
      <c r="M8" s="14">
        <v>3</v>
      </c>
      <c r="N8" s="14">
        <f t="shared" si="2"/>
        <v>4500</v>
      </c>
      <c r="O8" s="19">
        <f t="shared" si="3"/>
        <v>4585.9406410758056</v>
      </c>
      <c r="P8" s="19">
        <f t="shared" si="4"/>
        <v>4522.2892318670838</v>
      </c>
      <c r="Q8" s="14">
        <f t="shared" si="5"/>
        <v>0</v>
      </c>
      <c r="R8" s="19">
        <f t="shared" si="6"/>
        <v>0</v>
      </c>
      <c r="S8" s="19">
        <f t="shared" si="7"/>
        <v>0</v>
      </c>
      <c r="T8" s="14">
        <f t="shared" si="8"/>
        <v>-1500</v>
      </c>
      <c r="U8" s="18" cm="1">
        <f t="array" aca="1" ref="U8" ca="1">IF(M8&lt;=$N$1,L8,IF(M8&lt;=($N$1+1),INDIRECT("L"&amp;5+$X$2),""))</f>
        <v>46305</v>
      </c>
      <c r="W8" s="15"/>
      <c r="AA8" s="14">
        <v>6</v>
      </c>
      <c r="AB8" s="20" cm="1">
        <f t="array" aca="1" ref="AB8" ca="1">INDIRECT("O" &amp; 5+AA8*12)</f>
        <v>136254.06905632655</v>
      </c>
    </row>
    <row r="9" spans="2:33" ht="18.600000000000001" customHeight="1" x14ac:dyDescent="0.25">
      <c r="B9" s="12" t="s">
        <v>9</v>
      </c>
      <c r="C9" s="9">
        <f>IF(D7="Invalid","Invalid",X4)</f>
        <v>6423359.8323923852</v>
      </c>
      <c r="D9" s="49"/>
      <c r="E9" s="49"/>
      <c r="L9" s="18">
        <f t="shared" ref="L9:L72" ca="1" si="9">EDATE(L8,1)</f>
        <v>46336</v>
      </c>
      <c r="M9" s="14">
        <v>4</v>
      </c>
      <c r="N9" s="14">
        <f t="shared" si="2"/>
        <v>6000</v>
      </c>
      <c r="O9" s="19">
        <f t="shared" si="3"/>
        <v>6143.6888716311305</v>
      </c>
      <c r="P9" s="19">
        <f t="shared" si="4"/>
        <v>6030.2560822213945</v>
      </c>
      <c r="Q9" s="14">
        <f t="shared" si="5"/>
        <v>0</v>
      </c>
      <c r="R9" s="19">
        <f t="shared" si="6"/>
        <v>0</v>
      </c>
      <c r="S9" s="19">
        <f t="shared" si="7"/>
        <v>0</v>
      </c>
      <c r="T9" s="14">
        <f t="shared" si="8"/>
        <v>-1500</v>
      </c>
      <c r="U9" s="18" cm="1">
        <f t="array" aca="1" ref="U9" ca="1">IF(M9&lt;=$N$1,L9,IF(M9&lt;=($N$1+1),INDIRECT("L"&amp;5+$X$2),""))</f>
        <v>46336</v>
      </c>
      <c r="W9" s="15" t="s">
        <v>23</v>
      </c>
      <c r="X9" s="28">
        <f ca="1">XIRR(T6:INDIRECT("T" &amp;6+$N$1),U6:INDIRECT("U" &amp;6+$N$1))</f>
        <v>0.12020060420036316</v>
      </c>
      <c r="AA9" s="14">
        <v>7</v>
      </c>
      <c r="AB9" s="20" cm="1">
        <f t="array" aca="1" ref="AB9" ca="1">INDIRECT("O" &amp; 5+AA9*12)</f>
        <v>152604.55734308594</v>
      </c>
    </row>
    <row r="10" spans="2:33" ht="18.600000000000001" customHeight="1" x14ac:dyDescent="0.25">
      <c r="B10" s="13" t="s">
        <v>24</v>
      </c>
      <c r="C10" s="10">
        <f ca="1">IF(SIPFinalAmt="Invalid","Invalid",X9)</f>
        <v>0.12020060420036316</v>
      </c>
      <c r="D10" s="50"/>
      <c r="E10" s="50"/>
      <c r="L10" s="18">
        <f t="shared" ca="1" si="9"/>
        <v>46366</v>
      </c>
      <c r="M10" s="14">
        <v>5</v>
      </c>
      <c r="N10" s="14">
        <f t="shared" si="2"/>
        <v>7500</v>
      </c>
      <c r="O10" s="19">
        <f t="shared" si="3"/>
        <v>7716.2182525904154</v>
      </c>
      <c r="P10" s="19">
        <f t="shared" si="4"/>
        <v>7538.5475717216941</v>
      </c>
      <c r="Q10" s="14">
        <f t="shared" si="5"/>
        <v>0</v>
      </c>
      <c r="R10" s="19">
        <f t="shared" si="6"/>
        <v>0</v>
      </c>
      <c r="S10" s="19">
        <f t="shared" si="7"/>
        <v>0</v>
      </c>
      <c r="T10" s="14">
        <f t="shared" si="8"/>
        <v>-1500</v>
      </c>
      <c r="U10" s="18" cm="1">
        <f t="array" aca="1" ref="U10" ca="1">IF(M10&lt;=$N$1,L10,IF(M10&lt;=($N$1+1),INDIRECT("L"&amp;5+$X$2),""))</f>
        <v>46366</v>
      </c>
      <c r="W10" s="15"/>
      <c r="AA10" s="14">
        <v>8</v>
      </c>
      <c r="AB10" s="20" cm="1">
        <f t="array" aca="1" ref="AB10" ca="1">INDIRECT("O" &amp; 5+AA10*12)</f>
        <v>170917.1042242565</v>
      </c>
    </row>
    <row r="11" spans="2:33" ht="17.25" customHeight="1" x14ac:dyDescent="0.25">
      <c r="L11" s="18">
        <f t="shared" ca="1" si="9"/>
        <v>46397</v>
      </c>
      <c r="M11" s="14">
        <v>6</v>
      </c>
      <c r="N11" s="14">
        <f t="shared" si="2"/>
        <v>9000</v>
      </c>
      <c r="O11" s="19">
        <f t="shared" si="3"/>
        <v>9303.6690392291966</v>
      </c>
      <c r="P11" s="19">
        <f t="shared" si="4"/>
        <v>9047.1973687092759</v>
      </c>
      <c r="Q11" s="14">
        <f t="shared" si="5"/>
        <v>0</v>
      </c>
      <c r="R11" s="19">
        <f t="shared" si="6"/>
        <v>0</v>
      </c>
      <c r="S11" s="19">
        <f t="shared" si="7"/>
        <v>0</v>
      </c>
      <c r="T11" s="14">
        <f t="shared" si="8"/>
        <v>-1500</v>
      </c>
      <c r="U11" s="18" cm="1">
        <f t="array" aca="1" ref="U11" ca="1">IF(M11&lt;=$N$1,L11,IF(M11&lt;=($N$1+1),INDIRECT("L"&amp;5+$X$2),""))</f>
        <v>46397</v>
      </c>
      <c r="W11" s="15" t="s">
        <v>26</v>
      </c>
      <c r="X11" s="14">
        <f>N1/12</f>
        <v>5</v>
      </c>
      <c r="AA11" s="14">
        <v>9</v>
      </c>
      <c r="AB11" s="20" cm="1">
        <f t="array" aca="1" ref="AB11" ca="1">INDIRECT("O" &amp; 5+AA11*12)</f>
        <v>191427.15673116752</v>
      </c>
    </row>
    <row r="12" spans="2:33" ht="18" customHeight="1" x14ac:dyDescent="0.25">
      <c r="B12" s="38" t="s">
        <v>1</v>
      </c>
      <c r="C12" s="39">
        <v>5.7500000000000002E-2</v>
      </c>
      <c r="D12" s="38"/>
      <c r="E12" s="38"/>
      <c r="L12" s="18">
        <f t="shared" ca="1" si="9"/>
        <v>46428</v>
      </c>
      <c r="M12" s="14">
        <v>7</v>
      </c>
      <c r="N12" s="14">
        <f t="shared" si="2"/>
        <v>10500</v>
      </c>
      <c r="O12" s="19">
        <f t="shared" si="3"/>
        <v>10906.182817676219</v>
      </c>
      <c r="P12" s="19">
        <f t="shared" si="4"/>
        <v>10556.23915376032</v>
      </c>
      <c r="Q12" s="14">
        <f t="shared" si="5"/>
        <v>1500</v>
      </c>
      <c r="R12" s="19">
        <f t="shared" si="6"/>
        <v>1514.2331894018746</v>
      </c>
      <c r="S12" s="19">
        <f t="shared" si="7"/>
        <v>1507.1948318938057</v>
      </c>
      <c r="T12" s="14">
        <f t="shared" si="8"/>
        <v>-1500</v>
      </c>
      <c r="U12" s="18" cm="1">
        <f t="array" aca="1" ref="U12" ca="1">IF(M12&lt;=$N$1,L12,IF(M12&lt;=($N$1+1),INDIRECT("L"&amp;5+$X$2),""))</f>
        <v>46428</v>
      </c>
      <c r="W12" s="15" t="s">
        <v>27</v>
      </c>
      <c r="X12" s="14">
        <f>C7</f>
        <v>40</v>
      </c>
      <c r="AA12" s="14">
        <v>10</v>
      </c>
      <c r="AB12" s="20" cm="1">
        <f t="array" aca="1" ref="AB12" ca="1">INDIRECT("O" &amp; 5+AA12*12)</f>
        <v>214398.4155389079</v>
      </c>
    </row>
    <row r="13" spans="2:33" ht="18" customHeight="1" x14ac:dyDescent="0.25">
      <c r="B13" s="40" t="s">
        <v>5</v>
      </c>
      <c r="C13" s="41">
        <f>IF(SIPFinalAmt="Invalid","Invalid",SIPFinalAmt/((1+SIPInflationRate)^(SIPYears)))</f>
        <v>4856913.5273823533</v>
      </c>
      <c r="D13" s="40"/>
      <c r="E13" s="40"/>
      <c r="L13" s="18">
        <f t="shared" ca="1" si="9"/>
        <v>46456</v>
      </c>
      <c r="M13" s="14">
        <v>8</v>
      </c>
      <c r="N13" s="14">
        <f t="shared" si="2"/>
        <v>12000</v>
      </c>
      <c r="O13" s="19">
        <f t="shared" si="3"/>
        <v>12523.902517541717</v>
      </c>
      <c r="P13" s="19">
        <f t="shared" si="4"/>
        <v>12065.706620438426</v>
      </c>
      <c r="Q13" s="14">
        <f t="shared" si="5"/>
        <v>3000</v>
      </c>
      <c r="R13" s="19">
        <f t="shared" si="6"/>
        <v>3042.8346239926695</v>
      </c>
      <c r="S13" s="19">
        <f t="shared" si="7"/>
        <v>3014.6133638003116</v>
      </c>
      <c r="T13" s="14">
        <f t="shared" si="8"/>
        <v>-1500</v>
      </c>
      <c r="U13" s="18" cm="1">
        <f t="array" aca="1" ref="U13" ca="1">IF(M13&lt;=$N$1,L13,IF(M13&lt;=($N$1+1),INDIRECT("L"&amp;5+$X$2),""))</f>
        <v>46456</v>
      </c>
      <c r="W13" s="15" t="s">
        <v>28</v>
      </c>
      <c r="X13" s="14">
        <f>(1+SIPYield)^(1/12)-1</f>
        <v>9.4887929345830457E-3</v>
      </c>
      <c r="AA13" s="14">
        <v>11</v>
      </c>
      <c r="AB13" s="20" cm="1">
        <f t="array" aca="1" ref="AB13" ca="1">INDIRECT("O" &amp; 5+AA13*12)</f>
        <v>240126.22540357715</v>
      </c>
    </row>
    <row r="14" spans="2:33" ht="16.8" customHeight="1" x14ac:dyDescent="0.25">
      <c r="L14" s="18">
        <f t="shared" ca="1" si="9"/>
        <v>46487</v>
      </c>
      <c r="M14" s="14">
        <v>9</v>
      </c>
      <c r="N14" s="14">
        <f t="shared" si="2"/>
        <v>13500</v>
      </c>
      <c r="O14" s="19">
        <f t="shared" si="3"/>
        <v>14156.972424665439</v>
      </c>
      <c r="P14" s="19">
        <f t="shared" si="4"/>
        <v>13575.633476047466</v>
      </c>
      <c r="Q14" s="14">
        <f t="shared" si="5"/>
        <v>4500</v>
      </c>
      <c r="R14" s="19">
        <f t="shared" si="6"/>
        <v>4585.9406410758056</v>
      </c>
      <c r="S14" s="19">
        <f t="shared" si="7"/>
        <v>4522.2892318670838</v>
      </c>
      <c r="T14" s="14">
        <f t="shared" si="8"/>
        <v>-1500</v>
      </c>
      <c r="U14" s="18" cm="1">
        <f t="array" aca="1" ref="U14" ca="1">IF(M14&lt;=$N$1,L14,IF(M14&lt;=($N$1+1),INDIRECT("L"&amp;5+$X$2),""))</f>
        <v>46487</v>
      </c>
      <c r="W14" s="15"/>
      <c r="AA14" s="14">
        <v>12</v>
      </c>
      <c r="AB14" s="20" cm="1">
        <f t="array" aca="1" ref="AB14" ca="1">INDIRECT("O" &amp; 5+AA14*12)</f>
        <v>268941.37245200673</v>
      </c>
    </row>
    <row r="15" spans="2:33" ht="15.75" customHeight="1" x14ac:dyDescent="0.25">
      <c r="B15" s="31" t="s">
        <v>4</v>
      </c>
      <c r="C15" s="1">
        <v>6</v>
      </c>
      <c r="D15" s="33"/>
      <c r="E15" s="33"/>
      <c r="L15" s="18">
        <f t="shared" ca="1" si="9"/>
        <v>46517</v>
      </c>
      <c r="M15" s="14">
        <v>10</v>
      </c>
      <c r="N15" s="14">
        <f t="shared" si="2"/>
        <v>15000</v>
      </c>
      <c r="O15" s="19">
        <f t="shared" si="3"/>
        <v>15805.5381939856</v>
      </c>
      <c r="P15" s="19">
        <f t="shared" si="4"/>
        <v>15086.053442384782</v>
      </c>
      <c r="Q15" s="14">
        <f t="shared" si="5"/>
        <v>6000</v>
      </c>
      <c r="R15" s="19">
        <f t="shared" si="6"/>
        <v>6143.6888716311305</v>
      </c>
      <c r="S15" s="19">
        <f t="shared" si="7"/>
        <v>6030.2560822213945</v>
      </c>
      <c r="T15" s="14">
        <f t="shared" si="8"/>
        <v>-1500</v>
      </c>
      <c r="U15" s="18" cm="1">
        <f t="array" aca="1" ref="U15" ca="1">IF(M15&lt;=$N$1,L15,IF(M15&lt;=($N$1+1),INDIRECT("L"&amp;5+$X$2),""))</f>
        <v>46517</v>
      </c>
      <c r="AA15" s="14">
        <v>13</v>
      </c>
      <c r="AB15" s="20" cm="1">
        <f t="array" aca="1" ref="AB15" ca="1">INDIRECT("O" &amp; 5+AA15*12)</f>
        <v>301214.33714624797</v>
      </c>
    </row>
    <row r="16" spans="2:33" s="15" customFormat="1" ht="15.75" customHeight="1" x14ac:dyDescent="0.25">
      <c r="B16" s="31" t="s">
        <v>21</v>
      </c>
      <c r="C16" s="34">
        <f ca="1">IF(OR(SIPFinalAmt="Invalid",C15=0),"",X5)</f>
        <v>6069504.5349973207</v>
      </c>
      <c r="D16" s="32"/>
      <c r="E16" s="32"/>
      <c r="L16" s="18">
        <f t="shared" ca="1" si="9"/>
        <v>46548</v>
      </c>
      <c r="M16" s="14">
        <v>11</v>
      </c>
      <c r="N16" s="14">
        <f t="shared" si="2"/>
        <v>16500</v>
      </c>
      <c r="O16" s="19">
        <f t="shared" si="3"/>
        <v>17469.746862529853</v>
      </c>
      <c r="P16" s="19">
        <f t="shared" si="4"/>
        <v>16597.000256494746</v>
      </c>
      <c r="Q16" s="14">
        <f t="shared" si="5"/>
        <v>7500</v>
      </c>
      <c r="R16" s="19">
        <f t="shared" si="6"/>
        <v>7716.2182525904154</v>
      </c>
      <c r="S16" s="19">
        <f t="shared" si="7"/>
        <v>7538.5475717216941</v>
      </c>
      <c r="T16" s="14">
        <f t="shared" si="8"/>
        <v>-1500</v>
      </c>
      <c r="U16" s="18" cm="1">
        <f t="array" aca="1" ref="U16" ca="1">IF(M16&lt;=$N$1,L16,IF(M16&lt;=($N$1+1),INDIRECT("L"&amp;5+$X$2),""))</f>
        <v>46548</v>
      </c>
      <c r="AA16" s="14">
        <v>14</v>
      </c>
      <c r="AB16" s="20" cm="1">
        <f t="array" aca="1" ref="AB16" ca="1">INDIRECT("O" &amp; 5+AA16*12)</f>
        <v>337360.05760379811</v>
      </c>
      <c r="AC16" s="14"/>
    </row>
    <row r="17" spans="2:32" ht="15.75" customHeight="1" x14ac:dyDescent="0.25">
      <c r="B17" s="32" t="s">
        <v>3</v>
      </c>
      <c r="C17" s="35">
        <f ca="1">IF(OR(SIPFinalAmt="Invalid",C15=0),"",X6)</f>
        <v>353855.2973950645</v>
      </c>
      <c r="D17" s="32"/>
      <c r="E17" s="32"/>
      <c r="L17" s="18">
        <f t="shared" ca="1" si="9"/>
        <v>46578</v>
      </c>
      <c r="M17" s="14">
        <v>12</v>
      </c>
      <c r="N17" s="14">
        <f t="shared" si="2"/>
        <v>18000</v>
      </c>
      <c r="O17" s="19">
        <f t="shared" si="3"/>
        <v>19149.746862529853</v>
      </c>
      <c r="P17" s="19">
        <f t="shared" si="4"/>
        <v>18108.507671423027</v>
      </c>
      <c r="Q17" s="14">
        <f t="shared" si="5"/>
        <v>9000</v>
      </c>
      <c r="R17" s="19">
        <f t="shared" si="6"/>
        <v>9303.6690392291966</v>
      </c>
      <c r="S17" s="19">
        <f t="shared" si="7"/>
        <v>9047.1973687092759</v>
      </c>
      <c r="T17" s="14">
        <f t="shared" si="8"/>
        <v>-1500</v>
      </c>
      <c r="U17" s="18" cm="1">
        <f t="array" aca="1" ref="U17" ca="1">IF(M17&lt;=$N$1,L17,IF(M17&lt;=($N$1+1),INDIRECT("L"&amp;5+$X$2),""))</f>
        <v>46578</v>
      </c>
      <c r="AA17" s="14">
        <v>15</v>
      </c>
      <c r="AB17" s="20" cm="1">
        <f t="array" aca="1" ref="AB17" ca="1">INDIRECT("O" &amp; 5+AA17*12)</f>
        <v>377843.26451625436</v>
      </c>
      <c r="AF17" s="25"/>
    </row>
    <row r="18" spans="2:32" ht="16.2" customHeight="1" x14ac:dyDescent="0.25">
      <c r="C18" s="19"/>
      <c r="K18" s="19"/>
      <c r="L18" s="18">
        <f t="shared" ca="1" si="9"/>
        <v>46609</v>
      </c>
      <c r="M18" s="14">
        <v>13</v>
      </c>
      <c r="N18" s="14">
        <f t="shared" si="2"/>
        <v>19500</v>
      </c>
      <c r="O18" s="19">
        <f t="shared" si="3"/>
        <v>20845.68803465995</v>
      </c>
      <c r="P18" s="19">
        <f t="shared" si="4"/>
        <v>19620.60945697104</v>
      </c>
      <c r="Q18" s="14">
        <f t="shared" si="5"/>
        <v>10500</v>
      </c>
      <c r="R18" s="19">
        <f t="shared" si="6"/>
        <v>10906.182817676219</v>
      </c>
      <c r="S18" s="19">
        <f t="shared" si="7"/>
        <v>10556.23915376032</v>
      </c>
      <c r="T18" s="14">
        <f t="shared" si="8"/>
        <v>-1500</v>
      </c>
      <c r="U18" s="18" cm="1">
        <f t="array" aca="1" ref="U18" ca="1">IF(M18&lt;=$N$1,L18,IF(M18&lt;=($N$1+1),INDIRECT("L"&amp;5+$X$2),""))</f>
        <v>46609</v>
      </c>
      <c r="AA18" s="14">
        <v>16</v>
      </c>
      <c r="AB18" s="20" cm="1">
        <f t="array" aca="1" ref="AB18" ca="1">INDIRECT("O" &amp; 5+AA18*12)</f>
        <v>423184.45625820546</v>
      </c>
      <c r="AF18" s="25"/>
    </row>
    <row r="19" spans="2:32" ht="17.25" customHeight="1" x14ac:dyDescent="0.25">
      <c r="B19" s="29" t="s">
        <v>13</v>
      </c>
      <c r="C19" s="30">
        <f>SIPMonthlyPmt*SIPYears*12</f>
        <v>90000</v>
      </c>
      <c r="D19" s="29"/>
      <c r="E19" s="29"/>
      <c r="L19" s="18">
        <f t="shared" ca="1" si="9"/>
        <v>46640</v>
      </c>
      <c r="M19" s="14">
        <v>14</v>
      </c>
      <c r="N19" s="14">
        <f t="shared" si="2"/>
        <v>21000</v>
      </c>
      <c r="O19" s="19">
        <f t="shared" si="3"/>
        <v>22557.721641401655</v>
      </c>
      <c r="P19" s="19">
        <f t="shared" si="4"/>
        <v>21133.339400450997</v>
      </c>
      <c r="Q19" s="14">
        <f t="shared" si="5"/>
        <v>12000</v>
      </c>
      <c r="R19" s="19">
        <f t="shared" si="6"/>
        <v>12523.902517541717</v>
      </c>
      <c r="S19" s="19">
        <f t="shared" si="7"/>
        <v>12065.706620438426</v>
      </c>
      <c r="T19" s="14">
        <f t="shared" si="8"/>
        <v>-1500</v>
      </c>
      <c r="U19" s="18" cm="1">
        <f t="array" aca="1" ref="U19" ca="1">IF(M19&lt;=$N$1,L19,IF(M19&lt;=($N$1+1),INDIRECT("L"&amp;5+$X$2),""))</f>
        <v>46640</v>
      </c>
      <c r="AA19" s="14">
        <v>17</v>
      </c>
      <c r="AB19" s="20" cm="1">
        <f t="array" aca="1" ref="AB19" ca="1">INDIRECT("O" &amp; 5+AA19*12)</f>
        <v>473966.59100919077</v>
      </c>
    </row>
    <row r="20" spans="2:32" ht="17.25" customHeight="1" x14ac:dyDescent="0.25">
      <c r="B20" s="7" t="s">
        <v>14</v>
      </c>
      <c r="C20" s="8">
        <f>IF(SIPFinalAmt="Invalid","",SIPFinalAmt-C19)</f>
        <v>6333359.8323923852</v>
      </c>
      <c r="D20" s="7"/>
      <c r="E20" s="7"/>
      <c r="L20" s="18">
        <f t="shared" ca="1" si="9"/>
        <v>46670</v>
      </c>
      <c r="M20" s="14">
        <v>15</v>
      </c>
      <c r="N20" s="14">
        <f t="shared" si="2"/>
        <v>22500</v>
      </c>
      <c r="O20" s="19">
        <f t="shared" si="3"/>
        <v>24286.00038053477</v>
      </c>
      <c r="P20" s="19">
        <f t="shared" si="4"/>
        <v>22646.731307441314</v>
      </c>
      <c r="Q20" s="14">
        <f t="shared" si="5"/>
        <v>13500</v>
      </c>
      <c r="R20" s="19">
        <f t="shared" si="6"/>
        <v>14156.972424665439</v>
      </c>
      <c r="S20" s="19">
        <f t="shared" si="7"/>
        <v>13575.633476047466</v>
      </c>
      <c r="T20" s="14">
        <f t="shared" si="8"/>
        <v>-1500</v>
      </c>
      <c r="U20" s="18" cm="1">
        <f t="array" aca="1" ref="U20" ca="1">IF(M20&lt;=$N$1,L20,IF(M20&lt;=($N$1+1),INDIRECT("L"&amp;5+$X$2),""))</f>
        <v>46670</v>
      </c>
      <c r="AA20" s="14">
        <v>18</v>
      </c>
      <c r="AB20" s="20" cm="1">
        <f t="array" aca="1" ref="AB20" ca="1">INDIRECT("O" &amp; 5+AA20*12)</f>
        <v>530842.58193029428</v>
      </c>
      <c r="AF20" s="25"/>
    </row>
    <row r="21" spans="2:32" ht="17.25" customHeight="1" x14ac:dyDescent="0.25">
      <c r="L21" s="18">
        <f t="shared" ca="1" si="9"/>
        <v>46701</v>
      </c>
      <c r="M21" s="14">
        <v>16</v>
      </c>
      <c r="N21" s="14">
        <f t="shared" si="2"/>
        <v>24000</v>
      </c>
      <c r="O21" s="19">
        <f t="shared" si="3"/>
        <v>26030.678398756725</v>
      </c>
      <c r="P21" s="19">
        <f t="shared" si="4"/>
        <v>24160.819002542681</v>
      </c>
      <c r="Q21" s="14">
        <f t="shared" si="5"/>
        <v>15000</v>
      </c>
      <c r="R21" s="19">
        <f t="shared" si="6"/>
        <v>15805.5381939856</v>
      </c>
      <c r="S21" s="19">
        <f t="shared" si="7"/>
        <v>15086.053442384782</v>
      </c>
      <c r="T21" s="14">
        <f t="shared" si="8"/>
        <v>-1500</v>
      </c>
      <c r="U21" s="18" cm="1">
        <f t="array" aca="1" ref="U21" ca="1">IF(M21&lt;=$N$1,L21,IF(M21&lt;=($N$1+1),INDIRECT("L"&amp;5+$X$2),""))</f>
        <v>46701</v>
      </c>
      <c r="AA21" s="14">
        <v>19</v>
      </c>
      <c r="AB21" s="20" cm="1">
        <f t="array" aca="1" ref="AB21" ca="1">INDIRECT("O" &amp; 5+AA21*12)</f>
        <v>594543.69176193036</v>
      </c>
    </row>
    <row r="22" spans="2:32" x14ac:dyDescent="0.25">
      <c r="L22" s="18">
        <f t="shared" ca="1" si="9"/>
        <v>46731</v>
      </c>
      <c r="M22" s="14">
        <v>17</v>
      </c>
      <c r="N22" s="14">
        <f t="shared" si="2"/>
        <v>25500</v>
      </c>
      <c r="O22" s="19">
        <f t="shared" si="3"/>
        <v>27791.911305431124</v>
      </c>
      <c r="P22" s="19">
        <f t="shared" si="4"/>
        <v>25675.636330134654</v>
      </c>
      <c r="Q22" s="14">
        <f t="shared" si="5"/>
        <v>16500</v>
      </c>
      <c r="R22" s="19">
        <f t="shared" si="6"/>
        <v>17469.746862529853</v>
      </c>
      <c r="S22" s="19">
        <f t="shared" si="7"/>
        <v>16597.000256494746</v>
      </c>
      <c r="T22" s="14">
        <f t="shared" si="8"/>
        <v>-1500</v>
      </c>
      <c r="U22" s="18" cm="1">
        <f t="array" aca="1" ref="U22" ca="1">IF(M22&lt;=$N$1,L22,IF(M22&lt;=($N$1+1),INDIRECT("L"&amp;5+$X$2),""))</f>
        <v>46731</v>
      </c>
      <c r="AA22" s="14">
        <v>20</v>
      </c>
      <c r="AB22" s="20" cm="1">
        <f t="array" aca="1" ref="AB22" ca="1">INDIRECT("O" &amp; 5+AA22*12)</f>
        <v>665888.93477336282</v>
      </c>
    </row>
    <row r="23" spans="2:32" ht="12" customHeight="1" x14ac:dyDescent="0.25">
      <c r="B23" s="16" t="s">
        <v>15</v>
      </c>
      <c r="H23" s="17" t="s">
        <v>37</v>
      </c>
      <c r="I23" s="17"/>
      <c r="J23" s="17"/>
      <c r="L23" s="18">
        <f t="shared" ca="1" si="9"/>
        <v>46762</v>
      </c>
      <c r="M23" s="14">
        <v>18</v>
      </c>
      <c r="N23" s="14">
        <f t="shared" si="2"/>
        <v>27000</v>
      </c>
      <c r="O23" s="19">
        <f t="shared" si="3"/>
        <v>29569.856186466535</v>
      </c>
      <c r="P23" s="19">
        <f t="shared" si="4"/>
        <v>27191.217155132577</v>
      </c>
      <c r="Q23" s="14">
        <f t="shared" si="5"/>
        <v>18000</v>
      </c>
      <c r="R23" s="19">
        <f t="shared" si="6"/>
        <v>19149.746862529853</v>
      </c>
      <c r="S23" s="19">
        <f t="shared" si="7"/>
        <v>18108.507671423027</v>
      </c>
      <c r="T23" s="14">
        <f t="shared" si="8"/>
        <v>-1500</v>
      </c>
      <c r="U23" s="18" cm="1">
        <f t="array" aca="1" ref="U23" ca="1">IF(M23&lt;=$N$1,L23,IF(M23&lt;=($N$1+1),INDIRECT("L"&amp;5+$X$2),""))</f>
        <v>46762</v>
      </c>
      <c r="AA23" s="14">
        <v>21</v>
      </c>
      <c r="AB23" s="20" cm="1">
        <f t="array" aca="1" ref="AB23" ca="1">INDIRECT("O" &amp; 5+AA23*12)</f>
        <v>745795.60694616754</v>
      </c>
    </row>
    <row r="24" spans="2:32" x14ac:dyDescent="0.25">
      <c r="L24" s="18">
        <f t="shared" ca="1" si="9"/>
        <v>46793</v>
      </c>
      <c r="M24" s="14">
        <v>19</v>
      </c>
      <c r="N24" s="14">
        <f t="shared" si="2"/>
        <v>28500</v>
      </c>
      <c r="O24" s="19">
        <f t="shared" si="3"/>
        <v>31364.671618327207</v>
      </c>
      <c r="P24" s="19">
        <f t="shared" si="4"/>
        <v>28707.595363745266</v>
      </c>
      <c r="Q24" s="14">
        <f t="shared" si="5"/>
        <v>19500</v>
      </c>
      <c r="R24" s="19">
        <f t="shared" si="6"/>
        <v>20845.68803465995</v>
      </c>
      <c r="S24" s="19">
        <f t="shared" si="7"/>
        <v>19620.60945697104</v>
      </c>
      <c r="T24" s="14">
        <f t="shared" si="8"/>
        <v>-1500</v>
      </c>
      <c r="U24" s="18" cm="1">
        <f t="array" aca="1" ref="U24" ca="1">IF(M24&lt;=$N$1,L24,IF(M24&lt;=($N$1+1),INDIRECT("L"&amp;5+$X$2),""))</f>
        <v>46793</v>
      </c>
      <c r="AA24" s="14">
        <v>22</v>
      </c>
      <c r="AB24" s="20" cm="1">
        <f t="array" aca="1" ref="AB24" ca="1">INDIRECT("O" &amp; 5+AA24*12)</f>
        <v>835291.07977970864</v>
      </c>
    </row>
    <row r="25" spans="2:32" hidden="1" x14ac:dyDescent="0.25">
      <c r="L25" s="18">
        <f t="shared" ca="1" si="9"/>
        <v>46822</v>
      </c>
      <c r="M25" s="14">
        <v>20</v>
      </c>
      <c r="N25" s="14">
        <f t="shared" si="2"/>
        <v>30000</v>
      </c>
      <c r="O25" s="19">
        <f t="shared" si="3"/>
        <v>33176.517682176593</v>
      </c>
      <c r="P25" s="19">
        <f t="shared" si="4"/>
        <v>30224.804864233131</v>
      </c>
      <c r="Q25" s="14">
        <f t="shared" si="5"/>
        <v>21000</v>
      </c>
      <c r="R25" s="19">
        <f t="shared" si="6"/>
        <v>22557.721641401655</v>
      </c>
      <c r="S25" s="19">
        <f t="shared" si="7"/>
        <v>21133.339400450997</v>
      </c>
      <c r="T25" s="14">
        <f t="shared" si="8"/>
        <v>-1500</v>
      </c>
      <c r="U25" s="18" cm="1">
        <f t="array" aca="1" ref="U25" ca="1">IF(M25&lt;=$N$1,L25,IF(M25&lt;=($N$1+1),INDIRECT("L"&amp;5+$X$2),""))</f>
        <v>46822</v>
      </c>
      <c r="AA25" s="14">
        <v>23</v>
      </c>
      <c r="AB25" s="20" cm="1">
        <f t="array" aca="1" ref="AB25" ca="1">INDIRECT("O" &amp; 5+AA25*12)</f>
        <v>935526.00935327471</v>
      </c>
    </row>
    <row r="26" spans="2:32" hidden="1" x14ac:dyDescent="0.25">
      <c r="L26" s="18">
        <f t="shared" ca="1" si="9"/>
        <v>46853</v>
      </c>
      <c r="M26" s="14">
        <v>21</v>
      </c>
      <c r="N26" s="14">
        <f t="shared" si="2"/>
        <v>31500</v>
      </c>
      <c r="O26" s="19">
        <f t="shared" si="3"/>
        <v>35005.555978155186</v>
      </c>
      <c r="P26" s="19">
        <f t="shared" si="4"/>
        <v>31742.879587667023</v>
      </c>
      <c r="Q26" s="14">
        <f t="shared" si="5"/>
        <v>22500</v>
      </c>
      <c r="R26" s="19">
        <f t="shared" si="6"/>
        <v>24286.00038053477</v>
      </c>
      <c r="S26" s="19">
        <f t="shared" si="7"/>
        <v>22646.731307441314</v>
      </c>
      <c r="T26" s="14">
        <f t="shared" si="8"/>
        <v>-1500</v>
      </c>
      <c r="U26" s="18" cm="1">
        <f t="array" aca="1" ref="U26" ca="1">IF(M26&lt;=$N$1,L26,IF(M26&lt;=($N$1+1),INDIRECT("L"&amp;5+$X$2),""))</f>
        <v>46853</v>
      </c>
      <c r="AA26" s="14">
        <v>24</v>
      </c>
      <c r="AB26" s="20" cm="1">
        <f t="array" aca="1" ref="AB26" ca="1">INDIRECT("O" &amp; 5+AA26*12)</f>
        <v>1047789.1304756693</v>
      </c>
    </row>
    <row r="27" spans="2:32" hidden="1" x14ac:dyDescent="0.25">
      <c r="L27" s="18">
        <f t="shared" ca="1" si="9"/>
        <v>46883</v>
      </c>
      <c r="M27" s="14">
        <v>22</v>
      </c>
      <c r="N27" s="14">
        <f t="shared" si="2"/>
        <v>33000</v>
      </c>
      <c r="O27" s="19">
        <f t="shared" si="3"/>
        <v>36851.949639793733</v>
      </c>
      <c r="P27" s="19">
        <f t="shared" si="4"/>
        <v>33261.853488687542</v>
      </c>
      <c r="Q27" s="14">
        <f t="shared" si="5"/>
        <v>24000</v>
      </c>
      <c r="R27" s="19">
        <f t="shared" si="6"/>
        <v>26030.678398756725</v>
      </c>
      <c r="S27" s="19">
        <f t="shared" si="7"/>
        <v>24160.819002542681</v>
      </c>
      <c r="T27" s="14">
        <f t="shared" si="8"/>
        <v>-1500</v>
      </c>
      <c r="U27" s="18" cm="1">
        <f t="array" aca="1" ref="U27" ca="1">IF(M27&lt;=$N$1,L27,IF(M27&lt;=($N$1+1),INDIRECT("L"&amp;5+$X$2),""))</f>
        <v>46883</v>
      </c>
      <c r="AA27" s="14">
        <v>25</v>
      </c>
      <c r="AB27" s="20" cm="1">
        <f t="array" aca="1" ref="AB27" ca="1">INDIRECT("O" &amp; 5+AA27*12)</f>
        <v>1173523.8261327511</v>
      </c>
    </row>
    <row r="28" spans="2:32" hidden="1" x14ac:dyDescent="0.25">
      <c r="L28" s="18">
        <f t="shared" ca="1" si="9"/>
        <v>46914</v>
      </c>
      <c r="M28" s="14">
        <v>23</v>
      </c>
      <c r="N28" s="14">
        <f t="shared" si="2"/>
        <v>34500</v>
      </c>
      <c r="O28" s="19">
        <f t="shared" si="3"/>
        <v>38715.863348563311</v>
      </c>
      <c r="P28" s="19">
        <f t="shared" si="4"/>
        <v>34781.760546265075</v>
      </c>
      <c r="Q28" s="14">
        <f t="shared" si="5"/>
        <v>25500</v>
      </c>
      <c r="R28" s="19">
        <f t="shared" si="6"/>
        <v>27791.911305431124</v>
      </c>
      <c r="S28" s="19">
        <f t="shared" si="7"/>
        <v>25675.636330134654</v>
      </c>
      <c r="T28" s="14">
        <f t="shared" si="8"/>
        <v>-1500</v>
      </c>
      <c r="U28" s="18" cm="1">
        <f t="array" aca="1" ref="U28" ca="1">IF(M28&lt;=$N$1,L28,IF(M28&lt;=($N$1+1),INDIRECT("L"&amp;5+$X$2),""))</f>
        <v>46914</v>
      </c>
      <c r="AA28" s="14">
        <v>26</v>
      </c>
      <c r="AB28" s="20" cm="1">
        <f t="array" aca="1" ref="AB28" ca="1">INDIRECT("O" &amp; 5+AA28*12)</f>
        <v>1314346.6852686829</v>
      </c>
    </row>
    <row r="29" spans="2:32" hidden="1" x14ac:dyDescent="0.25">
      <c r="L29" s="18">
        <f t="shared" ca="1" si="9"/>
        <v>46944</v>
      </c>
      <c r="M29" s="14">
        <v>24</v>
      </c>
      <c r="N29" s="14">
        <f t="shared" si="2"/>
        <v>36000</v>
      </c>
      <c r="O29" s="19">
        <f t="shared" si="3"/>
        <v>40597.463348563295</v>
      </c>
      <c r="P29" s="19">
        <f t="shared" si="4"/>
        <v>36302.634764460345</v>
      </c>
      <c r="Q29" s="14">
        <f t="shared" si="5"/>
        <v>27000</v>
      </c>
      <c r="R29" s="19">
        <f t="shared" si="6"/>
        <v>29569.856186466535</v>
      </c>
      <c r="S29" s="19">
        <f t="shared" si="7"/>
        <v>27191.217155132577</v>
      </c>
      <c r="T29" s="14">
        <f t="shared" si="8"/>
        <v>-1500</v>
      </c>
      <c r="U29" s="18" cm="1">
        <f t="array" aca="1" ref="U29" ca="1">IF(M29&lt;=$N$1,L29,IF(M29&lt;=($N$1+1),INDIRECT("L"&amp;5+$X$2),""))</f>
        <v>46944</v>
      </c>
      <c r="AA29" s="14">
        <v>27</v>
      </c>
      <c r="AB29" s="20" cm="1">
        <f t="array" aca="1" ref="AB29" ca="1">INDIRECT("O" &amp; 5+AA29*12)</f>
        <v>1472068.2875009265</v>
      </c>
    </row>
    <row r="30" spans="2:32" hidden="1" x14ac:dyDescent="0.25">
      <c r="L30" s="18">
        <f t="shared" ca="1" si="9"/>
        <v>46975</v>
      </c>
      <c r="M30" s="14">
        <v>25</v>
      </c>
      <c r="N30" s="14">
        <f t="shared" si="2"/>
        <v>37500</v>
      </c>
      <c r="O30" s="19">
        <f t="shared" si="3"/>
        <v>42496.917461348996</v>
      </c>
      <c r="P30" s="19">
        <f t="shared" si="4"/>
        <v>37824.510173185845</v>
      </c>
      <c r="Q30" s="14">
        <f t="shared" si="5"/>
        <v>28500</v>
      </c>
      <c r="R30" s="19">
        <f t="shared" si="6"/>
        <v>31364.671618327207</v>
      </c>
      <c r="S30" s="19">
        <f t="shared" si="7"/>
        <v>28707.595363745266</v>
      </c>
      <c r="T30" s="14">
        <f t="shared" si="8"/>
        <v>-1500</v>
      </c>
      <c r="U30" s="18" cm="1">
        <f t="array" aca="1" ref="U30" ca="1">IF(M30&lt;=$N$1,L30,IF(M30&lt;=($N$1+1),INDIRECT("L"&amp;5+$X$2),""))</f>
        <v>46975</v>
      </c>
      <c r="AA30" s="14">
        <v>28</v>
      </c>
      <c r="AB30" s="20" cm="1">
        <f t="array" aca="1" ref="AB30" ca="1">INDIRECT("O" &amp; 5+AA30*12)</f>
        <v>1648716.4820010399</v>
      </c>
    </row>
    <row r="31" spans="2:32" hidden="1" x14ac:dyDescent="0.25">
      <c r="L31" s="18">
        <f t="shared" ca="1" si="9"/>
        <v>47006</v>
      </c>
      <c r="M31" s="14">
        <v>26</v>
      </c>
      <c r="N31" s="14">
        <f t="shared" si="2"/>
        <v>39000</v>
      </c>
      <c r="O31" s="19">
        <f t="shared" si="3"/>
        <v>44414.395100899717</v>
      </c>
      <c r="P31" s="19">
        <f t="shared" si="4"/>
        <v>39347.420828967683</v>
      </c>
      <c r="Q31" s="14">
        <f t="shared" si="5"/>
        <v>30000</v>
      </c>
      <c r="R31" s="19">
        <f t="shared" si="6"/>
        <v>33176.517682176593</v>
      </c>
      <c r="S31" s="19">
        <f t="shared" si="7"/>
        <v>30224.804864233131</v>
      </c>
      <c r="T31" s="14">
        <f t="shared" si="8"/>
        <v>-1500</v>
      </c>
      <c r="U31" s="18" cm="1">
        <f t="array" aca="1" ref="U31" ca="1">IF(M31&lt;=$N$1,L31,IF(M31&lt;=($N$1+1),INDIRECT("L"&amp;5+$X$2),""))</f>
        <v>47006</v>
      </c>
      <c r="AA31" s="14">
        <v>29</v>
      </c>
      <c r="AB31" s="20" cm="1">
        <f t="array" aca="1" ref="AB31" ca="1">INDIRECT("O" &amp; 5+AA31*12)</f>
        <v>1846562.4598411673</v>
      </c>
    </row>
    <row r="32" spans="2:32" hidden="1" x14ac:dyDescent="0.25">
      <c r="L32" s="18">
        <f t="shared" ca="1" si="9"/>
        <v>47036</v>
      </c>
      <c r="M32" s="14">
        <v>27</v>
      </c>
      <c r="N32" s="14">
        <f t="shared" si="2"/>
        <v>40500</v>
      </c>
      <c r="O32" s="19">
        <f t="shared" si="3"/>
        <v>46350.067288728824</v>
      </c>
      <c r="P32" s="19">
        <f t="shared" si="4"/>
        <v>40871.400815708177</v>
      </c>
      <c r="Q32" s="14">
        <f t="shared" si="5"/>
        <v>31500</v>
      </c>
      <c r="R32" s="19">
        <f t="shared" si="6"/>
        <v>35005.555978155186</v>
      </c>
      <c r="S32" s="19">
        <f t="shared" si="7"/>
        <v>31742.879587667023</v>
      </c>
      <c r="T32" s="14">
        <f t="shared" si="8"/>
        <v>-1500</v>
      </c>
      <c r="U32" s="18" cm="1">
        <f t="array" aca="1" ref="U32" ca="1">IF(M32&lt;=$N$1,L32,IF(M32&lt;=($N$1+1),INDIRECT("L"&amp;5+$X$2),""))</f>
        <v>47036</v>
      </c>
      <c r="AA32" s="14">
        <v>30</v>
      </c>
      <c r="AB32" s="20" cm="1">
        <f t="array" aca="1" ref="AB32" ca="1">INDIRECT("O" &amp; 5+AA32*12)</f>
        <v>2068149.9550221097</v>
      </c>
    </row>
    <row r="33" spans="12:28" hidden="1" x14ac:dyDescent="0.25">
      <c r="L33" s="18">
        <f t="shared" ca="1" si="9"/>
        <v>47067</v>
      </c>
      <c r="M33" s="14">
        <v>28</v>
      </c>
      <c r="N33" s="14">
        <f t="shared" si="2"/>
        <v>42000</v>
      </c>
      <c r="O33" s="19">
        <f t="shared" si="3"/>
        <v>48304.106669137436</v>
      </c>
      <c r="P33" s="19">
        <f t="shared" si="4"/>
        <v>42396.484245449319</v>
      </c>
      <c r="Q33" s="14">
        <f t="shared" si="5"/>
        <v>33000</v>
      </c>
      <c r="R33" s="19">
        <f t="shared" si="6"/>
        <v>36851.949639793733</v>
      </c>
      <c r="S33" s="19">
        <f t="shared" si="7"/>
        <v>33261.853488687542</v>
      </c>
      <c r="T33" s="14">
        <f t="shared" si="8"/>
        <v>-1500</v>
      </c>
      <c r="U33" s="18" cm="1">
        <f t="array" aca="1" ref="U33" ca="1">IF(M33&lt;=$N$1,L33,IF(M33&lt;=($N$1+1),INDIRECT("L"&amp;5+$X$2),""))</f>
        <v>47067</v>
      </c>
      <c r="AA33" s="14">
        <v>31</v>
      </c>
      <c r="AB33" s="20" cm="1">
        <f t="array" aca="1" ref="AB33" ca="1">INDIRECT("O" &amp; 5+AA33*12)</f>
        <v>2316327.9496247657</v>
      </c>
    </row>
    <row r="34" spans="12:28" hidden="1" x14ac:dyDescent="0.25">
      <c r="L34" s="18">
        <f t="shared" ca="1" si="9"/>
        <v>47097</v>
      </c>
      <c r="M34" s="14">
        <v>29</v>
      </c>
      <c r="N34" s="14">
        <f t="shared" si="2"/>
        <v>43500</v>
      </c>
      <c r="O34" s="19">
        <f t="shared" si="3"/>
        <v>50276.687524612738</v>
      </c>
      <c r="P34" s="19">
        <f t="shared" si="4"/>
        <v>43922.705259136848</v>
      </c>
      <c r="Q34" s="14">
        <f t="shared" si="5"/>
        <v>34500</v>
      </c>
      <c r="R34" s="19">
        <f t="shared" si="6"/>
        <v>38715.863348563311</v>
      </c>
      <c r="S34" s="19">
        <f t="shared" si="7"/>
        <v>34781.760546265075</v>
      </c>
      <c r="T34" s="14">
        <f t="shared" si="8"/>
        <v>-1500</v>
      </c>
      <c r="U34" s="18" cm="1">
        <f t="array" aca="1" ref="U34" ca="1">IF(M34&lt;=$N$1,L34,IF(M34&lt;=($N$1+1),INDIRECT("L"&amp;5+$X$2),""))</f>
        <v>47097</v>
      </c>
      <c r="AA34" s="14">
        <v>32</v>
      </c>
      <c r="AB34" s="20" cm="1">
        <f t="array" aca="1" ref="AB34" ca="1">INDIRECT("O" &amp; 5+AA34*12)</f>
        <v>2594287.3035797412</v>
      </c>
    </row>
    <row r="35" spans="12:28" hidden="1" x14ac:dyDescent="0.25">
      <c r="L35" s="18">
        <f t="shared" ca="1" si="9"/>
        <v>47128</v>
      </c>
      <c r="M35" s="14">
        <v>30</v>
      </c>
      <c r="N35" s="14">
        <f t="shared" si="2"/>
        <v>45000</v>
      </c>
      <c r="O35" s="19">
        <f t="shared" si="3"/>
        <v>52267.985791372441</v>
      </c>
      <c r="P35" s="19">
        <f t="shared" si="4"/>
        <v>45450.098027385095</v>
      </c>
      <c r="Q35" s="14">
        <f t="shared" si="5"/>
        <v>36000</v>
      </c>
      <c r="R35" s="19">
        <f t="shared" si="6"/>
        <v>40597.463348563295</v>
      </c>
      <c r="S35" s="19">
        <f t="shared" si="7"/>
        <v>36302.634764460345</v>
      </c>
      <c r="T35" s="14">
        <f t="shared" si="8"/>
        <v>-1500</v>
      </c>
      <c r="U35" s="18" cm="1">
        <f t="array" aca="1" ref="U35" ca="1">IF(M35&lt;=$N$1,L35,IF(M35&lt;=($N$1+1),INDIRECT("L"&amp;5+$X$2),""))</f>
        <v>47128</v>
      </c>
      <c r="AA35" s="14">
        <v>33</v>
      </c>
      <c r="AB35" s="20" cm="1">
        <f t="array" aca="1" ref="AB35" ca="1">INDIRECT("O" &amp; 5+AA35*12)</f>
        <v>2905601.780009314</v>
      </c>
    </row>
    <row r="36" spans="12:28" hidden="1" x14ac:dyDescent="0.25">
      <c r="L36" s="18">
        <f t="shared" ca="1" si="9"/>
        <v>47159</v>
      </c>
      <c r="M36" s="14">
        <v>31</v>
      </c>
      <c r="N36" s="14">
        <f t="shared" si="2"/>
        <v>46500</v>
      </c>
      <c r="O36" s="19">
        <f t="shared" si="3"/>
        <v>54278.179075056381</v>
      </c>
      <c r="P36" s="19">
        <f t="shared" si="4"/>
        <v>46978.696751242343</v>
      </c>
      <c r="Q36" s="14">
        <f t="shared" si="5"/>
        <v>37500</v>
      </c>
      <c r="R36" s="19">
        <f t="shared" si="6"/>
        <v>42496.917461348996</v>
      </c>
      <c r="S36" s="19">
        <f t="shared" si="7"/>
        <v>37824.510173185845</v>
      </c>
      <c r="T36" s="14">
        <f t="shared" si="8"/>
        <v>-1500</v>
      </c>
      <c r="U36" s="18" cm="1">
        <f t="array" aca="1" ref="U36" ca="1">IF(M36&lt;=$N$1,L36,IF(M36&lt;=($N$1+1),INDIRECT("L"&amp;5+$X$2),""))</f>
        <v>47159</v>
      </c>
      <c r="AA36" s="14">
        <v>34</v>
      </c>
      <c r="AB36" s="20" cm="1">
        <f t="array" aca="1" ref="AB36" ca="1">INDIRECT("O" &amp; 5+AA36*12)</f>
        <v>3254273.9936104356</v>
      </c>
    </row>
    <row r="37" spans="12:28" hidden="1" x14ac:dyDescent="0.25">
      <c r="L37" s="18">
        <f t="shared" ca="1" si="9"/>
        <v>47187</v>
      </c>
      <c r="M37" s="14">
        <v>32</v>
      </c>
      <c r="N37" s="14">
        <f t="shared" si="2"/>
        <v>48000</v>
      </c>
      <c r="O37" s="19">
        <f t="shared" si="3"/>
        <v>56307.446666567696</v>
      </c>
      <c r="P37" s="19">
        <f t="shared" si="4"/>
        <v>48508.535662957496</v>
      </c>
      <c r="Q37" s="14">
        <f t="shared" si="5"/>
        <v>39000</v>
      </c>
      <c r="R37" s="19">
        <f t="shared" si="6"/>
        <v>44414.395100899717</v>
      </c>
      <c r="S37" s="19">
        <f t="shared" si="7"/>
        <v>39347.420828967683</v>
      </c>
      <c r="T37" s="14">
        <f t="shared" si="8"/>
        <v>-1500</v>
      </c>
      <c r="U37" s="18" cm="1">
        <f t="array" aca="1" ref="U37" ca="1">IF(M37&lt;=$N$1,L37,IF(M37&lt;=($N$1+1),INDIRECT("L"&amp;5+$X$2),""))</f>
        <v>47187</v>
      </c>
      <c r="AA37" s="14">
        <v>35</v>
      </c>
      <c r="AB37" s="20" cm="1">
        <f t="array" aca="1" ref="AB37" ca="1">INDIRECT("O" &amp; 5+AA37*12)</f>
        <v>3644786.872843693</v>
      </c>
    </row>
    <row r="38" spans="12:28" hidden="1" x14ac:dyDescent="0.25">
      <c r="L38" s="18">
        <f t="shared" ca="1" si="9"/>
        <v>47218</v>
      </c>
      <c r="M38" s="14">
        <v>33</v>
      </c>
      <c r="N38" s="14">
        <f t="shared" si="2"/>
        <v>49500</v>
      </c>
      <c r="O38" s="19">
        <f t="shared" si="3"/>
        <v>58355.969558063684</v>
      </c>
      <c r="P38" s="19">
        <f t="shared" si="4"/>
        <v>50039.649026746934</v>
      </c>
      <c r="Q38" s="14">
        <f t="shared" si="5"/>
        <v>40500</v>
      </c>
      <c r="R38" s="19">
        <f t="shared" si="6"/>
        <v>46350.067288728824</v>
      </c>
      <c r="S38" s="19">
        <f t="shared" si="7"/>
        <v>40871.400815708177</v>
      </c>
      <c r="T38" s="14">
        <f t="shared" si="8"/>
        <v>-1500</v>
      </c>
      <c r="U38" s="18" cm="1">
        <f t="array" aca="1" ref="U38" ca="1">IF(M38&lt;=$N$1,L38,IF(M38&lt;=($N$1+1),INDIRECT("L"&amp;5+$X$2),""))</f>
        <v>47218</v>
      </c>
      <c r="AA38" s="14">
        <v>36</v>
      </c>
      <c r="AB38" s="20" cm="1">
        <f t="array" aca="1" ref="AB38" ca="1">INDIRECT("O" &amp; 5+AA38*12)</f>
        <v>4082161.2975849407</v>
      </c>
    </row>
    <row r="39" spans="12:28" hidden="1" x14ac:dyDescent="0.25">
      <c r="L39" s="18">
        <f t="shared" ca="1" si="9"/>
        <v>47248</v>
      </c>
      <c r="M39" s="14">
        <v>34</v>
      </c>
      <c r="N39" s="14">
        <f t="shared" si="2"/>
        <v>51000</v>
      </c>
      <c r="O39" s="19">
        <f t="shared" si="3"/>
        <v>60423.930459098905</v>
      </c>
      <c r="P39" s="19">
        <f t="shared" si="4"/>
        <v>51572.071139562795</v>
      </c>
      <c r="Q39" s="14">
        <f t="shared" si="5"/>
        <v>42000</v>
      </c>
      <c r="R39" s="19">
        <f t="shared" si="6"/>
        <v>48304.106669137436</v>
      </c>
      <c r="S39" s="19">
        <f t="shared" si="7"/>
        <v>42396.484245449319</v>
      </c>
      <c r="T39" s="14">
        <f t="shared" si="8"/>
        <v>-1500</v>
      </c>
      <c r="U39" s="18" cm="1">
        <f t="array" aca="1" ref="U39" ca="1">IF(M39&lt;=$N$1,L39,IF(M39&lt;=($N$1+1),INDIRECT("L"&amp;5+$X$2),""))</f>
        <v>47248</v>
      </c>
      <c r="AA39" s="14">
        <v>37</v>
      </c>
      <c r="AB39" s="20" cm="1">
        <f t="array" aca="1" ref="AB39" ca="1">INDIRECT("O" &amp; 5+AA39*12)</f>
        <v>4572020.6532951407</v>
      </c>
    </row>
    <row r="40" spans="12:28" hidden="1" x14ac:dyDescent="0.25">
      <c r="L40" s="18">
        <f t="shared" ca="1" si="9"/>
        <v>47279</v>
      </c>
      <c r="M40" s="14">
        <v>35</v>
      </c>
      <c r="N40" s="14">
        <f t="shared" si="2"/>
        <v>52500</v>
      </c>
      <c r="O40" s="19">
        <f t="shared" si="3"/>
        <v>62511.513812920828</v>
      </c>
      <c r="P40" s="19">
        <f t="shared" si="4"/>
        <v>53105.836331861326</v>
      </c>
      <c r="Q40" s="14">
        <f t="shared" si="5"/>
        <v>43500</v>
      </c>
      <c r="R40" s="19">
        <f t="shared" si="6"/>
        <v>50276.687524612738</v>
      </c>
      <c r="S40" s="19">
        <f t="shared" si="7"/>
        <v>43922.705259136848</v>
      </c>
      <c r="T40" s="14">
        <f t="shared" si="8"/>
        <v>-1500</v>
      </c>
      <c r="U40" s="18" cm="1">
        <f t="array" aca="1" ref="U40" ca="1">IF(M40&lt;=$N$1,L40,IF(M40&lt;=($N$1+1),INDIRECT("L"&amp;5+$X$2),""))</f>
        <v>47279</v>
      </c>
      <c r="AA40" s="14">
        <v>38</v>
      </c>
      <c r="AB40" s="20" cm="1">
        <f t="array" aca="1" ref="AB40" ca="1">INDIRECT("O" &amp; 5+AA40*12)</f>
        <v>5120663.1316905636</v>
      </c>
    </row>
    <row r="41" spans="12:28" hidden="1" x14ac:dyDescent="0.25">
      <c r="L41" s="18">
        <f t="shared" ca="1" si="9"/>
        <v>47309</v>
      </c>
      <c r="M41" s="14">
        <v>36</v>
      </c>
      <c r="N41" s="14">
        <f t="shared" si="2"/>
        <v>54000</v>
      </c>
      <c r="O41" s="19">
        <f t="shared" si="3"/>
        <v>64618.90581292085</v>
      </c>
      <c r="P41" s="19">
        <f t="shared" si="4"/>
        <v>54640.978968372889</v>
      </c>
      <c r="Q41" s="14">
        <f t="shared" si="5"/>
        <v>45000</v>
      </c>
      <c r="R41" s="19">
        <f t="shared" si="6"/>
        <v>52267.985791372441</v>
      </c>
      <c r="S41" s="19">
        <f t="shared" si="7"/>
        <v>45450.098027385095</v>
      </c>
      <c r="T41" s="14">
        <f t="shared" si="8"/>
        <v>-1500</v>
      </c>
      <c r="U41" s="18" cm="1">
        <f t="array" aca="1" ref="U41" ca="1">IF(M41&lt;=$N$1,L41,IF(M41&lt;=($N$1+1),INDIRECT("L"&amp;5+$X$2),""))</f>
        <v>47309</v>
      </c>
      <c r="AA41" s="14">
        <v>39</v>
      </c>
      <c r="AB41" s="20" cm="1">
        <f t="array" aca="1" ref="AB41" ca="1">INDIRECT("O" &amp; 5+AA41*12)</f>
        <v>5735142.7074934375</v>
      </c>
    </row>
    <row r="42" spans="12:28" hidden="1" x14ac:dyDescent="0.25">
      <c r="L42" s="18">
        <f t="shared" ca="1" si="9"/>
        <v>47340</v>
      </c>
      <c r="M42" s="14">
        <v>37</v>
      </c>
      <c r="N42" s="14">
        <f t="shared" si="2"/>
        <v>55500</v>
      </c>
      <c r="O42" s="19">
        <f t="shared" si="3"/>
        <v>66746.294419240832</v>
      </c>
      <c r="P42" s="19">
        <f t="shared" si="4"/>
        <v>56177.533448872229</v>
      </c>
      <c r="Q42" s="14">
        <f t="shared" si="5"/>
        <v>46500</v>
      </c>
      <c r="R42" s="19">
        <f t="shared" si="6"/>
        <v>54278.179075056381</v>
      </c>
      <c r="S42" s="19">
        <f t="shared" si="7"/>
        <v>46978.696751242343</v>
      </c>
      <c r="T42" s="14">
        <f t="shared" si="8"/>
        <v>-1500</v>
      </c>
      <c r="U42" s="18" cm="1">
        <f t="array" aca="1" ref="U42" ca="1">IF(M42&lt;=$N$1,L42,IF(M42&lt;=($N$1+1),INDIRECT("L"&amp;5+$X$2),""))</f>
        <v>47340</v>
      </c>
      <c r="AA42" s="14">
        <v>40</v>
      </c>
      <c r="AB42" s="20" cm="1">
        <f t="array" aca="1" ref="AB42" ca="1">INDIRECT("O" &amp; 5+AA42*12)</f>
        <v>6423359.83239266</v>
      </c>
    </row>
    <row r="43" spans="12:28" hidden="1" x14ac:dyDescent="0.25">
      <c r="L43" s="18">
        <f t="shared" ca="1" si="9"/>
        <v>47371</v>
      </c>
      <c r="M43" s="14">
        <v>38</v>
      </c>
      <c r="N43" s="14">
        <f t="shared" si="2"/>
        <v>57000</v>
      </c>
      <c r="O43" s="19">
        <f t="shared" si="3"/>
        <v>68893.86937553763</v>
      </c>
      <c r="P43" s="19">
        <f t="shared" si="4"/>
        <v>57715.534208950012</v>
      </c>
      <c r="Q43" s="14">
        <f t="shared" si="5"/>
        <v>48000</v>
      </c>
      <c r="R43" s="19">
        <f t="shared" si="6"/>
        <v>56307.446666567696</v>
      </c>
      <c r="S43" s="19">
        <f t="shared" si="7"/>
        <v>48508.535662957496</v>
      </c>
      <c r="T43" s="14">
        <f t="shared" si="8"/>
        <v>-1500</v>
      </c>
      <c r="U43" s="18" cm="1">
        <f t="array" aca="1" ref="U43" ca="1">IF(M43&lt;=$N$1,L43,IF(M43&lt;=($N$1+1),INDIRECT("L"&amp;5+$X$2),""))</f>
        <v>47371</v>
      </c>
      <c r="AA43" s="14">
        <v>41</v>
      </c>
      <c r="AB43" s="20" cm="1">
        <f t="array" aca="1" ref="AB43" ca="1">INDIRECT("O" &amp; 5+AA43*12)</f>
        <v>0</v>
      </c>
    </row>
    <row r="44" spans="12:28" hidden="1" x14ac:dyDescent="0.25">
      <c r="L44" s="18">
        <f t="shared" ca="1" si="9"/>
        <v>47401</v>
      </c>
      <c r="M44" s="14">
        <v>39</v>
      </c>
      <c r="N44" s="14">
        <f t="shared" si="2"/>
        <v>58500</v>
      </c>
      <c r="O44" s="19">
        <f t="shared" si="3"/>
        <v>71061.822225906217</v>
      </c>
      <c r="P44" s="19">
        <f t="shared" si="4"/>
        <v>59255.015720784846</v>
      </c>
      <c r="Q44" s="14">
        <f t="shared" si="5"/>
        <v>49500</v>
      </c>
      <c r="R44" s="19">
        <f t="shared" si="6"/>
        <v>58355.969558063684</v>
      </c>
      <c r="S44" s="19">
        <f t="shared" si="7"/>
        <v>50039.649026746934</v>
      </c>
      <c r="T44" s="14">
        <f t="shared" si="8"/>
        <v>-1500</v>
      </c>
      <c r="U44" s="18" cm="1">
        <f t="array" aca="1" ref="U44" ca="1">IF(M44&lt;=$N$1,L44,IF(M44&lt;=($N$1+1),INDIRECT("L"&amp;5+$X$2),""))</f>
        <v>47401</v>
      </c>
      <c r="AA44" s="14">
        <v>42</v>
      </c>
      <c r="AB44" s="20" cm="1">
        <f t="array" aca="1" ref="AB44" ca="1">INDIRECT("O" &amp; 5+AA44*12)</f>
        <v>0</v>
      </c>
    </row>
    <row r="45" spans="12:28" hidden="1" x14ac:dyDescent="0.25">
      <c r="L45" s="18">
        <f t="shared" ca="1" si="9"/>
        <v>47432</v>
      </c>
      <c r="M45" s="14">
        <v>40</v>
      </c>
      <c r="N45" s="14">
        <f t="shared" si="2"/>
        <v>60000</v>
      </c>
      <c r="O45" s="19">
        <f t="shared" si="3"/>
        <v>73250.346331963854</v>
      </c>
      <c r="P45" s="19">
        <f t="shared" si="4"/>
        <v>60796.01249391662</v>
      </c>
      <c r="Q45" s="14">
        <f t="shared" si="5"/>
        <v>51000</v>
      </c>
      <c r="R45" s="19">
        <f t="shared" si="6"/>
        <v>60423.930459098905</v>
      </c>
      <c r="S45" s="19">
        <f t="shared" si="7"/>
        <v>51572.071139562795</v>
      </c>
      <c r="T45" s="14">
        <f t="shared" si="8"/>
        <v>-1500</v>
      </c>
      <c r="U45" s="18" cm="1">
        <f t="array" aca="1" ref="U45" ca="1">IF(M45&lt;=$N$1,L45,IF(M45&lt;=($N$1+1),INDIRECT("L"&amp;5+$X$2),""))</f>
        <v>47432</v>
      </c>
      <c r="AA45" s="14">
        <v>43</v>
      </c>
      <c r="AB45" s="20" cm="1">
        <f t="array" aca="1" ref="AB45" ca="1">INDIRECT("O" &amp; 5+AA45*12)</f>
        <v>0</v>
      </c>
    </row>
    <row r="46" spans="12:28" hidden="1" x14ac:dyDescent="0.25">
      <c r="L46" s="18">
        <f t="shared" ca="1" si="9"/>
        <v>47462</v>
      </c>
      <c r="M46" s="14">
        <v>41</v>
      </c>
      <c r="N46" s="14">
        <f t="shared" si="2"/>
        <v>61500</v>
      </c>
      <c r="O46" s="19">
        <f t="shared" si="3"/>
        <v>75459.636890096197</v>
      </c>
      <c r="P46" s="19">
        <f t="shared" si="4"/>
        <v>62338.559076020647</v>
      </c>
      <c r="Q46" s="14">
        <f t="shared" si="5"/>
        <v>52500</v>
      </c>
      <c r="R46" s="19">
        <f t="shared" si="6"/>
        <v>62511.513812920828</v>
      </c>
      <c r="S46" s="19">
        <f t="shared" si="7"/>
        <v>53105.836331861326</v>
      </c>
      <c r="T46" s="14">
        <f t="shared" si="8"/>
        <v>-1500</v>
      </c>
      <c r="U46" s="18" cm="1">
        <f t="array" aca="1" ref="U46" ca="1">IF(M46&lt;=$N$1,L46,IF(M46&lt;=($N$1+1),INDIRECT("L"&amp;5+$X$2),""))</f>
        <v>47462</v>
      </c>
      <c r="AA46" s="14">
        <v>44</v>
      </c>
      <c r="AB46" s="20" cm="1">
        <f t="array" aca="1" ref="AB46" ca="1">INDIRECT("O" &amp; 5+AA46*12)</f>
        <v>0</v>
      </c>
    </row>
    <row r="47" spans="12:28" hidden="1" x14ac:dyDescent="0.25">
      <c r="L47" s="18">
        <f t="shared" ca="1" si="9"/>
        <v>47493</v>
      </c>
      <c r="M47" s="14">
        <v>42</v>
      </c>
      <c r="N47" s="14">
        <f t="shared" si="2"/>
        <v>63000</v>
      </c>
      <c r="O47" s="19">
        <f t="shared" si="3"/>
        <v>77689.890948867062</v>
      </c>
      <c r="P47" s="19">
        <f t="shared" si="4"/>
        <v>63882.690053682651</v>
      </c>
      <c r="Q47" s="14">
        <f t="shared" si="5"/>
        <v>54000</v>
      </c>
      <c r="R47" s="19">
        <f t="shared" si="6"/>
        <v>64618.90581292085</v>
      </c>
      <c r="S47" s="19">
        <f t="shared" si="7"/>
        <v>54640.978968372889</v>
      </c>
      <c r="T47" s="14">
        <f t="shared" si="8"/>
        <v>-1500</v>
      </c>
      <c r="U47" s="18" cm="1">
        <f t="array" aca="1" ref="U47" ca="1">IF(M47&lt;=$N$1,L47,IF(M47&lt;=($N$1+1),INDIRECT("L"&amp;5+$X$2),""))</f>
        <v>47493</v>
      </c>
      <c r="AA47" s="14">
        <v>45</v>
      </c>
      <c r="AB47" s="20" cm="1">
        <f t="array" aca="1" ref="AB47" ca="1">INDIRECT("O" &amp; 5+AA47*12)</f>
        <v>0</v>
      </c>
    </row>
    <row r="48" spans="12:28" hidden="1" x14ac:dyDescent="0.25">
      <c r="L48" s="18">
        <f t="shared" ca="1" si="9"/>
        <v>47524</v>
      </c>
      <c r="M48" s="14">
        <v>43</v>
      </c>
      <c r="N48" s="14">
        <f t="shared" si="2"/>
        <v>64500</v>
      </c>
      <c r="O48" s="19">
        <f t="shared" si="3"/>
        <v>79941.307426593092</v>
      </c>
      <c r="P48" s="19">
        <f t="shared" si="4"/>
        <v>65428.440053174643</v>
      </c>
      <c r="Q48" s="14">
        <f t="shared" si="5"/>
        <v>55500</v>
      </c>
      <c r="R48" s="19">
        <f t="shared" si="6"/>
        <v>66746.294419240832</v>
      </c>
      <c r="S48" s="19">
        <f t="shared" si="7"/>
        <v>56177.533448872229</v>
      </c>
      <c r="T48" s="14">
        <f t="shared" si="8"/>
        <v>-1500</v>
      </c>
      <c r="U48" s="18" cm="1">
        <f t="array" aca="1" ref="U48" ca="1">IF(M48&lt;=$N$1,L48,IF(M48&lt;=($N$1+1),INDIRECT("L"&amp;5+$X$2),""))</f>
        <v>47524</v>
      </c>
      <c r="AA48" s="14">
        <v>46</v>
      </c>
      <c r="AB48" s="20" cm="1">
        <f t="array" aca="1" ref="AB48" ca="1">INDIRECT("O" &amp; 5+AA48*12)</f>
        <v>0</v>
      </c>
    </row>
    <row r="49" spans="12:28" hidden="1" x14ac:dyDescent="0.25">
      <c r="L49" s="18">
        <f t="shared" ca="1" si="9"/>
        <v>47552</v>
      </c>
      <c r="M49" s="14">
        <v>44</v>
      </c>
      <c r="N49" s="14">
        <f t="shared" si="2"/>
        <v>66000</v>
      </c>
      <c r="O49" s="19">
        <f t="shared" si="3"/>
        <v>82214.087129085761</v>
      </c>
      <c r="P49" s="19">
        <f t="shared" si="4"/>
        <v>66975.843741232165</v>
      </c>
      <c r="Q49" s="14">
        <f t="shared" si="5"/>
        <v>57000</v>
      </c>
      <c r="R49" s="19">
        <f t="shared" si="6"/>
        <v>68893.86937553763</v>
      </c>
      <c r="S49" s="19">
        <f t="shared" si="7"/>
        <v>57715.534208950012</v>
      </c>
      <c r="T49" s="14">
        <f t="shared" si="8"/>
        <v>-1500</v>
      </c>
      <c r="U49" s="18" cm="1">
        <f t="array" aca="1" ref="U49" ca="1">IF(M49&lt;=$N$1,L49,IF(M49&lt;=($N$1+1),INDIRECT("L"&amp;5+$X$2),""))</f>
        <v>47552</v>
      </c>
      <c r="AA49" s="14">
        <v>47</v>
      </c>
      <c r="AB49" s="20" cm="1">
        <f t="array" aca="1" ref="AB49" ca="1">INDIRECT("O" &amp; 5+AA49*12)</f>
        <v>0</v>
      </c>
    </row>
    <row r="50" spans="12:28" hidden="1" x14ac:dyDescent="0.25">
      <c r="L50" s="18">
        <f t="shared" ca="1" si="9"/>
        <v>47583</v>
      </c>
      <c r="M50" s="14">
        <v>45</v>
      </c>
      <c r="N50" s="14">
        <f t="shared" si="2"/>
        <v>67500</v>
      </c>
      <c r="O50" s="19">
        <f t="shared" si="3"/>
        <v>84508.432767561273</v>
      </c>
      <c r="P50" s="19">
        <f t="shared" si="4"/>
        <v>68524.935825832101</v>
      </c>
      <c r="Q50" s="14">
        <f t="shared" si="5"/>
        <v>58500</v>
      </c>
      <c r="R50" s="19">
        <f t="shared" si="6"/>
        <v>71061.822225906217</v>
      </c>
      <c r="S50" s="19">
        <f t="shared" si="7"/>
        <v>59255.015720784846</v>
      </c>
      <c r="T50" s="14">
        <f t="shared" si="8"/>
        <v>-1500</v>
      </c>
      <c r="U50" s="18" cm="1">
        <f t="array" aca="1" ref="U50" ca="1">IF(M50&lt;=$N$1,L50,IF(M50&lt;=($N$1+1),INDIRECT("L"&amp;5+$X$2),""))</f>
        <v>47583</v>
      </c>
      <c r="AA50" s="14">
        <v>48</v>
      </c>
      <c r="AB50" s="20" cm="1">
        <f t="array" aca="1" ref="AB50" ca="1">INDIRECT("O" &amp; 5+AA50*12)</f>
        <v>0</v>
      </c>
    </row>
    <row r="51" spans="12:28" hidden="1" x14ac:dyDescent="0.25">
      <c r="L51" s="18">
        <f t="shared" ca="1" si="9"/>
        <v>47613</v>
      </c>
      <c r="M51" s="14">
        <v>46</v>
      </c>
      <c r="N51" s="14">
        <f t="shared" si="2"/>
        <v>69000</v>
      </c>
      <c r="O51" s="19">
        <f t="shared" si="3"/>
        <v>86824.548976720718</v>
      </c>
      <c r="P51" s="19">
        <f t="shared" si="4"/>
        <v>70075.751056971916</v>
      </c>
      <c r="Q51" s="14">
        <f t="shared" si="5"/>
        <v>60000</v>
      </c>
      <c r="R51" s="19">
        <f t="shared" si="6"/>
        <v>73250.346331963854</v>
      </c>
      <c r="S51" s="19">
        <f t="shared" si="7"/>
        <v>60796.01249391662</v>
      </c>
      <c r="T51" s="14">
        <f t="shared" si="8"/>
        <v>-1500</v>
      </c>
      <c r="U51" s="18" cm="1">
        <f t="array" aca="1" ref="U51" ca="1">IF(M51&lt;=$N$1,L51,IF(M51&lt;=($N$1+1),INDIRECT("L"&amp;5+$X$2),""))</f>
        <v>47613</v>
      </c>
      <c r="AA51" s="14">
        <v>49</v>
      </c>
      <c r="AB51" s="20" cm="1">
        <f t="array" aca="1" ref="AB51" ca="1">INDIRECT("O" &amp; 5+AA51*12)</f>
        <v>0</v>
      </c>
    </row>
    <row r="52" spans="12:28" hidden="1" x14ac:dyDescent="0.25">
      <c r="L52" s="18">
        <f t="shared" ca="1" si="9"/>
        <v>47644</v>
      </c>
      <c r="M52" s="14">
        <v>47</v>
      </c>
      <c r="N52" s="14">
        <f t="shared" si="2"/>
        <v>70500</v>
      </c>
      <c r="O52" s="19">
        <f t="shared" si="3"/>
        <v>89162.642333001291</v>
      </c>
      <c r="P52" s="19">
        <f t="shared" si="4"/>
        <v>71628.324227449382</v>
      </c>
      <c r="Q52" s="14">
        <f t="shared" si="5"/>
        <v>61500</v>
      </c>
      <c r="R52" s="19">
        <f t="shared" si="6"/>
        <v>75459.636890096197</v>
      </c>
      <c r="S52" s="19">
        <f t="shared" si="7"/>
        <v>62338.559076020647</v>
      </c>
      <c r="T52" s="14">
        <f t="shared" si="8"/>
        <v>-1500</v>
      </c>
      <c r="U52" s="18" cm="1">
        <f t="array" aca="1" ref="U52" ca="1">IF(M52&lt;=$N$1,L52,IF(M52&lt;=($N$1+1),INDIRECT("L"&amp;5+$X$2),""))</f>
        <v>47644</v>
      </c>
      <c r="AA52" s="14">
        <v>50</v>
      </c>
      <c r="AB52" s="20" cm="1">
        <f t="array" aca="1" ref="AB52" ca="1">INDIRECT("O" &amp; 5+AA52*12)</f>
        <v>0</v>
      </c>
    </row>
    <row r="53" spans="12:28" hidden="1" x14ac:dyDescent="0.25">
      <c r="L53" s="18">
        <f t="shared" ca="1" si="9"/>
        <v>47674</v>
      </c>
      <c r="M53" s="14">
        <v>48</v>
      </c>
      <c r="N53" s="14">
        <f t="shared" si="2"/>
        <v>72000</v>
      </c>
      <c r="O53" s="19">
        <f t="shared" si="3"/>
        <v>91522.921373001285</v>
      </c>
      <c r="P53" s="19">
        <f t="shared" si="4"/>
        <v>73182.690173643903</v>
      </c>
      <c r="Q53" s="14">
        <f t="shared" si="5"/>
        <v>63000</v>
      </c>
      <c r="R53" s="19">
        <f t="shared" si="6"/>
        <v>77689.890948867062</v>
      </c>
      <c r="S53" s="19">
        <f t="shared" si="7"/>
        <v>63882.690053682651</v>
      </c>
      <c r="T53" s="14">
        <f t="shared" si="8"/>
        <v>-1500</v>
      </c>
      <c r="U53" s="18" cm="1">
        <f t="array" aca="1" ref="U53" ca="1">IF(M53&lt;=$N$1,L53,IF(M53&lt;=($N$1+1),INDIRECT("L"&amp;5+$X$2),""))</f>
        <v>47674</v>
      </c>
      <c r="AA53" s="14">
        <v>51</v>
      </c>
      <c r="AB53" s="20" cm="1">
        <f t="array" aca="1" ref="AB53" ca="1">INDIRECT("O" &amp; 5+AA53*12)</f>
        <v>0</v>
      </c>
    </row>
    <row r="54" spans="12:28" hidden="1" x14ac:dyDescent="0.25">
      <c r="L54" s="18">
        <f t="shared" ca="1" si="9"/>
        <v>47705</v>
      </c>
      <c r="M54" s="14">
        <v>49</v>
      </c>
      <c r="N54" s="14">
        <f t="shared" si="2"/>
        <v>73500</v>
      </c>
      <c r="O54" s="19">
        <f t="shared" si="3"/>
        <v>93905.59661207968</v>
      </c>
      <c r="P54" s="19">
        <f t="shared" si="4"/>
        <v>74738.883776298753</v>
      </c>
      <c r="Q54" s="14">
        <f t="shared" si="5"/>
        <v>64500</v>
      </c>
      <c r="R54" s="19">
        <f t="shared" si="6"/>
        <v>79941.307426593092</v>
      </c>
      <c r="S54" s="19">
        <f t="shared" si="7"/>
        <v>65428.440053174643</v>
      </c>
      <c r="T54" s="14">
        <f t="shared" si="8"/>
        <v>-1500</v>
      </c>
      <c r="U54" s="18" cm="1">
        <f t="array" aca="1" ref="U54" ca="1">IF(M54&lt;=$N$1,L54,IF(M54&lt;=($N$1+1),INDIRECT("L"&amp;5+$X$2),""))</f>
        <v>47705</v>
      </c>
      <c r="AA54" s="14">
        <v>52</v>
      </c>
      <c r="AB54" s="20" cm="1">
        <f t="array" aca="1" ref="AB54" ca="1">INDIRECT("O" &amp; 5+AA54*12)</f>
        <v>0</v>
      </c>
    </row>
    <row r="55" spans="12:28" hidden="1" x14ac:dyDescent="0.25">
      <c r="L55" s="18">
        <f t="shared" ca="1" si="9"/>
        <v>47736</v>
      </c>
      <c r="M55" s="14">
        <v>50</v>
      </c>
      <c r="N55" s="14">
        <f t="shared" si="2"/>
        <v>75000</v>
      </c>
      <c r="O55" s="19">
        <f t="shared" si="3"/>
        <v>96310.880563132087</v>
      </c>
      <c r="P55" s="19">
        <f t="shared" si="4"/>
        <v>76296.939961304175</v>
      </c>
      <c r="Q55" s="14">
        <f t="shared" si="5"/>
        <v>66000</v>
      </c>
      <c r="R55" s="19">
        <f t="shared" si="6"/>
        <v>82214.087129085761</v>
      </c>
      <c r="S55" s="19">
        <f t="shared" si="7"/>
        <v>66975.843741232165</v>
      </c>
      <c r="T55" s="14">
        <f t="shared" si="8"/>
        <v>-1500</v>
      </c>
      <c r="U55" s="18" cm="1">
        <f t="array" aca="1" ref="U55" ca="1">IF(M55&lt;=$N$1,L55,IF(M55&lt;=($N$1+1),INDIRECT("L"&amp;5+$X$2),""))</f>
        <v>47736</v>
      </c>
      <c r="AA55" s="14">
        <v>53</v>
      </c>
      <c r="AB55" s="20" cm="1">
        <f t="array" aca="1" ref="AB55" ca="1">INDIRECT("O" &amp; 5+AA55*12)</f>
        <v>0</v>
      </c>
    </row>
    <row r="56" spans="12:28" hidden="1" x14ac:dyDescent="0.25">
      <c r="L56" s="18">
        <f t="shared" ca="1" si="9"/>
        <v>47766</v>
      </c>
      <c r="M56" s="14">
        <v>51</v>
      </c>
      <c r="N56" s="14">
        <f t="shared" si="2"/>
        <v>76500</v>
      </c>
      <c r="O56" s="19">
        <f t="shared" si="3"/>
        <v>98738.987755544891</v>
      </c>
      <c r="P56" s="19">
        <f t="shared" si="4"/>
        <v>77856.893700481742</v>
      </c>
      <c r="Q56" s="14">
        <f t="shared" si="5"/>
        <v>67500</v>
      </c>
      <c r="R56" s="19">
        <f t="shared" si="6"/>
        <v>84508.432767561273</v>
      </c>
      <c r="S56" s="19">
        <f t="shared" si="7"/>
        <v>68524.935825832101</v>
      </c>
      <c r="T56" s="14">
        <f t="shared" si="8"/>
        <v>-1500</v>
      </c>
      <c r="U56" s="18" cm="1">
        <f t="array" aca="1" ref="U56" ca="1">IF(M56&lt;=$N$1,L56,IF(M56&lt;=($N$1+1),INDIRECT("L"&amp;5+$X$2),""))</f>
        <v>47766</v>
      </c>
      <c r="AA56" s="14">
        <v>54</v>
      </c>
      <c r="AB56" s="20" cm="1">
        <f t="array" aca="1" ref="AB56" ca="1">INDIRECT("O" &amp; 5+AA56*12)</f>
        <v>0</v>
      </c>
    </row>
    <row r="57" spans="12:28" hidden="1" x14ac:dyDescent="0.25">
      <c r="L57" s="18">
        <f t="shared" ca="1" si="9"/>
        <v>47797</v>
      </c>
      <c r="M57" s="14">
        <v>52</v>
      </c>
      <c r="N57" s="14">
        <f t="shared" si="2"/>
        <v>78000</v>
      </c>
      <c r="O57" s="19">
        <f t="shared" si="3"/>
        <v>101190.13475432945</v>
      </c>
      <c r="P57" s="19">
        <f t="shared" si="4"/>
        <v>79418.78001237</v>
      </c>
      <c r="Q57" s="14">
        <f t="shared" si="5"/>
        <v>69000</v>
      </c>
      <c r="R57" s="19">
        <f t="shared" si="6"/>
        <v>86824.548976720718</v>
      </c>
      <c r="S57" s="19">
        <f t="shared" si="7"/>
        <v>70075.751056971916</v>
      </c>
      <c r="T57" s="14">
        <f t="shared" si="8"/>
        <v>-1500</v>
      </c>
      <c r="U57" s="18" cm="1">
        <f t="array" aca="1" ref="U57" ca="1">IF(M57&lt;=$N$1,L57,IF(M57&lt;=($N$1+1),INDIRECT("L"&amp;5+$X$2),""))</f>
        <v>47797</v>
      </c>
      <c r="AA57" s="14">
        <v>55</v>
      </c>
      <c r="AB57" s="20" cm="1">
        <f t="array" aca="1" ref="AB57" ca="1">INDIRECT("O" &amp; 5+AA57*12)</f>
        <v>0</v>
      </c>
    </row>
    <row r="58" spans="12:28" hidden="1" x14ac:dyDescent="0.25">
      <c r="L58" s="18">
        <f t="shared" ca="1" si="9"/>
        <v>47827</v>
      </c>
      <c r="M58" s="14">
        <v>53</v>
      </c>
      <c r="N58" s="14">
        <f t="shared" si="2"/>
        <v>79500</v>
      </c>
      <c r="O58" s="19">
        <f t="shared" si="3"/>
        <v>103664.54017943772</v>
      </c>
      <c r="P58" s="19">
        <f t="shared" si="4"/>
        <v>80982.633963011001</v>
      </c>
      <c r="Q58" s="14">
        <f t="shared" si="5"/>
        <v>70500</v>
      </c>
      <c r="R58" s="19">
        <f t="shared" si="6"/>
        <v>89162.642333001291</v>
      </c>
      <c r="S58" s="19">
        <f t="shared" si="7"/>
        <v>71628.324227449382</v>
      </c>
      <c r="T58" s="14">
        <f t="shared" si="8"/>
        <v>-1500</v>
      </c>
      <c r="U58" s="18" cm="1">
        <f t="array" aca="1" ref="U58" ca="1">IF(M58&lt;=$N$1,L58,IF(M58&lt;=($N$1+1),INDIRECT("L"&amp;5+$X$2),""))</f>
        <v>47827</v>
      </c>
      <c r="AA58" s="14">
        <v>56</v>
      </c>
      <c r="AB58" s="20" cm="1">
        <f t="array" aca="1" ref="AB58" ca="1">INDIRECT("O" &amp; 5+AA58*12)</f>
        <v>0</v>
      </c>
    </row>
    <row r="59" spans="12:28" hidden="1" x14ac:dyDescent="0.25">
      <c r="L59" s="18">
        <f t="shared" ca="1" si="9"/>
        <v>47858</v>
      </c>
      <c r="M59" s="14">
        <v>54</v>
      </c>
      <c r="N59" s="14">
        <f t="shared" si="2"/>
        <v>81000</v>
      </c>
      <c r="O59" s="19">
        <f t="shared" si="3"/>
        <v>106162.42472526108</v>
      </c>
      <c r="P59" s="19">
        <f t="shared" si="4"/>
        <v>82548.490666738086</v>
      </c>
      <c r="Q59" s="14">
        <f t="shared" si="5"/>
        <v>72000</v>
      </c>
      <c r="R59" s="19">
        <f t="shared" si="6"/>
        <v>91522.921373001285</v>
      </c>
      <c r="S59" s="19">
        <f t="shared" si="7"/>
        <v>73182.690173643903</v>
      </c>
      <c r="T59" s="14">
        <f t="shared" si="8"/>
        <v>-1500</v>
      </c>
      <c r="U59" s="18" cm="1">
        <f t="array" aca="1" ref="U59" ca="1">IF(M59&lt;=$N$1,L59,IF(M59&lt;=($N$1+1),INDIRECT("L"&amp;5+$X$2),""))</f>
        <v>47858</v>
      </c>
      <c r="AA59" s="14">
        <v>57</v>
      </c>
      <c r="AB59" s="20" cm="1">
        <f t="array" aca="1" ref="AB59" ca="1">INDIRECT("O" &amp; 5+AA59*12)</f>
        <v>0</v>
      </c>
    </row>
    <row r="60" spans="12:28" hidden="1" x14ac:dyDescent="0.25">
      <c r="L60" s="18">
        <f t="shared" ca="1" si="9"/>
        <v>47889</v>
      </c>
      <c r="M60" s="14">
        <v>55</v>
      </c>
      <c r="N60" s="14">
        <f t="shared" si="2"/>
        <v>82500</v>
      </c>
      <c r="O60" s="19">
        <f t="shared" si="3"/>
        <v>108684.01118031426</v>
      </c>
      <c r="P60" s="19">
        <f t="shared" si="4"/>
        <v>84116.385286964884</v>
      </c>
      <c r="Q60" s="14">
        <f t="shared" si="5"/>
        <v>73500</v>
      </c>
      <c r="R60" s="19">
        <f t="shared" si="6"/>
        <v>93905.59661207968</v>
      </c>
      <c r="S60" s="19">
        <f t="shared" si="7"/>
        <v>74738.883776298753</v>
      </c>
      <c r="T60" s="14">
        <f t="shared" si="8"/>
        <v>-1500</v>
      </c>
      <c r="U60" s="18" cm="1">
        <f t="array" aca="1" ref="U60" ca="1">IF(M60&lt;=$N$1,L60,IF(M60&lt;=($N$1+1),INDIRECT("L"&amp;5+$X$2),""))</f>
        <v>47889</v>
      </c>
      <c r="AA60" s="14">
        <v>58</v>
      </c>
      <c r="AB60" s="20" cm="1">
        <f t="array" aca="1" ref="AB60" ca="1">INDIRECT("O" &amp; 5+AA60*12)</f>
        <v>0</v>
      </c>
    </row>
    <row r="61" spans="12:28" hidden="1" x14ac:dyDescent="0.25">
      <c r="L61" s="18">
        <f t="shared" ca="1" si="9"/>
        <v>47917</v>
      </c>
      <c r="M61" s="14">
        <v>56</v>
      </c>
      <c r="N61" s="14">
        <f t="shared" si="2"/>
        <v>84000</v>
      </c>
      <c r="O61" s="19">
        <f t="shared" si="3"/>
        <v>111229.52444710599</v>
      </c>
      <c r="P61" s="19">
        <f t="shared" si="4"/>
        <v>85686.353036975328</v>
      </c>
      <c r="Q61" s="14">
        <f t="shared" si="5"/>
        <v>75000</v>
      </c>
      <c r="R61" s="19">
        <f t="shared" si="6"/>
        <v>96310.880563132087</v>
      </c>
      <c r="S61" s="19">
        <f t="shared" si="7"/>
        <v>76296.939961304175</v>
      </c>
      <c r="T61" s="14">
        <f t="shared" si="8"/>
        <v>-1500</v>
      </c>
      <c r="U61" s="18" cm="1">
        <f t="array" aca="1" ref="U61" ca="1">IF(M61&lt;=$N$1,L61,IF(M61&lt;=($N$1+1),INDIRECT("L"&amp;5+$X$2),""))</f>
        <v>47917</v>
      </c>
      <c r="AA61" s="14">
        <v>59</v>
      </c>
      <c r="AB61" s="20" cm="1">
        <f t="array" aca="1" ref="AB61" ca="1">INDIRECT("O" &amp; 5+AA61*12)</f>
        <v>0</v>
      </c>
    </row>
    <row r="62" spans="12:28" hidden="1" x14ac:dyDescent="0.25">
      <c r="L62" s="18">
        <f t="shared" ca="1" si="9"/>
        <v>47948</v>
      </c>
      <c r="M62" s="14">
        <v>57</v>
      </c>
      <c r="N62" s="14">
        <f t="shared" si="2"/>
        <v>85500</v>
      </c>
      <c r="O62" s="19">
        <f t="shared" si="3"/>
        <v>113799.1915621986</v>
      </c>
      <c r="P62" s="19">
        <f t="shared" si="4"/>
        <v>87258.429180715437</v>
      </c>
      <c r="Q62" s="14">
        <f t="shared" si="5"/>
        <v>76500</v>
      </c>
      <c r="R62" s="19">
        <f t="shared" si="6"/>
        <v>98738.987755544891</v>
      </c>
      <c r="S62" s="19">
        <f t="shared" si="7"/>
        <v>77856.893700481742</v>
      </c>
      <c r="T62" s="14">
        <f t="shared" si="8"/>
        <v>-1500</v>
      </c>
      <c r="U62" s="18" cm="1">
        <f t="array" aca="1" ref="U62" ca="1">IF(M62&lt;=$N$1,L62,IF(M62&lt;=($N$1+1),INDIRECT("L"&amp;5+$X$2),""))</f>
        <v>47948</v>
      </c>
      <c r="AA62" s="14">
        <v>60</v>
      </c>
      <c r="AB62" s="20" cm="1">
        <f t="array" aca="1" ref="AB62" ca="1">INDIRECT("O" &amp; 5+AA62*12)</f>
        <v>0</v>
      </c>
    </row>
    <row r="63" spans="12:28" hidden="1" x14ac:dyDescent="0.25">
      <c r="L63" s="18">
        <f t="shared" ca="1" si="9"/>
        <v>47978</v>
      </c>
      <c r="M63" s="14">
        <v>58</v>
      </c>
      <c r="N63" s="14">
        <f t="shared" si="2"/>
        <v>87000</v>
      </c>
      <c r="O63" s="19">
        <f t="shared" si="3"/>
        <v>116393.24171645715</v>
      </c>
      <c r="P63" s="19">
        <f t="shared" si="4"/>
        <v>88832.649033585403</v>
      </c>
      <c r="Q63" s="14">
        <f t="shared" si="5"/>
        <v>78000</v>
      </c>
      <c r="R63" s="19">
        <f t="shared" si="6"/>
        <v>101190.13475432945</v>
      </c>
      <c r="S63" s="19">
        <f t="shared" si="7"/>
        <v>79418.78001237</v>
      </c>
      <c r="T63" s="14">
        <f t="shared" si="8"/>
        <v>-1500</v>
      </c>
      <c r="U63" s="18" cm="1">
        <f t="array" aca="1" ref="U63" ca="1">IF(M63&lt;=$N$1,L63,IF(M63&lt;=($N$1+1),INDIRECT("L"&amp;5+$X$2),""))</f>
        <v>47978</v>
      </c>
      <c r="AA63" s="14">
        <v>61</v>
      </c>
      <c r="AB63" s="20" cm="1">
        <f t="array" aca="1" ref="AB63" ca="1">INDIRECT("O" &amp; 5+AA63*12)</f>
        <v>0</v>
      </c>
    </row>
    <row r="64" spans="12:28" hidden="1" x14ac:dyDescent="0.25">
      <c r="L64" s="18">
        <f t="shared" ca="1" si="9"/>
        <v>48009</v>
      </c>
      <c r="M64" s="14">
        <v>59</v>
      </c>
      <c r="N64" s="14">
        <f t="shared" si="2"/>
        <v>88500</v>
      </c>
      <c r="O64" s="19">
        <f t="shared" si="3"/>
        <v>119011.9062754914</v>
      </c>
      <c r="P64" s="19">
        <f t="shared" si="4"/>
        <v>90409.047963233752</v>
      </c>
      <c r="Q64" s="14">
        <f t="shared" si="5"/>
        <v>79500</v>
      </c>
      <c r="R64" s="19">
        <f t="shared" si="6"/>
        <v>103664.54017943772</v>
      </c>
      <c r="S64" s="19">
        <f t="shared" si="7"/>
        <v>80982.633963011001</v>
      </c>
      <c r="T64" s="14">
        <f t="shared" si="8"/>
        <v>-1500</v>
      </c>
      <c r="U64" s="18" cm="1">
        <f t="array" aca="1" ref="U64" ca="1">IF(M64&lt;=$N$1,L64,IF(M64&lt;=($N$1+1),INDIRECT("L"&amp;5+$X$2),""))</f>
        <v>48009</v>
      </c>
      <c r="AA64" s="14">
        <v>62</v>
      </c>
      <c r="AB64" s="20" cm="1">
        <f t="array" aca="1" ref="AB64" ca="1">INDIRECT("O" &amp; 5+AA64*12)</f>
        <v>0</v>
      </c>
    </row>
    <row r="65" spans="12:28" hidden="1" x14ac:dyDescent="0.25">
      <c r="L65" s="18">
        <f t="shared" ca="1" si="9"/>
        <v>48039</v>
      </c>
      <c r="M65" s="14">
        <v>60</v>
      </c>
      <c r="N65" s="14">
        <f t="shared" si="2"/>
        <v>90000</v>
      </c>
      <c r="O65" s="19">
        <f t="shared" si="3"/>
        <v>121655.41880029142</v>
      </c>
      <c r="P65" s="19">
        <f t="shared" si="4"/>
        <v>91987.661390352296</v>
      </c>
      <c r="Q65" s="14">
        <f t="shared" si="5"/>
        <v>81000</v>
      </c>
      <c r="R65" s="19">
        <f t="shared" si="6"/>
        <v>106162.42472526108</v>
      </c>
      <c r="S65" s="19">
        <f t="shared" si="7"/>
        <v>82548.490666738086</v>
      </c>
      <c r="T65" s="14">
        <f t="shared" si="8"/>
        <v>-1500</v>
      </c>
      <c r="U65" s="18" cm="1">
        <f t="array" aca="1" ref="U65" ca="1">IF(M65&lt;=$N$1,L65,IF(M65&lt;=($N$1+1),INDIRECT("L"&amp;5+$X$2),""))</f>
        <v>48039</v>
      </c>
      <c r="AA65" s="14">
        <v>63</v>
      </c>
      <c r="AB65" s="20" cm="1">
        <f t="array" aca="1" ref="AB65" ca="1">INDIRECT("O" &amp; 5+AA65*12)</f>
        <v>0</v>
      </c>
    </row>
    <row r="66" spans="12:28" hidden="1" x14ac:dyDescent="0.25">
      <c r="L66" s="18">
        <f t="shared" ca="1" si="9"/>
        <v>48070</v>
      </c>
      <c r="M66" s="14">
        <v>61</v>
      </c>
      <c r="N66" s="14">
        <f t="shared" si="2"/>
        <v>0</v>
      </c>
      <c r="O66" s="19">
        <f t="shared" si="3"/>
        <v>122809.78187865736</v>
      </c>
      <c r="P66" s="19">
        <f t="shared" si="4"/>
        <v>92428.88523035757</v>
      </c>
      <c r="Q66" s="14">
        <f t="shared" si="5"/>
        <v>82500</v>
      </c>
      <c r="R66" s="19">
        <f t="shared" si="6"/>
        <v>108684.01118031426</v>
      </c>
      <c r="S66" s="19">
        <f t="shared" si="7"/>
        <v>84116.385286964884</v>
      </c>
      <c r="T66" s="14">
        <f t="shared" si="8"/>
        <v>6423359.8323923852</v>
      </c>
      <c r="U66" s="18" cm="1">
        <f t="array" aca="1" ref="U66" ca="1">IF(M66&lt;=$N$1,L66,IF(M66&lt;=($N$1+1),INDIRECT("L"&amp;5+$X$2),""))</f>
        <v>60823</v>
      </c>
      <c r="AA66" s="14">
        <v>64</v>
      </c>
      <c r="AB66" s="20" cm="1">
        <f t="array" aca="1" ref="AB66" ca="1">INDIRECT("O" &amp; 5+AA66*12)</f>
        <v>0</v>
      </c>
    </row>
    <row r="67" spans="12:28" hidden="1" x14ac:dyDescent="0.25">
      <c r="L67" s="18">
        <f t="shared" ca="1" si="9"/>
        <v>48101</v>
      </c>
      <c r="M67" s="14">
        <v>62</v>
      </c>
      <c r="N67" s="14">
        <f t="shared" si="2"/>
        <v>0</v>
      </c>
      <c r="O67" s="19">
        <f t="shared" si="3"/>
        <v>123975.09846924526</v>
      </c>
      <c r="P67" s="19">
        <f t="shared" si="4"/>
        <v>92872.22542460043</v>
      </c>
      <c r="Q67" s="14">
        <f t="shared" si="5"/>
        <v>84000</v>
      </c>
      <c r="R67" s="19">
        <f t="shared" si="6"/>
        <v>111229.52444710599</v>
      </c>
      <c r="S67" s="19">
        <f t="shared" si="7"/>
        <v>85686.353036975328</v>
      </c>
      <c r="T67" s="14">
        <f t="shared" si="8"/>
        <v>0</v>
      </c>
      <c r="U67" s="18" t="str" cm="1">
        <f t="array" aca="1" ref="U67" ca="1">IF(M67&lt;=$N$1,L67,IF(M67&lt;=($N$1+1),INDIRECT("L"&amp;5+$X$2),""))</f>
        <v/>
      </c>
      <c r="AA67" s="14">
        <v>65</v>
      </c>
      <c r="AB67" s="20" cm="1">
        <f t="array" aca="1" ref="AB67" ca="1">INDIRECT("O" &amp; 5+AA67*12)</f>
        <v>0</v>
      </c>
    </row>
    <row r="68" spans="12:28" hidden="1" x14ac:dyDescent="0.25">
      <c r="L68" s="18">
        <f t="shared" ca="1" si="9"/>
        <v>48131</v>
      </c>
      <c r="M68" s="14">
        <v>63</v>
      </c>
      <c r="N68" s="14">
        <f t="shared" si="2"/>
        <v>0</v>
      </c>
      <c r="O68" s="19">
        <f t="shared" si="3"/>
        <v>125151.47250766448</v>
      </c>
      <c r="P68" s="19">
        <f t="shared" si="4"/>
        <v>93317.692124289504</v>
      </c>
      <c r="Q68" s="14">
        <f t="shared" si="5"/>
        <v>85500</v>
      </c>
      <c r="R68" s="19">
        <f t="shared" si="6"/>
        <v>113799.1915621986</v>
      </c>
      <c r="S68" s="19">
        <f t="shared" si="7"/>
        <v>87258.429180715437</v>
      </c>
      <c r="T68" s="14">
        <f t="shared" si="8"/>
        <v>0</v>
      </c>
      <c r="U68" s="18" t="str" cm="1">
        <f t="array" aca="1" ref="U68" ca="1">IF(M68&lt;=$N$1,L68,IF(M68&lt;=($N$1+1),INDIRECT("L"&amp;5+$X$2),""))</f>
        <v/>
      </c>
      <c r="AA68" s="14">
        <v>66</v>
      </c>
      <c r="AB68" s="20" cm="1">
        <f t="array" aca="1" ref="AB68" ca="1">INDIRECT("O" &amp; 5+AA68*12)</f>
        <v>0</v>
      </c>
    </row>
    <row r="69" spans="12:28" hidden="1" x14ac:dyDescent="0.25">
      <c r="L69" s="18">
        <f t="shared" ca="1" si="9"/>
        <v>48162</v>
      </c>
      <c r="M69" s="14">
        <v>64</v>
      </c>
      <c r="N69" s="14">
        <f t="shared" si="2"/>
        <v>0</v>
      </c>
      <c r="O69" s="19">
        <f t="shared" si="3"/>
        <v>126339.00891574787</v>
      </c>
      <c r="P69" s="19">
        <f t="shared" si="4"/>
        <v>93765.295529324285</v>
      </c>
      <c r="Q69" s="14">
        <f t="shared" si="5"/>
        <v>87000</v>
      </c>
      <c r="R69" s="19">
        <f t="shared" si="6"/>
        <v>116393.24171645715</v>
      </c>
      <c r="S69" s="19">
        <f t="shared" si="7"/>
        <v>88832.649033585403</v>
      </c>
      <c r="T69" s="14">
        <f t="shared" si="8"/>
        <v>0</v>
      </c>
      <c r="U69" s="18" t="str" cm="1">
        <f t="array" aca="1" ref="U69" ca="1">IF(M69&lt;=$N$1,L69,IF(M69&lt;=($N$1+1),INDIRECT("L"&amp;5+$X$2),""))</f>
        <v/>
      </c>
      <c r="AA69" s="14">
        <v>67</v>
      </c>
      <c r="AB69" s="20" cm="1">
        <f t="array" aca="1" ref="AB69" ca="1">INDIRECT("O" &amp; 5+AA69*12)</f>
        <v>0</v>
      </c>
    </row>
    <row r="70" spans="12:28" hidden="1" x14ac:dyDescent="0.25">
      <c r="L70" s="18">
        <f t="shared" ca="1" si="9"/>
        <v>48192</v>
      </c>
      <c r="M70" s="14">
        <v>65</v>
      </c>
      <c r="N70" s="14">
        <f t="shared" ref="N70:N133" si="10">IF($N$1&gt;=M70,SIPMonthlyPmt*M70,0)</f>
        <v>0</v>
      </c>
      <c r="O70" s="19">
        <f t="shared" ref="O70:O133" si="11">IF($X$2&gt;=M70,IF(M70&lt;=$N$1,FV(SRate,M70,-SIPMonthlyPmt,0,1),FV(SRate,M70-$N$1,0,-$X$1,1)),0)</f>
        <v>127537.81361090984</v>
      </c>
      <c r="P70" s="19">
        <f t="shared" ref="P70:P133" si="12">O70/((1+SIPInflationRate)^(M70/12))</f>
        <v>94215.045888528621</v>
      </c>
      <c r="Q70" s="14">
        <f t="shared" ref="Q70:Q133" si="13">IF((M70-$C$15)&gt;0, IF($N$1+$C$15&gt;=M70,SIPMonthlyPmt*(M70-$C$15),0),0)</f>
        <v>88500</v>
      </c>
      <c r="R70" s="19">
        <f t="shared" ref="R70:R133" si="14">IF(M70&lt;=$C$15,0,IF($X$2&gt;=M70,IF(M70&lt;=($N$1+$C$15),FV(SRate,M70-$C$15,-SIPMonthlyPmt,0,1),FV(SRate,M70-$N$1-$C$15,0,-$X$1,1)),0))</f>
        <v>119011.9062754914</v>
      </c>
      <c r="S70" s="19">
        <f t="shared" ref="S70:S133" si="15">R70/((1+SIPInflationRate)^((M70-$C$15)/12))</f>
        <v>90409.047963233752</v>
      </c>
      <c r="T70" s="14">
        <f t="shared" ref="T70:T133" si="16">IF(M70&lt;=$N$1,-SIPMonthlyPmt,IF(M70&lt;=($N$1+1),$X$4,0))</f>
        <v>0</v>
      </c>
      <c r="U70" s="18" t="str" cm="1">
        <f t="array" aca="1" ref="U70" ca="1">IF(M70&lt;=$N$1,L70,IF(M70&lt;=($N$1+1),INDIRECT("L"&amp;5+$X$2),""))</f>
        <v/>
      </c>
      <c r="AA70" s="14">
        <v>68</v>
      </c>
      <c r="AB70" s="20" cm="1">
        <f t="array" aca="1" ref="AB70" ca="1">INDIRECT("O" &amp; 5+AA70*12)</f>
        <v>0</v>
      </c>
    </row>
    <row r="71" spans="12:28" hidden="1" x14ac:dyDescent="0.25">
      <c r="L71" s="18">
        <f t="shared" ca="1" si="9"/>
        <v>48223</v>
      </c>
      <c r="M71" s="14">
        <v>66</v>
      </c>
      <c r="N71" s="14">
        <f t="shared" si="10"/>
        <v>0</v>
      </c>
      <c r="O71" s="19">
        <f t="shared" si="11"/>
        <v>128747.99351559323</v>
      </c>
      <c r="P71" s="19">
        <f t="shared" si="12"/>
        <v>94666.953499885392</v>
      </c>
      <c r="Q71" s="14">
        <f t="shared" si="13"/>
        <v>90000</v>
      </c>
      <c r="R71" s="19">
        <f t="shared" si="14"/>
        <v>121655.41880029142</v>
      </c>
      <c r="S71" s="19">
        <f t="shared" si="15"/>
        <v>91987.661390352296</v>
      </c>
      <c r="T71" s="14">
        <f t="shared" si="16"/>
        <v>0</v>
      </c>
      <c r="U71" s="18" t="str" cm="1">
        <f t="array" aca="1" ref="U71" ca="1">IF(M71&lt;=$N$1,L71,IF(M71&lt;=($N$1+1),INDIRECT("L"&amp;5+$X$2),""))</f>
        <v/>
      </c>
      <c r="AA71" s="14">
        <v>69</v>
      </c>
      <c r="AB71" s="20" cm="1">
        <f t="array" aca="1" ref="AB71" ca="1">INDIRECT("O" &amp; 5+AA71*12)</f>
        <v>0</v>
      </c>
    </row>
    <row r="72" spans="12:28" hidden="1" x14ac:dyDescent="0.25">
      <c r="L72" s="18">
        <f t="shared" ca="1" si="9"/>
        <v>48254</v>
      </c>
      <c r="M72" s="14">
        <v>67</v>
      </c>
      <c r="N72" s="14">
        <f t="shared" si="10"/>
        <v>0</v>
      </c>
      <c r="O72" s="19">
        <f t="shared" si="11"/>
        <v>129969.65656680574</v>
      </c>
      <c r="P72" s="19">
        <f t="shared" si="12"/>
        <v>95121.028710772327</v>
      </c>
      <c r="Q72" s="14">
        <f t="shared" si="13"/>
        <v>0</v>
      </c>
      <c r="R72" s="19">
        <f t="shared" si="14"/>
        <v>122809.78187865736</v>
      </c>
      <c r="S72" s="19">
        <f t="shared" si="15"/>
        <v>92428.88523035757</v>
      </c>
      <c r="T72" s="14">
        <f t="shared" si="16"/>
        <v>0</v>
      </c>
      <c r="U72" s="18" t="str" cm="1">
        <f t="array" aca="1" ref="U72" ca="1">IF(M72&lt;=$N$1,L72,IF(M72&lt;=($N$1+1),INDIRECT("L"&amp;5+$X$2),""))</f>
        <v/>
      </c>
      <c r="AA72" s="14">
        <v>70</v>
      </c>
      <c r="AB72" s="20" cm="1">
        <f t="array" aca="1" ref="AB72" ca="1">INDIRECT("O" &amp; 5+AA72*12)</f>
        <v>0</v>
      </c>
    </row>
    <row r="73" spans="12:28" hidden="1" x14ac:dyDescent="0.25">
      <c r="L73" s="18">
        <f t="shared" ref="L73:L136" ca="1" si="17">EDATE(L72,1)</f>
        <v>48283</v>
      </c>
      <c r="M73" s="14">
        <v>68</v>
      </c>
      <c r="N73" s="14">
        <f t="shared" si="10"/>
        <v>0</v>
      </c>
      <c r="O73" s="19">
        <f t="shared" si="11"/>
        <v>131202.91172574702</v>
      </c>
      <c r="P73" s="19">
        <f t="shared" si="12"/>
        <v>95577.281918198889</v>
      </c>
      <c r="Q73" s="14">
        <f t="shared" si="13"/>
        <v>0</v>
      </c>
      <c r="R73" s="19">
        <f t="shared" si="14"/>
        <v>123975.09846924526</v>
      </c>
      <c r="S73" s="19">
        <f t="shared" si="15"/>
        <v>92872.22542460043</v>
      </c>
      <c r="T73" s="14">
        <f t="shared" si="16"/>
        <v>0</v>
      </c>
      <c r="U73" s="18" t="str" cm="1">
        <f t="array" aca="1" ref="U73" ca="1">IF(M73&lt;=$N$1,L73,IF(M73&lt;=($N$1+1),INDIRECT("L"&amp;5+$X$2),""))</f>
        <v/>
      </c>
    </row>
    <row r="74" spans="12:28" hidden="1" x14ac:dyDescent="0.25">
      <c r="L74" s="18">
        <f t="shared" ca="1" si="17"/>
        <v>48314</v>
      </c>
      <c r="M74" s="14">
        <v>69</v>
      </c>
      <c r="N74" s="14">
        <f t="shared" si="10"/>
        <v>0</v>
      </c>
      <c r="O74" s="19">
        <f t="shared" si="11"/>
        <v>132447.86898752701</v>
      </c>
      <c r="P74" s="19">
        <f t="shared" si="12"/>
        <v>96035.723569044421</v>
      </c>
      <c r="Q74" s="14">
        <f t="shared" si="13"/>
        <v>0</v>
      </c>
      <c r="R74" s="19">
        <f t="shared" si="14"/>
        <v>125151.47250766448</v>
      </c>
      <c r="S74" s="19">
        <f t="shared" si="15"/>
        <v>93317.692124289504</v>
      </c>
      <c r="T74" s="14">
        <f t="shared" si="16"/>
        <v>0</v>
      </c>
      <c r="U74" s="18" t="str" cm="1">
        <f t="array" aca="1" ref="U74" ca="1">IF(M74&lt;=$N$1,L74,IF(M74&lt;=($N$1+1),INDIRECT("L"&amp;5+$X$2),""))</f>
        <v/>
      </c>
    </row>
    <row r="75" spans="12:28" hidden="1" x14ac:dyDescent="0.25">
      <c r="L75" s="18">
        <f t="shared" ca="1" si="17"/>
        <v>48344</v>
      </c>
      <c r="M75" s="14">
        <v>70</v>
      </c>
      <c r="N75" s="14">
        <f t="shared" si="10"/>
        <v>0</v>
      </c>
      <c r="O75" s="19">
        <f t="shared" si="11"/>
        <v>133704.63939097646</v>
      </c>
      <c r="P75" s="19">
        <f t="shared" si="12"/>
        <v>96496.364160297278</v>
      </c>
      <c r="Q75" s="14">
        <f t="shared" si="13"/>
        <v>0</v>
      </c>
      <c r="R75" s="19">
        <f t="shared" si="14"/>
        <v>126339.00891574787</v>
      </c>
      <c r="S75" s="19">
        <f t="shared" si="15"/>
        <v>93765.295529324285</v>
      </c>
      <c r="T75" s="14">
        <f t="shared" si="16"/>
        <v>0</v>
      </c>
      <c r="U75" s="18" t="str" cm="1">
        <f t="array" aca="1" ref="U75" ca="1">IF(M75&lt;=$N$1,L75,IF(M75&lt;=($N$1+1),INDIRECT("L"&amp;5+$X$2),""))</f>
        <v/>
      </c>
    </row>
    <row r="76" spans="12:28" hidden="1" x14ac:dyDescent="0.25">
      <c r="L76" s="18">
        <f t="shared" ca="1" si="17"/>
        <v>48375</v>
      </c>
      <c r="M76" s="14">
        <v>71</v>
      </c>
      <c r="N76" s="14">
        <f t="shared" si="10"/>
        <v>0</v>
      </c>
      <c r="O76" s="19">
        <f t="shared" si="11"/>
        <v>134973.33502855053</v>
      </c>
      <c r="P76" s="19">
        <f t="shared" si="12"/>
        <v>96959.214239295135</v>
      </c>
      <c r="Q76" s="14">
        <f t="shared" si="13"/>
        <v>0</v>
      </c>
      <c r="R76" s="19">
        <f t="shared" si="14"/>
        <v>127537.81361090984</v>
      </c>
      <c r="S76" s="19">
        <f t="shared" si="15"/>
        <v>94215.045888528621</v>
      </c>
      <c r="T76" s="14">
        <f t="shared" si="16"/>
        <v>0</v>
      </c>
      <c r="U76" s="18" t="str" cm="1">
        <f t="array" aca="1" ref="U76" ca="1">IF(M76&lt;=$N$1,L76,IF(M76&lt;=($N$1+1),INDIRECT("L"&amp;5+$X$2),""))</f>
        <v/>
      </c>
    </row>
    <row r="77" spans="12:28" hidden="1" x14ac:dyDescent="0.25">
      <c r="L77" s="18">
        <f t="shared" ca="1" si="17"/>
        <v>48405</v>
      </c>
      <c r="M77" s="14">
        <v>72</v>
      </c>
      <c r="N77" s="14">
        <f t="shared" si="10"/>
        <v>0</v>
      </c>
      <c r="O77" s="19">
        <f t="shared" si="11"/>
        <v>136254.06905632655</v>
      </c>
      <c r="P77" s="19">
        <f t="shared" si="12"/>
        <v>97424.284403966594</v>
      </c>
      <c r="Q77" s="14">
        <f t="shared" si="13"/>
        <v>0</v>
      </c>
      <c r="R77" s="19">
        <f t="shared" si="14"/>
        <v>128747.99351559323</v>
      </c>
      <c r="S77" s="19">
        <f t="shared" si="15"/>
        <v>94666.953499885392</v>
      </c>
      <c r="T77" s="14">
        <f t="shared" si="16"/>
        <v>0</v>
      </c>
      <c r="U77" s="18" t="str" cm="1">
        <f t="array" aca="1" ref="U77" ca="1">IF(M77&lt;=$N$1,L77,IF(M77&lt;=($N$1+1),INDIRECT("L"&amp;5+$X$2),""))</f>
        <v/>
      </c>
    </row>
    <row r="78" spans="12:28" hidden="1" x14ac:dyDescent="0.25">
      <c r="L78" s="18">
        <f t="shared" ca="1" si="17"/>
        <v>48436</v>
      </c>
      <c r="M78" s="14">
        <v>73</v>
      </c>
      <c r="N78" s="14">
        <f t="shared" si="10"/>
        <v>0</v>
      </c>
      <c r="O78" s="19">
        <f t="shared" si="11"/>
        <v>137546.95570409641</v>
      </c>
      <c r="P78" s="19">
        <f t="shared" si="12"/>
        <v>97891.585303073851</v>
      </c>
      <c r="Q78" s="14">
        <f t="shared" si="13"/>
        <v>0</v>
      </c>
      <c r="R78" s="19">
        <f t="shared" si="14"/>
        <v>129969.65656680574</v>
      </c>
      <c r="S78" s="19">
        <f t="shared" si="15"/>
        <v>95121.028710772327</v>
      </c>
      <c r="T78" s="14">
        <f t="shared" si="16"/>
        <v>0</v>
      </c>
      <c r="U78" s="18" t="str" cm="1">
        <f t="array" aca="1" ref="U78" ca="1">IF(M78&lt;=$N$1,L78,IF(M78&lt;=($N$1+1),INDIRECT("L"&amp;5+$X$2),""))</f>
        <v/>
      </c>
    </row>
    <row r="79" spans="12:28" hidden="1" x14ac:dyDescent="0.25">
      <c r="L79" s="18">
        <f t="shared" ca="1" si="17"/>
        <v>48467</v>
      </c>
      <c r="M79" s="14">
        <v>74</v>
      </c>
      <c r="N79" s="14">
        <f t="shared" si="10"/>
        <v>0</v>
      </c>
      <c r="O79" s="19">
        <f t="shared" si="11"/>
        <v>138852.11028555487</v>
      </c>
      <c r="P79" s="19">
        <f t="shared" si="12"/>
        <v>98361.127636456353</v>
      </c>
      <c r="Q79" s="14">
        <f t="shared" si="13"/>
        <v>0</v>
      </c>
      <c r="R79" s="19">
        <f t="shared" si="14"/>
        <v>131202.91172574702</v>
      </c>
      <c r="S79" s="19">
        <f t="shared" si="15"/>
        <v>95577.281918198889</v>
      </c>
      <c r="T79" s="14">
        <f t="shared" si="16"/>
        <v>0</v>
      </c>
      <c r="U79" s="18" t="str" cm="1">
        <f t="array" aca="1" ref="U79" ca="1">IF(M79&lt;=$N$1,L79,IF(M79&lt;=($N$1+1),INDIRECT("L"&amp;5+$X$2),""))</f>
        <v/>
      </c>
    </row>
    <row r="80" spans="12:28" hidden="1" x14ac:dyDescent="0.25">
      <c r="L80" s="18">
        <f t="shared" ca="1" si="17"/>
        <v>48497</v>
      </c>
      <c r="M80" s="14">
        <v>75</v>
      </c>
      <c r="N80" s="14">
        <f t="shared" si="10"/>
        <v>0</v>
      </c>
      <c r="O80" s="19">
        <f t="shared" si="11"/>
        <v>140169.64920858442</v>
      </c>
      <c r="P80" s="19">
        <f t="shared" si="12"/>
        <v>98832.922155276028</v>
      </c>
      <c r="Q80" s="14">
        <f t="shared" si="13"/>
        <v>0</v>
      </c>
      <c r="R80" s="19">
        <f t="shared" si="14"/>
        <v>132447.86898752701</v>
      </c>
      <c r="S80" s="19">
        <f t="shared" si="15"/>
        <v>96035.723569044421</v>
      </c>
      <c r="T80" s="14">
        <f t="shared" si="16"/>
        <v>0</v>
      </c>
      <c r="U80" s="18" t="str" cm="1">
        <f t="array" aca="1" ref="U80" ca="1">IF(M80&lt;=$N$1,L80,IF(M80&lt;=($N$1+1),INDIRECT("L"&amp;5+$X$2),""))</f>
        <v/>
      </c>
    </row>
    <row r="81" spans="12:21" hidden="1" x14ac:dyDescent="0.25">
      <c r="L81" s="18">
        <f t="shared" ca="1" si="17"/>
        <v>48528</v>
      </c>
      <c r="M81" s="14">
        <v>76</v>
      </c>
      <c r="N81" s="14">
        <f t="shared" si="10"/>
        <v>0</v>
      </c>
      <c r="O81" s="19">
        <f t="shared" si="11"/>
        <v>141499.68998563779</v>
      </c>
      <c r="P81" s="19">
        <f t="shared" si="12"/>
        <v>99306.979662263198</v>
      </c>
      <c r="Q81" s="14">
        <f t="shared" si="13"/>
        <v>0</v>
      </c>
      <c r="R81" s="19">
        <f t="shared" si="14"/>
        <v>133704.63939097646</v>
      </c>
      <c r="S81" s="19">
        <f t="shared" si="15"/>
        <v>96496.364160297278</v>
      </c>
      <c r="T81" s="14">
        <f t="shared" si="16"/>
        <v>0</v>
      </c>
      <c r="U81" s="18" t="str" cm="1">
        <f t="array" aca="1" ref="U81" ca="1">IF(M81&lt;=$N$1,L81,IF(M81&lt;=($N$1+1),INDIRECT("L"&amp;5+$X$2),""))</f>
        <v/>
      </c>
    </row>
    <row r="82" spans="12:21" hidden="1" x14ac:dyDescent="0.25">
      <c r="L82" s="18">
        <f t="shared" ca="1" si="17"/>
        <v>48558</v>
      </c>
      <c r="M82" s="14">
        <v>77</v>
      </c>
      <c r="N82" s="14">
        <f t="shared" si="10"/>
        <v>0</v>
      </c>
      <c r="O82" s="19">
        <f t="shared" si="11"/>
        <v>142842.3512442192</v>
      </c>
      <c r="P82" s="19">
        <f t="shared" si="12"/>
        <v>99783.311011964222</v>
      </c>
      <c r="Q82" s="14">
        <f t="shared" si="13"/>
        <v>0</v>
      </c>
      <c r="R82" s="19">
        <f t="shared" si="14"/>
        <v>134973.33502855053</v>
      </c>
      <c r="S82" s="19">
        <f t="shared" si="15"/>
        <v>96959.214239295135</v>
      </c>
      <c r="T82" s="14">
        <f t="shared" si="16"/>
        <v>0</v>
      </c>
      <c r="U82" s="18" t="str" cm="1">
        <f t="array" aca="1" ref="U82" ca="1">IF(M82&lt;=$N$1,L82,IF(M82&lt;=($N$1+1),INDIRECT("L"&amp;5+$X$2),""))</f>
        <v/>
      </c>
    </row>
    <row r="83" spans="12:21" hidden="1" x14ac:dyDescent="0.25">
      <c r="L83" s="18">
        <f t="shared" ca="1" si="17"/>
        <v>48589</v>
      </c>
      <c r="M83" s="14">
        <v>78</v>
      </c>
      <c r="N83" s="14">
        <f t="shared" si="10"/>
        <v>0</v>
      </c>
      <c r="O83" s="19">
        <f t="shared" si="11"/>
        <v>144197.75273746459</v>
      </c>
      <c r="P83" s="19">
        <f t="shared" si="12"/>
        <v>100261.92711098984</v>
      </c>
      <c r="Q83" s="14">
        <f t="shared" si="13"/>
        <v>0</v>
      </c>
      <c r="R83" s="19">
        <f t="shared" si="14"/>
        <v>136254.06905632655</v>
      </c>
      <c r="S83" s="19">
        <f t="shared" si="15"/>
        <v>97424.284403966594</v>
      </c>
      <c r="T83" s="14">
        <f t="shared" si="16"/>
        <v>0</v>
      </c>
      <c r="U83" s="18" t="str" cm="1">
        <f t="array" aca="1" ref="U83" ca="1">IF(M83&lt;=$N$1,L83,IF(M83&lt;=($N$1+1),INDIRECT("L"&amp;5+$X$2),""))</f>
        <v/>
      </c>
    </row>
    <row r="84" spans="12:21" hidden="1" x14ac:dyDescent="0.25">
      <c r="L84" s="18">
        <f t="shared" ca="1" si="17"/>
        <v>48620</v>
      </c>
      <c r="M84" s="14">
        <v>79</v>
      </c>
      <c r="N84" s="14">
        <f t="shared" si="10"/>
        <v>0</v>
      </c>
      <c r="O84" s="19">
        <f t="shared" si="11"/>
        <v>145566.01535482259</v>
      </c>
      <c r="P84" s="19">
        <f t="shared" si="12"/>
        <v>100742.83891826487</v>
      </c>
      <c r="Q84" s="14">
        <f t="shared" si="13"/>
        <v>0</v>
      </c>
      <c r="R84" s="19">
        <f t="shared" si="14"/>
        <v>137546.95570409641</v>
      </c>
      <c r="S84" s="19">
        <f t="shared" si="15"/>
        <v>97891.585303073851</v>
      </c>
      <c r="T84" s="14">
        <f t="shared" si="16"/>
        <v>0</v>
      </c>
      <c r="U84" s="18" t="str" cm="1">
        <f t="array" aca="1" ref="U84" ca="1">IF(M84&lt;=$N$1,L84,IF(M84&lt;=($N$1+1),INDIRECT("L"&amp;5+$X$2),""))</f>
        <v/>
      </c>
    </row>
    <row r="85" spans="12:21" hidden="1" x14ac:dyDescent="0.25">
      <c r="L85" s="18">
        <f t="shared" ca="1" si="17"/>
        <v>48648</v>
      </c>
      <c r="M85" s="14">
        <v>80</v>
      </c>
      <c r="N85" s="14">
        <f t="shared" si="10"/>
        <v>0</v>
      </c>
      <c r="O85" s="19">
        <f t="shared" si="11"/>
        <v>146947.26113283687</v>
      </c>
      <c r="P85" s="19">
        <f t="shared" si="12"/>
        <v>101226.05744527932</v>
      </c>
      <c r="Q85" s="14">
        <f t="shared" si="13"/>
        <v>0</v>
      </c>
      <c r="R85" s="19">
        <f t="shared" si="14"/>
        <v>138852.11028555487</v>
      </c>
      <c r="S85" s="19">
        <f t="shared" si="15"/>
        <v>98361.127636456353</v>
      </c>
      <c r="T85" s="14">
        <f t="shared" si="16"/>
        <v>0</v>
      </c>
      <c r="U85" s="18" t="str" cm="1">
        <f t="array" aca="1" ref="U85" ca="1">IF(M85&lt;=$N$1,L85,IF(M85&lt;=($N$1+1),INDIRECT("L"&amp;5+$X$2),""))</f>
        <v/>
      </c>
    </row>
    <row r="86" spans="12:21" hidden="1" x14ac:dyDescent="0.25">
      <c r="L86" s="18">
        <f t="shared" ca="1" si="17"/>
        <v>48679</v>
      </c>
      <c r="M86" s="14">
        <v>81</v>
      </c>
      <c r="N86" s="14">
        <f t="shared" si="10"/>
        <v>0</v>
      </c>
      <c r="O86" s="19">
        <f t="shared" si="11"/>
        <v>148341.61326603044</v>
      </c>
      <c r="P86" s="19">
        <f t="shared" si="12"/>
        <v>101711.59375634031</v>
      </c>
      <c r="Q86" s="14">
        <f t="shared" si="13"/>
        <v>0</v>
      </c>
      <c r="R86" s="19">
        <f t="shared" si="14"/>
        <v>140169.64920858442</v>
      </c>
      <c r="S86" s="19">
        <f t="shared" si="15"/>
        <v>98832.922155276028</v>
      </c>
      <c r="T86" s="14">
        <f t="shared" si="16"/>
        <v>0</v>
      </c>
      <c r="U86" s="18" t="str" cm="1">
        <f t="array" aca="1" ref="U86" ca="1">IF(M86&lt;=$N$1,L86,IF(M86&lt;=($N$1+1),INDIRECT("L"&amp;5+$X$2),""))</f>
        <v/>
      </c>
    </row>
    <row r="87" spans="12:21" hidden="1" x14ac:dyDescent="0.25">
      <c r="L87" s="18">
        <f t="shared" ca="1" si="17"/>
        <v>48709</v>
      </c>
      <c r="M87" s="14">
        <v>82</v>
      </c>
      <c r="N87" s="14">
        <f t="shared" si="10"/>
        <v>0</v>
      </c>
      <c r="O87" s="19">
        <f t="shared" si="11"/>
        <v>149749.19611789382</v>
      </c>
      <c r="P87" s="19">
        <f t="shared" si="12"/>
        <v>102199.45896882561</v>
      </c>
      <c r="Q87" s="14">
        <f t="shared" si="13"/>
        <v>0</v>
      </c>
      <c r="R87" s="19">
        <f t="shared" si="14"/>
        <v>141499.68998563779</v>
      </c>
      <c r="S87" s="19">
        <f t="shared" si="15"/>
        <v>99306.979662263198</v>
      </c>
      <c r="T87" s="14">
        <f t="shared" si="16"/>
        <v>0</v>
      </c>
      <c r="U87" s="18" t="str" cm="1">
        <f t="array" aca="1" ref="U87" ca="1">IF(M87&lt;=$N$1,L87,IF(M87&lt;=($N$1+1),INDIRECT("L"&amp;5+$X$2),""))</f>
        <v/>
      </c>
    </row>
    <row r="88" spans="12:21" hidden="1" x14ac:dyDescent="0.25">
      <c r="L88" s="18">
        <f t="shared" ca="1" si="17"/>
        <v>48740</v>
      </c>
      <c r="M88" s="14">
        <v>83</v>
      </c>
      <c r="N88" s="14">
        <f t="shared" si="10"/>
        <v>0</v>
      </c>
      <c r="O88" s="19">
        <f t="shared" si="11"/>
        <v>151170.1352319768</v>
      </c>
      <c r="P88" s="19">
        <f t="shared" si="12"/>
        <v>102689.66425343801</v>
      </c>
      <c r="Q88" s="14">
        <f t="shared" si="13"/>
        <v>0</v>
      </c>
      <c r="R88" s="19">
        <f t="shared" si="14"/>
        <v>142842.3512442192</v>
      </c>
      <c r="S88" s="19">
        <f t="shared" si="15"/>
        <v>99783.311011964222</v>
      </c>
      <c r="T88" s="14">
        <f t="shared" si="16"/>
        <v>0</v>
      </c>
      <c r="U88" s="18" t="str" cm="1">
        <f t="array" aca="1" ref="U88" ca="1">IF(M88&lt;=$N$1,L88,IF(M88&lt;=($N$1+1),INDIRECT("L"&amp;5+$X$2),""))</f>
        <v/>
      </c>
    </row>
    <row r="89" spans="12:21" hidden="1" x14ac:dyDescent="0.25">
      <c r="L89" s="18">
        <f t="shared" ca="1" si="17"/>
        <v>48770</v>
      </c>
      <c r="M89" s="14">
        <v>84</v>
      </c>
      <c r="N89" s="14">
        <f t="shared" si="10"/>
        <v>0</v>
      </c>
      <c r="O89" s="19">
        <f t="shared" si="11"/>
        <v>152604.55734308594</v>
      </c>
      <c r="P89" s="19">
        <f t="shared" si="12"/>
        <v>103182.2208344612</v>
      </c>
      <c r="Q89" s="14">
        <f t="shared" si="13"/>
        <v>0</v>
      </c>
      <c r="R89" s="19">
        <f t="shared" si="14"/>
        <v>144197.75273746459</v>
      </c>
      <c r="S89" s="19">
        <f t="shared" si="15"/>
        <v>100261.92711098984</v>
      </c>
      <c r="T89" s="14">
        <f t="shared" si="16"/>
        <v>0</v>
      </c>
      <c r="U89" s="18" t="str" cm="1">
        <f t="array" aca="1" ref="U89" ca="1">IF(M89&lt;=$N$1,L89,IF(M89&lt;=($N$1+1),INDIRECT("L"&amp;5+$X$2),""))</f>
        <v/>
      </c>
    </row>
    <row r="90" spans="12:21" hidden="1" x14ac:dyDescent="0.25">
      <c r="L90" s="18">
        <f t="shared" ca="1" si="17"/>
        <v>48801</v>
      </c>
      <c r="M90" s="14">
        <v>85</v>
      </c>
      <c r="N90" s="14">
        <f t="shared" si="10"/>
        <v>0</v>
      </c>
      <c r="O90" s="19">
        <f t="shared" si="11"/>
        <v>154052.59038858817</v>
      </c>
      <c r="P90" s="19">
        <f t="shared" si="12"/>
        <v>103677.13999001686</v>
      </c>
      <c r="Q90" s="14">
        <f t="shared" si="13"/>
        <v>0</v>
      </c>
      <c r="R90" s="19">
        <f t="shared" si="14"/>
        <v>145566.01535482259</v>
      </c>
      <c r="S90" s="19">
        <f t="shared" si="15"/>
        <v>100742.83891826487</v>
      </c>
      <c r="T90" s="14">
        <f t="shared" si="16"/>
        <v>0</v>
      </c>
      <c r="U90" s="18" t="str" cm="1">
        <f t="array" aca="1" ref="U90" ca="1">IF(M90&lt;=$N$1,L90,IF(M90&lt;=($N$1+1),INDIRECT("L"&amp;5+$X$2),""))</f>
        <v/>
      </c>
    </row>
    <row r="91" spans="12:21" hidden="1" x14ac:dyDescent="0.25">
      <c r="L91" s="18">
        <f t="shared" ca="1" si="17"/>
        <v>48832</v>
      </c>
      <c r="M91" s="14">
        <v>86</v>
      </c>
      <c r="N91" s="14">
        <f t="shared" si="10"/>
        <v>0</v>
      </c>
      <c r="O91" s="19">
        <f t="shared" si="11"/>
        <v>155514.36351982164</v>
      </c>
      <c r="P91" s="19">
        <f t="shared" si="12"/>
        <v>104174.43305232268</v>
      </c>
      <c r="Q91" s="14">
        <f t="shared" si="13"/>
        <v>0</v>
      </c>
      <c r="R91" s="19">
        <f t="shared" si="14"/>
        <v>146947.26113283687</v>
      </c>
      <c r="S91" s="19">
        <f t="shared" si="15"/>
        <v>101226.05744527932</v>
      </c>
      <c r="T91" s="14">
        <f t="shared" si="16"/>
        <v>0</v>
      </c>
      <c r="U91" s="18" t="str" cm="1">
        <f t="array" aca="1" ref="U91" ca="1">IF(M91&lt;=$N$1,L91,IF(M91&lt;=($N$1+1),INDIRECT("L"&amp;5+$X$2),""))</f>
        <v/>
      </c>
    </row>
    <row r="92" spans="12:21" hidden="1" x14ac:dyDescent="0.25">
      <c r="L92" s="18">
        <f t="shared" ca="1" si="17"/>
        <v>48862</v>
      </c>
      <c r="M92" s="14">
        <v>87</v>
      </c>
      <c r="N92" s="14">
        <f t="shared" si="10"/>
        <v>0</v>
      </c>
      <c r="O92" s="19">
        <f t="shared" si="11"/>
        <v>156990.00711361473</v>
      </c>
      <c r="P92" s="19">
        <f t="shared" si="12"/>
        <v>104674.11140795202</v>
      </c>
      <c r="Q92" s="14">
        <f t="shared" si="13"/>
        <v>0</v>
      </c>
      <c r="R92" s="19">
        <f t="shared" si="14"/>
        <v>148341.61326603044</v>
      </c>
      <c r="S92" s="19">
        <f t="shared" si="15"/>
        <v>101711.59375634031</v>
      </c>
      <c r="T92" s="14">
        <f t="shared" si="16"/>
        <v>0</v>
      </c>
      <c r="U92" s="18" t="str" cm="1">
        <f t="array" aca="1" ref="U92" ca="1">IF(M92&lt;=$N$1,L92,IF(M92&lt;=($N$1+1),INDIRECT("L"&amp;5+$X$2),""))</f>
        <v/>
      </c>
    </row>
    <row r="93" spans="12:21" hidden="1" x14ac:dyDescent="0.25">
      <c r="L93" s="18">
        <f t="shared" ca="1" si="17"/>
        <v>48893</v>
      </c>
      <c r="M93" s="14">
        <v>88</v>
      </c>
      <c r="N93" s="14">
        <f t="shared" si="10"/>
        <v>0</v>
      </c>
      <c r="O93" s="19">
        <f t="shared" si="11"/>
        <v>158479.65278391453</v>
      </c>
      <c r="P93" s="19">
        <f t="shared" si="12"/>
        <v>105176.18649809448</v>
      </c>
      <c r="Q93" s="14">
        <f t="shared" si="13"/>
        <v>0</v>
      </c>
      <c r="R93" s="19">
        <f t="shared" si="14"/>
        <v>149749.19611789382</v>
      </c>
      <c r="S93" s="19">
        <f t="shared" si="15"/>
        <v>102199.45896882561</v>
      </c>
      <c r="T93" s="14">
        <f t="shared" si="16"/>
        <v>0</v>
      </c>
      <c r="U93" s="18" t="str" cm="1">
        <f t="array" aca="1" ref="U93" ca="1">IF(M93&lt;=$N$1,L93,IF(M93&lt;=($N$1+1),INDIRECT("L"&amp;5+$X$2),""))</f>
        <v/>
      </c>
    </row>
    <row r="94" spans="12:21" hidden="1" x14ac:dyDescent="0.25">
      <c r="L94" s="18">
        <f t="shared" ca="1" si="17"/>
        <v>48923</v>
      </c>
      <c r="M94" s="14">
        <v>89</v>
      </c>
      <c r="N94" s="14">
        <f t="shared" si="10"/>
        <v>0</v>
      </c>
      <c r="O94" s="19">
        <f t="shared" si="11"/>
        <v>159983.43339352569</v>
      </c>
      <c r="P94" s="19">
        <f t="shared" si="12"/>
        <v>105680.66981881802</v>
      </c>
      <c r="Q94" s="14">
        <f t="shared" si="13"/>
        <v>0</v>
      </c>
      <c r="R94" s="19">
        <f t="shared" si="14"/>
        <v>151170.1352319768</v>
      </c>
      <c r="S94" s="19">
        <f t="shared" si="15"/>
        <v>102689.66425343801</v>
      </c>
      <c r="T94" s="14">
        <f t="shared" si="16"/>
        <v>0</v>
      </c>
      <c r="U94" s="18" t="str" cm="1">
        <f t="array" aca="1" ref="U94" ca="1">IF(M94&lt;=$N$1,L94,IF(M94&lt;=($N$1+1),INDIRECT("L"&amp;5+$X$2),""))</f>
        <v/>
      </c>
    </row>
    <row r="95" spans="12:21" hidden="1" x14ac:dyDescent="0.25">
      <c r="L95" s="18">
        <f t="shared" ca="1" si="17"/>
        <v>48954</v>
      </c>
      <c r="M95" s="14">
        <v>90</v>
      </c>
      <c r="N95" s="14">
        <f t="shared" si="10"/>
        <v>0</v>
      </c>
      <c r="O95" s="19">
        <f t="shared" si="11"/>
        <v>161501.48306596055</v>
      </c>
      <c r="P95" s="19">
        <f t="shared" si="12"/>
        <v>106187.57292133215</v>
      </c>
      <c r="Q95" s="14">
        <f t="shared" si="13"/>
        <v>0</v>
      </c>
      <c r="R95" s="19">
        <f t="shared" si="14"/>
        <v>152604.55734308594</v>
      </c>
      <c r="S95" s="19">
        <f t="shared" si="15"/>
        <v>103182.2208344612</v>
      </c>
      <c r="T95" s="14">
        <f t="shared" si="16"/>
        <v>0</v>
      </c>
      <c r="U95" s="18" t="str" cm="1">
        <f t="array" aca="1" ref="U95" ca="1">IF(M95&lt;=$N$1,L95,IF(M95&lt;=($N$1+1),INDIRECT("L"&amp;5+$X$2),""))</f>
        <v/>
      </c>
    </row>
    <row r="96" spans="12:21" hidden="1" x14ac:dyDescent="0.25">
      <c r="L96" s="18">
        <f t="shared" ca="1" si="17"/>
        <v>48985</v>
      </c>
      <c r="M96" s="14">
        <v>91</v>
      </c>
      <c r="N96" s="14">
        <f t="shared" si="10"/>
        <v>0</v>
      </c>
      <c r="O96" s="19">
        <f t="shared" si="11"/>
        <v>163033.93719740154</v>
      </c>
      <c r="P96" s="19">
        <f t="shared" si="12"/>
        <v>106696.9074122523</v>
      </c>
      <c r="Q96" s="14">
        <f t="shared" si="13"/>
        <v>0</v>
      </c>
      <c r="R96" s="19">
        <f t="shared" si="14"/>
        <v>154052.59038858817</v>
      </c>
      <c r="S96" s="19">
        <f t="shared" si="15"/>
        <v>103677.13999001686</v>
      </c>
      <c r="T96" s="14">
        <f t="shared" si="16"/>
        <v>0</v>
      </c>
      <c r="U96" s="18" t="str" cm="1">
        <f t="array" aca="1" ref="U96" ca="1">IF(M96&lt;=$N$1,L96,IF(M96&lt;=($N$1+1),INDIRECT("L"&amp;5+$X$2),""))</f>
        <v/>
      </c>
    </row>
    <row r="97" spans="12:21" hidden="1" x14ac:dyDescent="0.25">
      <c r="L97" s="18">
        <f t="shared" ca="1" si="17"/>
        <v>49013</v>
      </c>
      <c r="M97" s="14">
        <v>92</v>
      </c>
      <c r="N97" s="14">
        <f t="shared" si="10"/>
        <v>0</v>
      </c>
      <c r="O97" s="19">
        <f t="shared" si="11"/>
        <v>164580.93246877749</v>
      </c>
      <c r="P97" s="19">
        <f t="shared" si="12"/>
        <v>107208.6849538657</v>
      </c>
      <c r="Q97" s="14">
        <f t="shared" si="13"/>
        <v>0</v>
      </c>
      <c r="R97" s="19">
        <f t="shared" si="14"/>
        <v>155514.36351982164</v>
      </c>
      <c r="S97" s="19">
        <f t="shared" si="15"/>
        <v>104174.43305232268</v>
      </c>
      <c r="T97" s="14">
        <f t="shared" si="16"/>
        <v>0</v>
      </c>
      <c r="U97" s="18" t="str" cm="1">
        <f t="array" aca="1" ref="U97" ca="1">IF(M97&lt;=$N$1,L97,IF(M97&lt;=($N$1+1),INDIRECT("L"&amp;5+$X$2),""))</f>
        <v/>
      </c>
    </row>
    <row r="98" spans="12:21" hidden="1" x14ac:dyDescent="0.25">
      <c r="L98" s="18">
        <f t="shared" ca="1" si="17"/>
        <v>49044</v>
      </c>
      <c r="M98" s="14">
        <v>93</v>
      </c>
      <c r="N98" s="14">
        <f t="shared" si="10"/>
        <v>0</v>
      </c>
      <c r="O98" s="19">
        <f t="shared" si="11"/>
        <v>166142.60685795432</v>
      </c>
      <c r="P98" s="19">
        <f t="shared" si="12"/>
        <v>107722.91726439839</v>
      </c>
      <c r="Q98" s="14">
        <f t="shared" si="13"/>
        <v>0</v>
      </c>
      <c r="R98" s="19">
        <f t="shared" si="14"/>
        <v>156990.00711361473</v>
      </c>
      <c r="S98" s="19">
        <f t="shared" si="15"/>
        <v>104674.11140795202</v>
      </c>
      <c r="T98" s="14">
        <f t="shared" si="16"/>
        <v>0</v>
      </c>
      <c r="U98" s="18" t="str" cm="1">
        <f t="array" aca="1" ref="U98" ca="1">IF(M98&lt;=$N$1,L98,IF(M98&lt;=($N$1+1),INDIRECT("L"&amp;5+$X$2),""))</f>
        <v/>
      </c>
    </row>
    <row r="99" spans="12:21" hidden="1" x14ac:dyDescent="0.25">
      <c r="L99" s="18">
        <f t="shared" ca="1" si="17"/>
        <v>49074</v>
      </c>
      <c r="M99" s="14">
        <v>94</v>
      </c>
      <c r="N99" s="14">
        <f t="shared" si="10"/>
        <v>0</v>
      </c>
      <c r="O99" s="19">
        <f t="shared" si="11"/>
        <v>167719.0996520413</v>
      </c>
      <c r="P99" s="19">
        <f t="shared" si="12"/>
        <v>108239.61611828351</v>
      </c>
      <c r="Q99" s="14">
        <f t="shared" si="13"/>
        <v>0</v>
      </c>
      <c r="R99" s="19">
        <f t="shared" si="14"/>
        <v>158479.65278391453</v>
      </c>
      <c r="S99" s="19">
        <f t="shared" si="15"/>
        <v>105176.18649809448</v>
      </c>
      <c r="T99" s="14">
        <f t="shared" si="16"/>
        <v>0</v>
      </c>
      <c r="U99" s="18" t="str" cm="1">
        <f t="array" aca="1" ref="U99" ca="1">IF(M99&lt;=$N$1,L99,IF(M99&lt;=($N$1+1),INDIRECT("L"&amp;5+$X$2),""))</f>
        <v/>
      </c>
    </row>
    <row r="100" spans="12:21" hidden="1" x14ac:dyDescent="0.25">
      <c r="L100" s="18">
        <f t="shared" ca="1" si="17"/>
        <v>49105</v>
      </c>
      <c r="M100" s="14">
        <v>95</v>
      </c>
      <c r="N100" s="14">
        <f t="shared" si="10"/>
        <v>0</v>
      </c>
      <c r="O100" s="19">
        <f t="shared" si="11"/>
        <v>169310.55145981425</v>
      </c>
      <c r="P100" s="19">
        <f t="shared" si="12"/>
        <v>108758.79334643093</v>
      </c>
      <c r="Q100" s="14">
        <f t="shared" si="13"/>
        <v>0</v>
      </c>
      <c r="R100" s="19">
        <f t="shared" si="14"/>
        <v>159983.43339352569</v>
      </c>
      <c r="S100" s="19">
        <f t="shared" si="15"/>
        <v>105680.66981881802</v>
      </c>
      <c r="T100" s="14">
        <f t="shared" si="16"/>
        <v>0</v>
      </c>
      <c r="U100" s="18" t="str" cm="1">
        <f t="array" aca="1" ref="U100" ca="1">IF(M100&lt;=$N$1,L100,IF(M100&lt;=($N$1+1),INDIRECT("L"&amp;5+$X$2),""))</f>
        <v/>
      </c>
    </row>
    <row r="101" spans="12:21" hidden="1" x14ac:dyDescent="0.25">
      <c r="L101" s="18">
        <f t="shared" ca="1" si="17"/>
        <v>49135</v>
      </c>
      <c r="M101" s="14">
        <v>96</v>
      </c>
      <c r="N101" s="14">
        <f t="shared" si="10"/>
        <v>0</v>
      </c>
      <c r="O101" s="19">
        <f t="shared" si="11"/>
        <v>170917.1042242565</v>
      </c>
      <c r="P101" s="19">
        <f t="shared" si="12"/>
        <v>109280.46083649807</v>
      </c>
      <c r="Q101" s="14">
        <f t="shared" si="13"/>
        <v>0</v>
      </c>
      <c r="R101" s="19">
        <f t="shared" si="14"/>
        <v>161501.48306596055</v>
      </c>
      <c r="S101" s="19">
        <f t="shared" si="15"/>
        <v>106187.57292133215</v>
      </c>
      <c r="T101" s="14">
        <f t="shared" si="16"/>
        <v>0</v>
      </c>
      <c r="U101" s="18" t="str" cm="1">
        <f t="array" aca="1" ref="U101" ca="1">IF(M101&lt;=$N$1,L101,IF(M101&lt;=($N$1+1),INDIRECT("L"&amp;5+$X$2),""))</f>
        <v/>
      </c>
    </row>
    <row r="102" spans="12:21" hidden="1" x14ac:dyDescent="0.25">
      <c r="L102" s="18">
        <f t="shared" ca="1" si="17"/>
        <v>49166</v>
      </c>
      <c r="M102" s="14">
        <v>97</v>
      </c>
      <c r="N102" s="14">
        <f t="shared" si="10"/>
        <v>0</v>
      </c>
      <c r="O102" s="19">
        <f t="shared" si="11"/>
        <v>172538.901235219</v>
      </c>
      <c r="P102" s="19">
        <f t="shared" si="12"/>
        <v>109804.63053316221</v>
      </c>
      <c r="Q102" s="14">
        <f t="shared" si="13"/>
        <v>0</v>
      </c>
      <c r="R102" s="19">
        <f t="shared" si="14"/>
        <v>163033.93719740154</v>
      </c>
      <c r="S102" s="19">
        <f t="shared" si="15"/>
        <v>106696.9074122523</v>
      </c>
      <c r="T102" s="14">
        <f t="shared" si="16"/>
        <v>0</v>
      </c>
      <c r="U102" s="18" t="str" cm="1">
        <f t="array" aca="1" ref="U102" ca="1">IF(M102&lt;=$N$1,L102,IF(M102&lt;=($N$1+1),INDIRECT("L"&amp;5+$X$2),""))</f>
        <v/>
      </c>
    </row>
    <row r="103" spans="12:21" hidden="1" x14ac:dyDescent="0.25">
      <c r="L103" s="18">
        <f t="shared" ca="1" si="17"/>
        <v>49197</v>
      </c>
      <c r="M103" s="14">
        <v>98</v>
      </c>
      <c r="N103" s="14">
        <f t="shared" si="10"/>
        <v>0</v>
      </c>
      <c r="O103" s="19">
        <f t="shared" si="11"/>
        <v>174176.0871422005</v>
      </c>
      <c r="P103" s="19">
        <f t="shared" si="12"/>
        <v>110331.31443839394</v>
      </c>
      <c r="Q103" s="14">
        <f t="shared" si="13"/>
        <v>0</v>
      </c>
      <c r="R103" s="19">
        <f t="shared" si="14"/>
        <v>164580.93246877749</v>
      </c>
      <c r="S103" s="19">
        <f t="shared" si="15"/>
        <v>107208.6849538657</v>
      </c>
      <c r="T103" s="14">
        <f t="shared" si="16"/>
        <v>0</v>
      </c>
      <c r="U103" s="18" t="str" cm="1">
        <f t="array" aca="1" ref="U103" ca="1">IF(M103&lt;=$N$1,L103,IF(M103&lt;=($N$1+1),INDIRECT("L"&amp;5+$X$2),""))</f>
        <v/>
      </c>
    </row>
    <row r="104" spans="12:21" hidden="1" x14ac:dyDescent="0.25">
      <c r="L104" s="18">
        <f t="shared" ca="1" si="17"/>
        <v>49227</v>
      </c>
      <c r="M104" s="14">
        <v>99</v>
      </c>
      <c r="N104" s="14">
        <f t="shared" si="10"/>
        <v>0</v>
      </c>
      <c r="O104" s="19">
        <f t="shared" si="11"/>
        <v>175828.80796724875</v>
      </c>
      <c r="P104" s="19">
        <f t="shared" si="12"/>
        <v>110860.52461173183</v>
      </c>
      <c r="Q104" s="14">
        <f t="shared" si="13"/>
        <v>0</v>
      </c>
      <c r="R104" s="19">
        <f t="shared" si="14"/>
        <v>166142.60685795432</v>
      </c>
      <c r="S104" s="19">
        <f t="shared" si="15"/>
        <v>107722.91726439839</v>
      </c>
      <c r="T104" s="14">
        <f t="shared" si="16"/>
        <v>0</v>
      </c>
      <c r="U104" s="18" t="str" cm="1">
        <f t="array" aca="1" ref="U104" ca="1">IF(M104&lt;=$N$1,L104,IF(M104&lt;=($N$1+1),INDIRECT("L"&amp;5+$X$2),""))</f>
        <v/>
      </c>
    </row>
    <row r="105" spans="12:21" hidden="1" x14ac:dyDescent="0.25">
      <c r="L105" s="18">
        <f t="shared" ca="1" si="17"/>
        <v>49258</v>
      </c>
      <c r="M105" s="14">
        <v>100</v>
      </c>
      <c r="N105" s="14">
        <f t="shared" si="10"/>
        <v>0</v>
      </c>
      <c r="O105" s="19">
        <f t="shared" si="11"/>
        <v>177497.21111798452</v>
      </c>
      <c r="P105" s="19">
        <f t="shared" si="12"/>
        <v>111392.27317055882</v>
      </c>
      <c r="Q105" s="14">
        <f t="shared" si="13"/>
        <v>0</v>
      </c>
      <c r="R105" s="19">
        <f t="shared" si="14"/>
        <v>167719.0996520413</v>
      </c>
      <c r="S105" s="19">
        <f t="shared" si="15"/>
        <v>108239.61611828351</v>
      </c>
      <c r="T105" s="14">
        <f t="shared" si="16"/>
        <v>0</v>
      </c>
      <c r="U105" s="18" t="str" cm="1">
        <f t="array" aca="1" ref="U105" ca="1">IF(M105&lt;=$N$1,L105,IF(M105&lt;=($N$1+1),INDIRECT("L"&amp;5+$X$2),""))</f>
        <v/>
      </c>
    </row>
    <row r="106" spans="12:21" hidden="1" x14ac:dyDescent="0.25">
      <c r="L106" s="18">
        <f t="shared" ca="1" si="17"/>
        <v>49288</v>
      </c>
      <c r="M106" s="14">
        <v>101</v>
      </c>
      <c r="N106" s="14">
        <f t="shared" si="10"/>
        <v>0</v>
      </c>
      <c r="O106" s="19">
        <f t="shared" si="11"/>
        <v>179181.44540074901</v>
      </c>
      <c r="P106" s="19">
        <f t="shared" si="12"/>
        <v>111926.57229037951</v>
      </c>
      <c r="Q106" s="14">
        <f t="shared" si="13"/>
        <v>0</v>
      </c>
      <c r="R106" s="19">
        <f t="shared" si="14"/>
        <v>169310.55145981425</v>
      </c>
      <c r="S106" s="19">
        <f t="shared" si="15"/>
        <v>108758.79334643093</v>
      </c>
      <c r="T106" s="14">
        <f t="shared" si="16"/>
        <v>0</v>
      </c>
      <c r="U106" s="18" t="str" cm="1">
        <f t="array" aca="1" ref="U106" ca="1">IF(M106&lt;=$N$1,L106,IF(M106&lt;=($N$1+1),INDIRECT("L"&amp;5+$X$2),""))</f>
        <v/>
      </c>
    </row>
    <row r="107" spans="12:21" hidden="1" x14ac:dyDescent="0.25">
      <c r="L107" s="18">
        <f t="shared" ca="1" si="17"/>
        <v>49319</v>
      </c>
      <c r="M107" s="14">
        <v>102</v>
      </c>
      <c r="N107" s="14">
        <f t="shared" si="10"/>
        <v>0</v>
      </c>
      <c r="O107" s="19">
        <f t="shared" si="11"/>
        <v>180881.66103387607</v>
      </c>
      <c r="P107" s="19">
        <f t="shared" si="12"/>
        <v>112463.43420509897</v>
      </c>
      <c r="Q107" s="14">
        <f t="shared" si="13"/>
        <v>0</v>
      </c>
      <c r="R107" s="19">
        <f t="shared" si="14"/>
        <v>170917.1042242565</v>
      </c>
      <c r="S107" s="19">
        <f t="shared" si="15"/>
        <v>109280.46083649807</v>
      </c>
      <c r="T107" s="14">
        <f t="shared" si="16"/>
        <v>0</v>
      </c>
      <c r="U107" s="18" t="str" cm="1">
        <f t="array" aca="1" ref="U107" ca="1">IF(M107&lt;=$N$1,L107,IF(M107&lt;=($N$1+1),INDIRECT("L"&amp;5+$X$2),""))</f>
        <v/>
      </c>
    </row>
    <row r="108" spans="12:21" hidden="1" x14ac:dyDescent="0.25">
      <c r="L108" s="18">
        <f t="shared" ca="1" si="17"/>
        <v>49350</v>
      </c>
      <c r="M108" s="14">
        <v>103</v>
      </c>
      <c r="N108" s="14">
        <f t="shared" si="10"/>
        <v>0</v>
      </c>
      <c r="O108" s="19">
        <f t="shared" si="11"/>
        <v>182598.00966108995</v>
      </c>
      <c r="P108" s="19">
        <f t="shared" si="12"/>
        <v>113002.87120730281</v>
      </c>
      <c r="Q108" s="14">
        <f t="shared" si="13"/>
        <v>0</v>
      </c>
      <c r="R108" s="19">
        <f t="shared" si="14"/>
        <v>172538.901235219</v>
      </c>
      <c r="S108" s="19">
        <f t="shared" si="15"/>
        <v>109804.63053316221</v>
      </c>
      <c r="T108" s="14">
        <f t="shared" si="16"/>
        <v>0</v>
      </c>
      <c r="U108" s="18" t="str" cm="1">
        <f t="array" aca="1" ref="U108" ca="1">IF(M108&lt;=$N$1,L108,IF(M108&lt;=($N$1+1),INDIRECT("L"&amp;5+$X$2),""))</f>
        <v/>
      </c>
    </row>
    <row r="109" spans="12:21" hidden="1" x14ac:dyDescent="0.25">
      <c r="L109" s="18">
        <f t="shared" ca="1" si="17"/>
        <v>49378</v>
      </c>
      <c r="M109" s="14">
        <v>104</v>
      </c>
      <c r="N109" s="14">
        <f t="shared" si="10"/>
        <v>0</v>
      </c>
      <c r="O109" s="19">
        <f t="shared" si="11"/>
        <v>184330.64436503104</v>
      </c>
      <c r="P109" s="19">
        <f t="shared" si="12"/>
        <v>113544.89564853878</v>
      </c>
      <c r="Q109" s="14">
        <f t="shared" si="13"/>
        <v>0</v>
      </c>
      <c r="R109" s="19">
        <f t="shared" si="14"/>
        <v>174176.0871422005</v>
      </c>
      <c r="S109" s="19">
        <f t="shared" si="15"/>
        <v>110331.31443839394</v>
      </c>
      <c r="T109" s="14">
        <f t="shared" si="16"/>
        <v>0</v>
      </c>
      <c r="U109" s="18" t="str" cm="1">
        <f t="array" aca="1" ref="U109" ca="1">IF(M109&lt;=$N$1,L109,IF(M109&lt;=($N$1+1),INDIRECT("L"&amp;5+$X$2),""))</f>
        <v/>
      </c>
    </row>
    <row r="110" spans="12:21" hidden="1" x14ac:dyDescent="0.25">
      <c r="L110" s="18">
        <f t="shared" ca="1" si="17"/>
        <v>49409</v>
      </c>
      <c r="M110" s="14">
        <v>105</v>
      </c>
      <c r="N110" s="14">
        <f t="shared" si="10"/>
        <v>0</v>
      </c>
      <c r="O110" s="19">
        <f t="shared" si="11"/>
        <v>186079.71968090907</v>
      </c>
      <c r="P110" s="19">
        <f t="shared" si="12"/>
        <v>114089.51993959937</v>
      </c>
      <c r="Q110" s="14">
        <f t="shared" si="13"/>
        <v>0</v>
      </c>
      <c r="R110" s="19">
        <f t="shared" si="14"/>
        <v>175828.80796724875</v>
      </c>
      <c r="S110" s="19">
        <f t="shared" si="15"/>
        <v>110860.52461173183</v>
      </c>
      <c r="T110" s="14">
        <f t="shared" si="16"/>
        <v>0</v>
      </c>
      <c r="U110" s="18" t="str" cm="1">
        <f t="array" aca="1" ref="U110" ca="1">IF(M110&lt;=$N$1,L110,IF(M110&lt;=($N$1+1),INDIRECT("L"&amp;5+$X$2),""))</f>
        <v/>
      </c>
    </row>
    <row r="111" spans="12:21" hidden="1" x14ac:dyDescent="0.25">
      <c r="L111" s="18">
        <f t="shared" ca="1" si="17"/>
        <v>49439</v>
      </c>
      <c r="M111" s="14">
        <v>106</v>
      </c>
      <c r="N111" s="14">
        <f t="shared" si="10"/>
        <v>0</v>
      </c>
      <c r="O111" s="19">
        <f t="shared" si="11"/>
        <v>187845.39161028652</v>
      </c>
      <c r="P111" s="19">
        <f t="shared" si="12"/>
        <v>114636.75655080633</v>
      </c>
      <c r="Q111" s="14">
        <f t="shared" si="13"/>
        <v>0</v>
      </c>
      <c r="R111" s="19">
        <f t="shared" si="14"/>
        <v>177497.21111798452</v>
      </c>
      <c r="S111" s="19">
        <f t="shared" si="15"/>
        <v>111392.27317055882</v>
      </c>
      <c r="T111" s="14">
        <f t="shared" si="16"/>
        <v>0</v>
      </c>
      <c r="U111" s="18" t="str" cm="1">
        <f t="array" aca="1" ref="U111" ca="1">IF(M111&lt;=$N$1,L111,IF(M111&lt;=($N$1+1),INDIRECT("L"&amp;5+$X$2),""))</f>
        <v/>
      </c>
    </row>
    <row r="112" spans="12:21" hidden="1" x14ac:dyDescent="0.25">
      <c r="L112" s="18">
        <f t="shared" ca="1" si="17"/>
        <v>49470</v>
      </c>
      <c r="M112" s="14">
        <v>107</v>
      </c>
      <c r="N112" s="14">
        <f t="shared" si="10"/>
        <v>0</v>
      </c>
      <c r="O112" s="19">
        <f t="shared" si="11"/>
        <v>189627.81763499221</v>
      </c>
      <c r="P112" s="19">
        <f t="shared" si="12"/>
        <v>115186.6180122958</v>
      </c>
      <c r="Q112" s="14">
        <f t="shared" si="13"/>
        <v>0</v>
      </c>
      <c r="R112" s="19">
        <f t="shared" si="14"/>
        <v>179181.44540074901</v>
      </c>
      <c r="S112" s="19">
        <f t="shared" si="15"/>
        <v>111926.57229037951</v>
      </c>
      <c r="T112" s="14">
        <f t="shared" si="16"/>
        <v>0</v>
      </c>
      <c r="U112" s="18" t="str" cm="1">
        <f t="array" aca="1" ref="U112" ca="1">IF(M112&lt;=$N$1,L112,IF(M112&lt;=($N$1+1),INDIRECT("L"&amp;5+$X$2),""))</f>
        <v/>
      </c>
    </row>
    <row r="113" spans="12:21" hidden="1" x14ac:dyDescent="0.25">
      <c r="L113" s="18">
        <f t="shared" ca="1" si="17"/>
        <v>49500</v>
      </c>
      <c r="M113" s="14">
        <v>108</v>
      </c>
      <c r="N113" s="14">
        <f t="shared" si="10"/>
        <v>0</v>
      </c>
      <c r="O113" s="19">
        <f t="shared" si="11"/>
        <v>191427.15673116752</v>
      </c>
      <c r="P113" s="19">
        <f t="shared" si="12"/>
        <v>115739.11691430541</v>
      </c>
      <c r="Q113" s="14">
        <f t="shared" si="13"/>
        <v>0</v>
      </c>
      <c r="R113" s="19">
        <f t="shared" si="14"/>
        <v>180881.66103387607</v>
      </c>
      <c r="S113" s="19">
        <f t="shared" si="15"/>
        <v>112463.43420509897</v>
      </c>
      <c r="T113" s="14">
        <f t="shared" si="16"/>
        <v>0</v>
      </c>
      <c r="U113" s="18" t="str" cm="1">
        <f t="array" aca="1" ref="U113" ca="1">IF(M113&lt;=$N$1,L113,IF(M113&lt;=($N$1+1),INDIRECT("L"&amp;5+$X$2),""))</f>
        <v/>
      </c>
    </row>
    <row r="114" spans="12:21" hidden="1" x14ac:dyDescent="0.25">
      <c r="L114" s="18">
        <f t="shared" ca="1" si="17"/>
        <v>49531</v>
      </c>
      <c r="M114" s="14">
        <v>109</v>
      </c>
      <c r="N114" s="14">
        <f t="shared" si="10"/>
        <v>0</v>
      </c>
      <c r="O114" s="19">
        <f t="shared" si="11"/>
        <v>193243.56938344552</v>
      </c>
      <c r="P114" s="19">
        <f t="shared" si="12"/>
        <v>116294.2659074627</v>
      </c>
      <c r="Q114" s="14">
        <f t="shared" si="13"/>
        <v>0</v>
      </c>
      <c r="R114" s="19">
        <f t="shared" si="14"/>
        <v>182598.00966108995</v>
      </c>
      <c r="S114" s="19">
        <f t="shared" si="15"/>
        <v>113002.87120730281</v>
      </c>
      <c r="T114" s="14">
        <f t="shared" si="16"/>
        <v>0</v>
      </c>
      <c r="U114" s="18" t="str" cm="1">
        <f t="array" aca="1" ref="U114" ca="1">IF(M114&lt;=$N$1,L114,IF(M114&lt;=($N$1+1),INDIRECT("L"&amp;5+$X$2),""))</f>
        <v/>
      </c>
    </row>
    <row r="115" spans="12:21" hidden="1" x14ac:dyDescent="0.25">
      <c r="L115" s="18">
        <f t="shared" ca="1" si="17"/>
        <v>49562</v>
      </c>
      <c r="M115" s="14">
        <v>110</v>
      </c>
      <c r="N115" s="14">
        <f t="shared" si="10"/>
        <v>0</v>
      </c>
      <c r="O115" s="19">
        <f t="shared" si="11"/>
        <v>195077.21759926478</v>
      </c>
      <c r="P115" s="19">
        <f t="shared" si="12"/>
        <v>116852.07770307452</v>
      </c>
      <c r="Q115" s="14">
        <f t="shared" si="13"/>
        <v>0</v>
      </c>
      <c r="R115" s="19">
        <f t="shared" si="14"/>
        <v>184330.64436503104</v>
      </c>
      <c r="S115" s="19">
        <f t="shared" si="15"/>
        <v>113544.89564853878</v>
      </c>
      <c r="T115" s="14">
        <f t="shared" si="16"/>
        <v>0</v>
      </c>
      <c r="U115" s="18" t="str" cm="1">
        <f t="array" aca="1" ref="U115" ca="1">IF(M115&lt;=$N$1,L115,IF(M115&lt;=($N$1+1),INDIRECT("L"&amp;5+$X$2),""))</f>
        <v/>
      </c>
    </row>
    <row r="116" spans="12:21" hidden="1" x14ac:dyDescent="0.25">
      <c r="L116" s="18">
        <f t="shared" ca="1" si="17"/>
        <v>49592</v>
      </c>
      <c r="M116" s="14">
        <v>111</v>
      </c>
      <c r="N116" s="14">
        <f t="shared" si="10"/>
        <v>0</v>
      </c>
      <c r="O116" s="19">
        <f t="shared" si="11"/>
        <v>196928.26492331881</v>
      </c>
      <c r="P116" s="19">
        <f t="shared" si="12"/>
        <v>117412.56507341824</v>
      </c>
      <c r="Q116" s="14">
        <f t="shared" si="13"/>
        <v>0</v>
      </c>
      <c r="R116" s="19">
        <f t="shared" si="14"/>
        <v>186079.71968090907</v>
      </c>
      <c r="S116" s="19">
        <f t="shared" si="15"/>
        <v>114089.51993959937</v>
      </c>
      <c r="T116" s="14">
        <f t="shared" si="16"/>
        <v>0</v>
      </c>
      <c r="U116" s="18" t="str" cm="1">
        <f t="array" aca="1" ref="U116" ca="1">IF(M116&lt;=$N$1,L116,IF(M116&lt;=($N$1+1),INDIRECT("L"&amp;5+$X$2),""))</f>
        <v/>
      </c>
    </row>
    <row r="117" spans="12:21" hidden="1" x14ac:dyDescent="0.25">
      <c r="L117" s="18">
        <f t="shared" ca="1" si="17"/>
        <v>49623</v>
      </c>
      <c r="M117" s="14">
        <v>112</v>
      </c>
      <c r="N117" s="14">
        <f t="shared" si="10"/>
        <v>0</v>
      </c>
      <c r="O117" s="19">
        <f t="shared" si="11"/>
        <v>198796.8764521429</v>
      </c>
      <c r="P117" s="19">
        <f t="shared" si="12"/>
        <v>117975.74085203405</v>
      </c>
      <c r="Q117" s="14">
        <f t="shared" si="13"/>
        <v>0</v>
      </c>
      <c r="R117" s="19">
        <f t="shared" si="14"/>
        <v>187845.39161028652</v>
      </c>
      <c r="S117" s="19">
        <f t="shared" si="15"/>
        <v>114636.75655080633</v>
      </c>
      <c r="T117" s="14">
        <f t="shared" si="16"/>
        <v>0</v>
      </c>
      <c r="U117" s="18" t="str" cm="1">
        <f t="array" aca="1" ref="U117" ca="1">IF(M117&lt;=$N$1,L117,IF(M117&lt;=($N$1+1),INDIRECT("L"&amp;5+$X$2),""))</f>
        <v/>
      </c>
    </row>
    <row r="118" spans="12:21" hidden="1" x14ac:dyDescent="0.25">
      <c r="L118" s="18">
        <f t="shared" ca="1" si="17"/>
        <v>49653</v>
      </c>
      <c r="M118" s="14">
        <v>113</v>
      </c>
      <c r="N118" s="14">
        <f t="shared" si="10"/>
        <v>0</v>
      </c>
      <c r="O118" s="19">
        <f t="shared" si="11"/>
        <v>200683.21884883917</v>
      </c>
      <c r="P118" s="19">
        <f t="shared" si="12"/>
        <v>118541.61793401912</v>
      </c>
      <c r="Q118" s="14">
        <f t="shared" si="13"/>
        <v>0</v>
      </c>
      <c r="R118" s="19">
        <f t="shared" si="14"/>
        <v>189627.81763499221</v>
      </c>
      <c r="S118" s="19">
        <f t="shared" si="15"/>
        <v>115186.6180122958</v>
      </c>
      <c r="T118" s="14">
        <f t="shared" si="16"/>
        <v>0</v>
      </c>
      <c r="U118" s="18" t="str" cm="1">
        <f t="array" aca="1" ref="U118" ca="1">IF(M118&lt;=$N$1,L118,IF(M118&lt;=($N$1+1),INDIRECT("L"&amp;5+$X$2),""))</f>
        <v/>
      </c>
    </row>
    <row r="119" spans="12:21" hidden="1" x14ac:dyDescent="0.25">
      <c r="L119" s="18">
        <f t="shared" ca="1" si="17"/>
        <v>49684</v>
      </c>
      <c r="M119" s="14">
        <v>114</v>
      </c>
      <c r="N119" s="14">
        <f t="shared" si="10"/>
        <v>0</v>
      </c>
      <c r="O119" s="19">
        <f t="shared" si="11"/>
        <v>202587.46035794143</v>
      </c>
      <c r="P119" s="19">
        <f t="shared" si="12"/>
        <v>119110.20927632245</v>
      </c>
      <c r="Q119" s="14">
        <f t="shared" si="13"/>
        <v>0</v>
      </c>
      <c r="R119" s="19">
        <f t="shared" si="14"/>
        <v>191427.15673116752</v>
      </c>
      <c r="S119" s="19">
        <f t="shared" si="15"/>
        <v>115739.11691430541</v>
      </c>
      <c r="T119" s="14">
        <f t="shared" si="16"/>
        <v>0</v>
      </c>
      <c r="U119" s="18" t="str" cm="1">
        <f t="array" aca="1" ref="U119" ca="1">IF(M119&lt;=$N$1,L119,IF(M119&lt;=($N$1+1),INDIRECT("L"&amp;5+$X$2),""))</f>
        <v/>
      </c>
    </row>
    <row r="120" spans="12:21" hidden="1" x14ac:dyDescent="0.25">
      <c r="L120" s="18">
        <f t="shared" ca="1" si="17"/>
        <v>49715</v>
      </c>
      <c r="M120" s="14">
        <v>115</v>
      </c>
      <c r="N120" s="14">
        <f t="shared" si="10"/>
        <v>0</v>
      </c>
      <c r="O120" s="19">
        <f t="shared" si="11"/>
        <v>204509.77082042102</v>
      </c>
      <c r="P120" s="19">
        <f t="shared" si="12"/>
        <v>119681.5278980419</v>
      </c>
      <c r="Q120" s="14">
        <f t="shared" si="13"/>
        <v>0</v>
      </c>
      <c r="R120" s="19">
        <f t="shared" si="14"/>
        <v>193243.56938344552</v>
      </c>
      <c r="S120" s="19">
        <f t="shared" si="15"/>
        <v>116294.2659074627</v>
      </c>
      <c r="T120" s="14">
        <f t="shared" si="16"/>
        <v>0</v>
      </c>
      <c r="U120" s="18" t="str" cm="1">
        <f t="array" aca="1" ref="U120" ca="1">IF(M120&lt;=$N$1,L120,IF(M120&lt;=($N$1+1),INDIRECT("L"&amp;5+$X$2),""))</f>
        <v/>
      </c>
    </row>
    <row r="121" spans="12:21" hidden="1" x14ac:dyDescent="0.25">
      <c r="L121" s="18">
        <f t="shared" ca="1" si="17"/>
        <v>49744</v>
      </c>
      <c r="M121" s="14">
        <v>116</v>
      </c>
      <c r="N121" s="14">
        <f t="shared" si="10"/>
        <v>0</v>
      </c>
      <c r="O121" s="19">
        <f t="shared" si="11"/>
        <v>206450.32168883499</v>
      </c>
      <c r="P121" s="19">
        <f t="shared" si="12"/>
        <v>120255.58688072201</v>
      </c>
      <c r="Q121" s="14">
        <f t="shared" si="13"/>
        <v>0</v>
      </c>
      <c r="R121" s="19">
        <f t="shared" si="14"/>
        <v>195077.21759926478</v>
      </c>
      <c r="S121" s="19">
        <f t="shared" si="15"/>
        <v>116852.07770307452</v>
      </c>
      <c r="T121" s="14">
        <f t="shared" si="16"/>
        <v>0</v>
      </c>
      <c r="U121" s="18" t="str" cm="1">
        <f t="array" aca="1" ref="U121" ca="1">IF(M121&lt;=$N$1,L121,IF(M121&lt;=($N$1+1),INDIRECT("L"&amp;5+$X$2),""))</f>
        <v/>
      </c>
    </row>
    <row r="122" spans="12:21" hidden="1" x14ac:dyDescent="0.25">
      <c r="L122" s="18">
        <f t="shared" ca="1" si="17"/>
        <v>49775</v>
      </c>
      <c r="M122" s="14">
        <v>117</v>
      </c>
      <c r="N122" s="14">
        <f t="shared" si="10"/>
        <v>0</v>
      </c>
      <c r="O122" s="19">
        <f t="shared" si="11"/>
        <v>208409.28604261842</v>
      </c>
      <c r="P122" s="19">
        <f t="shared" si="12"/>
        <v>120832.39936865386</v>
      </c>
      <c r="Q122" s="14">
        <f t="shared" si="13"/>
        <v>0</v>
      </c>
      <c r="R122" s="19">
        <f t="shared" si="14"/>
        <v>196928.26492331881</v>
      </c>
      <c r="S122" s="19">
        <f t="shared" si="15"/>
        <v>117412.56507341824</v>
      </c>
      <c r="T122" s="14">
        <f t="shared" si="16"/>
        <v>0</v>
      </c>
      <c r="U122" s="18" t="str" cm="1">
        <f t="array" aca="1" ref="U122" ca="1">IF(M122&lt;=$N$1,L122,IF(M122&lt;=($N$1+1),INDIRECT("L"&amp;5+$X$2),""))</f>
        <v/>
      </c>
    </row>
    <row r="123" spans="12:21" hidden="1" x14ac:dyDescent="0.25">
      <c r="L123" s="18">
        <f t="shared" ca="1" si="17"/>
        <v>49805</v>
      </c>
      <c r="M123" s="14">
        <v>118</v>
      </c>
      <c r="N123" s="14">
        <f t="shared" si="10"/>
        <v>0</v>
      </c>
      <c r="O123" s="19">
        <f t="shared" si="11"/>
        <v>210386.83860352114</v>
      </c>
      <c r="P123" s="19">
        <f t="shared" si="12"/>
        <v>121411.97856917563</v>
      </c>
      <c r="Q123" s="14">
        <f t="shared" si="13"/>
        <v>0</v>
      </c>
      <c r="R123" s="19">
        <f t="shared" si="14"/>
        <v>198796.8764521429</v>
      </c>
      <c r="S123" s="19">
        <f t="shared" si="15"/>
        <v>117975.74085203405</v>
      </c>
      <c r="T123" s="14">
        <f t="shared" si="16"/>
        <v>0</v>
      </c>
      <c r="U123" s="18" t="str" cm="1">
        <f t="array" aca="1" ref="U123" ca="1">IF(M123&lt;=$N$1,L123,IF(M123&lt;=($N$1+1),INDIRECT("L"&amp;5+$X$2),""))</f>
        <v/>
      </c>
    </row>
    <row r="124" spans="12:21" hidden="1" x14ac:dyDescent="0.25">
      <c r="L124" s="18">
        <f t="shared" ca="1" si="17"/>
        <v>49836</v>
      </c>
      <c r="M124" s="14">
        <v>119</v>
      </c>
      <c r="N124" s="14">
        <f t="shared" si="10"/>
        <v>0</v>
      </c>
      <c r="O124" s="19">
        <f t="shared" si="11"/>
        <v>212383.15575119152</v>
      </c>
      <c r="P124" s="19">
        <f t="shared" si="12"/>
        <v>121994.33775297533</v>
      </c>
      <c r="Q124" s="14">
        <f t="shared" si="13"/>
        <v>0</v>
      </c>
      <c r="R124" s="19">
        <f t="shared" si="14"/>
        <v>200683.21884883917</v>
      </c>
      <c r="S124" s="19">
        <f t="shared" si="15"/>
        <v>118541.61793401912</v>
      </c>
      <c r="T124" s="14">
        <f t="shared" si="16"/>
        <v>0</v>
      </c>
      <c r="U124" s="18" t="str" cm="1">
        <f t="array" aca="1" ref="U124" ca="1">IF(M124&lt;=$N$1,L124,IF(M124&lt;=($N$1+1),INDIRECT("L"&amp;5+$X$2),""))</f>
        <v/>
      </c>
    </row>
    <row r="125" spans="12:21" hidden="1" x14ac:dyDescent="0.25">
      <c r="L125" s="18">
        <f t="shared" ca="1" si="17"/>
        <v>49866</v>
      </c>
      <c r="M125" s="14">
        <v>120</v>
      </c>
      <c r="N125" s="14">
        <f t="shared" si="10"/>
        <v>0</v>
      </c>
      <c r="O125" s="19">
        <f t="shared" si="11"/>
        <v>214398.4155389079</v>
      </c>
      <c r="P125" s="19">
        <f t="shared" si="12"/>
        <v>122579.49025439452</v>
      </c>
      <c r="Q125" s="14">
        <f t="shared" si="13"/>
        <v>0</v>
      </c>
      <c r="R125" s="19">
        <f t="shared" si="14"/>
        <v>202587.46035794143</v>
      </c>
      <c r="S125" s="19">
        <f t="shared" si="15"/>
        <v>119110.20927632245</v>
      </c>
      <c r="T125" s="14">
        <f t="shared" si="16"/>
        <v>0</v>
      </c>
      <c r="U125" s="18" t="str" cm="1">
        <f t="array" aca="1" ref="U125" ca="1">IF(M125&lt;=$N$1,L125,IF(M125&lt;=($N$1+1),INDIRECT("L"&amp;5+$X$2),""))</f>
        <v/>
      </c>
    </row>
    <row r="126" spans="12:21" hidden="1" x14ac:dyDescent="0.25">
      <c r="L126" s="18">
        <f t="shared" ca="1" si="17"/>
        <v>49897</v>
      </c>
      <c r="M126" s="14">
        <v>121</v>
      </c>
      <c r="N126" s="14">
        <f t="shared" si="10"/>
        <v>0</v>
      </c>
      <c r="O126" s="19">
        <f t="shared" si="11"/>
        <v>216432.79770945924</v>
      </c>
      <c r="P126" s="19">
        <f t="shared" si="12"/>
        <v>123167.44947173369</v>
      </c>
      <c r="Q126" s="14">
        <f t="shared" si="13"/>
        <v>0</v>
      </c>
      <c r="R126" s="19">
        <f t="shared" si="14"/>
        <v>204509.77082042102</v>
      </c>
      <c r="S126" s="19">
        <f t="shared" si="15"/>
        <v>119681.5278980419</v>
      </c>
      <c r="T126" s="14">
        <f t="shared" si="16"/>
        <v>0</v>
      </c>
      <c r="U126" s="18" t="str" cm="1">
        <f t="array" aca="1" ref="U126" ca="1">IF(M126&lt;=$N$1,L126,IF(M126&lt;=($N$1+1),INDIRECT("L"&amp;5+$X$2),""))</f>
        <v/>
      </c>
    </row>
    <row r="127" spans="12:21" hidden="1" x14ac:dyDescent="0.25">
      <c r="L127" s="18">
        <f t="shared" ca="1" si="17"/>
        <v>49928</v>
      </c>
      <c r="M127" s="14">
        <v>122</v>
      </c>
      <c r="N127" s="14">
        <f t="shared" si="10"/>
        <v>0</v>
      </c>
      <c r="O127" s="19">
        <f t="shared" si="11"/>
        <v>218486.48371117684</v>
      </c>
      <c r="P127" s="19">
        <f t="shared" si="12"/>
        <v>123758.228867559</v>
      </c>
      <c r="Q127" s="14">
        <f t="shared" si="13"/>
        <v>0</v>
      </c>
      <c r="R127" s="19">
        <f t="shared" si="14"/>
        <v>206450.32168883499</v>
      </c>
      <c r="S127" s="19">
        <f t="shared" si="15"/>
        <v>120255.58688072201</v>
      </c>
      <c r="T127" s="14">
        <f t="shared" si="16"/>
        <v>0</v>
      </c>
      <c r="U127" s="18" t="str" cm="1">
        <f t="array" aca="1" ref="U127" ca="1">IF(M127&lt;=$N$1,L127,IF(M127&lt;=($N$1+1),INDIRECT("L"&amp;5+$X$2),""))</f>
        <v/>
      </c>
    </row>
    <row r="128" spans="12:21" hidden="1" x14ac:dyDescent="0.25">
      <c r="L128" s="18">
        <f t="shared" ca="1" si="17"/>
        <v>49958</v>
      </c>
      <c r="M128" s="14">
        <v>123</v>
      </c>
      <c r="N128" s="14">
        <f t="shared" si="10"/>
        <v>0</v>
      </c>
      <c r="O128" s="19">
        <f t="shared" si="11"/>
        <v>220559.65671411736</v>
      </c>
      <c r="P128" s="19">
        <f t="shared" si="12"/>
        <v>124351.84196901048</v>
      </c>
      <c r="Q128" s="14">
        <f t="shared" si="13"/>
        <v>0</v>
      </c>
      <c r="R128" s="19">
        <f t="shared" si="14"/>
        <v>208409.28604261842</v>
      </c>
      <c r="S128" s="19">
        <f t="shared" si="15"/>
        <v>120832.39936865386</v>
      </c>
      <c r="T128" s="14">
        <f t="shared" si="16"/>
        <v>0</v>
      </c>
      <c r="U128" s="18" t="str" cm="1">
        <f t="array" aca="1" ref="U128" ca="1">IF(M128&lt;=$N$1,L128,IF(M128&lt;=($N$1+1),INDIRECT("L"&amp;5+$X$2),""))</f>
        <v/>
      </c>
    </row>
    <row r="129" spans="12:21" hidden="1" x14ac:dyDescent="0.25">
      <c r="L129" s="18">
        <f t="shared" ca="1" si="17"/>
        <v>49989</v>
      </c>
      <c r="M129" s="14">
        <v>124</v>
      </c>
      <c r="N129" s="14">
        <f t="shared" si="10"/>
        <v>0</v>
      </c>
      <c r="O129" s="19">
        <f t="shared" si="11"/>
        <v>222652.50162640036</v>
      </c>
      <c r="P129" s="19">
        <f t="shared" si="12"/>
        <v>124948.30236811189</v>
      </c>
      <c r="Q129" s="14">
        <f t="shared" si="13"/>
        <v>0</v>
      </c>
      <c r="R129" s="19">
        <f t="shared" si="14"/>
        <v>210386.83860352114</v>
      </c>
      <c r="S129" s="19">
        <f t="shared" si="15"/>
        <v>121411.97856917563</v>
      </c>
      <c r="T129" s="14">
        <f t="shared" si="16"/>
        <v>0</v>
      </c>
      <c r="U129" s="18" t="str" cm="1">
        <f t="array" aca="1" ref="U129" ca="1">IF(M129&lt;=$N$1,L129,IF(M129&lt;=($N$1+1),INDIRECT("L"&amp;5+$X$2),""))</f>
        <v/>
      </c>
    </row>
    <row r="130" spans="12:21" hidden="1" x14ac:dyDescent="0.25">
      <c r="L130" s="18">
        <f t="shared" ca="1" si="17"/>
        <v>50019</v>
      </c>
      <c r="M130" s="14">
        <v>125</v>
      </c>
      <c r="N130" s="14">
        <f t="shared" si="10"/>
        <v>0</v>
      </c>
      <c r="O130" s="19">
        <f t="shared" si="11"/>
        <v>224765.20511070019</v>
      </c>
      <c r="P130" s="19">
        <f t="shared" si="12"/>
        <v>125547.62372208187</v>
      </c>
      <c r="Q130" s="14">
        <f t="shared" si="13"/>
        <v>0</v>
      </c>
      <c r="R130" s="19">
        <f t="shared" si="14"/>
        <v>212383.15575119152</v>
      </c>
      <c r="S130" s="19">
        <f t="shared" si="15"/>
        <v>121994.33775297533</v>
      </c>
      <c r="T130" s="14">
        <f t="shared" si="16"/>
        <v>0</v>
      </c>
      <c r="U130" s="18" t="str" cm="1">
        <f t="array" aca="1" ref="U130" ca="1">IF(M130&lt;=$N$1,L130,IF(M130&lt;=($N$1+1),INDIRECT("L"&amp;5+$X$2),""))</f>
        <v/>
      </c>
    </row>
    <row r="131" spans="12:21" hidden="1" x14ac:dyDescent="0.25">
      <c r="L131" s="18">
        <f t="shared" ca="1" si="17"/>
        <v>50050</v>
      </c>
      <c r="M131" s="14">
        <v>126</v>
      </c>
      <c r="N131" s="14">
        <f t="shared" si="10"/>
        <v>0</v>
      </c>
      <c r="O131" s="19">
        <f t="shared" si="11"/>
        <v>226897.95560089473</v>
      </c>
      <c r="P131" s="19">
        <f t="shared" si="12"/>
        <v>126149.81975364663</v>
      </c>
      <c r="Q131" s="14">
        <f t="shared" si="13"/>
        <v>0</v>
      </c>
      <c r="R131" s="19">
        <f t="shared" si="14"/>
        <v>214398.4155389079</v>
      </c>
      <c r="S131" s="19">
        <f t="shared" si="15"/>
        <v>122579.49025439452</v>
      </c>
      <c r="T131" s="14">
        <f t="shared" si="16"/>
        <v>0</v>
      </c>
      <c r="U131" s="18" t="str" cm="1">
        <f t="array" aca="1" ref="U131" ca="1">IF(M131&lt;=$N$1,L131,IF(M131&lt;=($N$1+1),INDIRECT("L"&amp;5+$X$2),""))</f>
        <v/>
      </c>
    </row>
    <row r="132" spans="12:21" hidden="1" x14ac:dyDescent="0.25">
      <c r="L132" s="18">
        <f t="shared" ca="1" si="17"/>
        <v>50081</v>
      </c>
      <c r="M132" s="14">
        <v>127</v>
      </c>
      <c r="N132" s="14">
        <f t="shared" si="10"/>
        <v>0</v>
      </c>
      <c r="O132" s="19">
        <f t="shared" si="11"/>
        <v>229050.94331887187</v>
      </c>
      <c r="P132" s="19">
        <f t="shared" si="12"/>
        <v>126754.90425135424</v>
      </c>
      <c r="Q132" s="14">
        <f t="shared" si="13"/>
        <v>0</v>
      </c>
      <c r="R132" s="19">
        <f t="shared" si="14"/>
        <v>216432.79770945924</v>
      </c>
      <c r="S132" s="19">
        <f t="shared" si="15"/>
        <v>123167.44947173369</v>
      </c>
      <c r="T132" s="14">
        <f t="shared" si="16"/>
        <v>0</v>
      </c>
      <c r="U132" s="18" t="str" cm="1">
        <f t="array" aca="1" ref="U132" ca="1">IF(M132&lt;=$N$1,L132,IF(M132&lt;=($N$1+1),INDIRECT("L"&amp;5+$X$2),""))</f>
        <v/>
      </c>
    </row>
    <row r="133" spans="12:21" hidden="1" x14ac:dyDescent="0.25">
      <c r="L133" s="18">
        <f t="shared" ca="1" si="17"/>
        <v>50109</v>
      </c>
      <c r="M133" s="14">
        <v>128</v>
      </c>
      <c r="N133" s="14">
        <f t="shared" si="10"/>
        <v>0</v>
      </c>
      <c r="O133" s="19">
        <f t="shared" si="11"/>
        <v>231224.36029149554</v>
      </c>
      <c r="P133" s="19">
        <f t="shared" si="12"/>
        <v>127362.89106989016</v>
      </c>
      <c r="Q133" s="14">
        <f t="shared" si="13"/>
        <v>0</v>
      </c>
      <c r="R133" s="19">
        <f t="shared" si="14"/>
        <v>218486.48371117684</v>
      </c>
      <c r="S133" s="19">
        <f t="shared" si="15"/>
        <v>123758.228867559</v>
      </c>
      <c r="T133" s="14">
        <f t="shared" si="16"/>
        <v>0</v>
      </c>
      <c r="U133" s="18" t="str" cm="1">
        <f t="array" aca="1" ref="U133" ca="1">IF(M133&lt;=$N$1,L133,IF(M133&lt;=($N$1+1),INDIRECT("L"&amp;5+$X$2),""))</f>
        <v/>
      </c>
    </row>
    <row r="134" spans="12:21" hidden="1" x14ac:dyDescent="0.25">
      <c r="L134" s="18">
        <f t="shared" ca="1" si="17"/>
        <v>50140</v>
      </c>
      <c r="M134" s="14">
        <v>129</v>
      </c>
      <c r="N134" s="14">
        <f t="shared" ref="N134:N197" si="18">IF($N$1&gt;=M134,SIPMonthlyPmt*M134,0)</f>
        <v>0</v>
      </c>
      <c r="O134" s="19">
        <f t="shared" ref="O134:O197" si="19">IF($X$2&gt;=M134,IF(M134&lt;=$N$1,FV(SRate,M134,-SIPMonthlyPmt,0,1),FV(SRate,M134-$N$1,0,-$X$1,1)),0)</f>
        <v>233418.40036773297</v>
      </c>
      <c r="P134" s="19">
        <f t="shared" ref="P134:P197" si="20">O134/((1+SIPInflationRate)^(M134/12))</f>
        <v>127973.79413039479</v>
      </c>
      <c r="Q134" s="14">
        <f t="shared" ref="Q134:Q197" si="21">IF((M134-$C$15)&gt;0, IF($N$1+$C$15&gt;=M134,SIPMonthlyPmt*(M134-$C$15),0),0)</f>
        <v>0</v>
      </c>
      <c r="R134" s="19">
        <f t="shared" ref="R134:R197" si="22">IF(M134&lt;=$C$15,0,IF($X$2&gt;=M134,IF(M134&lt;=($N$1+$C$15),FV(SRate,M134-$C$15,-SIPMonthlyPmt,0,1),FV(SRate,M134-$N$1-$C$15,0,-$X$1,1)),0))</f>
        <v>220559.65671411736</v>
      </c>
      <c r="S134" s="19">
        <f t="shared" ref="S134:S197" si="23">R134/((1+SIPInflationRate)^((M134-$C$15)/12))</f>
        <v>124351.84196901048</v>
      </c>
      <c r="T134" s="14">
        <f t="shared" ref="T134:T197" si="24">IF(M134&lt;=$N$1,-SIPMonthlyPmt,IF(M134&lt;=($N$1+1),$X$4,0))</f>
        <v>0</v>
      </c>
      <c r="U134" s="18" t="str" cm="1">
        <f t="array" aca="1" ref="U134" ca="1">IF(M134&lt;=$N$1,L134,IF(M134&lt;=($N$1+1),INDIRECT("L"&amp;5+$X$2),""))</f>
        <v/>
      </c>
    </row>
    <row r="135" spans="12:21" hidden="1" x14ac:dyDescent="0.25">
      <c r="L135" s="18">
        <f t="shared" ca="1" si="17"/>
        <v>50170</v>
      </c>
      <c r="M135" s="14">
        <v>130</v>
      </c>
      <c r="N135" s="14">
        <f t="shared" si="18"/>
        <v>0</v>
      </c>
      <c r="O135" s="19">
        <f t="shared" si="19"/>
        <v>235633.25923594405</v>
      </c>
      <c r="P135" s="19">
        <f t="shared" si="20"/>
        <v>128587.62742078192</v>
      </c>
      <c r="Q135" s="14">
        <f t="shared" si="21"/>
        <v>0</v>
      </c>
      <c r="R135" s="19">
        <f t="shared" si="22"/>
        <v>222652.50162640036</v>
      </c>
      <c r="S135" s="19">
        <f t="shared" si="23"/>
        <v>124948.30236811189</v>
      </c>
      <c r="T135" s="14">
        <f t="shared" si="24"/>
        <v>0</v>
      </c>
      <c r="U135" s="18" t="str" cm="1">
        <f t="array" aca="1" ref="U135" ca="1">IF(M135&lt;=$N$1,L135,IF(M135&lt;=($N$1+1),INDIRECT("L"&amp;5+$X$2),""))</f>
        <v/>
      </c>
    </row>
    <row r="136" spans="12:21" hidden="1" x14ac:dyDescent="0.25">
      <c r="L136" s="18">
        <f t="shared" ca="1" si="17"/>
        <v>50201</v>
      </c>
      <c r="M136" s="14">
        <v>131</v>
      </c>
      <c r="N136" s="14">
        <f t="shared" si="18"/>
        <v>0</v>
      </c>
      <c r="O136" s="19">
        <f t="shared" si="19"/>
        <v>237869.13444133484</v>
      </c>
      <c r="P136" s="19">
        <f t="shared" si="20"/>
        <v>129204.40499605915</v>
      </c>
      <c r="Q136" s="14">
        <f t="shared" si="21"/>
        <v>0</v>
      </c>
      <c r="R136" s="19">
        <f t="shared" si="22"/>
        <v>224765.20511070019</v>
      </c>
      <c r="S136" s="19">
        <f t="shared" si="23"/>
        <v>125547.62372208187</v>
      </c>
      <c r="T136" s="14">
        <f t="shared" si="24"/>
        <v>0</v>
      </c>
      <c r="U136" s="18" t="str" cm="1">
        <f t="array" aca="1" ref="U136" ca="1">IF(M136&lt;=$N$1,L136,IF(M136&lt;=($N$1+1),INDIRECT("L"&amp;5+$X$2),""))</f>
        <v/>
      </c>
    </row>
    <row r="137" spans="12:21" hidden="1" x14ac:dyDescent="0.25">
      <c r="L137" s="18">
        <f t="shared" ref="L137:L200" ca="1" si="25">EDATE(L136,1)</f>
        <v>50231</v>
      </c>
      <c r="M137" s="14">
        <v>132</v>
      </c>
      <c r="N137" s="14">
        <f t="shared" si="18"/>
        <v>0</v>
      </c>
      <c r="O137" s="19">
        <f t="shared" si="19"/>
        <v>240126.22540357715</v>
      </c>
      <c r="P137" s="19">
        <f t="shared" si="20"/>
        <v>129824.14097864967</v>
      </c>
      <c r="Q137" s="14">
        <f t="shared" si="21"/>
        <v>0</v>
      </c>
      <c r="R137" s="19">
        <f t="shared" si="22"/>
        <v>226897.95560089473</v>
      </c>
      <c r="S137" s="19">
        <f t="shared" si="23"/>
        <v>126149.81975364663</v>
      </c>
      <c r="T137" s="14">
        <f t="shared" si="24"/>
        <v>0</v>
      </c>
      <c r="U137" s="18" t="str" cm="1">
        <f t="array" aca="1" ref="U137" ca="1">IF(M137&lt;=$N$1,L137,IF(M137&lt;=($N$1+1),INDIRECT("L"&amp;5+$X$2),""))</f>
        <v/>
      </c>
    </row>
    <row r="138" spans="12:21" hidden="1" x14ac:dyDescent="0.25">
      <c r="L138" s="18">
        <f t="shared" ca="1" si="25"/>
        <v>50262</v>
      </c>
      <c r="M138" s="14">
        <v>133</v>
      </c>
      <c r="N138" s="14">
        <f t="shared" si="18"/>
        <v>0</v>
      </c>
      <c r="O138" s="19">
        <f t="shared" si="19"/>
        <v>242404.7334345947</v>
      </c>
      <c r="P138" s="19">
        <f t="shared" si="20"/>
        <v>130446.84955871575</v>
      </c>
      <c r="Q138" s="14">
        <f t="shared" si="21"/>
        <v>0</v>
      </c>
      <c r="R138" s="19">
        <f t="shared" si="22"/>
        <v>229050.94331887187</v>
      </c>
      <c r="S138" s="19">
        <f t="shared" si="23"/>
        <v>126754.90425135424</v>
      </c>
      <c r="T138" s="14">
        <f t="shared" si="24"/>
        <v>0</v>
      </c>
      <c r="U138" s="18" t="str" cm="1">
        <f t="array" aca="1" ref="U138" ca="1">IF(M138&lt;=$N$1,L138,IF(M138&lt;=($N$1+1),INDIRECT("L"&amp;5+$X$2),""))</f>
        <v/>
      </c>
    </row>
    <row r="139" spans="12:21" hidden="1" x14ac:dyDescent="0.25">
      <c r="L139" s="18">
        <f t="shared" ca="1" si="25"/>
        <v>50293</v>
      </c>
      <c r="M139" s="14">
        <v>134</v>
      </c>
      <c r="N139" s="14">
        <f t="shared" si="18"/>
        <v>0</v>
      </c>
      <c r="O139" s="19">
        <f t="shared" si="19"/>
        <v>244704.8617565184</v>
      </c>
      <c r="P139" s="19">
        <f t="shared" si="20"/>
        <v>131072.54499448347</v>
      </c>
      <c r="Q139" s="14">
        <f t="shared" si="21"/>
        <v>0</v>
      </c>
      <c r="R139" s="19">
        <f t="shared" si="22"/>
        <v>231224.36029149554</v>
      </c>
      <c r="S139" s="19">
        <f t="shared" si="23"/>
        <v>127362.89106989016</v>
      </c>
      <c r="T139" s="14">
        <f t="shared" si="24"/>
        <v>0</v>
      </c>
      <c r="U139" s="18" t="str" cm="1">
        <f t="array" aca="1" ref="U139" ca="1">IF(M139&lt;=$N$1,L139,IF(M139&lt;=($N$1+1),INDIRECT("L"&amp;5+$X$2),""))</f>
        <v/>
      </c>
    </row>
    <row r="140" spans="12:21" hidden="1" x14ac:dyDescent="0.25">
      <c r="L140" s="18">
        <f t="shared" ca="1" si="25"/>
        <v>50323</v>
      </c>
      <c r="M140" s="14">
        <v>135</v>
      </c>
      <c r="N140" s="14">
        <f t="shared" si="18"/>
        <v>0</v>
      </c>
      <c r="O140" s="19">
        <f t="shared" si="19"/>
        <v>247026.81551981176</v>
      </c>
      <c r="P140" s="19">
        <f t="shared" si="20"/>
        <v>131701.24161256917</v>
      </c>
      <c r="Q140" s="14">
        <f t="shared" si="21"/>
        <v>0</v>
      </c>
      <c r="R140" s="19">
        <f t="shared" si="22"/>
        <v>233418.40036773297</v>
      </c>
      <c r="S140" s="19">
        <f t="shared" si="23"/>
        <v>127973.79413039479</v>
      </c>
      <c r="T140" s="14">
        <f t="shared" si="24"/>
        <v>0</v>
      </c>
      <c r="U140" s="18" t="str" cm="1">
        <f t="array" aca="1" ref="U140" ca="1">IF(M140&lt;=$N$1,L140,IF(M140&lt;=($N$1+1),INDIRECT("L"&amp;5+$X$2),""))</f>
        <v/>
      </c>
    </row>
    <row r="141" spans="12:21" hidden="1" x14ac:dyDescent="0.25">
      <c r="L141" s="18">
        <f t="shared" ca="1" si="25"/>
        <v>50354</v>
      </c>
      <c r="M141" s="14">
        <v>136</v>
      </c>
      <c r="N141" s="14">
        <f t="shared" si="18"/>
        <v>0</v>
      </c>
      <c r="O141" s="19">
        <f t="shared" si="19"/>
        <v>249370.80182156872</v>
      </c>
      <c r="P141" s="19">
        <f t="shared" si="20"/>
        <v>132332.95380830776</v>
      </c>
      <c r="Q141" s="14">
        <f t="shared" si="21"/>
        <v>0</v>
      </c>
      <c r="R141" s="19">
        <f t="shared" si="22"/>
        <v>235633.25923594405</v>
      </c>
      <c r="S141" s="19">
        <f t="shared" si="23"/>
        <v>128587.62742078192</v>
      </c>
      <c r="T141" s="14">
        <f t="shared" si="24"/>
        <v>0</v>
      </c>
      <c r="U141" s="18" t="str" cm="1">
        <f t="array" aca="1" ref="U141" ca="1">IF(M141&lt;=$N$1,L141,IF(M141&lt;=($N$1+1),INDIRECT("L"&amp;5+$X$2),""))</f>
        <v/>
      </c>
    </row>
    <row r="142" spans="12:21" hidden="1" x14ac:dyDescent="0.25">
      <c r="L142" s="18">
        <f t="shared" ca="1" si="25"/>
        <v>50384</v>
      </c>
      <c r="M142" s="14">
        <v>137</v>
      </c>
      <c r="N142" s="14">
        <f t="shared" si="18"/>
        <v>0</v>
      </c>
      <c r="O142" s="19">
        <f t="shared" si="19"/>
        <v>251737.02972398451</v>
      </c>
      <c r="P142" s="19">
        <f t="shared" si="20"/>
        <v>132967.69604608213</v>
      </c>
      <c r="Q142" s="14">
        <f t="shared" si="21"/>
        <v>0</v>
      </c>
      <c r="R142" s="19">
        <f t="shared" si="22"/>
        <v>237869.13444133484</v>
      </c>
      <c r="S142" s="19">
        <f t="shared" si="23"/>
        <v>129204.40499605915</v>
      </c>
      <c r="T142" s="14">
        <f t="shared" si="24"/>
        <v>0</v>
      </c>
      <c r="U142" s="18" t="str" cm="1">
        <f t="array" aca="1" ref="U142" ca="1">IF(M142&lt;=$N$1,L142,IF(M142&lt;=($N$1+1),INDIRECT("L"&amp;5+$X$2),""))</f>
        <v/>
      </c>
    </row>
    <row r="143" spans="12:21" hidden="1" x14ac:dyDescent="0.25">
      <c r="L143" s="18">
        <f t="shared" ca="1" si="25"/>
        <v>50415</v>
      </c>
      <c r="M143" s="14">
        <v>138</v>
      </c>
      <c r="N143" s="14">
        <f t="shared" si="18"/>
        <v>0</v>
      </c>
      <c r="O143" s="19">
        <f t="shared" si="19"/>
        <v>254125.71027300242</v>
      </c>
      <c r="P143" s="19">
        <f t="shared" si="20"/>
        <v>133605.48285965429</v>
      </c>
      <c r="Q143" s="14">
        <f t="shared" si="21"/>
        <v>0</v>
      </c>
      <c r="R143" s="19">
        <f t="shared" si="22"/>
        <v>240126.22540357715</v>
      </c>
      <c r="S143" s="19">
        <f t="shared" si="23"/>
        <v>129824.14097864967</v>
      </c>
      <c r="T143" s="14">
        <f t="shared" si="24"/>
        <v>0</v>
      </c>
      <c r="U143" s="18" t="str" cm="1">
        <f t="array" aca="1" ref="U143" ca="1">IF(M143&lt;=$N$1,L143,IF(M143&lt;=($N$1+1),INDIRECT("L"&amp;5+$X$2),""))</f>
        <v/>
      </c>
    </row>
    <row r="144" spans="12:21" hidden="1" x14ac:dyDescent="0.25">
      <c r="L144" s="18">
        <f t="shared" ca="1" si="25"/>
        <v>50446</v>
      </c>
      <c r="M144" s="14">
        <v>139</v>
      </c>
      <c r="N144" s="14">
        <f t="shared" si="18"/>
        <v>0</v>
      </c>
      <c r="O144" s="19">
        <f t="shared" si="19"/>
        <v>256537.05651713681</v>
      </c>
      <c r="P144" s="19">
        <f t="shared" si="20"/>
        <v>134246.32885249823</v>
      </c>
      <c r="Q144" s="14">
        <f t="shared" si="21"/>
        <v>0</v>
      </c>
      <c r="R144" s="19">
        <f t="shared" si="22"/>
        <v>242404.7334345947</v>
      </c>
      <c r="S144" s="19">
        <f t="shared" si="23"/>
        <v>130446.84955871575</v>
      </c>
      <c r="T144" s="14">
        <f t="shared" si="24"/>
        <v>0</v>
      </c>
      <c r="U144" s="18" t="str" cm="1">
        <f t="array" aca="1" ref="U144" ca="1">IF(M144&lt;=$N$1,L144,IF(M144&lt;=($N$1+1),INDIRECT("L"&amp;5+$X$2),""))</f>
        <v/>
      </c>
    </row>
    <row r="145" spans="12:21" hidden="1" x14ac:dyDescent="0.25">
      <c r="L145" s="18">
        <f t="shared" ca="1" si="25"/>
        <v>50474</v>
      </c>
      <c r="M145" s="14">
        <v>140</v>
      </c>
      <c r="N145" s="14">
        <f t="shared" si="18"/>
        <v>0</v>
      </c>
      <c r="O145" s="19">
        <f t="shared" si="19"/>
        <v>258971.28352647534</v>
      </c>
      <c r="P145" s="19">
        <f t="shared" si="20"/>
        <v>134890.24869813444</v>
      </c>
      <c r="Q145" s="14">
        <f t="shared" si="21"/>
        <v>0</v>
      </c>
      <c r="R145" s="19">
        <f t="shared" si="22"/>
        <v>244704.8617565184</v>
      </c>
      <c r="S145" s="19">
        <f t="shared" si="23"/>
        <v>131072.54499448347</v>
      </c>
      <c r="T145" s="14">
        <f t="shared" si="24"/>
        <v>0</v>
      </c>
      <c r="U145" s="18" t="str" cm="1">
        <f t="array" aca="1" ref="U145" ca="1">IF(M145&lt;=$N$1,L145,IF(M145&lt;=($N$1+1),INDIRECT("L"&amp;5+$X$2),""))</f>
        <v/>
      </c>
    </row>
    <row r="146" spans="12:21" hidden="1" x14ac:dyDescent="0.25">
      <c r="L146" s="18">
        <f t="shared" ca="1" si="25"/>
        <v>50505</v>
      </c>
      <c r="M146" s="14">
        <v>141</v>
      </c>
      <c r="N146" s="14">
        <f t="shared" si="18"/>
        <v>0</v>
      </c>
      <c r="O146" s="19">
        <f t="shared" si="19"/>
        <v>261428.60841186126</v>
      </c>
      <c r="P146" s="19">
        <f t="shared" si="20"/>
        <v>135537.25714046555</v>
      </c>
      <c r="Q146" s="14">
        <f t="shared" si="21"/>
        <v>0</v>
      </c>
      <c r="R146" s="19">
        <f t="shared" si="22"/>
        <v>247026.81551981176</v>
      </c>
      <c r="S146" s="19">
        <f t="shared" si="23"/>
        <v>131701.24161256917</v>
      </c>
      <c r="T146" s="14">
        <f t="shared" si="24"/>
        <v>0</v>
      </c>
      <c r="U146" s="18" t="str" cm="1">
        <f t="array" aca="1" ref="U146" ca="1">IF(M146&lt;=$N$1,L146,IF(M146&lt;=($N$1+1),INDIRECT("L"&amp;5+$X$2),""))</f>
        <v/>
      </c>
    </row>
    <row r="147" spans="12:21" hidden="1" x14ac:dyDescent="0.25">
      <c r="L147" s="18">
        <f t="shared" ca="1" si="25"/>
        <v>50535</v>
      </c>
      <c r="M147" s="14">
        <v>142</v>
      </c>
      <c r="N147" s="14">
        <f t="shared" si="18"/>
        <v>0</v>
      </c>
      <c r="O147" s="19">
        <f t="shared" si="19"/>
        <v>263909.25034425757</v>
      </c>
      <c r="P147" s="19">
        <f t="shared" si="20"/>
        <v>136187.36899411431</v>
      </c>
      <c r="Q147" s="14">
        <f t="shared" si="21"/>
        <v>0</v>
      </c>
      <c r="R147" s="19">
        <f t="shared" si="22"/>
        <v>249370.80182156872</v>
      </c>
      <c r="S147" s="19">
        <f t="shared" si="23"/>
        <v>132332.95380830776</v>
      </c>
      <c r="T147" s="14">
        <f t="shared" si="24"/>
        <v>0</v>
      </c>
      <c r="U147" s="18" t="str" cm="1">
        <f t="array" aca="1" ref="U147" ca="1">IF(M147&lt;=$N$1,L147,IF(M147&lt;=($N$1+1),INDIRECT("L"&amp;5+$X$2),""))</f>
        <v/>
      </c>
    </row>
    <row r="148" spans="12:21" hidden="1" x14ac:dyDescent="0.25">
      <c r="L148" s="18">
        <f t="shared" ca="1" si="25"/>
        <v>50566</v>
      </c>
      <c r="M148" s="14">
        <v>143</v>
      </c>
      <c r="N148" s="14">
        <f t="shared" si="18"/>
        <v>0</v>
      </c>
      <c r="O148" s="19">
        <f t="shared" si="19"/>
        <v>266413.43057429529</v>
      </c>
      <c r="P148" s="19">
        <f t="shared" si="20"/>
        <v>136840.59914476253</v>
      </c>
      <c r="Q148" s="14">
        <f t="shared" si="21"/>
        <v>0</v>
      </c>
      <c r="R148" s="19">
        <f t="shared" si="22"/>
        <v>251737.02972398451</v>
      </c>
      <c r="S148" s="19">
        <f t="shared" si="23"/>
        <v>132967.69604608213</v>
      </c>
      <c r="T148" s="14">
        <f t="shared" si="24"/>
        <v>0</v>
      </c>
      <c r="U148" s="18" t="str" cm="1">
        <f t="array" aca="1" ref="U148" ca="1">IF(M148&lt;=$N$1,L148,IF(M148&lt;=($N$1+1),INDIRECT("L"&amp;5+$X$2),""))</f>
        <v/>
      </c>
    </row>
    <row r="149" spans="12:21" hidden="1" x14ac:dyDescent="0.25">
      <c r="L149" s="18">
        <f t="shared" ca="1" si="25"/>
        <v>50596</v>
      </c>
      <c r="M149" s="14">
        <v>144</v>
      </c>
      <c r="N149" s="14">
        <f t="shared" si="18"/>
        <v>0</v>
      </c>
      <c r="O149" s="19">
        <f t="shared" si="19"/>
        <v>268941.37245200673</v>
      </c>
      <c r="P149" s="19">
        <f t="shared" si="20"/>
        <v>137496.96254949199</v>
      </c>
      <c r="Q149" s="14">
        <f t="shared" si="21"/>
        <v>0</v>
      </c>
      <c r="R149" s="19">
        <f t="shared" si="22"/>
        <v>254125.71027300242</v>
      </c>
      <c r="S149" s="19">
        <f t="shared" si="23"/>
        <v>133605.48285965429</v>
      </c>
      <c r="T149" s="14">
        <f t="shared" si="24"/>
        <v>0</v>
      </c>
      <c r="U149" s="18" t="str" cm="1">
        <f t="array" aca="1" ref="U149" ca="1">IF(M149&lt;=$N$1,L149,IF(M149&lt;=($N$1+1),INDIRECT("L"&amp;5+$X$2),""))</f>
        <v/>
      </c>
    </row>
    <row r="150" spans="12:21" hidden="1" x14ac:dyDescent="0.25">
      <c r="L150" s="18">
        <f t="shared" ca="1" si="25"/>
        <v>50627</v>
      </c>
      <c r="M150" s="14">
        <v>145</v>
      </c>
      <c r="N150" s="14">
        <f t="shared" si="18"/>
        <v>0</v>
      </c>
      <c r="O150" s="19">
        <f t="shared" si="19"/>
        <v>271493.30144674645</v>
      </c>
      <c r="P150" s="19">
        <f t="shared" si="20"/>
        <v>138156.47423712703</v>
      </c>
      <c r="Q150" s="14">
        <f t="shared" si="21"/>
        <v>0</v>
      </c>
      <c r="R150" s="19">
        <f t="shared" si="22"/>
        <v>256537.05651713681</v>
      </c>
      <c r="S150" s="19">
        <f t="shared" si="23"/>
        <v>134246.32885249823</v>
      </c>
      <c r="T150" s="14">
        <f t="shared" si="24"/>
        <v>0</v>
      </c>
      <c r="U150" s="18" t="str" cm="1">
        <f t="array" aca="1" ref="U150" ca="1">IF(M150&lt;=$N$1,L150,IF(M150&lt;=($N$1+1),INDIRECT("L"&amp;5+$X$2),""))</f>
        <v/>
      </c>
    </row>
    <row r="151" spans="12:21" hidden="1" x14ac:dyDescent="0.25">
      <c r="L151" s="18">
        <f t="shared" ca="1" si="25"/>
        <v>50658</v>
      </c>
      <c r="M151" s="14">
        <v>146</v>
      </c>
      <c r="N151" s="14">
        <f t="shared" si="18"/>
        <v>0</v>
      </c>
      <c r="O151" s="19">
        <f t="shared" si="19"/>
        <v>274069.44516730093</v>
      </c>
      <c r="P151" s="19">
        <f t="shared" si="20"/>
        <v>138819.14930857837</v>
      </c>
      <c r="Q151" s="14">
        <f t="shared" si="21"/>
        <v>0</v>
      </c>
      <c r="R151" s="19">
        <f t="shared" si="22"/>
        <v>258971.28352647534</v>
      </c>
      <c r="S151" s="19">
        <f t="shared" si="23"/>
        <v>134890.24869813444</v>
      </c>
      <c r="T151" s="14">
        <f t="shared" si="24"/>
        <v>0</v>
      </c>
      <c r="U151" s="18" t="str" cm="1">
        <f t="array" aca="1" ref="U151" ca="1">IF(M151&lt;=$N$1,L151,IF(M151&lt;=($N$1+1),INDIRECT("L"&amp;5+$X$2),""))</f>
        <v/>
      </c>
    </row>
    <row r="152" spans="12:21" hidden="1" x14ac:dyDescent="0.25">
      <c r="L152" s="18">
        <f t="shared" ca="1" si="25"/>
        <v>50688</v>
      </c>
      <c r="M152" s="14">
        <v>147</v>
      </c>
      <c r="N152" s="14">
        <f t="shared" si="18"/>
        <v>0</v>
      </c>
      <c r="O152" s="19">
        <f t="shared" si="19"/>
        <v>276670.03338218952</v>
      </c>
      <c r="P152" s="19">
        <f t="shared" si="20"/>
        <v>139485.00293718925</v>
      </c>
      <c r="Q152" s="14">
        <f t="shared" si="21"/>
        <v>0</v>
      </c>
      <c r="R152" s="19">
        <f t="shared" si="22"/>
        <v>261428.60841186126</v>
      </c>
      <c r="S152" s="19">
        <f t="shared" si="23"/>
        <v>135537.25714046555</v>
      </c>
      <c r="T152" s="14">
        <f t="shared" si="24"/>
        <v>0</v>
      </c>
      <c r="U152" s="18" t="str" cm="1">
        <f t="array" aca="1" ref="U152" ca="1">IF(M152&lt;=$N$1,L152,IF(M152&lt;=($N$1+1),INDIRECT("L"&amp;5+$X$2),""))</f>
        <v/>
      </c>
    </row>
    <row r="153" spans="12:21" hidden="1" x14ac:dyDescent="0.25">
      <c r="L153" s="18">
        <f t="shared" ca="1" si="25"/>
        <v>50719</v>
      </c>
      <c r="M153" s="14">
        <v>148</v>
      </c>
      <c r="N153" s="14">
        <f t="shared" si="18"/>
        <v>0</v>
      </c>
      <c r="O153" s="19">
        <f t="shared" si="19"/>
        <v>279295.2980401573</v>
      </c>
      <c r="P153" s="19">
        <f t="shared" si="20"/>
        <v>140154.05036908263</v>
      </c>
      <c r="Q153" s="14">
        <f t="shared" si="21"/>
        <v>0</v>
      </c>
      <c r="R153" s="19">
        <f t="shared" si="22"/>
        <v>263909.25034425757</v>
      </c>
      <c r="S153" s="19">
        <f t="shared" si="23"/>
        <v>136187.36899411431</v>
      </c>
      <c r="T153" s="14">
        <f t="shared" si="24"/>
        <v>0</v>
      </c>
      <c r="U153" s="18" t="str" cm="1">
        <f t="array" aca="1" ref="U153" ca="1">IF(M153&lt;=$N$1,L153,IF(M153&lt;=($N$1+1),INDIRECT("L"&amp;5+$X$2),""))</f>
        <v/>
      </c>
    </row>
    <row r="154" spans="12:21" hidden="1" x14ac:dyDescent="0.25">
      <c r="L154" s="18">
        <f t="shared" ca="1" si="25"/>
        <v>50749</v>
      </c>
      <c r="M154" s="14">
        <v>149</v>
      </c>
      <c r="N154" s="14">
        <f t="shared" si="18"/>
        <v>0</v>
      </c>
      <c r="O154" s="19">
        <f t="shared" si="19"/>
        <v>281945.47329086298</v>
      </c>
      <c r="P154" s="19">
        <f t="shared" si="20"/>
        <v>140826.30692351027</v>
      </c>
      <c r="Q154" s="14">
        <f t="shared" si="21"/>
        <v>0</v>
      </c>
      <c r="R154" s="19">
        <f t="shared" si="22"/>
        <v>266413.43057429529</v>
      </c>
      <c r="S154" s="19">
        <f t="shared" si="23"/>
        <v>136840.59914476253</v>
      </c>
      <c r="T154" s="14">
        <f t="shared" si="24"/>
        <v>0</v>
      </c>
      <c r="U154" s="18" t="str" cm="1">
        <f t="array" aca="1" ref="U154" ca="1">IF(M154&lt;=$N$1,L154,IF(M154&lt;=($N$1+1),INDIRECT("L"&amp;5+$X$2),""))</f>
        <v/>
      </c>
    </row>
    <row r="155" spans="12:21" hidden="1" x14ac:dyDescent="0.25">
      <c r="L155" s="18">
        <f t="shared" ca="1" si="25"/>
        <v>50780</v>
      </c>
      <c r="M155" s="14">
        <v>150</v>
      </c>
      <c r="N155" s="14">
        <f t="shared" si="18"/>
        <v>0</v>
      </c>
      <c r="O155" s="19">
        <f t="shared" si="19"/>
        <v>284620.79550576303</v>
      </c>
      <c r="P155" s="19">
        <f t="shared" si="20"/>
        <v>141501.78799320373</v>
      </c>
      <c r="Q155" s="14">
        <f t="shared" si="21"/>
        <v>0</v>
      </c>
      <c r="R155" s="19">
        <f t="shared" si="22"/>
        <v>268941.37245200673</v>
      </c>
      <c r="S155" s="19">
        <f t="shared" si="23"/>
        <v>137496.96254949199</v>
      </c>
      <c r="T155" s="14">
        <f t="shared" si="24"/>
        <v>0</v>
      </c>
      <c r="U155" s="18" t="str" cm="1">
        <f t="array" aca="1" ref="U155" ca="1">IF(M155&lt;=$N$1,L155,IF(M155&lt;=($N$1+1),INDIRECT("L"&amp;5+$X$2),""))</f>
        <v/>
      </c>
    </row>
    <row r="156" spans="12:21" hidden="1" x14ac:dyDescent="0.25">
      <c r="L156" s="18">
        <f t="shared" ca="1" si="25"/>
        <v>50811</v>
      </c>
      <c r="M156" s="14">
        <v>151</v>
      </c>
      <c r="N156" s="14">
        <f t="shared" si="18"/>
        <v>0</v>
      </c>
      <c r="O156" s="19">
        <f t="shared" si="19"/>
        <v>287321.50329919363</v>
      </c>
      <c r="P156" s="19">
        <f t="shared" si="20"/>
        <v>142180.50904472647</v>
      </c>
      <c r="Q156" s="14">
        <f t="shared" si="21"/>
        <v>0</v>
      </c>
      <c r="R156" s="19">
        <f t="shared" si="22"/>
        <v>271493.30144674645</v>
      </c>
      <c r="S156" s="19">
        <f t="shared" si="23"/>
        <v>138156.47423712703</v>
      </c>
      <c r="T156" s="14">
        <f t="shared" si="24"/>
        <v>0</v>
      </c>
      <c r="U156" s="18" t="str" cm="1">
        <f t="array" aca="1" ref="U156" ca="1">IF(M156&lt;=$N$1,L156,IF(M156&lt;=($N$1+1),INDIRECT("L"&amp;5+$X$2),""))</f>
        <v/>
      </c>
    </row>
    <row r="157" spans="12:21" hidden="1" x14ac:dyDescent="0.25">
      <c r="L157" s="18">
        <f t="shared" ca="1" si="25"/>
        <v>50839</v>
      </c>
      <c r="M157" s="14">
        <v>152</v>
      </c>
      <c r="N157" s="14">
        <f t="shared" si="18"/>
        <v>0</v>
      </c>
      <c r="O157" s="19">
        <f t="shared" si="19"/>
        <v>290047.83754965273</v>
      </c>
      <c r="P157" s="19">
        <f t="shared" si="20"/>
        <v>142862.48561882813</v>
      </c>
      <c r="Q157" s="14">
        <f t="shared" si="21"/>
        <v>0</v>
      </c>
      <c r="R157" s="19">
        <f t="shared" si="22"/>
        <v>274069.44516730093</v>
      </c>
      <c r="S157" s="19">
        <f t="shared" si="23"/>
        <v>138819.14930857837</v>
      </c>
      <c r="T157" s="14">
        <f t="shared" si="24"/>
        <v>0</v>
      </c>
      <c r="U157" s="18" t="str" cm="1">
        <f t="array" aca="1" ref="U157" ca="1">IF(M157&lt;=$N$1,L157,IF(M157&lt;=($N$1+1),INDIRECT("L"&amp;5+$X$2),""))</f>
        <v/>
      </c>
    </row>
    <row r="158" spans="12:21" hidden="1" x14ac:dyDescent="0.25">
      <c r="L158" s="18">
        <f t="shared" ca="1" si="25"/>
        <v>50870</v>
      </c>
      <c r="M158" s="14">
        <v>153</v>
      </c>
      <c r="N158" s="14">
        <f t="shared" si="18"/>
        <v>0</v>
      </c>
      <c r="O158" s="19">
        <f t="shared" si="19"/>
        <v>292800.04142128496</v>
      </c>
      <c r="P158" s="19">
        <f t="shared" si="20"/>
        <v>143547.73333080055</v>
      </c>
      <c r="Q158" s="14">
        <f t="shared" si="21"/>
        <v>0</v>
      </c>
      <c r="R158" s="19">
        <f t="shared" si="22"/>
        <v>276670.03338218952</v>
      </c>
      <c r="S158" s="19">
        <f t="shared" si="23"/>
        <v>139485.00293718925</v>
      </c>
      <c r="T158" s="14">
        <f t="shared" si="24"/>
        <v>0</v>
      </c>
      <c r="U158" s="18" t="str" cm="1">
        <f t="array" aca="1" ref="U158" ca="1">IF(M158&lt;=$N$1,L158,IF(M158&lt;=($N$1+1),INDIRECT("L"&amp;5+$X$2),""))</f>
        <v/>
      </c>
    </row>
    <row r="159" spans="12:21" hidden="1" x14ac:dyDescent="0.25">
      <c r="L159" s="18">
        <f t="shared" ca="1" si="25"/>
        <v>50900</v>
      </c>
      <c r="M159" s="14">
        <v>154</v>
      </c>
      <c r="N159" s="14">
        <f t="shared" si="18"/>
        <v>0</v>
      </c>
      <c r="O159" s="19">
        <f t="shared" si="19"/>
        <v>295578.36038556893</v>
      </c>
      <c r="P159" s="19">
        <f t="shared" si="20"/>
        <v>144236.26787083523</v>
      </c>
      <c r="Q159" s="14">
        <f t="shared" si="21"/>
        <v>0</v>
      </c>
      <c r="R159" s="19">
        <f t="shared" si="22"/>
        <v>279295.2980401573</v>
      </c>
      <c r="S159" s="19">
        <f t="shared" si="23"/>
        <v>140154.05036908263</v>
      </c>
      <c r="T159" s="14">
        <f t="shared" si="24"/>
        <v>0</v>
      </c>
      <c r="U159" s="18" t="str" cm="1">
        <f t="array" aca="1" ref="U159" ca="1">IF(M159&lt;=$N$1,L159,IF(M159&lt;=($N$1+1),INDIRECT("L"&amp;5+$X$2),""))</f>
        <v/>
      </c>
    </row>
    <row r="160" spans="12:21" hidden="1" x14ac:dyDescent="0.25">
      <c r="L160" s="18">
        <f t="shared" ca="1" si="25"/>
        <v>50931</v>
      </c>
      <c r="M160" s="14">
        <v>155</v>
      </c>
      <c r="N160" s="14">
        <f t="shared" si="18"/>
        <v>0</v>
      </c>
      <c r="O160" s="19">
        <f t="shared" si="19"/>
        <v>298383.04224321112</v>
      </c>
      <c r="P160" s="19">
        <f t="shared" si="20"/>
        <v>144928.10500438226</v>
      </c>
      <c r="Q160" s="14">
        <f t="shared" si="21"/>
        <v>0</v>
      </c>
      <c r="R160" s="19">
        <f t="shared" si="22"/>
        <v>281945.47329086298</v>
      </c>
      <c r="S160" s="19">
        <f t="shared" si="23"/>
        <v>140826.30692351027</v>
      </c>
      <c r="T160" s="14">
        <f t="shared" si="24"/>
        <v>0</v>
      </c>
      <c r="U160" s="18" t="str" cm="1">
        <f t="array" aca="1" ref="U160" ca="1">IF(M160&lt;=$N$1,L160,IF(M160&lt;=($N$1+1),INDIRECT("L"&amp;5+$X$2),""))</f>
        <v/>
      </c>
    </row>
    <row r="161" spans="12:21" hidden="1" x14ac:dyDescent="0.25">
      <c r="L161" s="18">
        <f t="shared" ca="1" si="25"/>
        <v>50961</v>
      </c>
      <c r="M161" s="14">
        <v>156</v>
      </c>
      <c r="N161" s="14">
        <f t="shared" si="18"/>
        <v>0</v>
      </c>
      <c r="O161" s="19">
        <f t="shared" si="19"/>
        <v>301214.33714624797</v>
      </c>
      <c r="P161" s="19">
        <f t="shared" si="20"/>
        <v>145623.26057251182</v>
      </c>
      <c r="Q161" s="14">
        <f t="shared" si="21"/>
        <v>0</v>
      </c>
      <c r="R161" s="19">
        <f t="shared" si="22"/>
        <v>284620.79550576303</v>
      </c>
      <c r="S161" s="19">
        <f t="shared" si="23"/>
        <v>141501.78799320373</v>
      </c>
      <c r="T161" s="14">
        <f t="shared" si="24"/>
        <v>0</v>
      </c>
      <c r="U161" s="18" t="str" cm="1">
        <f t="array" aca="1" ref="U161" ca="1">IF(M161&lt;=$N$1,L161,IF(M161&lt;=($N$1+1),INDIRECT("L"&amp;5+$X$2),""))</f>
        <v/>
      </c>
    </row>
    <row r="162" spans="12:21" hidden="1" x14ac:dyDescent="0.25">
      <c r="L162" s="18">
        <f t="shared" ca="1" si="25"/>
        <v>50992</v>
      </c>
      <c r="M162" s="14">
        <v>157</v>
      </c>
      <c r="N162" s="14">
        <f t="shared" si="18"/>
        <v>0</v>
      </c>
      <c r="O162" s="19">
        <f t="shared" si="19"/>
        <v>304072.49762035633</v>
      </c>
      <c r="P162" s="19">
        <f t="shared" si="20"/>
        <v>146321.75049227654</v>
      </c>
      <c r="Q162" s="14">
        <f t="shared" si="21"/>
        <v>0</v>
      </c>
      <c r="R162" s="19">
        <f t="shared" si="22"/>
        <v>287321.50329919363</v>
      </c>
      <c r="S162" s="19">
        <f t="shared" si="23"/>
        <v>142180.50904472647</v>
      </c>
      <c r="T162" s="14">
        <f t="shared" si="24"/>
        <v>0</v>
      </c>
      <c r="U162" s="18" t="str" cm="1">
        <f t="array" aca="1" ref="U162" ca="1">IF(M162&lt;=$N$1,L162,IF(M162&lt;=($N$1+1),INDIRECT("L"&amp;5+$X$2),""))</f>
        <v/>
      </c>
    </row>
    <row r="163" spans="12:21" hidden="1" x14ac:dyDescent="0.25">
      <c r="L163" s="18">
        <f t="shared" ca="1" si="25"/>
        <v>51023</v>
      </c>
      <c r="M163" s="14">
        <v>158</v>
      </c>
      <c r="N163" s="14">
        <f t="shared" si="18"/>
        <v>0</v>
      </c>
      <c r="O163" s="19">
        <f t="shared" si="19"/>
        <v>306957.77858737746</v>
      </c>
      <c r="P163" s="19">
        <f t="shared" si="20"/>
        <v>147023.59075707608</v>
      </c>
      <c r="Q163" s="14">
        <f t="shared" si="21"/>
        <v>0</v>
      </c>
      <c r="R163" s="19">
        <f t="shared" si="22"/>
        <v>290047.83754965273</v>
      </c>
      <c r="S163" s="19">
        <f t="shared" si="23"/>
        <v>142862.48561882813</v>
      </c>
      <c r="T163" s="14">
        <f t="shared" si="24"/>
        <v>0</v>
      </c>
      <c r="U163" s="18" t="str" cm="1">
        <f t="array" aca="1" ref="U163" ca="1">IF(M163&lt;=$N$1,L163,IF(M163&lt;=($N$1+1),INDIRECT("L"&amp;5+$X$2),""))</f>
        <v/>
      </c>
    </row>
    <row r="164" spans="12:21" hidden="1" x14ac:dyDescent="0.25">
      <c r="L164" s="18">
        <f t="shared" ca="1" si="25"/>
        <v>51053</v>
      </c>
      <c r="M164" s="14">
        <v>159</v>
      </c>
      <c r="N164" s="14">
        <f t="shared" si="18"/>
        <v>0</v>
      </c>
      <c r="O164" s="19">
        <f t="shared" si="19"/>
        <v>309870.4373880527</v>
      </c>
      <c r="P164" s="19">
        <f t="shared" si="20"/>
        <v>147728.79743702331</v>
      </c>
      <c r="Q164" s="14">
        <f t="shared" si="21"/>
        <v>0</v>
      </c>
      <c r="R164" s="19">
        <f t="shared" si="22"/>
        <v>292800.04142128496</v>
      </c>
      <c r="S164" s="19">
        <f t="shared" si="23"/>
        <v>143547.73333080055</v>
      </c>
      <c r="T164" s="14">
        <f t="shared" si="24"/>
        <v>0</v>
      </c>
      <c r="U164" s="18" t="str" cm="1">
        <f t="array" aca="1" ref="U164" ca="1">IF(M164&lt;=$N$1,L164,IF(M164&lt;=($N$1+1),INDIRECT("L"&amp;5+$X$2),""))</f>
        <v/>
      </c>
    </row>
    <row r="165" spans="12:21" hidden="1" x14ac:dyDescent="0.25">
      <c r="L165" s="18">
        <f t="shared" ca="1" si="25"/>
        <v>51084</v>
      </c>
      <c r="M165" s="14">
        <v>160</v>
      </c>
      <c r="N165" s="14">
        <f t="shared" si="18"/>
        <v>0</v>
      </c>
      <c r="O165" s="19">
        <f t="shared" si="19"/>
        <v>312810.73380497663</v>
      </c>
      <c r="P165" s="19">
        <f t="shared" si="20"/>
        <v>148437.3866793123</v>
      </c>
      <c r="Q165" s="14">
        <f t="shared" si="21"/>
        <v>0</v>
      </c>
      <c r="R165" s="19">
        <f t="shared" si="22"/>
        <v>295578.36038556893</v>
      </c>
      <c r="S165" s="19">
        <f t="shared" si="23"/>
        <v>144236.26787083523</v>
      </c>
      <c r="T165" s="14">
        <f t="shared" si="24"/>
        <v>0</v>
      </c>
      <c r="U165" s="18" t="str" cm="1">
        <f t="array" aca="1" ref="U165" ca="1">IF(M165&lt;=$N$1,L165,IF(M165&lt;=($N$1+1),INDIRECT("L"&amp;5+$X$2),""))</f>
        <v/>
      </c>
    </row>
    <row r="166" spans="12:21" hidden="1" x14ac:dyDescent="0.25">
      <c r="L166" s="18">
        <f t="shared" ca="1" si="25"/>
        <v>51114</v>
      </c>
      <c r="M166" s="14">
        <v>161</v>
      </c>
      <c r="N166" s="14">
        <f t="shared" si="18"/>
        <v>0</v>
      </c>
      <c r="O166" s="19">
        <f t="shared" si="19"/>
        <v>315778.930085767</v>
      </c>
      <c r="P166" s="19">
        <f t="shared" si="20"/>
        <v>149149.37470858794</v>
      </c>
      <c r="Q166" s="14">
        <f t="shared" si="21"/>
        <v>0</v>
      </c>
      <c r="R166" s="19">
        <f t="shared" si="22"/>
        <v>298383.04224321112</v>
      </c>
      <c r="S166" s="19">
        <f t="shared" si="23"/>
        <v>144928.10500438226</v>
      </c>
      <c r="T166" s="14">
        <f t="shared" si="24"/>
        <v>0</v>
      </c>
      <c r="U166" s="18" t="str" cm="1">
        <f t="array" aca="1" ref="U166" ca="1">IF(M166&lt;=$N$1,L166,IF(M166&lt;=($N$1+1),INDIRECT("L"&amp;5+$X$2),""))</f>
        <v/>
      </c>
    </row>
    <row r="167" spans="12:21" hidden="1" x14ac:dyDescent="0.25">
      <c r="L167" s="18">
        <f t="shared" ca="1" si="25"/>
        <v>51145</v>
      </c>
      <c r="M167" s="14">
        <v>162</v>
      </c>
      <c r="N167" s="14">
        <f t="shared" si="18"/>
        <v>0</v>
      </c>
      <c r="O167" s="19">
        <f t="shared" si="19"/>
        <v>318775.29096645513</v>
      </c>
      <c r="P167" s="19">
        <f t="shared" si="20"/>
        <v>149864.77782731765</v>
      </c>
      <c r="Q167" s="14">
        <f t="shared" si="21"/>
        <v>0</v>
      </c>
      <c r="R167" s="19">
        <f t="shared" si="22"/>
        <v>301214.33714624797</v>
      </c>
      <c r="S167" s="19">
        <f t="shared" si="23"/>
        <v>145623.26057251182</v>
      </c>
      <c r="T167" s="14">
        <f t="shared" si="24"/>
        <v>0</v>
      </c>
      <c r="U167" s="18" t="str" cm="1">
        <f t="array" aca="1" ref="U167" ca="1">IF(M167&lt;=$N$1,L167,IF(M167&lt;=($N$1+1),INDIRECT("L"&amp;5+$X$2),""))</f>
        <v/>
      </c>
    </row>
    <row r="168" spans="12:21" hidden="1" x14ac:dyDescent="0.25">
      <c r="L168" s="18">
        <f t="shared" ca="1" si="25"/>
        <v>51176</v>
      </c>
      <c r="M168" s="14">
        <v>163</v>
      </c>
      <c r="N168" s="14">
        <f t="shared" si="18"/>
        <v>0</v>
      </c>
      <c r="O168" s="19">
        <f t="shared" si="19"/>
        <v>321800.08369509724</v>
      </c>
      <c r="P168" s="19">
        <f t="shared" si="20"/>
        <v>150583.61241616437</v>
      </c>
      <c r="Q168" s="14">
        <f t="shared" si="21"/>
        <v>0</v>
      </c>
      <c r="R168" s="19">
        <f t="shared" si="22"/>
        <v>304072.49762035633</v>
      </c>
      <c r="S168" s="19">
        <f t="shared" si="23"/>
        <v>146321.75049227654</v>
      </c>
      <c r="T168" s="14">
        <f t="shared" si="24"/>
        <v>0</v>
      </c>
      <c r="U168" s="18" t="str" cm="1">
        <f t="array" aca="1" ref="U168" ca="1">IF(M168&lt;=$N$1,L168,IF(M168&lt;=($N$1+1),INDIRECT("L"&amp;5+$X$2),""))</f>
        <v/>
      </c>
    </row>
    <row r="169" spans="12:21" hidden="1" x14ac:dyDescent="0.25">
      <c r="L169" s="18">
        <f t="shared" ca="1" si="25"/>
        <v>51205</v>
      </c>
      <c r="M169" s="14">
        <v>164</v>
      </c>
      <c r="N169" s="14">
        <f t="shared" si="18"/>
        <v>0</v>
      </c>
      <c r="O169" s="19">
        <f t="shared" si="19"/>
        <v>324853.57805561152</v>
      </c>
      <c r="P169" s="19">
        <f t="shared" si="20"/>
        <v>151305.89493436186</v>
      </c>
      <c r="Q169" s="14">
        <f t="shared" si="21"/>
        <v>0</v>
      </c>
      <c r="R169" s="19">
        <f t="shared" si="22"/>
        <v>306957.77858737746</v>
      </c>
      <c r="S169" s="19">
        <f t="shared" si="23"/>
        <v>147023.59075707608</v>
      </c>
      <c r="T169" s="14">
        <f t="shared" si="24"/>
        <v>0</v>
      </c>
      <c r="U169" s="18" t="str" cm="1">
        <f t="array" aca="1" ref="U169" ca="1">IF(M169&lt;=$N$1,L169,IF(M169&lt;=($N$1+1),INDIRECT("L"&amp;5+$X$2),""))</f>
        <v/>
      </c>
    </row>
    <row r="170" spans="12:21" hidden="1" x14ac:dyDescent="0.25">
      <c r="L170" s="18">
        <f t="shared" ca="1" si="25"/>
        <v>51236</v>
      </c>
      <c r="M170" s="14">
        <v>165</v>
      </c>
      <c r="N170" s="14">
        <f t="shared" si="18"/>
        <v>0</v>
      </c>
      <c r="O170" s="19">
        <f t="shared" si="19"/>
        <v>327936.04639183957</v>
      </c>
      <c r="P170" s="19">
        <f t="shared" si="20"/>
        <v>152031.64192009156</v>
      </c>
      <c r="Q170" s="14">
        <f t="shared" si="21"/>
        <v>0</v>
      </c>
      <c r="R170" s="19">
        <f t="shared" si="22"/>
        <v>309870.4373880527</v>
      </c>
      <c r="S170" s="19">
        <f t="shared" si="23"/>
        <v>147728.79743702331</v>
      </c>
      <c r="T170" s="14">
        <f t="shared" si="24"/>
        <v>0</v>
      </c>
      <c r="U170" s="18" t="str" cm="1">
        <f t="array" aca="1" ref="U170" ca="1">IF(M170&lt;=$N$1,L170,IF(M170&lt;=($N$1+1),INDIRECT("L"&amp;5+$X$2),""))</f>
        <v/>
      </c>
    </row>
    <row r="171" spans="12:21" hidden="1" x14ac:dyDescent="0.25">
      <c r="L171" s="18">
        <f t="shared" ca="1" si="25"/>
        <v>51266</v>
      </c>
      <c r="M171" s="14">
        <v>166</v>
      </c>
      <c r="N171" s="14">
        <f t="shared" si="18"/>
        <v>0</v>
      </c>
      <c r="O171" s="19">
        <f t="shared" si="19"/>
        <v>331047.76363183762</v>
      </c>
      <c r="P171" s="19">
        <f t="shared" si="20"/>
        <v>152760.8699908611</v>
      </c>
      <c r="Q171" s="14">
        <f t="shared" si="21"/>
        <v>0</v>
      </c>
      <c r="R171" s="19">
        <f t="shared" si="22"/>
        <v>312810.73380497663</v>
      </c>
      <c r="S171" s="19">
        <f t="shared" si="23"/>
        <v>148437.3866793123</v>
      </c>
      <c r="T171" s="14">
        <f t="shared" si="24"/>
        <v>0</v>
      </c>
      <c r="U171" s="18" t="str" cm="1">
        <f t="array" aca="1" ref="U171" ca="1">IF(M171&lt;=$N$1,L171,IF(M171&lt;=($N$1+1),INDIRECT("L"&amp;5+$X$2),""))</f>
        <v/>
      </c>
    </row>
    <row r="172" spans="12:21" hidden="1" x14ac:dyDescent="0.25">
      <c r="L172" s="18">
        <f t="shared" ca="1" si="25"/>
        <v>51297</v>
      </c>
      <c r="M172" s="14">
        <v>167</v>
      </c>
      <c r="N172" s="14">
        <f t="shared" si="18"/>
        <v>0</v>
      </c>
      <c r="O172" s="19">
        <f t="shared" si="19"/>
        <v>334189.00731239695</v>
      </c>
      <c r="P172" s="19">
        <f t="shared" si="20"/>
        <v>153493.59584388495</v>
      </c>
      <c r="Q172" s="14">
        <f t="shared" si="21"/>
        <v>0</v>
      </c>
      <c r="R172" s="19">
        <f t="shared" si="22"/>
        <v>315778.930085767</v>
      </c>
      <c r="S172" s="19">
        <f t="shared" si="23"/>
        <v>149149.37470858794</v>
      </c>
      <c r="T172" s="14">
        <f t="shared" si="24"/>
        <v>0</v>
      </c>
      <c r="U172" s="18" t="str" cm="1">
        <f t="array" aca="1" ref="U172" ca="1">IF(M172&lt;=$N$1,L172,IF(M172&lt;=($N$1+1),INDIRECT("L"&amp;5+$X$2),""))</f>
        <v/>
      </c>
    </row>
    <row r="173" spans="12:21" hidden="1" x14ac:dyDescent="0.25">
      <c r="L173" s="18">
        <f t="shared" ca="1" si="25"/>
        <v>51327</v>
      </c>
      <c r="M173" s="14">
        <v>168</v>
      </c>
      <c r="N173" s="14">
        <f t="shared" si="18"/>
        <v>0</v>
      </c>
      <c r="O173" s="19">
        <f t="shared" si="19"/>
        <v>337360.05760379811</v>
      </c>
      <c r="P173" s="19">
        <f t="shared" si="20"/>
        <v>154229.83625646657</v>
      </c>
      <c r="Q173" s="14">
        <f t="shared" si="21"/>
        <v>0</v>
      </c>
      <c r="R173" s="19">
        <f t="shared" si="22"/>
        <v>318775.29096645513</v>
      </c>
      <c r="S173" s="19">
        <f t="shared" si="23"/>
        <v>149864.77782731765</v>
      </c>
      <c r="T173" s="14">
        <f t="shared" si="24"/>
        <v>0</v>
      </c>
      <c r="U173" s="18" t="str" cm="1">
        <f t="array" aca="1" ref="U173" ca="1">IF(M173&lt;=$N$1,L173,IF(M173&lt;=($N$1+1),INDIRECT("L"&amp;5+$X$2),""))</f>
        <v/>
      </c>
    </row>
    <row r="174" spans="12:21" hidden="1" x14ac:dyDescent="0.25">
      <c r="L174" s="18">
        <f t="shared" ca="1" si="25"/>
        <v>51358</v>
      </c>
      <c r="M174" s="14">
        <v>169</v>
      </c>
      <c r="N174" s="14">
        <f t="shared" si="18"/>
        <v>0</v>
      </c>
      <c r="O174" s="19">
        <f t="shared" si="19"/>
        <v>340561.19733479957</v>
      </c>
      <c r="P174" s="19">
        <f t="shared" si="20"/>
        <v>154969.60808638288</v>
      </c>
      <c r="Q174" s="14">
        <f t="shared" si="21"/>
        <v>0</v>
      </c>
      <c r="R174" s="19">
        <f t="shared" si="22"/>
        <v>321800.08369509724</v>
      </c>
      <c r="S174" s="19">
        <f t="shared" si="23"/>
        <v>150583.61241616437</v>
      </c>
      <c r="T174" s="14">
        <f t="shared" si="24"/>
        <v>0</v>
      </c>
      <c r="U174" s="18" t="str" cm="1">
        <f t="array" aca="1" ref="U174" ca="1">IF(M174&lt;=$N$1,L174,IF(M174&lt;=($N$1+1),INDIRECT("L"&amp;5+$X$2),""))</f>
        <v/>
      </c>
    </row>
    <row r="175" spans="12:21" hidden="1" x14ac:dyDescent="0.25">
      <c r="L175" s="18">
        <f t="shared" ca="1" si="25"/>
        <v>51389</v>
      </c>
      <c r="M175" s="14">
        <v>170</v>
      </c>
      <c r="N175" s="14">
        <f t="shared" si="18"/>
        <v>0</v>
      </c>
      <c r="O175" s="19">
        <f t="shared" si="19"/>
        <v>343792.71201786323</v>
      </c>
      <c r="P175" s="19">
        <f t="shared" si="20"/>
        <v>155712.92827226993</v>
      </c>
      <c r="Q175" s="14">
        <f t="shared" si="21"/>
        <v>0</v>
      </c>
      <c r="R175" s="19">
        <f t="shared" si="22"/>
        <v>324853.57805561152</v>
      </c>
      <c r="S175" s="19">
        <f t="shared" si="23"/>
        <v>151305.89493436186</v>
      </c>
      <c r="T175" s="14">
        <f t="shared" si="24"/>
        <v>0</v>
      </c>
      <c r="U175" s="18" t="str" cm="1">
        <f t="array" aca="1" ref="U175" ca="1">IF(M175&lt;=$N$1,L175,IF(M175&lt;=($N$1+1),INDIRECT("L"&amp;5+$X$2),""))</f>
        <v/>
      </c>
    </row>
    <row r="176" spans="12:21" hidden="1" x14ac:dyDescent="0.25">
      <c r="L176" s="18">
        <f t="shared" ca="1" si="25"/>
        <v>51419</v>
      </c>
      <c r="M176" s="14">
        <v>171</v>
      </c>
      <c r="N176" s="14">
        <f t="shared" si="18"/>
        <v>0</v>
      </c>
      <c r="O176" s="19">
        <f t="shared" si="19"/>
        <v>347054.88987461949</v>
      </c>
      <c r="P176" s="19">
        <f t="shared" si="20"/>
        <v>156459.81383401071</v>
      </c>
      <c r="Q176" s="14">
        <f t="shared" si="21"/>
        <v>0</v>
      </c>
      <c r="R176" s="19">
        <f t="shared" si="22"/>
        <v>327936.04639183957</v>
      </c>
      <c r="S176" s="19">
        <f t="shared" si="23"/>
        <v>152031.64192009156</v>
      </c>
      <c r="T176" s="14">
        <f t="shared" si="24"/>
        <v>0</v>
      </c>
      <c r="U176" s="18" t="str" cm="1">
        <f t="array" aca="1" ref="U176" ca="1">IF(M176&lt;=$N$1,L176,IF(M176&lt;=($N$1+1),INDIRECT("L"&amp;5+$X$2),""))</f>
        <v/>
      </c>
    </row>
    <row r="177" spans="12:21" hidden="1" x14ac:dyDescent="0.25">
      <c r="L177" s="18">
        <f t="shared" ca="1" si="25"/>
        <v>51450</v>
      </c>
      <c r="M177" s="14">
        <v>172</v>
      </c>
      <c r="N177" s="14">
        <f t="shared" si="18"/>
        <v>0</v>
      </c>
      <c r="O177" s="19">
        <f t="shared" si="19"/>
        <v>350348.02186157426</v>
      </c>
      <c r="P177" s="19">
        <f t="shared" si="20"/>
        <v>157210.28187312523</v>
      </c>
      <c r="Q177" s="14">
        <f t="shared" si="21"/>
        <v>0</v>
      </c>
      <c r="R177" s="19">
        <f t="shared" si="22"/>
        <v>331047.76363183762</v>
      </c>
      <c r="S177" s="19">
        <f t="shared" si="23"/>
        <v>152760.8699908611</v>
      </c>
      <c r="T177" s="14">
        <f t="shared" si="24"/>
        <v>0</v>
      </c>
      <c r="U177" s="18" t="str" cm="1">
        <f t="array" aca="1" ref="U177" ca="1">IF(M177&lt;=$N$1,L177,IF(M177&lt;=($N$1+1),INDIRECT("L"&amp;5+$X$2),""))</f>
        <v/>
      </c>
    </row>
    <row r="178" spans="12:21" hidden="1" x14ac:dyDescent="0.25">
      <c r="L178" s="18">
        <f t="shared" ca="1" si="25"/>
        <v>51480</v>
      </c>
      <c r="M178" s="14">
        <v>173</v>
      </c>
      <c r="N178" s="14">
        <f t="shared" si="18"/>
        <v>0</v>
      </c>
      <c r="O178" s="19">
        <f t="shared" si="19"/>
        <v>353672.4016960595</v>
      </c>
      <c r="P178" s="19">
        <f t="shared" si="20"/>
        <v>157964.34957316189</v>
      </c>
      <c r="Q178" s="14">
        <f t="shared" si="21"/>
        <v>0</v>
      </c>
      <c r="R178" s="19">
        <f t="shared" si="22"/>
        <v>334189.00731239695</v>
      </c>
      <c r="S178" s="19">
        <f t="shared" si="23"/>
        <v>153493.59584388495</v>
      </c>
      <c r="T178" s="14">
        <f t="shared" si="24"/>
        <v>0</v>
      </c>
      <c r="U178" s="18" t="str" cm="1">
        <f t="array" aca="1" ref="U178" ca="1">IF(M178&lt;=$N$1,L178,IF(M178&lt;=($N$1+1),INDIRECT("L"&amp;5+$X$2),""))</f>
        <v/>
      </c>
    </row>
    <row r="179" spans="12:21" hidden="1" x14ac:dyDescent="0.25">
      <c r="L179" s="18">
        <f t="shared" ca="1" si="25"/>
        <v>51511</v>
      </c>
      <c r="M179" s="14">
        <v>174</v>
      </c>
      <c r="N179" s="14">
        <f t="shared" si="18"/>
        <v>0</v>
      </c>
      <c r="O179" s="19">
        <f t="shared" si="19"/>
        <v>357028.32588243013</v>
      </c>
      <c r="P179" s="19">
        <f t="shared" si="20"/>
        <v>158722.03420009071</v>
      </c>
      <c r="Q179" s="14">
        <f t="shared" si="21"/>
        <v>0</v>
      </c>
      <c r="R179" s="19">
        <f t="shared" si="22"/>
        <v>337360.05760379811</v>
      </c>
      <c r="S179" s="19">
        <f t="shared" si="23"/>
        <v>154229.83625646657</v>
      </c>
      <c r="T179" s="14">
        <f t="shared" si="24"/>
        <v>0</v>
      </c>
      <c r="U179" s="18" t="str" cm="1">
        <f t="array" aca="1" ref="U179" ca="1">IF(M179&lt;=$N$1,L179,IF(M179&lt;=($N$1+1),INDIRECT("L"&amp;5+$X$2),""))</f>
        <v/>
      </c>
    </row>
    <row r="180" spans="12:21" hidden="1" x14ac:dyDescent="0.25">
      <c r="L180" s="18">
        <f t="shared" ca="1" si="25"/>
        <v>51542</v>
      </c>
      <c r="M180" s="14">
        <v>175</v>
      </c>
      <c r="N180" s="14">
        <f t="shared" si="18"/>
        <v>0</v>
      </c>
      <c r="O180" s="19">
        <f t="shared" si="19"/>
        <v>360416.0937385094</v>
      </c>
      <c r="P180" s="19">
        <f t="shared" si="20"/>
        <v>159483.3531026991</v>
      </c>
      <c r="Q180" s="14">
        <f t="shared" si="21"/>
        <v>0</v>
      </c>
      <c r="R180" s="19">
        <f t="shared" si="22"/>
        <v>340561.19733479957</v>
      </c>
      <c r="S180" s="19">
        <f t="shared" si="23"/>
        <v>154969.60808638288</v>
      </c>
      <c r="T180" s="14">
        <f t="shared" si="24"/>
        <v>0</v>
      </c>
      <c r="U180" s="18" t="str" cm="1">
        <f t="array" aca="1" ref="U180" ca="1">IF(M180&lt;=$N$1,L180,IF(M180&lt;=($N$1+1),INDIRECT("L"&amp;5+$X$2),""))</f>
        <v/>
      </c>
    </row>
    <row r="181" spans="12:21" hidden="1" x14ac:dyDescent="0.25">
      <c r="L181" s="18">
        <f t="shared" ca="1" si="25"/>
        <v>51570</v>
      </c>
      <c r="M181" s="14">
        <v>176</v>
      </c>
      <c r="N181" s="14">
        <f t="shared" si="18"/>
        <v>0</v>
      </c>
      <c r="O181" s="19">
        <f t="shared" si="19"/>
        <v>363836.00742228533</v>
      </c>
      <c r="P181" s="19">
        <f t="shared" si="20"/>
        <v>160248.32371298864</v>
      </c>
      <c r="Q181" s="14">
        <f t="shared" si="21"/>
        <v>0</v>
      </c>
      <c r="R181" s="19">
        <f t="shared" si="22"/>
        <v>343792.71201786323</v>
      </c>
      <c r="S181" s="19">
        <f t="shared" si="23"/>
        <v>155712.92827226993</v>
      </c>
      <c r="T181" s="14">
        <f t="shared" si="24"/>
        <v>0</v>
      </c>
      <c r="U181" s="18" t="str" cm="1">
        <f t="array" aca="1" ref="U181" ca="1">IF(M181&lt;=$N$1,L181,IF(M181&lt;=($N$1+1),INDIRECT("L"&amp;5+$X$2),""))</f>
        <v/>
      </c>
    </row>
    <row r="182" spans="12:21" hidden="1" x14ac:dyDescent="0.25">
      <c r="L182" s="18">
        <f t="shared" ca="1" si="25"/>
        <v>51601</v>
      </c>
      <c r="M182" s="14">
        <v>177</v>
      </c>
      <c r="N182" s="14">
        <f t="shared" si="18"/>
        <v>0</v>
      </c>
      <c r="O182" s="19">
        <f t="shared" si="19"/>
        <v>367288.37195886084</v>
      </c>
      <c r="P182" s="19">
        <f t="shared" si="20"/>
        <v>161016.96354657473</v>
      </c>
      <c r="Q182" s="14">
        <f t="shared" si="21"/>
        <v>0</v>
      </c>
      <c r="R182" s="19">
        <f t="shared" si="22"/>
        <v>347054.88987461949</v>
      </c>
      <c r="S182" s="19">
        <f t="shared" si="23"/>
        <v>156459.81383401071</v>
      </c>
      <c r="T182" s="14">
        <f t="shared" si="24"/>
        <v>0</v>
      </c>
      <c r="U182" s="18" t="str" cm="1">
        <f t="array" aca="1" ref="U182" ca="1">IF(M182&lt;=$N$1,L182,IF(M182&lt;=($N$1+1),INDIRECT("L"&amp;5+$X$2),""))</f>
        <v/>
      </c>
    </row>
    <row r="183" spans="12:21" hidden="1" x14ac:dyDescent="0.25">
      <c r="L183" s="18">
        <f t="shared" ca="1" si="25"/>
        <v>51631</v>
      </c>
      <c r="M183" s="14">
        <v>178</v>
      </c>
      <c r="N183" s="14">
        <f t="shared" si="18"/>
        <v>0</v>
      </c>
      <c r="O183" s="19">
        <f t="shared" si="19"/>
        <v>370773.49526765861</v>
      </c>
      <c r="P183" s="19">
        <f t="shared" si="20"/>
        <v>161789.29020308715</v>
      </c>
      <c r="Q183" s="14">
        <f t="shared" si="21"/>
        <v>0</v>
      </c>
      <c r="R183" s="19">
        <f t="shared" si="22"/>
        <v>350348.02186157426</v>
      </c>
      <c r="S183" s="19">
        <f t="shared" si="23"/>
        <v>157210.28187312523</v>
      </c>
      <c r="T183" s="14">
        <f t="shared" si="24"/>
        <v>0</v>
      </c>
      <c r="U183" s="18" t="str" cm="1">
        <f t="array" aca="1" ref="U183" ca="1">IF(M183&lt;=$N$1,L183,IF(M183&lt;=($N$1+1),INDIRECT("L"&amp;5+$X$2),""))</f>
        <v/>
      </c>
    </row>
    <row r="184" spans="12:21" hidden="1" x14ac:dyDescent="0.25">
      <c r="L184" s="18">
        <f t="shared" ca="1" si="25"/>
        <v>51662</v>
      </c>
      <c r="M184" s="14">
        <v>179</v>
      </c>
      <c r="N184" s="14">
        <f t="shared" si="18"/>
        <v>0</v>
      </c>
      <c r="O184" s="19">
        <f t="shared" si="19"/>
        <v>374291.68818988511</v>
      </c>
      <c r="P184" s="19">
        <f t="shared" si="20"/>
        <v>162565.32136657342</v>
      </c>
      <c r="Q184" s="14">
        <f t="shared" si="21"/>
        <v>0</v>
      </c>
      <c r="R184" s="19">
        <f t="shared" si="22"/>
        <v>353672.4016960595</v>
      </c>
      <c r="S184" s="19">
        <f t="shared" si="23"/>
        <v>157964.34957316189</v>
      </c>
      <c r="T184" s="14">
        <f t="shared" si="24"/>
        <v>0</v>
      </c>
      <c r="U184" s="18" t="str" cm="1">
        <f t="array" aca="1" ref="U184" ca="1">IF(M184&lt;=$N$1,L184,IF(M184&lt;=($N$1+1),INDIRECT("L"&amp;5+$X$2),""))</f>
        <v/>
      </c>
    </row>
    <row r="185" spans="12:21" hidden="1" x14ac:dyDescent="0.25">
      <c r="L185" s="18">
        <f t="shared" ca="1" si="25"/>
        <v>51692</v>
      </c>
      <c r="M185" s="14">
        <v>180</v>
      </c>
      <c r="N185" s="14">
        <f t="shared" si="18"/>
        <v>0</v>
      </c>
      <c r="O185" s="19">
        <f t="shared" si="19"/>
        <v>377843.26451625436</v>
      </c>
      <c r="P185" s="19">
        <f t="shared" si="20"/>
        <v>163345.07480590334</v>
      </c>
      <c r="Q185" s="14">
        <f t="shared" si="21"/>
        <v>0</v>
      </c>
      <c r="R185" s="19">
        <f t="shared" si="22"/>
        <v>357028.32588243013</v>
      </c>
      <c r="S185" s="19">
        <f t="shared" si="23"/>
        <v>158722.03420009071</v>
      </c>
      <c r="T185" s="14">
        <f t="shared" si="24"/>
        <v>0</v>
      </c>
      <c r="U185" s="18" t="str" cm="1">
        <f t="array" aca="1" ref="U185" ca="1">IF(M185&lt;=$N$1,L185,IF(M185&lt;=($N$1+1),INDIRECT("L"&amp;5+$X$2),""))</f>
        <v/>
      </c>
    </row>
    <row r="186" spans="12:21" hidden="1" x14ac:dyDescent="0.25">
      <c r="L186" s="18">
        <f t="shared" ca="1" si="25"/>
        <v>51723</v>
      </c>
      <c r="M186" s="14">
        <v>181</v>
      </c>
      <c r="N186" s="14">
        <f t="shared" si="18"/>
        <v>0</v>
      </c>
      <c r="O186" s="19">
        <f t="shared" si="19"/>
        <v>381428.54101497593</v>
      </c>
      <c r="P186" s="19">
        <f t="shared" si="20"/>
        <v>164128.5683751764</v>
      </c>
      <c r="Q186" s="14">
        <f t="shared" si="21"/>
        <v>0</v>
      </c>
      <c r="R186" s="19">
        <f t="shared" si="22"/>
        <v>360416.0937385094</v>
      </c>
      <c r="S186" s="19">
        <f t="shared" si="23"/>
        <v>159483.3531026991</v>
      </c>
      <c r="T186" s="14">
        <f t="shared" si="24"/>
        <v>0</v>
      </c>
      <c r="U186" s="18" t="str" cm="1">
        <f t="array" aca="1" ref="U186" ca="1">IF(M186&lt;=$N$1,L186,IF(M186&lt;=($N$1+1),INDIRECT("L"&amp;5+$X$2),""))</f>
        <v/>
      </c>
    </row>
    <row r="187" spans="12:21" hidden="1" x14ac:dyDescent="0.25">
      <c r="L187" s="18">
        <f t="shared" ca="1" si="25"/>
        <v>51754</v>
      </c>
      <c r="M187" s="14">
        <v>182</v>
      </c>
      <c r="N187" s="14">
        <f t="shared" si="18"/>
        <v>0</v>
      </c>
      <c r="O187" s="19">
        <f t="shared" si="19"/>
        <v>385047.83746000723</v>
      </c>
      <c r="P187" s="19">
        <f t="shared" si="20"/>
        <v>164915.82001413</v>
      </c>
      <c r="Q187" s="14">
        <f t="shared" si="21"/>
        <v>0</v>
      </c>
      <c r="R187" s="19">
        <f t="shared" si="22"/>
        <v>363836.00742228533</v>
      </c>
      <c r="S187" s="19">
        <f t="shared" si="23"/>
        <v>160248.32371298864</v>
      </c>
      <c r="T187" s="14">
        <f t="shared" si="24"/>
        <v>0</v>
      </c>
      <c r="U187" s="18" t="str" cm="1">
        <f t="array" aca="1" ref="U187" ca="1">IF(M187&lt;=$N$1,L187,IF(M187&lt;=($N$1+1),INDIRECT("L"&amp;5+$X$2),""))</f>
        <v/>
      </c>
    </row>
    <row r="188" spans="12:21" hidden="1" x14ac:dyDescent="0.25">
      <c r="L188" s="18">
        <f t="shared" ca="1" si="25"/>
        <v>51784</v>
      </c>
      <c r="M188" s="14">
        <v>183</v>
      </c>
      <c r="N188" s="14">
        <f t="shared" si="18"/>
        <v>0</v>
      </c>
      <c r="O188" s="19">
        <f t="shared" si="19"/>
        <v>388701.47665957431</v>
      </c>
      <c r="P188" s="19">
        <f t="shared" si="20"/>
        <v>165706.84774855056</v>
      </c>
      <c r="Q188" s="14">
        <f t="shared" si="21"/>
        <v>0</v>
      </c>
      <c r="R188" s="19">
        <f t="shared" si="22"/>
        <v>367288.37195886084</v>
      </c>
      <c r="S188" s="19">
        <f t="shared" si="23"/>
        <v>161016.96354657473</v>
      </c>
      <c r="T188" s="14">
        <f t="shared" si="24"/>
        <v>0</v>
      </c>
      <c r="U188" s="18" t="str" cm="1">
        <f t="array" aca="1" ref="U188" ca="1">IF(M188&lt;=$N$1,L188,IF(M188&lt;=($N$1+1),INDIRECT("L"&amp;5+$X$2),""))</f>
        <v/>
      </c>
    </row>
    <row r="189" spans="12:21" hidden="1" x14ac:dyDescent="0.25">
      <c r="L189" s="18">
        <f t="shared" ca="1" si="25"/>
        <v>51815</v>
      </c>
      <c r="M189" s="14">
        <v>184</v>
      </c>
      <c r="N189" s="14">
        <f t="shared" si="18"/>
        <v>0</v>
      </c>
      <c r="O189" s="19">
        <f t="shared" si="19"/>
        <v>392389.78448496369</v>
      </c>
      <c r="P189" s="19">
        <f t="shared" si="20"/>
        <v>166501.66969068605</v>
      </c>
      <c r="Q189" s="14">
        <f t="shared" si="21"/>
        <v>0</v>
      </c>
      <c r="R189" s="19">
        <f t="shared" si="22"/>
        <v>370773.49526765861</v>
      </c>
      <c r="S189" s="19">
        <f t="shared" si="23"/>
        <v>161789.29020308715</v>
      </c>
      <c r="T189" s="14">
        <f t="shared" si="24"/>
        <v>0</v>
      </c>
      <c r="U189" s="18" t="str" cm="1">
        <f t="array" aca="1" ref="U189" ca="1">IF(M189&lt;=$N$1,L189,IF(M189&lt;=($N$1+1),INDIRECT("L"&amp;5+$X$2),""))</f>
        <v/>
      </c>
    </row>
    <row r="190" spans="12:21" hidden="1" x14ac:dyDescent="0.25">
      <c r="L190" s="18">
        <f t="shared" ca="1" si="25"/>
        <v>51845</v>
      </c>
      <c r="M190" s="14">
        <v>185</v>
      </c>
      <c r="N190" s="14">
        <f t="shared" si="18"/>
        <v>0</v>
      </c>
      <c r="O190" s="19">
        <f t="shared" si="19"/>
        <v>396113.08989958715</v>
      </c>
      <c r="P190" s="19">
        <f t="shared" si="20"/>
        <v>167300.30403966102</v>
      </c>
      <c r="Q190" s="14">
        <f t="shared" si="21"/>
        <v>0</v>
      </c>
      <c r="R190" s="19">
        <f t="shared" si="22"/>
        <v>374291.68818988511</v>
      </c>
      <c r="S190" s="19">
        <f t="shared" si="23"/>
        <v>162565.32136657342</v>
      </c>
      <c r="T190" s="14">
        <f t="shared" si="24"/>
        <v>0</v>
      </c>
      <c r="U190" s="18" t="str" cm="1">
        <f t="array" aca="1" ref="U190" ca="1">IF(M190&lt;=$N$1,L190,IF(M190&lt;=($N$1+1),INDIRECT("L"&amp;5+$X$2),""))</f>
        <v/>
      </c>
    </row>
    <row r="191" spans="12:21" hidden="1" x14ac:dyDescent="0.25">
      <c r="L191" s="18">
        <f t="shared" ca="1" si="25"/>
        <v>51876</v>
      </c>
      <c r="M191" s="14">
        <v>186</v>
      </c>
      <c r="N191" s="14">
        <f t="shared" si="18"/>
        <v>0</v>
      </c>
      <c r="O191" s="19">
        <f t="shared" si="19"/>
        <v>399871.72498832224</v>
      </c>
      <c r="P191" s="19">
        <f t="shared" si="20"/>
        <v>168102.76908189297</v>
      </c>
      <c r="Q191" s="14">
        <f t="shared" si="21"/>
        <v>0</v>
      </c>
      <c r="R191" s="19">
        <f t="shared" si="22"/>
        <v>377843.26451625436</v>
      </c>
      <c r="S191" s="19">
        <f t="shared" si="23"/>
        <v>163345.07480590334</v>
      </c>
      <c r="T191" s="14">
        <f t="shared" si="24"/>
        <v>0</v>
      </c>
      <c r="U191" s="18" t="str" cm="1">
        <f t="array" aca="1" ref="U191" ca="1">IF(M191&lt;=$N$1,L191,IF(M191&lt;=($N$1+1),INDIRECT("L"&amp;5+$X$2),""))</f>
        <v/>
      </c>
    </row>
    <row r="192" spans="12:21" hidden="1" x14ac:dyDescent="0.25">
      <c r="L192" s="18">
        <f t="shared" ca="1" si="25"/>
        <v>51907</v>
      </c>
      <c r="M192" s="14">
        <v>187</v>
      </c>
      <c r="N192" s="14">
        <f t="shared" si="18"/>
        <v>0</v>
      </c>
      <c r="O192" s="19">
        <f t="shared" si="19"/>
        <v>403666.02498713101</v>
      </c>
      <c r="P192" s="19">
        <f t="shared" si="20"/>
        <v>168909.08319151128</v>
      </c>
      <c r="Q192" s="14">
        <f t="shared" si="21"/>
        <v>0</v>
      </c>
      <c r="R192" s="19">
        <f t="shared" si="22"/>
        <v>381428.54101497593</v>
      </c>
      <c r="S192" s="19">
        <f t="shared" si="23"/>
        <v>164128.5683751764</v>
      </c>
      <c r="T192" s="14">
        <f t="shared" si="24"/>
        <v>0</v>
      </c>
      <c r="U192" s="18" t="str" cm="1">
        <f t="array" aca="1" ref="U192" ca="1">IF(M192&lt;=$N$1,L192,IF(M192&lt;=($N$1+1),INDIRECT("L"&amp;5+$X$2),""))</f>
        <v/>
      </c>
    </row>
    <row r="193" spans="12:21" hidden="1" x14ac:dyDescent="0.25">
      <c r="L193" s="18">
        <f t="shared" ca="1" si="25"/>
        <v>51935</v>
      </c>
      <c r="M193" s="14">
        <v>188</v>
      </c>
      <c r="N193" s="14">
        <f t="shared" si="18"/>
        <v>0</v>
      </c>
      <c r="O193" s="19">
        <f t="shared" si="19"/>
        <v>407496.3283129601</v>
      </c>
      <c r="P193" s="19">
        <f t="shared" si="20"/>
        <v>169719.26483077777</v>
      </c>
      <c r="Q193" s="14">
        <f t="shared" si="21"/>
        <v>0</v>
      </c>
      <c r="R193" s="19">
        <f t="shared" si="22"/>
        <v>385047.83746000723</v>
      </c>
      <c r="S193" s="19">
        <f t="shared" si="23"/>
        <v>164915.82001413</v>
      </c>
      <c r="T193" s="14">
        <f t="shared" si="24"/>
        <v>0</v>
      </c>
      <c r="U193" s="18" t="str" cm="1">
        <f t="array" aca="1" ref="U193" ca="1">IF(M193&lt;=$N$1,L193,IF(M193&lt;=($N$1+1),INDIRECT("L"&amp;5+$X$2),""))</f>
        <v/>
      </c>
    </row>
    <row r="194" spans="12:21" hidden="1" x14ac:dyDescent="0.25">
      <c r="L194" s="18">
        <f t="shared" ca="1" si="25"/>
        <v>51966</v>
      </c>
      <c r="M194" s="14">
        <v>189</v>
      </c>
      <c r="N194" s="14">
        <f t="shared" si="18"/>
        <v>0</v>
      </c>
      <c r="O194" s="19">
        <f t="shared" si="19"/>
        <v>411362.97659392469</v>
      </c>
      <c r="P194" s="19">
        <f t="shared" si="20"/>
        <v>170533.3325505096</v>
      </c>
      <c r="Q194" s="14">
        <f t="shared" si="21"/>
        <v>0</v>
      </c>
      <c r="R194" s="19">
        <f t="shared" si="22"/>
        <v>388701.47665957431</v>
      </c>
      <c r="S194" s="19">
        <f t="shared" si="23"/>
        <v>165706.84774855056</v>
      </c>
      <c r="T194" s="14">
        <f t="shared" si="24"/>
        <v>0</v>
      </c>
      <c r="U194" s="18" t="str" cm="1">
        <f t="array" aca="1" ref="U194" ca="1">IF(M194&lt;=$N$1,L194,IF(M194&lt;=($N$1+1),INDIRECT("L"&amp;5+$X$2),""))</f>
        <v/>
      </c>
    </row>
    <row r="195" spans="12:21" hidden="1" x14ac:dyDescent="0.25">
      <c r="L195" s="18">
        <f t="shared" ca="1" si="25"/>
        <v>51996</v>
      </c>
      <c r="M195" s="14">
        <v>190</v>
      </c>
      <c r="N195" s="14">
        <f t="shared" si="18"/>
        <v>0</v>
      </c>
      <c r="O195" s="19">
        <f t="shared" si="19"/>
        <v>415266.31469977822</v>
      </c>
      <c r="P195" s="19">
        <f t="shared" si="20"/>
        <v>171351.30499050385</v>
      </c>
      <c r="Q195" s="14">
        <f t="shared" si="21"/>
        <v>0</v>
      </c>
      <c r="R195" s="19">
        <f t="shared" si="22"/>
        <v>392389.78448496369</v>
      </c>
      <c r="S195" s="19">
        <f t="shared" si="23"/>
        <v>166501.66969068605</v>
      </c>
      <c r="T195" s="14">
        <f t="shared" si="24"/>
        <v>0</v>
      </c>
      <c r="U195" s="18" t="str" cm="1">
        <f t="array" aca="1" ref="U195" ca="1">IF(M195&lt;=$N$1,L195,IF(M195&lt;=($N$1+1),INDIRECT("L"&amp;5+$X$2),""))</f>
        <v/>
      </c>
    </row>
    <row r="196" spans="12:21" hidden="1" x14ac:dyDescent="0.25">
      <c r="L196" s="18">
        <f t="shared" ca="1" si="25"/>
        <v>52027</v>
      </c>
      <c r="M196" s="14">
        <v>191</v>
      </c>
      <c r="N196" s="14">
        <f t="shared" si="18"/>
        <v>0</v>
      </c>
      <c r="O196" s="19">
        <f t="shared" si="19"/>
        <v>419206.69077267183</v>
      </c>
      <c r="P196" s="19">
        <f t="shared" si="20"/>
        <v>172173.20087996445</v>
      </c>
      <c r="Q196" s="14">
        <f t="shared" si="21"/>
        <v>0</v>
      </c>
      <c r="R196" s="19">
        <f t="shared" si="22"/>
        <v>396113.08989958715</v>
      </c>
      <c r="S196" s="19">
        <f t="shared" si="23"/>
        <v>167300.30403966102</v>
      </c>
      <c r="T196" s="14">
        <f t="shared" si="24"/>
        <v>0</v>
      </c>
      <c r="U196" s="18" t="str" cm="1">
        <f t="array" aca="1" ref="U196" ca="1">IF(M196&lt;=$N$1,L196,IF(M196&lt;=($N$1+1),INDIRECT("L"&amp;5+$X$2),""))</f>
        <v/>
      </c>
    </row>
    <row r="197" spans="12:21" hidden="1" x14ac:dyDescent="0.25">
      <c r="L197" s="18">
        <f t="shared" ca="1" si="25"/>
        <v>52057</v>
      </c>
      <c r="M197" s="14">
        <v>192</v>
      </c>
      <c r="N197" s="14">
        <f t="shared" si="18"/>
        <v>0</v>
      </c>
      <c r="O197" s="19">
        <f t="shared" si="19"/>
        <v>423184.45625820546</v>
      </c>
      <c r="P197" s="19">
        <f t="shared" si="20"/>
        <v>172999.0390379309</v>
      </c>
      <c r="Q197" s="14">
        <f t="shared" si="21"/>
        <v>0</v>
      </c>
      <c r="R197" s="19">
        <f t="shared" si="22"/>
        <v>399871.72498832224</v>
      </c>
      <c r="S197" s="19">
        <f t="shared" si="23"/>
        <v>168102.76908189297</v>
      </c>
      <c r="T197" s="14">
        <f t="shared" si="24"/>
        <v>0</v>
      </c>
      <c r="U197" s="18" t="str" cm="1">
        <f t="array" aca="1" ref="U197" ca="1">IF(M197&lt;=$N$1,L197,IF(M197&lt;=($N$1+1),INDIRECT("L"&amp;5+$X$2),""))</f>
        <v/>
      </c>
    </row>
    <row r="198" spans="12:21" hidden="1" x14ac:dyDescent="0.25">
      <c r="L198" s="18">
        <f t="shared" ca="1" si="25"/>
        <v>52088</v>
      </c>
      <c r="M198" s="14">
        <v>193</v>
      </c>
      <c r="N198" s="14">
        <f t="shared" ref="N198:N261" si="26">IF($N$1&gt;=M198,SIPMonthlyPmt*M198,0)</f>
        <v>0</v>
      </c>
      <c r="O198" s="19">
        <f t="shared" ref="O198:O261" si="27">IF($X$2&gt;=M198,IF(M198&lt;=$N$1,FV(SRate,M198,-SIPMonthlyPmt,0,1),FV(SRate,M198-$N$1,0,-$X$1,1)),0)</f>
        <v>427199.96593677375</v>
      </c>
      <c r="P198" s="19">
        <f t="shared" ref="P198:P261" si="28">O198/((1+SIPInflationRate)^(M198/12))</f>
        <v>173828.83837370956</v>
      </c>
      <c r="Q198" s="14">
        <f t="shared" ref="Q198:Q261" si="29">IF((M198-$C$15)&gt;0, IF($N$1+$C$15&gt;=M198,SIPMonthlyPmt*(M198-$C$15),0),0)</f>
        <v>0</v>
      </c>
      <c r="R198" s="19">
        <f t="shared" ref="R198:R261" si="30">IF(M198&lt;=$C$15,0,IF($X$2&gt;=M198,IF(M198&lt;=($N$1+$C$15),FV(SRate,M198-$C$15,-SIPMonthlyPmt,0,1),FV(SRate,M198-$N$1-$C$15,0,-$X$1,1)),0))</f>
        <v>403666.02498713101</v>
      </c>
      <c r="S198" s="19">
        <f t="shared" ref="S198:S261" si="31">R198/((1+SIPInflationRate)^((M198-$C$15)/12))</f>
        <v>168909.08319151128</v>
      </c>
      <c r="T198" s="14">
        <f t="shared" ref="T198:T261" si="32">IF(M198&lt;=$N$1,-SIPMonthlyPmt,IF(M198&lt;=($N$1+1),$X$4,0))</f>
        <v>0</v>
      </c>
      <c r="U198" s="18" t="str" cm="1">
        <f t="array" aca="1" ref="U198" ca="1">IF(M198&lt;=$N$1,L198,IF(M198&lt;=($N$1+1),INDIRECT("L"&amp;5+$X$2),""))</f>
        <v/>
      </c>
    </row>
    <row r="199" spans="12:21" hidden="1" x14ac:dyDescent="0.25">
      <c r="L199" s="18">
        <f t="shared" ca="1" si="25"/>
        <v>52119</v>
      </c>
      <c r="M199" s="14">
        <v>194</v>
      </c>
      <c r="N199" s="14">
        <f t="shared" si="26"/>
        <v>0</v>
      </c>
      <c r="O199" s="19">
        <f t="shared" si="27"/>
        <v>431253.57795520872</v>
      </c>
      <c r="P199" s="19">
        <f t="shared" si="28"/>
        <v>174662.61788730577</v>
      </c>
      <c r="Q199" s="14">
        <f t="shared" si="29"/>
        <v>0</v>
      </c>
      <c r="R199" s="19">
        <f t="shared" si="30"/>
        <v>407496.3283129601</v>
      </c>
      <c r="S199" s="19">
        <f t="shared" si="31"/>
        <v>169719.26483077777</v>
      </c>
      <c r="T199" s="14">
        <f t="shared" si="32"/>
        <v>0</v>
      </c>
      <c r="U199" s="18" t="str" cm="1">
        <f t="array" aca="1" ref="U199" ca="1">IF(M199&lt;=$N$1,L199,IF(M199&lt;=($N$1+1),INDIRECT("L"&amp;5+$X$2),""))</f>
        <v/>
      </c>
    </row>
    <row r="200" spans="12:21" hidden="1" x14ac:dyDescent="0.25">
      <c r="L200" s="18">
        <f t="shared" ca="1" si="25"/>
        <v>52149</v>
      </c>
      <c r="M200" s="14">
        <v>195</v>
      </c>
      <c r="N200" s="14">
        <f t="shared" si="26"/>
        <v>0</v>
      </c>
      <c r="O200" s="19">
        <f t="shared" si="27"/>
        <v>435345.65385872382</v>
      </c>
      <c r="P200" s="19">
        <f t="shared" si="28"/>
        <v>175500.39666985988</v>
      </c>
      <c r="Q200" s="14">
        <f t="shared" si="29"/>
        <v>0</v>
      </c>
      <c r="R200" s="19">
        <f t="shared" si="30"/>
        <v>411362.97659392469</v>
      </c>
      <c r="S200" s="19">
        <f t="shared" si="31"/>
        <v>170533.3325505096</v>
      </c>
      <c r="T200" s="14">
        <f t="shared" si="32"/>
        <v>0</v>
      </c>
      <c r="U200" s="18" t="str" cm="1">
        <f t="array" aca="1" ref="U200" ca="1">IF(M200&lt;=$N$1,L200,IF(M200&lt;=($N$1+1),INDIRECT("L"&amp;5+$X$2),""))</f>
        <v/>
      </c>
    </row>
    <row r="201" spans="12:21" hidden="1" x14ac:dyDescent="0.25">
      <c r="L201" s="18">
        <f t="shared" ref="L201:L264" ca="1" si="33">EDATE(L200,1)</f>
        <v>52180</v>
      </c>
      <c r="M201" s="14">
        <v>196</v>
      </c>
      <c r="N201" s="14">
        <f t="shared" si="26"/>
        <v>0</v>
      </c>
      <c r="O201" s="19">
        <f t="shared" si="27"/>
        <v>439476.55862315989</v>
      </c>
      <c r="P201" s="19">
        <f t="shared" si="28"/>
        <v>176342.1939040838</v>
      </c>
      <c r="Q201" s="14">
        <f t="shared" si="29"/>
        <v>0</v>
      </c>
      <c r="R201" s="19">
        <f t="shared" si="30"/>
        <v>415266.31469977822</v>
      </c>
      <c r="S201" s="19">
        <f t="shared" si="31"/>
        <v>171351.30499050385</v>
      </c>
      <c r="T201" s="14">
        <f t="shared" si="32"/>
        <v>0</v>
      </c>
      <c r="U201" s="18" t="str" cm="1">
        <f t="array" aca="1" ref="U201" ca="1">IF(M201&lt;=$N$1,L201,IF(M201&lt;=($N$1+1),INDIRECT("L"&amp;5+$X$2),""))</f>
        <v/>
      </c>
    </row>
    <row r="202" spans="12:21" hidden="1" x14ac:dyDescent="0.25">
      <c r="L202" s="18">
        <f t="shared" ca="1" si="33"/>
        <v>52210</v>
      </c>
      <c r="M202" s="14">
        <v>197</v>
      </c>
      <c r="N202" s="14">
        <f t="shared" si="26"/>
        <v>0</v>
      </c>
      <c r="O202" s="19">
        <f t="shared" si="27"/>
        <v>443646.66068753815</v>
      </c>
      <c r="P202" s="19">
        <f t="shared" si="28"/>
        <v>177188.02886470026</v>
      </c>
      <c r="Q202" s="14">
        <f t="shared" si="29"/>
        <v>0</v>
      </c>
      <c r="R202" s="19">
        <f t="shared" si="30"/>
        <v>419206.69077267183</v>
      </c>
      <c r="S202" s="19">
        <f t="shared" si="31"/>
        <v>172173.20087996445</v>
      </c>
      <c r="T202" s="14">
        <f t="shared" si="32"/>
        <v>0</v>
      </c>
      <c r="U202" s="18" t="str" cm="1">
        <f t="array" aca="1" ref="U202" ca="1">IF(M202&lt;=$N$1,L202,IF(M202&lt;=($N$1+1),INDIRECT("L"&amp;5+$X$2),""))</f>
        <v/>
      </c>
    </row>
    <row r="203" spans="12:21" hidden="1" x14ac:dyDescent="0.25">
      <c r="L203" s="18">
        <f t="shared" ca="1" si="33"/>
        <v>52241</v>
      </c>
      <c r="M203" s="14">
        <v>198</v>
      </c>
      <c r="N203" s="14">
        <f t="shared" si="26"/>
        <v>0</v>
      </c>
      <c r="O203" s="19">
        <f t="shared" si="27"/>
        <v>447856.33198692149</v>
      </c>
      <c r="P203" s="19">
        <f t="shared" si="28"/>
        <v>178037.92091888448</v>
      </c>
      <c r="Q203" s="14">
        <f t="shared" si="29"/>
        <v>0</v>
      </c>
      <c r="R203" s="19">
        <f t="shared" si="30"/>
        <v>423184.45625820546</v>
      </c>
      <c r="S203" s="19">
        <f t="shared" si="31"/>
        <v>172999.0390379309</v>
      </c>
      <c r="T203" s="14">
        <f t="shared" si="32"/>
        <v>0</v>
      </c>
      <c r="U203" s="18" t="str" cm="1">
        <f t="array" aca="1" ref="U203" ca="1">IF(M203&lt;=$N$1,L203,IF(M203&lt;=($N$1+1),INDIRECT("L"&amp;5+$X$2),""))</f>
        <v/>
      </c>
    </row>
    <row r="204" spans="12:21" hidden="1" x14ac:dyDescent="0.25">
      <c r="L204" s="18">
        <f t="shared" ca="1" si="33"/>
        <v>52272</v>
      </c>
      <c r="M204" s="14">
        <v>199</v>
      </c>
      <c r="N204" s="14">
        <f t="shared" si="26"/>
        <v>0</v>
      </c>
      <c r="O204" s="19">
        <f t="shared" si="27"/>
        <v>452105.94798558735</v>
      </c>
      <c r="P204" s="19">
        <f t="shared" si="28"/>
        <v>178891.88952670724</v>
      </c>
      <c r="Q204" s="14">
        <f t="shared" si="29"/>
        <v>0</v>
      </c>
      <c r="R204" s="19">
        <f t="shared" si="30"/>
        <v>427199.96593677375</v>
      </c>
      <c r="S204" s="19">
        <f t="shared" si="31"/>
        <v>173828.83837370956</v>
      </c>
      <c r="T204" s="14">
        <f t="shared" si="32"/>
        <v>0</v>
      </c>
      <c r="U204" s="18" t="str" cm="1">
        <f t="array" aca="1" ref="U204" ca="1">IF(M204&lt;=$N$1,L204,IF(M204&lt;=($N$1+1),INDIRECT("L"&amp;5+$X$2),""))</f>
        <v/>
      </c>
    </row>
    <row r="205" spans="12:21" hidden="1" x14ac:dyDescent="0.25">
      <c r="L205" s="18">
        <f t="shared" ca="1" si="33"/>
        <v>52300</v>
      </c>
      <c r="M205" s="14">
        <v>200</v>
      </c>
      <c r="N205" s="14">
        <f t="shared" si="26"/>
        <v>0</v>
      </c>
      <c r="O205" s="19">
        <f t="shared" si="27"/>
        <v>456395.88771051593</v>
      </c>
      <c r="P205" s="19">
        <f t="shared" si="28"/>
        <v>179749.95424158045</v>
      </c>
      <c r="Q205" s="14">
        <f t="shared" si="29"/>
        <v>0</v>
      </c>
      <c r="R205" s="19">
        <f t="shared" si="30"/>
        <v>431253.57795520872</v>
      </c>
      <c r="S205" s="19">
        <f t="shared" si="31"/>
        <v>174662.61788730577</v>
      </c>
      <c r="T205" s="14">
        <f t="shared" si="32"/>
        <v>0</v>
      </c>
      <c r="U205" s="18" t="str" cm="1">
        <f t="array" aca="1" ref="U205" ca="1">IF(M205&lt;=$N$1,L205,IF(M205&lt;=($N$1+1),INDIRECT("L"&amp;5+$X$2),""))</f>
        <v/>
      </c>
    </row>
    <row r="206" spans="12:21" hidden="1" x14ac:dyDescent="0.25">
      <c r="L206" s="18">
        <f t="shared" ca="1" si="33"/>
        <v>52331</v>
      </c>
      <c r="M206" s="14">
        <v>201</v>
      </c>
      <c r="N206" s="14">
        <f t="shared" si="26"/>
        <v>0</v>
      </c>
      <c r="O206" s="19">
        <f t="shared" si="27"/>
        <v>460726.5337851962</v>
      </c>
      <c r="P206" s="19">
        <f t="shared" si="28"/>
        <v>180612.13471070537</v>
      </c>
      <c r="Q206" s="14">
        <f t="shared" si="29"/>
        <v>0</v>
      </c>
      <c r="R206" s="19">
        <f t="shared" si="30"/>
        <v>435345.65385872382</v>
      </c>
      <c r="S206" s="19">
        <f t="shared" si="31"/>
        <v>175500.39666985988</v>
      </c>
      <c r="T206" s="14">
        <f t="shared" si="32"/>
        <v>0</v>
      </c>
      <c r="U206" s="18" t="str" cm="1">
        <f t="array" aca="1" ref="U206" ca="1">IF(M206&lt;=$N$1,L206,IF(M206&lt;=($N$1+1),INDIRECT("L"&amp;5+$X$2),""))</f>
        <v/>
      </c>
    </row>
    <row r="207" spans="12:21" hidden="1" x14ac:dyDescent="0.25">
      <c r="L207" s="18">
        <f t="shared" ca="1" si="33"/>
        <v>52361</v>
      </c>
      <c r="M207" s="14">
        <v>202</v>
      </c>
      <c r="N207" s="14">
        <f t="shared" si="26"/>
        <v>0</v>
      </c>
      <c r="O207" s="19">
        <f t="shared" si="27"/>
        <v>465098.27246375219</v>
      </c>
      <c r="P207" s="19">
        <f t="shared" si="28"/>
        <v>181478.45067552204</v>
      </c>
      <c r="Q207" s="14">
        <f t="shared" si="29"/>
        <v>0</v>
      </c>
      <c r="R207" s="19">
        <f t="shared" si="30"/>
        <v>439476.55862315989</v>
      </c>
      <c r="S207" s="19">
        <f t="shared" si="31"/>
        <v>176342.1939040838</v>
      </c>
      <c r="T207" s="14">
        <f t="shared" si="32"/>
        <v>0</v>
      </c>
      <c r="U207" s="18" t="str" cm="1">
        <f t="array" aca="1" ref="U207" ca="1">IF(M207&lt;=$N$1,L207,IF(M207&lt;=($N$1+1),INDIRECT("L"&amp;5+$X$2),""))</f>
        <v/>
      </c>
    </row>
    <row r="208" spans="12:21" hidden="1" x14ac:dyDescent="0.25">
      <c r="L208" s="18">
        <f t="shared" ca="1" si="33"/>
        <v>52392</v>
      </c>
      <c r="M208" s="14">
        <v>203</v>
      </c>
      <c r="N208" s="14">
        <f t="shared" si="26"/>
        <v>0</v>
      </c>
      <c r="O208" s="19">
        <f t="shared" si="27"/>
        <v>469511.49366539309</v>
      </c>
      <c r="P208" s="19">
        <f t="shared" si="28"/>
        <v>182348.92197216116</v>
      </c>
      <c r="Q208" s="14">
        <f t="shared" si="29"/>
        <v>0</v>
      </c>
      <c r="R208" s="19">
        <f t="shared" si="30"/>
        <v>443646.66068753815</v>
      </c>
      <c r="S208" s="19">
        <f t="shared" si="31"/>
        <v>177188.02886470026</v>
      </c>
      <c r="T208" s="14">
        <f t="shared" si="32"/>
        <v>0</v>
      </c>
      <c r="U208" s="18" t="str" cm="1">
        <f t="array" aca="1" ref="U208" ca="1">IF(M208&lt;=$N$1,L208,IF(M208&lt;=($N$1+1),INDIRECT("L"&amp;5+$X$2),""))</f>
        <v/>
      </c>
    </row>
    <row r="209" spans="12:21" hidden="1" x14ac:dyDescent="0.25">
      <c r="L209" s="18">
        <f t="shared" ca="1" si="33"/>
        <v>52422</v>
      </c>
      <c r="M209" s="14">
        <v>204</v>
      </c>
      <c r="N209" s="14">
        <f t="shared" si="26"/>
        <v>0</v>
      </c>
      <c r="O209" s="19">
        <f t="shared" si="27"/>
        <v>473966.59100919077</v>
      </c>
      <c r="P209" s="19">
        <f t="shared" si="28"/>
        <v>183223.56853189867</v>
      </c>
      <c r="Q209" s="14">
        <f t="shared" si="29"/>
        <v>0</v>
      </c>
      <c r="R209" s="19">
        <f t="shared" si="30"/>
        <v>447856.33198692149</v>
      </c>
      <c r="S209" s="19">
        <f t="shared" si="31"/>
        <v>178037.92091888448</v>
      </c>
      <c r="T209" s="14">
        <f t="shared" si="32"/>
        <v>0</v>
      </c>
      <c r="U209" s="18" t="str" cm="1">
        <f t="array" aca="1" ref="U209" ca="1">IF(M209&lt;=$N$1,L209,IF(M209&lt;=($N$1+1),INDIRECT("L"&amp;5+$X$2),""))</f>
        <v/>
      </c>
    </row>
    <row r="210" spans="12:21" hidden="1" x14ac:dyDescent="0.25">
      <c r="L210" s="18">
        <f t="shared" ca="1" si="33"/>
        <v>52453</v>
      </c>
      <c r="M210" s="14">
        <v>205</v>
      </c>
      <c r="N210" s="14">
        <f t="shared" si="26"/>
        <v>0</v>
      </c>
      <c r="O210" s="19">
        <f t="shared" si="27"/>
        <v>478463.96184918715</v>
      </c>
      <c r="P210" s="19">
        <f t="shared" si="28"/>
        <v>184102.41038161219</v>
      </c>
      <c r="Q210" s="14">
        <f t="shared" si="29"/>
        <v>0</v>
      </c>
      <c r="R210" s="19">
        <f t="shared" si="30"/>
        <v>452105.94798558735</v>
      </c>
      <c r="S210" s="19">
        <f t="shared" si="31"/>
        <v>178891.88952670724</v>
      </c>
      <c r="T210" s="14">
        <f t="shared" si="32"/>
        <v>0</v>
      </c>
      <c r="U210" s="18" t="str" cm="1">
        <f t="array" aca="1" ref="U210" ca="1">IF(M210&lt;=$N$1,L210,IF(M210&lt;=($N$1+1),INDIRECT("L"&amp;5+$X$2),""))</f>
        <v/>
      </c>
    </row>
    <row r="211" spans="12:21" hidden="1" x14ac:dyDescent="0.25">
      <c r="L211" s="18">
        <f t="shared" ca="1" si="33"/>
        <v>52484</v>
      </c>
      <c r="M211" s="14">
        <v>206</v>
      </c>
      <c r="N211" s="14">
        <f t="shared" si="26"/>
        <v>0</v>
      </c>
      <c r="O211" s="19">
        <f t="shared" si="27"/>
        <v>483004.00730983436</v>
      </c>
      <c r="P211" s="19">
        <f t="shared" si="28"/>
        <v>184985.4676442389</v>
      </c>
      <c r="Q211" s="14">
        <f t="shared" si="29"/>
        <v>0</v>
      </c>
      <c r="R211" s="19">
        <f t="shared" si="30"/>
        <v>456395.88771051593</v>
      </c>
      <c r="S211" s="19">
        <f t="shared" si="31"/>
        <v>179749.95424158045</v>
      </c>
      <c r="T211" s="14">
        <f t="shared" si="32"/>
        <v>0</v>
      </c>
      <c r="U211" s="18" t="str" cm="1">
        <f t="array" aca="1" ref="U211" ca="1">IF(M211&lt;=$N$1,L211,IF(M211&lt;=($N$1+1),INDIRECT("L"&amp;5+$X$2),""))</f>
        <v/>
      </c>
    </row>
    <row r="212" spans="12:21" hidden="1" x14ac:dyDescent="0.25">
      <c r="L212" s="18">
        <f t="shared" ca="1" si="33"/>
        <v>52514</v>
      </c>
      <c r="M212" s="14">
        <v>207</v>
      </c>
      <c r="N212" s="14">
        <f t="shared" si="26"/>
        <v>0</v>
      </c>
      <c r="O212" s="19">
        <f t="shared" si="27"/>
        <v>487587.13232177129</v>
      </c>
      <c r="P212" s="19">
        <f t="shared" si="28"/>
        <v>185872.76053923718</v>
      </c>
      <c r="Q212" s="14">
        <f t="shared" si="29"/>
        <v>0</v>
      </c>
      <c r="R212" s="19">
        <f t="shared" si="30"/>
        <v>460726.5337851962</v>
      </c>
      <c r="S212" s="19">
        <f t="shared" si="31"/>
        <v>180612.13471070537</v>
      </c>
      <c r="T212" s="14">
        <f t="shared" si="32"/>
        <v>0</v>
      </c>
      <c r="U212" s="18" t="str" cm="1">
        <f t="array" aca="1" ref="U212" ca="1">IF(M212&lt;=$N$1,L212,IF(M212&lt;=($N$1+1),INDIRECT("L"&amp;5+$X$2),""))</f>
        <v/>
      </c>
    </row>
    <row r="213" spans="12:21" hidden="1" x14ac:dyDescent="0.25">
      <c r="L213" s="18">
        <f t="shared" ca="1" si="33"/>
        <v>52545</v>
      </c>
      <c r="M213" s="14">
        <v>208</v>
      </c>
      <c r="N213" s="14">
        <f t="shared" si="26"/>
        <v>0</v>
      </c>
      <c r="O213" s="19">
        <f t="shared" si="27"/>
        <v>492213.7456579397</v>
      </c>
      <c r="P213" s="19">
        <f t="shared" si="28"/>
        <v>186764.30938304876</v>
      </c>
      <c r="Q213" s="14">
        <f t="shared" si="29"/>
        <v>0</v>
      </c>
      <c r="R213" s="19">
        <f t="shared" si="30"/>
        <v>465098.27246375219</v>
      </c>
      <c r="S213" s="19">
        <f t="shared" si="31"/>
        <v>181478.45067552204</v>
      </c>
      <c r="T213" s="14">
        <f t="shared" si="32"/>
        <v>0</v>
      </c>
      <c r="U213" s="18" t="str" cm="1">
        <f t="array" aca="1" ref="U213" ca="1">IF(M213&lt;=$N$1,L213,IF(M213&lt;=($N$1+1),INDIRECT("L"&amp;5+$X$2),""))</f>
        <v/>
      </c>
    </row>
    <row r="214" spans="12:21" hidden="1" x14ac:dyDescent="0.25">
      <c r="L214" s="18">
        <f t="shared" ca="1" si="33"/>
        <v>52575</v>
      </c>
      <c r="M214" s="14">
        <v>209</v>
      </c>
      <c r="N214" s="14">
        <f t="shared" si="26"/>
        <v>0</v>
      </c>
      <c r="O214" s="19">
        <f t="shared" si="27"/>
        <v>496884.25997004338</v>
      </c>
      <c r="P214" s="19">
        <f t="shared" si="28"/>
        <v>187660.13458956455</v>
      </c>
      <c r="Q214" s="14">
        <f t="shared" si="29"/>
        <v>0</v>
      </c>
      <c r="R214" s="19">
        <f t="shared" si="30"/>
        <v>469511.49366539309</v>
      </c>
      <c r="S214" s="19">
        <f t="shared" si="31"/>
        <v>182348.92197216116</v>
      </c>
      <c r="T214" s="14">
        <f t="shared" si="32"/>
        <v>0</v>
      </c>
      <c r="U214" s="18" t="str" cm="1">
        <f t="array" aca="1" ref="U214" ca="1">IF(M214&lt;=$N$1,L214,IF(M214&lt;=($N$1+1),INDIRECT("L"&amp;5+$X$2),""))</f>
        <v/>
      </c>
    </row>
    <row r="215" spans="12:21" hidden="1" x14ac:dyDescent="0.25">
      <c r="L215" s="18">
        <f t="shared" ca="1" si="33"/>
        <v>52606</v>
      </c>
      <c r="M215" s="14">
        <v>210</v>
      </c>
      <c r="N215" s="14">
        <f t="shared" si="26"/>
        <v>0</v>
      </c>
      <c r="O215" s="19">
        <f t="shared" si="27"/>
        <v>501599.09182535269</v>
      </c>
      <c r="P215" s="19">
        <f t="shared" si="28"/>
        <v>188560.25667059183</v>
      </c>
      <c r="Q215" s="14">
        <f t="shared" si="29"/>
        <v>0</v>
      </c>
      <c r="R215" s="19">
        <f t="shared" si="30"/>
        <v>473966.59100919077</v>
      </c>
      <c r="S215" s="19">
        <f t="shared" si="31"/>
        <v>183223.56853189867</v>
      </c>
      <c r="T215" s="14">
        <f t="shared" si="32"/>
        <v>0</v>
      </c>
      <c r="U215" s="18" t="str" cm="1">
        <f t="array" aca="1" ref="U215" ca="1">IF(M215&lt;=$N$1,L215,IF(M215&lt;=($N$1+1),INDIRECT("L"&amp;5+$X$2),""))</f>
        <v/>
      </c>
    </row>
    <row r="216" spans="12:21" hidden="1" x14ac:dyDescent="0.25">
      <c r="L216" s="18">
        <f t="shared" ca="1" si="33"/>
        <v>52637</v>
      </c>
      <c r="M216" s="14">
        <v>211</v>
      </c>
      <c r="N216" s="14">
        <f t="shared" si="26"/>
        <v>0</v>
      </c>
      <c r="O216" s="19">
        <f t="shared" si="27"/>
        <v>506358.66174385842</v>
      </c>
      <c r="P216" s="19">
        <f t="shared" si="28"/>
        <v>189464.69623632371</v>
      </c>
      <c r="Q216" s="14">
        <f t="shared" si="29"/>
        <v>0</v>
      </c>
      <c r="R216" s="19">
        <f t="shared" si="30"/>
        <v>478463.96184918715</v>
      </c>
      <c r="S216" s="19">
        <f t="shared" si="31"/>
        <v>184102.41038161219</v>
      </c>
      <c r="T216" s="14">
        <f t="shared" si="32"/>
        <v>0</v>
      </c>
      <c r="U216" s="18" t="str" cm="1">
        <f t="array" aca="1" ref="U216" ca="1">IF(M216&lt;=$N$1,L216,IF(M216&lt;=($N$1+1),INDIRECT("L"&amp;5+$X$2),""))</f>
        <v/>
      </c>
    </row>
    <row r="217" spans="12:21" hidden="1" x14ac:dyDescent="0.25">
      <c r="L217" s="18">
        <f t="shared" ca="1" si="33"/>
        <v>52666</v>
      </c>
      <c r="M217" s="14">
        <v>212</v>
      </c>
      <c r="N217" s="14">
        <f t="shared" si="26"/>
        <v>0</v>
      </c>
      <c r="O217" s="19">
        <f t="shared" si="27"/>
        <v>511163.39423577837</v>
      </c>
      <c r="P217" s="19">
        <f t="shared" si="28"/>
        <v>190373.47399581116</v>
      </c>
      <c r="Q217" s="14">
        <f t="shared" si="29"/>
        <v>0</v>
      </c>
      <c r="R217" s="19">
        <f t="shared" si="30"/>
        <v>483004.00730983436</v>
      </c>
      <c r="S217" s="19">
        <f t="shared" si="31"/>
        <v>184985.4676442389</v>
      </c>
      <c r="T217" s="14">
        <f t="shared" si="32"/>
        <v>0</v>
      </c>
      <c r="U217" s="18" t="str" cm="1">
        <f t="array" aca="1" ref="U217" ca="1">IF(M217&lt;=$N$1,L217,IF(M217&lt;=($N$1+1),INDIRECT("L"&amp;5+$X$2),""))</f>
        <v/>
      </c>
    </row>
    <row r="218" spans="12:21" hidden="1" x14ac:dyDescent="0.25">
      <c r="L218" s="18">
        <f t="shared" ca="1" si="33"/>
        <v>52697</v>
      </c>
      <c r="M218" s="14">
        <v>213</v>
      </c>
      <c r="N218" s="14">
        <f t="shared" si="26"/>
        <v>0</v>
      </c>
      <c r="O218" s="19">
        <f t="shared" si="27"/>
        <v>516013.71783942031</v>
      </c>
      <c r="P218" s="19">
        <f t="shared" si="28"/>
        <v>191286.61075743759</v>
      </c>
      <c r="Q218" s="14">
        <f t="shared" si="29"/>
        <v>0</v>
      </c>
      <c r="R218" s="19">
        <f t="shared" si="30"/>
        <v>487587.13232177129</v>
      </c>
      <c r="S218" s="19">
        <f t="shared" si="31"/>
        <v>185872.76053923718</v>
      </c>
      <c r="T218" s="14">
        <f t="shared" si="32"/>
        <v>0</v>
      </c>
      <c r="U218" s="18" t="str" cm="1">
        <f t="array" aca="1" ref="U218" ca="1">IF(M218&lt;=$N$1,L218,IF(M218&lt;=($N$1+1),INDIRECT("L"&amp;5+$X$2),""))</f>
        <v/>
      </c>
    </row>
    <row r="219" spans="12:21" hidden="1" x14ac:dyDescent="0.25">
      <c r="L219" s="18">
        <f t="shared" ca="1" si="33"/>
        <v>52727</v>
      </c>
      <c r="M219" s="14">
        <v>214</v>
      </c>
      <c r="N219" s="14">
        <f t="shared" si="26"/>
        <v>0</v>
      </c>
      <c r="O219" s="19">
        <f t="shared" si="27"/>
        <v>520910.06515940308</v>
      </c>
      <c r="P219" s="19">
        <f t="shared" si="28"/>
        <v>192204.12742939472</v>
      </c>
      <c r="Q219" s="14">
        <f t="shared" si="29"/>
        <v>0</v>
      </c>
      <c r="R219" s="19">
        <f t="shared" si="30"/>
        <v>492213.7456579397</v>
      </c>
      <c r="S219" s="19">
        <f t="shared" si="31"/>
        <v>186764.30938304876</v>
      </c>
      <c r="T219" s="14">
        <f t="shared" si="32"/>
        <v>0</v>
      </c>
      <c r="U219" s="18" t="str" cm="1">
        <f t="array" aca="1" ref="U219" ca="1">IF(M219&lt;=$N$1,L219,IF(M219&lt;=($N$1+1),INDIRECT("L"&amp;5+$X$2),""))</f>
        <v/>
      </c>
    </row>
    <row r="220" spans="12:21" hidden="1" x14ac:dyDescent="0.25">
      <c r="L220" s="18">
        <f t="shared" ca="1" si="33"/>
        <v>52758</v>
      </c>
      <c r="M220" s="14">
        <v>215</v>
      </c>
      <c r="N220" s="14">
        <f t="shared" si="26"/>
        <v>0</v>
      </c>
      <c r="O220" s="19">
        <f t="shared" si="27"/>
        <v>525852.87290524086</v>
      </c>
      <c r="P220" s="19">
        <f t="shared" si="28"/>
        <v>193126.04502016143</v>
      </c>
      <c r="Q220" s="14">
        <f t="shared" si="29"/>
        <v>0</v>
      </c>
      <c r="R220" s="19">
        <f t="shared" si="30"/>
        <v>496884.25997004338</v>
      </c>
      <c r="S220" s="19">
        <f t="shared" si="31"/>
        <v>187660.13458956455</v>
      </c>
      <c r="T220" s="14">
        <f t="shared" si="32"/>
        <v>0</v>
      </c>
      <c r="U220" s="18" t="str" cm="1">
        <f t="array" aca="1" ref="U220" ca="1">IF(M220&lt;=$N$1,L220,IF(M220&lt;=($N$1+1),INDIRECT("L"&amp;5+$X$2),""))</f>
        <v/>
      </c>
    </row>
    <row r="221" spans="12:21" hidden="1" x14ac:dyDescent="0.25">
      <c r="L221" s="18">
        <f t="shared" ca="1" si="33"/>
        <v>52788</v>
      </c>
      <c r="M221" s="14">
        <v>216</v>
      </c>
      <c r="N221" s="14">
        <f t="shared" si="26"/>
        <v>0</v>
      </c>
      <c r="O221" s="19">
        <f t="shared" si="27"/>
        <v>530842.58193029428</v>
      </c>
      <c r="P221" s="19">
        <f t="shared" si="28"/>
        <v>194052.3846389851</v>
      </c>
      <c r="Q221" s="14">
        <f t="shared" si="29"/>
        <v>0</v>
      </c>
      <c r="R221" s="19">
        <f t="shared" si="30"/>
        <v>501599.09182535269</v>
      </c>
      <c r="S221" s="19">
        <f t="shared" si="31"/>
        <v>188560.25667059183</v>
      </c>
      <c r="T221" s="14">
        <f t="shared" si="32"/>
        <v>0</v>
      </c>
      <c r="U221" s="18" t="str" cm="1">
        <f t="array" aca="1" ref="U221" ca="1">IF(M221&lt;=$N$1,L221,IF(M221&lt;=($N$1+1),INDIRECT("L"&amp;5+$X$2),""))</f>
        <v/>
      </c>
    </row>
    <row r="222" spans="12:21" hidden="1" x14ac:dyDescent="0.25">
      <c r="L222" s="18">
        <f t="shared" ca="1" si="33"/>
        <v>52819</v>
      </c>
      <c r="M222" s="14">
        <v>217</v>
      </c>
      <c r="N222" s="14">
        <f t="shared" si="26"/>
        <v>0</v>
      </c>
      <c r="O222" s="19">
        <f t="shared" si="27"/>
        <v>535879.63727109018</v>
      </c>
      <c r="P222" s="19">
        <f t="shared" si="28"/>
        <v>194983.16749636491</v>
      </c>
      <c r="Q222" s="14">
        <f t="shared" si="29"/>
        <v>0</v>
      </c>
      <c r="R222" s="19">
        <f t="shared" si="30"/>
        <v>506358.66174385842</v>
      </c>
      <c r="S222" s="19">
        <f t="shared" si="31"/>
        <v>189464.69623632371</v>
      </c>
      <c r="T222" s="14">
        <f t="shared" si="32"/>
        <v>0</v>
      </c>
      <c r="U222" s="18" t="str" cm="1">
        <f t="array" aca="1" ref="U222" ca="1">IF(M222&lt;=$N$1,L222,IF(M222&lt;=($N$1+1),INDIRECT("L"&amp;5+$X$2),""))</f>
        <v/>
      </c>
    </row>
    <row r="223" spans="12:21" hidden="1" x14ac:dyDescent="0.25">
      <c r="L223" s="18">
        <f t="shared" ca="1" si="33"/>
        <v>52850</v>
      </c>
      <c r="M223" s="14">
        <v>218</v>
      </c>
      <c r="N223" s="14">
        <f t="shared" si="26"/>
        <v>0</v>
      </c>
      <c r="O223" s="19">
        <f t="shared" si="27"/>
        <v>540964.48818701517</v>
      </c>
      <c r="P223" s="19">
        <f t="shared" si="28"/>
        <v>195918.41490453697</v>
      </c>
      <c r="Q223" s="14">
        <f t="shared" si="29"/>
        <v>0</v>
      </c>
      <c r="R223" s="19">
        <f t="shared" si="30"/>
        <v>511163.39423577837</v>
      </c>
      <c r="S223" s="19">
        <f t="shared" si="31"/>
        <v>190373.47399581116</v>
      </c>
      <c r="T223" s="14">
        <f t="shared" si="32"/>
        <v>0</v>
      </c>
      <c r="U223" s="18" t="str" cm="1">
        <f t="array" aca="1" ref="U223" ca="1">IF(M223&lt;=$N$1,L223,IF(M223&lt;=($N$1+1),INDIRECT("L"&amp;5+$X$2),""))</f>
        <v/>
      </c>
    </row>
    <row r="224" spans="12:21" hidden="1" x14ac:dyDescent="0.25">
      <c r="L224" s="18">
        <f t="shared" ca="1" si="33"/>
        <v>52880</v>
      </c>
      <c r="M224" s="14">
        <v>219</v>
      </c>
      <c r="N224" s="14">
        <f t="shared" si="26"/>
        <v>0</v>
      </c>
      <c r="O224" s="19">
        <f t="shared" si="27"/>
        <v>546097.58820038452</v>
      </c>
      <c r="P224" s="19">
        <f t="shared" si="28"/>
        <v>196858.14827796299</v>
      </c>
      <c r="Q224" s="14">
        <f t="shared" si="29"/>
        <v>0</v>
      </c>
      <c r="R224" s="19">
        <f t="shared" si="30"/>
        <v>516013.71783942031</v>
      </c>
      <c r="S224" s="19">
        <f t="shared" si="31"/>
        <v>191286.61075743759</v>
      </c>
      <c r="T224" s="14">
        <f t="shared" si="32"/>
        <v>0</v>
      </c>
      <c r="U224" s="18" t="str" cm="1">
        <f t="array" aca="1" ref="U224" ca="1">IF(M224&lt;=$N$1,L224,IF(M224&lt;=($N$1+1),INDIRECT("L"&amp;5+$X$2),""))</f>
        <v/>
      </c>
    </row>
    <row r="225" spans="12:21" hidden="1" x14ac:dyDescent="0.25">
      <c r="L225" s="18">
        <f t="shared" ca="1" si="33"/>
        <v>52911</v>
      </c>
      <c r="M225" s="14">
        <v>220</v>
      </c>
      <c r="N225" s="14">
        <f t="shared" si="26"/>
        <v>0</v>
      </c>
      <c r="O225" s="19">
        <f t="shared" si="27"/>
        <v>551279.39513689326</v>
      </c>
      <c r="P225" s="19">
        <f t="shared" si="28"/>
        <v>197802.38913382025</v>
      </c>
      <c r="Q225" s="14">
        <f t="shared" si="29"/>
        <v>0</v>
      </c>
      <c r="R225" s="19">
        <f t="shared" si="30"/>
        <v>520910.06515940308</v>
      </c>
      <c r="S225" s="19">
        <f t="shared" si="31"/>
        <v>192204.12742939472</v>
      </c>
      <c r="T225" s="14">
        <f t="shared" si="32"/>
        <v>0</v>
      </c>
      <c r="U225" s="18" t="str" cm="1">
        <f t="array" aca="1" ref="U225" ca="1">IF(M225&lt;=$N$1,L225,IF(M225&lt;=($N$1+1),INDIRECT("L"&amp;5+$X$2),""))</f>
        <v/>
      </c>
    </row>
    <row r="226" spans="12:21" hidden="1" x14ac:dyDescent="0.25">
      <c r="L226" s="18">
        <f t="shared" ca="1" si="33"/>
        <v>52941</v>
      </c>
      <c r="M226" s="14">
        <v>221</v>
      </c>
      <c r="N226" s="14">
        <f t="shared" si="26"/>
        <v>0</v>
      </c>
      <c r="O226" s="19">
        <f t="shared" si="27"/>
        <v>556510.37116644927</v>
      </c>
      <c r="P226" s="19">
        <f t="shared" si="28"/>
        <v>198751.15909249414</v>
      </c>
      <c r="Q226" s="14">
        <f t="shared" si="29"/>
        <v>0</v>
      </c>
      <c r="R226" s="19">
        <f t="shared" si="30"/>
        <v>525852.87290524086</v>
      </c>
      <c r="S226" s="19">
        <f t="shared" si="31"/>
        <v>193126.04502016143</v>
      </c>
      <c r="T226" s="14">
        <f t="shared" si="32"/>
        <v>0</v>
      </c>
      <c r="U226" s="18" t="str" cm="1">
        <f t="array" aca="1" ref="U226" ca="1">IF(M226&lt;=$N$1,L226,IF(M226&lt;=($N$1+1),INDIRECT("L"&amp;5+$X$2),""))</f>
        <v/>
      </c>
    </row>
    <row r="227" spans="12:21" hidden="1" x14ac:dyDescent="0.25">
      <c r="L227" s="18">
        <f t="shared" ca="1" si="33"/>
        <v>52972</v>
      </c>
      <c r="M227" s="14">
        <v>222</v>
      </c>
      <c r="N227" s="14">
        <f t="shared" si="26"/>
        <v>0</v>
      </c>
      <c r="O227" s="19">
        <f t="shared" si="27"/>
        <v>561790.9828443958</v>
      </c>
      <c r="P227" s="19">
        <f t="shared" si="28"/>
        <v>199704.47987807388</v>
      </c>
      <c r="Q227" s="14">
        <f t="shared" si="29"/>
        <v>0</v>
      </c>
      <c r="R227" s="19">
        <f t="shared" si="30"/>
        <v>530842.58193029428</v>
      </c>
      <c r="S227" s="19">
        <f t="shared" si="31"/>
        <v>194052.3846389851</v>
      </c>
      <c r="T227" s="14">
        <f t="shared" si="32"/>
        <v>0</v>
      </c>
      <c r="U227" s="18" t="str" cm="1">
        <f t="array" aca="1" ref="U227" ca="1">IF(M227&lt;=$N$1,L227,IF(M227&lt;=($N$1+1),INDIRECT("L"&amp;5+$X$2),""))</f>
        <v/>
      </c>
    </row>
    <row r="228" spans="12:21" hidden="1" x14ac:dyDescent="0.25">
      <c r="L228" s="18">
        <f t="shared" ca="1" si="33"/>
        <v>53003</v>
      </c>
      <c r="M228" s="14">
        <v>223</v>
      </c>
      <c r="N228" s="14">
        <f t="shared" si="26"/>
        <v>0</v>
      </c>
      <c r="O228" s="19">
        <f t="shared" si="27"/>
        <v>567121.70115312224</v>
      </c>
      <c r="P228" s="19">
        <f t="shared" si="28"/>
        <v>200662.37331884899</v>
      </c>
      <c r="Q228" s="14">
        <f t="shared" si="29"/>
        <v>0</v>
      </c>
      <c r="R228" s="19">
        <f t="shared" si="30"/>
        <v>535879.63727109018</v>
      </c>
      <c r="S228" s="19">
        <f t="shared" si="31"/>
        <v>194983.16749636491</v>
      </c>
      <c r="T228" s="14">
        <f t="shared" si="32"/>
        <v>0</v>
      </c>
      <c r="U228" s="18" t="str" cm="1">
        <f t="array" aca="1" ref="U228" ca="1">IF(M228&lt;=$N$1,L228,IF(M228&lt;=($N$1+1),INDIRECT("L"&amp;5+$X$2),""))</f>
        <v/>
      </c>
    </row>
    <row r="229" spans="12:21" hidden="1" x14ac:dyDescent="0.25">
      <c r="L229" s="18">
        <f t="shared" ca="1" si="33"/>
        <v>53031</v>
      </c>
      <c r="M229" s="14">
        <v>224</v>
      </c>
      <c r="N229" s="14">
        <f t="shared" si="26"/>
        <v>0</v>
      </c>
      <c r="O229" s="19">
        <f t="shared" si="27"/>
        <v>572503.00154407264</v>
      </c>
      <c r="P229" s="19">
        <f t="shared" si="28"/>
        <v>201624.8613478097</v>
      </c>
      <c r="Q229" s="14">
        <f t="shared" si="29"/>
        <v>0</v>
      </c>
      <c r="R229" s="19">
        <f t="shared" si="30"/>
        <v>540964.48818701517</v>
      </c>
      <c r="S229" s="19">
        <f t="shared" si="31"/>
        <v>195918.41490453697</v>
      </c>
      <c r="T229" s="14">
        <f t="shared" si="32"/>
        <v>0</v>
      </c>
      <c r="U229" s="18" t="str" cm="1">
        <f t="array" aca="1" ref="U229" ca="1">IF(M229&lt;=$N$1,L229,IF(M229&lt;=($N$1+1),INDIRECT("L"&amp;5+$X$2),""))</f>
        <v/>
      </c>
    </row>
    <row r="230" spans="12:21" hidden="1" x14ac:dyDescent="0.25">
      <c r="L230" s="18">
        <f t="shared" ca="1" si="33"/>
        <v>53062</v>
      </c>
      <c r="M230" s="14">
        <v>225</v>
      </c>
      <c r="N230" s="14">
        <f t="shared" si="26"/>
        <v>0</v>
      </c>
      <c r="O230" s="19">
        <f t="shared" si="27"/>
        <v>577935.3639801516</v>
      </c>
      <c r="P230" s="19">
        <f t="shared" si="28"/>
        <v>202591.96600314928</v>
      </c>
      <c r="Q230" s="14">
        <f t="shared" si="29"/>
        <v>0</v>
      </c>
      <c r="R230" s="19">
        <f t="shared" si="30"/>
        <v>546097.58820038452</v>
      </c>
      <c r="S230" s="19">
        <f t="shared" si="31"/>
        <v>196858.14827796299</v>
      </c>
      <c r="T230" s="14">
        <f t="shared" si="32"/>
        <v>0</v>
      </c>
      <c r="U230" s="18" t="str" cm="1">
        <f t="array" aca="1" ref="U230" ca="1">IF(M230&lt;=$N$1,L230,IF(M230&lt;=($N$1+1),INDIRECT("L"&amp;5+$X$2),""))</f>
        <v/>
      </c>
    </row>
    <row r="231" spans="12:21" hidden="1" x14ac:dyDescent="0.25">
      <c r="L231" s="18">
        <f t="shared" ca="1" si="33"/>
        <v>53092</v>
      </c>
      <c r="M231" s="14">
        <v>226</v>
      </c>
      <c r="N231" s="14">
        <f t="shared" si="26"/>
        <v>0</v>
      </c>
      <c r="O231" s="19">
        <f t="shared" si="27"/>
        <v>583419.27297853236</v>
      </c>
      <c r="P231" s="19">
        <f t="shared" si="28"/>
        <v>203563.70942876826</v>
      </c>
      <c r="Q231" s="14">
        <f t="shared" si="29"/>
        <v>0</v>
      </c>
      <c r="R231" s="19">
        <f t="shared" si="30"/>
        <v>551279.39513689326</v>
      </c>
      <c r="S231" s="19">
        <f t="shared" si="31"/>
        <v>197802.38913382025</v>
      </c>
      <c r="T231" s="14">
        <f t="shared" si="32"/>
        <v>0</v>
      </c>
      <c r="U231" s="18" t="str" cm="1">
        <f t="array" aca="1" ref="U231" ca="1">IF(M231&lt;=$N$1,L231,IF(M231&lt;=($N$1+1),INDIRECT("L"&amp;5+$X$2),""))</f>
        <v/>
      </c>
    </row>
    <row r="232" spans="12:21" hidden="1" x14ac:dyDescent="0.25">
      <c r="L232" s="18">
        <f t="shared" ca="1" si="33"/>
        <v>53123</v>
      </c>
      <c r="M232" s="14">
        <v>227</v>
      </c>
      <c r="N232" s="14">
        <f t="shared" si="26"/>
        <v>0</v>
      </c>
      <c r="O232" s="19">
        <f t="shared" si="27"/>
        <v>588955.21765387058</v>
      </c>
      <c r="P232" s="19">
        <f t="shared" si="28"/>
        <v>204540.11387478118</v>
      </c>
      <c r="Q232" s="14">
        <f t="shared" si="29"/>
        <v>0</v>
      </c>
      <c r="R232" s="19">
        <f t="shared" si="30"/>
        <v>556510.37116644927</v>
      </c>
      <c r="S232" s="19">
        <f t="shared" si="31"/>
        <v>198751.15909249414</v>
      </c>
      <c r="T232" s="14">
        <f t="shared" si="32"/>
        <v>0</v>
      </c>
      <c r="U232" s="18" t="str" cm="1">
        <f t="array" aca="1" ref="U232" ca="1">IF(M232&lt;=$N$1,L232,IF(M232&lt;=($N$1+1),INDIRECT("L"&amp;5+$X$2),""))</f>
        <v/>
      </c>
    </row>
    <row r="233" spans="12:21" hidden="1" x14ac:dyDescent="0.25">
      <c r="L233" s="18">
        <f t="shared" ca="1" si="33"/>
        <v>53153</v>
      </c>
      <c r="M233" s="14">
        <v>228</v>
      </c>
      <c r="N233" s="14">
        <f t="shared" si="26"/>
        <v>0</v>
      </c>
      <c r="O233" s="19">
        <f t="shared" si="27"/>
        <v>594543.69176193036</v>
      </c>
      <c r="P233" s="19">
        <f t="shared" si="28"/>
        <v>205521.201698027</v>
      </c>
      <c r="Q233" s="14">
        <f t="shared" si="29"/>
        <v>0</v>
      </c>
      <c r="R233" s="19">
        <f t="shared" si="30"/>
        <v>561790.9828443958</v>
      </c>
      <c r="S233" s="19">
        <f t="shared" si="31"/>
        <v>199704.47987807388</v>
      </c>
      <c r="T233" s="14">
        <f t="shared" si="32"/>
        <v>0</v>
      </c>
      <c r="U233" s="18" t="str" cm="1">
        <f t="array" aca="1" ref="U233" ca="1">IF(M233&lt;=$N$1,L233,IF(M233&lt;=($N$1+1),INDIRECT("L"&amp;5+$X$2),""))</f>
        <v/>
      </c>
    </row>
    <row r="234" spans="12:21" hidden="1" x14ac:dyDescent="0.25">
      <c r="L234" s="18">
        <f t="shared" ca="1" si="33"/>
        <v>53184</v>
      </c>
      <c r="M234" s="14">
        <v>229</v>
      </c>
      <c r="N234" s="14">
        <f t="shared" si="26"/>
        <v>0</v>
      </c>
      <c r="O234" s="19">
        <f t="shared" si="27"/>
        <v>600185.19374362193</v>
      </c>
      <c r="P234" s="19">
        <f t="shared" si="28"/>
        <v>206506.99536258058</v>
      </c>
      <c r="Q234" s="14">
        <f t="shared" si="29"/>
        <v>0</v>
      </c>
      <c r="R234" s="19">
        <f t="shared" si="30"/>
        <v>567121.70115312224</v>
      </c>
      <c r="S234" s="19">
        <f t="shared" si="31"/>
        <v>200662.37331884899</v>
      </c>
      <c r="T234" s="14">
        <f t="shared" si="32"/>
        <v>0</v>
      </c>
      <c r="U234" s="18" t="str" cm="1">
        <f t="array" aca="1" ref="U234" ca="1">IF(M234&lt;=$N$1,L234,IF(M234&lt;=($N$1+1),INDIRECT("L"&amp;5+$X$2),""))</f>
        <v/>
      </c>
    </row>
    <row r="235" spans="12:21" hidden="1" x14ac:dyDescent="0.25">
      <c r="L235" s="18">
        <f t="shared" ca="1" si="33"/>
        <v>53215</v>
      </c>
      <c r="M235" s="14">
        <v>230</v>
      </c>
      <c r="N235" s="14">
        <f t="shared" si="26"/>
        <v>0</v>
      </c>
      <c r="O235" s="19">
        <f t="shared" si="27"/>
        <v>605880.2267694578</v>
      </c>
      <c r="P235" s="19">
        <f t="shared" si="28"/>
        <v>207497.51744026635</v>
      </c>
      <c r="Q235" s="14">
        <f t="shared" si="29"/>
        <v>0</v>
      </c>
      <c r="R235" s="19">
        <f t="shared" si="30"/>
        <v>572503.00154407264</v>
      </c>
      <c r="S235" s="19">
        <f t="shared" si="31"/>
        <v>201624.8613478097</v>
      </c>
      <c r="T235" s="14">
        <f t="shared" si="32"/>
        <v>0</v>
      </c>
      <c r="U235" s="18" t="str" cm="1">
        <f t="array" aca="1" ref="U235" ca="1">IF(M235&lt;=$N$1,L235,IF(M235&lt;=($N$1+1),INDIRECT("L"&amp;5+$X$2),""))</f>
        <v/>
      </c>
    </row>
    <row r="236" spans="12:21" hidden="1" x14ac:dyDescent="0.25">
      <c r="L236" s="18">
        <f t="shared" ca="1" si="33"/>
        <v>53245</v>
      </c>
      <c r="M236" s="14">
        <v>231</v>
      </c>
      <c r="N236" s="14">
        <f t="shared" si="26"/>
        <v>0</v>
      </c>
      <c r="O236" s="19">
        <f t="shared" si="27"/>
        <v>611629.29878443154</v>
      </c>
      <c r="P236" s="19">
        <f t="shared" si="28"/>
        <v>208492.79061117623</v>
      </c>
      <c r="Q236" s="14">
        <f t="shared" si="29"/>
        <v>0</v>
      </c>
      <c r="R236" s="19">
        <f t="shared" si="30"/>
        <v>577935.3639801516</v>
      </c>
      <c r="S236" s="19">
        <f t="shared" si="31"/>
        <v>202591.96600314928</v>
      </c>
      <c r="T236" s="14">
        <f t="shared" si="32"/>
        <v>0</v>
      </c>
      <c r="U236" s="18" t="str" cm="1">
        <f t="array" aca="1" ref="U236" ca="1">IF(M236&lt;=$N$1,L236,IF(M236&lt;=($N$1+1),INDIRECT("L"&amp;5+$X$2),""))</f>
        <v/>
      </c>
    </row>
    <row r="237" spans="12:21" hidden="1" x14ac:dyDescent="0.25">
      <c r="L237" s="18">
        <f t="shared" ca="1" si="33"/>
        <v>53276</v>
      </c>
      <c r="M237" s="14">
        <v>232</v>
      </c>
      <c r="N237" s="14">
        <f t="shared" si="26"/>
        <v>0</v>
      </c>
      <c r="O237" s="19">
        <f t="shared" si="27"/>
        <v>617432.92255332123</v>
      </c>
      <c r="P237" s="19">
        <f t="shared" si="28"/>
        <v>209492.83766418809</v>
      </c>
      <c r="Q237" s="14">
        <f t="shared" si="29"/>
        <v>0</v>
      </c>
      <c r="R237" s="19">
        <f t="shared" si="30"/>
        <v>583419.27297853236</v>
      </c>
      <c r="S237" s="19">
        <f t="shared" si="31"/>
        <v>203563.70942876826</v>
      </c>
      <c r="T237" s="14">
        <f t="shared" si="32"/>
        <v>0</v>
      </c>
      <c r="U237" s="18" t="str" cm="1">
        <f t="array" aca="1" ref="U237" ca="1">IF(M237&lt;=$N$1,L237,IF(M237&lt;=($N$1+1),INDIRECT("L"&amp;5+$X$2),""))</f>
        <v/>
      </c>
    </row>
    <row r="238" spans="12:21" hidden="1" x14ac:dyDescent="0.25">
      <c r="L238" s="18">
        <f t="shared" ca="1" si="33"/>
        <v>53306</v>
      </c>
      <c r="M238" s="14">
        <v>233</v>
      </c>
      <c r="N238" s="14">
        <f t="shared" si="26"/>
        <v>0</v>
      </c>
      <c r="O238" s="19">
        <f t="shared" si="27"/>
        <v>623291.615706424</v>
      </c>
      <c r="P238" s="19">
        <f t="shared" si="28"/>
        <v>210497.68149748811</v>
      </c>
      <c r="Q238" s="14">
        <f t="shared" si="29"/>
        <v>0</v>
      </c>
      <c r="R238" s="19">
        <f t="shared" si="30"/>
        <v>588955.21765387058</v>
      </c>
      <c r="S238" s="19">
        <f t="shared" si="31"/>
        <v>204540.11387478118</v>
      </c>
      <c r="T238" s="14">
        <f t="shared" si="32"/>
        <v>0</v>
      </c>
      <c r="U238" s="18" t="str" cm="1">
        <f t="array" aca="1" ref="U238" ca="1">IF(M238&lt;=$N$1,L238,IF(M238&lt;=($N$1+1),INDIRECT("L"&amp;5+$X$2),""))</f>
        <v/>
      </c>
    </row>
    <row r="239" spans="12:21" hidden="1" x14ac:dyDescent="0.25">
      <c r="L239" s="18">
        <f t="shared" ca="1" si="33"/>
        <v>53337</v>
      </c>
      <c r="M239" s="14">
        <v>234</v>
      </c>
      <c r="N239" s="14">
        <f t="shared" si="26"/>
        <v>0</v>
      </c>
      <c r="O239" s="19">
        <f t="shared" si="27"/>
        <v>629205.90078572405</v>
      </c>
      <c r="P239" s="19">
        <f t="shared" si="28"/>
        <v>211507.34511909503</v>
      </c>
      <c r="Q239" s="14">
        <f t="shared" si="29"/>
        <v>0</v>
      </c>
      <c r="R239" s="19">
        <f t="shared" si="30"/>
        <v>594543.69176193036</v>
      </c>
      <c r="S239" s="19">
        <f t="shared" si="31"/>
        <v>205521.201698027</v>
      </c>
      <c r="T239" s="14">
        <f t="shared" si="32"/>
        <v>0</v>
      </c>
      <c r="U239" s="18" t="str" cm="1">
        <f t="array" aca="1" ref="U239" ca="1">IF(M239&lt;=$N$1,L239,IF(M239&lt;=($N$1+1),INDIRECT("L"&amp;5+$X$2),""))</f>
        <v/>
      </c>
    </row>
    <row r="240" spans="12:21" hidden="1" x14ac:dyDescent="0.25">
      <c r="L240" s="18">
        <f t="shared" ca="1" si="33"/>
        <v>53368</v>
      </c>
      <c r="M240" s="14">
        <v>235</v>
      </c>
      <c r="N240" s="14">
        <f t="shared" si="26"/>
        <v>0</v>
      </c>
      <c r="O240" s="19">
        <f t="shared" si="27"/>
        <v>635176.30529149773</v>
      </c>
      <c r="P240" s="19">
        <f t="shared" si="28"/>
        <v>212521.85164738641</v>
      </c>
      <c r="Q240" s="14">
        <f t="shared" si="29"/>
        <v>0</v>
      </c>
      <c r="R240" s="19">
        <f t="shared" si="30"/>
        <v>600185.19374362193</v>
      </c>
      <c r="S240" s="19">
        <f t="shared" si="31"/>
        <v>206506.99536258058</v>
      </c>
      <c r="T240" s="14">
        <f t="shared" si="32"/>
        <v>0</v>
      </c>
      <c r="U240" s="18" t="str" cm="1">
        <f t="array" aca="1" ref="U240" ca="1">IF(M240&lt;=$N$1,L240,IF(M240&lt;=($N$1+1),INDIRECT("L"&amp;5+$X$2),""))</f>
        <v/>
      </c>
    </row>
    <row r="241" spans="12:21" hidden="1" x14ac:dyDescent="0.25">
      <c r="L241" s="18">
        <f t="shared" ca="1" si="33"/>
        <v>53396</v>
      </c>
      <c r="M241" s="14">
        <v>236</v>
      </c>
      <c r="N241" s="14">
        <f t="shared" si="26"/>
        <v>0</v>
      </c>
      <c r="O241" s="19">
        <f t="shared" si="27"/>
        <v>641203.36172936216</v>
      </c>
      <c r="P241" s="19">
        <f t="shared" si="28"/>
        <v>213541.2243116285</v>
      </c>
      <c r="Q241" s="14">
        <f t="shared" si="29"/>
        <v>0</v>
      </c>
      <c r="R241" s="19">
        <f t="shared" si="30"/>
        <v>605880.2267694578</v>
      </c>
      <c r="S241" s="19">
        <f t="shared" si="31"/>
        <v>207497.51744026635</v>
      </c>
      <c r="T241" s="14">
        <f t="shared" si="32"/>
        <v>0</v>
      </c>
      <c r="U241" s="18" t="str" cm="1">
        <f t="array" aca="1" ref="U241" ca="1">IF(M241&lt;=$N$1,L241,IF(M241&lt;=($N$1+1),INDIRECT("L"&amp;5+$X$2),""))</f>
        <v/>
      </c>
    </row>
    <row r="242" spans="12:21" hidden="1" x14ac:dyDescent="0.25">
      <c r="L242" s="18">
        <f t="shared" ca="1" si="33"/>
        <v>53427</v>
      </c>
      <c r="M242" s="14">
        <v>237</v>
      </c>
      <c r="N242" s="14">
        <f t="shared" si="26"/>
        <v>0</v>
      </c>
      <c r="O242" s="19">
        <f t="shared" si="27"/>
        <v>647287.60765777063</v>
      </c>
      <c r="P242" s="19">
        <f t="shared" si="28"/>
        <v>214565.48645250825</v>
      </c>
      <c r="Q242" s="14">
        <f t="shared" si="29"/>
        <v>0</v>
      </c>
      <c r="R242" s="19">
        <f t="shared" si="30"/>
        <v>611629.29878443154</v>
      </c>
      <c r="S242" s="19">
        <f t="shared" si="31"/>
        <v>208492.79061117623</v>
      </c>
      <c r="T242" s="14">
        <f t="shared" si="32"/>
        <v>0</v>
      </c>
      <c r="U242" s="18" t="str" cm="1">
        <f t="array" aca="1" ref="U242" ca="1">IF(M242&lt;=$N$1,L242,IF(M242&lt;=($N$1+1),INDIRECT("L"&amp;5+$X$2),""))</f>
        <v/>
      </c>
    </row>
    <row r="243" spans="12:21" hidden="1" x14ac:dyDescent="0.25">
      <c r="L243" s="18">
        <f t="shared" ca="1" si="33"/>
        <v>53457</v>
      </c>
      <c r="M243" s="14">
        <v>238</v>
      </c>
      <c r="N243" s="14">
        <f t="shared" si="26"/>
        <v>0</v>
      </c>
      <c r="O243" s="19">
        <f t="shared" si="27"/>
        <v>653429.58573595691</v>
      </c>
      <c r="P243" s="19">
        <f t="shared" si="28"/>
        <v>215594.66152266727</v>
      </c>
      <c r="Q243" s="14">
        <f t="shared" si="29"/>
        <v>0</v>
      </c>
      <c r="R243" s="19">
        <f t="shared" si="30"/>
        <v>617432.92255332123</v>
      </c>
      <c r="S243" s="19">
        <f t="shared" si="31"/>
        <v>209492.83766418809</v>
      </c>
      <c r="T243" s="14">
        <f t="shared" si="32"/>
        <v>0</v>
      </c>
      <c r="U243" s="18" t="str" cm="1">
        <f t="array" aca="1" ref="U243" ca="1">IF(M243&lt;=$N$1,L243,IF(M243&lt;=($N$1+1),INDIRECT("L"&amp;5+$X$2),""))</f>
        <v/>
      </c>
    </row>
    <row r="244" spans="12:21" hidden="1" x14ac:dyDescent="0.25">
      <c r="L244" s="18">
        <f t="shared" ca="1" si="33"/>
        <v>53488</v>
      </c>
      <c r="M244" s="14">
        <v>239</v>
      </c>
      <c r="N244" s="14">
        <f t="shared" si="26"/>
        <v>0</v>
      </c>
      <c r="O244" s="19">
        <f t="shared" si="27"/>
        <v>659629.84377233591</v>
      </c>
      <c r="P244" s="19">
        <f t="shared" si="28"/>
        <v>216628.77308723895</v>
      </c>
      <c r="Q244" s="14">
        <f t="shared" si="29"/>
        <v>0</v>
      </c>
      <c r="R244" s="19">
        <f t="shared" si="30"/>
        <v>623291.615706424</v>
      </c>
      <c r="S244" s="19">
        <f t="shared" si="31"/>
        <v>210497.68149748811</v>
      </c>
      <c r="T244" s="14">
        <f t="shared" si="32"/>
        <v>0</v>
      </c>
      <c r="U244" s="18" t="str" cm="1">
        <f t="array" aca="1" ref="U244" ca="1">IF(M244&lt;=$N$1,L244,IF(M244&lt;=($N$1+1),INDIRECT("L"&amp;5+$X$2),""))</f>
        <v/>
      </c>
    </row>
    <row r="245" spans="12:21" hidden="1" x14ac:dyDescent="0.25">
      <c r="L245" s="18">
        <f t="shared" ca="1" si="33"/>
        <v>53518</v>
      </c>
      <c r="M245" s="14">
        <v>240</v>
      </c>
      <c r="N245" s="14">
        <f t="shared" si="26"/>
        <v>0</v>
      </c>
      <c r="O245" s="19">
        <f t="shared" si="27"/>
        <v>665888.93477336282</v>
      </c>
      <c r="P245" s="19">
        <f t="shared" si="28"/>
        <v>217667.84482438816</v>
      </c>
      <c r="Q245" s="14">
        <f t="shared" si="29"/>
        <v>0</v>
      </c>
      <c r="R245" s="19">
        <f t="shared" si="30"/>
        <v>629205.90078572405</v>
      </c>
      <c r="S245" s="19">
        <f t="shared" si="31"/>
        <v>211507.34511909503</v>
      </c>
      <c r="T245" s="14">
        <f t="shared" si="32"/>
        <v>0</v>
      </c>
      <c r="U245" s="18" t="str" cm="1">
        <f t="array" aca="1" ref="U245" ca="1">IF(M245&lt;=$N$1,L245,IF(M245&lt;=($N$1+1),INDIRECT("L"&amp;5+$X$2),""))</f>
        <v/>
      </c>
    </row>
    <row r="246" spans="12:21" hidden="1" x14ac:dyDescent="0.25">
      <c r="L246" s="18">
        <f t="shared" ca="1" si="33"/>
        <v>53549</v>
      </c>
      <c r="M246" s="14">
        <v>241</v>
      </c>
      <c r="N246" s="14">
        <f t="shared" si="26"/>
        <v>0</v>
      </c>
      <c r="O246" s="19">
        <f t="shared" si="27"/>
        <v>672207.41699285735</v>
      </c>
      <c r="P246" s="19">
        <f t="shared" si="28"/>
        <v>218711.90052585391</v>
      </c>
      <c r="Q246" s="14">
        <f t="shared" si="29"/>
        <v>0</v>
      </c>
      <c r="R246" s="19">
        <f t="shared" si="30"/>
        <v>635176.30529149773</v>
      </c>
      <c r="S246" s="19">
        <f t="shared" si="31"/>
        <v>212521.85164738641</v>
      </c>
      <c r="T246" s="14">
        <f t="shared" si="32"/>
        <v>0</v>
      </c>
      <c r="U246" s="18" t="str" cm="1">
        <f t="array" aca="1" ref="U246" ca="1">IF(M246&lt;=$N$1,L246,IF(M246&lt;=($N$1+1),INDIRECT("L"&amp;5+$X$2),""))</f>
        <v/>
      </c>
    </row>
    <row r="247" spans="12:21" hidden="1" x14ac:dyDescent="0.25">
      <c r="L247" s="18">
        <f t="shared" ca="1" si="33"/>
        <v>53580</v>
      </c>
      <c r="M247" s="14">
        <v>242</v>
      </c>
      <c r="N247" s="14">
        <f t="shared" si="26"/>
        <v>0</v>
      </c>
      <c r="O247" s="19">
        <f t="shared" si="27"/>
        <v>678585.85398179351</v>
      </c>
      <c r="P247" s="19">
        <f t="shared" si="28"/>
        <v>219760.96409749275</v>
      </c>
      <c r="Q247" s="14">
        <f t="shared" si="29"/>
        <v>0</v>
      </c>
      <c r="R247" s="19">
        <f t="shared" si="30"/>
        <v>641203.36172936216</v>
      </c>
      <c r="S247" s="19">
        <f t="shared" si="31"/>
        <v>213541.2243116285</v>
      </c>
      <c r="T247" s="14">
        <f t="shared" si="32"/>
        <v>0</v>
      </c>
      <c r="U247" s="18" t="str" cm="1">
        <f t="array" aca="1" ref="U247" ca="1">IF(M247&lt;=$N$1,L247,IF(M247&lt;=($N$1+1),INDIRECT("L"&amp;5+$X$2),""))</f>
        <v/>
      </c>
    </row>
    <row r="248" spans="12:21" hidden="1" x14ac:dyDescent="0.25">
      <c r="L248" s="18">
        <f t="shared" ca="1" si="33"/>
        <v>53610</v>
      </c>
      <c r="M248" s="14">
        <v>243</v>
      </c>
      <c r="N248" s="14">
        <f t="shared" si="26"/>
        <v>0</v>
      </c>
      <c r="O248" s="19">
        <f t="shared" si="27"/>
        <v>685024.81463856413</v>
      </c>
      <c r="P248" s="19">
        <f t="shared" si="28"/>
        <v>220815.05955982755</v>
      </c>
      <c r="Q248" s="14">
        <f t="shared" si="29"/>
        <v>0</v>
      </c>
      <c r="R248" s="19">
        <f t="shared" si="30"/>
        <v>647287.60765777063</v>
      </c>
      <c r="S248" s="19">
        <f t="shared" si="31"/>
        <v>214565.48645250825</v>
      </c>
      <c r="T248" s="14">
        <f t="shared" si="32"/>
        <v>0</v>
      </c>
      <c r="U248" s="18" t="str" cm="1">
        <f t="array" aca="1" ref="U248" ca="1">IF(M248&lt;=$N$1,L248,IF(M248&lt;=($N$1+1),INDIRECT("L"&amp;5+$X$2),""))</f>
        <v/>
      </c>
    </row>
    <row r="249" spans="12:21" hidden="1" x14ac:dyDescent="0.25">
      <c r="L249" s="18">
        <f t="shared" ca="1" si="33"/>
        <v>53641</v>
      </c>
      <c r="M249" s="14">
        <v>244</v>
      </c>
      <c r="N249" s="14">
        <f t="shared" si="26"/>
        <v>0</v>
      </c>
      <c r="O249" s="19">
        <f t="shared" si="27"/>
        <v>691524.87325972051</v>
      </c>
      <c r="P249" s="19">
        <f t="shared" si="28"/>
        <v>221874.21104859663</v>
      </c>
      <c r="Q249" s="14">
        <f t="shared" si="29"/>
        <v>0</v>
      </c>
      <c r="R249" s="19">
        <f t="shared" si="30"/>
        <v>653429.58573595691</v>
      </c>
      <c r="S249" s="19">
        <f t="shared" si="31"/>
        <v>215594.66152266727</v>
      </c>
      <c r="T249" s="14">
        <f t="shared" si="32"/>
        <v>0</v>
      </c>
      <c r="U249" s="18" t="str" cm="1">
        <f t="array" aca="1" ref="U249" ca="1">IF(M249&lt;=$N$1,L249,IF(M249&lt;=($N$1+1),INDIRECT("L"&amp;5+$X$2),""))</f>
        <v/>
      </c>
    </row>
    <row r="250" spans="12:21" hidden="1" x14ac:dyDescent="0.25">
      <c r="L250" s="18">
        <f t="shared" ca="1" si="33"/>
        <v>53671</v>
      </c>
      <c r="M250" s="14">
        <v>245</v>
      </c>
      <c r="N250" s="14">
        <f t="shared" si="26"/>
        <v>0</v>
      </c>
      <c r="O250" s="19">
        <f t="shared" si="27"/>
        <v>698086.60959119583</v>
      </c>
      <c r="P250" s="19">
        <f t="shared" si="28"/>
        <v>222938.44281530683</v>
      </c>
      <c r="Q250" s="14">
        <f t="shared" si="29"/>
        <v>0</v>
      </c>
      <c r="R250" s="19">
        <f t="shared" si="30"/>
        <v>659629.84377233591</v>
      </c>
      <c r="S250" s="19">
        <f t="shared" si="31"/>
        <v>216628.77308723895</v>
      </c>
      <c r="T250" s="14">
        <f t="shared" si="32"/>
        <v>0</v>
      </c>
      <c r="U250" s="18" t="str" cm="1">
        <f t="array" aca="1" ref="U250" ca="1">IF(M250&lt;=$N$1,L250,IF(M250&lt;=($N$1+1),INDIRECT("L"&amp;5+$X$2),""))</f>
        <v/>
      </c>
    </row>
    <row r="251" spans="12:21" hidden="1" x14ac:dyDescent="0.25">
      <c r="L251" s="18">
        <f t="shared" ca="1" si="33"/>
        <v>53702</v>
      </c>
      <c r="M251" s="14">
        <v>246</v>
      </c>
      <c r="N251" s="14">
        <f t="shared" si="26"/>
        <v>0</v>
      </c>
      <c r="O251" s="19">
        <f t="shared" si="27"/>
        <v>704710.60888001183</v>
      </c>
      <c r="P251" s="19">
        <f t="shared" si="28"/>
        <v>224007.77922778885</v>
      </c>
      <c r="Q251" s="14">
        <f t="shared" si="29"/>
        <v>0</v>
      </c>
      <c r="R251" s="19">
        <f t="shared" si="30"/>
        <v>665888.93477336282</v>
      </c>
      <c r="S251" s="19">
        <f t="shared" si="31"/>
        <v>217667.84482438816</v>
      </c>
      <c r="T251" s="14">
        <f t="shared" si="32"/>
        <v>0</v>
      </c>
      <c r="U251" s="18" t="str" cm="1">
        <f t="array" aca="1" ref="U251" ca="1">IF(M251&lt;=$N$1,L251,IF(M251&lt;=($N$1+1),INDIRECT("L"&amp;5+$X$2),""))</f>
        <v/>
      </c>
    </row>
    <row r="252" spans="12:21" hidden="1" x14ac:dyDescent="0.25">
      <c r="L252" s="18">
        <f t="shared" ca="1" si="33"/>
        <v>53733</v>
      </c>
      <c r="M252" s="14">
        <v>247</v>
      </c>
      <c r="N252" s="14">
        <f t="shared" si="26"/>
        <v>0</v>
      </c>
      <c r="O252" s="19">
        <f t="shared" si="27"/>
        <v>711397.46192647831</v>
      </c>
      <c r="P252" s="19">
        <f t="shared" si="28"/>
        <v>225082.24477075468</v>
      </c>
      <c r="Q252" s="14">
        <f t="shared" si="29"/>
        <v>0</v>
      </c>
      <c r="R252" s="19">
        <f t="shared" si="30"/>
        <v>672207.41699285735</v>
      </c>
      <c r="S252" s="19">
        <f t="shared" si="31"/>
        <v>218711.90052585391</v>
      </c>
      <c r="T252" s="14">
        <f t="shared" si="32"/>
        <v>0</v>
      </c>
      <c r="U252" s="18" t="str" cm="1">
        <f t="array" aca="1" ref="U252" ca="1">IF(M252&lt;=$N$1,L252,IF(M252&lt;=($N$1+1),INDIRECT("L"&amp;5+$X$2),""))</f>
        <v/>
      </c>
    </row>
    <row r="253" spans="12:21" hidden="1" x14ac:dyDescent="0.25">
      <c r="L253" s="18">
        <f t="shared" ca="1" si="33"/>
        <v>53761</v>
      </c>
      <c r="M253" s="14">
        <v>248</v>
      </c>
      <c r="N253" s="14">
        <f t="shared" si="26"/>
        <v>0</v>
      </c>
      <c r="O253" s="19">
        <f t="shared" si="27"/>
        <v>718147.76513688662</v>
      </c>
      <c r="P253" s="19">
        <f t="shared" si="28"/>
        <v>226161.86404635862</v>
      </c>
      <c r="Q253" s="14">
        <f t="shared" si="29"/>
        <v>0</v>
      </c>
      <c r="R253" s="19">
        <f t="shared" si="30"/>
        <v>678585.85398179351</v>
      </c>
      <c r="S253" s="19">
        <f t="shared" si="31"/>
        <v>219760.96409749275</v>
      </c>
      <c r="T253" s="14">
        <f t="shared" si="32"/>
        <v>0</v>
      </c>
      <c r="U253" s="18" t="str" cm="1">
        <f t="array" aca="1" ref="U253" ca="1">IF(M253&lt;=$N$1,L253,IF(M253&lt;=($N$1+1),INDIRECT("L"&amp;5+$X$2),""))</f>
        <v/>
      </c>
    </row>
    <row r="254" spans="12:21" hidden="1" x14ac:dyDescent="0.25">
      <c r="L254" s="18">
        <f t="shared" ca="1" si="33"/>
        <v>53792</v>
      </c>
      <c r="M254" s="14">
        <v>249</v>
      </c>
      <c r="N254" s="14">
        <f t="shared" si="26"/>
        <v>0</v>
      </c>
      <c r="O254" s="19">
        <f t="shared" si="27"/>
        <v>724962.12057670404</v>
      </c>
      <c r="P254" s="19">
        <f t="shared" si="28"/>
        <v>227246.66177476078</v>
      </c>
      <c r="Q254" s="14">
        <f t="shared" si="29"/>
        <v>0</v>
      </c>
      <c r="R254" s="19">
        <f t="shared" si="30"/>
        <v>685024.81463856413</v>
      </c>
      <c r="S254" s="19">
        <f t="shared" si="31"/>
        <v>220815.05955982755</v>
      </c>
      <c r="T254" s="14">
        <f t="shared" si="32"/>
        <v>0</v>
      </c>
      <c r="U254" s="18" t="str" cm="1">
        <f t="array" aca="1" ref="U254" ca="1">IF(M254&lt;=$N$1,L254,IF(M254&lt;=($N$1+1),INDIRECT("L"&amp;5+$X$2),""))</f>
        <v/>
      </c>
    </row>
    <row r="255" spans="12:21" hidden="1" x14ac:dyDescent="0.25">
      <c r="L255" s="18">
        <f t="shared" ca="1" si="33"/>
        <v>53822</v>
      </c>
      <c r="M255" s="14">
        <v>250</v>
      </c>
      <c r="N255" s="14">
        <f t="shared" si="26"/>
        <v>0</v>
      </c>
      <c r="O255" s="19">
        <f t="shared" si="27"/>
        <v>731841.13602427265</v>
      </c>
      <c r="P255" s="19">
        <f t="shared" si="28"/>
        <v>228336.66279469279</v>
      </c>
      <c r="Q255" s="14">
        <f t="shared" si="29"/>
        <v>0</v>
      </c>
      <c r="R255" s="19">
        <f t="shared" si="30"/>
        <v>691524.87325972051</v>
      </c>
      <c r="S255" s="19">
        <f t="shared" si="31"/>
        <v>221874.21104859663</v>
      </c>
      <c r="T255" s="14">
        <f t="shared" si="32"/>
        <v>0</v>
      </c>
      <c r="U255" s="18" t="str" cm="1">
        <f t="array" aca="1" ref="U255" ca="1">IF(M255&lt;=$N$1,L255,IF(M255&lt;=($N$1+1),INDIRECT("L"&amp;5+$X$2),""))</f>
        <v/>
      </c>
    </row>
    <row r="256" spans="12:21" hidden="1" x14ac:dyDescent="0.25">
      <c r="L256" s="18">
        <f t="shared" ca="1" si="33"/>
        <v>53853</v>
      </c>
      <c r="M256" s="14">
        <v>251</v>
      </c>
      <c r="N256" s="14">
        <f t="shared" si="26"/>
        <v>0</v>
      </c>
      <c r="O256" s="19">
        <f t="shared" si="27"/>
        <v>738785.42502501712</v>
      </c>
      <c r="P256" s="19">
        <f t="shared" si="28"/>
        <v>229431.89206402638</v>
      </c>
      <c r="Q256" s="14">
        <f t="shared" si="29"/>
        <v>0</v>
      </c>
      <c r="R256" s="19">
        <f t="shared" si="30"/>
        <v>698086.60959119583</v>
      </c>
      <c r="S256" s="19">
        <f t="shared" si="31"/>
        <v>222938.44281530683</v>
      </c>
      <c r="T256" s="14">
        <f t="shared" si="32"/>
        <v>0</v>
      </c>
      <c r="U256" s="18" t="str" cm="1">
        <f t="array" aca="1" ref="U256" ca="1">IF(M256&lt;=$N$1,L256,IF(M256&lt;=($N$1+1),INDIRECT("L"&amp;5+$X$2),""))</f>
        <v/>
      </c>
    </row>
    <row r="257" spans="12:21" hidden="1" x14ac:dyDescent="0.25">
      <c r="L257" s="18">
        <f t="shared" ca="1" si="33"/>
        <v>53883</v>
      </c>
      <c r="M257" s="14">
        <v>252</v>
      </c>
      <c r="N257" s="14">
        <f t="shared" si="26"/>
        <v>0</v>
      </c>
      <c r="O257" s="19">
        <f t="shared" si="27"/>
        <v>745795.60694616754</v>
      </c>
      <c r="P257" s="19">
        <f t="shared" si="28"/>
        <v>230532.37466034526</v>
      </c>
      <c r="Q257" s="14">
        <f t="shared" si="29"/>
        <v>0</v>
      </c>
      <c r="R257" s="19">
        <f t="shared" si="30"/>
        <v>704710.60888001183</v>
      </c>
      <c r="S257" s="19">
        <f t="shared" si="31"/>
        <v>224007.77922778885</v>
      </c>
      <c r="T257" s="14">
        <f t="shared" si="32"/>
        <v>0</v>
      </c>
      <c r="U257" s="18" t="str" cm="1">
        <f t="array" aca="1" ref="U257" ca="1">IF(M257&lt;=$N$1,L257,IF(M257&lt;=($N$1+1),INDIRECT("L"&amp;5+$X$2),""))</f>
        <v/>
      </c>
    </row>
    <row r="258" spans="12:21" hidden="1" x14ac:dyDescent="0.25">
      <c r="L258" s="18">
        <f t="shared" ca="1" si="33"/>
        <v>53914</v>
      </c>
      <c r="M258" s="14">
        <v>253</v>
      </c>
      <c r="N258" s="14">
        <f t="shared" si="26"/>
        <v>0</v>
      </c>
      <c r="O258" s="19">
        <f t="shared" si="27"/>
        <v>752872.30703200132</v>
      </c>
      <c r="P258" s="19">
        <f t="shared" si="28"/>
        <v>231638.13578151935</v>
      </c>
      <c r="Q258" s="14">
        <f t="shared" si="29"/>
        <v>0</v>
      </c>
      <c r="R258" s="19">
        <f t="shared" si="30"/>
        <v>711397.46192647831</v>
      </c>
      <c r="S258" s="19">
        <f t="shared" si="31"/>
        <v>225082.24477075468</v>
      </c>
      <c r="T258" s="14">
        <f t="shared" si="32"/>
        <v>0</v>
      </c>
      <c r="U258" s="18" t="str" cm="1">
        <f t="array" aca="1" ref="U258" ca="1">IF(M258&lt;=$N$1,L258,IF(M258&lt;=($N$1+1),INDIRECT("L"&amp;5+$X$2),""))</f>
        <v/>
      </c>
    </row>
    <row r="259" spans="12:21" hidden="1" x14ac:dyDescent="0.25">
      <c r="L259" s="18">
        <f t="shared" ca="1" si="33"/>
        <v>53945</v>
      </c>
      <c r="M259" s="14">
        <v>254</v>
      </c>
      <c r="N259" s="14">
        <f t="shared" si="26"/>
        <v>0</v>
      </c>
      <c r="O259" s="19">
        <f t="shared" si="27"/>
        <v>760016.15645960986</v>
      </c>
      <c r="P259" s="19">
        <f t="shared" si="28"/>
        <v>232749.20074628104</v>
      </c>
      <c r="Q259" s="14">
        <f t="shared" si="29"/>
        <v>0</v>
      </c>
      <c r="R259" s="19">
        <f t="shared" si="30"/>
        <v>718147.76513688662</v>
      </c>
      <c r="S259" s="19">
        <f t="shared" si="31"/>
        <v>226161.86404635862</v>
      </c>
      <c r="T259" s="14">
        <f t="shared" si="32"/>
        <v>0</v>
      </c>
      <c r="U259" s="18" t="str" cm="1">
        <f t="array" aca="1" ref="U259" ca="1">IF(M259&lt;=$N$1,L259,IF(M259&lt;=($N$1+1),INDIRECT("L"&amp;5+$X$2),""))</f>
        <v/>
      </c>
    </row>
    <row r="260" spans="12:21" hidden="1" x14ac:dyDescent="0.25">
      <c r="L260" s="18">
        <f t="shared" ca="1" si="33"/>
        <v>53975</v>
      </c>
      <c r="M260" s="14">
        <v>255</v>
      </c>
      <c r="N260" s="14">
        <f t="shared" si="26"/>
        <v>0</v>
      </c>
      <c r="O260" s="19">
        <f t="shared" si="27"/>
        <v>767227.7923951929</v>
      </c>
      <c r="P260" s="19">
        <f t="shared" si="28"/>
        <v>233865.59499480584</v>
      </c>
      <c r="Q260" s="14">
        <f t="shared" si="29"/>
        <v>0</v>
      </c>
      <c r="R260" s="19">
        <f t="shared" si="30"/>
        <v>724962.12057670404</v>
      </c>
      <c r="S260" s="19">
        <f t="shared" si="31"/>
        <v>227246.66177476078</v>
      </c>
      <c r="T260" s="14">
        <f t="shared" si="32"/>
        <v>0</v>
      </c>
      <c r="U260" s="18" t="str" cm="1">
        <f t="array" aca="1" ref="U260" ca="1">IF(M260&lt;=$N$1,L260,IF(M260&lt;=($N$1+1),INDIRECT("L"&amp;5+$X$2),""))</f>
        <v/>
      </c>
    </row>
    <row r="261" spans="12:21" hidden="1" x14ac:dyDescent="0.25">
      <c r="L261" s="18">
        <f t="shared" ca="1" si="33"/>
        <v>54006</v>
      </c>
      <c r="M261" s="14">
        <v>256</v>
      </c>
      <c r="N261" s="14">
        <f t="shared" si="26"/>
        <v>0</v>
      </c>
      <c r="O261" s="19">
        <f t="shared" si="27"/>
        <v>774507.85805088817</v>
      </c>
      <c r="P261" s="19">
        <f t="shared" si="28"/>
        <v>234987.34408929417</v>
      </c>
      <c r="Q261" s="14">
        <f t="shared" si="29"/>
        <v>0</v>
      </c>
      <c r="R261" s="19">
        <f t="shared" si="30"/>
        <v>731841.13602427265</v>
      </c>
      <c r="S261" s="19">
        <f t="shared" si="31"/>
        <v>228336.66279469279</v>
      </c>
      <c r="T261" s="14">
        <f t="shared" si="32"/>
        <v>0</v>
      </c>
      <c r="U261" s="18" t="str" cm="1">
        <f t="array" aca="1" ref="U261" ca="1">IF(M261&lt;=$N$1,L261,IF(M261&lt;=($N$1+1),INDIRECT("L"&amp;5+$X$2),""))</f>
        <v/>
      </c>
    </row>
    <row r="262" spans="12:21" hidden="1" x14ac:dyDescent="0.25">
      <c r="L262" s="18">
        <f t="shared" ca="1" si="33"/>
        <v>54036</v>
      </c>
      <c r="M262" s="14">
        <v>257</v>
      </c>
      <c r="N262" s="14">
        <f t="shared" ref="N262:N325" si="34">IF($N$1&gt;=M262,SIPMonthlyPmt*M262,0)</f>
        <v>0</v>
      </c>
      <c r="O262" s="19">
        <f t="shared" ref="O262:O325" si="35">IF($X$2&gt;=M262,IF(M262&lt;=$N$1,FV(SRate,M262,-SIPMonthlyPmt,0,1),FV(SRate,M262-$N$1,0,-$X$1,1)),0)</f>
        <v>781857.00274214044</v>
      </c>
      <c r="P262" s="19">
        <f t="shared" ref="P262:P325" si="36">O262/((1+SIPInflationRate)^(M262/12))</f>
        <v>236114.47371455695</v>
      </c>
      <c r="Q262" s="14">
        <f t="shared" ref="Q262:Q325" si="37">IF((M262-$C$15)&gt;0, IF($N$1+$C$15&gt;=M262,SIPMonthlyPmt*(M262-$C$15),0),0)</f>
        <v>0</v>
      </c>
      <c r="R262" s="19">
        <f t="shared" ref="R262:R325" si="38">IF(M262&lt;=$C$15,0,IF($X$2&gt;=M262,IF(M262&lt;=($N$1+$C$15),FV(SRate,M262-$C$15,-SIPMonthlyPmt,0,1),FV(SRate,M262-$N$1-$C$15,0,-$X$1,1)),0))</f>
        <v>738785.42502501712</v>
      </c>
      <c r="S262" s="19">
        <f t="shared" ref="S262:S325" si="39">R262/((1+SIPInflationRate)^((M262-$C$15)/12))</f>
        <v>229431.89206402638</v>
      </c>
      <c r="T262" s="14">
        <f t="shared" ref="T262:T325" si="40">IF(M262&lt;=$N$1,-SIPMonthlyPmt,IF(M262&lt;=($N$1+1),$X$4,0))</f>
        <v>0</v>
      </c>
      <c r="U262" s="18" t="str" cm="1">
        <f t="array" aca="1" ref="U262" ca="1">IF(M262&lt;=$N$1,L262,IF(M262&lt;=($N$1+1),INDIRECT("L"&amp;5+$X$2),""))</f>
        <v/>
      </c>
    </row>
    <row r="263" spans="12:21" hidden="1" x14ac:dyDescent="0.25">
      <c r="L263" s="18">
        <f t="shared" ca="1" si="33"/>
        <v>54067</v>
      </c>
      <c r="M263" s="14">
        <v>258</v>
      </c>
      <c r="N263" s="14">
        <f t="shared" si="34"/>
        <v>0</v>
      </c>
      <c r="O263" s="19">
        <f t="shared" si="35"/>
        <v>789275.88194561447</v>
      </c>
      <c r="P263" s="19">
        <f t="shared" si="36"/>
        <v>237247.00967860408</v>
      </c>
      <c r="Q263" s="14">
        <f t="shared" si="37"/>
        <v>0</v>
      </c>
      <c r="R263" s="19">
        <f t="shared" si="38"/>
        <v>745795.60694616754</v>
      </c>
      <c r="S263" s="19">
        <f t="shared" si="39"/>
        <v>230532.37466034526</v>
      </c>
      <c r="T263" s="14">
        <f t="shared" si="40"/>
        <v>0</v>
      </c>
      <c r="U263" s="18" t="str" cm="1">
        <f t="array" aca="1" ref="U263" ca="1">IF(M263&lt;=$N$1,L263,IF(M263&lt;=($N$1+1),INDIRECT("L"&amp;5+$X$2),""))</f>
        <v/>
      </c>
    </row>
    <row r="264" spans="12:21" hidden="1" x14ac:dyDescent="0.25">
      <c r="L264" s="18">
        <f t="shared" ca="1" si="33"/>
        <v>54098</v>
      </c>
      <c r="M264" s="14">
        <v>259</v>
      </c>
      <c r="N264" s="14">
        <f t="shared" si="34"/>
        <v>0</v>
      </c>
      <c r="O264" s="19">
        <f t="shared" si="35"/>
        <v>796765.15735765686</v>
      </c>
      <c r="P264" s="19">
        <f t="shared" si="36"/>
        <v>238384.97791323459</v>
      </c>
      <c r="Q264" s="14">
        <f t="shared" si="37"/>
        <v>0</v>
      </c>
      <c r="R264" s="19">
        <f t="shared" si="38"/>
        <v>752872.30703200132</v>
      </c>
      <c r="S264" s="19">
        <f t="shared" si="39"/>
        <v>231638.13578151935</v>
      </c>
      <c r="T264" s="14">
        <f t="shared" si="40"/>
        <v>0</v>
      </c>
      <c r="U264" s="18" t="str" cm="1">
        <f t="array" aca="1" ref="U264" ca="1">IF(M264&lt;=$N$1,L264,IF(M264&lt;=($N$1+1),INDIRECT("L"&amp;5+$X$2),""))</f>
        <v/>
      </c>
    </row>
    <row r="265" spans="12:21" hidden="1" x14ac:dyDescent="0.25">
      <c r="L265" s="18">
        <f t="shared" ref="L265:L328" ca="1" si="41">EDATE(L264,1)</f>
        <v>54127</v>
      </c>
      <c r="M265" s="14">
        <v>260</v>
      </c>
      <c r="N265" s="14">
        <f t="shared" si="34"/>
        <v>0</v>
      </c>
      <c r="O265" s="19">
        <f t="shared" si="35"/>
        <v>804325.49695331405</v>
      </c>
      <c r="P265" s="19">
        <f t="shared" si="36"/>
        <v>239528.40447463069</v>
      </c>
      <c r="Q265" s="14">
        <f t="shared" si="37"/>
        <v>0</v>
      </c>
      <c r="R265" s="19">
        <f t="shared" si="38"/>
        <v>760016.15645960986</v>
      </c>
      <c r="S265" s="19">
        <f t="shared" si="39"/>
        <v>232749.20074628104</v>
      </c>
      <c r="T265" s="14">
        <f t="shared" si="40"/>
        <v>0</v>
      </c>
      <c r="U265" s="18" t="str" cm="1">
        <f t="array" aca="1" ref="U265" ca="1">IF(M265&lt;=$N$1,L265,IF(M265&lt;=($N$1+1),INDIRECT("L"&amp;5+$X$2),""))</f>
        <v/>
      </c>
    </row>
    <row r="266" spans="12:21" hidden="1" x14ac:dyDescent="0.25">
      <c r="L266" s="18">
        <f t="shared" ca="1" si="41"/>
        <v>54158</v>
      </c>
      <c r="M266" s="14">
        <v>261</v>
      </c>
      <c r="N266" s="14">
        <f t="shared" si="34"/>
        <v>0</v>
      </c>
      <c r="O266" s="19">
        <f t="shared" si="35"/>
        <v>811957.57504590962</v>
      </c>
      <c r="P266" s="19">
        <f t="shared" si="36"/>
        <v>240677.31554395499</v>
      </c>
      <c r="Q266" s="14">
        <f t="shared" si="37"/>
        <v>0</v>
      </c>
      <c r="R266" s="19">
        <f t="shared" si="38"/>
        <v>767227.7923951929</v>
      </c>
      <c r="S266" s="19">
        <f t="shared" si="39"/>
        <v>233865.59499480584</v>
      </c>
      <c r="T266" s="14">
        <f t="shared" si="40"/>
        <v>0</v>
      </c>
      <c r="U266" s="18" t="str" cm="1">
        <f t="array" aca="1" ref="U266" ca="1">IF(M266&lt;=$N$1,L266,IF(M266&lt;=($N$1+1),INDIRECT("L"&amp;5+$X$2),""))</f>
        <v/>
      </c>
    </row>
    <row r="267" spans="12:21" hidden="1" x14ac:dyDescent="0.25">
      <c r="L267" s="18">
        <f t="shared" ca="1" si="41"/>
        <v>54188</v>
      </c>
      <c r="M267" s="14">
        <v>262</v>
      </c>
      <c r="N267" s="14">
        <f t="shared" si="34"/>
        <v>0</v>
      </c>
      <c r="O267" s="19">
        <f t="shared" si="35"/>
        <v>819662.07234718651</v>
      </c>
      <c r="P267" s="19">
        <f t="shared" si="36"/>
        <v>241831.73742794912</v>
      </c>
      <c r="Q267" s="14">
        <f t="shared" si="37"/>
        <v>0</v>
      </c>
      <c r="R267" s="19">
        <f t="shared" si="38"/>
        <v>774507.85805088817</v>
      </c>
      <c r="S267" s="19">
        <f t="shared" si="39"/>
        <v>234987.34408929417</v>
      </c>
      <c r="T267" s="14">
        <f t="shared" si="40"/>
        <v>0</v>
      </c>
      <c r="U267" s="18" t="str" cm="1">
        <f t="array" aca="1" ref="U267" ca="1">IF(M267&lt;=$N$1,L267,IF(M267&lt;=($N$1+1),INDIRECT("L"&amp;5+$X$2),""))</f>
        <v/>
      </c>
    </row>
    <row r="268" spans="12:21" hidden="1" x14ac:dyDescent="0.25">
      <c r="L268" s="18">
        <f t="shared" ca="1" si="41"/>
        <v>54219</v>
      </c>
      <c r="M268" s="14">
        <v>263</v>
      </c>
      <c r="N268" s="14">
        <f t="shared" si="34"/>
        <v>0</v>
      </c>
      <c r="O268" s="19">
        <f t="shared" si="35"/>
        <v>827439.67602802021</v>
      </c>
      <c r="P268" s="19">
        <f t="shared" si="36"/>
        <v>242991.69655953647</v>
      </c>
      <c r="Q268" s="14">
        <f t="shared" si="37"/>
        <v>0</v>
      </c>
      <c r="R268" s="19">
        <f t="shared" si="38"/>
        <v>781857.00274214044</v>
      </c>
      <c r="S268" s="19">
        <f t="shared" si="39"/>
        <v>236114.47371455695</v>
      </c>
      <c r="T268" s="14">
        <f t="shared" si="40"/>
        <v>0</v>
      </c>
      <c r="U268" s="18" t="str" cm="1">
        <f t="array" aca="1" ref="U268" ca="1">IF(M268&lt;=$N$1,L268,IF(M268&lt;=($N$1+1),INDIRECT("L"&amp;5+$X$2),""))</f>
        <v/>
      </c>
    </row>
    <row r="269" spans="12:21" hidden="1" x14ac:dyDescent="0.25">
      <c r="L269" s="18">
        <f t="shared" ca="1" si="41"/>
        <v>54249</v>
      </c>
      <c r="M269" s="14">
        <v>264</v>
      </c>
      <c r="N269" s="14">
        <f t="shared" si="34"/>
        <v>0</v>
      </c>
      <c r="O269" s="19">
        <f t="shared" si="35"/>
        <v>835291.07977970864</v>
      </c>
      <c r="P269" s="19">
        <f t="shared" si="36"/>
        <v>244157.21949842738</v>
      </c>
      <c r="Q269" s="14">
        <f t="shared" si="37"/>
        <v>0</v>
      </c>
      <c r="R269" s="19">
        <f t="shared" si="38"/>
        <v>789275.88194561447</v>
      </c>
      <c r="S269" s="19">
        <f t="shared" si="39"/>
        <v>237247.00967860408</v>
      </c>
      <c r="T269" s="14">
        <f t="shared" si="40"/>
        <v>0</v>
      </c>
      <c r="U269" s="18" t="str" cm="1">
        <f t="array" aca="1" ref="U269" ca="1">IF(M269&lt;=$N$1,L269,IF(M269&lt;=($N$1+1),INDIRECT("L"&amp;5+$X$2),""))</f>
        <v/>
      </c>
    </row>
    <row r="270" spans="12:21" hidden="1" x14ac:dyDescent="0.25">
      <c r="L270" s="18">
        <f t="shared" ca="1" si="41"/>
        <v>54280</v>
      </c>
      <c r="M270" s="14">
        <v>265</v>
      </c>
      <c r="N270" s="14">
        <f t="shared" si="34"/>
        <v>0</v>
      </c>
      <c r="O270" s="19">
        <f t="shared" si="35"/>
        <v>843216.98387584253</v>
      </c>
      <c r="P270" s="19">
        <f t="shared" si="36"/>
        <v>245328.33293172761</v>
      </c>
      <c r="Q270" s="14">
        <f t="shared" si="37"/>
        <v>0</v>
      </c>
      <c r="R270" s="19">
        <f t="shared" si="38"/>
        <v>796765.15735765686</v>
      </c>
      <c r="S270" s="19">
        <f t="shared" si="39"/>
        <v>238384.97791323459</v>
      </c>
      <c r="T270" s="14">
        <f t="shared" si="40"/>
        <v>0</v>
      </c>
      <c r="U270" s="18" t="str" cm="1">
        <f t="array" aca="1" ref="U270" ca="1">IF(M270&lt;=$N$1,L270,IF(M270&lt;=($N$1+1),INDIRECT("L"&amp;5+$X$2),""))</f>
        <v/>
      </c>
    </row>
    <row r="271" spans="12:21" hidden="1" x14ac:dyDescent="0.25">
      <c r="L271" s="18">
        <f t="shared" ca="1" si="41"/>
        <v>54311</v>
      </c>
      <c r="M271" s="14">
        <v>266</v>
      </c>
      <c r="N271" s="14">
        <f t="shared" si="34"/>
        <v>0</v>
      </c>
      <c r="O271" s="19">
        <f t="shared" si="35"/>
        <v>851218.09523476416</v>
      </c>
      <c r="P271" s="19">
        <f t="shared" si="36"/>
        <v>246505.0636745485</v>
      </c>
      <c r="Q271" s="14">
        <f t="shared" si="37"/>
        <v>0</v>
      </c>
      <c r="R271" s="19">
        <f t="shared" si="38"/>
        <v>804325.49695331405</v>
      </c>
      <c r="S271" s="19">
        <f t="shared" si="39"/>
        <v>239528.40447463069</v>
      </c>
      <c r="T271" s="14">
        <f t="shared" si="40"/>
        <v>0</v>
      </c>
      <c r="U271" s="18" t="str" cm="1">
        <f t="array" aca="1" ref="U271" ca="1">IF(M271&lt;=$N$1,L271,IF(M271&lt;=($N$1+1),INDIRECT("L"&amp;5+$X$2),""))</f>
        <v/>
      </c>
    </row>
    <row r="272" spans="12:21" hidden="1" x14ac:dyDescent="0.25">
      <c r="L272" s="18">
        <f t="shared" ca="1" si="41"/>
        <v>54341</v>
      </c>
      <c r="M272" s="14">
        <v>267</v>
      </c>
      <c r="N272" s="14">
        <f t="shared" si="34"/>
        <v>0</v>
      </c>
      <c r="O272" s="19">
        <f t="shared" si="35"/>
        <v>859295.12748261716</v>
      </c>
      <c r="P272" s="19">
        <f t="shared" si="36"/>
        <v>247687.43867062207</v>
      </c>
      <c r="Q272" s="14">
        <f t="shared" si="37"/>
        <v>0</v>
      </c>
      <c r="R272" s="19">
        <f t="shared" si="38"/>
        <v>811957.57504590962</v>
      </c>
      <c r="S272" s="19">
        <f t="shared" si="39"/>
        <v>240677.31554395499</v>
      </c>
      <c r="T272" s="14">
        <f t="shared" si="40"/>
        <v>0</v>
      </c>
      <c r="U272" s="18" t="str" cm="1">
        <f t="array" aca="1" ref="U272" ca="1">IF(M272&lt;=$N$1,L272,IF(M272&lt;=($N$1+1),INDIRECT("L"&amp;5+$X$2),""))</f>
        <v/>
      </c>
    </row>
    <row r="273" spans="12:21" hidden="1" x14ac:dyDescent="0.25">
      <c r="L273" s="18">
        <f t="shared" ca="1" si="41"/>
        <v>54372</v>
      </c>
      <c r="M273" s="14">
        <v>268</v>
      </c>
      <c r="N273" s="14">
        <f t="shared" si="34"/>
        <v>0</v>
      </c>
      <c r="O273" s="19">
        <f t="shared" si="35"/>
        <v>867448.8010169958</v>
      </c>
      <c r="P273" s="19">
        <f t="shared" si="36"/>
        <v>248875.48499291702</v>
      </c>
      <c r="Q273" s="14">
        <f t="shared" si="37"/>
        <v>0</v>
      </c>
      <c r="R273" s="19">
        <f t="shared" si="38"/>
        <v>819662.07234718651</v>
      </c>
      <c r="S273" s="19">
        <f t="shared" si="39"/>
        <v>241831.73742794912</v>
      </c>
      <c r="T273" s="14">
        <f t="shared" si="40"/>
        <v>0</v>
      </c>
      <c r="U273" s="18" t="str" cm="1">
        <f t="array" aca="1" ref="U273" ca="1">IF(M273&lt;=$N$1,L273,IF(M273&lt;=($N$1+1),INDIRECT("L"&amp;5+$X$2),""))</f>
        <v/>
      </c>
    </row>
    <row r="274" spans="12:21" hidden="1" x14ac:dyDescent="0.25">
      <c r="L274" s="18">
        <f t="shared" ca="1" si="41"/>
        <v>54402</v>
      </c>
      <c r="M274" s="14">
        <v>269</v>
      </c>
      <c r="N274" s="14">
        <f t="shared" si="34"/>
        <v>0</v>
      </c>
      <c r="O274" s="19">
        <f t="shared" si="35"/>
        <v>875679.84307119832</v>
      </c>
      <c r="P274" s="19">
        <f t="shared" si="36"/>
        <v>250069.22984425919</v>
      </c>
      <c r="Q274" s="14">
        <f t="shared" si="37"/>
        <v>0</v>
      </c>
      <c r="R274" s="19">
        <f t="shared" si="38"/>
        <v>827439.67602802021</v>
      </c>
      <c r="S274" s="19">
        <f t="shared" si="39"/>
        <v>242991.69655953647</v>
      </c>
      <c r="T274" s="14">
        <f t="shared" si="40"/>
        <v>0</v>
      </c>
      <c r="U274" s="18" t="str" cm="1">
        <f t="array" aca="1" ref="U274" ca="1">IF(M274&lt;=$N$1,L274,IF(M274&lt;=($N$1+1),INDIRECT("L"&amp;5+$X$2),""))</f>
        <v/>
      </c>
    </row>
    <row r="275" spans="12:21" hidden="1" x14ac:dyDescent="0.25">
      <c r="L275" s="18">
        <f t="shared" ca="1" si="41"/>
        <v>54433</v>
      </c>
      <c r="M275" s="14">
        <v>270</v>
      </c>
      <c r="N275" s="14">
        <f t="shared" si="34"/>
        <v>0</v>
      </c>
      <c r="O275" s="19">
        <f t="shared" si="35"/>
        <v>883988.98777908902</v>
      </c>
      <c r="P275" s="19">
        <f t="shared" si="36"/>
        <v>251268.70055795443</v>
      </c>
      <c r="Q275" s="14">
        <f t="shared" si="37"/>
        <v>0</v>
      </c>
      <c r="R275" s="19">
        <f t="shared" si="38"/>
        <v>835291.07977970864</v>
      </c>
      <c r="S275" s="19">
        <f t="shared" si="39"/>
        <v>244157.21949842738</v>
      </c>
      <c r="T275" s="14">
        <f t="shared" si="40"/>
        <v>0</v>
      </c>
      <c r="U275" s="18" t="str" cm="1">
        <f t="array" aca="1" ref="U275" ca="1">IF(M275&lt;=$N$1,L275,IF(M275&lt;=($N$1+1),INDIRECT("L"&amp;5+$X$2),""))</f>
        <v/>
      </c>
    </row>
    <row r="276" spans="12:21" hidden="1" x14ac:dyDescent="0.25">
      <c r="L276" s="18">
        <f t="shared" ca="1" si="41"/>
        <v>54464</v>
      </c>
      <c r="M276" s="14">
        <v>271</v>
      </c>
      <c r="N276" s="14">
        <f t="shared" si="34"/>
        <v>0</v>
      </c>
      <c r="O276" s="19">
        <f t="shared" si="35"/>
        <v>892376.97624057659</v>
      </c>
      <c r="P276" s="19">
        <f t="shared" si="36"/>
        <v>252473.92459841419</v>
      </c>
      <c r="Q276" s="14">
        <f t="shared" si="37"/>
        <v>0</v>
      </c>
      <c r="R276" s="19">
        <f t="shared" si="38"/>
        <v>843216.98387584253</v>
      </c>
      <c r="S276" s="19">
        <f t="shared" si="39"/>
        <v>245328.33293172761</v>
      </c>
      <c r="T276" s="14">
        <f t="shared" si="40"/>
        <v>0</v>
      </c>
      <c r="U276" s="18" t="str" cm="1">
        <f t="array" aca="1" ref="U276" ca="1">IF(M276&lt;=$N$1,L276,IF(M276&lt;=($N$1+1),INDIRECT("L"&amp;5+$X$2),""))</f>
        <v/>
      </c>
    </row>
    <row r="277" spans="12:21" hidden="1" x14ac:dyDescent="0.25">
      <c r="L277" s="18">
        <f t="shared" ca="1" si="41"/>
        <v>54492</v>
      </c>
      <c r="M277" s="14">
        <v>272</v>
      </c>
      <c r="N277" s="14">
        <f t="shared" si="34"/>
        <v>0</v>
      </c>
      <c r="O277" s="19">
        <f t="shared" si="35"/>
        <v>900844.55658771284</v>
      </c>
      <c r="P277" s="19">
        <f t="shared" si="36"/>
        <v>253684.92956178408</v>
      </c>
      <c r="Q277" s="14">
        <f t="shared" si="37"/>
        <v>0</v>
      </c>
      <c r="R277" s="19">
        <f t="shared" si="38"/>
        <v>851218.09523476416</v>
      </c>
      <c r="S277" s="19">
        <f t="shared" si="39"/>
        <v>246505.0636745485</v>
      </c>
      <c r="T277" s="14">
        <f t="shared" si="40"/>
        <v>0</v>
      </c>
      <c r="U277" s="18" t="str" cm="1">
        <f t="array" aca="1" ref="U277" ca="1">IF(M277&lt;=$N$1,L277,IF(M277&lt;=($N$1+1),INDIRECT("L"&amp;5+$X$2),""))</f>
        <v/>
      </c>
    </row>
    <row r="278" spans="12:21" hidden="1" x14ac:dyDescent="0.25">
      <c r="L278" s="18">
        <f t="shared" ca="1" si="41"/>
        <v>54523</v>
      </c>
      <c r="M278" s="14">
        <v>273</v>
      </c>
      <c r="N278" s="14">
        <f t="shared" si="34"/>
        <v>0</v>
      </c>
      <c r="O278" s="19">
        <f t="shared" si="35"/>
        <v>909392.48405142</v>
      </c>
      <c r="P278" s="19">
        <f t="shared" si="36"/>
        <v>254901.74317657677</v>
      </c>
      <c r="Q278" s="14">
        <f t="shared" si="37"/>
        <v>0</v>
      </c>
      <c r="R278" s="19">
        <f t="shared" si="38"/>
        <v>859295.12748261716</v>
      </c>
      <c r="S278" s="19">
        <f t="shared" si="39"/>
        <v>247687.43867062207</v>
      </c>
      <c r="T278" s="14">
        <f t="shared" si="40"/>
        <v>0</v>
      </c>
      <c r="U278" s="18" t="str" cm="1">
        <f t="array" aca="1" ref="U278" ca="1">IF(M278&lt;=$N$1,L278,IF(M278&lt;=($N$1+1),INDIRECT("L"&amp;5+$X$2),""))</f>
        <v/>
      </c>
    </row>
    <row r="279" spans="12:21" hidden="1" x14ac:dyDescent="0.25">
      <c r="L279" s="18">
        <f t="shared" ca="1" si="41"/>
        <v>54553</v>
      </c>
      <c r="M279" s="14">
        <v>274</v>
      </c>
      <c r="N279" s="14">
        <f t="shared" si="34"/>
        <v>0</v>
      </c>
      <c r="O279" s="19">
        <f t="shared" si="35"/>
        <v>918021.52102885011</v>
      </c>
      <c r="P279" s="19">
        <f t="shared" si="36"/>
        <v>256124.39330430579</v>
      </c>
      <c r="Q279" s="14">
        <f t="shared" si="37"/>
        <v>0</v>
      </c>
      <c r="R279" s="19">
        <f t="shared" si="38"/>
        <v>867448.8010169958</v>
      </c>
      <c r="S279" s="19">
        <f t="shared" si="39"/>
        <v>248875.48499291702</v>
      </c>
      <c r="T279" s="14">
        <f t="shared" si="40"/>
        <v>0</v>
      </c>
      <c r="U279" s="18" t="str" cm="1">
        <f t="array" aca="1" ref="U279" ca="1">IF(M279&lt;=$N$1,L279,IF(M279&lt;=($N$1+1),INDIRECT("L"&amp;5+$X$2),""))</f>
        <v/>
      </c>
    </row>
    <row r="280" spans="12:21" hidden="1" x14ac:dyDescent="0.25">
      <c r="L280" s="18">
        <f t="shared" ca="1" si="41"/>
        <v>54584</v>
      </c>
      <c r="M280" s="14">
        <v>275</v>
      </c>
      <c r="N280" s="14">
        <f t="shared" si="34"/>
        <v>0</v>
      </c>
      <c r="O280" s="19">
        <f t="shared" si="35"/>
        <v>926732.43715138384</v>
      </c>
      <c r="P280" s="19">
        <f t="shared" si="36"/>
        <v>257352.90794012405</v>
      </c>
      <c r="Q280" s="14">
        <f t="shared" si="37"/>
        <v>0</v>
      </c>
      <c r="R280" s="19">
        <f t="shared" si="38"/>
        <v>875679.84307119832</v>
      </c>
      <c r="S280" s="19">
        <f t="shared" si="39"/>
        <v>250069.22984425919</v>
      </c>
      <c r="T280" s="14">
        <f t="shared" si="40"/>
        <v>0</v>
      </c>
      <c r="U280" s="18" t="str" cm="1">
        <f t="array" aca="1" ref="U280" ca="1">IF(M280&lt;=$N$1,L280,IF(M280&lt;=($N$1+1),INDIRECT("L"&amp;5+$X$2),""))</f>
        <v/>
      </c>
    </row>
    <row r="281" spans="12:21" hidden="1" x14ac:dyDescent="0.25">
      <c r="L281" s="18">
        <f t="shared" ca="1" si="41"/>
        <v>54614</v>
      </c>
      <c r="M281" s="14">
        <v>276</v>
      </c>
      <c r="N281" s="14">
        <f t="shared" si="34"/>
        <v>0</v>
      </c>
      <c r="O281" s="19">
        <f t="shared" si="35"/>
        <v>935526.00935327471</v>
      </c>
      <c r="P281" s="19">
        <f t="shared" si="36"/>
        <v>258587.31521346472</v>
      </c>
      <c r="Q281" s="14">
        <f t="shared" si="37"/>
        <v>0</v>
      </c>
      <c r="R281" s="19">
        <f t="shared" si="38"/>
        <v>883988.98777908902</v>
      </c>
      <c r="S281" s="19">
        <f t="shared" si="39"/>
        <v>251268.70055795443</v>
      </c>
      <c r="T281" s="14">
        <f t="shared" si="40"/>
        <v>0</v>
      </c>
      <c r="U281" s="18" t="str" cm="1">
        <f t="array" aca="1" ref="U281" ca="1">IF(M281&lt;=$N$1,L281,IF(M281&lt;=($N$1+1),INDIRECT("L"&amp;5+$X$2),""))</f>
        <v/>
      </c>
    </row>
    <row r="282" spans="12:21" hidden="1" x14ac:dyDescent="0.25">
      <c r="L282" s="18">
        <f t="shared" ca="1" si="41"/>
        <v>54645</v>
      </c>
      <c r="M282" s="14">
        <v>277</v>
      </c>
      <c r="N282" s="14">
        <f t="shared" si="34"/>
        <v>0</v>
      </c>
      <c r="O282" s="19">
        <f t="shared" si="35"/>
        <v>944403.02194094483</v>
      </c>
      <c r="P282" s="19">
        <f t="shared" si="36"/>
        <v>259827.64338868583</v>
      </c>
      <c r="Q282" s="14">
        <f t="shared" si="37"/>
        <v>0</v>
      </c>
      <c r="R282" s="19">
        <f t="shared" si="38"/>
        <v>892376.97624057659</v>
      </c>
      <c r="S282" s="19">
        <f t="shared" si="39"/>
        <v>252473.92459841419</v>
      </c>
      <c r="T282" s="14">
        <f t="shared" si="40"/>
        <v>0</v>
      </c>
      <c r="U282" s="18" t="str" cm="1">
        <f t="array" aca="1" ref="U282" ca="1">IF(M282&lt;=$N$1,L282,IF(M282&lt;=($N$1+1),INDIRECT("L"&amp;5+$X$2),""))</f>
        <v/>
      </c>
    </row>
    <row r="283" spans="12:21" hidden="1" x14ac:dyDescent="0.25">
      <c r="L283" s="18">
        <f t="shared" ca="1" si="41"/>
        <v>54676</v>
      </c>
      <c r="M283" s="14">
        <v>278</v>
      </c>
      <c r="N283" s="14">
        <f t="shared" si="34"/>
        <v>0</v>
      </c>
      <c r="O283" s="19">
        <f t="shared" si="35"/>
        <v>953364.26666293689</v>
      </c>
      <c r="P283" s="19">
        <f t="shared" si="36"/>
        <v>261073.92086571595</v>
      </c>
      <c r="Q283" s="14">
        <f t="shared" si="37"/>
        <v>0</v>
      </c>
      <c r="R283" s="19">
        <f t="shared" si="38"/>
        <v>900844.55658771284</v>
      </c>
      <c r="S283" s="19">
        <f t="shared" si="39"/>
        <v>253684.92956178408</v>
      </c>
      <c r="T283" s="14">
        <f t="shared" si="40"/>
        <v>0</v>
      </c>
      <c r="U283" s="18" t="str" cm="1">
        <f t="array" aca="1" ref="U283" ca="1">IF(M283&lt;=$N$1,L283,IF(M283&lt;=($N$1+1),INDIRECT("L"&amp;5+$X$2),""))</f>
        <v/>
      </c>
    </row>
    <row r="284" spans="12:21" hidden="1" x14ac:dyDescent="0.25">
      <c r="L284" s="18">
        <f t="shared" ca="1" si="41"/>
        <v>54706</v>
      </c>
      <c r="M284" s="14">
        <v>279</v>
      </c>
      <c r="N284" s="14">
        <f t="shared" si="34"/>
        <v>0</v>
      </c>
      <c r="O284" s="19">
        <f t="shared" si="35"/>
        <v>962410.5427805325</v>
      </c>
      <c r="P284" s="19">
        <f t="shared" si="36"/>
        <v>262326.17618070648</v>
      </c>
      <c r="Q284" s="14">
        <f t="shared" si="37"/>
        <v>0</v>
      </c>
      <c r="R284" s="19">
        <f t="shared" si="38"/>
        <v>909392.48405142</v>
      </c>
      <c r="S284" s="19">
        <f t="shared" si="39"/>
        <v>254901.74317657677</v>
      </c>
      <c r="T284" s="14">
        <f t="shared" si="40"/>
        <v>0</v>
      </c>
      <c r="U284" s="18" t="str" cm="1">
        <f t="array" aca="1" ref="U284" ca="1">IF(M284&lt;=$N$1,L284,IF(M284&lt;=($N$1+1),INDIRECT("L"&amp;5+$X$2),""))</f>
        <v/>
      </c>
    </row>
    <row r="285" spans="12:21" hidden="1" x14ac:dyDescent="0.25">
      <c r="L285" s="18">
        <f t="shared" ca="1" si="41"/>
        <v>54737</v>
      </c>
      <c r="M285" s="14">
        <v>280</v>
      </c>
      <c r="N285" s="14">
        <f t="shared" si="34"/>
        <v>0</v>
      </c>
      <c r="O285" s="19">
        <f t="shared" si="35"/>
        <v>971542.65713903657</v>
      </c>
      <c r="P285" s="19">
        <f t="shared" si="36"/>
        <v>263584.43800668314</v>
      </c>
      <c r="Q285" s="14">
        <f t="shared" si="37"/>
        <v>0</v>
      </c>
      <c r="R285" s="19">
        <f t="shared" si="38"/>
        <v>918021.52102885011</v>
      </c>
      <c r="S285" s="19">
        <f t="shared" si="39"/>
        <v>256124.39330430579</v>
      </c>
      <c r="T285" s="14">
        <f t="shared" si="40"/>
        <v>0</v>
      </c>
      <c r="U285" s="18" t="str" cm="1">
        <f t="array" aca="1" ref="U285" ca="1">IF(M285&lt;=$N$1,L285,IF(M285&lt;=($N$1+1),INDIRECT("L"&amp;5+$X$2),""))</f>
        <v/>
      </c>
    </row>
    <row r="286" spans="12:21" hidden="1" x14ac:dyDescent="0.25">
      <c r="L286" s="18">
        <f t="shared" ca="1" si="41"/>
        <v>54767</v>
      </c>
      <c r="M286" s="14">
        <v>281</v>
      </c>
      <c r="N286" s="14">
        <f t="shared" si="34"/>
        <v>0</v>
      </c>
      <c r="O286" s="19">
        <f t="shared" si="35"/>
        <v>980761.42423974338</v>
      </c>
      <c r="P286" s="19">
        <f t="shared" si="36"/>
        <v>264848.7351542039</v>
      </c>
      <c r="Q286" s="14">
        <f t="shared" si="37"/>
        <v>0</v>
      </c>
      <c r="R286" s="19">
        <f t="shared" si="38"/>
        <v>926732.43715138384</v>
      </c>
      <c r="S286" s="19">
        <f t="shared" si="39"/>
        <v>257352.90794012405</v>
      </c>
      <c r="T286" s="14">
        <f t="shared" si="40"/>
        <v>0</v>
      </c>
      <c r="U286" s="18" t="str" cm="1">
        <f t="array" aca="1" ref="U286" ca="1">IF(M286&lt;=$N$1,L286,IF(M286&lt;=($N$1+1),INDIRECT("L"&amp;5+$X$2),""))</f>
        <v/>
      </c>
    </row>
    <row r="287" spans="12:21" hidden="1" x14ac:dyDescent="0.25">
      <c r="L287" s="18">
        <f t="shared" ca="1" si="41"/>
        <v>54798</v>
      </c>
      <c r="M287" s="14">
        <v>282</v>
      </c>
      <c r="N287" s="14">
        <f t="shared" si="34"/>
        <v>0</v>
      </c>
      <c r="O287" s="19">
        <f t="shared" si="35"/>
        <v>990067.66631258116</v>
      </c>
      <c r="P287" s="19">
        <f t="shared" si="36"/>
        <v>266119.09657201829</v>
      </c>
      <c r="Q287" s="14">
        <f t="shared" si="37"/>
        <v>0</v>
      </c>
      <c r="R287" s="19">
        <f t="shared" si="38"/>
        <v>935526.00935327471</v>
      </c>
      <c r="S287" s="19">
        <f t="shared" si="39"/>
        <v>258587.31521346472</v>
      </c>
      <c r="T287" s="14">
        <f t="shared" si="40"/>
        <v>0</v>
      </c>
      <c r="U287" s="18" t="str" cm="1">
        <f t="array" aca="1" ref="U287" ca="1">IF(M287&lt;=$N$1,L287,IF(M287&lt;=($N$1+1),INDIRECT("L"&amp;5+$X$2),""))</f>
        <v/>
      </c>
    </row>
    <row r="288" spans="12:21" hidden="1" x14ac:dyDescent="0.25">
      <c r="L288" s="18">
        <f t="shared" ca="1" si="41"/>
        <v>54829</v>
      </c>
      <c r="M288" s="14">
        <v>283</v>
      </c>
      <c r="N288" s="14">
        <f t="shared" si="34"/>
        <v>0</v>
      </c>
      <c r="O288" s="19">
        <f t="shared" si="35"/>
        <v>999462.21338944719</v>
      </c>
      <c r="P288" s="19">
        <f t="shared" si="36"/>
        <v>267395.55134772975</v>
      </c>
      <c r="Q288" s="14">
        <f t="shared" si="37"/>
        <v>0</v>
      </c>
      <c r="R288" s="19">
        <f t="shared" si="38"/>
        <v>944403.02194094483</v>
      </c>
      <c r="S288" s="19">
        <f t="shared" si="39"/>
        <v>259827.64338868583</v>
      </c>
      <c r="T288" s="14">
        <f t="shared" si="40"/>
        <v>0</v>
      </c>
      <c r="U288" s="18" t="str" cm="1">
        <f t="array" aca="1" ref="U288" ca="1">IF(M288&lt;=$N$1,L288,IF(M288&lt;=($N$1+1),INDIRECT("L"&amp;5+$X$2),""))</f>
        <v/>
      </c>
    </row>
    <row r="289" spans="12:21" hidden="1" x14ac:dyDescent="0.25">
      <c r="L289" s="18">
        <f t="shared" ca="1" si="41"/>
        <v>54857</v>
      </c>
      <c r="M289" s="14">
        <v>284</v>
      </c>
      <c r="N289" s="14">
        <f t="shared" si="34"/>
        <v>0</v>
      </c>
      <c r="O289" s="19">
        <f t="shared" si="35"/>
        <v>1008945.9033782397</v>
      </c>
      <c r="P289" s="19">
        <f t="shared" si="36"/>
        <v>268678.128708462</v>
      </c>
      <c r="Q289" s="14">
        <f t="shared" si="37"/>
        <v>0</v>
      </c>
      <c r="R289" s="19">
        <f t="shared" si="38"/>
        <v>953364.26666293689</v>
      </c>
      <c r="S289" s="19">
        <f t="shared" si="39"/>
        <v>261073.92086571595</v>
      </c>
      <c r="T289" s="14">
        <f t="shared" si="40"/>
        <v>0</v>
      </c>
      <c r="U289" s="18" t="str" cm="1">
        <f t="array" aca="1" ref="U289" ca="1">IF(M289&lt;=$N$1,L289,IF(M289&lt;=($N$1+1),INDIRECT("L"&amp;5+$X$2),""))</f>
        <v/>
      </c>
    </row>
    <row r="290" spans="12:21" hidden="1" x14ac:dyDescent="0.25">
      <c r="L290" s="18">
        <f t="shared" ca="1" si="41"/>
        <v>54888</v>
      </c>
      <c r="M290" s="14">
        <v>285</v>
      </c>
      <c r="N290" s="14">
        <f t="shared" si="34"/>
        <v>0</v>
      </c>
      <c r="O290" s="19">
        <f t="shared" si="35"/>
        <v>1018519.5821375916</v>
      </c>
      <c r="P290" s="19">
        <f t="shared" si="36"/>
        <v>269966.8580215284</v>
      </c>
      <c r="Q290" s="14">
        <f t="shared" si="37"/>
        <v>0</v>
      </c>
      <c r="R290" s="19">
        <f t="shared" si="38"/>
        <v>962410.5427805325</v>
      </c>
      <c r="S290" s="19">
        <f t="shared" si="39"/>
        <v>262326.17618070648</v>
      </c>
      <c r="T290" s="14">
        <f t="shared" si="40"/>
        <v>0</v>
      </c>
      <c r="U290" s="18" t="str" cm="1">
        <f t="array" aca="1" ref="U290" ca="1">IF(M290&lt;=$N$1,L290,IF(M290&lt;=($N$1+1),INDIRECT("L"&amp;5+$X$2),""))</f>
        <v/>
      </c>
    </row>
    <row r="291" spans="12:21" hidden="1" x14ac:dyDescent="0.25">
      <c r="L291" s="18">
        <f t="shared" ca="1" si="41"/>
        <v>54918</v>
      </c>
      <c r="M291" s="14">
        <v>286</v>
      </c>
      <c r="N291" s="14">
        <f t="shared" si="34"/>
        <v>0</v>
      </c>
      <c r="O291" s="19">
        <f t="shared" si="35"/>
        <v>1028184.1035523134</v>
      </c>
      <c r="P291" s="19">
        <f t="shared" si="36"/>
        <v>271261.76879510429</v>
      </c>
      <c r="Q291" s="14">
        <f t="shared" si="37"/>
        <v>0</v>
      </c>
      <c r="R291" s="19">
        <f t="shared" si="38"/>
        <v>971542.65713903657</v>
      </c>
      <c r="S291" s="19">
        <f t="shared" si="39"/>
        <v>263584.43800668314</v>
      </c>
      <c r="T291" s="14">
        <f t="shared" si="40"/>
        <v>0</v>
      </c>
      <c r="U291" s="18" t="str" cm="1">
        <f t="array" aca="1" ref="U291" ca="1">IF(M291&lt;=$N$1,L291,IF(M291&lt;=($N$1+1),INDIRECT("L"&amp;5+$X$2),""))</f>
        <v/>
      </c>
    </row>
    <row r="292" spans="12:21" hidden="1" x14ac:dyDescent="0.25">
      <c r="L292" s="18">
        <f t="shared" ca="1" si="41"/>
        <v>54949</v>
      </c>
      <c r="M292" s="14">
        <v>287</v>
      </c>
      <c r="N292" s="14">
        <f t="shared" si="34"/>
        <v>0</v>
      </c>
      <c r="O292" s="19">
        <f t="shared" si="35"/>
        <v>1037940.3296095512</v>
      </c>
      <c r="P292" s="19">
        <f t="shared" si="36"/>
        <v>272562.89067890245</v>
      </c>
      <c r="Q292" s="14">
        <f t="shared" si="37"/>
        <v>0</v>
      </c>
      <c r="R292" s="19">
        <f t="shared" si="38"/>
        <v>980761.42423974338</v>
      </c>
      <c r="S292" s="19">
        <f t="shared" si="39"/>
        <v>264848.7351542039</v>
      </c>
      <c r="T292" s="14">
        <f t="shared" si="40"/>
        <v>0</v>
      </c>
      <c r="U292" s="18" t="str" cm="1">
        <f t="array" aca="1" ref="U292" ca="1">IF(M292&lt;=$N$1,L292,IF(M292&lt;=($N$1+1),INDIRECT("L"&amp;5+$X$2),""))</f>
        <v/>
      </c>
    </row>
    <row r="293" spans="12:21" hidden="1" x14ac:dyDescent="0.25">
      <c r="L293" s="18">
        <f t="shared" ca="1" si="41"/>
        <v>54979</v>
      </c>
      <c r="M293" s="14">
        <v>288</v>
      </c>
      <c r="N293" s="14">
        <f t="shared" si="34"/>
        <v>0</v>
      </c>
      <c r="O293" s="19">
        <f t="shared" si="35"/>
        <v>1047789.1304756693</v>
      </c>
      <c r="P293" s="19">
        <f t="shared" si="36"/>
        <v>273870.25346485194</v>
      </c>
      <c r="Q293" s="14">
        <f t="shared" si="37"/>
        <v>0</v>
      </c>
      <c r="R293" s="19">
        <f t="shared" si="38"/>
        <v>990067.66631258116</v>
      </c>
      <c r="S293" s="19">
        <f t="shared" si="39"/>
        <v>266119.09657201829</v>
      </c>
      <c r="T293" s="14">
        <f t="shared" si="40"/>
        <v>0</v>
      </c>
      <c r="U293" s="18" t="str" cm="1">
        <f t="array" aca="1" ref="U293" ca="1">IF(M293&lt;=$N$1,L293,IF(M293&lt;=($N$1+1),INDIRECT("L"&amp;5+$X$2),""))</f>
        <v/>
      </c>
    </row>
    <row r="294" spans="12:21" hidden="1" x14ac:dyDescent="0.25">
      <c r="L294" s="18">
        <f t="shared" ca="1" si="41"/>
        <v>55010</v>
      </c>
      <c r="M294" s="14">
        <v>289</v>
      </c>
      <c r="N294" s="14">
        <f t="shared" si="34"/>
        <v>0</v>
      </c>
      <c r="O294" s="19">
        <f t="shared" si="35"/>
        <v>1057731.3845738596</v>
      </c>
      <c r="P294" s="19">
        <f t="shared" si="36"/>
        <v>275183.8870877811</v>
      </c>
      <c r="Q294" s="14">
        <f t="shared" si="37"/>
        <v>0</v>
      </c>
      <c r="R294" s="19">
        <f t="shared" si="38"/>
        <v>999462.21338944719</v>
      </c>
      <c r="S294" s="19">
        <f t="shared" si="39"/>
        <v>267395.55134772975</v>
      </c>
      <c r="T294" s="14">
        <f t="shared" si="40"/>
        <v>0</v>
      </c>
      <c r="U294" s="18" t="str" cm="1">
        <f t="array" aca="1" ref="U294" ca="1">IF(M294&lt;=$N$1,L294,IF(M294&lt;=($N$1+1),INDIRECT("L"&amp;5+$X$2),""))</f>
        <v/>
      </c>
    </row>
    <row r="295" spans="12:21" hidden="1" x14ac:dyDescent="0.25">
      <c r="L295" s="18">
        <f t="shared" ca="1" si="41"/>
        <v>55041</v>
      </c>
      <c r="M295" s="14">
        <v>290</v>
      </c>
      <c r="N295" s="14">
        <f t="shared" si="34"/>
        <v>0</v>
      </c>
      <c r="O295" s="19">
        <f t="shared" si="35"/>
        <v>1067767.9786624911</v>
      </c>
      <c r="P295" s="19">
        <f t="shared" si="36"/>
        <v>276503.82162610145</v>
      </c>
      <c r="Q295" s="14">
        <f t="shared" si="37"/>
        <v>0</v>
      </c>
      <c r="R295" s="19">
        <f t="shared" si="38"/>
        <v>1008945.9033782397</v>
      </c>
      <c r="S295" s="19">
        <f t="shared" si="39"/>
        <v>268678.128708462</v>
      </c>
      <c r="T295" s="14">
        <f t="shared" si="40"/>
        <v>0</v>
      </c>
      <c r="U295" s="18" t="str" cm="1">
        <f t="array" aca="1" ref="U295" ca="1">IF(M295&lt;=$N$1,L295,IF(M295&lt;=($N$1+1),INDIRECT("L"&amp;5+$X$2),""))</f>
        <v/>
      </c>
    </row>
    <row r="296" spans="12:21" hidden="1" x14ac:dyDescent="0.25">
      <c r="L296" s="18">
        <f t="shared" ca="1" si="41"/>
        <v>55071</v>
      </c>
      <c r="M296" s="14">
        <v>291</v>
      </c>
      <c r="N296" s="14">
        <f t="shared" si="34"/>
        <v>0</v>
      </c>
      <c r="O296" s="19">
        <f t="shared" si="35"/>
        <v>1077899.8079141977</v>
      </c>
      <c r="P296" s="19">
        <f t="shared" si="36"/>
        <v>277830.08730249788</v>
      </c>
      <c r="Q296" s="14">
        <f t="shared" si="37"/>
        <v>0</v>
      </c>
      <c r="R296" s="19">
        <f t="shared" si="38"/>
        <v>1018519.5821375916</v>
      </c>
      <c r="S296" s="19">
        <f t="shared" si="39"/>
        <v>269966.8580215284</v>
      </c>
      <c r="T296" s="14">
        <f t="shared" si="40"/>
        <v>0</v>
      </c>
      <c r="U296" s="18" t="str" cm="1">
        <f t="array" aca="1" ref="U296" ca="1">IF(M296&lt;=$N$1,L296,IF(M296&lt;=($N$1+1),INDIRECT("L"&amp;5+$X$2),""))</f>
        <v/>
      </c>
    </row>
    <row r="297" spans="12:21" hidden="1" x14ac:dyDescent="0.25">
      <c r="L297" s="18">
        <f t="shared" ca="1" si="41"/>
        <v>55102</v>
      </c>
      <c r="M297" s="14">
        <v>292</v>
      </c>
      <c r="N297" s="14">
        <f t="shared" si="34"/>
        <v>0</v>
      </c>
      <c r="O297" s="19">
        <f t="shared" si="35"/>
        <v>1088127.7759957225</v>
      </c>
      <c r="P297" s="19">
        <f t="shared" si="36"/>
        <v>279162.71448461985</v>
      </c>
      <c r="Q297" s="14">
        <f t="shared" si="37"/>
        <v>0</v>
      </c>
      <c r="R297" s="19">
        <f t="shared" si="38"/>
        <v>1028184.1035523134</v>
      </c>
      <c r="S297" s="19">
        <f t="shared" si="39"/>
        <v>271261.76879510429</v>
      </c>
      <c r="T297" s="14">
        <f t="shared" si="40"/>
        <v>0</v>
      </c>
      <c r="U297" s="18" t="str" cm="1">
        <f t="array" aca="1" ref="U297" ca="1">IF(M297&lt;=$N$1,L297,IF(M297&lt;=($N$1+1),INDIRECT("L"&amp;5+$X$2),""))</f>
        <v/>
      </c>
    </row>
    <row r="298" spans="12:21" hidden="1" x14ac:dyDescent="0.25">
      <c r="L298" s="18">
        <f t="shared" ca="1" si="41"/>
        <v>55132</v>
      </c>
      <c r="M298" s="14">
        <v>293</v>
      </c>
      <c r="N298" s="14">
        <f t="shared" si="34"/>
        <v>0</v>
      </c>
      <c r="O298" s="19">
        <f t="shared" si="35"/>
        <v>1098452.795148514</v>
      </c>
      <c r="P298" s="19">
        <f t="shared" si="36"/>
        <v>280501.73368577659</v>
      </c>
      <c r="Q298" s="14">
        <f t="shared" si="37"/>
        <v>0</v>
      </c>
      <c r="R298" s="19">
        <f t="shared" si="38"/>
        <v>1037940.3296095512</v>
      </c>
      <c r="S298" s="19">
        <f t="shared" si="39"/>
        <v>272562.89067890245</v>
      </c>
      <c r="T298" s="14">
        <f t="shared" si="40"/>
        <v>0</v>
      </c>
      <c r="U298" s="18" t="str" cm="1">
        <f t="array" aca="1" ref="U298" ca="1">IF(M298&lt;=$N$1,L298,IF(M298&lt;=($N$1+1),INDIRECT("L"&amp;5+$X$2),""))</f>
        <v/>
      </c>
    </row>
    <row r="299" spans="12:21" hidden="1" x14ac:dyDescent="0.25">
      <c r="L299" s="18">
        <f t="shared" ca="1" si="41"/>
        <v>55163</v>
      </c>
      <c r="M299" s="14">
        <v>294</v>
      </c>
      <c r="N299" s="14">
        <f t="shared" si="34"/>
        <v>0</v>
      </c>
      <c r="O299" s="19">
        <f t="shared" si="35"/>
        <v>1108875.7862700925</v>
      </c>
      <c r="P299" s="19">
        <f t="shared" si="36"/>
        <v>281847.17556563677</v>
      </c>
      <c r="Q299" s="14">
        <f t="shared" si="37"/>
        <v>0</v>
      </c>
      <c r="R299" s="19">
        <f t="shared" si="38"/>
        <v>1047789.1304756693</v>
      </c>
      <c r="S299" s="19">
        <f t="shared" si="39"/>
        <v>273870.25346485194</v>
      </c>
      <c r="T299" s="14">
        <f t="shared" si="40"/>
        <v>0</v>
      </c>
      <c r="U299" s="18" t="str" cm="1">
        <f t="array" aca="1" ref="U299" ca="1">IF(M299&lt;=$N$1,L299,IF(M299&lt;=($N$1+1),INDIRECT("L"&amp;5+$X$2),""))</f>
        <v/>
      </c>
    </row>
    <row r="300" spans="12:21" hidden="1" x14ac:dyDescent="0.25">
      <c r="L300" s="18">
        <f t="shared" ca="1" si="41"/>
        <v>55194</v>
      </c>
      <c r="M300" s="14">
        <v>295</v>
      </c>
      <c r="N300" s="14">
        <f t="shared" si="34"/>
        <v>0</v>
      </c>
      <c r="O300" s="19">
        <f t="shared" si="35"/>
        <v>1119397.6789961825</v>
      </c>
      <c r="P300" s="19">
        <f t="shared" si="36"/>
        <v>283199.07093092927</v>
      </c>
      <c r="Q300" s="14">
        <f t="shared" si="37"/>
        <v>0</v>
      </c>
      <c r="R300" s="19">
        <f t="shared" si="38"/>
        <v>1057731.3845738596</v>
      </c>
      <c r="S300" s="19">
        <f t="shared" si="39"/>
        <v>275183.8870877811</v>
      </c>
      <c r="T300" s="14">
        <f t="shared" si="40"/>
        <v>0</v>
      </c>
      <c r="U300" s="18" t="str" cm="1">
        <f t="array" aca="1" ref="U300" ca="1">IF(M300&lt;=$N$1,L300,IF(M300&lt;=($N$1+1),INDIRECT("L"&amp;5+$X$2),""))</f>
        <v/>
      </c>
    </row>
    <row r="301" spans="12:21" hidden="1" x14ac:dyDescent="0.25">
      <c r="L301" s="18">
        <f t="shared" ca="1" si="41"/>
        <v>55222</v>
      </c>
      <c r="M301" s="14">
        <v>296</v>
      </c>
      <c r="N301" s="14">
        <f t="shared" si="34"/>
        <v>0</v>
      </c>
      <c r="O301" s="19">
        <f t="shared" si="35"/>
        <v>1130019.41178363</v>
      </c>
      <c r="P301" s="19">
        <f t="shared" si="36"/>
        <v>284557.45073614921</v>
      </c>
      <c r="Q301" s="14">
        <f t="shared" si="37"/>
        <v>0</v>
      </c>
      <c r="R301" s="19">
        <f t="shared" si="38"/>
        <v>1067767.9786624911</v>
      </c>
      <c r="S301" s="19">
        <f t="shared" si="39"/>
        <v>276503.82162610145</v>
      </c>
      <c r="T301" s="14">
        <f t="shared" si="40"/>
        <v>0</v>
      </c>
      <c r="U301" s="18" t="str" cm="1">
        <f t="array" aca="1" ref="U301" ca="1">IF(M301&lt;=$N$1,L301,IF(M301&lt;=($N$1+1),INDIRECT("L"&amp;5+$X$2),""))</f>
        <v/>
      </c>
    </row>
    <row r="302" spans="12:21" hidden="1" x14ac:dyDescent="0.25">
      <c r="L302" s="18">
        <f t="shared" ca="1" si="41"/>
        <v>55253</v>
      </c>
      <c r="M302" s="14">
        <v>297</v>
      </c>
      <c r="N302" s="14">
        <f t="shared" si="34"/>
        <v>0</v>
      </c>
      <c r="O302" s="19">
        <f t="shared" si="35"/>
        <v>1140741.9319941041</v>
      </c>
      <c r="P302" s="19">
        <f t="shared" si="36"/>
        <v>285922.34608426684</v>
      </c>
      <c r="Q302" s="14">
        <f t="shared" si="37"/>
        <v>0</v>
      </c>
      <c r="R302" s="19">
        <f t="shared" si="38"/>
        <v>1077899.8079141977</v>
      </c>
      <c r="S302" s="19">
        <f t="shared" si="39"/>
        <v>277830.08730249788</v>
      </c>
      <c r="T302" s="14">
        <f t="shared" si="40"/>
        <v>0</v>
      </c>
      <c r="U302" s="18" t="str" cm="1">
        <f t="array" aca="1" ref="U302" ca="1">IF(M302&lt;=$N$1,L302,IF(M302&lt;=($N$1+1),INDIRECT("L"&amp;5+$X$2),""))</f>
        <v/>
      </c>
    </row>
    <row r="303" spans="12:21" hidden="1" x14ac:dyDescent="0.25">
      <c r="L303" s="18">
        <f t="shared" ca="1" si="41"/>
        <v>55283</v>
      </c>
      <c r="M303" s="14">
        <v>298</v>
      </c>
      <c r="N303" s="14">
        <f t="shared" si="34"/>
        <v>0</v>
      </c>
      <c r="O303" s="19">
        <f t="shared" si="35"/>
        <v>1151566.1959785926</v>
      </c>
      <c r="P303" s="19">
        <f t="shared" si="36"/>
        <v>287293.78822743945</v>
      </c>
      <c r="Q303" s="14">
        <f t="shared" si="37"/>
        <v>0</v>
      </c>
      <c r="R303" s="19">
        <f t="shared" si="38"/>
        <v>1088127.7759957225</v>
      </c>
      <c r="S303" s="19">
        <f t="shared" si="39"/>
        <v>279162.71448461985</v>
      </c>
      <c r="T303" s="14">
        <f t="shared" si="40"/>
        <v>0</v>
      </c>
      <c r="U303" s="18" t="str" cm="1">
        <f t="array" aca="1" ref="U303" ca="1">IF(M303&lt;=$N$1,L303,IF(M303&lt;=($N$1+1),INDIRECT("L"&amp;5+$X$2),""))</f>
        <v/>
      </c>
    </row>
    <row r="304" spans="12:21" hidden="1" x14ac:dyDescent="0.25">
      <c r="L304" s="18">
        <f t="shared" ca="1" si="41"/>
        <v>55314</v>
      </c>
      <c r="M304" s="14">
        <v>299</v>
      </c>
      <c r="N304" s="14">
        <f t="shared" si="34"/>
        <v>0</v>
      </c>
      <c r="O304" s="19">
        <f t="shared" si="35"/>
        <v>1162493.169162699</v>
      </c>
      <c r="P304" s="19">
        <f t="shared" si="36"/>
        <v>288671.80856772681</v>
      </c>
      <c r="Q304" s="14">
        <f t="shared" si="37"/>
        <v>0</v>
      </c>
      <c r="R304" s="19">
        <f t="shared" si="38"/>
        <v>1098452.795148514</v>
      </c>
      <c r="S304" s="19">
        <f t="shared" si="39"/>
        <v>280501.73368577659</v>
      </c>
      <c r="T304" s="14">
        <f t="shared" si="40"/>
        <v>0</v>
      </c>
      <c r="U304" s="18" t="str" cm="1">
        <f t="array" aca="1" ref="U304" ca="1">IF(M304&lt;=$N$1,L304,IF(M304&lt;=($N$1+1),INDIRECT("L"&amp;5+$X$2),""))</f>
        <v/>
      </c>
    </row>
    <row r="305" spans="12:21" hidden="1" x14ac:dyDescent="0.25">
      <c r="L305" s="18">
        <f t="shared" ca="1" si="41"/>
        <v>55344</v>
      </c>
      <c r="M305" s="14">
        <v>300</v>
      </c>
      <c r="N305" s="14">
        <f t="shared" si="34"/>
        <v>0</v>
      </c>
      <c r="O305" s="19">
        <f t="shared" si="35"/>
        <v>1173523.8261327511</v>
      </c>
      <c r="P305" s="19">
        <f t="shared" si="36"/>
        <v>290056.43865781039</v>
      </c>
      <c r="Q305" s="14">
        <f t="shared" si="37"/>
        <v>0</v>
      </c>
      <c r="R305" s="19">
        <f t="shared" si="38"/>
        <v>1108875.7862700925</v>
      </c>
      <c r="S305" s="19">
        <f t="shared" si="39"/>
        <v>281847.17556563677</v>
      </c>
      <c r="T305" s="14">
        <f t="shared" si="40"/>
        <v>0</v>
      </c>
      <c r="U305" s="18" t="str" cm="1">
        <f t="array" aca="1" ref="U305" ca="1">IF(M305&lt;=$N$1,L305,IF(M305&lt;=($N$1+1),INDIRECT("L"&amp;5+$X$2),""))</f>
        <v/>
      </c>
    </row>
    <row r="306" spans="12:21" hidden="1" x14ac:dyDescent="0.25">
      <c r="L306" s="18">
        <f t="shared" ca="1" si="41"/>
        <v>55375</v>
      </c>
      <c r="M306" s="14">
        <v>301</v>
      </c>
      <c r="N306" s="14">
        <f t="shared" si="34"/>
        <v>0</v>
      </c>
      <c r="O306" s="19">
        <f t="shared" si="35"/>
        <v>1184659.1507227244</v>
      </c>
      <c r="P306" s="19">
        <f t="shared" si="36"/>
        <v>291447.71020171652</v>
      </c>
      <c r="Q306" s="14">
        <f t="shared" si="37"/>
        <v>0</v>
      </c>
      <c r="R306" s="19">
        <f t="shared" si="38"/>
        <v>1119397.6789961825</v>
      </c>
      <c r="S306" s="19">
        <f t="shared" si="39"/>
        <v>283199.07093092927</v>
      </c>
      <c r="T306" s="14">
        <f t="shared" si="40"/>
        <v>0</v>
      </c>
      <c r="U306" s="18" t="str" cm="1">
        <f t="array" aca="1" ref="U306" ca="1">IF(M306&lt;=$N$1,L306,IF(M306&lt;=($N$1+1),INDIRECT("L"&amp;5+$X$2),""))</f>
        <v/>
      </c>
    </row>
    <row r="307" spans="12:21" hidden="1" x14ac:dyDescent="0.25">
      <c r="L307" s="18">
        <f t="shared" ca="1" si="41"/>
        <v>55406</v>
      </c>
      <c r="M307" s="14">
        <v>302</v>
      </c>
      <c r="N307" s="14">
        <f t="shared" si="34"/>
        <v>0</v>
      </c>
      <c r="O307" s="19">
        <f t="shared" si="35"/>
        <v>1195900.1361019912</v>
      </c>
      <c r="P307" s="19">
        <f t="shared" si="36"/>
        <v>292845.65505554038</v>
      </c>
      <c r="Q307" s="14">
        <f t="shared" si="37"/>
        <v>0</v>
      </c>
      <c r="R307" s="19">
        <f t="shared" si="38"/>
        <v>1130019.41178363</v>
      </c>
      <c r="S307" s="19">
        <f t="shared" si="39"/>
        <v>284557.45073614921</v>
      </c>
      <c r="T307" s="14">
        <f t="shared" si="40"/>
        <v>0</v>
      </c>
      <c r="U307" s="18" t="str" cm="1">
        <f t="array" aca="1" ref="U307" ca="1">IF(M307&lt;=$N$1,L307,IF(M307&lt;=($N$1+1),INDIRECT("L"&amp;5+$X$2),""))</f>
        <v/>
      </c>
    </row>
    <row r="308" spans="12:21" hidden="1" x14ac:dyDescent="0.25">
      <c r="L308" s="18">
        <f t="shared" ca="1" si="41"/>
        <v>55436</v>
      </c>
      <c r="M308" s="14">
        <v>303</v>
      </c>
      <c r="N308" s="14">
        <f t="shared" si="34"/>
        <v>0</v>
      </c>
      <c r="O308" s="19">
        <f t="shared" si="35"/>
        <v>1207247.784863903</v>
      </c>
      <c r="P308" s="19">
        <f t="shared" si="36"/>
        <v>294250.30522817775</v>
      </c>
      <c r="Q308" s="14">
        <f t="shared" si="37"/>
        <v>0</v>
      </c>
      <c r="R308" s="19">
        <f t="shared" si="38"/>
        <v>1140741.9319941041</v>
      </c>
      <c r="S308" s="19">
        <f t="shared" si="39"/>
        <v>285922.34608426684</v>
      </c>
      <c r="T308" s="14">
        <f t="shared" si="40"/>
        <v>0</v>
      </c>
      <c r="U308" s="18" t="str" cm="1">
        <f t="array" aca="1" ref="U308" ca="1">IF(M308&lt;=$N$1,L308,IF(M308&lt;=($N$1+1),INDIRECT("L"&amp;5+$X$2),""))</f>
        <v/>
      </c>
    </row>
    <row r="309" spans="12:21" hidden="1" x14ac:dyDescent="0.25">
      <c r="L309" s="18">
        <f t="shared" ca="1" si="41"/>
        <v>55467</v>
      </c>
      <c r="M309" s="14">
        <v>304</v>
      </c>
      <c r="N309" s="14">
        <f t="shared" si="34"/>
        <v>0</v>
      </c>
      <c r="O309" s="19">
        <f t="shared" si="35"/>
        <v>1218703.1091152104</v>
      </c>
      <c r="P309" s="19">
        <f t="shared" si="36"/>
        <v>295661.69288205623</v>
      </c>
      <c r="Q309" s="14">
        <f t="shared" si="37"/>
        <v>0</v>
      </c>
      <c r="R309" s="19">
        <f t="shared" si="38"/>
        <v>1151566.1959785926</v>
      </c>
      <c r="S309" s="19">
        <f t="shared" si="39"/>
        <v>287293.78822743945</v>
      </c>
      <c r="T309" s="14">
        <f t="shared" si="40"/>
        <v>0</v>
      </c>
      <c r="U309" s="18" t="str" cm="1">
        <f t="array" aca="1" ref="U309" ca="1">IF(M309&lt;=$N$1,L309,IF(M309&lt;=($N$1+1),INDIRECT("L"&amp;5+$X$2),""))</f>
        <v/>
      </c>
    </row>
    <row r="310" spans="12:21" hidden="1" x14ac:dyDescent="0.25">
      <c r="L310" s="18">
        <f t="shared" ca="1" si="41"/>
        <v>55497</v>
      </c>
      <c r="M310" s="14">
        <v>305</v>
      </c>
      <c r="N310" s="14">
        <f t="shared" si="34"/>
        <v>0</v>
      </c>
      <c r="O310" s="19">
        <f t="shared" si="35"/>
        <v>1230267.1305663374</v>
      </c>
      <c r="P310" s="19">
        <f t="shared" si="36"/>
        <v>297079.85033387254</v>
      </c>
      <c r="Q310" s="14">
        <f t="shared" si="37"/>
        <v>0</v>
      </c>
      <c r="R310" s="19">
        <f t="shared" si="38"/>
        <v>1162493.169162699</v>
      </c>
      <c r="S310" s="19">
        <f t="shared" si="39"/>
        <v>288671.80856772681</v>
      </c>
      <c r="T310" s="14">
        <f t="shared" si="40"/>
        <v>0</v>
      </c>
      <c r="U310" s="18" t="str" cm="1">
        <f t="array" aca="1" ref="U310" ca="1">IF(M310&lt;=$N$1,L310,IF(M310&lt;=($N$1+1),INDIRECT("L"&amp;5+$X$2),""))</f>
        <v/>
      </c>
    </row>
    <row r="311" spans="12:21" hidden="1" x14ac:dyDescent="0.25">
      <c r="L311" s="18">
        <f t="shared" ca="1" si="41"/>
        <v>55528</v>
      </c>
      <c r="M311" s="14">
        <v>306</v>
      </c>
      <c r="N311" s="14">
        <f t="shared" si="34"/>
        <v>0</v>
      </c>
      <c r="O311" s="19">
        <f t="shared" si="35"/>
        <v>1241940.8806225052</v>
      </c>
      <c r="P311" s="19">
        <f t="shared" si="36"/>
        <v>298504.81005533203</v>
      </c>
      <c r="Q311" s="14">
        <f t="shared" si="37"/>
        <v>0</v>
      </c>
      <c r="R311" s="19">
        <f t="shared" si="38"/>
        <v>1173523.8261327511</v>
      </c>
      <c r="S311" s="19">
        <f t="shared" si="39"/>
        <v>290056.43865781039</v>
      </c>
      <c r="T311" s="14">
        <f t="shared" si="40"/>
        <v>0</v>
      </c>
      <c r="U311" s="18" t="str" cm="1">
        <f t="array" aca="1" ref="U311" ca="1">IF(M311&lt;=$N$1,L311,IF(M311&lt;=($N$1+1),INDIRECT("L"&amp;5+$X$2),""))</f>
        <v/>
      </c>
    </row>
    <row r="312" spans="12:21" hidden="1" x14ac:dyDescent="0.25">
      <c r="L312" s="18">
        <f t="shared" ca="1" si="41"/>
        <v>55559</v>
      </c>
      <c r="M312" s="14">
        <v>307</v>
      </c>
      <c r="N312" s="14">
        <f t="shared" si="34"/>
        <v>0</v>
      </c>
      <c r="O312" s="19">
        <f t="shared" si="35"/>
        <v>1253725.400475726</v>
      </c>
      <c r="P312" s="19">
        <f t="shared" si="36"/>
        <v>299936.60467389238</v>
      </c>
      <c r="Q312" s="14">
        <f t="shared" si="37"/>
        <v>0</v>
      </c>
      <c r="R312" s="19">
        <f t="shared" si="38"/>
        <v>1184659.1507227244</v>
      </c>
      <c r="S312" s="19">
        <f t="shared" si="39"/>
        <v>291447.71020171652</v>
      </c>
      <c r="T312" s="14">
        <f t="shared" si="40"/>
        <v>0</v>
      </c>
      <c r="U312" s="18" t="str" cm="1">
        <f t="array" aca="1" ref="U312" ca="1">IF(M312&lt;=$N$1,L312,IF(M312&lt;=($N$1+1),INDIRECT("L"&amp;5+$X$2),""))</f>
        <v/>
      </c>
    </row>
    <row r="313" spans="12:21" hidden="1" x14ac:dyDescent="0.25">
      <c r="L313" s="18">
        <f t="shared" ca="1" si="41"/>
        <v>55588</v>
      </c>
      <c r="M313" s="14">
        <v>308</v>
      </c>
      <c r="N313" s="14">
        <f t="shared" si="34"/>
        <v>0</v>
      </c>
      <c r="O313" s="19">
        <f t="shared" si="35"/>
        <v>1265621.7411976671</v>
      </c>
      <c r="P313" s="19">
        <f t="shared" si="36"/>
        <v>301375.26697351062</v>
      </c>
      <c r="Q313" s="14">
        <f t="shared" si="37"/>
        <v>0</v>
      </c>
      <c r="R313" s="19">
        <f t="shared" si="38"/>
        <v>1195900.1361019912</v>
      </c>
      <c r="S313" s="19">
        <f t="shared" si="39"/>
        <v>292845.65505554038</v>
      </c>
      <c r="T313" s="14">
        <f t="shared" si="40"/>
        <v>0</v>
      </c>
      <c r="U313" s="18" t="str" cm="1">
        <f t="array" aca="1" ref="U313" ca="1">IF(M313&lt;=$N$1,L313,IF(M313&lt;=($N$1+1),INDIRECT("L"&amp;5+$X$2),""))</f>
        <v/>
      </c>
    </row>
    <row r="314" spans="12:21" hidden="1" x14ac:dyDescent="0.25">
      <c r="L314" s="18">
        <f t="shared" ca="1" si="41"/>
        <v>55619</v>
      </c>
      <c r="M314" s="14">
        <v>309</v>
      </c>
      <c r="N314" s="14">
        <f t="shared" si="34"/>
        <v>0</v>
      </c>
      <c r="O314" s="19">
        <f t="shared" si="35"/>
        <v>1277630.9638333982</v>
      </c>
      <c r="P314" s="19">
        <f t="shared" si="36"/>
        <v>302820.8298953941</v>
      </c>
      <c r="Q314" s="14">
        <f t="shared" si="37"/>
        <v>0</v>
      </c>
      <c r="R314" s="19">
        <f t="shared" si="38"/>
        <v>1207247.784863903</v>
      </c>
      <c r="S314" s="19">
        <f t="shared" si="39"/>
        <v>294250.30522817775</v>
      </c>
      <c r="T314" s="14">
        <f t="shared" si="40"/>
        <v>0</v>
      </c>
      <c r="U314" s="18" t="str" cm="1">
        <f t="array" aca="1" ref="U314" ca="1">IF(M314&lt;=$N$1,L314,IF(M314&lt;=($N$1+1),INDIRECT("L"&amp;5+$X$2),""))</f>
        <v/>
      </c>
    </row>
    <row r="315" spans="12:21" hidden="1" x14ac:dyDescent="0.25">
      <c r="L315" s="18">
        <f t="shared" ca="1" si="41"/>
        <v>55649</v>
      </c>
      <c r="M315" s="14">
        <v>310</v>
      </c>
      <c r="N315" s="14">
        <f t="shared" si="34"/>
        <v>0</v>
      </c>
      <c r="O315" s="19">
        <f t="shared" si="35"/>
        <v>1289754.1394960249</v>
      </c>
      <c r="P315" s="19">
        <f t="shared" si="36"/>
        <v>304273.3265387541</v>
      </c>
      <c r="Q315" s="14">
        <f t="shared" si="37"/>
        <v>0</v>
      </c>
      <c r="R315" s="19">
        <f t="shared" si="38"/>
        <v>1218703.1091152104</v>
      </c>
      <c r="S315" s="19">
        <f t="shared" si="39"/>
        <v>295661.69288205623</v>
      </c>
      <c r="T315" s="14">
        <f t="shared" si="40"/>
        <v>0</v>
      </c>
      <c r="U315" s="18" t="str" cm="1">
        <f t="array" aca="1" ref="U315" ca="1">IF(M315&lt;=$N$1,L315,IF(M315&lt;=($N$1+1),INDIRECT("L"&amp;5+$X$2),""))</f>
        <v/>
      </c>
    </row>
    <row r="316" spans="12:21" hidden="1" x14ac:dyDescent="0.25">
      <c r="L316" s="18">
        <f t="shared" ca="1" si="41"/>
        <v>55680</v>
      </c>
      <c r="M316" s="14">
        <v>311</v>
      </c>
      <c r="N316" s="14">
        <f t="shared" si="34"/>
        <v>0</v>
      </c>
      <c r="O316" s="19">
        <f t="shared" si="35"/>
        <v>1301992.3494622244</v>
      </c>
      <c r="P316" s="19">
        <f t="shared" si="36"/>
        <v>305732.79016156436</v>
      </c>
      <c r="Q316" s="14">
        <f t="shared" si="37"/>
        <v>0</v>
      </c>
      <c r="R316" s="19">
        <f t="shared" si="38"/>
        <v>1230267.1305663374</v>
      </c>
      <c r="S316" s="19">
        <f t="shared" si="39"/>
        <v>297079.85033387254</v>
      </c>
      <c r="T316" s="14">
        <f t="shared" si="40"/>
        <v>0</v>
      </c>
      <c r="U316" s="18" t="str" cm="1">
        <f t="array" aca="1" ref="U316" ca="1">IF(M316&lt;=$N$1,L316,IF(M316&lt;=($N$1+1),INDIRECT("L"&amp;5+$X$2),""))</f>
        <v/>
      </c>
    </row>
    <row r="317" spans="12:21" hidden="1" x14ac:dyDescent="0.25">
      <c r="L317" s="18">
        <f t="shared" ca="1" si="41"/>
        <v>55710</v>
      </c>
      <c r="M317" s="14">
        <v>312</v>
      </c>
      <c r="N317" s="14">
        <f t="shared" si="34"/>
        <v>0</v>
      </c>
      <c r="O317" s="19">
        <f t="shared" si="35"/>
        <v>1314346.6852686829</v>
      </c>
      <c r="P317" s="19">
        <f t="shared" si="36"/>
        <v>307199.254181322</v>
      </c>
      <c r="Q317" s="14">
        <f t="shared" si="37"/>
        <v>0</v>
      </c>
      <c r="R317" s="19">
        <f t="shared" si="38"/>
        <v>1241940.8806225052</v>
      </c>
      <c r="S317" s="19">
        <f t="shared" si="39"/>
        <v>298504.81005533203</v>
      </c>
      <c r="T317" s="14">
        <f t="shared" si="40"/>
        <v>0</v>
      </c>
      <c r="U317" s="18" t="str" cm="1">
        <f t="array" aca="1" ref="U317" ca="1">IF(M317&lt;=$N$1,L317,IF(M317&lt;=($N$1+1),INDIRECT("L"&amp;5+$X$2),""))</f>
        <v/>
      </c>
    </row>
    <row r="318" spans="12:21" hidden="1" x14ac:dyDescent="0.25">
      <c r="L318" s="18">
        <f t="shared" ca="1" si="41"/>
        <v>55741</v>
      </c>
      <c r="M318" s="14">
        <v>313</v>
      </c>
      <c r="N318" s="14">
        <f t="shared" si="34"/>
        <v>0</v>
      </c>
      <c r="O318" s="19">
        <f t="shared" si="35"/>
        <v>1326818.2488094529</v>
      </c>
      <c r="P318" s="19">
        <f t="shared" si="36"/>
        <v>308672.75217581354</v>
      </c>
      <c r="Q318" s="14">
        <f t="shared" si="37"/>
        <v>0</v>
      </c>
      <c r="R318" s="19">
        <f t="shared" si="38"/>
        <v>1253725.400475726</v>
      </c>
      <c r="S318" s="19">
        <f t="shared" si="39"/>
        <v>299936.60467389238</v>
      </c>
      <c r="T318" s="14">
        <f t="shared" si="40"/>
        <v>0</v>
      </c>
      <c r="U318" s="18" t="str" cm="1">
        <f t="array" aca="1" ref="U318" ca="1">IF(M318&lt;=$N$1,L318,IF(M318&lt;=($N$1+1),INDIRECT("L"&amp;5+$X$2),""))</f>
        <v/>
      </c>
    </row>
    <row r="319" spans="12:21" hidden="1" x14ac:dyDescent="0.25">
      <c r="L319" s="18">
        <f t="shared" ca="1" si="41"/>
        <v>55772</v>
      </c>
      <c r="M319" s="14">
        <v>314</v>
      </c>
      <c r="N319" s="14">
        <f t="shared" si="34"/>
        <v>0</v>
      </c>
      <c r="O319" s="19">
        <f t="shared" si="35"/>
        <v>1339408.1524342322</v>
      </c>
      <c r="P319" s="19">
        <f t="shared" si="36"/>
        <v>310153.31788388244</v>
      </c>
      <c r="Q319" s="14">
        <f t="shared" si="37"/>
        <v>0</v>
      </c>
      <c r="R319" s="19">
        <f t="shared" si="38"/>
        <v>1265621.7411976671</v>
      </c>
      <c r="S319" s="19">
        <f t="shared" si="39"/>
        <v>301375.26697351062</v>
      </c>
      <c r="T319" s="14">
        <f t="shared" si="40"/>
        <v>0</v>
      </c>
      <c r="U319" s="18" t="str" cm="1">
        <f t="array" aca="1" ref="U319" ca="1">IF(M319&lt;=$N$1,L319,IF(M319&lt;=($N$1+1),INDIRECT("L"&amp;5+$X$2),""))</f>
        <v/>
      </c>
    </row>
    <row r="320" spans="12:21" hidden="1" x14ac:dyDescent="0.25">
      <c r="L320" s="18">
        <f t="shared" ca="1" si="41"/>
        <v>55802</v>
      </c>
      <c r="M320" s="14">
        <v>315</v>
      </c>
      <c r="N320" s="14">
        <f t="shared" si="34"/>
        <v>0</v>
      </c>
      <c r="O320" s="19">
        <f t="shared" si="35"/>
        <v>1352117.519047573</v>
      </c>
      <c r="P320" s="19">
        <f t="shared" si="36"/>
        <v>311640.98520620278</v>
      </c>
      <c r="Q320" s="14">
        <f t="shared" si="37"/>
        <v>0</v>
      </c>
      <c r="R320" s="19">
        <f t="shared" si="38"/>
        <v>1277630.9638333982</v>
      </c>
      <c r="S320" s="19">
        <f t="shared" si="39"/>
        <v>302820.8298953941</v>
      </c>
      <c r="T320" s="14">
        <f t="shared" si="40"/>
        <v>0</v>
      </c>
      <c r="U320" s="18" t="str" cm="1">
        <f t="array" aca="1" ref="U320" ca="1">IF(M320&lt;=$N$1,L320,IF(M320&lt;=($N$1+1),INDIRECT("L"&amp;5+$X$2),""))</f>
        <v/>
      </c>
    </row>
    <row r="321" spans="12:21" hidden="1" x14ac:dyDescent="0.25">
      <c r="L321" s="18">
        <f t="shared" ca="1" si="41"/>
        <v>55833</v>
      </c>
      <c r="M321" s="14">
        <v>316</v>
      </c>
      <c r="N321" s="14">
        <f t="shared" si="34"/>
        <v>0</v>
      </c>
      <c r="O321" s="19">
        <f t="shared" si="35"/>
        <v>1364947.4822090375</v>
      </c>
      <c r="P321" s="19">
        <f t="shared" si="36"/>
        <v>313135.78820605518</v>
      </c>
      <c r="Q321" s="14">
        <f t="shared" si="37"/>
        <v>0</v>
      </c>
      <c r="R321" s="19">
        <f t="shared" si="38"/>
        <v>1289754.1394960249</v>
      </c>
      <c r="S321" s="19">
        <f t="shared" si="39"/>
        <v>304273.3265387541</v>
      </c>
      <c r="T321" s="14">
        <f t="shared" si="40"/>
        <v>0</v>
      </c>
      <c r="U321" s="18" t="str" cm="1">
        <f t="array" aca="1" ref="U321" ca="1">IF(M321&lt;=$N$1,L321,IF(M321&lt;=($N$1+1),INDIRECT("L"&amp;5+$X$2),""))</f>
        <v/>
      </c>
    </row>
    <row r="322" spans="12:21" hidden="1" x14ac:dyDescent="0.25">
      <c r="L322" s="18">
        <f t="shared" ca="1" si="41"/>
        <v>55863</v>
      </c>
      <c r="M322" s="14">
        <v>317</v>
      </c>
      <c r="N322" s="14">
        <f t="shared" si="34"/>
        <v>0</v>
      </c>
      <c r="O322" s="19">
        <f t="shared" si="35"/>
        <v>1377899.1862342996</v>
      </c>
      <c r="P322" s="19">
        <f t="shared" si="36"/>
        <v>314637.76111010648</v>
      </c>
      <c r="Q322" s="14">
        <f t="shared" si="37"/>
        <v>0</v>
      </c>
      <c r="R322" s="19">
        <f t="shared" si="38"/>
        <v>1301992.3494622244</v>
      </c>
      <c r="S322" s="19">
        <f t="shared" si="39"/>
        <v>305732.79016156436</v>
      </c>
      <c r="T322" s="14">
        <f t="shared" si="40"/>
        <v>0</v>
      </c>
      <c r="U322" s="18" t="str" cm="1">
        <f t="array" aca="1" ref="U322" ca="1">IF(M322&lt;=$N$1,L322,IF(M322&lt;=($N$1+1),INDIRECT("L"&amp;5+$X$2),""))</f>
        <v/>
      </c>
    </row>
    <row r="323" spans="12:21" hidden="1" x14ac:dyDescent="0.25">
      <c r="L323" s="18">
        <f t="shared" ca="1" si="41"/>
        <v>55894</v>
      </c>
      <c r="M323" s="14">
        <v>318</v>
      </c>
      <c r="N323" s="14">
        <f t="shared" si="34"/>
        <v>0</v>
      </c>
      <c r="O323" s="19">
        <f t="shared" si="35"/>
        <v>1390973.7862972075</v>
      </c>
      <c r="P323" s="19">
        <f t="shared" si="36"/>
        <v>316146.93830919353</v>
      </c>
      <c r="Q323" s="14">
        <f t="shared" si="37"/>
        <v>0</v>
      </c>
      <c r="R323" s="19">
        <f t="shared" si="38"/>
        <v>1314346.6852686829</v>
      </c>
      <c r="S323" s="19">
        <f t="shared" si="39"/>
        <v>307199.254181322</v>
      </c>
      <c r="T323" s="14">
        <f t="shared" si="40"/>
        <v>0</v>
      </c>
      <c r="U323" s="18" t="str" cm="1">
        <f t="array" aca="1" ref="U323" ca="1">IF(M323&lt;=$N$1,L323,IF(M323&lt;=($N$1+1),INDIRECT("L"&amp;5+$X$2),""))</f>
        <v/>
      </c>
    </row>
    <row r="324" spans="12:21" hidden="1" x14ac:dyDescent="0.25">
      <c r="L324" s="18">
        <f t="shared" ca="1" si="41"/>
        <v>55925</v>
      </c>
      <c r="M324" s="14">
        <v>319</v>
      </c>
      <c r="N324" s="14">
        <f t="shared" si="34"/>
        <v>0</v>
      </c>
      <c r="O324" s="19">
        <f t="shared" si="35"/>
        <v>1404172.4485328146</v>
      </c>
      <c r="P324" s="19">
        <f t="shared" si="36"/>
        <v>317663.35435911093</v>
      </c>
      <c r="Q324" s="14">
        <f t="shared" si="37"/>
        <v>0</v>
      </c>
      <c r="R324" s="19">
        <f t="shared" si="38"/>
        <v>1326818.2488094529</v>
      </c>
      <c r="S324" s="19">
        <f t="shared" si="39"/>
        <v>308672.75217581354</v>
      </c>
      <c r="T324" s="14">
        <f t="shared" si="40"/>
        <v>0</v>
      </c>
      <c r="U324" s="18" t="str" cm="1">
        <f t="array" aca="1" ref="U324" ca="1">IF(M324&lt;=$N$1,L324,IF(M324&lt;=($N$1+1),INDIRECT("L"&amp;5+$X$2),""))</f>
        <v/>
      </c>
    </row>
    <row r="325" spans="12:21" hidden="1" x14ac:dyDescent="0.25">
      <c r="L325" s="18">
        <f t="shared" ca="1" si="41"/>
        <v>55953</v>
      </c>
      <c r="M325" s="14">
        <v>320</v>
      </c>
      <c r="N325" s="14">
        <f t="shared" si="34"/>
        <v>0</v>
      </c>
      <c r="O325" s="19">
        <f t="shared" si="35"/>
        <v>1417496.3501413891</v>
      </c>
      <c r="P325" s="19">
        <f t="shared" si="36"/>
        <v>319187.04398140172</v>
      </c>
      <c r="Q325" s="14">
        <f t="shared" si="37"/>
        <v>0</v>
      </c>
      <c r="R325" s="19">
        <f t="shared" si="38"/>
        <v>1339408.1524342322</v>
      </c>
      <c r="S325" s="19">
        <f t="shared" si="39"/>
        <v>310153.31788388244</v>
      </c>
      <c r="T325" s="14">
        <f t="shared" si="40"/>
        <v>0</v>
      </c>
      <c r="U325" s="18" t="str" cm="1">
        <f t="array" aca="1" ref="U325" ca="1">IF(M325&lt;=$N$1,L325,IF(M325&lt;=($N$1+1),INDIRECT("L"&amp;5+$X$2),""))</f>
        <v/>
      </c>
    </row>
    <row r="326" spans="12:21" hidden="1" x14ac:dyDescent="0.25">
      <c r="L326" s="18">
        <f t="shared" ca="1" si="41"/>
        <v>55984</v>
      </c>
      <c r="M326" s="14">
        <v>321</v>
      </c>
      <c r="N326" s="14">
        <f t="shared" ref="N326:N389" si="42">IF($N$1&gt;=M326,SIPMonthlyPmt*M326,0)</f>
        <v>0</v>
      </c>
      <c r="O326" s="19">
        <f t="shared" ref="O326:O389" si="43">IF($X$2&gt;=M326,IF(M326&lt;=$N$1,FV(SRate,M326,-SIPMonthlyPmt,0,1),FV(SRate,M326-$N$1,0,-$X$1,1)),0)</f>
        <v>1430946.679493408</v>
      </c>
      <c r="P326" s="19">
        <f t="shared" ref="P326:P389" si="44">O326/((1+SIPInflationRate)^(M326/12))</f>
        <v>320718.04206415301</v>
      </c>
      <c r="Q326" s="14">
        <f t="shared" ref="Q326:Q389" si="45">IF((M326-$C$15)&gt;0, IF($N$1+$C$15&gt;=M326,SIPMonthlyPmt*(M326-$C$15),0),0)</f>
        <v>0</v>
      </c>
      <c r="R326" s="19">
        <f t="shared" ref="R326:R389" si="46">IF(M326&lt;=$C$15,0,IF($X$2&gt;=M326,IF(M326&lt;=($N$1+$C$15),FV(SRate,M326-$C$15,-SIPMonthlyPmt,0,1),FV(SRate,M326-$N$1-$C$15,0,-$X$1,1)),0))</f>
        <v>1352117.519047573</v>
      </c>
      <c r="S326" s="19">
        <f t="shared" ref="S326:S389" si="47">R326/((1+SIPInflationRate)^((M326-$C$15)/12))</f>
        <v>311640.98520620278</v>
      </c>
      <c r="T326" s="14">
        <f t="shared" ref="T326:T389" si="48">IF(M326&lt;=$N$1,-SIPMonthlyPmt,IF(M326&lt;=($N$1+1),$X$4,0))</f>
        <v>0</v>
      </c>
      <c r="U326" s="18" t="str" cm="1">
        <f t="array" aca="1" ref="U326" ca="1">IF(M326&lt;=$N$1,L326,IF(M326&lt;=($N$1+1),INDIRECT("L"&amp;5+$X$2),""))</f>
        <v/>
      </c>
    </row>
    <row r="327" spans="12:21" hidden="1" x14ac:dyDescent="0.25">
      <c r="L327" s="18">
        <f t="shared" ca="1" si="41"/>
        <v>56014</v>
      </c>
      <c r="M327" s="14">
        <v>322</v>
      </c>
      <c r="N327" s="14">
        <f t="shared" si="42"/>
        <v>0</v>
      </c>
      <c r="O327" s="19">
        <f t="shared" si="43"/>
        <v>1444524.6362355503</v>
      </c>
      <c r="P327" s="19">
        <f t="shared" si="44"/>
        <v>322256.38366279443</v>
      </c>
      <c r="Q327" s="14">
        <f t="shared" si="45"/>
        <v>0</v>
      </c>
      <c r="R327" s="19">
        <f t="shared" si="46"/>
        <v>1364947.4822090375</v>
      </c>
      <c r="S327" s="19">
        <f t="shared" si="47"/>
        <v>313135.78820605518</v>
      </c>
      <c r="T327" s="14">
        <f t="shared" si="48"/>
        <v>0</v>
      </c>
      <c r="U327" s="18" t="str" cm="1">
        <f t="array" aca="1" ref="U327" ca="1">IF(M327&lt;=$N$1,L327,IF(M327&lt;=($N$1+1),INDIRECT("L"&amp;5+$X$2),""))</f>
        <v/>
      </c>
    </row>
    <row r="328" spans="12:21" hidden="1" x14ac:dyDescent="0.25">
      <c r="L328" s="18">
        <f t="shared" ca="1" si="41"/>
        <v>56045</v>
      </c>
      <c r="M328" s="14">
        <v>323</v>
      </c>
      <c r="N328" s="14">
        <f t="shared" si="42"/>
        <v>0</v>
      </c>
      <c r="O328" s="19">
        <f t="shared" si="43"/>
        <v>1458231.4313976935</v>
      </c>
      <c r="P328" s="19">
        <f t="shared" si="44"/>
        <v>323802.10400090076</v>
      </c>
      <c r="Q328" s="14">
        <f t="shared" si="45"/>
        <v>0</v>
      </c>
      <c r="R328" s="19">
        <f t="shared" si="46"/>
        <v>1377899.1862342996</v>
      </c>
      <c r="S328" s="19">
        <f t="shared" si="47"/>
        <v>314637.76111010648</v>
      </c>
      <c r="T328" s="14">
        <f t="shared" si="48"/>
        <v>0</v>
      </c>
      <c r="U328" s="18" t="str" cm="1">
        <f t="array" aca="1" ref="U328" ca="1">IF(M328&lt;=$N$1,L328,IF(M328&lt;=($N$1+1),INDIRECT("L"&amp;5+$X$2),""))</f>
        <v/>
      </c>
    </row>
    <row r="329" spans="12:21" hidden="1" x14ac:dyDescent="0.25">
      <c r="L329" s="18">
        <f t="shared" ref="L329:L392" ca="1" si="49">EDATE(L328,1)</f>
        <v>56075</v>
      </c>
      <c r="M329" s="14">
        <v>324</v>
      </c>
      <c r="N329" s="14">
        <f t="shared" si="42"/>
        <v>0</v>
      </c>
      <c r="O329" s="19">
        <f t="shared" si="43"/>
        <v>1472068.2875009265</v>
      </c>
      <c r="P329" s="19">
        <f t="shared" si="44"/>
        <v>325355.23847099853</v>
      </c>
      <c r="Q329" s="14">
        <f t="shared" si="45"/>
        <v>0</v>
      </c>
      <c r="R329" s="19">
        <f t="shared" si="46"/>
        <v>1390973.7862972075</v>
      </c>
      <c r="S329" s="19">
        <f t="shared" si="47"/>
        <v>316146.93830919353</v>
      </c>
      <c r="T329" s="14">
        <f t="shared" si="48"/>
        <v>0</v>
      </c>
      <c r="U329" s="18" t="str" cm="1">
        <f t="array" aca="1" ref="U329" ca="1">IF(M329&lt;=$N$1,L329,IF(M329&lt;=($N$1+1),INDIRECT("L"&amp;5+$X$2),""))</f>
        <v/>
      </c>
    </row>
    <row r="330" spans="12:21" hidden="1" x14ac:dyDescent="0.25">
      <c r="L330" s="18">
        <f t="shared" ca="1" si="49"/>
        <v>56106</v>
      </c>
      <c r="M330" s="14">
        <v>325</v>
      </c>
      <c r="N330" s="14">
        <f t="shared" si="42"/>
        <v>0</v>
      </c>
      <c r="O330" s="19">
        <f t="shared" si="43"/>
        <v>1486036.4386665891</v>
      </c>
      <c r="P330" s="19">
        <f t="shared" si="44"/>
        <v>326915.82263537741</v>
      </c>
      <c r="Q330" s="14">
        <f t="shared" si="45"/>
        <v>0</v>
      </c>
      <c r="R330" s="19">
        <f t="shared" si="46"/>
        <v>1404172.4485328146</v>
      </c>
      <c r="S330" s="19">
        <f t="shared" si="47"/>
        <v>317663.35435911093</v>
      </c>
      <c r="T330" s="14">
        <f t="shared" si="48"/>
        <v>0</v>
      </c>
      <c r="U330" s="18" t="str" cm="1">
        <f t="array" aca="1" ref="U330" ca="1">IF(M330&lt;=$N$1,L330,IF(M330&lt;=($N$1+1),INDIRECT("L"&amp;5+$X$2),""))</f>
        <v/>
      </c>
    </row>
    <row r="331" spans="12:21" hidden="1" x14ac:dyDescent="0.25">
      <c r="L331" s="18">
        <f t="shared" ca="1" si="49"/>
        <v>56137</v>
      </c>
      <c r="M331" s="14">
        <v>326</v>
      </c>
      <c r="N331" s="14">
        <f t="shared" si="42"/>
        <v>0</v>
      </c>
      <c r="O331" s="19">
        <f t="shared" si="43"/>
        <v>1500137.1307263419</v>
      </c>
      <c r="P331" s="19">
        <f t="shared" si="44"/>
        <v>328483.89222690184</v>
      </c>
      <c r="Q331" s="14">
        <f t="shared" si="45"/>
        <v>0</v>
      </c>
      <c r="R331" s="19">
        <f t="shared" si="46"/>
        <v>1417496.3501413891</v>
      </c>
      <c r="S331" s="19">
        <f t="shared" si="47"/>
        <v>319187.04398140172</v>
      </c>
      <c r="T331" s="14">
        <f t="shared" si="48"/>
        <v>0</v>
      </c>
      <c r="U331" s="18" t="str" cm="1">
        <f t="array" aca="1" ref="U331" ca="1">IF(M331&lt;=$N$1,L331,IF(M331&lt;=($N$1+1),INDIRECT("L"&amp;5+$X$2),""))</f>
        <v/>
      </c>
    </row>
    <row r="332" spans="12:21" hidden="1" x14ac:dyDescent="0.25">
      <c r="L332" s="18">
        <f t="shared" ca="1" si="49"/>
        <v>56167</v>
      </c>
      <c r="M332" s="14">
        <v>327</v>
      </c>
      <c r="N332" s="14">
        <f t="shared" si="42"/>
        <v>0</v>
      </c>
      <c r="O332" s="19">
        <f t="shared" si="43"/>
        <v>1514371.6213332838</v>
      </c>
      <c r="P332" s="19">
        <f t="shared" si="44"/>
        <v>330059.48314983223</v>
      </c>
      <c r="Q332" s="14">
        <f t="shared" si="45"/>
        <v>0</v>
      </c>
      <c r="R332" s="19">
        <f t="shared" si="46"/>
        <v>1430946.679493408</v>
      </c>
      <c r="S332" s="19">
        <f t="shared" si="47"/>
        <v>320718.04206415301</v>
      </c>
      <c r="T332" s="14">
        <f t="shared" si="48"/>
        <v>0</v>
      </c>
      <c r="U332" s="18" t="str" cm="1">
        <f t="array" aca="1" ref="U332" ca="1">IF(M332&lt;=$N$1,L332,IF(M332&lt;=($N$1+1),INDIRECT("L"&amp;5+$X$2),""))</f>
        <v/>
      </c>
    </row>
    <row r="333" spans="12:21" hidden="1" x14ac:dyDescent="0.25">
      <c r="L333" s="18">
        <f t="shared" ca="1" si="49"/>
        <v>56198</v>
      </c>
      <c r="M333" s="14">
        <v>328</v>
      </c>
      <c r="N333" s="14">
        <f t="shared" si="42"/>
        <v>0</v>
      </c>
      <c r="O333" s="19">
        <f t="shared" si="43"/>
        <v>1528741.1800741239</v>
      </c>
      <c r="P333" s="19">
        <f t="shared" si="44"/>
        <v>331642.6314806451</v>
      </c>
      <c r="Q333" s="14">
        <f t="shared" si="45"/>
        <v>0</v>
      </c>
      <c r="R333" s="19">
        <f t="shared" si="46"/>
        <v>1444524.6362355503</v>
      </c>
      <c r="S333" s="19">
        <f t="shared" si="47"/>
        <v>322256.38366279443</v>
      </c>
      <c r="T333" s="14">
        <f t="shared" si="48"/>
        <v>0</v>
      </c>
      <c r="U333" s="18" t="str" cm="1">
        <f t="array" aca="1" ref="U333" ca="1">IF(M333&lt;=$N$1,L333,IF(M333&lt;=($N$1+1),INDIRECT("L"&amp;5+$X$2),""))</f>
        <v/>
      </c>
    </row>
    <row r="334" spans="12:21" hidden="1" x14ac:dyDescent="0.25">
      <c r="L334" s="18">
        <f t="shared" ca="1" si="49"/>
        <v>56228</v>
      </c>
      <c r="M334" s="14">
        <v>329</v>
      </c>
      <c r="N334" s="14">
        <f t="shared" si="42"/>
        <v>0</v>
      </c>
      <c r="O334" s="19">
        <f t="shared" si="43"/>
        <v>1543247.0885824175</v>
      </c>
      <c r="P334" s="19">
        <f t="shared" si="44"/>
        <v>333233.37346886023</v>
      </c>
      <c r="Q334" s="14">
        <f t="shared" si="45"/>
        <v>0</v>
      </c>
      <c r="R334" s="19">
        <f t="shared" si="46"/>
        <v>1458231.4313976935</v>
      </c>
      <c r="S334" s="19">
        <f t="shared" si="47"/>
        <v>323802.10400090076</v>
      </c>
      <c r="T334" s="14">
        <f t="shared" si="48"/>
        <v>0</v>
      </c>
      <c r="U334" s="18" t="str" cm="1">
        <f t="array" aca="1" ref="U334" ca="1">IF(M334&lt;=$N$1,L334,IF(M334&lt;=($N$1+1),INDIRECT("L"&amp;5+$X$2),""))</f>
        <v/>
      </c>
    </row>
    <row r="335" spans="12:21" hidden="1" x14ac:dyDescent="0.25">
      <c r="L335" s="18">
        <f t="shared" ca="1" si="49"/>
        <v>56259</v>
      </c>
      <c r="M335" s="14">
        <v>330</v>
      </c>
      <c r="N335" s="14">
        <f t="shared" si="42"/>
        <v>0</v>
      </c>
      <c r="O335" s="19">
        <f t="shared" si="43"/>
        <v>1557890.6406528745</v>
      </c>
      <c r="P335" s="19">
        <f t="shared" si="44"/>
        <v>334831.74553786975</v>
      </c>
      <c r="Q335" s="14">
        <f t="shared" si="45"/>
        <v>0</v>
      </c>
      <c r="R335" s="19">
        <f t="shared" si="46"/>
        <v>1472068.2875009265</v>
      </c>
      <c r="S335" s="19">
        <f t="shared" si="47"/>
        <v>325355.23847099853</v>
      </c>
      <c r="T335" s="14">
        <f t="shared" si="48"/>
        <v>0</v>
      </c>
      <c r="U335" s="18" t="str" cm="1">
        <f t="array" aca="1" ref="U335" ca="1">IF(M335&lt;=$N$1,L335,IF(M335&lt;=($N$1+1),INDIRECT("L"&amp;5+$X$2),""))</f>
        <v/>
      </c>
    </row>
    <row r="336" spans="12:21" hidden="1" x14ac:dyDescent="0.25">
      <c r="L336" s="18">
        <f t="shared" ca="1" si="49"/>
        <v>56290</v>
      </c>
      <c r="M336" s="14">
        <v>331</v>
      </c>
      <c r="N336" s="14">
        <f t="shared" si="42"/>
        <v>0</v>
      </c>
      <c r="O336" s="19">
        <f t="shared" si="43"/>
        <v>1572673.1423567547</v>
      </c>
      <c r="P336" s="19">
        <f t="shared" si="44"/>
        <v>336437.78428577282</v>
      </c>
      <c r="Q336" s="14">
        <f t="shared" si="45"/>
        <v>0</v>
      </c>
      <c r="R336" s="19">
        <f t="shared" si="46"/>
        <v>1486036.4386665891</v>
      </c>
      <c r="S336" s="19">
        <f t="shared" si="47"/>
        <v>326915.82263537741</v>
      </c>
      <c r="T336" s="14">
        <f t="shared" si="48"/>
        <v>0</v>
      </c>
      <c r="U336" s="18" t="str" cm="1">
        <f t="array" aca="1" ref="U336" ca="1">IF(M336&lt;=$N$1,L336,IF(M336&lt;=($N$1+1),INDIRECT("L"&amp;5+$X$2),""))</f>
        <v/>
      </c>
    </row>
    <row r="337" spans="12:21" hidden="1" x14ac:dyDescent="0.25">
      <c r="L337" s="18">
        <f t="shared" ca="1" si="49"/>
        <v>56318</v>
      </c>
      <c r="M337" s="14">
        <v>332</v>
      </c>
      <c r="N337" s="14">
        <f t="shared" si="42"/>
        <v>0</v>
      </c>
      <c r="O337" s="19">
        <f t="shared" si="43"/>
        <v>1587595.9121583577</v>
      </c>
      <c r="P337" s="19">
        <f t="shared" si="44"/>
        <v>338051.52648621297</v>
      </c>
      <c r="Q337" s="14">
        <f t="shared" si="45"/>
        <v>0</v>
      </c>
      <c r="R337" s="19">
        <f t="shared" si="46"/>
        <v>1500137.1307263419</v>
      </c>
      <c r="S337" s="19">
        <f t="shared" si="47"/>
        <v>328483.89222690184</v>
      </c>
      <c r="T337" s="14">
        <f t="shared" si="48"/>
        <v>0</v>
      </c>
      <c r="U337" s="18" t="str" cm="1">
        <f t="array" aca="1" ref="U337" ca="1">IF(M337&lt;=$N$1,L337,IF(M337&lt;=($N$1+1),INDIRECT("L"&amp;5+$X$2),""))</f>
        <v/>
      </c>
    </row>
    <row r="338" spans="12:21" hidden="1" x14ac:dyDescent="0.25">
      <c r="L338" s="18">
        <f t="shared" ca="1" si="49"/>
        <v>56349</v>
      </c>
      <c r="M338" s="14">
        <v>333</v>
      </c>
      <c r="N338" s="14">
        <f t="shared" si="42"/>
        <v>0</v>
      </c>
      <c r="O338" s="19">
        <f t="shared" si="43"/>
        <v>1602660.2810326188</v>
      </c>
      <c r="P338" s="19">
        <f t="shared" si="44"/>
        <v>339673.00908922154</v>
      </c>
      <c r="Q338" s="14">
        <f t="shared" si="45"/>
        <v>0</v>
      </c>
      <c r="R338" s="19">
        <f t="shared" si="46"/>
        <v>1514371.6213332838</v>
      </c>
      <c r="S338" s="19">
        <f t="shared" si="47"/>
        <v>330059.48314983223</v>
      </c>
      <c r="T338" s="14">
        <f t="shared" si="48"/>
        <v>0</v>
      </c>
      <c r="U338" s="18" t="str" cm="1">
        <f t="array" aca="1" ref="U338" ca="1">IF(M338&lt;=$N$1,L338,IF(M338&lt;=($N$1+1),INDIRECT("L"&amp;5+$X$2),""))</f>
        <v/>
      </c>
    </row>
    <row r="339" spans="12:21" hidden="1" x14ac:dyDescent="0.25">
      <c r="L339" s="18">
        <f t="shared" ca="1" si="49"/>
        <v>56379</v>
      </c>
      <c r="M339" s="14">
        <v>334</v>
      </c>
      <c r="N339" s="14">
        <f t="shared" si="42"/>
        <v>0</v>
      </c>
      <c r="O339" s="19">
        <f t="shared" si="43"/>
        <v>1617867.5925838181</v>
      </c>
      <c r="P339" s="19">
        <f t="shared" si="44"/>
        <v>341302.26922206162</v>
      </c>
      <c r="Q339" s="14">
        <f t="shared" si="45"/>
        <v>0</v>
      </c>
      <c r="R339" s="19">
        <f t="shared" si="46"/>
        <v>1528741.1800741239</v>
      </c>
      <c r="S339" s="19">
        <f t="shared" si="47"/>
        <v>331642.6314806451</v>
      </c>
      <c r="T339" s="14">
        <f t="shared" si="48"/>
        <v>0</v>
      </c>
      <c r="U339" s="18" t="str" cm="1">
        <f t="array" aca="1" ref="U339" ca="1">IF(M339&lt;=$N$1,L339,IF(M339&lt;=($N$1+1),INDIRECT("L"&amp;5+$X$2),""))</f>
        <v/>
      </c>
    </row>
    <row r="340" spans="12:21" hidden="1" x14ac:dyDescent="0.25">
      <c r="L340" s="18">
        <f t="shared" ca="1" si="49"/>
        <v>56410</v>
      </c>
      <c r="M340" s="14">
        <v>335</v>
      </c>
      <c r="N340" s="14">
        <f t="shared" si="42"/>
        <v>0</v>
      </c>
      <c r="O340" s="19">
        <f t="shared" si="43"/>
        <v>1633219.2031654185</v>
      </c>
      <c r="P340" s="19">
        <f t="shared" si="44"/>
        <v>342939.3441900796</v>
      </c>
      <c r="Q340" s="14">
        <f t="shared" si="45"/>
        <v>0</v>
      </c>
      <c r="R340" s="19">
        <f t="shared" si="46"/>
        <v>1543247.0885824175</v>
      </c>
      <c r="S340" s="19">
        <f t="shared" si="47"/>
        <v>333233.37346886023</v>
      </c>
      <c r="T340" s="14">
        <f t="shared" si="48"/>
        <v>0</v>
      </c>
      <c r="U340" s="18" t="str" cm="1">
        <f t="array" aca="1" ref="U340" ca="1">IF(M340&lt;=$N$1,L340,IF(M340&lt;=($N$1+1),INDIRECT("L"&amp;5+$X$2),""))</f>
        <v/>
      </c>
    </row>
    <row r="341" spans="12:21" hidden="1" x14ac:dyDescent="0.25">
      <c r="L341" s="18">
        <f t="shared" ca="1" si="49"/>
        <v>56440</v>
      </c>
      <c r="M341" s="14">
        <v>336</v>
      </c>
      <c r="N341" s="14">
        <f t="shared" si="42"/>
        <v>0</v>
      </c>
      <c r="O341" s="19">
        <f t="shared" si="43"/>
        <v>1648716.4820010399</v>
      </c>
      <c r="P341" s="19">
        <f t="shared" si="44"/>
        <v>344584.27147755912</v>
      </c>
      <c r="Q341" s="14">
        <f t="shared" si="45"/>
        <v>0</v>
      </c>
      <c r="R341" s="19">
        <f t="shared" si="46"/>
        <v>1557890.6406528745</v>
      </c>
      <c r="S341" s="19">
        <f t="shared" si="47"/>
        <v>334831.74553786975</v>
      </c>
      <c r="T341" s="14">
        <f t="shared" si="48"/>
        <v>0</v>
      </c>
      <c r="U341" s="18" t="str" cm="1">
        <f t="array" aca="1" ref="U341" ca="1">IF(M341&lt;=$N$1,L341,IF(M341&lt;=($N$1+1),INDIRECT("L"&amp;5+$X$2),""))</f>
        <v/>
      </c>
    </row>
    <row r="342" spans="12:21" hidden="1" x14ac:dyDescent="0.25">
      <c r="L342" s="18">
        <f t="shared" ca="1" si="49"/>
        <v>56471</v>
      </c>
      <c r="M342" s="14">
        <v>337</v>
      </c>
      <c r="N342" s="14">
        <f t="shared" si="42"/>
        <v>0</v>
      </c>
      <c r="O342" s="19">
        <f t="shared" si="43"/>
        <v>1664360.8113065821</v>
      </c>
      <c r="P342" s="19">
        <f t="shared" si="44"/>
        <v>346237.08874857984</v>
      </c>
      <c r="Q342" s="14">
        <f t="shared" si="45"/>
        <v>0</v>
      </c>
      <c r="R342" s="19">
        <f t="shared" si="46"/>
        <v>1572673.1423567547</v>
      </c>
      <c r="S342" s="19">
        <f t="shared" si="47"/>
        <v>336437.78428577282</v>
      </c>
      <c r="T342" s="14">
        <f t="shared" si="48"/>
        <v>0</v>
      </c>
      <c r="U342" s="18" t="str" cm="1">
        <f t="array" aca="1" ref="U342" ca="1">IF(M342&lt;=$N$1,L342,IF(M342&lt;=($N$1+1),INDIRECT("L"&amp;5+$X$2),""))</f>
        <v/>
      </c>
    </row>
    <row r="343" spans="12:21" hidden="1" x14ac:dyDescent="0.25">
      <c r="L343" s="18">
        <f t="shared" ca="1" si="49"/>
        <v>56502</v>
      </c>
      <c r="M343" s="14">
        <v>338</v>
      </c>
      <c r="N343" s="14">
        <f t="shared" si="42"/>
        <v>0</v>
      </c>
      <c r="O343" s="19">
        <f t="shared" si="43"/>
        <v>1680153.5864135048</v>
      </c>
      <c r="P343" s="19">
        <f t="shared" si="44"/>
        <v>347897.83384787751</v>
      </c>
      <c r="Q343" s="14">
        <f t="shared" si="45"/>
        <v>0</v>
      </c>
      <c r="R343" s="19">
        <f t="shared" si="46"/>
        <v>1587595.9121583577</v>
      </c>
      <c r="S343" s="19">
        <f t="shared" si="47"/>
        <v>338051.52648621297</v>
      </c>
      <c r="T343" s="14">
        <f t="shared" si="48"/>
        <v>0</v>
      </c>
      <c r="U343" s="18" t="str" cm="1">
        <f t="array" aca="1" ref="U343" ca="1">IF(M343&lt;=$N$1,L343,IF(M343&lt;=($N$1+1),INDIRECT("L"&amp;5+$X$2),""))</f>
        <v/>
      </c>
    </row>
    <row r="344" spans="12:21" hidden="1" x14ac:dyDescent="0.25">
      <c r="L344" s="18">
        <f t="shared" ca="1" si="49"/>
        <v>56532</v>
      </c>
      <c r="M344" s="14">
        <v>339</v>
      </c>
      <c r="N344" s="14">
        <f t="shared" si="42"/>
        <v>0</v>
      </c>
      <c r="O344" s="19">
        <f t="shared" si="43"/>
        <v>1696096.2158932798</v>
      </c>
      <c r="P344" s="19">
        <f t="shared" si="44"/>
        <v>349566.54480171396</v>
      </c>
      <c r="Q344" s="14">
        <f t="shared" si="45"/>
        <v>0</v>
      </c>
      <c r="R344" s="19">
        <f t="shared" si="46"/>
        <v>1602660.2810326188</v>
      </c>
      <c r="S344" s="19">
        <f t="shared" si="47"/>
        <v>339673.00908922154</v>
      </c>
      <c r="T344" s="14">
        <f t="shared" si="48"/>
        <v>0</v>
      </c>
      <c r="U344" s="18" t="str" cm="1">
        <f t="array" aca="1" ref="U344" ca="1">IF(M344&lt;=$N$1,L344,IF(M344&lt;=($N$1+1),INDIRECT("L"&amp;5+$X$2),""))</f>
        <v/>
      </c>
    </row>
    <row r="345" spans="12:21" hidden="1" x14ac:dyDescent="0.25">
      <c r="L345" s="18">
        <f t="shared" ca="1" si="49"/>
        <v>56563</v>
      </c>
      <c r="M345" s="14">
        <v>340</v>
      </c>
      <c r="N345" s="14">
        <f t="shared" si="42"/>
        <v>0</v>
      </c>
      <c r="O345" s="19">
        <f t="shared" si="43"/>
        <v>1712190.1216830208</v>
      </c>
      <c r="P345" s="19">
        <f t="shared" si="44"/>
        <v>351243.25981874514</v>
      </c>
      <c r="Q345" s="14">
        <f t="shared" si="45"/>
        <v>0</v>
      </c>
      <c r="R345" s="19">
        <f t="shared" si="46"/>
        <v>1617867.5925838181</v>
      </c>
      <c r="S345" s="19">
        <f t="shared" si="47"/>
        <v>341302.26922206162</v>
      </c>
      <c r="T345" s="14">
        <f t="shared" si="48"/>
        <v>0</v>
      </c>
      <c r="U345" s="18" t="str" cm="1">
        <f t="array" aca="1" ref="U345" ca="1">IF(M345&lt;=$N$1,L345,IF(M345&lt;=($N$1+1),INDIRECT("L"&amp;5+$X$2),""))</f>
        <v/>
      </c>
    </row>
    <row r="346" spans="12:21" hidden="1" x14ac:dyDescent="0.25">
      <c r="L346" s="18">
        <f t="shared" ca="1" si="49"/>
        <v>56593</v>
      </c>
      <c r="M346" s="14">
        <v>341</v>
      </c>
      <c r="N346" s="14">
        <f t="shared" si="42"/>
        <v>0</v>
      </c>
      <c r="O346" s="19">
        <f t="shared" si="43"/>
        <v>1728436.7392123095</v>
      </c>
      <c r="P346" s="19">
        <f t="shared" si="44"/>
        <v>352928.01729089726</v>
      </c>
      <c r="Q346" s="14">
        <f t="shared" si="45"/>
        <v>0</v>
      </c>
      <c r="R346" s="19">
        <f t="shared" si="46"/>
        <v>1633219.2031654185</v>
      </c>
      <c r="S346" s="19">
        <f t="shared" si="47"/>
        <v>342939.3441900796</v>
      </c>
      <c r="T346" s="14">
        <f t="shared" si="48"/>
        <v>0</v>
      </c>
      <c r="U346" s="18" t="str" cm="1">
        <f t="array" aca="1" ref="U346" ca="1">IF(M346&lt;=$N$1,L346,IF(M346&lt;=($N$1+1),INDIRECT("L"&amp;5+$X$2),""))</f>
        <v/>
      </c>
    </row>
    <row r="347" spans="12:21" hidden="1" x14ac:dyDescent="0.25">
      <c r="L347" s="18">
        <f t="shared" ca="1" si="49"/>
        <v>56624</v>
      </c>
      <c r="M347" s="14">
        <v>342</v>
      </c>
      <c r="N347" s="14">
        <f t="shared" si="42"/>
        <v>0</v>
      </c>
      <c r="O347" s="19">
        <f t="shared" si="43"/>
        <v>1744837.5175312215</v>
      </c>
      <c r="P347" s="19">
        <f t="shared" si="44"/>
        <v>354620.85579424538</v>
      </c>
      <c r="Q347" s="14">
        <f t="shared" si="45"/>
        <v>0</v>
      </c>
      <c r="R347" s="19">
        <f t="shared" si="46"/>
        <v>1648716.4820010399</v>
      </c>
      <c r="S347" s="19">
        <f t="shared" si="47"/>
        <v>344584.27147755912</v>
      </c>
      <c r="T347" s="14">
        <f t="shared" si="48"/>
        <v>0</v>
      </c>
      <c r="U347" s="18" t="str" cm="1">
        <f t="array" aca="1" ref="U347" ca="1">IF(M347&lt;=$N$1,L347,IF(M347&lt;=($N$1+1),INDIRECT("L"&amp;5+$X$2),""))</f>
        <v/>
      </c>
    </row>
    <row r="348" spans="12:21" hidden="1" x14ac:dyDescent="0.25">
      <c r="L348" s="18">
        <f t="shared" ca="1" si="49"/>
        <v>56655</v>
      </c>
      <c r="M348" s="14">
        <v>343</v>
      </c>
      <c r="N348" s="14">
        <f t="shared" si="42"/>
        <v>0</v>
      </c>
      <c r="O348" s="19">
        <f t="shared" si="43"/>
        <v>1761393.9194395673</v>
      </c>
      <c r="P348" s="19">
        <f t="shared" si="44"/>
        <v>356321.8140898968</v>
      </c>
      <c r="Q348" s="14">
        <f t="shared" si="45"/>
        <v>0</v>
      </c>
      <c r="R348" s="19">
        <f t="shared" si="46"/>
        <v>1664360.8113065821</v>
      </c>
      <c r="S348" s="19">
        <f t="shared" si="47"/>
        <v>346237.08874857984</v>
      </c>
      <c r="T348" s="14">
        <f t="shared" si="48"/>
        <v>0</v>
      </c>
      <c r="U348" s="18" t="str" cm="1">
        <f t="array" aca="1" ref="U348" ca="1">IF(M348&lt;=$N$1,L348,IF(M348&lt;=($N$1+1),INDIRECT("L"&amp;5+$X$2),""))</f>
        <v/>
      </c>
    </row>
    <row r="349" spans="12:21" hidden="1" x14ac:dyDescent="0.25">
      <c r="L349" s="18">
        <f t="shared" ca="1" si="49"/>
        <v>56683</v>
      </c>
      <c r="M349" s="14">
        <v>344</v>
      </c>
      <c r="N349" s="14">
        <f t="shared" si="42"/>
        <v>0</v>
      </c>
      <c r="O349" s="19">
        <f t="shared" si="43"/>
        <v>1778107.4216173629</v>
      </c>
      <c r="P349" s="19">
        <f t="shared" si="44"/>
        <v>358030.93112487852</v>
      </c>
      <c r="Q349" s="14">
        <f t="shared" si="45"/>
        <v>0</v>
      </c>
      <c r="R349" s="19">
        <f t="shared" si="46"/>
        <v>1680153.5864135048</v>
      </c>
      <c r="S349" s="19">
        <f t="shared" si="47"/>
        <v>347897.83384787751</v>
      </c>
      <c r="T349" s="14">
        <f t="shared" si="48"/>
        <v>0</v>
      </c>
      <c r="U349" s="18" t="str" cm="1">
        <f t="array" aca="1" ref="U349" ca="1">IF(M349&lt;=$N$1,L349,IF(M349&lt;=($N$1+1),INDIRECT("L"&amp;5+$X$2),""))</f>
        <v/>
      </c>
    </row>
    <row r="350" spans="12:21" hidden="1" x14ac:dyDescent="0.25">
      <c r="L350" s="18">
        <f t="shared" ca="1" si="49"/>
        <v>56714</v>
      </c>
      <c r="M350" s="14">
        <v>345</v>
      </c>
      <c r="N350" s="14">
        <f t="shared" si="42"/>
        <v>0</v>
      </c>
      <c r="O350" s="19">
        <f t="shared" si="43"/>
        <v>1794979.5147565352</v>
      </c>
      <c r="P350" s="19">
        <f t="shared" si="44"/>
        <v>359748.2460330294</v>
      </c>
      <c r="Q350" s="14">
        <f t="shared" si="45"/>
        <v>0</v>
      </c>
      <c r="R350" s="19">
        <f t="shared" si="46"/>
        <v>1696096.2158932798</v>
      </c>
      <c r="S350" s="19">
        <f t="shared" si="47"/>
        <v>349566.54480171396</v>
      </c>
      <c r="T350" s="14">
        <f t="shared" si="48"/>
        <v>0</v>
      </c>
      <c r="U350" s="18" t="str" cm="1">
        <f t="array" aca="1" ref="U350" ca="1">IF(M350&lt;=$N$1,L350,IF(M350&lt;=($N$1+1),INDIRECT("L"&amp;5+$X$2),""))</f>
        <v/>
      </c>
    </row>
    <row r="351" spans="12:21" hidden="1" x14ac:dyDescent="0.25">
      <c r="L351" s="18">
        <f t="shared" ca="1" si="49"/>
        <v>56744</v>
      </c>
      <c r="M351" s="14">
        <v>346</v>
      </c>
      <c r="N351" s="14">
        <f t="shared" si="42"/>
        <v>0</v>
      </c>
      <c r="O351" s="19">
        <f t="shared" si="43"/>
        <v>1812011.7036938788</v>
      </c>
      <c r="P351" s="19">
        <f t="shared" si="44"/>
        <v>361473.79813589546</v>
      </c>
      <c r="Q351" s="14">
        <f t="shared" si="45"/>
        <v>0</v>
      </c>
      <c r="R351" s="19">
        <f t="shared" si="46"/>
        <v>1712190.1216830208</v>
      </c>
      <c r="S351" s="19">
        <f t="shared" si="47"/>
        <v>351243.25981874514</v>
      </c>
      <c r="T351" s="14">
        <f t="shared" si="48"/>
        <v>0</v>
      </c>
      <c r="U351" s="18" t="str" cm="1">
        <f t="array" aca="1" ref="U351" ca="1">IF(M351&lt;=$N$1,L351,IF(M351&lt;=($N$1+1),INDIRECT("L"&amp;5+$X$2),""))</f>
        <v/>
      </c>
    </row>
    <row r="352" spans="12:21" hidden="1" x14ac:dyDescent="0.25">
      <c r="L352" s="18">
        <f t="shared" ca="1" si="49"/>
        <v>56775</v>
      </c>
      <c r="M352" s="14">
        <v>347</v>
      </c>
      <c r="N352" s="14">
        <f t="shared" si="42"/>
        <v>0</v>
      </c>
      <c r="O352" s="19">
        <f t="shared" si="43"/>
        <v>1829205.5075452712</v>
      </c>
      <c r="P352" s="19">
        <f t="shared" si="44"/>
        <v>363207.62694363092</v>
      </c>
      <c r="Q352" s="14">
        <f t="shared" si="45"/>
        <v>0</v>
      </c>
      <c r="R352" s="19">
        <f t="shared" si="46"/>
        <v>1728436.7392123095</v>
      </c>
      <c r="S352" s="19">
        <f t="shared" si="47"/>
        <v>352928.01729089726</v>
      </c>
      <c r="T352" s="14">
        <f t="shared" si="48"/>
        <v>0</v>
      </c>
      <c r="U352" s="18" t="str" cm="1">
        <f t="array" aca="1" ref="U352" ca="1">IF(M352&lt;=$N$1,L352,IF(M352&lt;=($N$1+1),INDIRECT("L"&amp;5+$X$2),""))</f>
        <v/>
      </c>
    </row>
    <row r="353" spans="12:21" hidden="1" x14ac:dyDescent="0.25">
      <c r="L353" s="18">
        <f t="shared" ca="1" si="49"/>
        <v>56805</v>
      </c>
      <c r="M353" s="14">
        <v>348</v>
      </c>
      <c r="N353" s="14">
        <f t="shared" si="42"/>
        <v>0</v>
      </c>
      <c r="O353" s="19">
        <f t="shared" si="43"/>
        <v>1846562.4598411673</v>
      </c>
      <c r="P353" s="19">
        <f t="shared" si="44"/>
        <v>364949.77215590241</v>
      </c>
      <c r="Q353" s="14">
        <f t="shared" si="45"/>
        <v>0</v>
      </c>
      <c r="R353" s="19">
        <f t="shared" si="46"/>
        <v>1744837.5175312215</v>
      </c>
      <c r="S353" s="19">
        <f t="shared" si="47"/>
        <v>354620.85579424538</v>
      </c>
      <c r="T353" s="14">
        <f t="shared" si="48"/>
        <v>0</v>
      </c>
      <c r="U353" s="18" t="str" cm="1">
        <f t="array" aca="1" ref="U353" ca="1">IF(M353&lt;=$N$1,L353,IF(M353&lt;=($N$1+1),INDIRECT("L"&amp;5+$X$2),""))</f>
        <v/>
      </c>
    </row>
    <row r="354" spans="12:21" hidden="1" x14ac:dyDescent="0.25">
      <c r="L354" s="18">
        <f t="shared" ca="1" si="49"/>
        <v>56836</v>
      </c>
      <c r="M354" s="14">
        <v>349</v>
      </c>
      <c r="N354" s="14">
        <f t="shared" si="42"/>
        <v>0</v>
      </c>
      <c r="O354" s="19">
        <f t="shared" si="43"/>
        <v>1864084.1086633741</v>
      </c>
      <c r="P354" s="19">
        <f t="shared" si="44"/>
        <v>366700.27366279881</v>
      </c>
      <c r="Q354" s="14">
        <f t="shared" si="45"/>
        <v>0</v>
      </c>
      <c r="R354" s="19">
        <f t="shared" si="46"/>
        <v>1761393.9194395673</v>
      </c>
      <c r="S354" s="19">
        <f t="shared" si="47"/>
        <v>356321.8140898968</v>
      </c>
      <c r="T354" s="14">
        <f t="shared" si="48"/>
        <v>0</v>
      </c>
      <c r="U354" s="18" t="str" cm="1">
        <f t="array" aca="1" ref="U354" ca="1">IF(M354&lt;=$N$1,L354,IF(M354&lt;=($N$1+1),INDIRECT("L"&amp;5+$X$2),""))</f>
        <v/>
      </c>
    </row>
    <row r="355" spans="12:21" hidden="1" x14ac:dyDescent="0.25">
      <c r="L355" s="18">
        <f t="shared" ca="1" si="49"/>
        <v>56867</v>
      </c>
      <c r="M355" s="14">
        <v>350</v>
      </c>
      <c r="N355" s="14">
        <f t="shared" si="42"/>
        <v>0</v>
      </c>
      <c r="O355" s="19">
        <f t="shared" si="43"/>
        <v>1881772.016783128</v>
      </c>
      <c r="P355" s="19">
        <f t="shared" si="44"/>
        <v>368459.17154574307</v>
      </c>
      <c r="Q355" s="14">
        <f t="shared" si="45"/>
        <v>0</v>
      </c>
      <c r="R355" s="19">
        <f t="shared" si="46"/>
        <v>1778107.4216173629</v>
      </c>
      <c r="S355" s="19">
        <f t="shared" si="47"/>
        <v>358030.93112487852</v>
      </c>
      <c r="T355" s="14">
        <f t="shared" si="48"/>
        <v>0</v>
      </c>
      <c r="U355" s="18" t="str" cm="1">
        <f t="array" aca="1" ref="U355" ca="1">IF(M355&lt;=$N$1,L355,IF(M355&lt;=($N$1+1),INDIRECT("L"&amp;5+$X$2),""))</f>
        <v/>
      </c>
    </row>
    <row r="356" spans="12:21" hidden="1" x14ac:dyDescent="0.25">
      <c r="L356" s="18">
        <f t="shared" ca="1" si="49"/>
        <v>56897</v>
      </c>
      <c r="M356" s="14">
        <v>351</v>
      </c>
      <c r="N356" s="14">
        <f t="shared" si="42"/>
        <v>0</v>
      </c>
      <c r="O356" s="19">
        <f t="shared" si="43"/>
        <v>1899627.7618004761</v>
      </c>
      <c r="P356" s="19">
        <f t="shared" si="44"/>
        <v>370226.50607841148</v>
      </c>
      <c r="Q356" s="14">
        <f t="shared" si="45"/>
        <v>0</v>
      </c>
      <c r="R356" s="19">
        <f t="shared" si="46"/>
        <v>1794979.5147565352</v>
      </c>
      <c r="S356" s="19">
        <f t="shared" si="47"/>
        <v>359748.2460330294</v>
      </c>
      <c r="T356" s="14">
        <f t="shared" si="48"/>
        <v>0</v>
      </c>
      <c r="U356" s="18" t="str" cm="1">
        <f t="array" aca="1" ref="U356" ca="1">IF(M356&lt;=$N$1,L356,IF(M356&lt;=($N$1+1),INDIRECT("L"&amp;5+$X$2),""))</f>
        <v/>
      </c>
    </row>
    <row r="357" spans="12:21" hidden="1" x14ac:dyDescent="0.25">
      <c r="L357" s="18">
        <f t="shared" ca="1" si="49"/>
        <v>56928</v>
      </c>
      <c r="M357" s="14">
        <v>352</v>
      </c>
      <c r="N357" s="14">
        <f t="shared" si="42"/>
        <v>0</v>
      </c>
      <c r="O357" s="19">
        <f t="shared" si="43"/>
        <v>1917652.9362849863</v>
      </c>
      <c r="P357" s="19">
        <f t="shared" si="44"/>
        <v>372002.31772765494</v>
      </c>
      <c r="Q357" s="14">
        <f t="shared" si="45"/>
        <v>0</v>
      </c>
      <c r="R357" s="19">
        <f t="shared" si="46"/>
        <v>1812011.7036938788</v>
      </c>
      <c r="S357" s="19">
        <f t="shared" si="47"/>
        <v>361473.79813589546</v>
      </c>
      <c r="T357" s="14">
        <f t="shared" si="48"/>
        <v>0</v>
      </c>
      <c r="U357" s="18" t="str" cm="1">
        <f t="array" aca="1" ref="U357" ca="1">IF(M357&lt;=$N$1,L357,IF(M357&lt;=($N$1+1),INDIRECT("L"&amp;5+$X$2),""))</f>
        <v/>
      </c>
    </row>
    <row r="358" spans="12:21" hidden="1" x14ac:dyDescent="0.25">
      <c r="L358" s="18">
        <f t="shared" ca="1" si="49"/>
        <v>56958</v>
      </c>
      <c r="M358" s="14">
        <v>353</v>
      </c>
      <c r="N358" s="14">
        <f t="shared" si="42"/>
        <v>0</v>
      </c>
      <c r="O358" s="19">
        <f t="shared" si="43"/>
        <v>1935849.1479177894</v>
      </c>
      <c r="P358" s="19">
        <f t="shared" si="44"/>
        <v>373786.64715442591</v>
      </c>
      <c r="Q358" s="14">
        <f t="shared" si="45"/>
        <v>0</v>
      </c>
      <c r="R358" s="19">
        <f t="shared" si="46"/>
        <v>1829205.5075452712</v>
      </c>
      <c r="S358" s="19">
        <f t="shared" si="47"/>
        <v>363207.62694363092</v>
      </c>
      <c r="T358" s="14">
        <f t="shared" si="48"/>
        <v>0</v>
      </c>
      <c r="U358" s="18" t="str" cm="1">
        <f t="array" aca="1" ref="U358" ca="1">IF(M358&lt;=$N$1,L358,IF(M358&lt;=($N$1+1),INDIRECT("L"&amp;5+$X$2),""))</f>
        <v/>
      </c>
    </row>
    <row r="359" spans="12:21" hidden="1" x14ac:dyDescent="0.25">
      <c r="L359" s="18">
        <f t="shared" ca="1" si="49"/>
        <v>56989</v>
      </c>
      <c r="M359" s="14">
        <v>354</v>
      </c>
      <c r="N359" s="14">
        <f t="shared" si="42"/>
        <v>0</v>
      </c>
      <c r="O359" s="19">
        <f t="shared" si="43"/>
        <v>1954218.0196349707</v>
      </c>
      <c r="P359" s="19">
        <f t="shared" si="44"/>
        <v>375579.53521470953</v>
      </c>
      <c r="Q359" s="14">
        <f t="shared" si="45"/>
        <v>0</v>
      </c>
      <c r="R359" s="19">
        <f t="shared" si="46"/>
        <v>1846562.4598411673</v>
      </c>
      <c r="S359" s="19">
        <f t="shared" si="47"/>
        <v>364949.77215590241</v>
      </c>
      <c r="T359" s="14">
        <f t="shared" si="48"/>
        <v>0</v>
      </c>
      <c r="U359" s="18" t="str" cm="1">
        <f t="array" aca="1" ref="U359" ca="1">IF(M359&lt;=$N$1,L359,IF(M359&lt;=($N$1+1),INDIRECT("L"&amp;5+$X$2),""))</f>
        <v/>
      </c>
    </row>
    <row r="360" spans="12:21" hidden="1" x14ac:dyDescent="0.25">
      <c r="L360" s="18">
        <f t="shared" ca="1" si="49"/>
        <v>57020</v>
      </c>
      <c r="M360" s="14">
        <v>355</v>
      </c>
      <c r="N360" s="14">
        <f t="shared" si="42"/>
        <v>0</v>
      </c>
      <c r="O360" s="19">
        <f t="shared" si="43"/>
        <v>1972761.1897723184</v>
      </c>
      <c r="P360" s="19">
        <f t="shared" si="44"/>
        <v>377381.02296045865</v>
      </c>
      <c r="Q360" s="14">
        <f t="shared" si="45"/>
        <v>0</v>
      </c>
      <c r="R360" s="19">
        <f t="shared" si="46"/>
        <v>1864084.1086633741</v>
      </c>
      <c r="S360" s="19">
        <f t="shared" si="47"/>
        <v>366700.27366279881</v>
      </c>
      <c r="T360" s="14">
        <f t="shared" si="48"/>
        <v>0</v>
      </c>
      <c r="U360" s="18" t="str" cm="1">
        <f t="array" aca="1" ref="U360" ca="1">IF(M360&lt;=$N$1,L360,IF(M360&lt;=($N$1+1),INDIRECT("L"&amp;5+$X$2),""))</f>
        <v/>
      </c>
    </row>
    <row r="361" spans="12:21" hidden="1" x14ac:dyDescent="0.25">
      <c r="L361" s="18">
        <f t="shared" ca="1" si="49"/>
        <v>57049</v>
      </c>
      <c r="M361" s="14">
        <v>356</v>
      </c>
      <c r="N361" s="14">
        <f t="shared" si="42"/>
        <v>0</v>
      </c>
      <c r="O361" s="19">
        <f t="shared" si="43"/>
        <v>1991480.3122114493</v>
      </c>
      <c r="P361" s="19">
        <f t="shared" si="44"/>
        <v>379191.15164053376</v>
      </c>
      <c r="Q361" s="14">
        <f t="shared" si="45"/>
        <v>0</v>
      </c>
      <c r="R361" s="19">
        <f t="shared" si="46"/>
        <v>1881772.016783128</v>
      </c>
      <c r="S361" s="19">
        <f t="shared" si="47"/>
        <v>368459.17154574307</v>
      </c>
      <c r="T361" s="14">
        <f t="shared" si="48"/>
        <v>0</v>
      </c>
      <c r="U361" s="18" t="str" cm="1">
        <f t="array" aca="1" ref="U361" ca="1">IF(M361&lt;=$N$1,L361,IF(M361&lt;=($N$1+1),INDIRECT("L"&amp;5+$X$2),""))</f>
        <v/>
      </c>
    </row>
    <row r="362" spans="12:21" hidden="1" x14ac:dyDescent="0.25">
      <c r="L362" s="18">
        <f t="shared" ca="1" si="49"/>
        <v>57080</v>
      </c>
      <c r="M362" s="14">
        <v>357</v>
      </c>
      <c r="N362" s="14">
        <f t="shared" si="42"/>
        <v>0</v>
      </c>
      <c r="O362" s="19">
        <f t="shared" si="43"/>
        <v>2010377.0565273224</v>
      </c>
      <c r="P362" s="19">
        <f t="shared" si="44"/>
        <v>381009.96270164859</v>
      </c>
      <c r="Q362" s="14">
        <f t="shared" si="45"/>
        <v>0</v>
      </c>
      <c r="R362" s="19">
        <f t="shared" si="46"/>
        <v>1899627.7618004761</v>
      </c>
      <c r="S362" s="19">
        <f t="shared" si="47"/>
        <v>370226.50607841148</v>
      </c>
      <c r="T362" s="14">
        <f t="shared" si="48"/>
        <v>0</v>
      </c>
      <c r="U362" s="18" t="str" cm="1">
        <f t="array" aca="1" ref="U362" ca="1">IF(M362&lt;=$N$1,L362,IF(M362&lt;=($N$1+1),INDIRECT("L"&amp;5+$X$2),""))</f>
        <v/>
      </c>
    </row>
    <row r="363" spans="12:21" hidden="1" x14ac:dyDescent="0.25">
      <c r="L363" s="18">
        <f t="shared" ca="1" si="49"/>
        <v>57110</v>
      </c>
      <c r="M363" s="14">
        <v>358</v>
      </c>
      <c r="N363" s="14">
        <f t="shared" si="42"/>
        <v>0</v>
      </c>
      <c r="O363" s="19">
        <f t="shared" si="43"/>
        <v>2029453.108137147</v>
      </c>
      <c r="P363" s="19">
        <f t="shared" si="44"/>
        <v>382837.49778931774</v>
      </c>
      <c r="Q363" s="14">
        <f t="shared" si="45"/>
        <v>0</v>
      </c>
      <c r="R363" s="19">
        <f t="shared" si="46"/>
        <v>1917652.9362849863</v>
      </c>
      <c r="S363" s="19">
        <f t="shared" si="47"/>
        <v>372002.31772765494</v>
      </c>
      <c r="T363" s="14">
        <f t="shared" si="48"/>
        <v>0</v>
      </c>
      <c r="U363" s="18" t="str" cm="1">
        <f t="array" aca="1" ref="U363" ca="1">IF(M363&lt;=$N$1,L363,IF(M363&lt;=($N$1+1),INDIRECT("L"&amp;5+$X$2),""))</f>
        <v/>
      </c>
    </row>
    <row r="364" spans="12:21" hidden="1" x14ac:dyDescent="0.25">
      <c r="L364" s="18">
        <f t="shared" ca="1" si="49"/>
        <v>57141</v>
      </c>
      <c r="M364" s="14">
        <v>359</v>
      </c>
      <c r="N364" s="14">
        <f t="shared" si="42"/>
        <v>0</v>
      </c>
      <c r="O364" s="19">
        <f t="shared" si="43"/>
        <v>2048710.1684507064</v>
      </c>
      <c r="P364" s="19">
        <f t="shared" si="44"/>
        <v>384673.79874881054</v>
      </c>
      <c r="Q364" s="14">
        <f t="shared" si="45"/>
        <v>0</v>
      </c>
      <c r="R364" s="19">
        <f t="shared" si="46"/>
        <v>1935849.1479177894</v>
      </c>
      <c r="S364" s="19">
        <f t="shared" si="47"/>
        <v>373786.64715442591</v>
      </c>
      <c r="T364" s="14">
        <f t="shared" si="48"/>
        <v>0</v>
      </c>
      <c r="U364" s="18" t="str" cm="1">
        <f t="array" aca="1" ref="U364" ca="1">IF(M364&lt;=$N$1,L364,IF(M364&lt;=($N$1+1),INDIRECT("L"&amp;5+$X$2),""))</f>
        <v/>
      </c>
    </row>
    <row r="365" spans="12:21" hidden="1" x14ac:dyDescent="0.25">
      <c r="L365" s="18">
        <f t="shared" ca="1" si="49"/>
        <v>57171</v>
      </c>
      <c r="M365" s="14">
        <v>360</v>
      </c>
      <c r="N365" s="14">
        <f t="shared" si="42"/>
        <v>0</v>
      </c>
      <c r="O365" s="19">
        <f t="shared" si="43"/>
        <v>2068149.9550221097</v>
      </c>
      <c r="P365" s="19">
        <f t="shared" si="44"/>
        <v>386518.90762610978</v>
      </c>
      <c r="Q365" s="14">
        <f t="shared" si="45"/>
        <v>0</v>
      </c>
      <c r="R365" s="19">
        <f t="shared" si="46"/>
        <v>1954218.0196349707</v>
      </c>
      <c r="S365" s="19">
        <f t="shared" si="47"/>
        <v>375579.53521470953</v>
      </c>
      <c r="T365" s="14">
        <f t="shared" si="48"/>
        <v>0</v>
      </c>
      <c r="U365" s="18" t="str" cm="1">
        <f t="array" aca="1" ref="U365" ca="1">IF(M365&lt;=$N$1,L365,IF(M365&lt;=($N$1+1),INDIRECT("L"&amp;5+$X$2),""))</f>
        <v/>
      </c>
    </row>
    <row r="366" spans="12:21" hidden="1" x14ac:dyDescent="0.25">
      <c r="L366" s="18">
        <f t="shared" ca="1" si="49"/>
        <v>57202</v>
      </c>
      <c r="M366" s="14">
        <v>361</v>
      </c>
      <c r="N366" s="14">
        <f t="shared" si="42"/>
        <v>0</v>
      </c>
      <c r="O366" s="19">
        <f t="shared" si="43"/>
        <v>2087774.201702982</v>
      </c>
      <c r="P366" s="19">
        <f t="shared" si="44"/>
        <v>388372.86666887492</v>
      </c>
      <c r="Q366" s="14">
        <f t="shared" si="45"/>
        <v>0</v>
      </c>
      <c r="R366" s="19">
        <f t="shared" si="46"/>
        <v>1972761.1897723184</v>
      </c>
      <c r="S366" s="19">
        <f t="shared" si="47"/>
        <v>377381.02296045865</v>
      </c>
      <c r="T366" s="14">
        <f t="shared" si="48"/>
        <v>0</v>
      </c>
      <c r="U366" s="18" t="str" cm="1">
        <f t="array" aca="1" ref="U366" ca="1">IF(M366&lt;=$N$1,L366,IF(M366&lt;=($N$1+1),INDIRECT("L"&amp;5+$X$2),""))</f>
        <v/>
      </c>
    </row>
    <row r="367" spans="12:21" hidden="1" x14ac:dyDescent="0.25">
      <c r="L367" s="18">
        <f t="shared" ca="1" si="49"/>
        <v>57233</v>
      </c>
      <c r="M367" s="14">
        <v>362</v>
      </c>
      <c r="N367" s="14">
        <f t="shared" si="42"/>
        <v>0</v>
      </c>
      <c r="O367" s="19">
        <f t="shared" si="43"/>
        <v>2107584.6587971062</v>
      </c>
      <c r="P367" s="19">
        <f t="shared" si="44"/>
        <v>390235.71832740691</v>
      </c>
      <c r="Q367" s="14">
        <f t="shared" si="45"/>
        <v>0</v>
      </c>
      <c r="R367" s="19">
        <f t="shared" si="46"/>
        <v>1991480.3122114493</v>
      </c>
      <c r="S367" s="19">
        <f t="shared" si="47"/>
        <v>379191.15164053376</v>
      </c>
      <c r="T367" s="14">
        <f t="shared" si="48"/>
        <v>0</v>
      </c>
      <c r="U367" s="18" t="str" cm="1">
        <f t="array" aca="1" ref="U367" ca="1">IF(M367&lt;=$N$1,L367,IF(M367&lt;=($N$1+1),INDIRECT("L"&amp;5+$X$2),""))</f>
        <v/>
      </c>
    </row>
    <row r="368" spans="12:21" hidden="1" x14ac:dyDescent="0.25">
      <c r="L368" s="18">
        <f t="shared" ca="1" si="49"/>
        <v>57263</v>
      </c>
      <c r="M368" s="14">
        <v>363</v>
      </c>
      <c r="N368" s="14">
        <f t="shared" si="42"/>
        <v>0</v>
      </c>
      <c r="O368" s="19">
        <f t="shared" si="43"/>
        <v>2127583.0932165361</v>
      </c>
      <c r="P368" s="19">
        <f t="shared" si="44"/>
        <v>392107.50525562308</v>
      </c>
      <c r="Q368" s="14">
        <f t="shared" si="45"/>
        <v>0</v>
      </c>
      <c r="R368" s="19">
        <f t="shared" si="46"/>
        <v>2010377.0565273224</v>
      </c>
      <c r="S368" s="19">
        <f t="shared" si="47"/>
        <v>381009.96270164859</v>
      </c>
      <c r="T368" s="14">
        <f t="shared" si="48"/>
        <v>0</v>
      </c>
      <c r="U368" s="18" t="str" cm="1">
        <f t="array" aca="1" ref="U368" ca="1">IF(M368&lt;=$N$1,L368,IF(M368&lt;=($N$1+1),INDIRECT("L"&amp;5+$X$2),""))</f>
        <v/>
      </c>
    </row>
    <row r="369" spans="12:21" hidden="1" x14ac:dyDescent="0.25">
      <c r="L369" s="18">
        <f t="shared" ca="1" si="49"/>
        <v>57294</v>
      </c>
      <c r="M369" s="14">
        <v>364</v>
      </c>
      <c r="N369" s="14">
        <f t="shared" si="42"/>
        <v>0</v>
      </c>
      <c r="O369" s="19">
        <f t="shared" si="43"/>
        <v>2147771.2886391873</v>
      </c>
      <c r="P369" s="19">
        <f t="shared" si="44"/>
        <v>393988.2703120322</v>
      </c>
      <c r="Q369" s="14">
        <f t="shared" si="45"/>
        <v>0</v>
      </c>
      <c r="R369" s="19">
        <f t="shared" si="46"/>
        <v>2029453.108137147</v>
      </c>
      <c r="S369" s="19">
        <f t="shared" si="47"/>
        <v>382837.49778931774</v>
      </c>
      <c r="T369" s="14">
        <f t="shared" si="48"/>
        <v>0</v>
      </c>
      <c r="U369" s="18" t="str" cm="1">
        <f t="array" aca="1" ref="U369" ca="1">IF(M369&lt;=$N$1,L369,IF(M369&lt;=($N$1+1),INDIRECT("L"&amp;5+$X$2),""))</f>
        <v/>
      </c>
    </row>
    <row r="370" spans="12:21" hidden="1" x14ac:dyDescent="0.25">
      <c r="L370" s="18">
        <f t="shared" ca="1" si="49"/>
        <v>57324</v>
      </c>
      <c r="M370" s="14">
        <v>365</v>
      </c>
      <c r="N370" s="14">
        <f t="shared" si="42"/>
        <v>0</v>
      </c>
      <c r="O370" s="19">
        <f t="shared" si="43"/>
        <v>2168151.0456679268</v>
      </c>
      <c r="P370" s="19">
        <f t="shared" si="44"/>
        <v>395878.05656071624</v>
      </c>
      <c r="Q370" s="14">
        <f t="shared" si="45"/>
        <v>0</v>
      </c>
      <c r="R370" s="19">
        <f t="shared" si="46"/>
        <v>2048710.1684507064</v>
      </c>
      <c r="S370" s="19">
        <f t="shared" si="47"/>
        <v>384673.79874881054</v>
      </c>
      <c r="T370" s="14">
        <f t="shared" si="48"/>
        <v>0</v>
      </c>
      <c r="U370" s="18" t="str" cm="1">
        <f t="array" aca="1" ref="U370" ca="1">IF(M370&lt;=$N$1,L370,IF(M370&lt;=($N$1+1),INDIRECT("L"&amp;5+$X$2),""))</f>
        <v/>
      </c>
    </row>
    <row r="371" spans="12:21" hidden="1" x14ac:dyDescent="0.25">
      <c r="L371" s="18">
        <f t="shared" ca="1" si="49"/>
        <v>57355</v>
      </c>
      <c r="M371" s="14">
        <v>366</v>
      </c>
      <c r="N371" s="14">
        <f t="shared" si="42"/>
        <v>0</v>
      </c>
      <c r="O371" s="19">
        <f t="shared" si="43"/>
        <v>2188724.1819911702</v>
      </c>
      <c r="P371" s="19">
        <f t="shared" si="44"/>
        <v>397776.90727231698</v>
      </c>
      <c r="Q371" s="14">
        <f t="shared" si="45"/>
        <v>0</v>
      </c>
      <c r="R371" s="19">
        <f t="shared" si="46"/>
        <v>2068149.9550221097</v>
      </c>
      <c r="S371" s="19">
        <f t="shared" si="47"/>
        <v>386518.90762610978</v>
      </c>
      <c r="T371" s="14">
        <f t="shared" si="48"/>
        <v>0</v>
      </c>
      <c r="U371" s="18" t="str" cm="1">
        <f t="array" aca="1" ref="U371" ca="1">IF(M371&lt;=$N$1,L371,IF(M371&lt;=($N$1+1),INDIRECT("L"&amp;5+$X$2),""))</f>
        <v/>
      </c>
    </row>
    <row r="372" spans="12:21" hidden="1" x14ac:dyDescent="0.25">
      <c r="L372" s="18">
        <f t="shared" ca="1" si="49"/>
        <v>57386</v>
      </c>
      <c r="M372" s="14">
        <v>367</v>
      </c>
      <c r="N372" s="14">
        <f t="shared" si="42"/>
        <v>0</v>
      </c>
      <c r="O372" s="19">
        <f t="shared" si="43"/>
        <v>2209492.5325449989</v>
      </c>
      <c r="P372" s="19">
        <f t="shared" si="44"/>
        <v>399684.86592502514</v>
      </c>
      <c r="Q372" s="14">
        <f t="shared" si="45"/>
        <v>0</v>
      </c>
      <c r="R372" s="19">
        <f t="shared" si="46"/>
        <v>2087774.201702982</v>
      </c>
      <c r="S372" s="19">
        <f t="shared" si="47"/>
        <v>388372.86666887492</v>
      </c>
      <c r="T372" s="14">
        <f t="shared" si="48"/>
        <v>0</v>
      </c>
      <c r="U372" s="18" t="str" cm="1">
        <f t="array" aca="1" ref="U372" ca="1">IF(M372&lt;=$N$1,L372,IF(M372&lt;=($N$1+1),INDIRECT("L"&amp;5+$X$2),""))</f>
        <v/>
      </c>
    </row>
    <row r="373" spans="12:21" hidden="1" x14ac:dyDescent="0.25">
      <c r="L373" s="18">
        <f t="shared" ca="1" si="49"/>
        <v>57414</v>
      </c>
      <c r="M373" s="14">
        <v>368</v>
      </c>
      <c r="N373" s="14">
        <f t="shared" si="42"/>
        <v>0</v>
      </c>
      <c r="O373" s="19">
        <f t="shared" si="43"/>
        <v>2230457.9496768257</v>
      </c>
      <c r="P373" s="19">
        <f t="shared" si="44"/>
        <v>401601.97620557755</v>
      </c>
      <c r="Q373" s="14">
        <f t="shared" si="45"/>
        <v>0</v>
      </c>
      <c r="R373" s="19">
        <f t="shared" si="46"/>
        <v>2107584.6587971062</v>
      </c>
      <c r="S373" s="19">
        <f t="shared" si="47"/>
        <v>390235.71832740691</v>
      </c>
      <c r="T373" s="14">
        <f t="shared" si="48"/>
        <v>0</v>
      </c>
      <c r="U373" s="18" t="str" cm="1">
        <f t="array" aca="1" ref="U373" ca="1">IF(M373&lt;=$N$1,L373,IF(M373&lt;=($N$1+1),INDIRECT("L"&amp;5+$X$2),""))</f>
        <v/>
      </c>
    </row>
    <row r="374" spans="12:21" hidden="1" x14ac:dyDescent="0.25">
      <c r="L374" s="18">
        <f t="shared" ca="1" si="49"/>
        <v>57445</v>
      </c>
      <c r="M374" s="14">
        <v>369</v>
      </c>
      <c r="N374" s="14">
        <f t="shared" si="42"/>
        <v>0</v>
      </c>
      <c r="O374" s="19">
        <f t="shared" si="43"/>
        <v>2251622.3033106038</v>
      </c>
      <c r="P374" s="19">
        <f t="shared" si="44"/>
        <v>403528.28201025707</v>
      </c>
      <c r="Q374" s="14">
        <f t="shared" si="45"/>
        <v>0</v>
      </c>
      <c r="R374" s="19">
        <f t="shared" si="46"/>
        <v>2127583.0932165361</v>
      </c>
      <c r="S374" s="19">
        <f t="shared" si="47"/>
        <v>392107.50525562308</v>
      </c>
      <c r="T374" s="14">
        <f t="shared" si="48"/>
        <v>0</v>
      </c>
      <c r="U374" s="18" t="str" cm="1">
        <f t="array" aca="1" ref="U374" ca="1">IF(M374&lt;=$N$1,L374,IF(M374&lt;=($N$1+1),INDIRECT("L"&amp;5+$X$2),""))</f>
        <v/>
      </c>
    </row>
    <row r="375" spans="12:21" hidden="1" x14ac:dyDescent="0.25">
      <c r="L375" s="18">
        <f t="shared" ca="1" si="49"/>
        <v>57475</v>
      </c>
      <c r="M375" s="14">
        <v>370</v>
      </c>
      <c r="N375" s="14">
        <f t="shared" si="42"/>
        <v>0</v>
      </c>
      <c r="O375" s="19">
        <f t="shared" si="43"/>
        <v>2272987.4811136071</v>
      </c>
      <c r="P375" s="19">
        <f t="shared" si="44"/>
        <v>405463.82744589722</v>
      </c>
      <c r="Q375" s="14">
        <f t="shared" si="45"/>
        <v>0</v>
      </c>
      <c r="R375" s="19">
        <f t="shared" si="46"/>
        <v>2147771.2886391873</v>
      </c>
      <c r="S375" s="19">
        <f t="shared" si="47"/>
        <v>393988.2703120322</v>
      </c>
      <c r="T375" s="14">
        <f t="shared" si="48"/>
        <v>0</v>
      </c>
      <c r="U375" s="18" t="str" cm="1">
        <f t="array" aca="1" ref="U375" ca="1">IF(M375&lt;=$N$1,L375,IF(M375&lt;=($N$1+1),INDIRECT("L"&amp;5+$X$2),""))</f>
        <v/>
      </c>
    </row>
    <row r="376" spans="12:21" hidden="1" x14ac:dyDescent="0.25">
      <c r="L376" s="18">
        <f t="shared" ca="1" si="49"/>
        <v>57506</v>
      </c>
      <c r="M376" s="14">
        <v>371</v>
      </c>
      <c r="N376" s="14">
        <f t="shared" si="42"/>
        <v>0</v>
      </c>
      <c r="O376" s="19">
        <f t="shared" si="43"/>
        <v>2294555.3886647942</v>
      </c>
      <c r="P376" s="19">
        <f t="shared" si="44"/>
        <v>407408.65683089197</v>
      </c>
      <c r="Q376" s="14">
        <f t="shared" si="45"/>
        <v>0</v>
      </c>
      <c r="R376" s="19">
        <f t="shared" si="46"/>
        <v>2168151.0456679268</v>
      </c>
      <c r="S376" s="19">
        <f t="shared" si="47"/>
        <v>395878.05656071624</v>
      </c>
      <c r="T376" s="14">
        <f t="shared" si="48"/>
        <v>0</v>
      </c>
      <c r="U376" s="18" t="str" cm="1">
        <f t="array" aca="1" ref="U376" ca="1">IF(M376&lt;=$N$1,L376,IF(M376&lt;=($N$1+1),INDIRECT("L"&amp;5+$X$2),""))</f>
        <v/>
      </c>
    </row>
    <row r="377" spans="12:21" hidden="1" x14ac:dyDescent="0.25">
      <c r="L377" s="18">
        <f t="shared" ca="1" si="49"/>
        <v>57536</v>
      </c>
      <c r="M377" s="14">
        <v>372</v>
      </c>
      <c r="N377" s="14">
        <f t="shared" si="42"/>
        <v>0</v>
      </c>
      <c r="O377" s="19">
        <f t="shared" si="43"/>
        <v>2316327.9496247657</v>
      </c>
      <c r="P377" s="19">
        <f t="shared" si="44"/>
        <v>409362.81469621131</v>
      </c>
      <c r="Q377" s="14">
        <f t="shared" si="45"/>
        <v>0</v>
      </c>
      <c r="R377" s="19">
        <f t="shared" si="46"/>
        <v>2188724.1819911702</v>
      </c>
      <c r="S377" s="19">
        <f t="shared" si="47"/>
        <v>397776.90727231698</v>
      </c>
      <c r="T377" s="14">
        <f t="shared" si="48"/>
        <v>0</v>
      </c>
      <c r="U377" s="18" t="str" cm="1">
        <f t="array" aca="1" ref="U377" ca="1">IF(M377&lt;=$N$1,L377,IF(M377&lt;=($N$1+1),INDIRECT("L"&amp;5+$X$2),""))</f>
        <v/>
      </c>
    </row>
    <row r="378" spans="12:21" hidden="1" x14ac:dyDescent="0.25">
      <c r="L378" s="18">
        <f t="shared" ca="1" si="49"/>
        <v>57567</v>
      </c>
      <c r="M378" s="14">
        <v>373</v>
      </c>
      <c r="N378" s="14">
        <f t="shared" si="42"/>
        <v>0</v>
      </c>
      <c r="O378" s="19">
        <f t="shared" si="43"/>
        <v>2338307.1059073424</v>
      </c>
      <c r="P378" s="19">
        <f t="shared" si="44"/>
        <v>411326.34578642109</v>
      </c>
      <c r="Q378" s="14">
        <f t="shared" si="45"/>
        <v>0</v>
      </c>
      <c r="R378" s="19">
        <f t="shared" si="46"/>
        <v>2209492.5325449989</v>
      </c>
      <c r="S378" s="19">
        <f t="shared" si="47"/>
        <v>399684.86592502514</v>
      </c>
      <c r="T378" s="14">
        <f t="shared" si="48"/>
        <v>0</v>
      </c>
      <c r="U378" s="18" t="str" cm="1">
        <f t="array" aca="1" ref="U378" ca="1">IF(M378&lt;=$N$1,L378,IF(M378&lt;=($N$1+1),INDIRECT("L"&amp;5+$X$2),""))</f>
        <v/>
      </c>
    </row>
    <row r="379" spans="12:21" hidden="1" x14ac:dyDescent="0.25">
      <c r="L379" s="18">
        <f t="shared" ca="1" si="49"/>
        <v>57598</v>
      </c>
      <c r="M379" s="14">
        <v>374</v>
      </c>
      <c r="N379" s="14">
        <f t="shared" si="42"/>
        <v>0</v>
      </c>
      <c r="O379" s="19">
        <f t="shared" si="43"/>
        <v>2360494.8178527616</v>
      </c>
      <c r="P379" s="19">
        <f t="shared" si="44"/>
        <v>413299.29506070563</v>
      </c>
      <c r="Q379" s="14">
        <f t="shared" si="45"/>
        <v>0</v>
      </c>
      <c r="R379" s="19">
        <f t="shared" si="46"/>
        <v>2230457.9496768257</v>
      </c>
      <c r="S379" s="19">
        <f t="shared" si="47"/>
        <v>401601.97620557755</v>
      </c>
      <c r="T379" s="14">
        <f t="shared" si="48"/>
        <v>0</v>
      </c>
      <c r="U379" s="18" t="str" cm="1">
        <f t="array" aca="1" ref="U379" ca="1">IF(M379&lt;=$N$1,L379,IF(M379&lt;=($N$1+1),INDIRECT("L"&amp;5+$X$2),""))</f>
        <v/>
      </c>
    </row>
    <row r="380" spans="12:21" hidden="1" x14ac:dyDescent="0.25">
      <c r="L380" s="18">
        <f t="shared" ca="1" si="49"/>
        <v>57628</v>
      </c>
      <c r="M380" s="14">
        <v>375</v>
      </c>
      <c r="N380" s="14">
        <f t="shared" si="42"/>
        <v>0</v>
      </c>
      <c r="O380" s="19">
        <f t="shared" si="43"/>
        <v>2382893.064402523</v>
      </c>
      <c r="P380" s="19">
        <f t="shared" si="44"/>
        <v>415281.70769389911</v>
      </c>
      <c r="Q380" s="14">
        <f t="shared" si="45"/>
        <v>0</v>
      </c>
      <c r="R380" s="19">
        <f t="shared" si="46"/>
        <v>2251622.3033106038</v>
      </c>
      <c r="S380" s="19">
        <f t="shared" si="47"/>
        <v>403528.28201025707</v>
      </c>
      <c r="T380" s="14">
        <f t="shared" si="48"/>
        <v>0</v>
      </c>
      <c r="U380" s="18" t="str" cm="1">
        <f t="array" aca="1" ref="U380" ca="1">IF(M380&lt;=$N$1,L380,IF(M380&lt;=($N$1+1),INDIRECT("L"&amp;5+$X$2),""))</f>
        <v/>
      </c>
    </row>
    <row r="381" spans="12:21" hidden="1" x14ac:dyDescent="0.25">
      <c r="L381" s="18">
        <f t="shared" ca="1" si="49"/>
        <v>57659</v>
      </c>
      <c r="M381" s="14">
        <v>376</v>
      </c>
      <c r="N381" s="14">
        <f t="shared" si="42"/>
        <v>0</v>
      </c>
      <c r="O381" s="19">
        <f t="shared" si="43"/>
        <v>2405503.8432758925</v>
      </c>
      <c r="P381" s="19">
        <f t="shared" si="44"/>
        <v>417273.62907751917</v>
      </c>
      <c r="Q381" s="14">
        <f t="shared" si="45"/>
        <v>0</v>
      </c>
      <c r="R381" s="19">
        <f t="shared" si="46"/>
        <v>2272987.4811136071</v>
      </c>
      <c r="S381" s="19">
        <f t="shared" si="47"/>
        <v>405463.82744589722</v>
      </c>
      <c r="T381" s="14">
        <f t="shared" si="48"/>
        <v>0</v>
      </c>
      <c r="U381" s="18" t="str" cm="1">
        <f t="array" aca="1" ref="U381" ca="1">IF(M381&lt;=$N$1,L381,IF(M381&lt;=($N$1+1),INDIRECT("L"&amp;5+$X$2),""))</f>
        <v/>
      </c>
    </row>
    <row r="382" spans="12:21" hidden="1" x14ac:dyDescent="0.25">
      <c r="L382" s="18">
        <f t="shared" ca="1" si="49"/>
        <v>57689</v>
      </c>
      <c r="M382" s="14">
        <v>377</v>
      </c>
      <c r="N382" s="14">
        <f t="shared" si="42"/>
        <v>0</v>
      </c>
      <c r="O382" s="19">
        <f t="shared" si="43"/>
        <v>2428329.1711480813</v>
      </c>
      <c r="P382" s="19">
        <f t="shared" si="44"/>
        <v>419275.10482080642</v>
      </c>
      <c r="Q382" s="14">
        <f t="shared" si="45"/>
        <v>0</v>
      </c>
      <c r="R382" s="19">
        <f t="shared" si="46"/>
        <v>2294555.3886647942</v>
      </c>
      <c r="S382" s="19">
        <f t="shared" si="47"/>
        <v>407408.65683089197</v>
      </c>
      <c r="T382" s="14">
        <f t="shared" si="48"/>
        <v>0</v>
      </c>
      <c r="U382" s="18" t="str" cm="1">
        <f t="array" aca="1" ref="U382" ca="1">IF(M382&lt;=$N$1,L382,IF(M382&lt;=($N$1+1),INDIRECT("L"&amp;5+$X$2),""))</f>
        <v/>
      </c>
    </row>
    <row r="383" spans="12:21" hidden="1" x14ac:dyDescent="0.25">
      <c r="L383" s="18">
        <f t="shared" ca="1" si="49"/>
        <v>57720</v>
      </c>
      <c r="M383" s="14">
        <v>378</v>
      </c>
      <c r="N383" s="14">
        <f t="shared" si="42"/>
        <v>0</v>
      </c>
      <c r="O383" s="19">
        <f t="shared" si="43"/>
        <v>2451371.0838301135</v>
      </c>
      <c r="P383" s="19">
        <f t="shared" si="44"/>
        <v>421286.18075176887</v>
      </c>
      <c r="Q383" s="14">
        <f t="shared" si="45"/>
        <v>0</v>
      </c>
      <c r="R383" s="19">
        <f t="shared" si="46"/>
        <v>2316327.9496247657</v>
      </c>
      <c r="S383" s="19">
        <f t="shared" si="47"/>
        <v>409362.81469621131</v>
      </c>
      <c r="T383" s="14">
        <f t="shared" si="48"/>
        <v>0</v>
      </c>
      <c r="U383" s="18" t="str" cm="1">
        <f t="array" aca="1" ref="U383" ca="1">IF(M383&lt;=$N$1,L383,IF(M383&lt;=($N$1+1),INDIRECT("L"&amp;5+$X$2),""))</f>
        <v/>
      </c>
    </row>
    <row r="384" spans="12:21" hidden="1" x14ac:dyDescent="0.25">
      <c r="L384" s="18">
        <f t="shared" ca="1" si="49"/>
        <v>57751</v>
      </c>
      <c r="M384" s="14">
        <v>379</v>
      </c>
      <c r="N384" s="14">
        <f t="shared" si="42"/>
        <v>0</v>
      </c>
      <c r="O384" s="19">
        <f t="shared" si="43"/>
        <v>2474631.636450402</v>
      </c>
      <c r="P384" s="19">
        <f t="shared" si="44"/>
        <v>423306.90291823045</v>
      </c>
      <c r="Q384" s="14">
        <f t="shared" si="45"/>
        <v>0</v>
      </c>
      <c r="R384" s="19">
        <f t="shared" si="46"/>
        <v>2338307.1059073424</v>
      </c>
      <c r="S384" s="19">
        <f t="shared" si="47"/>
        <v>411326.34578642109</v>
      </c>
      <c r="T384" s="14">
        <f t="shared" si="48"/>
        <v>0</v>
      </c>
      <c r="U384" s="18" t="str" cm="1">
        <f t="array" aca="1" ref="U384" ca="1">IF(M384&lt;=$N$1,L384,IF(M384&lt;=($N$1+1),INDIRECT("L"&amp;5+$X$2),""))</f>
        <v/>
      </c>
    </row>
    <row r="385" spans="12:21" hidden="1" x14ac:dyDescent="0.25">
      <c r="L385" s="18">
        <f t="shared" ca="1" si="49"/>
        <v>57779</v>
      </c>
      <c r="M385" s="14">
        <v>380</v>
      </c>
      <c r="N385" s="14">
        <f t="shared" si="42"/>
        <v>0</v>
      </c>
      <c r="O385" s="19">
        <f t="shared" si="43"/>
        <v>2498112.9036380486</v>
      </c>
      <c r="P385" s="19">
        <f t="shared" si="44"/>
        <v>425337.31758888654</v>
      </c>
      <c r="Q385" s="14">
        <f t="shared" si="45"/>
        <v>0</v>
      </c>
      <c r="R385" s="19">
        <f t="shared" si="46"/>
        <v>2360494.8178527616</v>
      </c>
      <c r="S385" s="19">
        <f t="shared" si="47"/>
        <v>413299.29506070563</v>
      </c>
      <c r="T385" s="14">
        <f t="shared" si="48"/>
        <v>0</v>
      </c>
      <c r="U385" s="18" t="str" cm="1">
        <f t="array" aca="1" ref="U385" ca="1">IF(M385&lt;=$N$1,L385,IF(M385&lt;=($N$1+1),INDIRECT("L"&amp;5+$X$2),""))</f>
        <v/>
      </c>
    </row>
    <row r="386" spans="12:21" hidden="1" x14ac:dyDescent="0.25">
      <c r="L386" s="18">
        <f t="shared" ca="1" si="49"/>
        <v>57810</v>
      </c>
      <c r="M386" s="14">
        <v>381</v>
      </c>
      <c r="N386" s="14">
        <f t="shared" si="42"/>
        <v>0</v>
      </c>
      <c r="O386" s="19">
        <f t="shared" si="43"/>
        <v>2521816.9797078795</v>
      </c>
      <c r="P386" s="19">
        <f t="shared" si="44"/>
        <v>427377.47125436261</v>
      </c>
      <c r="Q386" s="14">
        <f t="shared" si="45"/>
        <v>0</v>
      </c>
      <c r="R386" s="19">
        <f t="shared" si="46"/>
        <v>2382893.064402523</v>
      </c>
      <c r="S386" s="19">
        <f t="shared" si="47"/>
        <v>415281.70769389911</v>
      </c>
      <c r="T386" s="14">
        <f t="shared" si="48"/>
        <v>0</v>
      </c>
      <c r="U386" s="18" t="str" cm="1">
        <f t="array" aca="1" ref="U386" ca="1">IF(M386&lt;=$N$1,L386,IF(M386&lt;=($N$1+1),INDIRECT("L"&amp;5+$X$2),""))</f>
        <v/>
      </c>
    </row>
    <row r="387" spans="12:21" hidden="1" x14ac:dyDescent="0.25">
      <c r="L387" s="18">
        <f t="shared" ca="1" si="49"/>
        <v>57840</v>
      </c>
      <c r="M387" s="14">
        <v>382</v>
      </c>
      <c r="N387" s="14">
        <f t="shared" si="42"/>
        <v>0</v>
      </c>
      <c r="O387" s="19">
        <f t="shared" si="43"/>
        <v>2545745.9788472434</v>
      </c>
      <c r="P387" s="19">
        <f t="shared" si="44"/>
        <v>429427.41062827926</v>
      </c>
      <c r="Q387" s="14">
        <f t="shared" si="45"/>
        <v>0</v>
      </c>
      <c r="R387" s="19">
        <f t="shared" si="46"/>
        <v>2405503.8432758925</v>
      </c>
      <c r="S387" s="19">
        <f t="shared" si="47"/>
        <v>417273.62907751917</v>
      </c>
      <c r="T387" s="14">
        <f t="shared" si="48"/>
        <v>0</v>
      </c>
      <c r="U387" s="18" t="str" cm="1">
        <f t="array" aca="1" ref="U387" ca="1">IF(M387&lt;=$N$1,L387,IF(M387&lt;=($N$1+1),INDIRECT("L"&amp;5+$X$2),""))</f>
        <v/>
      </c>
    </row>
    <row r="388" spans="12:21" hidden="1" x14ac:dyDescent="0.25">
      <c r="L388" s="18">
        <f t="shared" ca="1" si="49"/>
        <v>57871</v>
      </c>
      <c r="M388" s="14">
        <v>383</v>
      </c>
      <c r="N388" s="14">
        <f t="shared" si="42"/>
        <v>0</v>
      </c>
      <c r="O388" s="19">
        <f t="shared" si="43"/>
        <v>2569902.0353045729</v>
      </c>
      <c r="P388" s="19">
        <f t="shared" si="44"/>
        <v>431487.18264832121</v>
      </c>
      <c r="Q388" s="14">
        <f t="shared" si="45"/>
        <v>0</v>
      </c>
      <c r="R388" s="19">
        <f t="shared" si="46"/>
        <v>2428329.1711480813</v>
      </c>
      <c r="S388" s="19">
        <f t="shared" si="47"/>
        <v>419275.10482080642</v>
      </c>
      <c r="T388" s="14">
        <f t="shared" si="48"/>
        <v>0</v>
      </c>
      <c r="U388" s="18" t="str" cm="1">
        <f t="array" aca="1" ref="U388" ca="1">IF(M388&lt;=$N$1,L388,IF(M388&lt;=($N$1+1),INDIRECT("L"&amp;5+$X$2),""))</f>
        <v/>
      </c>
    </row>
    <row r="389" spans="12:21" hidden="1" x14ac:dyDescent="0.25">
      <c r="L389" s="18">
        <f t="shared" ca="1" si="49"/>
        <v>57901</v>
      </c>
      <c r="M389" s="14">
        <v>384</v>
      </c>
      <c r="N389" s="14">
        <f t="shared" si="42"/>
        <v>0</v>
      </c>
      <c r="O389" s="19">
        <f t="shared" si="43"/>
        <v>2594287.3035797412</v>
      </c>
      <c r="P389" s="19">
        <f t="shared" si="44"/>
        <v>433556.8344773117</v>
      </c>
      <c r="Q389" s="14">
        <f t="shared" si="45"/>
        <v>0</v>
      </c>
      <c r="R389" s="19">
        <f t="shared" si="46"/>
        <v>2451371.0838301135</v>
      </c>
      <c r="S389" s="19">
        <f t="shared" si="47"/>
        <v>421286.18075176887</v>
      </c>
      <c r="T389" s="14">
        <f t="shared" si="48"/>
        <v>0</v>
      </c>
      <c r="U389" s="18" t="str" cm="1">
        <f t="array" aca="1" ref="U389" ca="1">IF(M389&lt;=$N$1,L389,IF(M389&lt;=($N$1+1),INDIRECT("L"&amp;5+$X$2),""))</f>
        <v/>
      </c>
    </row>
    <row r="390" spans="12:21" hidden="1" x14ac:dyDescent="0.25">
      <c r="L390" s="18">
        <f t="shared" ca="1" si="49"/>
        <v>57932</v>
      </c>
      <c r="M390" s="14">
        <v>385</v>
      </c>
      <c r="N390" s="14">
        <f t="shared" ref="N390:N453" si="50">IF($N$1&gt;=M390,SIPMonthlyPmt*M390,0)</f>
        <v>0</v>
      </c>
      <c r="O390" s="19">
        <f t="shared" ref="O390:O453" si="51">IF($X$2&gt;=M390,IF(M390&lt;=$N$1,FV(SRate,M390,-SIPMonthlyPmt,0,1),FV(SRate,M390-$N$1,0,-$X$1,1)),0)</f>
        <v>2618903.9586162274</v>
      </c>
      <c r="P390" s="19">
        <f t="shared" ref="P390:P453" si="52">O390/((1+SIPInflationRate)^(M390/12))</f>
        <v>435636.41350429523</v>
      </c>
      <c r="Q390" s="14">
        <f t="shared" ref="Q390:Q453" si="53">IF((M390-$C$15)&gt;0, IF($N$1+$C$15&gt;=M390,SIPMonthlyPmt*(M390-$C$15),0),0)</f>
        <v>0</v>
      </c>
      <c r="R390" s="19">
        <f t="shared" ref="R390:R453" si="54">IF(M390&lt;=$C$15,0,IF($X$2&gt;=M390,IF(M390&lt;=($N$1+$C$15),FV(SRate,M390-$C$15,-SIPMonthlyPmt,0,1),FV(SRate,M390-$N$1-$C$15,0,-$X$1,1)),0))</f>
        <v>2474631.636450402</v>
      </c>
      <c r="S390" s="19">
        <f t="shared" ref="S390:S453" si="55">R390/((1+SIPInflationRate)^((M390-$C$15)/12))</f>
        <v>423306.90291823045</v>
      </c>
      <c r="T390" s="14">
        <f t="shared" ref="T390:T453" si="56">IF(M390&lt;=$N$1,-SIPMonthlyPmt,IF(M390&lt;=($N$1+1),$X$4,0))</f>
        <v>0</v>
      </c>
      <c r="U390" s="18" t="str" cm="1">
        <f t="array" aca="1" ref="U390" ca="1">IF(M390&lt;=$N$1,L390,IF(M390&lt;=($N$1+1),INDIRECT("L"&amp;5+$X$2),""))</f>
        <v/>
      </c>
    </row>
    <row r="391" spans="12:21" hidden="1" x14ac:dyDescent="0.25">
      <c r="L391" s="18">
        <f t="shared" ca="1" si="49"/>
        <v>57963</v>
      </c>
      <c r="M391" s="14">
        <v>386</v>
      </c>
      <c r="N391" s="14">
        <f t="shared" si="50"/>
        <v>0</v>
      </c>
      <c r="O391" s="19">
        <f t="shared" si="51"/>
        <v>2643754.195995097</v>
      </c>
      <c r="P391" s="19">
        <f t="shared" si="52"/>
        <v>437725.96734561789</v>
      </c>
      <c r="Q391" s="14">
        <f t="shared" si="53"/>
        <v>0</v>
      </c>
      <c r="R391" s="19">
        <f t="shared" si="54"/>
        <v>2498112.9036380486</v>
      </c>
      <c r="S391" s="19">
        <f t="shared" si="55"/>
        <v>425337.31758888654</v>
      </c>
      <c r="T391" s="14">
        <f t="shared" si="56"/>
        <v>0</v>
      </c>
      <c r="U391" s="18" t="str" cm="1">
        <f t="array" aca="1" ref="U391" ca="1">IF(M391&lt;=$N$1,L391,IF(M391&lt;=($N$1+1),INDIRECT("L"&amp;5+$X$2),""))</f>
        <v/>
      </c>
    </row>
    <row r="392" spans="12:21" hidden="1" x14ac:dyDescent="0.25">
      <c r="L392" s="18">
        <f t="shared" ca="1" si="49"/>
        <v>57993</v>
      </c>
      <c r="M392" s="14">
        <v>387</v>
      </c>
      <c r="N392" s="14">
        <f t="shared" si="50"/>
        <v>0</v>
      </c>
      <c r="O392" s="19">
        <f t="shared" si="51"/>
        <v>2668840.2321308297</v>
      </c>
      <c r="P392" s="19">
        <f t="shared" si="52"/>
        <v>439825.54384602141</v>
      </c>
      <c r="Q392" s="14">
        <f t="shared" si="53"/>
        <v>0</v>
      </c>
      <c r="R392" s="19">
        <f t="shared" si="54"/>
        <v>2521816.9797078795</v>
      </c>
      <c r="S392" s="19">
        <f t="shared" si="55"/>
        <v>427377.47125436261</v>
      </c>
      <c r="T392" s="14">
        <f t="shared" si="56"/>
        <v>0</v>
      </c>
      <c r="U392" s="18" t="str" cm="1">
        <f t="array" aca="1" ref="U392" ca="1">IF(M392&lt;=$N$1,L392,IF(M392&lt;=($N$1+1),INDIRECT("L"&amp;5+$X$2),""))</f>
        <v/>
      </c>
    </row>
    <row r="393" spans="12:21" hidden="1" x14ac:dyDescent="0.25">
      <c r="L393" s="18">
        <f t="shared" ref="L393:L456" ca="1" si="57">EDATE(L392,1)</f>
        <v>58024</v>
      </c>
      <c r="M393" s="14">
        <v>388</v>
      </c>
      <c r="N393" s="14">
        <f t="shared" si="50"/>
        <v>0</v>
      </c>
      <c r="O393" s="19">
        <f t="shared" si="51"/>
        <v>2694164.3044690038</v>
      </c>
      <c r="P393" s="19">
        <f t="shared" si="52"/>
        <v>441935.19107973715</v>
      </c>
      <c r="Q393" s="14">
        <f t="shared" si="53"/>
        <v>0</v>
      </c>
      <c r="R393" s="19">
        <f t="shared" si="54"/>
        <v>2545745.9788472434</v>
      </c>
      <c r="S393" s="19">
        <f t="shared" si="55"/>
        <v>429427.41062827926</v>
      </c>
      <c r="T393" s="14">
        <f t="shared" si="56"/>
        <v>0</v>
      </c>
      <c r="U393" s="18" t="str" cm="1">
        <f t="array" aca="1" ref="U393" ca="1">IF(M393&lt;=$N$1,L393,IF(M393&lt;=($N$1+1),INDIRECT("L"&amp;5+$X$2),""))</f>
        <v/>
      </c>
    </row>
    <row r="394" spans="12:21" hidden="1" x14ac:dyDescent="0.25">
      <c r="L394" s="18">
        <f t="shared" ca="1" si="57"/>
        <v>58054</v>
      </c>
      <c r="M394" s="14">
        <v>389</v>
      </c>
      <c r="N394" s="14">
        <f t="shared" si="50"/>
        <v>0</v>
      </c>
      <c r="O394" s="19">
        <f t="shared" si="51"/>
        <v>2719728.6716858544</v>
      </c>
      <c r="P394" s="19">
        <f t="shared" si="52"/>
        <v>444054.95735158754</v>
      </c>
      <c r="Q394" s="14">
        <f t="shared" si="53"/>
        <v>0</v>
      </c>
      <c r="R394" s="19">
        <f t="shared" si="54"/>
        <v>2569902.0353045729</v>
      </c>
      <c r="S394" s="19">
        <f t="shared" si="55"/>
        <v>431487.18264832121</v>
      </c>
      <c r="T394" s="14">
        <f t="shared" si="56"/>
        <v>0</v>
      </c>
      <c r="U394" s="18" t="str" cm="1">
        <f t="array" aca="1" ref="U394" ca="1">IF(M394&lt;=$N$1,L394,IF(M394&lt;=($N$1+1),INDIRECT("L"&amp;5+$X$2),""))</f>
        <v/>
      </c>
    </row>
    <row r="395" spans="12:21" hidden="1" x14ac:dyDescent="0.25">
      <c r="L395" s="18">
        <f t="shared" ca="1" si="57"/>
        <v>58085</v>
      </c>
      <c r="M395" s="14">
        <v>390</v>
      </c>
      <c r="N395" s="14">
        <f t="shared" si="50"/>
        <v>0</v>
      </c>
      <c r="O395" s="19">
        <f t="shared" si="51"/>
        <v>2745535.613889731</v>
      </c>
      <c r="P395" s="19">
        <f t="shared" si="52"/>
        <v>446184.89119809138</v>
      </c>
      <c r="Q395" s="14">
        <f t="shared" si="53"/>
        <v>0</v>
      </c>
      <c r="R395" s="19">
        <f t="shared" si="54"/>
        <v>2594287.3035797412</v>
      </c>
      <c r="S395" s="19">
        <f t="shared" si="55"/>
        <v>433556.8344773117</v>
      </c>
      <c r="T395" s="14">
        <f t="shared" si="56"/>
        <v>0</v>
      </c>
      <c r="U395" s="18" t="str" cm="1">
        <f t="array" aca="1" ref="U395" ca="1">IF(M395&lt;=$N$1,L395,IF(M395&lt;=($N$1+1),INDIRECT("L"&amp;5+$X$2),""))</f>
        <v/>
      </c>
    </row>
    <row r="396" spans="12:21" hidden="1" x14ac:dyDescent="0.25">
      <c r="L396" s="18">
        <f t="shared" ca="1" si="57"/>
        <v>58116</v>
      </c>
      <c r="M396" s="14">
        <v>391</v>
      </c>
      <c r="N396" s="14">
        <f t="shared" si="50"/>
        <v>0</v>
      </c>
      <c r="O396" s="19">
        <f t="shared" si="51"/>
        <v>2771587.4328244538</v>
      </c>
      <c r="P396" s="19">
        <f t="shared" si="52"/>
        <v>448325.04138857551</v>
      </c>
      <c r="Q396" s="14">
        <f t="shared" si="53"/>
        <v>0</v>
      </c>
      <c r="R396" s="19">
        <f t="shared" si="54"/>
        <v>2618903.9586162274</v>
      </c>
      <c r="S396" s="19">
        <f t="shared" si="55"/>
        <v>435636.41350429523</v>
      </c>
      <c r="T396" s="14">
        <f t="shared" si="56"/>
        <v>0</v>
      </c>
      <c r="U396" s="18" t="str" cm="1">
        <f t="array" aca="1" ref="U396" ca="1">IF(M396&lt;=$N$1,L396,IF(M396&lt;=($N$1+1),INDIRECT("L"&amp;5+$X$2),""))</f>
        <v/>
      </c>
    </row>
    <row r="397" spans="12:21" hidden="1" x14ac:dyDescent="0.25">
      <c r="L397" s="18">
        <f t="shared" ca="1" si="57"/>
        <v>58144</v>
      </c>
      <c r="M397" s="14">
        <v>392</v>
      </c>
      <c r="N397" s="14">
        <f t="shared" si="50"/>
        <v>0</v>
      </c>
      <c r="O397" s="19">
        <f t="shared" si="51"/>
        <v>2797886.4520746176</v>
      </c>
      <c r="P397" s="19">
        <f t="shared" si="52"/>
        <v>450475.45692629181</v>
      </c>
      <c r="Q397" s="14">
        <f t="shared" si="53"/>
        <v>0</v>
      </c>
      <c r="R397" s="19">
        <f t="shared" si="54"/>
        <v>2643754.195995097</v>
      </c>
      <c r="S397" s="19">
        <f t="shared" si="55"/>
        <v>437725.96734561789</v>
      </c>
      <c r="T397" s="14">
        <f t="shared" si="56"/>
        <v>0</v>
      </c>
      <c r="U397" s="18" t="str" cm="1">
        <f t="array" aca="1" ref="U397" ca="1">IF(M397&lt;=$N$1,L397,IF(M397&lt;=($N$1+1),INDIRECT("L"&amp;5+$X$2),""))</f>
        <v/>
      </c>
    </row>
    <row r="398" spans="12:21" hidden="1" x14ac:dyDescent="0.25">
      <c r="L398" s="18">
        <f t="shared" ca="1" si="57"/>
        <v>58175</v>
      </c>
      <c r="M398" s="14">
        <v>393</v>
      </c>
      <c r="N398" s="14">
        <f t="shared" si="50"/>
        <v>0</v>
      </c>
      <c r="O398" s="19">
        <f t="shared" si="51"/>
        <v>2824435.0172728291</v>
      </c>
      <c r="P398" s="19">
        <f t="shared" si="52"/>
        <v>452636.18704953836</v>
      </c>
      <c r="Q398" s="14">
        <f t="shared" si="53"/>
        <v>0</v>
      </c>
      <c r="R398" s="19">
        <f t="shared" si="54"/>
        <v>2668840.2321308297</v>
      </c>
      <c r="S398" s="19">
        <f t="shared" si="55"/>
        <v>439825.54384602141</v>
      </c>
      <c r="T398" s="14">
        <f t="shared" si="56"/>
        <v>0</v>
      </c>
      <c r="U398" s="18" t="str" cm="1">
        <f t="array" aca="1" ref="U398" ca="1">IF(M398&lt;=$N$1,L398,IF(M398&lt;=($N$1+1),INDIRECT("L"&amp;5+$X$2),""))</f>
        <v/>
      </c>
    </row>
    <row r="399" spans="12:21" hidden="1" x14ac:dyDescent="0.25">
      <c r="L399" s="18">
        <f t="shared" ca="1" si="57"/>
        <v>58205</v>
      </c>
      <c r="M399" s="14">
        <v>394</v>
      </c>
      <c r="N399" s="14">
        <f t="shared" si="50"/>
        <v>0</v>
      </c>
      <c r="O399" s="19">
        <f t="shared" si="51"/>
        <v>2851235.4963089162</v>
      </c>
      <c r="P399" s="19">
        <f t="shared" si="52"/>
        <v>454807.28123278794</v>
      </c>
      <c r="Q399" s="14">
        <f t="shared" si="53"/>
        <v>0</v>
      </c>
      <c r="R399" s="19">
        <f t="shared" si="54"/>
        <v>2694164.3044690038</v>
      </c>
      <c r="S399" s="19">
        <f t="shared" si="55"/>
        <v>441935.19107973715</v>
      </c>
      <c r="T399" s="14">
        <f t="shared" si="56"/>
        <v>0</v>
      </c>
      <c r="U399" s="18" t="str" cm="1">
        <f t="array" aca="1" ref="U399" ca="1">IF(M399&lt;=$N$1,L399,IF(M399&lt;=($N$1+1),INDIRECT("L"&amp;5+$X$2),""))</f>
        <v/>
      </c>
    </row>
    <row r="400" spans="12:21" hidden="1" x14ac:dyDescent="0.25">
      <c r="L400" s="18">
        <f t="shared" ca="1" si="57"/>
        <v>58236</v>
      </c>
      <c r="M400" s="14">
        <v>395</v>
      </c>
      <c r="N400" s="14">
        <f t="shared" si="50"/>
        <v>0</v>
      </c>
      <c r="O400" s="19">
        <f t="shared" si="51"/>
        <v>2878290.2795411251</v>
      </c>
      <c r="P400" s="19">
        <f t="shared" si="52"/>
        <v>456988.78918782063</v>
      </c>
      <c r="Q400" s="14">
        <f t="shared" si="53"/>
        <v>0</v>
      </c>
      <c r="R400" s="19">
        <f t="shared" si="54"/>
        <v>2719728.6716858544</v>
      </c>
      <c r="S400" s="19">
        <f t="shared" si="55"/>
        <v>444054.95735158754</v>
      </c>
      <c r="T400" s="14">
        <f t="shared" si="56"/>
        <v>0</v>
      </c>
      <c r="U400" s="18" t="str" cm="1">
        <f t="array" aca="1" ref="U400" ca="1">IF(M400&lt;=$N$1,L400,IF(M400&lt;=($N$1+1),INDIRECT("L"&amp;5+$X$2),""))</f>
        <v/>
      </c>
    </row>
    <row r="401" spans="12:21" hidden="1" x14ac:dyDescent="0.25">
      <c r="L401" s="18">
        <f t="shared" ca="1" si="57"/>
        <v>58266</v>
      </c>
      <c r="M401" s="14">
        <v>396</v>
      </c>
      <c r="N401" s="14">
        <f t="shared" si="50"/>
        <v>0</v>
      </c>
      <c r="O401" s="19">
        <f t="shared" si="51"/>
        <v>2905601.780009314</v>
      </c>
      <c r="P401" s="19">
        <f t="shared" si="52"/>
        <v>459180.7608648602</v>
      </c>
      <c r="Q401" s="14">
        <f t="shared" si="53"/>
        <v>0</v>
      </c>
      <c r="R401" s="19">
        <f t="shared" si="54"/>
        <v>2745535.613889731</v>
      </c>
      <c r="S401" s="19">
        <f t="shared" si="55"/>
        <v>446184.89119809138</v>
      </c>
      <c r="T401" s="14">
        <f t="shared" si="56"/>
        <v>0</v>
      </c>
      <c r="U401" s="18" t="str" cm="1">
        <f t="array" aca="1" ref="U401" ca="1">IF(M401&lt;=$N$1,L401,IF(M401&lt;=($N$1+1),INDIRECT("L"&amp;5+$X$2),""))</f>
        <v/>
      </c>
    </row>
    <row r="402" spans="12:21" hidden="1" x14ac:dyDescent="0.25">
      <c r="L402" s="18">
        <f t="shared" ca="1" si="57"/>
        <v>58297</v>
      </c>
      <c r="M402" s="14">
        <v>397</v>
      </c>
      <c r="N402" s="14">
        <f t="shared" si="50"/>
        <v>0</v>
      </c>
      <c r="O402" s="19">
        <f t="shared" si="51"/>
        <v>2933172.4336501784</v>
      </c>
      <c r="P402" s="19">
        <f t="shared" si="52"/>
        <v>461383.24645372218</v>
      </c>
      <c r="Q402" s="14">
        <f t="shared" si="53"/>
        <v>0</v>
      </c>
      <c r="R402" s="19">
        <f t="shared" si="54"/>
        <v>2771587.4328244538</v>
      </c>
      <c r="S402" s="19">
        <f t="shared" si="55"/>
        <v>448325.04138857551</v>
      </c>
      <c r="T402" s="14">
        <f t="shared" si="56"/>
        <v>0</v>
      </c>
      <c r="U402" s="18" t="str" cm="1">
        <f t="array" aca="1" ref="U402" ca="1">IF(M402&lt;=$N$1,L402,IF(M402&lt;=($N$1+1),INDIRECT("L"&amp;5+$X$2),""))</f>
        <v/>
      </c>
    </row>
    <row r="403" spans="12:21" hidden="1" x14ac:dyDescent="0.25">
      <c r="L403" s="18">
        <f t="shared" ca="1" si="57"/>
        <v>58328</v>
      </c>
      <c r="M403" s="14">
        <v>398</v>
      </c>
      <c r="N403" s="14">
        <f t="shared" si="50"/>
        <v>0</v>
      </c>
      <c r="O403" s="19">
        <f t="shared" si="51"/>
        <v>2961004.6995145115</v>
      </c>
      <c r="P403" s="19">
        <f t="shared" si="52"/>
        <v>463596.29638495744</v>
      </c>
      <c r="Q403" s="14">
        <f t="shared" si="53"/>
        <v>0</v>
      </c>
      <c r="R403" s="19">
        <f t="shared" si="54"/>
        <v>2797886.4520746176</v>
      </c>
      <c r="S403" s="19">
        <f t="shared" si="55"/>
        <v>450475.45692629181</v>
      </c>
      <c r="T403" s="14">
        <f t="shared" si="56"/>
        <v>0</v>
      </c>
      <c r="U403" s="18" t="str" cm="1">
        <f t="array" aca="1" ref="U403" ca="1">IF(M403&lt;=$N$1,L403,IF(M403&lt;=($N$1+1),INDIRECT("L"&amp;5+$X$2),""))</f>
        <v/>
      </c>
    </row>
    <row r="404" spans="12:21" hidden="1" x14ac:dyDescent="0.25">
      <c r="L404" s="18">
        <f t="shared" ca="1" si="57"/>
        <v>58358</v>
      </c>
      <c r="M404" s="14">
        <v>399</v>
      </c>
      <c r="N404" s="14">
        <f t="shared" si="50"/>
        <v>0</v>
      </c>
      <c r="O404" s="19">
        <f t="shared" si="51"/>
        <v>2989101.0599865322</v>
      </c>
      <c r="P404" s="19">
        <f t="shared" si="52"/>
        <v>465819.96133101126</v>
      </c>
      <c r="Q404" s="14">
        <f t="shared" si="53"/>
        <v>0</v>
      </c>
      <c r="R404" s="19">
        <f t="shared" si="54"/>
        <v>2824435.0172728291</v>
      </c>
      <c r="S404" s="19">
        <f t="shared" si="55"/>
        <v>452636.18704953836</v>
      </c>
      <c r="T404" s="14">
        <f t="shared" si="56"/>
        <v>0</v>
      </c>
      <c r="U404" s="18" t="str" cm="1">
        <f t="array" aca="1" ref="U404" ca="1">IF(M404&lt;=$N$1,L404,IF(M404&lt;=($N$1+1),INDIRECT("L"&amp;5+$X$2),""))</f>
        <v/>
      </c>
    </row>
    <row r="405" spans="12:21" hidden="1" x14ac:dyDescent="0.25">
      <c r="L405" s="18">
        <f t="shared" ca="1" si="57"/>
        <v>58389</v>
      </c>
      <c r="M405" s="14">
        <v>400</v>
      </c>
      <c r="N405" s="14">
        <f t="shared" si="50"/>
        <v>0</v>
      </c>
      <c r="O405" s="19">
        <f t="shared" si="51"/>
        <v>3017464.0210052878</v>
      </c>
      <c r="P405" s="19">
        <f t="shared" si="52"/>
        <v>468054.29220738175</v>
      </c>
      <c r="Q405" s="14">
        <f t="shared" si="53"/>
        <v>0</v>
      </c>
      <c r="R405" s="19">
        <f t="shared" si="54"/>
        <v>2851235.4963089162</v>
      </c>
      <c r="S405" s="19">
        <f t="shared" si="55"/>
        <v>454807.28123278794</v>
      </c>
      <c r="T405" s="14">
        <f t="shared" si="56"/>
        <v>0</v>
      </c>
      <c r="U405" s="18" t="str" cm="1">
        <f t="array" aca="1" ref="U405" ca="1">IF(M405&lt;=$N$1,L405,IF(M405&lt;=($N$1+1),INDIRECT("L"&amp;5+$X$2),""))</f>
        <v/>
      </c>
    </row>
    <row r="406" spans="12:21" hidden="1" x14ac:dyDescent="0.25">
      <c r="L406" s="18">
        <f t="shared" ca="1" si="57"/>
        <v>58419</v>
      </c>
      <c r="M406" s="14">
        <v>401</v>
      </c>
      <c r="N406" s="14">
        <f t="shared" si="50"/>
        <v>0</v>
      </c>
      <c r="O406" s="19">
        <f t="shared" si="51"/>
        <v>3046096.1122881616</v>
      </c>
      <c r="P406" s="19">
        <f t="shared" si="52"/>
        <v>470299.3401737861</v>
      </c>
      <c r="Q406" s="14">
        <f t="shared" si="53"/>
        <v>0</v>
      </c>
      <c r="R406" s="19">
        <f t="shared" si="54"/>
        <v>2878290.2795411251</v>
      </c>
      <c r="S406" s="19">
        <f t="shared" si="55"/>
        <v>456988.78918782063</v>
      </c>
      <c r="T406" s="14">
        <f t="shared" si="56"/>
        <v>0</v>
      </c>
      <c r="U406" s="18" t="str" cm="1">
        <f t="array" aca="1" ref="U406" ca="1">IF(M406&lt;=$N$1,L406,IF(M406&lt;=($N$1+1),INDIRECT("L"&amp;5+$X$2),""))</f>
        <v/>
      </c>
    </row>
    <row r="407" spans="12:21" hidden="1" x14ac:dyDescent="0.25">
      <c r="L407" s="18">
        <f t="shared" ca="1" si="57"/>
        <v>58450</v>
      </c>
      <c r="M407" s="14">
        <v>402</v>
      </c>
      <c r="N407" s="14">
        <f t="shared" si="50"/>
        <v>0</v>
      </c>
      <c r="O407" s="19">
        <f t="shared" si="51"/>
        <v>3074999.8875565026</v>
      </c>
      <c r="P407" s="19">
        <f t="shared" si="52"/>
        <v>472555.15663533134</v>
      </c>
      <c r="Q407" s="14">
        <f t="shared" si="53"/>
        <v>0</v>
      </c>
      <c r="R407" s="19">
        <f t="shared" si="54"/>
        <v>2905601.780009314</v>
      </c>
      <c r="S407" s="19">
        <f t="shared" si="55"/>
        <v>459180.7608648602</v>
      </c>
      <c r="T407" s="14">
        <f t="shared" si="56"/>
        <v>0</v>
      </c>
      <c r="U407" s="18" t="str" cm="1">
        <f t="array" aca="1" ref="U407" ca="1">IF(M407&lt;=$N$1,L407,IF(M407&lt;=($N$1+1),INDIRECT("L"&amp;5+$X$2),""))</f>
        <v/>
      </c>
    </row>
    <row r="408" spans="12:21" hidden="1" x14ac:dyDescent="0.25">
      <c r="L408" s="18">
        <f t="shared" ca="1" si="57"/>
        <v>58481</v>
      </c>
      <c r="M408" s="14">
        <v>403</v>
      </c>
      <c r="N408" s="14">
        <f t="shared" si="50"/>
        <v>0</v>
      </c>
      <c r="O408" s="19">
        <f t="shared" si="51"/>
        <v>3104177.9247633922</v>
      </c>
      <c r="P408" s="19">
        <f t="shared" si="52"/>
        <v>474821.79324369284</v>
      </c>
      <c r="Q408" s="14">
        <f t="shared" si="53"/>
        <v>0</v>
      </c>
      <c r="R408" s="19">
        <f t="shared" si="54"/>
        <v>2933172.4336501784</v>
      </c>
      <c r="S408" s="19">
        <f t="shared" si="55"/>
        <v>461383.24645372218</v>
      </c>
      <c r="T408" s="14">
        <f t="shared" si="56"/>
        <v>0</v>
      </c>
      <c r="U408" s="18" t="str" cm="1">
        <f t="array" aca="1" ref="U408" ca="1">IF(M408&lt;=$N$1,L408,IF(M408&lt;=($N$1+1),INDIRECT("L"&amp;5+$X$2),""))</f>
        <v/>
      </c>
    </row>
    <row r="409" spans="12:21" hidden="1" x14ac:dyDescent="0.25">
      <c r="L409" s="18">
        <f t="shared" ca="1" si="57"/>
        <v>58510</v>
      </c>
      <c r="M409" s="14">
        <v>404</v>
      </c>
      <c r="N409" s="14">
        <f t="shared" si="50"/>
        <v>0</v>
      </c>
      <c r="O409" s="19">
        <f t="shared" si="51"/>
        <v>3133632.8263235753</v>
      </c>
      <c r="P409" s="19">
        <f t="shared" si="52"/>
        <v>477099.30189829529</v>
      </c>
      <c r="Q409" s="14">
        <f t="shared" si="53"/>
        <v>0</v>
      </c>
      <c r="R409" s="19">
        <f t="shared" si="54"/>
        <v>2961004.6995145115</v>
      </c>
      <c r="S409" s="19">
        <f t="shared" si="55"/>
        <v>463596.29638495744</v>
      </c>
      <c r="T409" s="14">
        <f t="shared" si="56"/>
        <v>0</v>
      </c>
      <c r="U409" s="18" t="str" cm="1">
        <f t="array" aca="1" ref="U409" ca="1">IF(M409&lt;=$N$1,L409,IF(M409&lt;=($N$1+1),INDIRECT("L"&amp;5+$X$2),""))</f>
        <v/>
      </c>
    </row>
    <row r="410" spans="12:21" hidden="1" x14ac:dyDescent="0.25">
      <c r="L410" s="18">
        <f t="shared" ca="1" si="57"/>
        <v>58541</v>
      </c>
      <c r="M410" s="14">
        <v>405</v>
      </c>
      <c r="N410" s="14">
        <f t="shared" si="50"/>
        <v>0</v>
      </c>
      <c r="O410" s="19">
        <f t="shared" si="51"/>
        <v>3163367.2193455724</v>
      </c>
      <c r="P410" s="19">
        <f t="shared" si="52"/>
        <v>479387.73474750214</v>
      </c>
      <c r="Q410" s="14">
        <f t="shared" si="53"/>
        <v>0</v>
      </c>
      <c r="R410" s="19">
        <f t="shared" si="54"/>
        <v>2989101.0599865322</v>
      </c>
      <c r="S410" s="19">
        <f t="shared" si="55"/>
        <v>465819.96133101126</v>
      </c>
      <c r="T410" s="14">
        <f t="shared" si="56"/>
        <v>0</v>
      </c>
      <c r="U410" s="18" t="str" cm="1">
        <f t="array" aca="1" ref="U410" ca="1">IF(M410&lt;=$N$1,L410,IF(M410&lt;=($N$1+1),INDIRECT("L"&amp;5+$X$2),""))</f>
        <v/>
      </c>
    </row>
    <row r="411" spans="12:21" hidden="1" x14ac:dyDescent="0.25">
      <c r="L411" s="18">
        <f t="shared" ca="1" si="57"/>
        <v>58571</v>
      </c>
      <c r="M411" s="14">
        <v>406</v>
      </c>
      <c r="N411" s="14">
        <f t="shared" si="50"/>
        <v>0</v>
      </c>
      <c r="O411" s="19">
        <f t="shared" si="51"/>
        <v>3193383.7558659902</v>
      </c>
      <c r="P411" s="19">
        <f t="shared" si="52"/>
        <v>481687.14418980904</v>
      </c>
      <c r="Q411" s="14">
        <f t="shared" si="53"/>
        <v>0</v>
      </c>
      <c r="R411" s="19">
        <f t="shared" si="54"/>
        <v>3017464.0210052878</v>
      </c>
      <c r="S411" s="19">
        <f t="shared" si="55"/>
        <v>468054.29220738175</v>
      </c>
      <c r="T411" s="14">
        <f t="shared" si="56"/>
        <v>0</v>
      </c>
      <c r="U411" s="18" t="str" cm="1">
        <f t="array" aca="1" ref="U411" ca="1">IF(M411&lt;=$N$1,L411,IF(M411&lt;=($N$1+1),INDIRECT("L"&amp;5+$X$2),""))</f>
        <v/>
      </c>
    </row>
    <row r="412" spans="12:21" hidden="1" x14ac:dyDescent="0.25">
      <c r="L412" s="18">
        <f t="shared" ca="1" si="57"/>
        <v>58602</v>
      </c>
      <c r="M412" s="14">
        <v>407</v>
      </c>
      <c r="N412" s="14">
        <f t="shared" si="50"/>
        <v>0</v>
      </c>
      <c r="O412" s="19">
        <f t="shared" si="51"/>
        <v>3223685.1130860648</v>
      </c>
      <c r="P412" s="19">
        <f t="shared" si="52"/>
        <v>483997.58287504467</v>
      </c>
      <c r="Q412" s="14">
        <f t="shared" si="53"/>
        <v>0</v>
      </c>
      <c r="R412" s="19">
        <f t="shared" si="54"/>
        <v>3046096.1122881616</v>
      </c>
      <c r="S412" s="19">
        <f t="shared" si="55"/>
        <v>470299.3401737861</v>
      </c>
      <c r="T412" s="14">
        <f t="shared" si="56"/>
        <v>0</v>
      </c>
      <c r="U412" s="18" t="str" cm="1">
        <f t="array" aca="1" ref="U412" ca="1">IF(M412&lt;=$N$1,L412,IF(M412&lt;=($N$1+1),INDIRECT("L"&amp;5+$X$2),""))</f>
        <v/>
      </c>
    </row>
    <row r="413" spans="12:21" hidden="1" x14ac:dyDescent="0.25">
      <c r="L413" s="18">
        <f t="shared" ca="1" si="57"/>
        <v>58632</v>
      </c>
      <c r="M413" s="14">
        <v>408</v>
      </c>
      <c r="N413" s="14">
        <f t="shared" si="50"/>
        <v>0</v>
      </c>
      <c r="O413" s="19">
        <f t="shared" si="51"/>
        <v>3254273.9936104356</v>
      </c>
      <c r="P413" s="19">
        <f t="shared" si="52"/>
        <v>486319.10370557354</v>
      </c>
      <c r="Q413" s="14">
        <f t="shared" si="53"/>
        <v>0</v>
      </c>
      <c r="R413" s="19">
        <f t="shared" si="54"/>
        <v>3074999.8875565026</v>
      </c>
      <c r="S413" s="19">
        <f t="shared" si="55"/>
        <v>472555.15663533134</v>
      </c>
      <c r="T413" s="14">
        <f t="shared" si="56"/>
        <v>0</v>
      </c>
      <c r="U413" s="18" t="str" cm="1">
        <f t="array" aca="1" ref="U413" ca="1">IF(M413&lt;=$N$1,L413,IF(M413&lt;=($N$1+1),INDIRECT("L"&amp;5+$X$2),""))</f>
        <v/>
      </c>
    </row>
    <row r="414" spans="12:21" hidden="1" x14ac:dyDescent="0.25">
      <c r="L414" s="18">
        <f t="shared" ca="1" si="57"/>
        <v>58663</v>
      </c>
      <c r="M414" s="14">
        <v>409</v>
      </c>
      <c r="N414" s="14">
        <f t="shared" si="50"/>
        <v>0</v>
      </c>
      <c r="O414" s="19">
        <f t="shared" si="51"/>
        <v>3285153.1256882036</v>
      </c>
      <c r="P414" s="19">
        <f t="shared" si="52"/>
        <v>488651.75983751245</v>
      </c>
      <c r="Q414" s="14">
        <f t="shared" si="53"/>
        <v>0</v>
      </c>
      <c r="R414" s="19">
        <f t="shared" si="54"/>
        <v>3104177.9247633922</v>
      </c>
      <c r="S414" s="19">
        <f t="shared" si="55"/>
        <v>474821.79324369284</v>
      </c>
      <c r="T414" s="14">
        <f t="shared" si="56"/>
        <v>0</v>
      </c>
      <c r="U414" s="18" t="str" cm="1">
        <f t="array" aca="1" ref="U414" ca="1">IF(M414&lt;=$N$1,L414,IF(M414&lt;=($N$1+1),INDIRECT("L"&amp;5+$X$2),""))</f>
        <v/>
      </c>
    </row>
    <row r="415" spans="12:21" hidden="1" x14ac:dyDescent="0.25">
      <c r="L415" s="18">
        <f t="shared" ca="1" si="57"/>
        <v>58694</v>
      </c>
      <c r="M415" s="14">
        <v>410</v>
      </c>
      <c r="N415" s="14">
        <f t="shared" si="50"/>
        <v>0</v>
      </c>
      <c r="O415" s="19">
        <f t="shared" si="51"/>
        <v>3316325.263456258</v>
      </c>
      <c r="P415" s="19">
        <f t="shared" si="52"/>
        <v>490995.60468194151</v>
      </c>
      <c r="Q415" s="14">
        <f t="shared" si="53"/>
        <v>0</v>
      </c>
      <c r="R415" s="19">
        <f t="shared" si="54"/>
        <v>3133632.8263235753</v>
      </c>
      <c r="S415" s="19">
        <f t="shared" si="55"/>
        <v>477099.30189829529</v>
      </c>
      <c r="T415" s="14">
        <f t="shared" si="56"/>
        <v>0</v>
      </c>
      <c r="U415" s="18" t="str" cm="1">
        <f t="array" aca="1" ref="U415" ca="1">IF(M415&lt;=$N$1,L415,IF(M415&lt;=($N$1+1),INDIRECT("L"&amp;5+$X$2),""))</f>
        <v/>
      </c>
    </row>
    <row r="416" spans="12:21" hidden="1" x14ac:dyDescent="0.25">
      <c r="L416" s="18">
        <f t="shared" ca="1" si="57"/>
        <v>58724</v>
      </c>
      <c r="M416" s="14">
        <v>411</v>
      </c>
      <c r="N416" s="14">
        <f t="shared" si="50"/>
        <v>0</v>
      </c>
      <c r="O416" s="19">
        <f t="shared" si="51"/>
        <v>3347793.187184921</v>
      </c>
      <c r="P416" s="19">
        <f t="shared" si="52"/>
        <v>493350.69190613076</v>
      </c>
      <c r="Q416" s="14">
        <f t="shared" si="53"/>
        <v>0</v>
      </c>
      <c r="R416" s="19">
        <f t="shared" si="54"/>
        <v>3163367.2193455724</v>
      </c>
      <c r="S416" s="19">
        <f t="shared" si="55"/>
        <v>479387.73474750214</v>
      </c>
      <c r="T416" s="14">
        <f t="shared" si="56"/>
        <v>0</v>
      </c>
      <c r="U416" s="18" t="str" cm="1">
        <f t="array" aca="1" ref="U416" ca="1">IF(M416&lt;=$N$1,L416,IF(M416&lt;=($N$1+1),INDIRECT("L"&amp;5+$X$2),""))</f>
        <v/>
      </c>
    </row>
    <row r="417" spans="12:21" hidden="1" x14ac:dyDescent="0.25">
      <c r="L417" s="18">
        <f t="shared" ca="1" si="57"/>
        <v>58755</v>
      </c>
      <c r="M417" s="14">
        <v>412</v>
      </c>
      <c r="N417" s="14">
        <f t="shared" si="50"/>
        <v>0</v>
      </c>
      <c r="O417" s="19">
        <f t="shared" si="51"/>
        <v>3379559.7035259269</v>
      </c>
      <c r="P417" s="19">
        <f t="shared" si="52"/>
        <v>495717.07543476898</v>
      </c>
      <c r="Q417" s="14">
        <f t="shared" si="53"/>
        <v>0</v>
      </c>
      <c r="R417" s="19">
        <f t="shared" si="54"/>
        <v>3193383.7558659902</v>
      </c>
      <c r="S417" s="19">
        <f t="shared" si="55"/>
        <v>481687.14418980904</v>
      </c>
      <c r="T417" s="14">
        <f t="shared" si="56"/>
        <v>0</v>
      </c>
      <c r="U417" s="18" t="str" cm="1">
        <f t="array" aca="1" ref="U417" ca="1">IF(M417&lt;=$N$1,L417,IF(M417&lt;=($N$1+1),INDIRECT("L"&amp;5+$X$2),""))</f>
        <v/>
      </c>
    </row>
    <row r="418" spans="12:21" hidden="1" x14ac:dyDescent="0.25">
      <c r="L418" s="18">
        <f t="shared" ca="1" si="57"/>
        <v>58785</v>
      </c>
      <c r="M418" s="14">
        <v>413</v>
      </c>
      <c r="N418" s="14">
        <f t="shared" si="50"/>
        <v>0</v>
      </c>
      <c r="O418" s="19">
        <f t="shared" si="51"/>
        <v>3411627.6457627448</v>
      </c>
      <c r="P418" s="19">
        <f t="shared" si="52"/>
        <v>498094.8094511971</v>
      </c>
      <c r="Q418" s="14">
        <f t="shared" si="53"/>
        <v>0</v>
      </c>
      <c r="R418" s="19">
        <f t="shared" si="54"/>
        <v>3223685.1130860648</v>
      </c>
      <c r="S418" s="19">
        <f t="shared" si="55"/>
        <v>483997.58287504467</v>
      </c>
      <c r="T418" s="14">
        <f t="shared" si="56"/>
        <v>0</v>
      </c>
      <c r="U418" s="18" t="str" cm="1">
        <f t="array" aca="1" ref="U418" ca="1">IF(M418&lt;=$N$1,L418,IF(M418&lt;=($N$1+1),INDIRECT("L"&amp;5+$X$2),""))</f>
        <v/>
      </c>
    </row>
    <row r="419" spans="12:21" hidden="1" x14ac:dyDescent="0.25">
      <c r="L419" s="18">
        <f t="shared" ca="1" si="57"/>
        <v>58816</v>
      </c>
      <c r="M419" s="14">
        <v>414</v>
      </c>
      <c r="N419" s="14">
        <f t="shared" si="50"/>
        <v>0</v>
      </c>
      <c r="O419" s="19">
        <f t="shared" si="51"/>
        <v>3443999.8740632874</v>
      </c>
      <c r="P419" s="19">
        <f t="shared" si="52"/>
        <v>500483.94839864946</v>
      </c>
      <c r="Q419" s="14">
        <f t="shared" si="53"/>
        <v>0</v>
      </c>
      <c r="R419" s="19">
        <f t="shared" si="54"/>
        <v>3254273.9936104356</v>
      </c>
      <c r="S419" s="19">
        <f t="shared" si="55"/>
        <v>486319.10370557354</v>
      </c>
      <c r="T419" s="14">
        <f t="shared" si="56"/>
        <v>0</v>
      </c>
      <c r="U419" s="18" t="str" cm="1">
        <f t="array" aca="1" ref="U419" ca="1">IF(M419&lt;=$N$1,L419,IF(M419&lt;=($N$1+1),INDIRECT("L"&amp;5+$X$2),""))</f>
        <v/>
      </c>
    </row>
    <row r="420" spans="12:21" hidden="1" x14ac:dyDescent="0.25">
      <c r="L420" s="18">
        <f t="shared" ca="1" si="57"/>
        <v>58847</v>
      </c>
      <c r="M420" s="14">
        <v>415</v>
      </c>
      <c r="N420" s="14">
        <f t="shared" si="50"/>
        <v>0</v>
      </c>
      <c r="O420" s="19">
        <f t="shared" si="51"/>
        <v>3476679.2757350039</v>
      </c>
      <c r="P420" s="19">
        <f t="shared" si="52"/>
        <v>502884.54698150035</v>
      </c>
      <c r="Q420" s="14">
        <f t="shared" si="53"/>
        <v>0</v>
      </c>
      <c r="R420" s="19">
        <f t="shared" si="54"/>
        <v>3285153.1256882036</v>
      </c>
      <c r="S420" s="19">
        <f t="shared" si="55"/>
        <v>488651.75983751245</v>
      </c>
      <c r="T420" s="14">
        <f t="shared" si="56"/>
        <v>0</v>
      </c>
      <c r="U420" s="18" t="str" cm="1">
        <f t="array" aca="1" ref="U420" ca="1">IF(M420&lt;=$N$1,L420,IF(M420&lt;=($N$1+1),INDIRECT("L"&amp;5+$X$2),""))</f>
        <v/>
      </c>
    </row>
    <row r="421" spans="12:21" hidden="1" x14ac:dyDescent="0.25">
      <c r="L421" s="18">
        <f t="shared" ca="1" si="57"/>
        <v>58875</v>
      </c>
      <c r="M421" s="14">
        <v>416</v>
      </c>
      <c r="N421" s="14">
        <f t="shared" si="50"/>
        <v>0</v>
      </c>
      <c r="O421" s="19">
        <f t="shared" si="51"/>
        <v>3509668.7654824099</v>
      </c>
      <c r="P421" s="19">
        <f t="shared" si="52"/>
        <v>505296.66016651684</v>
      </c>
      <c r="Q421" s="14">
        <f t="shared" si="53"/>
        <v>0</v>
      </c>
      <c r="R421" s="19">
        <f t="shared" si="54"/>
        <v>3316325.263456258</v>
      </c>
      <c r="S421" s="19">
        <f t="shared" si="55"/>
        <v>490995.60468194151</v>
      </c>
      <c r="T421" s="14">
        <f t="shared" si="56"/>
        <v>0</v>
      </c>
      <c r="U421" s="18" t="str" cm="1">
        <f t="array" aca="1" ref="U421" ca="1">IF(M421&lt;=$N$1,L421,IF(M421&lt;=($N$1+1),INDIRECT("L"&amp;5+$X$2),""))</f>
        <v/>
      </c>
    </row>
    <row r="422" spans="12:21" hidden="1" x14ac:dyDescent="0.25">
      <c r="L422" s="18">
        <f t="shared" ca="1" si="57"/>
        <v>58906</v>
      </c>
      <c r="M422" s="14">
        <v>417</v>
      </c>
      <c r="N422" s="14">
        <f t="shared" si="50"/>
        <v>0</v>
      </c>
      <c r="O422" s="19">
        <f t="shared" si="51"/>
        <v>3542971.2856670455</v>
      </c>
      <c r="P422" s="19">
        <f t="shared" si="52"/>
        <v>507720.3431841163</v>
      </c>
      <c r="Q422" s="14">
        <f t="shared" si="53"/>
        <v>0</v>
      </c>
      <c r="R422" s="19">
        <f t="shared" si="54"/>
        <v>3347793.187184921</v>
      </c>
      <c r="S422" s="19">
        <f t="shared" si="55"/>
        <v>493350.69190613076</v>
      </c>
      <c r="T422" s="14">
        <f t="shared" si="56"/>
        <v>0</v>
      </c>
      <c r="U422" s="18" t="str" cm="1">
        <f t="array" aca="1" ref="U422" ca="1">IF(M422&lt;=$N$1,L422,IF(M422&lt;=($N$1+1),INDIRECT("L"&amp;5+$X$2),""))</f>
        <v/>
      </c>
    </row>
    <row r="423" spans="12:21" hidden="1" x14ac:dyDescent="0.25">
      <c r="L423" s="18">
        <f t="shared" ca="1" si="57"/>
        <v>58936</v>
      </c>
      <c r="M423" s="14">
        <v>418</v>
      </c>
      <c r="N423" s="14">
        <f t="shared" si="50"/>
        <v>0</v>
      </c>
      <c r="O423" s="19">
        <f t="shared" si="51"/>
        <v>3576589.8065699148</v>
      </c>
      <c r="P423" s="19">
        <f t="shared" si="52"/>
        <v>510155.65152963303</v>
      </c>
      <c r="Q423" s="14">
        <f t="shared" si="53"/>
        <v>0</v>
      </c>
      <c r="R423" s="19">
        <f t="shared" si="54"/>
        <v>3379559.7035259269</v>
      </c>
      <c r="S423" s="19">
        <f t="shared" si="55"/>
        <v>495717.07543476898</v>
      </c>
      <c r="T423" s="14">
        <f t="shared" si="56"/>
        <v>0</v>
      </c>
      <c r="U423" s="18" t="str" cm="1">
        <f t="array" aca="1" ref="U423" ca="1">IF(M423&lt;=$N$1,L423,IF(M423&lt;=($N$1+1),INDIRECT("L"&amp;5+$X$2),""))</f>
        <v/>
      </c>
    </row>
    <row r="424" spans="12:21" hidden="1" x14ac:dyDescent="0.25">
      <c r="L424" s="18">
        <f t="shared" ca="1" si="57"/>
        <v>58967</v>
      </c>
      <c r="M424" s="14">
        <v>419</v>
      </c>
      <c r="N424" s="14">
        <f t="shared" si="50"/>
        <v>0</v>
      </c>
      <c r="O424" s="19">
        <f t="shared" si="51"/>
        <v>3610527.3266563974</v>
      </c>
      <c r="P424" s="19">
        <f t="shared" si="52"/>
        <v>512602.64096458699</v>
      </c>
      <c r="Q424" s="14">
        <f t="shared" si="53"/>
        <v>0</v>
      </c>
      <c r="R424" s="19">
        <f t="shared" si="54"/>
        <v>3411627.6457627448</v>
      </c>
      <c r="S424" s="19">
        <f t="shared" si="55"/>
        <v>498094.8094511971</v>
      </c>
      <c r="T424" s="14">
        <f t="shared" si="56"/>
        <v>0</v>
      </c>
      <c r="U424" s="18" t="str" cm="1">
        <f t="array" aca="1" ref="U424" ca="1">IF(M424&lt;=$N$1,L424,IF(M424&lt;=($N$1+1),INDIRECT("L"&amp;5+$X$2),""))</f>
        <v/>
      </c>
    </row>
    <row r="425" spans="12:21" hidden="1" x14ac:dyDescent="0.25">
      <c r="L425" s="18">
        <f t="shared" ca="1" si="57"/>
        <v>58997</v>
      </c>
      <c r="M425" s="14">
        <v>420</v>
      </c>
      <c r="N425" s="14">
        <f t="shared" si="50"/>
        <v>0</v>
      </c>
      <c r="O425" s="19">
        <f t="shared" si="51"/>
        <v>3644786.872843693</v>
      </c>
      <c r="P425" s="19">
        <f t="shared" si="52"/>
        <v>515061.36751796037</v>
      </c>
      <c r="Q425" s="14">
        <f t="shared" si="53"/>
        <v>0</v>
      </c>
      <c r="R425" s="19">
        <f t="shared" si="54"/>
        <v>3443999.8740632874</v>
      </c>
      <c r="S425" s="19">
        <f t="shared" si="55"/>
        <v>500483.94839864946</v>
      </c>
      <c r="T425" s="14">
        <f t="shared" si="56"/>
        <v>0</v>
      </c>
      <c r="U425" s="18" t="str" cm="1">
        <f t="array" aca="1" ref="U425" ca="1">IF(M425&lt;=$N$1,L425,IF(M425&lt;=($N$1+1),INDIRECT("L"&amp;5+$X$2),""))</f>
        <v/>
      </c>
    </row>
    <row r="426" spans="12:21" hidden="1" x14ac:dyDescent="0.25">
      <c r="L426" s="18">
        <f t="shared" ca="1" si="57"/>
        <v>59028</v>
      </c>
      <c r="M426" s="14">
        <v>421</v>
      </c>
      <c r="N426" s="14">
        <f t="shared" si="50"/>
        <v>0</v>
      </c>
      <c r="O426" s="19">
        <f t="shared" si="51"/>
        <v>3679371.5007707928</v>
      </c>
      <c r="P426" s="19">
        <f t="shared" si="52"/>
        <v>517531.88748748426</v>
      </c>
      <c r="Q426" s="14">
        <f t="shared" si="53"/>
        <v>0</v>
      </c>
      <c r="R426" s="19">
        <f t="shared" si="54"/>
        <v>3476679.2757350039</v>
      </c>
      <c r="S426" s="19">
        <f t="shared" si="55"/>
        <v>502884.54698150035</v>
      </c>
      <c r="T426" s="14">
        <f t="shared" si="56"/>
        <v>0</v>
      </c>
      <c r="U426" s="18" t="str" cm="1">
        <f t="array" aca="1" ref="U426" ca="1">IF(M426&lt;=$N$1,L426,IF(M426&lt;=($N$1+1),INDIRECT("L"&amp;5+$X$2),""))</f>
        <v/>
      </c>
    </row>
    <row r="427" spans="12:21" hidden="1" x14ac:dyDescent="0.25">
      <c r="L427" s="18">
        <f t="shared" ca="1" si="57"/>
        <v>59059</v>
      </c>
      <c r="M427" s="14">
        <v>422</v>
      </c>
      <c r="N427" s="14">
        <f t="shared" si="50"/>
        <v>0</v>
      </c>
      <c r="O427" s="19">
        <f t="shared" si="51"/>
        <v>3714284.2950710137</v>
      </c>
      <c r="P427" s="19">
        <f t="shared" si="52"/>
        <v>520014.25744092208</v>
      </c>
      <c r="Q427" s="14">
        <f t="shared" si="53"/>
        <v>0</v>
      </c>
      <c r="R427" s="19">
        <f t="shared" si="54"/>
        <v>3509668.7654824099</v>
      </c>
      <c r="S427" s="19">
        <f t="shared" si="55"/>
        <v>505296.66016651684</v>
      </c>
      <c r="T427" s="14">
        <f t="shared" si="56"/>
        <v>0</v>
      </c>
      <c r="U427" s="18" t="str" cm="1">
        <f t="array" aca="1" ref="U427" ca="1">IF(M427&lt;=$N$1,L427,IF(M427&lt;=($N$1+1),INDIRECT("L"&amp;5+$X$2),""))</f>
        <v/>
      </c>
    </row>
    <row r="428" spans="12:21" hidden="1" x14ac:dyDescent="0.25">
      <c r="L428" s="18">
        <f t="shared" ca="1" si="57"/>
        <v>59089</v>
      </c>
      <c r="M428" s="14">
        <v>423</v>
      </c>
      <c r="N428" s="14">
        <f t="shared" si="50"/>
        <v>0</v>
      </c>
      <c r="O428" s="19">
        <f t="shared" si="51"/>
        <v>3749528.3696471169</v>
      </c>
      <c r="P428" s="19">
        <f t="shared" si="52"/>
        <v>522508.5342173684</v>
      </c>
      <c r="Q428" s="14">
        <f t="shared" si="53"/>
        <v>0</v>
      </c>
      <c r="R428" s="19">
        <f t="shared" si="54"/>
        <v>3542971.2856670455</v>
      </c>
      <c r="S428" s="19">
        <f t="shared" si="55"/>
        <v>507720.3431841163</v>
      </c>
      <c r="T428" s="14">
        <f t="shared" si="56"/>
        <v>0</v>
      </c>
      <c r="U428" s="18" t="str" cm="1">
        <f t="array" aca="1" ref="U428" ca="1">IF(M428&lt;=$N$1,L428,IF(M428&lt;=($N$1+1),INDIRECT("L"&amp;5+$X$2),""))</f>
        <v/>
      </c>
    </row>
    <row r="429" spans="12:21" hidden="1" x14ac:dyDescent="0.25">
      <c r="L429" s="18">
        <f t="shared" ca="1" si="57"/>
        <v>59120</v>
      </c>
      <c r="M429" s="14">
        <v>424</v>
      </c>
      <c r="N429" s="14">
        <f t="shared" si="50"/>
        <v>0</v>
      </c>
      <c r="O429" s="19">
        <f t="shared" si="51"/>
        <v>3785106.8679490425</v>
      </c>
      <c r="P429" s="19">
        <f t="shared" si="52"/>
        <v>525014.77492855012</v>
      </c>
      <c r="Q429" s="14">
        <f t="shared" si="53"/>
        <v>0</v>
      </c>
      <c r="R429" s="19">
        <f t="shared" si="54"/>
        <v>3576589.8065699148</v>
      </c>
      <c r="S429" s="19">
        <f t="shared" si="55"/>
        <v>510155.65152963303</v>
      </c>
      <c r="T429" s="14">
        <f t="shared" si="56"/>
        <v>0</v>
      </c>
      <c r="U429" s="18" t="str" cm="1">
        <f t="array" aca="1" ref="U429" ca="1">IF(M429&lt;=$N$1,L429,IF(M429&lt;=($N$1+1),INDIRECT("L"&amp;5+$X$2),""))</f>
        <v/>
      </c>
    </row>
    <row r="430" spans="12:21" hidden="1" x14ac:dyDescent="0.25">
      <c r="L430" s="18">
        <f t="shared" ca="1" si="57"/>
        <v>59150</v>
      </c>
      <c r="M430" s="14">
        <v>425</v>
      </c>
      <c r="N430" s="14">
        <f t="shared" si="50"/>
        <v>0</v>
      </c>
      <c r="O430" s="19">
        <f t="shared" si="51"/>
        <v>3821022.963254279</v>
      </c>
      <c r="P430" s="19">
        <f t="shared" si="52"/>
        <v>527533.0369601337</v>
      </c>
      <c r="Q430" s="14">
        <f t="shared" si="53"/>
        <v>0</v>
      </c>
      <c r="R430" s="19">
        <f t="shared" si="54"/>
        <v>3610527.3266563974</v>
      </c>
      <c r="S430" s="19">
        <f t="shared" si="55"/>
        <v>512602.64096458699</v>
      </c>
      <c r="T430" s="14">
        <f t="shared" si="56"/>
        <v>0</v>
      </c>
      <c r="U430" s="18" t="str" cm="1">
        <f t="array" aca="1" ref="U430" ca="1">IF(M430&lt;=$N$1,L430,IF(M430&lt;=($N$1+1),INDIRECT("L"&amp;5+$X$2),""))</f>
        <v/>
      </c>
    </row>
    <row r="431" spans="12:21" hidden="1" x14ac:dyDescent="0.25">
      <c r="L431" s="18">
        <f t="shared" ca="1" si="57"/>
        <v>59181</v>
      </c>
      <c r="M431" s="14">
        <v>426</v>
      </c>
      <c r="N431" s="14">
        <f t="shared" si="50"/>
        <v>0</v>
      </c>
      <c r="O431" s="19">
        <f t="shared" si="51"/>
        <v>3857279.8589508869</v>
      </c>
      <c r="P431" s="19">
        <f t="shared" si="52"/>
        <v>530063.37797303835</v>
      </c>
      <c r="Q431" s="14">
        <f t="shared" si="53"/>
        <v>0</v>
      </c>
      <c r="R431" s="19">
        <f t="shared" si="54"/>
        <v>3644786.872843693</v>
      </c>
      <c r="S431" s="19">
        <f t="shared" si="55"/>
        <v>515061.36751796037</v>
      </c>
      <c r="T431" s="14">
        <f t="shared" si="56"/>
        <v>0</v>
      </c>
      <c r="U431" s="18" t="str" cm="1">
        <f t="array" aca="1" ref="U431" ca="1">IF(M431&lt;=$N$1,L431,IF(M431&lt;=($N$1+1),INDIRECT("L"&amp;5+$X$2),""))</f>
        <v/>
      </c>
    </row>
    <row r="432" spans="12:21" hidden="1" x14ac:dyDescent="0.25">
      <c r="L432" s="18">
        <f t="shared" ca="1" si="57"/>
        <v>59212</v>
      </c>
      <c r="M432" s="14">
        <v>427</v>
      </c>
      <c r="N432" s="14">
        <f t="shared" si="50"/>
        <v>0</v>
      </c>
      <c r="O432" s="19">
        <f t="shared" si="51"/>
        <v>3893880.7888232097</v>
      </c>
      <c r="P432" s="19">
        <f t="shared" si="52"/>
        <v>532605.85590475739</v>
      </c>
      <c r="Q432" s="14">
        <f t="shared" si="53"/>
        <v>0</v>
      </c>
      <c r="R432" s="19">
        <f t="shared" si="54"/>
        <v>3679371.5007707928</v>
      </c>
      <c r="S432" s="19">
        <f t="shared" si="55"/>
        <v>517531.88748748426</v>
      </c>
      <c r="T432" s="14">
        <f t="shared" si="56"/>
        <v>0</v>
      </c>
      <c r="U432" s="18" t="str" cm="1">
        <f t="array" aca="1" ref="U432" ca="1">IF(M432&lt;=$N$1,L432,IF(M432&lt;=($N$1+1),INDIRECT("L"&amp;5+$X$2),""))</f>
        <v/>
      </c>
    </row>
    <row r="433" spans="12:21" hidden="1" x14ac:dyDescent="0.25">
      <c r="L433" s="18">
        <f t="shared" ca="1" si="57"/>
        <v>59240</v>
      </c>
      <c r="M433" s="14">
        <v>428</v>
      </c>
      <c r="N433" s="14">
        <f t="shared" si="50"/>
        <v>0</v>
      </c>
      <c r="O433" s="19">
        <f t="shared" si="51"/>
        <v>3930829.0173403043</v>
      </c>
      <c r="P433" s="19">
        <f t="shared" si="52"/>
        <v>535160.52897068521</v>
      </c>
      <c r="Q433" s="14">
        <f t="shared" si="53"/>
        <v>0</v>
      </c>
      <c r="R433" s="19">
        <f t="shared" si="54"/>
        <v>3714284.2950710137</v>
      </c>
      <c r="S433" s="19">
        <f t="shared" si="55"/>
        <v>520014.25744092208</v>
      </c>
      <c r="T433" s="14">
        <f t="shared" si="56"/>
        <v>0</v>
      </c>
      <c r="U433" s="18" t="str" cm="1">
        <f t="array" aca="1" ref="U433" ca="1">IF(M433&lt;=$N$1,L433,IF(M433&lt;=($N$1+1),INDIRECT("L"&amp;5+$X$2),""))</f>
        <v/>
      </c>
    </row>
    <row r="434" spans="12:21" hidden="1" x14ac:dyDescent="0.25">
      <c r="L434" s="18">
        <f t="shared" ca="1" si="57"/>
        <v>59271</v>
      </c>
      <c r="M434" s="14">
        <v>429</v>
      </c>
      <c r="N434" s="14">
        <f t="shared" si="50"/>
        <v>0</v>
      </c>
      <c r="O434" s="19">
        <f t="shared" si="51"/>
        <v>3968127.8399470965</v>
      </c>
      <c r="P434" s="19">
        <f t="shared" si="52"/>
        <v>537727.45566544775</v>
      </c>
      <c r="Q434" s="14">
        <f t="shared" si="53"/>
        <v>0</v>
      </c>
      <c r="R434" s="19">
        <f t="shared" si="54"/>
        <v>3749528.3696471169</v>
      </c>
      <c r="S434" s="19">
        <f t="shared" si="55"/>
        <v>522508.5342173684</v>
      </c>
      <c r="T434" s="14">
        <f t="shared" si="56"/>
        <v>0</v>
      </c>
      <c r="U434" s="18" t="str" cm="1">
        <f t="array" aca="1" ref="U434" ca="1">IF(M434&lt;=$N$1,L434,IF(M434&lt;=($N$1+1),INDIRECT("L"&amp;5+$X$2),""))</f>
        <v/>
      </c>
    </row>
    <row r="435" spans="12:21" hidden="1" x14ac:dyDescent="0.25">
      <c r="L435" s="18">
        <f t="shared" ca="1" si="57"/>
        <v>59301</v>
      </c>
      <c r="M435" s="14">
        <v>430</v>
      </c>
      <c r="N435" s="14">
        <f t="shared" si="50"/>
        <v>0</v>
      </c>
      <c r="O435" s="19">
        <f t="shared" si="51"/>
        <v>4005780.5833583088</v>
      </c>
      <c r="P435" s="19">
        <f t="shared" si="52"/>
        <v>540306.69476424542</v>
      </c>
      <c r="Q435" s="14">
        <f t="shared" si="53"/>
        <v>0</v>
      </c>
      <c r="R435" s="19">
        <f t="shared" si="54"/>
        <v>3785106.8679490425</v>
      </c>
      <c r="S435" s="19">
        <f t="shared" si="55"/>
        <v>525014.77492855012</v>
      </c>
      <c r="T435" s="14">
        <f t="shared" si="56"/>
        <v>0</v>
      </c>
      <c r="U435" s="18" t="str" cm="1">
        <f t="array" aca="1" ref="U435" ca="1">IF(M435&lt;=$N$1,L435,IF(M435&lt;=($N$1+1),INDIRECT("L"&amp;5+$X$2),""))</f>
        <v/>
      </c>
    </row>
    <row r="436" spans="12:21" hidden="1" x14ac:dyDescent="0.25">
      <c r="L436" s="18">
        <f t="shared" ca="1" si="57"/>
        <v>59332</v>
      </c>
      <c r="M436" s="14">
        <v>431</v>
      </c>
      <c r="N436" s="14">
        <f t="shared" si="50"/>
        <v>0</v>
      </c>
      <c r="O436" s="19">
        <f t="shared" si="51"/>
        <v>4043790.6058551697</v>
      </c>
      <c r="P436" s="19">
        <f t="shared" si="52"/>
        <v>542898.3053241967</v>
      </c>
      <c r="Q436" s="14">
        <f t="shared" si="53"/>
        <v>0</v>
      </c>
      <c r="R436" s="19">
        <f t="shared" si="54"/>
        <v>3821022.963254279</v>
      </c>
      <c r="S436" s="19">
        <f t="shared" si="55"/>
        <v>527533.0369601337</v>
      </c>
      <c r="T436" s="14">
        <f t="shared" si="56"/>
        <v>0</v>
      </c>
      <c r="U436" s="18" t="str" cm="1">
        <f t="array" aca="1" ref="U436" ca="1">IF(M436&lt;=$N$1,L436,IF(M436&lt;=($N$1+1),INDIRECT("L"&amp;5+$X$2),""))</f>
        <v/>
      </c>
    </row>
    <row r="437" spans="12:21" hidden="1" x14ac:dyDescent="0.25">
      <c r="L437" s="18">
        <f t="shared" ca="1" si="57"/>
        <v>59362</v>
      </c>
      <c r="M437" s="14">
        <v>432</v>
      </c>
      <c r="N437" s="14">
        <f t="shared" si="50"/>
        <v>0</v>
      </c>
      <c r="O437" s="19">
        <f t="shared" si="51"/>
        <v>4082161.2975849407</v>
      </c>
      <c r="P437" s="19">
        <f t="shared" si="52"/>
        <v>545502.34668568906</v>
      </c>
      <c r="Q437" s="14">
        <f t="shared" si="53"/>
        <v>0</v>
      </c>
      <c r="R437" s="19">
        <f t="shared" si="54"/>
        <v>3857279.8589508869</v>
      </c>
      <c r="S437" s="19">
        <f t="shared" si="55"/>
        <v>530063.37797303835</v>
      </c>
      <c r="T437" s="14">
        <f t="shared" si="56"/>
        <v>0</v>
      </c>
      <c r="U437" s="18" t="str" cm="1">
        <f t="array" aca="1" ref="U437" ca="1">IF(M437&lt;=$N$1,L437,IF(M437&lt;=($N$1+1),INDIRECT("L"&amp;5+$X$2),""))</f>
        <v/>
      </c>
    </row>
    <row r="438" spans="12:21" hidden="1" x14ac:dyDescent="0.25">
      <c r="L438" s="18">
        <f t="shared" ca="1" si="57"/>
        <v>59393</v>
      </c>
      <c r="M438" s="14">
        <v>433</v>
      </c>
      <c r="N438" s="14">
        <f t="shared" si="50"/>
        <v>0</v>
      </c>
      <c r="O438" s="19">
        <f t="shared" si="51"/>
        <v>4120896.0808632942</v>
      </c>
      <c r="P438" s="19">
        <f t="shared" si="52"/>
        <v>548118.87847374287</v>
      </c>
      <c r="Q438" s="14">
        <f t="shared" si="53"/>
        <v>0</v>
      </c>
      <c r="R438" s="19">
        <f t="shared" si="54"/>
        <v>3893880.7888232097</v>
      </c>
      <c r="S438" s="19">
        <f t="shared" si="55"/>
        <v>532605.85590475739</v>
      </c>
      <c r="T438" s="14">
        <f t="shared" si="56"/>
        <v>0</v>
      </c>
      <c r="U438" s="18" t="str" cm="1">
        <f t="array" aca="1" ref="U438" ca="1">IF(M438&lt;=$N$1,L438,IF(M438&lt;=($N$1+1),INDIRECT("L"&amp;5+$X$2),""))</f>
        <v/>
      </c>
    </row>
    <row r="439" spans="12:21" hidden="1" x14ac:dyDescent="0.25">
      <c r="L439" s="18">
        <f t="shared" ca="1" si="57"/>
        <v>59424</v>
      </c>
      <c r="M439" s="14">
        <v>434</v>
      </c>
      <c r="N439" s="14">
        <f t="shared" si="50"/>
        <v>0</v>
      </c>
      <c r="O439" s="19">
        <f t="shared" si="51"/>
        <v>4159998.41047954</v>
      </c>
      <c r="P439" s="19">
        <f t="shared" si="52"/>
        <v>550747.96059936972</v>
      </c>
      <c r="Q439" s="14">
        <f t="shared" si="53"/>
        <v>0</v>
      </c>
      <c r="R439" s="19">
        <f t="shared" si="54"/>
        <v>3930829.0173403043</v>
      </c>
      <c r="S439" s="19">
        <f t="shared" si="55"/>
        <v>535160.52897068521</v>
      </c>
      <c r="T439" s="14">
        <f t="shared" si="56"/>
        <v>0</v>
      </c>
      <c r="U439" s="18" t="str" cm="1">
        <f t="array" aca="1" ref="U439" ca="1">IF(M439&lt;=$N$1,L439,IF(M439&lt;=($N$1+1),INDIRECT("L"&amp;5+$X$2),""))</f>
        <v/>
      </c>
    </row>
    <row r="440" spans="12:21" hidden="1" x14ac:dyDescent="0.25">
      <c r="L440" s="18">
        <f t="shared" ca="1" si="57"/>
        <v>59454</v>
      </c>
      <c r="M440" s="14">
        <v>435</v>
      </c>
      <c r="N440" s="14">
        <f t="shared" si="50"/>
        <v>0</v>
      </c>
      <c r="O440" s="19">
        <f t="shared" si="51"/>
        <v>4199471.774004777</v>
      </c>
      <c r="P440" s="19">
        <f t="shared" si="52"/>
        <v>553389.65326094907</v>
      </c>
      <c r="Q440" s="14">
        <f t="shared" si="53"/>
        <v>0</v>
      </c>
      <c r="R440" s="19">
        <f t="shared" si="54"/>
        <v>3968127.8399470965</v>
      </c>
      <c r="S440" s="19">
        <f t="shared" si="55"/>
        <v>537727.45566544775</v>
      </c>
      <c r="T440" s="14">
        <f t="shared" si="56"/>
        <v>0</v>
      </c>
      <c r="U440" s="18" t="str" cm="1">
        <f t="array" aca="1" ref="U440" ca="1">IF(M440&lt;=$N$1,L440,IF(M440&lt;=($N$1+1),INDIRECT("L"&amp;5+$X$2),""))</f>
        <v/>
      </c>
    </row>
    <row r="441" spans="12:21" hidden="1" x14ac:dyDescent="0.25">
      <c r="L441" s="18">
        <f t="shared" ca="1" si="57"/>
        <v>59485</v>
      </c>
      <c r="M441" s="14">
        <v>436</v>
      </c>
      <c r="N441" s="14">
        <f t="shared" si="50"/>
        <v>0</v>
      </c>
      <c r="O441" s="19">
        <f t="shared" si="51"/>
        <v>4239319.6921029324</v>
      </c>
      <c r="P441" s="19">
        <f t="shared" si="52"/>
        <v>556044.01694560458</v>
      </c>
      <c r="Q441" s="14">
        <f t="shared" si="53"/>
        <v>0</v>
      </c>
      <c r="R441" s="19">
        <f t="shared" si="54"/>
        <v>4005780.5833583088</v>
      </c>
      <c r="S441" s="19">
        <f t="shared" si="55"/>
        <v>540306.69476424542</v>
      </c>
      <c r="T441" s="14">
        <f t="shared" si="56"/>
        <v>0</v>
      </c>
      <c r="U441" s="18" t="str" cm="1">
        <f t="array" aca="1" ref="U441" ca="1">IF(M441&lt;=$N$1,L441,IF(M441&lt;=($N$1+1),INDIRECT("L"&amp;5+$X$2),""))</f>
        <v/>
      </c>
    </row>
    <row r="442" spans="12:21" hidden="1" x14ac:dyDescent="0.25">
      <c r="L442" s="18">
        <f t="shared" ca="1" si="57"/>
        <v>59515</v>
      </c>
      <c r="M442" s="14">
        <v>437</v>
      </c>
      <c r="N442" s="14">
        <f t="shared" si="50"/>
        <v>0</v>
      </c>
      <c r="O442" s="19">
        <f t="shared" si="51"/>
        <v>4279545.7188447975</v>
      </c>
      <c r="P442" s="19">
        <f t="shared" si="52"/>
        <v>558711.11243059137</v>
      </c>
      <c r="Q442" s="14">
        <f t="shared" si="53"/>
        <v>0</v>
      </c>
      <c r="R442" s="19">
        <f t="shared" si="54"/>
        <v>4043790.6058551697</v>
      </c>
      <c r="S442" s="19">
        <f t="shared" si="55"/>
        <v>542898.3053241967</v>
      </c>
      <c r="T442" s="14">
        <f t="shared" si="56"/>
        <v>0</v>
      </c>
      <c r="U442" s="18" t="str" cm="1">
        <f t="array" aca="1" ref="U442" ca="1">IF(M442&lt;=$N$1,L442,IF(M442&lt;=($N$1+1),INDIRECT("L"&amp;5+$X$2),""))</f>
        <v/>
      </c>
    </row>
    <row r="443" spans="12:21" hidden="1" x14ac:dyDescent="0.25">
      <c r="L443" s="18">
        <f t="shared" ca="1" si="57"/>
        <v>59546</v>
      </c>
      <c r="M443" s="14">
        <v>438</v>
      </c>
      <c r="N443" s="14">
        <f t="shared" si="50"/>
        <v>0</v>
      </c>
      <c r="O443" s="19">
        <f t="shared" si="51"/>
        <v>4320153.4420249974</v>
      </c>
      <c r="P443" s="19">
        <f t="shared" si="52"/>
        <v>561391.00078468409</v>
      </c>
      <c r="Q443" s="14">
        <f t="shared" si="53"/>
        <v>0</v>
      </c>
      <c r="R443" s="19">
        <f t="shared" si="54"/>
        <v>4082161.2975849407</v>
      </c>
      <c r="S443" s="19">
        <f t="shared" si="55"/>
        <v>545502.34668568906</v>
      </c>
      <c r="T443" s="14">
        <f t="shared" si="56"/>
        <v>0</v>
      </c>
      <c r="U443" s="18" t="str" cm="1">
        <f t="array" aca="1" ref="U443" ca="1">IF(M443&lt;=$N$1,L443,IF(M443&lt;=($N$1+1),INDIRECT("L"&amp;5+$X$2),""))</f>
        <v/>
      </c>
    </row>
    <row r="444" spans="12:21" hidden="1" x14ac:dyDescent="0.25">
      <c r="L444" s="18">
        <f t="shared" ca="1" si="57"/>
        <v>59577</v>
      </c>
      <c r="M444" s="14">
        <v>439</v>
      </c>
      <c r="N444" s="14">
        <f t="shared" si="50"/>
        <v>0</v>
      </c>
      <c r="O444" s="19">
        <f t="shared" si="51"/>
        <v>4361146.4834820004</v>
      </c>
      <c r="P444" s="19">
        <f t="shared" si="52"/>
        <v>564083.74336957827</v>
      </c>
      <c r="Q444" s="14">
        <f t="shared" si="53"/>
        <v>0</v>
      </c>
      <c r="R444" s="19">
        <f t="shared" si="54"/>
        <v>4120896.0808632942</v>
      </c>
      <c r="S444" s="19">
        <f t="shared" si="55"/>
        <v>548118.87847374287</v>
      </c>
      <c r="T444" s="14">
        <f t="shared" si="56"/>
        <v>0</v>
      </c>
      <c r="U444" s="18" t="str" cm="1">
        <f t="array" aca="1" ref="U444" ca="1">IF(M444&lt;=$N$1,L444,IF(M444&lt;=($N$1+1),INDIRECT("L"&amp;5+$X$2),""))</f>
        <v/>
      </c>
    </row>
    <row r="445" spans="12:21" hidden="1" x14ac:dyDescent="0.25">
      <c r="L445" s="18">
        <f t="shared" ca="1" si="57"/>
        <v>59605</v>
      </c>
      <c r="M445" s="14">
        <v>440</v>
      </c>
      <c r="N445" s="14">
        <f t="shared" si="50"/>
        <v>0</v>
      </c>
      <c r="O445" s="19">
        <f t="shared" si="51"/>
        <v>4402528.4994211467</v>
      </c>
      <c r="P445" s="19">
        <f t="shared" si="52"/>
        <v>566789.40184129367</v>
      </c>
      <c r="Q445" s="14">
        <f t="shared" si="53"/>
        <v>0</v>
      </c>
      <c r="R445" s="19">
        <f t="shared" si="54"/>
        <v>4159998.41047954</v>
      </c>
      <c r="S445" s="19">
        <f t="shared" si="55"/>
        <v>550747.96059936972</v>
      </c>
      <c r="T445" s="14">
        <f t="shared" si="56"/>
        <v>0</v>
      </c>
      <c r="U445" s="18" t="str" cm="1">
        <f t="array" aca="1" ref="U445" ca="1">IF(M445&lt;=$N$1,L445,IF(M445&lt;=($N$1+1),INDIRECT("L"&amp;5+$X$2),""))</f>
        <v/>
      </c>
    </row>
    <row r="446" spans="12:21" hidden="1" x14ac:dyDescent="0.25">
      <c r="L446" s="18">
        <f t="shared" ca="1" si="57"/>
        <v>59636</v>
      </c>
      <c r="M446" s="14">
        <v>441</v>
      </c>
      <c r="N446" s="14">
        <f t="shared" si="50"/>
        <v>0</v>
      </c>
      <c r="O446" s="19">
        <f t="shared" si="51"/>
        <v>4444303.1807407541</v>
      </c>
      <c r="P446" s="19">
        <f t="shared" si="52"/>
        <v>569508.03815158596</v>
      </c>
      <c r="Q446" s="14">
        <f t="shared" si="53"/>
        <v>0</v>
      </c>
      <c r="R446" s="19">
        <f t="shared" si="54"/>
        <v>4199471.774004777</v>
      </c>
      <c r="S446" s="19">
        <f t="shared" si="55"/>
        <v>553389.65326094907</v>
      </c>
      <c r="T446" s="14">
        <f t="shared" si="56"/>
        <v>0</v>
      </c>
      <c r="U446" s="18" t="str" cm="1">
        <f t="array" aca="1" ref="U446" ca="1">IF(M446&lt;=$N$1,L446,IF(M446&lt;=($N$1+1),INDIRECT("L"&amp;5+$X$2),""))</f>
        <v/>
      </c>
    </row>
    <row r="447" spans="12:21" hidden="1" x14ac:dyDescent="0.25">
      <c r="L447" s="18">
        <f t="shared" ca="1" si="57"/>
        <v>59666</v>
      </c>
      <c r="M447" s="14">
        <v>442</v>
      </c>
      <c r="N447" s="14">
        <f t="shared" si="50"/>
        <v>0</v>
      </c>
      <c r="O447" s="19">
        <f t="shared" si="51"/>
        <v>4486474.2533613127</v>
      </c>
      <c r="P447" s="19">
        <f t="shared" si="52"/>
        <v>572239.71454936732</v>
      </c>
      <c r="Q447" s="14">
        <f t="shared" si="53"/>
        <v>0</v>
      </c>
      <c r="R447" s="19">
        <f t="shared" si="54"/>
        <v>4239319.6921029324</v>
      </c>
      <c r="S447" s="19">
        <f t="shared" si="55"/>
        <v>556044.01694560458</v>
      </c>
      <c r="T447" s="14">
        <f t="shared" si="56"/>
        <v>0</v>
      </c>
      <c r="U447" s="18" t="str" cm="1">
        <f t="array" aca="1" ref="U447" ca="1">IF(M447&lt;=$N$1,L447,IF(M447&lt;=($N$1+1),INDIRECT("L"&amp;5+$X$2),""))</f>
        <v/>
      </c>
    </row>
    <row r="448" spans="12:21" hidden="1" x14ac:dyDescent="0.25">
      <c r="L448" s="18">
        <f t="shared" ca="1" si="57"/>
        <v>59697</v>
      </c>
      <c r="M448" s="14">
        <v>443</v>
      </c>
      <c r="N448" s="14">
        <f t="shared" si="50"/>
        <v>0</v>
      </c>
      <c r="O448" s="19">
        <f t="shared" si="51"/>
        <v>4529045.4785577962</v>
      </c>
      <c r="P448" s="19">
        <f t="shared" si="52"/>
        <v>574984.49358212878</v>
      </c>
      <c r="Q448" s="14">
        <f t="shared" si="53"/>
        <v>0</v>
      </c>
      <c r="R448" s="19">
        <f t="shared" si="54"/>
        <v>4279545.7188447975</v>
      </c>
      <c r="S448" s="19">
        <f t="shared" si="55"/>
        <v>558711.11243059137</v>
      </c>
      <c r="T448" s="14">
        <f t="shared" si="56"/>
        <v>0</v>
      </c>
      <c r="U448" s="18" t="str" cm="1">
        <f t="array" aca="1" ref="U448" ca="1">IF(M448&lt;=$N$1,L448,IF(M448&lt;=($N$1+1),INDIRECT("L"&amp;5+$X$2),""))</f>
        <v/>
      </c>
    </row>
    <row r="449" spans="12:21" hidden="1" x14ac:dyDescent="0.25">
      <c r="L449" s="18">
        <f t="shared" ca="1" si="57"/>
        <v>59727</v>
      </c>
      <c r="M449" s="14">
        <v>444</v>
      </c>
      <c r="N449" s="14">
        <f t="shared" si="50"/>
        <v>0</v>
      </c>
      <c r="O449" s="19">
        <f t="shared" si="51"/>
        <v>4572020.6532951407</v>
      </c>
      <c r="P449" s="19">
        <f t="shared" si="52"/>
        <v>577742.43809737358</v>
      </c>
      <c r="Q449" s="14">
        <f t="shared" si="53"/>
        <v>0</v>
      </c>
      <c r="R449" s="19">
        <f t="shared" si="54"/>
        <v>4320153.4420249974</v>
      </c>
      <c r="S449" s="19">
        <f t="shared" si="55"/>
        <v>561391.00078468409</v>
      </c>
      <c r="T449" s="14">
        <f t="shared" si="56"/>
        <v>0</v>
      </c>
      <c r="U449" s="18" t="str" cm="1">
        <f t="array" aca="1" ref="U449" ca="1">IF(M449&lt;=$N$1,L449,IF(M449&lt;=($N$1+1),INDIRECT("L"&amp;5+$X$2),""))</f>
        <v/>
      </c>
    </row>
    <row r="450" spans="12:21" hidden="1" x14ac:dyDescent="0.25">
      <c r="L450" s="18">
        <f t="shared" ca="1" si="57"/>
        <v>59758</v>
      </c>
      <c r="M450" s="14">
        <v>445</v>
      </c>
      <c r="N450" s="14">
        <f t="shared" si="50"/>
        <v>0</v>
      </c>
      <c r="O450" s="19">
        <f t="shared" si="51"/>
        <v>4615403.6105668945</v>
      </c>
      <c r="P450" s="19">
        <f t="shared" si="52"/>
        <v>580513.61124405928</v>
      </c>
      <c r="Q450" s="14">
        <f t="shared" si="53"/>
        <v>0</v>
      </c>
      <c r="R450" s="19">
        <f t="shared" si="54"/>
        <v>4361146.4834820004</v>
      </c>
      <c r="S450" s="19">
        <f t="shared" si="55"/>
        <v>564083.74336957827</v>
      </c>
      <c r="T450" s="14">
        <f t="shared" si="56"/>
        <v>0</v>
      </c>
      <c r="U450" s="18" t="str" cm="1">
        <f t="array" aca="1" ref="U450" ca="1">IF(M450&lt;=$N$1,L450,IF(M450&lt;=($N$1+1),INDIRECT("L"&amp;5+$X$2),""))</f>
        <v/>
      </c>
    </row>
    <row r="451" spans="12:21" hidden="1" x14ac:dyDescent="0.25">
      <c r="L451" s="18">
        <f t="shared" ca="1" si="57"/>
        <v>59789</v>
      </c>
      <c r="M451" s="14">
        <v>446</v>
      </c>
      <c r="N451" s="14">
        <f t="shared" si="50"/>
        <v>0</v>
      </c>
      <c r="O451" s="19">
        <f t="shared" si="51"/>
        <v>4659198.2197370911</v>
      </c>
      <c r="P451" s="19">
        <f t="shared" si="52"/>
        <v>583298.07647403749</v>
      </c>
      <c r="Q451" s="14">
        <f t="shared" si="53"/>
        <v>0</v>
      </c>
      <c r="R451" s="19">
        <f t="shared" si="54"/>
        <v>4402528.4994211467</v>
      </c>
      <c r="S451" s="19">
        <f t="shared" si="55"/>
        <v>566789.40184129367</v>
      </c>
      <c r="T451" s="14">
        <f t="shared" si="56"/>
        <v>0</v>
      </c>
      <c r="U451" s="18" t="str" cm="1">
        <f t="array" aca="1" ref="U451" ca="1">IF(M451&lt;=$N$1,L451,IF(M451&lt;=($N$1+1),INDIRECT("L"&amp;5+$X$2),""))</f>
        <v/>
      </c>
    </row>
    <row r="452" spans="12:21" hidden="1" x14ac:dyDescent="0.25">
      <c r="L452" s="18">
        <f t="shared" ca="1" si="57"/>
        <v>59819</v>
      </c>
      <c r="M452" s="14">
        <v>447</v>
      </c>
      <c r="N452" s="14">
        <f t="shared" si="50"/>
        <v>0</v>
      </c>
      <c r="O452" s="19">
        <f t="shared" si="51"/>
        <v>4703408.3868853552</v>
      </c>
      <c r="P452" s="19">
        <f t="shared" si="52"/>
        <v>586095.89754351147</v>
      </c>
      <c r="Q452" s="14">
        <f t="shared" si="53"/>
        <v>0</v>
      </c>
      <c r="R452" s="19">
        <f t="shared" si="54"/>
        <v>4444303.1807407541</v>
      </c>
      <c r="S452" s="19">
        <f t="shared" si="55"/>
        <v>569508.03815158596</v>
      </c>
      <c r="T452" s="14">
        <f t="shared" si="56"/>
        <v>0</v>
      </c>
      <c r="U452" s="18" t="str" cm="1">
        <f t="array" aca="1" ref="U452" ca="1">IF(M452&lt;=$N$1,L452,IF(M452&lt;=($N$1+1),INDIRECT("L"&amp;5+$X$2),""))</f>
        <v/>
      </c>
    </row>
    <row r="453" spans="12:21" hidden="1" x14ac:dyDescent="0.25">
      <c r="L453" s="18">
        <f t="shared" ca="1" si="57"/>
        <v>59850</v>
      </c>
      <c r="M453" s="14">
        <v>448</v>
      </c>
      <c r="N453" s="14">
        <f t="shared" si="50"/>
        <v>0</v>
      </c>
      <c r="O453" s="19">
        <f t="shared" si="51"/>
        <v>4748038.0551552912</v>
      </c>
      <c r="P453" s="19">
        <f t="shared" si="52"/>
        <v>588907.13851449452</v>
      </c>
      <c r="Q453" s="14">
        <f t="shared" si="53"/>
        <v>0</v>
      </c>
      <c r="R453" s="19">
        <f t="shared" si="54"/>
        <v>4486474.2533613127</v>
      </c>
      <c r="S453" s="19">
        <f t="shared" si="55"/>
        <v>572239.71454936732</v>
      </c>
      <c r="T453" s="14">
        <f t="shared" si="56"/>
        <v>0</v>
      </c>
      <c r="U453" s="18" t="str" cm="1">
        <f t="array" aca="1" ref="U453" ca="1">IF(M453&lt;=$N$1,L453,IF(M453&lt;=($N$1+1),INDIRECT("L"&amp;5+$X$2),""))</f>
        <v/>
      </c>
    </row>
    <row r="454" spans="12:21" hidden="1" x14ac:dyDescent="0.25">
      <c r="L454" s="18">
        <f t="shared" ca="1" si="57"/>
        <v>59880</v>
      </c>
      <c r="M454" s="14">
        <v>449</v>
      </c>
      <c r="N454" s="14">
        <f t="shared" ref="N454:N517" si="58">IF($N$1&gt;=M454,SIPMonthlyPmt*M454,0)</f>
        <v>0</v>
      </c>
      <c r="O454" s="19">
        <f t="shared" ref="O454:O517" si="59">IF($X$2&gt;=M454,IF(M454&lt;=$N$1,FV(SRate,M454,-SIPMonthlyPmt,0,1),FV(SRate,M454-$N$1,0,-$X$1,1)),0)</f>
        <v>4793091.2051061811</v>
      </c>
      <c r="P454" s="19">
        <f t="shared" ref="P454:P485" si="60">O454/((1+SIPInflationRate)^(M454/12))</f>
        <v>591731.86375627725</v>
      </c>
      <c r="Q454" s="14">
        <f t="shared" ref="Q454:Q517" si="61">IF((M454-$C$15)&gt;0, IF($N$1+$C$15&gt;=M454,SIPMonthlyPmt*(M454-$C$15),0),0)</f>
        <v>0</v>
      </c>
      <c r="R454" s="19">
        <f t="shared" ref="R454:R517" si="62">IF(M454&lt;=$C$15,0,IF($X$2&gt;=M454,IF(M454&lt;=($N$1+$C$15),FV(SRate,M454-$C$15,-SIPMonthlyPmt,0,1),FV(SRate,M454-$N$1-$C$15,0,-$X$1,1)),0))</f>
        <v>4529045.4785577962</v>
      </c>
      <c r="S454" s="19">
        <f t="shared" ref="S454:S517" si="63">R454/((1+SIPInflationRate)^((M454-$C$15)/12))</f>
        <v>574984.49358212878</v>
      </c>
      <c r="T454" s="14">
        <f t="shared" ref="T454:T517" si="64">IF(M454&lt;=$N$1,-SIPMonthlyPmt,IF(M454&lt;=($N$1+1),$X$4,0))</f>
        <v>0</v>
      </c>
      <c r="U454" s="18" t="str" cm="1">
        <f t="array" aca="1" ref="U454" ca="1">IF(M454&lt;=$N$1,L454,IF(M454&lt;=($N$1+1),INDIRECT("L"&amp;5+$X$2),""))</f>
        <v/>
      </c>
    </row>
    <row r="455" spans="12:21" hidden="1" x14ac:dyDescent="0.25">
      <c r="L455" s="18">
        <f t="shared" ca="1" si="57"/>
        <v>59911</v>
      </c>
      <c r="M455" s="14">
        <v>450</v>
      </c>
      <c r="N455" s="14">
        <f t="shared" si="58"/>
        <v>0</v>
      </c>
      <c r="O455" s="19">
        <f t="shared" si="59"/>
        <v>4838571.8550680047</v>
      </c>
      <c r="P455" s="19">
        <f t="shared" si="60"/>
        <v>594570.13794690021</v>
      </c>
      <c r="Q455" s="14">
        <f t="shared" si="61"/>
        <v>0</v>
      </c>
      <c r="R455" s="19">
        <f t="shared" si="62"/>
        <v>4572020.6532951407</v>
      </c>
      <c r="S455" s="19">
        <f t="shared" si="63"/>
        <v>577742.43809737358</v>
      </c>
      <c r="T455" s="14">
        <f t="shared" si="64"/>
        <v>0</v>
      </c>
      <c r="U455" s="18" t="str" cm="1">
        <f t="array" aca="1" ref="U455" ca="1">IF(M455&lt;=$N$1,L455,IF(M455&lt;=($N$1+1),INDIRECT("L"&amp;5+$X$2),""))</f>
        <v/>
      </c>
    </row>
    <row r="456" spans="12:21" hidden="1" x14ac:dyDescent="0.25">
      <c r="L456" s="18">
        <f t="shared" ca="1" si="57"/>
        <v>59942</v>
      </c>
      <c r="M456" s="14">
        <v>451</v>
      </c>
      <c r="N456" s="14">
        <f t="shared" si="58"/>
        <v>0</v>
      </c>
      <c r="O456" s="19">
        <f t="shared" si="59"/>
        <v>4884484.0614998471</v>
      </c>
      <c r="P456" s="19">
        <f t="shared" si="60"/>
        <v>597422.02607463696</v>
      </c>
      <c r="Q456" s="14">
        <f t="shared" si="61"/>
        <v>0</v>
      </c>
      <c r="R456" s="19">
        <f t="shared" si="62"/>
        <v>4615403.6105668945</v>
      </c>
      <c r="S456" s="19">
        <f t="shared" si="63"/>
        <v>580513.61124405928</v>
      </c>
      <c r="T456" s="14">
        <f t="shared" si="64"/>
        <v>0</v>
      </c>
      <c r="U456" s="18" t="str" cm="1">
        <f t="array" aca="1" ref="U456" ca="1">IF(M456&lt;=$N$1,L456,IF(M456&lt;=($N$1+1),INDIRECT("L"&amp;5+$X$2),""))</f>
        <v/>
      </c>
    </row>
    <row r="457" spans="12:21" hidden="1" x14ac:dyDescent="0.25">
      <c r="L457" s="18">
        <f t="shared" ref="L457:L520" ca="1" si="65">EDATE(L456,1)</f>
        <v>59971</v>
      </c>
      <c r="M457" s="14">
        <v>452</v>
      </c>
      <c r="N457" s="14">
        <f t="shared" si="58"/>
        <v>0</v>
      </c>
      <c r="O457" s="19">
        <f t="shared" si="59"/>
        <v>4930831.9193516895</v>
      </c>
      <c r="P457" s="19">
        <f t="shared" si="60"/>
        <v>600287.59343947947</v>
      </c>
      <c r="Q457" s="14">
        <f t="shared" si="61"/>
        <v>0</v>
      </c>
      <c r="R457" s="19">
        <f t="shared" si="62"/>
        <v>4659198.2197370911</v>
      </c>
      <c r="S457" s="19">
        <f t="shared" si="63"/>
        <v>583298.07647403749</v>
      </c>
      <c r="T457" s="14">
        <f t="shared" si="64"/>
        <v>0</v>
      </c>
      <c r="U457" s="18" t="str" cm="1">
        <f t="array" aca="1" ref="U457" ca="1">IF(M457&lt;=$N$1,L457,IF(M457&lt;=($N$1+1),INDIRECT("L"&amp;5+$X$2),""))</f>
        <v/>
      </c>
    </row>
    <row r="458" spans="12:21" hidden="1" x14ac:dyDescent="0.25">
      <c r="L458" s="18">
        <f t="shared" ca="1" si="65"/>
        <v>60002</v>
      </c>
      <c r="M458" s="14">
        <v>453</v>
      </c>
      <c r="N458" s="14">
        <f t="shared" si="58"/>
        <v>0</v>
      </c>
      <c r="O458" s="19">
        <f t="shared" si="59"/>
        <v>4977619.5624296498</v>
      </c>
      <c r="P458" s="19">
        <f t="shared" si="60"/>
        <v>603166.90565463551</v>
      </c>
      <c r="Q458" s="14">
        <f t="shared" si="61"/>
        <v>0</v>
      </c>
      <c r="R458" s="19">
        <f t="shared" si="62"/>
        <v>4703408.3868853552</v>
      </c>
      <c r="S458" s="19">
        <f t="shared" si="63"/>
        <v>586095.89754351147</v>
      </c>
      <c r="T458" s="14">
        <f t="shared" si="64"/>
        <v>0</v>
      </c>
      <c r="U458" s="18" t="str" cm="1">
        <f t="array" aca="1" ref="U458" ca="1">IF(M458&lt;=$N$1,L458,IF(M458&lt;=($N$1+1),INDIRECT("L"&amp;5+$X$2),""))</f>
        <v/>
      </c>
    </row>
    <row r="459" spans="12:21" hidden="1" x14ac:dyDescent="0.25">
      <c r="L459" s="18">
        <f t="shared" ca="1" si="65"/>
        <v>60032</v>
      </c>
      <c r="M459" s="14">
        <v>454</v>
      </c>
      <c r="N459" s="14">
        <f t="shared" si="58"/>
        <v>0</v>
      </c>
      <c r="O459" s="19">
        <f t="shared" si="59"/>
        <v>5024851.1637646761</v>
      </c>
      <c r="P459" s="19">
        <f t="shared" si="60"/>
        <v>606060.02864803013</v>
      </c>
      <c r="Q459" s="14">
        <f t="shared" si="61"/>
        <v>0</v>
      </c>
      <c r="R459" s="19">
        <f t="shared" si="62"/>
        <v>4748038.0551552912</v>
      </c>
      <c r="S459" s="19">
        <f t="shared" si="63"/>
        <v>588907.13851449452</v>
      </c>
      <c r="T459" s="14">
        <f t="shared" si="64"/>
        <v>0</v>
      </c>
      <c r="U459" s="18" t="str" cm="1">
        <f t="array" aca="1" ref="U459" ca="1">IF(M459&lt;=$N$1,L459,IF(M459&lt;=($N$1+1),INDIRECT("L"&amp;5+$X$2),""))</f>
        <v/>
      </c>
    </row>
    <row r="460" spans="12:21" hidden="1" x14ac:dyDescent="0.25">
      <c r="L460" s="18">
        <f t="shared" ca="1" si="65"/>
        <v>60063</v>
      </c>
      <c r="M460" s="14">
        <v>455</v>
      </c>
      <c r="N460" s="14">
        <f t="shared" si="58"/>
        <v>0</v>
      </c>
      <c r="O460" s="19">
        <f t="shared" si="59"/>
        <v>5072530.9359847382</v>
      </c>
      <c r="P460" s="19">
        <f t="shared" si="60"/>
        <v>608967.02866381546</v>
      </c>
      <c r="Q460" s="14">
        <f t="shared" si="61"/>
        <v>0</v>
      </c>
      <c r="R460" s="19">
        <f t="shared" si="62"/>
        <v>4793091.2051061811</v>
      </c>
      <c r="S460" s="19">
        <f t="shared" si="63"/>
        <v>591731.86375627725</v>
      </c>
      <c r="T460" s="14">
        <f t="shared" si="64"/>
        <v>0</v>
      </c>
      <c r="U460" s="18" t="str" cm="1">
        <f t="array" aca="1" ref="U460" ca="1">IF(M460&lt;=$N$1,L460,IF(M460&lt;=($N$1+1),INDIRECT("L"&amp;5+$X$2),""))</f>
        <v/>
      </c>
    </row>
    <row r="461" spans="12:21" hidden="1" x14ac:dyDescent="0.25">
      <c r="L461" s="18">
        <f t="shared" ca="1" si="65"/>
        <v>60093</v>
      </c>
      <c r="M461" s="14">
        <v>456</v>
      </c>
      <c r="N461" s="14">
        <f t="shared" si="58"/>
        <v>0</v>
      </c>
      <c r="O461" s="19">
        <f t="shared" si="59"/>
        <v>5120663.1316905636</v>
      </c>
      <c r="P461" s="19">
        <f t="shared" si="60"/>
        <v>611887.97226388566</v>
      </c>
      <c r="Q461" s="14">
        <f t="shared" si="61"/>
        <v>0</v>
      </c>
      <c r="R461" s="19">
        <f t="shared" si="62"/>
        <v>4838571.8550680047</v>
      </c>
      <c r="S461" s="19">
        <f t="shared" si="63"/>
        <v>594570.13794690021</v>
      </c>
      <c r="T461" s="14">
        <f t="shared" si="64"/>
        <v>0</v>
      </c>
      <c r="U461" s="18" t="str" cm="1">
        <f t="array" aca="1" ref="U461" ca="1">IF(M461&lt;=$N$1,L461,IF(M461&lt;=($N$1+1),INDIRECT("L"&amp;5+$X$2),""))</f>
        <v/>
      </c>
    </row>
    <row r="462" spans="12:21" hidden="1" x14ac:dyDescent="0.25">
      <c r="L462" s="18">
        <f t="shared" ca="1" si="65"/>
        <v>60124</v>
      </c>
      <c r="M462" s="14">
        <v>457</v>
      </c>
      <c r="N462" s="14">
        <f t="shared" si="58"/>
        <v>0</v>
      </c>
      <c r="O462" s="19">
        <f t="shared" si="59"/>
        <v>5169252.0438349284</v>
      </c>
      <c r="P462" s="19">
        <f t="shared" si="60"/>
        <v>614822.92632940621</v>
      </c>
      <c r="Q462" s="14">
        <f t="shared" si="61"/>
        <v>0</v>
      </c>
      <c r="R462" s="19">
        <f t="shared" si="62"/>
        <v>4884484.0614998471</v>
      </c>
      <c r="S462" s="19">
        <f t="shared" si="63"/>
        <v>597422.02607463696</v>
      </c>
      <c r="T462" s="14">
        <f t="shared" si="64"/>
        <v>0</v>
      </c>
      <c r="U462" s="18" t="str" cm="1">
        <f t="array" aca="1" ref="U462" ca="1">IF(M462&lt;=$N$1,L462,IF(M462&lt;=($N$1+1),INDIRECT("L"&amp;5+$X$2),""))</f>
        <v/>
      </c>
    </row>
    <row r="463" spans="12:21" hidden="1" x14ac:dyDescent="0.25">
      <c r="L463" s="18">
        <f t="shared" ca="1" si="65"/>
        <v>60155</v>
      </c>
      <c r="M463" s="14">
        <v>458</v>
      </c>
      <c r="N463" s="14">
        <f t="shared" si="58"/>
        <v>0</v>
      </c>
      <c r="O463" s="19">
        <f t="shared" si="59"/>
        <v>5218302.0061055496</v>
      </c>
      <c r="P463" s="19">
        <f t="shared" si="60"/>
        <v>617771.95806233841</v>
      </c>
      <c r="Q463" s="14">
        <f t="shared" si="61"/>
        <v>0</v>
      </c>
      <c r="R463" s="19">
        <f t="shared" si="62"/>
        <v>4930831.9193516895</v>
      </c>
      <c r="S463" s="19">
        <f t="shared" si="63"/>
        <v>600287.59343947947</v>
      </c>
      <c r="T463" s="14">
        <f t="shared" si="64"/>
        <v>0</v>
      </c>
      <c r="U463" s="18" t="str" cm="1">
        <f t="array" aca="1" ref="U463" ca="1">IF(M463&lt;=$N$1,L463,IF(M463&lt;=($N$1+1),INDIRECT("L"&amp;5+$X$2),""))</f>
        <v/>
      </c>
    </row>
    <row r="464" spans="12:21" hidden="1" x14ac:dyDescent="0.25">
      <c r="L464" s="18">
        <f t="shared" ca="1" si="65"/>
        <v>60185</v>
      </c>
      <c r="M464" s="14">
        <v>459</v>
      </c>
      <c r="N464" s="14">
        <f t="shared" si="58"/>
        <v>0</v>
      </c>
      <c r="O464" s="19">
        <f t="shared" si="59"/>
        <v>5267817.3933116049</v>
      </c>
      <c r="P464" s="19">
        <f t="shared" si="60"/>
        <v>620735.13498698233</v>
      </c>
      <c r="Q464" s="14">
        <f t="shared" si="61"/>
        <v>0</v>
      </c>
      <c r="R464" s="19">
        <f t="shared" si="62"/>
        <v>4977619.5624296498</v>
      </c>
      <c r="S464" s="19">
        <f t="shared" si="63"/>
        <v>603166.90565463551</v>
      </c>
      <c r="T464" s="14">
        <f t="shared" si="64"/>
        <v>0</v>
      </c>
      <c r="U464" s="18" t="str" cm="1">
        <f t="array" aca="1" ref="U464" ca="1">IF(M464&lt;=$N$1,L464,IF(M464&lt;=($N$1+1),INDIRECT("L"&amp;5+$X$2),""))</f>
        <v/>
      </c>
    </row>
    <row r="465" spans="12:21" hidden="1" x14ac:dyDescent="0.25">
      <c r="L465" s="18">
        <f t="shared" ca="1" si="65"/>
        <v>60216</v>
      </c>
      <c r="M465" s="14">
        <v>460</v>
      </c>
      <c r="N465" s="14">
        <f t="shared" si="58"/>
        <v>0</v>
      </c>
      <c r="O465" s="19">
        <f t="shared" si="59"/>
        <v>5317802.621773934</v>
      </c>
      <c r="P465" s="19">
        <f t="shared" si="60"/>
        <v>623712.52495152224</v>
      </c>
      <c r="Q465" s="14">
        <f t="shared" si="61"/>
        <v>0</v>
      </c>
      <c r="R465" s="19">
        <f t="shared" si="62"/>
        <v>5024851.1637646761</v>
      </c>
      <c r="S465" s="19">
        <f t="shared" si="63"/>
        <v>606060.02864803013</v>
      </c>
      <c r="T465" s="14">
        <f t="shared" si="64"/>
        <v>0</v>
      </c>
      <c r="U465" s="18" t="str" cm="1">
        <f t="array" aca="1" ref="U465" ca="1">IF(M465&lt;=$N$1,L465,IF(M465&lt;=($N$1+1),INDIRECT("L"&amp;5+$X$2),""))</f>
        <v/>
      </c>
    </row>
    <row r="466" spans="12:21" hidden="1" x14ac:dyDescent="0.25">
      <c r="L466" s="18">
        <f t="shared" ca="1" si="65"/>
        <v>60246</v>
      </c>
      <c r="M466" s="14">
        <v>461</v>
      </c>
      <c r="N466" s="14">
        <f t="shared" si="58"/>
        <v>0</v>
      </c>
      <c r="O466" s="19">
        <f t="shared" si="59"/>
        <v>5368262.1497189291</v>
      </c>
      <c r="P466" s="19">
        <f t="shared" si="60"/>
        <v>626704.19612958049</v>
      </c>
      <c r="Q466" s="14">
        <f t="shared" si="61"/>
        <v>0</v>
      </c>
      <c r="R466" s="19">
        <f t="shared" si="62"/>
        <v>5072530.9359847382</v>
      </c>
      <c r="S466" s="19">
        <f t="shared" si="63"/>
        <v>608967.02866381546</v>
      </c>
      <c r="T466" s="14">
        <f t="shared" si="64"/>
        <v>0</v>
      </c>
      <c r="U466" s="18" t="str" cm="1">
        <f t="array" aca="1" ref="U466" ca="1">IF(M466&lt;=$N$1,L466,IF(M466&lt;=($N$1+1),INDIRECT("L"&amp;5+$X$2),""))</f>
        <v/>
      </c>
    </row>
    <row r="467" spans="12:21" hidden="1" x14ac:dyDescent="0.25">
      <c r="L467" s="18">
        <f t="shared" ca="1" si="65"/>
        <v>60277</v>
      </c>
      <c r="M467" s="14">
        <v>462</v>
      </c>
      <c r="N467" s="14">
        <f t="shared" si="58"/>
        <v>0</v>
      </c>
      <c r="O467" s="19">
        <f t="shared" si="59"/>
        <v>5419200.4776761718</v>
      </c>
      <c r="P467" s="19">
        <f t="shared" si="60"/>
        <v>629710.21702177695</v>
      </c>
      <c r="Q467" s="14">
        <f t="shared" si="61"/>
        <v>0</v>
      </c>
      <c r="R467" s="19">
        <f t="shared" si="62"/>
        <v>5120663.1316905636</v>
      </c>
      <c r="S467" s="19">
        <f t="shared" si="63"/>
        <v>611887.97226388566</v>
      </c>
      <c r="T467" s="14">
        <f t="shared" si="64"/>
        <v>0</v>
      </c>
      <c r="U467" s="18" t="str" cm="1">
        <f t="array" aca="1" ref="U467" ca="1">IF(M467&lt;=$N$1,L467,IF(M467&lt;=($N$1+1),INDIRECT("L"&amp;5+$X$2),""))</f>
        <v/>
      </c>
    </row>
    <row r="468" spans="12:21" hidden="1" x14ac:dyDescent="0.25">
      <c r="L468" s="18">
        <f t="shared" ca="1" si="65"/>
        <v>60308</v>
      </c>
      <c r="M468" s="14">
        <v>463</v>
      </c>
      <c r="N468" s="14">
        <f t="shared" si="58"/>
        <v>0</v>
      </c>
      <c r="O468" s="19">
        <f t="shared" si="59"/>
        <v>5470622.1488798354</v>
      </c>
      <c r="P468" s="19">
        <f t="shared" si="60"/>
        <v>632730.65645729925</v>
      </c>
      <c r="Q468" s="14">
        <f t="shared" si="61"/>
        <v>0</v>
      </c>
      <c r="R468" s="19">
        <f t="shared" si="62"/>
        <v>5169252.0438349284</v>
      </c>
      <c r="S468" s="19">
        <f t="shared" si="63"/>
        <v>614822.92632940621</v>
      </c>
      <c r="T468" s="14">
        <f t="shared" si="64"/>
        <v>0</v>
      </c>
      <c r="U468" s="18" t="str" cm="1">
        <f t="array" aca="1" ref="U468" ca="1">IF(M468&lt;=$N$1,L468,IF(M468&lt;=($N$1+1),INDIRECT("L"&amp;5+$X$2),""))</f>
        <v/>
      </c>
    </row>
    <row r="469" spans="12:21" hidden="1" x14ac:dyDescent="0.25">
      <c r="L469" s="18">
        <f t="shared" ca="1" si="65"/>
        <v>60336</v>
      </c>
      <c r="M469" s="14">
        <v>464</v>
      </c>
      <c r="N469" s="14">
        <f t="shared" si="58"/>
        <v>0</v>
      </c>
      <c r="O469" s="19">
        <f t="shared" si="59"/>
        <v>5522531.7496738993</v>
      </c>
      <c r="P469" s="19">
        <f t="shared" si="60"/>
        <v>635765.58359547774</v>
      </c>
      <c r="Q469" s="14">
        <f t="shared" si="61"/>
        <v>0</v>
      </c>
      <c r="R469" s="19">
        <f t="shared" si="62"/>
        <v>5218302.0061055496</v>
      </c>
      <c r="S469" s="19">
        <f t="shared" si="63"/>
        <v>617771.95806233841</v>
      </c>
      <c r="T469" s="14">
        <f t="shared" si="64"/>
        <v>0</v>
      </c>
      <c r="U469" s="18" t="str" cm="1">
        <f t="array" aca="1" ref="U469" ca="1">IF(M469&lt;=$N$1,L469,IF(M469&lt;=($N$1+1),INDIRECT("L"&amp;5+$X$2),""))</f>
        <v/>
      </c>
    </row>
    <row r="470" spans="12:21" hidden="1" x14ac:dyDescent="0.25">
      <c r="L470" s="18">
        <f t="shared" ca="1" si="65"/>
        <v>60367</v>
      </c>
      <c r="M470" s="14">
        <v>465</v>
      </c>
      <c r="N470" s="14">
        <f t="shared" si="58"/>
        <v>0</v>
      </c>
      <c r="O470" s="19">
        <f t="shared" si="59"/>
        <v>5574933.9099212158</v>
      </c>
      <c r="P470" s="19">
        <f t="shared" si="60"/>
        <v>638815.0679273688</v>
      </c>
      <c r="Q470" s="14">
        <f t="shared" si="61"/>
        <v>0</v>
      </c>
      <c r="R470" s="19">
        <f t="shared" si="62"/>
        <v>5267817.3933116049</v>
      </c>
      <c r="S470" s="19">
        <f t="shared" si="63"/>
        <v>620735.13498698233</v>
      </c>
      <c r="T470" s="14">
        <f t="shared" si="64"/>
        <v>0</v>
      </c>
      <c r="U470" s="18" t="str" cm="1">
        <f t="array" aca="1" ref="U470" ca="1">IF(M470&lt;=$N$1,L470,IF(M470&lt;=($N$1+1),INDIRECT("L"&amp;5+$X$2),""))</f>
        <v/>
      </c>
    </row>
    <row r="471" spans="12:21" hidden="1" x14ac:dyDescent="0.25">
      <c r="L471" s="18">
        <f t="shared" ca="1" si="65"/>
        <v>60397</v>
      </c>
      <c r="M471" s="14">
        <v>466</v>
      </c>
      <c r="N471" s="14">
        <f t="shared" si="58"/>
        <v>0</v>
      </c>
      <c r="O471" s="19">
        <f t="shared" si="59"/>
        <v>5627833.303416444</v>
      </c>
      <c r="P471" s="19">
        <f t="shared" si="60"/>
        <v>641879.17927734694</v>
      </c>
      <c r="Q471" s="14">
        <f t="shared" si="61"/>
        <v>0</v>
      </c>
      <c r="R471" s="19">
        <f t="shared" si="62"/>
        <v>5317802.621773934</v>
      </c>
      <c r="S471" s="19">
        <f t="shared" si="63"/>
        <v>623712.52495152224</v>
      </c>
      <c r="T471" s="14">
        <f t="shared" si="64"/>
        <v>0</v>
      </c>
      <c r="U471" s="18" t="str" cm="1">
        <f t="array" aca="1" ref="U471" ca="1">IF(M471&lt;=$N$1,L471,IF(M471&lt;=($N$1+1),INDIRECT("L"&amp;5+$X$2),""))</f>
        <v/>
      </c>
    </row>
    <row r="472" spans="12:21" hidden="1" x14ac:dyDescent="0.25">
      <c r="L472" s="18">
        <f t="shared" ca="1" si="65"/>
        <v>60428</v>
      </c>
      <c r="M472" s="14">
        <v>467</v>
      </c>
      <c r="N472" s="14">
        <f t="shared" si="58"/>
        <v>0</v>
      </c>
      <c r="O472" s="19">
        <f t="shared" si="59"/>
        <v>5681234.6483029136</v>
      </c>
      <c r="P472" s="19">
        <f t="shared" si="60"/>
        <v>644957.98780470376</v>
      </c>
      <c r="Q472" s="14">
        <f t="shared" si="61"/>
        <v>0</v>
      </c>
      <c r="R472" s="19">
        <f t="shared" si="62"/>
        <v>5368262.1497189291</v>
      </c>
      <c r="S472" s="19">
        <f t="shared" si="63"/>
        <v>626704.19612958049</v>
      </c>
      <c r="T472" s="14">
        <f t="shared" si="64"/>
        <v>0</v>
      </c>
      <c r="U472" s="18" t="str" cm="1">
        <f t="array" aca="1" ref="U472" ca="1">IF(M472&lt;=$N$1,L472,IF(M472&lt;=($N$1+1),INDIRECT("L"&amp;5+$X$2),""))</f>
        <v/>
      </c>
    </row>
    <row r="473" spans="12:21" hidden="1" x14ac:dyDescent="0.25">
      <c r="L473" s="18">
        <f t="shared" ca="1" si="65"/>
        <v>60458</v>
      </c>
      <c r="M473" s="14">
        <v>468</v>
      </c>
      <c r="N473" s="14">
        <f t="shared" si="58"/>
        <v>0</v>
      </c>
      <c r="O473" s="19">
        <f t="shared" si="59"/>
        <v>5735142.7074934375</v>
      </c>
      <c r="P473" s="19">
        <f t="shared" si="60"/>
        <v>648051.56400525069</v>
      </c>
      <c r="Q473" s="14">
        <f t="shared" si="61"/>
        <v>0</v>
      </c>
      <c r="R473" s="19">
        <f t="shared" si="62"/>
        <v>5419200.4776761718</v>
      </c>
      <c r="S473" s="19">
        <f t="shared" si="63"/>
        <v>629710.21702177695</v>
      </c>
      <c r="T473" s="14">
        <f t="shared" si="64"/>
        <v>0</v>
      </c>
      <c r="U473" s="18" t="str" cm="1">
        <f t="array" aca="1" ref="U473" ca="1">IF(M473&lt;=$N$1,L473,IF(M473&lt;=($N$1+1),INDIRECT("L"&amp;5+$X$2),""))</f>
        <v/>
      </c>
    </row>
    <row r="474" spans="12:21" hidden="1" x14ac:dyDescent="0.25">
      <c r="L474" s="18">
        <f t="shared" ca="1" si="65"/>
        <v>60489</v>
      </c>
      <c r="M474" s="14">
        <v>469</v>
      </c>
      <c r="N474" s="14">
        <f t="shared" si="58"/>
        <v>0</v>
      </c>
      <c r="O474" s="19">
        <f t="shared" si="59"/>
        <v>5789562.289095127</v>
      </c>
      <c r="P474" s="19">
        <f t="shared" si="60"/>
        <v>651159.97871294175</v>
      </c>
      <c r="Q474" s="14">
        <f t="shared" si="61"/>
        <v>0</v>
      </c>
      <c r="R474" s="19">
        <f t="shared" si="62"/>
        <v>5470622.1488798354</v>
      </c>
      <c r="S474" s="19">
        <f t="shared" si="63"/>
        <v>632730.65645729925</v>
      </c>
      <c r="T474" s="14">
        <f t="shared" si="64"/>
        <v>0</v>
      </c>
      <c r="U474" s="18" t="str" cm="1">
        <f t="array" aca="1" ref="U474" ca="1">IF(M474&lt;=$N$1,L474,IF(M474&lt;=($N$1+1),INDIRECT("L"&amp;5+$X$2),""))</f>
        <v/>
      </c>
    </row>
    <row r="475" spans="12:21" hidden="1" x14ac:dyDescent="0.25">
      <c r="L475" s="18">
        <f t="shared" ca="1" si="65"/>
        <v>60520</v>
      </c>
      <c r="M475" s="14">
        <v>470</v>
      </c>
      <c r="N475" s="14">
        <f t="shared" si="58"/>
        <v>0</v>
      </c>
      <c r="O475" s="19">
        <f t="shared" si="59"/>
        <v>5844498.2468382223</v>
      </c>
      <c r="P475" s="19">
        <f t="shared" si="60"/>
        <v>654283.30310148455</v>
      </c>
      <c r="Q475" s="14">
        <f t="shared" si="61"/>
        <v>0</v>
      </c>
      <c r="R475" s="19">
        <f t="shared" si="62"/>
        <v>5522531.7496738993</v>
      </c>
      <c r="S475" s="19">
        <f t="shared" si="63"/>
        <v>635765.58359547774</v>
      </c>
      <c r="T475" s="14">
        <f t="shared" si="64"/>
        <v>0</v>
      </c>
      <c r="U475" s="18" t="str" cm="1">
        <f t="array" aca="1" ref="U475" ca="1">IF(M475&lt;=$N$1,L475,IF(M475&lt;=($N$1+1),INDIRECT("L"&amp;5+$X$2),""))</f>
        <v/>
      </c>
    </row>
    <row r="476" spans="12:21" hidden="1" x14ac:dyDescent="0.25">
      <c r="L476" s="18">
        <f t="shared" ca="1" si="65"/>
        <v>60550</v>
      </c>
      <c r="M476" s="14">
        <v>471</v>
      </c>
      <c r="N476" s="14">
        <f t="shared" si="58"/>
        <v>0</v>
      </c>
      <c r="O476" s="19">
        <f t="shared" si="59"/>
        <v>5899955.4805090055</v>
      </c>
      <c r="P476" s="19">
        <f t="shared" si="60"/>
        <v>657421.60868597729</v>
      </c>
      <c r="Q476" s="14">
        <f t="shared" si="61"/>
        <v>0</v>
      </c>
      <c r="R476" s="19">
        <f t="shared" si="62"/>
        <v>5574933.9099212158</v>
      </c>
      <c r="S476" s="19">
        <f t="shared" si="63"/>
        <v>638815.0679273688</v>
      </c>
      <c r="T476" s="14">
        <f t="shared" si="64"/>
        <v>0</v>
      </c>
      <c r="U476" s="18" t="str" cm="1">
        <f t="array" aca="1" ref="U476" ca="1">IF(M476&lt;=$N$1,L476,IF(M476&lt;=($N$1+1),INDIRECT("L"&amp;5+$X$2),""))</f>
        <v/>
      </c>
    </row>
    <row r="477" spans="12:21" hidden="1" x14ac:dyDescent="0.25">
      <c r="L477" s="18">
        <f t="shared" ca="1" si="65"/>
        <v>60581</v>
      </c>
      <c r="M477" s="14">
        <v>472</v>
      </c>
      <c r="N477" s="14">
        <f t="shared" si="58"/>
        <v>0</v>
      </c>
      <c r="O477" s="19">
        <f t="shared" si="59"/>
        <v>5955938.9363868125</v>
      </c>
      <c r="P477" s="19">
        <f t="shared" si="60"/>
        <v>660574.96732454421</v>
      </c>
      <c r="Q477" s="14">
        <f t="shared" si="61"/>
        <v>0</v>
      </c>
      <c r="R477" s="19">
        <f t="shared" si="62"/>
        <v>5627833.303416444</v>
      </c>
      <c r="S477" s="19">
        <f t="shared" si="63"/>
        <v>641879.17927734694</v>
      </c>
      <c r="T477" s="14">
        <f t="shared" si="64"/>
        <v>0</v>
      </c>
      <c r="U477" s="18" t="str" cm="1">
        <f t="array" aca="1" ref="U477" ca="1">IF(M477&lt;=$N$1,L477,IF(M477&lt;=($N$1+1),INDIRECT("L"&amp;5+$X$2),""))</f>
        <v/>
      </c>
    </row>
    <row r="478" spans="12:21" hidden="1" x14ac:dyDescent="0.25">
      <c r="L478" s="18">
        <f t="shared" ca="1" si="65"/>
        <v>60611</v>
      </c>
      <c r="M478" s="14">
        <v>473</v>
      </c>
      <c r="N478" s="14">
        <f t="shared" si="58"/>
        <v>0</v>
      </c>
      <c r="O478" s="19">
        <f t="shared" si="59"/>
        <v>6012453.6076852074</v>
      </c>
      <c r="P478" s="19">
        <f t="shared" si="60"/>
        <v>663743.45121998177</v>
      </c>
      <c r="Q478" s="14">
        <f t="shared" si="61"/>
        <v>0</v>
      </c>
      <c r="R478" s="19">
        <f t="shared" si="62"/>
        <v>5681234.6483029136</v>
      </c>
      <c r="S478" s="19">
        <f t="shared" si="63"/>
        <v>644957.98780470376</v>
      </c>
      <c r="T478" s="14">
        <f t="shared" si="64"/>
        <v>0</v>
      </c>
      <c r="U478" s="18" t="str" cm="1">
        <f t="array" aca="1" ref="U478" ca="1">IF(M478&lt;=$N$1,L478,IF(M478&lt;=($N$1+1),INDIRECT("L"&amp;5+$X$2),""))</f>
        <v/>
      </c>
    </row>
    <row r="479" spans="12:21" hidden="1" x14ac:dyDescent="0.25">
      <c r="L479" s="18">
        <f t="shared" ca="1" si="65"/>
        <v>60642</v>
      </c>
      <c r="M479" s="14">
        <v>474</v>
      </c>
      <c r="N479" s="14">
        <f t="shared" si="58"/>
        <v>0</v>
      </c>
      <c r="O479" s="19">
        <f t="shared" si="59"/>
        <v>6069504.5349973207</v>
      </c>
      <c r="P479" s="19">
        <f t="shared" si="60"/>
        <v>666927.13292140991</v>
      </c>
      <c r="Q479" s="14">
        <f t="shared" si="61"/>
        <v>0</v>
      </c>
      <c r="R479" s="19">
        <f t="shared" si="62"/>
        <v>5735142.7074934375</v>
      </c>
      <c r="S479" s="19">
        <f t="shared" si="63"/>
        <v>648051.56400525069</v>
      </c>
      <c r="T479" s="14">
        <f t="shared" si="64"/>
        <v>0</v>
      </c>
      <c r="U479" s="18" t="str" cm="1">
        <f t="array" aca="1" ref="U479" ca="1">IF(M479&lt;=$N$1,L479,IF(M479&lt;=($N$1+1),INDIRECT("L"&amp;5+$X$2),""))</f>
        <v/>
      </c>
    </row>
    <row r="480" spans="12:21" hidden="1" x14ac:dyDescent="0.25">
      <c r="L480" s="18">
        <f t="shared" ca="1" si="65"/>
        <v>60673</v>
      </c>
      <c r="M480" s="14">
        <v>475</v>
      </c>
      <c r="N480" s="14">
        <f t="shared" si="58"/>
        <v>0</v>
      </c>
      <c r="O480" s="19">
        <f t="shared" si="59"/>
        <v>6127096.8067454239</v>
      </c>
      <c r="P480" s="19">
        <f t="shared" si="60"/>
        <v>670126.08532593516</v>
      </c>
      <c r="Q480" s="14">
        <f t="shared" si="61"/>
        <v>0</v>
      </c>
      <c r="R480" s="19">
        <f t="shared" si="62"/>
        <v>5789562.289095127</v>
      </c>
      <c r="S480" s="19">
        <f t="shared" si="63"/>
        <v>651159.97871294175</v>
      </c>
      <c r="T480" s="14">
        <f t="shared" si="64"/>
        <v>0</v>
      </c>
      <c r="U480" s="18" t="str" cm="1">
        <f t="array" aca="1" ref="U480" ca="1">IF(M480&lt;=$N$1,L480,IF(M480&lt;=($N$1+1),INDIRECT("L"&amp;5+$X$2),""))</f>
        <v/>
      </c>
    </row>
    <row r="481" spans="12:21" hidden="1" x14ac:dyDescent="0.25">
      <c r="L481" s="18">
        <f t="shared" ca="1" si="65"/>
        <v>60701</v>
      </c>
      <c r="M481" s="14">
        <v>476</v>
      </c>
      <c r="N481" s="14">
        <f t="shared" si="58"/>
        <v>0</v>
      </c>
      <c r="O481" s="19">
        <f t="shared" si="59"/>
        <v>6185235.5596347768</v>
      </c>
      <c r="P481" s="19">
        <f t="shared" si="60"/>
        <v>673340.38168031804</v>
      </c>
      <c r="Q481" s="14">
        <f t="shared" si="61"/>
        <v>0</v>
      </c>
      <c r="R481" s="19">
        <f t="shared" si="62"/>
        <v>5844498.2468382223</v>
      </c>
      <c r="S481" s="19">
        <f t="shared" si="63"/>
        <v>654283.30310148455</v>
      </c>
      <c r="T481" s="14">
        <f t="shared" si="64"/>
        <v>0</v>
      </c>
      <c r="U481" s="18" t="str" cm="1">
        <f t="array" aca="1" ref="U481" ca="1">IF(M481&lt;=$N$1,L481,IF(M481&lt;=($N$1+1),INDIRECT("L"&amp;5+$X$2),""))</f>
        <v/>
      </c>
    </row>
    <row r="482" spans="12:21" hidden="1" x14ac:dyDescent="0.25">
      <c r="L482" s="18">
        <f t="shared" ca="1" si="65"/>
        <v>60732</v>
      </c>
      <c r="M482" s="14">
        <v>477</v>
      </c>
      <c r="N482" s="14">
        <f t="shared" si="58"/>
        <v>0</v>
      </c>
      <c r="O482" s="19">
        <f t="shared" si="59"/>
        <v>6243925.9791117692</v>
      </c>
      <c r="P482" s="19">
        <f t="shared" si="60"/>
        <v>676570.09558265156</v>
      </c>
      <c r="Q482" s="14">
        <f t="shared" si="61"/>
        <v>0</v>
      </c>
      <c r="R482" s="19">
        <f t="shared" si="62"/>
        <v>5899955.4805090055</v>
      </c>
      <c r="S482" s="19">
        <f t="shared" si="63"/>
        <v>657421.60868597729</v>
      </c>
      <c r="T482" s="14">
        <f t="shared" si="64"/>
        <v>0</v>
      </c>
      <c r="U482" s="18" t="str" cm="1">
        <f t="array" aca="1" ref="U482" ca="1">IF(M482&lt;=$N$1,L482,IF(M482&lt;=($N$1+1),INDIRECT("L"&amp;5+$X$2),""))</f>
        <v/>
      </c>
    </row>
    <row r="483" spans="12:21" hidden="1" x14ac:dyDescent="0.25">
      <c r="L483" s="18">
        <f t="shared" ca="1" si="65"/>
        <v>60762</v>
      </c>
      <c r="M483" s="14">
        <v>478</v>
      </c>
      <c r="N483" s="14">
        <f t="shared" si="58"/>
        <v>0</v>
      </c>
      <c r="O483" s="19">
        <f t="shared" si="59"/>
        <v>6303173.2998264255</v>
      </c>
      <c r="P483" s="19">
        <f t="shared" si="60"/>
        <v>679815.300984047</v>
      </c>
      <c r="Q483" s="14">
        <f t="shared" si="61"/>
        <v>0</v>
      </c>
      <c r="R483" s="19">
        <f t="shared" si="62"/>
        <v>5955938.9363868125</v>
      </c>
      <c r="S483" s="19">
        <f t="shared" si="63"/>
        <v>660574.96732454421</v>
      </c>
      <c r="T483" s="14">
        <f t="shared" si="64"/>
        <v>0</v>
      </c>
      <c r="U483" s="18" t="str" cm="1">
        <f t="array" aca="1" ref="U483" ca="1">IF(M483&lt;=$N$1,L483,IF(M483&lt;=($N$1+1),INDIRECT("L"&amp;5+$X$2),""))</f>
        <v/>
      </c>
    </row>
    <row r="484" spans="12:21" hidden="1" x14ac:dyDescent="0.25">
      <c r="L484" s="18">
        <f t="shared" ca="1" si="65"/>
        <v>60793</v>
      </c>
      <c r="M484" s="14">
        <v>479</v>
      </c>
      <c r="N484" s="14">
        <f t="shared" si="58"/>
        <v>0</v>
      </c>
      <c r="O484" s="19">
        <f t="shared" si="59"/>
        <v>6362982.8060992714</v>
      </c>
      <c r="P484" s="19">
        <f t="shared" si="60"/>
        <v>683076.07219032524</v>
      </c>
      <c r="Q484" s="14">
        <f t="shared" si="61"/>
        <v>0</v>
      </c>
      <c r="R484" s="19">
        <f t="shared" si="62"/>
        <v>6012453.6076852074</v>
      </c>
      <c r="S484" s="19">
        <f t="shared" si="63"/>
        <v>663743.45121998177</v>
      </c>
      <c r="T484" s="14">
        <f t="shared" si="64"/>
        <v>0</v>
      </c>
      <c r="U484" s="18" t="str" cm="1">
        <f t="array" aca="1" ref="U484" ca="1">IF(M484&lt;=$N$1,L484,IF(M484&lt;=($N$1+1),INDIRECT("L"&amp;5+$X$2),""))</f>
        <v/>
      </c>
    </row>
    <row r="485" spans="12:21" hidden="1" x14ac:dyDescent="0.25">
      <c r="L485" s="18">
        <f t="shared" ca="1" si="65"/>
        <v>60823</v>
      </c>
      <c r="M485" s="14">
        <v>480</v>
      </c>
      <c r="N485" s="14">
        <f t="shared" si="58"/>
        <v>0</v>
      </c>
      <c r="O485" s="19">
        <f t="shared" si="59"/>
        <v>6423359.83239266</v>
      </c>
      <c r="P485" s="19">
        <f t="shared" si="60"/>
        <v>686352.48386371811</v>
      </c>
      <c r="Q485" s="14">
        <f t="shared" si="61"/>
        <v>0</v>
      </c>
      <c r="R485" s="19">
        <f t="shared" si="62"/>
        <v>6069504.5349973207</v>
      </c>
      <c r="S485" s="19">
        <f t="shared" si="63"/>
        <v>666927.13292140991</v>
      </c>
      <c r="T485" s="14">
        <f t="shared" si="64"/>
        <v>0</v>
      </c>
      <c r="U485" s="18" t="str" cm="1">
        <f t="array" aca="1" ref="U485" ca="1">IF(M485&lt;=$N$1,L485,IF(M485&lt;=($N$1+1),INDIRECT("L"&amp;5+$X$2),""))</f>
        <v/>
      </c>
    </row>
    <row r="486" spans="12:21" hidden="1" x14ac:dyDescent="0.25">
      <c r="L486" s="18">
        <f t="shared" ca="1" si="65"/>
        <v>60854</v>
      </c>
      <c r="M486" s="14">
        <v>481</v>
      </c>
      <c r="N486" s="14">
        <f t="shared" si="58"/>
        <v>0</v>
      </c>
      <c r="O486" s="19">
        <f t="shared" si="59"/>
        <v>0</v>
      </c>
      <c r="P486" s="19">
        <f t="shared" ref="P486:P549" si="66">O486/((1+SIPInflationRate)^(M486/12))</f>
        <v>0</v>
      </c>
      <c r="Q486" s="14">
        <f t="shared" si="61"/>
        <v>0</v>
      </c>
      <c r="R486" s="19">
        <f t="shared" si="62"/>
        <v>0</v>
      </c>
      <c r="S486" s="19">
        <f t="shared" si="63"/>
        <v>0</v>
      </c>
      <c r="T486" s="14">
        <f t="shared" si="64"/>
        <v>0</v>
      </c>
      <c r="U486" s="18" t="str" cm="1">
        <f t="array" aca="1" ref="U486" ca="1">IF(M486&lt;=$N$1,L486,IF(M486&lt;=($N$1+1),INDIRECT("L"&amp;5+$X$2),""))</f>
        <v/>
      </c>
    </row>
    <row r="487" spans="12:21" hidden="1" x14ac:dyDescent="0.25">
      <c r="L487" s="18">
        <f t="shared" ca="1" si="65"/>
        <v>60885</v>
      </c>
      <c r="M487" s="14">
        <v>482</v>
      </c>
      <c r="N487" s="14">
        <f t="shared" si="58"/>
        <v>0</v>
      </c>
      <c r="O487" s="19">
        <f t="shared" si="59"/>
        <v>0</v>
      </c>
      <c r="P487" s="19">
        <f t="shared" si="66"/>
        <v>0</v>
      </c>
      <c r="Q487" s="14">
        <f t="shared" si="61"/>
        <v>0</v>
      </c>
      <c r="R487" s="19">
        <f t="shared" si="62"/>
        <v>0</v>
      </c>
      <c r="S487" s="19">
        <f t="shared" si="63"/>
        <v>0</v>
      </c>
      <c r="T487" s="14">
        <f t="shared" si="64"/>
        <v>0</v>
      </c>
      <c r="U487" s="18" t="str" cm="1">
        <f t="array" aca="1" ref="U487" ca="1">IF(M487&lt;=$N$1,L487,IF(M487&lt;=($N$1+1),INDIRECT("L"&amp;5+$X$2),""))</f>
        <v/>
      </c>
    </row>
    <row r="488" spans="12:21" hidden="1" x14ac:dyDescent="0.25">
      <c r="L488" s="18">
        <f t="shared" ca="1" si="65"/>
        <v>60915</v>
      </c>
      <c r="M488" s="14">
        <v>483</v>
      </c>
      <c r="N488" s="14">
        <f t="shared" si="58"/>
        <v>0</v>
      </c>
      <c r="O488" s="19">
        <f t="shared" si="59"/>
        <v>0</v>
      </c>
      <c r="P488" s="19">
        <f t="shared" si="66"/>
        <v>0</v>
      </c>
      <c r="Q488" s="14">
        <f t="shared" si="61"/>
        <v>0</v>
      </c>
      <c r="R488" s="19">
        <f t="shared" si="62"/>
        <v>0</v>
      </c>
      <c r="S488" s="19">
        <f t="shared" si="63"/>
        <v>0</v>
      </c>
      <c r="T488" s="14">
        <f t="shared" si="64"/>
        <v>0</v>
      </c>
      <c r="U488" s="18" t="str" cm="1">
        <f t="array" aca="1" ref="U488" ca="1">IF(M488&lt;=$N$1,L488,IF(M488&lt;=($N$1+1),INDIRECT("L"&amp;5+$X$2),""))</f>
        <v/>
      </c>
    </row>
    <row r="489" spans="12:21" hidden="1" x14ac:dyDescent="0.25">
      <c r="L489" s="18">
        <f t="shared" ca="1" si="65"/>
        <v>60946</v>
      </c>
      <c r="M489" s="14">
        <v>484</v>
      </c>
      <c r="N489" s="14">
        <f t="shared" si="58"/>
        <v>0</v>
      </c>
      <c r="O489" s="19">
        <f t="shared" si="59"/>
        <v>0</v>
      </c>
      <c r="P489" s="19">
        <f t="shared" si="66"/>
        <v>0</v>
      </c>
      <c r="Q489" s="14">
        <f t="shared" si="61"/>
        <v>0</v>
      </c>
      <c r="R489" s="19">
        <f t="shared" si="62"/>
        <v>0</v>
      </c>
      <c r="S489" s="19">
        <f t="shared" si="63"/>
        <v>0</v>
      </c>
      <c r="T489" s="14">
        <f t="shared" si="64"/>
        <v>0</v>
      </c>
      <c r="U489" s="18" t="str" cm="1">
        <f t="array" aca="1" ref="U489" ca="1">IF(M489&lt;=$N$1,L489,IF(M489&lt;=($N$1+1),INDIRECT("L"&amp;5+$X$2),""))</f>
        <v/>
      </c>
    </row>
    <row r="490" spans="12:21" hidden="1" x14ac:dyDescent="0.25">
      <c r="L490" s="18">
        <f t="shared" ca="1" si="65"/>
        <v>60976</v>
      </c>
      <c r="M490" s="14">
        <v>485</v>
      </c>
      <c r="N490" s="14">
        <f t="shared" si="58"/>
        <v>0</v>
      </c>
      <c r="O490" s="19">
        <f t="shared" si="59"/>
        <v>0</v>
      </c>
      <c r="P490" s="19">
        <f t="shared" si="66"/>
        <v>0</v>
      </c>
      <c r="Q490" s="14">
        <f t="shared" si="61"/>
        <v>0</v>
      </c>
      <c r="R490" s="19">
        <f t="shared" si="62"/>
        <v>0</v>
      </c>
      <c r="S490" s="19">
        <f t="shared" si="63"/>
        <v>0</v>
      </c>
      <c r="T490" s="14">
        <f t="shared" si="64"/>
        <v>0</v>
      </c>
      <c r="U490" s="18" t="str" cm="1">
        <f t="array" aca="1" ref="U490" ca="1">IF(M490&lt;=$N$1,L490,IF(M490&lt;=($N$1+1),INDIRECT("L"&amp;5+$X$2),""))</f>
        <v/>
      </c>
    </row>
    <row r="491" spans="12:21" hidden="1" x14ac:dyDescent="0.25">
      <c r="L491" s="18">
        <f t="shared" ca="1" si="65"/>
        <v>61007</v>
      </c>
      <c r="M491" s="14">
        <v>486</v>
      </c>
      <c r="N491" s="14">
        <f t="shared" si="58"/>
        <v>0</v>
      </c>
      <c r="O491" s="19">
        <f t="shared" si="59"/>
        <v>0</v>
      </c>
      <c r="P491" s="19">
        <f t="shared" si="66"/>
        <v>0</v>
      </c>
      <c r="Q491" s="14">
        <f t="shared" si="61"/>
        <v>0</v>
      </c>
      <c r="R491" s="19">
        <f t="shared" si="62"/>
        <v>0</v>
      </c>
      <c r="S491" s="19">
        <f t="shared" si="63"/>
        <v>0</v>
      </c>
      <c r="T491" s="14">
        <f t="shared" si="64"/>
        <v>0</v>
      </c>
      <c r="U491" s="18" t="str" cm="1">
        <f t="array" aca="1" ref="U491" ca="1">IF(M491&lt;=$N$1,L491,IF(M491&lt;=($N$1+1),INDIRECT("L"&amp;5+$X$2),""))</f>
        <v/>
      </c>
    </row>
    <row r="492" spans="12:21" hidden="1" x14ac:dyDescent="0.25">
      <c r="L492" s="18">
        <f t="shared" ca="1" si="65"/>
        <v>61038</v>
      </c>
      <c r="M492" s="14">
        <v>487</v>
      </c>
      <c r="N492" s="14">
        <f t="shared" si="58"/>
        <v>0</v>
      </c>
      <c r="O492" s="19">
        <f t="shared" si="59"/>
        <v>0</v>
      </c>
      <c r="P492" s="19">
        <f t="shared" si="66"/>
        <v>0</v>
      </c>
      <c r="Q492" s="14">
        <f t="shared" si="61"/>
        <v>0</v>
      </c>
      <c r="R492" s="19">
        <f t="shared" si="62"/>
        <v>0</v>
      </c>
      <c r="S492" s="19">
        <f t="shared" si="63"/>
        <v>0</v>
      </c>
      <c r="T492" s="14">
        <f t="shared" si="64"/>
        <v>0</v>
      </c>
      <c r="U492" s="18" t="str" cm="1">
        <f t="array" aca="1" ref="U492" ca="1">IF(M492&lt;=$N$1,L492,IF(M492&lt;=($N$1+1),INDIRECT("L"&amp;5+$X$2),""))</f>
        <v/>
      </c>
    </row>
    <row r="493" spans="12:21" hidden="1" x14ac:dyDescent="0.25">
      <c r="L493" s="18">
        <f t="shared" ca="1" si="65"/>
        <v>61066</v>
      </c>
      <c r="M493" s="14">
        <v>488</v>
      </c>
      <c r="N493" s="14">
        <f t="shared" si="58"/>
        <v>0</v>
      </c>
      <c r="O493" s="19">
        <f t="shared" si="59"/>
        <v>0</v>
      </c>
      <c r="P493" s="19">
        <f t="shared" si="66"/>
        <v>0</v>
      </c>
      <c r="Q493" s="14">
        <f t="shared" si="61"/>
        <v>0</v>
      </c>
      <c r="R493" s="19">
        <f t="shared" si="62"/>
        <v>0</v>
      </c>
      <c r="S493" s="19">
        <f t="shared" si="63"/>
        <v>0</v>
      </c>
      <c r="T493" s="14">
        <f t="shared" si="64"/>
        <v>0</v>
      </c>
      <c r="U493" s="18" t="str" cm="1">
        <f t="array" aca="1" ref="U493" ca="1">IF(M493&lt;=$N$1,L493,IF(M493&lt;=($N$1+1),INDIRECT("L"&amp;5+$X$2),""))</f>
        <v/>
      </c>
    </row>
    <row r="494" spans="12:21" hidden="1" x14ac:dyDescent="0.25">
      <c r="L494" s="18">
        <f t="shared" ca="1" si="65"/>
        <v>61097</v>
      </c>
      <c r="M494" s="14">
        <v>489</v>
      </c>
      <c r="N494" s="14">
        <f t="shared" si="58"/>
        <v>0</v>
      </c>
      <c r="O494" s="19">
        <f t="shared" si="59"/>
        <v>0</v>
      </c>
      <c r="P494" s="19">
        <f t="shared" si="66"/>
        <v>0</v>
      </c>
      <c r="Q494" s="14">
        <f t="shared" si="61"/>
        <v>0</v>
      </c>
      <c r="R494" s="19">
        <f t="shared" si="62"/>
        <v>0</v>
      </c>
      <c r="S494" s="19">
        <f t="shared" si="63"/>
        <v>0</v>
      </c>
      <c r="T494" s="14">
        <f t="shared" si="64"/>
        <v>0</v>
      </c>
      <c r="U494" s="18" t="str" cm="1">
        <f t="array" aca="1" ref="U494" ca="1">IF(M494&lt;=$N$1,L494,IF(M494&lt;=($N$1+1),INDIRECT("L"&amp;5+$X$2),""))</f>
        <v/>
      </c>
    </row>
    <row r="495" spans="12:21" hidden="1" x14ac:dyDescent="0.25">
      <c r="L495" s="18">
        <f t="shared" ca="1" si="65"/>
        <v>61127</v>
      </c>
      <c r="M495" s="14">
        <v>490</v>
      </c>
      <c r="N495" s="14">
        <f t="shared" si="58"/>
        <v>0</v>
      </c>
      <c r="O495" s="19">
        <f t="shared" si="59"/>
        <v>0</v>
      </c>
      <c r="P495" s="19">
        <f t="shared" si="66"/>
        <v>0</v>
      </c>
      <c r="Q495" s="14">
        <f t="shared" si="61"/>
        <v>0</v>
      </c>
      <c r="R495" s="19">
        <f t="shared" si="62"/>
        <v>0</v>
      </c>
      <c r="S495" s="19">
        <f t="shared" si="63"/>
        <v>0</v>
      </c>
      <c r="T495" s="14">
        <f t="shared" si="64"/>
        <v>0</v>
      </c>
      <c r="U495" s="18" t="str" cm="1">
        <f t="array" aca="1" ref="U495" ca="1">IF(M495&lt;=$N$1,L495,IF(M495&lt;=($N$1+1),INDIRECT("L"&amp;5+$X$2),""))</f>
        <v/>
      </c>
    </row>
    <row r="496" spans="12:21" hidden="1" x14ac:dyDescent="0.25">
      <c r="L496" s="18">
        <f t="shared" ca="1" si="65"/>
        <v>61158</v>
      </c>
      <c r="M496" s="14">
        <v>491</v>
      </c>
      <c r="N496" s="14">
        <f t="shared" si="58"/>
        <v>0</v>
      </c>
      <c r="O496" s="19">
        <f t="shared" si="59"/>
        <v>0</v>
      </c>
      <c r="P496" s="19">
        <f t="shared" si="66"/>
        <v>0</v>
      </c>
      <c r="Q496" s="14">
        <f t="shared" si="61"/>
        <v>0</v>
      </c>
      <c r="R496" s="19">
        <f t="shared" si="62"/>
        <v>0</v>
      </c>
      <c r="S496" s="19">
        <f t="shared" si="63"/>
        <v>0</v>
      </c>
      <c r="T496" s="14">
        <f t="shared" si="64"/>
        <v>0</v>
      </c>
      <c r="U496" s="18" t="str" cm="1">
        <f t="array" aca="1" ref="U496" ca="1">IF(M496&lt;=$N$1,L496,IF(M496&lt;=($N$1+1),INDIRECT("L"&amp;5+$X$2),""))</f>
        <v/>
      </c>
    </row>
    <row r="497" spans="12:21" hidden="1" x14ac:dyDescent="0.25">
      <c r="L497" s="18">
        <f t="shared" ca="1" si="65"/>
        <v>61188</v>
      </c>
      <c r="M497" s="14">
        <v>492</v>
      </c>
      <c r="N497" s="14">
        <f t="shared" si="58"/>
        <v>0</v>
      </c>
      <c r="O497" s="19">
        <f t="shared" si="59"/>
        <v>0</v>
      </c>
      <c r="P497" s="19">
        <f t="shared" si="66"/>
        <v>0</v>
      </c>
      <c r="Q497" s="14">
        <f t="shared" si="61"/>
        <v>0</v>
      </c>
      <c r="R497" s="19">
        <f t="shared" si="62"/>
        <v>0</v>
      </c>
      <c r="S497" s="19">
        <f t="shared" si="63"/>
        <v>0</v>
      </c>
      <c r="T497" s="14">
        <f t="shared" si="64"/>
        <v>0</v>
      </c>
      <c r="U497" s="18" t="str" cm="1">
        <f t="array" aca="1" ref="U497" ca="1">IF(M497&lt;=$N$1,L497,IF(M497&lt;=($N$1+1),INDIRECT("L"&amp;5+$X$2),""))</f>
        <v/>
      </c>
    </row>
    <row r="498" spans="12:21" hidden="1" x14ac:dyDescent="0.25">
      <c r="L498" s="18">
        <f t="shared" ca="1" si="65"/>
        <v>61219</v>
      </c>
      <c r="M498" s="14">
        <v>493</v>
      </c>
      <c r="N498" s="14">
        <f t="shared" si="58"/>
        <v>0</v>
      </c>
      <c r="O498" s="19">
        <f t="shared" si="59"/>
        <v>0</v>
      </c>
      <c r="P498" s="19">
        <f t="shared" si="66"/>
        <v>0</v>
      </c>
      <c r="Q498" s="14">
        <f t="shared" si="61"/>
        <v>0</v>
      </c>
      <c r="R498" s="19">
        <f t="shared" si="62"/>
        <v>0</v>
      </c>
      <c r="S498" s="19">
        <f t="shared" si="63"/>
        <v>0</v>
      </c>
      <c r="T498" s="14">
        <f t="shared" si="64"/>
        <v>0</v>
      </c>
      <c r="U498" s="18" t="str" cm="1">
        <f t="array" aca="1" ref="U498" ca="1">IF(M498&lt;=$N$1,L498,IF(M498&lt;=($N$1+1),INDIRECT("L"&amp;5+$X$2),""))</f>
        <v/>
      </c>
    </row>
    <row r="499" spans="12:21" hidden="1" x14ac:dyDescent="0.25">
      <c r="L499" s="18">
        <f t="shared" ca="1" si="65"/>
        <v>61250</v>
      </c>
      <c r="M499" s="14">
        <v>494</v>
      </c>
      <c r="N499" s="14">
        <f t="shared" si="58"/>
        <v>0</v>
      </c>
      <c r="O499" s="19">
        <f t="shared" si="59"/>
        <v>0</v>
      </c>
      <c r="P499" s="19">
        <f t="shared" si="66"/>
        <v>0</v>
      </c>
      <c r="Q499" s="14">
        <f t="shared" si="61"/>
        <v>0</v>
      </c>
      <c r="R499" s="19">
        <f t="shared" si="62"/>
        <v>0</v>
      </c>
      <c r="S499" s="19">
        <f t="shared" si="63"/>
        <v>0</v>
      </c>
      <c r="T499" s="14">
        <f t="shared" si="64"/>
        <v>0</v>
      </c>
      <c r="U499" s="18" t="str" cm="1">
        <f t="array" aca="1" ref="U499" ca="1">IF(M499&lt;=$N$1,L499,IF(M499&lt;=($N$1+1),INDIRECT("L"&amp;5+$X$2),""))</f>
        <v/>
      </c>
    </row>
    <row r="500" spans="12:21" hidden="1" x14ac:dyDescent="0.25">
      <c r="L500" s="18">
        <f t="shared" ca="1" si="65"/>
        <v>61280</v>
      </c>
      <c r="M500" s="14">
        <v>495</v>
      </c>
      <c r="N500" s="14">
        <f t="shared" si="58"/>
        <v>0</v>
      </c>
      <c r="O500" s="19">
        <f t="shared" si="59"/>
        <v>0</v>
      </c>
      <c r="P500" s="19">
        <f t="shared" si="66"/>
        <v>0</v>
      </c>
      <c r="Q500" s="14">
        <f t="shared" si="61"/>
        <v>0</v>
      </c>
      <c r="R500" s="19">
        <f t="shared" si="62"/>
        <v>0</v>
      </c>
      <c r="S500" s="19">
        <f t="shared" si="63"/>
        <v>0</v>
      </c>
      <c r="T500" s="14">
        <f t="shared" si="64"/>
        <v>0</v>
      </c>
      <c r="U500" s="18" t="str" cm="1">
        <f t="array" aca="1" ref="U500" ca="1">IF(M500&lt;=$N$1,L500,IF(M500&lt;=($N$1+1),INDIRECT("L"&amp;5+$X$2),""))</f>
        <v/>
      </c>
    </row>
    <row r="501" spans="12:21" hidden="1" x14ac:dyDescent="0.25">
      <c r="L501" s="18">
        <f t="shared" ca="1" si="65"/>
        <v>61311</v>
      </c>
      <c r="M501" s="14">
        <v>496</v>
      </c>
      <c r="N501" s="14">
        <f t="shared" si="58"/>
        <v>0</v>
      </c>
      <c r="O501" s="19">
        <f t="shared" si="59"/>
        <v>0</v>
      </c>
      <c r="P501" s="19">
        <f t="shared" si="66"/>
        <v>0</v>
      </c>
      <c r="Q501" s="14">
        <f t="shared" si="61"/>
        <v>0</v>
      </c>
      <c r="R501" s="19">
        <f t="shared" si="62"/>
        <v>0</v>
      </c>
      <c r="S501" s="19">
        <f t="shared" si="63"/>
        <v>0</v>
      </c>
      <c r="T501" s="14">
        <f t="shared" si="64"/>
        <v>0</v>
      </c>
      <c r="U501" s="18" t="str" cm="1">
        <f t="array" aca="1" ref="U501" ca="1">IF(M501&lt;=$N$1,L501,IF(M501&lt;=($N$1+1),INDIRECT("L"&amp;5+$X$2),""))</f>
        <v/>
      </c>
    </row>
    <row r="502" spans="12:21" hidden="1" x14ac:dyDescent="0.25">
      <c r="L502" s="18">
        <f t="shared" ca="1" si="65"/>
        <v>61341</v>
      </c>
      <c r="M502" s="14">
        <v>497</v>
      </c>
      <c r="N502" s="14">
        <f t="shared" si="58"/>
        <v>0</v>
      </c>
      <c r="O502" s="19">
        <f t="shared" si="59"/>
        <v>0</v>
      </c>
      <c r="P502" s="19">
        <f t="shared" si="66"/>
        <v>0</v>
      </c>
      <c r="Q502" s="14">
        <f t="shared" si="61"/>
        <v>0</v>
      </c>
      <c r="R502" s="19">
        <f t="shared" si="62"/>
        <v>0</v>
      </c>
      <c r="S502" s="19">
        <f t="shared" si="63"/>
        <v>0</v>
      </c>
      <c r="T502" s="14">
        <f t="shared" si="64"/>
        <v>0</v>
      </c>
      <c r="U502" s="18" t="str" cm="1">
        <f t="array" aca="1" ref="U502" ca="1">IF(M502&lt;=$N$1,L502,IF(M502&lt;=($N$1+1),INDIRECT("L"&amp;5+$X$2),""))</f>
        <v/>
      </c>
    </row>
    <row r="503" spans="12:21" hidden="1" x14ac:dyDescent="0.25">
      <c r="L503" s="18">
        <f t="shared" ca="1" si="65"/>
        <v>61372</v>
      </c>
      <c r="M503" s="14">
        <v>498</v>
      </c>
      <c r="N503" s="14">
        <f t="shared" si="58"/>
        <v>0</v>
      </c>
      <c r="O503" s="19">
        <f t="shared" si="59"/>
        <v>0</v>
      </c>
      <c r="P503" s="19">
        <f t="shared" si="66"/>
        <v>0</v>
      </c>
      <c r="Q503" s="14">
        <f t="shared" si="61"/>
        <v>0</v>
      </c>
      <c r="R503" s="19">
        <f t="shared" si="62"/>
        <v>0</v>
      </c>
      <c r="S503" s="19">
        <f t="shared" si="63"/>
        <v>0</v>
      </c>
      <c r="T503" s="14">
        <f t="shared" si="64"/>
        <v>0</v>
      </c>
      <c r="U503" s="18" t="str" cm="1">
        <f t="array" aca="1" ref="U503" ca="1">IF(M503&lt;=$N$1,L503,IF(M503&lt;=($N$1+1),INDIRECT("L"&amp;5+$X$2),""))</f>
        <v/>
      </c>
    </row>
    <row r="504" spans="12:21" hidden="1" x14ac:dyDescent="0.25">
      <c r="L504" s="18">
        <f t="shared" ca="1" si="65"/>
        <v>61403</v>
      </c>
      <c r="M504" s="14">
        <v>499</v>
      </c>
      <c r="N504" s="14">
        <f t="shared" si="58"/>
        <v>0</v>
      </c>
      <c r="O504" s="19">
        <f t="shared" si="59"/>
        <v>0</v>
      </c>
      <c r="P504" s="19">
        <f t="shared" si="66"/>
        <v>0</v>
      </c>
      <c r="Q504" s="14">
        <f t="shared" si="61"/>
        <v>0</v>
      </c>
      <c r="R504" s="19">
        <f t="shared" si="62"/>
        <v>0</v>
      </c>
      <c r="S504" s="19">
        <f t="shared" si="63"/>
        <v>0</v>
      </c>
      <c r="T504" s="14">
        <f t="shared" si="64"/>
        <v>0</v>
      </c>
      <c r="U504" s="18" t="str" cm="1">
        <f t="array" aca="1" ref="U504" ca="1">IF(M504&lt;=$N$1,L504,IF(M504&lt;=($N$1+1),INDIRECT("L"&amp;5+$X$2),""))</f>
        <v/>
      </c>
    </row>
    <row r="505" spans="12:21" hidden="1" x14ac:dyDescent="0.25">
      <c r="L505" s="18">
        <f t="shared" ca="1" si="65"/>
        <v>61432</v>
      </c>
      <c r="M505" s="14">
        <v>500</v>
      </c>
      <c r="N505" s="14">
        <f t="shared" si="58"/>
        <v>0</v>
      </c>
      <c r="O505" s="19">
        <f t="shared" si="59"/>
        <v>0</v>
      </c>
      <c r="P505" s="19">
        <f t="shared" si="66"/>
        <v>0</v>
      </c>
      <c r="Q505" s="14">
        <f t="shared" si="61"/>
        <v>0</v>
      </c>
      <c r="R505" s="19">
        <f t="shared" si="62"/>
        <v>0</v>
      </c>
      <c r="S505" s="19">
        <f t="shared" si="63"/>
        <v>0</v>
      </c>
      <c r="T505" s="14">
        <f t="shared" si="64"/>
        <v>0</v>
      </c>
      <c r="U505" s="18" t="str" cm="1">
        <f t="array" aca="1" ref="U505" ca="1">IF(M505&lt;=$N$1,L505,IF(M505&lt;=($N$1+1),INDIRECT("L"&amp;5+$X$2),""))</f>
        <v/>
      </c>
    </row>
    <row r="506" spans="12:21" hidden="1" x14ac:dyDescent="0.25">
      <c r="L506" s="18">
        <f t="shared" ca="1" si="65"/>
        <v>61463</v>
      </c>
      <c r="M506" s="14">
        <v>501</v>
      </c>
      <c r="N506" s="14">
        <f t="shared" si="58"/>
        <v>0</v>
      </c>
      <c r="O506" s="19">
        <f t="shared" si="59"/>
        <v>0</v>
      </c>
      <c r="P506" s="19">
        <f t="shared" si="66"/>
        <v>0</v>
      </c>
      <c r="Q506" s="14">
        <f t="shared" si="61"/>
        <v>0</v>
      </c>
      <c r="R506" s="19">
        <f t="shared" si="62"/>
        <v>0</v>
      </c>
      <c r="S506" s="19">
        <f t="shared" si="63"/>
        <v>0</v>
      </c>
      <c r="T506" s="14">
        <f t="shared" si="64"/>
        <v>0</v>
      </c>
      <c r="U506" s="18" t="str" cm="1">
        <f t="array" aca="1" ref="U506" ca="1">IF(M506&lt;=$N$1,L506,IF(M506&lt;=($N$1+1),INDIRECT("L"&amp;5+$X$2),""))</f>
        <v/>
      </c>
    </row>
    <row r="507" spans="12:21" hidden="1" x14ac:dyDescent="0.25">
      <c r="L507" s="18">
        <f t="shared" ca="1" si="65"/>
        <v>61493</v>
      </c>
      <c r="M507" s="14">
        <v>502</v>
      </c>
      <c r="N507" s="14">
        <f t="shared" si="58"/>
        <v>0</v>
      </c>
      <c r="O507" s="19">
        <f t="shared" si="59"/>
        <v>0</v>
      </c>
      <c r="P507" s="19">
        <f t="shared" si="66"/>
        <v>0</v>
      </c>
      <c r="Q507" s="14">
        <f t="shared" si="61"/>
        <v>0</v>
      </c>
      <c r="R507" s="19">
        <f t="shared" si="62"/>
        <v>0</v>
      </c>
      <c r="S507" s="19">
        <f t="shared" si="63"/>
        <v>0</v>
      </c>
      <c r="T507" s="14">
        <f t="shared" si="64"/>
        <v>0</v>
      </c>
      <c r="U507" s="18" t="str" cm="1">
        <f t="array" aca="1" ref="U507" ca="1">IF(M507&lt;=$N$1,L507,IF(M507&lt;=($N$1+1),INDIRECT("L"&amp;5+$X$2),""))</f>
        <v/>
      </c>
    </row>
    <row r="508" spans="12:21" hidden="1" x14ac:dyDescent="0.25">
      <c r="L508" s="18">
        <f t="shared" ca="1" si="65"/>
        <v>61524</v>
      </c>
      <c r="M508" s="14">
        <v>503</v>
      </c>
      <c r="N508" s="14">
        <f t="shared" si="58"/>
        <v>0</v>
      </c>
      <c r="O508" s="19">
        <f t="shared" si="59"/>
        <v>0</v>
      </c>
      <c r="P508" s="19">
        <f t="shared" si="66"/>
        <v>0</v>
      </c>
      <c r="Q508" s="14">
        <f t="shared" si="61"/>
        <v>0</v>
      </c>
      <c r="R508" s="19">
        <f t="shared" si="62"/>
        <v>0</v>
      </c>
      <c r="S508" s="19">
        <f t="shared" si="63"/>
        <v>0</v>
      </c>
      <c r="T508" s="14">
        <f t="shared" si="64"/>
        <v>0</v>
      </c>
      <c r="U508" s="18" t="str" cm="1">
        <f t="array" aca="1" ref="U508" ca="1">IF(M508&lt;=$N$1,L508,IF(M508&lt;=($N$1+1),INDIRECT("L"&amp;5+$X$2),""))</f>
        <v/>
      </c>
    </row>
    <row r="509" spans="12:21" hidden="1" x14ac:dyDescent="0.25">
      <c r="L509" s="18">
        <f t="shared" ca="1" si="65"/>
        <v>61554</v>
      </c>
      <c r="M509" s="14">
        <v>504</v>
      </c>
      <c r="N509" s="14">
        <f t="shared" si="58"/>
        <v>0</v>
      </c>
      <c r="O509" s="19">
        <f t="shared" si="59"/>
        <v>0</v>
      </c>
      <c r="P509" s="19">
        <f t="shared" si="66"/>
        <v>0</v>
      </c>
      <c r="Q509" s="14">
        <f t="shared" si="61"/>
        <v>0</v>
      </c>
      <c r="R509" s="19">
        <f t="shared" si="62"/>
        <v>0</v>
      </c>
      <c r="S509" s="19">
        <f t="shared" si="63"/>
        <v>0</v>
      </c>
      <c r="T509" s="14">
        <f t="shared" si="64"/>
        <v>0</v>
      </c>
      <c r="U509" s="18" t="str" cm="1">
        <f t="array" aca="1" ref="U509" ca="1">IF(M509&lt;=$N$1,L509,IF(M509&lt;=($N$1+1),INDIRECT("L"&amp;5+$X$2),""))</f>
        <v/>
      </c>
    </row>
    <row r="510" spans="12:21" hidden="1" x14ac:dyDescent="0.25">
      <c r="L510" s="18">
        <f t="shared" ca="1" si="65"/>
        <v>61585</v>
      </c>
      <c r="M510" s="14">
        <v>505</v>
      </c>
      <c r="N510" s="14">
        <f t="shared" si="58"/>
        <v>0</v>
      </c>
      <c r="O510" s="19">
        <f t="shared" si="59"/>
        <v>0</v>
      </c>
      <c r="P510" s="19">
        <f t="shared" si="66"/>
        <v>0</v>
      </c>
      <c r="Q510" s="14">
        <f t="shared" si="61"/>
        <v>0</v>
      </c>
      <c r="R510" s="19">
        <f t="shared" si="62"/>
        <v>0</v>
      </c>
      <c r="S510" s="19">
        <f t="shared" si="63"/>
        <v>0</v>
      </c>
      <c r="T510" s="14">
        <f t="shared" si="64"/>
        <v>0</v>
      </c>
      <c r="U510" s="18" t="str" cm="1">
        <f t="array" aca="1" ref="U510" ca="1">IF(M510&lt;=$N$1,L510,IF(M510&lt;=($N$1+1),INDIRECT("L"&amp;5+$X$2),""))</f>
        <v/>
      </c>
    </row>
    <row r="511" spans="12:21" hidden="1" x14ac:dyDescent="0.25">
      <c r="L511" s="18">
        <f t="shared" ca="1" si="65"/>
        <v>61616</v>
      </c>
      <c r="M511" s="14">
        <v>506</v>
      </c>
      <c r="N511" s="14">
        <f t="shared" si="58"/>
        <v>0</v>
      </c>
      <c r="O511" s="19">
        <f t="shared" si="59"/>
        <v>0</v>
      </c>
      <c r="P511" s="19">
        <f t="shared" si="66"/>
        <v>0</v>
      </c>
      <c r="Q511" s="14">
        <f t="shared" si="61"/>
        <v>0</v>
      </c>
      <c r="R511" s="19">
        <f t="shared" si="62"/>
        <v>0</v>
      </c>
      <c r="S511" s="19">
        <f t="shared" si="63"/>
        <v>0</v>
      </c>
      <c r="T511" s="14">
        <f t="shared" si="64"/>
        <v>0</v>
      </c>
      <c r="U511" s="18" t="str" cm="1">
        <f t="array" aca="1" ref="U511" ca="1">IF(M511&lt;=$N$1,L511,IF(M511&lt;=($N$1+1),INDIRECT("L"&amp;5+$X$2),""))</f>
        <v/>
      </c>
    </row>
    <row r="512" spans="12:21" hidden="1" x14ac:dyDescent="0.25">
      <c r="L512" s="18">
        <f t="shared" ca="1" si="65"/>
        <v>61646</v>
      </c>
      <c r="M512" s="14">
        <v>507</v>
      </c>
      <c r="N512" s="14">
        <f t="shared" si="58"/>
        <v>0</v>
      </c>
      <c r="O512" s="19">
        <f t="shared" si="59"/>
        <v>0</v>
      </c>
      <c r="P512" s="19">
        <f t="shared" si="66"/>
        <v>0</v>
      </c>
      <c r="Q512" s="14">
        <f t="shared" si="61"/>
        <v>0</v>
      </c>
      <c r="R512" s="19">
        <f t="shared" si="62"/>
        <v>0</v>
      </c>
      <c r="S512" s="19">
        <f t="shared" si="63"/>
        <v>0</v>
      </c>
      <c r="T512" s="14">
        <f t="shared" si="64"/>
        <v>0</v>
      </c>
      <c r="U512" s="18" t="str" cm="1">
        <f t="array" aca="1" ref="U512" ca="1">IF(M512&lt;=$N$1,L512,IF(M512&lt;=($N$1+1),INDIRECT("L"&amp;5+$X$2),""))</f>
        <v/>
      </c>
    </row>
    <row r="513" spans="12:21" hidden="1" x14ac:dyDescent="0.25">
      <c r="L513" s="18">
        <f t="shared" ca="1" si="65"/>
        <v>61677</v>
      </c>
      <c r="M513" s="14">
        <v>508</v>
      </c>
      <c r="N513" s="14">
        <f t="shared" si="58"/>
        <v>0</v>
      </c>
      <c r="O513" s="19">
        <f t="shared" si="59"/>
        <v>0</v>
      </c>
      <c r="P513" s="19">
        <f t="shared" si="66"/>
        <v>0</v>
      </c>
      <c r="Q513" s="14">
        <f t="shared" si="61"/>
        <v>0</v>
      </c>
      <c r="R513" s="19">
        <f t="shared" si="62"/>
        <v>0</v>
      </c>
      <c r="S513" s="19">
        <f t="shared" si="63"/>
        <v>0</v>
      </c>
      <c r="T513" s="14">
        <f t="shared" si="64"/>
        <v>0</v>
      </c>
      <c r="U513" s="18" t="str" cm="1">
        <f t="array" aca="1" ref="U513" ca="1">IF(M513&lt;=$N$1,L513,IF(M513&lt;=($N$1+1),INDIRECT("L"&amp;5+$X$2),""))</f>
        <v/>
      </c>
    </row>
    <row r="514" spans="12:21" hidden="1" x14ac:dyDescent="0.25">
      <c r="L514" s="18">
        <f t="shared" ca="1" si="65"/>
        <v>61707</v>
      </c>
      <c r="M514" s="14">
        <v>509</v>
      </c>
      <c r="N514" s="14">
        <f t="shared" si="58"/>
        <v>0</v>
      </c>
      <c r="O514" s="19">
        <f t="shared" si="59"/>
        <v>0</v>
      </c>
      <c r="P514" s="19">
        <f t="shared" si="66"/>
        <v>0</v>
      </c>
      <c r="Q514" s="14">
        <f t="shared" si="61"/>
        <v>0</v>
      </c>
      <c r="R514" s="19">
        <f t="shared" si="62"/>
        <v>0</v>
      </c>
      <c r="S514" s="19">
        <f t="shared" si="63"/>
        <v>0</v>
      </c>
      <c r="T514" s="14">
        <f t="shared" si="64"/>
        <v>0</v>
      </c>
      <c r="U514" s="18" t="str" cm="1">
        <f t="array" aca="1" ref="U514" ca="1">IF(M514&lt;=$N$1,L514,IF(M514&lt;=($N$1+1),INDIRECT("L"&amp;5+$X$2),""))</f>
        <v/>
      </c>
    </row>
    <row r="515" spans="12:21" hidden="1" x14ac:dyDescent="0.25">
      <c r="L515" s="18">
        <f t="shared" ca="1" si="65"/>
        <v>61738</v>
      </c>
      <c r="M515" s="14">
        <v>510</v>
      </c>
      <c r="N515" s="14">
        <f t="shared" si="58"/>
        <v>0</v>
      </c>
      <c r="O515" s="19">
        <f t="shared" si="59"/>
        <v>0</v>
      </c>
      <c r="P515" s="19">
        <f t="shared" si="66"/>
        <v>0</v>
      </c>
      <c r="Q515" s="14">
        <f t="shared" si="61"/>
        <v>0</v>
      </c>
      <c r="R515" s="19">
        <f t="shared" si="62"/>
        <v>0</v>
      </c>
      <c r="S515" s="19">
        <f t="shared" si="63"/>
        <v>0</v>
      </c>
      <c r="T515" s="14">
        <f t="shared" si="64"/>
        <v>0</v>
      </c>
      <c r="U515" s="18" t="str" cm="1">
        <f t="array" aca="1" ref="U515" ca="1">IF(M515&lt;=$N$1,L515,IF(M515&lt;=($N$1+1),INDIRECT("L"&amp;5+$X$2),""))</f>
        <v/>
      </c>
    </row>
    <row r="516" spans="12:21" hidden="1" x14ac:dyDescent="0.25">
      <c r="L516" s="18">
        <f t="shared" ca="1" si="65"/>
        <v>61769</v>
      </c>
      <c r="M516" s="14">
        <v>511</v>
      </c>
      <c r="N516" s="14">
        <f t="shared" si="58"/>
        <v>0</v>
      </c>
      <c r="O516" s="19">
        <f t="shared" si="59"/>
        <v>0</v>
      </c>
      <c r="P516" s="19">
        <f t="shared" si="66"/>
        <v>0</v>
      </c>
      <c r="Q516" s="14">
        <f t="shared" si="61"/>
        <v>0</v>
      </c>
      <c r="R516" s="19">
        <f t="shared" si="62"/>
        <v>0</v>
      </c>
      <c r="S516" s="19">
        <f t="shared" si="63"/>
        <v>0</v>
      </c>
      <c r="T516" s="14">
        <f t="shared" si="64"/>
        <v>0</v>
      </c>
      <c r="U516" s="18" t="str" cm="1">
        <f t="array" aca="1" ref="U516" ca="1">IF(M516&lt;=$N$1,L516,IF(M516&lt;=($N$1+1),INDIRECT("L"&amp;5+$X$2),""))</f>
        <v/>
      </c>
    </row>
    <row r="517" spans="12:21" hidden="1" x14ac:dyDescent="0.25">
      <c r="L517" s="18">
        <f t="shared" ca="1" si="65"/>
        <v>61797</v>
      </c>
      <c r="M517" s="14">
        <v>512</v>
      </c>
      <c r="N517" s="14">
        <f t="shared" si="58"/>
        <v>0</v>
      </c>
      <c r="O517" s="19">
        <f t="shared" si="59"/>
        <v>0</v>
      </c>
      <c r="P517" s="19">
        <f t="shared" si="66"/>
        <v>0</v>
      </c>
      <c r="Q517" s="14">
        <f t="shared" si="61"/>
        <v>0</v>
      </c>
      <c r="R517" s="19">
        <f t="shared" si="62"/>
        <v>0</v>
      </c>
      <c r="S517" s="19">
        <f t="shared" si="63"/>
        <v>0</v>
      </c>
      <c r="T517" s="14">
        <f t="shared" si="64"/>
        <v>0</v>
      </c>
      <c r="U517" s="18" t="str" cm="1">
        <f t="array" aca="1" ref="U517" ca="1">IF(M517&lt;=$N$1,L517,IF(M517&lt;=($N$1+1),INDIRECT("L"&amp;5+$X$2),""))</f>
        <v/>
      </c>
    </row>
    <row r="518" spans="12:21" hidden="1" x14ac:dyDescent="0.25">
      <c r="L518" s="18">
        <f t="shared" ca="1" si="65"/>
        <v>61828</v>
      </c>
      <c r="M518" s="14">
        <v>513</v>
      </c>
      <c r="N518" s="14">
        <f t="shared" ref="N518:N581" si="67">IF($N$1&gt;=M518,SIPMonthlyPmt*M518,0)</f>
        <v>0</v>
      </c>
      <c r="O518" s="19">
        <f t="shared" ref="O518:O581" si="68">IF($X$2&gt;=M518,IF(M518&lt;=$N$1,FV(SRate,M518,-SIPMonthlyPmt,0,1),FV(SRate,M518-$N$1,0,-$X$1,1)),0)</f>
        <v>0</v>
      </c>
      <c r="P518" s="19">
        <f t="shared" si="66"/>
        <v>0</v>
      </c>
      <c r="Q518" s="14">
        <f t="shared" ref="Q518:Q581" si="69">IF((M518-$C$15)&gt;0, IF($N$1+$C$15&gt;=M518,SIPMonthlyPmt*(M518-$C$15),0),0)</f>
        <v>0</v>
      </c>
      <c r="R518" s="19">
        <f t="shared" ref="R518:R581" si="70">IF(M518&lt;=$C$15,0,IF($X$2&gt;=M518,IF(M518&lt;=($N$1+$C$15),FV(SRate,M518-$C$15,-SIPMonthlyPmt,0,1),FV(SRate,M518-$N$1-$C$15,0,-$X$1,1)),0))</f>
        <v>0</v>
      </c>
      <c r="S518" s="19">
        <f t="shared" ref="S518:S581" si="71">R518/((1+SIPInflationRate)^((M518-$C$15)/12))</f>
        <v>0</v>
      </c>
      <c r="T518" s="14">
        <f t="shared" ref="T518:T581" si="72">IF(M518&lt;=$N$1,-SIPMonthlyPmt,IF(M518&lt;=($N$1+1),$X$4,0))</f>
        <v>0</v>
      </c>
      <c r="U518" s="18" t="str" cm="1">
        <f t="array" aca="1" ref="U518" ca="1">IF(M518&lt;=$N$1,L518,IF(M518&lt;=($N$1+1),INDIRECT("L"&amp;5+$X$2),""))</f>
        <v/>
      </c>
    </row>
    <row r="519" spans="12:21" hidden="1" x14ac:dyDescent="0.25">
      <c r="L519" s="18">
        <f t="shared" ca="1" si="65"/>
        <v>61858</v>
      </c>
      <c r="M519" s="14">
        <v>514</v>
      </c>
      <c r="N519" s="14">
        <f t="shared" si="67"/>
        <v>0</v>
      </c>
      <c r="O519" s="19">
        <f t="shared" si="68"/>
        <v>0</v>
      </c>
      <c r="P519" s="19">
        <f t="shared" si="66"/>
        <v>0</v>
      </c>
      <c r="Q519" s="14">
        <f t="shared" si="69"/>
        <v>0</v>
      </c>
      <c r="R519" s="19">
        <f t="shared" si="70"/>
        <v>0</v>
      </c>
      <c r="S519" s="19">
        <f t="shared" si="71"/>
        <v>0</v>
      </c>
      <c r="T519" s="14">
        <f t="shared" si="72"/>
        <v>0</v>
      </c>
      <c r="U519" s="18" t="str" cm="1">
        <f t="array" aca="1" ref="U519" ca="1">IF(M519&lt;=$N$1,L519,IF(M519&lt;=($N$1+1),INDIRECT("L"&amp;5+$X$2),""))</f>
        <v/>
      </c>
    </row>
    <row r="520" spans="12:21" hidden="1" x14ac:dyDescent="0.25">
      <c r="L520" s="18">
        <f t="shared" ca="1" si="65"/>
        <v>61889</v>
      </c>
      <c r="M520" s="14">
        <v>515</v>
      </c>
      <c r="N520" s="14">
        <f t="shared" si="67"/>
        <v>0</v>
      </c>
      <c r="O520" s="19">
        <f t="shared" si="68"/>
        <v>0</v>
      </c>
      <c r="P520" s="19">
        <f t="shared" si="66"/>
        <v>0</v>
      </c>
      <c r="Q520" s="14">
        <f t="shared" si="69"/>
        <v>0</v>
      </c>
      <c r="R520" s="19">
        <f t="shared" si="70"/>
        <v>0</v>
      </c>
      <c r="S520" s="19">
        <f t="shared" si="71"/>
        <v>0</v>
      </c>
      <c r="T520" s="14">
        <f t="shared" si="72"/>
        <v>0</v>
      </c>
      <c r="U520" s="18" t="str" cm="1">
        <f t="array" aca="1" ref="U520" ca="1">IF(M520&lt;=$N$1,L520,IF(M520&lt;=($N$1+1),INDIRECT("L"&amp;5+$X$2),""))</f>
        <v/>
      </c>
    </row>
    <row r="521" spans="12:21" hidden="1" x14ac:dyDescent="0.25">
      <c r="L521" s="18">
        <f t="shared" ref="L521:L584" ca="1" si="73">EDATE(L520,1)</f>
        <v>61919</v>
      </c>
      <c r="M521" s="14">
        <v>516</v>
      </c>
      <c r="N521" s="14">
        <f t="shared" si="67"/>
        <v>0</v>
      </c>
      <c r="O521" s="19">
        <f t="shared" si="68"/>
        <v>0</v>
      </c>
      <c r="P521" s="19">
        <f t="shared" si="66"/>
        <v>0</v>
      </c>
      <c r="Q521" s="14">
        <f t="shared" si="69"/>
        <v>0</v>
      </c>
      <c r="R521" s="19">
        <f t="shared" si="70"/>
        <v>0</v>
      </c>
      <c r="S521" s="19">
        <f t="shared" si="71"/>
        <v>0</v>
      </c>
      <c r="T521" s="14">
        <f t="shared" si="72"/>
        <v>0</v>
      </c>
      <c r="U521" s="18" t="str" cm="1">
        <f t="array" aca="1" ref="U521" ca="1">IF(M521&lt;=$N$1,L521,IF(M521&lt;=($N$1+1),INDIRECT("L"&amp;5+$X$2),""))</f>
        <v/>
      </c>
    </row>
    <row r="522" spans="12:21" hidden="1" x14ac:dyDescent="0.25">
      <c r="L522" s="18">
        <f t="shared" ca="1" si="73"/>
        <v>61950</v>
      </c>
      <c r="M522" s="14">
        <v>517</v>
      </c>
      <c r="N522" s="14">
        <f t="shared" si="67"/>
        <v>0</v>
      </c>
      <c r="O522" s="19">
        <f t="shared" si="68"/>
        <v>0</v>
      </c>
      <c r="P522" s="19">
        <f t="shared" si="66"/>
        <v>0</v>
      </c>
      <c r="Q522" s="14">
        <f t="shared" si="69"/>
        <v>0</v>
      </c>
      <c r="R522" s="19">
        <f t="shared" si="70"/>
        <v>0</v>
      </c>
      <c r="S522" s="19">
        <f t="shared" si="71"/>
        <v>0</v>
      </c>
      <c r="T522" s="14">
        <f t="shared" si="72"/>
        <v>0</v>
      </c>
      <c r="U522" s="18" t="str" cm="1">
        <f t="array" aca="1" ref="U522" ca="1">IF(M522&lt;=$N$1,L522,IF(M522&lt;=($N$1+1),INDIRECT("L"&amp;5+$X$2),""))</f>
        <v/>
      </c>
    </row>
    <row r="523" spans="12:21" hidden="1" x14ac:dyDescent="0.25">
      <c r="L523" s="18">
        <f t="shared" ca="1" si="73"/>
        <v>61981</v>
      </c>
      <c r="M523" s="14">
        <v>518</v>
      </c>
      <c r="N523" s="14">
        <f t="shared" si="67"/>
        <v>0</v>
      </c>
      <c r="O523" s="19">
        <f t="shared" si="68"/>
        <v>0</v>
      </c>
      <c r="P523" s="19">
        <f t="shared" si="66"/>
        <v>0</v>
      </c>
      <c r="Q523" s="14">
        <f t="shared" si="69"/>
        <v>0</v>
      </c>
      <c r="R523" s="19">
        <f t="shared" si="70"/>
        <v>0</v>
      </c>
      <c r="S523" s="19">
        <f t="shared" si="71"/>
        <v>0</v>
      </c>
      <c r="T523" s="14">
        <f t="shared" si="72"/>
        <v>0</v>
      </c>
      <c r="U523" s="18" t="str" cm="1">
        <f t="array" aca="1" ref="U523" ca="1">IF(M523&lt;=$N$1,L523,IF(M523&lt;=($N$1+1),INDIRECT("L"&amp;5+$X$2),""))</f>
        <v/>
      </c>
    </row>
    <row r="524" spans="12:21" hidden="1" x14ac:dyDescent="0.25">
      <c r="L524" s="18">
        <f t="shared" ca="1" si="73"/>
        <v>62011</v>
      </c>
      <c r="M524" s="14">
        <v>519</v>
      </c>
      <c r="N524" s="14">
        <f t="shared" si="67"/>
        <v>0</v>
      </c>
      <c r="O524" s="19">
        <f t="shared" si="68"/>
        <v>0</v>
      </c>
      <c r="P524" s="19">
        <f t="shared" si="66"/>
        <v>0</v>
      </c>
      <c r="Q524" s="14">
        <f t="shared" si="69"/>
        <v>0</v>
      </c>
      <c r="R524" s="19">
        <f t="shared" si="70"/>
        <v>0</v>
      </c>
      <c r="S524" s="19">
        <f t="shared" si="71"/>
        <v>0</v>
      </c>
      <c r="T524" s="14">
        <f t="shared" si="72"/>
        <v>0</v>
      </c>
      <c r="U524" s="18" t="str" cm="1">
        <f t="array" aca="1" ref="U524" ca="1">IF(M524&lt;=$N$1,L524,IF(M524&lt;=($N$1+1),INDIRECT("L"&amp;5+$X$2),""))</f>
        <v/>
      </c>
    </row>
    <row r="525" spans="12:21" hidden="1" x14ac:dyDescent="0.25">
      <c r="L525" s="18">
        <f t="shared" ca="1" si="73"/>
        <v>62042</v>
      </c>
      <c r="M525" s="14">
        <v>520</v>
      </c>
      <c r="N525" s="14">
        <f t="shared" si="67"/>
        <v>0</v>
      </c>
      <c r="O525" s="19">
        <f t="shared" si="68"/>
        <v>0</v>
      </c>
      <c r="P525" s="19">
        <f t="shared" si="66"/>
        <v>0</v>
      </c>
      <c r="Q525" s="14">
        <f t="shared" si="69"/>
        <v>0</v>
      </c>
      <c r="R525" s="19">
        <f t="shared" si="70"/>
        <v>0</v>
      </c>
      <c r="S525" s="19">
        <f t="shared" si="71"/>
        <v>0</v>
      </c>
      <c r="T525" s="14">
        <f t="shared" si="72"/>
        <v>0</v>
      </c>
      <c r="U525" s="18" t="str" cm="1">
        <f t="array" aca="1" ref="U525" ca="1">IF(M525&lt;=$N$1,L525,IF(M525&lt;=($N$1+1),INDIRECT("L"&amp;5+$X$2),""))</f>
        <v/>
      </c>
    </row>
    <row r="526" spans="12:21" hidden="1" x14ac:dyDescent="0.25">
      <c r="L526" s="18">
        <f t="shared" ca="1" si="73"/>
        <v>62072</v>
      </c>
      <c r="M526" s="14">
        <v>521</v>
      </c>
      <c r="N526" s="14">
        <f t="shared" si="67"/>
        <v>0</v>
      </c>
      <c r="O526" s="19">
        <f t="shared" si="68"/>
        <v>0</v>
      </c>
      <c r="P526" s="19">
        <f t="shared" si="66"/>
        <v>0</v>
      </c>
      <c r="Q526" s="14">
        <f t="shared" si="69"/>
        <v>0</v>
      </c>
      <c r="R526" s="19">
        <f t="shared" si="70"/>
        <v>0</v>
      </c>
      <c r="S526" s="19">
        <f t="shared" si="71"/>
        <v>0</v>
      </c>
      <c r="T526" s="14">
        <f t="shared" si="72"/>
        <v>0</v>
      </c>
      <c r="U526" s="18" t="str" cm="1">
        <f t="array" aca="1" ref="U526" ca="1">IF(M526&lt;=$N$1,L526,IF(M526&lt;=($N$1+1),INDIRECT("L"&amp;5+$X$2),""))</f>
        <v/>
      </c>
    </row>
    <row r="527" spans="12:21" hidden="1" x14ac:dyDescent="0.25">
      <c r="L527" s="18">
        <f t="shared" ca="1" si="73"/>
        <v>62103</v>
      </c>
      <c r="M527" s="14">
        <v>522</v>
      </c>
      <c r="N527" s="14">
        <f t="shared" si="67"/>
        <v>0</v>
      </c>
      <c r="O527" s="19">
        <f t="shared" si="68"/>
        <v>0</v>
      </c>
      <c r="P527" s="19">
        <f t="shared" si="66"/>
        <v>0</v>
      </c>
      <c r="Q527" s="14">
        <f t="shared" si="69"/>
        <v>0</v>
      </c>
      <c r="R527" s="19">
        <f t="shared" si="70"/>
        <v>0</v>
      </c>
      <c r="S527" s="19">
        <f t="shared" si="71"/>
        <v>0</v>
      </c>
      <c r="T527" s="14">
        <f t="shared" si="72"/>
        <v>0</v>
      </c>
      <c r="U527" s="18" t="str" cm="1">
        <f t="array" aca="1" ref="U527" ca="1">IF(M527&lt;=$N$1,L527,IF(M527&lt;=($N$1+1),INDIRECT("L"&amp;5+$X$2),""))</f>
        <v/>
      </c>
    </row>
    <row r="528" spans="12:21" hidden="1" x14ac:dyDescent="0.25">
      <c r="L528" s="18">
        <f t="shared" ca="1" si="73"/>
        <v>62134</v>
      </c>
      <c r="M528" s="14">
        <v>523</v>
      </c>
      <c r="N528" s="14">
        <f t="shared" si="67"/>
        <v>0</v>
      </c>
      <c r="O528" s="19">
        <f t="shared" si="68"/>
        <v>0</v>
      </c>
      <c r="P528" s="19">
        <f t="shared" si="66"/>
        <v>0</v>
      </c>
      <c r="Q528" s="14">
        <f t="shared" si="69"/>
        <v>0</v>
      </c>
      <c r="R528" s="19">
        <f t="shared" si="70"/>
        <v>0</v>
      </c>
      <c r="S528" s="19">
        <f t="shared" si="71"/>
        <v>0</v>
      </c>
      <c r="T528" s="14">
        <f t="shared" si="72"/>
        <v>0</v>
      </c>
      <c r="U528" s="18" t="str" cm="1">
        <f t="array" aca="1" ref="U528" ca="1">IF(M528&lt;=$N$1,L528,IF(M528&lt;=($N$1+1),INDIRECT("L"&amp;5+$X$2),""))</f>
        <v/>
      </c>
    </row>
    <row r="529" spans="12:21" hidden="1" x14ac:dyDescent="0.25">
      <c r="L529" s="18">
        <f t="shared" ca="1" si="73"/>
        <v>62162</v>
      </c>
      <c r="M529" s="14">
        <v>524</v>
      </c>
      <c r="N529" s="14">
        <f t="shared" si="67"/>
        <v>0</v>
      </c>
      <c r="O529" s="19">
        <f t="shared" si="68"/>
        <v>0</v>
      </c>
      <c r="P529" s="19">
        <f t="shared" si="66"/>
        <v>0</v>
      </c>
      <c r="Q529" s="14">
        <f t="shared" si="69"/>
        <v>0</v>
      </c>
      <c r="R529" s="19">
        <f t="shared" si="70"/>
        <v>0</v>
      </c>
      <c r="S529" s="19">
        <f t="shared" si="71"/>
        <v>0</v>
      </c>
      <c r="T529" s="14">
        <f t="shared" si="72"/>
        <v>0</v>
      </c>
      <c r="U529" s="18" t="str" cm="1">
        <f t="array" aca="1" ref="U529" ca="1">IF(M529&lt;=$N$1,L529,IF(M529&lt;=($N$1+1),INDIRECT("L"&amp;5+$X$2),""))</f>
        <v/>
      </c>
    </row>
    <row r="530" spans="12:21" hidden="1" x14ac:dyDescent="0.25">
      <c r="L530" s="18">
        <f t="shared" ca="1" si="73"/>
        <v>62193</v>
      </c>
      <c r="M530" s="14">
        <v>525</v>
      </c>
      <c r="N530" s="14">
        <f t="shared" si="67"/>
        <v>0</v>
      </c>
      <c r="O530" s="19">
        <f t="shared" si="68"/>
        <v>0</v>
      </c>
      <c r="P530" s="19">
        <f t="shared" si="66"/>
        <v>0</v>
      </c>
      <c r="Q530" s="14">
        <f t="shared" si="69"/>
        <v>0</v>
      </c>
      <c r="R530" s="19">
        <f t="shared" si="70"/>
        <v>0</v>
      </c>
      <c r="S530" s="19">
        <f t="shared" si="71"/>
        <v>0</v>
      </c>
      <c r="T530" s="14">
        <f t="shared" si="72"/>
        <v>0</v>
      </c>
      <c r="U530" s="18" t="str" cm="1">
        <f t="array" aca="1" ref="U530" ca="1">IF(M530&lt;=$N$1,L530,IF(M530&lt;=($N$1+1),INDIRECT("L"&amp;5+$X$2),""))</f>
        <v/>
      </c>
    </row>
    <row r="531" spans="12:21" hidden="1" x14ac:dyDescent="0.25">
      <c r="L531" s="18">
        <f t="shared" ca="1" si="73"/>
        <v>62223</v>
      </c>
      <c r="M531" s="14">
        <v>526</v>
      </c>
      <c r="N531" s="14">
        <f t="shared" si="67"/>
        <v>0</v>
      </c>
      <c r="O531" s="19">
        <f t="shared" si="68"/>
        <v>0</v>
      </c>
      <c r="P531" s="19">
        <f t="shared" si="66"/>
        <v>0</v>
      </c>
      <c r="Q531" s="14">
        <f t="shared" si="69"/>
        <v>0</v>
      </c>
      <c r="R531" s="19">
        <f t="shared" si="70"/>
        <v>0</v>
      </c>
      <c r="S531" s="19">
        <f t="shared" si="71"/>
        <v>0</v>
      </c>
      <c r="T531" s="14">
        <f t="shared" si="72"/>
        <v>0</v>
      </c>
      <c r="U531" s="18" t="str" cm="1">
        <f t="array" aca="1" ref="U531" ca="1">IF(M531&lt;=$N$1,L531,IF(M531&lt;=($N$1+1),INDIRECT("L"&amp;5+$X$2),""))</f>
        <v/>
      </c>
    </row>
    <row r="532" spans="12:21" hidden="1" x14ac:dyDescent="0.25">
      <c r="L532" s="18">
        <f t="shared" ca="1" si="73"/>
        <v>62254</v>
      </c>
      <c r="M532" s="14">
        <v>527</v>
      </c>
      <c r="N532" s="14">
        <f t="shared" si="67"/>
        <v>0</v>
      </c>
      <c r="O532" s="19">
        <f t="shared" si="68"/>
        <v>0</v>
      </c>
      <c r="P532" s="19">
        <f t="shared" si="66"/>
        <v>0</v>
      </c>
      <c r="Q532" s="14">
        <f t="shared" si="69"/>
        <v>0</v>
      </c>
      <c r="R532" s="19">
        <f t="shared" si="70"/>
        <v>0</v>
      </c>
      <c r="S532" s="19">
        <f t="shared" si="71"/>
        <v>0</v>
      </c>
      <c r="T532" s="14">
        <f t="shared" si="72"/>
        <v>0</v>
      </c>
      <c r="U532" s="18" t="str" cm="1">
        <f t="array" aca="1" ref="U532" ca="1">IF(M532&lt;=$N$1,L532,IF(M532&lt;=($N$1+1),INDIRECT("L"&amp;5+$X$2),""))</f>
        <v/>
      </c>
    </row>
    <row r="533" spans="12:21" hidden="1" x14ac:dyDescent="0.25">
      <c r="L533" s="18">
        <f t="shared" ca="1" si="73"/>
        <v>62284</v>
      </c>
      <c r="M533" s="14">
        <v>528</v>
      </c>
      <c r="N533" s="14">
        <f t="shared" si="67"/>
        <v>0</v>
      </c>
      <c r="O533" s="19">
        <f t="shared" si="68"/>
        <v>0</v>
      </c>
      <c r="P533" s="19">
        <f t="shared" si="66"/>
        <v>0</v>
      </c>
      <c r="Q533" s="14">
        <f t="shared" si="69"/>
        <v>0</v>
      </c>
      <c r="R533" s="19">
        <f t="shared" si="70"/>
        <v>0</v>
      </c>
      <c r="S533" s="19">
        <f t="shared" si="71"/>
        <v>0</v>
      </c>
      <c r="T533" s="14">
        <f t="shared" si="72"/>
        <v>0</v>
      </c>
      <c r="U533" s="18" t="str" cm="1">
        <f t="array" aca="1" ref="U533" ca="1">IF(M533&lt;=$N$1,L533,IF(M533&lt;=($N$1+1),INDIRECT("L"&amp;5+$X$2),""))</f>
        <v/>
      </c>
    </row>
    <row r="534" spans="12:21" hidden="1" x14ac:dyDescent="0.25">
      <c r="L534" s="18">
        <f t="shared" ca="1" si="73"/>
        <v>62315</v>
      </c>
      <c r="M534" s="14">
        <v>529</v>
      </c>
      <c r="N534" s="14">
        <f t="shared" si="67"/>
        <v>0</v>
      </c>
      <c r="O534" s="19">
        <f t="shared" si="68"/>
        <v>0</v>
      </c>
      <c r="P534" s="19">
        <f t="shared" si="66"/>
        <v>0</v>
      </c>
      <c r="Q534" s="14">
        <f t="shared" si="69"/>
        <v>0</v>
      </c>
      <c r="R534" s="19">
        <f t="shared" si="70"/>
        <v>0</v>
      </c>
      <c r="S534" s="19">
        <f t="shared" si="71"/>
        <v>0</v>
      </c>
      <c r="T534" s="14">
        <f t="shared" si="72"/>
        <v>0</v>
      </c>
      <c r="U534" s="18" t="str" cm="1">
        <f t="array" aca="1" ref="U534" ca="1">IF(M534&lt;=$N$1,L534,IF(M534&lt;=($N$1+1),INDIRECT("L"&amp;5+$X$2),""))</f>
        <v/>
      </c>
    </row>
    <row r="535" spans="12:21" hidden="1" x14ac:dyDescent="0.25">
      <c r="L535" s="18">
        <f t="shared" ca="1" si="73"/>
        <v>62346</v>
      </c>
      <c r="M535" s="14">
        <v>530</v>
      </c>
      <c r="N535" s="14">
        <f t="shared" si="67"/>
        <v>0</v>
      </c>
      <c r="O535" s="19">
        <f t="shared" si="68"/>
        <v>0</v>
      </c>
      <c r="P535" s="19">
        <f t="shared" si="66"/>
        <v>0</v>
      </c>
      <c r="Q535" s="14">
        <f t="shared" si="69"/>
        <v>0</v>
      </c>
      <c r="R535" s="19">
        <f t="shared" si="70"/>
        <v>0</v>
      </c>
      <c r="S535" s="19">
        <f t="shared" si="71"/>
        <v>0</v>
      </c>
      <c r="T535" s="14">
        <f t="shared" si="72"/>
        <v>0</v>
      </c>
      <c r="U535" s="18" t="str" cm="1">
        <f t="array" aca="1" ref="U535" ca="1">IF(M535&lt;=$N$1,L535,IF(M535&lt;=($N$1+1),INDIRECT("L"&amp;5+$X$2),""))</f>
        <v/>
      </c>
    </row>
    <row r="536" spans="12:21" hidden="1" x14ac:dyDescent="0.25">
      <c r="L536" s="18">
        <f t="shared" ca="1" si="73"/>
        <v>62376</v>
      </c>
      <c r="M536" s="14">
        <v>531</v>
      </c>
      <c r="N536" s="14">
        <f t="shared" si="67"/>
        <v>0</v>
      </c>
      <c r="O536" s="19">
        <f t="shared" si="68"/>
        <v>0</v>
      </c>
      <c r="P536" s="19">
        <f t="shared" si="66"/>
        <v>0</v>
      </c>
      <c r="Q536" s="14">
        <f t="shared" si="69"/>
        <v>0</v>
      </c>
      <c r="R536" s="19">
        <f t="shared" si="70"/>
        <v>0</v>
      </c>
      <c r="S536" s="19">
        <f t="shared" si="71"/>
        <v>0</v>
      </c>
      <c r="T536" s="14">
        <f t="shared" si="72"/>
        <v>0</v>
      </c>
      <c r="U536" s="18" t="str" cm="1">
        <f t="array" aca="1" ref="U536" ca="1">IF(M536&lt;=$N$1,L536,IF(M536&lt;=($N$1+1),INDIRECT("L"&amp;5+$X$2),""))</f>
        <v/>
      </c>
    </row>
    <row r="537" spans="12:21" hidden="1" x14ac:dyDescent="0.25">
      <c r="L537" s="18">
        <f t="shared" ca="1" si="73"/>
        <v>62407</v>
      </c>
      <c r="M537" s="14">
        <v>532</v>
      </c>
      <c r="N537" s="14">
        <f t="shared" si="67"/>
        <v>0</v>
      </c>
      <c r="O537" s="19">
        <f t="shared" si="68"/>
        <v>0</v>
      </c>
      <c r="P537" s="19">
        <f t="shared" si="66"/>
        <v>0</v>
      </c>
      <c r="Q537" s="14">
        <f t="shared" si="69"/>
        <v>0</v>
      </c>
      <c r="R537" s="19">
        <f t="shared" si="70"/>
        <v>0</v>
      </c>
      <c r="S537" s="19">
        <f t="shared" si="71"/>
        <v>0</v>
      </c>
      <c r="T537" s="14">
        <f t="shared" si="72"/>
        <v>0</v>
      </c>
      <c r="U537" s="18" t="str" cm="1">
        <f t="array" aca="1" ref="U537" ca="1">IF(M537&lt;=$N$1,L537,IF(M537&lt;=($N$1+1),INDIRECT("L"&amp;5+$X$2),""))</f>
        <v/>
      </c>
    </row>
    <row r="538" spans="12:21" hidden="1" x14ac:dyDescent="0.25">
      <c r="L538" s="18">
        <f t="shared" ca="1" si="73"/>
        <v>62437</v>
      </c>
      <c r="M538" s="14">
        <v>533</v>
      </c>
      <c r="N538" s="14">
        <f t="shared" si="67"/>
        <v>0</v>
      </c>
      <c r="O538" s="19">
        <f t="shared" si="68"/>
        <v>0</v>
      </c>
      <c r="P538" s="19">
        <f t="shared" si="66"/>
        <v>0</v>
      </c>
      <c r="Q538" s="14">
        <f t="shared" si="69"/>
        <v>0</v>
      </c>
      <c r="R538" s="19">
        <f t="shared" si="70"/>
        <v>0</v>
      </c>
      <c r="S538" s="19">
        <f t="shared" si="71"/>
        <v>0</v>
      </c>
      <c r="T538" s="14">
        <f t="shared" si="72"/>
        <v>0</v>
      </c>
      <c r="U538" s="18" t="str" cm="1">
        <f t="array" aca="1" ref="U538" ca="1">IF(M538&lt;=$N$1,L538,IF(M538&lt;=($N$1+1),INDIRECT("L"&amp;5+$X$2),""))</f>
        <v/>
      </c>
    </row>
    <row r="539" spans="12:21" hidden="1" x14ac:dyDescent="0.25">
      <c r="L539" s="18">
        <f t="shared" ca="1" si="73"/>
        <v>62468</v>
      </c>
      <c r="M539" s="14">
        <v>534</v>
      </c>
      <c r="N539" s="14">
        <f t="shared" si="67"/>
        <v>0</v>
      </c>
      <c r="O539" s="19">
        <f t="shared" si="68"/>
        <v>0</v>
      </c>
      <c r="P539" s="19">
        <f t="shared" si="66"/>
        <v>0</v>
      </c>
      <c r="Q539" s="14">
        <f t="shared" si="69"/>
        <v>0</v>
      </c>
      <c r="R539" s="19">
        <f t="shared" si="70"/>
        <v>0</v>
      </c>
      <c r="S539" s="19">
        <f t="shared" si="71"/>
        <v>0</v>
      </c>
      <c r="T539" s="14">
        <f t="shared" si="72"/>
        <v>0</v>
      </c>
      <c r="U539" s="18" t="str" cm="1">
        <f t="array" aca="1" ref="U539" ca="1">IF(M539&lt;=$N$1,L539,IF(M539&lt;=($N$1+1),INDIRECT("L"&amp;5+$X$2),""))</f>
        <v/>
      </c>
    </row>
    <row r="540" spans="12:21" hidden="1" x14ac:dyDescent="0.25">
      <c r="L540" s="18">
        <f t="shared" ca="1" si="73"/>
        <v>62499</v>
      </c>
      <c r="M540" s="14">
        <v>535</v>
      </c>
      <c r="N540" s="14">
        <f t="shared" si="67"/>
        <v>0</v>
      </c>
      <c r="O540" s="19">
        <f t="shared" si="68"/>
        <v>0</v>
      </c>
      <c r="P540" s="19">
        <f t="shared" si="66"/>
        <v>0</v>
      </c>
      <c r="Q540" s="14">
        <f t="shared" si="69"/>
        <v>0</v>
      </c>
      <c r="R540" s="19">
        <f t="shared" si="70"/>
        <v>0</v>
      </c>
      <c r="S540" s="19">
        <f t="shared" si="71"/>
        <v>0</v>
      </c>
      <c r="T540" s="14">
        <f t="shared" si="72"/>
        <v>0</v>
      </c>
      <c r="U540" s="18" t="str" cm="1">
        <f t="array" aca="1" ref="U540" ca="1">IF(M540&lt;=$N$1,L540,IF(M540&lt;=($N$1+1),INDIRECT("L"&amp;5+$X$2),""))</f>
        <v/>
      </c>
    </row>
    <row r="541" spans="12:21" hidden="1" x14ac:dyDescent="0.25">
      <c r="L541" s="18">
        <f t="shared" ca="1" si="73"/>
        <v>62527</v>
      </c>
      <c r="M541" s="14">
        <v>536</v>
      </c>
      <c r="N541" s="14">
        <f t="shared" si="67"/>
        <v>0</v>
      </c>
      <c r="O541" s="19">
        <f t="shared" si="68"/>
        <v>0</v>
      </c>
      <c r="P541" s="19">
        <f t="shared" si="66"/>
        <v>0</v>
      </c>
      <c r="Q541" s="14">
        <f t="shared" si="69"/>
        <v>0</v>
      </c>
      <c r="R541" s="19">
        <f t="shared" si="70"/>
        <v>0</v>
      </c>
      <c r="S541" s="19">
        <f t="shared" si="71"/>
        <v>0</v>
      </c>
      <c r="T541" s="14">
        <f t="shared" si="72"/>
        <v>0</v>
      </c>
      <c r="U541" s="18" t="str" cm="1">
        <f t="array" aca="1" ref="U541" ca="1">IF(M541&lt;=$N$1,L541,IF(M541&lt;=($N$1+1),INDIRECT("L"&amp;5+$X$2),""))</f>
        <v/>
      </c>
    </row>
    <row r="542" spans="12:21" hidden="1" x14ac:dyDescent="0.25">
      <c r="L542" s="18">
        <f t="shared" ca="1" si="73"/>
        <v>62558</v>
      </c>
      <c r="M542" s="14">
        <v>537</v>
      </c>
      <c r="N542" s="14">
        <f t="shared" si="67"/>
        <v>0</v>
      </c>
      <c r="O542" s="19">
        <f t="shared" si="68"/>
        <v>0</v>
      </c>
      <c r="P542" s="19">
        <f t="shared" si="66"/>
        <v>0</v>
      </c>
      <c r="Q542" s="14">
        <f t="shared" si="69"/>
        <v>0</v>
      </c>
      <c r="R542" s="19">
        <f t="shared" si="70"/>
        <v>0</v>
      </c>
      <c r="S542" s="19">
        <f t="shared" si="71"/>
        <v>0</v>
      </c>
      <c r="T542" s="14">
        <f t="shared" si="72"/>
        <v>0</v>
      </c>
      <c r="U542" s="18" t="str" cm="1">
        <f t="array" aca="1" ref="U542" ca="1">IF(M542&lt;=$N$1,L542,IF(M542&lt;=($N$1+1),INDIRECT("L"&amp;5+$X$2),""))</f>
        <v/>
      </c>
    </row>
    <row r="543" spans="12:21" hidden="1" x14ac:dyDescent="0.25">
      <c r="L543" s="18">
        <f t="shared" ca="1" si="73"/>
        <v>62588</v>
      </c>
      <c r="M543" s="14">
        <v>538</v>
      </c>
      <c r="N543" s="14">
        <f t="shared" si="67"/>
        <v>0</v>
      </c>
      <c r="O543" s="19">
        <f t="shared" si="68"/>
        <v>0</v>
      </c>
      <c r="P543" s="19">
        <f t="shared" si="66"/>
        <v>0</v>
      </c>
      <c r="Q543" s="14">
        <f t="shared" si="69"/>
        <v>0</v>
      </c>
      <c r="R543" s="19">
        <f t="shared" si="70"/>
        <v>0</v>
      </c>
      <c r="S543" s="19">
        <f t="shared" si="71"/>
        <v>0</v>
      </c>
      <c r="T543" s="14">
        <f t="shared" si="72"/>
        <v>0</v>
      </c>
      <c r="U543" s="18" t="str" cm="1">
        <f t="array" aca="1" ref="U543" ca="1">IF(M543&lt;=$N$1,L543,IF(M543&lt;=($N$1+1),INDIRECT("L"&amp;5+$X$2),""))</f>
        <v/>
      </c>
    </row>
    <row r="544" spans="12:21" hidden="1" x14ac:dyDescent="0.25">
      <c r="L544" s="18">
        <f t="shared" ca="1" si="73"/>
        <v>62619</v>
      </c>
      <c r="M544" s="14">
        <v>539</v>
      </c>
      <c r="N544" s="14">
        <f t="shared" si="67"/>
        <v>0</v>
      </c>
      <c r="O544" s="19">
        <f t="shared" si="68"/>
        <v>0</v>
      </c>
      <c r="P544" s="19">
        <f t="shared" si="66"/>
        <v>0</v>
      </c>
      <c r="Q544" s="14">
        <f t="shared" si="69"/>
        <v>0</v>
      </c>
      <c r="R544" s="19">
        <f t="shared" si="70"/>
        <v>0</v>
      </c>
      <c r="S544" s="19">
        <f t="shared" si="71"/>
        <v>0</v>
      </c>
      <c r="T544" s="14">
        <f t="shared" si="72"/>
        <v>0</v>
      </c>
      <c r="U544" s="18" t="str" cm="1">
        <f t="array" aca="1" ref="U544" ca="1">IF(M544&lt;=$N$1,L544,IF(M544&lt;=($N$1+1),INDIRECT("L"&amp;5+$X$2),""))</f>
        <v/>
      </c>
    </row>
    <row r="545" spans="12:21" hidden="1" x14ac:dyDescent="0.25">
      <c r="L545" s="18">
        <f t="shared" ca="1" si="73"/>
        <v>62649</v>
      </c>
      <c r="M545" s="14">
        <v>540</v>
      </c>
      <c r="N545" s="14">
        <f t="shared" si="67"/>
        <v>0</v>
      </c>
      <c r="O545" s="19">
        <f t="shared" si="68"/>
        <v>0</v>
      </c>
      <c r="P545" s="19">
        <f t="shared" si="66"/>
        <v>0</v>
      </c>
      <c r="Q545" s="14">
        <f t="shared" si="69"/>
        <v>0</v>
      </c>
      <c r="R545" s="19">
        <f t="shared" si="70"/>
        <v>0</v>
      </c>
      <c r="S545" s="19">
        <f t="shared" si="71"/>
        <v>0</v>
      </c>
      <c r="T545" s="14">
        <f t="shared" si="72"/>
        <v>0</v>
      </c>
      <c r="U545" s="18" t="str" cm="1">
        <f t="array" aca="1" ref="U545" ca="1">IF(M545&lt;=$N$1,L545,IF(M545&lt;=($N$1+1),INDIRECT("L"&amp;5+$X$2),""))</f>
        <v/>
      </c>
    </row>
    <row r="546" spans="12:21" hidden="1" x14ac:dyDescent="0.25">
      <c r="L546" s="18">
        <f t="shared" ca="1" si="73"/>
        <v>62680</v>
      </c>
      <c r="M546" s="14">
        <v>541</v>
      </c>
      <c r="N546" s="14">
        <f t="shared" si="67"/>
        <v>0</v>
      </c>
      <c r="O546" s="19">
        <f t="shared" si="68"/>
        <v>0</v>
      </c>
      <c r="P546" s="19">
        <f t="shared" si="66"/>
        <v>0</v>
      </c>
      <c r="Q546" s="14">
        <f t="shared" si="69"/>
        <v>0</v>
      </c>
      <c r="R546" s="19">
        <f t="shared" si="70"/>
        <v>0</v>
      </c>
      <c r="S546" s="19">
        <f t="shared" si="71"/>
        <v>0</v>
      </c>
      <c r="T546" s="14">
        <f t="shared" si="72"/>
        <v>0</v>
      </c>
      <c r="U546" s="18" t="str" cm="1">
        <f t="array" aca="1" ref="U546" ca="1">IF(M546&lt;=$N$1,L546,IF(M546&lt;=($N$1+1),INDIRECT("L"&amp;5+$X$2),""))</f>
        <v/>
      </c>
    </row>
    <row r="547" spans="12:21" hidden="1" x14ac:dyDescent="0.25">
      <c r="L547" s="18">
        <f t="shared" ca="1" si="73"/>
        <v>62711</v>
      </c>
      <c r="M547" s="14">
        <v>542</v>
      </c>
      <c r="N547" s="14">
        <f t="shared" si="67"/>
        <v>0</v>
      </c>
      <c r="O547" s="19">
        <f t="shared" si="68"/>
        <v>0</v>
      </c>
      <c r="P547" s="19">
        <f t="shared" si="66"/>
        <v>0</v>
      </c>
      <c r="Q547" s="14">
        <f t="shared" si="69"/>
        <v>0</v>
      </c>
      <c r="R547" s="19">
        <f t="shared" si="70"/>
        <v>0</v>
      </c>
      <c r="S547" s="19">
        <f t="shared" si="71"/>
        <v>0</v>
      </c>
      <c r="T547" s="14">
        <f t="shared" si="72"/>
        <v>0</v>
      </c>
      <c r="U547" s="18" t="str" cm="1">
        <f t="array" aca="1" ref="U547" ca="1">IF(M547&lt;=$N$1,L547,IF(M547&lt;=($N$1+1),INDIRECT("L"&amp;5+$X$2),""))</f>
        <v/>
      </c>
    </row>
    <row r="548" spans="12:21" hidden="1" x14ac:dyDescent="0.25">
      <c r="L548" s="18">
        <f t="shared" ca="1" si="73"/>
        <v>62741</v>
      </c>
      <c r="M548" s="14">
        <v>543</v>
      </c>
      <c r="N548" s="14">
        <f t="shared" si="67"/>
        <v>0</v>
      </c>
      <c r="O548" s="19">
        <f t="shared" si="68"/>
        <v>0</v>
      </c>
      <c r="P548" s="19">
        <f t="shared" si="66"/>
        <v>0</v>
      </c>
      <c r="Q548" s="14">
        <f t="shared" si="69"/>
        <v>0</v>
      </c>
      <c r="R548" s="19">
        <f t="shared" si="70"/>
        <v>0</v>
      </c>
      <c r="S548" s="19">
        <f t="shared" si="71"/>
        <v>0</v>
      </c>
      <c r="T548" s="14">
        <f t="shared" si="72"/>
        <v>0</v>
      </c>
      <c r="U548" s="18" t="str" cm="1">
        <f t="array" aca="1" ref="U548" ca="1">IF(M548&lt;=$N$1,L548,IF(M548&lt;=($N$1+1),INDIRECT("L"&amp;5+$X$2),""))</f>
        <v/>
      </c>
    </row>
    <row r="549" spans="12:21" hidden="1" x14ac:dyDescent="0.25">
      <c r="L549" s="18">
        <f t="shared" ca="1" si="73"/>
        <v>62772</v>
      </c>
      <c r="M549" s="14">
        <v>544</v>
      </c>
      <c r="N549" s="14">
        <f t="shared" si="67"/>
        <v>0</v>
      </c>
      <c r="O549" s="19">
        <f t="shared" si="68"/>
        <v>0</v>
      </c>
      <c r="P549" s="19">
        <f t="shared" si="66"/>
        <v>0</v>
      </c>
      <c r="Q549" s="14">
        <f t="shared" si="69"/>
        <v>0</v>
      </c>
      <c r="R549" s="19">
        <f t="shared" si="70"/>
        <v>0</v>
      </c>
      <c r="S549" s="19">
        <f t="shared" si="71"/>
        <v>0</v>
      </c>
      <c r="T549" s="14">
        <f t="shared" si="72"/>
        <v>0</v>
      </c>
      <c r="U549" s="18" t="str" cm="1">
        <f t="array" aca="1" ref="U549" ca="1">IF(M549&lt;=$N$1,L549,IF(M549&lt;=($N$1+1),INDIRECT("L"&amp;5+$X$2),""))</f>
        <v/>
      </c>
    </row>
    <row r="550" spans="12:21" hidden="1" x14ac:dyDescent="0.25">
      <c r="L550" s="18">
        <f t="shared" ca="1" si="73"/>
        <v>62802</v>
      </c>
      <c r="M550" s="14">
        <v>545</v>
      </c>
      <c r="N550" s="14">
        <f t="shared" si="67"/>
        <v>0</v>
      </c>
      <c r="O550" s="19">
        <f t="shared" si="68"/>
        <v>0</v>
      </c>
      <c r="P550" s="19">
        <f t="shared" ref="P550:P613" si="74">O550/((1+SIPInflationRate)^(M550/12))</f>
        <v>0</v>
      </c>
      <c r="Q550" s="14">
        <f t="shared" si="69"/>
        <v>0</v>
      </c>
      <c r="R550" s="19">
        <f t="shared" si="70"/>
        <v>0</v>
      </c>
      <c r="S550" s="19">
        <f t="shared" si="71"/>
        <v>0</v>
      </c>
      <c r="T550" s="14">
        <f t="shared" si="72"/>
        <v>0</v>
      </c>
      <c r="U550" s="18" t="str" cm="1">
        <f t="array" aca="1" ref="U550" ca="1">IF(M550&lt;=$N$1,L550,IF(M550&lt;=($N$1+1),INDIRECT("L"&amp;5+$X$2),""))</f>
        <v/>
      </c>
    </row>
    <row r="551" spans="12:21" hidden="1" x14ac:dyDescent="0.25">
      <c r="L551" s="18">
        <f t="shared" ca="1" si="73"/>
        <v>62833</v>
      </c>
      <c r="M551" s="14">
        <v>546</v>
      </c>
      <c r="N551" s="14">
        <f t="shared" si="67"/>
        <v>0</v>
      </c>
      <c r="O551" s="19">
        <f t="shared" si="68"/>
        <v>0</v>
      </c>
      <c r="P551" s="19">
        <f t="shared" si="74"/>
        <v>0</v>
      </c>
      <c r="Q551" s="14">
        <f t="shared" si="69"/>
        <v>0</v>
      </c>
      <c r="R551" s="19">
        <f t="shared" si="70"/>
        <v>0</v>
      </c>
      <c r="S551" s="19">
        <f t="shared" si="71"/>
        <v>0</v>
      </c>
      <c r="T551" s="14">
        <f t="shared" si="72"/>
        <v>0</v>
      </c>
      <c r="U551" s="18" t="str" cm="1">
        <f t="array" aca="1" ref="U551" ca="1">IF(M551&lt;=$N$1,L551,IF(M551&lt;=($N$1+1),INDIRECT("L"&amp;5+$X$2),""))</f>
        <v/>
      </c>
    </row>
    <row r="552" spans="12:21" hidden="1" x14ac:dyDescent="0.25">
      <c r="L552" s="18">
        <f t="shared" ca="1" si="73"/>
        <v>62864</v>
      </c>
      <c r="M552" s="14">
        <v>547</v>
      </c>
      <c r="N552" s="14">
        <f t="shared" si="67"/>
        <v>0</v>
      </c>
      <c r="O552" s="19">
        <f t="shared" si="68"/>
        <v>0</v>
      </c>
      <c r="P552" s="19">
        <f t="shared" si="74"/>
        <v>0</v>
      </c>
      <c r="Q552" s="14">
        <f t="shared" si="69"/>
        <v>0</v>
      </c>
      <c r="R552" s="19">
        <f t="shared" si="70"/>
        <v>0</v>
      </c>
      <c r="S552" s="19">
        <f t="shared" si="71"/>
        <v>0</v>
      </c>
      <c r="T552" s="14">
        <f t="shared" si="72"/>
        <v>0</v>
      </c>
      <c r="U552" s="18" t="str" cm="1">
        <f t="array" aca="1" ref="U552" ca="1">IF(M552&lt;=$N$1,L552,IF(M552&lt;=($N$1+1),INDIRECT("L"&amp;5+$X$2),""))</f>
        <v/>
      </c>
    </row>
    <row r="553" spans="12:21" hidden="1" x14ac:dyDescent="0.25">
      <c r="L553" s="18">
        <f t="shared" ca="1" si="73"/>
        <v>62893</v>
      </c>
      <c r="M553" s="14">
        <v>548</v>
      </c>
      <c r="N553" s="14">
        <f t="shared" si="67"/>
        <v>0</v>
      </c>
      <c r="O553" s="19">
        <f t="shared" si="68"/>
        <v>0</v>
      </c>
      <c r="P553" s="19">
        <f t="shared" si="74"/>
        <v>0</v>
      </c>
      <c r="Q553" s="14">
        <f t="shared" si="69"/>
        <v>0</v>
      </c>
      <c r="R553" s="19">
        <f t="shared" si="70"/>
        <v>0</v>
      </c>
      <c r="S553" s="19">
        <f t="shared" si="71"/>
        <v>0</v>
      </c>
      <c r="T553" s="14">
        <f t="shared" si="72"/>
        <v>0</v>
      </c>
      <c r="U553" s="18" t="str" cm="1">
        <f t="array" aca="1" ref="U553" ca="1">IF(M553&lt;=$N$1,L553,IF(M553&lt;=($N$1+1),INDIRECT("L"&amp;5+$X$2),""))</f>
        <v/>
      </c>
    </row>
    <row r="554" spans="12:21" hidden="1" x14ac:dyDescent="0.25">
      <c r="L554" s="18">
        <f t="shared" ca="1" si="73"/>
        <v>62924</v>
      </c>
      <c r="M554" s="14">
        <v>549</v>
      </c>
      <c r="N554" s="14">
        <f t="shared" si="67"/>
        <v>0</v>
      </c>
      <c r="O554" s="19">
        <f t="shared" si="68"/>
        <v>0</v>
      </c>
      <c r="P554" s="19">
        <f t="shared" si="74"/>
        <v>0</v>
      </c>
      <c r="Q554" s="14">
        <f t="shared" si="69"/>
        <v>0</v>
      </c>
      <c r="R554" s="19">
        <f t="shared" si="70"/>
        <v>0</v>
      </c>
      <c r="S554" s="19">
        <f t="shared" si="71"/>
        <v>0</v>
      </c>
      <c r="T554" s="14">
        <f t="shared" si="72"/>
        <v>0</v>
      </c>
      <c r="U554" s="18" t="str" cm="1">
        <f t="array" aca="1" ref="U554" ca="1">IF(M554&lt;=$N$1,L554,IF(M554&lt;=($N$1+1),INDIRECT("L"&amp;5+$X$2),""))</f>
        <v/>
      </c>
    </row>
    <row r="555" spans="12:21" hidden="1" x14ac:dyDescent="0.25">
      <c r="L555" s="18">
        <f t="shared" ca="1" si="73"/>
        <v>62954</v>
      </c>
      <c r="M555" s="14">
        <v>550</v>
      </c>
      <c r="N555" s="14">
        <f t="shared" si="67"/>
        <v>0</v>
      </c>
      <c r="O555" s="19">
        <f t="shared" si="68"/>
        <v>0</v>
      </c>
      <c r="P555" s="19">
        <f t="shared" si="74"/>
        <v>0</v>
      </c>
      <c r="Q555" s="14">
        <f t="shared" si="69"/>
        <v>0</v>
      </c>
      <c r="R555" s="19">
        <f t="shared" si="70"/>
        <v>0</v>
      </c>
      <c r="S555" s="19">
        <f t="shared" si="71"/>
        <v>0</v>
      </c>
      <c r="T555" s="14">
        <f t="shared" si="72"/>
        <v>0</v>
      </c>
      <c r="U555" s="18" t="str" cm="1">
        <f t="array" aca="1" ref="U555" ca="1">IF(M555&lt;=$N$1,L555,IF(M555&lt;=($N$1+1),INDIRECT("L"&amp;5+$X$2),""))</f>
        <v/>
      </c>
    </row>
    <row r="556" spans="12:21" hidden="1" x14ac:dyDescent="0.25">
      <c r="L556" s="18">
        <f t="shared" ca="1" si="73"/>
        <v>62985</v>
      </c>
      <c r="M556" s="14">
        <v>551</v>
      </c>
      <c r="N556" s="14">
        <f t="shared" si="67"/>
        <v>0</v>
      </c>
      <c r="O556" s="19">
        <f t="shared" si="68"/>
        <v>0</v>
      </c>
      <c r="P556" s="19">
        <f t="shared" si="74"/>
        <v>0</v>
      </c>
      <c r="Q556" s="14">
        <f t="shared" si="69"/>
        <v>0</v>
      </c>
      <c r="R556" s="19">
        <f t="shared" si="70"/>
        <v>0</v>
      </c>
      <c r="S556" s="19">
        <f t="shared" si="71"/>
        <v>0</v>
      </c>
      <c r="T556" s="14">
        <f t="shared" si="72"/>
        <v>0</v>
      </c>
      <c r="U556" s="18" t="str" cm="1">
        <f t="array" aca="1" ref="U556" ca="1">IF(M556&lt;=$N$1,L556,IF(M556&lt;=($N$1+1),INDIRECT("L"&amp;5+$X$2),""))</f>
        <v/>
      </c>
    </row>
    <row r="557" spans="12:21" hidden="1" x14ac:dyDescent="0.25">
      <c r="L557" s="18">
        <f t="shared" ca="1" si="73"/>
        <v>63015</v>
      </c>
      <c r="M557" s="14">
        <v>552</v>
      </c>
      <c r="N557" s="14">
        <f t="shared" si="67"/>
        <v>0</v>
      </c>
      <c r="O557" s="19">
        <f t="shared" si="68"/>
        <v>0</v>
      </c>
      <c r="P557" s="19">
        <f t="shared" si="74"/>
        <v>0</v>
      </c>
      <c r="Q557" s="14">
        <f t="shared" si="69"/>
        <v>0</v>
      </c>
      <c r="R557" s="19">
        <f t="shared" si="70"/>
        <v>0</v>
      </c>
      <c r="S557" s="19">
        <f t="shared" si="71"/>
        <v>0</v>
      </c>
      <c r="T557" s="14">
        <f t="shared" si="72"/>
        <v>0</v>
      </c>
      <c r="U557" s="18" t="str" cm="1">
        <f t="array" aca="1" ref="U557" ca="1">IF(M557&lt;=$N$1,L557,IF(M557&lt;=($N$1+1),INDIRECT("L"&amp;5+$X$2),""))</f>
        <v/>
      </c>
    </row>
    <row r="558" spans="12:21" hidden="1" x14ac:dyDescent="0.25">
      <c r="L558" s="18">
        <f t="shared" ca="1" si="73"/>
        <v>63046</v>
      </c>
      <c r="M558" s="14">
        <v>553</v>
      </c>
      <c r="N558" s="14">
        <f t="shared" si="67"/>
        <v>0</v>
      </c>
      <c r="O558" s="19">
        <f t="shared" si="68"/>
        <v>0</v>
      </c>
      <c r="P558" s="19">
        <f t="shared" si="74"/>
        <v>0</v>
      </c>
      <c r="Q558" s="14">
        <f t="shared" si="69"/>
        <v>0</v>
      </c>
      <c r="R558" s="19">
        <f t="shared" si="70"/>
        <v>0</v>
      </c>
      <c r="S558" s="19">
        <f t="shared" si="71"/>
        <v>0</v>
      </c>
      <c r="T558" s="14">
        <f t="shared" si="72"/>
        <v>0</v>
      </c>
      <c r="U558" s="18" t="str" cm="1">
        <f t="array" aca="1" ref="U558" ca="1">IF(M558&lt;=$N$1,L558,IF(M558&lt;=($N$1+1),INDIRECT("L"&amp;5+$X$2),""))</f>
        <v/>
      </c>
    </row>
    <row r="559" spans="12:21" hidden="1" x14ac:dyDescent="0.25">
      <c r="L559" s="18">
        <f t="shared" ca="1" si="73"/>
        <v>63077</v>
      </c>
      <c r="M559" s="14">
        <v>554</v>
      </c>
      <c r="N559" s="14">
        <f t="shared" si="67"/>
        <v>0</v>
      </c>
      <c r="O559" s="19">
        <f t="shared" si="68"/>
        <v>0</v>
      </c>
      <c r="P559" s="19">
        <f t="shared" si="74"/>
        <v>0</v>
      </c>
      <c r="Q559" s="14">
        <f t="shared" si="69"/>
        <v>0</v>
      </c>
      <c r="R559" s="19">
        <f t="shared" si="70"/>
        <v>0</v>
      </c>
      <c r="S559" s="19">
        <f t="shared" si="71"/>
        <v>0</v>
      </c>
      <c r="T559" s="14">
        <f t="shared" si="72"/>
        <v>0</v>
      </c>
      <c r="U559" s="18" t="str" cm="1">
        <f t="array" aca="1" ref="U559" ca="1">IF(M559&lt;=$N$1,L559,IF(M559&lt;=($N$1+1),INDIRECT("L"&amp;5+$X$2),""))</f>
        <v/>
      </c>
    </row>
    <row r="560" spans="12:21" hidden="1" x14ac:dyDescent="0.25">
      <c r="L560" s="18">
        <f t="shared" ca="1" si="73"/>
        <v>63107</v>
      </c>
      <c r="M560" s="14">
        <v>555</v>
      </c>
      <c r="N560" s="14">
        <f t="shared" si="67"/>
        <v>0</v>
      </c>
      <c r="O560" s="19">
        <f t="shared" si="68"/>
        <v>0</v>
      </c>
      <c r="P560" s="19">
        <f t="shared" si="74"/>
        <v>0</v>
      </c>
      <c r="Q560" s="14">
        <f t="shared" si="69"/>
        <v>0</v>
      </c>
      <c r="R560" s="19">
        <f t="shared" si="70"/>
        <v>0</v>
      </c>
      <c r="S560" s="19">
        <f t="shared" si="71"/>
        <v>0</v>
      </c>
      <c r="T560" s="14">
        <f t="shared" si="72"/>
        <v>0</v>
      </c>
      <c r="U560" s="18" t="str" cm="1">
        <f t="array" aca="1" ref="U560" ca="1">IF(M560&lt;=$N$1,L560,IF(M560&lt;=($N$1+1),INDIRECT("L"&amp;5+$X$2),""))</f>
        <v/>
      </c>
    </row>
    <row r="561" spans="12:21" hidden="1" x14ac:dyDescent="0.25">
      <c r="L561" s="18">
        <f t="shared" ca="1" si="73"/>
        <v>63138</v>
      </c>
      <c r="M561" s="14">
        <v>556</v>
      </c>
      <c r="N561" s="14">
        <f t="shared" si="67"/>
        <v>0</v>
      </c>
      <c r="O561" s="19">
        <f t="shared" si="68"/>
        <v>0</v>
      </c>
      <c r="P561" s="19">
        <f t="shared" si="74"/>
        <v>0</v>
      </c>
      <c r="Q561" s="14">
        <f t="shared" si="69"/>
        <v>0</v>
      </c>
      <c r="R561" s="19">
        <f t="shared" si="70"/>
        <v>0</v>
      </c>
      <c r="S561" s="19">
        <f t="shared" si="71"/>
        <v>0</v>
      </c>
      <c r="T561" s="14">
        <f t="shared" si="72"/>
        <v>0</v>
      </c>
      <c r="U561" s="18" t="str" cm="1">
        <f t="array" aca="1" ref="U561" ca="1">IF(M561&lt;=$N$1,L561,IF(M561&lt;=($N$1+1),INDIRECT("L"&amp;5+$X$2),""))</f>
        <v/>
      </c>
    </row>
    <row r="562" spans="12:21" hidden="1" x14ac:dyDescent="0.25">
      <c r="L562" s="18">
        <f t="shared" ca="1" si="73"/>
        <v>63168</v>
      </c>
      <c r="M562" s="14">
        <v>557</v>
      </c>
      <c r="N562" s="14">
        <f t="shared" si="67"/>
        <v>0</v>
      </c>
      <c r="O562" s="19">
        <f t="shared" si="68"/>
        <v>0</v>
      </c>
      <c r="P562" s="19">
        <f t="shared" si="74"/>
        <v>0</v>
      </c>
      <c r="Q562" s="14">
        <f t="shared" si="69"/>
        <v>0</v>
      </c>
      <c r="R562" s="19">
        <f t="shared" si="70"/>
        <v>0</v>
      </c>
      <c r="S562" s="19">
        <f t="shared" si="71"/>
        <v>0</v>
      </c>
      <c r="T562" s="14">
        <f t="shared" si="72"/>
        <v>0</v>
      </c>
      <c r="U562" s="18" t="str" cm="1">
        <f t="array" aca="1" ref="U562" ca="1">IF(M562&lt;=$N$1,L562,IF(M562&lt;=($N$1+1),INDIRECT("L"&amp;5+$X$2),""))</f>
        <v/>
      </c>
    </row>
    <row r="563" spans="12:21" hidden="1" x14ac:dyDescent="0.25">
      <c r="L563" s="18">
        <f t="shared" ca="1" si="73"/>
        <v>63199</v>
      </c>
      <c r="M563" s="14">
        <v>558</v>
      </c>
      <c r="N563" s="14">
        <f t="shared" si="67"/>
        <v>0</v>
      </c>
      <c r="O563" s="19">
        <f t="shared" si="68"/>
        <v>0</v>
      </c>
      <c r="P563" s="19">
        <f t="shared" si="74"/>
        <v>0</v>
      </c>
      <c r="Q563" s="14">
        <f t="shared" si="69"/>
        <v>0</v>
      </c>
      <c r="R563" s="19">
        <f t="shared" si="70"/>
        <v>0</v>
      </c>
      <c r="S563" s="19">
        <f t="shared" si="71"/>
        <v>0</v>
      </c>
      <c r="T563" s="14">
        <f t="shared" si="72"/>
        <v>0</v>
      </c>
      <c r="U563" s="18" t="str" cm="1">
        <f t="array" aca="1" ref="U563" ca="1">IF(M563&lt;=$N$1,L563,IF(M563&lt;=($N$1+1),INDIRECT("L"&amp;5+$X$2),""))</f>
        <v/>
      </c>
    </row>
    <row r="564" spans="12:21" hidden="1" x14ac:dyDescent="0.25">
      <c r="L564" s="18">
        <f t="shared" ca="1" si="73"/>
        <v>63230</v>
      </c>
      <c r="M564" s="14">
        <v>559</v>
      </c>
      <c r="N564" s="14">
        <f t="shared" si="67"/>
        <v>0</v>
      </c>
      <c r="O564" s="19">
        <f t="shared" si="68"/>
        <v>0</v>
      </c>
      <c r="P564" s="19">
        <f t="shared" si="74"/>
        <v>0</v>
      </c>
      <c r="Q564" s="14">
        <f t="shared" si="69"/>
        <v>0</v>
      </c>
      <c r="R564" s="19">
        <f t="shared" si="70"/>
        <v>0</v>
      </c>
      <c r="S564" s="19">
        <f t="shared" si="71"/>
        <v>0</v>
      </c>
      <c r="T564" s="14">
        <f t="shared" si="72"/>
        <v>0</v>
      </c>
      <c r="U564" s="18" t="str" cm="1">
        <f t="array" aca="1" ref="U564" ca="1">IF(M564&lt;=$N$1,L564,IF(M564&lt;=($N$1+1),INDIRECT("L"&amp;5+$X$2),""))</f>
        <v/>
      </c>
    </row>
    <row r="565" spans="12:21" hidden="1" x14ac:dyDescent="0.25">
      <c r="L565" s="18">
        <f t="shared" ca="1" si="73"/>
        <v>63258</v>
      </c>
      <c r="M565" s="14">
        <v>560</v>
      </c>
      <c r="N565" s="14">
        <f t="shared" si="67"/>
        <v>0</v>
      </c>
      <c r="O565" s="19">
        <f t="shared" si="68"/>
        <v>0</v>
      </c>
      <c r="P565" s="19">
        <f t="shared" si="74"/>
        <v>0</v>
      </c>
      <c r="Q565" s="14">
        <f t="shared" si="69"/>
        <v>0</v>
      </c>
      <c r="R565" s="19">
        <f t="shared" si="70"/>
        <v>0</v>
      </c>
      <c r="S565" s="19">
        <f t="shared" si="71"/>
        <v>0</v>
      </c>
      <c r="T565" s="14">
        <f t="shared" si="72"/>
        <v>0</v>
      </c>
      <c r="U565" s="18" t="str" cm="1">
        <f t="array" aca="1" ref="U565" ca="1">IF(M565&lt;=$N$1,L565,IF(M565&lt;=($N$1+1),INDIRECT("L"&amp;5+$X$2),""))</f>
        <v/>
      </c>
    </row>
    <row r="566" spans="12:21" hidden="1" x14ac:dyDescent="0.25">
      <c r="L566" s="18">
        <f t="shared" ca="1" si="73"/>
        <v>63289</v>
      </c>
      <c r="M566" s="14">
        <v>561</v>
      </c>
      <c r="N566" s="14">
        <f t="shared" si="67"/>
        <v>0</v>
      </c>
      <c r="O566" s="19">
        <f t="shared" si="68"/>
        <v>0</v>
      </c>
      <c r="P566" s="19">
        <f t="shared" si="74"/>
        <v>0</v>
      </c>
      <c r="Q566" s="14">
        <f t="shared" si="69"/>
        <v>0</v>
      </c>
      <c r="R566" s="19">
        <f t="shared" si="70"/>
        <v>0</v>
      </c>
      <c r="S566" s="19">
        <f t="shared" si="71"/>
        <v>0</v>
      </c>
      <c r="T566" s="14">
        <f t="shared" si="72"/>
        <v>0</v>
      </c>
      <c r="U566" s="18" t="str" cm="1">
        <f t="array" aca="1" ref="U566" ca="1">IF(M566&lt;=$N$1,L566,IF(M566&lt;=($N$1+1),INDIRECT("L"&amp;5+$X$2),""))</f>
        <v/>
      </c>
    </row>
    <row r="567" spans="12:21" hidden="1" x14ac:dyDescent="0.25">
      <c r="L567" s="18">
        <f t="shared" ca="1" si="73"/>
        <v>63319</v>
      </c>
      <c r="M567" s="14">
        <v>562</v>
      </c>
      <c r="N567" s="14">
        <f t="shared" si="67"/>
        <v>0</v>
      </c>
      <c r="O567" s="19">
        <f t="shared" si="68"/>
        <v>0</v>
      </c>
      <c r="P567" s="19">
        <f t="shared" si="74"/>
        <v>0</v>
      </c>
      <c r="Q567" s="14">
        <f t="shared" si="69"/>
        <v>0</v>
      </c>
      <c r="R567" s="19">
        <f t="shared" si="70"/>
        <v>0</v>
      </c>
      <c r="S567" s="19">
        <f t="shared" si="71"/>
        <v>0</v>
      </c>
      <c r="T567" s="14">
        <f t="shared" si="72"/>
        <v>0</v>
      </c>
      <c r="U567" s="18" t="str" cm="1">
        <f t="array" aca="1" ref="U567" ca="1">IF(M567&lt;=$N$1,L567,IF(M567&lt;=($N$1+1),INDIRECT("L"&amp;5+$X$2),""))</f>
        <v/>
      </c>
    </row>
    <row r="568" spans="12:21" hidden="1" x14ac:dyDescent="0.25">
      <c r="L568" s="18">
        <f t="shared" ca="1" si="73"/>
        <v>63350</v>
      </c>
      <c r="M568" s="14">
        <v>563</v>
      </c>
      <c r="N568" s="14">
        <f t="shared" si="67"/>
        <v>0</v>
      </c>
      <c r="O568" s="19">
        <f t="shared" si="68"/>
        <v>0</v>
      </c>
      <c r="P568" s="19">
        <f t="shared" si="74"/>
        <v>0</v>
      </c>
      <c r="Q568" s="14">
        <f t="shared" si="69"/>
        <v>0</v>
      </c>
      <c r="R568" s="19">
        <f t="shared" si="70"/>
        <v>0</v>
      </c>
      <c r="S568" s="19">
        <f t="shared" si="71"/>
        <v>0</v>
      </c>
      <c r="T568" s="14">
        <f t="shared" si="72"/>
        <v>0</v>
      </c>
      <c r="U568" s="18" t="str" cm="1">
        <f t="array" aca="1" ref="U568" ca="1">IF(M568&lt;=$N$1,L568,IF(M568&lt;=($N$1+1),INDIRECT("L"&amp;5+$X$2),""))</f>
        <v/>
      </c>
    </row>
    <row r="569" spans="12:21" hidden="1" x14ac:dyDescent="0.25">
      <c r="L569" s="18">
        <f t="shared" ca="1" si="73"/>
        <v>63380</v>
      </c>
      <c r="M569" s="14">
        <v>564</v>
      </c>
      <c r="N569" s="14">
        <f t="shared" si="67"/>
        <v>0</v>
      </c>
      <c r="O569" s="19">
        <f t="shared" si="68"/>
        <v>0</v>
      </c>
      <c r="P569" s="19">
        <f t="shared" si="74"/>
        <v>0</v>
      </c>
      <c r="Q569" s="14">
        <f t="shared" si="69"/>
        <v>0</v>
      </c>
      <c r="R569" s="19">
        <f t="shared" si="70"/>
        <v>0</v>
      </c>
      <c r="S569" s="19">
        <f t="shared" si="71"/>
        <v>0</v>
      </c>
      <c r="T569" s="14">
        <f t="shared" si="72"/>
        <v>0</v>
      </c>
      <c r="U569" s="18" t="str" cm="1">
        <f t="array" aca="1" ref="U569" ca="1">IF(M569&lt;=$N$1,L569,IF(M569&lt;=($N$1+1),INDIRECT("L"&amp;5+$X$2),""))</f>
        <v/>
      </c>
    </row>
    <row r="570" spans="12:21" hidden="1" x14ac:dyDescent="0.25">
      <c r="L570" s="18">
        <f t="shared" ca="1" si="73"/>
        <v>63411</v>
      </c>
      <c r="M570" s="14">
        <v>565</v>
      </c>
      <c r="N570" s="14">
        <f t="shared" si="67"/>
        <v>0</v>
      </c>
      <c r="O570" s="19">
        <f t="shared" si="68"/>
        <v>0</v>
      </c>
      <c r="P570" s="19">
        <f t="shared" si="74"/>
        <v>0</v>
      </c>
      <c r="Q570" s="14">
        <f t="shared" si="69"/>
        <v>0</v>
      </c>
      <c r="R570" s="19">
        <f t="shared" si="70"/>
        <v>0</v>
      </c>
      <c r="S570" s="19">
        <f t="shared" si="71"/>
        <v>0</v>
      </c>
      <c r="T570" s="14">
        <f t="shared" si="72"/>
        <v>0</v>
      </c>
      <c r="U570" s="18" t="str" cm="1">
        <f t="array" aca="1" ref="U570" ca="1">IF(M570&lt;=$N$1,L570,IF(M570&lt;=($N$1+1),INDIRECT("L"&amp;5+$X$2),""))</f>
        <v/>
      </c>
    </row>
    <row r="571" spans="12:21" hidden="1" x14ac:dyDescent="0.25">
      <c r="L571" s="18">
        <f t="shared" ca="1" si="73"/>
        <v>63442</v>
      </c>
      <c r="M571" s="14">
        <v>566</v>
      </c>
      <c r="N571" s="14">
        <f t="shared" si="67"/>
        <v>0</v>
      </c>
      <c r="O571" s="19">
        <f t="shared" si="68"/>
        <v>0</v>
      </c>
      <c r="P571" s="19">
        <f t="shared" si="74"/>
        <v>0</v>
      </c>
      <c r="Q571" s="14">
        <f t="shared" si="69"/>
        <v>0</v>
      </c>
      <c r="R571" s="19">
        <f t="shared" si="70"/>
        <v>0</v>
      </c>
      <c r="S571" s="19">
        <f t="shared" si="71"/>
        <v>0</v>
      </c>
      <c r="T571" s="14">
        <f t="shared" si="72"/>
        <v>0</v>
      </c>
      <c r="U571" s="18" t="str" cm="1">
        <f t="array" aca="1" ref="U571" ca="1">IF(M571&lt;=$N$1,L571,IF(M571&lt;=($N$1+1),INDIRECT("L"&amp;5+$X$2),""))</f>
        <v/>
      </c>
    </row>
    <row r="572" spans="12:21" hidden="1" x14ac:dyDescent="0.25">
      <c r="L572" s="18">
        <f t="shared" ca="1" si="73"/>
        <v>63472</v>
      </c>
      <c r="M572" s="14">
        <v>567</v>
      </c>
      <c r="N572" s="14">
        <f t="shared" si="67"/>
        <v>0</v>
      </c>
      <c r="O572" s="19">
        <f t="shared" si="68"/>
        <v>0</v>
      </c>
      <c r="P572" s="19">
        <f t="shared" si="74"/>
        <v>0</v>
      </c>
      <c r="Q572" s="14">
        <f t="shared" si="69"/>
        <v>0</v>
      </c>
      <c r="R572" s="19">
        <f t="shared" si="70"/>
        <v>0</v>
      </c>
      <c r="S572" s="19">
        <f t="shared" si="71"/>
        <v>0</v>
      </c>
      <c r="T572" s="14">
        <f t="shared" si="72"/>
        <v>0</v>
      </c>
      <c r="U572" s="18" t="str" cm="1">
        <f t="array" aca="1" ref="U572" ca="1">IF(M572&lt;=$N$1,L572,IF(M572&lt;=($N$1+1),INDIRECT("L"&amp;5+$X$2),""))</f>
        <v/>
      </c>
    </row>
    <row r="573" spans="12:21" hidden="1" x14ac:dyDescent="0.25">
      <c r="L573" s="18">
        <f t="shared" ca="1" si="73"/>
        <v>63503</v>
      </c>
      <c r="M573" s="14">
        <v>568</v>
      </c>
      <c r="N573" s="14">
        <f t="shared" si="67"/>
        <v>0</v>
      </c>
      <c r="O573" s="19">
        <f t="shared" si="68"/>
        <v>0</v>
      </c>
      <c r="P573" s="19">
        <f t="shared" si="74"/>
        <v>0</v>
      </c>
      <c r="Q573" s="14">
        <f t="shared" si="69"/>
        <v>0</v>
      </c>
      <c r="R573" s="19">
        <f t="shared" si="70"/>
        <v>0</v>
      </c>
      <c r="S573" s="19">
        <f t="shared" si="71"/>
        <v>0</v>
      </c>
      <c r="T573" s="14">
        <f t="shared" si="72"/>
        <v>0</v>
      </c>
      <c r="U573" s="18" t="str" cm="1">
        <f t="array" aca="1" ref="U573" ca="1">IF(M573&lt;=$N$1,L573,IF(M573&lt;=($N$1+1),INDIRECT("L"&amp;5+$X$2),""))</f>
        <v/>
      </c>
    </row>
    <row r="574" spans="12:21" hidden="1" x14ac:dyDescent="0.25">
      <c r="L574" s="18">
        <f t="shared" ca="1" si="73"/>
        <v>63533</v>
      </c>
      <c r="M574" s="14">
        <v>569</v>
      </c>
      <c r="N574" s="14">
        <f t="shared" si="67"/>
        <v>0</v>
      </c>
      <c r="O574" s="19">
        <f t="shared" si="68"/>
        <v>0</v>
      </c>
      <c r="P574" s="19">
        <f t="shared" si="74"/>
        <v>0</v>
      </c>
      <c r="Q574" s="14">
        <f t="shared" si="69"/>
        <v>0</v>
      </c>
      <c r="R574" s="19">
        <f t="shared" si="70"/>
        <v>0</v>
      </c>
      <c r="S574" s="19">
        <f t="shared" si="71"/>
        <v>0</v>
      </c>
      <c r="T574" s="14">
        <f t="shared" si="72"/>
        <v>0</v>
      </c>
      <c r="U574" s="18" t="str" cm="1">
        <f t="array" aca="1" ref="U574" ca="1">IF(M574&lt;=$N$1,L574,IF(M574&lt;=($N$1+1),INDIRECT("L"&amp;5+$X$2),""))</f>
        <v/>
      </c>
    </row>
    <row r="575" spans="12:21" hidden="1" x14ac:dyDescent="0.25">
      <c r="L575" s="18">
        <f t="shared" ca="1" si="73"/>
        <v>63564</v>
      </c>
      <c r="M575" s="14">
        <v>570</v>
      </c>
      <c r="N575" s="14">
        <f t="shared" si="67"/>
        <v>0</v>
      </c>
      <c r="O575" s="19">
        <f t="shared" si="68"/>
        <v>0</v>
      </c>
      <c r="P575" s="19">
        <f t="shared" si="74"/>
        <v>0</v>
      </c>
      <c r="Q575" s="14">
        <f t="shared" si="69"/>
        <v>0</v>
      </c>
      <c r="R575" s="19">
        <f t="shared" si="70"/>
        <v>0</v>
      </c>
      <c r="S575" s="19">
        <f t="shared" si="71"/>
        <v>0</v>
      </c>
      <c r="T575" s="14">
        <f t="shared" si="72"/>
        <v>0</v>
      </c>
      <c r="U575" s="18" t="str" cm="1">
        <f t="array" aca="1" ref="U575" ca="1">IF(M575&lt;=$N$1,L575,IF(M575&lt;=($N$1+1),INDIRECT("L"&amp;5+$X$2),""))</f>
        <v/>
      </c>
    </row>
    <row r="576" spans="12:21" hidden="1" x14ac:dyDescent="0.25">
      <c r="L576" s="18">
        <f t="shared" ca="1" si="73"/>
        <v>63595</v>
      </c>
      <c r="M576" s="14">
        <v>571</v>
      </c>
      <c r="N576" s="14">
        <f t="shared" si="67"/>
        <v>0</v>
      </c>
      <c r="O576" s="19">
        <f t="shared" si="68"/>
        <v>0</v>
      </c>
      <c r="P576" s="19">
        <f t="shared" si="74"/>
        <v>0</v>
      </c>
      <c r="Q576" s="14">
        <f t="shared" si="69"/>
        <v>0</v>
      </c>
      <c r="R576" s="19">
        <f t="shared" si="70"/>
        <v>0</v>
      </c>
      <c r="S576" s="19">
        <f t="shared" si="71"/>
        <v>0</v>
      </c>
      <c r="T576" s="14">
        <f t="shared" si="72"/>
        <v>0</v>
      </c>
      <c r="U576" s="18" t="str" cm="1">
        <f t="array" aca="1" ref="U576" ca="1">IF(M576&lt;=$N$1,L576,IF(M576&lt;=($N$1+1),INDIRECT("L"&amp;5+$X$2),""))</f>
        <v/>
      </c>
    </row>
    <row r="577" spans="12:21" hidden="1" x14ac:dyDescent="0.25">
      <c r="L577" s="18">
        <f t="shared" ca="1" si="73"/>
        <v>63623</v>
      </c>
      <c r="M577" s="14">
        <v>572</v>
      </c>
      <c r="N577" s="14">
        <f t="shared" si="67"/>
        <v>0</v>
      </c>
      <c r="O577" s="19">
        <f t="shared" si="68"/>
        <v>0</v>
      </c>
      <c r="P577" s="19">
        <f t="shared" si="74"/>
        <v>0</v>
      </c>
      <c r="Q577" s="14">
        <f t="shared" si="69"/>
        <v>0</v>
      </c>
      <c r="R577" s="19">
        <f t="shared" si="70"/>
        <v>0</v>
      </c>
      <c r="S577" s="19">
        <f t="shared" si="71"/>
        <v>0</v>
      </c>
      <c r="T577" s="14">
        <f t="shared" si="72"/>
        <v>0</v>
      </c>
      <c r="U577" s="18" t="str" cm="1">
        <f t="array" aca="1" ref="U577" ca="1">IF(M577&lt;=$N$1,L577,IF(M577&lt;=($N$1+1),INDIRECT("L"&amp;5+$X$2),""))</f>
        <v/>
      </c>
    </row>
    <row r="578" spans="12:21" hidden="1" x14ac:dyDescent="0.25">
      <c r="L578" s="18">
        <f t="shared" ca="1" si="73"/>
        <v>63654</v>
      </c>
      <c r="M578" s="14">
        <v>573</v>
      </c>
      <c r="N578" s="14">
        <f t="shared" si="67"/>
        <v>0</v>
      </c>
      <c r="O578" s="19">
        <f t="shared" si="68"/>
        <v>0</v>
      </c>
      <c r="P578" s="19">
        <f t="shared" si="74"/>
        <v>0</v>
      </c>
      <c r="Q578" s="14">
        <f t="shared" si="69"/>
        <v>0</v>
      </c>
      <c r="R578" s="19">
        <f t="shared" si="70"/>
        <v>0</v>
      </c>
      <c r="S578" s="19">
        <f t="shared" si="71"/>
        <v>0</v>
      </c>
      <c r="T578" s="14">
        <f t="shared" si="72"/>
        <v>0</v>
      </c>
      <c r="U578" s="18" t="str" cm="1">
        <f t="array" aca="1" ref="U578" ca="1">IF(M578&lt;=$N$1,L578,IF(M578&lt;=($N$1+1),INDIRECT("L"&amp;5+$X$2),""))</f>
        <v/>
      </c>
    </row>
    <row r="579" spans="12:21" hidden="1" x14ac:dyDescent="0.25">
      <c r="L579" s="18">
        <f t="shared" ca="1" si="73"/>
        <v>63684</v>
      </c>
      <c r="M579" s="14">
        <v>574</v>
      </c>
      <c r="N579" s="14">
        <f t="shared" si="67"/>
        <v>0</v>
      </c>
      <c r="O579" s="19">
        <f t="shared" si="68"/>
        <v>0</v>
      </c>
      <c r="P579" s="19">
        <f t="shared" si="74"/>
        <v>0</v>
      </c>
      <c r="Q579" s="14">
        <f t="shared" si="69"/>
        <v>0</v>
      </c>
      <c r="R579" s="19">
        <f t="shared" si="70"/>
        <v>0</v>
      </c>
      <c r="S579" s="19">
        <f t="shared" si="71"/>
        <v>0</v>
      </c>
      <c r="T579" s="14">
        <f t="shared" si="72"/>
        <v>0</v>
      </c>
      <c r="U579" s="18" t="str" cm="1">
        <f t="array" aca="1" ref="U579" ca="1">IF(M579&lt;=$N$1,L579,IF(M579&lt;=($N$1+1),INDIRECT("L"&amp;5+$X$2),""))</f>
        <v/>
      </c>
    </row>
    <row r="580" spans="12:21" hidden="1" x14ac:dyDescent="0.25">
      <c r="L580" s="18">
        <f t="shared" ca="1" si="73"/>
        <v>63715</v>
      </c>
      <c r="M580" s="14">
        <v>575</v>
      </c>
      <c r="N580" s="14">
        <f t="shared" si="67"/>
        <v>0</v>
      </c>
      <c r="O580" s="19">
        <f t="shared" si="68"/>
        <v>0</v>
      </c>
      <c r="P580" s="19">
        <f t="shared" si="74"/>
        <v>0</v>
      </c>
      <c r="Q580" s="14">
        <f t="shared" si="69"/>
        <v>0</v>
      </c>
      <c r="R580" s="19">
        <f t="shared" si="70"/>
        <v>0</v>
      </c>
      <c r="S580" s="19">
        <f t="shared" si="71"/>
        <v>0</v>
      </c>
      <c r="T580" s="14">
        <f t="shared" si="72"/>
        <v>0</v>
      </c>
      <c r="U580" s="18" t="str" cm="1">
        <f t="array" aca="1" ref="U580" ca="1">IF(M580&lt;=$N$1,L580,IF(M580&lt;=($N$1+1),INDIRECT("L"&amp;5+$X$2),""))</f>
        <v/>
      </c>
    </row>
    <row r="581" spans="12:21" hidden="1" x14ac:dyDescent="0.25">
      <c r="L581" s="18">
        <f t="shared" ca="1" si="73"/>
        <v>63745</v>
      </c>
      <c r="M581" s="14">
        <v>576</v>
      </c>
      <c r="N581" s="14">
        <f t="shared" si="67"/>
        <v>0</v>
      </c>
      <c r="O581" s="19">
        <f t="shared" si="68"/>
        <v>0</v>
      </c>
      <c r="P581" s="19">
        <f t="shared" si="74"/>
        <v>0</v>
      </c>
      <c r="Q581" s="14">
        <f t="shared" si="69"/>
        <v>0</v>
      </c>
      <c r="R581" s="19">
        <f t="shared" si="70"/>
        <v>0</v>
      </c>
      <c r="S581" s="19">
        <f t="shared" si="71"/>
        <v>0</v>
      </c>
      <c r="T581" s="14">
        <f t="shared" si="72"/>
        <v>0</v>
      </c>
      <c r="U581" s="18" t="str" cm="1">
        <f t="array" aca="1" ref="U581" ca="1">IF(M581&lt;=$N$1,L581,IF(M581&lt;=($N$1+1),INDIRECT("L"&amp;5+$X$2),""))</f>
        <v/>
      </c>
    </row>
    <row r="582" spans="12:21" hidden="1" x14ac:dyDescent="0.25">
      <c r="L582" s="18">
        <f t="shared" ca="1" si="73"/>
        <v>63776</v>
      </c>
      <c r="M582" s="14">
        <v>577</v>
      </c>
      <c r="N582" s="14">
        <f t="shared" ref="N582:N645" si="75">IF($N$1&gt;=M582,SIPMonthlyPmt*M582,0)</f>
        <v>0</v>
      </c>
      <c r="O582" s="19">
        <f t="shared" ref="O582:O645" si="76">IF($X$2&gt;=M582,IF(M582&lt;=$N$1,FV(SRate,M582,-SIPMonthlyPmt,0,1),FV(SRate,M582-$N$1,0,-$X$1,1)),0)</f>
        <v>0</v>
      </c>
      <c r="P582" s="19">
        <f t="shared" si="74"/>
        <v>0</v>
      </c>
      <c r="Q582" s="14">
        <f t="shared" ref="Q582:Q645" si="77">IF((M582-$C$15)&gt;0, IF($N$1+$C$15&gt;=M582,SIPMonthlyPmt*(M582-$C$15),0),0)</f>
        <v>0</v>
      </c>
      <c r="R582" s="19">
        <f t="shared" ref="R582:R645" si="78">IF(M582&lt;=$C$15,0,IF($X$2&gt;=M582,IF(M582&lt;=($N$1+$C$15),FV(SRate,M582-$C$15,-SIPMonthlyPmt,0,1),FV(SRate,M582-$N$1-$C$15,0,-$X$1,1)),0))</f>
        <v>0</v>
      </c>
      <c r="S582" s="19">
        <f t="shared" ref="S582:S645" si="79">R582/((1+SIPInflationRate)^((M582-$C$15)/12))</f>
        <v>0</v>
      </c>
      <c r="T582" s="14">
        <f t="shared" ref="T582:T645" si="80">IF(M582&lt;=$N$1,-SIPMonthlyPmt,IF(M582&lt;=($N$1+1),$X$4,0))</f>
        <v>0</v>
      </c>
      <c r="U582" s="18" t="str" cm="1">
        <f t="array" aca="1" ref="U582" ca="1">IF(M582&lt;=$N$1,L582,IF(M582&lt;=($N$1+1),INDIRECT("L"&amp;5+$X$2),""))</f>
        <v/>
      </c>
    </row>
    <row r="583" spans="12:21" hidden="1" x14ac:dyDescent="0.25">
      <c r="L583" s="18">
        <f t="shared" ca="1" si="73"/>
        <v>63807</v>
      </c>
      <c r="M583" s="14">
        <v>578</v>
      </c>
      <c r="N583" s="14">
        <f t="shared" si="75"/>
        <v>0</v>
      </c>
      <c r="O583" s="19">
        <f t="shared" si="76"/>
        <v>0</v>
      </c>
      <c r="P583" s="19">
        <f t="shared" si="74"/>
        <v>0</v>
      </c>
      <c r="Q583" s="14">
        <f t="shared" si="77"/>
        <v>0</v>
      </c>
      <c r="R583" s="19">
        <f t="shared" si="78"/>
        <v>0</v>
      </c>
      <c r="S583" s="19">
        <f t="shared" si="79"/>
        <v>0</v>
      </c>
      <c r="T583" s="14">
        <f t="shared" si="80"/>
        <v>0</v>
      </c>
      <c r="U583" s="18" t="str" cm="1">
        <f t="array" aca="1" ref="U583" ca="1">IF(M583&lt;=$N$1,L583,IF(M583&lt;=($N$1+1),INDIRECT("L"&amp;5+$X$2),""))</f>
        <v/>
      </c>
    </row>
    <row r="584" spans="12:21" hidden="1" x14ac:dyDescent="0.25">
      <c r="L584" s="18">
        <f t="shared" ca="1" si="73"/>
        <v>63837</v>
      </c>
      <c r="M584" s="14">
        <v>579</v>
      </c>
      <c r="N584" s="14">
        <f t="shared" si="75"/>
        <v>0</v>
      </c>
      <c r="O584" s="19">
        <f t="shared" si="76"/>
        <v>0</v>
      </c>
      <c r="P584" s="19">
        <f t="shared" si="74"/>
        <v>0</v>
      </c>
      <c r="Q584" s="14">
        <f t="shared" si="77"/>
        <v>0</v>
      </c>
      <c r="R584" s="19">
        <f t="shared" si="78"/>
        <v>0</v>
      </c>
      <c r="S584" s="19">
        <f t="shared" si="79"/>
        <v>0</v>
      </c>
      <c r="T584" s="14">
        <f t="shared" si="80"/>
        <v>0</v>
      </c>
      <c r="U584" s="18" t="str" cm="1">
        <f t="array" aca="1" ref="U584" ca="1">IF(M584&lt;=$N$1,L584,IF(M584&lt;=($N$1+1),INDIRECT("L"&amp;5+$X$2),""))</f>
        <v/>
      </c>
    </row>
    <row r="585" spans="12:21" hidden="1" x14ac:dyDescent="0.25">
      <c r="L585" s="18">
        <f t="shared" ref="L585:L648" ca="1" si="81">EDATE(L584,1)</f>
        <v>63868</v>
      </c>
      <c r="M585" s="14">
        <v>580</v>
      </c>
      <c r="N585" s="14">
        <f t="shared" si="75"/>
        <v>0</v>
      </c>
      <c r="O585" s="19">
        <f t="shared" si="76"/>
        <v>0</v>
      </c>
      <c r="P585" s="19">
        <f t="shared" si="74"/>
        <v>0</v>
      </c>
      <c r="Q585" s="14">
        <f t="shared" si="77"/>
        <v>0</v>
      </c>
      <c r="R585" s="19">
        <f t="shared" si="78"/>
        <v>0</v>
      </c>
      <c r="S585" s="19">
        <f t="shared" si="79"/>
        <v>0</v>
      </c>
      <c r="T585" s="14">
        <f t="shared" si="80"/>
        <v>0</v>
      </c>
      <c r="U585" s="18" t="str" cm="1">
        <f t="array" aca="1" ref="U585" ca="1">IF(M585&lt;=$N$1,L585,IF(M585&lt;=($N$1+1),INDIRECT("L"&amp;5+$X$2),""))</f>
        <v/>
      </c>
    </row>
    <row r="586" spans="12:21" hidden="1" x14ac:dyDescent="0.25">
      <c r="L586" s="18">
        <f t="shared" ca="1" si="81"/>
        <v>63898</v>
      </c>
      <c r="M586" s="14">
        <v>581</v>
      </c>
      <c r="N586" s="14">
        <f t="shared" si="75"/>
        <v>0</v>
      </c>
      <c r="O586" s="19">
        <f t="shared" si="76"/>
        <v>0</v>
      </c>
      <c r="P586" s="19">
        <f t="shared" si="74"/>
        <v>0</v>
      </c>
      <c r="Q586" s="14">
        <f t="shared" si="77"/>
        <v>0</v>
      </c>
      <c r="R586" s="19">
        <f t="shared" si="78"/>
        <v>0</v>
      </c>
      <c r="S586" s="19">
        <f t="shared" si="79"/>
        <v>0</v>
      </c>
      <c r="T586" s="14">
        <f t="shared" si="80"/>
        <v>0</v>
      </c>
      <c r="U586" s="18" t="str" cm="1">
        <f t="array" aca="1" ref="U586" ca="1">IF(M586&lt;=$N$1,L586,IF(M586&lt;=($N$1+1),INDIRECT("L"&amp;5+$X$2),""))</f>
        <v/>
      </c>
    </row>
    <row r="587" spans="12:21" hidden="1" x14ac:dyDescent="0.25">
      <c r="L587" s="18">
        <f t="shared" ca="1" si="81"/>
        <v>63929</v>
      </c>
      <c r="M587" s="14">
        <v>582</v>
      </c>
      <c r="N587" s="14">
        <f t="shared" si="75"/>
        <v>0</v>
      </c>
      <c r="O587" s="19">
        <f t="shared" si="76"/>
        <v>0</v>
      </c>
      <c r="P587" s="19">
        <f t="shared" si="74"/>
        <v>0</v>
      </c>
      <c r="Q587" s="14">
        <f t="shared" si="77"/>
        <v>0</v>
      </c>
      <c r="R587" s="19">
        <f t="shared" si="78"/>
        <v>0</v>
      </c>
      <c r="S587" s="19">
        <f t="shared" si="79"/>
        <v>0</v>
      </c>
      <c r="T587" s="14">
        <f t="shared" si="80"/>
        <v>0</v>
      </c>
      <c r="U587" s="18" t="str" cm="1">
        <f t="array" aca="1" ref="U587" ca="1">IF(M587&lt;=$N$1,L587,IF(M587&lt;=($N$1+1),INDIRECT("L"&amp;5+$X$2),""))</f>
        <v/>
      </c>
    </row>
    <row r="588" spans="12:21" hidden="1" x14ac:dyDescent="0.25">
      <c r="L588" s="18">
        <f t="shared" ca="1" si="81"/>
        <v>63960</v>
      </c>
      <c r="M588" s="14">
        <v>583</v>
      </c>
      <c r="N588" s="14">
        <f t="shared" si="75"/>
        <v>0</v>
      </c>
      <c r="O588" s="19">
        <f t="shared" si="76"/>
        <v>0</v>
      </c>
      <c r="P588" s="19">
        <f t="shared" si="74"/>
        <v>0</v>
      </c>
      <c r="Q588" s="14">
        <f t="shared" si="77"/>
        <v>0</v>
      </c>
      <c r="R588" s="19">
        <f t="shared" si="78"/>
        <v>0</v>
      </c>
      <c r="S588" s="19">
        <f t="shared" si="79"/>
        <v>0</v>
      </c>
      <c r="T588" s="14">
        <f t="shared" si="80"/>
        <v>0</v>
      </c>
      <c r="U588" s="18" t="str" cm="1">
        <f t="array" aca="1" ref="U588" ca="1">IF(M588&lt;=$N$1,L588,IF(M588&lt;=($N$1+1),INDIRECT("L"&amp;5+$X$2),""))</f>
        <v/>
      </c>
    </row>
    <row r="589" spans="12:21" hidden="1" x14ac:dyDescent="0.25">
      <c r="L589" s="18">
        <f t="shared" ca="1" si="81"/>
        <v>63988</v>
      </c>
      <c r="M589" s="14">
        <v>584</v>
      </c>
      <c r="N589" s="14">
        <f t="shared" si="75"/>
        <v>0</v>
      </c>
      <c r="O589" s="19">
        <f t="shared" si="76"/>
        <v>0</v>
      </c>
      <c r="P589" s="19">
        <f t="shared" si="74"/>
        <v>0</v>
      </c>
      <c r="Q589" s="14">
        <f t="shared" si="77"/>
        <v>0</v>
      </c>
      <c r="R589" s="19">
        <f t="shared" si="78"/>
        <v>0</v>
      </c>
      <c r="S589" s="19">
        <f t="shared" si="79"/>
        <v>0</v>
      </c>
      <c r="T589" s="14">
        <f t="shared" si="80"/>
        <v>0</v>
      </c>
      <c r="U589" s="18" t="str" cm="1">
        <f t="array" aca="1" ref="U589" ca="1">IF(M589&lt;=$N$1,L589,IF(M589&lt;=($N$1+1),INDIRECT("L"&amp;5+$X$2),""))</f>
        <v/>
      </c>
    </row>
    <row r="590" spans="12:21" hidden="1" x14ac:dyDescent="0.25">
      <c r="L590" s="18">
        <f t="shared" ca="1" si="81"/>
        <v>64019</v>
      </c>
      <c r="M590" s="14">
        <v>585</v>
      </c>
      <c r="N590" s="14">
        <f t="shared" si="75"/>
        <v>0</v>
      </c>
      <c r="O590" s="19">
        <f t="shared" si="76"/>
        <v>0</v>
      </c>
      <c r="P590" s="19">
        <f t="shared" si="74"/>
        <v>0</v>
      </c>
      <c r="Q590" s="14">
        <f t="shared" si="77"/>
        <v>0</v>
      </c>
      <c r="R590" s="19">
        <f t="shared" si="78"/>
        <v>0</v>
      </c>
      <c r="S590" s="19">
        <f t="shared" si="79"/>
        <v>0</v>
      </c>
      <c r="T590" s="14">
        <f t="shared" si="80"/>
        <v>0</v>
      </c>
      <c r="U590" s="18" t="str" cm="1">
        <f t="array" aca="1" ref="U590" ca="1">IF(M590&lt;=$N$1,L590,IF(M590&lt;=($N$1+1),INDIRECT("L"&amp;5+$X$2),""))</f>
        <v/>
      </c>
    </row>
    <row r="591" spans="12:21" hidden="1" x14ac:dyDescent="0.25">
      <c r="L591" s="18">
        <f t="shared" ca="1" si="81"/>
        <v>64049</v>
      </c>
      <c r="M591" s="14">
        <v>586</v>
      </c>
      <c r="N591" s="14">
        <f t="shared" si="75"/>
        <v>0</v>
      </c>
      <c r="O591" s="19">
        <f t="shared" si="76"/>
        <v>0</v>
      </c>
      <c r="P591" s="19">
        <f t="shared" si="74"/>
        <v>0</v>
      </c>
      <c r="Q591" s="14">
        <f t="shared" si="77"/>
        <v>0</v>
      </c>
      <c r="R591" s="19">
        <f t="shared" si="78"/>
        <v>0</v>
      </c>
      <c r="S591" s="19">
        <f t="shared" si="79"/>
        <v>0</v>
      </c>
      <c r="T591" s="14">
        <f t="shared" si="80"/>
        <v>0</v>
      </c>
      <c r="U591" s="18" t="str" cm="1">
        <f t="array" aca="1" ref="U591" ca="1">IF(M591&lt;=$N$1,L591,IF(M591&lt;=($N$1+1),INDIRECT("L"&amp;5+$X$2),""))</f>
        <v/>
      </c>
    </row>
    <row r="592" spans="12:21" hidden="1" x14ac:dyDescent="0.25">
      <c r="L592" s="18">
        <f t="shared" ca="1" si="81"/>
        <v>64080</v>
      </c>
      <c r="M592" s="14">
        <v>587</v>
      </c>
      <c r="N592" s="14">
        <f t="shared" si="75"/>
        <v>0</v>
      </c>
      <c r="O592" s="19">
        <f t="shared" si="76"/>
        <v>0</v>
      </c>
      <c r="P592" s="19">
        <f t="shared" si="74"/>
        <v>0</v>
      </c>
      <c r="Q592" s="14">
        <f t="shared" si="77"/>
        <v>0</v>
      </c>
      <c r="R592" s="19">
        <f t="shared" si="78"/>
        <v>0</v>
      </c>
      <c r="S592" s="19">
        <f t="shared" si="79"/>
        <v>0</v>
      </c>
      <c r="T592" s="14">
        <f t="shared" si="80"/>
        <v>0</v>
      </c>
      <c r="U592" s="18" t="str" cm="1">
        <f t="array" aca="1" ref="U592" ca="1">IF(M592&lt;=$N$1,L592,IF(M592&lt;=($N$1+1),INDIRECT("L"&amp;5+$X$2),""))</f>
        <v/>
      </c>
    </row>
    <row r="593" spans="12:21" hidden="1" x14ac:dyDescent="0.25">
      <c r="L593" s="18">
        <f t="shared" ca="1" si="81"/>
        <v>64110</v>
      </c>
      <c r="M593" s="14">
        <v>588</v>
      </c>
      <c r="N593" s="14">
        <f t="shared" si="75"/>
        <v>0</v>
      </c>
      <c r="O593" s="19">
        <f t="shared" si="76"/>
        <v>0</v>
      </c>
      <c r="P593" s="19">
        <f t="shared" si="74"/>
        <v>0</v>
      </c>
      <c r="Q593" s="14">
        <f t="shared" si="77"/>
        <v>0</v>
      </c>
      <c r="R593" s="19">
        <f t="shared" si="78"/>
        <v>0</v>
      </c>
      <c r="S593" s="19">
        <f t="shared" si="79"/>
        <v>0</v>
      </c>
      <c r="T593" s="14">
        <f t="shared" si="80"/>
        <v>0</v>
      </c>
      <c r="U593" s="18" t="str" cm="1">
        <f t="array" aca="1" ref="U593" ca="1">IF(M593&lt;=$N$1,L593,IF(M593&lt;=($N$1+1),INDIRECT("L"&amp;5+$X$2),""))</f>
        <v/>
      </c>
    </row>
    <row r="594" spans="12:21" hidden="1" x14ac:dyDescent="0.25">
      <c r="L594" s="18">
        <f t="shared" ca="1" si="81"/>
        <v>64141</v>
      </c>
      <c r="M594" s="14">
        <v>589</v>
      </c>
      <c r="N594" s="14">
        <f t="shared" si="75"/>
        <v>0</v>
      </c>
      <c r="O594" s="19">
        <f t="shared" si="76"/>
        <v>0</v>
      </c>
      <c r="P594" s="19">
        <f t="shared" si="74"/>
        <v>0</v>
      </c>
      <c r="Q594" s="14">
        <f t="shared" si="77"/>
        <v>0</v>
      </c>
      <c r="R594" s="19">
        <f t="shared" si="78"/>
        <v>0</v>
      </c>
      <c r="S594" s="19">
        <f t="shared" si="79"/>
        <v>0</v>
      </c>
      <c r="T594" s="14">
        <f t="shared" si="80"/>
        <v>0</v>
      </c>
      <c r="U594" s="18" t="str" cm="1">
        <f t="array" aca="1" ref="U594" ca="1">IF(M594&lt;=$N$1,L594,IF(M594&lt;=($N$1+1),INDIRECT("L"&amp;5+$X$2),""))</f>
        <v/>
      </c>
    </row>
    <row r="595" spans="12:21" hidden="1" x14ac:dyDescent="0.25">
      <c r="L595" s="18">
        <f t="shared" ca="1" si="81"/>
        <v>64172</v>
      </c>
      <c r="M595" s="14">
        <v>590</v>
      </c>
      <c r="N595" s="14">
        <f t="shared" si="75"/>
        <v>0</v>
      </c>
      <c r="O595" s="19">
        <f t="shared" si="76"/>
        <v>0</v>
      </c>
      <c r="P595" s="19">
        <f t="shared" si="74"/>
        <v>0</v>
      </c>
      <c r="Q595" s="14">
        <f t="shared" si="77"/>
        <v>0</v>
      </c>
      <c r="R595" s="19">
        <f t="shared" si="78"/>
        <v>0</v>
      </c>
      <c r="S595" s="19">
        <f t="shared" si="79"/>
        <v>0</v>
      </c>
      <c r="T595" s="14">
        <f t="shared" si="80"/>
        <v>0</v>
      </c>
      <c r="U595" s="18" t="str" cm="1">
        <f t="array" aca="1" ref="U595" ca="1">IF(M595&lt;=$N$1,L595,IF(M595&lt;=($N$1+1),INDIRECT("L"&amp;5+$X$2),""))</f>
        <v/>
      </c>
    </row>
    <row r="596" spans="12:21" hidden="1" x14ac:dyDescent="0.25">
      <c r="L596" s="18">
        <f t="shared" ca="1" si="81"/>
        <v>64202</v>
      </c>
      <c r="M596" s="14">
        <v>591</v>
      </c>
      <c r="N596" s="14">
        <f t="shared" si="75"/>
        <v>0</v>
      </c>
      <c r="O596" s="19">
        <f t="shared" si="76"/>
        <v>0</v>
      </c>
      <c r="P596" s="19">
        <f t="shared" si="74"/>
        <v>0</v>
      </c>
      <c r="Q596" s="14">
        <f t="shared" si="77"/>
        <v>0</v>
      </c>
      <c r="R596" s="19">
        <f t="shared" si="78"/>
        <v>0</v>
      </c>
      <c r="S596" s="19">
        <f t="shared" si="79"/>
        <v>0</v>
      </c>
      <c r="T596" s="14">
        <f t="shared" si="80"/>
        <v>0</v>
      </c>
      <c r="U596" s="18" t="str" cm="1">
        <f t="array" aca="1" ref="U596" ca="1">IF(M596&lt;=$N$1,L596,IF(M596&lt;=($N$1+1),INDIRECT("L"&amp;5+$X$2),""))</f>
        <v/>
      </c>
    </row>
    <row r="597" spans="12:21" hidden="1" x14ac:dyDescent="0.25">
      <c r="L597" s="18">
        <f t="shared" ca="1" si="81"/>
        <v>64233</v>
      </c>
      <c r="M597" s="14">
        <v>592</v>
      </c>
      <c r="N597" s="14">
        <f t="shared" si="75"/>
        <v>0</v>
      </c>
      <c r="O597" s="19">
        <f t="shared" si="76"/>
        <v>0</v>
      </c>
      <c r="P597" s="19">
        <f t="shared" si="74"/>
        <v>0</v>
      </c>
      <c r="Q597" s="14">
        <f t="shared" si="77"/>
        <v>0</v>
      </c>
      <c r="R597" s="19">
        <f t="shared" si="78"/>
        <v>0</v>
      </c>
      <c r="S597" s="19">
        <f t="shared" si="79"/>
        <v>0</v>
      </c>
      <c r="T597" s="14">
        <f t="shared" si="80"/>
        <v>0</v>
      </c>
      <c r="U597" s="18" t="str" cm="1">
        <f t="array" aca="1" ref="U597" ca="1">IF(M597&lt;=$N$1,L597,IF(M597&lt;=($N$1+1),INDIRECT("L"&amp;5+$X$2),""))</f>
        <v/>
      </c>
    </row>
    <row r="598" spans="12:21" hidden="1" x14ac:dyDescent="0.25">
      <c r="L598" s="18">
        <f t="shared" ca="1" si="81"/>
        <v>64263</v>
      </c>
      <c r="M598" s="14">
        <v>593</v>
      </c>
      <c r="N598" s="14">
        <f t="shared" si="75"/>
        <v>0</v>
      </c>
      <c r="O598" s="19">
        <f t="shared" si="76"/>
        <v>0</v>
      </c>
      <c r="P598" s="19">
        <f t="shared" si="74"/>
        <v>0</v>
      </c>
      <c r="Q598" s="14">
        <f t="shared" si="77"/>
        <v>0</v>
      </c>
      <c r="R598" s="19">
        <f t="shared" si="78"/>
        <v>0</v>
      </c>
      <c r="S598" s="19">
        <f t="shared" si="79"/>
        <v>0</v>
      </c>
      <c r="T598" s="14">
        <f t="shared" si="80"/>
        <v>0</v>
      </c>
      <c r="U598" s="18" t="str" cm="1">
        <f t="array" aca="1" ref="U598" ca="1">IF(M598&lt;=$N$1,L598,IF(M598&lt;=($N$1+1),INDIRECT("L"&amp;5+$X$2),""))</f>
        <v/>
      </c>
    </row>
    <row r="599" spans="12:21" hidden="1" x14ac:dyDescent="0.25">
      <c r="L599" s="18">
        <f t="shared" ca="1" si="81"/>
        <v>64294</v>
      </c>
      <c r="M599" s="14">
        <v>594</v>
      </c>
      <c r="N599" s="14">
        <f t="shared" si="75"/>
        <v>0</v>
      </c>
      <c r="O599" s="19">
        <f t="shared" si="76"/>
        <v>0</v>
      </c>
      <c r="P599" s="19">
        <f t="shared" si="74"/>
        <v>0</v>
      </c>
      <c r="Q599" s="14">
        <f t="shared" si="77"/>
        <v>0</v>
      </c>
      <c r="R599" s="19">
        <f t="shared" si="78"/>
        <v>0</v>
      </c>
      <c r="S599" s="19">
        <f t="shared" si="79"/>
        <v>0</v>
      </c>
      <c r="T599" s="14">
        <f t="shared" si="80"/>
        <v>0</v>
      </c>
      <c r="U599" s="18" t="str" cm="1">
        <f t="array" aca="1" ref="U599" ca="1">IF(M599&lt;=$N$1,L599,IF(M599&lt;=($N$1+1),INDIRECT("L"&amp;5+$X$2),""))</f>
        <v/>
      </c>
    </row>
    <row r="600" spans="12:21" hidden="1" x14ac:dyDescent="0.25">
      <c r="L600" s="18">
        <f t="shared" ca="1" si="81"/>
        <v>64325</v>
      </c>
      <c r="M600" s="14">
        <v>595</v>
      </c>
      <c r="N600" s="14">
        <f t="shared" si="75"/>
        <v>0</v>
      </c>
      <c r="O600" s="19">
        <f t="shared" si="76"/>
        <v>0</v>
      </c>
      <c r="P600" s="19">
        <f t="shared" si="74"/>
        <v>0</v>
      </c>
      <c r="Q600" s="14">
        <f t="shared" si="77"/>
        <v>0</v>
      </c>
      <c r="R600" s="19">
        <f t="shared" si="78"/>
        <v>0</v>
      </c>
      <c r="S600" s="19">
        <f t="shared" si="79"/>
        <v>0</v>
      </c>
      <c r="T600" s="14">
        <f t="shared" si="80"/>
        <v>0</v>
      </c>
      <c r="U600" s="18" t="str" cm="1">
        <f t="array" aca="1" ref="U600" ca="1">IF(M600&lt;=$N$1,L600,IF(M600&lt;=($N$1+1),INDIRECT("L"&amp;5+$X$2),""))</f>
        <v/>
      </c>
    </row>
    <row r="601" spans="12:21" hidden="1" x14ac:dyDescent="0.25">
      <c r="L601" s="18">
        <f t="shared" ca="1" si="81"/>
        <v>64354</v>
      </c>
      <c r="M601" s="14">
        <v>596</v>
      </c>
      <c r="N601" s="14">
        <f t="shared" si="75"/>
        <v>0</v>
      </c>
      <c r="O601" s="19">
        <f t="shared" si="76"/>
        <v>0</v>
      </c>
      <c r="P601" s="19">
        <f t="shared" si="74"/>
        <v>0</v>
      </c>
      <c r="Q601" s="14">
        <f t="shared" si="77"/>
        <v>0</v>
      </c>
      <c r="R601" s="19">
        <f t="shared" si="78"/>
        <v>0</v>
      </c>
      <c r="S601" s="19">
        <f t="shared" si="79"/>
        <v>0</v>
      </c>
      <c r="T601" s="14">
        <f t="shared" si="80"/>
        <v>0</v>
      </c>
      <c r="U601" s="18" t="str" cm="1">
        <f t="array" aca="1" ref="U601" ca="1">IF(M601&lt;=$N$1,L601,IF(M601&lt;=($N$1+1),INDIRECT("L"&amp;5+$X$2),""))</f>
        <v/>
      </c>
    </row>
    <row r="602" spans="12:21" hidden="1" x14ac:dyDescent="0.25">
      <c r="L602" s="18">
        <f t="shared" ca="1" si="81"/>
        <v>64385</v>
      </c>
      <c r="M602" s="14">
        <v>597</v>
      </c>
      <c r="N602" s="14">
        <f t="shared" si="75"/>
        <v>0</v>
      </c>
      <c r="O602" s="19">
        <f t="shared" si="76"/>
        <v>0</v>
      </c>
      <c r="P602" s="19">
        <f t="shared" si="74"/>
        <v>0</v>
      </c>
      <c r="Q602" s="14">
        <f t="shared" si="77"/>
        <v>0</v>
      </c>
      <c r="R602" s="19">
        <f t="shared" si="78"/>
        <v>0</v>
      </c>
      <c r="S602" s="19">
        <f t="shared" si="79"/>
        <v>0</v>
      </c>
      <c r="T602" s="14">
        <f t="shared" si="80"/>
        <v>0</v>
      </c>
      <c r="U602" s="18" t="str" cm="1">
        <f t="array" aca="1" ref="U602" ca="1">IF(M602&lt;=$N$1,L602,IF(M602&lt;=($N$1+1),INDIRECT("L"&amp;5+$X$2),""))</f>
        <v/>
      </c>
    </row>
    <row r="603" spans="12:21" hidden="1" x14ac:dyDescent="0.25">
      <c r="L603" s="18">
        <f t="shared" ca="1" si="81"/>
        <v>64415</v>
      </c>
      <c r="M603" s="14">
        <v>598</v>
      </c>
      <c r="N603" s="14">
        <f t="shared" si="75"/>
        <v>0</v>
      </c>
      <c r="O603" s="19">
        <f t="shared" si="76"/>
        <v>0</v>
      </c>
      <c r="P603" s="19">
        <f t="shared" si="74"/>
        <v>0</v>
      </c>
      <c r="Q603" s="14">
        <f t="shared" si="77"/>
        <v>0</v>
      </c>
      <c r="R603" s="19">
        <f t="shared" si="78"/>
        <v>0</v>
      </c>
      <c r="S603" s="19">
        <f t="shared" si="79"/>
        <v>0</v>
      </c>
      <c r="T603" s="14">
        <f t="shared" si="80"/>
        <v>0</v>
      </c>
      <c r="U603" s="18" t="str" cm="1">
        <f t="array" aca="1" ref="U603" ca="1">IF(M603&lt;=$N$1,L603,IF(M603&lt;=($N$1+1),INDIRECT("L"&amp;5+$X$2),""))</f>
        <v/>
      </c>
    </row>
    <row r="604" spans="12:21" hidden="1" x14ac:dyDescent="0.25">
      <c r="L604" s="18">
        <f t="shared" ca="1" si="81"/>
        <v>64446</v>
      </c>
      <c r="M604" s="14">
        <v>599</v>
      </c>
      <c r="N604" s="14">
        <f t="shared" si="75"/>
        <v>0</v>
      </c>
      <c r="O604" s="19">
        <f t="shared" si="76"/>
        <v>0</v>
      </c>
      <c r="P604" s="19">
        <f t="shared" si="74"/>
        <v>0</v>
      </c>
      <c r="Q604" s="14">
        <f t="shared" si="77"/>
        <v>0</v>
      </c>
      <c r="R604" s="19">
        <f t="shared" si="78"/>
        <v>0</v>
      </c>
      <c r="S604" s="19">
        <f t="shared" si="79"/>
        <v>0</v>
      </c>
      <c r="T604" s="14">
        <f t="shared" si="80"/>
        <v>0</v>
      </c>
      <c r="U604" s="18" t="str" cm="1">
        <f t="array" aca="1" ref="U604" ca="1">IF(M604&lt;=$N$1,L604,IF(M604&lt;=($N$1+1),INDIRECT("L"&amp;5+$X$2),""))</f>
        <v/>
      </c>
    </row>
    <row r="605" spans="12:21" hidden="1" x14ac:dyDescent="0.25">
      <c r="L605" s="18">
        <f t="shared" ca="1" si="81"/>
        <v>64476</v>
      </c>
      <c r="M605" s="14">
        <v>600</v>
      </c>
      <c r="N605" s="14">
        <f t="shared" si="75"/>
        <v>0</v>
      </c>
      <c r="O605" s="19">
        <f t="shared" si="76"/>
        <v>0</v>
      </c>
      <c r="P605" s="19">
        <f t="shared" si="74"/>
        <v>0</v>
      </c>
      <c r="Q605" s="14">
        <f t="shared" si="77"/>
        <v>0</v>
      </c>
      <c r="R605" s="19">
        <f t="shared" si="78"/>
        <v>0</v>
      </c>
      <c r="S605" s="19">
        <f t="shared" si="79"/>
        <v>0</v>
      </c>
      <c r="T605" s="14">
        <f t="shared" si="80"/>
        <v>0</v>
      </c>
      <c r="U605" s="18" t="str" cm="1">
        <f t="array" aca="1" ref="U605" ca="1">IF(M605&lt;=$N$1,L605,IF(M605&lt;=($N$1+1),INDIRECT("L"&amp;5+$X$2),""))</f>
        <v/>
      </c>
    </row>
    <row r="606" spans="12:21" hidden="1" x14ac:dyDescent="0.25">
      <c r="L606" s="18">
        <f t="shared" ca="1" si="81"/>
        <v>64507</v>
      </c>
      <c r="M606" s="14">
        <v>601</v>
      </c>
      <c r="N606" s="14">
        <f t="shared" si="75"/>
        <v>0</v>
      </c>
      <c r="O606" s="19">
        <f t="shared" si="76"/>
        <v>0</v>
      </c>
      <c r="P606" s="19">
        <f t="shared" si="74"/>
        <v>0</v>
      </c>
      <c r="Q606" s="14">
        <f t="shared" si="77"/>
        <v>0</v>
      </c>
      <c r="R606" s="19">
        <f t="shared" si="78"/>
        <v>0</v>
      </c>
      <c r="S606" s="19">
        <f t="shared" si="79"/>
        <v>0</v>
      </c>
      <c r="T606" s="14">
        <f t="shared" si="80"/>
        <v>0</v>
      </c>
      <c r="U606" s="18" t="str" cm="1">
        <f t="array" aca="1" ref="U606" ca="1">IF(M606&lt;=$N$1,L606,IF(M606&lt;=($N$1+1),INDIRECT("L"&amp;5+$X$2),""))</f>
        <v/>
      </c>
    </row>
    <row r="607" spans="12:21" hidden="1" x14ac:dyDescent="0.25">
      <c r="L607" s="18">
        <f t="shared" ca="1" si="81"/>
        <v>64538</v>
      </c>
      <c r="M607" s="14">
        <v>602</v>
      </c>
      <c r="N607" s="14">
        <f t="shared" si="75"/>
        <v>0</v>
      </c>
      <c r="O607" s="19">
        <f t="shared" si="76"/>
        <v>0</v>
      </c>
      <c r="P607" s="19">
        <f t="shared" si="74"/>
        <v>0</v>
      </c>
      <c r="Q607" s="14">
        <f t="shared" si="77"/>
        <v>0</v>
      </c>
      <c r="R607" s="19">
        <f t="shared" si="78"/>
        <v>0</v>
      </c>
      <c r="S607" s="19">
        <f t="shared" si="79"/>
        <v>0</v>
      </c>
      <c r="T607" s="14">
        <f t="shared" si="80"/>
        <v>0</v>
      </c>
      <c r="U607" s="18" t="str" cm="1">
        <f t="array" aca="1" ref="U607" ca="1">IF(M607&lt;=$N$1,L607,IF(M607&lt;=($N$1+1),INDIRECT("L"&amp;5+$X$2),""))</f>
        <v/>
      </c>
    </row>
    <row r="608" spans="12:21" hidden="1" x14ac:dyDescent="0.25">
      <c r="L608" s="18">
        <f t="shared" ca="1" si="81"/>
        <v>64568</v>
      </c>
      <c r="M608" s="14">
        <v>603</v>
      </c>
      <c r="N608" s="14">
        <f t="shared" si="75"/>
        <v>0</v>
      </c>
      <c r="O608" s="19">
        <f t="shared" si="76"/>
        <v>0</v>
      </c>
      <c r="P608" s="19">
        <f t="shared" si="74"/>
        <v>0</v>
      </c>
      <c r="Q608" s="14">
        <f t="shared" si="77"/>
        <v>0</v>
      </c>
      <c r="R608" s="19">
        <f t="shared" si="78"/>
        <v>0</v>
      </c>
      <c r="S608" s="19">
        <f t="shared" si="79"/>
        <v>0</v>
      </c>
      <c r="T608" s="14">
        <f t="shared" si="80"/>
        <v>0</v>
      </c>
      <c r="U608" s="18" t="str" cm="1">
        <f t="array" aca="1" ref="U608" ca="1">IF(M608&lt;=$N$1,L608,IF(M608&lt;=($N$1+1),INDIRECT("L"&amp;5+$X$2),""))</f>
        <v/>
      </c>
    </row>
    <row r="609" spans="12:21" hidden="1" x14ac:dyDescent="0.25">
      <c r="L609" s="18">
        <f t="shared" ca="1" si="81"/>
        <v>64599</v>
      </c>
      <c r="M609" s="14">
        <v>604</v>
      </c>
      <c r="N609" s="14">
        <f t="shared" si="75"/>
        <v>0</v>
      </c>
      <c r="O609" s="19">
        <f t="shared" si="76"/>
        <v>0</v>
      </c>
      <c r="P609" s="19">
        <f t="shared" si="74"/>
        <v>0</v>
      </c>
      <c r="Q609" s="14">
        <f t="shared" si="77"/>
        <v>0</v>
      </c>
      <c r="R609" s="19">
        <f t="shared" si="78"/>
        <v>0</v>
      </c>
      <c r="S609" s="19">
        <f t="shared" si="79"/>
        <v>0</v>
      </c>
      <c r="T609" s="14">
        <f t="shared" si="80"/>
        <v>0</v>
      </c>
      <c r="U609" s="18" t="str" cm="1">
        <f t="array" aca="1" ref="U609" ca="1">IF(M609&lt;=$N$1,L609,IF(M609&lt;=($N$1+1),INDIRECT("L"&amp;5+$X$2),""))</f>
        <v/>
      </c>
    </row>
    <row r="610" spans="12:21" hidden="1" x14ac:dyDescent="0.25">
      <c r="L610" s="18">
        <f t="shared" ca="1" si="81"/>
        <v>64629</v>
      </c>
      <c r="M610" s="14">
        <v>605</v>
      </c>
      <c r="N610" s="14">
        <f t="shared" si="75"/>
        <v>0</v>
      </c>
      <c r="O610" s="19">
        <f t="shared" si="76"/>
        <v>0</v>
      </c>
      <c r="P610" s="19">
        <f t="shared" si="74"/>
        <v>0</v>
      </c>
      <c r="Q610" s="14">
        <f t="shared" si="77"/>
        <v>0</v>
      </c>
      <c r="R610" s="19">
        <f t="shared" si="78"/>
        <v>0</v>
      </c>
      <c r="S610" s="19">
        <f t="shared" si="79"/>
        <v>0</v>
      </c>
      <c r="T610" s="14">
        <f t="shared" si="80"/>
        <v>0</v>
      </c>
      <c r="U610" s="18" t="str" cm="1">
        <f t="array" aca="1" ref="U610" ca="1">IF(M610&lt;=$N$1,L610,IF(M610&lt;=($N$1+1),INDIRECT("L"&amp;5+$X$2),""))</f>
        <v/>
      </c>
    </row>
    <row r="611" spans="12:21" hidden="1" x14ac:dyDescent="0.25">
      <c r="L611" s="18">
        <f t="shared" ca="1" si="81"/>
        <v>64660</v>
      </c>
      <c r="M611" s="14">
        <v>606</v>
      </c>
      <c r="N611" s="14">
        <f t="shared" si="75"/>
        <v>0</v>
      </c>
      <c r="O611" s="19">
        <f t="shared" si="76"/>
        <v>0</v>
      </c>
      <c r="P611" s="19">
        <f t="shared" si="74"/>
        <v>0</v>
      </c>
      <c r="Q611" s="14">
        <f t="shared" si="77"/>
        <v>0</v>
      </c>
      <c r="R611" s="19">
        <f t="shared" si="78"/>
        <v>0</v>
      </c>
      <c r="S611" s="19">
        <f t="shared" si="79"/>
        <v>0</v>
      </c>
      <c r="T611" s="14">
        <f t="shared" si="80"/>
        <v>0</v>
      </c>
      <c r="U611" s="18" t="str" cm="1">
        <f t="array" aca="1" ref="U611" ca="1">IF(M611&lt;=$N$1,L611,IF(M611&lt;=($N$1+1),INDIRECT("L"&amp;5+$X$2),""))</f>
        <v/>
      </c>
    </row>
    <row r="612" spans="12:21" hidden="1" x14ac:dyDescent="0.25">
      <c r="L612" s="18">
        <f t="shared" ca="1" si="81"/>
        <v>64691</v>
      </c>
      <c r="M612" s="14">
        <v>607</v>
      </c>
      <c r="N612" s="14">
        <f t="shared" si="75"/>
        <v>0</v>
      </c>
      <c r="O612" s="19">
        <f t="shared" si="76"/>
        <v>0</v>
      </c>
      <c r="P612" s="19">
        <f t="shared" si="74"/>
        <v>0</v>
      </c>
      <c r="Q612" s="14">
        <f t="shared" si="77"/>
        <v>0</v>
      </c>
      <c r="R612" s="19">
        <f t="shared" si="78"/>
        <v>0</v>
      </c>
      <c r="S612" s="19">
        <f t="shared" si="79"/>
        <v>0</v>
      </c>
      <c r="T612" s="14">
        <f t="shared" si="80"/>
        <v>0</v>
      </c>
      <c r="U612" s="18" t="str" cm="1">
        <f t="array" aca="1" ref="U612" ca="1">IF(M612&lt;=$N$1,L612,IF(M612&lt;=($N$1+1),INDIRECT("L"&amp;5+$X$2),""))</f>
        <v/>
      </c>
    </row>
    <row r="613" spans="12:21" hidden="1" x14ac:dyDescent="0.25">
      <c r="L613" s="18">
        <f t="shared" ca="1" si="81"/>
        <v>64719</v>
      </c>
      <c r="M613" s="14">
        <v>608</v>
      </c>
      <c r="N613" s="14">
        <f t="shared" si="75"/>
        <v>0</v>
      </c>
      <c r="O613" s="19">
        <f t="shared" si="76"/>
        <v>0</v>
      </c>
      <c r="P613" s="19">
        <f t="shared" si="74"/>
        <v>0</v>
      </c>
      <c r="Q613" s="14">
        <f t="shared" si="77"/>
        <v>0</v>
      </c>
      <c r="R613" s="19">
        <f t="shared" si="78"/>
        <v>0</v>
      </c>
      <c r="S613" s="19">
        <f t="shared" si="79"/>
        <v>0</v>
      </c>
      <c r="T613" s="14">
        <f t="shared" si="80"/>
        <v>0</v>
      </c>
      <c r="U613" s="18" t="str" cm="1">
        <f t="array" aca="1" ref="U613" ca="1">IF(M613&lt;=$N$1,L613,IF(M613&lt;=($N$1+1),INDIRECT("L"&amp;5+$X$2),""))</f>
        <v/>
      </c>
    </row>
    <row r="614" spans="12:21" hidden="1" x14ac:dyDescent="0.25">
      <c r="L614" s="18">
        <f t="shared" ca="1" si="81"/>
        <v>64750</v>
      </c>
      <c r="M614" s="14">
        <v>609</v>
      </c>
      <c r="N614" s="14">
        <f t="shared" si="75"/>
        <v>0</v>
      </c>
      <c r="O614" s="19">
        <f t="shared" si="76"/>
        <v>0</v>
      </c>
      <c r="P614" s="19">
        <f t="shared" ref="P614:P677" si="82">O614/((1+SIPInflationRate)^(M614/12))</f>
        <v>0</v>
      </c>
      <c r="Q614" s="14">
        <f t="shared" si="77"/>
        <v>0</v>
      </c>
      <c r="R614" s="19">
        <f t="shared" si="78"/>
        <v>0</v>
      </c>
      <c r="S614" s="19">
        <f t="shared" si="79"/>
        <v>0</v>
      </c>
      <c r="T614" s="14">
        <f t="shared" si="80"/>
        <v>0</v>
      </c>
      <c r="U614" s="18" t="str" cm="1">
        <f t="array" aca="1" ref="U614" ca="1">IF(M614&lt;=$N$1,L614,IF(M614&lt;=($N$1+1),INDIRECT("L"&amp;5+$X$2),""))</f>
        <v/>
      </c>
    </row>
    <row r="615" spans="12:21" hidden="1" x14ac:dyDescent="0.25">
      <c r="L615" s="18">
        <f t="shared" ca="1" si="81"/>
        <v>64780</v>
      </c>
      <c r="M615" s="14">
        <v>610</v>
      </c>
      <c r="N615" s="14">
        <f t="shared" si="75"/>
        <v>0</v>
      </c>
      <c r="O615" s="19">
        <f t="shared" si="76"/>
        <v>0</v>
      </c>
      <c r="P615" s="19">
        <f t="shared" si="82"/>
        <v>0</v>
      </c>
      <c r="Q615" s="14">
        <f t="shared" si="77"/>
        <v>0</v>
      </c>
      <c r="R615" s="19">
        <f t="shared" si="78"/>
        <v>0</v>
      </c>
      <c r="S615" s="19">
        <f t="shared" si="79"/>
        <v>0</v>
      </c>
      <c r="T615" s="14">
        <f t="shared" si="80"/>
        <v>0</v>
      </c>
      <c r="U615" s="18" t="str" cm="1">
        <f t="array" aca="1" ref="U615" ca="1">IF(M615&lt;=$N$1,L615,IF(M615&lt;=($N$1+1),INDIRECT("L"&amp;5+$X$2),""))</f>
        <v/>
      </c>
    </row>
    <row r="616" spans="12:21" hidden="1" x14ac:dyDescent="0.25">
      <c r="L616" s="18">
        <f t="shared" ca="1" si="81"/>
        <v>64811</v>
      </c>
      <c r="M616" s="14">
        <v>611</v>
      </c>
      <c r="N616" s="14">
        <f t="shared" si="75"/>
        <v>0</v>
      </c>
      <c r="O616" s="19">
        <f t="shared" si="76"/>
        <v>0</v>
      </c>
      <c r="P616" s="19">
        <f t="shared" si="82"/>
        <v>0</v>
      </c>
      <c r="Q616" s="14">
        <f t="shared" si="77"/>
        <v>0</v>
      </c>
      <c r="R616" s="19">
        <f t="shared" si="78"/>
        <v>0</v>
      </c>
      <c r="S616" s="19">
        <f t="shared" si="79"/>
        <v>0</v>
      </c>
      <c r="T616" s="14">
        <f t="shared" si="80"/>
        <v>0</v>
      </c>
      <c r="U616" s="18" t="str" cm="1">
        <f t="array" aca="1" ref="U616" ca="1">IF(M616&lt;=$N$1,L616,IF(M616&lt;=($N$1+1),INDIRECT("L"&amp;5+$X$2),""))</f>
        <v/>
      </c>
    </row>
    <row r="617" spans="12:21" hidden="1" x14ac:dyDescent="0.25">
      <c r="L617" s="18">
        <f t="shared" ca="1" si="81"/>
        <v>64841</v>
      </c>
      <c r="M617" s="14">
        <v>612</v>
      </c>
      <c r="N617" s="14">
        <f t="shared" si="75"/>
        <v>0</v>
      </c>
      <c r="O617" s="19">
        <f t="shared" si="76"/>
        <v>0</v>
      </c>
      <c r="P617" s="19">
        <f t="shared" si="82"/>
        <v>0</v>
      </c>
      <c r="Q617" s="14">
        <f t="shared" si="77"/>
        <v>0</v>
      </c>
      <c r="R617" s="19">
        <f t="shared" si="78"/>
        <v>0</v>
      </c>
      <c r="S617" s="19">
        <f t="shared" si="79"/>
        <v>0</v>
      </c>
      <c r="T617" s="14">
        <f t="shared" si="80"/>
        <v>0</v>
      </c>
      <c r="U617" s="18" t="str" cm="1">
        <f t="array" aca="1" ref="U617" ca="1">IF(M617&lt;=$N$1,L617,IF(M617&lt;=($N$1+1),INDIRECT("L"&amp;5+$X$2),""))</f>
        <v/>
      </c>
    </row>
    <row r="618" spans="12:21" hidden="1" x14ac:dyDescent="0.25">
      <c r="L618" s="18">
        <f t="shared" ca="1" si="81"/>
        <v>64872</v>
      </c>
      <c r="M618" s="14">
        <v>613</v>
      </c>
      <c r="N618" s="14">
        <f t="shared" si="75"/>
        <v>0</v>
      </c>
      <c r="O618" s="19">
        <f t="shared" si="76"/>
        <v>0</v>
      </c>
      <c r="P618" s="19">
        <f t="shared" si="82"/>
        <v>0</v>
      </c>
      <c r="Q618" s="14">
        <f t="shared" si="77"/>
        <v>0</v>
      </c>
      <c r="R618" s="19">
        <f t="shared" si="78"/>
        <v>0</v>
      </c>
      <c r="S618" s="19">
        <f t="shared" si="79"/>
        <v>0</v>
      </c>
      <c r="T618" s="14">
        <f t="shared" si="80"/>
        <v>0</v>
      </c>
      <c r="U618" s="18" t="str" cm="1">
        <f t="array" aca="1" ref="U618" ca="1">IF(M618&lt;=$N$1,L618,IF(M618&lt;=($N$1+1),INDIRECT("L"&amp;5+$X$2),""))</f>
        <v/>
      </c>
    </row>
    <row r="619" spans="12:21" hidden="1" x14ac:dyDescent="0.25">
      <c r="L619" s="18">
        <f t="shared" ca="1" si="81"/>
        <v>64903</v>
      </c>
      <c r="M619" s="14">
        <v>614</v>
      </c>
      <c r="N619" s="14">
        <f t="shared" si="75"/>
        <v>0</v>
      </c>
      <c r="O619" s="19">
        <f t="shared" si="76"/>
        <v>0</v>
      </c>
      <c r="P619" s="19">
        <f t="shared" si="82"/>
        <v>0</v>
      </c>
      <c r="Q619" s="14">
        <f t="shared" si="77"/>
        <v>0</v>
      </c>
      <c r="R619" s="19">
        <f t="shared" si="78"/>
        <v>0</v>
      </c>
      <c r="S619" s="19">
        <f t="shared" si="79"/>
        <v>0</v>
      </c>
      <c r="T619" s="14">
        <f t="shared" si="80"/>
        <v>0</v>
      </c>
      <c r="U619" s="18" t="str" cm="1">
        <f t="array" aca="1" ref="U619" ca="1">IF(M619&lt;=$N$1,L619,IF(M619&lt;=($N$1+1),INDIRECT("L"&amp;5+$X$2),""))</f>
        <v/>
      </c>
    </row>
    <row r="620" spans="12:21" hidden="1" x14ac:dyDescent="0.25">
      <c r="L620" s="18">
        <f t="shared" ca="1" si="81"/>
        <v>64933</v>
      </c>
      <c r="M620" s="14">
        <v>615</v>
      </c>
      <c r="N620" s="14">
        <f t="shared" si="75"/>
        <v>0</v>
      </c>
      <c r="O620" s="19">
        <f t="shared" si="76"/>
        <v>0</v>
      </c>
      <c r="P620" s="19">
        <f t="shared" si="82"/>
        <v>0</v>
      </c>
      <c r="Q620" s="14">
        <f t="shared" si="77"/>
        <v>0</v>
      </c>
      <c r="R620" s="19">
        <f t="shared" si="78"/>
        <v>0</v>
      </c>
      <c r="S620" s="19">
        <f t="shared" si="79"/>
        <v>0</v>
      </c>
      <c r="T620" s="14">
        <f t="shared" si="80"/>
        <v>0</v>
      </c>
      <c r="U620" s="18" t="str" cm="1">
        <f t="array" aca="1" ref="U620" ca="1">IF(M620&lt;=$N$1,L620,IF(M620&lt;=($N$1+1),INDIRECT("L"&amp;5+$X$2),""))</f>
        <v/>
      </c>
    </row>
    <row r="621" spans="12:21" hidden="1" x14ac:dyDescent="0.25">
      <c r="L621" s="18">
        <f t="shared" ca="1" si="81"/>
        <v>64964</v>
      </c>
      <c r="M621" s="14">
        <v>616</v>
      </c>
      <c r="N621" s="14">
        <f t="shared" si="75"/>
        <v>0</v>
      </c>
      <c r="O621" s="19">
        <f t="shared" si="76"/>
        <v>0</v>
      </c>
      <c r="P621" s="19">
        <f t="shared" si="82"/>
        <v>0</v>
      </c>
      <c r="Q621" s="14">
        <f t="shared" si="77"/>
        <v>0</v>
      </c>
      <c r="R621" s="19">
        <f t="shared" si="78"/>
        <v>0</v>
      </c>
      <c r="S621" s="19">
        <f t="shared" si="79"/>
        <v>0</v>
      </c>
      <c r="T621" s="14">
        <f t="shared" si="80"/>
        <v>0</v>
      </c>
      <c r="U621" s="18" t="str" cm="1">
        <f t="array" aca="1" ref="U621" ca="1">IF(M621&lt;=$N$1,L621,IF(M621&lt;=($N$1+1),INDIRECT("L"&amp;5+$X$2),""))</f>
        <v/>
      </c>
    </row>
    <row r="622" spans="12:21" hidden="1" x14ac:dyDescent="0.25">
      <c r="L622" s="18">
        <f t="shared" ca="1" si="81"/>
        <v>64994</v>
      </c>
      <c r="M622" s="14">
        <v>617</v>
      </c>
      <c r="N622" s="14">
        <f t="shared" si="75"/>
        <v>0</v>
      </c>
      <c r="O622" s="19">
        <f t="shared" si="76"/>
        <v>0</v>
      </c>
      <c r="P622" s="19">
        <f t="shared" si="82"/>
        <v>0</v>
      </c>
      <c r="Q622" s="14">
        <f t="shared" si="77"/>
        <v>0</v>
      </c>
      <c r="R622" s="19">
        <f t="shared" si="78"/>
        <v>0</v>
      </c>
      <c r="S622" s="19">
        <f t="shared" si="79"/>
        <v>0</v>
      </c>
      <c r="T622" s="14">
        <f t="shared" si="80"/>
        <v>0</v>
      </c>
      <c r="U622" s="18" t="str" cm="1">
        <f t="array" aca="1" ref="U622" ca="1">IF(M622&lt;=$N$1,L622,IF(M622&lt;=($N$1+1),INDIRECT("L"&amp;5+$X$2),""))</f>
        <v/>
      </c>
    </row>
    <row r="623" spans="12:21" hidden="1" x14ac:dyDescent="0.25">
      <c r="L623" s="18">
        <f t="shared" ca="1" si="81"/>
        <v>65025</v>
      </c>
      <c r="M623" s="14">
        <v>618</v>
      </c>
      <c r="N623" s="14">
        <f t="shared" si="75"/>
        <v>0</v>
      </c>
      <c r="O623" s="19">
        <f t="shared" si="76"/>
        <v>0</v>
      </c>
      <c r="P623" s="19">
        <f t="shared" si="82"/>
        <v>0</v>
      </c>
      <c r="Q623" s="14">
        <f t="shared" si="77"/>
        <v>0</v>
      </c>
      <c r="R623" s="19">
        <f t="shared" si="78"/>
        <v>0</v>
      </c>
      <c r="S623" s="19">
        <f t="shared" si="79"/>
        <v>0</v>
      </c>
      <c r="T623" s="14">
        <f t="shared" si="80"/>
        <v>0</v>
      </c>
      <c r="U623" s="18" t="str" cm="1">
        <f t="array" aca="1" ref="U623" ca="1">IF(M623&lt;=$N$1,L623,IF(M623&lt;=($N$1+1),INDIRECT("L"&amp;5+$X$2),""))</f>
        <v/>
      </c>
    </row>
    <row r="624" spans="12:21" hidden="1" x14ac:dyDescent="0.25">
      <c r="L624" s="18">
        <f t="shared" ca="1" si="81"/>
        <v>65056</v>
      </c>
      <c r="M624" s="14">
        <v>619</v>
      </c>
      <c r="N624" s="14">
        <f t="shared" si="75"/>
        <v>0</v>
      </c>
      <c r="O624" s="19">
        <f t="shared" si="76"/>
        <v>0</v>
      </c>
      <c r="P624" s="19">
        <f t="shared" si="82"/>
        <v>0</v>
      </c>
      <c r="Q624" s="14">
        <f t="shared" si="77"/>
        <v>0</v>
      </c>
      <c r="R624" s="19">
        <f t="shared" si="78"/>
        <v>0</v>
      </c>
      <c r="S624" s="19">
        <f t="shared" si="79"/>
        <v>0</v>
      </c>
      <c r="T624" s="14">
        <f t="shared" si="80"/>
        <v>0</v>
      </c>
      <c r="U624" s="18" t="str" cm="1">
        <f t="array" aca="1" ref="U624" ca="1">IF(M624&lt;=$N$1,L624,IF(M624&lt;=($N$1+1),INDIRECT("L"&amp;5+$X$2),""))</f>
        <v/>
      </c>
    </row>
    <row r="625" spans="12:21" hidden="1" x14ac:dyDescent="0.25">
      <c r="L625" s="18">
        <f t="shared" ca="1" si="81"/>
        <v>65084</v>
      </c>
      <c r="M625" s="14">
        <v>620</v>
      </c>
      <c r="N625" s="14">
        <f t="shared" si="75"/>
        <v>0</v>
      </c>
      <c r="O625" s="19">
        <f t="shared" si="76"/>
        <v>0</v>
      </c>
      <c r="P625" s="19">
        <f t="shared" si="82"/>
        <v>0</v>
      </c>
      <c r="Q625" s="14">
        <f t="shared" si="77"/>
        <v>0</v>
      </c>
      <c r="R625" s="19">
        <f t="shared" si="78"/>
        <v>0</v>
      </c>
      <c r="S625" s="19">
        <f t="shared" si="79"/>
        <v>0</v>
      </c>
      <c r="T625" s="14">
        <f t="shared" si="80"/>
        <v>0</v>
      </c>
      <c r="U625" s="18" t="str" cm="1">
        <f t="array" aca="1" ref="U625" ca="1">IF(M625&lt;=$N$1,L625,IF(M625&lt;=($N$1+1),INDIRECT("L"&amp;5+$X$2),""))</f>
        <v/>
      </c>
    </row>
    <row r="626" spans="12:21" hidden="1" x14ac:dyDescent="0.25">
      <c r="L626" s="18">
        <f t="shared" ca="1" si="81"/>
        <v>65115</v>
      </c>
      <c r="M626" s="14">
        <v>621</v>
      </c>
      <c r="N626" s="14">
        <f t="shared" si="75"/>
        <v>0</v>
      </c>
      <c r="O626" s="19">
        <f t="shared" si="76"/>
        <v>0</v>
      </c>
      <c r="P626" s="19">
        <f t="shared" si="82"/>
        <v>0</v>
      </c>
      <c r="Q626" s="14">
        <f t="shared" si="77"/>
        <v>0</v>
      </c>
      <c r="R626" s="19">
        <f t="shared" si="78"/>
        <v>0</v>
      </c>
      <c r="S626" s="19">
        <f t="shared" si="79"/>
        <v>0</v>
      </c>
      <c r="T626" s="14">
        <f t="shared" si="80"/>
        <v>0</v>
      </c>
      <c r="U626" s="18" t="str" cm="1">
        <f t="array" aca="1" ref="U626" ca="1">IF(M626&lt;=$N$1,L626,IF(M626&lt;=($N$1+1),INDIRECT("L"&amp;5+$X$2),""))</f>
        <v/>
      </c>
    </row>
    <row r="627" spans="12:21" hidden="1" x14ac:dyDescent="0.25">
      <c r="L627" s="18">
        <f t="shared" ca="1" si="81"/>
        <v>65145</v>
      </c>
      <c r="M627" s="14">
        <v>622</v>
      </c>
      <c r="N627" s="14">
        <f t="shared" si="75"/>
        <v>0</v>
      </c>
      <c r="O627" s="19">
        <f t="shared" si="76"/>
        <v>0</v>
      </c>
      <c r="P627" s="19">
        <f t="shared" si="82"/>
        <v>0</v>
      </c>
      <c r="Q627" s="14">
        <f t="shared" si="77"/>
        <v>0</v>
      </c>
      <c r="R627" s="19">
        <f t="shared" si="78"/>
        <v>0</v>
      </c>
      <c r="S627" s="19">
        <f t="shared" si="79"/>
        <v>0</v>
      </c>
      <c r="T627" s="14">
        <f t="shared" si="80"/>
        <v>0</v>
      </c>
      <c r="U627" s="18" t="str" cm="1">
        <f t="array" aca="1" ref="U627" ca="1">IF(M627&lt;=$N$1,L627,IF(M627&lt;=($N$1+1),INDIRECT("L"&amp;5+$X$2),""))</f>
        <v/>
      </c>
    </row>
    <row r="628" spans="12:21" hidden="1" x14ac:dyDescent="0.25">
      <c r="L628" s="18">
        <f t="shared" ca="1" si="81"/>
        <v>65176</v>
      </c>
      <c r="M628" s="14">
        <v>623</v>
      </c>
      <c r="N628" s="14">
        <f t="shared" si="75"/>
        <v>0</v>
      </c>
      <c r="O628" s="19">
        <f t="shared" si="76"/>
        <v>0</v>
      </c>
      <c r="P628" s="19">
        <f t="shared" si="82"/>
        <v>0</v>
      </c>
      <c r="Q628" s="14">
        <f t="shared" si="77"/>
        <v>0</v>
      </c>
      <c r="R628" s="19">
        <f t="shared" si="78"/>
        <v>0</v>
      </c>
      <c r="S628" s="19">
        <f t="shared" si="79"/>
        <v>0</v>
      </c>
      <c r="T628" s="14">
        <f t="shared" si="80"/>
        <v>0</v>
      </c>
      <c r="U628" s="18" t="str" cm="1">
        <f t="array" aca="1" ref="U628" ca="1">IF(M628&lt;=$N$1,L628,IF(M628&lt;=($N$1+1),INDIRECT("L"&amp;5+$X$2),""))</f>
        <v/>
      </c>
    </row>
    <row r="629" spans="12:21" hidden="1" x14ac:dyDescent="0.25">
      <c r="L629" s="18">
        <f t="shared" ca="1" si="81"/>
        <v>65206</v>
      </c>
      <c r="M629" s="14">
        <v>624</v>
      </c>
      <c r="N629" s="14">
        <f t="shared" si="75"/>
        <v>0</v>
      </c>
      <c r="O629" s="19">
        <f t="shared" si="76"/>
        <v>0</v>
      </c>
      <c r="P629" s="19">
        <f t="shared" si="82"/>
        <v>0</v>
      </c>
      <c r="Q629" s="14">
        <f t="shared" si="77"/>
        <v>0</v>
      </c>
      <c r="R629" s="19">
        <f t="shared" si="78"/>
        <v>0</v>
      </c>
      <c r="S629" s="19">
        <f t="shared" si="79"/>
        <v>0</v>
      </c>
      <c r="T629" s="14">
        <f t="shared" si="80"/>
        <v>0</v>
      </c>
      <c r="U629" s="18" t="str" cm="1">
        <f t="array" aca="1" ref="U629" ca="1">IF(M629&lt;=$N$1,L629,IF(M629&lt;=($N$1+1),INDIRECT("L"&amp;5+$X$2),""))</f>
        <v/>
      </c>
    </row>
    <row r="630" spans="12:21" hidden="1" x14ac:dyDescent="0.25">
      <c r="L630" s="18">
        <f t="shared" ca="1" si="81"/>
        <v>65237</v>
      </c>
      <c r="M630" s="14">
        <v>625</v>
      </c>
      <c r="N630" s="14">
        <f t="shared" si="75"/>
        <v>0</v>
      </c>
      <c r="O630" s="19">
        <f t="shared" si="76"/>
        <v>0</v>
      </c>
      <c r="P630" s="19">
        <f t="shared" si="82"/>
        <v>0</v>
      </c>
      <c r="Q630" s="14">
        <f t="shared" si="77"/>
        <v>0</v>
      </c>
      <c r="R630" s="19">
        <f t="shared" si="78"/>
        <v>0</v>
      </c>
      <c r="S630" s="19">
        <f t="shared" si="79"/>
        <v>0</v>
      </c>
      <c r="T630" s="14">
        <f t="shared" si="80"/>
        <v>0</v>
      </c>
      <c r="U630" s="18" t="str" cm="1">
        <f t="array" aca="1" ref="U630" ca="1">IF(M630&lt;=$N$1,L630,IF(M630&lt;=($N$1+1),INDIRECT("L"&amp;5+$X$2),""))</f>
        <v/>
      </c>
    </row>
    <row r="631" spans="12:21" hidden="1" x14ac:dyDescent="0.25">
      <c r="L631" s="18">
        <f t="shared" ca="1" si="81"/>
        <v>65268</v>
      </c>
      <c r="M631" s="14">
        <v>626</v>
      </c>
      <c r="N631" s="14">
        <f t="shared" si="75"/>
        <v>0</v>
      </c>
      <c r="O631" s="19">
        <f t="shared" si="76"/>
        <v>0</v>
      </c>
      <c r="P631" s="19">
        <f t="shared" si="82"/>
        <v>0</v>
      </c>
      <c r="Q631" s="14">
        <f t="shared" si="77"/>
        <v>0</v>
      </c>
      <c r="R631" s="19">
        <f t="shared" si="78"/>
        <v>0</v>
      </c>
      <c r="S631" s="19">
        <f t="shared" si="79"/>
        <v>0</v>
      </c>
      <c r="T631" s="14">
        <f t="shared" si="80"/>
        <v>0</v>
      </c>
      <c r="U631" s="18" t="str" cm="1">
        <f t="array" aca="1" ref="U631" ca="1">IF(M631&lt;=$N$1,L631,IF(M631&lt;=($N$1+1),INDIRECT("L"&amp;5+$X$2),""))</f>
        <v/>
      </c>
    </row>
    <row r="632" spans="12:21" hidden="1" x14ac:dyDescent="0.25">
      <c r="L632" s="18">
        <f t="shared" ca="1" si="81"/>
        <v>65298</v>
      </c>
      <c r="M632" s="14">
        <v>627</v>
      </c>
      <c r="N632" s="14">
        <f t="shared" si="75"/>
        <v>0</v>
      </c>
      <c r="O632" s="19">
        <f t="shared" si="76"/>
        <v>0</v>
      </c>
      <c r="P632" s="19">
        <f t="shared" si="82"/>
        <v>0</v>
      </c>
      <c r="Q632" s="14">
        <f t="shared" si="77"/>
        <v>0</v>
      </c>
      <c r="R632" s="19">
        <f t="shared" si="78"/>
        <v>0</v>
      </c>
      <c r="S632" s="19">
        <f t="shared" si="79"/>
        <v>0</v>
      </c>
      <c r="T632" s="14">
        <f t="shared" si="80"/>
        <v>0</v>
      </c>
      <c r="U632" s="18" t="str" cm="1">
        <f t="array" aca="1" ref="U632" ca="1">IF(M632&lt;=$N$1,L632,IF(M632&lt;=($N$1+1),INDIRECT("L"&amp;5+$X$2),""))</f>
        <v/>
      </c>
    </row>
    <row r="633" spans="12:21" hidden="1" x14ac:dyDescent="0.25">
      <c r="L633" s="18">
        <f t="shared" ca="1" si="81"/>
        <v>65329</v>
      </c>
      <c r="M633" s="14">
        <v>628</v>
      </c>
      <c r="N633" s="14">
        <f t="shared" si="75"/>
        <v>0</v>
      </c>
      <c r="O633" s="19">
        <f t="shared" si="76"/>
        <v>0</v>
      </c>
      <c r="P633" s="19">
        <f t="shared" si="82"/>
        <v>0</v>
      </c>
      <c r="Q633" s="14">
        <f t="shared" si="77"/>
        <v>0</v>
      </c>
      <c r="R633" s="19">
        <f t="shared" si="78"/>
        <v>0</v>
      </c>
      <c r="S633" s="19">
        <f t="shared" si="79"/>
        <v>0</v>
      </c>
      <c r="T633" s="14">
        <f t="shared" si="80"/>
        <v>0</v>
      </c>
      <c r="U633" s="18" t="str" cm="1">
        <f t="array" aca="1" ref="U633" ca="1">IF(M633&lt;=$N$1,L633,IF(M633&lt;=($N$1+1),INDIRECT("L"&amp;5+$X$2),""))</f>
        <v/>
      </c>
    </row>
    <row r="634" spans="12:21" hidden="1" x14ac:dyDescent="0.25">
      <c r="L634" s="18">
        <f t="shared" ca="1" si="81"/>
        <v>65359</v>
      </c>
      <c r="M634" s="14">
        <v>629</v>
      </c>
      <c r="N634" s="14">
        <f t="shared" si="75"/>
        <v>0</v>
      </c>
      <c r="O634" s="19">
        <f t="shared" si="76"/>
        <v>0</v>
      </c>
      <c r="P634" s="19">
        <f t="shared" si="82"/>
        <v>0</v>
      </c>
      <c r="Q634" s="14">
        <f t="shared" si="77"/>
        <v>0</v>
      </c>
      <c r="R634" s="19">
        <f t="shared" si="78"/>
        <v>0</v>
      </c>
      <c r="S634" s="19">
        <f t="shared" si="79"/>
        <v>0</v>
      </c>
      <c r="T634" s="14">
        <f t="shared" si="80"/>
        <v>0</v>
      </c>
      <c r="U634" s="18" t="str" cm="1">
        <f t="array" aca="1" ref="U634" ca="1">IF(M634&lt;=$N$1,L634,IF(M634&lt;=($N$1+1),INDIRECT("L"&amp;5+$X$2),""))</f>
        <v/>
      </c>
    </row>
    <row r="635" spans="12:21" hidden="1" x14ac:dyDescent="0.25">
      <c r="L635" s="18">
        <f t="shared" ca="1" si="81"/>
        <v>65390</v>
      </c>
      <c r="M635" s="14">
        <v>630</v>
      </c>
      <c r="N635" s="14">
        <f t="shared" si="75"/>
        <v>0</v>
      </c>
      <c r="O635" s="19">
        <f t="shared" si="76"/>
        <v>0</v>
      </c>
      <c r="P635" s="19">
        <f t="shared" si="82"/>
        <v>0</v>
      </c>
      <c r="Q635" s="14">
        <f t="shared" si="77"/>
        <v>0</v>
      </c>
      <c r="R635" s="19">
        <f t="shared" si="78"/>
        <v>0</v>
      </c>
      <c r="S635" s="19">
        <f t="shared" si="79"/>
        <v>0</v>
      </c>
      <c r="T635" s="14">
        <f t="shared" si="80"/>
        <v>0</v>
      </c>
      <c r="U635" s="18" t="str" cm="1">
        <f t="array" aca="1" ref="U635" ca="1">IF(M635&lt;=$N$1,L635,IF(M635&lt;=($N$1+1),INDIRECT("L"&amp;5+$X$2),""))</f>
        <v/>
      </c>
    </row>
    <row r="636" spans="12:21" hidden="1" x14ac:dyDescent="0.25">
      <c r="L636" s="18">
        <f t="shared" ca="1" si="81"/>
        <v>65421</v>
      </c>
      <c r="M636" s="14">
        <v>631</v>
      </c>
      <c r="N636" s="14">
        <f t="shared" si="75"/>
        <v>0</v>
      </c>
      <c r="O636" s="19">
        <f t="shared" si="76"/>
        <v>0</v>
      </c>
      <c r="P636" s="19">
        <f t="shared" si="82"/>
        <v>0</v>
      </c>
      <c r="Q636" s="14">
        <f t="shared" si="77"/>
        <v>0</v>
      </c>
      <c r="R636" s="19">
        <f t="shared" si="78"/>
        <v>0</v>
      </c>
      <c r="S636" s="19">
        <f t="shared" si="79"/>
        <v>0</v>
      </c>
      <c r="T636" s="14">
        <f t="shared" si="80"/>
        <v>0</v>
      </c>
      <c r="U636" s="18" t="str" cm="1">
        <f t="array" aca="1" ref="U636" ca="1">IF(M636&lt;=$N$1,L636,IF(M636&lt;=($N$1+1),INDIRECT("L"&amp;5+$X$2),""))</f>
        <v/>
      </c>
    </row>
    <row r="637" spans="12:21" hidden="1" x14ac:dyDescent="0.25">
      <c r="L637" s="18">
        <f t="shared" ca="1" si="81"/>
        <v>65449</v>
      </c>
      <c r="M637" s="14">
        <v>632</v>
      </c>
      <c r="N637" s="14">
        <f t="shared" si="75"/>
        <v>0</v>
      </c>
      <c r="O637" s="19">
        <f t="shared" si="76"/>
        <v>0</v>
      </c>
      <c r="P637" s="19">
        <f t="shared" si="82"/>
        <v>0</v>
      </c>
      <c r="Q637" s="14">
        <f t="shared" si="77"/>
        <v>0</v>
      </c>
      <c r="R637" s="19">
        <f t="shared" si="78"/>
        <v>0</v>
      </c>
      <c r="S637" s="19">
        <f t="shared" si="79"/>
        <v>0</v>
      </c>
      <c r="T637" s="14">
        <f t="shared" si="80"/>
        <v>0</v>
      </c>
      <c r="U637" s="18" t="str" cm="1">
        <f t="array" aca="1" ref="U637" ca="1">IF(M637&lt;=$N$1,L637,IF(M637&lt;=($N$1+1),INDIRECT("L"&amp;5+$X$2),""))</f>
        <v/>
      </c>
    </row>
    <row r="638" spans="12:21" hidden="1" x14ac:dyDescent="0.25">
      <c r="L638" s="18">
        <f t="shared" ca="1" si="81"/>
        <v>65480</v>
      </c>
      <c r="M638" s="14">
        <v>633</v>
      </c>
      <c r="N638" s="14">
        <f t="shared" si="75"/>
        <v>0</v>
      </c>
      <c r="O638" s="19">
        <f t="shared" si="76"/>
        <v>0</v>
      </c>
      <c r="P638" s="19">
        <f t="shared" si="82"/>
        <v>0</v>
      </c>
      <c r="Q638" s="14">
        <f t="shared" si="77"/>
        <v>0</v>
      </c>
      <c r="R638" s="19">
        <f t="shared" si="78"/>
        <v>0</v>
      </c>
      <c r="S638" s="19">
        <f t="shared" si="79"/>
        <v>0</v>
      </c>
      <c r="T638" s="14">
        <f t="shared" si="80"/>
        <v>0</v>
      </c>
      <c r="U638" s="18" t="str" cm="1">
        <f t="array" aca="1" ref="U638" ca="1">IF(M638&lt;=$N$1,L638,IF(M638&lt;=($N$1+1),INDIRECT("L"&amp;5+$X$2),""))</f>
        <v/>
      </c>
    </row>
    <row r="639" spans="12:21" hidden="1" x14ac:dyDescent="0.25">
      <c r="L639" s="18">
        <f t="shared" ca="1" si="81"/>
        <v>65510</v>
      </c>
      <c r="M639" s="14">
        <v>634</v>
      </c>
      <c r="N639" s="14">
        <f t="shared" si="75"/>
        <v>0</v>
      </c>
      <c r="O639" s="19">
        <f t="shared" si="76"/>
        <v>0</v>
      </c>
      <c r="P639" s="19">
        <f t="shared" si="82"/>
        <v>0</v>
      </c>
      <c r="Q639" s="14">
        <f t="shared" si="77"/>
        <v>0</v>
      </c>
      <c r="R639" s="19">
        <f t="shared" si="78"/>
        <v>0</v>
      </c>
      <c r="S639" s="19">
        <f t="shared" si="79"/>
        <v>0</v>
      </c>
      <c r="T639" s="14">
        <f t="shared" si="80"/>
        <v>0</v>
      </c>
      <c r="U639" s="18" t="str" cm="1">
        <f t="array" aca="1" ref="U639" ca="1">IF(M639&lt;=$N$1,L639,IF(M639&lt;=($N$1+1),INDIRECT("L"&amp;5+$X$2),""))</f>
        <v/>
      </c>
    </row>
    <row r="640" spans="12:21" hidden="1" x14ac:dyDescent="0.25">
      <c r="L640" s="18">
        <f t="shared" ca="1" si="81"/>
        <v>65541</v>
      </c>
      <c r="M640" s="14">
        <v>635</v>
      </c>
      <c r="N640" s="14">
        <f t="shared" si="75"/>
        <v>0</v>
      </c>
      <c r="O640" s="19">
        <f t="shared" si="76"/>
        <v>0</v>
      </c>
      <c r="P640" s="19">
        <f t="shared" si="82"/>
        <v>0</v>
      </c>
      <c r="Q640" s="14">
        <f t="shared" si="77"/>
        <v>0</v>
      </c>
      <c r="R640" s="19">
        <f t="shared" si="78"/>
        <v>0</v>
      </c>
      <c r="S640" s="19">
        <f t="shared" si="79"/>
        <v>0</v>
      </c>
      <c r="T640" s="14">
        <f t="shared" si="80"/>
        <v>0</v>
      </c>
      <c r="U640" s="18" t="str" cm="1">
        <f t="array" aca="1" ref="U640" ca="1">IF(M640&lt;=$N$1,L640,IF(M640&lt;=($N$1+1),INDIRECT("L"&amp;5+$X$2),""))</f>
        <v/>
      </c>
    </row>
    <row r="641" spans="12:21" hidden="1" x14ac:dyDescent="0.25">
      <c r="L641" s="18">
        <f t="shared" ca="1" si="81"/>
        <v>65571</v>
      </c>
      <c r="M641" s="14">
        <v>636</v>
      </c>
      <c r="N641" s="14">
        <f t="shared" si="75"/>
        <v>0</v>
      </c>
      <c r="O641" s="19">
        <f t="shared" si="76"/>
        <v>0</v>
      </c>
      <c r="P641" s="19">
        <f t="shared" si="82"/>
        <v>0</v>
      </c>
      <c r="Q641" s="14">
        <f t="shared" si="77"/>
        <v>0</v>
      </c>
      <c r="R641" s="19">
        <f t="shared" si="78"/>
        <v>0</v>
      </c>
      <c r="S641" s="19">
        <f t="shared" si="79"/>
        <v>0</v>
      </c>
      <c r="T641" s="14">
        <f t="shared" si="80"/>
        <v>0</v>
      </c>
      <c r="U641" s="18" t="str" cm="1">
        <f t="array" aca="1" ref="U641" ca="1">IF(M641&lt;=$N$1,L641,IF(M641&lt;=($N$1+1),INDIRECT("L"&amp;5+$X$2),""))</f>
        <v/>
      </c>
    </row>
    <row r="642" spans="12:21" hidden="1" x14ac:dyDescent="0.25">
      <c r="L642" s="18">
        <f t="shared" ca="1" si="81"/>
        <v>65602</v>
      </c>
      <c r="M642" s="14">
        <v>637</v>
      </c>
      <c r="N642" s="14">
        <f t="shared" si="75"/>
        <v>0</v>
      </c>
      <c r="O642" s="19">
        <f t="shared" si="76"/>
        <v>0</v>
      </c>
      <c r="P642" s="19">
        <f t="shared" si="82"/>
        <v>0</v>
      </c>
      <c r="Q642" s="14">
        <f t="shared" si="77"/>
        <v>0</v>
      </c>
      <c r="R642" s="19">
        <f t="shared" si="78"/>
        <v>0</v>
      </c>
      <c r="S642" s="19">
        <f t="shared" si="79"/>
        <v>0</v>
      </c>
      <c r="T642" s="14">
        <f t="shared" si="80"/>
        <v>0</v>
      </c>
      <c r="U642" s="18" t="str" cm="1">
        <f t="array" aca="1" ref="U642" ca="1">IF(M642&lt;=$N$1,L642,IF(M642&lt;=($N$1+1),INDIRECT("L"&amp;5+$X$2),""))</f>
        <v/>
      </c>
    </row>
    <row r="643" spans="12:21" hidden="1" x14ac:dyDescent="0.25">
      <c r="L643" s="18">
        <f t="shared" ca="1" si="81"/>
        <v>65633</v>
      </c>
      <c r="M643" s="14">
        <v>638</v>
      </c>
      <c r="N643" s="14">
        <f t="shared" si="75"/>
        <v>0</v>
      </c>
      <c r="O643" s="19">
        <f t="shared" si="76"/>
        <v>0</v>
      </c>
      <c r="P643" s="19">
        <f t="shared" si="82"/>
        <v>0</v>
      </c>
      <c r="Q643" s="14">
        <f t="shared" si="77"/>
        <v>0</v>
      </c>
      <c r="R643" s="19">
        <f t="shared" si="78"/>
        <v>0</v>
      </c>
      <c r="S643" s="19">
        <f t="shared" si="79"/>
        <v>0</v>
      </c>
      <c r="T643" s="14">
        <f t="shared" si="80"/>
        <v>0</v>
      </c>
      <c r="U643" s="18" t="str" cm="1">
        <f t="array" aca="1" ref="U643" ca="1">IF(M643&lt;=$N$1,L643,IF(M643&lt;=($N$1+1),INDIRECT("L"&amp;5+$X$2),""))</f>
        <v/>
      </c>
    </row>
    <row r="644" spans="12:21" hidden="1" x14ac:dyDescent="0.25">
      <c r="L644" s="18">
        <f t="shared" ca="1" si="81"/>
        <v>65663</v>
      </c>
      <c r="M644" s="14">
        <v>639</v>
      </c>
      <c r="N644" s="14">
        <f t="shared" si="75"/>
        <v>0</v>
      </c>
      <c r="O644" s="19">
        <f t="shared" si="76"/>
        <v>0</v>
      </c>
      <c r="P644" s="19">
        <f t="shared" si="82"/>
        <v>0</v>
      </c>
      <c r="Q644" s="14">
        <f t="shared" si="77"/>
        <v>0</v>
      </c>
      <c r="R644" s="19">
        <f t="shared" si="78"/>
        <v>0</v>
      </c>
      <c r="S644" s="19">
        <f t="shared" si="79"/>
        <v>0</v>
      </c>
      <c r="T644" s="14">
        <f t="shared" si="80"/>
        <v>0</v>
      </c>
      <c r="U644" s="18" t="str" cm="1">
        <f t="array" aca="1" ref="U644" ca="1">IF(M644&lt;=$N$1,L644,IF(M644&lt;=($N$1+1),INDIRECT("L"&amp;5+$X$2),""))</f>
        <v/>
      </c>
    </row>
    <row r="645" spans="12:21" hidden="1" x14ac:dyDescent="0.25">
      <c r="L645" s="18">
        <f t="shared" ca="1" si="81"/>
        <v>65694</v>
      </c>
      <c r="M645" s="14">
        <v>640</v>
      </c>
      <c r="N645" s="14">
        <f t="shared" si="75"/>
        <v>0</v>
      </c>
      <c r="O645" s="19">
        <f t="shared" si="76"/>
        <v>0</v>
      </c>
      <c r="P645" s="19">
        <f t="shared" si="82"/>
        <v>0</v>
      </c>
      <c r="Q645" s="14">
        <f t="shared" si="77"/>
        <v>0</v>
      </c>
      <c r="R645" s="19">
        <f t="shared" si="78"/>
        <v>0</v>
      </c>
      <c r="S645" s="19">
        <f t="shared" si="79"/>
        <v>0</v>
      </c>
      <c r="T645" s="14">
        <f t="shared" si="80"/>
        <v>0</v>
      </c>
      <c r="U645" s="18" t="str" cm="1">
        <f t="array" aca="1" ref="U645" ca="1">IF(M645&lt;=$N$1,L645,IF(M645&lt;=($N$1+1),INDIRECT("L"&amp;5+$X$2),""))</f>
        <v/>
      </c>
    </row>
    <row r="646" spans="12:21" hidden="1" x14ac:dyDescent="0.25">
      <c r="L646" s="18">
        <f t="shared" ca="1" si="81"/>
        <v>65724</v>
      </c>
      <c r="M646" s="14">
        <v>641</v>
      </c>
      <c r="N646" s="14">
        <f t="shared" ref="N646:N709" si="83">IF($N$1&gt;=M646,SIPMonthlyPmt*M646,0)</f>
        <v>0</v>
      </c>
      <c r="O646" s="19">
        <f t="shared" ref="O646:O709" si="84">IF($X$2&gt;=M646,IF(M646&lt;=$N$1,FV(SRate,M646,-SIPMonthlyPmt,0,1),FV(SRate,M646-$N$1,0,-$X$1,1)),0)</f>
        <v>0</v>
      </c>
      <c r="P646" s="19">
        <f t="shared" si="82"/>
        <v>0</v>
      </c>
      <c r="Q646" s="14">
        <f t="shared" ref="Q646:Q709" si="85">IF((M646-$C$15)&gt;0, IF($N$1+$C$15&gt;=M646,SIPMonthlyPmt*(M646-$C$15),0),0)</f>
        <v>0</v>
      </c>
      <c r="R646" s="19">
        <f t="shared" ref="R646:R709" si="86">IF(M646&lt;=$C$15,0,IF($X$2&gt;=M646,IF(M646&lt;=($N$1+$C$15),FV(SRate,M646-$C$15,-SIPMonthlyPmt,0,1),FV(SRate,M646-$N$1-$C$15,0,-$X$1,1)),0))</f>
        <v>0</v>
      </c>
      <c r="S646" s="19">
        <f t="shared" ref="S646:S709" si="87">R646/((1+SIPInflationRate)^((M646-$C$15)/12))</f>
        <v>0</v>
      </c>
      <c r="T646" s="14">
        <f t="shared" ref="T646:T709" si="88">IF(M646&lt;=$N$1,-SIPMonthlyPmt,IF(M646&lt;=($N$1+1),$X$4,0))</f>
        <v>0</v>
      </c>
      <c r="U646" s="18" t="str" cm="1">
        <f t="array" aca="1" ref="U646" ca="1">IF(M646&lt;=$N$1,L646,IF(M646&lt;=($N$1+1),INDIRECT("L"&amp;5+$X$2),""))</f>
        <v/>
      </c>
    </row>
    <row r="647" spans="12:21" hidden="1" x14ac:dyDescent="0.25">
      <c r="L647" s="18">
        <f t="shared" ca="1" si="81"/>
        <v>65755</v>
      </c>
      <c r="M647" s="14">
        <v>642</v>
      </c>
      <c r="N647" s="14">
        <f t="shared" si="83"/>
        <v>0</v>
      </c>
      <c r="O647" s="19">
        <f t="shared" si="84"/>
        <v>0</v>
      </c>
      <c r="P647" s="19">
        <f t="shared" si="82"/>
        <v>0</v>
      </c>
      <c r="Q647" s="14">
        <f t="shared" si="85"/>
        <v>0</v>
      </c>
      <c r="R647" s="19">
        <f t="shared" si="86"/>
        <v>0</v>
      </c>
      <c r="S647" s="19">
        <f t="shared" si="87"/>
        <v>0</v>
      </c>
      <c r="T647" s="14">
        <f t="shared" si="88"/>
        <v>0</v>
      </c>
      <c r="U647" s="18" t="str" cm="1">
        <f t="array" aca="1" ref="U647" ca="1">IF(M647&lt;=$N$1,L647,IF(M647&lt;=($N$1+1),INDIRECT("L"&amp;5+$X$2),""))</f>
        <v/>
      </c>
    </row>
    <row r="648" spans="12:21" hidden="1" x14ac:dyDescent="0.25">
      <c r="L648" s="18">
        <f t="shared" ca="1" si="81"/>
        <v>65786</v>
      </c>
      <c r="M648" s="14">
        <v>643</v>
      </c>
      <c r="N648" s="14">
        <f t="shared" si="83"/>
        <v>0</v>
      </c>
      <c r="O648" s="19">
        <f t="shared" si="84"/>
        <v>0</v>
      </c>
      <c r="P648" s="19">
        <f t="shared" si="82"/>
        <v>0</v>
      </c>
      <c r="Q648" s="14">
        <f t="shared" si="85"/>
        <v>0</v>
      </c>
      <c r="R648" s="19">
        <f t="shared" si="86"/>
        <v>0</v>
      </c>
      <c r="S648" s="19">
        <f t="shared" si="87"/>
        <v>0</v>
      </c>
      <c r="T648" s="14">
        <f t="shared" si="88"/>
        <v>0</v>
      </c>
      <c r="U648" s="18" t="str" cm="1">
        <f t="array" aca="1" ref="U648" ca="1">IF(M648&lt;=$N$1,L648,IF(M648&lt;=($N$1+1),INDIRECT("L"&amp;5+$X$2),""))</f>
        <v/>
      </c>
    </row>
    <row r="649" spans="12:21" hidden="1" x14ac:dyDescent="0.25">
      <c r="L649" s="18">
        <f t="shared" ref="L649:L712" ca="1" si="89">EDATE(L648,1)</f>
        <v>65815</v>
      </c>
      <c r="M649" s="14">
        <v>644</v>
      </c>
      <c r="N649" s="14">
        <f t="shared" si="83"/>
        <v>0</v>
      </c>
      <c r="O649" s="19">
        <f t="shared" si="84"/>
        <v>0</v>
      </c>
      <c r="P649" s="19">
        <f t="shared" si="82"/>
        <v>0</v>
      </c>
      <c r="Q649" s="14">
        <f t="shared" si="85"/>
        <v>0</v>
      </c>
      <c r="R649" s="19">
        <f t="shared" si="86"/>
        <v>0</v>
      </c>
      <c r="S649" s="19">
        <f t="shared" si="87"/>
        <v>0</v>
      </c>
      <c r="T649" s="14">
        <f t="shared" si="88"/>
        <v>0</v>
      </c>
      <c r="U649" s="18" t="str" cm="1">
        <f t="array" aca="1" ref="U649" ca="1">IF(M649&lt;=$N$1,L649,IF(M649&lt;=($N$1+1),INDIRECT("L"&amp;5+$X$2),""))</f>
        <v/>
      </c>
    </row>
    <row r="650" spans="12:21" hidden="1" x14ac:dyDescent="0.25">
      <c r="L650" s="18">
        <f t="shared" ca="1" si="89"/>
        <v>65846</v>
      </c>
      <c r="M650" s="14">
        <v>645</v>
      </c>
      <c r="N650" s="14">
        <f t="shared" si="83"/>
        <v>0</v>
      </c>
      <c r="O650" s="19">
        <f t="shared" si="84"/>
        <v>0</v>
      </c>
      <c r="P650" s="19">
        <f t="shared" si="82"/>
        <v>0</v>
      </c>
      <c r="Q650" s="14">
        <f t="shared" si="85"/>
        <v>0</v>
      </c>
      <c r="R650" s="19">
        <f t="shared" si="86"/>
        <v>0</v>
      </c>
      <c r="S650" s="19">
        <f t="shared" si="87"/>
        <v>0</v>
      </c>
      <c r="T650" s="14">
        <f t="shared" si="88"/>
        <v>0</v>
      </c>
      <c r="U650" s="18" t="str" cm="1">
        <f t="array" aca="1" ref="U650" ca="1">IF(M650&lt;=$N$1,L650,IF(M650&lt;=($N$1+1),INDIRECT("L"&amp;5+$X$2),""))</f>
        <v/>
      </c>
    </row>
    <row r="651" spans="12:21" hidden="1" x14ac:dyDescent="0.25">
      <c r="L651" s="18">
        <f t="shared" ca="1" si="89"/>
        <v>65876</v>
      </c>
      <c r="M651" s="14">
        <v>646</v>
      </c>
      <c r="N651" s="14">
        <f t="shared" si="83"/>
        <v>0</v>
      </c>
      <c r="O651" s="19">
        <f t="shared" si="84"/>
        <v>0</v>
      </c>
      <c r="P651" s="19">
        <f t="shared" si="82"/>
        <v>0</v>
      </c>
      <c r="Q651" s="14">
        <f t="shared" si="85"/>
        <v>0</v>
      </c>
      <c r="R651" s="19">
        <f t="shared" si="86"/>
        <v>0</v>
      </c>
      <c r="S651" s="19">
        <f t="shared" si="87"/>
        <v>0</v>
      </c>
      <c r="T651" s="14">
        <f t="shared" si="88"/>
        <v>0</v>
      </c>
      <c r="U651" s="18" t="str" cm="1">
        <f t="array" aca="1" ref="U651" ca="1">IF(M651&lt;=$N$1,L651,IF(M651&lt;=($N$1+1),INDIRECT("L"&amp;5+$X$2),""))</f>
        <v/>
      </c>
    </row>
    <row r="652" spans="12:21" hidden="1" x14ac:dyDescent="0.25">
      <c r="L652" s="18">
        <f t="shared" ca="1" si="89"/>
        <v>65907</v>
      </c>
      <c r="M652" s="14">
        <v>647</v>
      </c>
      <c r="N652" s="14">
        <f t="shared" si="83"/>
        <v>0</v>
      </c>
      <c r="O652" s="19">
        <f t="shared" si="84"/>
        <v>0</v>
      </c>
      <c r="P652" s="19">
        <f t="shared" si="82"/>
        <v>0</v>
      </c>
      <c r="Q652" s="14">
        <f t="shared" si="85"/>
        <v>0</v>
      </c>
      <c r="R652" s="19">
        <f t="shared" si="86"/>
        <v>0</v>
      </c>
      <c r="S652" s="19">
        <f t="shared" si="87"/>
        <v>0</v>
      </c>
      <c r="T652" s="14">
        <f t="shared" si="88"/>
        <v>0</v>
      </c>
      <c r="U652" s="18" t="str" cm="1">
        <f t="array" aca="1" ref="U652" ca="1">IF(M652&lt;=$N$1,L652,IF(M652&lt;=($N$1+1),INDIRECT("L"&amp;5+$X$2),""))</f>
        <v/>
      </c>
    </row>
    <row r="653" spans="12:21" hidden="1" x14ac:dyDescent="0.25">
      <c r="L653" s="18">
        <f t="shared" ca="1" si="89"/>
        <v>65937</v>
      </c>
      <c r="M653" s="14">
        <v>648</v>
      </c>
      <c r="N653" s="14">
        <f t="shared" si="83"/>
        <v>0</v>
      </c>
      <c r="O653" s="19">
        <f t="shared" si="84"/>
        <v>0</v>
      </c>
      <c r="P653" s="19">
        <f t="shared" si="82"/>
        <v>0</v>
      </c>
      <c r="Q653" s="14">
        <f t="shared" si="85"/>
        <v>0</v>
      </c>
      <c r="R653" s="19">
        <f t="shared" si="86"/>
        <v>0</v>
      </c>
      <c r="S653" s="19">
        <f t="shared" si="87"/>
        <v>0</v>
      </c>
      <c r="T653" s="14">
        <f t="shared" si="88"/>
        <v>0</v>
      </c>
      <c r="U653" s="18" t="str" cm="1">
        <f t="array" aca="1" ref="U653" ca="1">IF(M653&lt;=$N$1,L653,IF(M653&lt;=($N$1+1),INDIRECT("L"&amp;5+$X$2),""))</f>
        <v/>
      </c>
    </row>
    <row r="654" spans="12:21" hidden="1" x14ac:dyDescent="0.25">
      <c r="L654" s="18">
        <f t="shared" ca="1" si="89"/>
        <v>65968</v>
      </c>
      <c r="M654" s="14">
        <v>649</v>
      </c>
      <c r="N654" s="14">
        <f t="shared" si="83"/>
        <v>0</v>
      </c>
      <c r="O654" s="19">
        <f t="shared" si="84"/>
        <v>0</v>
      </c>
      <c r="P654" s="19">
        <f t="shared" si="82"/>
        <v>0</v>
      </c>
      <c r="Q654" s="14">
        <f t="shared" si="85"/>
        <v>0</v>
      </c>
      <c r="R654" s="19">
        <f t="shared" si="86"/>
        <v>0</v>
      </c>
      <c r="S654" s="19">
        <f t="shared" si="87"/>
        <v>0</v>
      </c>
      <c r="T654" s="14">
        <f t="shared" si="88"/>
        <v>0</v>
      </c>
      <c r="U654" s="18" t="str" cm="1">
        <f t="array" aca="1" ref="U654" ca="1">IF(M654&lt;=$N$1,L654,IF(M654&lt;=($N$1+1),INDIRECT("L"&amp;5+$X$2),""))</f>
        <v/>
      </c>
    </row>
    <row r="655" spans="12:21" hidden="1" x14ac:dyDescent="0.25">
      <c r="L655" s="18">
        <f t="shared" ca="1" si="89"/>
        <v>65999</v>
      </c>
      <c r="M655" s="14">
        <v>650</v>
      </c>
      <c r="N655" s="14">
        <f t="shared" si="83"/>
        <v>0</v>
      </c>
      <c r="O655" s="19">
        <f t="shared" si="84"/>
        <v>0</v>
      </c>
      <c r="P655" s="19">
        <f t="shared" si="82"/>
        <v>0</v>
      </c>
      <c r="Q655" s="14">
        <f t="shared" si="85"/>
        <v>0</v>
      </c>
      <c r="R655" s="19">
        <f t="shared" si="86"/>
        <v>0</v>
      </c>
      <c r="S655" s="19">
        <f t="shared" si="87"/>
        <v>0</v>
      </c>
      <c r="T655" s="14">
        <f t="shared" si="88"/>
        <v>0</v>
      </c>
      <c r="U655" s="18" t="str" cm="1">
        <f t="array" aca="1" ref="U655" ca="1">IF(M655&lt;=$N$1,L655,IF(M655&lt;=($N$1+1),INDIRECT("L"&amp;5+$X$2),""))</f>
        <v/>
      </c>
    </row>
    <row r="656" spans="12:21" hidden="1" x14ac:dyDescent="0.25">
      <c r="L656" s="18">
        <f t="shared" ca="1" si="89"/>
        <v>66029</v>
      </c>
      <c r="M656" s="14">
        <v>651</v>
      </c>
      <c r="N656" s="14">
        <f t="shared" si="83"/>
        <v>0</v>
      </c>
      <c r="O656" s="19">
        <f t="shared" si="84"/>
        <v>0</v>
      </c>
      <c r="P656" s="19">
        <f t="shared" si="82"/>
        <v>0</v>
      </c>
      <c r="Q656" s="14">
        <f t="shared" si="85"/>
        <v>0</v>
      </c>
      <c r="R656" s="19">
        <f t="shared" si="86"/>
        <v>0</v>
      </c>
      <c r="S656" s="19">
        <f t="shared" si="87"/>
        <v>0</v>
      </c>
      <c r="T656" s="14">
        <f t="shared" si="88"/>
        <v>0</v>
      </c>
      <c r="U656" s="18" t="str" cm="1">
        <f t="array" aca="1" ref="U656" ca="1">IF(M656&lt;=$N$1,L656,IF(M656&lt;=($N$1+1),INDIRECT("L"&amp;5+$X$2),""))</f>
        <v/>
      </c>
    </row>
    <row r="657" spans="12:21" hidden="1" x14ac:dyDescent="0.25">
      <c r="L657" s="18">
        <f t="shared" ca="1" si="89"/>
        <v>66060</v>
      </c>
      <c r="M657" s="14">
        <v>652</v>
      </c>
      <c r="N657" s="14">
        <f t="shared" si="83"/>
        <v>0</v>
      </c>
      <c r="O657" s="19">
        <f t="shared" si="84"/>
        <v>0</v>
      </c>
      <c r="P657" s="19">
        <f t="shared" si="82"/>
        <v>0</v>
      </c>
      <c r="Q657" s="14">
        <f t="shared" si="85"/>
        <v>0</v>
      </c>
      <c r="R657" s="19">
        <f t="shared" si="86"/>
        <v>0</v>
      </c>
      <c r="S657" s="19">
        <f t="shared" si="87"/>
        <v>0</v>
      </c>
      <c r="T657" s="14">
        <f t="shared" si="88"/>
        <v>0</v>
      </c>
      <c r="U657" s="18" t="str" cm="1">
        <f t="array" aca="1" ref="U657" ca="1">IF(M657&lt;=$N$1,L657,IF(M657&lt;=($N$1+1),INDIRECT("L"&amp;5+$X$2),""))</f>
        <v/>
      </c>
    </row>
    <row r="658" spans="12:21" hidden="1" x14ac:dyDescent="0.25">
      <c r="L658" s="18">
        <f t="shared" ca="1" si="89"/>
        <v>66090</v>
      </c>
      <c r="M658" s="14">
        <v>653</v>
      </c>
      <c r="N658" s="14">
        <f t="shared" si="83"/>
        <v>0</v>
      </c>
      <c r="O658" s="19">
        <f t="shared" si="84"/>
        <v>0</v>
      </c>
      <c r="P658" s="19">
        <f t="shared" si="82"/>
        <v>0</v>
      </c>
      <c r="Q658" s="14">
        <f t="shared" si="85"/>
        <v>0</v>
      </c>
      <c r="R658" s="19">
        <f t="shared" si="86"/>
        <v>0</v>
      </c>
      <c r="S658" s="19">
        <f t="shared" si="87"/>
        <v>0</v>
      </c>
      <c r="T658" s="14">
        <f t="shared" si="88"/>
        <v>0</v>
      </c>
      <c r="U658" s="18" t="str" cm="1">
        <f t="array" aca="1" ref="U658" ca="1">IF(M658&lt;=$N$1,L658,IF(M658&lt;=($N$1+1),INDIRECT("L"&amp;5+$X$2),""))</f>
        <v/>
      </c>
    </row>
    <row r="659" spans="12:21" hidden="1" x14ac:dyDescent="0.25">
      <c r="L659" s="18">
        <f t="shared" ca="1" si="89"/>
        <v>66121</v>
      </c>
      <c r="M659" s="14">
        <v>654</v>
      </c>
      <c r="N659" s="14">
        <f t="shared" si="83"/>
        <v>0</v>
      </c>
      <c r="O659" s="19">
        <f t="shared" si="84"/>
        <v>0</v>
      </c>
      <c r="P659" s="19">
        <f t="shared" si="82"/>
        <v>0</v>
      </c>
      <c r="Q659" s="14">
        <f t="shared" si="85"/>
        <v>0</v>
      </c>
      <c r="R659" s="19">
        <f t="shared" si="86"/>
        <v>0</v>
      </c>
      <c r="S659" s="19">
        <f t="shared" si="87"/>
        <v>0</v>
      </c>
      <c r="T659" s="14">
        <f t="shared" si="88"/>
        <v>0</v>
      </c>
      <c r="U659" s="18" t="str" cm="1">
        <f t="array" aca="1" ref="U659" ca="1">IF(M659&lt;=$N$1,L659,IF(M659&lt;=($N$1+1),INDIRECT("L"&amp;5+$X$2),""))</f>
        <v/>
      </c>
    </row>
    <row r="660" spans="12:21" hidden="1" x14ac:dyDescent="0.25">
      <c r="L660" s="18">
        <f t="shared" ca="1" si="89"/>
        <v>66152</v>
      </c>
      <c r="M660" s="14">
        <v>655</v>
      </c>
      <c r="N660" s="14">
        <f t="shared" si="83"/>
        <v>0</v>
      </c>
      <c r="O660" s="19">
        <f t="shared" si="84"/>
        <v>0</v>
      </c>
      <c r="P660" s="19">
        <f t="shared" si="82"/>
        <v>0</v>
      </c>
      <c r="Q660" s="14">
        <f t="shared" si="85"/>
        <v>0</v>
      </c>
      <c r="R660" s="19">
        <f t="shared" si="86"/>
        <v>0</v>
      </c>
      <c r="S660" s="19">
        <f t="shared" si="87"/>
        <v>0</v>
      </c>
      <c r="T660" s="14">
        <f t="shared" si="88"/>
        <v>0</v>
      </c>
      <c r="U660" s="18" t="str" cm="1">
        <f t="array" aca="1" ref="U660" ca="1">IF(M660&lt;=$N$1,L660,IF(M660&lt;=($N$1+1),INDIRECT("L"&amp;5+$X$2),""))</f>
        <v/>
      </c>
    </row>
    <row r="661" spans="12:21" hidden="1" x14ac:dyDescent="0.25">
      <c r="L661" s="18">
        <f t="shared" ca="1" si="89"/>
        <v>66180</v>
      </c>
      <c r="M661" s="14">
        <v>656</v>
      </c>
      <c r="N661" s="14">
        <f t="shared" si="83"/>
        <v>0</v>
      </c>
      <c r="O661" s="19">
        <f t="shared" si="84"/>
        <v>0</v>
      </c>
      <c r="P661" s="19">
        <f t="shared" si="82"/>
        <v>0</v>
      </c>
      <c r="Q661" s="14">
        <f t="shared" si="85"/>
        <v>0</v>
      </c>
      <c r="R661" s="19">
        <f t="shared" si="86"/>
        <v>0</v>
      </c>
      <c r="S661" s="19">
        <f t="shared" si="87"/>
        <v>0</v>
      </c>
      <c r="T661" s="14">
        <f t="shared" si="88"/>
        <v>0</v>
      </c>
      <c r="U661" s="18" t="str" cm="1">
        <f t="array" aca="1" ref="U661" ca="1">IF(M661&lt;=$N$1,L661,IF(M661&lt;=($N$1+1),INDIRECT("L"&amp;5+$X$2),""))</f>
        <v/>
      </c>
    </row>
    <row r="662" spans="12:21" hidden="1" x14ac:dyDescent="0.25">
      <c r="L662" s="18">
        <f t="shared" ca="1" si="89"/>
        <v>66211</v>
      </c>
      <c r="M662" s="14">
        <v>657</v>
      </c>
      <c r="N662" s="14">
        <f t="shared" si="83"/>
        <v>0</v>
      </c>
      <c r="O662" s="19">
        <f t="shared" si="84"/>
        <v>0</v>
      </c>
      <c r="P662" s="19">
        <f t="shared" si="82"/>
        <v>0</v>
      </c>
      <c r="Q662" s="14">
        <f t="shared" si="85"/>
        <v>0</v>
      </c>
      <c r="R662" s="19">
        <f t="shared" si="86"/>
        <v>0</v>
      </c>
      <c r="S662" s="19">
        <f t="shared" si="87"/>
        <v>0</v>
      </c>
      <c r="T662" s="14">
        <f t="shared" si="88"/>
        <v>0</v>
      </c>
      <c r="U662" s="18" t="str" cm="1">
        <f t="array" aca="1" ref="U662" ca="1">IF(M662&lt;=$N$1,L662,IF(M662&lt;=($N$1+1),INDIRECT("L"&amp;5+$X$2),""))</f>
        <v/>
      </c>
    </row>
    <row r="663" spans="12:21" hidden="1" x14ac:dyDescent="0.25">
      <c r="L663" s="18">
        <f t="shared" ca="1" si="89"/>
        <v>66241</v>
      </c>
      <c r="M663" s="14">
        <v>658</v>
      </c>
      <c r="N663" s="14">
        <f t="shared" si="83"/>
        <v>0</v>
      </c>
      <c r="O663" s="19">
        <f t="shared" si="84"/>
        <v>0</v>
      </c>
      <c r="P663" s="19">
        <f t="shared" si="82"/>
        <v>0</v>
      </c>
      <c r="Q663" s="14">
        <f t="shared" si="85"/>
        <v>0</v>
      </c>
      <c r="R663" s="19">
        <f t="shared" si="86"/>
        <v>0</v>
      </c>
      <c r="S663" s="19">
        <f t="shared" si="87"/>
        <v>0</v>
      </c>
      <c r="T663" s="14">
        <f t="shared" si="88"/>
        <v>0</v>
      </c>
      <c r="U663" s="18" t="str" cm="1">
        <f t="array" aca="1" ref="U663" ca="1">IF(M663&lt;=$N$1,L663,IF(M663&lt;=($N$1+1),INDIRECT("L"&amp;5+$X$2),""))</f>
        <v/>
      </c>
    </row>
    <row r="664" spans="12:21" hidden="1" x14ac:dyDescent="0.25">
      <c r="L664" s="18">
        <f t="shared" ca="1" si="89"/>
        <v>66272</v>
      </c>
      <c r="M664" s="14">
        <v>659</v>
      </c>
      <c r="N664" s="14">
        <f t="shared" si="83"/>
        <v>0</v>
      </c>
      <c r="O664" s="19">
        <f t="shared" si="84"/>
        <v>0</v>
      </c>
      <c r="P664" s="19">
        <f t="shared" si="82"/>
        <v>0</v>
      </c>
      <c r="Q664" s="14">
        <f t="shared" si="85"/>
        <v>0</v>
      </c>
      <c r="R664" s="19">
        <f t="shared" si="86"/>
        <v>0</v>
      </c>
      <c r="S664" s="19">
        <f t="shared" si="87"/>
        <v>0</v>
      </c>
      <c r="T664" s="14">
        <f t="shared" si="88"/>
        <v>0</v>
      </c>
      <c r="U664" s="18" t="str" cm="1">
        <f t="array" aca="1" ref="U664" ca="1">IF(M664&lt;=$N$1,L664,IF(M664&lt;=($N$1+1),INDIRECT("L"&amp;5+$X$2),""))</f>
        <v/>
      </c>
    </row>
    <row r="665" spans="12:21" hidden="1" x14ac:dyDescent="0.25">
      <c r="L665" s="18">
        <f t="shared" ca="1" si="89"/>
        <v>66302</v>
      </c>
      <c r="M665" s="14">
        <v>660</v>
      </c>
      <c r="N665" s="14">
        <f t="shared" si="83"/>
        <v>0</v>
      </c>
      <c r="O665" s="19">
        <f t="shared" si="84"/>
        <v>0</v>
      </c>
      <c r="P665" s="19">
        <f t="shared" si="82"/>
        <v>0</v>
      </c>
      <c r="Q665" s="14">
        <f t="shared" si="85"/>
        <v>0</v>
      </c>
      <c r="R665" s="19">
        <f t="shared" si="86"/>
        <v>0</v>
      </c>
      <c r="S665" s="19">
        <f t="shared" si="87"/>
        <v>0</v>
      </c>
      <c r="T665" s="14">
        <f t="shared" si="88"/>
        <v>0</v>
      </c>
      <c r="U665" s="18" t="str" cm="1">
        <f t="array" aca="1" ref="U665" ca="1">IF(M665&lt;=$N$1,L665,IF(M665&lt;=($N$1+1),INDIRECT("L"&amp;5+$X$2),""))</f>
        <v/>
      </c>
    </row>
    <row r="666" spans="12:21" hidden="1" x14ac:dyDescent="0.25">
      <c r="L666" s="18">
        <f t="shared" ca="1" si="89"/>
        <v>66333</v>
      </c>
      <c r="M666" s="14">
        <v>661</v>
      </c>
      <c r="N666" s="14">
        <f t="shared" si="83"/>
        <v>0</v>
      </c>
      <c r="O666" s="19">
        <f t="shared" si="84"/>
        <v>0</v>
      </c>
      <c r="P666" s="19">
        <f t="shared" si="82"/>
        <v>0</v>
      </c>
      <c r="Q666" s="14">
        <f t="shared" si="85"/>
        <v>0</v>
      </c>
      <c r="R666" s="19">
        <f t="shared" si="86"/>
        <v>0</v>
      </c>
      <c r="S666" s="19">
        <f t="shared" si="87"/>
        <v>0</v>
      </c>
      <c r="T666" s="14">
        <f t="shared" si="88"/>
        <v>0</v>
      </c>
      <c r="U666" s="18" t="str" cm="1">
        <f t="array" aca="1" ref="U666" ca="1">IF(M666&lt;=$N$1,L666,IF(M666&lt;=($N$1+1),INDIRECT("L"&amp;5+$X$2),""))</f>
        <v/>
      </c>
    </row>
    <row r="667" spans="12:21" hidden="1" x14ac:dyDescent="0.25">
      <c r="L667" s="18">
        <f t="shared" ca="1" si="89"/>
        <v>66364</v>
      </c>
      <c r="M667" s="14">
        <v>662</v>
      </c>
      <c r="N667" s="14">
        <f t="shared" si="83"/>
        <v>0</v>
      </c>
      <c r="O667" s="19">
        <f t="shared" si="84"/>
        <v>0</v>
      </c>
      <c r="P667" s="19">
        <f t="shared" si="82"/>
        <v>0</v>
      </c>
      <c r="Q667" s="14">
        <f t="shared" si="85"/>
        <v>0</v>
      </c>
      <c r="R667" s="19">
        <f t="shared" si="86"/>
        <v>0</v>
      </c>
      <c r="S667" s="19">
        <f t="shared" si="87"/>
        <v>0</v>
      </c>
      <c r="T667" s="14">
        <f t="shared" si="88"/>
        <v>0</v>
      </c>
      <c r="U667" s="18" t="str" cm="1">
        <f t="array" aca="1" ref="U667" ca="1">IF(M667&lt;=$N$1,L667,IF(M667&lt;=($N$1+1),INDIRECT("L"&amp;5+$X$2),""))</f>
        <v/>
      </c>
    </row>
    <row r="668" spans="12:21" hidden="1" x14ac:dyDescent="0.25">
      <c r="L668" s="18">
        <f t="shared" ca="1" si="89"/>
        <v>66394</v>
      </c>
      <c r="M668" s="14">
        <v>663</v>
      </c>
      <c r="N668" s="14">
        <f t="shared" si="83"/>
        <v>0</v>
      </c>
      <c r="O668" s="19">
        <f t="shared" si="84"/>
        <v>0</v>
      </c>
      <c r="P668" s="19">
        <f t="shared" si="82"/>
        <v>0</v>
      </c>
      <c r="Q668" s="14">
        <f t="shared" si="85"/>
        <v>0</v>
      </c>
      <c r="R668" s="19">
        <f t="shared" si="86"/>
        <v>0</v>
      </c>
      <c r="S668" s="19">
        <f t="shared" si="87"/>
        <v>0</v>
      </c>
      <c r="T668" s="14">
        <f t="shared" si="88"/>
        <v>0</v>
      </c>
      <c r="U668" s="18" t="str" cm="1">
        <f t="array" aca="1" ref="U668" ca="1">IF(M668&lt;=$N$1,L668,IF(M668&lt;=($N$1+1),INDIRECT("L"&amp;5+$X$2),""))</f>
        <v/>
      </c>
    </row>
    <row r="669" spans="12:21" hidden="1" x14ac:dyDescent="0.25">
      <c r="L669" s="18">
        <f t="shared" ca="1" si="89"/>
        <v>66425</v>
      </c>
      <c r="M669" s="14">
        <v>664</v>
      </c>
      <c r="N669" s="14">
        <f t="shared" si="83"/>
        <v>0</v>
      </c>
      <c r="O669" s="19">
        <f t="shared" si="84"/>
        <v>0</v>
      </c>
      <c r="P669" s="19">
        <f t="shared" si="82"/>
        <v>0</v>
      </c>
      <c r="Q669" s="14">
        <f t="shared" si="85"/>
        <v>0</v>
      </c>
      <c r="R669" s="19">
        <f t="shared" si="86"/>
        <v>0</v>
      </c>
      <c r="S669" s="19">
        <f t="shared" si="87"/>
        <v>0</v>
      </c>
      <c r="T669" s="14">
        <f t="shared" si="88"/>
        <v>0</v>
      </c>
      <c r="U669" s="18" t="str" cm="1">
        <f t="array" aca="1" ref="U669" ca="1">IF(M669&lt;=$N$1,L669,IF(M669&lt;=($N$1+1),INDIRECT("L"&amp;5+$X$2),""))</f>
        <v/>
      </c>
    </row>
    <row r="670" spans="12:21" hidden="1" x14ac:dyDescent="0.25">
      <c r="L670" s="18">
        <f t="shared" ca="1" si="89"/>
        <v>66455</v>
      </c>
      <c r="M670" s="14">
        <v>665</v>
      </c>
      <c r="N670" s="14">
        <f t="shared" si="83"/>
        <v>0</v>
      </c>
      <c r="O670" s="19">
        <f t="shared" si="84"/>
        <v>0</v>
      </c>
      <c r="P670" s="19">
        <f t="shared" si="82"/>
        <v>0</v>
      </c>
      <c r="Q670" s="14">
        <f t="shared" si="85"/>
        <v>0</v>
      </c>
      <c r="R670" s="19">
        <f t="shared" si="86"/>
        <v>0</v>
      </c>
      <c r="S670" s="19">
        <f t="shared" si="87"/>
        <v>0</v>
      </c>
      <c r="T670" s="14">
        <f t="shared" si="88"/>
        <v>0</v>
      </c>
      <c r="U670" s="18" t="str" cm="1">
        <f t="array" aca="1" ref="U670" ca="1">IF(M670&lt;=$N$1,L670,IF(M670&lt;=($N$1+1),INDIRECT("L"&amp;5+$X$2),""))</f>
        <v/>
      </c>
    </row>
    <row r="671" spans="12:21" hidden="1" x14ac:dyDescent="0.25">
      <c r="L671" s="18">
        <f t="shared" ca="1" si="89"/>
        <v>66486</v>
      </c>
      <c r="M671" s="14">
        <v>666</v>
      </c>
      <c r="N671" s="14">
        <f t="shared" si="83"/>
        <v>0</v>
      </c>
      <c r="O671" s="19">
        <f t="shared" si="84"/>
        <v>0</v>
      </c>
      <c r="P671" s="19">
        <f t="shared" si="82"/>
        <v>0</v>
      </c>
      <c r="Q671" s="14">
        <f t="shared" si="85"/>
        <v>0</v>
      </c>
      <c r="R671" s="19">
        <f t="shared" si="86"/>
        <v>0</v>
      </c>
      <c r="S671" s="19">
        <f t="shared" si="87"/>
        <v>0</v>
      </c>
      <c r="T671" s="14">
        <f t="shared" si="88"/>
        <v>0</v>
      </c>
      <c r="U671" s="18" t="str" cm="1">
        <f t="array" aca="1" ref="U671" ca="1">IF(M671&lt;=$N$1,L671,IF(M671&lt;=($N$1+1),INDIRECT("L"&amp;5+$X$2),""))</f>
        <v/>
      </c>
    </row>
    <row r="672" spans="12:21" hidden="1" x14ac:dyDescent="0.25">
      <c r="L672" s="18">
        <f t="shared" ca="1" si="89"/>
        <v>66517</v>
      </c>
      <c r="M672" s="14">
        <v>667</v>
      </c>
      <c r="N672" s="14">
        <f t="shared" si="83"/>
        <v>0</v>
      </c>
      <c r="O672" s="19">
        <f t="shared" si="84"/>
        <v>0</v>
      </c>
      <c r="P672" s="19">
        <f t="shared" si="82"/>
        <v>0</v>
      </c>
      <c r="Q672" s="14">
        <f t="shared" si="85"/>
        <v>0</v>
      </c>
      <c r="R672" s="19">
        <f t="shared" si="86"/>
        <v>0</v>
      </c>
      <c r="S672" s="19">
        <f t="shared" si="87"/>
        <v>0</v>
      </c>
      <c r="T672" s="14">
        <f t="shared" si="88"/>
        <v>0</v>
      </c>
      <c r="U672" s="18" t="str" cm="1">
        <f t="array" aca="1" ref="U672" ca="1">IF(M672&lt;=$N$1,L672,IF(M672&lt;=($N$1+1),INDIRECT("L"&amp;5+$X$2),""))</f>
        <v/>
      </c>
    </row>
    <row r="673" spans="12:21" hidden="1" x14ac:dyDescent="0.25">
      <c r="L673" s="18">
        <f t="shared" ca="1" si="89"/>
        <v>66545</v>
      </c>
      <c r="M673" s="14">
        <v>668</v>
      </c>
      <c r="N673" s="14">
        <f t="shared" si="83"/>
        <v>0</v>
      </c>
      <c r="O673" s="19">
        <f t="shared" si="84"/>
        <v>0</v>
      </c>
      <c r="P673" s="19">
        <f t="shared" si="82"/>
        <v>0</v>
      </c>
      <c r="Q673" s="14">
        <f t="shared" si="85"/>
        <v>0</v>
      </c>
      <c r="R673" s="19">
        <f t="shared" si="86"/>
        <v>0</v>
      </c>
      <c r="S673" s="19">
        <f t="shared" si="87"/>
        <v>0</v>
      </c>
      <c r="T673" s="14">
        <f t="shared" si="88"/>
        <v>0</v>
      </c>
      <c r="U673" s="18" t="str" cm="1">
        <f t="array" aca="1" ref="U673" ca="1">IF(M673&lt;=$N$1,L673,IF(M673&lt;=($N$1+1),INDIRECT("L"&amp;5+$X$2),""))</f>
        <v/>
      </c>
    </row>
    <row r="674" spans="12:21" hidden="1" x14ac:dyDescent="0.25">
      <c r="L674" s="18">
        <f t="shared" ca="1" si="89"/>
        <v>66576</v>
      </c>
      <c r="M674" s="14">
        <v>669</v>
      </c>
      <c r="N674" s="14">
        <f t="shared" si="83"/>
        <v>0</v>
      </c>
      <c r="O674" s="19">
        <f t="shared" si="84"/>
        <v>0</v>
      </c>
      <c r="P674" s="19">
        <f t="shared" si="82"/>
        <v>0</v>
      </c>
      <c r="Q674" s="14">
        <f t="shared" si="85"/>
        <v>0</v>
      </c>
      <c r="R674" s="19">
        <f t="shared" si="86"/>
        <v>0</v>
      </c>
      <c r="S674" s="19">
        <f t="shared" si="87"/>
        <v>0</v>
      </c>
      <c r="T674" s="14">
        <f t="shared" si="88"/>
        <v>0</v>
      </c>
      <c r="U674" s="18" t="str" cm="1">
        <f t="array" aca="1" ref="U674" ca="1">IF(M674&lt;=$N$1,L674,IF(M674&lt;=($N$1+1),INDIRECT("L"&amp;5+$X$2),""))</f>
        <v/>
      </c>
    </row>
    <row r="675" spans="12:21" hidden="1" x14ac:dyDescent="0.25">
      <c r="L675" s="18">
        <f t="shared" ca="1" si="89"/>
        <v>66606</v>
      </c>
      <c r="M675" s="14">
        <v>670</v>
      </c>
      <c r="N675" s="14">
        <f t="shared" si="83"/>
        <v>0</v>
      </c>
      <c r="O675" s="19">
        <f t="shared" si="84"/>
        <v>0</v>
      </c>
      <c r="P675" s="19">
        <f t="shared" si="82"/>
        <v>0</v>
      </c>
      <c r="Q675" s="14">
        <f t="shared" si="85"/>
        <v>0</v>
      </c>
      <c r="R675" s="19">
        <f t="shared" si="86"/>
        <v>0</v>
      </c>
      <c r="S675" s="19">
        <f t="shared" si="87"/>
        <v>0</v>
      </c>
      <c r="T675" s="14">
        <f t="shared" si="88"/>
        <v>0</v>
      </c>
      <c r="U675" s="18" t="str" cm="1">
        <f t="array" aca="1" ref="U675" ca="1">IF(M675&lt;=$N$1,L675,IF(M675&lt;=($N$1+1),INDIRECT("L"&amp;5+$X$2),""))</f>
        <v/>
      </c>
    </row>
    <row r="676" spans="12:21" hidden="1" x14ac:dyDescent="0.25">
      <c r="L676" s="18">
        <f t="shared" ca="1" si="89"/>
        <v>66637</v>
      </c>
      <c r="M676" s="14">
        <v>671</v>
      </c>
      <c r="N676" s="14">
        <f t="shared" si="83"/>
        <v>0</v>
      </c>
      <c r="O676" s="19">
        <f t="shared" si="84"/>
        <v>0</v>
      </c>
      <c r="P676" s="19">
        <f t="shared" si="82"/>
        <v>0</v>
      </c>
      <c r="Q676" s="14">
        <f t="shared" si="85"/>
        <v>0</v>
      </c>
      <c r="R676" s="19">
        <f t="shared" si="86"/>
        <v>0</v>
      </c>
      <c r="S676" s="19">
        <f t="shared" si="87"/>
        <v>0</v>
      </c>
      <c r="T676" s="14">
        <f t="shared" si="88"/>
        <v>0</v>
      </c>
      <c r="U676" s="18" t="str" cm="1">
        <f t="array" aca="1" ref="U676" ca="1">IF(M676&lt;=$N$1,L676,IF(M676&lt;=($N$1+1),INDIRECT("L"&amp;5+$X$2),""))</f>
        <v/>
      </c>
    </row>
    <row r="677" spans="12:21" hidden="1" x14ac:dyDescent="0.25">
      <c r="L677" s="18">
        <f t="shared" ca="1" si="89"/>
        <v>66667</v>
      </c>
      <c r="M677" s="14">
        <v>672</v>
      </c>
      <c r="N677" s="14">
        <f t="shared" si="83"/>
        <v>0</v>
      </c>
      <c r="O677" s="19">
        <f t="shared" si="84"/>
        <v>0</v>
      </c>
      <c r="P677" s="19">
        <f t="shared" si="82"/>
        <v>0</v>
      </c>
      <c r="Q677" s="14">
        <f t="shared" si="85"/>
        <v>0</v>
      </c>
      <c r="R677" s="19">
        <f t="shared" si="86"/>
        <v>0</v>
      </c>
      <c r="S677" s="19">
        <f t="shared" si="87"/>
        <v>0</v>
      </c>
      <c r="T677" s="14">
        <f t="shared" si="88"/>
        <v>0</v>
      </c>
      <c r="U677" s="18" t="str" cm="1">
        <f t="array" aca="1" ref="U677" ca="1">IF(M677&lt;=$N$1,L677,IF(M677&lt;=($N$1+1),INDIRECT("L"&amp;5+$X$2),""))</f>
        <v/>
      </c>
    </row>
    <row r="678" spans="12:21" hidden="1" x14ac:dyDescent="0.25">
      <c r="L678" s="18">
        <f t="shared" ca="1" si="89"/>
        <v>66698</v>
      </c>
      <c r="M678" s="14">
        <v>673</v>
      </c>
      <c r="N678" s="14">
        <f t="shared" si="83"/>
        <v>0</v>
      </c>
      <c r="O678" s="19">
        <f t="shared" si="84"/>
        <v>0</v>
      </c>
      <c r="P678" s="19">
        <f t="shared" ref="P678:P741" si="90">O678/((1+SIPInflationRate)^(M678/12))</f>
        <v>0</v>
      </c>
      <c r="Q678" s="14">
        <f t="shared" si="85"/>
        <v>0</v>
      </c>
      <c r="R678" s="19">
        <f t="shared" si="86"/>
        <v>0</v>
      </c>
      <c r="S678" s="19">
        <f t="shared" si="87"/>
        <v>0</v>
      </c>
      <c r="T678" s="14">
        <f t="shared" si="88"/>
        <v>0</v>
      </c>
      <c r="U678" s="18" t="str" cm="1">
        <f t="array" aca="1" ref="U678" ca="1">IF(M678&lt;=$N$1,L678,IF(M678&lt;=($N$1+1),INDIRECT("L"&amp;5+$X$2),""))</f>
        <v/>
      </c>
    </row>
    <row r="679" spans="12:21" hidden="1" x14ac:dyDescent="0.25">
      <c r="L679" s="18">
        <f t="shared" ca="1" si="89"/>
        <v>66729</v>
      </c>
      <c r="M679" s="14">
        <v>674</v>
      </c>
      <c r="N679" s="14">
        <f t="shared" si="83"/>
        <v>0</v>
      </c>
      <c r="O679" s="19">
        <f t="shared" si="84"/>
        <v>0</v>
      </c>
      <c r="P679" s="19">
        <f t="shared" si="90"/>
        <v>0</v>
      </c>
      <c r="Q679" s="14">
        <f t="shared" si="85"/>
        <v>0</v>
      </c>
      <c r="R679" s="19">
        <f t="shared" si="86"/>
        <v>0</v>
      </c>
      <c r="S679" s="19">
        <f t="shared" si="87"/>
        <v>0</v>
      </c>
      <c r="T679" s="14">
        <f t="shared" si="88"/>
        <v>0</v>
      </c>
      <c r="U679" s="18" t="str" cm="1">
        <f t="array" aca="1" ref="U679" ca="1">IF(M679&lt;=$N$1,L679,IF(M679&lt;=($N$1+1),INDIRECT("L"&amp;5+$X$2),""))</f>
        <v/>
      </c>
    </row>
    <row r="680" spans="12:21" hidden="1" x14ac:dyDescent="0.25">
      <c r="L680" s="18">
        <f t="shared" ca="1" si="89"/>
        <v>66759</v>
      </c>
      <c r="M680" s="14">
        <v>675</v>
      </c>
      <c r="N680" s="14">
        <f t="shared" si="83"/>
        <v>0</v>
      </c>
      <c r="O680" s="19">
        <f t="shared" si="84"/>
        <v>0</v>
      </c>
      <c r="P680" s="19">
        <f t="shared" si="90"/>
        <v>0</v>
      </c>
      <c r="Q680" s="14">
        <f t="shared" si="85"/>
        <v>0</v>
      </c>
      <c r="R680" s="19">
        <f t="shared" si="86"/>
        <v>0</v>
      </c>
      <c r="S680" s="19">
        <f t="shared" si="87"/>
        <v>0</v>
      </c>
      <c r="T680" s="14">
        <f t="shared" si="88"/>
        <v>0</v>
      </c>
      <c r="U680" s="18" t="str" cm="1">
        <f t="array" aca="1" ref="U680" ca="1">IF(M680&lt;=$N$1,L680,IF(M680&lt;=($N$1+1),INDIRECT("L"&amp;5+$X$2),""))</f>
        <v/>
      </c>
    </row>
    <row r="681" spans="12:21" hidden="1" x14ac:dyDescent="0.25">
      <c r="L681" s="18">
        <f t="shared" ca="1" si="89"/>
        <v>66790</v>
      </c>
      <c r="M681" s="14">
        <v>676</v>
      </c>
      <c r="N681" s="14">
        <f t="shared" si="83"/>
        <v>0</v>
      </c>
      <c r="O681" s="19">
        <f t="shared" si="84"/>
        <v>0</v>
      </c>
      <c r="P681" s="19">
        <f t="shared" si="90"/>
        <v>0</v>
      </c>
      <c r="Q681" s="14">
        <f t="shared" si="85"/>
        <v>0</v>
      </c>
      <c r="R681" s="19">
        <f t="shared" si="86"/>
        <v>0</v>
      </c>
      <c r="S681" s="19">
        <f t="shared" si="87"/>
        <v>0</v>
      </c>
      <c r="T681" s="14">
        <f t="shared" si="88"/>
        <v>0</v>
      </c>
      <c r="U681" s="18" t="str" cm="1">
        <f t="array" aca="1" ref="U681" ca="1">IF(M681&lt;=$N$1,L681,IF(M681&lt;=($N$1+1),INDIRECT("L"&amp;5+$X$2),""))</f>
        <v/>
      </c>
    </row>
    <row r="682" spans="12:21" hidden="1" x14ac:dyDescent="0.25">
      <c r="L682" s="18">
        <f t="shared" ca="1" si="89"/>
        <v>66820</v>
      </c>
      <c r="M682" s="14">
        <v>677</v>
      </c>
      <c r="N682" s="14">
        <f t="shared" si="83"/>
        <v>0</v>
      </c>
      <c r="O682" s="19">
        <f t="shared" si="84"/>
        <v>0</v>
      </c>
      <c r="P682" s="19">
        <f t="shared" si="90"/>
        <v>0</v>
      </c>
      <c r="Q682" s="14">
        <f t="shared" si="85"/>
        <v>0</v>
      </c>
      <c r="R682" s="19">
        <f t="shared" si="86"/>
        <v>0</v>
      </c>
      <c r="S682" s="19">
        <f t="shared" si="87"/>
        <v>0</v>
      </c>
      <c r="T682" s="14">
        <f t="shared" si="88"/>
        <v>0</v>
      </c>
      <c r="U682" s="18" t="str" cm="1">
        <f t="array" aca="1" ref="U682" ca="1">IF(M682&lt;=$N$1,L682,IF(M682&lt;=($N$1+1),INDIRECT("L"&amp;5+$X$2),""))</f>
        <v/>
      </c>
    </row>
    <row r="683" spans="12:21" hidden="1" x14ac:dyDescent="0.25">
      <c r="L683" s="18">
        <f t="shared" ca="1" si="89"/>
        <v>66851</v>
      </c>
      <c r="M683" s="14">
        <v>678</v>
      </c>
      <c r="N683" s="14">
        <f t="shared" si="83"/>
        <v>0</v>
      </c>
      <c r="O683" s="19">
        <f t="shared" si="84"/>
        <v>0</v>
      </c>
      <c r="P683" s="19">
        <f t="shared" si="90"/>
        <v>0</v>
      </c>
      <c r="Q683" s="14">
        <f t="shared" si="85"/>
        <v>0</v>
      </c>
      <c r="R683" s="19">
        <f t="shared" si="86"/>
        <v>0</v>
      </c>
      <c r="S683" s="19">
        <f t="shared" si="87"/>
        <v>0</v>
      </c>
      <c r="T683" s="14">
        <f t="shared" si="88"/>
        <v>0</v>
      </c>
      <c r="U683" s="18" t="str" cm="1">
        <f t="array" aca="1" ref="U683" ca="1">IF(M683&lt;=$N$1,L683,IF(M683&lt;=($N$1+1),INDIRECT("L"&amp;5+$X$2),""))</f>
        <v/>
      </c>
    </row>
    <row r="684" spans="12:21" hidden="1" x14ac:dyDescent="0.25">
      <c r="L684" s="18">
        <f t="shared" ca="1" si="89"/>
        <v>66882</v>
      </c>
      <c r="M684" s="14">
        <v>679</v>
      </c>
      <c r="N684" s="14">
        <f t="shared" si="83"/>
        <v>0</v>
      </c>
      <c r="O684" s="19">
        <f t="shared" si="84"/>
        <v>0</v>
      </c>
      <c r="P684" s="19">
        <f t="shared" si="90"/>
        <v>0</v>
      </c>
      <c r="Q684" s="14">
        <f t="shared" si="85"/>
        <v>0</v>
      </c>
      <c r="R684" s="19">
        <f t="shared" si="86"/>
        <v>0</v>
      </c>
      <c r="S684" s="19">
        <f t="shared" si="87"/>
        <v>0</v>
      </c>
      <c r="T684" s="14">
        <f t="shared" si="88"/>
        <v>0</v>
      </c>
      <c r="U684" s="18" t="str" cm="1">
        <f t="array" aca="1" ref="U684" ca="1">IF(M684&lt;=$N$1,L684,IF(M684&lt;=($N$1+1),INDIRECT("L"&amp;5+$X$2),""))</f>
        <v/>
      </c>
    </row>
    <row r="685" spans="12:21" hidden="1" x14ac:dyDescent="0.25">
      <c r="L685" s="18">
        <f t="shared" ca="1" si="89"/>
        <v>66910</v>
      </c>
      <c r="M685" s="14">
        <v>680</v>
      </c>
      <c r="N685" s="14">
        <f t="shared" si="83"/>
        <v>0</v>
      </c>
      <c r="O685" s="19">
        <f t="shared" si="84"/>
        <v>0</v>
      </c>
      <c r="P685" s="19">
        <f t="shared" si="90"/>
        <v>0</v>
      </c>
      <c r="Q685" s="14">
        <f t="shared" si="85"/>
        <v>0</v>
      </c>
      <c r="R685" s="19">
        <f t="shared" si="86"/>
        <v>0</v>
      </c>
      <c r="S685" s="19">
        <f t="shared" si="87"/>
        <v>0</v>
      </c>
      <c r="T685" s="14">
        <f t="shared" si="88"/>
        <v>0</v>
      </c>
      <c r="U685" s="18" t="str" cm="1">
        <f t="array" aca="1" ref="U685" ca="1">IF(M685&lt;=$N$1,L685,IF(M685&lt;=($N$1+1),INDIRECT("L"&amp;5+$X$2),""))</f>
        <v/>
      </c>
    </row>
    <row r="686" spans="12:21" hidden="1" x14ac:dyDescent="0.25">
      <c r="L686" s="18">
        <f t="shared" ca="1" si="89"/>
        <v>66941</v>
      </c>
      <c r="M686" s="14">
        <v>681</v>
      </c>
      <c r="N686" s="14">
        <f t="shared" si="83"/>
        <v>0</v>
      </c>
      <c r="O686" s="19">
        <f t="shared" si="84"/>
        <v>0</v>
      </c>
      <c r="P686" s="19">
        <f t="shared" si="90"/>
        <v>0</v>
      </c>
      <c r="Q686" s="14">
        <f t="shared" si="85"/>
        <v>0</v>
      </c>
      <c r="R686" s="19">
        <f t="shared" si="86"/>
        <v>0</v>
      </c>
      <c r="S686" s="19">
        <f t="shared" si="87"/>
        <v>0</v>
      </c>
      <c r="T686" s="14">
        <f t="shared" si="88"/>
        <v>0</v>
      </c>
      <c r="U686" s="18" t="str" cm="1">
        <f t="array" aca="1" ref="U686" ca="1">IF(M686&lt;=$N$1,L686,IF(M686&lt;=($N$1+1),INDIRECT("L"&amp;5+$X$2),""))</f>
        <v/>
      </c>
    </row>
    <row r="687" spans="12:21" hidden="1" x14ac:dyDescent="0.25">
      <c r="L687" s="18">
        <f t="shared" ca="1" si="89"/>
        <v>66971</v>
      </c>
      <c r="M687" s="14">
        <v>682</v>
      </c>
      <c r="N687" s="14">
        <f t="shared" si="83"/>
        <v>0</v>
      </c>
      <c r="O687" s="19">
        <f t="shared" si="84"/>
        <v>0</v>
      </c>
      <c r="P687" s="19">
        <f t="shared" si="90"/>
        <v>0</v>
      </c>
      <c r="Q687" s="14">
        <f t="shared" si="85"/>
        <v>0</v>
      </c>
      <c r="R687" s="19">
        <f t="shared" si="86"/>
        <v>0</v>
      </c>
      <c r="S687" s="19">
        <f t="shared" si="87"/>
        <v>0</v>
      </c>
      <c r="T687" s="14">
        <f t="shared" si="88"/>
        <v>0</v>
      </c>
      <c r="U687" s="18" t="str" cm="1">
        <f t="array" aca="1" ref="U687" ca="1">IF(M687&lt;=$N$1,L687,IF(M687&lt;=($N$1+1),INDIRECT("L"&amp;5+$X$2),""))</f>
        <v/>
      </c>
    </row>
    <row r="688" spans="12:21" hidden="1" x14ac:dyDescent="0.25">
      <c r="L688" s="18">
        <f t="shared" ca="1" si="89"/>
        <v>67002</v>
      </c>
      <c r="M688" s="14">
        <v>683</v>
      </c>
      <c r="N688" s="14">
        <f t="shared" si="83"/>
        <v>0</v>
      </c>
      <c r="O688" s="19">
        <f t="shared" si="84"/>
        <v>0</v>
      </c>
      <c r="P688" s="19">
        <f t="shared" si="90"/>
        <v>0</v>
      </c>
      <c r="Q688" s="14">
        <f t="shared" si="85"/>
        <v>0</v>
      </c>
      <c r="R688" s="19">
        <f t="shared" si="86"/>
        <v>0</v>
      </c>
      <c r="S688" s="19">
        <f t="shared" si="87"/>
        <v>0</v>
      </c>
      <c r="T688" s="14">
        <f t="shared" si="88"/>
        <v>0</v>
      </c>
      <c r="U688" s="18" t="str" cm="1">
        <f t="array" aca="1" ref="U688" ca="1">IF(M688&lt;=$N$1,L688,IF(M688&lt;=($N$1+1),INDIRECT("L"&amp;5+$X$2),""))</f>
        <v/>
      </c>
    </row>
    <row r="689" spans="12:21" hidden="1" x14ac:dyDescent="0.25">
      <c r="L689" s="18">
        <f t="shared" ca="1" si="89"/>
        <v>67032</v>
      </c>
      <c r="M689" s="14">
        <v>684</v>
      </c>
      <c r="N689" s="14">
        <f t="shared" si="83"/>
        <v>0</v>
      </c>
      <c r="O689" s="19">
        <f t="shared" si="84"/>
        <v>0</v>
      </c>
      <c r="P689" s="19">
        <f t="shared" si="90"/>
        <v>0</v>
      </c>
      <c r="Q689" s="14">
        <f t="shared" si="85"/>
        <v>0</v>
      </c>
      <c r="R689" s="19">
        <f t="shared" si="86"/>
        <v>0</v>
      </c>
      <c r="S689" s="19">
        <f t="shared" si="87"/>
        <v>0</v>
      </c>
      <c r="T689" s="14">
        <f t="shared" si="88"/>
        <v>0</v>
      </c>
      <c r="U689" s="18" t="str" cm="1">
        <f t="array" aca="1" ref="U689" ca="1">IF(M689&lt;=$N$1,L689,IF(M689&lt;=($N$1+1),INDIRECT("L"&amp;5+$X$2),""))</f>
        <v/>
      </c>
    </row>
    <row r="690" spans="12:21" hidden="1" x14ac:dyDescent="0.25">
      <c r="L690" s="18">
        <f t="shared" ca="1" si="89"/>
        <v>67063</v>
      </c>
      <c r="M690" s="14">
        <v>685</v>
      </c>
      <c r="N690" s="14">
        <f t="shared" si="83"/>
        <v>0</v>
      </c>
      <c r="O690" s="19">
        <f t="shared" si="84"/>
        <v>0</v>
      </c>
      <c r="P690" s="19">
        <f t="shared" si="90"/>
        <v>0</v>
      </c>
      <c r="Q690" s="14">
        <f t="shared" si="85"/>
        <v>0</v>
      </c>
      <c r="R690" s="19">
        <f t="shared" si="86"/>
        <v>0</v>
      </c>
      <c r="S690" s="19">
        <f t="shared" si="87"/>
        <v>0</v>
      </c>
      <c r="T690" s="14">
        <f t="shared" si="88"/>
        <v>0</v>
      </c>
      <c r="U690" s="18" t="str" cm="1">
        <f t="array" aca="1" ref="U690" ca="1">IF(M690&lt;=$N$1,L690,IF(M690&lt;=($N$1+1),INDIRECT("L"&amp;5+$X$2),""))</f>
        <v/>
      </c>
    </row>
    <row r="691" spans="12:21" hidden="1" x14ac:dyDescent="0.25">
      <c r="L691" s="18">
        <f t="shared" ca="1" si="89"/>
        <v>67094</v>
      </c>
      <c r="M691" s="14">
        <v>686</v>
      </c>
      <c r="N691" s="14">
        <f t="shared" si="83"/>
        <v>0</v>
      </c>
      <c r="O691" s="19">
        <f t="shared" si="84"/>
        <v>0</v>
      </c>
      <c r="P691" s="19">
        <f t="shared" si="90"/>
        <v>0</v>
      </c>
      <c r="Q691" s="14">
        <f t="shared" si="85"/>
        <v>0</v>
      </c>
      <c r="R691" s="19">
        <f t="shared" si="86"/>
        <v>0</v>
      </c>
      <c r="S691" s="19">
        <f t="shared" si="87"/>
        <v>0</v>
      </c>
      <c r="T691" s="14">
        <f t="shared" si="88"/>
        <v>0</v>
      </c>
      <c r="U691" s="18" t="str" cm="1">
        <f t="array" aca="1" ref="U691" ca="1">IF(M691&lt;=$N$1,L691,IF(M691&lt;=($N$1+1),INDIRECT("L"&amp;5+$X$2),""))</f>
        <v/>
      </c>
    </row>
    <row r="692" spans="12:21" hidden="1" x14ac:dyDescent="0.25">
      <c r="L692" s="18">
        <f t="shared" ca="1" si="89"/>
        <v>67124</v>
      </c>
      <c r="M692" s="14">
        <v>687</v>
      </c>
      <c r="N692" s="14">
        <f t="shared" si="83"/>
        <v>0</v>
      </c>
      <c r="O692" s="19">
        <f t="shared" si="84"/>
        <v>0</v>
      </c>
      <c r="P692" s="19">
        <f t="shared" si="90"/>
        <v>0</v>
      </c>
      <c r="Q692" s="14">
        <f t="shared" si="85"/>
        <v>0</v>
      </c>
      <c r="R692" s="19">
        <f t="shared" si="86"/>
        <v>0</v>
      </c>
      <c r="S692" s="19">
        <f t="shared" si="87"/>
        <v>0</v>
      </c>
      <c r="T692" s="14">
        <f t="shared" si="88"/>
        <v>0</v>
      </c>
      <c r="U692" s="18" t="str" cm="1">
        <f t="array" aca="1" ref="U692" ca="1">IF(M692&lt;=$N$1,L692,IF(M692&lt;=($N$1+1),INDIRECT("L"&amp;5+$X$2),""))</f>
        <v/>
      </c>
    </row>
    <row r="693" spans="12:21" hidden="1" x14ac:dyDescent="0.25">
      <c r="L693" s="18">
        <f t="shared" ca="1" si="89"/>
        <v>67155</v>
      </c>
      <c r="M693" s="14">
        <v>688</v>
      </c>
      <c r="N693" s="14">
        <f t="shared" si="83"/>
        <v>0</v>
      </c>
      <c r="O693" s="19">
        <f t="shared" si="84"/>
        <v>0</v>
      </c>
      <c r="P693" s="19">
        <f t="shared" si="90"/>
        <v>0</v>
      </c>
      <c r="Q693" s="14">
        <f t="shared" si="85"/>
        <v>0</v>
      </c>
      <c r="R693" s="19">
        <f t="shared" si="86"/>
        <v>0</v>
      </c>
      <c r="S693" s="19">
        <f t="shared" si="87"/>
        <v>0</v>
      </c>
      <c r="T693" s="14">
        <f t="shared" si="88"/>
        <v>0</v>
      </c>
      <c r="U693" s="18" t="str" cm="1">
        <f t="array" aca="1" ref="U693" ca="1">IF(M693&lt;=$N$1,L693,IF(M693&lt;=($N$1+1),INDIRECT("L"&amp;5+$X$2),""))</f>
        <v/>
      </c>
    </row>
    <row r="694" spans="12:21" hidden="1" x14ac:dyDescent="0.25">
      <c r="L694" s="18">
        <f t="shared" ca="1" si="89"/>
        <v>67185</v>
      </c>
      <c r="M694" s="14">
        <v>689</v>
      </c>
      <c r="N694" s="14">
        <f t="shared" si="83"/>
        <v>0</v>
      </c>
      <c r="O694" s="19">
        <f t="shared" si="84"/>
        <v>0</v>
      </c>
      <c r="P694" s="19">
        <f t="shared" si="90"/>
        <v>0</v>
      </c>
      <c r="Q694" s="14">
        <f t="shared" si="85"/>
        <v>0</v>
      </c>
      <c r="R694" s="19">
        <f t="shared" si="86"/>
        <v>0</v>
      </c>
      <c r="S694" s="19">
        <f t="shared" si="87"/>
        <v>0</v>
      </c>
      <c r="T694" s="14">
        <f t="shared" si="88"/>
        <v>0</v>
      </c>
      <c r="U694" s="18" t="str" cm="1">
        <f t="array" aca="1" ref="U694" ca="1">IF(M694&lt;=$N$1,L694,IF(M694&lt;=($N$1+1),INDIRECT("L"&amp;5+$X$2),""))</f>
        <v/>
      </c>
    </row>
    <row r="695" spans="12:21" hidden="1" x14ac:dyDescent="0.25">
      <c r="L695" s="18">
        <f t="shared" ca="1" si="89"/>
        <v>67216</v>
      </c>
      <c r="M695" s="14">
        <v>690</v>
      </c>
      <c r="N695" s="14">
        <f t="shared" si="83"/>
        <v>0</v>
      </c>
      <c r="O695" s="19">
        <f t="shared" si="84"/>
        <v>0</v>
      </c>
      <c r="P695" s="19">
        <f t="shared" si="90"/>
        <v>0</v>
      </c>
      <c r="Q695" s="14">
        <f t="shared" si="85"/>
        <v>0</v>
      </c>
      <c r="R695" s="19">
        <f t="shared" si="86"/>
        <v>0</v>
      </c>
      <c r="S695" s="19">
        <f t="shared" si="87"/>
        <v>0</v>
      </c>
      <c r="T695" s="14">
        <f t="shared" si="88"/>
        <v>0</v>
      </c>
      <c r="U695" s="18" t="str" cm="1">
        <f t="array" aca="1" ref="U695" ca="1">IF(M695&lt;=$N$1,L695,IF(M695&lt;=($N$1+1),INDIRECT("L"&amp;5+$X$2),""))</f>
        <v/>
      </c>
    </row>
    <row r="696" spans="12:21" hidden="1" x14ac:dyDescent="0.25">
      <c r="L696" s="18">
        <f t="shared" ca="1" si="89"/>
        <v>67247</v>
      </c>
      <c r="M696" s="14">
        <v>691</v>
      </c>
      <c r="N696" s="14">
        <f t="shared" si="83"/>
        <v>0</v>
      </c>
      <c r="O696" s="19">
        <f t="shared" si="84"/>
        <v>0</v>
      </c>
      <c r="P696" s="19">
        <f t="shared" si="90"/>
        <v>0</v>
      </c>
      <c r="Q696" s="14">
        <f t="shared" si="85"/>
        <v>0</v>
      </c>
      <c r="R696" s="19">
        <f t="shared" si="86"/>
        <v>0</v>
      </c>
      <c r="S696" s="19">
        <f t="shared" si="87"/>
        <v>0</v>
      </c>
      <c r="T696" s="14">
        <f t="shared" si="88"/>
        <v>0</v>
      </c>
      <c r="U696" s="18" t="str" cm="1">
        <f t="array" aca="1" ref="U696" ca="1">IF(M696&lt;=$N$1,L696,IF(M696&lt;=($N$1+1),INDIRECT("L"&amp;5+$X$2),""))</f>
        <v/>
      </c>
    </row>
    <row r="697" spans="12:21" hidden="1" x14ac:dyDescent="0.25">
      <c r="L697" s="18">
        <f t="shared" ca="1" si="89"/>
        <v>67276</v>
      </c>
      <c r="M697" s="14">
        <v>692</v>
      </c>
      <c r="N697" s="14">
        <f t="shared" si="83"/>
        <v>0</v>
      </c>
      <c r="O697" s="19">
        <f t="shared" si="84"/>
        <v>0</v>
      </c>
      <c r="P697" s="19">
        <f t="shared" si="90"/>
        <v>0</v>
      </c>
      <c r="Q697" s="14">
        <f t="shared" si="85"/>
        <v>0</v>
      </c>
      <c r="R697" s="19">
        <f t="shared" si="86"/>
        <v>0</v>
      </c>
      <c r="S697" s="19">
        <f t="shared" si="87"/>
        <v>0</v>
      </c>
      <c r="T697" s="14">
        <f t="shared" si="88"/>
        <v>0</v>
      </c>
      <c r="U697" s="18" t="str" cm="1">
        <f t="array" aca="1" ref="U697" ca="1">IF(M697&lt;=$N$1,L697,IF(M697&lt;=($N$1+1),INDIRECT("L"&amp;5+$X$2),""))</f>
        <v/>
      </c>
    </row>
    <row r="698" spans="12:21" hidden="1" x14ac:dyDescent="0.25">
      <c r="L698" s="18">
        <f t="shared" ca="1" si="89"/>
        <v>67307</v>
      </c>
      <c r="M698" s="14">
        <v>693</v>
      </c>
      <c r="N698" s="14">
        <f t="shared" si="83"/>
        <v>0</v>
      </c>
      <c r="O698" s="19">
        <f t="shared" si="84"/>
        <v>0</v>
      </c>
      <c r="P698" s="19">
        <f t="shared" si="90"/>
        <v>0</v>
      </c>
      <c r="Q698" s="14">
        <f t="shared" si="85"/>
        <v>0</v>
      </c>
      <c r="R698" s="19">
        <f t="shared" si="86"/>
        <v>0</v>
      </c>
      <c r="S698" s="19">
        <f t="shared" si="87"/>
        <v>0</v>
      </c>
      <c r="T698" s="14">
        <f t="shared" si="88"/>
        <v>0</v>
      </c>
      <c r="U698" s="18" t="str" cm="1">
        <f t="array" aca="1" ref="U698" ca="1">IF(M698&lt;=$N$1,L698,IF(M698&lt;=($N$1+1),INDIRECT("L"&amp;5+$X$2),""))</f>
        <v/>
      </c>
    </row>
    <row r="699" spans="12:21" hidden="1" x14ac:dyDescent="0.25">
      <c r="L699" s="18">
        <f t="shared" ca="1" si="89"/>
        <v>67337</v>
      </c>
      <c r="M699" s="14">
        <v>694</v>
      </c>
      <c r="N699" s="14">
        <f t="shared" si="83"/>
        <v>0</v>
      </c>
      <c r="O699" s="19">
        <f t="shared" si="84"/>
        <v>0</v>
      </c>
      <c r="P699" s="19">
        <f t="shared" si="90"/>
        <v>0</v>
      </c>
      <c r="Q699" s="14">
        <f t="shared" si="85"/>
        <v>0</v>
      </c>
      <c r="R699" s="19">
        <f t="shared" si="86"/>
        <v>0</v>
      </c>
      <c r="S699" s="19">
        <f t="shared" si="87"/>
        <v>0</v>
      </c>
      <c r="T699" s="14">
        <f t="shared" si="88"/>
        <v>0</v>
      </c>
      <c r="U699" s="18" t="str" cm="1">
        <f t="array" aca="1" ref="U699" ca="1">IF(M699&lt;=$N$1,L699,IF(M699&lt;=($N$1+1),INDIRECT("L"&amp;5+$X$2),""))</f>
        <v/>
      </c>
    </row>
    <row r="700" spans="12:21" hidden="1" x14ac:dyDescent="0.25">
      <c r="L700" s="18">
        <f t="shared" ca="1" si="89"/>
        <v>67368</v>
      </c>
      <c r="M700" s="14">
        <v>695</v>
      </c>
      <c r="N700" s="14">
        <f t="shared" si="83"/>
        <v>0</v>
      </c>
      <c r="O700" s="19">
        <f t="shared" si="84"/>
        <v>0</v>
      </c>
      <c r="P700" s="19">
        <f t="shared" si="90"/>
        <v>0</v>
      </c>
      <c r="Q700" s="14">
        <f t="shared" si="85"/>
        <v>0</v>
      </c>
      <c r="R700" s="19">
        <f t="shared" si="86"/>
        <v>0</v>
      </c>
      <c r="S700" s="19">
        <f t="shared" si="87"/>
        <v>0</v>
      </c>
      <c r="T700" s="14">
        <f t="shared" si="88"/>
        <v>0</v>
      </c>
      <c r="U700" s="18" t="str" cm="1">
        <f t="array" aca="1" ref="U700" ca="1">IF(M700&lt;=$N$1,L700,IF(M700&lt;=($N$1+1),INDIRECT("L"&amp;5+$X$2),""))</f>
        <v/>
      </c>
    </row>
    <row r="701" spans="12:21" hidden="1" x14ac:dyDescent="0.25">
      <c r="L701" s="18">
        <f t="shared" ca="1" si="89"/>
        <v>67398</v>
      </c>
      <c r="M701" s="14">
        <v>696</v>
      </c>
      <c r="N701" s="14">
        <f t="shared" si="83"/>
        <v>0</v>
      </c>
      <c r="O701" s="19">
        <f t="shared" si="84"/>
        <v>0</v>
      </c>
      <c r="P701" s="19">
        <f t="shared" si="90"/>
        <v>0</v>
      </c>
      <c r="Q701" s="14">
        <f t="shared" si="85"/>
        <v>0</v>
      </c>
      <c r="R701" s="19">
        <f t="shared" si="86"/>
        <v>0</v>
      </c>
      <c r="S701" s="19">
        <f t="shared" si="87"/>
        <v>0</v>
      </c>
      <c r="T701" s="14">
        <f t="shared" si="88"/>
        <v>0</v>
      </c>
      <c r="U701" s="18" t="str" cm="1">
        <f t="array" aca="1" ref="U701" ca="1">IF(M701&lt;=$N$1,L701,IF(M701&lt;=($N$1+1),INDIRECT("L"&amp;5+$X$2),""))</f>
        <v/>
      </c>
    </row>
    <row r="702" spans="12:21" hidden="1" x14ac:dyDescent="0.25">
      <c r="L702" s="18">
        <f t="shared" ca="1" si="89"/>
        <v>67429</v>
      </c>
      <c r="M702" s="14">
        <v>697</v>
      </c>
      <c r="N702" s="14">
        <f t="shared" si="83"/>
        <v>0</v>
      </c>
      <c r="O702" s="19">
        <f t="shared" si="84"/>
        <v>0</v>
      </c>
      <c r="P702" s="19">
        <f t="shared" si="90"/>
        <v>0</v>
      </c>
      <c r="Q702" s="14">
        <f t="shared" si="85"/>
        <v>0</v>
      </c>
      <c r="R702" s="19">
        <f t="shared" si="86"/>
        <v>0</v>
      </c>
      <c r="S702" s="19">
        <f t="shared" si="87"/>
        <v>0</v>
      </c>
      <c r="T702" s="14">
        <f t="shared" si="88"/>
        <v>0</v>
      </c>
      <c r="U702" s="18" t="str" cm="1">
        <f t="array" aca="1" ref="U702" ca="1">IF(M702&lt;=$N$1,L702,IF(M702&lt;=($N$1+1),INDIRECT("L"&amp;5+$X$2),""))</f>
        <v/>
      </c>
    </row>
    <row r="703" spans="12:21" hidden="1" x14ac:dyDescent="0.25">
      <c r="L703" s="18">
        <f t="shared" ca="1" si="89"/>
        <v>67460</v>
      </c>
      <c r="M703" s="14">
        <v>698</v>
      </c>
      <c r="N703" s="14">
        <f t="shared" si="83"/>
        <v>0</v>
      </c>
      <c r="O703" s="19">
        <f t="shared" si="84"/>
        <v>0</v>
      </c>
      <c r="P703" s="19">
        <f t="shared" si="90"/>
        <v>0</v>
      </c>
      <c r="Q703" s="14">
        <f t="shared" si="85"/>
        <v>0</v>
      </c>
      <c r="R703" s="19">
        <f t="shared" si="86"/>
        <v>0</v>
      </c>
      <c r="S703" s="19">
        <f t="shared" si="87"/>
        <v>0</v>
      </c>
      <c r="T703" s="14">
        <f t="shared" si="88"/>
        <v>0</v>
      </c>
      <c r="U703" s="18" t="str" cm="1">
        <f t="array" aca="1" ref="U703" ca="1">IF(M703&lt;=$N$1,L703,IF(M703&lt;=($N$1+1),INDIRECT("L"&amp;5+$X$2),""))</f>
        <v/>
      </c>
    </row>
    <row r="704" spans="12:21" hidden="1" x14ac:dyDescent="0.25">
      <c r="L704" s="18">
        <f t="shared" ca="1" si="89"/>
        <v>67490</v>
      </c>
      <c r="M704" s="14">
        <v>699</v>
      </c>
      <c r="N704" s="14">
        <f t="shared" si="83"/>
        <v>0</v>
      </c>
      <c r="O704" s="19">
        <f t="shared" si="84"/>
        <v>0</v>
      </c>
      <c r="P704" s="19">
        <f t="shared" si="90"/>
        <v>0</v>
      </c>
      <c r="Q704" s="14">
        <f t="shared" si="85"/>
        <v>0</v>
      </c>
      <c r="R704" s="19">
        <f t="shared" si="86"/>
        <v>0</v>
      </c>
      <c r="S704" s="19">
        <f t="shared" si="87"/>
        <v>0</v>
      </c>
      <c r="T704" s="14">
        <f t="shared" si="88"/>
        <v>0</v>
      </c>
      <c r="U704" s="18" t="str" cm="1">
        <f t="array" aca="1" ref="U704" ca="1">IF(M704&lt;=$N$1,L704,IF(M704&lt;=($N$1+1),INDIRECT("L"&amp;5+$X$2),""))</f>
        <v/>
      </c>
    </row>
    <row r="705" spans="12:21" hidden="1" x14ac:dyDescent="0.25">
      <c r="L705" s="18">
        <f t="shared" ca="1" si="89"/>
        <v>67521</v>
      </c>
      <c r="M705" s="14">
        <v>700</v>
      </c>
      <c r="N705" s="14">
        <f t="shared" si="83"/>
        <v>0</v>
      </c>
      <c r="O705" s="19">
        <f t="shared" si="84"/>
        <v>0</v>
      </c>
      <c r="P705" s="19">
        <f t="shared" si="90"/>
        <v>0</v>
      </c>
      <c r="Q705" s="14">
        <f t="shared" si="85"/>
        <v>0</v>
      </c>
      <c r="R705" s="19">
        <f t="shared" si="86"/>
        <v>0</v>
      </c>
      <c r="S705" s="19">
        <f t="shared" si="87"/>
        <v>0</v>
      </c>
      <c r="T705" s="14">
        <f t="shared" si="88"/>
        <v>0</v>
      </c>
      <c r="U705" s="18" t="str" cm="1">
        <f t="array" aca="1" ref="U705" ca="1">IF(M705&lt;=$N$1,L705,IF(M705&lt;=($N$1+1),INDIRECT("L"&amp;5+$X$2),""))</f>
        <v/>
      </c>
    </row>
    <row r="706" spans="12:21" hidden="1" x14ac:dyDescent="0.25">
      <c r="L706" s="18">
        <f t="shared" ca="1" si="89"/>
        <v>67551</v>
      </c>
      <c r="M706" s="14">
        <v>701</v>
      </c>
      <c r="N706" s="14">
        <f t="shared" si="83"/>
        <v>0</v>
      </c>
      <c r="O706" s="19">
        <f t="shared" si="84"/>
        <v>0</v>
      </c>
      <c r="P706" s="19">
        <f t="shared" si="90"/>
        <v>0</v>
      </c>
      <c r="Q706" s="14">
        <f t="shared" si="85"/>
        <v>0</v>
      </c>
      <c r="R706" s="19">
        <f t="shared" si="86"/>
        <v>0</v>
      </c>
      <c r="S706" s="19">
        <f t="shared" si="87"/>
        <v>0</v>
      </c>
      <c r="T706" s="14">
        <f t="shared" si="88"/>
        <v>0</v>
      </c>
      <c r="U706" s="18" t="str" cm="1">
        <f t="array" aca="1" ref="U706" ca="1">IF(M706&lt;=$N$1,L706,IF(M706&lt;=($N$1+1),INDIRECT("L"&amp;5+$X$2),""))</f>
        <v/>
      </c>
    </row>
    <row r="707" spans="12:21" hidden="1" x14ac:dyDescent="0.25">
      <c r="L707" s="18">
        <f t="shared" ca="1" si="89"/>
        <v>67582</v>
      </c>
      <c r="M707" s="14">
        <v>702</v>
      </c>
      <c r="N707" s="14">
        <f t="shared" si="83"/>
        <v>0</v>
      </c>
      <c r="O707" s="19">
        <f t="shared" si="84"/>
        <v>0</v>
      </c>
      <c r="P707" s="19">
        <f t="shared" si="90"/>
        <v>0</v>
      </c>
      <c r="Q707" s="14">
        <f t="shared" si="85"/>
        <v>0</v>
      </c>
      <c r="R707" s="19">
        <f t="shared" si="86"/>
        <v>0</v>
      </c>
      <c r="S707" s="19">
        <f t="shared" si="87"/>
        <v>0</v>
      </c>
      <c r="T707" s="14">
        <f t="shared" si="88"/>
        <v>0</v>
      </c>
      <c r="U707" s="18" t="str" cm="1">
        <f t="array" aca="1" ref="U707" ca="1">IF(M707&lt;=$N$1,L707,IF(M707&lt;=($N$1+1),INDIRECT("L"&amp;5+$X$2),""))</f>
        <v/>
      </c>
    </row>
    <row r="708" spans="12:21" hidden="1" x14ac:dyDescent="0.25">
      <c r="L708" s="18">
        <f t="shared" ca="1" si="89"/>
        <v>67613</v>
      </c>
      <c r="M708" s="14">
        <v>703</v>
      </c>
      <c r="N708" s="14">
        <f t="shared" si="83"/>
        <v>0</v>
      </c>
      <c r="O708" s="19">
        <f t="shared" si="84"/>
        <v>0</v>
      </c>
      <c r="P708" s="19">
        <f t="shared" si="90"/>
        <v>0</v>
      </c>
      <c r="Q708" s="14">
        <f t="shared" si="85"/>
        <v>0</v>
      </c>
      <c r="R708" s="19">
        <f t="shared" si="86"/>
        <v>0</v>
      </c>
      <c r="S708" s="19">
        <f t="shared" si="87"/>
        <v>0</v>
      </c>
      <c r="T708" s="14">
        <f t="shared" si="88"/>
        <v>0</v>
      </c>
      <c r="U708" s="18" t="str" cm="1">
        <f t="array" aca="1" ref="U708" ca="1">IF(M708&lt;=$N$1,L708,IF(M708&lt;=($N$1+1),INDIRECT("L"&amp;5+$X$2),""))</f>
        <v/>
      </c>
    </row>
    <row r="709" spans="12:21" hidden="1" x14ac:dyDescent="0.25">
      <c r="L709" s="18">
        <f t="shared" ca="1" si="89"/>
        <v>67641</v>
      </c>
      <c r="M709" s="14">
        <v>704</v>
      </c>
      <c r="N709" s="14">
        <f t="shared" si="83"/>
        <v>0</v>
      </c>
      <c r="O709" s="19">
        <f t="shared" si="84"/>
        <v>0</v>
      </c>
      <c r="P709" s="19">
        <f t="shared" si="90"/>
        <v>0</v>
      </c>
      <c r="Q709" s="14">
        <f t="shared" si="85"/>
        <v>0</v>
      </c>
      <c r="R709" s="19">
        <f t="shared" si="86"/>
        <v>0</v>
      </c>
      <c r="S709" s="19">
        <f t="shared" si="87"/>
        <v>0</v>
      </c>
      <c r="T709" s="14">
        <f t="shared" si="88"/>
        <v>0</v>
      </c>
      <c r="U709" s="18" t="str" cm="1">
        <f t="array" aca="1" ref="U709" ca="1">IF(M709&lt;=$N$1,L709,IF(M709&lt;=($N$1+1),INDIRECT("L"&amp;5+$X$2),""))</f>
        <v/>
      </c>
    </row>
    <row r="710" spans="12:21" hidden="1" x14ac:dyDescent="0.25">
      <c r="L710" s="18">
        <f t="shared" ca="1" si="89"/>
        <v>67672</v>
      </c>
      <c r="M710" s="14">
        <v>705</v>
      </c>
      <c r="N710" s="14">
        <f t="shared" ref="N710:N773" si="91">IF($N$1&gt;=M710,SIPMonthlyPmt*M710,0)</f>
        <v>0</v>
      </c>
      <c r="O710" s="19">
        <f t="shared" ref="O710:O773" si="92">IF($X$2&gt;=M710,IF(M710&lt;=$N$1,FV(SRate,M710,-SIPMonthlyPmt,0,1),FV(SRate,M710-$N$1,0,-$X$1,1)),0)</f>
        <v>0</v>
      </c>
      <c r="P710" s="19">
        <f t="shared" si="90"/>
        <v>0</v>
      </c>
      <c r="Q710" s="14">
        <f t="shared" ref="Q710:Q773" si="93">IF((M710-$C$15)&gt;0, IF($N$1+$C$15&gt;=M710,SIPMonthlyPmt*(M710-$C$15),0),0)</f>
        <v>0</v>
      </c>
      <c r="R710" s="19">
        <f t="shared" ref="R710:R773" si="94">IF(M710&lt;=$C$15,0,IF($X$2&gt;=M710,IF(M710&lt;=($N$1+$C$15),FV(SRate,M710-$C$15,-SIPMonthlyPmt,0,1),FV(SRate,M710-$N$1-$C$15,0,-$X$1,1)),0))</f>
        <v>0</v>
      </c>
      <c r="S710" s="19">
        <f t="shared" ref="S710:S773" si="95">R710/((1+SIPInflationRate)^((M710-$C$15)/12))</f>
        <v>0</v>
      </c>
      <c r="T710" s="14">
        <f t="shared" ref="T710:T773" si="96">IF(M710&lt;=$N$1,-SIPMonthlyPmt,IF(M710&lt;=($N$1+1),$X$4,0))</f>
        <v>0</v>
      </c>
      <c r="U710" s="18" t="str" cm="1">
        <f t="array" aca="1" ref="U710" ca="1">IF(M710&lt;=$N$1,L710,IF(M710&lt;=($N$1+1),INDIRECT("L"&amp;5+$X$2),""))</f>
        <v/>
      </c>
    </row>
    <row r="711" spans="12:21" hidden="1" x14ac:dyDescent="0.25">
      <c r="L711" s="18">
        <f t="shared" ca="1" si="89"/>
        <v>67702</v>
      </c>
      <c r="M711" s="14">
        <v>706</v>
      </c>
      <c r="N711" s="14">
        <f t="shared" si="91"/>
        <v>0</v>
      </c>
      <c r="O711" s="19">
        <f t="shared" si="92"/>
        <v>0</v>
      </c>
      <c r="P711" s="19">
        <f t="shared" si="90"/>
        <v>0</v>
      </c>
      <c r="Q711" s="14">
        <f t="shared" si="93"/>
        <v>0</v>
      </c>
      <c r="R711" s="19">
        <f t="shared" si="94"/>
        <v>0</v>
      </c>
      <c r="S711" s="19">
        <f t="shared" si="95"/>
        <v>0</v>
      </c>
      <c r="T711" s="14">
        <f t="shared" si="96"/>
        <v>0</v>
      </c>
      <c r="U711" s="18" t="str" cm="1">
        <f t="array" aca="1" ref="U711" ca="1">IF(M711&lt;=$N$1,L711,IF(M711&lt;=($N$1+1),INDIRECT("L"&amp;5+$X$2),""))</f>
        <v/>
      </c>
    </row>
    <row r="712" spans="12:21" hidden="1" x14ac:dyDescent="0.25">
      <c r="L712" s="18">
        <f t="shared" ca="1" si="89"/>
        <v>67733</v>
      </c>
      <c r="M712" s="14">
        <v>707</v>
      </c>
      <c r="N712" s="14">
        <f t="shared" si="91"/>
        <v>0</v>
      </c>
      <c r="O712" s="19">
        <f t="shared" si="92"/>
        <v>0</v>
      </c>
      <c r="P712" s="19">
        <f t="shared" si="90"/>
        <v>0</v>
      </c>
      <c r="Q712" s="14">
        <f t="shared" si="93"/>
        <v>0</v>
      </c>
      <c r="R712" s="19">
        <f t="shared" si="94"/>
        <v>0</v>
      </c>
      <c r="S712" s="19">
        <f t="shared" si="95"/>
        <v>0</v>
      </c>
      <c r="T712" s="14">
        <f t="shared" si="96"/>
        <v>0</v>
      </c>
      <c r="U712" s="18" t="str" cm="1">
        <f t="array" aca="1" ref="U712" ca="1">IF(M712&lt;=$N$1,L712,IF(M712&lt;=($N$1+1),INDIRECT("L"&amp;5+$X$2),""))</f>
        <v/>
      </c>
    </row>
    <row r="713" spans="12:21" hidden="1" x14ac:dyDescent="0.25">
      <c r="L713" s="18">
        <f t="shared" ref="L713:L776" ca="1" si="97">EDATE(L712,1)</f>
        <v>67763</v>
      </c>
      <c r="M713" s="14">
        <v>708</v>
      </c>
      <c r="N713" s="14">
        <f t="shared" si="91"/>
        <v>0</v>
      </c>
      <c r="O713" s="19">
        <f t="shared" si="92"/>
        <v>0</v>
      </c>
      <c r="P713" s="19">
        <f t="shared" si="90"/>
        <v>0</v>
      </c>
      <c r="Q713" s="14">
        <f t="shared" si="93"/>
        <v>0</v>
      </c>
      <c r="R713" s="19">
        <f t="shared" si="94"/>
        <v>0</v>
      </c>
      <c r="S713" s="19">
        <f t="shared" si="95"/>
        <v>0</v>
      </c>
      <c r="T713" s="14">
        <f t="shared" si="96"/>
        <v>0</v>
      </c>
      <c r="U713" s="18" t="str" cm="1">
        <f t="array" aca="1" ref="U713" ca="1">IF(M713&lt;=$N$1,L713,IF(M713&lt;=($N$1+1),INDIRECT("L"&amp;5+$X$2),""))</f>
        <v/>
      </c>
    </row>
    <row r="714" spans="12:21" hidden="1" x14ac:dyDescent="0.25">
      <c r="L714" s="18">
        <f t="shared" ca="1" si="97"/>
        <v>67794</v>
      </c>
      <c r="M714" s="14">
        <v>709</v>
      </c>
      <c r="N714" s="14">
        <f t="shared" si="91"/>
        <v>0</v>
      </c>
      <c r="O714" s="19">
        <f t="shared" si="92"/>
        <v>0</v>
      </c>
      <c r="P714" s="19">
        <f t="shared" si="90"/>
        <v>0</v>
      </c>
      <c r="Q714" s="14">
        <f t="shared" si="93"/>
        <v>0</v>
      </c>
      <c r="R714" s="19">
        <f t="shared" si="94"/>
        <v>0</v>
      </c>
      <c r="S714" s="19">
        <f t="shared" si="95"/>
        <v>0</v>
      </c>
      <c r="T714" s="14">
        <f t="shared" si="96"/>
        <v>0</v>
      </c>
      <c r="U714" s="18" t="str" cm="1">
        <f t="array" aca="1" ref="U714" ca="1">IF(M714&lt;=$N$1,L714,IF(M714&lt;=($N$1+1),INDIRECT("L"&amp;5+$X$2),""))</f>
        <v/>
      </c>
    </row>
    <row r="715" spans="12:21" hidden="1" x14ac:dyDescent="0.25">
      <c r="L715" s="18">
        <f t="shared" ca="1" si="97"/>
        <v>67825</v>
      </c>
      <c r="M715" s="14">
        <v>710</v>
      </c>
      <c r="N715" s="14">
        <f t="shared" si="91"/>
        <v>0</v>
      </c>
      <c r="O715" s="19">
        <f t="shared" si="92"/>
        <v>0</v>
      </c>
      <c r="P715" s="19">
        <f t="shared" si="90"/>
        <v>0</v>
      </c>
      <c r="Q715" s="14">
        <f t="shared" si="93"/>
        <v>0</v>
      </c>
      <c r="R715" s="19">
        <f t="shared" si="94"/>
        <v>0</v>
      </c>
      <c r="S715" s="19">
        <f t="shared" si="95"/>
        <v>0</v>
      </c>
      <c r="T715" s="14">
        <f t="shared" si="96"/>
        <v>0</v>
      </c>
      <c r="U715" s="18" t="str" cm="1">
        <f t="array" aca="1" ref="U715" ca="1">IF(M715&lt;=$N$1,L715,IF(M715&lt;=($N$1+1),INDIRECT("L"&amp;5+$X$2),""))</f>
        <v/>
      </c>
    </row>
    <row r="716" spans="12:21" hidden="1" x14ac:dyDescent="0.25">
      <c r="L716" s="18">
        <f t="shared" ca="1" si="97"/>
        <v>67855</v>
      </c>
      <c r="M716" s="14">
        <v>711</v>
      </c>
      <c r="N716" s="14">
        <f t="shared" si="91"/>
        <v>0</v>
      </c>
      <c r="O716" s="19">
        <f t="shared" si="92"/>
        <v>0</v>
      </c>
      <c r="P716" s="19">
        <f t="shared" si="90"/>
        <v>0</v>
      </c>
      <c r="Q716" s="14">
        <f t="shared" si="93"/>
        <v>0</v>
      </c>
      <c r="R716" s="19">
        <f t="shared" si="94"/>
        <v>0</v>
      </c>
      <c r="S716" s="19">
        <f t="shared" si="95"/>
        <v>0</v>
      </c>
      <c r="T716" s="14">
        <f t="shared" si="96"/>
        <v>0</v>
      </c>
      <c r="U716" s="18" t="str" cm="1">
        <f t="array" aca="1" ref="U716" ca="1">IF(M716&lt;=$N$1,L716,IF(M716&lt;=($N$1+1),INDIRECT("L"&amp;5+$X$2),""))</f>
        <v/>
      </c>
    </row>
    <row r="717" spans="12:21" hidden="1" x14ac:dyDescent="0.25">
      <c r="L717" s="18">
        <f t="shared" ca="1" si="97"/>
        <v>67886</v>
      </c>
      <c r="M717" s="14">
        <v>712</v>
      </c>
      <c r="N717" s="14">
        <f t="shared" si="91"/>
        <v>0</v>
      </c>
      <c r="O717" s="19">
        <f t="shared" si="92"/>
        <v>0</v>
      </c>
      <c r="P717" s="19">
        <f t="shared" si="90"/>
        <v>0</v>
      </c>
      <c r="Q717" s="14">
        <f t="shared" si="93"/>
        <v>0</v>
      </c>
      <c r="R717" s="19">
        <f t="shared" si="94"/>
        <v>0</v>
      </c>
      <c r="S717" s="19">
        <f t="shared" si="95"/>
        <v>0</v>
      </c>
      <c r="T717" s="14">
        <f t="shared" si="96"/>
        <v>0</v>
      </c>
      <c r="U717" s="18" t="str" cm="1">
        <f t="array" aca="1" ref="U717" ca="1">IF(M717&lt;=$N$1,L717,IF(M717&lt;=($N$1+1),INDIRECT("L"&amp;5+$X$2),""))</f>
        <v/>
      </c>
    </row>
    <row r="718" spans="12:21" hidden="1" x14ac:dyDescent="0.25">
      <c r="L718" s="18">
        <f t="shared" ca="1" si="97"/>
        <v>67916</v>
      </c>
      <c r="M718" s="14">
        <v>713</v>
      </c>
      <c r="N718" s="14">
        <f t="shared" si="91"/>
        <v>0</v>
      </c>
      <c r="O718" s="19">
        <f t="shared" si="92"/>
        <v>0</v>
      </c>
      <c r="P718" s="19">
        <f t="shared" si="90"/>
        <v>0</v>
      </c>
      <c r="Q718" s="14">
        <f t="shared" si="93"/>
        <v>0</v>
      </c>
      <c r="R718" s="19">
        <f t="shared" si="94"/>
        <v>0</v>
      </c>
      <c r="S718" s="19">
        <f t="shared" si="95"/>
        <v>0</v>
      </c>
      <c r="T718" s="14">
        <f t="shared" si="96"/>
        <v>0</v>
      </c>
      <c r="U718" s="18" t="str" cm="1">
        <f t="array" aca="1" ref="U718" ca="1">IF(M718&lt;=$N$1,L718,IF(M718&lt;=($N$1+1),INDIRECT("L"&amp;5+$X$2),""))</f>
        <v/>
      </c>
    </row>
    <row r="719" spans="12:21" hidden="1" x14ac:dyDescent="0.25">
      <c r="L719" s="18">
        <f t="shared" ca="1" si="97"/>
        <v>67947</v>
      </c>
      <c r="M719" s="14">
        <v>714</v>
      </c>
      <c r="N719" s="14">
        <f t="shared" si="91"/>
        <v>0</v>
      </c>
      <c r="O719" s="19">
        <f t="shared" si="92"/>
        <v>0</v>
      </c>
      <c r="P719" s="19">
        <f t="shared" si="90"/>
        <v>0</v>
      </c>
      <c r="Q719" s="14">
        <f t="shared" si="93"/>
        <v>0</v>
      </c>
      <c r="R719" s="19">
        <f t="shared" si="94"/>
        <v>0</v>
      </c>
      <c r="S719" s="19">
        <f t="shared" si="95"/>
        <v>0</v>
      </c>
      <c r="T719" s="14">
        <f t="shared" si="96"/>
        <v>0</v>
      </c>
      <c r="U719" s="18" t="str" cm="1">
        <f t="array" aca="1" ref="U719" ca="1">IF(M719&lt;=$N$1,L719,IF(M719&lt;=($N$1+1),INDIRECT("L"&amp;5+$X$2),""))</f>
        <v/>
      </c>
    </row>
    <row r="720" spans="12:21" hidden="1" x14ac:dyDescent="0.25">
      <c r="L720" s="18">
        <f t="shared" ca="1" si="97"/>
        <v>67978</v>
      </c>
      <c r="M720" s="14">
        <v>715</v>
      </c>
      <c r="N720" s="14">
        <f t="shared" si="91"/>
        <v>0</v>
      </c>
      <c r="O720" s="19">
        <f t="shared" si="92"/>
        <v>0</v>
      </c>
      <c r="P720" s="19">
        <f t="shared" si="90"/>
        <v>0</v>
      </c>
      <c r="Q720" s="14">
        <f t="shared" si="93"/>
        <v>0</v>
      </c>
      <c r="R720" s="19">
        <f t="shared" si="94"/>
        <v>0</v>
      </c>
      <c r="S720" s="19">
        <f t="shared" si="95"/>
        <v>0</v>
      </c>
      <c r="T720" s="14">
        <f t="shared" si="96"/>
        <v>0</v>
      </c>
      <c r="U720" s="18" t="str" cm="1">
        <f t="array" aca="1" ref="U720" ca="1">IF(M720&lt;=$N$1,L720,IF(M720&lt;=($N$1+1),INDIRECT("L"&amp;5+$X$2),""))</f>
        <v/>
      </c>
    </row>
    <row r="721" spans="12:21" hidden="1" x14ac:dyDescent="0.25">
      <c r="L721" s="18">
        <f t="shared" ca="1" si="97"/>
        <v>68006</v>
      </c>
      <c r="M721" s="14">
        <v>716</v>
      </c>
      <c r="N721" s="14">
        <f t="shared" si="91"/>
        <v>0</v>
      </c>
      <c r="O721" s="19">
        <f t="shared" si="92"/>
        <v>0</v>
      </c>
      <c r="P721" s="19">
        <f t="shared" si="90"/>
        <v>0</v>
      </c>
      <c r="Q721" s="14">
        <f t="shared" si="93"/>
        <v>0</v>
      </c>
      <c r="R721" s="19">
        <f t="shared" si="94"/>
        <v>0</v>
      </c>
      <c r="S721" s="19">
        <f t="shared" si="95"/>
        <v>0</v>
      </c>
      <c r="T721" s="14">
        <f t="shared" si="96"/>
        <v>0</v>
      </c>
      <c r="U721" s="18" t="str" cm="1">
        <f t="array" aca="1" ref="U721" ca="1">IF(M721&lt;=$N$1,L721,IF(M721&lt;=($N$1+1),INDIRECT("L"&amp;5+$X$2),""))</f>
        <v/>
      </c>
    </row>
    <row r="722" spans="12:21" hidden="1" x14ac:dyDescent="0.25">
      <c r="L722" s="18">
        <f t="shared" ca="1" si="97"/>
        <v>68037</v>
      </c>
      <c r="M722" s="14">
        <v>717</v>
      </c>
      <c r="N722" s="14">
        <f t="shared" si="91"/>
        <v>0</v>
      </c>
      <c r="O722" s="19">
        <f t="shared" si="92"/>
        <v>0</v>
      </c>
      <c r="P722" s="19">
        <f t="shared" si="90"/>
        <v>0</v>
      </c>
      <c r="Q722" s="14">
        <f t="shared" si="93"/>
        <v>0</v>
      </c>
      <c r="R722" s="19">
        <f t="shared" si="94"/>
        <v>0</v>
      </c>
      <c r="S722" s="19">
        <f t="shared" si="95"/>
        <v>0</v>
      </c>
      <c r="T722" s="14">
        <f t="shared" si="96"/>
        <v>0</v>
      </c>
      <c r="U722" s="18" t="str" cm="1">
        <f t="array" aca="1" ref="U722" ca="1">IF(M722&lt;=$N$1,L722,IF(M722&lt;=($N$1+1),INDIRECT("L"&amp;5+$X$2),""))</f>
        <v/>
      </c>
    </row>
    <row r="723" spans="12:21" hidden="1" x14ac:dyDescent="0.25">
      <c r="L723" s="18">
        <f t="shared" ca="1" si="97"/>
        <v>68067</v>
      </c>
      <c r="M723" s="14">
        <v>718</v>
      </c>
      <c r="N723" s="14">
        <f t="shared" si="91"/>
        <v>0</v>
      </c>
      <c r="O723" s="19">
        <f t="shared" si="92"/>
        <v>0</v>
      </c>
      <c r="P723" s="19">
        <f t="shared" si="90"/>
        <v>0</v>
      </c>
      <c r="Q723" s="14">
        <f t="shared" si="93"/>
        <v>0</v>
      </c>
      <c r="R723" s="19">
        <f t="shared" si="94"/>
        <v>0</v>
      </c>
      <c r="S723" s="19">
        <f t="shared" si="95"/>
        <v>0</v>
      </c>
      <c r="T723" s="14">
        <f t="shared" si="96"/>
        <v>0</v>
      </c>
      <c r="U723" s="18" t="str" cm="1">
        <f t="array" aca="1" ref="U723" ca="1">IF(M723&lt;=$N$1,L723,IF(M723&lt;=($N$1+1),INDIRECT("L"&amp;5+$X$2),""))</f>
        <v/>
      </c>
    </row>
    <row r="724" spans="12:21" hidden="1" x14ac:dyDescent="0.25">
      <c r="L724" s="18">
        <f t="shared" ca="1" si="97"/>
        <v>68098</v>
      </c>
      <c r="M724" s="14">
        <v>719</v>
      </c>
      <c r="N724" s="14">
        <f t="shared" si="91"/>
        <v>0</v>
      </c>
      <c r="O724" s="19">
        <f t="shared" si="92"/>
        <v>0</v>
      </c>
      <c r="P724" s="19">
        <f t="shared" si="90"/>
        <v>0</v>
      </c>
      <c r="Q724" s="14">
        <f t="shared" si="93"/>
        <v>0</v>
      </c>
      <c r="R724" s="19">
        <f t="shared" si="94"/>
        <v>0</v>
      </c>
      <c r="S724" s="19">
        <f t="shared" si="95"/>
        <v>0</v>
      </c>
      <c r="T724" s="14">
        <f t="shared" si="96"/>
        <v>0</v>
      </c>
      <c r="U724" s="18" t="str" cm="1">
        <f t="array" aca="1" ref="U724" ca="1">IF(M724&lt;=$N$1,L724,IF(M724&lt;=($N$1+1),INDIRECT("L"&amp;5+$X$2),""))</f>
        <v/>
      </c>
    </row>
    <row r="725" spans="12:21" hidden="1" x14ac:dyDescent="0.25">
      <c r="L725" s="18">
        <f t="shared" ca="1" si="97"/>
        <v>68128</v>
      </c>
      <c r="M725" s="14">
        <v>720</v>
      </c>
      <c r="N725" s="14">
        <f t="shared" si="91"/>
        <v>0</v>
      </c>
      <c r="O725" s="19">
        <f t="shared" si="92"/>
        <v>0</v>
      </c>
      <c r="P725" s="19">
        <f t="shared" si="90"/>
        <v>0</v>
      </c>
      <c r="Q725" s="14">
        <f t="shared" si="93"/>
        <v>0</v>
      </c>
      <c r="R725" s="19">
        <f t="shared" si="94"/>
        <v>0</v>
      </c>
      <c r="S725" s="19">
        <f t="shared" si="95"/>
        <v>0</v>
      </c>
      <c r="T725" s="14">
        <f t="shared" si="96"/>
        <v>0</v>
      </c>
      <c r="U725" s="18" t="str" cm="1">
        <f t="array" aca="1" ref="U725" ca="1">IF(M725&lt;=$N$1,L725,IF(M725&lt;=($N$1+1),INDIRECT("L"&amp;5+$X$2),""))</f>
        <v/>
      </c>
    </row>
    <row r="726" spans="12:21" hidden="1" x14ac:dyDescent="0.25">
      <c r="L726" s="18">
        <f t="shared" ca="1" si="97"/>
        <v>68159</v>
      </c>
      <c r="M726" s="14">
        <v>721</v>
      </c>
      <c r="N726" s="14">
        <f t="shared" si="91"/>
        <v>0</v>
      </c>
      <c r="O726" s="19">
        <f t="shared" si="92"/>
        <v>0</v>
      </c>
      <c r="P726" s="19">
        <f t="shared" si="90"/>
        <v>0</v>
      </c>
      <c r="Q726" s="14">
        <f t="shared" si="93"/>
        <v>0</v>
      </c>
      <c r="R726" s="19">
        <f t="shared" si="94"/>
        <v>0</v>
      </c>
      <c r="S726" s="19">
        <f t="shared" si="95"/>
        <v>0</v>
      </c>
      <c r="T726" s="14">
        <f t="shared" si="96"/>
        <v>0</v>
      </c>
      <c r="U726" s="18" t="str" cm="1">
        <f t="array" aca="1" ref="U726" ca="1">IF(M726&lt;=$N$1,L726,IF(M726&lt;=($N$1+1),INDIRECT("L"&amp;5+$X$2),""))</f>
        <v/>
      </c>
    </row>
    <row r="727" spans="12:21" hidden="1" x14ac:dyDescent="0.25">
      <c r="L727" s="18">
        <f t="shared" ca="1" si="97"/>
        <v>68190</v>
      </c>
      <c r="M727" s="14">
        <v>722</v>
      </c>
      <c r="N727" s="14">
        <f t="shared" si="91"/>
        <v>0</v>
      </c>
      <c r="O727" s="19">
        <f t="shared" si="92"/>
        <v>0</v>
      </c>
      <c r="P727" s="19">
        <f t="shared" si="90"/>
        <v>0</v>
      </c>
      <c r="Q727" s="14">
        <f t="shared" si="93"/>
        <v>0</v>
      </c>
      <c r="R727" s="19">
        <f t="shared" si="94"/>
        <v>0</v>
      </c>
      <c r="S727" s="19">
        <f t="shared" si="95"/>
        <v>0</v>
      </c>
      <c r="T727" s="14">
        <f t="shared" si="96"/>
        <v>0</v>
      </c>
      <c r="U727" s="18" t="str" cm="1">
        <f t="array" aca="1" ref="U727" ca="1">IF(M727&lt;=$N$1,L727,IF(M727&lt;=($N$1+1),INDIRECT("L"&amp;5+$X$2),""))</f>
        <v/>
      </c>
    </row>
    <row r="728" spans="12:21" hidden="1" x14ac:dyDescent="0.25">
      <c r="L728" s="18">
        <f t="shared" ca="1" si="97"/>
        <v>68220</v>
      </c>
      <c r="M728" s="14">
        <v>723</v>
      </c>
      <c r="N728" s="14">
        <f t="shared" si="91"/>
        <v>0</v>
      </c>
      <c r="O728" s="19">
        <f t="shared" si="92"/>
        <v>0</v>
      </c>
      <c r="P728" s="19">
        <f t="shared" si="90"/>
        <v>0</v>
      </c>
      <c r="Q728" s="14">
        <f t="shared" si="93"/>
        <v>0</v>
      </c>
      <c r="R728" s="19">
        <f t="shared" si="94"/>
        <v>0</v>
      </c>
      <c r="S728" s="19">
        <f t="shared" si="95"/>
        <v>0</v>
      </c>
      <c r="T728" s="14">
        <f t="shared" si="96"/>
        <v>0</v>
      </c>
      <c r="U728" s="18" t="str" cm="1">
        <f t="array" aca="1" ref="U728" ca="1">IF(M728&lt;=$N$1,L728,IF(M728&lt;=($N$1+1),INDIRECT("L"&amp;5+$X$2),""))</f>
        <v/>
      </c>
    </row>
    <row r="729" spans="12:21" hidden="1" x14ac:dyDescent="0.25">
      <c r="L729" s="18">
        <f t="shared" ca="1" si="97"/>
        <v>68251</v>
      </c>
      <c r="M729" s="14">
        <v>724</v>
      </c>
      <c r="N729" s="14">
        <f t="shared" si="91"/>
        <v>0</v>
      </c>
      <c r="O729" s="19">
        <f t="shared" si="92"/>
        <v>0</v>
      </c>
      <c r="P729" s="19">
        <f t="shared" si="90"/>
        <v>0</v>
      </c>
      <c r="Q729" s="14">
        <f t="shared" si="93"/>
        <v>0</v>
      </c>
      <c r="R729" s="19">
        <f t="shared" si="94"/>
        <v>0</v>
      </c>
      <c r="S729" s="19">
        <f t="shared" si="95"/>
        <v>0</v>
      </c>
      <c r="T729" s="14">
        <f t="shared" si="96"/>
        <v>0</v>
      </c>
      <c r="U729" s="18" t="str" cm="1">
        <f t="array" aca="1" ref="U729" ca="1">IF(M729&lt;=$N$1,L729,IF(M729&lt;=($N$1+1),INDIRECT("L"&amp;5+$X$2),""))</f>
        <v/>
      </c>
    </row>
    <row r="730" spans="12:21" hidden="1" x14ac:dyDescent="0.25">
      <c r="L730" s="18">
        <f t="shared" ca="1" si="97"/>
        <v>68281</v>
      </c>
      <c r="M730" s="14">
        <v>725</v>
      </c>
      <c r="N730" s="14">
        <f t="shared" si="91"/>
        <v>0</v>
      </c>
      <c r="O730" s="19">
        <f t="shared" si="92"/>
        <v>0</v>
      </c>
      <c r="P730" s="19">
        <f t="shared" si="90"/>
        <v>0</v>
      </c>
      <c r="Q730" s="14">
        <f t="shared" si="93"/>
        <v>0</v>
      </c>
      <c r="R730" s="19">
        <f t="shared" si="94"/>
        <v>0</v>
      </c>
      <c r="S730" s="19">
        <f t="shared" si="95"/>
        <v>0</v>
      </c>
      <c r="T730" s="14">
        <f t="shared" si="96"/>
        <v>0</v>
      </c>
      <c r="U730" s="18" t="str" cm="1">
        <f t="array" aca="1" ref="U730" ca="1">IF(M730&lt;=$N$1,L730,IF(M730&lt;=($N$1+1),INDIRECT("L"&amp;5+$X$2),""))</f>
        <v/>
      </c>
    </row>
    <row r="731" spans="12:21" hidden="1" x14ac:dyDescent="0.25">
      <c r="L731" s="18">
        <f t="shared" ca="1" si="97"/>
        <v>68312</v>
      </c>
      <c r="M731" s="14">
        <v>726</v>
      </c>
      <c r="N731" s="14">
        <f t="shared" si="91"/>
        <v>0</v>
      </c>
      <c r="O731" s="19">
        <f t="shared" si="92"/>
        <v>0</v>
      </c>
      <c r="P731" s="19">
        <f t="shared" si="90"/>
        <v>0</v>
      </c>
      <c r="Q731" s="14">
        <f t="shared" si="93"/>
        <v>0</v>
      </c>
      <c r="R731" s="19">
        <f t="shared" si="94"/>
        <v>0</v>
      </c>
      <c r="S731" s="19">
        <f t="shared" si="95"/>
        <v>0</v>
      </c>
      <c r="T731" s="14">
        <f t="shared" si="96"/>
        <v>0</v>
      </c>
      <c r="U731" s="18" t="str" cm="1">
        <f t="array" aca="1" ref="U731" ca="1">IF(M731&lt;=$N$1,L731,IF(M731&lt;=($N$1+1),INDIRECT("L"&amp;5+$X$2),""))</f>
        <v/>
      </c>
    </row>
    <row r="732" spans="12:21" hidden="1" x14ac:dyDescent="0.25">
      <c r="L732" s="18">
        <f t="shared" ca="1" si="97"/>
        <v>68343</v>
      </c>
      <c r="M732" s="14">
        <v>727</v>
      </c>
      <c r="N732" s="14">
        <f t="shared" si="91"/>
        <v>0</v>
      </c>
      <c r="O732" s="19">
        <f t="shared" si="92"/>
        <v>0</v>
      </c>
      <c r="P732" s="19">
        <f t="shared" si="90"/>
        <v>0</v>
      </c>
      <c r="Q732" s="14">
        <f t="shared" si="93"/>
        <v>0</v>
      </c>
      <c r="R732" s="19">
        <f t="shared" si="94"/>
        <v>0</v>
      </c>
      <c r="S732" s="19">
        <f t="shared" si="95"/>
        <v>0</v>
      </c>
      <c r="T732" s="14">
        <f t="shared" si="96"/>
        <v>0</v>
      </c>
      <c r="U732" s="18" t="str" cm="1">
        <f t="array" aca="1" ref="U732" ca="1">IF(M732&lt;=$N$1,L732,IF(M732&lt;=($N$1+1),INDIRECT("L"&amp;5+$X$2),""))</f>
        <v/>
      </c>
    </row>
    <row r="733" spans="12:21" hidden="1" x14ac:dyDescent="0.25">
      <c r="L733" s="18">
        <f t="shared" ca="1" si="97"/>
        <v>68371</v>
      </c>
      <c r="M733" s="14">
        <v>728</v>
      </c>
      <c r="N733" s="14">
        <f t="shared" si="91"/>
        <v>0</v>
      </c>
      <c r="O733" s="19">
        <f t="shared" si="92"/>
        <v>0</v>
      </c>
      <c r="P733" s="19">
        <f t="shared" si="90"/>
        <v>0</v>
      </c>
      <c r="Q733" s="14">
        <f t="shared" si="93"/>
        <v>0</v>
      </c>
      <c r="R733" s="19">
        <f t="shared" si="94"/>
        <v>0</v>
      </c>
      <c r="S733" s="19">
        <f t="shared" si="95"/>
        <v>0</v>
      </c>
      <c r="T733" s="14">
        <f t="shared" si="96"/>
        <v>0</v>
      </c>
      <c r="U733" s="18" t="str" cm="1">
        <f t="array" aca="1" ref="U733" ca="1">IF(M733&lt;=$N$1,L733,IF(M733&lt;=($N$1+1),INDIRECT("L"&amp;5+$X$2),""))</f>
        <v/>
      </c>
    </row>
    <row r="734" spans="12:21" hidden="1" x14ac:dyDescent="0.25">
      <c r="L734" s="18">
        <f t="shared" ca="1" si="97"/>
        <v>68402</v>
      </c>
      <c r="M734" s="14">
        <v>729</v>
      </c>
      <c r="N734" s="14">
        <f t="shared" si="91"/>
        <v>0</v>
      </c>
      <c r="O734" s="19">
        <f t="shared" si="92"/>
        <v>0</v>
      </c>
      <c r="P734" s="19">
        <f t="shared" si="90"/>
        <v>0</v>
      </c>
      <c r="Q734" s="14">
        <f t="shared" si="93"/>
        <v>0</v>
      </c>
      <c r="R734" s="19">
        <f t="shared" si="94"/>
        <v>0</v>
      </c>
      <c r="S734" s="19">
        <f t="shared" si="95"/>
        <v>0</v>
      </c>
      <c r="T734" s="14">
        <f t="shared" si="96"/>
        <v>0</v>
      </c>
      <c r="U734" s="18" t="str" cm="1">
        <f t="array" aca="1" ref="U734" ca="1">IF(M734&lt;=$N$1,L734,IF(M734&lt;=($N$1+1),INDIRECT("L"&amp;5+$X$2),""))</f>
        <v/>
      </c>
    </row>
    <row r="735" spans="12:21" hidden="1" x14ac:dyDescent="0.25">
      <c r="L735" s="18">
        <f t="shared" ca="1" si="97"/>
        <v>68432</v>
      </c>
      <c r="M735" s="14">
        <v>730</v>
      </c>
      <c r="N735" s="14">
        <f t="shared" si="91"/>
        <v>0</v>
      </c>
      <c r="O735" s="19">
        <f t="shared" si="92"/>
        <v>0</v>
      </c>
      <c r="P735" s="19">
        <f t="shared" si="90"/>
        <v>0</v>
      </c>
      <c r="Q735" s="14">
        <f t="shared" si="93"/>
        <v>0</v>
      </c>
      <c r="R735" s="19">
        <f t="shared" si="94"/>
        <v>0</v>
      </c>
      <c r="S735" s="19">
        <f t="shared" si="95"/>
        <v>0</v>
      </c>
      <c r="T735" s="14">
        <f t="shared" si="96"/>
        <v>0</v>
      </c>
      <c r="U735" s="18" t="str" cm="1">
        <f t="array" aca="1" ref="U735" ca="1">IF(M735&lt;=$N$1,L735,IF(M735&lt;=($N$1+1),INDIRECT("L"&amp;5+$X$2),""))</f>
        <v/>
      </c>
    </row>
    <row r="736" spans="12:21" hidden="1" x14ac:dyDescent="0.25">
      <c r="L736" s="18">
        <f t="shared" ca="1" si="97"/>
        <v>68463</v>
      </c>
      <c r="M736" s="14">
        <v>731</v>
      </c>
      <c r="N736" s="14">
        <f t="shared" si="91"/>
        <v>0</v>
      </c>
      <c r="O736" s="19">
        <f t="shared" si="92"/>
        <v>0</v>
      </c>
      <c r="P736" s="19">
        <f t="shared" si="90"/>
        <v>0</v>
      </c>
      <c r="Q736" s="14">
        <f t="shared" si="93"/>
        <v>0</v>
      </c>
      <c r="R736" s="19">
        <f t="shared" si="94"/>
        <v>0</v>
      </c>
      <c r="S736" s="19">
        <f t="shared" si="95"/>
        <v>0</v>
      </c>
      <c r="T736" s="14">
        <f t="shared" si="96"/>
        <v>0</v>
      </c>
      <c r="U736" s="18" t="str" cm="1">
        <f t="array" aca="1" ref="U736" ca="1">IF(M736&lt;=$N$1,L736,IF(M736&lt;=($N$1+1),INDIRECT("L"&amp;5+$X$2),""))</f>
        <v/>
      </c>
    </row>
    <row r="737" spans="12:21" hidden="1" x14ac:dyDescent="0.25">
      <c r="L737" s="18">
        <f t="shared" ca="1" si="97"/>
        <v>68493</v>
      </c>
      <c r="M737" s="14">
        <v>732</v>
      </c>
      <c r="N737" s="14">
        <f t="shared" si="91"/>
        <v>0</v>
      </c>
      <c r="O737" s="19">
        <f t="shared" si="92"/>
        <v>0</v>
      </c>
      <c r="P737" s="19">
        <f t="shared" si="90"/>
        <v>0</v>
      </c>
      <c r="Q737" s="14">
        <f t="shared" si="93"/>
        <v>0</v>
      </c>
      <c r="R737" s="19">
        <f t="shared" si="94"/>
        <v>0</v>
      </c>
      <c r="S737" s="19">
        <f t="shared" si="95"/>
        <v>0</v>
      </c>
      <c r="T737" s="14">
        <f t="shared" si="96"/>
        <v>0</v>
      </c>
      <c r="U737" s="18" t="str" cm="1">
        <f t="array" aca="1" ref="U737" ca="1">IF(M737&lt;=$N$1,L737,IF(M737&lt;=($N$1+1),INDIRECT("L"&amp;5+$X$2),""))</f>
        <v/>
      </c>
    </row>
    <row r="738" spans="12:21" hidden="1" x14ac:dyDescent="0.25">
      <c r="L738" s="18">
        <f t="shared" ca="1" si="97"/>
        <v>68524</v>
      </c>
      <c r="M738" s="14">
        <v>733</v>
      </c>
      <c r="N738" s="14">
        <f t="shared" si="91"/>
        <v>0</v>
      </c>
      <c r="O738" s="19">
        <f t="shared" si="92"/>
        <v>0</v>
      </c>
      <c r="P738" s="19">
        <f t="shared" si="90"/>
        <v>0</v>
      </c>
      <c r="Q738" s="14">
        <f t="shared" si="93"/>
        <v>0</v>
      </c>
      <c r="R738" s="19">
        <f t="shared" si="94"/>
        <v>0</v>
      </c>
      <c r="S738" s="19">
        <f t="shared" si="95"/>
        <v>0</v>
      </c>
      <c r="T738" s="14">
        <f t="shared" si="96"/>
        <v>0</v>
      </c>
      <c r="U738" s="18" t="str" cm="1">
        <f t="array" aca="1" ref="U738" ca="1">IF(M738&lt;=$N$1,L738,IF(M738&lt;=($N$1+1),INDIRECT("L"&amp;5+$X$2),""))</f>
        <v/>
      </c>
    </row>
    <row r="739" spans="12:21" hidden="1" x14ac:dyDescent="0.25">
      <c r="L739" s="18">
        <f t="shared" ca="1" si="97"/>
        <v>68555</v>
      </c>
      <c r="M739" s="14">
        <v>734</v>
      </c>
      <c r="N739" s="14">
        <f t="shared" si="91"/>
        <v>0</v>
      </c>
      <c r="O739" s="19">
        <f t="shared" si="92"/>
        <v>0</v>
      </c>
      <c r="P739" s="19">
        <f t="shared" si="90"/>
        <v>0</v>
      </c>
      <c r="Q739" s="14">
        <f t="shared" si="93"/>
        <v>0</v>
      </c>
      <c r="R739" s="19">
        <f t="shared" si="94"/>
        <v>0</v>
      </c>
      <c r="S739" s="19">
        <f t="shared" si="95"/>
        <v>0</v>
      </c>
      <c r="T739" s="14">
        <f t="shared" si="96"/>
        <v>0</v>
      </c>
      <c r="U739" s="18" t="str" cm="1">
        <f t="array" aca="1" ref="U739" ca="1">IF(M739&lt;=$N$1,L739,IF(M739&lt;=($N$1+1),INDIRECT("L"&amp;5+$X$2),""))</f>
        <v/>
      </c>
    </row>
    <row r="740" spans="12:21" hidden="1" x14ac:dyDescent="0.25">
      <c r="L740" s="18">
        <f t="shared" ca="1" si="97"/>
        <v>68585</v>
      </c>
      <c r="M740" s="14">
        <v>735</v>
      </c>
      <c r="N740" s="14">
        <f t="shared" si="91"/>
        <v>0</v>
      </c>
      <c r="O740" s="19">
        <f t="shared" si="92"/>
        <v>0</v>
      </c>
      <c r="P740" s="19">
        <f t="shared" si="90"/>
        <v>0</v>
      </c>
      <c r="Q740" s="14">
        <f t="shared" si="93"/>
        <v>0</v>
      </c>
      <c r="R740" s="19">
        <f t="shared" si="94"/>
        <v>0</v>
      </c>
      <c r="S740" s="19">
        <f t="shared" si="95"/>
        <v>0</v>
      </c>
      <c r="T740" s="14">
        <f t="shared" si="96"/>
        <v>0</v>
      </c>
      <c r="U740" s="18" t="str" cm="1">
        <f t="array" aca="1" ref="U740" ca="1">IF(M740&lt;=$N$1,L740,IF(M740&lt;=($N$1+1),INDIRECT("L"&amp;5+$X$2),""))</f>
        <v/>
      </c>
    </row>
    <row r="741" spans="12:21" hidden="1" x14ac:dyDescent="0.25">
      <c r="L741" s="18">
        <f t="shared" ca="1" si="97"/>
        <v>68616</v>
      </c>
      <c r="M741" s="14">
        <v>736</v>
      </c>
      <c r="N741" s="14">
        <f t="shared" si="91"/>
        <v>0</v>
      </c>
      <c r="O741" s="19">
        <f t="shared" si="92"/>
        <v>0</v>
      </c>
      <c r="P741" s="19">
        <f t="shared" si="90"/>
        <v>0</v>
      </c>
      <c r="Q741" s="14">
        <f t="shared" si="93"/>
        <v>0</v>
      </c>
      <c r="R741" s="19">
        <f t="shared" si="94"/>
        <v>0</v>
      </c>
      <c r="S741" s="19">
        <f t="shared" si="95"/>
        <v>0</v>
      </c>
      <c r="T741" s="14">
        <f t="shared" si="96"/>
        <v>0</v>
      </c>
      <c r="U741" s="18" t="str" cm="1">
        <f t="array" aca="1" ref="U741" ca="1">IF(M741&lt;=$N$1,L741,IF(M741&lt;=($N$1+1),INDIRECT("L"&amp;5+$X$2),""))</f>
        <v/>
      </c>
    </row>
    <row r="742" spans="12:21" hidden="1" x14ac:dyDescent="0.25">
      <c r="L742" s="18">
        <f t="shared" ca="1" si="97"/>
        <v>68646</v>
      </c>
      <c r="M742" s="14">
        <v>737</v>
      </c>
      <c r="N742" s="14">
        <f t="shared" si="91"/>
        <v>0</v>
      </c>
      <c r="O742" s="19">
        <f t="shared" si="92"/>
        <v>0</v>
      </c>
      <c r="P742" s="19">
        <f t="shared" ref="P742:P805" si="98">O742/((1+SIPInflationRate)^(M742/12))</f>
        <v>0</v>
      </c>
      <c r="Q742" s="14">
        <f t="shared" si="93"/>
        <v>0</v>
      </c>
      <c r="R742" s="19">
        <f t="shared" si="94"/>
        <v>0</v>
      </c>
      <c r="S742" s="19">
        <f t="shared" si="95"/>
        <v>0</v>
      </c>
      <c r="T742" s="14">
        <f t="shared" si="96"/>
        <v>0</v>
      </c>
      <c r="U742" s="18" t="str" cm="1">
        <f t="array" aca="1" ref="U742" ca="1">IF(M742&lt;=$N$1,L742,IF(M742&lt;=($N$1+1),INDIRECT("L"&amp;5+$X$2),""))</f>
        <v/>
      </c>
    </row>
    <row r="743" spans="12:21" hidden="1" x14ac:dyDescent="0.25">
      <c r="L743" s="18">
        <f t="shared" ca="1" si="97"/>
        <v>68677</v>
      </c>
      <c r="M743" s="14">
        <v>738</v>
      </c>
      <c r="N743" s="14">
        <f t="shared" si="91"/>
        <v>0</v>
      </c>
      <c r="O743" s="19">
        <f t="shared" si="92"/>
        <v>0</v>
      </c>
      <c r="P743" s="19">
        <f t="shared" si="98"/>
        <v>0</v>
      </c>
      <c r="Q743" s="14">
        <f t="shared" si="93"/>
        <v>0</v>
      </c>
      <c r="R743" s="19">
        <f t="shared" si="94"/>
        <v>0</v>
      </c>
      <c r="S743" s="19">
        <f t="shared" si="95"/>
        <v>0</v>
      </c>
      <c r="T743" s="14">
        <f t="shared" si="96"/>
        <v>0</v>
      </c>
      <c r="U743" s="18" t="str" cm="1">
        <f t="array" aca="1" ref="U743" ca="1">IF(M743&lt;=$N$1,L743,IF(M743&lt;=($N$1+1),INDIRECT("L"&amp;5+$X$2),""))</f>
        <v/>
      </c>
    </row>
    <row r="744" spans="12:21" hidden="1" x14ac:dyDescent="0.25">
      <c r="L744" s="18">
        <f t="shared" ca="1" si="97"/>
        <v>68708</v>
      </c>
      <c r="M744" s="14">
        <v>739</v>
      </c>
      <c r="N744" s="14">
        <f t="shared" si="91"/>
        <v>0</v>
      </c>
      <c r="O744" s="19">
        <f t="shared" si="92"/>
        <v>0</v>
      </c>
      <c r="P744" s="19">
        <f t="shared" si="98"/>
        <v>0</v>
      </c>
      <c r="Q744" s="14">
        <f t="shared" si="93"/>
        <v>0</v>
      </c>
      <c r="R744" s="19">
        <f t="shared" si="94"/>
        <v>0</v>
      </c>
      <c r="S744" s="19">
        <f t="shared" si="95"/>
        <v>0</v>
      </c>
      <c r="T744" s="14">
        <f t="shared" si="96"/>
        <v>0</v>
      </c>
      <c r="U744" s="18" t="str" cm="1">
        <f t="array" aca="1" ref="U744" ca="1">IF(M744&lt;=$N$1,L744,IF(M744&lt;=($N$1+1),INDIRECT("L"&amp;5+$X$2),""))</f>
        <v/>
      </c>
    </row>
    <row r="745" spans="12:21" hidden="1" x14ac:dyDescent="0.25">
      <c r="L745" s="18">
        <f t="shared" ca="1" si="97"/>
        <v>68737</v>
      </c>
      <c r="M745" s="14">
        <v>740</v>
      </c>
      <c r="N745" s="14">
        <f t="shared" si="91"/>
        <v>0</v>
      </c>
      <c r="O745" s="19">
        <f t="shared" si="92"/>
        <v>0</v>
      </c>
      <c r="P745" s="19">
        <f t="shared" si="98"/>
        <v>0</v>
      </c>
      <c r="Q745" s="14">
        <f t="shared" si="93"/>
        <v>0</v>
      </c>
      <c r="R745" s="19">
        <f t="shared" si="94"/>
        <v>0</v>
      </c>
      <c r="S745" s="19">
        <f t="shared" si="95"/>
        <v>0</v>
      </c>
      <c r="T745" s="14">
        <f t="shared" si="96"/>
        <v>0</v>
      </c>
      <c r="U745" s="18" t="str" cm="1">
        <f t="array" aca="1" ref="U745" ca="1">IF(M745&lt;=$N$1,L745,IF(M745&lt;=($N$1+1),INDIRECT("L"&amp;5+$X$2),""))</f>
        <v/>
      </c>
    </row>
    <row r="746" spans="12:21" hidden="1" x14ac:dyDescent="0.25">
      <c r="L746" s="18">
        <f t="shared" ca="1" si="97"/>
        <v>68768</v>
      </c>
      <c r="M746" s="14">
        <v>741</v>
      </c>
      <c r="N746" s="14">
        <f t="shared" si="91"/>
        <v>0</v>
      </c>
      <c r="O746" s="19">
        <f t="shared" si="92"/>
        <v>0</v>
      </c>
      <c r="P746" s="19">
        <f t="shared" si="98"/>
        <v>0</v>
      </c>
      <c r="Q746" s="14">
        <f t="shared" si="93"/>
        <v>0</v>
      </c>
      <c r="R746" s="19">
        <f t="shared" si="94"/>
        <v>0</v>
      </c>
      <c r="S746" s="19">
        <f t="shared" si="95"/>
        <v>0</v>
      </c>
      <c r="T746" s="14">
        <f t="shared" si="96"/>
        <v>0</v>
      </c>
      <c r="U746" s="18" t="str" cm="1">
        <f t="array" aca="1" ref="U746" ca="1">IF(M746&lt;=$N$1,L746,IF(M746&lt;=($N$1+1),INDIRECT("L"&amp;5+$X$2),""))</f>
        <v/>
      </c>
    </row>
    <row r="747" spans="12:21" hidden="1" x14ac:dyDescent="0.25">
      <c r="L747" s="18">
        <f t="shared" ca="1" si="97"/>
        <v>68798</v>
      </c>
      <c r="M747" s="14">
        <v>742</v>
      </c>
      <c r="N747" s="14">
        <f t="shared" si="91"/>
        <v>0</v>
      </c>
      <c r="O747" s="19">
        <f t="shared" si="92"/>
        <v>0</v>
      </c>
      <c r="P747" s="19">
        <f t="shared" si="98"/>
        <v>0</v>
      </c>
      <c r="Q747" s="14">
        <f t="shared" si="93"/>
        <v>0</v>
      </c>
      <c r="R747" s="19">
        <f t="shared" si="94"/>
        <v>0</v>
      </c>
      <c r="S747" s="19">
        <f t="shared" si="95"/>
        <v>0</v>
      </c>
      <c r="T747" s="14">
        <f t="shared" si="96"/>
        <v>0</v>
      </c>
      <c r="U747" s="18" t="str" cm="1">
        <f t="array" aca="1" ref="U747" ca="1">IF(M747&lt;=$N$1,L747,IF(M747&lt;=($N$1+1),INDIRECT("L"&amp;5+$X$2),""))</f>
        <v/>
      </c>
    </row>
    <row r="748" spans="12:21" hidden="1" x14ac:dyDescent="0.25">
      <c r="L748" s="18">
        <f t="shared" ca="1" si="97"/>
        <v>68829</v>
      </c>
      <c r="M748" s="14">
        <v>743</v>
      </c>
      <c r="N748" s="14">
        <f t="shared" si="91"/>
        <v>0</v>
      </c>
      <c r="O748" s="19">
        <f t="shared" si="92"/>
        <v>0</v>
      </c>
      <c r="P748" s="19">
        <f t="shared" si="98"/>
        <v>0</v>
      </c>
      <c r="Q748" s="14">
        <f t="shared" si="93"/>
        <v>0</v>
      </c>
      <c r="R748" s="19">
        <f t="shared" si="94"/>
        <v>0</v>
      </c>
      <c r="S748" s="19">
        <f t="shared" si="95"/>
        <v>0</v>
      </c>
      <c r="T748" s="14">
        <f t="shared" si="96"/>
        <v>0</v>
      </c>
      <c r="U748" s="18" t="str" cm="1">
        <f t="array" aca="1" ref="U748" ca="1">IF(M748&lt;=$N$1,L748,IF(M748&lt;=($N$1+1),INDIRECT("L"&amp;5+$X$2),""))</f>
        <v/>
      </c>
    </row>
    <row r="749" spans="12:21" hidden="1" x14ac:dyDescent="0.25">
      <c r="L749" s="18">
        <f t="shared" ca="1" si="97"/>
        <v>68859</v>
      </c>
      <c r="M749" s="14">
        <v>744</v>
      </c>
      <c r="N749" s="14">
        <f t="shared" si="91"/>
        <v>0</v>
      </c>
      <c r="O749" s="19">
        <f t="shared" si="92"/>
        <v>0</v>
      </c>
      <c r="P749" s="19">
        <f t="shared" si="98"/>
        <v>0</v>
      </c>
      <c r="Q749" s="14">
        <f t="shared" si="93"/>
        <v>0</v>
      </c>
      <c r="R749" s="19">
        <f t="shared" si="94"/>
        <v>0</v>
      </c>
      <c r="S749" s="19">
        <f t="shared" si="95"/>
        <v>0</v>
      </c>
      <c r="T749" s="14">
        <f t="shared" si="96"/>
        <v>0</v>
      </c>
      <c r="U749" s="18" t="str" cm="1">
        <f t="array" aca="1" ref="U749" ca="1">IF(M749&lt;=$N$1,L749,IF(M749&lt;=($N$1+1),INDIRECT("L"&amp;5+$X$2),""))</f>
        <v/>
      </c>
    </row>
    <row r="750" spans="12:21" hidden="1" x14ac:dyDescent="0.25">
      <c r="L750" s="18">
        <f t="shared" ca="1" si="97"/>
        <v>68890</v>
      </c>
      <c r="M750" s="14">
        <v>745</v>
      </c>
      <c r="N750" s="14">
        <f t="shared" si="91"/>
        <v>0</v>
      </c>
      <c r="O750" s="19">
        <f t="shared" si="92"/>
        <v>0</v>
      </c>
      <c r="P750" s="19">
        <f t="shared" si="98"/>
        <v>0</v>
      </c>
      <c r="Q750" s="14">
        <f t="shared" si="93"/>
        <v>0</v>
      </c>
      <c r="R750" s="19">
        <f t="shared" si="94"/>
        <v>0</v>
      </c>
      <c r="S750" s="19">
        <f t="shared" si="95"/>
        <v>0</v>
      </c>
      <c r="T750" s="14">
        <f t="shared" si="96"/>
        <v>0</v>
      </c>
      <c r="U750" s="18" t="str" cm="1">
        <f t="array" aca="1" ref="U750" ca="1">IF(M750&lt;=$N$1,L750,IF(M750&lt;=($N$1+1),INDIRECT("L"&amp;5+$X$2),""))</f>
        <v/>
      </c>
    </row>
    <row r="751" spans="12:21" hidden="1" x14ac:dyDescent="0.25">
      <c r="L751" s="18">
        <f t="shared" ca="1" si="97"/>
        <v>68921</v>
      </c>
      <c r="M751" s="14">
        <v>746</v>
      </c>
      <c r="N751" s="14">
        <f t="shared" si="91"/>
        <v>0</v>
      </c>
      <c r="O751" s="19">
        <f t="shared" si="92"/>
        <v>0</v>
      </c>
      <c r="P751" s="19">
        <f t="shared" si="98"/>
        <v>0</v>
      </c>
      <c r="Q751" s="14">
        <f t="shared" si="93"/>
        <v>0</v>
      </c>
      <c r="R751" s="19">
        <f t="shared" si="94"/>
        <v>0</v>
      </c>
      <c r="S751" s="19">
        <f t="shared" si="95"/>
        <v>0</v>
      </c>
      <c r="T751" s="14">
        <f t="shared" si="96"/>
        <v>0</v>
      </c>
      <c r="U751" s="18" t="str" cm="1">
        <f t="array" aca="1" ref="U751" ca="1">IF(M751&lt;=$N$1,L751,IF(M751&lt;=($N$1+1),INDIRECT("L"&amp;5+$X$2),""))</f>
        <v/>
      </c>
    </row>
    <row r="752" spans="12:21" hidden="1" x14ac:dyDescent="0.25">
      <c r="L752" s="18">
        <f t="shared" ca="1" si="97"/>
        <v>68951</v>
      </c>
      <c r="M752" s="14">
        <v>747</v>
      </c>
      <c r="N752" s="14">
        <f t="shared" si="91"/>
        <v>0</v>
      </c>
      <c r="O752" s="19">
        <f t="shared" si="92"/>
        <v>0</v>
      </c>
      <c r="P752" s="19">
        <f t="shared" si="98"/>
        <v>0</v>
      </c>
      <c r="Q752" s="14">
        <f t="shared" si="93"/>
        <v>0</v>
      </c>
      <c r="R752" s="19">
        <f t="shared" si="94"/>
        <v>0</v>
      </c>
      <c r="S752" s="19">
        <f t="shared" si="95"/>
        <v>0</v>
      </c>
      <c r="T752" s="14">
        <f t="shared" si="96"/>
        <v>0</v>
      </c>
      <c r="U752" s="18" t="str" cm="1">
        <f t="array" aca="1" ref="U752" ca="1">IF(M752&lt;=$N$1,L752,IF(M752&lt;=($N$1+1),INDIRECT("L"&amp;5+$X$2),""))</f>
        <v/>
      </c>
    </row>
    <row r="753" spans="12:21" hidden="1" x14ac:dyDescent="0.25">
      <c r="L753" s="18">
        <f t="shared" ca="1" si="97"/>
        <v>68982</v>
      </c>
      <c r="M753" s="14">
        <v>748</v>
      </c>
      <c r="N753" s="14">
        <f t="shared" si="91"/>
        <v>0</v>
      </c>
      <c r="O753" s="19">
        <f t="shared" si="92"/>
        <v>0</v>
      </c>
      <c r="P753" s="19">
        <f t="shared" si="98"/>
        <v>0</v>
      </c>
      <c r="Q753" s="14">
        <f t="shared" si="93"/>
        <v>0</v>
      </c>
      <c r="R753" s="19">
        <f t="shared" si="94"/>
        <v>0</v>
      </c>
      <c r="S753" s="19">
        <f t="shared" si="95"/>
        <v>0</v>
      </c>
      <c r="T753" s="14">
        <f t="shared" si="96"/>
        <v>0</v>
      </c>
      <c r="U753" s="18" t="str" cm="1">
        <f t="array" aca="1" ref="U753" ca="1">IF(M753&lt;=$N$1,L753,IF(M753&lt;=($N$1+1),INDIRECT("L"&amp;5+$X$2),""))</f>
        <v/>
      </c>
    </row>
    <row r="754" spans="12:21" hidden="1" x14ac:dyDescent="0.25">
      <c r="L754" s="18">
        <f t="shared" ca="1" si="97"/>
        <v>69012</v>
      </c>
      <c r="M754" s="14">
        <v>749</v>
      </c>
      <c r="N754" s="14">
        <f t="shared" si="91"/>
        <v>0</v>
      </c>
      <c r="O754" s="19">
        <f t="shared" si="92"/>
        <v>0</v>
      </c>
      <c r="P754" s="19">
        <f t="shared" si="98"/>
        <v>0</v>
      </c>
      <c r="Q754" s="14">
        <f t="shared" si="93"/>
        <v>0</v>
      </c>
      <c r="R754" s="19">
        <f t="shared" si="94"/>
        <v>0</v>
      </c>
      <c r="S754" s="19">
        <f t="shared" si="95"/>
        <v>0</v>
      </c>
      <c r="T754" s="14">
        <f t="shared" si="96"/>
        <v>0</v>
      </c>
      <c r="U754" s="18" t="str" cm="1">
        <f t="array" aca="1" ref="U754" ca="1">IF(M754&lt;=$N$1,L754,IF(M754&lt;=($N$1+1),INDIRECT("L"&amp;5+$X$2),""))</f>
        <v/>
      </c>
    </row>
    <row r="755" spans="12:21" hidden="1" x14ac:dyDescent="0.25">
      <c r="L755" s="18">
        <f t="shared" ca="1" si="97"/>
        <v>69043</v>
      </c>
      <c r="M755" s="14">
        <v>750</v>
      </c>
      <c r="N755" s="14">
        <f t="shared" si="91"/>
        <v>0</v>
      </c>
      <c r="O755" s="19">
        <f t="shared" si="92"/>
        <v>0</v>
      </c>
      <c r="P755" s="19">
        <f t="shared" si="98"/>
        <v>0</v>
      </c>
      <c r="Q755" s="14">
        <f t="shared" si="93"/>
        <v>0</v>
      </c>
      <c r="R755" s="19">
        <f t="shared" si="94"/>
        <v>0</v>
      </c>
      <c r="S755" s="19">
        <f t="shared" si="95"/>
        <v>0</v>
      </c>
      <c r="T755" s="14">
        <f t="shared" si="96"/>
        <v>0</v>
      </c>
      <c r="U755" s="18" t="str" cm="1">
        <f t="array" aca="1" ref="U755" ca="1">IF(M755&lt;=$N$1,L755,IF(M755&lt;=($N$1+1),INDIRECT("L"&amp;5+$X$2),""))</f>
        <v/>
      </c>
    </row>
    <row r="756" spans="12:21" hidden="1" x14ac:dyDescent="0.25">
      <c r="L756" s="18">
        <f t="shared" ca="1" si="97"/>
        <v>69074</v>
      </c>
      <c r="M756" s="14">
        <v>751</v>
      </c>
      <c r="N756" s="14">
        <f t="shared" si="91"/>
        <v>0</v>
      </c>
      <c r="O756" s="19">
        <f t="shared" si="92"/>
        <v>0</v>
      </c>
      <c r="P756" s="19">
        <f t="shared" si="98"/>
        <v>0</v>
      </c>
      <c r="Q756" s="14">
        <f t="shared" si="93"/>
        <v>0</v>
      </c>
      <c r="R756" s="19">
        <f t="shared" si="94"/>
        <v>0</v>
      </c>
      <c r="S756" s="19">
        <f t="shared" si="95"/>
        <v>0</v>
      </c>
      <c r="T756" s="14">
        <f t="shared" si="96"/>
        <v>0</v>
      </c>
      <c r="U756" s="18" t="str" cm="1">
        <f t="array" aca="1" ref="U756" ca="1">IF(M756&lt;=$N$1,L756,IF(M756&lt;=($N$1+1),INDIRECT("L"&amp;5+$X$2),""))</f>
        <v/>
      </c>
    </row>
    <row r="757" spans="12:21" hidden="1" x14ac:dyDescent="0.25">
      <c r="L757" s="18">
        <f t="shared" ca="1" si="97"/>
        <v>69102</v>
      </c>
      <c r="M757" s="14">
        <v>752</v>
      </c>
      <c r="N757" s="14">
        <f t="shared" si="91"/>
        <v>0</v>
      </c>
      <c r="O757" s="19">
        <f t="shared" si="92"/>
        <v>0</v>
      </c>
      <c r="P757" s="19">
        <f t="shared" si="98"/>
        <v>0</v>
      </c>
      <c r="Q757" s="14">
        <f t="shared" si="93"/>
        <v>0</v>
      </c>
      <c r="R757" s="19">
        <f t="shared" si="94"/>
        <v>0</v>
      </c>
      <c r="S757" s="19">
        <f t="shared" si="95"/>
        <v>0</v>
      </c>
      <c r="T757" s="14">
        <f t="shared" si="96"/>
        <v>0</v>
      </c>
      <c r="U757" s="18" t="str" cm="1">
        <f t="array" aca="1" ref="U757" ca="1">IF(M757&lt;=$N$1,L757,IF(M757&lt;=($N$1+1),INDIRECT("L"&amp;5+$X$2),""))</f>
        <v/>
      </c>
    </row>
    <row r="758" spans="12:21" hidden="1" x14ac:dyDescent="0.25">
      <c r="L758" s="18">
        <f t="shared" ca="1" si="97"/>
        <v>69133</v>
      </c>
      <c r="M758" s="14">
        <v>753</v>
      </c>
      <c r="N758" s="14">
        <f t="shared" si="91"/>
        <v>0</v>
      </c>
      <c r="O758" s="19">
        <f t="shared" si="92"/>
        <v>0</v>
      </c>
      <c r="P758" s="19">
        <f t="shared" si="98"/>
        <v>0</v>
      </c>
      <c r="Q758" s="14">
        <f t="shared" si="93"/>
        <v>0</v>
      </c>
      <c r="R758" s="19">
        <f t="shared" si="94"/>
        <v>0</v>
      </c>
      <c r="S758" s="19">
        <f t="shared" si="95"/>
        <v>0</v>
      </c>
      <c r="T758" s="14">
        <f t="shared" si="96"/>
        <v>0</v>
      </c>
      <c r="U758" s="18" t="str" cm="1">
        <f t="array" aca="1" ref="U758" ca="1">IF(M758&lt;=$N$1,L758,IF(M758&lt;=($N$1+1),INDIRECT("L"&amp;5+$X$2),""))</f>
        <v/>
      </c>
    </row>
    <row r="759" spans="12:21" hidden="1" x14ac:dyDescent="0.25">
      <c r="L759" s="18">
        <f t="shared" ca="1" si="97"/>
        <v>69163</v>
      </c>
      <c r="M759" s="14">
        <v>754</v>
      </c>
      <c r="N759" s="14">
        <f t="shared" si="91"/>
        <v>0</v>
      </c>
      <c r="O759" s="19">
        <f t="shared" si="92"/>
        <v>0</v>
      </c>
      <c r="P759" s="19">
        <f t="shared" si="98"/>
        <v>0</v>
      </c>
      <c r="Q759" s="14">
        <f t="shared" si="93"/>
        <v>0</v>
      </c>
      <c r="R759" s="19">
        <f t="shared" si="94"/>
        <v>0</v>
      </c>
      <c r="S759" s="19">
        <f t="shared" si="95"/>
        <v>0</v>
      </c>
      <c r="T759" s="14">
        <f t="shared" si="96"/>
        <v>0</v>
      </c>
      <c r="U759" s="18" t="str" cm="1">
        <f t="array" aca="1" ref="U759" ca="1">IF(M759&lt;=$N$1,L759,IF(M759&lt;=($N$1+1),INDIRECT("L"&amp;5+$X$2),""))</f>
        <v/>
      </c>
    </row>
    <row r="760" spans="12:21" hidden="1" x14ac:dyDescent="0.25">
      <c r="L760" s="18">
        <f t="shared" ca="1" si="97"/>
        <v>69194</v>
      </c>
      <c r="M760" s="14">
        <v>755</v>
      </c>
      <c r="N760" s="14">
        <f t="shared" si="91"/>
        <v>0</v>
      </c>
      <c r="O760" s="19">
        <f t="shared" si="92"/>
        <v>0</v>
      </c>
      <c r="P760" s="19">
        <f t="shared" si="98"/>
        <v>0</v>
      </c>
      <c r="Q760" s="14">
        <f t="shared" si="93"/>
        <v>0</v>
      </c>
      <c r="R760" s="19">
        <f t="shared" si="94"/>
        <v>0</v>
      </c>
      <c r="S760" s="19">
        <f t="shared" si="95"/>
        <v>0</v>
      </c>
      <c r="T760" s="14">
        <f t="shared" si="96"/>
        <v>0</v>
      </c>
      <c r="U760" s="18" t="str" cm="1">
        <f t="array" aca="1" ref="U760" ca="1">IF(M760&lt;=$N$1,L760,IF(M760&lt;=($N$1+1),INDIRECT("L"&amp;5+$X$2),""))</f>
        <v/>
      </c>
    </row>
    <row r="761" spans="12:21" hidden="1" x14ac:dyDescent="0.25">
      <c r="L761" s="18">
        <f t="shared" ca="1" si="97"/>
        <v>69224</v>
      </c>
      <c r="M761" s="14">
        <v>756</v>
      </c>
      <c r="N761" s="14">
        <f t="shared" si="91"/>
        <v>0</v>
      </c>
      <c r="O761" s="19">
        <f t="shared" si="92"/>
        <v>0</v>
      </c>
      <c r="P761" s="19">
        <f t="shared" si="98"/>
        <v>0</v>
      </c>
      <c r="Q761" s="14">
        <f t="shared" si="93"/>
        <v>0</v>
      </c>
      <c r="R761" s="19">
        <f t="shared" si="94"/>
        <v>0</v>
      </c>
      <c r="S761" s="19">
        <f t="shared" si="95"/>
        <v>0</v>
      </c>
      <c r="T761" s="14">
        <f t="shared" si="96"/>
        <v>0</v>
      </c>
      <c r="U761" s="18" t="str" cm="1">
        <f t="array" aca="1" ref="U761" ca="1">IF(M761&lt;=$N$1,L761,IF(M761&lt;=($N$1+1),INDIRECT("L"&amp;5+$X$2),""))</f>
        <v/>
      </c>
    </row>
    <row r="762" spans="12:21" hidden="1" x14ac:dyDescent="0.25">
      <c r="L762" s="18">
        <f t="shared" ca="1" si="97"/>
        <v>69255</v>
      </c>
      <c r="M762" s="14">
        <v>757</v>
      </c>
      <c r="N762" s="14">
        <f t="shared" si="91"/>
        <v>0</v>
      </c>
      <c r="O762" s="19">
        <f t="shared" si="92"/>
        <v>0</v>
      </c>
      <c r="P762" s="19">
        <f t="shared" si="98"/>
        <v>0</v>
      </c>
      <c r="Q762" s="14">
        <f t="shared" si="93"/>
        <v>0</v>
      </c>
      <c r="R762" s="19">
        <f t="shared" si="94"/>
        <v>0</v>
      </c>
      <c r="S762" s="19">
        <f t="shared" si="95"/>
        <v>0</v>
      </c>
      <c r="T762" s="14">
        <f t="shared" si="96"/>
        <v>0</v>
      </c>
      <c r="U762" s="18" t="str" cm="1">
        <f t="array" aca="1" ref="U762" ca="1">IF(M762&lt;=$N$1,L762,IF(M762&lt;=($N$1+1),INDIRECT("L"&amp;5+$X$2),""))</f>
        <v/>
      </c>
    </row>
    <row r="763" spans="12:21" hidden="1" x14ac:dyDescent="0.25">
      <c r="L763" s="18">
        <f t="shared" ca="1" si="97"/>
        <v>69286</v>
      </c>
      <c r="M763" s="14">
        <v>758</v>
      </c>
      <c r="N763" s="14">
        <f t="shared" si="91"/>
        <v>0</v>
      </c>
      <c r="O763" s="19">
        <f t="shared" si="92"/>
        <v>0</v>
      </c>
      <c r="P763" s="19">
        <f t="shared" si="98"/>
        <v>0</v>
      </c>
      <c r="Q763" s="14">
        <f t="shared" si="93"/>
        <v>0</v>
      </c>
      <c r="R763" s="19">
        <f t="shared" si="94"/>
        <v>0</v>
      </c>
      <c r="S763" s="19">
        <f t="shared" si="95"/>
        <v>0</v>
      </c>
      <c r="T763" s="14">
        <f t="shared" si="96"/>
        <v>0</v>
      </c>
      <c r="U763" s="18" t="str" cm="1">
        <f t="array" aca="1" ref="U763" ca="1">IF(M763&lt;=$N$1,L763,IF(M763&lt;=($N$1+1),INDIRECT("L"&amp;5+$X$2),""))</f>
        <v/>
      </c>
    </row>
    <row r="764" spans="12:21" hidden="1" x14ac:dyDescent="0.25">
      <c r="L764" s="18">
        <f t="shared" ca="1" si="97"/>
        <v>69316</v>
      </c>
      <c r="M764" s="14">
        <v>759</v>
      </c>
      <c r="N764" s="14">
        <f t="shared" si="91"/>
        <v>0</v>
      </c>
      <c r="O764" s="19">
        <f t="shared" si="92"/>
        <v>0</v>
      </c>
      <c r="P764" s="19">
        <f t="shared" si="98"/>
        <v>0</v>
      </c>
      <c r="Q764" s="14">
        <f t="shared" si="93"/>
        <v>0</v>
      </c>
      <c r="R764" s="19">
        <f t="shared" si="94"/>
        <v>0</v>
      </c>
      <c r="S764" s="19">
        <f t="shared" si="95"/>
        <v>0</v>
      </c>
      <c r="T764" s="14">
        <f t="shared" si="96"/>
        <v>0</v>
      </c>
      <c r="U764" s="18" t="str" cm="1">
        <f t="array" aca="1" ref="U764" ca="1">IF(M764&lt;=$N$1,L764,IF(M764&lt;=($N$1+1),INDIRECT("L"&amp;5+$X$2),""))</f>
        <v/>
      </c>
    </row>
    <row r="765" spans="12:21" hidden="1" x14ac:dyDescent="0.25">
      <c r="L765" s="18">
        <f t="shared" ca="1" si="97"/>
        <v>69347</v>
      </c>
      <c r="M765" s="14">
        <v>760</v>
      </c>
      <c r="N765" s="14">
        <f t="shared" si="91"/>
        <v>0</v>
      </c>
      <c r="O765" s="19">
        <f t="shared" si="92"/>
        <v>0</v>
      </c>
      <c r="P765" s="19">
        <f t="shared" si="98"/>
        <v>0</v>
      </c>
      <c r="Q765" s="14">
        <f t="shared" si="93"/>
        <v>0</v>
      </c>
      <c r="R765" s="19">
        <f t="shared" si="94"/>
        <v>0</v>
      </c>
      <c r="S765" s="19">
        <f t="shared" si="95"/>
        <v>0</v>
      </c>
      <c r="T765" s="14">
        <f t="shared" si="96"/>
        <v>0</v>
      </c>
      <c r="U765" s="18" t="str" cm="1">
        <f t="array" aca="1" ref="U765" ca="1">IF(M765&lt;=$N$1,L765,IF(M765&lt;=($N$1+1),INDIRECT("L"&amp;5+$X$2),""))</f>
        <v/>
      </c>
    </row>
    <row r="766" spans="12:21" hidden="1" x14ac:dyDescent="0.25">
      <c r="L766" s="18">
        <f t="shared" ca="1" si="97"/>
        <v>69377</v>
      </c>
      <c r="M766" s="14">
        <v>761</v>
      </c>
      <c r="N766" s="14">
        <f t="shared" si="91"/>
        <v>0</v>
      </c>
      <c r="O766" s="19">
        <f t="shared" si="92"/>
        <v>0</v>
      </c>
      <c r="P766" s="19">
        <f t="shared" si="98"/>
        <v>0</v>
      </c>
      <c r="Q766" s="14">
        <f t="shared" si="93"/>
        <v>0</v>
      </c>
      <c r="R766" s="19">
        <f t="shared" si="94"/>
        <v>0</v>
      </c>
      <c r="S766" s="19">
        <f t="shared" si="95"/>
        <v>0</v>
      </c>
      <c r="T766" s="14">
        <f t="shared" si="96"/>
        <v>0</v>
      </c>
      <c r="U766" s="18" t="str" cm="1">
        <f t="array" aca="1" ref="U766" ca="1">IF(M766&lt;=$N$1,L766,IF(M766&lt;=($N$1+1),INDIRECT("L"&amp;5+$X$2),""))</f>
        <v/>
      </c>
    </row>
    <row r="767" spans="12:21" hidden="1" x14ac:dyDescent="0.25">
      <c r="L767" s="18">
        <f t="shared" ca="1" si="97"/>
        <v>69408</v>
      </c>
      <c r="M767" s="14">
        <v>762</v>
      </c>
      <c r="N767" s="14">
        <f t="shared" si="91"/>
        <v>0</v>
      </c>
      <c r="O767" s="19">
        <f t="shared" si="92"/>
        <v>0</v>
      </c>
      <c r="P767" s="19">
        <f t="shared" si="98"/>
        <v>0</v>
      </c>
      <c r="Q767" s="14">
        <f t="shared" si="93"/>
        <v>0</v>
      </c>
      <c r="R767" s="19">
        <f t="shared" si="94"/>
        <v>0</v>
      </c>
      <c r="S767" s="19">
        <f t="shared" si="95"/>
        <v>0</v>
      </c>
      <c r="T767" s="14">
        <f t="shared" si="96"/>
        <v>0</v>
      </c>
      <c r="U767" s="18" t="str" cm="1">
        <f t="array" aca="1" ref="U767" ca="1">IF(M767&lt;=$N$1,L767,IF(M767&lt;=($N$1+1),INDIRECT("L"&amp;5+$X$2),""))</f>
        <v/>
      </c>
    </row>
    <row r="768" spans="12:21" hidden="1" x14ac:dyDescent="0.25">
      <c r="L768" s="18">
        <f t="shared" ca="1" si="97"/>
        <v>69439</v>
      </c>
      <c r="M768" s="14">
        <v>763</v>
      </c>
      <c r="N768" s="14">
        <f t="shared" si="91"/>
        <v>0</v>
      </c>
      <c r="O768" s="19">
        <f t="shared" si="92"/>
        <v>0</v>
      </c>
      <c r="P768" s="19">
        <f t="shared" si="98"/>
        <v>0</v>
      </c>
      <c r="Q768" s="14">
        <f t="shared" si="93"/>
        <v>0</v>
      </c>
      <c r="R768" s="19">
        <f t="shared" si="94"/>
        <v>0</v>
      </c>
      <c r="S768" s="19">
        <f t="shared" si="95"/>
        <v>0</v>
      </c>
      <c r="T768" s="14">
        <f t="shared" si="96"/>
        <v>0</v>
      </c>
      <c r="U768" s="18" t="str" cm="1">
        <f t="array" aca="1" ref="U768" ca="1">IF(M768&lt;=$N$1,L768,IF(M768&lt;=($N$1+1),INDIRECT("L"&amp;5+$X$2),""))</f>
        <v/>
      </c>
    </row>
    <row r="769" spans="12:21" hidden="1" x14ac:dyDescent="0.25">
      <c r="L769" s="18">
        <f t="shared" ca="1" si="97"/>
        <v>69467</v>
      </c>
      <c r="M769" s="14">
        <v>764</v>
      </c>
      <c r="N769" s="14">
        <f t="shared" si="91"/>
        <v>0</v>
      </c>
      <c r="O769" s="19">
        <f t="shared" si="92"/>
        <v>0</v>
      </c>
      <c r="P769" s="19">
        <f t="shared" si="98"/>
        <v>0</v>
      </c>
      <c r="Q769" s="14">
        <f t="shared" si="93"/>
        <v>0</v>
      </c>
      <c r="R769" s="19">
        <f t="shared" si="94"/>
        <v>0</v>
      </c>
      <c r="S769" s="19">
        <f t="shared" si="95"/>
        <v>0</v>
      </c>
      <c r="T769" s="14">
        <f t="shared" si="96"/>
        <v>0</v>
      </c>
      <c r="U769" s="18" t="str" cm="1">
        <f t="array" aca="1" ref="U769" ca="1">IF(M769&lt;=$N$1,L769,IF(M769&lt;=($N$1+1),INDIRECT("L"&amp;5+$X$2),""))</f>
        <v/>
      </c>
    </row>
    <row r="770" spans="12:21" hidden="1" x14ac:dyDescent="0.25">
      <c r="L770" s="18">
        <f t="shared" ca="1" si="97"/>
        <v>69498</v>
      </c>
      <c r="M770" s="14">
        <v>765</v>
      </c>
      <c r="N770" s="14">
        <f t="shared" si="91"/>
        <v>0</v>
      </c>
      <c r="O770" s="19">
        <f t="shared" si="92"/>
        <v>0</v>
      </c>
      <c r="P770" s="19">
        <f t="shared" si="98"/>
        <v>0</v>
      </c>
      <c r="Q770" s="14">
        <f t="shared" si="93"/>
        <v>0</v>
      </c>
      <c r="R770" s="19">
        <f t="shared" si="94"/>
        <v>0</v>
      </c>
      <c r="S770" s="19">
        <f t="shared" si="95"/>
        <v>0</v>
      </c>
      <c r="T770" s="14">
        <f t="shared" si="96"/>
        <v>0</v>
      </c>
      <c r="U770" s="18" t="str" cm="1">
        <f t="array" aca="1" ref="U770" ca="1">IF(M770&lt;=$N$1,L770,IF(M770&lt;=($N$1+1),INDIRECT("L"&amp;5+$X$2),""))</f>
        <v/>
      </c>
    </row>
    <row r="771" spans="12:21" hidden="1" x14ac:dyDescent="0.25">
      <c r="L771" s="18">
        <f t="shared" ca="1" si="97"/>
        <v>69528</v>
      </c>
      <c r="M771" s="14">
        <v>766</v>
      </c>
      <c r="N771" s="14">
        <f t="shared" si="91"/>
        <v>0</v>
      </c>
      <c r="O771" s="19">
        <f t="shared" si="92"/>
        <v>0</v>
      </c>
      <c r="P771" s="19">
        <f t="shared" si="98"/>
        <v>0</v>
      </c>
      <c r="Q771" s="14">
        <f t="shared" si="93"/>
        <v>0</v>
      </c>
      <c r="R771" s="19">
        <f t="shared" si="94"/>
        <v>0</v>
      </c>
      <c r="S771" s="19">
        <f t="shared" si="95"/>
        <v>0</v>
      </c>
      <c r="T771" s="14">
        <f t="shared" si="96"/>
        <v>0</v>
      </c>
      <c r="U771" s="18" t="str" cm="1">
        <f t="array" aca="1" ref="U771" ca="1">IF(M771&lt;=$N$1,L771,IF(M771&lt;=($N$1+1),INDIRECT("L"&amp;5+$X$2),""))</f>
        <v/>
      </c>
    </row>
    <row r="772" spans="12:21" hidden="1" x14ac:dyDescent="0.25">
      <c r="L772" s="18">
        <f t="shared" ca="1" si="97"/>
        <v>69559</v>
      </c>
      <c r="M772" s="14">
        <v>767</v>
      </c>
      <c r="N772" s="14">
        <f t="shared" si="91"/>
        <v>0</v>
      </c>
      <c r="O772" s="19">
        <f t="shared" si="92"/>
        <v>0</v>
      </c>
      <c r="P772" s="19">
        <f t="shared" si="98"/>
        <v>0</v>
      </c>
      <c r="Q772" s="14">
        <f t="shared" si="93"/>
        <v>0</v>
      </c>
      <c r="R772" s="19">
        <f t="shared" si="94"/>
        <v>0</v>
      </c>
      <c r="S772" s="19">
        <f t="shared" si="95"/>
        <v>0</v>
      </c>
      <c r="T772" s="14">
        <f t="shared" si="96"/>
        <v>0</v>
      </c>
      <c r="U772" s="18" t="str" cm="1">
        <f t="array" aca="1" ref="U772" ca="1">IF(M772&lt;=$N$1,L772,IF(M772&lt;=($N$1+1),INDIRECT("L"&amp;5+$X$2),""))</f>
        <v/>
      </c>
    </row>
    <row r="773" spans="12:21" hidden="1" x14ac:dyDescent="0.25">
      <c r="L773" s="18">
        <f t="shared" ca="1" si="97"/>
        <v>69589</v>
      </c>
      <c r="M773" s="14">
        <v>768</v>
      </c>
      <c r="N773" s="14">
        <f t="shared" si="91"/>
        <v>0</v>
      </c>
      <c r="O773" s="19">
        <f t="shared" si="92"/>
        <v>0</v>
      </c>
      <c r="P773" s="19">
        <f t="shared" si="98"/>
        <v>0</v>
      </c>
      <c r="Q773" s="14">
        <f t="shared" si="93"/>
        <v>0</v>
      </c>
      <c r="R773" s="19">
        <f t="shared" si="94"/>
        <v>0</v>
      </c>
      <c r="S773" s="19">
        <f t="shared" si="95"/>
        <v>0</v>
      </c>
      <c r="T773" s="14">
        <f t="shared" si="96"/>
        <v>0</v>
      </c>
      <c r="U773" s="18" t="str" cm="1">
        <f t="array" aca="1" ref="U773" ca="1">IF(M773&lt;=$N$1,L773,IF(M773&lt;=($N$1+1),INDIRECT("L"&amp;5+$X$2),""))</f>
        <v/>
      </c>
    </row>
    <row r="774" spans="12:21" hidden="1" x14ac:dyDescent="0.25">
      <c r="L774" s="18">
        <f t="shared" ca="1" si="97"/>
        <v>69620</v>
      </c>
      <c r="M774" s="14">
        <v>769</v>
      </c>
      <c r="N774" s="14">
        <f t="shared" ref="N774:N837" si="99">IF($N$1&gt;=M774,SIPMonthlyPmt*M774,0)</f>
        <v>0</v>
      </c>
      <c r="O774" s="19">
        <f t="shared" ref="O774:O837" si="100">IF($X$2&gt;=M774,IF(M774&lt;=$N$1,FV(SRate,M774,-SIPMonthlyPmt,0,1),FV(SRate,M774-$N$1,0,-$X$1,1)),0)</f>
        <v>0</v>
      </c>
      <c r="P774" s="19">
        <f t="shared" si="98"/>
        <v>0</v>
      </c>
      <c r="Q774" s="14">
        <f t="shared" ref="Q774:Q837" si="101">IF((M774-$C$15)&gt;0, IF($N$1+$C$15&gt;=M774,SIPMonthlyPmt*(M774-$C$15),0),0)</f>
        <v>0</v>
      </c>
      <c r="R774" s="19">
        <f t="shared" ref="R774:R837" si="102">IF(M774&lt;=$C$15,0,IF($X$2&gt;=M774,IF(M774&lt;=($N$1+$C$15),FV(SRate,M774-$C$15,-SIPMonthlyPmt,0,1),FV(SRate,M774-$N$1-$C$15,0,-$X$1,1)),0))</f>
        <v>0</v>
      </c>
      <c r="S774" s="19">
        <f t="shared" ref="S774:S837" si="103">R774/((1+SIPInflationRate)^((M774-$C$15)/12))</f>
        <v>0</v>
      </c>
      <c r="T774" s="14">
        <f t="shared" ref="T774:T837" si="104">IF(M774&lt;=$N$1,-SIPMonthlyPmt,IF(M774&lt;=($N$1+1),$X$4,0))</f>
        <v>0</v>
      </c>
      <c r="U774" s="18" t="str" cm="1">
        <f t="array" aca="1" ref="U774" ca="1">IF(M774&lt;=$N$1,L774,IF(M774&lt;=($N$1+1),INDIRECT("L"&amp;5+$X$2),""))</f>
        <v/>
      </c>
    </row>
    <row r="775" spans="12:21" hidden="1" x14ac:dyDescent="0.25">
      <c r="L775" s="18">
        <f t="shared" ca="1" si="97"/>
        <v>69651</v>
      </c>
      <c r="M775" s="14">
        <v>770</v>
      </c>
      <c r="N775" s="14">
        <f t="shared" si="99"/>
        <v>0</v>
      </c>
      <c r="O775" s="19">
        <f t="shared" si="100"/>
        <v>0</v>
      </c>
      <c r="P775" s="19">
        <f t="shared" si="98"/>
        <v>0</v>
      </c>
      <c r="Q775" s="14">
        <f t="shared" si="101"/>
        <v>0</v>
      </c>
      <c r="R775" s="19">
        <f t="shared" si="102"/>
        <v>0</v>
      </c>
      <c r="S775" s="19">
        <f t="shared" si="103"/>
        <v>0</v>
      </c>
      <c r="T775" s="14">
        <f t="shared" si="104"/>
        <v>0</v>
      </c>
      <c r="U775" s="18" t="str" cm="1">
        <f t="array" aca="1" ref="U775" ca="1">IF(M775&lt;=$N$1,L775,IF(M775&lt;=($N$1+1),INDIRECT("L"&amp;5+$X$2),""))</f>
        <v/>
      </c>
    </row>
    <row r="776" spans="12:21" hidden="1" x14ac:dyDescent="0.25">
      <c r="L776" s="18">
        <f t="shared" ca="1" si="97"/>
        <v>69681</v>
      </c>
      <c r="M776" s="14">
        <v>771</v>
      </c>
      <c r="N776" s="14">
        <f t="shared" si="99"/>
        <v>0</v>
      </c>
      <c r="O776" s="19">
        <f t="shared" si="100"/>
        <v>0</v>
      </c>
      <c r="P776" s="19">
        <f t="shared" si="98"/>
        <v>0</v>
      </c>
      <c r="Q776" s="14">
        <f t="shared" si="101"/>
        <v>0</v>
      </c>
      <c r="R776" s="19">
        <f t="shared" si="102"/>
        <v>0</v>
      </c>
      <c r="S776" s="19">
        <f t="shared" si="103"/>
        <v>0</v>
      </c>
      <c r="T776" s="14">
        <f t="shared" si="104"/>
        <v>0</v>
      </c>
      <c r="U776" s="18" t="str" cm="1">
        <f t="array" aca="1" ref="U776" ca="1">IF(M776&lt;=$N$1,L776,IF(M776&lt;=($N$1+1),INDIRECT("L"&amp;5+$X$2),""))</f>
        <v/>
      </c>
    </row>
    <row r="777" spans="12:21" hidden="1" x14ac:dyDescent="0.25">
      <c r="L777" s="18">
        <f t="shared" ref="L777:L840" ca="1" si="105">EDATE(L776,1)</f>
        <v>69712</v>
      </c>
      <c r="M777" s="14">
        <v>772</v>
      </c>
      <c r="N777" s="14">
        <f t="shared" si="99"/>
        <v>0</v>
      </c>
      <c r="O777" s="19">
        <f t="shared" si="100"/>
        <v>0</v>
      </c>
      <c r="P777" s="19">
        <f t="shared" si="98"/>
        <v>0</v>
      </c>
      <c r="Q777" s="14">
        <f t="shared" si="101"/>
        <v>0</v>
      </c>
      <c r="R777" s="19">
        <f t="shared" si="102"/>
        <v>0</v>
      </c>
      <c r="S777" s="19">
        <f t="shared" si="103"/>
        <v>0</v>
      </c>
      <c r="T777" s="14">
        <f t="shared" si="104"/>
        <v>0</v>
      </c>
      <c r="U777" s="18" t="str" cm="1">
        <f t="array" aca="1" ref="U777" ca="1">IF(M777&lt;=$N$1,L777,IF(M777&lt;=($N$1+1),INDIRECT("L"&amp;5+$X$2),""))</f>
        <v/>
      </c>
    </row>
    <row r="778" spans="12:21" hidden="1" x14ac:dyDescent="0.25">
      <c r="L778" s="18">
        <f t="shared" ca="1" si="105"/>
        <v>69742</v>
      </c>
      <c r="M778" s="14">
        <v>773</v>
      </c>
      <c r="N778" s="14">
        <f t="shared" si="99"/>
        <v>0</v>
      </c>
      <c r="O778" s="19">
        <f t="shared" si="100"/>
        <v>0</v>
      </c>
      <c r="P778" s="19">
        <f t="shared" si="98"/>
        <v>0</v>
      </c>
      <c r="Q778" s="14">
        <f t="shared" si="101"/>
        <v>0</v>
      </c>
      <c r="R778" s="19">
        <f t="shared" si="102"/>
        <v>0</v>
      </c>
      <c r="S778" s="19">
        <f t="shared" si="103"/>
        <v>0</v>
      </c>
      <c r="T778" s="14">
        <f t="shared" si="104"/>
        <v>0</v>
      </c>
      <c r="U778" s="18" t="str" cm="1">
        <f t="array" aca="1" ref="U778" ca="1">IF(M778&lt;=$N$1,L778,IF(M778&lt;=($N$1+1),INDIRECT("L"&amp;5+$X$2),""))</f>
        <v/>
      </c>
    </row>
    <row r="779" spans="12:21" hidden="1" x14ac:dyDescent="0.25">
      <c r="L779" s="18">
        <f t="shared" ca="1" si="105"/>
        <v>69773</v>
      </c>
      <c r="M779" s="14">
        <v>774</v>
      </c>
      <c r="N779" s="14">
        <f t="shared" si="99"/>
        <v>0</v>
      </c>
      <c r="O779" s="19">
        <f t="shared" si="100"/>
        <v>0</v>
      </c>
      <c r="P779" s="19">
        <f t="shared" si="98"/>
        <v>0</v>
      </c>
      <c r="Q779" s="14">
        <f t="shared" si="101"/>
        <v>0</v>
      </c>
      <c r="R779" s="19">
        <f t="shared" si="102"/>
        <v>0</v>
      </c>
      <c r="S779" s="19">
        <f t="shared" si="103"/>
        <v>0</v>
      </c>
      <c r="T779" s="14">
        <f t="shared" si="104"/>
        <v>0</v>
      </c>
      <c r="U779" s="18" t="str" cm="1">
        <f t="array" aca="1" ref="U779" ca="1">IF(M779&lt;=$N$1,L779,IF(M779&lt;=($N$1+1),INDIRECT("L"&amp;5+$X$2),""))</f>
        <v/>
      </c>
    </row>
    <row r="780" spans="12:21" hidden="1" x14ac:dyDescent="0.25">
      <c r="L780" s="18">
        <f t="shared" ca="1" si="105"/>
        <v>69804</v>
      </c>
      <c r="M780" s="14">
        <v>775</v>
      </c>
      <c r="N780" s="14">
        <f t="shared" si="99"/>
        <v>0</v>
      </c>
      <c r="O780" s="19">
        <f t="shared" si="100"/>
        <v>0</v>
      </c>
      <c r="P780" s="19">
        <f t="shared" si="98"/>
        <v>0</v>
      </c>
      <c r="Q780" s="14">
        <f t="shared" si="101"/>
        <v>0</v>
      </c>
      <c r="R780" s="19">
        <f t="shared" si="102"/>
        <v>0</v>
      </c>
      <c r="S780" s="19">
        <f t="shared" si="103"/>
        <v>0</v>
      </c>
      <c r="T780" s="14">
        <f t="shared" si="104"/>
        <v>0</v>
      </c>
      <c r="U780" s="18" t="str" cm="1">
        <f t="array" aca="1" ref="U780" ca="1">IF(M780&lt;=$N$1,L780,IF(M780&lt;=($N$1+1),INDIRECT("L"&amp;5+$X$2),""))</f>
        <v/>
      </c>
    </row>
    <row r="781" spans="12:21" hidden="1" x14ac:dyDescent="0.25">
      <c r="L781" s="18">
        <f t="shared" ca="1" si="105"/>
        <v>69832</v>
      </c>
      <c r="M781" s="14">
        <v>776</v>
      </c>
      <c r="N781" s="14">
        <f t="shared" si="99"/>
        <v>0</v>
      </c>
      <c r="O781" s="19">
        <f t="shared" si="100"/>
        <v>0</v>
      </c>
      <c r="P781" s="19">
        <f t="shared" si="98"/>
        <v>0</v>
      </c>
      <c r="Q781" s="14">
        <f t="shared" si="101"/>
        <v>0</v>
      </c>
      <c r="R781" s="19">
        <f t="shared" si="102"/>
        <v>0</v>
      </c>
      <c r="S781" s="19">
        <f t="shared" si="103"/>
        <v>0</v>
      </c>
      <c r="T781" s="14">
        <f t="shared" si="104"/>
        <v>0</v>
      </c>
      <c r="U781" s="18" t="str" cm="1">
        <f t="array" aca="1" ref="U781" ca="1">IF(M781&lt;=$N$1,L781,IF(M781&lt;=($N$1+1),INDIRECT("L"&amp;5+$X$2),""))</f>
        <v/>
      </c>
    </row>
    <row r="782" spans="12:21" hidden="1" x14ac:dyDescent="0.25">
      <c r="L782" s="18">
        <f t="shared" ca="1" si="105"/>
        <v>69863</v>
      </c>
      <c r="M782" s="14">
        <v>777</v>
      </c>
      <c r="N782" s="14">
        <f t="shared" si="99"/>
        <v>0</v>
      </c>
      <c r="O782" s="19">
        <f t="shared" si="100"/>
        <v>0</v>
      </c>
      <c r="P782" s="19">
        <f t="shared" si="98"/>
        <v>0</v>
      </c>
      <c r="Q782" s="14">
        <f t="shared" si="101"/>
        <v>0</v>
      </c>
      <c r="R782" s="19">
        <f t="shared" si="102"/>
        <v>0</v>
      </c>
      <c r="S782" s="19">
        <f t="shared" si="103"/>
        <v>0</v>
      </c>
      <c r="T782" s="14">
        <f t="shared" si="104"/>
        <v>0</v>
      </c>
      <c r="U782" s="18" t="str" cm="1">
        <f t="array" aca="1" ref="U782" ca="1">IF(M782&lt;=$N$1,L782,IF(M782&lt;=($N$1+1),INDIRECT("L"&amp;5+$X$2),""))</f>
        <v/>
      </c>
    </row>
    <row r="783" spans="12:21" hidden="1" x14ac:dyDescent="0.25">
      <c r="L783" s="18">
        <f t="shared" ca="1" si="105"/>
        <v>69893</v>
      </c>
      <c r="M783" s="14">
        <v>778</v>
      </c>
      <c r="N783" s="14">
        <f t="shared" si="99"/>
        <v>0</v>
      </c>
      <c r="O783" s="19">
        <f t="shared" si="100"/>
        <v>0</v>
      </c>
      <c r="P783" s="19">
        <f t="shared" si="98"/>
        <v>0</v>
      </c>
      <c r="Q783" s="14">
        <f t="shared" si="101"/>
        <v>0</v>
      </c>
      <c r="R783" s="19">
        <f t="shared" si="102"/>
        <v>0</v>
      </c>
      <c r="S783" s="19">
        <f t="shared" si="103"/>
        <v>0</v>
      </c>
      <c r="T783" s="14">
        <f t="shared" si="104"/>
        <v>0</v>
      </c>
      <c r="U783" s="18" t="str" cm="1">
        <f t="array" aca="1" ref="U783" ca="1">IF(M783&lt;=$N$1,L783,IF(M783&lt;=($N$1+1),INDIRECT("L"&amp;5+$X$2),""))</f>
        <v/>
      </c>
    </row>
    <row r="784" spans="12:21" hidden="1" x14ac:dyDescent="0.25">
      <c r="L784" s="18">
        <f t="shared" ca="1" si="105"/>
        <v>69924</v>
      </c>
      <c r="M784" s="14">
        <v>779</v>
      </c>
      <c r="N784" s="14">
        <f t="shared" si="99"/>
        <v>0</v>
      </c>
      <c r="O784" s="19">
        <f t="shared" si="100"/>
        <v>0</v>
      </c>
      <c r="P784" s="19">
        <f t="shared" si="98"/>
        <v>0</v>
      </c>
      <c r="Q784" s="14">
        <f t="shared" si="101"/>
        <v>0</v>
      </c>
      <c r="R784" s="19">
        <f t="shared" si="102"/>
        <v>0</v>
      </c>
      <c r="S784" s="19">
        <f t="shared" si="103"/>
        <v>0</v>
      </c>
      <c r="T784" s="14">
        <f t="shared" si="104"/>
        <v>0</v>
      </c>
      <c r="U784" s="18" t="str" cm="1">
        <f t="array" aca="1" ref="U784" ca="1">IF(M784&lt;=$N$1,L784,IF(M784&lt;=($N$1+1),INDIRECT("L"&amp;5+$X$2),""))</f>
        <v/>
      </c>
    </row>
    <row r="785" spans="12:21" hidden="1" x14ac:dyDescent="0.25">
      <c r="L785" s="18">
        <f t="shared" ca="1" si="105"/>
        <v>69954</v>
      </c>
      <c r="M785" s="14">
        <v>780</v>
      </c>
      <c r="N785" s="14">
        <f t="shared" si="99"/>
        <v>0</v>
      </c>
      <c r="O785" s="19">
        <f t="shared" si="100"/>
        <v>0</v>
      </c>
      <c r="P785" s="19">
        <f t="shared" si="98"/>
        <v>0</v>
      </c>
      <c r="Q785" s="14">
        <f t="shared" si="101"/>
        <v>0</v>
      </c>
      <c r="R785" s="19">
        <f t="shared" si="102"/>
        <v>0</v>
      </c>
      <c r="S785" s="19">
        <f t="shared" si="103"/>
        <v>0</v>
      </c>
      <c r="T785" s="14">
        <f t="shared" si="104"/>
        <v>0</v>
      </c>
      <c r="U785" s="18" t="str" cm="1">
        <f t="array" aca="1" ref="U785" ca="1">IF(M785&lt;=$N$1,L785,IF(M785&lt;=($N$1+1),INDIRECT("L"&amp;5+$X$2),""))</f>
        <v/>
      </c>
    </row>
    <row r="786" spans="12:21" hidden="1" x14ac:dyDescent="0.25">
      <c r="L786" s="18">
        <f t="shared" ca="1" si="105"/>
        <v>69985</v>
      </c>
      <c r="M786" s="14">
        <v>781</v>
      </c>
      <c r="N786" s="14">
        <f t="shared" si="99"/>
        <v>0</v>
      </c>
      <c r="O786" s="19">
        <f t="shared" si="100"/>
        <v>0</v>
      </c>
      <c r="P786" s="19">
        <f t="shared" si="98"/>
        <v>0</v>
      </c>
      <c r="Q786" s="14">
        <f t="shared" si="101"/>
        <v>0</v>
      </c>
      <c r="R786" s="19">
        <f t="shared" si="102"/>
        <v>0</v>
      </c>
      <c r="S786" s="19">
        <f t="shared" si="103"/>
        <v>0</v>
      </c>
      <c r="T786" s="14">
        <f t="shared" si="104"/>
        <v>0</v>
      </c>
      <c r="U786" s="18" t="str" cm="1">
        <f t="array" aca="1" ref="U786" ca="1">IF(M786&lt;=$N$1,L786,IF(M786&lt;=($N$1+1),INDIRECT("L"&amp;5+$X$2),""))</f>
        <v/>
      </c>
    </row>
    <row r="787" spans="12:21" hidden="1" x14ac:dyDescent="0.25">
      <c r="L787" s="18">
        <f t="shared" ca="1" si="105"/>
        <v>70016</v>
      </c>
      <c r="M787" s="14">
        <v>782</v>
      </c>
      <c r="N787" s="14">
        <f t="shared" si="99"/>
        <v>0</v>
      </c>
      <c r="O787" s="19">
        <f t="shared" si="100"/>
        <v>0</v>
      </c>
      <c r="P787" s="19">
        <f t="shared" si="98"/>
        <v>0</v>
      </c>
      <c r="Q787" s="14">
        <f t="shared" si="101"/>
        <v>0</v>
      </c>
      <c r="R787" s="19">
        <f t="shared" si="102"/>
        <v>0</v>
      </c>
      <c r="S787" s="19">
        <f t="shared" si="103"/>
        <v>0</v>
      </c>
      <c r="T787" s="14">
        <f t="shared" si="104"/>
        <v>0</v>
      </c>
      <c r="U787" s="18" t="str" cm="1">
        <f t="array" aca="1" ref="U787" ca="1">IF(M787&lt;=$N$1,L787,IF(M787&lt;=($N$1+1),INDIRECT("L"&amp;5+$X$2),""))</f>
        <v/>
      </c>
    </row>
    <row r="788" spans="12:21" hidden="1" x14ac:dyDescent="0.25">
      <c r="L788" s="18">
        <f t="shared" ca="1" si="105"/>
        <v>70046</v>
      </c>
      <c r="M788" s="14">
        <v>783</v>
      </c>
      <c r="N788" s="14">
        <f t="shared" si="99"/>
        <v>0</v>
      </c>
      <c r="O788" s="19">
        <f t="shared" si="100"/>
        <v>0</v>
      </c>
      <c r="P788" s="19">
        <f t="shared" si="98"/>
        <v>0</v>
      </c>
      <c r="Q788" s="14">
        <f t="shared" si="101"/>
        <v>0</v>
      </c>
      <c r="R788" s="19">
        <f t="shared" si="102"/>
        <v>0</v>
      </c>
      <c r="S788" s="19">
        <f t="shared" si="103"/>
        <v>0</v>
      </c>
      <c r="T788" s="14">
        <f t="shared" si="104"/>
        <v>0</v>
      </c>
      <c r="U788" s="18" t="str" cm="1">
        <f t="array" aca="1" ref="U788" ca="1">IF(M788&lt;=$N$1,L788,IF(M788&lt;=($N$1+1),INDIRECT("L"&amp;5+$X$2),""))</f>
        <v/>
      </c>
    </row>
    <row r="789" spans="12:21" hidden="1" x14ac:dyDescent="0.25">
      <c r="L789" s="18">
        <f t="shared" ca="1" si="105"/>
        <v>70077</v>
      </c>
      <c r="M789" s="14">
        <v>784</v>
      </c>
      <c r="N789" s="14">
        <f t="shared" si="99"/>
        <v>0</v>
      </c>
      <c r="O789" s="19">
        <f t="shared" si="100"/>
        <v>0</v>
      </c>
      <c r="P789" s="19">
        <f t="shared" si="98"/>
        <v>0</v>
      </c>
      <c r="Q789" s="14">
        <f t="shared" si="101"/>
        <v>0</v>
      </c>
      <c r="R789" s="19">
        <f t="shared" si="102"/>
        <v>0</v>
      </c>
      <c r="S789" s="19">
        <f t="shared" si="103"/>
        <v>0</v>
      </c>
      <c r="T789" s="14">
        <f t="shared" si="104"/>
        <v>0</v>
      </c>
      <c r="U789" s="18" t="str" cm="1">
        <f t="array" aca="1" ref="U789" ca="1">IF(M789&lt;=$N$1,L789,IF(M789&lt;=($N$1+1),INDIRECT("L"&amp;5+$X$2),""))</f>
        <v/>
      </c>
    </row>
    <row r="790" spans="12:21" hidden="1" x14ac:dyDescent="0.25">
      <c r="L790" s="18">
        <f t="shared" ca="1" si="105"/>
        <v>70107</v>
      </c>
      <c r="M790" s="14">
        <v>785</v>
      </c>
      <c r="N790" s="14">
        <f t="shared" si="99"/>
        <v>0</v>
      </c>
      <c r="O790" s="19">
        <f t="shared" si="100"/>
        <v>0</v>
      </c>
      <c r="P790" s="19">
        <f t="shared" si="98"/>
        <v>0</v>
      </c>
      <c r="Q790" s="14">
        <f t="shared" si="101"/>
        <v>0</v>
      </c>
      <c r="R790" s="19">
        <f t="shared" si="102"/>
        <v>0</v>
      </c>
      <c r="S790" s="19">
        <f t="shared" si="103"/>
        <v>0</v>
      </c>
      <c r="T790" s="14">
        <f t="shared" si="104"/>
        <v>0</v>
      </c>
      <c r="U790" s="18" t="str" cm="1">
        <f t="array" aca="1" ref="U790" ca="1">IF(M790&lt;=$N$1,L790,IF(M790&lt;=($N$1+1),INDIRECT("L"&amp;5+$X$2),""))</f>
        <v/>
      </c>
    </row>
    <row r="791" spans="12:21" hidden="1" x14ac:dyDescent="0.25">
      <c r="L791" s="18">
        <f t="shared" ca="1" si="105"/>
        <v>70138</v>
      </c>
      <c r="M791" s="14">
        <v>786</v>
      </c>
      <c r="N791" s="14">
        <f t="shared" si="99"/>
        <v>0</v>
      </c>
      <c r="O791" s="19">
        <f t="shared" si="100"/>
        <v>0</v>
      </c>
      <c r="P791" s="19">
        <f t="shared" si="98"/>
        <v>0</v>
      </c>
      <c r="Q791" s="14">
        <f t="shared" si="101"/>
        <v>0</v>
      </c>
      <c r="R791" s="19">
        <f t="shared" si="102"/>
        <v>0</v>
      </c>
      <c r="S791" s="19">
        <f t="shared" si="103"/>
        <v>0</v>
      </c>
      <c r="T791" s="14">
        <f t="shared" si="104"/>
        <v>0</v>
      </c>
      <c r="U791" s="18" t="str" cm="1">
        <f t="array" aca="1" ref="U791" ca="1">IF(M791&lt;=$N$1,L791,IF(M791&lt;=($N$1+1),INDIRECT("L"&amp;5+$X$2),""))</f>
        <v/>
      </c>
    </row>
    <row r="792" spans="12:21" hidden="1" x14ac:dyDescent="0.25">
      <c r="L792" s="18">
        <f t="shared" ca="1" si="105"/>
        <v>70169</v>
      </c>
      <c r="M792" s="14">
        <v>787</v>
      </c>
      <c r="N792" s="14">
        <f t="shared" si="99"/>
        <v>0</v>
      </c>
      <c r="O792" s="19">
        <f t="shared" si="100"/>
        <v>0</v>
      </c>
      <c r="P792" s="19">
        <f t="shared" si="98"/>
        <v>0</v>
      </c>
      <c r="Q792" s="14">
        <f t="shared" si="101"/>
        <v>0</v>
      </c>
      <c r="R792" s="19">
        <f t="shared" si="102"/>
        <v>0</v>
      </c>
      <c r="S792" s="19">
        <f t="shared" si="103"/>
        <v>0</v>
      </c>
      <c r="T792" s="14">
        <f t="shared" si="104"/>
        <v>0</v>
      </c>
      <c r="U792" s="18" t="str" cm="1">
        <f t="array" aca="1" ref="U792" ca="1">IF(M792&lt;=$N$1,L792,IF(M792&lt;=($N$1+1),INDIRECT("L"&amp;5+$X$2),""))</f>
        <v/>
      </c>
    </row>
    <row r="793" spans="12:21" hidden="1" x14ac:dyDescent="0.25">
      <c r="L793" s="18">
        <f t="shared" ca="1" si="105"/>
        <v>70198</v>
      </c>
      <c r="M793" s="14">
        <v>788</v>
      </c>
      <c r="N793" s="14">
        <f t="shared" si="99"/>
        <v>0</v>
      </c>
      <c r="O793" s="19">
        <f t="shared" si="100"/>
        <v>0</v>
      </c>
      <c r="P793" s="19">
        <f t="shared" si="98"/>
        <v>0</v>
      </c>
      <c r="Q793" s="14">
        <f t="shared" si="101"/>
        <v>0</v>
      </c>
      <c r="R793" s="19">
        <f t="shared" si="102"/>
        <v>0</v>
      </c>
      <c r="S793" s="19">
        <f t="shared" si="103"/>
        <v>0</v>
      </c>
      <c r="T793" s="14">
        <f t="shared" si="104"/>
        <v>0</v>
      </c>
      <c r="U793" s="18" t="str" cm="1">
        <f t="array" aca="1" ref="U793" ca="1">IF(M793&lt;=$N$1,L793,IF(M793&lt;=($N$1+1),INDIRECT("L"&amp;5+$X$2),""))</f>
        <v/>
      </c>
    </row>
    <row r="794" spans="12:21" hidden="1" x14ac:dyDescent="0.25">
      <c r="L794" s="18">
        <f t="shared" ca="1" si="105"/>
        <v>70229</v>
      </c>
      <c r="M794" s="14">
        <v>789</v>
      </c>
      <c r="N794" s="14">
        <f t="shared" si="99"/>
        <v>0</v>
      </c>
      <c r="O794" s="19">
        <f t="shared" si="100"/>
        <v>0</v>
      </c>
      <c r="P794" s="19">
        <f t="shared" si="98"/>
        <v>0</v>
      </c>
      <c r="Q794" s="14">
        <f t="shared" si="101"/>
        <v>0</v>
      </c>
      <c r="R794" s="19">
        <f t="shared" si="102"/>
        <v>0</v>
      </c>
      <c r="S794" s="19">
        <f t="shared" si="103"/>
        <v>0</v>
      </c>
      <c r="T794" s="14">
        <f t="shared" si="104"/>
        <v>0</v>
      </c>
      <c r="U794" s="18" t="str" cm="1">
        <f t="array" aca="1" ref="U794" ca="1">IF(M794&lt;=$N$1,L794,IF(M794&lt;=($N$1+1),INDIRECT("L"&amp;5+$X$2),""))</f>
        <v/>
      </c>
    </row>
    <row r="795" spans="12:21" hidden="1" x14ac:dyDescent="0.25">
      <c r="L795" s="18">
        <f t="shared" ca="1" si="105"/>
        <v>70259</v>
      </c>
      <c r="M795" s="14">
        <v>790</v>
      </c>
      <c r="N795" s="14">
        <f t="shared" si="99"/>
        <v>0</v>
      </c>
      <c r="O795" s="19">
        <f t="shared" si="100"/>
        <v>0</v>
      </c>
      <c r="P795" s="19">
        <f t="shared" si="98"/>
        <v>0</v>
      </c>
      <c r="Q795" s="14">
        <f t="shared" si="101"/>
        <v>0</v>
      </c>
      <c r="R795" s="19">
        <f t="shared" si="102"/>
        <v>0</v>
      </c>
      <c r="S795" s="19">
        <f t="shared" si="103"/>
        <v>0</v>
      </c>
      <c r="T795" s="14">
        <f t="shared" si="104"/>
        <v>0</v>
      </c>
      <c r="U795" s="18" t="str" cm="1">
        <f t="array" aca="1" ref="U795" ca="1">IF(M795&lt;=$N$1,L795,IF(M795&lt;=($N$1+1),INDIRECT("L"&amp;5+$X$2),""))</f>
        <v/>
      </c>
    </row>
    <row r="796" spans="12:21" hidden="1" x14ac:dyDescent="0.25">
      <c r="L796" s="18">
        <f t="shared" ca="1" si="105"/>
        <v>70290</v>
      </c>
      <c r="M796" s="14">
        <v>791</v>
      </c>
      <c r="N796" s="14">
        <f t="shared" si="99"/>
        <v>0</v>
      </c>
      <c r="O796" s="19">
        <f t="shared" si="100"/>
        <v>0</v>
      </c>
      <c r="P796" s="19">
        <f t="shared" si="98"/>
        <v>0</v>
      </c>
      <c r="Q796" s="14">
        <f t="shared" si="101"/>
        <v>0</v>
      </c>
      <c r="R796" s="19">
        <f t="shared" si="102"/>
        <v>0</v>
      </c>
      <c r="S796" s="19">
        <f t="shared" si="103"/>
        <v>0</v>
      </c>
      <c r="T796" s="14">
        <f t="shared" si="104"/>
        <v>0</v>
      </c>
      <c r="U796" s="18" t="str" cm="1">
        <f t="array" aca="1" ref="U796" ca="1">IF(M796&lt;=$N$1,L796,IF(M796&lt;=($N$1+1),INDIRECT("L"&amp;5+$X$2),""))</f>
        <v/>
      </c>
    </row>
    <row r="797" spans="12:21" hidden="1" x14ac:dyDescent="0.25">
      <c r="L797" s="18">
        <f t="shared" ca="1" si="105"/>
        <v>70320</v>
      </c>
      <c r="M797" s="14">
        <v>792</v>
      </c>
      <c r="N797" s="14">
        <f t="shared" si="99"/>
        <v>0</v>
      </c>
      <c r="O797" s="19">
        <f t="shared" si="100"/>
        <v>0</v>
      </c>
      <c r="P797" s="19">
        <f t="shared" si="98"/>
        <v>0</v>
      </c>
      <c r="Q797" s="14">
        <f t="shared" si="101"/>
        <v>0</v>
      </c>
      <c r="R797" s="19">
        <f t="shared" si="102"/>
        <v>0</v>
      </c>
      <c r="S797" s="19">
        <f t="shared" si="103"/>
        <v>0</v>
      </c>
      <c r="T797" s="14">
        <f t="shared" si="104"/>
        <v>0</v>
      </c>
      <c r="U797" s="18" t="str" cm="1">
        <f t="array" aca="1" ref="U797" ca="1">IF(M797&lt;=$N$1,L797,IF(M797&lt;=($N$1+1),INDIRECT("L"&amp;5+$X$2),""))</f>
        <v/>
      </c>
    </row>
    <row r="798" spans="12:21" hidden="1" x14ac:dyDescent="0.25">
      <c r="L798" s="18">
        <f t="shared" ca="1" si="105"/>
        <v>70351</v>
      </c>
      <c r="M798" s="14">
        <v>793</v>
      </c>
      <c r="N798" s="14">
        <f t="shared" si="99"/>
        <v>0</v>
      </c>
      <c r="O798" s="19">
        <f t="shared" si="100"/>
        <v>0</v>
      </c>
      <c r="P798" s="19">
        <f t="shared" si="98"/>
        <v>0</v>
      </c>
      <c r="Q798" s="14">
        <f t="shared" si="101"/>
        <v>0</v>
      </c>
      <c r="R798" s="19">
        <f t="shared" si="102"/>
        <v>0</v>
      </c>
      <c r="S798" s="19">
        <f t="shared" si="103"/>
        <v>0</v>
      </c>
      <c r="T798" s="14">
        <f t="shared" si="104"/>
        <v>0</v>
      </c>
      <c r="U798" s="18" t="str" cm="1">
        <f t="array" aca="1" ref="U798" ca="1">IF(M798&lt;=$N$1,L798,IF(M798&lt;=($N$1+1),INDIRECT("L"&amp;5+$X$2),""))</f>
        <v/>
      </c>
    </row>
    <row r="799" spans="12:21" hidden="1" x14ac:dyDescent="0.25">
      <c r="L799" s="18">
        <f t="shared" ca="1" si="105"/>
        <v>70382</v>
      </c>
      <c r="M799" s="14">
        <v>794</v>
      </c>
      <c r="N799" s="14">
        <f t="shared" si="99"/>
        <v>0</v>
      </c>
      <c r="O799" s="19">
        <f t="shared" si="100"/>
        <v>0</v>
      </c>
      <c r="P799" s="19">
        <f t="shared" si="98"/>
        <v>0</v>
      </c>
      <c r="Q799" s="14">
        <f t="shared" si="101"/>
        <v>0</v>
      </c>
      <c r="R799" s="19">
        <f t="shared" si="102"/>
        <v>0</v>
      </c>
      <c r="S799" s="19">
        <f t="shared" si="103"/>
        <v>0</v>
      </c>
      <c r="T799" s="14">
        <f t="shared" si="104"/>
        <v>0</v>
      </c>
      <c r="U799" s="18" t="str" cm="1">
        <f t="array" aca="1" ref="U799" ca="1">IF(M799&lt;=$N$1,L799,IF(M799&lt;=($N$1+1),INDIRECT("L"&amp;5+$X$2),""))</f>
        <v/>
      </c>
    </row>
    <row r="800" spans="12:21" hidden="1" x14ac:dyDescent="0.25">
      <c r="L800" s="18">
        <f t="shared" ca="1" si="105"/>
        <v>70412</v>
      </c>
      <c r="M800" s="14">
        <v>795</v>
      </c>
      <c r="N800" s="14">
        <f t="shared" si="99"/>
        <v>0</v>
      </c>
      <c r="O800" s="19">
        <f t="shared" si="100"/>
        <v>0</v>
      </c>
      <c r="P800" s="19">
        <f t="shared" si="98"/>
        <v>0</v>
      </c>
      <c r="Q800" s="14">
        <f t="shared" si="101"/>
        <v>0</v>
      </c>
      <c r="R800" s="19">
        <f t="shared" si="102"/>
        <v>0</v>
      </c>
      <c r="S800" s="19">
        <f t="shared" si="103"/>
        <v>0</v>
      </c>
      <c r="T800" s="14">
        <f t="shared" si="104"/>
        <v>0</v>
      </c>
      <c r="U800" s="18" t="str" cm="1">
        <f t="array" aca="1" ref="U800" ca="1">IF(M800&lt;=$N$1,L800,IF(M800&lt;=($N$1+1),INDIRECT("L"&amp;5+$X$2),""))</f>
        <v/>
      </c>
    </row>
    <row r="801" spans="12:21" hidden="1" x14ac:dyDescent="0.25">
      <c r="L801" s="18">
        <f t="shared" ca="1" si="105"/>
        <v>70443</v>
      </c>
      <c r="M801" s="14">
        <v>796</v>
      </c>
      <c r="N801" s="14">
        <f t="shared" si="99"/>
        <v>0</v>
      </c>
      <c r="O801" s="19">
        <f t="shared" si="100"/>
        <v>0</v>
      </c>
      <c r="P801" s="19">
        <f t="shared" si="98"/>
        <v>0</v>
      </c>
      <c r="Q801" s="14">
        <f t="shared" si="101"/>
        <v>0</v>
      </c>
      <c r="R801" s="19">
        <f t="shared" si="102"/>
        <v>0</v>
      </c>
      <c r="S801" s="19">
        <f t="shared" si="103"/>
        <v>0</v>
      </c>
      <c r="T801" s="14">
        <f t="shared" si="104"/>
        <v>0</v>
      </c>
      <c r="U801" s="18" t="str" cm="1">
        <f t="array" aca="1" ref="U801" ca="1">IF(M801&lt;=$N$1,L801,IF(M801&lt;=($N$1+1),INDIRECT("L"&amp;5+$X$2),""))</f>
        <v/>
      </c>
    </row>
    <row r="802" spans="12:21" hidden="1" x14ac:dyDescent="0.25">
      <c r="L802" s="18">
        <f t="shared" ca="1" si="105"/>
        <v>70473</v>
      </c>
      <c r="M802" s="14">
        <v>797</v>
      </c>
      <c r="N802" s="14">
        <f t="shared" si="99"/>
        <v>0</v>
      </c>
      <c r="O802" s="19">
        <f t="shared" si="100"/>
        <v>0</v>
      </c>
      <c r="P802" s="19">
        <f t="shared" si="98"/>
        <v>0</v>
      </c>
      <c r="Q802" s="14">
        <f t="shared" si="101"/>
        <v>0</v>
      </c>
      <c r="R802" s="19">
        <f t="shared" si="102"/>
        <v>0</v>
      </c>
      <c r="S802" s="19">
        <f t="shared" si="103"/>
        <v>0</v>
      </c>
      <c r="T802" s="14">
        <f t="shared" si="104"/>
        <v>0</v>
      </c>
      <c r="U802" s="18" t="str" cm="1">
        <f t="array" aca="1" ref="U802" ca="1">IF(M802&lt;=$N$1,L802,IF(M802&lt;=($N$1+1),INDIRECT("L"&amp;5+$X$2),""))</f>
        <v/>
      </c>
    </row>
    <row r="803" spans="12:21" hidden="1" x14ac:dyDescent="0.25">
      <c r="L803" s="18">
        <f t="shared" ca="1" si="105"/>
        <v>70504</v>
      </c>
      <c r="M803" s="14">
        <v>798</v>
      </c>
      <c r="N803" s="14">
        <f t="shared" si="99"/>
        <v>0</v>
      </c>
      <c r="O803" s="19">
        <f t="shared" si="100"/>
        <v>0</v>
      </c>
      <c r="P803" s="19">
        <f t="shared" si="98"/>
        <v>0</v>
      </c>
      <c r="Q803" s="14">
        <f t="shared" si="101"/>
        <v>0</v>
      </c>
      <c r="R803" s="19">
        <f t="shared" si="102"/>
        <v>0</v>
      </c>
      <c r="S803" s="19">
        <f t="shared" si="103"/>
        <v>0</v>
      </c>
      <c r="T803" s="14">
        <f t="shared" si="104"/>
        <v>0</v>
      </c>
      <c r="U803" s="18" t="str" cm="1">
        <f t="array" aca="1" ref="U803" ca="1">IF(M803&lt;=$N$1,L803,IF(M803&lt;=($N$1+1),INDIRECT("L"&amp;5+$X$2),""))</f>
        <v/>
      </c>
    </row>
    <row r="804" spans="12:21" hidden="1" x14ac:dyDescent="0.25">
      <c r="L804" s="18">
        <f t="shared" ca="1" si="105"/>
        <v>70535</v>
      </c>
      <c r="M804" s="14">
        <v>799</v>
      </c>
      <c r="N804" s="14">
        <f t="shared" si="99"/>
        <v>0</v>
      </c>
      <c r="O804" s="19">
        <f t="shared" si="100"/>
        <v>0</v>
      </c>
      <c r="P804" s="19">
        <f t="shared" si="98"/>
        <v>0</v>
      </c>
      <c r="Q804" s="14">
        <f t="shared" si="101"/>
        <v>0</v>
      </c>
      <c r="R804" s="19">
        <f t="shared" si="102"/>
        <v>0</v>
      </c>
      <c r="S804" s="19">
        <f t="shared" si="103"/>
        <v>0</v>
      </c>
      <c r="T804" s="14">
        <f t="shared" si="104"/>
        <v>0</v>
      </c>
      <c r="U804" s="18" t="str" cm="1">
        <f t="array" aca="1" ref="U804" ca="1">IF(M804&lt;=$N$1,L804,IF(M804&lt;=($N$1+1),INDIRECT("L"&amp;5+$X$2),""))</f>
        <v/>
      </c>
    </row>
    <row r="805" spans="12:21" hidden="1" x14ac:dyDescent="0.25">
      <c r="L805" s="18">
        <f t="shared" ca="1" si="105"/>
        <v>70563</v>
      </c>
      <c r="M805" s="14">
        <v>800</v>
      </c>
      <c r="N805" s="14">
        <f t="shared" si="99"/>
        <v>0</v>
      </c>
      <c r="O805" s="19">
        <f t="shared" si="100"/>
        <v>0</v>
      </c>
      <c r="P805" s="19">
        <f t="shared" si="98"/>
        <v>0</v>
      </c>
      <c r="Q805" s="14">
        <f t="shared" si="101"/>
        <v>0</v>
      </c>
      <c r="R805" s="19">
        <f t="shared" si="102"/>
        <v>0</v>
      </c>
      <c r="S805" s="19">
        <f t="shared" si="103"/>
        <v>0</v>
      </c>
      <c r="T805" s="14">
        <f t="shared" si="104"/>
        <v>0</v>
      </c>
      <c r="U805" s="18" t="str" cm="1">
        <f t="array" aca="1" ref="U805" ca="1">IF(M805&lt;=$N$1,L805,IF(M805&lt;=($N$1+1),INDIRECT("L"&amp;5+$X$2),""))</f>
        <v/>
      </c>
    </row>
    <row r="806" spans="12:21" hidden="1" x14ac:dyDescent="0.25">
      <c r="L806" s="18">
        <f t="shared" ca="1" si="105"/>
        <v>70594</v>
      </c>
      <c r="M806" s="14">
        <v>801</v>
      </c>
      <c r="N806" s="14">
        <f t="shared" si="99"/>
        <v>0</v>
      </c>
      <c r="O806" s="19">
        <f t="shared" si="100"/>
        <v>0</v>
      </c>
      <c r="P806" s="19">
        <f t="shared" ref="P806:P869" si="106">O806/((1+SIPInflationRate)^(M806/12))</f>
        <v>0</v>
      </c>
      <c r="Q806" s="14">
        <f t="shared" si="101"/>
        <v>0</v>
      </c>
      <c r="R806" s="19">
        <f t="shared" si="102"/>
        <v>0</v>
      </c>
      <c r="S806" s="19">
        <f t="shared" si="103"/>
        <v>0</v>
      </c>
      <c r="T806" s="14">
        <f t="shared" si="104"/>
        <v>0</v>
      </c>
      <c r="U806" s="18" t="str" cm="1">
        <f t="array" aca="1" ref="U806" ca="1">IF(M806&lt;=$N$1,L806,IF(M806&lt;=($N$1+1),INDIRECT("L"&amp;5+$X$2),""))</f>
        <v/>
      </c>
    </row>
    <row r="807" spans="12:21" hidden="1" x14ac:dyDescent="0.25">
      <c r="L807" s="18">
        <f t="shared" ca="1" si="105"/>
        <v>70624</v>
      </c>
      <c r="M807" s="14">
        <v>802</v>
      </c>
      <c r="N807" s="14">
        <f t="shared" si="99"/>
        <v>0</v>
      </c>
      <c r="O807" s="19">
        <f t="shared" si="100"/>
        <v>0</v>
      </c>
      <c r="P807" s="19">
        <f t="shared" si="106"/>
        <v>0</v>
      </c>
      <c r="Q807" s="14">
        <f t="shared" si="101"/>
        <v>0</v>
      </c>
      <c r="R807" s="19">
        <f t="shared" si="102"/>
        <v>0</v>
      </c>
      <c r="S807" s="19">
        <f t="shared" si="103"/>
        <v>0</v>
      </c>
      <c r="T807" s="14">
        <f t="shared" si="104"/>
        <v>0</v>
      </c>
      <c r="U807" s="18" t="str" cm="1">
        <f t="array" aca="1" ref="U807" ca="1">IF(M807&lt;=$N$1,L807,IF(M807&lt;=($N$1+1),INDIRECT("L"&amp;5+$X$2),""))</f>
        <v/>
      </c>
    </row>
    <row r="808" spans="12:21" hidden="1" x14ac:dyDescent="0.25">
      <c r="L808" s="18">
        <f t="shared" ca="1" si="105"/>
        <v>70655</v>
      </c>
      <c r="M808" s="14">
        <v>803</v>
      </c>
      <c r="N808" s="14">
        <f t="shared" si="99"/>
        <v>0</v>
      </c>
      <c r="O808" s="19">
        <f t="shared" si="100"/>
        <v>0</v>
      </c>
      <c r="P808" s="19">
        <f t="shared" si="106"/>
        <v>0</v>
      </c>
      <c r="Q808" s="14">
        <f t="shared" si="101"/>
        <v>0</v>
      </c>
      <c r="R808" s="19">
        <f t="shared" si="102"/>
        <v>0</v>
      </c>
      <c r="S808" s="19">
        <f t="shared" si="103"/>
        <v>0</v>
      </c>
      <c r="T808" s="14">
        <f t="shared" si="104"/>
        <v>0</v>
      </c>
      <c r="U808" s="18" t="str" cm="1">
        <f t="array" aca="1" ref="U808" ca="1">IF(M808&lt;=$N$1,L808,IF(M808&lt;=($N$1+1),INDIRECT("L"&amp;5+$X$2),""))</f>
        <v/>
      </c>
    </row>
    <row r="809" spans="12:21" hidden="1" x14ac:dyDescent="0.25">
      <c r="L809" s="18">
        <f t="shared" ca="1" si="105"/>
        <v>70685</v>
      </c>
      <c r="M809" s="14">
        <v>804</v>
      </c>
      <c r="N809" s="14">
        <f t="shared" si="99"/>
        <v>0</v>
      </c>
      <c r="O809" s="19">
        <f t="shared" si="100"/>
        <v>0</v>
      </c>
      <c r="P809" s="19">
        <f t="shared" si="106"/>
        <v>0</v>
      </c>
      <c r="Q809" s="14">
        <f t="shared" si="101"/>
        <v>0</v>
      </c>
      <c r="R809" s="19">
        <f t="shared" si="102"/>
        <v>0</v>
      </c>
      <c r="S809" s="19">
        <f t="shared" si="103"/>
        <v>0</v>
      </c>
      <c r="T809" s="14">
        <f t="shared" si="104"/>
        <v>0</v>
      </c>
      <c r="U809" s="18" t="str" cm="1">
        <f t="array" aca="1" ref="U809" ca="1">IF(M809&lt;=$N$1,L809,IF(M809&lt;=($N$1+1),INDIRECT("L"&amp;5+$X$2),""))</f>
        <v/>
      </c>
    </row>
    <row r="810" spans="12:21" hidden="1" x14ac:dyDescent="0.25">
      <c r="L810" s="18">
        <f t="shared" ca="1" si="105"/>
        <v>70716</v>
      </c>
      <c r="M810" s="14">
        <v>805</v>
      </c>
      <c r="N810" s="14">
        <f t="shared" si="99"/>
        <v>0</v>
      </c>
      <c r="O810" s="19">
        <f t="shared" si="100"/>
        <v>0</v>
      </c>
      <c r="P810" s="19">
        <f t="shared" si="106"/>
        <v>0</v>
      </c>
      <c r="Q810" s="14">
        <f t="shared" si="101"/>
        <v>0</v>
      </c>
      <c r="R810" s="19">
        <f t="shared" si="102"/>
        <v>0</v>
      </c>
      <c r="S810" s="19">
        <f t="shared" si="103"/>
        <v>0</v>
      </c>
      <c r="T810" s="14">
        <f t="shared" si="104"/>
        <v>0</v>
      </c>
      <c r="U810" s="18" t="str" cm="1">
        <f t="array" aca="1" ref="U810" ca="1">IF(M810&lt;=$N$1,L810,IF(M810&lt;=($N$1+1),INDIRECT("L"&amp;5+$X$2),""))</f>
        <v/>
      </c>
    </row>
    <row r="811" spans="12:21" hidden="1" x14ac:dyDescent="0.25">
      <c r="L811" s="18">
        <f t="shared" ca="1" si="105"/>
        <v>70747</v>
      </c>
      <c r="M811" s="14">
        <v>806</v>
      </c>
      <c r="N811" s="14">
        <f t="shared" si="99"/>
        <v>0</v>
      </c>
      <c r="O811" s="19">
        <f t="shared" si="100"/>
        <v>0</v>
      </c>
      <c r="P811" s="19">
        <f t="shared" si="106"/>
        <v>0</v>
      </c>
      <c r="Q811" s="14">
        <f t="shared" si="101"/>
        <v>0</v>
      </c>
      <c r="R811" s="19">
        <f t="shared" si="102"/>
        <v>0</v>
      </c>
      <c r="S811" s="19">
        <f t="shared" si="103"/>
        <v>0</v>
      </c>
      <c r="T811" s="14">
        <f t="shared" si="104"/>
        <v>0</v>
      </c>
      <c r="U811" s="18" t="str" cm="1">
        <f t="array" aca="1" ref="U811" ca="1">IF(M811&lt;=$N$1,L811,IF(M811&lt;=($N$1+1),INDIRECT("L"&amp;5+$X$2),""))</f>
        <v/>
      </c>
    </row>
    <row r="812" spans="12:21" hidden="1" x14ac:dyDescent="0.25">
      <c r="L812" s="18">
        <f t="shared" ca="1" si="105"/>
        <v>70777</v>
      </c>
      <c r="M812" s="14">
        <v>807</v>
      </c>
      <c r="N812" s="14">
        <f t="shared" si="99"/>
        <v>0</v>
      </c>
      <c r="O812" s="19">
        <f t="shared" si="100"/>
        <v>0</v>
      </c>
      <c r="P812" s="19">
        <f t="shared" si="106"/>
        <v>0</v>
      </c>
      <c r="Q812" s="14">
        <f t="shared" si="101"/>
        <v>0</v>
      </c>
      <c r="R812" s="19">
        <f t="shared" si="102"/>
        <v>0</v>
      </c>
      <c r="S812" s="19">
        <f t="shared" si="103"/>
        <v>0</v>
      </c>
      <c r="T812" s="14">
        <f t="shared" si="104"/>
        <v>0</v>
      </c>
      <c r="U812" s="18" t="str" cm="1">
        <f t="array" aca="1" ref="U812" ca="1">IF(M812&lt;=$N$1,L812,IF(M812&lt;=($N$1+1),INDIRECT("L"&amp;5+$X$2),""))</f>
        <v/>
      </c>
    </row>
    <row r="813" spans="12:21" hidden="1" x14ac:dyDescent="0.25">
      <c r="L813" s="18">
        <f t="shared" ca="1" si="105"/>
        <v>70808</v>
      </c>
      <c r="M813" s="14">
        <v>808</v>
      </c>
      <c r="N813" s="14">
        <f t="shared" si="99"/>
        <v>0</v>
      </c>
      <c r="O813" s="19">
        <f t="shared" si="100"/>
        <v>0</v>
      </c>
      <c r="P813" s="19">
        <f t="shared" si="106"/>
        <v>0</v>
      </c>
      <c r="Q813" s="14">
        <f t="shared" si="101"/>
        <v>0</v>
      </c>
      <c r="R813" s="19">
        <f t="shared" si="102"/>
        <v>0</v>
      </c>
      <c r="S813" s="19">
        <f t="shared" si="103"/>
        <v>0</v>
      </c>
      <c r="T813" s="14">
        <f t="shared" si="104"/>
        <v>0</v>
      </c>
      <c r="U813" s="18" t="str" cm="1">
        <f t="array" aca="1" ref="U813" ca="1">IF(M813&lt;=$N$1,L813,IF(M813&lt;=($N$1+1),INDIRECT("L"&amp;5+$X$2),""))</f>
        <v/>
      </c>
    </row>
    <row r="814" spans="12:21" hidden="1" x14ac:dyDescent="0.25">
      <c r="L814" s="18">
        <f t="shared" ca="1" si="105"/>
        <v>70838</v>
      </c>
      <c r="M814" s="14">
        <v>809</v>
      </c>
      <c r="N814" s="14">
        <f t="shared" si="99"/>
        <v>0</v>
      </c>
      <c r="O814" s="19">
        <f t="shared" si="100"/>
        <v>0</v>
      </c>
      <c r="P814" s="19">
        <f t="shared" si="106"/>
        <v>0</v>
      </c>
      <c r="Q814" s="14">
        <f t="shared" si="101"/>
        <v>0</v>
      </c>
      <c r="R814" s="19">
        <f t="shared" si="102"/>
        <v>0</v>
      </c>
      <c r="S814" s="19">
        <f t="shared" si="103"/>
        <v>0</v>
      </c>
      <c r="T814" s="14">
        <f t="shared" si="104"/>
        <v>0</v>
      </c>
      <c r="U814" s="18" t="str" cm="1">
        <f t="array" aca="1" ref="U814" ca="1">IF(M814&lt;=$N$1,L814,IF(M814&lt;=($N$1+1),INDIRECT("L"&amp;5+$X$2),""))</f>
        <v/>
      </c>
    </row>
    <row r="815" spans="12:21" hidden="1" x14ac:dyDescent="0.25">
      <c r="L815" s="18">
        <f t="shared" ca="1" si="105"/>
        <v>70869</v>
      </c>
      <c r="M815" s="14">
        <v>810</v>
      </c>
      <c r="N815" s="14">
        <f t="shared" si="99"/>
        <v>0</v>
      </c>
      <c r="O815" s="19">
        <f t="shared" si="100"/>
        <v>0</v>
      </c>
      <c r="P815" s="19">
        <f t="shared" si="106"/>
        <v>0</v>
      </c>
      <c r="Q815" s="14">
        <f t="shared" si="101"/>
        <v>0</v>
      </c>
      <c r="R815" s="19">
        <f t="shared" si="102"/>
        <v>0</v>
      </c>
      <c r="S815" s="19">
        <f t="shared" si="103"/>
        <v>0</v>
      </c>
      <c r="T815" s="14">
        <f t="shared" si="104"/>
        <v>0</v>
      </c>
      <c r="U815" s="18" t="str" cm="1">
        <f t="array" aca="1" ref="U815" ca="1">IF(M815&lt;=$N$1,L815,IF(M815&lt;=($N$1+1),INDIRECT("L"&amp;5+$X$2),""))</f>
        <v/>
      </c>
    </row>
    <row r="816" spans="12:21" hidden="1" x14ac:dyDescent="0.25">
      <c r="L816" s="18">
        <f t="shared" ca="1" si="105"/>
        <v>70900</v>
      </c>
      <c r="M816" s="14">
        <v>811</v>
      </c>
      <c r="N816" s="14">
        <f t="shared" si="99"/>
        <v>0</v>
      </c>
      <c r="O816" s="19">
        <f t="shared" si="100"/>
        <v>0</v>
      </c>
      <c r="P816" s="19">
        <f t="shared" si="106"/>
        <v>0</v>
      </c>
      <c r="Q816" s="14">
        <f t="shared" si="101"/>
        <v>0</v>
      </c>
      <c r="R816" s="19">
        <f t="shared" si="102"/>
        <v>0</v>
      </c>
      <c r="S816" s="19">
        <f t="shared" si="103"/>
        <v>0</v>
      </c>
      <c r="T816" s="14">
        <f t="shared" si="104"/>
        <v>0</v>
      </c>
      <c r="U816" s="18" t="str" cm="1">
        <f t="array" aca="1" ref="U816" ca="1">IF(M816&lt;=$N$1,L816,IF(M816&lt;=($N$1+1),INDIRECT("L"&amp;5+$X$2),""))</f>
        <v/>
      </c>
    </row>
    <row r="817" spans="12:21" hidden="1" x14ac:dyDescent="0.25">
      <c r="L817" s="18">
        <f t="shared" ca="1" si="105"/>
        <v>70928</v>
      </c>
      <c r="M817" s="14">
        <v>812</v>
      </c>
      <c r="N817" s="14">
        <f t="shared" si="99"/>
        <v>0</v>
      </c>
      <c r="O817" s="19">
        <f t="shared" si="100"/>
        <v>0</v>
      </c>
      <c r="P817" s="19">
        <f t="shared" si="106"/>
        <v>0</v>
      </c>
      <c r="Q817" s="14">
        <f t="shared" si="101"/>
        <v>0</v>
      </c>
      <c r="R817" s="19">
        <f t="shared" si="102"/>
        <v>0</v>
      </c>
      <c r="S817" s="19">
        <f t="shared" si="103"/>
        <v>0</v>
      </c>
      <c r="T817" s="14">
        <f t="shared" si="104"/>
        <v>0</v>
      </c>
      <c r="U817" s="18" t="str" cm="1">
        <f t="array" aca="1" ref="U817" ca="1">IF(M817&lt;=$N$1,L817,IF(M817&lt;=($N$1+1),INDIRECT("L"&amp;5+$X$2),""))</f>
        <v/>
      </c>
    </row>
    <row r="818" spans="12:21" hidden="1" x14ac:dyDescent="0.25">
      <c r="L818" s="18">
        <f t="shared" ca="1" si="105"/>
        <v>70959</v>
      </c>
      <c r="M818" s="14">
        <v>813</v>
      </c>
      <c r="N818" s="14">
        <f t="shared" si="99"/>
        <v>0</v>
      </c>
      <c r="O818" s="19">
        <f t="shared" si="100"/>
        <v>0</v>
      </c>
      <c r="P818" s="19">
        <f t="shared" si="106"/>
        <v>0</v>
      </c>
      <c r="Q818" s="14">
        <f t="shared" si="101"/>
        <v>0</v>
      </c>
      <c r="R818" s="19">
        <f t="shared" si="102"/>
        <v>0</v>
      </c>
      <c r="S818" s="19">
        <f t="shared" si="103"/>
        <v>0</v>
      </c>
      <c r="T818" s="14">
        <f t="shared" si="104"/>
        <v>0</v>
      </c>
      <c r="U818" s="18" t="str" cm="1">
        <f t="array" aca="1" ref="U818" ca="1">IF(M818&lt;=$N$1,L818,IF(M818&lt;=($N$1+1),INDIRECT("L"&amp;5+$X$2),""))</f>
        <v/>
      </c>
    </row>
    <row r="819" spans="12:21" hidden="1" x14ac:dyDescent="0.25">
      <c r="L819" s="18">
        <f t="shared" ca="1" si="105"/>
        <v>70989</v>
      </c>
      <c r="M819" s="14">
        <v>814</v>
      </c>
      <c r="N819" s="14">
        <f t="shared" si="99"/>
        <v>0</v>
      </c>
      <c r="O819" s="19">
        <f t="shared" si="100"/>
        <v>0</v>
      </c>
      <c r="P819" s="19">
        <f t="shared" si="106"/>
        <v>0</v>
      </c>
      <c r="Q819" s="14">
        <f t="shared" si="101"/>
        <v>0</v>
      </c>
      <c r="R819" s="19">
        <f t="shared" si="102"/>
        <v>0</v>
      </c>
      <c r="S819" s="19">
        <f t="shared" si="103"/>
        <v>0</v>
      </c>
      <c r="T819" s="14">
        <f t="shared" si="104"/>
        <v>0</v>
      </c>
      <c r="U819" s="18" t="str" cm="1">
        <f t="array" aca="1" ref="U819" ca="1">IF(M819&lt;=$N$1,L819,IF(M819&lt;=($N$1+1),INDIRECT("L"&amp;5+$X$2),""))</f>
        <v/>
      </c>
    </row>
    <row r="820" spans="12:21" hidden="1" x14ac:dyDescent="0.25">
      <c r="L820" s="18">
        <f t="shared" ca="1" si="105"/>
        <v>71020</v>
      </c>
      <c r="M820" s="14">
        <v>815</v>
      </c>
      <c r="N820" s="14">
        <f t="shared" si="99"/>
        <v>0</v>
      </c>
      <c r="O820" s="19">
        <f t="shared" si="100"/>
        <v>0</v>
      </c>
      <c r="P820" s="19">
        <f t="shared" si="106"/>
        <v>0</v>
      </c>
      <c r="Q820" s="14">
        <f t="shared" si="101"/>
        <v>0</v>
      </c>
      <c r="R820" s="19">
        <f t="shared" si="102"/>
        <v>0</v>
      </c>
      <c r="S820" s="19">
        <f t="shared" si="103"/>
        <v>0</v>
      </c>
      <c r="T820" s="14">
        <f t="shared" si="104"/>
        <v>0</v>
      </c>
      <c r="U820" s="18" t="str" cm="1">
        <f t="array" aca="1" ref="U820" ca="1">IF(M820&lt;=$N$1,L820,IF(M820&lt;=($N$1+1),INDIRECT("L"&amp;5+$X$2),""))</f>
        <v/>
      </c>
    </row>
    <row r="821" spans="12:21" hidden="1" x14ac:dyDescent="0.25">
      <c r="L821" s="18">
        <f t="shared" ca="1" si="105"/>
        <v>71050</v>
      </c>
      <c r="M821" s="14">
        <v>816</v>
      </c>
      <c r="N821" s="14">
        <f t="shared" si="99"/>
        <v>0</v>
      </c>
      <c r="O821" s="19">
        <f t="shared" si="100"/>
        <v>0</v>
      </c>
      <c r="P821" s="19">
        <f t="shared" si="106"/>
        <v>0</v>
      </c>
      <c r="Q821" s="14">
        <f t="shared" si="101"/>
        <v>0</v>
      </c>
      <c r="R821" s="19">
        <f t="shared" si="102"/>
        <v>0</v>
      </c>
      <c r="S821" s="19">
        <f t="shared" si="103"/>
        <v>0</v>
      </c>
      <c r="T821" s="14">
        <f t="shared" si="104"/>
        <v>0</v>
      </c>
      <c r="U821" s="18" t="str" cm="1">
        <f t="array" aca="1" ref="U821" ca="1">IF(M821&lt;=$N$1,L821,IF(M821&lt;=($N$1+1),INDIRECT("L"&amp;5+$X$2),""))</f>
        <v/>
      </c>
    </row>
    <row r="822" spans="12:21" hidden="1" x14ac:dyDescent="0.25">
      <c r="L822" s="18">
        <f t="shared" ca="1" si="105"/>
        <v>71081</v>
      </c>
      <c r="M822" s="14">
        <v>817</v>
      </c>
      <c r="N822" s="14">
        <f t="shared" si="99"/>
        <v>0</v>
      </c>
      <c r="O822" s="19">
        <f t="shared" si="100"/>
        <v>0</v>
      </c>
      <c r="P822" s="19">
        <f t="shared" si="106"/>
        <v>0</v>
      </c>
      <c r="Q822" s="14">
        <f t="shared" si="101"/>
        <v>0</v>
      </c>
      <c r="R822" s="19">
        <f t="shared" si="102"/>
        <v>0</v>
      </c>
      <c r="S822" s="19">
        <f t="shared" si="103"/>
        <v>0</v>
      </c>
      <c r="T822" s="14">
        <f t="shared" si="104"/>
        <v>0</v>
      </c>
      <c r="U822" s="18" t="str" cm="1">
        <f t="array" aca="1" ref="U822" ca="1">IF(M822&lt;=$N$1,L822,IF(M822&lt;=($N$1+1),INDIRECT("L"&amp;5+$X$2),""))</f>
        <v/>
      </c>
    </row>
    <row r="823" spans="12:21" hidden="1" x14ac:dyDescent="0.25">
      <c r="L823" s="18">
        <f t="shared" ca="1" si="105"/>
        <v>71112</v>
      </c>
      <c r="M823" s="14">
        <v>818</v>
      </c>
      <c r="N823" s="14">
        <f t="shared" si="99"/>
        <v>0</v>
      </c>
      <c r="O823" s="19">
        <f t="shared" si="100"/>
        <v>0</v>
      </c>
      <c r="P823" s="19">
        <f t="shared" si="106"/>
        <v>0</v>
      </c>
      <c r="Q823" s="14">
        <f t="shared" si="101"/>
        <v>0</v>
      </c>
      <c r="R823" s="19">
        <f t="shared" si="102"/>
        <v>0</v>
      </c>
      <c r="S823" s="19">
        <f t="shared" si="103"/>
        <v>0</v>
      </c>
      <c r="T823" s="14">
        <f t="shared" si="104"/>
        <v>0</v>
      </c>
      <c r="U823" s="18" t="str" cm="1">
        <f t="array" aca="1" ref="U823" ca="1">IF(M823&lt;=$N$1,L823,IF(M823&lt;=($N$1+1),INDIRECT("L"&amp;5+$X$2),""))</f>
        <v/>
      </c>
    </row>
    <row r="824" spans="12:21" hidden="1" x14ac:dyDescent="0.25">
      <c r="L824" s="18">
        <f t="shared" ca="1" si="105"/>
        <v>71142</v>
      </c>
      <c r="M824" s="14">
        <v>819</v>
      </c>
      <c r="N824" s="14">
        <f t="shared" si="99"/>
        <v>0</v>
      </c>
      <c r="O824" s="19">
        <f t="shared" si="100"/>
        <v>0</v>
      </c>
      <c r="P824" s="19">
        <f t="shared" si="106"/>
        <v>0</v>
      </c>
      <c r="Q824" s="14">
        <f t="shared" si="101"/>
        <v>0</v>
      </c>
      <c r="R824" s="19">
        <f t="shared" si="102"/>
        <v>0</v>
      </c>
      <c r="S824" s="19">
        <f t="shared" si="103"/>
        <v>0</v>
      </c>
      <c r="T824" s="14">
        <f t="shared" si="104"/>
        <v>0</v>
      </c>
      <c r="U824" s="18" t="str" cm="1">
        <f t="array" aca="1" ref="U824" ca="1">IF(M824&lt;=$N$1,L824,IF(M824&lt;=($N$1+1),INDIRECT("L"&amp;5+$X$2),""))</f>
        <v/>
      </c>
    </row>
    <row r="825" spans="12:21" hidden="1" x14ac:dyDescent="0.25">
      <c r="L825" s="18">
        <f t="shared" ca="1" si="105"/>
        <v>71173</v>
      </c>
      <c r="M825" s="14">
        <v>820</v>
      </c>
      <c r="N825" s="14">
        <f t="shared" si="99"/>
        <v>0</v>
      </c>
      <c r="O825" s="19">
        <f t="shared" si="100"/>
        <v>0</v>
      </c>
      <c r="P825" s="19">
        <f t="shared" si="106"/>
        <v>0</v>
      </c>
      <c r="Q825" s="14">
        <f t="shared" si="101"/>
        <v>0</v>
      </c>
      <c r="R825" s="19">
        <f t="shared" si="102"/>
        <v>0</v>
      </c>
      <c r="S825" s="19">
        <f t="shared" si="103"/>
        <v>0</v>
      </c>
      <c r="T825" s="14">
        <f t="shared" si="104"/>
        <v>0</v>
      </c>
      <c r="U825" s="18" t="str" cm="1">
        <f t="array" aca="1" ref="U825" ca="1">IF(M825&lt;=$N$1,L825,IF(M825&lt;=($N$1+1),INDIRECT("L"&amp;5+$X$2),""))</f>
        <v/>
      </c>
    </row>
    <row r="826" spans="12:21" hidden="1" x14ac:dyDescent="0.25">
      <c r="L826" s="18">
        <f t="shared" ca="1" si="105"/>
        <v>71203</v>
      </c>
      <c r="M826" s="14">
        <v>821</v>
      </c>
      <c r="N826" s="14">
        <f t="shared" si="99"/>
        <v>0</v>
      </c>
      <c r="O826" s="19">
        <f t="shared" si="100"/>
        <v>0</v>
      </c>
      <c r="P826" s="19">
        <f t="shared" si="106"/>
        <v>0</v>
      </c>
      <c r="Q826" s="14">
        <f t="shared" si="101"/>
        <v>0</v>
      </c>
      <c r="R826" s="19">
        <f t="shared" si="102"/>
        <v>0</v>
      </c>
      <c r="S826" s="19">
        <f t="shared" si="103"/>
        <v>0</v>
      </c>
      <c r="T826" s="14">
        <f t="shared" si="104"/>
        <v>0</v>
      </c>
      <c r="U826" s="18" t="str" cm="1">
        <f t="array" aca="1" ref="U826" ca="1">IF(M826&lt;=$N$1,L826,IF(M826&lt;=($N$1+1),INDIRECT("L"&amp;5+$X$2),""))</f>
        <v/>
      </c>
    </row>
    <row r="827" spans="12:21" hidden="1" x14ac:dyDescent="0.25">
      <c r="L827" s="18">
        <f t="shared" ca="1" si="105"/>
        <v>71234</v>
      </c>
      <c r="M827" s="14">
        <v>822</v>
      </c>
      <c r="N827" s="14">
        <f t="shared" si="99"/>
        <v>0</v>
      </c>
      <c r="O827" s="19">
        <f t="shared" si="100"/>
        <v>0</v>
      </c>
      <c r="P827" s="19">
        <f t="shared" si="106"/>
        <v>0</v>
      </c>
      <c r="Q827" s="14">
        <f t="shared" si="101"/>
        <v>0</v>
      </c>
      <c r="R827" s="19">
        <f t="shared" si="102"/>
        <v>0</v>
      </c>
      <c r="S827" s="19">
        <f t="shared" si="103"/>
        <v>0</v>
      </c>
      <c r="T827" s="14">
        <f t="shared" si="104"/>
        <v>0</v>
      </c>
      <c r="U827" s="18" t="str" cm="1">
        <f t="array" aca="1" ref="U827" ca="1">IF(M827&lt;=$N$1,L827,IF(M827&lt;=($N$1+1),INDIRECT("L"&amp;5+$X$2),""))</f>
        <v/>
      </c>
    </row>
    <row r="828" spans="12:21" hidden="1" x14ac:dyDescent="0.25">
      <c r="L828" s="18">
        <f t="shared" ca="1" si="105"/>
        <v>71265</v>
      </c>
      <c r="M828" s="14">
        <v>823</v>
      </c>
      <c r="N828" s="14">
        <f t="shared" si="99"/>
        <v>0</v>
      </c>
      <c r="O828" s="19">
        <f t="shared" si="100"/>
        <v>0</v>
      </c>
      <c r="P828" s="19">
        <f t="shared" si="106"/>
        <v>0</v>
      </c>
      <c r="Q828" s="14">
        <f t="shared" si="101"/>
        <v>0</v>
      </c>
      <c r="R828" s="19">
        <f t="shared" si="102"/>
        <v>0</v>
      </c>
      <c r="S828" s="19">
        <f t="shared" si="103"/>
        <v>0</v>
      </c>
      <c r="T828" s="14">
        <f t="shared" si="104"/>
        <v>0</v>
      </c>
      <c r="U828" s="18" t="str" cm="1">
        <f t="array" aca="1" ref="U828" ca="1">IF(M828&lt;=$N$1,L828,IF(M828&lt;=($N$1+1),INDIRECT("L"&amp;5+$X$2),""))</f>
        <v/>
      </c>
    </row>
    <row r="829" spans="12:21" hidden="1" x14ac:dyDescent="0.25">
      <c r="L829" s="18">
        <f t="shared" ca="1" si="105"/>
        <v>71293</v>
      </c>
      <c r="M829" s="14">
        <v>824</v>
      </c>
      <c r="N829" s="14">
        <f t="shared" si="99"/>
        <v>0</v>
      </c>
      <c r="O829" s="19">
        <f t="shared" si="100"/>
        <v>0</v>
      </c>
      <c r="P829" s="19">
        <f t="shared" si="106"/>
        <v>0</v>
      </c>
      <c r="Q829" s="14">
        <f t="shared" si="101"/>
        <v>0</v>
      </c>
      <c r="R829" s="19">
        <f t="shared" si="102"/>
        <v>0</v>
      </c>
      <c r="S829" s="19">
        <f t="shared" si="103"/>
        <v>0</v>
      </c>
      <c r="T829" s="14">
        <f t="shared" si="104"/>
        <v>0</v>
      </c>
      <c r="U829" s="18" t="str" cm="1">
        <f t="array" aca="1" ref="U829" ca="1">IF(M829&lt;=$N$1,L829,IF(M829&lt;=($N$1+1),INDIRECT("L"&amp;5+$X$2),""))</f>
        <v/>
      </c>
    </row>
    <row r="830" spans="12:21" hidden="1" x14ac:dyDescent="0.25">
      <c r="L830" s="18">
        <f t="shared" ca="1" si="105"/>
        <v>71324</v>
      </c>
      <c r="M830" s="14">
        <v>825</v>
      </c>
      <c r="N830" s="14">
        <f t="shared" si="99"/>
        <v>0</v>
      </c>
      <c r="O830" s="19">
        <f t="shared" si="100"/>
        <v>0</v>
      </c>
      <c r="P830" s="19">
        <f t="shared" si="106"/>
        <v>0</v>
      </c>
      <c r="Q830" s="14">
        <f t="shared" si="101"/>
        <v>0</v>
      </c>
      <c r="R830" s="19">
        <f t="shared" si="102"/>
        <v>0</v>
      </c>
      <c r="S830" s="19">
        <f t="shared" si="103"/>
        <v>0</v>
      </c>
      <c r="T830" s="14">
        <f t="shared" si="104"/>
        <v>0</v>
      </c>
      <c r="U830" s="18" t="str" cm="1">
        <f t="array" aca="1" ref="U830" ca="1">IF(M830&lt;=$N$1,L830,IF(M830&lt;=($N$1+1),INDIRECT("L"&amp;5+$X$2),""))</f>
        <v/>
      </c>
    </row>
    <row r="831" spans="12:21" hidden="1" x14ac:dyDescent="0.25">
      <c r="L831" s="18">
        <f t="shared" ca="1" si="105"/>
        <v>71354</v>
      </c>
      <c r="M831" s="14">
        <v>826</v>
      </c>
      <c r="N831" s="14">
        <f t="shared" si="99"/>
        <v>0</v>
      </c>
      <c r="O831" s="19">
        <f t="shared" si="100"/>
        <v>0</v>
      </c>
      <c r="P831" s="19">
        <f t="shared" si="106"/>
        <v>0</v>
      </c>
      <c r="Q831" s="14">
        <f t="shared" si="101"/>
        <v>0</v>
      </c>
      <c r="R831" s="19">
        <f t="shared" si="102"/>
        <v>0</v>
      </c>
      <c r="S831" s="19">
        <f t="shared" si="103"/>
        <v>0</v>
      </c>
      <c r="T831" s="14">
        <f t="shared" si="104"/>
        <v>0</v>
      </c>
      <c r="U831" s="18" t="str" cm="1">
        <f t="array" aca="1" ref="U831" ca="1">IF(M831&lt;=$N$1,L831,IF(M831&lt;=($N$1+1),INDIRECT("L"&amp;5+$X$2),""))</f>
        <v/>
      </c>
    </row>
    <row r="832" spans="12:21" hidden="1" x14ac:dyDescent="0.25">
      <c r="L832" s="18">
        <f t="shared" ca="1" si="105"/>
        <v>71385</v>
      </c>
      <c r="M832" s="14">
        <v>827</v>
      </c>
      <c r="N832" s="14">
        <f t="shared" si="99"/>
        <v>0</v>
      </c>
      <c r="O832" s="19">
        <f t="shared" si="100"/>
        <v>0</v>
      </c>
      <c r="P832" s="19">
        <f t="shared" si="106"/>
        <v>0</v>
      </c>
      <c r="Q832" s="14">
        <f t="shared" si="101"/>
        <v>0</v>
      </c>
      <c r="R832" s="19">
        <f t="shared" si="102"/>
        <v>0</v>
      </c>
      <c r="S832" s="19">
        <f t="shared" si="103"/>
        <v>0</v>
      </c>
      <c r="T832" s="14">
        <f t="shared" si="104"/>
        <v>0</v>
      </c>
      <c r="U832" s="18" t="str" cm="1">
        <f t="array" aca="1" ref="U832" ca="1">IF(M832&lt;=$N$1,L832,IF(M832&lt;=($N$1+1),INDIRECT("L"&amp;5+$X$2),""))</f>
        <v/>
      </c>
    </row>
    <row r="833" spans="12:21" hidden="1" x14ac:dyDescent="0.25">
      <c r="L833" s="18">
        <f t="shared" ca="1" si="105"/>
        <v>71415</v>
      </c>
      <c r="M833" s="14">
        <v>828</v>
      </c>
      <c r="N833" s="14">
        <f t="shared" si="99"/>
        <v>0</v>
      </c>
      <c r="O833" s="19">
        <f t="shared" si="100"/>
        <v>0</v>
      </c>
      <c r="P833" s="19">
        <f t="shared" si="106"/>
        <v>0</v>
      </c>
      <c r="Q833" s="14">
        <f t="shared" si="101"/>
        <v>0</v>
      </c>
      <c r="R833" s="19">
        <f t="shared" si="102"/>
        <v>0</v>
      </c>
      <c r="S833" s="19">
        <f t="shared" si="103"/>
        <v>0</v>
      </c>
      <c r="T833" s="14">
        <f t="shared" si="104"/>
        <v>0</v>
      </c>
      <c r="U833" s="18" t="str" cm="1">
        <f t="array" aca="1" ref="U833" ca="1">IF(M833&lt;=$N$1,L833,IF(M833&lt;=($N$1+1),INDIRECT("L"&amp;5+$X$2),""))</f>
        <v/>
      </c>
    </row>
    <row r="834" spans="12:21" hidden="1" x14ac:dyDescent="0.25">
      <c r="L834" s="18">
        <f t="shared" ca="1" si="105"/>
        <v>71446</v>
      </c>
      <c r="M834" s="14">
        <v>829</v>
      </c>
      <c r="N834" s="14">
        <f t="shared" si="99"/>
        <v>0</v>
      </c>
      <c r="O834" s="19">
        <f t="shared" si="100"/>
        <v>0</v>
      </c>
      <c r="P834" s="19">
        <f t="shared" si="106"/>
        <v>0</v>
      </c>
      <c r="Q834" s="14">
        <f t="shared" si="101"/>
        <v>0</v>
      </c>
      <c r="R834" s="19">
        <f t="shared" si="102"/>
        <v>0</v>
      </c>
      <c r="S834" s="19">
        <f t="shared" si="103"/>
        <v>0</v>
      </c>
      <c r="T834" s="14">
        <f t="shared" si="104"/>
        <v>0</v>
      </c>
      <c r="U834" s="18" t="str" cm="1">
        <f t="array" aca="1" ref="U834" ca="1">IF(M834&lt;=$N$1,L834,IF(M834&lt;=($N$1+1),INDIRECT("L"&amp;5+$X$2),""))</f>
        <v/>
      </c>
    </row>
    <row r="835" spans="12:21" hidden="1" x14ac:dyDescent="0.25">
      <c r="L835" s="18">
        <f t="shared" ca="1" si="105"/>
        <v>71477</v>
      </c>
      <c r="M835" s="14">
        <v>830</v>
      </c>
      <c r="N835" s="14">
        <f t="shared" si="99"/>
        <v>0</v>
      </c>
      <c r="O835" s="19">
        <f t="shared" si="100"/>
        <v>0</v>
      </c>
      <c r="P835" s="19">
        <f t="shared" si="106"/>
        <v>0</v>
      </c>
      <c r="Q835" s="14">
        <f t="shared" si="101"/>
        <v>0</v>
      </c>
      <c r="R835" s="19">
        <f t="shared" si="102"/>
        <v>0</v>
      </c>
      <c r="S835" s="19">
        <f t="shared" si="103"/>
        <v>0</v>
      </c>
      <c r="T835" s="14">
        <f t="shared" si="104"/>
        <v>0</v>
      </c>
      <c r="U835" s="18" t="str" cm="1">
        <f t="array" aca="1" ref="U835" ca="1">IF(M835&lt;=$N$1,L835,IF(M835&lt;=($N$1+1),INDIRECT("L"&amp;5+$X$2),""))</f>
        <v/>
      </c>
    </row>
    <row r="836" spans="12:21" hidden="1" x14ac:dyDescent="0.25">
      <c r="L836" s="18">
        <f t="shared" ca="1" si="105"/>
        <v>71507</v>
      </c>
      <c r="M836" s="14">
        <v>831</v>
      </c>
      <c r="N836" s="14">
        <f t="shared" si="99"/>
        <v>0</v>
      </c>
      <c r="O836" s="19">
        <f t="shared" si="100"/>
        <v>0</v>
      </c>
      <c r="P836" s="19">
        <f t="shared" si="106"/>
        <v>0</v>
      </c>
      <c r="Q836" s="14">
        <f t="shared" si="101"/>
        <v>0</v>
      </c>
      <c r="R836" s="19">
        <f t="shared" si="102"/>
        <v>0</v>
      </c>
      <c r="S836" s="19">
        <f t="shared" si="103"/>
        <v>0</v>
      </c>
      <c r="T836" s="14">
        <f t="shared" si="104"/>
        <v>0</v>
      </c>
      <c r="U836" s="18" t="str" cm="1">
        <f t="array" aca="1" ref="U836" ca="1">IF(M836&lt;=$N$1,L836,IF(M836&lt;=($N$1+1),INDIRECT("L"&amp;5+$X$2),""))</f>
        <v/>
      </c>
    </row>
    <row r="837" spans="12:21" hidden="1" x14ac:dyDescent="0.25">
      <c r="L837" s="18">
        <f t="shared" ca="1" si="105"/>
        <v>71538</v>
      </c>
      <c r="M837" s="14">
        <v>832</v>
      </c>
      <c r="N837" s="14">
        <f t="shared" si="99"/>
        <v>0</v>
      </c>
      <c r="O837" s="19">
        <f t="shared" si="100"/>
        <v>0</v>
      </c>
      <c r="P837" s="19">
        <f t="shared" si="106"/>
        <v>0</v>
      </c>
      <c r="Q837" s="14">
        <f t="shared" si="101"/>
        <v>0</v>
      </c>
      <c r="R837" s="19">
        <f t="shared" si="102"/>
        <v>0</v>
      </c>
      <c r="S837" s="19">
        <f t="shared" si="103"/>
        <v>0</v>
      </c>
      <c r="T837" s="14">
        <f t="shared" si="104"/>
        <v>0</v>
      </c>
      <c r="U837" s="18" t="str" cm="1">
        <f t="array" aca="1" ref="U837" ca="1">IF(M837&lt;=$N$1,L837,IF(M837&lt;=($N$1+1),INDIRECT("L"&amp;5+$X$2),""))</f>
        <v/>
      </c>
    </row>
    <row r="838" spans="12:21" hidden="1" x14ac:dyDescent="0.25">
      <c r="L838" s="18">
        <f t="shared" ca="1" si="105"/>
        <v>71568</v>
      </c>
      <c r="M838" s="14">
        <v>833</v>
      </c>
      <c r="N838" s="14">
        <f t="shared" ref="N838:N901" si="107">IF($N$1&gt;=M838,SIPMonthlyPmt*M838,0)</f>
        <v>0</v>
      </c>
      <c r="O838" s="19">
        <f t="shared" ref="O838:O901" si="108">IF($X$2&gt;=M838,IF(M838&lt;=$N$1,FV(SRate,M838,-SIPMonthlyPmt,0,1),FV(SRate,M838-$N$1,0,-$X$1,1)),0)</f>
        <v>0</v>
      </c>
      <c r="P838" s="19">
        <f t="shared" si="106"/>
        <v>0</v>
      </c>
      <c r="Q838" s="14">
        <f t="shared" ref="Q838:Q901" si="109">IF((M838-$C$15)&gt;0, IF($N$1+$C$15&gt;=M838,SIPMonthlyPmt*(M838-$C$15),0),0)</f>
        <v>0</v>
      </c>
      <c r="R838" s="19">
        <f t="shared" ref="R838:R901" si="110">IF(M838&lt;=$C$15,0,IF($X$2&gt;=M838,IF(M838&lt;=($N$1+$C$15),FV(SRate,M838-$C$15,-SIPMonthlyPmt,0,1),FV(SRate,M838-$N$1-$C$15,0,-$X$1,1)),0))</f>
        <v>0</v>
      </c>
      <c r="S838" s="19">
        <f t="shared" ref="S838:S901" si="111">R838/((1+SIPInflationRate)^((M838-$C$15)/12))</f>
        <v>0</v>
      </c>
      <c r="T838" s="14">
        <f t="shared" ref="T838:T901" si="112">IF(M838&lt;=$N$1,-SIPMonthlyPmt,IF(M838&lt;=($N$1+1),$X$4,0))</f>
        <v>0</v>
      </c>
      <c r="U838" s="18" t="str" cm="1">
        <f t="array" aca="1" ref="U838" ca="1">IF(M838&lt;=$N$1,L838,IF(M838&lt;=($N$1+1),INDIRECT("L"&amp;5+$X$2),""))</f>
        <v/>
      </c>
    </row>
    <row r="839" spans="12:21" hidden="1" x14ac:dyDescent="0.25">
      <c r="L839" s="18">
        <f t="shared" ca="1" si="105"/>
        <v>71599</v>
      </c>
      <c r="M839" s="14">
        <v>834</v>
      </c>
      <c r="N839" s="14">
        <f t="shared" si="107"/>
        <v>0</v>
      </c>
      <c r="O839" s="19">
        <f t="shared" si="108"/>
        <v>0</v>
      </c>
      <c r="P839" s="19">
        <f t="shared" si="106"/>
        <v>0</v>
      </c>
      <c r="Q839" s="14">
        <f t="shared" si="109"/>
        <v>0</v>
      </c>
      <c r="R839" s="19">
        <f t="shared" si="110"/>
        <v>0</v>
      </c>
      <c r="S839" s="19">
        <f t="shared" si="111"/>
        <v>0</v>
      </c>
      <c r="T839" s="14">
        <f t="shared" si="112"/>
        <v>0</v>
      </c>
      <c r="U839" s="18" t="str" cm="1">
        <f t="array" aca="1" ref="U839" ca="1">IF(M839&lt;=$N$1,L839,IF(M839&lt;=($N$1+1),INDIRECT("L"&amp;5+$X$2),""))</f>
        <v/>
      </c>
    </row>
    <row r="840" spans="12:21" hidden="1" x14ac:dyDescent="0.25">
      <c r="L840" s="18">
        <f t="shared" ca="1" si="105"/>
        <v>71630</v>
      </c>
      <c r="M840" s="14">
        <v>835</v>
      </c>
      <c r="N840" s="14">
        <f t="shared" si="107"/>
        <v>0</v>
      </c>
      <c r="O840" s="19">
        <f t="shared" si="108"/>
        <v>0</v>
      </c>
      <c r="P840" s="19">
        <f t="shared" si="106"/>
        <v>0</v>
      </c>
      <c r="Q840" s="14">
        <f t="shared" si="109"/>
        <v>0</v>
      </c>
      <c r="R840" s="19">
        <f t="shared" si="110"/>
        <v>0</v>
      </c>
      <c r="S840" s="19">
        <f t="shared" si="111"/>
        <v>0</v>
      </c>
      <c r="T840" s="14">
        <f t="shared" si="112"/>
        <v>0</v>
      </c>
      <c r="U840" s="18" t="str" cm="1">
        <f t="array" aca="1" ref="U840" ca="1">IF(M840&lt;=$N$1,L840,IF(M840&lt;=($N$1+1),INDIRECT("L"&amp;5+$X$2),""))</f>
        <v/>
      </c>
    </row>
    <row r="841" spans="12:21" hidden="1" x14ac:dyDescent="0.25">
      <c r="L841" s="18">
        <f t="shared" ref="L841:L904" ca="1" si="113">EDATE(L840,1)</f>
        <v>71659</v>
      </c>
      <c r="M841" s="14">
        <v>836</v>
      </c>
      <c r="N841" s="14">
        <f t="shared" si="107"/>
        <v>0</v>
      </c>
      <c r="O841" s="19">
        <f t="shared" si="108"/>
        <v>0</v>
      </c>
      <c r="P841" s="19">
        <f t="shared" si="106"/>
        <v>0</v>
      </c>
      <c r="Q841" s="14">
        <f t="shared" si="109"/>
        <v>0</v>
      </c>
      <c r="R841" s="19">
        <f t="shared" si="110"/>
        <v>0</v>
      </c>
      <c r="S841" s="19">
        <f t="shared" si="111"/>
        <v>0</v>
      </c>
      <c r="T841" s="14">
        <f t="shared" si="112"/>
        <v>0</v>
      </c>
      <c r="U841" s="18" t="str" cm="1">
        <f t="array" aca="1" ref="U841" ca="1">IF(M841&lt;=$N$1,L841,IF(M841&lt;=($N$1+1),INDIRECT("L"&amp;5+$X$2),""))</f>
        <v/>
      </c>
    </row>
    <row r="842" spans="12:21" hidden="1" x14ac:dyDescent="0.25">
      <c r="L842" s="18">
        <f t="shared" ca="1" si="113"/>
        <v>71690</v>
      </c>
      <c r="M842" s="14">
        <v>837</v>
      </c>
      <c r="N842" s="14">
        <f t="shared" si="107"/>
        <v>0</v>
      </c>
      <c r="O842" s="19">
        <f t="shared" si="108"/>
        <v>0</v>
      </c>
      <c r="P842" s="19">
        <f t="shared" si="106"/>
        <v>0</v>
      </c>
      <c r="Q842" s="14">
        <f t="shared" si="109"/>
        <v>0</v>
      </c>
      <c r="R842" s="19">
        <f t="shared" si="110"/>
        <v>0</v>
      </c>
      <c r="S842" s="19">
        <f t="shared" si="111"/>
        <v>0</v>
      </c>
      <c r="T842" s="14">
        <f t="shared" si="112"/>
        <v>0</v>
      </c>
      <c r="U842" s="18" t="str" cm="1">
        <f t="array" aca="1" ref="U842" ca="1">IF(M842&lt;=$N$1,L842,IF(M842&lt;=($N$1+1),INDIRECT("L"&amp;5+$X$2),""))</f>
        <v/>
      </c>
    </row>
    <row r="843" spans="12:21" hidden="1" x14ac:dyDescent="0.25">
      <c r="L843" s="18">
        <f t="shared" ca="1" si="113"/>
        <v>71720</v>
      </c>
      <c r="M843" s="14">
        <v>838</v>
      </c>
      <c r="N843" s="14">
        <f t="shared" si="107"/>
        <v>0</v>
      </c>
      <c r="O843" s="19">
        <f t="shared" si="108"/>
        <v>0</v>
      </c>
      <c r="P843" s="19">
        <f t="shared" si="106"/>
        <v>0</v>
      </c>
      <c r="Q843" s="14">
        <f t="shared" si="109"/>
        <v>0</v>
      </c>
      <c r="R843" s="19">
        <f t="shared" si="110"/>
        <v>0</v>
      </c>
      <c r="S843" s="19">
        <f t="shared" si="111"/>
        <v>0</v>
      </c>
      <c r="T843" s="14">
        <f t="shared" si="112"/>
        <v>0</v>
      </c>
      <c r="U843" s="18" t="str" cm="1">
        <f t="array" aca="1" ref="U843" ca="1">IF(M843&lt;=$N$1,L843,IF(M843&lt;=($N$1+1),INDIRECT("L"&amp;5+$X$2),""))</f>
        <v/>
      </c>
    </row>
    <row r="844" spans="12:21" hidden="1" x14ac:dyDescent="0.25">
      <c r="L844" s="18">
        <f t="shared" ca="1" si="113"/>
        <v>71751</v>
      </c>
      <c r="M844" s="14">
        <v>839</v>
      </c>
      <c r="N844" s="14">
        <f t="shared" si="107"/>
        <v>0</v>
      </c>
      <c r="O844" s="19">
        <f t="shared" si="108"/>
        <v>0</v>
      </c>
      <c r="P844" s="19">
        <f t="shared" si="106"/>
        <v>0</v>
      </c>
      <c r="Q844" s="14">
        <f t="shared" si="109"/>
        <v>0</v>
      </c>
      <c r="R844" s="19">
        <f t="shared" si="110"/>
        <v>0</v>
      </c>
      <c r="S844" s="19">
        <f t="shared" si="111"/>
        <v>0</v>
      </c>
      <c r="T844" s="14">
        <f t="shared" si="112"/>
        <v>0</v>
      </c>
      <c r="U844" s="18" t="str" cm="1">
        <f t="array" aca="1" ref="U844" ca="1">IF(M844&lt;=$N$1,L844,IF(M844&lt;=($N$1+1),INDIRECT("L"&amp;5+$X$2),""))</f>
        <v/>
      </c>
    </row>
    <row r="845" spans="12:21" hidden="1" x14ac:dyDescent="0.25">
      <c r="L845" s="18">
        <f t="shared" ca="1" si="113"/>
        <v>71781</v>
      </c>
      <c r="M845" s="14">
        <v>840</v>
      </c>
      <c r="N845" s="14">
        <f t="shared" si="107"/>
        <v>0</v>
      </c>
      <c r="O845" s="19">
        <f t="shared" si="108"/>
        <v>0</v>
      </c>
      <c r="P845" s="19">
        <f t="shared" si="106"/>
        <v>0</v>
      </c>
      <c r="Q845" s="14">
        <f t="shared" si="109"/>
        <v>0</v>
      </c>
      <c r="R845" s="19">
        <f t="shared" si="110"/>
        <v>0</v>
      </c>
      <c r="S845" s="19">
        <f t="shared" si="111"/>
        <v>0</v>
      </c>
      <c r="T845" s="14">
        <f t="shared" si="112"/>
        <v>0</v>
      </c>
      <c r="U845" s="18" t="str" cm="1">
        <f t="array" aca="1" ref="U845" ca="1">IF(M845&lt;=$N$1,L845,IF(M845&lt;=($N$1+1),INDIRECT("L"&amp;5+$X$2),""))</f>
        <v/>
      </c>
    </row>
    <row r="846" spans="12:21" hidden="1" x14ac:dyDescent="0.25">
      <c r="L846" s="18">
        <f t="shared" ca="1" si="113"/>
        <v>71812</v>
      </c>
      <c r="M846" s="14">
        <v>841</v>
      </c>
      <c r="N846" s="14">
        <f t="shared" si="107"/>
        <v>0</v>
      </c>
      <c r="O846" s="19">
        <f t="shared" si="108"/>
        <v>0</v>
      </c>
      <c r="P846" s="19">
        <f t="shared" si="106"/>
        <v>0</v>
      </c>
      <c r="Q846" s="14">
        <f t="shared" si="109"/>
        <v>0</v>
      </c>
      <c r="R846" s="19">
        <f t="shared" si="110"/>
        <v>0</v>
      </c>
      <c r="S846" s="19">
        <f t="shared" si="111"/>
        <v>0</v>
      </c>
      <c r="T846" s="14">
        <f t="shared" si="112"/>
        <v>0</v>
      </c>
      <c r="U846" s="18" t="str" cm="1">
        <f t="array" aca="1" ref="U846" ca="1">IF(M846&lt;=$N$1,L846,IF(M846&lt;=($N$1+1),INDIRECT("L"&amp;5+$X$2),""))</f>
        <v/>
      </c>
    </row>
    <row r="847" spans="12:21" hidden="1" x14ac:dyDescent="0.25">
      <c r="L847" s="18">
        <f t="shared" ca="1" si="113"/>
        <v>71843</v>
      </c>
      <c r="M847" s="14">
        <v>842</v>
      </c>
      <c r="N847" s="14">
        <f t="shared" si="107"/>
        <v>0</v>
      </c>
      <c r="O847" s="19">
        <f t="shared" si="108"/>
        <v>0</v>
      </c>
      <c r="P847" s="19">
        <f t="shared" si="106"/>
        <v>0</v>
      </c>
      <c r="Q847" s="14">
        <f t="shared" si="109"/>
        <v>0</v>
      </c>
      <c r="R847" s="19">
        <f t="shared" si="110"/>
        <v>0</v>
      </c>
      <c r="S847" s="19">
        <f t="shared" si="111"/>
        <v>0</v>
      </c>
      <c r="T847" s="14">
        <f t="shared" si="112"/>
        <v>0</v>
      </c>
      <c r="U847" s="18" t="str" cm="1">
        <f t="array" aca="1" ref="U847" ca="1">IF(M847&lt;=$N$1,L847,IF(M847&lt;=($N$1+1),INDIRECT("L"&amp;5+$X$2),""))</f>
        <v/>
      </c>
    </row>
    <row r="848" spans="12:21" hidden="1" x14ac:dyDescent="0.25">
      <c r="L848" s="18">
        <f t="shared" ca="1" si="113"/>
        <v>71873</v>
      </c>
      <c r="M848" s="14">
        <v>843</v>
      </c>
      <c r="N848" s="14">
        <f t="shared" si="107"/>
        <v>0</v>
      </c>
      <c r="O848" s="19">
        <f t="shared" si="108"/>
        <v>0</v>
      </c>
      <c r="P848" s="19">
        <f t="shared" si="106"/>
        <v>0</v>
      </c>
      <c r="Q848" s="14">
        <f t="shared" si="109"/>
        <v>0</v>
      </c>
      <c r="R848" s="19">
        <f t="shared" si="110"/>
        <v>0</v>
      </c>
      <c r="S848" s="19">
        <f t="shared" si="111"/>
        <v>0</v>
      </c>
      <c r="T848" s="14">
        <f t="shared" si="112"/>
        <v>0</v>
      </c>
      <c r="U848" s="18" t="str" cm="1">
        <f t="array" aca="1" ref="U848" ca="1">IF(M848&lt;=$N$1,L848,IF(M848&lt;=($N$1+1),INDIRECT("L"&amp;5+$X$2),""))</f>
        <v/>
      </c>
    </row>
    <row r="849" spans="12:21" hidden="1" x14ac:dyDescent="0.25">
      <c r="L849" s="18">
        <f t="shared" ca="1" si="113"/>
        <v>71904</v>
      </c>
      <c r="M849" s="14">
        <v>844</v>
      </c>
      <c r="N849" s="14">
        <f t="shared" si="107"/>
        <v>0</v>
      </c>
      <c r="O849" s="19">
        <f t="shared" si="108"/>
        <v>0</v>
      </c>
      <c r="P849" s="19">
        <f t="shared" si="106"/>
        <v>0</v>
      </c>
      <c r="Q849" s="14">
        <f t="shared" si="109"/>
        <v>0</v>
      </c>
      <c r="R849" s="19">
        <f t="shared" si="110"/>
        <v>0</v>
      </c>
      <c r="S849" s="19">
        <f t="shared" si="111"/>
        <v>0</v>
      </c>
      <c r="T849" s="14">
        <f t="shared" si="112"/>
        <v>0</v>
      </c>
      <c r="U849" s="18" t="str" cm="1">
        <f t="array" aca="1" ref="U849" ca="1">IF(M849&lt;=$N$1,L849,IF(M849&lt;=($N$1+1),INDIRECT("L"&amp;5+$X$2),""))</f>
        <v/>
      </c>
    </row>
    <row r="850" spans="12:21" hidden="1" x14ac:dyDescent="0.25">
      <c r="L850" s="18">
        <f t="shared" ca="1" si="113"/>
        <v>71934</v>
      </c>
      <c r="M850" s="14">
        <v>845</v>
      </c>
      <c r="N850" s="14">
        <f t="shared" si="107"/>
        <v>0</v>
      </c>
      <c r="O850" s="19">
        <f t="shared" si="108"/>
        <v>0</v>
      </c>
      <c r="P850" s="19">
        <f t="shared" si="106"/>
        <v>0</v>
      </c>
      <c r="Q850" s="14">
        <f t="shared" si="109"/>
        <v>0</v>
      </c>
      <c r="R850" s="19">
        <f t="shared" si="110"/>
        <v>0</v>
      </c>
      <c r="S850" s="19">
        <f t="shared" si="111"/>
        <v>0</v>
      </c>
      <c r="T850" s="14">
        <f t="shared" si="112"/>
        <v>0</v>
      </c>
      <c r="U850" s="18" t="str" cm="1">
        <f t="array" aca="1" ref="U850" ca="1">IF(M850&lt;=$N$1,L850,IF(M850&lt;=($N$1+1),INDIRECT("L"&amp;5+$X$2),""))</f>
        <v/>
      </c>
    </row>
    <row r="851" spans="12:21" hidden="1" x14ac:dyDescent="0.25">
      <c r="L851" s="18">
        <f t="shared" ca="1" si="113"/>
        <v>71965</v>
      </c>
      <c r="M851" s="14">
        <v>846</v>
      </c>
      <c r="N851" s="14">
        <f t="shared" si="107"/>
        <v>0</v>
      </c>
      <c r="O851" s="19">
        <f t="shared" si="108"/>
        <v>0</v>
      </c>
      <c r="P851" s="19">
        <f t="shared" si="106"/>
        <v>0</v>
      </c>
      <c r="Q851" s="14">
        <f t="shared" si="109"/>
        <v>0</v>
      </c>
      <c r="R851" s="19">
        <f t="shared" si="110"/>
        <v>0</v>
      </c>
      <c r="S851" s="19">
        <f t="shared" si="111"/>
        <v>0</v>
      </c>
      <c r="T851" s="14">
        <f t="shared" si="112"/>
        <v>0</v>
      </c>
      <c r="U851" s="18" t="str" cm="1">
        <f t="array" aca="1" ref="U851" ca="1">IF(M851&lt;=$N$1,L851,IF(M851&lt;=($N$1+1),INDIRECT("L"&amp;5+$X$2),""))</f>
        <v/>
      </c>
    </row>
    <row r="852" spans="12:21" hidden="1" x14ac:dyDescent="0.25">
      <c r="L852" s="18">
        <f t="shared" ca="1" si="113"/>
        <v>71996</v>
      </c>
      <c r="M852" s="14">
        <v>847</v>
      </c>
      <c r="N852" s="14">
        <f t="shared" si="107"/>
        <v>0</v>
      </c>
      <c r="O852" s="19">
        <f t="shared" si="108"/>
        <v>0</v>
      </c>
      <c r="P852" s="19">
        <f t="shared" si="106"/>
        <v>0</v>
      </c>
      <c r="Q852" s="14">
        <f t="shared" si="109"/>
        <v>0</v>
      </c>
      <c r="R852" s="19">
        <f t="shared" si="110"/>
        <v>0</v>
      </c>
      <c r="S852" s="19">
        <f t="shared" si="111"/>
        <v>0</v>
      </c>
      <c r="T852" s="14">
        <f t="shared" si="112"/>
        <v>0</v>
      </c>
      <c r="U852" s="18" t="str" cm="1">
        <f t="array" aca="1" ref="U852" ca="1">IF(M852&lt;=$N$1,L852,IF(M852&lt;=($N$1+1),INDIRECT("L"&amp;5+$X$2),""))</f>
        <v/>
      </c>
    </row>
    <row r="853" spans="12:21" hidden="1" x14ac:dyDescent="0.25">
      <c r="L853" s="18">
        <f t="shared" ca="1" si="113"/>
        <v>72024</v>
      </c>
      <c r="M853" s="14">
        <v>848</v>
      </c>
      <c r="N853" s="14">
        <f t="shared" si="107"/>
        <v>0</v>
      </c>
      <c r="O853" s="19">
        <f t="shared" si="108"/>
        <v>0</v>
      </c>
      <c r="P853" s="19">
        <f t="shared" si="106"/>
        <v>0</v>
      </c>
      <c r="Q853" s="14">
        <f t="shared" si="109"/>
        <v>0</v>
      </c>
      <c r="R853" s="19">
        <f t="shared" si="110"/>
        <v>0</v>
      </c>
      <c r="S853" s="19">
        <f t="shared" si="111"/>
        <v>0</v>
      </c>
      <c r="T853" s="14">
        <f t="shared" si="112"/>
        <v>0</v>
      </c>
      <c r="U853" s="18" t="str" cm="1">
        <f t="array" aca="1" ref="U853" ca="1">IF(M853&lt;=$N$1,L853,IF(M853&lt;=($N$1+1),INDIRECT("L"&amp;5+$X$2),""))</f>
        <v/>
      </c>
    </row>
    <row r="854" spans="12:21" hidden="1" x14ac:dyDescent="0.25">
      <c r="L854" s="18">
        <f t="shared" ca="1" si="113"/>
        <v>72055</v>
      </c>
      <c r="M854" s="14">
        <v>849</v>
      </c>
      <c r="N854" s="14">
        <f t="shared" si="107"/>
        <v>0</v>
      </c>
      <c r="O854" s="19">
        <f t="shared" si="108"/>
        <v>0</v>
      </c>
      <c r="P854" s="19">
        <f t="shared" si="106"/>
        <v>0</v>
      </c>
      <c r="Q854" s="14">
        <f t="shared" si="109"/>
        <v>0</v>
      </c>
      <c r="R854" s="19">
        <f t="shared" si="110"/>
        <v>0</v>
      </c>
      <c r="S854" s="19">
        <f t="shared" si="111"/>
        <v>0</v>
      </c>
      <c r="T854" s="14">
        <f t="shared" si="112"/>
        <v>0</v>
      </c>
      <c r="U854" s="18" t="str" cm="1">
        <f t="array" aca="1" ref="U854" ca="1">IF(M854&lt;=$N$1,L854,IF(M854&lt;=($N$1+1),INDIRECT("L"&amp;5+$X$2),""))</f>
        <v/>
      </c>
    </row>
    <row r="855" spans="12:21" hidden="1" x14ac:dyDescent="0.25">
      <c r="L855" s="18">
        <f t="shared" ca="1" si="113"/>
        <v>72085</v>
      </c>
      <c r="M855" s="14">
        <v>850</v>
      </c>
      <c r="N855" s="14">
        <f t="shared" si="107"/>
        <v>0</v>
      </c>
      <c r="O855" s="19">
        <f t="shared" si="108"/>
        <v>0</v>
      </c>
      <c r="P855" s="19">
        <f t="shared" si="106"/>
        <v>0</v>
      </c>
      <c r="Q855" s="14">
        <f t="shared" si="109"/>
        <v>0</v>
      </c>
      <c r="R855" s="19">
        <f t="shared" si="110"/>
        <v>0</v>
      </c>
      <c r="S855" s="19">
        <f t="shared" si="111"/>
        <v>0</v>
      </c>
      <c r="T855" s="14">
        <f t="shared" si="112"/>
        <v>0</v>
      </c>
      <c r="U855" s="18" t="str" cm="1">
        <f t="array" aca="1" ref="U855" ca="1">IF(M855&lt;=$N$1,L855,IF(M855&lt;=($N$1+1),INDIRECT("L"&amp;5+$X$2),""))</f>
        <v/>
      </c>
    </row>
    <row r="856" spans="12:21" hidden="1" x14ac:dyDescent="0.25">
      <c r="L856" s="18">
        <f t="shared" ca="1" si="113"/>
        <v>72116</v>
      </c>
      <c r="M856" s="14">
        <v>851</v>
      </c>
      <c r="N856" s="14">
        <f t="shared" si="107"/>
        <v>0</v>
      </c>
      <c r="O856" s="19">
        <f t="shared" si="108"/>
        <v>0</v>
      </c>
      <c r="P856" s="19">
        <f t="shared" si="106"/>
        <v>0</v>
      </c>
      <c r="Q856" s="14">
        <f t="shared" si="109"/>
        <v>0</v>
      </c>
      <c r="R856" s="19">
        <f t="shared" si="110"/>
        <v>0</v>
      </c>
      <c r="S856" s="19">
        <f t="shared" si="111"/>
        <v>0</v>
      </c>
      <c r="T856" s="14">
        <f t="shared" si="112"/>
        <v>0</v>
      </c>
      <c r="U856" s="18" t="str" cm="1">
        <f t="array" aca="1" ref="U856" ca="1">IF(M856&lt;=$N$1,L856,IF(M856&lt;=($N$1+1),INDIRECT("L"&amp;5+$X$2),""))</f>
        <v/>
      </c>
    </row>
    <row r="857" spans="12:21" hidden="1" x14ac:dyDescent="0.25">
      <c r="L857" s="18">
        <f t="shared" ca="1" si="113"/>
        <v>72146</v>
      </c>
      <c r="M857" s="14">
        <v>852</v>
      </c>
      <c r="N857" s="14">
        <f t="shared" si="107"/>
        <v>0</v>
      </c>
      <c r="O857" s="19">
        <f t="shared" si="108"/>
        <v>0</v>
      </c>
      <c r="P857" s="19">
        <f t="shared" si="106"/>
        <v>0</v>
      </c>
      <c r="Q857" s="14">
        <f t="shared" si="109"/>
        <v>0</v>
      </c>
      <c r="R857" s="19">
        <f t="shared" si="110"/>
        <v>0</v>
      </c>
      <c r="S857" s="19">
        <f t="shared" si="111"/>
        <v>0</v>
      </c>
      <c r="T857" s="14">
        <f t="shared" si="112"/>
        <v>0</v>
      </c>
      <c r="U857" s="18" t="str" cm="1">
        <f t="array" aca="1" ref="U857" ca="1">IF(M857&lt;=$N$1,L857,IF(M857&lt;=($N$1+1),INDIRECT("L"&amp;5+$X$2),""))</f>
        <v/>
      </c>
    </row>
    <row r="858" spans="12:21" hidden="1" x14ac:dyDescent="0.25">
      <c r="L858" s="18">
        <f t="shared" ca="1" si="113"/>
        <v>72177</v>
      </c>
      <c r="M858" s="14">
        <v>853</v>
      </c>
      <c r="N858" s="14">
        <f t="shared" si="107"/>
        <v>0</v>
      </c>
      <c r="O858" s="19">
        <f t="shared" si="108"/>
        <v>0</v>
      </c>
      <c r="P858" s="19">
        <f t="shared" si="106"/>
        <v>0</v>
      </c>
      <c r="Q858" s="14">
        <f t="shared" si="109"/>
        <v>0</v>
      </c>
      <c r="R858" s="19">
        <f t="shared" si="110"/>
        <v>0</v>
      </c>
      <c r="S858" s="19">
        <f t="shared" si="111"/>
        <v>0</v>
      </c>
      <c r="T858" s="14">
        <f t="shared" si="112"/>
        <v>0</v>
      </c>
      <c r="U858" s="18" t="str" cm="1">
        <f t="array" aca="1" ref="U858" ca="1">IF(M858&lt;=$N$1,L858,IF(M858&lt;=($N$1+1),INDIRECT("L"&amp;5+$X$2),""))</f>
        <v/>
      </c>
    </row>
    <row r="859" spans="12:21" hidden="1" x14ac:dyDescent="0.25">
      <c r="L859" s="18">
        <f t="shared" ca="1" si="113"/>
        <v>72208</v>
      </c>
      <c r="M859" s="14">
        <v>854</v>
      </c>
      <c r="N859" s="14">
        <f t="shared" si="107"/>
        <v>0</v>
      </c>
      <c r="O859" s="19">
        <f t="shared" si="108"/>
        <v>0</v>
      </c>
      <c r="P859" s="19">
        <f t="shared" si="106"/>
        <v>0</v>
      </c>
      <c r="Q859" s="14">
        <f t="shared" si="109"/>
        <v>0</v>
      </c>
      <c r="R859" s="19">
        <f t="shared" si="110"/>
        <v>0</v>
      </c>
      <c r="S859" s="19">
        <f t="shared" si="111"/>
        <v>0</v>
      </c>
      <c r="T859" s="14">
        <f t="shared" si="112"/>
        <v>0</v>
      </c>
      <c r="U859" s="18" t="str" cm="1">
        <f t="array" aca="1" ref="U859" ca="1">IF(M859&lt;=$N$1,L859,IF(M859&lt;=($N$1+1),INDIRECT("L"&amp;5+$X$2),""))</f>
        <v/>
      </c>
    </row>
    <row r="860" spans="12:21" hidden="1" x14ac:dyDescent="0.25">
      <c r="L860" s="18">
        <f t="shared" ca="1" si="113"/>
        <v>72238</v>
      </c>
      <c r="M860" s="14">
        <v>855</v>
      </c>
      <c r="N860" s="14">
        <f t="shared" si="107"/>
        <v>0</v>
      </c>
      <c r="O860" s="19">
        <f t="shared" si="108"/>
        <v>0</v>
      </c>
      <c r="P860" s="19">
        <f t="shared" si="106"/>
        <v>0</v>
      </c>
      <c r="Q860" s="14">
        <f t="shared" si="109"/>
        <v>0</v>
      </c>
      <c r="R860" s="19">
        <f t="shared" si="110"/>
        <v>0</v>
      </c>
      <c r="S860" s="19">
        <f t="shared" si="111"/>
        <v>0</v>
      </c>
      <c r="T860" s="14">
        <f t="shared" si="112"/>
        <v>0</v>
      </c>
      <c r="U860" s="18" t="str" cm="1">
        <f t="array" aca="1" ref="U860" ca="1">IF(M860&lt;=$N$1,L860,IF(M860&lt;=($N$1+1),INDIRECT("L"&amp;5+$X$2),""))</f>
        <v/>
      </c>
    </row>
    <row r="861" spans="12:21" hidden="1" x14ac:dyDescent="0.25">
      <c r="L861" s="18">
        <f t="shared" ca="1" si="113"/>
        <v>72269</v>
      </c>
      <c r="M861" s="14">
        <v>856</v>
      </c>
      <c r="N861" s="14">
        <f t="shared" si="107"/>
        <v>0</v>
      </c>
      <c r="O861" s="19">
        <f t="shared" si="108"/>
        <v>0</v>
      </c>
      <c r="P861" s="19">
        <f t="shared" si="106"/>
        <v>0</v>
      </c>
      <c r="Q861" s="14">
        <f t="shared" si="109"/>
        <v>0</v>
      </c>
      <c r="R861" s="19">
        <f t="shared" si="110"/>
        <v>0</v>
      </c>
      <c r="S861" s="19">
        <f t="shared" si="111"/>
        <v>0</v>
      </c>
      <c r="T861" s="14">
        <f t="shared" si="112"/>
        <v>0</v>
      </c>
      <c r="U861" s="18" t="str" cm="1">
        <f t="array" aca="1" ref="U861" ca="1">IF(M861&lt;=$N$1,L861,IF(M861&lt;=($N$1+1),INDIRECT("L"&amp;5+$X$2),""))</f>
        <v/>
      </c>
    </row>
    <row r="862" spans="12:21" hidden="1" x14ac:dyDescent="0.25">
      <c r="L862" s="18">
        <f t="shared" ca="1" si="113"/>
        <v>72299</v>
      </c>
      <c r="M862" s="14">
        <v>857</v>
      </c>
      <c r="N862" s="14">
        <f t="shared" si="107"/>
        <v>0</v>
      </c>
      <c r="O862" s="19">
        <f t="shared" si="108"/>
        <v>0</v>
      </c>
      <c r="P862" s="19">
        <f t="shared" si="106"/>
        <v>0</v>
      </c>
      <c r="Q862" s="14">
        <f t="shared" si="109"/>
        <v>0</v>
      </c>
      <c r="R862" s="19">
        <f t="shared" si="110"/>
        <v>0</v>
      </c>
      <c r="S862" s="19">
        <f t="shared" si="111"/>
        <v>0</v>
      </c>
      <c r="T862" s="14">
        <f t="shared" si="112"/>
        <v>0</v>
      </c>
      <c r="U862" s="18" t="str" cm="1">
        <f t="array" aca="1" ref="U862" ca="1">IF(M862&lt;=$N$1,L862,IF(M862&lt;=($N$1+1),INDIRECT("L"&amp;5+$X$2),""))</f>
        <v/>
      </c>
    </row>
    <row r="863" spans="12:21" hidden="1" x14ac:dyDescent="0.25">
      <c r="L863" s="18">
        <f t="shared" ca="1" si="113"/>
        <v>72330</v>
      </c>
      <c r="M863" s="14">
        <v>858</v>
      </c>
      <c r="N863" s="14">
        <f t="shared" si="107"/>
        <v>0</v>
      </c>
      <c r="O863" s="19">
        <f t="shared" si="108"/>
        <v>0</v>
      </c>
      <c r="P863" s="19">
        <f t="shared" si="106"/>
        <v>0</v>
      </c>
      <c r="Q863" s="14">
        <f t="shared" si="109"/>
        <v>0</v>
      </c>
      <c r="R863" s="19">
        <f t="shared" si="110"/>
        <v>0</v>
      </c>
      <c r="S863" s="19">
        <f t="shared" si="111"/>
        <v>0</v>
      </c>
      <c r="T863" s="14">
        <f t="shared" si="112"/>
        <v>0</v>
      </c>
      <c r="U863" s="18" t="str" cm="1">
        <f t="array" aca="1" ref="U863" ca="1">IF(M863&lt;=$N$1,L863,IF(M863&lt;=($N$1+1),INDIRECT("L"&amp;5+$X$2),""))</f>
        <v/>
      </c>
    </row>
    <row r="864" spans="12:21" hidden="1" x14ac:dyDescent="0.25">
      <c r="L864" s="18">
        <f t="shared" ca="1" si="113"/>
        <v>72361</v>
      </c>
      <c r="M864" s="14">
        <v>859</v>
      </c>
      <c r="N864" s="14">
        <f t="shared" si="107"/>
        <v>0</v>
      </c>
      <c r="O864" s="19">
        <f t="shared" si="108"/>
        <v>0</v>
      </c>
      <c r="P864" s="19">
        <f t="shared" si="106"/>
        <v>0</v>
      </c>
      <c r="Q864" s="14">
        <f t="shared" si="109"/>
        <v>0</v>
      </c>
      <c r="R864" s="19">
        <f t="shared" si="110"/>
        <v>0</v>
      </c>
      <c r="S864" s="19">
        <f t="shared" si="111"/>
        <v>0</v>
      </c>
      <c r="T864" s="14">
        <f t="shared" si="112"/>
        <v>0</v>
      </c>
      <c r="U864" s="18" t="str" cm="1">
        <f t="array" aca="1" ref="U864" ca="1">IF(M864&lt;=$N$1,L864,IF(M864&lt;=($N$1+1),INDIRECT("L"&amp;5+$X$2),""))</f>
        <v/>
      </c>
    </row>
    <row r="865" spans="12:21" hidden="1" x14ac:dyDescent="0.25">
      <c r="L865" s="18">
        <f t="shared" ca="1" si="113"/>
        <v>72389</v>
      </c>
      <c r="M865" s="14">
        <v>860</v>
      </c>
      <c r="N865" s="14">
        <f t="shared" si="107"/>
        <v>0</v>
      </c>
      <c r="O865" s="19">
        <f t="shared" si="108"/>
        <v>0</v>
      </c>
      <c r="P865" s="19">
        <f t="shared" si="106"/>
        <v>0</v>
      </c>
      <c r="Q865" s="14">
        <f t="shared" si="109"/>
        <v>0</v>
      </c>
      <c r="R865" s="19">
        <f t="shared" si="110"/>
        <v>0</v>
      </c>
      <c r="S865" s="19">
        <f t="shared" si="111"/>
        <v>0</v>
      </c>
      <c r="T865" s="14">
        <f t="shared" si="112"/>
        <v>0</v>
      </c>
      <c r="U865" s="18" t="str" cm="1">
        <f t="array" aca="1" ref="U865" ca="1">IF(M865&lt;=$N$1,L865,IF(M865&lt;=($N$1+1),INDIRECT("L"&amp;5+$X$2),""))</f>
        <v/>
      </c>
    </row>
    <row r="866" spans="12:21" hidden="1" x14ac:dyDescent="0.25">
      <c r="L866" s="18">
        <f t="shared" ca="1" si="113"/>
        <v>72420</v>
      </c>
      <c r="M866" s="14">
        <v>861</v>
      </c>
      <c r="N866" s="14">
        <f t="shared" si="107"/>
        <v>0</v>
      </c>
      <c r="O866" s="19">
        <f t="shared" si="108"/>
        <v>0</v>
      </c>
      <c r="P866" s="19">
        <f t="shared" si="106"/>
        <v>0</v>
      </c>
      <c r="Q866" s="14">
        <f t="shared" si="109"/>
        <v>0</v>
      </c>
      <c r="R866" s="19">
        <f t="shared" si="110"/>
        <v>0</v>
      </c>
      <c r="S866" s="19">
        <f t="shared" si="111"/>
        <v>0</v>
      </c>
      <c r="T866" s="14">
        <f t="shared" si="112"/>
        <v>0</v>
      </c>
      <c r="U866" s="18" t="str" cm="1">
        <f t="array" aca="1" ref="U866" ca="1">IF(M866&lt;=$N$1,L866,IF(M866&lt;=($N$1+1),INDIRECT("L"&amp;5+$X$2),""))</f>
        <v/>
      </c>
    </row>
    <row r="867" spans="12:21" hidden="1" x14ac:dyDescent="0.25">
      <c r="L867" s="18">
        <f t="shared" ca="1" si="113"/>
        <v>72450</v>
      </c>
      <c r="M867" s="14">
        <v>862</v>
      </c>
      <c r="N867" s="14">
        <f t="shared" si="107"/>
        <v>0</v>
      </c>
      <c r="O867" s="19">
        <f t="shared" si="108"/>
        <v>0</v>
      </c>
      <c r="P867" s="19">
        <f t="shared" si="106"/>
        <v>0</v>
      </c>
      <c r="Q867" s="14">
        <f t="shared" si="109"/>
        <v>0</v>
      </c>
      <c r="R867" s="19">
        <f t="shared" si="110"/>
        <v>0</v>
      </c>
      <c r="S867" s="19">
        <f t="shared" si="111"/>
        <v>0</v>
      </c>
      <c r="T867" s="14">
        <f t="shared" si="112"/>
        <v>0</v>
      </c>
      <c r="U867" s="18" t="str" cm="1">
        <f t="array" aca="1" ref="U867" ca="1">IF(M867&lt;=$N$1,L867,IF(M867&lt;=($N$1+1),INDIRECT("L"&amp;5+$X$2),""))</f>
        <v/>
      </c>
    </row>
    <row r="868" spans="12:21" hidden="1" x14ac:dyDescent="0.25">
      <c r="L868" s="18">
        <f t="shared" ca="1" si="113"/>
        <v>72481</v>
      </c>
      <c r="M868" s="14">
        <v>863</v>
      </c>
      <c r="N868" s="14">
        <f t="shared" si="107"/>
        <v>0</v>
      </c>
      <c r="O868" s="19">
        <f t="shared" si="108"/>
        <v>0</v>
      </c>
      <c r="P868" s="19">
        <f t="shared" si="106"/>
        <v>0</v>
      </c>
      <c r="Q868" s="14">
        <f t="shared" si="109"/>
        <v>0</v>
      </c>
      <c r="R868" s="19">
        <f t="shared" si="110"/>
        <v>0</v>
      </c>
      <c r="S868" s="19">
        <f t="shared" si="111"/>
        <v>0</v>
      </c>
      <c r="T868" s="14">
        <f t="shared" si="112"/>
        <v>0</v>
      </c>
      <c r="U868" s="18" t="str" cm="1">
        <f t="array" aca="1" ref="U868" ca="1">IF(M868&lt;=$N$1,L868,IF(M868&lt;=($N$1+1),INDIRECT("L"&amp;5+$X$2),""))</f>
        <v/>
      </c>
    </row>
    <row r="869" spans="12:21" hidden="1" x14ac:dyDescent="0.25">
      <c r="L869" s="18">
        <f t="shared" ca="1" si="113"/>
        <v>72511</v>
      </c>
      <c r="M869" s="14">
        <v>864</v>
      </c>
      <c r="N869" s="14">
        <f t="shared" si="107"/>
        <v>0</v>
      </c>
      <c r="O869" s="19">
        <f t="shared" si="108"/>
        <v>0</v>
      </c>
      <c r="P869" s="19">
        <f t="shared" si="106"/>
        <v>0</v>
      </c>
      <c r="Q869" s="14">
        <f t="shared" si="109"/>
        <v>0</v>
      </c>
      <c r="R869" s="19">
        <f t="shared" si="110"/>
        <v>0</v>
      </c>
      <c r="S869" s="19">
        <f t="shared" si="111"/>
        <v>0</v>
      </c>
      <c r="T869" s="14">
        <f t="shared" si="112"/>
        <v>0</v>
      </c>
      <c r="U869" s="18" t="str" cm="1">
        <f t="array" aca="1" ref="U869" ca="1">IF(M869&lt;=$N$1,L869,IF(M869&lt;=($N$1+1),INDIRECT("L"&amp;5+$X$2),""))</f>
        <v/>
      </c>
    </row>
    <row r="870" spans="12:21" hidden="1" x14ac:dyDescent="0.25">
      <c r="L870" s="18">
        <f t="shared" ca="1" si="113"/>
        <v>72542</v>
      </c>
      <c r="M870" s="14">
        <v>865</v>
      </c>
      <c r="N870" s="14">
        <f t="shared" si="107"/>
        <v>0</v>
      </c>
      <c r="O870" s="19">
        <f t="shared" si="108"/>
        <v>0</v>
      </c>
      <c r="P870" s="19">
        <f t="shared" ref="P870:P933" si="114">O870/((1+SIPInflationRate)^(M870/12))</f>
        <v>0</v>
      </c>
      <c r="Q870" s="14">
        <f t="shared" si="109"/>
        <v>0</v>
      </c>
      <c r="R870" s="19">
        <f t="shared" si="110"/>
        <v>0</v>
      </c>
      <c r="S870" s="19">
        <f t="shared" si="111"/>
        <v>0</v>
      </c>
      <c r="T870" s="14">
        <f t="shared" si="112"/>
        <v>0</v>
      </c>
      <c r="U870" s="18" t="str" cm="1">
        <f t="array" aca="1" ref="U870" ca="1">IF(M870&lt;=$N$1,L870,IF(M870&lt;=($N$1+1),INDIRECT("L"&amp;5+$X$2),""))</f>
        <v/>
      </c>
    </row>
    <row r="871" spans="12:21" hidden="1" x14ac:dyDescent="0.25">
      <c r="L871" s="18">
        <f t="shared" ca="1" si="113"/>
        <v>72573</v>
      </c>
      <c r="M871" s="14">
        <v>866</v>
      </c>
      <c r="N871" s="14">
        <f t="shared" si="107"/>
        <v>0</v>
      </c>
      <c r="O871" s="19">
        <f t="shared" si="108"/>
        <v>0</v>
      </c>
      <c r="P871" s="19">
        <f t="shared" si="114"/>
        <v>0</v>
      </c>
      <c r="Q871" s="14">
        <f t="shared" si="109"/>
        <v>0</v>
      </c>
      <c r="R871" s="19">
        <f t="shared" si="110"/>
        <v>0</v>
      </c>
      <c r="S871" s="19">
        <f t="shared" si="111"/>
        <v>0</v>
      </c>
      <c r="T871" s="14">
        <f t="shared" si="112"/>
        <v>0</v>
      </c>
      <c r="U871" s="18" t="str" cm="1">
        <f t="array" aca="1" ref="U871" ca="1">IF(M871&lt;=$N$1,L871,IF(M871&lt;=($N$1+1),INDIRECT("L"&amp;5+$X$2),""))</f>
        <v/>
      </c>
    </row>
    <row r="872" spans="12:21" hidden="1" x14ac:dyDescent="0.25">
      <c r="L872" s="18">
        <f t="shared" ca="1" si="113"/>
        <v>72603</v>
      </c>
      <c r="M872" s="14">
        <v>867</v>
      </c>
      <c r="N872" s="14">
        <f t="shared" si="107"/>
        <v>0</v>
      </c>
      <c r="O872" s="19">
        <f t="shared" si="108"/>
        <v>0</v>
      </c>
      <c r="P872" s="19">
        <f t="shared" si="114"/>
        <v>0</v>
      </c>
      <c r="Q872" s="14">
        <f t="shared" si="109"/>
        <v>0</v>
      </c>
      <c r="R872" s="19">
        <f t="shared" si="110"/>
        <v>0</v>
      </c>
      <c r="S872" s="19">
        <f t="shared" si="111"/>
        <v>0</v>
      </c>
      <c r="T872" s="14">
        <f t="shared" si="112"/>
        <v>0</v>
      </c>
      <c r="U872" s="18" t="str" cm="1">
        <f t="array" aca="1" ref="U872" ca="1">IF(M872&lt;=$N$1,L872,IF(M872&lt;=($N$1+1),INDIRECT("L"&amp;5+$X$2),""))</f>
        <v/>
      </c>
    </row>
    <row r="873" spans="12:21" hidden="1" x14ac:dyDescent="0.25">
      <c r="L873" s="18">
        <f t="shared" ca="1" si="113"/>
        <v>72634</v>
      </c>
      <c r="M873" s="14">
        <v>868</v>
      </c>
      <c r="N873" s="14">
        <f t="shared" si="107"/>
        <v>0</v>
      </c>
      <c r="O873" s="19">
        <f t="shared" si="108"/>
        <v>0</v>
      </c>
      <c r="P873" s="19">
        <f t="shared" si="114"/>
        <v>0</v>
      </c>
      <c r="Q873" s="14">
        <f t="shared" si="109"/>
        <v>0</v>
      </c>
      <c r="R873" s="19">
        <f t="shared" si="110"/>
        <v>0</v>
      </c>
      <c r="S873" s="19">
        <f t="shared" si="111"/>
        <v>0</v>
      </c>
      <c r="T873" s="14">
        <f t="shared" si="112"/>
        <v>0</v>
      </c>
      <c r="U873" s="18" t="str" cm="1">
        <f t="array" aca="1" ref="U873" ca="1">IF(M873&lt;=$N$1,L873,IF(M873&lt;=($N$1+1),INDIRECT("L"&amp;5+$X$2),""))</f>
        <v/>
      </c>
    </row>
    <row r="874" spans="12:21" hidden="1" x14ac:dyDescent="0.25">
      <c r="L874" s="18">
        <f t="shared" ca="1" si="113"/>
        <v>72664</v>
      </c>
      <c r="M874" s="14">
        <v>869</v>
      </c>
      <c r="N874" s="14">
        <f t="shared" si="107"/>
        <v>0</v>
      </c>
      <c r="O874" s="19">
        <f t="shared" si="108"/>
        <v>0</v>
      </c>
      <c r="P874" s="19">
        <f t="shared" si="114"/>
        <v>0</v>
      </c>
      <c r="Q874" s="14">
        <f t="shared" si="109"/>
        <v>0</v>
      </c>
      <c r="R874" s="19">
        <f t="shared" si="110"/>
        <v>0</v>
      </c>
      <c r="S874" s="19">
        <f t="shared" si="111"/>
        <v>0</v>
      </c>
      <c r="T874" s="14">
        <f t="shared" si="112"/>
        <v>0</v>
      </c>
      <c r="U874" s="18" t="str" cm="1">
        <f t="array" aca="1" ref="U874" ca="1">IF(M874&lt;=$N$1,L874,IF(M874&lt;=($N$1+1),INDIRECT("L"&amp;5+$X$2),""))</f>
        <v/>
      </c>
    </row>
    <row r="875" spans="12:21" hidden="1" x14ac:dyDescent="0.25">
      <c r="L875" s="18">
        <f t="shared" ca="1" si="113"/>
        <v>72695</v>
      </c>
      <c r="M875" s="14">
        <v>870</v>
      </c>
      <c r="N875" s="14">
        <f t="shared" si="107"/>
        <v>0</v>
      </c>
      <c r="O875" s="19">
        <f t="shared" si="108"/>
        <v>0</v>
      </c>
      <c r="P875" s="19">
        <f t="shared" si="114"/>
        <v>0</v>
      </c>
      <c r="Q875" s="14">
        <f t="shared" si="109"/>
        <v>0</v>
      </c>
      <c r="R875" s="19">
        <f t="shared" si="110"/>
        <v>0</v>
      </c>
      <c r="S875" s="19">
        <f t="shared" si="111"/>
        <v>0</v>
      </c>
      <c r="T875" s="14">
        <f t="shared" si="112"/>
        <v>0</v>
      </c>
      <c r="U875" s="18" t="str" cm="1">
        <f t="array" aca="1" ref="U875" ca="1">IF(M875&lt;=$N$1,L875,IF(M875&lt;=($N$1+1),INDIRECT("L"&amp;5+$X$2),""))</f>
        <v/>
      </c>
    </row>
    <row r="876" spans="12:21" hidden="1" x14ac:dyDescent="0.25">
      <c r="L876" s="18">
        <f t="shared" ca="1" si="113"/>
        <v>72726</v>
      </c>
      <c r="M876" s="14">
        <v>871</v>
      </c>
      <c r="N876" s="14">
        <f t="shared" si="107"/>
        <v>0</v>
      </c>
      <c r="O876" s="19">
        <f t="shared" si="108"/>
        <v>0</v>
      </c>
      <c r="P876" s="19">
        <f t="shared" si="114"/>
        <v>0</v>
      </c>
      <c r="Q876" s="14">
        <f t="shared" si="109"/>
        <v>0</v>
      </c>
      <c r="R876" s="19">
        <f t="shared" si="110"/>
        <v>0</v>
      </c>
      <c r="S876" s="19">
        <f t="shared" si="111"/>
        <v>0</v>
      </c>
      <c r="T876" s="14">
        <f t="shared" si="112"/>
        <v>0</v>
      </c>
      <c r="U876" s="18" t="str" cm="1">
        <f t="array" aca="1" ref="U876" ca="1">IF(M876&lt;=$N$1,L876,IF(M876&lt;=($N$1+1),INDIRECT("L"&amp;5+$X$2),""))</f>
        <v/>
      </c>
    </row>
    <row r="877" spans="12:21" hidden="1" x14ac:dyDescent="0.25">
      <c r="L877" s="18">
        <f t="shared" ca="1" si="113"/>
        <v>72754</v>
      </c>
      <c r="M877" s="14">
        <v>872</v>
      </c>
      <c r="N877" s="14">
        <f t="shared" si="107"/>
        <v>0</v>
      </c>
      <c r="O877" s="19">
        <f t="shared" si="108"/>
        <v>0</v>
      </c>
      <c r="P877" s="19">
        <f t="shared" si="114"/>
        <v>0</v>
      </c>
      <c r="Q877" s="14">
        <f t="shared" si="109"/>
        <v>0</v>
      </c>
      <c r="R877" s="19">
        <f t="shared" si="110"/>
        <v>0</v>
      </c>
      <c r="S877" s="19">
        <f t="shared" si="111"/>
        <v>0</v>
      </c>
      <c r="T877" s="14">
        <f t="shared" si="112"/>
        <v>0</v>
      </c>
      <c r="U877" s="18" t="str" cm="1">
        <f t="array" aca="1" ref="U877" ca="1">IF(M877&lt;=$N$1,L877,IF(M877&lt;=($N$1+1),INDIRECT("L"&amp;5+$X$2),""))</f>
        <v/>
      </c>
    </row>
    <row r="878" spans="12:21" hidden="1" x14ac:dyDescent="0.25">
      <c r="L878" s="18">
        <f t="shared" ca="1" si="113"/>
        <v>72785</v>
      </c>
      <c r="M878" s="14">
        <v>873</v>
      </c>
      <c r="N878" s="14">
        <f t="shared" si="107"/>
        <v>0</v>
      </c>
      <c r="O878" s="19">
        <f t="shared" si="108"/>
        <v>0</v>
      </c>
      <c r="P878" s="19">
        <f t="shared" si="114"/>
        <v>0</v>
      </c>
      <c r="Q878" s="14">
        <f t="shared" si="109"/>
        <v>0</v>
      </c>
      <c r="R878" s="19">
        <f t="shared" si="110"/>
        <v>0</v>
      </c>
      <c r="S878" s="19">
        <f t="shared" si="111"/>
        <v>0</v>
      </c>
      <c r="T878" s="14">
        <f t="shared" si="112"/>
        <v>0</v>
      </c>
      <c r="U878" s="18" t="str" cm="1">
        <f t="array" aca="1" ref="U878" ca="1">IF(M878&lt;=$N$1,L878,IF(M878&lt;=($N$1+1),INDIRECT("L"&amp;5+$X$2),""))</f>
        <v/>
      </c>
    </row>
    <row r="879" spans="12:21" hidden="1" x14ac:dyDescent="0.25">
      <c r="L879" s="18">
        <f t="shared" ca="1" si="113"/>
        <v>72815</v>
      </c>
      <c r="M879" s="14">
        <v>874</v>
      </c>
      <c r="N879" s="14">
        <f t="shared" si="107"/>
        <v>0</v>
      </c>
      <c r="O879" s="19">
        <f t="shared" si="108"/>
        <v>0</v>
      </c>
      <c r="P879" s="19">
        <f t="shared" si="114"/>
        <v>0</v>
      </c>
      <c r="Q879" s="14">
        <f t="shared" si="109"/>
        <v>0</v>
      </c>
      <c r="R879" s="19">
        <f t="shared" si="110"/>
        <v>0</v>
      </c>
      <c r="S879" s="19">
        <f t="shared" si="111"/>
        <v>0</v>
      </c>
      <c r="T879" s="14">
        <f t="shared" si="112"/>
        <v>0</v>
      </c>
      <c r="U879" s="18" t="str" cm="1">
        <f t="array" aca="1" ref="U879" ca="1">IF(M879&lt;=$N$1,L879,IF(M879&lt;=($N$1+1),INDIRECT("L"&amp;5+$X$2),""))</f>
        <v/>
      </c>
    </row>
    <row r="880" spans="12:21" hidden="1" x14ac:dyDescent="0.25">
      <c r="L880" s="18">
        <f t="shared" ca="1" si="113"/>
        <v>72846</v>
      </c>
      <c r="M880" s="14">
        <v>875</v>
      </c>
      <c r="N880" s="14">
        <f t="shared" si="107"/>
        <v>0</v>
      </c>
      <c r="O880" s="19">
        <f t="shared" si="108"/>
        <v>0</v>
      </c>
      <c r="P880" s="19">
        <f t="shared" si="114"/>
        <v>0</v>
      </c>
      <c r="Q880" s="14">
        <f t="shared" si="109"/>
        <v>0</v>
      </c>
      <c r="R880" s="19">
        <f t="shared" si="110"/>
        <v>0</v>
      </c>
      <c r="S880" s="19">
        <f t="shared" si="111"/>
        <v>0</v>
      </c>
      <c r="T880" s="14">
        <f t="shared" si="112"/>
        <v>0</v>
      </c>
      <c r="U880" s="18" t="str" cm="1">
        <f t="array" aca="1" ref="U880" ca="1">IF(M880&lt;=$N$1,L880,IF(M880&lt;=($N$1+1),INDIRECT("L"&amp;5+$X$2),""))</f>
        <v/>
      </c>
    </row>
    <row r="881" spans="12:21" hidden="1" x14ac:dyDescent="0.25">
      <c r="L881" s="18">
        <f t="shared" ca="1" si="113"/>
        <v>72876</v>
      </c>
      <c r="M881" s="14">
        <v>876</v>
      </c>
      <c r="N881" s="14">
        <f t="shared" si="107"/>
        <v>0</v>
      </c>
      <c r="O881" s="19">
        <f t="shared" si="108"/>
        <v>0</v>
      </c>
      <c r="P881" s="19">
        <f t="shared" si="114"/>
        <v>0</v>
      </c>
      <c r="Q881" s="14">
        <f t="shared" si="109"/>
        <v>0</v>
      </c>
      <c r="R881" s="19">
        <f t="shared" si="110"/>
        <v>0</v>
      </c>
      <c r="S881" s="19">
        <f t="shared" si="111"/>
        <v>0</v>
      </c>
      <c r="T881" s="14">
        <f t="shared" si="112"/>
        <v>0</v>
      </c>
      <c r="U881" s="18" t="str" cm="1">
        <f t="array" aca="1" ref="U881" ca="1">IF(M881&lt;=$N$1,L881,IF(M881&lt;=($N$1+1),INDIRECT("L"&amp;5+$X$2),""))</f>
        <v/>
      </c>
    </row>
    <row r="882" spans="12:21" hidden="1" x14ac:dyDescent="0.25">
      <c r="L882" s="18">
        <f t="shared" ca="1" si="113"/>
        <v>72907</v>
      </c>
      <c r="M882" s="14">
        <v>877</v>
      </c>
      <c r="N882" s="14">
        <f t="shared" si="107"/>
        <v>0</v>
      </c>
      <c r="O882" s="19">
        <f t="shared" si="108"/>
        <v>0</v>
      </c>
      <c r="P882" s="19">
        <f t="shared" si="114"/>
        <v>0</v>
      </c>
      <c r="Q882" s="14">
        <f t="shared" si="109"/>
        <v>0</v>
      </c>
      <c r="R882" s="19">
        <f t="shared" si="110"/>
        <v>0</v>
      </c>
      <c r="S882" s="19">
        <f t="shared" si="111"/>
        <v>0</v>
      </c>
      <c r="T882" s="14">
        <f t="shared" si="112"/>
        <v>0</v>
      </c>
      <c r="U882" s="18" t="str" cm="1">
        <f t="array" aca="1" ref="U882" ca="1">IF(M882&lt;=$N$1,L882,IF(M882&lt;=($N$1+1),INDIRECT("L"&amp;5+$X$2),""))</f>
        <v/>
      </c>
    </row>
    <row r="883" spans="12:21" hidden="1" x14ac:dyDescent="0.25">
      <c r="L883" s="18">
        <f t="shared" ca="1" si="113"/>
        <v>72938</v>
      </c>
      <c r="M883" s="14">
        <v>878</v>
      </c>
      <c r="N883" s="14">
        <f t="shared" si="107"/>
        <v>0</v>
      </c>
      <c r="O883" s="19">
        <f t="shared" si="108"/>
        <v>0</v>
      </c>
      <c r="P883" s="19">
        <f t="shared" si="114"/>
        <v>0</v>
      </c>
      <c r="Q883" s="14">
        <f t="shared" si="109"/>
        <v>0</v>
      </c>
      <c r="R883" s="19">
        <f t="shared" si="110"/>
        <v>0</v>
      </c>
      <c r="S883" s="19">
        <f t="shared" si="111"/>
        <v>0</v>
      </c>
      <c r="T883" s="14">
        <f t="shared" si="112"/>
        <v>0</v>
      </c>
      <c r="U883" s="18" t="str" cm="1">
        <f t="array" aca="1" ref="U883" ca="1">IF(M883&lt;=$N$1,L883,IF(M883&lt;=($N$1+1),INDIRECT("L"&amp;5+$X$2),""))</f>
        <v/>
      </c>
    </row>
    <row r="884" spans="12:21" hidden="1" x14ac:dyDescent="0.25">
      <c r="L884" s="18">
        <f t="shared" ca="1" si="113"/>
        <v>72968</v>
      </c>
      <c r="M884" s="14">
        <v>879</v>
      </c>
      <c r="N884" s="14">
        <f t="shared" si="107"/>
        <v>0</v>
      </c>
      <c r="O884" s="19">
        <f t="shared" si="108"/>
        <v>0</v>
      </c>
      <c r="P884" s="19">
        <f t="shared" si="114"/>
        <v>0</v>
      </c>
      <c r="Q884" s="14">
        <f t="shared" si="109"/>
        <v>0</v>
      </c>
      <c r="R884" s="19">
        <f t="shared" si="110"/>
        <v>0</v>
      </c>
      <c r="S884" s="19">
        <f t="shared" si="111"/>
        <v>0</v>
      </c>
      <c r="T884" s="14">
        <f t="shared" si="112"/>
        <v>0</v>
      </c>
      <c r="U884" s="18" t="str" cm="1">
        <f t="array" aca="1" ref="U884" ca="1">IF(M884&lt;=$N$1,L884,IF(M884&lt;=($N$1+1),INDIRECT("L"&amp;5+$X$2),""))</f>
        <v/>
      </c>
    </row>
    <row r="885" spans="12:21" hidden="1" x14ac:dyDescent="0.25">
      <c r="L885" s="18">
        <f t="shared" ca="1" si="113"/>
        <v>72999</v>
      </c>
      <c r="M885" s="14">
        <v>880</v>
      </c>
      <c r="N885" s="14">
        <f t="shared" si="107"/>
        <v>0</v>
      </c>
      <c r="O885" s="19">
        <f t="shared" si="108"/>
        <v>0</v>
      </c>
      <c r="P885" s="19">
        <f t="shared" si="114"/>
        <v>0</v>
      </c>
      <c r="Q885" s="14">
        <f t="shared" si="109"/>
        <v>0</v>
      </c>
      <c r="R885" s="19">
        <f t="shared" si="110"/>
        <v>0</v>
      </c>
      <c r="S885" s="19">
        <f t="shared" si="111"/>
        <v>0</v>
      </c>
      <c r="T885" s="14">
        <f t="shared" si="112"/>
        <v>0</v>
      </c>
      <c r="U885" s="18" t="str" cm="1">
        <f t="array" aca="1" ref="U885" ca="1">IF(M885&lt;=$N$1,L885,IF(M885&lt;=($N$1+1),INDIRECT("L"&amp;5+$X$2),""))</f>
        <v/>
      </c>
    </row>
    <row r="886" spans="12:21" hidden="1" x14ac:dyDescent="0.25">
      <c r="L886" s="18">
        <f t="shared" ca="1" si="113"/>
        <v>73029</v>
      </c>
      <c r="M886" s="14">
        <v>881</v>
      </c>
      <c r="N886" s="14">
        <f t="shared" si="107"/>
        <v>0</v>
      </c>
      <c r="O886" s="19">
        <f t="shared" si="108"/>
        <v>0</v>
      </c>
      <c r="P886" s="19">
        <f t="shared" si="114"/>
        <v>0</v>
      </c>
      <c r="Q886" s="14">
        <f t="shared" si="109"/>
        <v>0</v>
      </c>
      <c r="R886" s="19">
        <f t="shared" si="110"/>
        <v>0</v>
      </c>
      <c r="S886" s="19">
        <f t="shared" si="111"/>
        <v>0</v>
      </c>
      <c r="T886" s="14">
        <f t="shared" si="112"/>
        <v>0</v>
      </c>
      <c r="U886" s="18" t="str" cm="1">
        <f t="array" aca="1" ref="U886" ca="1">IF(M886&lt;=$N$1,L886,IF(M886&lt;=($N$1+1),INDIRECT("L"&amp;5+$X$2),""))</f>
        <v/>
      </c>
    </row>
    <row r="887" spans="12:21" hidden="1" x14ac:dyDescent="0.25">
      <c r="L887" s="18">
        <f t="shared" ca="1" si="113"/>
        <v>73060</v>
      </c>
      <c r="M887" s="14">
        <v>882</v>
      </c>
      <c r="N887" s="14">
        <f t="shared" si="107"/>
        <v>0</v>
      </c>
      <c r="O887" s="19">
        <f t="shared" si="108"/>
        <v>0</v>
      </c>
      <c r="P887" s="19">
        <f t="shared" si="114"/>
        <v>0</v>
      </c>
      <c r="Q887" s="14">
        <f t="shared" si="109"/>
        <v>0</v>
      </c>
      <c r="R887" s="19">
        <f t="shared" si="110"/>
        <v>0</v>
      </c>
      <c r="S887" s="19">
        <f t="shared" si="111"/>
        <v>0</v>
      </c>
      <c r="T887" s="14">
        <f t="shared" si="112"/>
        <v>0</v>
      </c>
      <c r="U887" s="18" t="str" cm="1">
        <f t="array" aca="1" ref="U887" ca="1">IF(M887&lt;=$N$1,L887,IF(M887&lt;=($N$1+1),INDIRECT("L"&amp;5+$X$2),""))</f>
        <v/>
      </c>
    </row>
    <row r="888" spans="12:21" hidden="1" x14ac:dyDescent="0.25">
      <c r="L888" s="18">
        <f t="shared" ca="1" si="113"/>
        <v>73091</v>
      </c>
      <c r="M888" s="14">
        <v>883</v>
      </c>
      <c r="N888" s="14">
        <f t="shared" si="107"/>
        <v>0</v>
      </c>
      <c r="O888" s="19">
        <f t="shared" si="108"/>
        <v>0</v>
      </c>
      <c r="P888" s="19">
        <f t="shared" si="114"/>
        <v>0</v>
      </c>
      <c r="Q888" s="14">
        <f t="shared" si="109"/>
        <v>0</v>
      </c>
      <c r="R888" s="19">
        <f t="shared" si="110"/>
        <v>0</v>
      </c>
      <c r="S888" s="19">
        <f t="shared" si="111"/>
        <v>0</v>
      </c>
      <c r="T888" s="14">
        <f t="shared" si="112"/>
        <v>0</v>
      </c>
      <c r="U888" s="18" t="str" cm="1">
        <f t="array" aca="1" ref="U888" ca="1">IF(M888&lt;=$N$1,L888,IF(M888&lt;=($N$1+1),INDIRECT("L"&amp;5+$X$2),""))</f>
        <v/>
      </c>
    </row>
    <row r="889" spans="12:21" hidden="1" x14ac:dyDescent="0.25">
      <c r="L889" s="18">
        <f t="shared" ca="1" si="113"/>
        <v>73119</v>
      </c>
      <c r="M889" s="14">
        <v>884</v>
      </c>
      <c r="N889" s="14">
        <f t="shared" si="107"/>
        <v>0</v>
      </c>
      <c r="O889" s="19">
        <f t="shared" si="108"/>
        <v>0</v>
      </c>
      <c r="P889" s="19">
        <f t="shared" si="114"/>
        <v>0</v>
      </c>
      <c r="Q889" s="14">
        <f t="shared" si="109"/>
        <v>0</v>
      </c>
      <c r="R889" s="19">
        <f t="shared" si="110"/>
        <v>0</v>
      </c>
      <c r="S889" s="19">
        <f t="shared" si="111"/>
        <v>0</v>
      </c>
      <c r="T889" s="14">
        <f t="shared" si="112"/>
        <v>0</v>
      </c>
      <c r="U889" s="18" t="str" cm="1">
        <f t="array" aca="1" ref="U889" ca="1">IF(M889&lt;=$N$1,L889,IF(M889&lt;=($N$1+1),INDIRECT("L"&amp;5+$X$2),""))</f>
        <v/>
      </c>
    </row>
    <row r="890" spans="12:21" hidden="1" x14ac:dyDescent="0.25">
      <c r="L890" s="18">
        <f t="shared" ca="1" si="113"/>
        <v>73150</v>
      </c>
      <c r="M890" s="14">
        <v>885</v>
      </c>
      <c r="N890" s="14">
        <f t="shared" si="107"/>
        <v>0</v>
      </c>
      <c r="O890" s="19">
        <f t="shared" si="108"/>
        <v>0</v>
      </c>
      <c r="P890" s="19">
        <f t="shared" si="114"/>
        <v>0</v>
      </c>
      <c r="Q890" s="14">
        <f t="shared" si="109"/>
        <v>0</v>
      </c>
      <c r="R890" s="19">
        <f t="shared" si="110"/>
        <v>0</v>
      </c>
      <c r="S890" s="19">
        <f t="shared" si="111"/>
        <v>0</v>
      </c>
      <c r="T890" s="14">
        <f t="shared" si="112"/>
        <v>0</v>
      </c>
      <c r="U890" s="18" t="str" cm="1">
        <f t="array" aca="1" ref="U890" ca="1">IF(M890&lt;=$N$1,L890,IF(M890&lt;=($N$1+1),INDIRECT("L"&amp;5+$X$2),""))</f>
        <v/>
      </c>
    </row>
    <row r="891" spans="12:21" hidden="1" x14ac:dyDescent="0.25">
      <c r="L891" s="18">
        <f t="shared" ca="1" si="113"/>
        <v>73180</v>
      </c>
      <c r="M891" s="14">
        <v>886</v>
      </c>
      <c r="N891" s="14">
        <f t="shared" si="107"/>
        <v>0</v>
      </c>
      <c r="O891" s="19">
        <f t="shared" si="108"/>
        <v>0</v>
      </c>
      <c r="P891" s="19">
        <f t="shared" si="114"/>
        <v>0</v>
      </c>
      <c r="Q891" s="14">
        <f t="shared" si="109"/>
        <v>0</v>
      </c>
      <c r="R891" s="19">
        <f t="shared" si="110"/>
        <v>0</v>
      </c>
      <c r="S891" s="19">
        <f t="shared" si="111"/>
        <v>0</v>
      </c>
      <c r="T891" s="14">
        <f t="shared" si="112"/>
        <v>0</v>
      </c>
      <c r="U891" s="18" t="str" cm="1">
        <f t="array" aca="1" ref="U891" ca="1">IF(M891&lt;=$N$1,L891,IF(M891&lt;=($N$1+1),INDIRECT("L"&amp;5+$X$2),""))</f>
        <v/>
      </c>
    </row>
    <row r="892" spans="12:21" hidden="1" x14ac:dyDescent="0.25">
      <c r="L892" s="18">
        <f t="shared" ca="1" si="113"/>
        <v>73211</v>
      </c>
      <c r="M892" s="14">
        <v>887</v>
      </c>
      <c r="N892" s="14">
        <f t="shared" si="107"/>
        <v>0</v>
      </c>
      <c r="O892" s="19">
        <f t="shared" si="108"/>
        <v>0</v>
      </c>
      <c r="P892" s="19">
        <f t="shared" si="114"/>
        <v>0</v>
      </c>
      <c r="Q892" s="14">
        <f t="shared" si="109"/>
        <v>0</v>
      </c>
      <c r="R892" s="19">
        <f t="shared" si="110"/>
        <v>0</v>
      </c>
      <c r="S892" s="19">
        <f t="shared" si="111"/>
        <v>0</v>
      </c>
      <c r="T892" s="14">
        <f t="shared" si="112"/>
        <v>0</v>
      </c>
      <c r="U892" s="18" t="str" cm="1">
        <f t="array" aca="1" ref="U892" ca="1">IF(M892&lt;=$N$1,L892,IF(M892&lt;=($N$1+1),INDIRECT("L"&amp;5+$X$2),""))</f>
        <v/>
      </c>
    </row>
    <row r="893" spans="12:21" hidden="1" x14ac:dyDescent="0.25">
      <c r="L893" s="18">
        <f t="shared" ca="1" si="113"/>
        <v>73241</v>
      </c>
      <c r="M893" s="14">
        <v>888</v>
      </c>
      <c r="N893" s="14">
        <f t="shared" si="107"/>
        <v>0</v>
      </c>
      <c r="O893" s="19">
        <f t="shared" si="108"/>
        <v>0</v>
      </c>
      <c r="P893" s="19">
        <f t="shared" si="114"/>
        <v>0</v>
      </c>
      <c r="Q893" s="14">
        <f t="shared" si="109"/>
        <v>0</v>
      </c>
      <c r="R893" s="19">
        <f t="shared" si="110"/>
        <v>0</v>
      </c>
      <c r="S893" s="19">
        <f t="shared" si="111"/>
        <v>0</v>
      </c>
      <c r="T893" s="14">
        <f t="shared" si="112"/>
        <v>0</v>
      </c>
      <c r="U893" s="18" t="str" cm="1">
        <f t="array" aca="1" ref="U893" ca="1">IF(M893&lt;=$N$1,L893,IF(M893&lt;=($N$1+1),INDIRECT("L"&amp;5+$X$2),""))</f>
        <v/>
      </c>
    </row>
    <row r="894" spans="12:21" hidden="1" x14ac:dyDescent="0.25">
      <c r="L894" s="18">
        <f t="shared" ca="1" si="113"/>
        <v>73272</v>
      </c>
      <c r="M894" s="14">
        <v>889</v>
      </c>
      <c r="N894" s="14">
        <f t="shared" si="107"/>
        <v>0</v>
      </c>
      <c r="O894" s="19">
        <f t="shared" si="108"/>
        <v>0</v>
      </c>
      <c r="P894" s="19">
        <f t="shared" si="114"/>
        <v>0</v>
      </c>
      <c r="Q894" s="14">
        <f t="shared" si="109"/>
        <v>0</v>
      </c>
      <c r="R894" s="19">
        <f t="shared" si="110"/>
        <v>0</v>
      </c>
      <c r="S894" s="19">
        <f t="shared" si="111"/>
        <v>0</v>
      </c>
      <c r="T894" s="14">
        <f t="shared" si="112"/>
        <v>0</v>
      </c>
      <c r="U894" s="18" t="str" cm="1">
        <f t="array" aca="1" ref="U894" ca="1">IF(M894&lt;=$N$1,L894,IF(M894&lt;=($N$1+1),INDIRECT("L"&amp;5+$X$2),""))</f>
        <v/>
      </c>
    </row>
    <row r="895" spans="12:21" hidden="1" x14ac:dyDescent="0.25">
      <c r="L895" s="18">
        <f t="shared" ca="1" si="113"/>
        <v>73303</v>
      </c>
      <c r="M895" s="14">
        <v>890</v>
      </c>
      <c r="N895" s="14">
        <f t="shared" si="107"/>
        <v>0</v>
      </c>
      <c r="O895" s="19">
        <f t="shared" si="108"/>
        <v>0</v>
      </c>
      <c r="P895" s="19">
        <f t="shared" si="114"/>
        <v>0</v>
      </c>
      <c r="Q895" s="14">
        <f t="shared" si="109"/>
        <v>0</v>
      </c>
      <c r="R895" s="19">
        <f t="shared" si="110"/>
        <v>0</v>
      </c>
      <c r="S895" s="19">
        <f t="shared" si="111"/>
        <v>0</v>
      </c>
      <c r="T895" s="14">
        <f t="shared" si="112"/>
        <v>0</v>
      </c>
      <c r="U895" s="18" t="str" cm="1">
        <f t="array" aca="1" ref="U895" ca="1">IF(M895&lt;=$N$1,L895,IF(M895&lt;=($N$1+1),INDIRECT("L"&amp;5+$X$2),""))</f>
        <v/>
      </c>
    </row>
    <row r="896" spans="12:21" hidden="1" x14ac:dyDescent="0.25">
      <c r="L896" s="18">
        <f t="shared" ca="1" si="113"/>
        <v>73333</v>
      </c>
      <c r="M896" s="14">
        <v>891</v>
      </c>
      <c r="N896" s="14">
        <f t="shared" si="107"/>
        <v>0</v>
      </c>
      <c r="O896" s="19">
        <f t="shared" si="108"/>
        <v>0</v>
      </c>
      <c r="P896" s="19">
        <f t="shared" si="114"/>
        <v>0</v>
      </c>
      <c r="Q896" s="14">
        <f t="shared" si="109"/>
        <v>0</v>
      </c>
      <c r="R896" s="19">
        <f t="shared" si="110"/>
        <v>0</v>
      </c>
      <c r="S896" s="19">
        <f t="shared" si="111"/>
        <v>0</v>
      </c>
      <c r="T896" s="14">
        <f t="shared" si="112"/>
        <v>0</v>
      </c>
      <c r="U896" s="18" t="str" cm="1">
        <f t="array" aca="1" ref="U896" ca="1">IF(M896&lt;=$N$1,L896,IF(M896&lt;=($N$1+1),INDIRECT("L"&amp;5+$X$2),""))</f>
        <v/>
      </c>
    </row>
    <row r="897" spans="12:21" hidden="1" x14ac:dyDescent="0.25">
      <c r="L897" s="18">
        <f t="shared" ca="1" si="113"/>
        <v>73364</v>
      </c>
      <c r="M897" s="14">
        <v>892</v>
      </c>
      <c r="N897" s="14">
        <f t="shared" si="107"/>
        <v>0</v>
      </c>
      <c r="O897" s="19">
        <f t="shared" si="108"/>
        <v>0</v>
      </c>
      <c r="P897" s="19">
        <f t="shared" si="114"/>
        <v>0</v>
      </c>
      <c r="Q897" s="14">
        <f t="shared" si="109"/>
        <v>0</v>
      </c>
      <c r="R897" s="19">
        <f t="shared" si="110"/>
        <v>0</v>
      </c>
      <c r="S897" s="19">
        <f t="shared" si="111"/>
        <v>0</v>
      </c>
      <c r="T897" s="14">
        <f t="shared" si="112"/>
        <v>0</v>
      </c>
      <c r="U897" s="18" t="str" cm="1">
        <f t="array" aca="1" ref="U897" ca="1">IF(M897&lt;=$N$1,L897,IF(M897&lt;=($N$1+1),INDIRECT("L"&amp;5+$X$2),""))</f>
        <v/>
      </c>
    </row>
    <row r="898" spans="12:21" hidden="1" x14ac:dyDescent="0.25">
      <c r="L898" s="18">
        <f t="shared" ca="1" si="113"/>
        <v>73394</v>
      </c>
      <c r="M898" s="14">
        <v>893</v>
      </c>
      <c r="N898" s="14">
        <f t="shared" si="107"/>
        <v>0</v>
      </c>
      <c r="O898" s="19">
        <f t="shared" si="108"/>
        <v>0</v>
      </c>
      <c r="P898" s="19">
        <f t="shared" si="114"/>
        <v>0</v>
      </c>
      <c r="Q898" s="14">
        <f t="shared" si="109"/>
        <v>0</v>
      </c>
      <c r="R898" s="19">
        <f t="shared" si="110"/>
        <v>0</v>
      </c>
      <c r="S898" s="19">
        <f t="shared" si="111"/>
        <v>0</v>
      </c>
      <c r="T898" s="14">
        <f t="shared" si="112"/>
        <v>0</v>
      </c>
      <c r="U898" s="18" t="str" cm="1">
        <f t="array" aca="1" ref="U898" ca="1">IF(M898&lt;=$N$1,L898,IF(M898&lt;=($N$1+1),INDIRECT("L"&amp;5+$X$2),""))</f>
        <v/>
      </c>
    </row>
    <row r="899" spans="12:21" hidden="1" x14ac:dyDescent="0.25">
      <c r="L899" s="18">
        <f t="shared" ca="1" si="113"/>
        <v>73425</v>
      </c>
      <c r="M899" s="14">
        <v>894</v>
      </c>
      <c r="N899" s="14">
        <f t="shared" si="107"/>
        <v>0</v>
      </c>
      <c r="O899" s="19">
        <f t="shared" si="108"/>
        <v>0</v>
      </c>
      <c r="P899" s="19">
        <f t="shared" si="114"/>
        <v>0</v>
      </c>
      <c r="Q899" s="14">
        <f t="shared" si="109"/>
        <v>0</v>
      </c>
      <c r="R899" s="19">
        <f t="shared" si="110"/>
        <v>0</v>
      </c>
      <c r="S899" s="19">
        <f t="shared" si="111"/>
        <v>0</v>
      </c>
      <c r="T899" s="14">
        <f t="shared" si="112"/>
        <v>0</v>
      </c>
      <c r="U899" s="18" t="str" cm="1">
        <f t="array" aca="1" ref="U899" ca="1">IF(M899&lt;=$N$1,L899,IF(M899&lt;=($N$1+1),INDIRECT("L"&amp;5+$X$2),""))</f>
        <v/>
      </c>
    </row>
    <row r="900" spans="12:21" hidden="1" x14ac:dyDescent="0.25">
      <c r="L900" s="18">
        <f t="shared" ca="1" si="113"/>
        <v>73456</v>
      </c>
      <c r="M900" s="14">
        <v>895</v>
      </c>
      <c r="N900" s="14">
        <f t="shared" si="107"/>
        <v>0</v>
      </c>
      <c r="O900" s="19">
        <f t="shared" si="108"/>
        <v>0</v>
      </c>
      <c r="P900" s="19">
        <f t="shared" si="114"/>
        <v>0</v>
      </c>
      <c r="Q900" s="14">
        <f t="shared" si="109"/>
        <v>0</v>
      </c>
      <c r="R900" s="19">
        <f t="shared" si="110"/>
        <v>0</v>
      </c>
      <c r="S900" s="19">
        <f t="shared" si="111"/>
        <v>0</v>
      </c>
      <c r="T900" s="14">
        <f t="shared" si="112"/>
        <v>0</v>
      </c>
      <c r="U900" s="18" t="str" cm="1">
        <f t="array" aca="1" ref="U900" ca="1">IF(M900&lt;=$N$1,L900,IF(M900&lt;=($N$1+1),INDIRECT("L"&amp;5+$X$2),""))</f>
        <v/>
      </c>
    </row>
    <row r="901" spans="12:21" hidden="1" x14ac:dyDescent="0.25">
      <c r="L901" s="18">
        <f t="shared" ca="1" si="113"/>
        <v>73484</v>
      </c>
      <c r="M901" s="14">
        <v>896</v>
      </c>
      <c r="N901" s="14">
        <f t="shared" si="107"/>
        <v>0</v>
      </c>
      <c r="O901" s="19">
        <f t="shared" si="108"/>
        <v>0</v>
      </c>
      <c r="P901" s="19">
        <f t="shared" si="114"/>
        <v>0</v>
      </c>
      <c r="Q901" s="14">
        <f t="shared" si="109"/>
        <v>0</v>
      </c>
      <c r="R901" s="19">
        <f t="shared" si="110"/>
        <v>0</v>
      </c>
      <c r="S901" s="19">
        <f t="shared" si="111"/>
        <v>0</v>
      </c>
      <c r="T901" s="14">
        <f t="shared" si="112"/>
        <v>0</v>
      </c>
      <c r="U901" s="18" t="str" cm="1">
        <f t="array" aca="1" ref="U901" ca="1">IF(M901&lt;=$N$1,L901,IF(M901&lt;=($N$1+1),INDIRECT("L"&amp;5+$X$2),""))</f>
        <v/>
      </c>
    </row>
    <row r="902" spans="12:21" hidden="1" x14ac:dyDescent="0.25">
      <c r="L902" s="18">
        <f t="shared" ca="1" si="113"/>
        <v>73515</v>
      </c>
      <c r="M902" s="14">
        <v>897</v>
      </c>
      <c r="N902" s="14">
        <f t="shared" ref="N902:N965" si="115">IF($N$1&gt;=M902,SIPMonthlyPmt*M902,0)</f>
        <v>0</v>
      </c>
      <c r="O902" s="19">
        <f t="shared" ref="O902:O965" si="116">IF($X$2&gt;=M902,IF(M902&lt;=$N$1,FV(SRate,M902,-SIPMonthlyPmt,0,1),FV(SRate,M902-$N$1,0,-$X$1,1)),0)</f>
        <v>0</v>
      </c>
      <c r="P902" s="19">
        <f t="shared" si="114"/>
        <v>0</v>
      </c>
      <c r="Q902" s="14">
        <f t="shared" ref="Q902:Q965" si="117">IF((M902-$C$15)&gt;0, IF($N$1+$C$15&gt;=M902,SIPMonthlyPmt*(M902-$C$15),0),0)</f>
        <v>0</v>
      </c>
      <c r="R902" s="19">
        <f t="shared" ref="R902:R965" si="118">IF(M902&lt;=$C$15,0,IF($X$2&gt;=M902,IF(M902&lt;=($N$1+$C$15),FV(SRate,M902-$C$15,-SIPMonthlyPmt,0,1),FV(SRate,M902-$N$1-$C$15,0,-$X$1,1)),0))</f>
        <v>0</v>
      </c>
      <c r="S902" s="19">
        <f t="shared" ref="S902:S965" si="119">R902/((1+SIPInflationRate)^((M902-$C$15)/12))</f>
        <v>0</v>
      </c>
      <c r="T902" s="14">
        <f t="shared" ref="T902:T965" si="120">IF(M902&lt;=$N$1,-SIPMonthlyPmt,IF(M902&lt;=($N$1+1),$X$4,0))</f>
        <v>0</v>
      </c>
      <c r="U902" s="18" t="str" cm="1">
        <f t="array" aca="1" ref="U902" ca="1">IF(M902&lt;=$N$1,L902,IF(M902&lt;=($N$1+1),INDIRECT("L"&amp;5+$X$2),""))</f>
        <v/>
      </c>
    </row>
    <row r="903" spans="12:21" hidden="1" x14ac:dyDescent="0.25">
      <c r="L903" s="18">
        <f t="shared" ca="1" si="113"/>
        <v>73545</v>
      </c>
      <c r="M903" s="14">
        <v>898</v>
      </c>
      <c r="N903" s="14">
        <f t="shared" si="115"/>
        <v>0</v>
      </c>
      <c r="O903" s="19">
        <f t="shared" si="116"/>
        <v>0</v>
      </c>
      <c r="P903" s="19">
        <f t="shared" si="114"/>
        <v>0</v>
      </c>
      <c r="Q903" s="14">
        <f t="shared" si="117"/>
        <v>0</v>
      </c>
      <c r="R903" s="19">
        <f t="shared" si="118"/>
        <v>0</v>
      </c>
      <c r="S903" s="19">
        <f t="shared" si="119"/>
        <v>0</v>
      </c>
      <c r="T903" s="14">
        <f t="shared" si="120"/>
        <v>0</v>
      </c>
      <c r="U903" s="18" t="str" cm="1">
        <f t="array" aca="1" ref="U903" ca="1">IF(M903&lt;=$N$1,L903,IF(M903&lt;=($N$1+1),INDIRECT("L"&amp;5+$X$2),""))</f>
        <v/>
      </c>
    </row>
    <row r="904" spans="12:21" hidden="1" x14ac:dyDescent="0.25">
      <c r="L904" s="18">
        <f t="shared" ca="1" si="113"/>
        <v>73576</v>
      </c>
      <c r="M904" s="14">
        <v>899</v>
      </c>
      <c r="N904" s="14">
        <f t="shared" si="115"/>
        <v>0</v>
      </c>
      <c r="O904" s="19">
        <f t="shared" si="116"/>
        <v>0</v>
      </c>
      <c r="P904" s="19">
        <f t="shared" si="114"/>
        <v>0</v>
      </c>
      <c r="Q904" s="14">
        <f t="shared" si="117"/>
        <v>0</v>
      </c>
      <c r="R904" s="19">
        <f t="shared" si="118"/>
        <v>0</v>
      </c>
      <c r="S904" s="19">
        <f t="shared" si="119"/>
        <v>0</v>
      </c>
      <c r="T904" s="14">
        <f t="shared" si="120"/>
        <v>0</v>
      </c>
      <c r="U904" s="18" t="str" cm="1">
        <f t="array" aca="1" ref="U904" ca="1">IF(M904&lt;=$N$1,L904,IF(M904&lt;=($N$1+1),INDIRECT("L"&amp;5+$X$2),""))</f>
        <v/>
      </c>
    </row>
    <row r="905" spans="12:21" hidden="1" x14ac:dyDescent="0.25">
      <c r="L905" s="18">
        <f t="shared" ref="L905:L968" ca="1" si="121">EDATE(L904,1)</f>
        <v>73606</v>
      </c>
      <c r="M905" s="14">
        <v>900</v>
      </c>
      <c r="N905" s="14">
        <f t="shared" si="115"/>
        <v>0</v>
      </c>
      <c r="O905" s="19">
        <f t="shared" si="116"/>
        <v>0</v>
      </c>
      <c r="P905" s="19">
        <f t="shared" si="114"/>
        <v>0</v>
      </c>
      <c r="Q905" s="14">
        <f t="shared" si="117"/>
        <v>0</v>
      </c>
      <c r="R905" s="19">
        <f t="shared" si="118"/>
        <v>0</v>
      </c>
      <c r="S905" s="19">
        <f t="shared" si="119"/>
        <v>0</v>
      </c>
      <c r="T905" s="14">
        <f t="shared" si="120"/>
        <v>0</v>
      </c>
      <c r="U905" s="18" t="str" cm="1">
        <f t="array" aca="1" ref="U905" ca="1">IF(M905&lt;=$N$1,L905,IF(M905&lt;=($N$1+1),INDIRECT("L"&amp;5+$X$2),""))</f>
        <v/>
      </c>
    </row>
    <row r="906" spans="12:21" hidden="1" x14ac:dyDescent="0.25">
      <c r="L906" s="18">
        <f t="shared" ca="1" si="121"/>
        <v>73637</v>
      </c>
      <c r="M906" s="14">
        <v>901</v>
      </c>
      <c r="N906" s="14">
        <f t="shared" si="115"/>
        <v>0</v>
      </c>
      <c r="O906" s="19">
        <f t="shared" si="116"/>
        <v>0</v>
      </c>
      <c r="P906" s="19">
        <f t="shared" si="114"/>
        <v>0</v>
      </c>
      <c r="Q906" s="14">
        <f t="shared" si="117"/>
        <v>0</v>
      </c>
      <c r="R906" s="19">
        <f t="shared" si="118"/>
        <v>0</v>
      </c>
      <c r="S906" s="19">
        <f t="shared" si="119"/>
        <v>0</v>
      </c>
      <c r="T906" s="14">
        <f t="shared" si="120"/>
        <v>0</v>
      </c>
      <c r="U906" s="18" t="str" cm="1">
        <f t="array" aca="1" ref="U906" ca="1">IF(M906&lt;=$N$1,L906,IF(M906&lt;=($N$1+1),INDIRECT("L"&amp;5+$X$2),""))</f>
        <v/>
      </c>
    </row>
    <row r="907" spans="12:21" hidden="1" x14ac:dyDescent="0.25">
      <c r="L907" s="18">
        <f t="shared" ca="1" si="121"/>
        <v>73668</v>
      </c>
      <c r="M907" s="14">
        <v>902</v>
      </c>
      <c r="N907" s="14">
        <f t="shared" si="115"/>
        <v>0</v>
      </c>
      <c r="O907" s="19">
        <f t="shared" si="116"/>
        <v>0</v>
      </c>
      <c r="P907" s="19">
        <f t="shared" si="114"/>
        <v>0</v>
      </c>
      <c r="Q907" s="14">
        <f t="shared" si="117"/>
        <v>0</v>
      </c>
      <c r="R907" s="19">
        <f t="shared" si="118"/>
        <v>0</v>
      </c>
      <c r="S907" s="19">
        <f t="shared" si="119"/>
        <v>0</v>
      </c>
      <c r="T907" s="14">
        <f t="shared" si="120"/>
        <v>0</v>
      </c>
      <c r="U907" s="18" t="str" cm="1">
        <f t="array" aca="1" ref="U907" ca="1">IF(M907&lt;=$N$1,L907,IF(M907&lt;=($N$1+1),INDIRECT("L"&amp;5+$X$2),""))</f>
        <v/>
      </c>
    </row>
    <row r="908" spans="12:21" hidden="1" x14ac:dyDescent="0.25">
      <c r="L908" s="18">
        <f t="shared" ca="1" si="121"/>
        <v>73698</v>
      </c>
      <c r="M908" s="14">
        <v>903</v>
      </c>
      <c r="N908" s="14">
        <f t="shared" si="115"/>
        <v>0</v>
      </c>
      <c r="O908" s="19">
        <f t="shared" si="116"/>
        <v>0</v>
      </c>
      <c r="P908" s="19">
        <f t="shared" si="114"/>
        <v>0</v>
      </c>
      <c r="Q908" s="14">
        <f t="shared" si="117"/>
        <v>0</v>
      </c>
      <c r="R908" s="19">
        <f t="shared" si="118"/>
        <v>0</v>
      </c>
      <c r="S908" s="19">
        <f t="shared" si="119"/>
        <v>0</v>
      </c>
      <c r="T908" s="14">
        <f t="shared" si="120"/>
        <v>0</v>
      </c>
      <c r="U908" s="18" t="str" cm="1">
        <f t="array" aca="1" ref="U908" ca="1">IF(M908&lt;=$N$1,L908,IF(M908&lt;=($N$1+1),INDIRECT("L"&amp;5+$X$2),""))</f>
        <v/>
      </c>
    </row>
    <row r="909" spans="12:21" hidden="1" x14ac:dyDescent="0.25">
      <c r="L909" s="18">
        <f t="shared" ca="1" si="121"/>
        <v>73729</v>
      </c>
      <c r="M909" s="14">
        <v>904</v>
      </c>
      <c r="N909" s="14">
        <f t="shared" si="115"/>
        <v>0</v>
      </c>
      <c r="O909" s="19">
        <f t="shared" si="116"/>
        <v>0</v>
      </c>
      <c r="P909" s="19">
        <f t="shared" si="114"/>
        <v>0</v>
      </c>
      <c r="Q909" s="14">
        <f t="shared" si="117"/>
        <v>0</v>
      </c>
      <c r="R909" s="19">
        <f t="shared" si="118"/>
        <v>0</v>
      </c>
      <c r="S909" s="19">
        <f t="shared" si="119"/>
        <v>0</v>
      </c>
      <c r="T909" s="14">
        <f t="shared" si="120"/>
        <v>0</v>
      </c>
      <c r="U909" s="18" t="str" cm="1">
        <f t="array" aca="1" ref="U909" ca="1">IF(M909&lt;=$N$1,L909,IF(M909&lt;=($N$1+1),INDIRECT("L"&amp;5+$X$2),""))</f>
        <v/>
      </c>
    </row>
    <row r="910" spans="12:21" hidden="1" x14ac:dyDescent="0.25">
      <c r="L910" s="18">
        <f t="shared" ca="1" si="121"/>
        <v>73759</v>
      </c>
      <c r="M910" s="14">
        <v>905</v>
      </c>
      <c r="N910" s="14">
        <f t="shared" si="115"/>
        <v>0</v>
      </c>
      <c r="O910" s="19">
        <f t="shared" si="116"/>
        <v>0</v>
      </c>
      <c r="P910" s="19">
        <f t="shared" si="114"/>
        <v>0</v>
      </c>
      <c r="Q910" s="14">
        <f t="shared" si="117"/>
        <v>0</v>
      </c>
      <c r="R910" s="19">
        <f t="shared" si="118"/>
        <v>0</v>
      </c>
      <c r="S910" s="19">
        <f t="shared" si="119"/>
        <v>0</v>
      </c>
      <c r="T910" s="14">
        <f t="shared" si="120"/>
        <v>0</v>
      </c>
      <c r="U910" s="18" t="str" cm="1">
        <f t="array" aca="1" ref="U910" ca="1">IF(M910&lt;=$N$1,L910,IF(M910&lt;=($N$1+1),INDIRECT("L"&amp;5+$X$2),""))</f>
        <v/>
      </c>
    </row>
    <row r="911" spans="12:21" hidden="1" x14ac:dyDescent="0.25">
      <c r="L911" s="18">
        <f t="shared" ca="1" si="121"/>
        <v>73790</v>
      </c>
      <c r="M911" s="14">
        <v>906</v>
      </c>
      <c r="N911" s="14">
        <f t="shared" si="115"/>
        <v>0</v>
      </c>
      <c r="O911" s="19">
        <f t="shared" si="116"/>
        <v>0</v>
      </c>
      <c r="P911" s="19">
        <f t="shared" si="114"/>
        <v>0</v>
      </c>
      <c r="Q911" s="14">
        <f t="shared" si="117"/>
        <v>0</v>
      </c>
      <c r="R911" s="19">
        <f t="shared" si="118"/>
        <v>0</v>
      </c>
      <c r="S911" s="19">
        <f t="shared" si="119"/>
        <v>0</v>
      </c>
      <c r="T911" s="14">
        <f t="shared" si="120"/>
        <v>0</v>
      </c>
      <c r="U911" s="18" t="str" cm="1">
        <f t="array" aca="1" ref="U911" ca="1">IF(M911&lt;=$N$1,L911,IF(M911&lt;=($N$1+1),INDIRECT("L"&amp;5+$X$2),""))</f>
        <v/>
      </c>
    </row>
    <row r="912" spans="12:21" hidden="1" x14ac:dyDescent="0.25">
      <c r="L912" s="18">
        <f t="shared" ca="1" si="121"/>
        <v>73821</v>
      </c>
      <c r="M912" s="14">
        <v>907</v>
      </c>
      <c r="N912" s="14">
        <f t="shared" si="115"/>
        <v>0</v>
      </c>
      <c r="O912" s="19">
        <f t="shared" si="116"/>
        <v>0</v>
      </c>
      <c r="P912" s="19">
        <f t="shared" si="114"/>
        <v>0</v>
      </c>
      <c r="Q912" s="14">
        <f t="shared" si="117"/>
        <v>0</v>
      </c>
      <c r="R912" s="19">
        <f t="shared" si="118"/>
        <v>0</v>
      </c>
      <c r="S912" s="19">
        <f t="shared" si="119"/>
        <v>0</v>
      </c>
      <c r="T912" s="14">
        <f t="shared" si="120"/>
        <v>0</v>
      </c>
      <c r="U912" s="18" t="str" cm="1">
        <f t="array" aca="1" ref="U912" ca="1">IF(M912&lt;=$N$1,L912,IF(M912&lt;=($N$1+1),INDIRECT("L"&amp;5+$X$2),""))</f>
        <v/>
      </c>
    </row>
    <row r="913" spans="12:21" hidden="1" x14ac:dyDescent="0.25">
      <c r="L913" s="18">
        <f t="shared" ca="1" si="121"/>
        <v>73849</v>
      </c>
      <c r="M913" s="14">
        <v>908</v>
      </c>
      <c r="N913" s="14">
        <f t="shared" si="115"/>
        <v>0</v>
      </c>
      <c r="O913" s="19">
        <f t="shared" si="116"/>
        <v>0</v>
      </c>
      <c r="P913" s="19">
        <f t="shared" si="114"/>
        <v>0</v>
      </c>
      <c r="Q913" s="14">
        <f t="shared" si="117"/>
        <v>0</v>
      </c>
      <c r="R913" s="19">
        <f t="shared" si="118"/>
        <v>0</v>
      </c>
      <c r="S913" s="19">
        <f t="shared" si="119"/>
        <v>0</v>
      </c>
      <c r="T913" s="14">
        <f t="shared" si="120"/>
        <v>0</v>
      </c>
      <c r="U913" s="18" t="str" cm="1">
        <f t="array" aca="1" ref="U913" ca="1">IF(M913&lt;=$N$1,L913,IF(M913&lt;=($N$1+1),INDIRECT("L"&amp;5+$X$2),""))</f>
        <v/>
      </c>
    </row>
    <row r="914" spans="12:21" hidden="1" x14ac:dyDescent="0.25">
      <c r="L914" s="18">
        <f t="shared" ca="1" si="121"/>
        <v>73880</v>
      </c>
      <c r="M914" s="14">
        <v>909</v>
      </c>
      <c r="N914" s="14">
        <f t="shared" si="115"/>
        <v>0</v>
      </c>
      <c r="O914" s="19">
        <f t="shared" si="116"/>
        <v>0</v>
      </c>
      <c r="P914" s="19">
        <f t="shared" si="114"/>
        <v>0</v>
      </c>
      <c r="Q914" s="14">
        <f t="shared" si="117"/>
        <v>0</v>
      </c>
      <c r="R914" s="19">
        <f t="shared" si="118"/>
        <v>0</v>
      </c>
      <c r="S914" s="19">
        <f t="shared" si="119"/>
        <v>0</v>
      </c>
      <c r="T914" s="14">
        <f t="shared" si="120"/>
        <v>0</v>
      </c>
      <c r="U914" s="18" t="str" cm="1">
        <f t="array" aca="1" ref="U914" ca="1">IF(M914&lt;=$N$1,L914,IF(M914&lt;=($N$1+1),INDIRECT("L"&amp;5+$X$2),""))</f>
        <v/>
      </c>
    </row>
    <row r="915" spans="12:21" hidden="1" x14ac:dyDescent="0.25">
      <c r="L915" s="18">
        <f t="shared" ca="1" si="121"/>
        <v>73910</v>
      </c>
      <c r="M915" s="14">
        <v>910</v>
      </c>
      <c r="N915" s="14">
        <f t="shared" si="115"/>
        <v>0</v>
      </c>
      <c r="O915" s="19">
        <f t="shared" si="116"/>
        <v>0</v>
      </c>
      <c r="P915" s="19">
        <f t="shared" si="114"/>
        <v>0</v>
      </c>
      <c r="Q915" s="14">
        <f t="shared" si="117"/>
        <v>0</v>
      </c>
      <c r="R915" s="19">
        <f t="shared" si="118"/>
        <v>0</v>
      </c>
      <c r="S915" s="19">
        <f t="shared" si="119"/>
        <v>0</v>
      </c>
      <c r="T915" s="14">
        <f t="shared" si="120"/>
        <v>0</v>
      </c>
      <c r="U915" s="18" t="str" cm="1">
        <f t="array" aca="1" ref="U915" ca="1">IF(M915&lt;=$N$1,L915,IF(M915&lt;=($N$1+1),INDIRECT("L"&amp;5+$X$2),""))</f>
        <v/>
      </c>
    </row>
    <row r="916" spans="12:21" hidden="1" x14ac:dyDescent="0.25">
      <c r="L916" s="18">
        <f t="shared" ca="1" si="121"/>
        <v>73941</v>
      </c>
      <c r="M916" s="14">
        <v>911</v>
      </c>
      <c r="N916" s="14">
        <f t="shared" si="115"/>
        <v>0</v>
      </c>
      <c r="O916" s="19">
        <f t="shared" si="116"/>
        <v>0</v>
      </c>
      <c r="P916" s="19">
        <f t="shared" si="114"/>
        <v>0</v>
      </c>
      <c r="Q916" s="14">
        <f t="shared" si="117"/>
        <v>0</v>
      </c>
      <c r="R916" s="19">
        <f t="shared" si="118"/>
        <v>0</v>
      </c>
      <c r="S916" s="19">
        <f t="shared" si="119"/>
        <v>0</v>
      </c>
      <c r="T916" s="14">
        <f t="shared" si="120"/>
        <v>0</v>
      </c>
      <c r="U916" s="18" t="str" cm="1">
        <f t="array" aca="1" ref="U916" ca="1">IF(M916&lt;=$N$1,L916,IF(M916&lt;=($N$1+1),INDIRECT("L"&amp;5+$X$2),""))</f>
        <v/>
      </c>
    </row>
    <row r="917" spans="12:21" hidden="1" x14ac:dyDescent="0.25">
      <c r="L917" s="18">
        <f t="shared" ca="1" si="121"/>
        <v>73971</v>
      </c>
      <c r="M917" s="14">
        <v>912</v>
      </c>
      <c r="N917" s="14">
        <f t="shared" si="115"/>
        <v>0</v>
      </c>
      <c r="O917" s="19">
        <f t="shared" si="116"/>
        <v>0</v>
      </c>
      <c r="P917" s="19">
        <f t="shared" si="114"/>
        <v>0</v>
      </c>
      <c r="Q917" s="14">
        <f t="shared" si="117"/>
        <v>0</v>
      </c>
      <c r="R917" s="19">
        <f t="shared" si="118"/>
        <v>0</v>
      </c>
      <c r="S917" s="19">
        <f t="shared" si="119"/>
        <v>0</v>
      </c>
      <c r="T917" s="14">
        <f t="shared" si="120"/>
        <v>0</v>
      </c>
      <c r="U917" s="18" t="str" cm="1">
        <f t="array" aca="1" ref="U917" ca="1">IF(M917&lt;=$N$1,L917,IF(M917&lt;=($N$1+1),INDIRECT("L"&amp;5+$X$2),""))</f>
        <v/>
      </c>
    </row>
    <row r="918" spans="12:21" hidden="1" x14ac:dyDescent="0.25">
      <c r="L918" s="18">
        <f t="shared" ca="1" si="121"/>
        <v>74002</v>
      </c>
      <c r="M918" s="14">
        <v>913</v>
      </c>
      <c r="N918" s="14">
        <f t="shared" si="115"/>
        <v>0</v>
      </c>
      <c r="O918" s="19">
        <f t="shared" si="116"/>
        <v>0</v>
      </c>
      <c r="P918" s="19">
        <f t="shared" si="114"/>
        <v>0</v>
      </c>
      <c r="Q918" s="14">
        <f t="shared" si="117"/>
        <v>0</v>
      </c>
      <c r="R918" s="19">
        <f t="shared" si="118"/>
        <v>0</v>
      </c>
      <c r="S918" s="19">
        <f t="shared" si="119"/>
        <v>0</v>
      </c>
      <c r="T918" s="14">
        <f t="shared" si="120"/>
        <v>0</v>
      </c>
      <c r="U918" s="18" t="str" cm="1">
        <f t="array" aca="1" ref="U918" ca="1">IF(M918&lt;=$N$1,L918,IF(M918&lt;=($N$1+1),INDIRECT("L"&amp;5+$X$2),""))</f>
        <v/>
      </c>
    </row>
    <row r="919" spans="12:21" hidden="1" x14ac:dyDescent="0.25">
      <c r="L919" s="18">
        <f t="shared" ca="1" si="121"/>
        <v>74033</v>
      </c>
      <c r="M919" s="14">
        <v>914</v>
      </c>
      <c r="N919" s="14">
        <f t="shared" si="115"/>
        <v>0</v>
      </c>
      <c r="O919" s="19">
        <f t="shared" si="116"/>
        <v>0</v>
      </c>
      <c r="P919" s="19">
        <f t="shared" si="114"/>
        <v>0</v>
      </c>
      <c r="Q919" s="14">
        <f t="shared" si="117"/>
        <v>0</v>
      </c>
      <c r="R919" s="19">
        <f t="shared" si="118"/>
        <v>0</v>
      </c>
      <c r="S919" s="19">
        <f t="shared" si="119"/>
        <v>0</v>
      </c>
      <c r="T919" s="14">
        <f t="shared" si="120"/>
        <v>0</v>
      </c>
      <c r="U919" s="18" t="str" cm="1">
        <f t="array" aca="1" ref="U919" ca="1">IF(M919&lt;=$N$1,L919,IF(M919&lt;=($N$1+1),INDIRECT("L"&amp;5+$X$2),""))</f>
        <v/>
      </c>
    </row>
    <row r="920" spans="12:21" hidden="1" x14ac:dyDescent="0.25">
      <c r="L920" s="18">
        <f t="shared" ca="1" si="121"/>
        <v>74063</v>
      </c>
      <c r="M920" s="14">
        <v>915</v>
      </c>
      <c r="N920" s="14">
        <f t="shared" si="115"/>
        <v>0</v>
      </c>
      <c r="O920" s="19">
        <f t="shared" si="116"/>
        <v>0</v>
      </c>
      <c r="P920" s="19">
        <f t="shared" si="114"/>
        <v>0</v>
      </c>
      <c r="Q920" s="14">
        <f t="shared" si="117"/>
        <v>0</v>
      </c>
      <c r="R920" s="19">
        <f t="shared" si="118"/>
        <v>0</v>
      </c>
      <c r="S920" s="19">
        <f t="shared" si="119"/>
        <v>0</v>
      </c>
      <c r="T920" s="14">
        <f t="shared" si="120"/>
        <v>0</v>
      </c>
      <c r="U920" s="18" t="str" cm="1">
        <f t="array" aca="1" ref="U920" ca="1">IF(M920&lt;=$N$1,L920,IF(M920&lt;=($N$1+1),INDIRECT("L"&amp;5+$X$2),""))</f>
        <v/>
      </c>
    </row>
    <row r="921" spans="12:21" hidden="1" x14ac:dyDescent="0.25">
      <c r="L921" s="18">
        <f t="shared" ca="1" si="121"/>
        <v>74094</v>
      </c>
      <c r="M921" s="14">
        <v>916</v>
      </c>
      <c r="N921" s="14">
        <f t="shared" si="115"/>
        <v>0</v>
      </c>
      <c r="O921" s="19">
        <f t="shared" si="116"/>
        <v>0</v>
      </c>
      <c r="P921" s="19">
        <f t="shared" si="114"/>
        <v>0</v>
      </c>
      <c r="Q921" s="14">
        <f t="shared" si="117"/>
        <v>0</v>
      </c>
      <c r="R921" s="19">
        <f t="shared" si="118"/>
        <v>0</v>
      </c>
      <c r="S921" s="19">
        <f t="shared" si="119"/>
        <v>0</v>
      </c>
      <c r="T921" s="14">
        <f t="shared" si="120"/>
        <v>0</v>
      </c>
      <c r="U921" s="18" t="str" cm="1">
        <f t="array" aca="1" ref="U921" ca="1">IF(M921&lt;=$N$1,L921,IF(M921&lt;=($N$1+1),INDIRECT("L"&amp;5+$X$2),""))</f>
        <v/>
      </c>
    </row>
    <row r="922" spans="12:21" hidden="1" x14ac:dyDescent="0.25">
      <c r="L922" s="18">
        <f t="shared" ca="1" si="121"/>
        <v>74124</v>
      </c>
      <c r="M922" s="14">
        <v>917</v>
      </c>
      <c r="N922" s="14">
        <f t="shared" si="115"/>
        <v>0</v>
      </c>
      <c r="O922" s="19">
        <f t="shared" si="116"/>
        <v>0</v>
      </c>
      <c r="P922" s="19">
        <f t="shared" si="114"/>
        <v>0</v>
      </c>
      <c r="Q922" s="14">
        <f t="shared" si="117"/>
        <v>0</v>
      </c>
      <c r="R922" s="19">
        <f t="shared" si="118"/>
        <v>0</v>
      </c>
      <c r="S922" s="19">
        <f t="shared" si="119"/>
        <v>0</v>
      </c>
      <c r="T922" s="14">
        <f t="shared" si="120"/>
        <v>0</v>
      </c>
      <c r="U922" s="18" t="str" cm="1">
        <f t="array" aca="1" ref="U922" ca="1">IF(M922&lt;=$N$1,L922,IF(M922&lt;=($N$1+1),INDIRECT("L"&amp;5+$X$2),""))</f>
        <v/>
      </c>
    </row>
    <row r="923" spans="12:21" hidden="1" x14ac:dyDescent="0.25">
      <c r="L923" s="18">
        <f t="shared" ca="1" si="121"/>
        <v>74155</v>
      </c>
      <c r="M923" s="14">
        <v>918</v>
      </c>
      <c r="N923" s="14">
        <f t="shared" si="115"/>
        <v>0</v>
      </c>
      <c r="O923" s="19">
        <f t="shared" si="116"/>
        <v>0</v>
      </c>
      <c r="P923" s="19">
        <f t="shared" si="114"/>
        <v>0</v>
      </c>
      <c r="Q923" s="14">
        <f t="shared" si="117"/>
        <v>0</v>
      </c>
      <c r="R923" s="19">
        <f t="shared" si="118"/>
        <v>0</v>
      </c>
      <c r="S923" s="19">
        <f t="shared" si="119"/>
        <v>0</v>
      </c>
      <c r="T923" s="14">
        <f t="shared" si="120"/>
        <v>0</v>
      </c>
      <c r="U923" s="18" t="str" cm="1">
        <f t="array" aca="1" ref="U923" ca="1">IF(M923&lt;=$N$1,L923,IF(M923&lt;=($N$1+1),INDIRECT("L"&amp;5+$X$2),""))</f>
        <v/>
      </c>
    </row>
    <row r="924" spans="12:21" hidden="1" x14ac:dyDescent="0.25">
      <c r="L924" s="18">
        <f t="shared" ca="1" si="121"/>
        <v>74186</v>
      </c>
      <c r="M924" s="14">
        <v>919</v>
      </c>
      <c r="N924" s="14">
        <f t="shared" si="115"/>
        <v>0</v>
      </c>
      <c r="O924" s="19">
        <f t="shared" si="116"/>
        <v>0</v>
      </c>
      <c r="P924" s="19">
        <f t="shared" si="114"/>
        <v>0</v>
      </c>
      <c r="Q924" s="14">
        <f t="shared" si="117"/>
        <v>0</v>
      </c>
      <c r="R924" s="19">
        <f t="shared" si="118"/>
        <v>0</v>
      </c>
      <c r="S924" s="19">
        <f t="shared" si="119"/>
        <v>0</v>
      </c>
      <c r="T924" s="14">
        <f t="shared" si="120"/>
        <v>0</v>
      </c>
      <c r="U924" s="18" t="str" cm="1">
        <f t="array" aca="1" ref="U924" ca="1">IF(M924&lt;=$N$1,L924,IF(M924&lt;=($N$1+1),INDIRECT("L"&amp;5+$X$2),""))</f>
        <v/>
      </c>
    </row>
    <row r="925" spans="12:21" hidden="1" x14ac:dyDescent="0.25">
      <c r="L925" s="18">
        <f t="shared" ca="1" si="121"/>
        <v>74214</v>
      </c>
      <c r="M925" s="14">
        <v>920</v>
      </c>
      <c r="N925" s="14">
        <f t="shared" si="115"/>
        <v>0</v>
      </c>
      <c r="O925" s="19">
        <f t="shared" si="116"/>
        <v>0</v>
      </c>
      <c r="P925" s="19">
        <f t="shared" si="114"/>
        <v>0</v>
      </c>
      <c r="Q925" s="14">
        <f t="shared" si="117"/>
        <v>0</v>
      </c>
      <c r="R925" s="19">
        <f t="shared" si="118"/>
        <v>0</v>
      </c>
      <c r="S925" s="19">
        <f t="shared" si="119"/>
        <v>0</v>
      </c>
      <c r="T925" s="14">
        <f t="shared" si="120"/>
        <v>0</v>
      </c>
      <c r="U925" s="18" t="str" cm="1">
        <f t="array" aca="1" ref="U925" ca="1">IF(M925&lt;=$N$1,L925,IF(M925&lt;=($N$1+1),INDIRECT("L"&amp;5+$X$2),""))</f>
        <v/>
      </c>
    </row>
    <row r="926" spans="12:21" hidden="1" x14ac:dyDescent="0.25">
      <c r="L926" s="18">
        <f t="shared" ca="1" si="121"/>
        <v>74245</v>
      </c>
      <c r="M926" s="14">
        <v>921</v>
      </c>
      <c r="N926" s="14">
        <f t="shared" si="115"/>
        <v>0</v>
      </c>
      <c r="O926" s="19">
        <f t="shared" si="116"/>
        <v>0</v>
      </c>
      <c r="P926" s="19">
        <f t="shared" si="114"/>
        <v>0</v>
      </c>
      <c r="Q926" s="14">
        <f t="shared" si="117"/>
        <v>0</v>
      </c>
      <c r="R926" s="19">
        <f t="shared" si="118"/>
        <v>0</v>
      </c>
      <c r="S926" s="19">
        <f t="shared" si="119"/>
        <v>0</v>
      </c>
      <c r="T926" s="14">
        <f t="shared" si="120"/>
        <v>0</v>
      </c>
      <c r="U926" s="18" t="str" cm="1">
        <f t="array" aca="1" ref="U926" ca="1">IF(M926&lt;=$N$1,L926,IF(M926&lt;=($N$1+1),INDIRECT("L"&amp;5+$X$2),""))</f>
        <v/>
      </c>
    </row>
    <row r="927" spans="12:21" hidden="1" x14ac:dyDescent="0.25">
      <c r="L927" s="18">
        <f t="shared" ca="1" si="121"/>
        <v>74275</v>
      </c>
      <c r="M927" s="14">
        <v>922</v>
      </c>
      <c r="N927" s="14">
        <f t="shared" si="115"/>
        <v>0</v>
      </c>
      <c r="O927" s="19">
        <f t="shared" si="116"/>
        <v>0</v>
      </c>
      <c r="P927" s="19">
        <f t="shared" si="114"/>
        <v>0</v>
      </c>
      <c r="Q927" s="14">
        <f t="shared" si="117"/>
        <v>0</v>
      </c>
      <c r="R927" s="19">
        <f t="shared" si="118"/>
        <v>0</v>
      </c>
      <c r="S927" s="19">
        <f t="shared" si="119"/>
        <v>0</v>
      </c>
      <c r="T927" s="14">
        <f t="shared" si="120"/>
        <v>0</v>
      </c>
      <c r="U927" s="18" t="str" cm="1">
        <f t="array" aca="1" ref="U927" ca="1">IF(M927&lt;=$N$1,L927,IF(M927&lt;=($N$1+1),INDIRECT("L"&amp;5+$X$2),""))</f>
        <v/>
      </c>
    </row>
    <row r="928" spans="12:21" hidden="1" x14ac:dyDescent="0.25">
      <c r="L928" s="18">
        <f t="shared" ca="1" si="121"/>
        <v>74306</v>
      </c>
      <c r="M928" s="14">
        <v>923</v>
      </c>
      <c r="N928" s="14">
        <f t="shared" si="115"/>
        <v>0</v>
      </c>
      <c r="O928" s="19">
        <f t="shared" si="116"/>
        <v>0</v>
      </c>
      <c r="P928" s="19">
        <f t="shared" si="114"/>
        <v>0</v>
      </c>
      <c r="Q928" s="14">
        <f t="shared" si="117"/>
        <v>0</v>
      </c>
      <c r="R928" s="19">
        <f t="shared" si="118"/>
        <v>0</v>
      </c>
      <c r="S928" s="19">
        <f t="shared" si="119"/>
        <v>0</v>
      </c>
      <c r="T928" s="14">
        <f t="shared" si="120"/>
        <v>0</v>
      </c>
      <c r="U928" s="18" t="str" cm="1">
        <f t="array" aca="1" ref="U928" ca="1">IF(M928&lt;=$N$1,L928,IF(M928&lt;=($N$1+1),INDIRECT("L"&amp;5+$X$2),""))</f>
        <v/>
      </c>
    </row>
    <row r="929" spans="12:21" hidden="1" x14ac:dyDescent="0.25">
      <c r="L929" s="18">
        <f t="shared" ca="1" si="121"/>
        <v>74336</v>
      </c>
      <c r="M929" s="14">
        <v>924</v>
      </c>
      <c r="N929" s="14">
        <f t="shared" si="115"/>
        <v>0</v>
      </c>
      <c r="O929" s="19">
        <f t="shared" si="116"/>
        <v>0</v>
      </c>
      <c r="P929" s="19">
        <f t="shared" si="114"/>
        <v>0</v>
      </c>
      <c r="Q929" s="14">
        <f t="shared" si="117"/>
        <v>0</v>
      </c>
      <c r="R929" s="19">
        <f t="shared" si="118"/>
        <v>0</v>
      </c>
      <c r="S929" s="19">
        <f t="shared" si="119"/>
        <v>0</v>
      </c>
      <c r="T929" s="14">
        <f t="shared" si="120"/>
        <v>0</v>
      </c>
      <c r="U929" s="18" t="str" cm="1">
        <f t="array" aca="1" ref="U929" ca="1">IF(M929&lt;=$N$1,L929,IF(M929&lt;=($N$1+1),INDIRECT("L"&amp;5+$X$2),""))</f>
        <v/>
      </c>
    </row>
    <row r="930" spans="12:21" hidden="1" x14ac:dyDescent="0.25">
      <c r="L930" s="18">
        <f t="shared" ca="1" si="121"/>
        <v>74367</v>
      </c>
      <c r="M930" s="14">
        <v>925</v>
      </c>
      <c r="N930" s="14">
        <f t="shared" si="115"/>
        <v>0</v>
      </c>
      <c r="O930" s="19">
        <f t="shared" si="116"/>
        <v>0</v>
      </c>
      <c r="P930" s="19">
        <f t="shared" si="114"/>
        <v>0</v>
      </c>
      <c r="Q930" s="14">
        <f t="shared" si="117"/>
        <v>0</v>
      </c>
      <c r="R930" s="19">
        <f t="shared" si="118"/>
        <v>0</v>
      </c>
      <c r="S930" s="19">
        <f t="shared" si="119"/>
        <v>0</v>
      </c>
      <c r="T930" s="14">
        <f t="shared" si="120"/>
        <v>0</v>
      </c>
      <c r="U930" s="18" t="str" cm="1">
        <f t="array" aca="1" ref="U930" ca="1">IF(M930&lt;=$N$1,L930,IF(M930&lt;=($N$1+1),INDIRECT("L"&amp;5+$X$2),""))</f>
        <v/>
      </c>
    </row>
    <row r="931" spans="12:21" hidden="1" x14ac:dyDescent="0.25">
      <c r="L931" s="18">
        <f t="shared" ca="1" si="121"/>
        <v>74398</v>
      </c>
      <c r="M931" s="14">
        <v>926</v>
      </c>
      <c r="N931" s="14">
        <f t="shared" si="115"/>
        <v>0</v>
      </c>
      <c r="O931" s="19">
        <f t="shared" si="116"/>
        <v>0</v>
      </c>
      <c r="P931" s="19">
        <f t="shared" si="114"/>
        <v>0</v>
      </c>
      <c r="Q931" s="14">
        <f t="shared" si="117"/>
        <v>0</v>
      </c>
      <c r="R931" s="19">
        <f t="shared" si="118"/>
        <v>0</v>
      </c>
      <c r="S931" s="19">
        <f t="shared" si="119"/>
        <v>0</v>
      </c>
      <c r="T931" s="14">
        <f t="shared" si="120"/>
        <v>0</v>
      </c>
      <c r="U931" s="18" t="str" cm="1">
        <f t="array" aca="1" ref="U931" ca="1">IF(M931&lt;=$N$1,L931,IF(M931&lt;=($N$1+1),INDIRECT("L"&amp;5+$X$2),""))</f>
        <v/>
      </c>
    </row>
    <row r="932" spans="12:21" hidden="1" x14ac:dyDescent="0.25">
      <c r="L932" s="18">
        <f t="shared" ca="1" si="121"/>
        <v>74428</v>
      </c>
      <c r="M932" s="14">
        <v>927</v>
      </c>
      <c r="N932" s="14">
        <f t="shared" si="115"/>
        <v>0</v>
      </c>
      <c r="O932" s="19">
        <f t="shared" si="116"/>
        <v>0</v>
      </c>
      <c r="P932" s="19">
        <f t="shared" si="114"/>
        <v>0</v>
      </c>
      <c r="Q932" s="14">
        <f t="shared" si="117"/>
        <v>0</v>
      </c>
      <c r="R932" s="19">
        <f t="shared" si="118"/>
        <v>0</v>
      </c>
      <c r="S932" s="19">
        <f t="shared" si="119"/>
        <v>0</v>
      </c>
      <c r="T932" s="14">
        <f t="shared" si="120"/>
        <v>0</v>
      </c>
      <c r="U932" s="18" t="str" cm="1">
        <f t="array" aca="1" ref="U932" ca="1">IF(M932&lt;=$N$1,L932,IF(M932&lt;=($N$1+1),INDIRECT("L"&amp;5+$X$2),""))</f>
        <v/>
      </c>
    </row>
    <row r="933" spans="12:21" hidden="1" x14ac:dyDescent="0.25">
      <c r="L933" s="18">
        <f t="shared" ca="1" si="121"/>
        <v>74459</v>
      </c>
      <c r="M933" s="14">
        <v>928</v>
      </c>
      <c r="N933" s="14">
        <f t="shared" si="115"/>
        <v>0</v>
      </c>
      <c r="O933" s="19">
        <f t="shared" si="116"/>
        <v>0</v>
      </c>
      <c r="P933" s="19">
        <f t="shared" si="114"/>
        <v>0</v>
      </c>
      <c r="Q933" s="14">
        <f t="shared" si="117"/>
        <v>0</v>
      </c>
      <c r="R933" s="19">
        <f t="shared" si="118"/>
        <v>0</v>
      </c>
      <c r="S933" s="19">
        <f t="shared" si="119"/>
        <v>0</v>
      </c>
      <c r="T933" s="14">
        <f t="shared" si="120"/>
        <v>0</v>
      </c>
      <c r="U933" s="18" t="str" cm="1">
        <f t="array" aca="1" ref="U933" ca="1">IF(M933&lt;=$N$1,L933,IF(M933&lt;=($N$1+1),INDIRECT("L"&amp;5+$X$2),""))</f>
        <v/>
      </c>
    </row>
    <row r="934" spans="12:21" hidden="1" x14ac:dyDescent="0.25">
      <c r="L934" s="18">
        <f t="shared" ca="1" si="121"/>
        <v>74489</v>
      </c>
      <c r="M934" s="14">
        <v>929</v>
      </c>
      <c r="N934" s="14">
        <f t="shared" si="115"/>
        <v>0</v>
      </c>
      <c r="O934" s="19">
        <f t="shared" si="116"/>
        <v>0</v>
      </c>
      <c r="P934" s="19">
        <f t="shared" ref="P934:P997" si="122">O934/((1+SIPInflationRate)^(M934/12))</f>
        <v>0</v>
      </c>
      <c r="Q934" s="14">
        <f t="shared" si="117"/>
        <v>0</v>
      </c>
      <c r="R934" s="19">
        <f t="shared" si="118"/>
        <v>0</v>
      </c>
      <c r="S934" s="19">
        <f t="shared" si="119"/>
        <v>0</v>
      </c>
      <c r="T934" s="14">
        <f t="shared" si="120"/>
        <v>0</v>
      </c>
      <c r="U934" s="18" t="str" cm="1">
        <f t="array" aca="1" ref="U934" ca="1">IF(M934&lt;=$N$1,L934,IF(M934&lt;=($N$1+1),INDIRECT("L"&amp;5+$X$2),""))</f>
        <v/>
      </c>
    </row>
    <row r="935" spans="12:21" hidden="1" x14ac:dyDescent="0.25">
      <c r="L935" s="18">
        <f t="shared" ca="1" si="121"/>
        <v>74520</v>
      </c>
      <c r="M935" s="14">
        <v>930</v>
      </c>
      <c r="N935" s="14">
        <f t="shared" si="115"/>
        <v>0</v>
      </c>
      <c r="O935" s="19">
        <f t="shared" si="116"/>
        <v>0</v>
      </c>
      <c r="P935" s="19">
        <f t="shared" si="122"/>
        <v>0</v>
      </c>
      <c r="Q935" s="14">
        <f t="shared" si="117"/>
        <v>0</v>
      </c>
      <c r="R935" s="19">
        <f t="shared" si="118"/>
        <v>0</v>
      </c>
      <c r="S935" s="19">
        <f t="shared" si="119"/>
        <v>0</v>
      </c>
      <c r="T935" s="14">
        <f t="shared" si="120"/>
        <v>0</v>
      </c>
      <c r="U935" s="18" t="str" cm="1">
        <f t="array" aca="1" ref="U935" ca="1">IF(M935&lt;=$N$1,L935,IF(M935&lt;=($N$1+1),INDIRECT("L"&amp;5+$X$2),""))</f>
        <v/>
      </c>
    </row>
    <row r="936" spans="12:21" hidden="1" x14ac:dyDescent="0.25">
      <c r="L936" s="18">
        <f t="shared" ca="1" si="121"/>
        <v>74551</v>
      </c>
      <c r="M936" s="14">
        <v>931</v>
      </c>
      <c r="N936" s="14">
        <f t="shared" si="115"/>
        <v>0</v>
      </c>
      <c r="O936" s="19">
        <f t="shared" si="116"/>
        <v>0</v>
      </c>
      <c r="P936" s="19">
        <f t="shared" si="122"/>
        <v>0</v>
      </c>
      <c r="Q936" s="14">
        <f t="shared" si="117"/>
        <v>0</v>
      </c>
      <c r="R936" s="19">
        <f t="shared" si="118"/>
        <v>0</v>
      </c>
      <c r="S936" s="19">
        <f t="shared" si="119"/>
        <v>0</v>
      </c>
      <c r="T936" s="14">
        <f t="shared" si="120"/>
        <v>0</v>
      </c>
      <c r="U936" s="18" t="str" cm="1">
        <f t="array" aca="1" ref="U936" ca="1">IF(M936&lt;=$N$1,L936,IF(M936&lt;=($N$1+1),INDIRECT("L"&amp;5+$X$2),""))</f>
        <v/>
      </c>
    </row>
    <row r="937" spans="12:21" hidden="1" x14ac:dyDescent="0.25">
      <c r="L937" s="18">
        <f t="shared" ca="1" si="121"/>
        <v>74580</v>
      </c>
      <c r="M937" s="14">
        <v>932</v>
      </c>
      <c r="N937" s="14">
        <f t="shared" si="115"/>
        <v>0</v>
      </c>
      <c r="O937" s="19">
        <f t="shared" si="116"/>
        <v>0</v>
      </c>
      <c r="P937" s="19">
        <f t="shared" si="122"/>
        <v>0</v>
      </c>
      <c r="Q937" s="14">
        <f t="shared" si="117"/>
        <v>0</v>
      </c>
      <c r="R937" s="19">
        <f t="shared" si="118"/>
        <v>0</v>
      </c>
      <c r="S937" s="19">
        <f t="shared" si="119"/>
        <v>0</v>
      </c>
      <c r="T937" s="14">
        <f t="shared" si="120"/>
        <v>0</v>
      </c>
      <c r="U937" s="18" t="str" cm="1">
        <f t="array" aca="1" ref="U937" ca="1">IF(M937&lt;=$N$1,L937,IF(M937&lt;=($N$1+1),INDIRECT("L"&amp;5+$X$2),""))</f>
        <v/>
      </c>
    </row>
    <row r="938" spans="12:21" hidden="1" x14ac:dyDescent="0.25">
      <c r="L938" s="18">
        <f t="shared" ca="1" si="121"/>
        <v>74611</v>
      </c>
      <c r="M938" s="14">
        <v>933</v>
      </c>
      <c r="N938" s="14">
        <f t="shared" si="115"/>
        <v>0</v>
      </c>
      <c r="O938" s="19">
        <f t="shared" si="116"/>
        <v>0</v>
      </c>
      <c r="P938" s="19">
        <f t="shared" si="122"/>
        <v>0</v>
      </c>
      <c r="Q938" s="14">
        <f t="shared" si="117"/>
        <v>0</v>
      </c>
      <c r="R938" s="19">
        <f t="shared" si="118"/>
        <v>0</v>
      </c>
      <c r="S938" s="19">
        <f t="shared" si="119"/>
        <v>0</v>
      </c>
      <c r="T938" s="14">
        <f t="shared" si="120"/>
        <v>0</v>
      </c>
      <c r="U938" s="18" t="str" cm="1">
        <f t="array" aca="1" ref="U938" ca="1">IF(M938&lt;=$N$1,L938,IF(M938&lt;=($N$1+1),INDIRECT("L"&amp;5+$X$2),""))</f>
        <v/>
      </c>
    </row>
    <row r="939" spans="12:21" hidden="1" x14ac:dyDescent="0.25">
      <c r="L939" s="18">
        <f t="shared" ca="1" si="121"/>
        <v>74641</v>
      </c>
      <c r="M939" s="14">
        <v>934</v>
      </c>
      <c r="N939" s="14">
        <f t="shared" si="115"/>
        <v>0</v>
      </c>
      <c r="O939" s="19">
        <f t="shared" si="116"/>
        <v>0</v>
      </c>
      <c r="P939" s="19">
        <f t="shared" si="122"/>
        <v>0</v>
      </c>
      <c r="Q939" s="14">
        <f t="shared" si="117"/>
        <v>0</v>
      </c>
      <c r="R939" s="19">
        <f t="shared" si="118"/>
        <v>0</v>
      </c>
      <c r="S939" s="19">
        <f t="shared" si="119"/>
        <v>0</v>
      </c>
      <c r="T939" s="14">
        <f t="shared" si="120"/>
        <v>0</v>
      </c>
      <c r="U939" s="18" t="str" cm="1">
        <f t="array" aca="1" ref="U939" ca="1">IF(M939&lt;=$N$1,L939,IF(M939&lt;=($N$1+1),INDIRECT("L"&amp;5+$X$2),""))</f>
        <v/>
      </c>
    </row>
    <row r="940" spans="12:21" hidden="1" x14ac:dyDescent="0.25">
      <c r="L940" s="18">
        <f t="shared" ca="1" si="121"/>
        <v>74672</v>
      </c>
      <c r="M940" s="14">
        <v>935</v>
      </c>
      <c r="N940" s="14">
        <f t="shared" si="115"/>
        <v>0</v>
      </c>
      <c r="O940" s="19">
        <f t="shared" si="116"/>
        <v>0</v>
      </c>
      <c r="P940" s="19">
        <f t="shared" si="122"/>
        <v>0</v>
      </c>
      <c r="Q940" s="14">
        <f t="shared" si="117"/>
        <v>0</v>
      </c>
      <c r="R940" s="19">
        <f t="shared" si="118"/>
        <v>0</v>
      </c>
      <c r="S940" s="19">
        <f t="shared" si="119"/>
        <v>0</v>
      </c>
      <c r="T940" s="14">
        <f t="shared" si="120"/>
        <v>0</v>
      </c>
      <c r="U940" s="18" t="str" cm="1">
        <f t="array" aca="1" ref="U940" ca="1">IF(M940&lt;=$N$1,L940,IF(M940&lt;=($N$1+1),INDIRECT("L"&amp;5+$X$2),""))</f>
        <v/>
      </c>
    </row>
    <row r="941" spans="12:21" hidden="1" x14ac:dyDescent="0.25">
      <c r="L941" s="18">
        <f t="shared" ca="1" si="121"/>
        <v>74702</v>
      </c>
      <c r="M941" s="14">
        <v>936</v>
      </c>
      <c r="N941" s="14">
        <f t="shared" si="115"/>
        <v>0</v>
      </c>
      <c r="O941" s="19">
        <f t="shared" si="116"/>
        <v>0</v>
      </c>
      <c r="P941" s="19">
        <f t="shared" si="122"/>
        <v>0</v>
      </c>
      <c r="Q941" s="14">
        <f t="shared" si="117"/>
        <v>0</v>
      </c>
      <c r="R941" s="19">
        <f t="shared" si="118"/>
        <v>0</v>
      </c>
      <c r="S941" s="19">
        <f t="shared" si="119"/>
        <v>0</v>
      </c>
      <c r="T941" s="14">
        <f t="shared" si="120"/>
        <v>0</v>
      </c>
      <c r="U941" s="18" t="str" cm="1">
        <f t="array" aca="1" ref="U941" ca="1">IF(M941&lt;=$N$1,L941,IF(M941&lt;=($N$1+1),INDIRECT("L"&amp;5+$X$2),""))</f>
        <v/>
      </c>
    </row>
    <row r="942" spans="12:21" hidden="1" x14ac:dyDescent="0.25">
      <c r="L942" s="18">
        <f t="shared" ca="1" si="121"/>
        <v>74733</v>
      </c>
      <c r="M942" s="14">
        <v>937</v>
      </c>
      <c r="N942" s="14">
        <f t="shared" si="115"/>
        <v>0</v>
      </c>
      <c r="O942" s="19">
        <f t="shared" si="116"/>
        <v>0</v>
      </c>
      <c r="P942" s="19">
        <f t="shared" si="122"/>
        <v>0</v>
      </c>
      <c r="Q942" s="14">
        <f t="shared" si="117"/>
        <v>0</v>
      </c>
      <c r="R942" s="19">
        <f t="shared" si="118"/>
        <v>0</v>
      </c>
      <c r="S942" s="19">
        <f t="shared" si="119"/>
        <v>0</v>
      </c>
      <c r="T942" s="14">
        <f t="shared" si="120"/>
        <v>0</v>
      </c>
      <c r="U942" s="18" t="str" cm="1">
        <f t="array" aca="1" ref="U942" ca="1">IF(M942&lt;=$N$1,L942,IF(M942&lt;=($N$1+1),INDIRECT("L"&amp;5+$X$2),""))</f>
        <v/>
      </c>
    </row>
    <row r="943" spans="12:21" hidden="1" x14ac:dyDescent="0.25">
      <c r="L943" s="18">
        <f t="shared" ca="1" si="121"/>
        <v>74764</v>
      </c>
      <c r="M943" s="14">
        <v>938</v>
      </c>
      <c r="N943" s="14">
        <f t="shared" si="115"/>
        <v>0</v>
      </c>
      <c r="O943" s="19">
        <f t="shared" si="116"/>
        <v>0</v>
      </c>
      <c r="P943" s="19">
        <f t="shared" si="122"/>
        <v>0</v>
      </c>
      <c r="Q943" s="14">
        <f t="shared" si="117"/>
        <v>0</v>
      </c>
      <c r="R943" s="19">
        <f t="shared" si="118"/>
        <v>0</v>
      </c>
      <c r="S943" s="19">
        <f t="shared" si="119"/>
        <v>0</v>
      </c>
      <c r="T943" s="14">
        <f t="shared" si="120"/>
        <v>0</v>
      </c>
      <c r="U943" s="18" t="str" cm="1">
        <f t="array" aca="1" ref="U943" ca="1">IF(M943&lt;=$N$1,L943,IF(M943&lt;=($N$1+1),INDIRECT("L"&amp;5+$X$2),""))</f>
        <v/>
      </c>
    </row>
    <row r="944" spans="12:21" hidden="1" x14ac:dyDescent="0.25">
      <c r="L944" s="18">
        <f t="shared" ca="1" si="121"/>
        <v>74794</v>
      </c>
      <c r="M944" s="14">
        <v>939</v>
      </c>
      <c r="N944" s="14">
        <f t="shared" si="115"/>
        <v>0</v>
      </c>
      <c r="O944" s="19">
        <f t="shared" si="116"/>
        <v>0</v>
      </c>
      <c r="P944" s="19">
        <f t="shared" si="122"/>
        <v>0</v>
      </c>
      <c r="Q944" s="14">
        <f t="shared" si="117"/>
        <v>0</v>
      </c>
      <c r="R944" s="19">
        <f t="shared" si="118"/>
        <v>0</v>
      </c>
      <c r="S944" s="19">
        <f t="shared" si="119"/>
        <v>0</v>
      </c>
      <c r="T944" s="14">
        <f t="shared" si="120"/>
        <v>0</v>
      </c>
      <c r="U944" s="18" t="str" cm="1">
        <f t="array" aca="1" ref="U944" ca="1">IF(M944&lt;=$N$1,L944,IF(M944&lt;=($N$1+1),INDIRECT("L"&amp;5+$X$2),""))</f>
        <v/>
      </c>
    </row>
    <row r="945" spans="12:21" hidden="1" x14ac:dyDescent="0.25">
      <c r="L945" s="18">
        <f t="shared" ca="1" si="121"/>
        <v>74825</v>
      </c>
      <c r="M945" s="14">
        <v>940</v>
      </c>
      <c r="N945" s="14">
        <f t="shared" si="115"/>
        <v>0</v>
      </c>
      <c r="O945" s="19">
        <f t="shared" si="116"/>
        <v>0</v>
      </c>
      <c r="P945" s="19">
        <f t="shared" si="122"/>
        <v>0</v>
      </c>
      <c r="Q945" s="14">
        <f t="shared" si="117"/>
        <v>0</v>
      </c>
      <c r="R945" s="19">
        <f t="shared" si="118"/>
        <v>0</v>
      </c>
      <c r="S945" s="19">
        <f t="shared" si="119"/>
        <v>0</v>
      </c>
      <c r="T945" s="14">
        <f t="shared" si="120"/>
        <v>0</v>
      </c>
      <c r="U945" s="18" t="str" cm="1">
        <f t="array" aca="1" ref="U945" ca="1">IF(M945&lt;=$N$1,L945,IF(M945&lt;=($N$1+1),INDIRECT("L"&amp;5+$X$2),""))</f>
        <v/>
      </c>
    </row>
    <row r="946" spans="12:21" hidden="1" x14ac:dyDescent="0.25">
      <c r="L946" s="18">
        <f t="shared" ca="1" si="121"/>
        <v>74855</v>
      </c>
      <c r="M946" s="14">
        <v>941</v>
      </c>
      <c r="N946" s="14">
        <f t="shared" si="115"/>
        <v>0</v>
      </c>
      <c r="O946" s="19">
        <f t="shared" si="116"/>
        <v>0</v>
      </c>
      <c r="P946" s="19">
        <f t="shared" si="122"/>
        <v>0</v>
      </c>
      <c r="Q946" s="14">
        <f t="shared" si="117"/>
        <v>0</v>
      </c>
      <c r="R946" s="19">
        <f t="shared" si="118"/>
        <v>0</v>
      </c>
      <c r="S946" s="19">
        <f t="shared" si="119"/>
        <v>0</v>
      </c>
      <c r="T946" s="14">
        <f t="shared" si="120"/>
        <v>0</v>
      </c>
      <c r="U946" s="18" t="str" cm="1">
        <f t="array" aca="1" ref="U946" ca="1">IF(M946&lt;=$N$1,L946,IF(M946&lt;=($N$1+1),INDIRECT("L"&amp;5+$X$2),""))</f>
        <v/>
      </c>
    </row>
    <row r="947" spans="12:21" hidden="1" x14ac:dyDescent="0.25">
      <c r="L947" s="18">
        <f t="shared" ca="1" si="121"/>
        <v>74886</v>
      </c>
      <c r="M947" s="14">
        <v>942</v>
      </c>
      <c r="N947" s="14">
        <f t="shared" si="115"/>
        <v>0</v>
      </c>
      <c r="O947" s="19">
        <f t="shared" si="116"/>
        <v>0</v>
      </c>
      <c r="P947" s="19">
        <f t="shared" si="122"/>
        <v>0</v>
      </c>
      <c r="Q947" s="14">
        <f t="shared" si="117"/>
        <v>0</v>
      </c>
      <c r="R947" s="19">
        <f t="shared" si="118"/>
        <v>0</v>
      </c>
      <c r="S947" s="19">
        <f t="shared" si="119"/>
        <v>0</v>
      </c>
      <c r="T947" s="14">
        <f t="shared" si="120"/>
        <v>0</v>
      </c>
      <c r="U947" s="18" t="str" cm="1">
        <f t="array" aca="1" ref="U947" ca="1">IF(M947&lt;=$N$1,L947,IF(M947&lt;=($N$1+1),INDIRECT("L"&amp;5+$X$2),""))</f>
        <v/>
      </c>
    </row>
    <row r="948" spans="12:21" hidden="1" x14ac:dyDescent="0.25">
      <c r="L948" s="18">
        <f t="shared" ca="1" si="121"/>
        <v>74917</v>
      </c>
      <c r="M948" s="14">
        <v>943</v>
      </c>
      <c r="N948" s="14">
        <f t="shared" si="115"/>
        <v>0</v>
      </c>
      <c r="O948" s="19">
        <f t="shared" si="116"/>
        <v>0</v>
      </c>
      <c r="P948" s="19">
        <f t="shared" si="122"/>
        <v>0</v>
      </c>
      <c r="Q948" s="14">
        <f t="shared" si="117"/>
        <v>0</v>
      </c>
      <c r="R948" s="19">
        <f t="shared" si="118"/>
        <v>0</v>
      </c>
      <c r="S948" s="19">
        <f t="shared" si="119"/>
        <v>0</v>
      </c>
      <c r="T948" s="14">
        <f t="shared" si="120"/>
        <v>0</v>
      </c>
      <c r="U948" s="18" t="str" cm="1">
        <f t="array" aca="1" ref="U948" ca="1">IF(M948&lt;=$N$1,L948,IF(M948&lt;=($N$1+1),INDIRECT("L"&amp;5+$X$2),""))</f>
        <v/>
      </c>
    </row>
    <row r="949" spans="12:21" hidden="1" x14ac:dyDescent="0.25">
      <c r="L949" s="18">
        <f t="shared" ca="1" si="121"/>
        <v>74945</v>
      </c>
      <c r="M949" s="14">
        <v>944</v>
      </c>
      <c r="N949" s="14">
        <f t="shared" si="115"/>
        <v>0</v>
      </c>
      <c r="O949" s="19">
        <f t="shared" si="116"/>
        <v>0</v>
      </c>
      <c r="P949" s="19">
        <f t="shared" si="122"/>
        <v>0</v>
      </c>
      <c r="Q949" s="14">
        <f t="shared" si="117"/>
        <v>0</v>
      </c>
      <c r="R949" s="19">
        <f t="shared" si="118"/>
        <v>0</v>
      </c>
      <c r="S949" s="19">
        <f t="shared" si="119"/>
        <v>0</v>
      </c>
      <c r="T949" s="14">
        <f t="shared" si="120"/>
        <v>0</v>
      </c>
      <c r="U949" s="18" t="str" cm="1">
        <f t="array" aca="1" ref="U949" ca="1">IF(M949&lt;=$N$1,L949,IF(M949&lt;=($N$1+1),INDIRECT("L"&amp;5+$X$2),""))</f>
        <v/>
      </c>
    </row>
    <row r="950" spans="12:21" hidden="1" x14ac:dyDescent="0.25">
      <c r="L950" s="18">
        <f t="shared" ca="1" si="121"/>
        <v>74976</v>
      </c>
      <c r="M950" s="14">
        <v>945</v>
      </c>
      <c r="N950" s="14">
        <f t="shared" si="115"/>
        <v>0</v>
      </c>
      <c r="O950" s="19">
        <f t="shared" si="116"/>
        <v>0</v>
      </c>
      <c r="P950" s="19">
        <f t="shared" si="122"/>
        <v>0</v>
      </c>
      <c r="Q950" s="14">
        <f t="shared" si="117"/>
        <v>0</v>
      </c>
      <c r="R950" s="19">
        <f t="shared" si="118"/>
        <v>0</v>
      </c>
      <c r="S950" s="19">
        <f t="shared" si="119"/>
        <v>0</v>
      </c>
      <c r="T950" s="14">
        <f t="shared" si="120"/>
        <v>0</v>
      </c>
      <c r="U950" s="18" t="str" cm="1">
        <f t="array" aca="1" ref="U950" ca="1">IF(M950&lt;=$N$1,L950,IF(M950&lt;=($N$1+1),INDIRECT("L"&amp;5+$X$2),""))</f>
        <v/>
      </c>
    </row>
    <row r="951" spans="12:21" hidden="1" x14ac:dyDescent="0.25">
      <c r="L951" s="18">
        <f t="shared" ca="1" si="121"/>
        <v>75006</v>
      </c>
      <c r="M951" s="14">
        <v>946</v>
      </c>
      <c r="N951" s="14">
        <f t="shared" si="115"/>
        <v>0</v>
      </c>
      <c r="O951" s="19">
        <f t="shared" si="116"/>
        <v>0</v>
      </c>
      <c r="P951" s="19">
        <f t="shared" si="122"/>
        <v>0</v>
      </c>
      <c r="Q951" s="14">
        <f t="shared" si="117"/>
        <v>0</v>
      </c>
      <c r="R951" s="19">
        <f t="shared" si="118"/>
        <v>0</v>
      </c>
      <c r="S951" s="19">
        <f t="shared" si="119"/>
        <v>0</v>
      </c>
      <c r="T951" s="14">
        <f t="shared" si="120"/>
        <v>0</v>
      </c>
      <c r="U951" s="18" t="str" cm="1">
        <f t="array" aca="1" ref="U951" ca="1">IF(M951&lt;=$N$1,L951,IF(M951&lt;=($N$1+1),INDIRECT("L"&amp;5+$X$2),""))</f>
        <v/>
      </c>
    </row>
    <row r="952" spans="12:21" hidden="1" x14ac:dyDescent="0.25">
      <c r="L952" s="18">
        <f t="shared" ca="1" si="121"/>
        <v>75037</v>
      </c>
      <c r="M952" s="14">
        <v>947</v>
      </c>
      <c r="N952" s="14">
        <f t="shared" si="115"/>
        <v>0</v>
      </c>
      <c r="O952" s="19">
        <f t="shared" si="116"/>
        <v>0</v>
      </c>
      <c r="P952" s="19">
        <f t="shared" si="122"/>
        <v>0</v>
      </c>
      <c r="Q952" s="14">
        <f t="shared" si="117"/>
        <v>0</v>
      </c>
      <c r="R952" s="19">
        <f t="shared" si="118"/>
        <v>0</v>
      </c>
      <c r="S952" s="19">
        <f t="shared" si="119"/>
        <v>0</v>
      </c>
      <c r="T952" s="14">
        <f t="shared" si="120"/>
        <v>0</v>
      </c>
      <c r="U952" s="18" t="str" cm="1">
        <f t="array" aca="1" ref="U952" ca="1">IF(M952&lt;=$N$1,L952,IF(M952&lt;=($N$1+1),INDIRECT("L"&amp;5+$X$2),""))</f>
        <v/>
      </c>
    </row>
    <row r="953" spans="12:21" hidden="1" x14ac:dyDescent="0.25">
      <c r="L953" s="18">
        <f t="shared" ca="1" si="121"/>
        <v>75067</v>
      </c>
      <c r="M953" s="14">
        <v>948</v>
      </c>
      <c r="N953" s="14">
        <f t="shared" si="115"/>
        <v>0</v>
      </c>
      <c r="O953" s="19">
        <f t="shared" si="116"/>
        <v>0</v>
      </c>
      <c r="P953" s="19">
        <f t="shared" si="122"/>
        <v>0</v>
      </c>
      <c r="Q953" s="14">
        <f t="shared" si="117"/>
        <v>0</v>
      </c>
      <c r="R953" s="19">
        <f t="shared" si="118"/>
        <v>0</v>
      </c>
      <c r="S953" s="19">
        <f t="shared" si="119"/>
        <v>0</v>
      </c>
      <c r="T953" s="14">
        <f t="shared" si="120"/>
        <v>0</v>
      </c>
      <c r="U953" s="18" t="str" cm="1">
        <f t="array" aca="1" ref="U953" ca="1">IF(M953&lt;=$N$1,L953,IF(M953&lt;=($N$1+1),INDIRECT("L"&amp;5+$X$2),""))</f>
        <v/>
      </c>
    </row>
    <row r="954" spans="12:21" hidden="1" x14ac:dyDescent="0.25">
      <c r="L954" s="18">
        <f t="shared" ca="1" si="121"/>
        <v>75098</v>
      </c>
      <c r="M954" s="14">
        <v>949</v>
      </c>
      <c r="N954" s="14">
        <f t="shared" si="115"/>
        <v>0</v>
      </c>
      <c r="O954" s="19">
        <f t="shared" si="116"/>
        <v>0</v>
      </c>
      <c r="P954" s="19">
        <f t="shared" si="122"/>
        <v>0</v>
      </c>
      <c r="Q954" s="14">
        <f t="shared" si="117"/>
        <v>0</v>
      </c>
      <c r="R954" s="19">
        <f t="shared" si="118"/>
        <v>0</v>
      </c>
      <c r="S954" s="19">
        <f t="shared" si="119"/>
        <v>0</v>
      </c>
      <c r="T954" s="14">
        <f t="shared" si="120"/>
        <v>0</v>
      </c>
      <c r="U954" s="18" t="str" cm="1">
        <f t="array" aca="1" ref="U954" ca="1">IF(M954&lt;=$N$1,L954,IF(M954&lt;=($N$1+1),INDIRECT("L"&amp;5+$X$2),""))</f>
        <v/>
      </c>
    </row>
    <row r="955" spans="12:21" hidden="1" x14ac:dyDescent="0.25">
      <c r="L955" s="18">
        <f t="shared" ca="1" si="121"/>
        <v>75129</v>
      </c>
      <c r="M955" s="14">
        <v>950</v>
      </c>
      <c r="N955" s="14">
        <f t="shared" si="115"/>
        <v>0</v>
      </c>
      <c r="O955" s="19">
        <f t="shared" si="116"/>
        <v>0</v>
      </c>
      <c r="P955" s="19">
        <f t="shared" si="122"/>
        <v>0</v>
      </c>
      <c r="Q955" s="14">
        <f t="shared" si="117"/>
        <v>0</v>
      </c>
      <c r="R955" s="19">
        <f t="shared" si="118"/>
        <v>0</v>
      </c>
      <c r="S955" s="19">
        <f t="shared" si="119"/>
        <v>0</v>
      </c>
      <c r="T955" s="14">
        <f t="shared" si="120"/>
        <v>0</v>
      </c>
      <c r="U955" s="18" t="str" cm="1">
        <f t="array" aca="1" ref="U955" ca="1">IF(M955&lt;=$N$1,L955,IF(M955&lt;=($N$1+1),INDIRECT("L"&amp;5+$X$2),""))</f>
        <v/>
      </c>
    </row>
    <row r="956" spans="12:21" hidden="1" x14ac:dyDescent="0.25">
      <c r="L956" s="18">
        <f t="shared" ca="1" si="121"/>
        <v>75159</v>
      </c>
      <c r="M956" s="14">
        <v>951</v>
      </c>
      <c r="N956" s="14">
        <f t="shared" si="115"/>
        <v>0</v>
      </c>
      <c r="O956" s="19">
        <f t="shared" si="116"/>
        <v>0</v>
      </c>
      <c r="P956" s="19">
        <f t="shared" si="122"/>
        <v>0</v>
      </c>
      <c r="Q956" s="14">
        <f t="shared" si="117"/>
        <v>0</v>
      </c>
      <c r="R956" s="19">
        <f t="shared" si="118"/>
        <v>0</v>
      </c>
      <c r="S956" s="19">
        <f t="shared" si="119"/>
        <v>0</v>
      </c>
      <c r="T956" s="14">
        <f t="shared" si="120"/>
        <v>0</v>
      </c>
      <c r="U956" s="18" t="str" cm="1">
        <f t="array" aca="1" ref="U956" ca="1">IF(M956&lt;=$N$1,L956,IF(M956&lt;=($N$1+1),INDIRECT("L"&amp;5+$X$2),""))</f>
        <v/>
      </c>
    </row>
    <row r="957" spans="12:21" hidden="1" x14ac:dyDescent="0.25">
      <c r="L957" s="18">
        <f t="shared" ca="1" si="121"/>
        <v>75190</v>
      </c>
      <c r="M957" s="14">
        <v>952</v>
      </c>
      <c r="N957" s="14">
        <f t="shared" si="115"/>
        <v>0</v>
      </c>
      <c r="O957" s="19">
        <f t="shared" si="116"/>
        <v>0</v>
      </c>
      <c r="P957" s="19">
        <f t="shared" si="122"/>
        <v>0</v>
      </c>
      <c r="Q957" s="14">
        <f t="shared" si="117"/>
        <v>0</v>
      </c>
      <c r="R957" s="19">
        <f t="shared" si="118"/>
        <v>0</v>
      </c>
      <c r="S957" s="19">
        <f t="shared" si="119"/>
        <v>0</v>
      </c>
      <c r="T957" s="14">
        <f t="shared" si="120"/>
        <v>0</v>
      </c>
      <c r="U957" s="18" t="str" cm="1">
        <f t="array" aca="1" ref="U957" ca="1">IF(M957&lt;=$N$1,L957,IF(M957&lt;=($N$1+1),INDIRECT("L"&amp;5+$X$2),""))</f>
        <v/>
      </c>
    </row>
    <row r="958" spans="12:21" hidden="1" x14ac:dyDescent="0.25">
      <c r="L958" s="18">
        <f t="shared" ca="1" si="121"/>
        <v>75220</v>
      </c>
      <c r="M958" s="14">
        <v>953</v>
      </c>
      <c r="N958" s="14">
        <f t="shared" si="115"/>
        <v>0</v>
      </c>
      <c r="O958" s="19">
        <f t="shared" si="116"/>
        <v>0</v>
      </c>
      <c r="P958" s="19">
        <f t="shared" si="122"/>
        <v>0</v>
      </c>
      <c r="Q958" s="14">
        <f t="shared" si="117"/>
        <v>0</v>
      </c>
      <c r="R958" s="19">
        <f t="shared" si="118"/>
        <v>0</v>
      </c>
      <c r="S958" s="19">
        <f t="shared" si="119"/>
        <v>0</v>
      </c>
      <c r="T958" s="14">
        <f t="shared" si="120"/>
        <v>0</v>
      </c>
      <c r="U958" s="18" t="str" cm="1">
        <f t="array" aca="1" ref="U958" ca="1">IF(M958&lt;=$N$1,L958,IF(M958&lt;=($N$1+1),INDIRECT("L"&amp;5+$X$2),""))</f>
        <v/>
      </c>
    </row>
    <row r="959" spans="12:21" hidden="1" x14ac:dyDescent="0.25">
      <c r="L959" s="18">
        <f t="shared" ca="1" si="121"/>
        <v>75251</v>
      </c>
      <c r="M959" s="14">
        <v>954</v>
      </c>
      <c r="N959" s="14">
        <f t="shared" si="115"/>
        <v>0</v>
      </c>
      <c r="O959" s="19">
        <f t="shared" si="116"/>
        <v>0</v>
      </c>
      <c r="P959" s="19">
        <f t="shared" si="122"/>
        <v>0</v>
      </c>
      <c r="Q959" s="14">
        <f t="shared" si="117"/>
        <v>0</v>
      </c>
      <c r="R959" s="19">
        <f t="shared" si="118"/>
        <v>0</v>
      </c>
      <c r="S959" s="19">
        <f t="shared" si="119"/>
        <v>0</v>
      </c>
      <c r="T959" s="14">
        <f t="shared" si="120"/>
        <v>0</v>
      </c>
      <c r="U959" s="18" t="str" cm="1">
        <f t="array" aca="1" ref="U959" ca="1">IF(M959&lt;=$N$1,L959,IF(M959&lt;=($N$1+1),INDIRECT("L"&amp;5+$X$2),""))</f>
        <v/>
      </c>
    </row>
    <row r="960" spans="12:21" hidden="1" x14ac:dyDescent="0.25">
      <c r="L960" s="18">
        <f t="shared" ca="1" si="121"/>
        <v>75282</v>
      </c>
      <c r="M960" s="14">
        <v>955</v>
      </c>
      <c r="N960" s="14">
        <f t="shared" si="115"/>
        <v>0</v>
      </c>
      <c r="O960" s="19">
        <f t="shared" si="116"/>
        <v>0</v>
      </c>
      <c r="P960" s="19">
        <f t="shared" si="122"/>
        <v>0</v>
      </c>
      <c r="Q960" s="14">
        <f t="shared" si="117"/>
        <v>0</v>
      </c>
      <c r="R960" s="19">
        <f t="shared" si="118"/>
        <v>0</v>
      </c>
      <c r="S960" s="19">
        <f t="shared" si="119"/>
        <v>0</v>
      </c>
      <c r="T960" s="14">
        <f t="shared" si="120"/>
        <v>0</v>
      </c>
      <c r="U960" s="18" t="str" cm="1">
        <f t="array" aca="1" ref="U960" ca="1">IF(M960&lt;=$N$1,L960,IF(M960&lt;=($N$1+1),INDIRECT("L"&amp;5+$X$2),""))</f>
        <v/>
      </c>
    </row>
    <row r="961" spans="12:21" hidden="1" x14ac:dyDescent="0.25">
      <c r="L961" s="18">
        <f t="shared" ca="1" si="121"/>
        <v>75310</v>
      </c>
      <c r="M961" s="14">
        <v>956</v>
      </c>
      <c r="N961" s="14">
        <f t="shared" si="115"/>
        <v>0</v>
      </c>
      <c r="O961" s="19">
        <f t="shared" si="116"/>
        <v>0</v>
      </c>
      <c r="P961" s="19">
        <f t="shared" si="122"/>
        <v>0</v>
      </c>
      <c r="Q961" s="14">
        <f t="shared" si="117"/>
        <v>0</v>
      </c>
      <c r="R961" s="19">
        <f t="shared" si="118"/>
        <v>0</v>
      </c>
      <c r="S961" s="19">
        <f t="shared" si="119"/>
        <v>0</v>
      </c>
      <c r="T961" s="14">
        <f t="shared" si="120"/>
        <v>0</v>
      </c>
      <c r="U961" s="18" t="str" cm="1">
        <f t="array" aca="1" ref="U961" ca="1">IF(M961&lt;=$N$1,L961,IF(M961&lt;=($N$1+1),INDIRECT("L"&amp;5+$X$2),""))</f>
        <v/>
      </c>
    </row>
    <row r="962" spans="12:21" hidden="1" x14ac:dyDescent="0.25">
      <c r="L962" s="18">
        <f t="shared" ca="1" si="121"/>
        <v>75341</v>
      </c>
      <c r="M962" s="14">
        <v>957</v>
      </c>
      <c r="N962" s="14">
        <f t="shared" si="115"/>
        <v>0</v>
      </c>
      <c r="O962" s="19">
        <f t="shared" si="116"/>
        <v>0</v>
      </c>
      <c r="P962" s="19">
        <f t="shared" si="122"/>
        <v>0</v>
      </c>
      <c r="Q962" s="14">
        <f t="shared" si="117"/>
        <v>0</v>
      </c>
      <c r="R962" s="19">
        <f t="shared" si="118"/>
        <v>0</v>
      </c>
      <c r="S962" s="19">
        <f t="shared" si="119"/>
        <v>0</v>
      </c>
      <c r="T962" s="14">
        <f t="shared" si="120"/>
        <v>0</v>
      </c>
      <c r="U962" s="18" t="str" cm="1">
        <f t="array" aca="1" ref="U962" ca="1">IF(M962&lt;=$N$1,L962,IF(M962&lt;=($N$1+1),INDIRECT("L"&amp;5+$X$2),""))</f>
        <v/>
      </c>
    </row>
    <row r="963" spans="12:21" hidden="1" x14ac:dyDescent="0.25">
      <c r="L963" s="18">
        <f t="shared" ca="1" si="121"/>
        <v>75371</v>
      </c>
      <c r="M963" s="14">
        <v>958</v>
      </c>
      <c r="N963" s="14">
        <f t="shared" si="115"/>
        <v>0</v>
      </c>
      <c r="O963" s="19">
        <f t="shared" si="116"/>
        <v>0</v>
      </c>
      <c r="P963" s="19">
        <f t="shared" si="122"/>
        <v>0</v>
      </c>
      <c r="Q963" s="14">
        <f t="shared" si="117"/>
        <v>0</v>
      </c>
      <c r="R963" s="19">
        <f t="shared" si="118"/>
        <v>0</v>
      </c>
      <c r="S963" s="19">
        <f t="shared" si="119"/>
        <v>0</v>
      </c>
      <c r="T963" s="14">
        <f t="shared" si="120"/>
        <v>0</v>
      </c>
      <c r="U963" s="18" t="str" cm="1">
        <f t="array" aca="1" ref="U963" ca="1">IF(M963&lt;=$N$1,L963,IF(M963&lt;=($N$1+1),INDIRECT("L"&amp;5+$X$2),""))</f>
        <v/>
      </c>
    </row>
    <row r="964" spans="12:21" hidden="1" x14ac:dyDescent="0.25">
      <c r="L964" s="18">
        <f t="shared" ca="1" si="121"/>
        <v>75402</v>
      </c>
      <c r="M964" s="14">
        <v>959</v>
      </c>
      <c r="N964" s="14">
        <f t="shared" si="115"/>
        <v>0</v>
      </c>
      <c r="O964" s="19">
        <f t="shared" si="116"/>
        <v>0</v>
      </c>
      <c r="P964" s="19">
        <f t="shared" si="122"/>
        <v>0</v>
      </c>
      <c r="Q964" s="14">
        <f t="shared" si="117"/>
        <v>0</v>
      </c>
      <c r="R964" s="19">
        <f t="shared" si="118"/>
        <v>0</v>
      </c>
      <c r="S964" s="19">
        <f t="shared" si="119"/>
        <v>0</v>
      </c>
      <c r="T964" s="14">
        <f t="shared" si="120"/>
        <v>0</v>
      </c>
      <c r="U964" s="18" t="str" cm="1">
        <f t="array" aca="1" ref="U964" ca="1">IF(M964&lt;=$N$1,L964,IF(M964&lt;=($N$1+1),INDIRECT("L"&amp;5+$X$2),""))</f>
        <v/>
      </c>
    </row>
    <row r="965" spans="12:21" hidden="1" x14ac:dyDescent="0.25">
      <c r="L965" s="18">
        <f t="shared" ca="1" si="121"/>
        <v>75432</v>
      </c>
      <c r="M965" s="14">
        <v>960</v>
      </c>
      <c r="N965" s="14">
        <f t="shared" si="115"/>
        <v>0</v>
      </c>
      <c r="O965" s="19">
        <f t="shared" si="116"/>
        <v>0</v>
      </c>
      <c r="P965" s="19">
        <f t="shared" si="122"/>
        <v>0</v>
      </c>
      <c r="Q965" s="14">
        <f t="shared" si="117"/>
        <v>0</v>
      </c>
      <c r="R965" s="19">
        <f t="shared" si="118"/>
        <v>0</v>
      </c>
      <c r="S965" s="19">
        <f t="shared" si="119"/>
        <v>0</v>
      </c>
      <c r="T965" s="14">
        <f t="shared" si="120"/>
        <v>0</v>
      </c>
      <c r="U965" s="18" t="str" cm="1">
        <f t="array" aca="1" ref="U965" ca="1">IF(M965&lt;=$N$1,L965,IF(M965&lt;=($N$1+1),INDIRECT("L"&amp;5+$X$2),""))</f>
        <v/>
      </c>
    </row>
    <row r="966" spans="12:21" hidden="1" x14ac:dyDescent="0.25">
      <c r="L966" s="18">
        <f t="shared" ca="1" si="121"/>
        <v>75463</v>
      </c>
      <c r="M966" s="14">
        <v>961</v>
      </c>
      <c r="N966" s="14">
        <f t="shared" ref="N966:N1029" si="123">IF($N$1&gt;=M966,SIPMonthlyPmt*M966,0)</f>
        <v>0</v>
      </c>
      <c r="O966" s="19">
        <f t="shared" ref="O966:O1029" si="124">IF($X$2&gt;=M966,IF(M966&lt;=$N$1,FV(SRate,M966,-SIPMonthlyPmt,0,1),FV(SRate,M966-$N$1,0,-$X$1,1)),0)</f>
        <v>0</v>
      </c>
      <c r="P966" s="19">
        <f t="shared" si="122"/>
        <v>0</v>
      </c>
      <c r="Q966" s="14">
        <f t="shared" ref="Q966:Q1029" si="125">IF((M966-$C$15)&gt;0, IF($N$1+$C$15&gt;=M966,SIPMonthlyPmt*(M966-$C$15),0),0)</f>
        <v>0</v>
      </c>
      <c r="R966" s="19">
        <f t="shared" ref="R966:R1029" si="126">IF(M966&lt;=$C$15,0,IF($X$2&gt;=M966,IF(M966&lt;=($N$1+$C$15),FV(SRate,M966-$C$15,-SIPMonthlyPmt,0,1),FV(SRate,M966-$N$1-$C$15,0,-$X$1,1)),0))</f>
        <v>0</v>
      </c>
      <c r="S966" s="19">
        <f t="shared" ref="S966:S1029" si="127">R966/((1+SIPInflationRate)^((M966-$C$15)/12))</f>
        <v>0</v>
      </c>
      <c r="T966" s="14">
        <f t="shared" ref="T966:T1029" si="128">IF(M966&lt;=$N$1,-SIPMonthlyPmt,IF(M966&lt;=($N$1+1),$X$4,0))</f>
        <v>0</v>
      </c>
      <c r="U966" s="18" t="str" cm="1">
        <f t="array" aca="1" ref="U966" ca="1">IF(M966&lt;=$N$1,L966,IF(M966&lt;=($N$1+1),INDIRECT("L"&amp;5+$X$2),""))</f>
        <v/>
      </c>
    </row>
    <row r="967" spans="12:21" hidden="1" x14ac:dyDescent="0.25">
      <c r="L967" s="18">
        <f t="shared" ca="1" si="121"/>
        <v>75494</v>
      </c>
      <c r="M967" s="14">
        <v>962</v>
      </c>
      <c r="N967" s="14">
        <f t="shared" si="123"/>
        <v>0</v>
      </c>
      <c r="O967" s="19">
        <f t="shared" si="124"/>
        <v>0</v>
      </c>
      <c r="P967" s="19">
        <f t="shared" si="122"/>
        <v>0</v>
      </c>
      <c r="Q967" s="14">
        <f t="shared" si="125"/>
        <v>0</v>
      </c>
      <c r="R967" s="19">
        <f t="shared" si="126"/>
        <v>0</v>
      </c>
      <c r="S967" s="19">
        <f t="shared" si="127"/>
        <v>0</v>
      </c>
      <c r="T967" s="14">
        <f t="shared" si="128"/>
        <v>0</v>
      </c>
      <c r="U967" s="18" t="str" cm="1">
        <f t="array" aca="1" ref="U967" ca="1">IF(M967&lt;=$N$1,L967,IF(M967&lt;=($N$1+1),INDIRECT("L"&amp;5+$X$2),""))</f>
        <v/>
      </c>
    </row>
    <row r="968" spans="12:21" hidden="1" x14ac:dyDescent="0.25">
      <c r="L968" s="18">
        <f t="shared" ca="1" si="121"/>
        <v>75524</v>
      </c>
      <c r="M968" s="14">
        <v>963</v>
      </c>
      <c r="N968" s="14">
        <f t="shared" si="123"/>
        <v>0</v>
      </c>
      <c r="O968" s="19">
        <f t="shared" si="124"/>
        <v>0</v>
      </c>
      <c r="P968" s="19">
        <f t="shared" si="122"/>
        <v>0</v>
      </c>
      <c r="Q968" s="14">
        <f t="shared" si="125"/>
        <v>0</v>
      </c>
      <c r="R968" s="19">
        <f t="shared" si="126"/>
        <v>0</v>
      </c>
      <c r="S968" s="19">
        <f t="shared" si="127"/>
        <v>0</v>
      </c>
      <c r="T968" s="14">
        <f t="shared" si="128"/>
        <v>0</v>
      </c>
      <c r="U968" s="18" t="str" cm="1">
        <f t="array" aca="1" ref="U968" ca="1">IF(M968&lt;=$N$1,L968,IF(M968&lt;=($N$1+1),INDIRECT("L"&amp;5+$X$2),""))</f>
        <v/>
      </c>
    </row>
    <row r="969" spans="12:21" hidden="1" x14ac:dyDescent="0.25">
      <c r="L969" s="18">
        <f t="shared" ref="L969:L1032" ca="1" si="129">EDATE(L968,1)</f>
        <v>75555</v>
      </c>
      <c r="M969" s="14">
        <v>964</v>
      </c>
      <c r="N969" s="14">
        <f t="shared" si="123"/>
        <v>0</v>
      </c>
      <c r="O969" s="19">
        <f t="shared" si="124"/>
        <v>0</v>
      </c>
      <c r="P969" s="19">
        <f t="shared" si="122"/>
        <v>0</v>
      </c>
      <c r="Q969" s="14">
        <f t="shared" si="125"/>
        <v>0</v>
      </c>
      <c r="R969" s="19">
        <f t="shared" si="126"/>
        <v>0</v>
      </c>
      <c r="S969" s="19">
        <f t="shared" si="127"/>
        <v>0</v>
      </c>
      <c r="T969" s="14">
        <f t="shared" si="128"/>
        <v>0</v>
      </c>
      <c r="U969" s="18" t="str" cm="1">
        <f t="array" aca="1" ref="U969" ca="1">IF(M969&lt;=$N$1,L969,IF(M969&lt;=($N$1+1),INDIRECT("L"&amp;5+$X$2),""))</f>
        <v/>
      </c>
    </row>
    <row r="970" spans="12:21" hidden="1" x14ac:dyDescent="0.25">
      <c r="L970" s="18">
        <f t="shared" ca="1" si="129"/>
        <v>75585</v>
      </c>
      <c r="M970" s="14">
        <v>965</v>
      </c>
      <c r="N970" s="14">
        <f t="shared" si="123"/>
        <v>0</v>
      </c>
      <c r="O970" s="19">
        <f t="shared" si="124"/>
        <v>0</v>
      </c>
      <c r="P970" s="19">
        <f t="shared" si="122"/>
        <v>0</v>
      </c>
      <c r="Q970" s="14">
        <f t="shared" si="125"/>
        <v>0</v>
      </c>
      <c r="R970" s="19">
        <f t="shared" si="126"/>
        <v>0</v>
      </c>
      <c r="S970" s="19">
        <f t="shared" si="127"/>
        <v>0</v>
      </c>
      <c r="T970" s="14">
        <f t="shared" si="128"/>
        <v>0</v>
      </c>
      <c r="U970" s="18" t="str" cm="1">
        <f t="array" aca="1" ref="U970" ca="1">IF(M970&lt;=$N$1,L970,IF(M970&lt;=($N$1+1),INDIRECT("L"&amp;5+$X$2),""))</f>
        <v/>
      </c>
    </row>
    <row r="971" spans="12:21" hidden="1" x14ac:dyDescent="0.25">
      <c r="L971" s="18">
        <f t="shared" ca="1" si="129"/>
        <v>75616</v>
      </c>
      <c r="M971" s="14">
        <v>966</v>
      </c>
      <c r="N971" s="14">
        <f t="shared" si="123"/>
        <v>0</v>
      </c>
      <c r="O971" s="19">
        <f t="shared" si="124"/>
        <v>0</v>
      </c>
      <c r="P971" s="19">
        <f t="shared" si="122"/>
        <v>0</v>
      </c>
      <c r="Q971" s="14">
        <f t="shared" si="125"/>
        <v>0</v>
      </c>
      <c r="R971" s="19">
        <f t="shared" si="126"/>
        <v>0</v>
      </c>
      <c r="S971" s="19">
        <f t="shared" si="127"/>
        <v>0</v>
      </c>
      <c r="T971" s="14">
        <f t="shared" si="128"/>
        <v>0</v>
      </c>
      <c r="U971" s="18" t="str" cm="1">
        <f t="array" aca="1" ref="U971" ca="1">IF(M971&lt;=$N$1,L971,IF(M971&lt;=($N$1+1),INDIRECT("L"&amp;5+$X$2),""))</f>
        <v/>
      </c>
    </row>
    <row r="972" spans="12:21" hidden="1" x14ac:dyDescent="0.25">
      <c r="L972" s="18">
        <f t="shared" ca="1" si="129"/>
        <v>75647</v>
      </c>
      <c r="M972" s="14">
        <v>967</v>
      </c>
      <c r="N972" s="14">
        <f t="shared" si="123"/>
        <v>0</v>
      </c>
      <c r="O972" s="19">
        <f t="shared" si="124"/>
        <v>0</v>
      </c>
      <c r="P972" s="19">
        <f t="shared" si="122"/>
        <v>0</v>
      </c>
      <c r="Q972" s="14">
        <f t="shared" si="125"/>
        <v>0</v>
      </c>
      <c r="R972" s="19">
        <f t="shared" si="126"/>
        <v>0</v>
      </c>
      <c r="S972" s="19">
        <f t="shared" si="127"/>
        <v>0</v>
      </c>
      <c r="T972" s="14">
        <f t="shared" si="128"/>
        <v>0</v>
      </c>
      <c r="U972" s="18" t="str" cm="1">
        <f t="array" aca="1" ref="U972" ca="1">IF(M972&lt;=$N$1,L972,IF(M972&lt;=($N$1+1),INDIRECT("L"&amp;5+$X$2),""))</f>
        <v/>
      </c>
    </row>
    <row r="973" spans="12:21" hidden="1" x14ac:dyDescent="0.25">
      <c r="L973" s="18">
        <f t="shared" ca="1" si="129"/>
        <v>75675</v>
      </c>
      <c r="M973" s="14">
        <v>968</v>
      </c>
      <c r="N973" s="14">
        <f t="shared" si="123"/>
        <v>0</v>
      </c>
      <c r="O973" s="19">
        <f t="shared" si="124"/>
        <v>0</v>
      </c>
      <c r="P973" s="19">
        <f t="shared" si="122"/>
        <v>0</v>
      </c>
      <c r="Q973" s="14">
        <f t="shared" si="125"/>
        <v>0</v>
      </c>
      <c r="R973" s="19">
        <f t="shared" si="126"/>
        <v>0</v>
      </c>
      <c r="S973" s="19">
        <f t="shared" si="127"/>
        <v>0</v>
      </c>
      <c r="T973" s="14">
        <f t="shared" si="128"/>
        <v>0</v>
      </c>
      <c r="U973" s="18" t="str" cm="1">
        <f t="array" aca="1" ref="U973" ca="1">IF(M973&lt;=$N$1,L973,IF(M973&lt;=($N$1+1),INDIRECT("L"&amp;5+$X$2),""))</f>
        <v/>
      </c>
    </row>
    <row r="974" spans="12:21" hidden="1" x14ac:dyDescent="0.25">
      <c r="L974" s="18">
        <f t="shared" ca="1" si="129"/>
        <v>75706</v>
      </c>
      <c r="M974" s="14">
        <v>969</v>
      </c>
      <c r="N974" s="14">
        <f t="shared" si="123"/>
        <v>0</v>
      </c>
      <c r="O974" s="19">
        <f t="shared" si="124"/>
        <v>0</v>
      </c>
      <c r="P974" s="19">
        <f t="shared" si="122"/>
        <v>0</v>
      </c>
      <c r="Q974" s="14">
        <f t="shared" si="125"/>
        <v>0</v>
      </c>
      <c r="R974" s="19">
        <f t="shared" si="126"/>
        <v>0</v>
      </c>
      <c r="S974" s="19">
        <f t="shared" si="127"/>
        <v>0</v>
      </c>
      <c r="T974" s="14">
        <f t="shared" si="128"/>
        <v>0</v>
      </c>
      <c r="U974" s="18" t="str" cm="1">
        <f t="array" aca="1" ref="U974" ca="1">IF(M974&lt;=$N$1,L974,IF(M974&lt;=($N$1+1),INDIRECT("L"&amp;5+$X$2),""))</f>
        <v/>
      </c>
    </row>
    <row r="975" spans="12:21" hidden="1" x14ac:dyDescent="0.25">
      <c r="L975" s="18">
        <f t="shared" ca="1" si="129"/>
        <v>75736</v>
      </c>
      <c r="M975" s="14">
        <v>970</v>
      </c>
      <c r="N975" s="14">
        <f t="shared" si="123"/>
        <v>0</v>
      </c>
      <c r="O975" s="19">
        <f t="shared" si="124"/>
        <v>0</v>
      </c>
      <c r="P975" s="19">
        <f t="shared" si="122"/>
        <v>0</v>
      </c>
      <c r="Q975" s="14">
        <f t="shared" si="125"/>
        <v>0</v>
      </c>
      <c r="R975" s="19">
        <f t="shared" si="126"/>
        <v>0</v>
      </c>
      <c r="S975" s="19">
        <f t="shared" si="127"/>
        <v>0</v>
      </c>
      <c r="T975" s="14">
        <f t="shared" si="128"/>
        <v>0</v>
      </c>
      <c r="U975" s="18" t="str" cm="1">
        <f t="array" aca="1" ref="U975" ca="1">IF(M975&lt;=$N$1,L975,IF(M975&lt;=($N$1+1),INDIRECT("L"&amp;5+$X$2),""))</f>
        <v/>
      </c>
    </row>
    <row r="976" spans="12:21" hidden="1" x14ac:dyDescent="0.25">
      <c r="L976" s="18">
        <f t="shared" ca="1" si="129"/>
        <v>75767</v>
      </c>
      <c r="M976" s="14">
        <v>971</v>
      </c>
      <c r="N976" s="14">
        <f t="shared" si="123"/>
        <v>0</v>
      </c>
      <c r="O976" s="19">
        <f t="shared" si="124"/>
        <v>0</v>
      </c>
      <c r="P976" s="19">
        <f t="shared" si="122"/>
        <v>0</v>
      </c>
      <c r="Q976" s="14">
        <f t="shared" si="125"/>
        <v>0</v>
      </c>
      <c r="R976" s="19">
        <f t="shared" si="126"/>
        <v>0</v>
      </c>
      <c r="S976" s="19">
        <f t="shared" si="127"/>
        <v>0</v>
      </c>
      <c r="T976" s="14">
        <f t="shared" si="128"/>
        <v>0</v>
      </c>
      <c r="U976" s="18" t="str" cm="1">
        <f t="array" aca="1" ref="U976" ca="1">IF(M976&lt;=$N$1,L976,IF(M976&lt;=($N$1+1),INDIRECT("L"&amp;5+$X$2),""))</f>
        <v/>
      </c>
    </row>
    <row r="977" spans="12:21" hidden="1" x14ac:dyDescent="0.25">
      <c r="L977" s="18">
        <f t="shared" ca="1" si="129"/>
        <v>75797</v>
      </c>
      <c r="M977" s="14">
        <v>972</v>
      </c>
      <c r="N977" s="14">
        <f t="shared" si="123"/>
        <v>0</v>
      </c>
      <c r="O977" s="19">
        <f t="shared" si="124"/>
        <v>0</v>
      </c>
      <c r="P977" s="19">
        <f t="shared" si="122"/>
        <v>0</v>
      </c>
      <c r="Q977" s="14">
        <f t="shared" si="125"/>
        <v>0</v>
      </c>
      <c r="R977" s="19">
        <f t="shared" si="126"/>
        <v>0</v>
      </c>
      <c r="S977" s="19">
        <f t="shared" si="127"/>
        <v>0</v>
      </c>
      <c r="T977" s="14">
        <f t="shared" si="128"/>
        <v>0</v>
      </c>
      <c r="U977" s="18" t="str" cm="1">
        <f t="array" aca="1" ref="U977" ca="1">IF(M977&lt;=$N$1,L977,IF(M977&lt;=($N$1+1),INDIRECT("L"&amp;5+$X$2),""))</f>
        <v/>
      </c>
    </row>
    <row r="978" spans="12:21" hidden="1" x14ac:dyDescent="0.25">
      <c r="L978" s="18">
        <f t="shared" ca="1" si="129"/>
        <v>75828</v>
      </c>
      <c r="M978" s="14">
        <v>973</v>
      </c>
      <c r="N978" s="14">
        <f t="shared" si="123"/>
        <v>0</v>
      </c>
      <c r="O978" s="19">
        <f t="shared" si="124"/>
        <v>0</v>
      </c>
      <c r="P978" s="19">
        <f t="shared" si="122"/>
        <v>0</v>
      </c>
      <c r="Q978" s="14">
        <f t="shared" si="125"/>
        <v>0</v>
      </c>
      <c r="R978" s="19">
        <f t="shared" si="126"/>
        <v>0</v>
      </c>
      <c r="S978" s="19">
        <f t="shared" si="127"/>
        <v>0</v>
      </c>
      <c r="T978" s="14">
        <f t="shared" si="128"/>
        <v>0</v>
      </c>
      <c r="U978" s="18" t="str" cm="1">
        <f t="array" aca="1" ref="U978" ca="1">IF(M978&lt;=$N$1,L978,IF(M978&lt;=($N$1+1),INDIRECT("L"&amp;5+$X$2),""))</f>
        <v/>
      </c>
    </row>
    <row r="979" spans="12:21" hidden="1" x14ac:dyDescent="0.25">
      <c r="L979" s="18">
        <f t="shared" ca="1" si="129"/>
        <v>75859</v>
      </c>
      <c r="M979" s="14">
        <v>974</v>
      </c>
      <c r="N979" s="14">
        <f t="shared" si="123"/>
        <v>0</v>
      </c>
      <c r="O979" s="19">
        <f t="shared" si="124"/>
        <v>0</v>
      </c>
      <c r="P979" s="19">
        <f t="shared" si="122"/>
        <v>0</v>
      </c>
      <c r="Q979" s="14">
        <f t="shared" si="125"/>
        <v>0</v>
      </c>
      <c r="R979" s="19">
        <f t="shared" si="126"/>
        <v>0</v>
      </c>
      <c r="S979" s="19">
        <f t="shared" si="127"/>
        <v>0</v>
      </c>
      <c r="T979" s="14">
        <f t="shared" si="128"/>
        <v>0</v>
      </c>
      <c r="U979" s="18" t="str" cm="1">
        <f t="array" aca="1" ref="U979" ca="1">IF(M979&lt;=$N$1,L979,IF(M979&lt;=($N$1+1),INDIRECT("L"&amp;5+$X$2),""))</f>
        <v/>
      </c>
    </row>
    <row r="980" spans="12:21" hidden="1" x14ac:dyDescent="0.25">
      <c r="L980" s="18">
        <f t="shared" ca="1" si="129"/>
        <v>75889</v>
      </c>
      <c r="M980" s="14">
        <v>975</v>
      </c>
      <c r="N980" s="14">
        <f t="shared" si="123"/>
        <v>0</v>
      </c>
      <c r="O980" s="19">
        <f t="shared" si="124"/>
        <v>0</v>
      </c>
      <c r="P980" s="19">
        <f t="shared" si="122"/>
        <v>0</v>
      </c>
      <c r="Q980" s="14">
        <f t="shared" si="125"/>
        <v>0</v>
      </c>
      <c r="R980" s="19">
        <f t="shared" si="126"/>
        <v>0</v>
      </c>
      <c r="S980" s="19">
        <f t="shared" si="127"/>
        <v>0</v>
      </c>
      <c r="T980" s="14">
        <f t="shared" si="128"/>
        <v>0</v>
      </c>
      <c r="U980" s="18" t="str" cm="1">
        <f t="array" aca="1" ref="U980" ca="1">IF(M980&lt;=$N$1,L980,IF(M980&lt;=($N$1+1),INDIRECT("L"&amp;5+$X$2),""))</f>
        <v/>
      </c>
    </row>
    <row r="981" spans="12:21" hidden="1" x14ac:dyDescent="0.25">
      <c r="L981" s="18">
        <f t="shared" ca="1" si="129"/>
        <v>75920</v>
      </c>
      <c r="M981" s="14">
        <v>976</v>
      </c>
      <c r="N981" s="14">
        <f t="shared" si="123"/>
        <v>0</v>
      </c>
      <c r="O981" s="19">
        <f t="shared" si="124"/>
        <v>0</v>
      </c>
      <c r="P981" s="19">
        <f t="shared" si="122"/>
        <v>0</v>
      </c>
      <c r="Q981" s="14">
        <f t="shared" si="125"/>
        <v>0</v>
      </c>
      <c r="R981" s="19">
        <f t="shared" si="126"/>
        <v>0</v>
      </c>
      <c r="S981" s="19">
        <f t="shared" si="127"/>
        <v>0</v>
      </c>
      <c r="T981" s="14">
        <f t="shared" si="128"/>
        <v>0</v>
      </c>
      <c r="U981" s="18" t="str" cm="1">
        <f t="array" aca="1" ref="U981" ca="1">IF(M981&lt;=$N$1,L981,IF(M981&lt;=($N$1+1),INDIRECT("L"&amp;5+$X$2),""))</f>
        <v/>
      </c>
    </row>
    <row r="982" spans="12:21" hidden="1" x14ac:dyDescent="0.25">
      <c r="L982" s="18">
        <f t="shared" ca="1" si="129"/>
        <v>75950</v>
      </c>
      <c r="M982" s="14">
        <v>977</v>
      </c>
      <c r="N982" s="14">
        <f t="shared" si="123"/>
        <v>0</v>
      </c>
      <c r="O982" s="19">
        <f t="shared" si="124"/>
        <v>0</v>
      </c>
      <c r="P982" s="19">
        <f t="shared" si="122"/>
        <v>0</v>
      </c>
      <c r="Q982" s="14">
        <f t="shared" si="125"/>
        <v>0</v>
      </c>
      <c r="R982" s="19">
        <f t="shared" si="126"/>
        <v>0</v>
      </c>
      <c r="S982" s="19">
        <f t="shared" si="127"/>
        <v>0</v>
      </c>
      <c r="T982" s="14">
        <f t="shared" si="128"/>
        <v>0</v>
      </c>
      <c r="U982" s="18" t="str" cm="1">
        <f t="array" aca="1" ref="U982" ca="1">IF(M982&lt;=$N$1,L982,IF(M982&lt;=($N$1+1),INDIRECT("L"&amp;5+$X$2),""))</f>
        <v/>
      </c>
    </row>
    <row r="983" spans="12:21" hidden="1" x14ac:dyDescent="0.25">
      <c r="L983" s="18">
        <f t="shared" ca="1" si="129"/>
        <v>75981</v>
      </c>
      <c r="M983" s="14">
        <v>978</v>
      </c>
      <c r="N983" s="14">
        <f t="shared" si="123"/>
        <v>0</v>
      </c>
      <c r="O983" s="19">
        <f t="shared" si="124"/>
        <v>0</v>
      </c>
      <c r="P983" s="19">
        <f t="shared" si="122"/>
        <v>0</v>
      </c>
      <c r="Q983" s="14">
        <f t="shared" si="125"/>
        <v>0</v>
      </c>
      <c r="R983" s="19">
        <f t="shared" si="126"/>
        <v>0</v>
      </c>
      <c r="S983" s="19">
        <f t="shared" si="127"/>
        <v>0</v>
      </c>
      <c r="T983" s="14">
        <f t="shared" si="128"/>
        <v>0</v>
      </c>
      <c r="U983" s="18" t="str" cm="1">
        <f t="array" aca="1" ref="U983" ca="1">IF(M983&lt;=$N$1,L983,IF(M983&lt;=($N$1+1),INDIRECT("L"&amp;5+$X$2),""))</f>
        <v/>
      </c>
    </row>
    <row r="984" spans="12:21" hidden="1" x14ac:dyDescent="0.25">
      <c r="L984" s="18">
        <f t="shared" ca="1" si="129"/>
        <v>76012</v>
      </c>
      <c r="M984" s="14">
        <v>979</v>
      </c>
      <c r="N984" s="14">
        <f t="shared" si="123"/>
        <v>0</v>
      </c>
      <c r="O984" s="19">
        <f t="shared" si="124"/>
        <v>0</v>
      </c>
      <c r="P984" s="19">
        <f t="shared" si="122"/>
        <v>0</v>
      </c>
      <c r="Q984" s="14">
        <f t="shared" si="125"/>
        <v>0</v>
      </c>
      <c r="R984" s="19">
        <f t="shared" si="126"/>
        <v>0</v>
      </c>
      <c r="S984" s="19">
        <f t="shared" si="127"/>
        <v>0</v>
      </c>
      <c r="T984" s="14">
        <f t="shared" si="128"/>
        <v>0</v>
      </c>
      <c r="U984" s="18" t="str" cm="1">
        <f t="array" aca="1" ref="U984" ca="1">IF(M984&lt;=$N$1,L984,IF(M984&lt;=($N$1+1),INDIRECT("L"&amp;5+$X$2),""))</f>
        <v/>
      </c>
    </row>
    <row r="985" spans="12:21" hidden="1" x14ac:dyDescent="0.25">
      <c r="L985" s="18">
        <f t="shared" ca="1" si="129"/>
        <v>76041</v>
      </c>
      <c r="M985" s="14">
        <v>980</v>
      </c>
      <c r="N985" s="14">
        <f t="shared" si="123"/>
        <v>0</v>
      </c>
      <c r="O985" s="19">
        <f t="shared" si="124"/>
        <v>0</v>
      </c>
      <c r="P985" s="19">
        <f t="shared" si="122"/>
        <v>0</v>
      </c>
      <c r="Q985" s="14">
        <f t="shared" si="125"/>
        <v>0</v>
      </c>
      <c r="R985" s="19">
        <f t="shared" si="126"/>
        <v>0</v>
      </c>
      <c r="S985" s="19">
        <f t="shared" si="127"/>
        <v>0</v>
      </c>
      <c r="T985" s="14">
        <f t="shared" si="128"/>
        <v>0</v>
      </c>
      <c r="U985" s="18" t="str" cm="1">
        <f t="array" aca="1" ref="U985" ca="1">IF(M985&lt;=$N$1,L985,IF(M985&lt;=($N$1+1),INDIRECT("L"&amp;5+$X$2),""))</f>
        <v/>
      </c>
    </row>
    <row r="986" spans="12:21" hidden="1" x14ac:dyDescent="0.25">
      <c r="L986" s="18">
        <f t="shared" ca="1" si="129"/>
        <v>76072</v>
      </c>
      <c r="M986" s="14">
        <v>981</v>
      </c>
      <c r="N986" s="14">
        <f t="shared" si="123"/>
        <v>0</v>
      </c>
      <c r="O986" s="19">
        <f t="shared" si="124"/>
        <v>0</v>
      </c>
      <c r="P986" s="19">
        <f t="shared" si="122"/>
        <v>0</v>
      </c>
      <c r="Q986" s="14">
        <f t="shared" si="125"/>
        <v>0</v>
      </c>
      <c r="R986" s="19">
        <f t="shared" si="126"/>
        <v>0</v>
      </c>
      <c r="S986" s="19">
        <f t="shared" si="127"/>
        <v>0</v>
      </c>
      <c r="T986" s="14">
        <f t="shared" si="128"/>
        <v>0</v>
      </c>
      <c r="U986" s="18" t="str" cm="1">
        <f t="array" aca="1" ref="U986" ca="1">IF(M986&lt;=$N$1,L986,IF(M986&lt;=($N$1+1),INDIRECT("L"&amp;5+$X$2),""))</f>
        <v/>
      </c>
    </row>
    <row r="987" spans="12:21" hidden="1" x14ac:dyDescent="0.25">
      <c r="L987" s="18">
        <f t="shared" ca="1" si="129"/>
        <v>76102</v>
      </c>
      <c r="M987" s="14">
        <v>982</v>
      </c>
      <c r="N987" s="14">
        <f t="shared" si="123"/>
        <v>0</v>
      </c>
      <c r="O987" s="19">
        <f t="shared" si="124"/>
        <v>0</v>
      </c>
      <c r="P987" s="19">
        <f t="shared" si="122"/>
        <v>0</v>
      </c>
      <c r="Q987" s="14">
        <f t="shared" si="125"/>
        <v>0</v>
      </c>
      <c r="R987" s="19">
        <f t="shared" si="126"/>
        <v>0</v>
      </c>
      <c r="S987" s="19">
        <f t="shared" si="127"/>
        <v>0</v>
      </c>
      <c r="T987" s="14">
        <f t="shared" si="128"/>
        <v>0</v>
      </c>
      <c r="U987" s="18" t="str" cm="1">
        <f t="array" aca="1" ref="U987" ca="1">IF(M987&lt;=$N$1,L987,IF(M987&lt;=($N$1+1),INDIRECT("L"&amp;5+$X$2),""))</f>
        <v/>
      </c>
    </row>
    <row r="988" spans="12:21" hidden="1" x14ac:dyDescent="0.25">
      <c r="L988" s="18">
        <f t="shared" ca="1" si="129"/>
        <v>76133</v>
      </c>
      <c r="M988" s="14">
        <v>983</v>
      </c>
      <c r="N988" s="14">
        <f t="shared" si="123"/>
        <v>0</v>
      </c>
      <c r="O988" s="19">
        <f t="shared" si="124"/>
        <v>0</v>
      </c>
      <c r="P988" s="19">
        <f t="shared" si="122"/>
        <v>0</v>
      </c>
      <c r="Q988" s="14">
        <f t="shared" si="125"/>
        <v>0</v>
      </c>
      <c r="R988" s="19">
        <f t="shared" si="126"/>
        <v>0</v>
      </c>
      <c r="S988" s="19">
        <f t="shared" si="127"/>
        <v>0</v>
      </c>
      <c r="T988" s="14">
        <f t="shared" si="128"/>
        <v>0</v>
      </c>
      <c r="U988" s="18" t="str" cm="1">
        <f t="array" aca="1" ref="U988" ca="1">IF(M988&lt;=$N$1,L988,IF(M988&lt;=($N$1+1),INDIRECT("L"&amp;5+$X$2),""))</f>
        <v/>
      </c>
    </row>
    <row r="989" spans="12:21" hidden="1" x14ac:dyDescent="0.25">
      <c r="L989" s="18">
        <f t="shared" ca="1" si="129"/>
        <v>76163</v>
      </c>
      <c r="M989" s="14">
        <v>984</v>
      </c>
      <c r="N989" s="14">
        <f t="shared" si="123"/>
        <v>0</v>
      </c>
      <c r="O989" s="19">
        <f t="shared" si="124"/>
        <v>0</v>
      </c>
      <c r="P989" s="19">
        <f t="shared" si="122"/>
        <v>0</v>
      </c>
      <c r="Q989" s="14">
        <f t="shared" si="125"/>
        <v>0</v>
      </c>
      <c r="R989" s="19">
        <f t="shared" si="126"/>
        <v>0</v>
      </c>
      <c r="S989" s="19">
        <f t="shared" si="127"/>
        <v>0</v>
      </c>
      <c r="T989" s="14">
        <f t="shared" si="128"/>
        <v>0</v>
      </c>
      <c r="U989" s="18" t="str" cm="1">
        <f t="array" aca="1" ref="U989" ca="1">IF(M989&lt;=$N$1,L989,IF(M989&lt;=($N$1+1),INDIRECT("L"&amp;5+$X$2),""))</f>
        <v/>
      </c>
    </row>
    <row r="990" spans="12:21" hidden="1" x14ac:dyDescent="0.25">
      <c r="L990" s="18">
        <f t="shared" ca="1" si="129"/>
        <v>76194</v>
      </c>
      <c r="M990" s="14">
        <v>985</v>
      </c>
      <c r="N990" s="14">
        <f t="shared" si="123"/>
        <v>0</v>
      </c>
      <c r="O990" s="19">
        <f t="shared" si="124"/>
        <v>0</v>
      </c>
      <c r="P990" s="19">
        <f t="shared" si="122"/>
        <v>0</v>
      </c>
      <c r="Q990" s="14">
        <f t="shared" si="125"/>
        <v>0</v>
      </c>
      <c r="R990" s="19">
        <f t="shared" si="126"/>
        <v>0</v>
      </c>
      <c r="S990" s="19">
        <f t="shared" si="127"/>
        <v>0</v>
      </c>
      <c r="T990" s="14">
        <f t="shared" si="128"/>
        <v>0</v>
      </c>
      <c r="U990" s="18" t="str" cm="1">
        <f t="array" aca="1" ref="U990" ca="1">IF(M990&lt;=$N$1,L990,IF(M990&lt;=($N$1+1),INDIRECT("L"&amp;5+$X$2),""))</f>
        <v/>
      </c>
    </row>
    <row r="991" spans="12:21" hidden="1" x14ac:dyDescent="0.25">
      <c r="L991" s="18">
        <f t="shared" ca="1" si="129"/>
        <v>76225</v>
      </c>
      <c r="M991" s="14">
        <v>986</v>
      </c>
      <c r="N991" s="14">
        <f t="shared" si="123"/>
        <v>0</v>
      </c>
      <c r="O991" s="19">
        <f t="shared" si="124"/>
        <v>0</v>
      </c>
      <c r="P991" s="19">
        <f t="shared" si="122"/>
        <v>0</v>
      </c>
      <c r="Q991" s="14">
        <f t="shared" si="125"/>
        <v>0</v>
      </c>
      <c r="R991" s="19">
        <f t="shared" si="126"/>
        <v>0</v>
      </c>
      <c r="S991" s="19">
        <f t="shared" si="127"/>
        <v>0</v>
      </c>
      <c r="T991" s="14">
        <f t="shared" si="128"/>
        <v>0</v>
      </c>
      <c r="U991" s="18" t="str" cm="1">
        <f t="array" aca="1" ref="U991" ca="1">IF(M991&lt;=$N$1,L991,IF(M991&lt;=($N$1+1),INDIRECT("L"&amp;5+$X$2),""))</f>
        <v/>
      </c>
    </row>
    <row r="992" spans="12:21" hidden="1" x14ac:dyDescent="0.25">
      <c r="L992" s="18">
        <f t="shared" ca="1" si="129"/>
        <v>76255</v>
      </c>
      <c r="M992" s="14">
        <v>987</v>
      </c>
      <c r="N992" s="14">
        <f t="shared" si="123"/>
        <v>0</v>
      </c>
      <c r="O992" s="19">
        <f t="shared" si="124"/>
        <v>0</v>
      </c>
      <c r="P992" s="19">
        <f t="shared" si="122"/>
        <v>0</v>
      </c>
      <c r="Q992" s="14">
        <f t="shared" si="125"/>
        <v>0</v>
      </c>
      <c r="R992" s="19">
        <f t="shared" si="126"/>
        <v>0</v>
      </c>
      <c r="S992" s="19">
        <f t="shared" si="127"/>
        <v>0</v>
      </c>
      <c r="T992" s="14">
        <f t="shared" si="128"/>
        <v>0</v>
      </c>
      <c r="U992" s="18" t="str" cm="1">
        <f t="array" aca="1" ref="U992" ca="1">IF(M992&lt;=$N$1,L992,IF(M992&lt;=($N$1+1),INDIRECT("L"&amp;5+$X$2),""))</f>
        <v/>
      </c>
    </row>
    <row r="993" spans="12:21" hidden="1" x14ac:dyDescent="0.25">
      <c r="L993" s="18">
        <f t="shared" ca="1" si="129"/>
        <v>76286</v>
      </c>
      <c r="M993" s="14">
        <v>988</v>
      </c>
      <c r="N993" s="14">
        <f t="shared" si="123"/>
        <v>0</v>
      </c>
      <c r="O993" s="19">
        <f t="shared" si="124"/>
        <v>0</v>
      </c>
      <c r="P993" s="19">
        <f t="shared" si="122"/>
        <v>0</v>
      </c>
      <c r="Q993" s="14">
        <f t="shared" si="125"/>
        <v>0</v>
      </c>
      <c r="R993" s="19">
        <f t="shared" si="126"/>
        <v>0</v>
      </c>
      <c r="S993" s="19">
        <f t="shared" si="127"/>
        <v>0</v>
      </c>
      <c r="T993" s="14">
        <f t="shared" si="128"/>
        <v>0</v>
      </c>
      <c r="U993" s="18" t="str" cm="1">
        <f t="array" aca="1" ref="U993" ca="1">IF(M993&lt;=$N$1,L993,IF(M993&lt;=($N$1+1),INDIRECT("L"&amp;5+$X$2),""))</f>
        <v/>
      </c>
    </row>
    <row r="994" spans="12:21" hidden="1" x14ac:dyDescent="0.25">
      <c r="L994" s="18">
        <f t="shared" ca="1" si="129"/>
        <v>76316</v>
      </c>
      <c r="M994" s="14">
        <v>989</v>
      </c>
      <c r="N994" s="14">
        <f t="shared" si="123"/>
        <v>0</v>
      </c>
      <c r="O994" s="19">
        <f t="shared" si="124"/>
        <v>0</v>
      </c>
      <c r="P994" s="19">
        <f t="shared" si="122"/>
        <v>0</v>
      </c>
      <c r="Q994" s="14">
        <f t="shared" si="125"/>
        <v>0</v>
      </c>
      <c r="R994" s="19">
        <f t="shared" si="126"/>
        <v>0</v>
      </c>
      <c r="S994" s="19">
        <f t="shared" si="127"/>
        <v>0</v>
      </c>
      <c r="T994" s="14">
        <f t="shared" si="128"/>
        <v>0</v>
      </c>
      <c r="U994" s="18" t="str" cm="1">
        <f t="array" aca="1" ref="U994" ca="1">IF(M994&lt;=$N$1,L994,IF(M994&lt;=($N$1+1),INDIRECT("L"&amp;5+$X$2),""))</f>
        <v/>
      </c>
    </row>
    <row r="995" spans="12:21" hidden="1" x14ac:dyDescent="0.25">
      <c r="L995" s="18">
        <f t="shared" ca="1" si="129"/>
        <v>76347</v>
      </c>
      <c r="M995" s="14">
        <v>990</v>
      </c>
      <c r="N995" s="14">
        <f t="shared" si="123"/>
        <v>0</v>
      </c>
      <c r="O995" s="19">
        <f t="shared" si="124"/>
        <v>0</v>
      </c>
      <c r="P995" s="19">
        <f t="shared" si="122"/>
        <v>0</v>
      </c>
      <c r="Q995" s="14">
        <f t="shared" si="125"/>
        <v>0</v>
      </c>
      <c r="R995" s="19">
        <f t="shared" si="126"/>
        <v>0</v>
      </c>
      <c r="S995" s="19">
        <f t="shared" si="127"/>
        <v>0</v>
      </c>
      <c r="T995" s="14">
        <f t="shared" si="128"/>
        <v>0</v>
      </c>
      <c r="U995" s="18" t="str" cm="1">
        <f t="array" aca="1" ref="U995" ca="1">IF(M995&lt;=$N$1,L995,IF(M995&lt;=($N$1+1),INDIRECT("L"&amp;5+$X$2),""))</f>
        <v/>
      </c>
    </row>
    <row r="996" spans="12:21" hidden="1" x14ac:dyDescent="0.25">
      <c r="L996" s="18">
        <f t="shared" ca="1" si="129"/>
        <v>76378</v>
      </c>
      <c r="M996" s="14">
        <v>991</v>
      </c>
      <c r="N996" s="14">
        <f t="shared" si="123"/>
        <v>0</v>
      </c>
      <c r="O996" s="19">
        <f t="shared" si="124"/>
        <v>0</v>
      </c>
      <c r="P996" s="19">
        <f t="shared" si="122"/>
        <v>0</v>
      </c>
      <c r="Q996" s="14">
        <f t="shared" si="125"/>
        <v>0</v>
      </c>
      <c r="R996" s="19">
        <f t="shared" si="126"/>
        <v>0</v>
      </c>
      <c r="S996" s="19">
        <f t="shared" si="127"/>
        <v>0</v>
      </c>
      <c r="T996" s="14">
        <f t="shared" si="128"/>
        <v>0</v>
      </c>
      <c r="U996" s="18" t="str" cm="1">
        <f t="array" aca="1" ref="U996" ca="1">IF(M996&lt;=$N$1,L996,IF(M996&lt;=($N$1+1),INDIRECT("L"&amp;5+$X$2),""))</f>
        <v/>
      </c>
    </row>
    <row r="997" spans="12:21" hidden="1" x14ac:dyDescent="0.25">
      <c r="L997" s="18">
        <f t="shared" ca="1" si="129"/>
        <v>76406</v>
      </c>
      <c r="M997" s="14">
        <v>992</v>
      </c>
      <c r="N997" s="14">
        <f t="shared" si="123"/>
        <v>0</v>
      </c>
      <c r="O997" s="19">
        <f t="shared" si="124"/>
        <v>0</v>
      </c>
      <c r="P997" s="19">
        <f t="shared" si="122"/>
        <v>0</v>
      </c>
      <c r="Q997" s="14">
        <f t="shared" si="125"/>
        <v>0</v>
      </c>
      <c r="R997" s="19">
        <f t="shared" si="126"/>
        <v>0</v>
      </c>
      <c r="S997" s="19">
        <f t="shared" si="127"/>
        <v>0</v>
      </c>
      <c r="T997" s="14">
        <f t="shared" si="128"/>
        <v>0</v>
      </c>
      <c r="U997" s="18" t="str" cm="1">
        <f t="array" aca="1" ref="U997" ca="1">IF(M997&lt;=$N$1,L997,IF(M997&lt;=($N$1+1),INDIRECT("L"&amp;5+$X$2),""))</f>
        <v/>
      </c>
    </row>
    <row r="998" spans="12:21" hidden="1" x14ac:dyDescent="0.25">
      <c r="L998" s="18">
        <f t="shared" ca="1" si="129"/>
        <v>76437</v>
      </c>
      <c r="M998" s="14">
        <v>993</v>
      </c>
      <c r="N998" s="14">
        <f t="shared" si="123"/>
        <v>0</v>
      </c>
      <c r="O998" s="19">
        <f t="shared" si="124"/>
        <v>0</v>
      </c>
      <c r="P998" s="19">
        <f t="shared" ref="P998:P1061" si="130">O998/((1+SIPInflationRate)^(M998/12))</f>
        <v>0</v>
      </c>
      <c r="Q998" s="14">
        <f t="shared" si="125"/>
        <v>0</v>
      </c>
      <c r="R998" s="19">
        <f t="shared" si="126"/>
        <v>0</v>
      </c>
      <c r="S998" s="19">
        <f t="shared" si="127"/>
        <v>0</v>
      </c>
      <c r="T998" s="14">
        <f t="shared" si="128"/>
        <v>0</v>
      </c>
      <c r="U998" s="18" t="str" cm="1">
        <f t="array" aca="1" ref="U998" ca="1">IF(M998&lt;=$N$1,L998,IF(M998&lt;=($N$1+1),INDIRECT("L"&amp;5+$X$2),""))</f>
        <v/>
      </c>
    </row>
    <row r="999" spans="12:21" hidden="1" x14ac:dyDescent="0.25">
      <c r="L999" s="18">
        <f t="shared" ca="1" si="129"/>
        <v>76467</v>
      </c>
      <c r="M999" s="14">
        <v>994</v>
      </c>
      <c r="N999" s="14">
        <f t="shared" si="123"/>
        <v>0</v>
      </c>
      <c r="O999" s="19">
        <f t="shared" si="124"/>
        <v>0</v>
      </c>
      <c r="P999" s="19">
        <f t="shared" si="130"/>
        <v>0</v>
      </c>
      <c r="Q999" s="14">
        <f t="shared" si="125"/>
        <v>0</v>
      </c>
      <c r="R999" s="19">
        <f t="shared" si="126"/>
        <v>0</v>
      </c>
      <c r="S999" s="19">
        <f t="shared" si="127"/>
        <v>0</v>
      </c>
      <c r="T999" s="14">
        <f t="shared" si="128"/>
        <v>0</v>
      </c>
      <c r="U999" s="18" t="str" cm="1">
        <f t="array" aca="1" ref="U999" ca="1">IF(M999&lt;=$N$1,L999,IF(M999&lt;=($N$1+1),INDIRECT("L"&amp;5+$X$2),""))</f>
        <v/>
      </c>
    </row>
    <row r="1000" spans="12:21" hidden="1" x14ac:dyDescent="0.25">
      <c r="L1000" s="18">
        <f t="shared" ca="1" si="129"/>
        <v>76498</v>
      </c>
      <c r="M1000" s="14">
        <v>995</v>
      </c>
      <c r="N1000" s="14">
        <f t="shared" si="123"/>
        <v>0</v>
      </c>
      <c r="O1000" s="19">
        <f t="shared" si="124"/>
        <v>0</v>
      </c>
      <c r="P1000" s="19">
        <f t="shared" si="130"/>
        <v>0</v>
      </c>
      <c r="Q1000" s="14">
        <f t="shared" si="125"/>
        <v>0</v>
      </c>
      <c r="R1000" s="19">
        <f t="shared" si="126"/>
        <v>0</v>
      </c>
      <c r="S1000" s="19">
        <f t="shared" si="127"/>
        <v>0</v>
      </c>
      <c r="T1000" s="14">
        <f t="shared" si="128"/>
        <v>0</v>
      </c>
      <c r="U1000" s="18" t="str" cm="1">
        <f t="array" aca="1" ref="U1000" ca="1">IF(M1000&lt;=$N$1,L1000,IF(M1000&lt;=($N$1+1),INDIRECT("L"&amp;5+$X$2),""))</f>
        <v/>
      </c>
    </row>
    <row r="1001" spans="12:21" hidden="1" x14ac:dyDescent="0.25">
      <c r="L1001" s="18">
        <f t="shared" ca="1" si="129"/>
        <v>76528</v>
      </c>
      <c r="M1001" s="14">
        <v>996</v>
      </c>
      <c r="N1001" s="14">
        <f t="shared" si="123"/>
        <v>0</v>
      </c>
      <c r="O1001" s="19">
        <f t="shared" si="124"/>
        <v>0</v>
      </c>
      <c r="P1001" s="19">
        <f t="shared" si="130"/>
        <v>0</v>
      </c>
      <c r="Q1001" s="14">
        <f t="shared" si="125"/>
        <v>0</v>
      </c>
      <c r="R1001" s="19">
        <f t="shared" si="126"/>
        <v>0</v>
      </c>
      <c r="S1001" s="19">
        <f t="shared" si="127"/>
        <v>0</v>
      </c>
      <c r="T1001" s="14">
        <f t="shared" si="128"/>
        <v>0</v>
      </c>
      <c r="U1001" s="18" t="str" cm="1">
        <f t="array" aca="1" ref="U1001" ca="1">IF(M1001&lt;=$N$1,L1001,IF(M1001&lt;=($N$1+1),INDIRECT("L"&amp;5+$X$2),""))</f>
        <v/>
      </c>
    </row>
    <row r="1002" spans="12:21" hidden="1" x14ac:dyDescent="0.25">
      <c r="L1002" s="18">
        <f t="shared" ca="1" si="129"/>
        <v>76559</v>
      </c>
      <c r="M1002" s="14">
        <v>997</v>
      </c>
      <c r="N1002" s="14">
        <f t="shared" si="123"/>
        <v>0</v>
      </c>
      <c r="O1002" s="19">
        <f t="shared" si="124"/>
        <v>0</v>
      </c>
      <c r="P1002" s="19">
        <f t="shared" si="130"/>
        <v>0</v>
      </c>
      <c r="Q1002" s="14">
        <f t="shared" si="125"/>
        <v>0</v>
      </c>
      <c r="R1002" s="19">
        <f t="shared" si="126"/>
        <v>0</v>
      </c>
      <c r="S1002" s="19">
        <f t="shared" si="127"/>
        <v>0</v>
      </c>
      <c r="T1002" s="14">
        <f t="shared" si="128"/>
        <v>0</v>
      </c>
      <c r="U1002" s="18" t="str" cm="1">
        <f t="array" aca="1" ref="U1002" ca="1">IF(M1002&lt;=$N$1,L1002,IF(M1002&lt;=($N$1+1),INDIRECT("L"&amp;5+$X$2),""))</f>
        <v/>
      </c>
    </row>
    <row r="1003" spans="12:21" hidden="1" x14ac:dyDescent="0.25">
      <c r="L1003" s="18">
        <f t="shared" ca="1" si="129"/>
        <v>76590</v>
      </c>
      <c r="M1003" s="14">
        <v>998</v>
      </c>
      <c r="N1003" s="14">
        <f t="shared" si="123"/>
        <v>0</v>
      </c>
      <c r="O1003" s="19">
        <f t="shared" si="124"/>
        <v>0</v>
      </c>
      <c r="P1003" s="19">
        <f t="shared" si="130"/>
        <v>0</v>
      </c>
      <c r="Q1003" s="14">
        <f t="shared" si="125"/>
        <v>0</v>
      </c>
      <c r="R1003" s="19">
        <f t="shared" si="126"/>
        <v>0</v>
      </c>
      <c r="S1003" s="19">
        <f t="shared" si="127"/>
        <v>0</v>
      </c>
      <c r="T1003" s="14">
        <f t="shared" si="128"/>
        <v>0</v>
      </c>
      <c r="U1003" s="18" t="str" cm="1">
        <f t="array" aca="1" ref="U1003" ca="1">IF(M1003&lt;=$N$1,L1003,IF(M1003&lt;=($N$1+1),INDIRECT("L"&amp;5+$X$2),""))</f>
        <v/>
      </c>
    </row>
    <row r="1004" spans="12:21" hidden="1" x14ac:dyDescent="0.25">
      <c r="L1004" s="18">
        <f t="shared" ca="1" si="129"/>
        <v>76620</v>
      </c>
      <c r="M1004" s="14">
        <v>999</v>
      </c>
      <c r="N1004" s="14">
        <f t="shared" si="123"/>
        <v>0</v>
      </c>
      <c r="O1004" s="19">
        <f t="shared" si="124"/>
        <v>0</v>
      </c>
      <c r="P1004" s="19">
        <f t="shared" si="130"/>
        <v>0</v>
      </c>
      <c r="Q1004" s="14">
        <f t="shared" si="125"/>
        <v>0</v>
      </c>
      <c r="R1004" s="19">
        <f t="shared" si="126"/>
        <v>0</v>
      </c>
      <c r="S1004" s="19">
        <f t="shared" si="127"/>
        <v>0</v>
      </c>
      <c r="T1004" s="14">
        <f t="shared" si="128"/>
        <v>0</v>
      </c>
      <c r="U1004" s="18" t="str" cm="1">
        <f t="array" aca="1" ref="U1004" ca="1">IF(M1004&lt;=$N$1,L1004,IF(M1004&lt;=($N$1+1),INDIRECT("L"&amp;5+$X$2),""))</f>
        <v/>
      </c>
    </row>
    <row r="1005" spans="12:21" hidden="1" x14ac:dyDescent="0.25">
      <c r="L1005" s="18">
        <f t="shared" ca="1" si="129"/>
        <v>76651</v>
      </c>
      <c r="M1005" s="14">
        <v>1000</v>
      </c>
      <c r="N1005" s="14">
        <f t="shared" si="123"/>
        <v>0</v>
      </c>
      <c r="O1005" s="19">
        <f t="shared" si="124"/>
        <v>0</v>
      </c>
      <c r="P1005" s="19">
        <f t="shared" si="130"/>
        <v>0</v>
      </c>
      <c r="Q1005" s="14">
        <f t="shared" si="125"/>
        <v>0</v>
      </c>
      <c r="R1005" s="19">
        <f t="shared" si="126"/>
        <v>0</v>
      </c>
      <c r="S1005" s="19">
        <f t="shared" si="127"/>
        <v>0</v>
      </c>
      <c r="T1005" s="14">
        <f t="shared" si="128"/>
        <v>0</v>
      </c>
      <c r="U1005" s="18" t="str" cm="1">
        <f t="array" aca="1" ref="U1005" ca="1">IF(M1005&lt;=$N$1,L1005,IF(M1005&lt;=($N$1+1),INDIRECT("L"&amp;5+$X$2),""))</f>
        <v/>
      </c>
    </row>
    <row r="1006" spans="12:21" hidden="1" x14ac:dyDescent="0.25">
      <c r="L1006" s="18">
        <f t="shared" ca="1" si="129"/>
        <v>76681</v>
      </c>
      <c r="M1006" s="14">
        <v>1001</v>
      </c>
      <c r="N1006" s="14">
        <f t="shared" si="123"/>
        <v>0</v>
      </c>
      <c r="O1006" s="19">
        <f t="shared" si="124"/>
        <v>0</v>
      </c>
      <c r="P1006" s="19">
        <f t="shared" si="130"/>
        <v>0</v>
      </c>
      <c r="Q1006" s="14">
        <f t="shared" si="125"/>
        <v>0</v>
      </c>
      <c r="R1006" s="19">
        <f t="shared" si="126"/>
        <v>0</v>
      </c>
      <c r="S1006" s="19">
        <f t="shared" si="127"/>
        <v>0</v>
      </c>
      <c r="T1006" s="14">
        <f t="shared" si="128"/>
        <v>0</v>
      </c>
      <c r="U1006" s="18" t="str" cm="1">
        <f t="array" aca="1" ref="U1006" ca="1">IF(M1006&lt;=$N$1,L1006,IF(M1006&lt;=($N$1+1),INDIRECT("L"&amp;5+$X$2),""))</f>
        <v/>
      </c>
    </row>
    <row r="1007" spans="12:21" hidden="1" x14ac:dyDescent="0.25">
      <c r="L1007" s="18">
        <f t="shared" ca="1" si="129"/>
        <v>76712</v>
      </c>
      <c r="M1007" s="14">
        <v>1002</v>
      </c>
      <c r="N1007" s="14">
        <f t="shared" si="123"/>
        <v>0</v>
      </c>
      <c r="O1007" s="19">
        <f t="shared" si="124"/>
        <v>0</v>
      </c>
      <c r="P1007" s="19">
        <f t="shared" si="130"/>
        <v>0</v>
      </c>
      <c r="Q1007" s="14">
        <f t="shared" si="125"/>
        <v>0</v>
      </c>
      <c r="R1007" s="19">
        <f t="shared" si="126"/>
        <v>0</v>
      </c>
      <c r="S1007" s="19">
        <f t="shared" si="127"/>
        <v>0</v>
      </c>
      <c r="T1007" s="14">
        <f t="shared" si="128"/>
        <v>0</v>
      </c>
      <c r="U1007" s="18" t="str" cm="1">
        <f t="array" aca="1" ref="U1007" ca="1">IF(M1007&lt;=$N$1,L1007,IF(M1007&lt;=($N$1+1),INDIRECT("L"&amp;5+$X$2),""))</f>
        <v/>
      </c>
    </row>
    <row r="1008" spans="12:21" hidden="1" x14ac:dyDescent="0.25">
      <c r="L1008" s="18">
        <f t="shared" ca="1" si="129"/>
        <v>76743</v>
      </c>
      <c r="M1008" s="14">
        <v>1003</v>
      </c>
      <c r="N1008" s="14">
        <f t="shared" si="123"/>
        <v>0</v>
      </c>
      <c r="O1008" s="19">
        <f t="shared" si="124"/>
        <v>0</v>
      </c>
      <c r="P1008" s="19">
        <f t="shared" si="130"/>
        <v>0</v>
      </c>
      <c r="Q1008" s="14">
        <f t="shared" si="125"/>
        <v>0</v>
      </c>
      <c r="R1008" s="19">
        <f t="shared" si="126"/>
        <v>0</v>
      </c>
      <c r="S1008" s="19">
        <f t="shared" si="127"/>
        <v>0</v>
      </c>
      <c r="T1008" s="14">
        <f t="shared" si="128"/>
        <v>0</v>
      </c>
      <c r="U1008" s="18" t="str" cm="1">
        <f t="array" aca="1" ref="U1008" ca="1">IF(M1008&lt;=$N$1,L1008,IF(M1008&lt;=($N$1+1),INDIRECT("L"&amp;5+$X$2),""))</f>
        <v/>
      </c>
    </row>
    <row r="1009" spans="12:21" hidden="1" x14ac:dyDescent="0.25">
      <c r="L1009" s="18">
        <f t="shared" ca="1" si="129"/>
        <v>76771</v>
      </c>
      <c r="M1009" s="14">
        <v>1004</v>
      </c>
      <c r="N1009" s="14">
        <f t="shared" si="123"/>
        <v>0</v>
      </c>
      <c r="O1009" s="19">
        <f t="shared" si="124"/>
        <v>0</v>
      </c>
      <c r="P1009" s="19">
        <f t="shared" si="130"/>
        <v>0</v>
      </c>
      <c r="Q1009" s="14">
        <f t="shared" si="125"/>
        <v>0</v>
      </c>
      <c r="R1009" s="19">
        <f t="shared" si="126"/>
        <v>0</v>
      </c>
      <c r="S1009" s="19">
        <f t="shared" si="127"/>
        <v>0</v>
      </c>
      <c r="T1009" s="14">
        <f t="shared" si="128"/>
        <v>0</v>
      </c>
      <c r="U1009" s="18" t="str" cm="1">
        <f t="array" aca="1" ref="U1009" ca="1">IF(M1009&lt;=$N$1,L1009,IF(M1009&lt;=($N$1+1),INDIRECT("L"&amp;5+$X$2),""))</f>
        <v/>
      </c>
    </row>
    <row r="1010" spans="12:21" hidden="1" x14ac:dyDescent="0.25">
      <c r="L1010" s="18">
        <f t="shared" ca="1" si="129"/>
        <v>76802</v>
      </c>
      <c r="M1010" s="14">
        <v>1005</v>
      </c>
      <c r="N1010" s="14">
        <f t="shared" si="123"/>
        <v>0</v>
      </c>
      <c r="O1010" s="19">
        <f t="shared" si="124"/>
        <v>0</v>
      </c>
      <c r="P1010" s="19">
        <f t="shared" si="130"/>
        <v>0</v>
      </c>
      <c r="Q1010" s="14">
        <f t="shared" si="125"/>
        <v>0</v>
      </c>
      <c r="R1010" s="19">
        <f t="shared" si="126"/>
        <v>0</v>
      </c>
      <c r="S1010" s="19">
        <f t="shared" si="127"/>
        <v>0</v>
      </c>
      <c r="T1010" s="14">
        <f t="shared" si="128"/>
        <v>0</v>
      </c>
      <c r="U1010" s="18" t="str" cm="1">
        <f t="array" aca="1" ref="U1010" ca="1">IF(M1010&lt;=$N$1,L1010,IF(M1010&lt;=($N$1+1),INDIRECT("L"&amp;5+$X$2),""))</f>
        <v/>
      </c>
    </row>
    <row r="1011" spans="12:21" hidden="1" x14ac:dyDescent="0.25">
      <c r="L1011" s="18">
        <f t="shared" ca="1" si="129"/>
        <v>76832</v>
      </c>
      <c r="M1011" s="14">
        <v>1006</v>
      </c>
      <c r="N1011" s="14">
        <f t="shared" si="123"/>
        <v>0</v>
      </c>
      <c r="O1011" s="19">
        <f t="shared" si="124"/>
        <v>0</v>
      </c>
      <c r="P1011" s="19">
        <f t="shared" si="130"/>
        <v>0</v>
      </c>
      <c r="Q1011" s="14">
        <f t="shared" si="125"/>
        <v>0</v>
      </c>
      <c r="R1011" s="19">
        <f t="shared" si="126"/>
        <v>0</v>
      </c>
      <c r="S1011" s="19">
        <f t="shared" si="127"/>
        <v>0</v>
      </c>
      <c r="T1011" s="14">
        <f t="shared" si="128"/>
        <v>0</v>
      </c>
      <c r="U1011" s="18" t="str" cm="1">
        <f t="array" aca="1" ref="U1011" ca="1">IF(M1011&lt;=$N$1,L1011,IF(M1011&lt;=($N$1+1),INDIRECT("L"&amp;5+$X$2),""))</f>
        <v/>
      </c>
    </row>
    <row r="1012" spans="12:21" hidden="1" x14ac:dyDescent="0.25">
      <c r="L1012" s="18">
        <f t="shared" ca="1" si="129"/>
        <v>76863</v>
      </c>
      <c r="M1012" s="14">
        <v>1007</v>
      </c>
      <c r="N1012" s="14">
        <f t="shared" si="123"/>
        <v>0</v>
      </c>
      <c r="O1012" s="19">
        <f t="shared" si="124"/>
        <v>0</v>
      </c>
      <c r="P1012" s="19">
        <f t="shared" si="130"/>
        <v>0</v>
      </c>
      <c r="Q1012" s="14">
        <f t="shared" si="125"/>
        <v>0</v>
      </c>
      <c r="R1012" s="19">
        <f t="shared" si="126"/>
        <v>0</v>
      </c>
      <c r="S1012" s="19">
        <f t="shared" si="127"/>
        <v>0</v>
      </c>
      <c r="T1012" s="14">
        <f t="shared" si="128"/>
        <v>0</v>
      </c>
      <c r="U1012" s="18" t="str" cm="1">
        <f t="array" aca="1" ref="U1012" ca="1">IF(M1012&lt;=$N$1,L1012,IF(M1012&lt;=($N$1+1),INDIRECT("L"&amp;5+$X$2),""))</f>
        <v/>
      </c>
    </row>
    <row r="1013" spans="12:21" hidden="1" x14ac:dyDescent="0.25">
      <c r="L1013" s="18">
        <f t="shared" ca="1" si="129"/>
        <v>76893</v>
      </c>
      <c r="M1013" s="14">
        <v>1008</v>
      </c>
      <c r="N1013" s="14">
        <f t="shared" si="123"/>
        <v>0</v>
      </c>
      <c r="O1013" s="19">
        <f t="shared" si="124"/>
        <v>0</v>
      </c>
      <c r="P1013" s="19">
        <f t="shared" si="130"/>
        <v>0</v>
      </c>
      <c r="Q1013" s="14">
        <f t="shared" si="125"/>
        <v>0</v>
      </c>
      <c r="R1013" s="19">
        <f t="shared" si="126"/>
        <v>0</v>
      </c>
      <c r="S1013" s="19">
        <f t="shared" si="127"/>
        <v>0</v>
      </c>
      <c r="T1013" s="14">
        <f t="shared" si="128"/>
        <v>0</v>
      </c>
      <c r="U1013" s="18" t="str" cm="1">
        <f t="array" aca="1" ref="U1013" ca="1">IF(M1013&lt;=$N$1,L1013,IF(M1013&lt;=($N$1+1),INDIRECT("L"&amp;5+$X$2),""))</f>
        <v/>
      </c>
    </row>
    <row r="1014" spans="12:21" hidden="1" x14ac:dyDescent="0.25">
      <c r="L1014" s="18">
        <f t="shared" ca="1" si="129"/>
        <v>76924</v>
      </c>
      <c r="M1014" s="14">
        <v>1009</v>
      </c>
      <c r="N1014" s="14">
        <f t="shared" si="123"/>
        <v>0</v>
      </c>
      <c r="O1014" s="19">
        <f t="shared" si="124"/>
        <v>0</v>
      </c>
      <c r="P1014" s="19">
        <f t="shared" si="130"/>
        <v>0</v>
      </c>
      <c r="Q1014" s="14">
        <f t="shared" si="125"/>
        <v>0</v>
      </c>
      <c r="R1014" s="19">
        <f t="shared" si="126"/>
        <v>0</v>
      </c>
      <c r="S1014" s="19">
        <f t="shared" si="127"/>
        <v>0</v>
      </c>
      <c r="T1014" s="14">
        <f t="shared" si="128"/>
        <v>0</v>
      </c>
      <c r="U1014" s="18" t="str" cm="1">
        <f t="array" aca="1" ref="U1014" ca="1">IF(M1014&lt;=$N$1,L1014,IF(M1014&lt;=($N$1+1),INDIRECT("L"&amp;5+$X$2),""))</f>
        <v/>
      </c>
    </row>
    <row r="1015" spans="12:21" hidden="1" x14ac:dyDescent="0.25">
      <c r="L1015" s="18">
        <f t="shared" ca="1" si="129"/>
        <v>76955</v>
      </c>
      <c r="M1015" s="14">
        <v>1010</v>
      </c>
      <c r="N1015" s="14">
        <f t="shared" si="123"/>
        <v>0</v>
      </c>
      <c r="O1015" s="19">
        <f t="shared" si="124"/>
        <v>0</v>
      </c>
      <c r="P1015" s="19">
        <f t="shared" si="130"/>
        <v>0</v>
      </c>
      <c r="Q1015" s="14">
        <f t="shared" si="125"/>
        <v>0</v>
      </c>
      <c r="R1015" s="19">
        <f t="shared" si="126"/>
        <v>0</v>
      </c>
      <c r="S1015" s="19">
        <f t="shared" si="127"/>
        <v>0</v>
      </c>
      <c r="T1015" s="14">
        <f t="shared" si="128"/>
        <v>0</v>
      </c>
      <c r="U1015" s="18" t="str" cm="1">
        <f t="array" aca="1" ref="U1015" ca="1">IF(M1015&lt;=$N$1,L1015,IF(M1015&lt;=($N$1+1),INDIRECT("L"&amp;5+$X$2),""))</f>
        <v/>
      </c>
    </row>
    <row r="1016" spans="12:21" hidden="1" x14ac:dyDescent="0.25">
      <c r="L1016" s="18">
        <f t="shared" ca="1" si="129"/>
        <v>76985</v>
      </c>
      <c r="M1016" s="14">
        <v>1011</v>
      </c>
      <c r="N1016" s="14">
        <f t="shared" si="123"/>
        <v>0</v>
      </c>
      <c r="O1016" s="19">
        <f t="shared" si="124"/>
        <v>0</v>
      </c>
      <c r="P1016" s="19">
        <f t="shared" si="130"/>
        <v>0</v>
      </c>
      <c r="Q1016" s="14">
        <f t="shared" si="125"/>
        <v>0</v>
      </c>
      <c r="R1016" s="19">
        <f t="shared" si="126"/>
        <v>0</v>
      </c>
      <c r="S1016" s="19">
        <f t="shared" si="127"/>
        <v>0</v>
      </c>
      <c r="T1016" s="14">
        <f t="shared" si="128"/>
        <v>0</v>
      </c>
      <c r="U1016" s="18" t="str" cm="1">
        <f t="array" aca="1" ref="U1016" ca="1">IF(M1016&lt;=$N$1,L1016,IF(M1016&lt;=($N$1+1),INDIRECT("L"&amp;5+$X$2),""))</f>
        <v/>
      </c>
    </row>
    <row r="1017" spans="12:21" hidden="1" x14ac:dyDescent="0.25">
      <c r="L1017" s="18">
        <f t="shared" ca="1" si="129"/>
        <v>77016</v>
      </c>
      <c r="M1017" s="14">
        <v>1012</v>
      </c>
      <c r="N1017" s="14">
        <f t="shared" si="123"/>
        <v>0</v>
      </c>
      <c r="O1017" s="19">
        <f t="shared" si="124"/>
        <v>0</v>
      </c>
      <c r="P1017" s="19">
        <f t="shared" si="130"/>
        <v>0</v>
      </c>
      <c r="Q1017" s="14">
        <f t="shared" si="125"/>
        <v>0</v>
      </c>
      <c r="R1017" s="19">
        <f t="shared" si="126"/>
        <v>0</v>
      </c>
      <c r="S1017" s="19">
        <f t="shared" si="127"/>
        <v>0</v>
      </c>
      <c r="T1017" s="14">
        <f t="shared" si="128"/>
        <v>0</v>
      </c>
      <c r="U1017" s="18" t="str" cm="1">
        <f t="array" aca="1" ref="U1017" ca="1">IF(M1017&lt;=$N$1,L1017,IF(M1017&lt;=($N$1+1),INDIRECT("L"&amp;5+$X$2),""))</f>
        <v/>
      </c>
    </row>
    <row r="1018" spans="12:21" hidden="1" x14ac:dyDescent="0.25">
      <c r="L1018" s="18">
        <f t="shared" ca="1" si="129"/>
        <v>77046</v>
      </c>
      <c r="M1018" s="14">
        <v>1013</v>
      </c>
      <c r="N1018" s="14">
        <f t="shared" si="123"/>
        <v>0</v>
      </c>
      <c r="O1018" s="19">
        <f t="shared" si="124"/>
        <v>0</v>
      </c>
      <c r="P1018" s="19">
        <f t="shared" si="130"/>
        <v>0</v>
      </c>
      <c r="Q1018" s="14">
        <f t="shared" si="125"/>
        <v>0</v>
      </c>
      <c r="R1018" s="19">
        <f t="shared" si="126"/>
        <v>0</v>
      </c>
      <c r="S1018" s="19">
        <f t="shared" si="127"/>
        <v>0</v>
      </c>
      <c r="T1018" s="14">
        <f t="shared" si="128"/>
        <v>0</v>
      </c>
      <c r="U1018" s="18" t="str" cm="1">
        <f t="array" aca="1" ref="U1018" ca="1">IF(M1018&lt;=$N$1,L1018,IF(M1018&lt;=($N$1+1),INDIRECT("L"&amp;5+$X$2),""))</f>
        <v/>
      </c>
    </row>
    <row r="1019" spans="12:21" hidden="1" x14ac:dyDescent="0.25">
      <c r="L1019" s="18">
        <f t="shared" ca="1" si="129"/>
        <v>77077</v>
      </c>
      <c r="M1019" s="14">
        <v>1014</v>
      </c>
      <c r="N1019" s="14">
        <f t="shared" si="123"/>
        <v>0</v>
      </c>
      <c r="O1019" s="19">
        <f t="shared" si="124"/>
        <v>0</v>
      </c>
      <c r="P1019" s="19">
        <f t="shared" si="130"/>
        <v>0</v>
      </c>
      <c r="Q1019" s="14">
        <f t="shared" si="125"/>
        <v>0</v>
      </c>
      <c r="R1019" s="19">
        <f t="shared" si="126"/>
        <v>0</v>
      </c>
      <c r="S1019" s="19">
        <f t="shared" si="127"/>
        <v>0</v>
      </c>
      <c r="T1019" s="14">
        <f t="shared" si="128"/>
        <v>0</v>
      </c>
      <c r="U1019" s="18" t="str" cm="1">
        <f t="array" aca="1" ref="U1019" ca="1">IF(M1019&lt;=$N$1,L1019,IF(M1019&lt;=($N$1+1),INDIRECT("L"&amp;5+$X$2),""))</f>
        <v/>
      </c>
    </row>
    <row r="1020" spans="12:21" hidden="1" x14ac:dyDescent="0.25">
      <c r="L1020" s="18">
        <f t="shared" ca="1" si="129"/>
        <v>77108</v>
      </c>
      <c r="M1020" s="14">
        <v>1015</v>
      </c>
      <c r="N1020" s="14">
        <f t="shared" si="123"/>
        <v>0</v>
      </c>
      <c r="O1020" s="19">
        <f t="shared" si="124"/>
        <v>0</v>
      </c>
      <c r="P1020" s="19">
        <f t="shared" si="130"/>
        <v>0</v>
      </c>
      <c r="Q1020" s="14">
        <f t="shared" si="125"/>
        <v>0</v>
      </c>
      <c r="R1020" s="19">
        <f t="shared" si="126"/>
        <v>0</v>
      </c>
      <c r="S1020" s="19">
        <f t="shared" si="127"/>
        <v>0</v>
      </c>
      <c r="T1020" s="14">
        <f t="shared" si="128"/>
        <v>0</v>
      </c>
      <c r="U1020" s="18" t="str" cm="1">
        <f t="array" aca="1" ref="U1020" ca="1">IF(M1020&lt;=$N$1,L1020,IF(M1020&lt;=($N$1+1),INDIRECT("L"&amp;5+$X$2),""))</f>
        <v/>
      </c>
    </row>
    <row r="1021" spans="12:21" hidden="1" x14ac:dyDescent="0.25">
      <c r="L1021" s="18">
        <f t="shared" ca="1" si="129"/>
        <v>77136</v>
      </c>
      <c r="M1021" s="14">
        <v>1016</v>
      </c>
      <c r="N1021" s="14">
        <f t="shared" si="123"/>
        <v>0</v>
      </c>
      <c r="O1021" s="19">
        <f t="shared" si="124"/>
        <v>0</v>
      </c>
      <c r="P1021" s="19">
        <f t="shared" si="130"/>
        <v>0</v>
      </c>
      <c r="Q1021" s="14">
        <f t="shared" si="125"/>
        <v>0</v>
      </c>
      <c r="R1021" s="19">
        <f t="shared" si="126"/>
        <v>0</v>
      </c>
      <c r="S1021" s="19">
        <f t="shared" si="127"/>
        <v>0</v>
      </c>
      <c r="T1021" s="14">
        <f t="shared" si="128"/>
        <v>0</v>
      </c>
      <c r="U1021" s="18" t="str" cm="1">
        <f t="array" aca="1" ref="U1021" ca="1">IF(M1021&lt;=$N$1,L1021,IF(M1021&lt;=($N$1+1),INDIRECT("L"&amp;5+$X$2),""))</f>
        <v/>
      </c>
    </row>
    <row r="1022" spans="12:21" hidden="1" x14ac:dyDescent="0.25">
      <c r="L1022" s="18">
        <f t="shared" ca="1" si="129"/>
        <v>77167</v>
      </c>
      <c r="M1022" s="14">
        <v>1017</v>
      </c>
      <c r="N1022" s="14">
        <f t="shared" si="123"/>
        <v>0</v>
      </c>
      <c r="O1022" s="19">
        <f t="shared" si="124"/>
        <v>0</v>
      </c>
      <c r="P1022" s="19">
        <f t="shared" si="130"/>
        <v>0</v>
      </c>
      <c r="Q1022" s="14">
        <f t="shared" si="125"/>
        <v>0</v>
      </c>
      <c r="R1022" s="19">
        <f t="shared" si="126"/>
        <v>0</v>
      </c>
      <c r="S1022" s="19">
        <f t="shared" si="127"/>
        <v>0</v>
      </c>
      <c r="T1022" s="14">
        <f t="shared" si="128"/>
        <v>0</v>
      </c>
      <c r="U1022" s="18" t="str" cm="1">
        <f t="array" aca="1" ref="U1022" ca="1">IF(M1022&lt;=$N$1,L1022,IF(M1022&lt;=($N$1+1),INDIRECT("L"&amp;5+$X$2),""))</f>
        <v/>
      </c>
    </row>
    <row r="1023" spans="12:21" hidden="1" x14ac:dyDescent="0.25">
      <c r="L1023" s="18">
        <f t="shared" ca="1" si="129"/>
        <v>77197</v>
      </c>
      <c r="M1023" s="14">
        <v>1018</v>
      </c>
      <c r="N1023" s="14">
        <f t="shared" si="123"/>
        <v>0</v>
      </c>
      <c r="O1023" s="19">
        <f t="shared" si="124"/>
        <v>0</v>
      </c>
      <c r="P1023" s="19">
        <f t="shared" si="130"/>
        <v>0</v>
      </c>
      <c r="Q1023" s="14">
        <f t="shared" si="125"/>
        <v>0</v>
      </c>
      <c r="R1023" s="19">
        <f t="shared" si="126"/>
        <v>0</v>
      </c>
      <c r="S1023" s="19">
        <f t="shared" si="127"/>
        <v>0</v>
      </c>
      <c r="T1023" s="14">
        <f t="shared" si="128"/>
        <v>0</v>
      </c>
      <c r="U1023" s="18" t="str" cm="1">
        <f t="array" aca="1" ref="U1023" ca="1">IF(M1023&lt;=$N$1,L1023,IF(M1023&lt;=($N$1+1),INDIRECT("L"&amp;5+$X$2),""))</f>
        <v/>
      </c>
    </row>
    <row r="1024" spans="12:21" hidden="1" x14ac:dyDescent="0.25">
      <c r="L1024" s="18">
        <f t="shared" ca="1" si="129"/>
        <v>77228</v>
      </c>
      <c r="M1024" s="14">
        <v>1019</v>
      </c>
      <c r="N1024" s="14">
        <f t="shared" si="123"/>
        <v>0</v>
      </c>
      <c r="O1024" s="19">
        <f t="shared" si="124"/>
        <v>0</v>
      </c>
      <c r="P1024" s="19">
        <f t="shared" si="130"/>
        <v>0</v>
      </c>
      <c r="Q1024" s="14">
        <f t="shared" si="125"/>
        <v>0</v>
      </c>
      <c r="R1024" s="19">
        <f t="shared" si="126"/>
        <v>0</v>
      </c>
      <c r="S1024" s="19">
        <f t="shared" si="127"/>
        <v>0</v>
      </c>
      <c r="T1024" s="14">
        <f t="shared" si="128"/>
        <v>0</v>
      </c>
      <c r="U1024" s="18" t="str" cm="1">
        <f t="array" aca="1" ref="U1024" ca="1">IF(M1024&lt;=$N$1,L1024,IF(M1024&lt;=($N$1+1),INDIRECT("L"&amp;5+$X$2),""))</f>
        <v/>
      </c>
    </row>
    <row r="1025" spans="12:21" hidden="1" x14ac:dyDescent="0.25">
      <c r="L1025" s="18">
        <f t="shared" ca="1" si="129"/>
        <v>77258</v>
      </c>
      <c r="M1025" s="14">
        <v>1020</v>
      </c>
      <c r="N1025" s="14">
        <f t="shared" si="123"/>
        <v>0</v>
      </c>
      <c r="O1025" s="19">
        <f t="shared" si="124"/>
        <v>0</v>
      </c>
      <c r="P1025" s="19">
        <f t="shared" si="130"/>
        <v>0</v>
      </c>
      <c r="Q1025" s="14">
        <f t="shared" si="125"/>
        <v>0</v>
      </c>
      <c r="R1025" s="19">
        <f t="shared" si="126"/>
        <v>0</v>
      </c>
      <c r="S1025" s="19">
        <f t="shared" si="127"/>
        <v>0</v>
      </c>
      <c r="T1025" s="14">
        <f t="shared" si="128"/>
        <v>0</v>
      </c>
      <c r="U1025" s="18" t="str" cm="1">
        <f t="array" aca="1" ref="U1025" ca="1">IF(M1025&lt;=$N$1,L1025,IF(M1025&lt;=($N$1+1),INDIRECT("L"&amp;5+$X$2),""))</f>
        <v/>
      </c>
    </row>
    <row r="1026" spans="12:21" hidden="1" x14ac:dyDescent="0.25">
      <c r="L1026" s="18">
        <f t="shared" ca="1" si="129"/>
        <v>77289</v>
      </c>
      <c r="M1026" s="14">
        <v>1021</v>
      </c>
      <c r="N1026" s="14">
        <f t="shared" si="123"/>
        <v>0</v>
      </c>
      <c r="O1026" s="19">
        <f t="shared" si="124"/>
        <v>0</v>
      </c>
      <c r="P1026" s="19">
        <f t="shared" si="130"/>
        <v>0</v>
      </c>
      <c r="Q1026" s="14">
        <f t="shared" si="125"/>
        <v>0</v>
      </c>
      <c r="R1026" s="19">
        <f t="shared" si="126"/>
        <v>0</v>
      </c>
      <c r="S1026" s="19">
        <f t="shared" si="127"/>
        <v>0</v>
      </c>
      <c r="T1026" s="14">
        <f t="shared" si="128"/>
        <v>0</v>
      </c>
      <c r="U1026" s="18" t="str" cm="1">
        <f t="array" aca="1" ref="U1026" ca="1">IF(M1026&lt;=$N$1,L1026,IF(M1026&lt;=($N$1+1),INDIRECT("L"&amp;5+$X$2),""))</f>
        <v/>
      </c>
    </row>
    <row r="1027" spans="12:21" hidden="1" x14ac:dyDescent="0.25">
      <c r="L1027" s="18">
        <f t="shared" ca="1" si="129"/>
        <v>77320</v>
      </c>
      <c r="M1027" s="14">
        <v>1022</v>
      </c>
      <c r="N1027" s="14">
        <f t="shared" si="123"/>
        <v>0</v>
      </c>
      <c r="O1027" s="19">
        <f t="shared" si="124"/>
        <v>0</v>
      </c>
      <c r="P1027" s="19">
        <f t="shared" si="130"/>
        <v>0</v>
      </c>
      <c r="Q1027" s="14">
        <f t="shared" si="125"/>
        <v>0</v>
      </c>
      <c r="R1027" s="19">
        <f t="shared" si="126"/>
        <v>0</v>
      </c>
      <c r="S1027" s="19">
        <f t="shared" si="127"/>
        <v>0</v>
      </c>
      <c r="T1027" s="14">
        <f t="shared" si="128"/>
        <v>0</v>
      </c>
      <c r="U1027" s="18" t="str" cm="1">
        <f t="array" aca="1" ref="U1027" ca="1">IF(M1027&lt;=$N$1,L1027,IF(M1027&lt;=($N$1+1),INDIRECT("L"&amp;5+$X$2),""))</f>
        <v/>
      </c>
    </row>
    <row r="1028" spans="12:21" hidden="1" x14ac:dyDescent="0.25">
      <c r="L1028" s="18">
        <f t="shared" ca="1" si="129"/>
        <v>77350</v>
      </c>
      <c r="M1028" s="14">
        <v>1023</v>
      </c>
      <c r="N1028" s="14">
        <f t="shared" si="123"/>
        <v>0</v>
      </c>
      <c r="O1028" s="19">
        <f t="shared" si="124"/>
        <v>0</v>
      </c>
      <c r="P1028" s="19">
        <f t="shared" si="130"/>
        <v>0</v>
      </c>
      <c r="Q1028" s="14">
        <f t="shared" si="125"/>
        <v>0</v>
      </c>
      <c r="R1028" s="19">
        <f t="shared" si="126"/>
        <v>0</v>
      </c>
      <c r="S1028" s="19">
        <f t="shared" si="127"/>
        <v>0</v>
      </c>
      <c r="T1028" s="14">
        <f t="shared" si="128"/>
        <v>0</v>
      </c>
      <c r="U1028" s="18" t="str" cm="1">
        <f t="array" aca="1" ref="U1028" ca="1">IF(M1028&lt;=$N$1,L1028,IF(M1028&lt;=($N$1+1),INDIRECT("L"&amp;5+$X$2),""))</f>
        <v/>
      </c>
    </row>
    <row r="1029" spans="12:21" hidden="1" x14ac:dyDescent="0.25">
      <c r="L1029" s="18">
        <f t="shared" ca="1" si="129"/>
        <v>77381</v>
      </c>
      <c r="M1029" s="14">
        <v>1024</v>
      </c>
      <c r="N1029" s="14">
        <f t="shared" si="123"/>
        <v>0</v>
      </c>
      <c r="O1029" s="19">
        <f t="shared" si="124"/>
        <v>0</v>
      </c>
      <c r="P1029" s="19">
        <f t="shared" si="130"/>
        <v>0</v>
      </c>
      <c r="Q1029" s="14">
        <f t="shared" si="125"/>
        <v>0</v>
      </c>
      <c r="R1029" s="19">
        <f t="shared" si="126"/>
        <v>0</v>
      </c>
      <c r="S1029" s="19">
        <f t="shared" si="127"/>
        <v>0</v>
      </c>
      <c r="T1029" s="14">
        <f t="shared" si="128"/>
        <v>0</v>
      </c>
      <c r="U1029" s="18" t="str" cm="1">
        <f t="array" aca="1" ref="U1029" ca="1">IF(M1029&lt;=$N$1,L1029,IF(M1029&lt;=($N$1+1),INDIRECT("L"&amp;5+$X$2),""))</f>
        <v/>
      </c>
    </row>
    <row r="1030" spans="12:21" hidden="1" x14ac:dyDescent="0.25">
      <c r="L1030" s="18">
        <f t="shared" ca="1" si="129"/>
        <v>77411</v>
      </c>
      <c r="M1030" s="14">
        <v>1025</v>
      </c>
      <c r="N1030" s="14">
        <f t="shared" ref="N1030:N1093" si="131">IF($N$1&gt;=M1030,SIPMonthlyPmt*M1030,0)</f>
        <v>0</v>
      </c>
      <c r="O1030" s="19">
        <f t="shared" ref="O1030:O1093" si="132">IF($X$2&gt;=M1030,IF(M1030&lt;=$N$1,FV(SRate,M1030,-SIPMonthlyPmt,0,1),FV(SRate,M1030-$N$1,0,-$X$1,1)),0)</f>
        <v>0</v>
      </c>
      <c r="P1030" s="19">
        <f t="shared" si="130"/>
        <v>0</v>
      </c>
      <c r="Q1030" s="14">
        <f t="shared" ref="Q1030:Q1093" si="133">IF((M1030-$C$15)&gt;0, IF($N$1+$C$15&gt;=M1030,SIPMonthlyPmt*(M1030-$C$15),0),0)</f>
        <v>0</v>
      </c>
      <c r="R1030" s="19">
        <f t="shared" ref="R1030:R1093" si="134">IF(M1030&lt;=$C$15,0,IF($X$2&gt;=M1030,IF(M1030&lt;=($N$1+$C$15),FV(SRate,M1030-$C$15,-SIPMonthlyPmt,0,1),FV(SRate,M1030-$N$1-$C$15,0,-$X$1,1)),0))</f>
        <v>0</v>
      </c>
      <c r="S1030" s="19">
        <f t="shared" ref="S1030:S1093" si="135">R1030/((1+SIPInflationRate)^((M1030-$C$15)/12))</f>
        <v>0</v>
      </c>
      <c r="T1030" s="14">
        <f t="shared" ref="T1030:T1093" si="136">IF(M1030&lt;=$N$1,-SIPMonthlyPmt,IF(M1030&lt;=($N$1+1),$X$4,0))</f>
        <v>0</v>
      </c>
      <c r="U1030" s="18" t="str" cm="1">
        <f t="array" aca="1" ref="U1030" ca="1">IF(M1030&lt;=$N$1,L1030,IF(M1030&lt;=($N$1+1),INDIRECT("L"&amp;5+$X$2),""))</f>
        <v/>
      </c>
    </row>
    <row r="1031" spans="12:21" hidden="1" x14ac:dyDescent="0.25">
      <c r="L1031" s="18">
        <f t="shared" ca="1" si="129"/>
        <v>77442</v>
      </c>
      <c r="M1031" s="14">
        <v>1026</v>
      </c>
      <c r="N1031" s="14">
        <f t="shared" si="131"/>
        <v>0</v>
      </c>
      <c r="O1031" s="19">
        <f t="shared" si="132"/>
        <v>0</v>
      </c>
      <c r="P1031" s="19">
        <f t="shared" si="130"/>
        <v>0</v>
      </c>
      <c r="Q1031" s="14">
        <f t="shared" si="133"/>
        <v>0</v>
      </c>
      <c r="R1031" s="19">
        <f t="shared" si="134"/>
        <v>0</v>
      </c>
      <c r="S1031" s="19">
        <f t="shared" si="135"/>
        <v>0</v>
      </c>
      <c r="T1031" s="14">
        <f t="shared" si="136"/>
        <v>0</v>
      </c>
      <c r="U1031" s="18" t="str" cm="1">
        <f t="array" aca="1" ref="U1031" ca="1">IF(M1031&lt;=$N$1,L1031,IF(M1031&lt;=($N$1+1),INDIRECT("L"&amp;5+$X$2),""))</f>
        <v/>
      </c>
    </row>
    <row r="1032" spans="12:21" hidden="1" x14ac:dyDescent="0.25">
      <c r="L1032" s="18">
        <f t="shared" ca="1" si="129"/>
        <v>77473</v>
      </c>
      <c r="M1032" s="14">
        <v>1027</v>
      </c>
      <c r="N1032" s="14">
        <f t="shared" si="131"/>
        <v>0</v>
      </c>
      <c r="O1032" s="19">
        <f t="shared" si="132"/>
        <v>0</v>
      </c>
      <c r="P1032" s="19">
        <f t="shared" si="130"/>
        <v>0</v>
      </c>
      <c r="Q1032" s="14">
        <f t="shared" si="133"/>
        <v>0</v>
      </c>
      <c r="R1032" s="19">
        <f t="shared" si="134"/>
        <v>0</v>
      </c>
      <c r="S1032" s="19">
        <f t="shared" si="135"/>
        <v>0</v>
      </c>
      <c r="T1032" s="14">
        <f t="shared" si="136"/>
        <v>0</v>
      </c>
      <c r="U1032" s="18" t="str" cm="1">
        <f t="array" aca="1" ref="U1032" ca="1">IF(M1032&lt;=$N$1,L1032,IF(M1032&lt;=($N$1+1),INDIRECT("L"&amp;5+$X$2),""))</f>
        <v/>
      </c>
    </row>
    <row r="1033" spans="12:21" hidden="1" x14ac:dyDescent="0.25">
      <c r="L1033" s="18">
        <f t="shared" ref="L1033:L1096" ca="1" si="137">EDATE(L1032,1)</f>
        <v>77502</v>
      </c>
      <c r="M1033" s="14">
        <v>1028</v>
      </c>
      <c r="N1033" s="14">
        <f t="shared" si="131"/>
        <v>0</v>
      </c>
      <c r="O1033" s="19">
        <f t="shared" si="132"/>
        <v>0</v>
      </c>
      <c r="P1033" s="19">
        <f t="shared" si="130"/>
        <v>0</v>
      </c>
      <c r="Q1033" s="14">
        <f t="shared" si="133"/>
        <v>0</v>
      </c>
      <c r="R1033" s="19">
        <f t="shared" si="134"/>
        <v>0</v>
      </c>
      <c r="S1033" s="19">
        <f t="shared" si="135"/>
        <v>0</v>
      </c>
      <c r="T1033" s="14">
        <f t="shared" si="136"/>
        <v>0</v>
      </c>
      <c r="U1033" s="18" t="str" cm="1">
        <f t="array" aca="1" ref="U1033" ca="1">IF(M1033&lt;=$N$1,L1033,IF(M1033&lt;=($N$1+1),INDIRECT("L"&amp;5+$X$2),""))</f>
        <v/>
      </c>
    </row>
    <row r="1034" spans="12:21" hidden="1" x14ac:dyDescent="0.25">
      <c r="L1034" s="18">
        <f t="shared" ca="1" si="137"/>
        <v>77533</v>
      </c>
      <c r="M1034" s="14">
        <v>1029</v>
      </c>
      <c r="N1034" s="14">
        <f t="shared" si="131"/>
        <v>0</v>
      </c>
      <c r="O1034" s="19">
        <f t="shared" si="132"/>
        <v>0</v>
      </c>
      <c r="P1034" s="19">
        <f t="shared" si="130"/>
        <v>0</v>
      </c>
      <c r="Q1034" s="14">
        <f t="shared" si="133"/>
        <v>0</v>
      </c>
      <c r="R1034" s="19">
        <f t="shared" si="134"/>
        <v>0</v>
      </c>
      <c r="S1034" s="19">
        <f t="shared" si="135"/>
        <v>0</v>
      </c>
      <c r="T1034" s="14">
        <f t="shared" si="136"/>
        <v>0</v>
      </c>
      <c r="U1034" s="18" t="str" cm="1">
        <f t="array" aca="1" ref="U1034" ca="1">IF(M1034&lt;=$N$1,L1034,IF(M1034&lt;=($N$1+1),INDIRECT("L"&amp;5+$X$2),""))</f>
        <v/>
      </c>
    </row>
    <row r="1035" spans="12:21" hidden="1" x14ac:dyDescent="0.25">
      <c r="L1035" s="18">
        <f t="shared" ca="1" si="137"/>
        <v>77563</v>
      </c>
      <c r="M1035" s="14">
        <v>1030</v>
      </c>
      <c r="N1035" s="14">
        <f t="shared" si="131"/>
        <v>0</v>
      </c>
      <c r="O1035" s="19">
        <f t="shared" si="132"/>
        <v>0</v>
      </c>
      <c r="P1035" s="19">
        <f t="shared" si="130"/>
        <v>0</v>
      </c>
      <c r="Q1035" s="14">
        <f t="shared" si="133"/>
        <v>0</v>
      </c>
      <c r="R1035" s="19">
        <f t="shared" si="134"/>
        <v>0</v>
      </c>
      <c r="S1035" s="19">
        <f t="shared" si="135"/>
        <v>0</v>
      </c>
      <c r="T1035" s="14">
        <f t="shared" si="136"/>
        <v>0</v>
      </c>
      <c r="U1035" s="18" t="str" cm="1">
        <f t="array" aca="1" ref="U1035" ca="1">IF(M1035&lt;=$N$1,L1035,IF(M1035&lt;=($N$1+1),INDIRECT("L"&amp;5+$X$2),""))</f>
        <v/>
      </c>
    </row>
    <row r="1036" spans="12:21" hidden="1" x14ac:dyDescent="0.25">
      <c r="L1036" s="18">
        <f t="shared" ca="1" si="137"/>
        <v>77594</v>
      </c>
      <c r="M1036" s="14">
        <v>1031</v>
      </c>
      <c r="N1036" s="14">
        <f t="shared" si="131"/>
        <v>0</v>
      </c>
      <c r="O1036" s="19">
        <f t="shared" si="132"/>
        <v>0</v>
      </c>
      <c r="P1036" s="19">
        <f t="shared" si="130"/>
        <v>0</v>
      </c>
      <c r="Q1036" s="14">
        <f t="shared" si="133"/>
        <v>0</v>
      </c>
      <c r="R1036" s="19">
        <f t="shared" si="134"/>
        <v>0</v>
      </c>
      <c r="S1036" s="19">
        <f t="shared" si="135"/>
        <v>0</v>
      </c>
      <c r="T1036" s="14">
        <f t="shared" si="136"/>
        <v>0</v>
      </c>
      <c r="U1036" s="18" t="str" cm="1">
        <f t="array" aca="1" ref="U1036" ca="1">IF(M1036&lt;=$N$1,L1036,IF(M1036&lt;=($N$1+1),INDIRECT("L"&amp;5+$X$2),""))</f>
        <v/>
      </c>
    </row>
    <row r="1037" spans="12:21" hidden="1" x14ac:dyDescent="0.25">
      <c r="L1037" s="18">
        <f t="shared" ca="1" si="137"/>
        <v>77624</v>
      </c>
      <c r="M1037" s="14">
        <v>1032</v>
      </c>
      <c r="N1037" s="14">
        <f t="shared" si="131"/>
        <v>0</v>
      </c>
      <c r="O1037" s="19">
        <f t="shared" si="132"/>
        <v>0</v>
      </c>
      <c r="P1037" s="19">
        <f t="shared" si="130"/>
        <v>0</v>
      </c>
      <c r="Q1037" s="14">
        <f t="shared" si="133"/>
        <v>0</v>
      </c>
      <c r="R1037" s="19">
        <f t="shared" si="134"/>
        <v>0</v>
      </c>
      <c r="S1037" s="19">
        <f t="shared" si="135"/>
        <v>0</v>
      </c>
      <c r="T1037" s="14">
        <f t="shared" si="136"/>
        <v>0</v>
      </c>
      <c r="U1037" s="18" t="str" cm="1">
        <f t="array" aca="1" ref="U1037" ca="1">IF(M1037&lt;=$N$1,L1037,IF(M1037&lt;=($N$1+1),INDIRECT("L"&amp;5+$X$2),""))</f>
        <v/>
      </c>
    </row>
    <row r="1038" spans="12:21" hidden="1" x14ac:dyDescent="0.25">
      <c r="L1038" s="18">
        <f t="shared" ca="1" si="137"/>
        <v>77655</v>
      </c>
      <c r="M1038" s="14">
        <v>1033</v>
      </c>
      <c r="N1038" s="14">
        <f t="shared" si="131"/>
        <v>0</v>
      </c>
      <c r="O1038" s="19">
        <f t="shared" si="132"/>
        <v>0</v>
      </c>
      <c r="P1038" s="19">
        <f t="shared" si="130"/>
        <v>0</v>
      </c>
      <c r="Q1038" s="14">
        <f t="shared" si="133"/>
        <v>0</v>
      </c>
      <c r="R1038" s="19">
        <f t="shared" si="134"/>
        <v>0</v>
      </c>
      <c r="S1038" s="19">
        <f t="shared" si="135"/>
        <v>0</v>
      </c>
      <c r="T1038" s="14">
        <f t="shared" si="136"/>
        <v>0</v>
      </c>
      <c r="U1038" s="18" t="str" cm="1">
        <f t="array" aca="1" ref="U1038" ca="1">IF(M1038&lt;=$N$1,L1038,IF(M1038&lt;=($N$1+1),INDIRECT("L"&amp;5+$X$2),""))</f>
        <v/>
      </c>
    </row>
    <row r="1039" spans="12:21" hidden="1" x14ac:dyDescent="0.25">
      <c r="L1039" s="18">
        <f t="shared" ca="1" si="137"/>
        <v>77686</v>
      </c>
      <c r="M1039" s="14">
        <v>1034</v>
      </c>
      <c r="N1039" s="14">
        <f t="shared" si="131"/>
        <v>0</v>
      </c>
      <c r="O1039" s="19">
        <f t="shared" si="132"/>
        <v>0</v>
      </c>
      <c r="P1039" s="19">
        <f t="shared" si="130"/>
        <v>0</v>
      </c>
      <c r="Q1039" s="14">
        <f t="shared" si="133"/>
        <v>0</v>
      </c>
      <c r="R1039" s="19">
        <f t="shared" si="134"/>
        <v>0</v>
      </c>
      <c r="S1039" s="19">
        <f t="shared" si="135"/>
        <v>0</v>
      </c>
      <c r="T1039" s="14">
        <f t="shared" si="136"/>
        <v>0</v>
      </c>
      <c r="U1039" s="18" t="str" cm="1">
        <f t="array" aca="1" ref="U1039" ca="1">IF(M1039&lt;=$N$1,L1039,IF(M1039&lt;=($N$1+1),INDIRECT("L"&amp;5+$X$2),""))</f>
        <v/>
      </c>
    </row>
    <row r="1040" spans="12:21" hidden="1" x14ac:dyDescent="0.25">
      <c r="L1040" s="18">
        <f t="shared" ca="1" si="137"/>
        <v>77716</v>
      </c>
      <c r="M1040" s="14">
        <v>1035</v>
      </c>
      <c r="N1040" s="14">
        <f t="shared" si="131"/>
        <v>0</v>
      </c>
      <c r="O1040" s="19">
        <f t="shared" si="132"/>
        <v>0</v>
      </c>
      <c r="P1040" s="19">
        <f t="shared" si="130"/>
        <v>0</v>
      </c>
      <c r="Q1040" s="14">
        <f t="shared" si="133"/>
        <v>0</v>
      </c>
      <c r="R1040" s="19">
        <f t="shared" si="134"/>
        <v>0</v>
      </c>
      <c r="S1040" s="19">
        <f t="shared" si="135"/>
        <v>0</v>
      </c>
      <c r="T1040" s="14">
        <f t="shared" si="136"/>
        <v>0</v>
      </c>
      <c r="U1040" s="18" t="str" cm="1">
        <f t="array" aca="1" ref="U1040" ca="1">IF(M1040&lt;=$N$1,L1040,IF(M1040&lt;=($N$1+1),INDIRECT("L"&amp;5+$X$2),""))</f>
        <v/>
      </c>
    </row>
    <row r="1041" spans="12:21" hidden="1" x14ac:dyDescent="0.25">
      <c r="L1041" s="18">
        <f t="shared" ca="1" si="137"/>
        <v>77747</v>
      </c>
      <c r="M1041" s="14">
        <v>1036</v>
      </c>
      <c r="N1041" s="14">
        <f t="shared" si="131"/>
        <v>0</v>
      </c>
      <c r="O1041" s="19">
        <f t="shared" si="132"/>
        <v>0</v>
      </c>
      <c r="P1041" s="19">
        <f t="shared" si="130"/>
        <v>0</v>
      </c>
      <c r="Q1041" s="14">
        <f t="shared" si="133"/>
        <v>0</v>
      </c>
      <c r="R1041" s="19">
        <f t="shared" si="134"/>
        <v>0</v>
      </c>
      <c r="S1041" s="19">
        <f t="shared" si="135"/>
        <v>0</v>
      </c>
      <c r="T1041" s="14">
        <f t="shared" si="136"/>
        <v>0</v>
      </c>
      <c r="U1041" s="18" t="str" cm="1">
        <f t="array" aca="1" ref="U1041" ca="1">IF(M1041&lt;=$N$1,L1041,IF(M1041&lt;=($N$1+1),INDIRECT("L"&amp;5+$X$2),""))</f>
        <v/>
      </c>
    </row>
    <row r="1042" spans="12:21" hidden="1" x14ac:dyDescent="0.25">
      <c r="L1042" s="18">
        <f t="shared" ca="1" si="137"/>
        <v>77777</v>
      </c>
      <c r="M1042" s="14">
        <v>1037</v>
      </c>
      <c r="N1042" s="14">
        <f t="shared" si="131"/>
        <v>0</v>
      </c>
      <c r="O1042" s="19">
        <f t="shared" si="132"/>
        <v>0</v>
      </c>
      <c r="P1042" s="19">
        <f t="shared" si="130"/>
        <v>0</v>
      </c>
      <c r="Q1042" s="14">
        <f t="shared" si="133"/>
        <v>0</v>
      </c>
      <c r="R1042" s="19">
        <f t="shared" si="134"/>
        <v>0</v>
      </c>
      <c r="S1042" s="19">
        <f t="shared" si="135"/>
        <v>0</v>
      </c>
      <c r="T1042" s="14">
        <f t="shared" si="136"/>
        <v>0</v>
      </c>
      <c r="U1042" s="18" t="str" cm="1">
        <f t="array" aca="1" ref="U1042" ca="1">IF(M1042&lt;=$N$1,L1042,IF(M1042&lt;=($N$1+1),INDIRECT("L"&amp;5+$X$2),""))</f>
        <v/>
      </c>
    </row>
    <row r="1043" spans="12:21" hidden="1" x14ac:dyDescent="0.25">
      <c r="L1043" s="18">
        <f t="shared" ca="1" si="137"/>
        <v>77808</v>
      </c>
      <c r="M1043" s="14">
        <v>1038</v>
      </c>
      <c r="N1043" s="14">
        <f t="shared" si="131"/>
        <v>0</v>
      </c>
      <c r="O1043" s="19">
        <f t="shared" si="132"/>
        <v>0</v>
      </c>
      <c r="P1043" s="19">
        <f t="shared" si="130"/>
        <v>0</v>
      </c>
      <c r="Q1043" s="14">
        <f t="shared" si="133"/>
        <v>0</v>
      </c>
      <c r="R1043" s="19">
        <f t="shared" si="134"/>
        <v>0</v>
      </c>
      <c r="S1043" s="19">
        <f t="shared" si="135"/>
        <v>0</v>
      </c>
      <c r="T1043" s="14">
        <f t="shared" si="136"/>
        <v>0</v>
      </c>
      <c r="U1043" s="18" t="str" cm="1">
        <f t="array" aca="1" ref="U1043" ca="1">IF(M1043&lt;=$N$1,L1043,IF(M1043&lt;=($N$1+1),INDIRECT("L"&amp;5+$X$2),""))</f>
        <v/>
      </c>
    </row>
    <row r="1044" spans="12:21" hidden="1" x14ac:dyDescent="0.25">
      <c r="L1044" s="18">
        <f t="shared" ca="1" si="137"/>
        <v>77839</v>
      </c>
      <c r="M1044" s="14">
        <v>1039</v>
      </c>
      <c r="N1044" s="14">
        <f t="shared" si="131"/>
        <v>0</v>
      </c>
      <c r="O1044" s="19">
        <f t="shared" si="132"/>
        <v>0</v>
      </c>
      <c r="P1044" s="19">
        <f t="shared" si="130"/>
        <v>0</v>
      </c>
      <c r="Q1044" s="14">
        <f t="shared" si="133"/>
        <v>0</v>
      </c>
      <c r="R1044" s="19">
        <f t="shared" si="134"/>
        <v>0</v>
      </c>
      <c r="S1044" s="19">
        <f t="shared" si="135"/>
        <v>0</v>
      </c>
      <c r="T1044" s="14">
        <f t="shared" si="136"/>
        <v>0</v>
      </c>
      <c r="U1044" s="18" t="str" cm="1">
        <f t="array" aca="1" ref="U1044" ca="1">IF(M1044&lt;=$N$1,L1044,IF(M1044&lt;=($N$1+1),INDIRECT("L"&amp;5+$X$2),""))</f>
        <v/>
      </c>
    </row>
    <row r="1045" spans="12:21" hidden="1" x14ac:dyDescent="0.25">
      <c r="L1045" s="18">
        <f t="shared" ca="1" si="137"/>
        <v>77867</v>
      </c>
      <c r="M1045" s="14">
        <v>1040</v>
      </c>
      <c r="N1045" s="14">
        <f t="shared" si="131"/>
        <v>0</v>
      </c>
      <c r="O1045" s="19">
        <f t="shared" si="132"/>
        <v>0</v>
      </c>
      <c r="P1045" s="19">
        <f t="shared" si="130"/>
        <v>0</v>
      </c>
      <c r="Q1045" s="14">
        <f t="shared" si="133"/>
        <v>0</v>
      </c>
      <c r="R1045" s="19">
        <f t="shared" si="134"/>
        <v>0</v>
      </c>
      <c r="S1045" s="19">
        <f t="shared" si="135"/>
        <v>0</v>
      </c>
      <c r="T1045" s="14">
        <f t="shared" si="136"/>
        <v>0</v>
      </c>
      <c r="U1045" s="18" t="str" cm="1">
        <f t="array" aca="1" ref="U1045" ca="1">IF(M1045&lt;=$N$1,L1045,IF(M1045&lt;=($N$1+1),INDIRECT("L"&amp;5+$X$2),""))</f>
        <v/>
      </c>
    </row>
    <row r="1046" spans="12:21" hidden="1" x14ac:dyDescent="0.25">
      <c r="L1046" s="18">
        <f t="shared" ca="1" si="137"/>
        <v>77898</v>
      </c>
      <c r="M1046" s="14">
        <v>1041</v>
      </c>
      <c r="N1046" s="14">
        <f t="shared" si="131"/>
        <v>0</v>
      </c>
      <c r="O1046" s="19">
        <f t="shared" si="132"/>
        <v>0</v>
      </c>
      <c r="P1046" s="19">
        <f t="shared" si="130"/>
        <v>0</v>
      </c>
      <c r="Q1046" s="14">
        <f t="shared" si="133"/>
        <v>0</v>
      </c>
      <c r="R1046" s="19">
        <f t="shared" si="134"/>
        <v>0</v>
      </c>
      <c r="S1046" s="19">
        <f t="shared" si="135"/>
        <v>0</v>
      </c>
      <c r="T1046" s="14">
        <f t="shared" si="136"/>
        <v>0</v>
      </c>
      <c r="U1046" s="18" t="str" cm="1">
        <f t="array" aca="1" ref="U1046" ca="1">IF(M1046&lt;=$N$1,L1046,IF(M1046&lt;=($N$1+1),INDIRECT("L"&amp;5+$X$2),""))</f>
        <v/>
      </c>
    </row>
    <row r="1047" spans="12:21" hidden="1" x14ac:dyDescent="0.25">
      <c r="L1047" s="18">
        <f t="shared" ca="1" si="137"/>
        <v>77928</v>
      </c>
      <c r="M1047" s="14">
        <v>1042</v>
      </c>
      <c r="N1047" s="14">
        <f t="shared" si="131"/>
        <v>0</v>
      </c>
      <c r="O1047" s="19">
        <f t="shared" si="132"/>
        <v>0</v>
      </c>
      <c r="P1047" s="19">
        <f t="shared" si="130"/>
        <v>0</v>
      </c>
      <c r="Q1047" s="14">
        <f t="shared" si="133"/>
        <v>0</v>
      </c>
      <c r="R1047" s="19">
        <f t="shared" si="134"/>
        <v>0</v>
      </c>
      <c r="S1047" s="19">
        <f t="shared" si="135"/>
        <v>0</v>
      </c>
      <c r="T1047" s="14">
        <f t="shared" si="136"/>
        <v>0</v>
      </c>
      <c r="U1047" s="18" t="str" cm="1">
        <f t="array" aca="1" ref="U1047" ca="1">IF(M1047&lt;=$N$1,L1047,IF(M1047&lt;=($N$1+1),INDIRECT("L"&amp;5+$X$2),""))</f>
        <v/>
      </c>
    </row>
    <row r="1048" spans="12:21" hidden="1" x14ac:dyDescent="0.25">
      <c r="L1048" s="18">
        <f t="shared" ca="1" si="137"/>
        <v>77959</v>
      </c>
      <c r="M1048" s="14">
        <v>1043</v>
      </c>
      <c r="N1048" s="14">
        <f t="shared" si="131"/>
        <v>0</v>
      </c>
      <c r="O1048" s="19">
        <f t="shared" si="132"/>
        <v>0</v>
      </c>
      <c r="P1048" s="19">
        <f t="shared" si="130"/>
        <v>0</v>
      </c>
      <c r="Q1048" s="14">
        <f t="shared" si="133"/>
        <v>0</v>
      </c>
      <c r="R1048" s="19">
        <f t="shared" si="134"/>
        <v>0</v>
      </c>
      <c r="S1048" s="19">
        <f t="shared" si="135"/>
        <v>0</v>
      </c>
      <c r="T1048" s="14">
        <f t="shared" si="136"/>
        <v>0</v>
      </c>
      <c r="U1048" s="18" t="str" cm="1">
        <f t="array" aca="1" ref="U1048" ca="1">IF(M1048&lt;=$N$1,L1048,IF(M1048&lt;=($N$1+1),INDIRECT("L"&amp;5+$X$2),""))</f>
        <v/>
      </c>
    </row>
    <row r="1049" spans="12:21" hidden="1" x14ac:dyDescent="0.25">
      <c r="L1049" s="18">
        <f t="shared" ca="1" si="137"/>
        <v>77989</v>
      </c>
      <c r="M1049" s="14">
        <v>1044</v>
      </c>
      <c r="N1049" s="14">
        <f t="shared" si="131"/>
        <v>0</v>
      </c>
      <c r="O1049" s="19">
        <f t="shared" si="132"/>
        <v>0</v>
      </c>
      <c r="P1049" s="19">
        <f t="shared" si="130"/>
        <v>0</v>
      </c>
      <c r="Q1049" s="14">
        <f t="shared" si="133"/>
        <v>0</v>
      </c>
      <c r="R1049" s="19">
        <f t="shared" si="134"/>
        <v>0</v>
      </c>
      <c r="S1049" s="19">
        <f t="shared" si="135"/>
        <v>0</v>
      </c>
      <c r="T1049" s="14">
        <f t="shared" si="136"/>
        <v>0</v>
      </c>
      <c r="U1049" s="18" t="str" cm="1">
        <f t="array" aca="1" ref="U1049" ca="1">IF(M1049&lt;=$N$1,L1049,IF(M1049&lt;=($N$1+1),INDIRECT("L"&amp;5+$X$2),""))</f>
        <v/>
      </c>
    </row>
    <row r="1050" spans="12:21" hidden="1" x14ac:dyDescent="0.25">
      <c r="L1050" s="18">
        <f t="shared" ca="1" si="137"/>
        <v>78020</v>
      </c>
      <c r="M1050" s="14">
        <v>1045</v>
      </c>
      <c r="N1050" s="14">
        <f t="shared" si="131"/>
        <v>0</v>
      </c>
      <c r="O1050" s="19">
        <f t="shared" si="132"/>
        <v>0</v>
      </c>
      <c r="P1050" s="19">
        <f t="shared" si="130"/>
        <v>0</v>
      </c>
      <c r="Q1050" s="14">
        <f t="shared" si="133"/>
        <v>0</v>
      </c>
      <c r="R1050" s="19">
        <f t="shared" si="134"/>
        <v>0</v>
      </c>
      <c r="S1050" s="19">
        <f t="shared" si="135"/>
        <v>0</v>
      </c>
      <c r="T1050" s="14">
        <f t="shared" si="136"/>
        <v>0</v>
      </c>
      <c r="U1050" s="18" t="str" cm="1">
        <f t="array" aca="1" ref="U1050" ca="1">IF(M1050&lt;=$N$1,L1050,IF(M1050&lt;=($N$1+1),INDIRECT("L"&amp;5+$X$2),""))</f>
        <v/>
      </c>
    </row>
    <row r="1051" spans="12:21" hidden="1" x14ac:dyDescent="0.25">
      <c r="L1051" s="18">
        <f t="shared" ca="1" si="137"/>
        <v>78051</v>
      </c>
      <c r="M1051" s="14">
        <v>1046</v>
      </c>
      <c r="N1051" s="14">
        <f t="shared" si="131"/>
        <v>0</v>
      </c>
      <c r="O1051" s="19">
        <f t="shared" si="132"/>
        <v>0</v>
      </c>
      <c r="P1051" s="19">
        <f t="shared" si="130"/>
        <v>0</v>
      </c>
      <c r="Q1051" s="14">
        <f t="shared" si="133"/>
        <v>0</v>
      </c>
      <c r="R1051" s="19">
        <f t="shared" si="134"/>
        <v>0</v>
      </c>
      <c r="S1051" s="19">
        <f t="shared" si="135"/>
        <v>0</v>
      </c>
      <c r="T1051" s="14">
        <f t="shared" si="136"/>
        <v>0</v>
      </c>
      <c r="U1051" s="18" t="str" cm="1">
        <f t="array" aca="1" ref="U1051" ca="1">IF(M1051&lt;=$N$1,L1051,IF(M1051&lt;=($N$1+1),INDIRECT("L"&amp;5+$X$2),""))</f>
        <v/>
      </c>
    </row>
    <row r="1052" spans="12:21" hidden="1" x14ac:dyDescent="0.25">
      <c r="L1052" s="18">
        <f t="shared" ca="1" si="137"/>
        <v>78081</v>
      </c>
      <c r="M1052" s="14">
        <v>1047</v>
      </c>
      <c r="N1052" s="14">
        <f t="shared" si="131"/>
        <v>0</v>
      </c>
      <c r="O1052" s="19">
        <f t="shared" si="132"/>
        <v>0</v>
      </c>
      <c r="P1052" s="19">
        <f t="shared" si="130"/>
        <v>0</v>
      </c>
      <c r="Q1052" s="14">
        <f t="shared" si="133"/>
        <v>0</v>
      </c>
      <c r="R1052" s="19">
        <f t="shared" si="134"/>
        <v>0</v>
      </c>
      <c r="S1052" s="19">
        <f t="shared" si="135"/>
        <v>0</v>
      </c>
      <c r="T1052" s="14">
        <f t="shared" si="136"/>
        <v>0</v>
      </c>
      <c r="U1052" s="18" t="str" cm="1">
        <f t="array" aca="1" ref="U1052" ca="1">IF(M1052&lt;=$N$1,L1052,IF(M1052&lt;=($N$1+1),INDIRECT("L"&amp;5+$X$2),""))</f>
        <v/>
      </c>
    </row>
    <row r="1053" spans="12:21" hidden="1" x14ac:dyDescent="0.25">
      <c r="L1053" s="18">
        <f t="shared" ca="1" si="137"/>
        <v>78112</v>
      </c>
      <c r="M1053" s="14">
        <v>1048</v>
      </c>
      <c r="N1053" s="14">
        <f t="shared" si="131"/>
        <v>0</v>
      </c>
      <c r="O1053" s="19">
        <f t="shared" si="132"/>
        <v>0</v>
      </c>
      <c r="P1053" s="19">
        <f t="shared" si="130"/>
        <v>0</v>
      </c>
      <c r="Q1053" s="14">
        <f t="shared" si="133"/>
        <v>0</v>
      </c>
      <c r="R1053" s="19">
        <f t="shared" si="134"/>
        <v>0</v>
      </c>
      <c r="S1053" s="19">
        <f t="shared" si="135"/>
        <v>0</v>
      </c>
      <c r="T1053" s="14">
        <f t="shared" si="136"/>
        <v>0</v>
      </c>
      <c r="U1053" s="18" t="str" cm="1">
        <f t="array" aca="1" ref="U1053" ca="1">IF(M1053&lt;=$N$1,L1053,IF(M1053&lt;=($N$1+1),INDIRECT("L"&amp;5+$X$2),""))</f>
        <v/>
      </c>
    </row>
    <row r="1054" spans="12:21" hidden="1" x14ac:dyDescent="0.25">
      <c r="L1054" s="18">
        <f t="shared" ca="1" si="137"/>
        <v>78142</v>
      </c>
      <c r="M1054" s="14">
        <v>1049</v>
      </c>
      <c r="N1054" s="14">
        <f t="shared" si="131"/>
        <v>0</v>
      </c>
      <c r="O1054" s="19">
        <f t="shared" si="132"/>
        <v>0</v>
      </c>
      <c r="P1054" s="19">
        <f t="shared" si="130"/>
        <v>0</v>
      </c>
      <c r="Q1054" s="14">
        <f t="shared" si="133"/>
        <v>0</v>
      </c>
      <c r="R1054" s="19">
        <f t="shared" si="134"/>
        <v>0</v>
      </c>
      <c r="S1054" s="19">
        <f t="shared" si="135"/>
        <v>0</v>
      </c>
      <c r="T1054" s="14">
        <f t="shared" si="136"/>
        <v>0</v>
      </c>
      <c r="U1054" s="18" t="str" cm="1">
        <f t="array" aca="1" ref="U1054" ca="1">IF(M1054&lt;=$N$1,L1054,IF(M1054&lt;=($N$1+1),INDIRECT("L"&amp;5+$X$2),""))</f>
        <v/>
      </c>
    </row>
    <row r="1055" spans="12:21" hidden="1" x14ac:dyDescent="0.25">
      <c r="L1055" s="18">
        <f t="shared" ca="1" si="137"/>
        <v>78173</v>
      </c>
      <c r="M1055" s="14">
        <v>1050</v>
      </c>
      <c r="N1055" s="14">
        <f t="shared" si="131"/>
        <v>0</v>
      </c>
      <c r="O1055" s="19">
        <f t="shared" si="132"/>
        <v>0</v>
      </c>
      <c r="P1055" s="19">
        <f t="shared" si="130"/>
        <v>0</v>
      </c>
      <c r="Q1055" s="14">
        <f t="shared" si="133"/>
        <v>0</v>
      </c>
      <c r="R1055" s="19">
        <f t="shared" si="134"/>
        <v>0</v>
      </c>
      <c r="S1055" s="19">
        <f t="shared" si="135"/>
        <v>0</v>
      </c>
      <c r="T1055" s="14">
        <f t="shared" si="136"/>
        <v>0</v>
      </c>
      <c r="U1055" s="18" t="str" cm="1">
        <f t="array" aca="1" ref="U1055" ca="1">IF(M1055&lt;=$N$1,L1055,IF(M1055&lt;=($N$1+1),INDIRECT("L"&amp;5+$X$2),""))</f>
        <v/>
      </c>
    </row>
    <row r="1056" spans="12:21" hidden="1" x14ac:dyDescent="0.25">
      <c r="L1056" s="18">
        <f t="shared" ca="1" si="137"/>
        <v>78204</v>
      </c>
      <c r="M1056" s="14">
        <v>1051</v>
      </c>
      <c r="N1056" s="14">
        <f t="shared" si="131"/>
        <v>0</v>
      </c>
      <c r="O1056" s="19">
        <f t="shared" si="132"/>
        <v>0</v>
      </c>
      <c r="P1056" s="19">
        <f t="shared" si="130"/>
        <v>0</v>
      </c>
      <c r="Q1056" s="14">
        <f t="shared" si="133"/>
        <v>0</v>
      </c>
      <c r="R1056" s="19">
        <f t="shared" si="134"/>
        <v>0</v>
      </c>
      <c r="S1056" s="19">
        <f t="shared" si="135"/>
        <v>0</v>
      </c>
      <c r="T1056" s="14">
        <f t="shared" si="136"/>
        <v>0</v>
      </c>
      <c r="U1056" s="18" t="str" cm="1">
        <f t="array" aca="1" ref="U1056" ca="1">IF(M1056&lt;=$N$1,L1056,IF(M1056&lt;=($N$1+1),INDIRECT("L"&amp;5+$X$2),""))</f>
        <v/>
      </c>
    </row>
    <row r="1057" spans="12:21" hidden="1" x14ac:dyDescent="0.25">
      <c r="L1057" s="18">
        <f t="shared" ca="1" si="137"/>
        <v>78232</v>
      </c>
      <c r="M1057" s="14">
        <v>1052</v>
      </c>
      <c r="N1057" s="14">
        <f t="shared" si="131"/>
        <v>0</v>
      </c>
      <c r="O1057" s="19">
        <f t="shared" si="132"/>
        <v>0</v>
      </c>
      <c r="P1057" s="19">
        <f t="shared" si="130"/>
        <v>0</v>
      </c>
      <c r="Q1057" s="14">
        <f t="shared" si="133"/>
        <v>0</v>
      </c>
      <c r="R1057" s="19">
        <f t="shared" si="134"/>
        <v>0</v>
      </c>
      <c r="S1057" s="19">
        <f t="shared" si="135"/>
        <v>0</v>
      </c>
      <c r="T1057" s="14">
        <f t="shared" si="136"/>
        <v>0</v>
      </c>
      <c r="U1057" s="18" t="str" cm="1">
        <f t="array" aca="1" ref="U1057" ca="1">IF(M1057&lt;=$N$1,L1057,IF(M1057&lt;=($N$1+1),INDIRECT("L"&amp;5+$X$2),""))</f>
        <v/>
      </c>
    </row>
    <row r="1058" spans="12:21" hidden="1" x14ac:dyDescent="0.25">
      <c r="L1058" s="18">
        <f t="shared" ca="1" si="137"/>
        <v>78263</v>
      </c>
      <c r="M1058" s="14">
        <v>1053</v>
      </c>
      <c r="N1058" s="14">
        <f t="shared" si="131"/>
        <v>0</v>
      </c>
      <c r="O1058" s="19">
        <f t="shared" si="132"/>
        <v>0</v>
      </c>
      <c r="P1058" s="19">
        <f t="shared" si="130"/>
        <v>0</v>
      </c>
      <c r="Q1058" s="14">
        <f t="shared" si="133"/>
        <v>0</v>
      </c>
      <c r="R1058" s="19">
        <f t="shared" si="134"/>
        <v>0</v>
      </c>
      <c r="S1058" s="19">
        <f t="shared" si="135"/>
        <v>0</v>
      </c>
      <c r="T1058" s="14">
        <f t="shared" si="136"/>
        <v>0</v>
      </c>
      <c r="U1058" s="18" t="str" cm="1">
        <f t="array" aca="1" ref="U1058" ca="1">IF(M1058&lt;=$N$1,L1058,IF(M1058&lt;=($N$1+1),INDIRECT("L"&amp;5+$X$2),""))</f>
        <v/>
      </c>
    </row>
    <row r="1059" spans="12:21" hidden="1" x14ac:dyDescent="0.25">
      <c r="L1059" s="18">
        <f t="shared" ca="1" si="137"/>
        <v>78293</v>
      </c>
      <c r="M1059" s="14">
        <v>1054</v>
      </c>
      <c r="N1059" s="14">
        <f t="shared" si="131"/>
        <v>0</v>
      </c>
      <c r="O1059" s="19">
        <f t="shared" si="132"/>
        <v>0</v>
      </c>
      <c r="P1059" s="19">
        <f t="shared" si="130"/>
        <v>0</v>
      </c>
      <c r="Q1059" s="14">
        <f t="shared" si="133"/>
        <v>0</v>
      </c>
      <c r="R1059" s="19">
        <f t="shared" si="134"/>
        <v>0</v>
      </c>
      <c r="S1059" s="19">
        <f t="shared" si="135"/>
        <v>0</v>
      </c>
      <c r="T1059" s="14">
        <f t="shared" si="136"/>
        <v>0</v>
      </c>
      <c r="U1059" s="18" t="str" cm="1">
        <f t="array" aca="1" ref="U1059" ca="1">IF(M1059&lt;=$N$1,L1059,IF(M1059&lt;=($N$1+1),INDIRECT("L"&amp;5+$X$2),""))</f>
        <v/>
      </c>
    </row>
    <row r="1060" spans="12:21" hidden="1" x14ac:dyDescent="0.25">
      <c r="L1060" s="18">
        <f t="shared" ca="1" si="137"/>
        <v>78324</v>
      </c>
      <c r="M1060" s="14">
        <v>1055</v>
      </c>
      <c r="N1060" s="14">
        <f t="shared" si="131"/>
        <v>0</v>
      </c>
      <c r="O1060" s="19">
        <f t="shared" si="132"/>
        <v>0</v>
      </c>
      <c r="P1060" s="19">
        <f t="shared" si="130"/>
        <v>0</v>
      </c>
      <c r="Q1060" s="14">
        <f t="shared" si="133"/>
        <v>0</v>
      </c>
      <c r="R1060" s="19">
        <f t="shared" si="134"/>
        <v>0</v>
      </c>
      <c r="S1060" s="19">
        <f t="shared" si="135"/>
        <v>0</v>
      </c>
      <c r="T1060" s="14">
        <f t="shared" si="136"/>
        <v>0</v>
      </c>
      <c r="U1060" s="18" t="str" cm="1">
        <f t="array" aca="1" ref="U1060" ca="1">IF(M1060&lt;=$N$1,L1060,IF(M1060&lt;=($N$1+1),INDIRECT("L"&amp;5+$X$2),""))</f>
        <v/>
      </c>
    </row>
    <row r="1061" spans="12:21" hidden="1" x14ac:dyDescent="0.25">
      <c r="L1061" s="18">
        <f t="shared" ca="1" si="137"/>
        <v>78354</v>
      </c>
      <c r="M1061" s="14">
        <v>1056</v>
      </c>
      <c r="N1061" s="14">
        <f t="shared" si="131"/>
        <v>0</v>
      </c>
      <c r="O1061" s="19">
        <f t="shared" si="132"/>
        <v>0</v>
      </c>
      <c r="P1061" s="19">
        <f t="shared" si="130"/>
        <v>0</v>
      </c>
      <c r="Q1061" s="14">
        <f t="shared" si="133"/>
        <v>0</v>
      </c>
      <c r="R1061" s="19">
        <f t="shared" si="134"/>
        <v>0</v>
      </c>
      <c r="S1061" s="19">
        <f t="shared" si="135"/>
        <v>0</v>
      </c>
      <c r="T1061" s="14">
        <f t="shared" si="136"/>
        <v>0</v>
      </c>
      <c r="U1061" s="18" t="str" cm="1">
        <f t="array" aca="1" ref="U1061" ca="1">IF(M1061&lt;=$N$1,L1061,IF(M1061&lt;=($N$1+1),INDIRECT("L"&amp;5+$X$2),""))</f>
        <v/>
      </c>
    </row>
    <row r="1062" spans="12:21" hidden="1" x14ac:dyDescent="0.25">
      <c r="L1062" s="18">
        <f t="shared" ca="1" si="137"/>
        <v>78385</v>
      </c>
      <c r="M1062" s="14">
        <v>1057</v>
      </c>
      <c r="N1062" s="14">
        <f t="shared" si="131"/>
        <v>0</v>
      </c>
      <c r="O1062" s="19">
        <f t="shared" si="132"/>
        <v>0</v>
      </c>
      <c r="P1062" s="19">
        <f t="shared" ref="P1062:P1125" si="138">O1062/((1+SIPInflationRate)^(M1062/12))</f>
        <v>0</v>
      </c>
      <c r="Q1062" s="14">
        <f t="shared" si="133"/>
        <v>0</v>
      </c>
      <c r="R1062" s="19">
        <f t="shared" si="134"/>
        <v>0</v>
      </c>
      <c r="S1062" s="19">
        <f t="shared" si="135"/>
        <v>0</v>
      </c>
      <c r="T1062" s="14">
        <f t="shared" si="136"/>
        <v>0</v>
      </c>
      <c r="U1062" s="18" t="str" cm="1">
        <f t="array" aca="1" ref="U1062" ca="1">IF(M1062&lt;=$N$1,L1062,IF(M1062&lt;=($N$1+1),INDIRECT("L"&amp;5+$X$2),""))</f>
        <v/>
      </c>
    </row>
    <row r="1063" spans="12:21" hidden="1" x14ac:dyDescent="0.25">
      <c r="L1063" s="18">
        <f t="shared" ca="1" si="137"/>
        <v>78416</v>
      </c>
      <c r="M1063" s="14">
        <v>1058</v>
      </c>
      <c r="N1063" s="14">
        <f t="shared" si="131"/>
        <v>0</v>
      </c>
      <c r="O1063" s="19">
        <f t="shared" si="132"/>
        <v>0</v>
      </c>
      <c r="P1063" s="19">
        <f t="shared" si="138"/>
        <v>0</v>
      </c>
      <c r="Q1063" s="14">
        <f t="shared" si="133"/>
        <v>0</v>
      </c>
      <c r="R1063" s="19">
        <f t="shared" si="134"/>
        <v>0</v>
      </c>
      <c r="S1063" s="19">
        <f t="shared" si="135"/>
        <v>0</v>
      </c>
      <c r="T1063" s="14">
        <f t="shared" si="136"/>
        <v>0</v>
      </c>
      <c r="U1063" s="18" t="str" cm="1">
        <f t="array" aca="1" ref="U1063" ca="1">IF(M1063&lt;=$N$1,L1063,IF(M1063&lt;=($N$1+1),INDIRECT("L"&amp;5+$X$2),""))</f>
        <v/>
      </c>
    </row>
    <row r="1064" spans="12:21" hidden="1" x14ac:dyDescent="0.25">
      <c r="L1064" s="18">
        <f t="shared" ca="1" si="137"/>
        <v>78446</v>
      </c>
      <c r="M1064" s="14">
        <v>1059</v>
      </c>
      <c r="N1064" s="14">
        <f t="shared" si="131"/>
        <v>0</v>
      </c>
      <c r="O1064" s="19">
        <f t="shared" si="132"/>
        <v>0</v>
      </c>
      <c r="P1064" s="19">
        <f t="shared" si="138"/>
        <v>0</v>
      </c>
      <c r="Q1064" s="14">
        <f t="shared" si="133"/>
        <v>0</v>
      </c>
      <c r="R1064" s="19">
        <f t="shared" si="134"/>
        <v>0</v>
      </c>
      <c r="S1064" s="19">
        <f t="shared" si="135"/>
        <v>0</v>
      </c>
      <c r="T1064" s="14">
        <f t="shared" si="136"/>
        <v>0</v>
      </c>
      <c r="U1064" s="18" t="str" cm="1">
        <f t="array" aca="1" ref="U1064" ca="1">IF(M1064&lt;=$N$1,L1064,IF(M1064&lt;=($N$1+1),INDIRECT("L"&amp;5+$X$2),""))</f>
        <v/>
      </c>
    </row>
    <row r="1065" spans="12:21" hidden="1" x14ac:dyDescent="0.25">
      <c r="L1065" s="18">
        <f t="shared" ca="1" si="137"/>
        <v>78477</v>
      </c>
      <c r="M1065" s="14">
        <v>1060</v>
      </c>
      <c r="N1065" s="14">
        <f t="shared" si="131"/>
        <v>0</v>
      </c>
      <c r="O1065" s="19">
        <f t="shared" si="132"/>
        <v>0</v>
      </c>
      <c r="P1065" s="19">
        <f t="shared" si="138"/>
        <v>0</v>
      </c>
      <c r="Q1065" s="14">
        <f t="shared" si="133"/>
        <v>0</v>
      </c>
      <c r="R1065" s="19">
        <f t="shared" si="134"/>
        <v>0</v>
      </c>
      <c r="S1065" s="19">
        <f t="shared" si="135"/>
        <v>0</v>
      </c>
      <c r="T1065" s="14">
        <f t="shared" si="136"/>
        <v>0</v>
      </c>
      <c r="U1065" s="18" t="str" cm="1">
        <f t="array" aca="1" ref="U1065" ca="1">IF(M1065&lt;=$N$1,L1065,IF(M1065&lt;=($N$1+1),INDIRECT("L"&amp;5+$X$2),""))</f>
        <v/>
      </c>
    </row>
    <row r="1066" spans="12:21" hidden="1" x14ac:dyDescent="0.25">
      <c r="L1066" s="18">
        <f t="shared" ca="1" si="137"/>
        <v>78507</v>
      </c>
      <c r="M1066" s="14">
        <v>1061</v>
      </c>
      <c r="N1066" s="14">
        <f t="shared" si="131"/>
        <v>0</v>
      </c>
      <c r="O1066" s="19">
        <f t="shared" si="132"/>
        <v>0</v>
      </c>
      <c r="P1066" s="19">
        <f t="shared" si="138"/>
        <v>0</v>
      </c>
      <c r="Q1066" s="14">
        <f t="shared" si="133"/>
        <v>0</v>
      </c>
      <c r="R1066" s="19">
        <f t="shared" si="134"/>
        <v>0</v>
      </c>
      <c r="S1066" s="19">
        <f t="shared" si="135"/>
        <v>0</v>
      </c>
      <c r="T1066" s="14">
        <f t="shared" si="136"/>
        <v>0</v>
      </c>
      <c r="U1066" s="18" t="str" cm="1">
        <f t="array" aca="1" ref="U1066" ca="1">IF(M1066&lt;=$N$1,L1066,IF(M1066&lt;=($N$1+1),INDIRECT("L"&amp;5+$X$2),""))</f>
        <v/>
      </c>
    </row>
    <row r="1067" spans="12:21" hidden="1" x14ac:dyDescent="0.25">
      <c r="L1067" s="18">
        <f t="shared" ca="1" si="137"/>
        <v>78538</v>
      </c>
      <c r="M1067" s="14">
        <v>1062</v>
      </c>
      <c r="N1067" s="14">
        <f t="shared" si="131"/>
        <v>0</v>
      </c>
      <c r="O1067" s="19">
        <f t="shared" si="132"/>
        <v>0</v>
      </c>
      <c r="P1067" s="19">
        <f t="shared" si="138"/>
        <v>0</v>
      </c>
      <c r="Q1067" s="14">
        <f t="shared" si="133"/>
        <v>0</v>
      </c>
      <c r="R1067" s="19">
        <f t="shared" si="134"/>
        <v>0</v>
      </c>
      <c r="S1067" s="19">
        <f t="shared" si="135"/>
        <v>0</v>
      </c>
      <c r="T1067" s="14">
        <f t="shared" si="136"/>
        <v>0</v>
      </c>
      <c r="U1067" s="18" t="str" cm="1">
        <f t="array" aca="1" ref="U1067" ca="1">IF(M1067&lt;=$N$1,L1067,IF(M1067&lt;=($N$1+1),INDIRECT("L"&amp;5+$X$2),""))</f>
        <v/>
      </c>
    </row>
    <row r="1068" spans="12:21" hidden="1" x14ac:dyDescent="0.25">
      <c r="L1068" s="18">
        <f t="shared" ca="1" si="137"/>
        <v>78569</v>
      </c>
      <c r="M1068" s="14">
        <v>1063</v>
      </c>
      <c r="N1068" s="14">
        <f t="shared" si="131"/>
        <v>0</v>
      </c>
      <c r="O1068" s="19">
        <f t="shared" si="132"/>
        <v>0</v>
      </c>
      <c r="P1068" s="19">
        <f t="shared" si="138"/>
        <v>0</v>
      </c>
      <c r="Q1068" s="14">
        <f t="shared" si="133"/>
        <v>0</v>
      </c>
      <c r="R1068" s="19">
        <f t="shared" si="134"/>
        <v>0</v>
      </c>
      <c r="S1068" s="19">
        <f t="shared" si="135"/>
        <v>0</v>
      </c>
      <c r="T1068" s="14">
        <f t="shared" si="136"/>
        <v>0</v>
      </c>
      <c r="U1068" s="18" t="str" cm="1">
        <f t="array" aca="1" ref="U1068" ca="1">IF(M1068&lt;=$N$1,L1068,IF(M1068&lt;=($N$1+1),INDIRECT("L"&amp;5+$X$2),""))</f>
        <v/>
      </c>
    </row>
    <row r="1069" spans="12:21" hidden="1" x14ac:dyDescent="0.25">
      <c r="L1069" s="18">
        <f t="shared" ca="1" si="137"/>
        <v>78597</v>
      </c>
      <c r="M1069" s="14">
        <v>1064</v>
      </c>
      <c r="N1069" s="14">
        <f t="shared" si="131"/>
        <v>0</v>
      </c>
      <c r="O1069" s="19">
        <f t="shared" si="132"/>
        <v>0</v>
      </c>
      <c r="P1069" s="19">
        <f t="shared" si="138"/>
        <v>0</v>
      </c>
      <c r="Q1069" s="14">
        <f t="shared" si="133"/>
        <v>0</v>
      </c>
      <c r="R1069" s="19">
        <f t="shared" si="134"/>
        <v>0</v>
      </c>
      <c r="S1069" s="19">
        <f t="shared" si="135"/>
        <v>0</v>
      </c>
      <c r="T1069" s="14">
        <f t="shared" si="136"/>
        <v>0</v>
      </c>
      <c r="U1069" s="18" t="str" cm="1">
        <f t="array" aca="1" ref="U1069" ca="1">IF(M1069&lt;=$N$1,L1069,IF(M1069&lt;=($N$1+1),INDIRECT("L"&amp;5+$X$2),""))</f>
        <v/>
      </c>
    </row>
    <row r="1070" spans="12:21" hidden="1" x14ac:dyDescent="0.25">
      <c r="L1070" s="18">
        <f t="shared" ca="1" si="137"/>
        <v>78628</v>
      </c>
      <c r="M1070" s="14">
        <v>1065</v>
      </c>
      <c r="N1070" s="14">
        <f t="shared" si="131"/>
        <v>0</v>
      </c>
      <c r="O1070" s="19">
        <f t="shared" si="132"/>
        <v>0</v>
      </c>
      <c r="P1070" s="19">
        <f t="shared" si="138"/>
        <v>0</v>
      </c>
      <c r="Q1070" s="14">
        <f t="shared" si="133"/>
        <v>0</v>
      </c>
      <c r="R1070" s="19">
        <f t="shared" si="134"/>
        <v>0</v>
      </c>
      <c r="S1070" s="19">
        <f t="shared" si="135"/>
        <v>0</v>
      </c>
      <c r="T1070" s="14">
        <f t="shared" si="136"/>
        <v>0</v>
      </c>
      <c r="U1070" s="18" t="str" cm="1">
        <f t="array" aca="1" ref="U1070" ca="1">IF(M1070&lt;=$N$1,L1070,IF(M1070&lt;=($N$1+1),INDIRECT("L"&amp;5+$X$2),""))</f>
        <v/>
      </c>
    </row>
    <row r="1071" spans="12:21" hidden="1" x14ac:dyDescent="0.25">
      <c r="L1071" s="18">
        <f t="shared" ca="1" si="137"/>
        <v>78658</v>
      </c>
      <c r="M1071" s="14">
        <v>1066</v>
      </c>
      <c r="N1071" s="14">
        <f t="shared" si="131"/>
        <v>0</v>
      </c>
      <c r="O1071" s="19">
        <f t="shared" si="132"/>
        <v>0</v>
      </c>
      <c r="P1071" s="19">
        <f t="shared" si="138"/>
        <v>0</v>
      </c>
      <c r="Q1071" s="14">
        <f t="shared" si="133"/>
        <v>0</v>
      </c>
      <c r="R1071" s="19">
        <f t="shared" si="134"/>
        <v>0</v>
      </c>
      <c r="S1071" s="19">
        <f t="shared" si="135"/>
        <v>0</v>
      </c>
      <c r="T1071" s="14">
        <f t="shared" si="136"/>
        <v>0</v>
      </c>
      <c r="U1071" s="18" t="str" cm="1">
        <f t="array" aca="1" ref="U1071" ca="1">IF(M1071&lt;=$N$1,L1071,IF(M1071&lt;=($N$1+1),INDIRECT("L"&amp;5+$X$2),""))</f>
        <v/>
      </c>
    </row>
    <row r="1072" spans="12:21" hidden="1" x14ac:dyDescent="0.25">
      <c r="L1072" s="18">
        <f t="shared" ca="1" si="137"/>
        <v>78689</v>
      </c>
      <c r="M1072" s="14">
        <v>1067</v>
      </c>
      <c r="N1072" s="14">
        <f t="shared" si="131"/>
        <v>0</v>
      </c>
      <c r="O1072" s="19">
        <f t="shared" si="132"/>
        <v>0</v>
      </c>
      <c r="P1072" s="19">
        <f t="shared" si="138"/>
        <v>0</v>
      </c>
      <c r="Q1072" s="14">
        <f t="shared" si="133"/>
        <v>0</v>
      </c>
      <c r="R1072" s="19">
        <f t="shared" si="134"/>
        <v>0</v>
      </c>
      <c r="S1072" s="19">
        <f t="shared" si="135"/>
        <v>0</v>
      </c>
      <c r="T1072" s="14">
        <f t="shared" si="136"/>
        <v>0</v>
      </c>
      <c r="U1072" s="18" t="str" cm="1">
        <f t="array" aca="1" ref="U1072" ca="1">IF(M1072&lt;=$N$1,L1072,IF(M1072&lt;=($N$1+1),INDIRECT("L"&amp;5+$X$2),""))</f>
        <v/>
      </c>
    </row>
    <row r="1073" spans="12:21" hidden="1" x14ac:dyDescent="0.25">
      <c r="L1073" s="18">
        <f t="shared" ca="1" si="137"/>
        <v>78719</v>
      </c>
      <c r="M1073" s="14">
        <v>1068</v>
      </c>
      <c r="N1073" s="14">
        <f t="shared" si="131"/>
        <v>0</v>
      </c>
      <c r="O1073" s="19">
        <f t="shared" si="132"/>
        <v>0</v>
      </c>
      <c r="P1073" s="19">
        <f t="shared" si="138"/>
        <v>0</v>
      </c>
      <c r="Q1073" s="14">
        <f t="shared" si="133"/>
        <v>0</v>
      </c>
      <c r="R1073" s="19">
        <f t="shared" si="134"/>
        <v>0</v>
      </c>
      <c r="S1073" s="19">
        <f t="shared" si="135"/>
        <v>0</v>
      </c>
      <c r="T1073" s="14">
        <f t="shared" si="136"/>
        <v>0</v>
      </c>
      <c r="U1073" s="18" t="str" cm="1">
        <f t="array" aca="1" ref="U1073" ca="1">IF(M1073&lt;=$N$1,L1073,IF(M1073&lt;=($N$1+1),INDIRECT("L"&amp;5+$X$2),""))</f>
        <v/>
      </c>
    </row>
    <row r="1074" spans="12:21" hidden="1" x14ac:dyDescent="0.25">
      <c r="L1074" s="18">
        <f t="shared" ca="1" si="137"/>
        <v>78750</v>
      </c>
      <c r="M1074" s="14">
        <v>1069</v>
      </c>
      <c r="N1074" s="14">
        <f t="shared" si="131"/>
        <v>0</v>
      </c>
      <c r="O1074" s="19">
        <f t="shared" si="132"/>
        <v>0</v>
      </c>
      <c r="P1074" s="19">
        <f t="shared" si="138"/>
        <v>0</v>
      </c>
      <c r="Q1074" s="14">
        <f t="shared" si="133"/>
        <v>0</v>
      </c>
      <c r="R1074" s="19">
        <f t="shared" si="134"/>
        <v>0</v>
      </c>
      <c r="S1074" s="19">
        <f t="shared" si="135"/>
        <v>0</v>
      </c>
      <c r="T1074" s="14">
        <f t="shared" si="136"/>
        <v>0</v>
      </c>
      <c r="U1074" s="18" t="str" cm="1">
        <f t="array" aca="1" ref="U1074" ca="1">IF(M1074&lt;=$N$1,L1074,IF(M1074&lt;=($N$1+1),INDIRECT("L"&amp;5+$X$2),""))</f>
        <v/>
      </c>
    </row>
    <row r="1075" spans="12:21" hidden="1" x14ac:dyDescent="0.25">
      <c r="L1075" s="18">
        <f t="shared" ca="1" si="137"/>
        <v>78781</v>
      </c>
      <c r="M1075" s="14">
        <v>1070</v>
      </c>
      <c r="N1075" s="14">
        <f t="shared" si="131"/>
        <v>0</v>
      </c>
      <c r="O1075" s="19">
        <f t="shared" si="132"/>
        <v>0</v>
      </c>
      <c r="P1075" s="19">
        <f t="shared" si="138"/>
        <v>0</v>
      </c>
      <c r="Q1075" s="14">
        <f t="shared" si="133"/>
        <v>0</v>
      </c>
      <c r="R1075" s="19">
        <f t="shared" si="134"/>
        <v>0</v>
      </c>
      <c r="S1075" s="19">
        <f t="shared" si="135"/>
        <v>0</v>
      </c>
      <c r="T1075" s="14">
        <f t="shared" si="136"/>
        <v>0</v>
      </c>
      <c r="U1075" s="18" t="str" cm="1">
        <f t="array" aca="1" ref="U1075" ca="1">IF(M1075&lt;=$N$1,L1075,IF(M1075&lt;=($N$1+1),INDIRECT("L"&amp;5+$X$2),""))</f>
        <v/>
      </c>
    </row>
    <row r="1076" spans="12:21" hidden="1" x14ac:dyDescent="0.25">
      <c r="L1076" s="18">
        <f t="shared" ca="1" si="137"/>
        <v>78811</v>
      </c>
      <c r="M1076" s="14">
        <v>1071</v>
      </c>
      <c r="N1076" s="14">
        <f t="shared" si="131"/>
        <v>0</v>
      </c>
      <c r="O1076" s="19">
        <f t="shared" si="132"/>
        <v>0</v>
      </c>
      <c r="P1076" s="19">
        <f t="shared" si="138"/>
        <v>0</v>
      </c>
      <c r="Q1076" s="14">
        <f t="shared" si="133"/>
        <v>0</v>
      </c>
      <c r="R1076" s="19">
        <f t="shared" si="134"/>
        <v>0</v>
      </c>
      <c r="S1076" s="19">
        <f t="shared" si="135"/>
        <v>0</v>
      </c>
      <c r="T1076" s="14">
        <f t="shared" si="136"/>
        <v>0</v>
      </c>
      <c r="U1076" s="18" t="str" cm="1">
        <f t="array" aca="1" ref="U1076" ca="1">IF(M1076&lt;=$N$1,L1076,IF(M1076&lt;=($N$1+1),INDIRECT("L"&amp;5+$X$2),""))</f>
        <v/>
      </c>
    </row>
    <row r="1077" spans="12:21" hidden="1" x14ac:dyDescent="0.25">
      <c r="L1077" s="18">
        <f t="shared" ca="1" si="137"/>
        <v>78842</v>
      </c>
      <c r="M1077" s="14">
        <v>1072</v>
      </c>
      <c r="N1077" s="14">
        <f t="shared" si="131"/>
        <v>0</v>
      </c>
      <c r="O1077" s="19">
        <f t="shared" si="132"/>
        <v>0</v>
      </c>
      <c r="P1077" s="19">
        <f t="shared" si="138"/>
        <v>0</v>
      </c>
      <c r="Q1077" s="14">
        <f t="shared" si="133"/>
        <v>0</v>
      </c>
      <c r="R1077" s="19">
        <f t="shared" si="134"/>
        <v>0</v>
      </c>
      <c r="S1077" s="19">
        <f t="shared" si="135"/>
        <v>0</v>
      </c>
      <c r="T1077" s="14">
        <f t="shared" si="136"/>
        <v>0</v>
      </c>
      <c r="U1077" s="18" t="str" cm="1">
        <f t="array" aca="1" ref="U1077" ca="1">IF(M1077&lt;=$N$1,L1077,IF(M1077&lt;=($N$1+1),INDIRECT("L"&amp;5+$X$2),""))</f>
        <v/>
      </c>
    </row>
    <row r="1078" spans="12:21" hidden="1" x14ac:dyDescent="0.25">
      <c r="L1078" s="18">
        <f t="shared" ca="1" si="137"/>
        <v>78872</v>
      </c>
      <c r="M1078" s="14">
        <v>1073</v>
      </c>
      <c r="N1078" s="14">
        <f t="shared" si="131"/>
        <v>0</v>
      </c>
      <c r="O1078" s="19">
        <f t="shared" si="132"/>
        <v>0</v>
      </c>
      <c r="P1078" s="19">
        <f t="shared" si="138"/>
        <v>0</v>
      </c>
      <c r="Q1078" s="14">
        <f t="shared" si="133"/>
        <v>0</v>
      </c>
      <c r="R1078" s="19">
        <f t="shared" si="134"/>
        <v>0</v>
      </c>
      <c r="S1078" s="19">
        <f t="shared" si="135"/>
        <v>0</v>
      </c>
      <c r="T1078" s="14">
        <f t="shared" si="136"/>
        <v>0</v>
      </c>
      <c r="U1078" s="18" t="str" cm="1">
        <f t="array" aca="1" ref="U1078" ca="1">IF(M1078&lt;=$N$1,L1078,IF(M1078&lt;=($N$1+1),INDIRECT("L"&amp;5+$X$2),""))</f>
        <v/>
      </c>
    </row>
    <row r="1079" spans="12:21" hidden="1" x14ac:dyDescent="0.25">
      <c r="L1079" s="18">
        <f t="shared" ca="1" si="137"/>
        <v>78903</v>
      </c>
      <c r="M1079" s="14">
        <v>1074</v>
      </c>
      <c r="N1079" s="14">
        <f t="shared" si="131"/>
        <v>0</v>
      </c>
      <c r="O1079" s="19">
        <f t="shared" si="132"/>
        <v>0</v>
      </c>
      <c r="P1079" s="19">
        <f t="shared" si="138"/>
        <v>0</v>
      </c>
      <c r="Q1079" s="14">
        <f t="shared" si="133"/>
        <v>0</v>
      </c>
      <c r="R1079" s="19">
        <f t="shared" si="134"/>
        <v>0</v>
      </c>
      <c r="S1079" s="19">
        <f t="shared" si="135"/>
        <v>0</v>
      </c>
      <c r="T1079" s="14">
        <f t="shared" si="136"/>
        <v>0</v>
      </c>
      <c r="U1079" s="18" t="str" cm="1">
        <f t="array" aca="1" ref="U1079" ca="1">IF(M1079&lt;=$N$1,L1079,IF(M1079&lt;=($N$1+1),INDIRECT("L"&amp;5+$X$2),""))</f>
        <v/>
      </c>
    </row>
    <row r="1080" spans="12:21" hidden="1" x14ac:dyDescent="0.25">
      <c r="L1080" s="18">
        <f t="shared" ca="1" si="137"/>
        <v>78934</v>
      </c>
      <c r="M1080" s="14">
        <v>1075</v>
      </c>
      <c r="N1080" s="14">
        <f t="shared" si="131"/>
        <v>0</v>
      </c>
      <c r="O1080" s="19">
        <f t="shared" si="132"/>
        <v>0</v>
      </c>
      <c r="P1080" s="19">
        <f t="shared" si="138"/>
        <v>0</v>
      </c>
      <c r="Q1080" s="14">
        <f t="shared" si="133"/>
        <v>0</v>
      </c>
      <c r="R1080" s="19">
        <f t="shared" si="134"/>
        <v>0</v>
      </c>
      <c r="S1080" s="19">
        <f t="shared" si="135"/>
        <v>0</v>
      </c>
      <c r="T1080" s="14">
        <f t="shared" si="136"/>
        <v>0</v>
      </c>
      <c r="U1080" s="18" t="str" cm="1">
        <f t="array" aca="1" ref="U1080" ca="1">IF(M1080&lt;=$N$1,L1080,IF(M1080&lt;=($N$1+1),INDIRECT("L"&amp;5+$X$2),""))</f>
        <v/>
      </c>
    </row>
    <row r="1081" spans="12:21" hidden="1" x14ac:dyDescent="0.25">
      <c r="L1081" s="18">
        <f t="shared" ca="1" si="137"/>
        <v>78963</v>
      </c>
      <c r="M1081" s="14">
        <v>1076</v>
      </c>
      <c r="N1081" s="14">
        <f t="shared" si="131"/>
        <v>0</v>
      </c>
      <c r="O1081" s="19">
        <f t="shared" si="132"/>
        <v>0</v>
      </c>
      <c r="P1081" s="19">
        <f t="shared" si="138"/>
        <v>0</v>
      </c>
      <c r="Q1081" s="14">
        <f t="shared" si="133"/>
        <v>0</v>
      </c>
      <c r="R1081" s="19">
        <f t="shared" si="134"/>
        <v>0</v>
      </c>
      <c r="S1081" s="19">
        <f t="shared" si="135"/>
        <v>0</v>
      </c>
      <c r="T1081" s="14">
        <f t="shared" si="136"/>
        <v>0</v>
      </c>
      <c r="U1081" s="18" t="str" cm="1">
        <f t="array" aca="1" ref="U1081" ca="1">IF(M1081&lt;=$N$1,L1081,IF(M1081&lt;=($N$1+1),INDIRECT("L"&amp;5+$X$2),""))</f>
        <v/>
      </c>
    </row>
    <row r="1082" spans="12:21" hidden="1" x14ac:dyDescent="0.25">
      <c r="L1082" s="18">
        <f t="shared" ca="1" si="137"/>
        <v>78994</v>
      </c>
      <c r="M1082" s="14">
        <v>1077</v>
      </c>
      <c r="N1082" s="14">
        <f t="shared" si="131"/>
        <v>0</v>
      </c>
      <c r="O1082" s="19">
        <f t="shared" si="132"/>
        <v>0</v>
      </c>
      <c r="P1082" s="19">
        <f t="shared" si="138"/>
        <v>0</v>
      </c>
      <c r="Q1082" s="14">
        <f t="shared" si="133"/>
        <v>0</v>
      </c>
      <c r="R1082" s="19">
        <f t="shared" si="134"/>
        <v>0</v>
      </c>
      <c r="S1082" s="19">
        <f t="shared" si="135"/>
        <v>0</v>
      </c>
      <c r="T1082" s="14">
        <f t="shared" si="136"/>
        <v>0</v>
      </c>
      <c r="U1082" s="18" t="str" cm="1">
        <f t="array" aca="1" ref="U1082" ca="1">IF(M1082&lt;=$N$1,L1082,IF(M1082&lt;=($N$1+1),INDIRECT("L"&amp;5+$X$2),""))</f>
        <v/>
      </c>
    </row>
    <row r="1083" spans="12:21" hidden="1" x14ac:dyDescent="0.25">
      <c r="L1083" s="18">
        <f t="shared" ca="1" si="137"/>
        <v>79024</v>
      </c>
      <c r="M1083" s="14">
        <v>1078</v>
      </c>
      <c r="N1083" s="14">
        <f t="shared" si="131"/>
        <v>0</v>
      </c>
      <c r="O1083" s="19">
        <f t="shared" si="132"/>
        <v>0</v>
      </c>
      <c r="P1083" s="19">
        <f t="shared" si="138"/>
        <v>0</v>
      </c>
      <c r="Q1083" s="14">
        <f t="shared" si="133"/>
        <v>0</v>
      </c>
      <c r="R1083" s="19">
        <f t="shared" si="134"/>
        <v>0</v>
      </c>
      <c r="S1083" s="19">
        <f t="shared" si="135"/>
        <v>0</v>
      </c>
      <c r="T1083" s="14">
        <f t="shared" si="136"/>
        <v>0</v>
      </c>
      <c r="U1083" s="18" t="str" cm="1">
        <f t="array" aca="1" ref="U1083" ca="1">IF(M1083&lt;=$N$1,L1083,IF(M1083&lt;=($N$1+1),INDIRECT("L"&amp;5+$X$2),""))</f>
        <v/>
      </c>
    </row>
    <row r="1084" spans="12:21" hidden="1" x14ac:dyDescent="0.25">
      <c r="L1084" s="18">
        <f t="shared" ca="1" si="137"/>
        <v>79055</v>
      </c>
      <c r="M1084" s="14">
        <v>1079</v>
      </c>
      <c r="N1084" s="14">
        <f t="shared" si="131"/>
        <v>0</v>
      </c>
      <c r="O1084" s="19">
        <f t="shared" si="132"/>
        <v>0</v>
      </c>
      <c r="P1084" s="19">
        <f t="shared" si="138"/>
        <v>0</v>
      </c>
      <c r="Q1084" s="14">
        <f t="shared" si="133"/>
        <v>0</v>
      </c>
      <c r="R1084" s="19">
        <f t="shared" si="134"/>
        <v>0</v>
      </c>
      <c r="S1084" s="19">
        <f t="shared" si="135"/>
        <v>0</v>
      </c>
      <c r="T1084" s="14">
        <f t="shared" si="136"/>
        <v>0</v>
      </c>
      <c r="U1084" s="18" t="str" cm="1">
        <f t="array" aca="1" ref="U1084" ca="1">IF(M1084&lt;=$N$1,L1084,IF(M1084&lt;=($N$1+1),INDIRECT("L"&amp;5+$X$2),""))</f>
        <v/>
      </c>
    </row>
    <row r="1085" spans="12:21" hidden="1" x14ac:dyDescent="0.25">
      <c r="L1085" s="18">
        <f t="shared" ca="1" si="137"/>
        <v>79085</v>
      </c>
      <c r="M1085" s="14">
        <v>1080</v>
      </c>
      <c r="N1085" s="14">
        <f t="shared" si="131"/>
        <v>0</v>
      </c>
      <c r="O1085" s="19">
        <f t="shared" si="132"/>
        <v>0</v>
      </c>
      <c r="P1085" s="19">
        <f t="shared" si="138"/>
        <v>0</v>
      </c>
      <c r="Q1085" s="14">
        <f t="shared" si="133"/>
        <v>0</v>
      </c>
      <c r="R1085" s="19">
        <f t="shared" si="134"/>
        <v>0</v>
      </c>
      <c r="S1085" s="19">
        <f t="shared" si="135"/>
        <v>0</v>
      </c>
      <c r="T1085" s="14">
        <f t="shared" si="136"/>
        <v>0</v>
      </c>
      <c r="U1085" s="18" t="str" cm="1">
        <f t="array" aca="1" ref="U1085" ca="1">IF(M1085&lt;=$N$1,L1085,IF(M1085&lt;=($N$1+1),INDIRECT("L"&amp;5+$X$2),""))</f>
        <v/>
      </c>
    </row>
    <row r="1086" spans="12:21" hidden="1" x14ac:dyDescent="0.25">
      <c r="L1086" s="18">
        <f t="shared" ca="1" si="137"/>
        <v>79116</v>
      </c>
      <c r="M1086" s="14">
        <v>1081</v>
      </c>
      <c r="N1086" s="14">
        <f t="shared" si="131"/>
        <v>0</v>
      </c>
      <c r="O1086" s="19">
        <f t="shared" si="132"/>
        <v>0</v>
      </c>
      <c r="P1086" s="19">
        <f t="shared" si="138"/>
        <v>0</v>
      </c>
      <c r="Q1086" s="14">
        <f t="shared" si="133"/>
        <v>0</v>
      </c>
      <c r="R1086" s="19">
        <f t="shared" si="134"/>
        <v>0</v>
      </c>
      <c r="S1086" s="19">
        <f t="shared" si="135"/>
        <v>0</v>
      </c>
      <c r="T1086" s="14">
        <f t="shared" si="136"/>
        <v>0</v>
      </c>
      <c r="U1086" s="18" t="str" cm="1">
        <f t="array" aca="1" ref="U1086" ca="1">IF(M1086&lt;=$N$1,L1086,IF(M1086&lt;=($N$1+1),INDIRECT("L"&amp;5+$X$2),""))</f>
        <v/>
      </c>
    </row>
    <row r="1087" spans="12:21" hidden="1" x14ac:dyDescent="0.25">
      <c r="L1087" s="18">
        <f t="shared" ca="1" si="137"/>
        <v>79147</v>
      </c>
      <c r="M1087" s="14">
        <v>1082</v>
      </c>
      <c r="N1087" s="14">
        <f t="shared" si="131"/>
        <v>0</v>
      </c>
      <c r="O1087" s="19">
        <f t="shared" si="132"/>
        <v>0</v>
      </c>
      <c r="P1087" s="19">
        <f t="shared" si="138"/>
        <v>0</v>
      </c>
      <c r="Q1087" s="14">
        <f t="shared" si="133"/>
        <v>0</v>
      </c>
      <c r="R1087" s="19">
        <f t="shared" si="134"/>
        <v>0</v>
      </c>
      <c r="S1087" s="19">
        <f t="shared" si="135"/>
        <v>0</v>
      </c>
      <c r="T1087" s="14">
        <f t="shared" si="136"/>
        <v>0</v>
      </c>
      <c r="U1087" s="18" t="str" cm="1">
        <f t="array" aca="1" ref="U1087" ca="1">IF(M1087&lt;=$N$1,L1087,IF(M1087&lt;=($N$1+1),INDIRECT("L"&amp;5+$X$2),""))</f>
        <v/>
      </c>
    </row>
    <row r="1088" spans="12:21" hidden="1" x14ac:dyDescent="0.25">
      <c r="L1088" s="18">
        <f t="shared" ca="1" si="137"/>
        <v>79177</v>
      </c>
      <c r="M1088" s="14">
        <v>1083</v>
      </c>
      <c r="N1088" s="14">
        <f t="shared" si="131"/>
        <v>0</v>
      </c>
      <c r="O1088" s="19">
        <f t="shared" si="132"/>
        <v>0</v>
      </c>
      <c r="P1088" s="19">
        <f t="shared" si="138"/>
        <v>0</v>
      </c>
      <c r="Q1088" s="14">
        <f t="shared" si="133"/>
        <v>0</v>
      </c>
      <c r="R1088" s="19">
        <f t="shared" si="134"/>
        <v>0</v>
      </c>
      <c r="S1088" s="19">
        <f t="shared" si="135"/>
        <v>0</v>
      </c>
      <c r="T1088" s="14">
        <f t="shared" si="136"/>
        <v>0</v>
      </c>
      <c r="U1088" s="18" t="str" cm="1">
        <f t="array" aca="1" ref="U1088" ca="1">IF(M1088&lt;=$N$1,L1088,IF(M1088&lt;=($N$1+1),INDIRECT("L"&amp;5+$X$2),""))</f>
        <v/>
      </c>
    </row>
    <row r="1089" spans="12:21" hidden="1" x14ac:dyDescent="0.25">
      <c r="L1089" s="18">
        <f t="shared" ca="1" si="137"/>
        <v>79208</v>
      </c>
      <c r="M1089" s="14">
        <v>1084</v>
      </c>
      <c r="N1089" s="14">
        <f t="shared" si="131"/>
        <v>0</v>
      </c>
      <c r="O1089" s="19">
        <f t="shared" si="132"/>
        <v>0</v>
      </c>
      <c r="P1089" s="19">
        <f t="shared" si="138"/>
        <v>0</v>
      </c>
      <c r="Q1089" s="14">
        <f t="shared" si="133"/>
        <v>0</v>
      </c>
      <c r="R1089" s="19">
        <f t="shared" si="134"/>
        <v>0</v>
      </c>
      <c r="S1089" s="19">
        <f t="shared" si="135"/>
        <v>0</v>
      </c>
      <c r="T1089" s="14">
        <f t="shared" si="136"/>
        <v>0</v>
      </c>
      <c r="U1089" s="18" t="str" cm="1">
        <f t="array" aca="1" ref="U1089" ca="1">IF(M1089&lt;=$N$1,L1089,IF(M1089&lt;=($N$1+1),INDIRECT("L"&amp;5+$X$2),""))</f>
        <v/>
      </c>
    </row>
    <row r="1090" spans="12:21" hidden="1" x14ac:dyDescent="0.25">
      <c r="L1090" s="18">
        <f t="shared" ca="1" si="137"/>
        <v>79238</v>
      </c>
      <c r="M1090" s="14">
        <v>1085</v>
      </c>
      <c r="N1090" s="14">
        <f t="shared" si="131"/>
        <v>0</v>
      </c>
      <c r="O1090" s="19">
        <f t="shared" si="132"/>
        <v>0</v>
      </c>
      <c r="P1090" s="19">
        <f t="shared" si="138"/>
        <v>0</v>
      </c>
      <c r="Q1090" s="14">
        <f t="shared" si="133"/>
        <v>0</v>
      </c>
      <c r="R1090" s="19">
        <f t="shared" si="134"/>
        <v>0</v>
      </c>
      <c r="S1090" s="19">
        <f t="shared" si="135"/>
        <v>0</v>
      </c>
      <c r="T1090" s="14">
        <f t="shared" si="136"/>
        <v>0</v>
      </c>
      <c r="U1090" s="18" t="str" cm="1">
        <f t="array" aca="1" ref="U1090" ca="1">IF(M1090&lt;=$N$1,L1090,IF(M1090&lt;=($N$1+1),INDIRECT("L"&amp;5+$X$2),""))</f>
        <v/>
      </c>
    </row>
    <row r="1091" spans="12:21" hidden="1" x14ac:dyDescent="0.25">
      <c r="L1091" s="18">
        <f t="shared" ca="1" si="137"/>
        <v>79269</v>
      </c>
      <c r="M1091" s="14">
        <v>1086</v>
      </c>
      <c r="N1091" s="14">
        <f t="shared" si="131"/>
        <v>0</v>
      </c>
      <c r="O1091" s="19">
        <f t="shared" si="132"/>
        <v>0</v>
      </c>
      <c r="P1091" s="19">
        <f t="shared" si="138"/>
        <v>0</v>
      </c>
      <c r="Q1091" s="14">
        <f t="shared" si="133"/>
        <v>0</v>
      </c>
      <c r="R1091" s="19">
        <f t="shared" si="134"/>
        <v>0</v>
      </c>
      <c r="S1091" s="19">
        <f t="shared" si="135"/>
        <v>0</v>
      </c>
      <c r="T1091" s="14">
        <f t="shared" si="136"/>
        <v>0</v>
      </c>
      <c r="U1091" s="18" t="str" cm="1">
        <f t="array" aca="1" ref="U1091" ca="1">IF(M1091&lt;=$N$1,L1091,IF(M1091&lt;=($N$1+1),INDIRECT("L"&amp;5+$X$2),""))</f>
        <v/>
      </c>
    </row>
    <row r="1092" spans="12:21" hidden="1" x14ac:dyDescent="0.25">
      <c r="L1092" s="18">
        <f t="shared" ca="1" si="137"/>
        <v>79300</v>
      </c>
      <c r="M1092" s="14">
        <v>1087</v>
      </c>
      <c r="N1092" s="14">
        <f t="shared" si="131"/>
        <v>0</v>
      </c>
      <c r="O1092" s="19">
        <f t="shared" si="132"/>
        <v>0</v>
      </c>
      <c r="P1092" s="19">
        <f t="shared" si="138"/>
        <v>0</v>
      </c>
      <c r="Q1092" s="14">
        <f t="shared" si="133"/>
        <v>0</v>
      </c>
      <c r="R1092" s="19">
        <f t="shared" si="134"/>
        <v>0</v>
      </c>
      <c r="S1092" s="19">
        <f t="shared" si="135"/>
        <v>0</v>
      </c>
      <c r="T1092" s="14">
        <f t="shared" si="136"/>
        <v>0</v>
      </c>
      <c r="U1092" s="18" t="str" cm="1">
        <f t="array" aca="1" ref="U1092" ca="1">IF(M1092&lt;=$N$1,L1092,IF(M1092&lt;=($N$1+1),INDIRECT("L"&amp;5+$X$2),""))</f>
        <v/>
      </c>
    </row>
    <row r="1093" spans="12:21" hidden="1" x14ac:dyDescent="0.25">
      <c r="L1093" s="18">
        <f t="shared" ca="1" si="137"/>
        <v>79328</v>
      </c>
      <c r="M1093" s="14">
        <v>1088</v>
      </c>
      <c r="N1093" s="14">
        <f t="shared" si="131"/>
        <v>0</v>
      </c>
      <c r="O1093" s="19">
        <f t="shared" si="132"/>
        <v>0</v>
      </c>
      <c r="P1093" s="19">
        <f t="shared" si="138"/>
        <v>0</v>
      </c>
      <c r="Q1093" s="14">
        <f t="shared" si="133"/>
        <v>0</v>
      </c>
      <c r="R1093" s="19">
        <f t="shared" si="134"/>
        <v>0</v>
      </c>
      <c r="S1093" s="19">
        <f t="shared" si="135"/>
        <v>0</v>
      </c>
      <c r="T1093" s="14">
        <f t="shared" si="136"/>
        <v>0</v>
      </c>
      <c r="U1093" s="18" t="str" cm="1">
        <f t="array" aca="1" ref="U1093" ca="1">IF(M1093&lt;=$N$1,L1093,IF(M1093&lt;=($N$1+1),INDIRECT("L"&amp;5+$X$2),""))</f>
        <v/>
      </c>
    </row>
    <row r="1094" spans="12:21" hidden="1" x14ac:dyDescent="0.25">
      <c r="L1094" s="18">
        <f t="shared" ca="1" si="137"/>
        <v>79359</v>
      </c>
      <c r="M1094" s="14">
        <v>1089</v>
      </c>
      <c r="N1094" s="14">
        <f t="shared" ref="N1094:N1157" si="139">IF($N$1&gt;=M1094,SIPMonthlyPmt*M1094,0)</f>
        <v>0</v>
      </c>
      <c r="O1094" s="19">
        <f t="shared" ref="O1094:O1157" si="140">IF($X$2&gt;=M1094,IF(M1094&lt;=$N$1,FV(SRate,M1094,-SIPMonthlyPmt,0,1),FV(SRate,M1094-$N$1,0,-$X$1,1)),0)</f>
        <v>0</v>
      </c>
      <c r="P1094" s="19">
        <f t="shared" si="138"/>
        <v>0</v>
      </c>
      <c r="Q1094" s="14">
        <f t="shared" ref="Q1094:Q1157" si="141">IF((M1094-$C$15)&gt;0, IF($N$1+$C$15&gt;=M1094,SIPMonthlyPmt*(M1094-$C$15),0),0)</f>
        <v>0</v>
      </c>
      <c r="R1094" s="19">
        <f t="shared" ref="R1094:R1157" si="142">IF(M1094&lt;=$C$15,0,IF($X$2&gt;=M1094,IF(M1094&lt;=($N$1+$C$15),FV(SRate,M1094-$C$15,-SIPMonthlyPmt,0,1),FV(SRate,M1094-$N$1-$C$15,0,-$X$1,1)),0))</f>
        <v>0</v>
      </c>
      <c r="S1094" s="19">
        <f t="shared" ref="S1094:S1157" si="143">R1094/((1+SIPInflationRate)^((M1094-$C$15)/12))</f>
        <v>0</v>
      </c>
      <c r="T1094" s="14">
        <f t="shared" ref="T1094:T1157" si="144">IF(M1094&lt;=$N$1,-SIPMonthlyPmt,IF(M1094&lt;=($N$1+1),$X$4,0))</f>
        <v>0</v>
      </c>
      <c r="U1094" s="18" t="str" cm="1">
        <f t="array" aca="1" ref="U1094" ca="1">IF(M1094&lt;=$N$1,L1094,IF(M1094&lt;=($N$1+1),INDIRECT("L"&amp;5+$X$2),""))</f>
        <v/>
      </c>
    </row>
    <row r="1095" spans="12:21" hidden="1" x14ac:dyDescent="0.25">
      <c r="L1095" s="18">
        <f t="shared" ca="1" si="137"/>
        <v>79389</v>
      </c>
      <c r="M1095" s="14">
        <v>1090</v>
      </c>
      <c r="N1095" s="14">
        <f t="shared" si="139"/>
        <v>0</v>
      </c>
      <c r="O1095" s="19">
        <f t="shared" si="140"/>
        <v>0</v>
      </c>
      <c r="P1095" s="19">
        <f t="shared" si="138"/>
        <v>0</v>
      </c>
      <c r="Q1095" s="14">
        <f t="shared" si="141"/>
        <v>0</v>
      </c>
      <c r="R1095" s="19">
        <f t="shared" si="142"/>
        <v>0</v>
      </c>
      <c r="S1095" s="19">
        <f t="shared" si="143"/>
        <v>0</v>
      </c>
      <c r="T1095" s="14">
        <f t="shared" si="144"/>
        <v>0</v>
      </c>
      <c r="U1095" s="18" t="str" cm="1">
        <f t="array" aca="1" ref="U1095" ca="1">IF(M1095&lt;=$N$1,L1095,IF(M1095&lt;=($N$1+1),INDIRECT("L"&amp;5+$X$2),""))</f>
        <v/>
      </c>
    </row>
    <row r="1096" spans="12:21" hidden="1" x14ac:dyDescent="0.25">
      <c r="L1096" s="18">
        <f t="shared" ca="1" si="137"/>
        <v>79420</v>
      </c>
      <c r="M1096" s="14">
        <v>1091</v>
      </c>
      <c r="N1096" s="14">
        <f t="shared" si="139"/>
        <v>0</v>
      </c>
      <c r="O1096" s="19">
        <f t="shared" si="140"/>
        <v>0</v>
      </c>
      <c r="P1096" s="19">
        <f t="shared" si="138"/>
        <v>0</v>
      </c>
      <c r="Q1096" s="14">
        <f t="shared" si="141"/>
        <v>0</v>
      </c>
      <c r="R1096" s="19">
        <f t="shared" si="142"/>
        <v>0</v>
      </c>
      <c r="S1096" s="19">
        <f t="shared" si="143"/>
        <v>0</v>
      </c>
      <c r="T1096" s="14">
        <f t="shared" si="144"/>
        <v>0</v>
      </c>
      <c r="U1096" s="18" t="str" cm="1">
        <f t="array" aca="1" ref="U1096" ca="1">IF(M1096&lt;=$N$1,L1096,IF(M1096&lt;=($N$1+1),INDIRECT("L"&amp;5+$X$2),""))</f>
        <v/>
      </c>
    </row>
    <row r="1097" spans="12:21" hidden="1" x14ac:dyDescent="0.25">
      <c r="L1097" s="18">
        <f t="shared" ref="L1097:L1160" ca="1" si="145">EDATE(L1096,1)</f>
        <v>79450</v>
      </c>
      <c r="M1097" s="14">
        <v>1092</v>
      </c>
      <c r="N1097" s="14">
        <f t="shared" si="139"/>
        <v>0</v>
      </c>
      <c r="O1097" s="19">
        <f t="shared" si="140"/>
        <v>0</v>
      </c>
      <c r="P1097" s="19">
        <f t="shared" si="138"/>
        <v>0</v>
      </c>
      <c r="Q1097" s="14">
        <f t="shared" si="141"/>
        <v>0</v>
      </c>
      <c r="R1097" s="19">
        <f t="shared" si="142"/>
        <v>0</v>
      </c>
      <c r="S1097" s="19">
        <f t="shared" si="143"/>
        <v>0</v>
      </c>
      <c r="T1097" s="14">
        <f t="shared" si="144"/>
        <v>0</v>
      </c>
      <c r="U1097" s="18" t="str" cm="1">
        <f t="array" aca="1" ref="U1097" ca="1">IF(M1097&lt;=$N$1,L1097,IF(M1097&lt;=($N$1+1),INDIRECT("L"&amp;5+$X$2),""))</f>
        <v/>
      </c>
    </row>
    <row r="1098" spans="12:21" hidden="1" x14ac:dyDescent="0.25">
      <c r="L1098" s="18">
        <f t="shared" ca="1" si="145"/>
        <v>79481</v>
      </c>
      <c r="M1098" s="14">
        <v>1093</v>
      </c>
      <c r="N1098" s="14">
        <f t="shared" si="139"/>
        <v>0</v>
      </c>
      <c r="O1098" s="19">
        <f t="shared" si="140"/>
        <v>0</v>
      </c>
      <c r="P1098" s="19">
        <f t="shared" si="138"/>
        <v>0</v>
      </c>
      <c r="Q1098" s="14">
        <f t="shared" si="141"/>
        <v>0</v>
      </c>
      <c r="R1098" s="19">
        <f t="shared" si="142"/>
        <v>0</v>
      </c>
      <c r="S1098" s="19">
        <f t="shared" si="143"/>
        <v>0</v>
      </c>
      <c r="T1098" s="14">
        <f t="shared" si="144"/>
        <v>0</v>
      </c>
      <c r="U1098" s="18" t="str" cm="1">
        <f t="array" aca="1" ref="U1098" ca="1">IF(M1098&lt;=$N$1,L1098,IF(M1098&lt;=($N$1+1),INDIRECT("L"&amp;5+$X$2),""))</f>
        <v/>
      </c>
    </row>
    <row r="1099" spans="12:21" hidden="1" x14ac:dyDescent="0.25">
      <c r="L1099" s="18">
        <f t="shared" ca="1" si="145"/>
        <v>79512</v>
      </c>
      <c r="M1099" s="14">
        <v>1094</v>
      </c>
      <c r="N1099" s="14">
        <f t="shared" si="139"/>
        <v>0</v>
      </c>
      <c r="O1099" s="19">
        <f t="shared" si="140"/>
        <v>0</v>
      </c>
      <c r="P1099" s="19">
        <f t="shared" si="138"/>
        <v>0</v>
      </c>
      <c r="Q1099" s="14">
        <f t="shared" si="141"/>
        <v>0</v>
      </c>
      <c r="R1099" s="19">
        <f t="shared" si="142"/>
        <v>0</v>
      </c>
      <c r="S1099" s="19">
        <f t="shared" si="143"/>
        <v>0</v>
      </c>
      <c r="T1099" s="14">
        <f t="shared" si="144"/>
        <v>0</v>
      </c>
      <c r="U1099" s="18" t="str" cm="1">
        <f t="array" aca="1" ref="U1099" ca="1">IF(M1099&lt;=$N$1,L1099,IF(M1099&lt;=($N$1+1),INDIRECT("L"&amp;5+$X$2),""))</f>
        <v/>
      </c>
    </row>
    <row r="1100" spans="12:21" hidden="1" x14ac:dyDescent="0.25">
      <c r="L1100" s="18">
        <f t="shared" ca="1" si="145"/>
        <v>79542</v>
      </c>
      <c r="M1100" s="14">
        <v>1095</v>
      </c>
      <c r="N1100" s="14">
        <f t="shared" si="139"/>
        <v>0</v>
      </c>
      <c r="O1100" s="19">
        <f t="shared" si="140"/>
        <v>0</v>
      </c>
      <c r="P1100" s="19">
        <f t="shared" si="138"/>
        <v>0</v>
      </c>
      <c r="Q1100" s="14">
        <f t="shared" si="141"/>
        <v>0</v>
      </c>
      <c r="R1100" s="19">
        <f t="shared" si="142"/>
        <v>0</v>
      </c>
      <c r="S1100" s="19">
        <f t="shared" si="143"/>
        <v>0</v>
      </c>
      <c r="T1100" s="14">
        <f t="shared" si="144"/>
        <v>0</v>
      </c>
      <c r="U1100" s="18" t="str" cm="1">
        <f t="array" aca="1" ref="U1100" ca="1">IF(M1100&lt;=$N$1,L1100,IF(M1100&lt;=($N$1+1),INDIRECT("L"&amp;5+$X$2),""))</f>
        <v/>
      </c>
    </row>
    <row r="1101" spans="12:21" hidden="1" x14ac:dyDescent="0.25">
      <c r="L1101" s="18">
        <f t="shared" ca="1" si="145"/>
        <v>79573</v>
      </c>
      <c r="M1101" s="14">
        <v>1096</v>
      </c>
      <c r="N1101" s="14">
        <f t="shared" si="139"/>
        <v>0</v>
      </c>
      <c r="O1101" s="19">
        <f t="shared" si="140"/>
        <v>0</v>
      </c>
      <c r="P1101" s="19">
        <f t="shared" si="138"/>
        <v>0</v>
      </c>
      <c r="Q1101" s="14">
        <f t="shared" si="141"/>
        <v>0</v>
      </c>
      <c r="R1101" s="19">
        <f t="shared" si="142"/>
        <v>0</v>
      </c>
      <c r="S1101" s="19">
        <f t="shared" si="143"/>
        <v>0</v>
      </c>
      <c r="T1101" s="14">
        <f t="shared" si="144"/>
        <v>0</v>
      </c>
      <c r="U1101" s="18" t="str" cm="1">
        <f t="array" aca="1" ref="U1101" ca="1">IF(M1101&lt;=$N$1,L1101,IF(M1101&lt;=($N$1+1),INDIRECT("L"&amp;5+$X$2),""))</f>
        <v/>
      </c>
    </row>
    <row r="1102" spans="12:21" hidden="1" x14ac:dyDescent="0.25">
      <c r="L1102" s="18">
        <f t="shared" ca="1" si="145"/>
        <v>79603</v>
      </c>
      <c r="M1102" s="14">
        <v>1097</v>
      </c>
      <c r="N1102" s="14">
        <f t="shared" si="139"/>
        <v>0</v>
      </c>
      <c r="O1102" s="19">
        <f t="shared" si="140"/>
        <v>0</v>
      </c>
      <c r="P1102" s="19">
        <f t="shared" si="138"/>
        <v>0</v>
      </c>
      <c r="Q1102" s="14">
        <f t="shared" si="141"/>
        <v>0</v>
      </c>
      <c r="R1102" s="19">
        <f t="shared" si="142"/>
        <v>0</v>
      </c>
      <c r="S1102" s="19">
        <f t="shared" si="143"/>
        <v>0</v>
      </c>
      <c r="T1102" s="14">
        <f t="shared" si="144"/>
        <v>0</v>
      </c>
      <c r="U1102" s="18" t="str" cm="1">
        <f t="array" aca="1" ref="U1102" ca="1">IF(M1102&lt;=$N$1,L1102,IF(M1102&lt;=($N$1+1),INDIRECT("L"&amp;5+$X$2),""))</f>
        <v/>
      </c>
    </row>
    <row r="1103" spans="12:21" hidden="1" x14ac:dyDescent="0.25">
      <c r="L1103" s="18">
        <f t="shared" ca="1" si="145"/>
        <v>79634</v>
      </c>
      <c r="M1103" s="14">
        <v>1098</v>
      </c>
      <c r="N1103" s="14">
        <f t="shared" si="139"/>
        <v>0</v>
      </c>
      <c r="O1103" s="19">
        <f t="shared" si="140"/>
        <v>0</v>
      </c>
      <c r="P1103" s="19">
        <f t="shared" si="138"/>
        <v>0</v>
      </c>
      <c r="Q1103" s="14">
        <f t="shared" si="141"/>
        <v>0</v>
      </c>
      <c r="R1103" s="19">
        <f t="shared" si="142"/>
        <v>0</v>
      </c>
      <c r="S1103" s="19">
        <f t="shared" si="143"/>
        <v>0</v>
      </c>
      <c r="T1103" s="14">
        <f t="shared" si="144"/>
        <v>0</v>
      </c>
      <c r="U1103" s="18" t="str" cm="1">
        <f t="array" aca="1" ref="U1103" ca="1">IF(M1103&lt;=$N$1,L1103,IF(M1103&lt;=($N$1+1),INDIRECT("L"&amp;5+$X$2),""))</f>
        <v/>
      </c>
    </row>
    <row r="1104" spans="12:21" hidden="1" x14ac:dyDescent="0.25">
      <c r="L1104" s="18">
        <f t="shared" ca="1" si="145"/>
        <v>79665</v>
      </c>
      <c r="M1104" s="14">
        <v>1099</v>
      </c>
      <c r="N1104" s="14">
        <f t="shared" si="139"/>
        <v>0</v>
      </c>
      <c r="O1104" s="19">
        <f t="shared" si="140"/>
        <v>0</v>
      </c>
      <c r="P1104" s="19">
        <f t="shared" si="138"/>
        <v>0</v>
      </c>
      <c r="Q1104" s="14">
        <f t="shared" si="141"/>
        <v>0</v>
      </c>
      <c r="R1104" s="19">
        <f t="shared" si="142"/>
        <v>0</v>
      </c>
      <c r="S1104" s="19">
        <f t="shared" si="143"/>
        <v>0</v>
      </c>
      <c r="T1104" s="14">
        <f t="shared" si="144"/>
        <v>0</v>
      </c>
      <c r="U1104" s="18" t="str" cm="1">
        <f t="array" aca="1" ref="U1104" ca="1">IF(M1104&lt;=$N$1,L1104,IF(M1104&lt;=($N$1+1),INDIRECT("L"&amp;5+$X$2),""))</f>
        <v/>
      </c>
    </row>
    <row r="1105" spans="12:21" hidden="1" x14ac:dyDescent="0.25">
      <c r="L1105" s="18">
        <f t="shared" ca="1" si="145"/>
        <v>79693</v>
      </c>
      <c r="M1105" s="14">
        <v>1100</v>
      </c>
      <c r="N1105" s="14">
        <f t="shared" si="139"/>
        <v>0</v>
      </c>
      <c r="O1105" s="19">
        <f t="shared" si="140"/>
        <v>0</v>
      </c>
      <c r="P1105" s="19">
        <f t="shared" si="138"/>
        <v>0</v>
      </c>
      <c r="Q1105" s="14">
        <f t="shared" si="141"/>
        <v>0</v>
      </c>
      <c r="R1105" s="19">
        <f t="shared" si="142"/>
        <v>0</v>
      </c>
      <c r="S1105" s="19">
        <f t="shared" si="143"/>
        <v>0</v>
      </c>
      <c r="T1105" s="14">
        <f t="shared" si="144"/>
        <v>0</v>
      </c>
      <c r="U1105" s="18" t="str" cm="1">
        <f t="array" aca="1" ref="U1105" ca="1">IF(M1105&lt;=$N$1,L1105,IF(M1105&lt;=($N$1+1),INDIRECT("L"&amp;5+$X$2),""))</f>
        <v/>
      </c>
    </row>
    <row r="1106" spans="12:21" hidden="1" x14ac:dyDescent="0.25">
      <c r="L1106" s="18">
        <f t="shared" ca="1" si="145"/>
        <v>79724</v>
      </c>
      <c r="M1106" s="14">
        <v>1101</v>
      </c>
      <c r="N1106" s="14">
        <f t="shared" si="139"/>
        <v>0</v>
      </c>
      <c r="O1106" s="19">
        <f t="shared" si="140"/>
        <v>0</v>
      </c>
      <c r="P1106" s="19">
        <f t="shared" si="138"/>
        <v>0</v>
      </c>
      <c r="Q1106" s="14">
        <f t="shared" si="141"/>
        <v>0</v>
      </c>
      <c r="R1106" s="19">
        <f t="shared" si="142"/>
        <v>0</v>
      </c>
      <c r="S1106" s="19">
        <f t="shared" si="143"/>
        <v>0</v>
      </c>
      <c r="T1106" s="14">
        <f t="shared" si="144"/>
        <v>0</v>
      </c>
      <c r="U1106" s="18" t="str" cm="1">
        <f t="array" aca="1" ref="U1106" ca="1">IF(M1106&lt;=$N$1,L1106,IF(M1106&lt;=($N$1+1),INDIRECT("L"&amp;5+$X$2),""))</f>
        <v/>
      </c>
    </row>
    <row r="1107" spans="12:21" hidden="1" x14ac:dyDescent="0.25">
      <c r="L1107" s="18">
        <f t="shared" ca="1" si="145"/>
        <v>79754</v>
      </c>
      <c r="M1107" s="14">
        <v>1102</v>
      </c>
      <c r="N1107" s="14">
        <f t="shared" si="139"/>
        <v>0</v>
      </c>
      <c r="O1107" s="19">
        <f t="shared" si="140"/>
        <v>0</v>
      </c>
      <c r="P1107" s="19">
        <f t="shared" si="138"/>
        <v>0</v>
      </c>
      <c r="Q1107" s="14">
        <f t="shared" si="141"/>
        <v>0</v>
      </c>
      <c r="R1107" s="19">
        <f t="shared" si="142"/>
        <v>0</v>
      </c>
      <c r="S1107" s="19">
        <f t="shared" si="143"/>
        <v>0</v>
      </c>
      <c r="T1107" s="14">
        <f t="shared" si="144"/>
        <v>0</v>
      </c>
      <c r="U1107" s="18" t="str" cm="1">
        <f t="array" aca="1" ref="U1107" ca="1">IF(M1107&lt;=$N$1,L1107,IF(M1107&lt;=($N$1+1),INDIRECT("L"&amp;5+$X$2),""))</f>
        <v/>
      </c>
    </row>
    <row r="1108" spans="12:21" hidden="1" x14ac:dyDescent="0.25">
      <c r="L1108" s="18">
        <f t="shared" ca="1" si="145"/>
        <v>79785</v>
      </c>
      <c r="M1108" s="14">
        <v>1103</v>
      </c>
      <c r="N1108" s="14">
        <f t="shared" si="139"/>
        <v>0</v>
      </c>
      <c r="O1108" s="19">
        <f t="shared" si="140"/>
        <v>0</v>
      </c>
      <c r="P1108" s="19">
        <f t="shared" si="138"/>
        <v>0</v>
      </c>
      <c r="Q1108" s="14">
        <f t="shared" si="141"/>
        <v>0</v>
      </c>
      <c r="R1108" s="19">
        <f t="shared" si="142"/>
        <v>0</v>
      </c>
      <c r="S1108" s="19">
        <f t="shared" si="143"/>
        <v>0</v>
      </c>
      <c r="T1108" s="14">
        <f t="shared" si="144"/>
        <v>0</v>
      </c>
      <c r="U1108" s="18" t="str" cm="1">
        <f t="array" aca="1" ref="U1108" ca="1">IF(M1108&lt;=$N$1,L1108,IF(M1108&lt;=($N$1+1),INDIRECT("L"&amp;5+$X$2),""))</f>
        <v/>
      </c>
    </row>
    <row r="1109" spans="12:21" hidden="1" x14ac:dyDescent="0.25">
      <c r="L1109" s="18">
        <f t="shared" ca="1" si="145"/>
        <v>79815</v>
      </c>
      <c r="M1109" s="14">
        <v>1104</v>
      </c>
      <c r="N1109" s="14">
        <f t="shared" si="139"/>
        <v>0</v>
      </c>
      <c r="O1109" s="19">
        <f t="shared" si="140"/>
        <v>0</v>
      </c>
      <c r="P1109" s="19">
        <f t="shared" si="138"/>
        <v>0</v>
      </c>
      <c r="Q1109" s="14">
        <f t="shared" si="141"/>
        <v>0</v>
      </c>
      <c r="R1109" s="19">
        <f t="shared" si="142"/>
        <v>0</v>
      </c>
      <c r="S1109" s="19">
        <f t="shared" si="143"/>
        <v>0</v>
      </c>
      <c r="T1109" s="14">
        <f t="shared" si="144"/>
        <v>0</v>
      </c>
      <c r="U1109" s="18" t="str" cm="1">
        <f t="array" aca="1" ref="U1109" ca="1">IF(M1109&lt;=$N$1,L1109,IF(M1109&lt;=($N$1+1),INDIRECT("L"&amp;5+$X$2),""))</f>
        <v/>
      </c>
    </row>
    <row r="1110" spans="12:21" hidden="1" x14ac:dyDescent="0.25">
      <c r="L1110" s="18">
        <f t="shared" ca="1" si="145"/>
        <v>79846</v>
      </c>
      <c r="M1110" s="14">
        <v>1105</v>
      </c>
      <c r="N1110" s="14">
        <f t="shared" si="139"/>
        <v>0</v>
      </c>
      <c r="O1110" s="19">
        <f t="shared" si="140"/>
        <v>0</v>
      </c>
      <c r="P1110" s="19">
        <f t="shared" si="138"/>
        <v>0</v>
      </c>
      <c r="Q1110" s="14">
        <f t="shared" si="141"/>
        <v>0</v>
      </c>
      <c r="R1110" s="19">
        <f t="shared" si="142"/>
        <v>0</v>
      </c>
      <c r="S1110" s="19">
        <f t="shared" si="143"/>
        <v>0</v>
      </c>
      <c r="T1110" s="14">
        <f t="shared" si="144"/>
        <v>0</v>
      </c>
      <c r="U1110" s="18" t="str" cm="1">
        <f t="array" aca="1" ref="U1110" ca="1">IF(M1110&lt;=$N$1,L1110,IF(M1110&lt;=($N$1+1),INDIRECT("L"&amp;5+$X$2),""))</f>
        <v/>
      </c>
    </row>
    <row r="1111" spans="12:21" hidden="1" x14ac:dyDescent="0.25">
      <c r="L1111" s="18">
        <f t="shared" ca="1" si="145"/>
        <v>79877</v>
      </c>
      <c r="M1111" s="14">
        <v>1106</v>
      </c>
      <c r="N1111" s="14">
        <f t="shared" si="139"/>
        <v>0</v>
      </c>
      <c r="O1111" s="19">
        <f t="shared" si="140"/>
        <v>0</v>
      </c>
      <c r="P1111" s="19">
        <f t="shared" si="138"/>
        <v>0</v>
      </c>
      <c r="Q1111" s="14">
        <f t="shared" si="141"/>
        <v>0</v>
      </c>
      <c r="R1111" s="19">
        <f t="shared" si="142"/>
        <v>0</v>
      </c>
      <c r="S1111" s="19">
        <f t="shared" si="143"/>
        <v>0</v>
      </c>
      <c r="T1111" s="14">
        <f t="shared" si="144"/>
        <v>0</v>
      </c>
      <c r="U1111" s="18" t="str" cm="1">
        <f t="array" aca="1" ref="U1111" ca="1">IF(M1111&lt;=$N$1,L1111,IF(M1111&lt;=($N$1+1),INDIRECT("L"&amp;5+$X$2),""))</f>
        <v/>
      </c>
    </row>
    <row r="1112" spans="12:21" hidden="1" x14ac:dyDescent="0.25">
      <c r="L1112" s="18">
        <f t="shared" ca="1" si="145"/>
        <v>79907</v>
      </c>
      <c r="M1112" s="14">
        <v>1107</v>
      </c>
      <c r="N1112" s="14">
        <f t="shared" si="139"/>
        <v>0</v>
      </c>
      <c r="O1112" s="19">
        <f t="shared" si="140"/>
        <v>0</v>
      </c>
      <c r="P1112" s="19">
        <f t="shared" si="138"/>
        <v>0</v>
      </c>
      <c r="Q1112" s="14">
        <f t="shared" si="141"/>
        <v>0</v>
      </c>
      <c r="R1112" s="19">
        <f t="shared" si="142"/>
        <v>0</v>
      </c>
      <c r="S1112" s="19">
        <f t="shared" si="143"/>
        <v>0</v>
      </c>
      <c r="T1112" s="14">
        <f t="shared" si="144"/>
        <v>0</v>
      </c>
      <c r="U1112" s="18" t="str" cm="1">
        <f t="array" aca="1" ref="U1112" ca="1">IF(M1112&lt;=$N$1,L1112,IF(M1112&lt;=($N$1+1),INDIRECT("L"&amp;5+$X$2),""))</f>
        <v/>
      </c>
    </row>
    <row r="1113" spans="12:21" hidden="1" x14ac:dyDescent="0.25">
      <c r="L1113" s="18">
        <f t="shared" ca="1" si="145"/>
        <v>79938</v>
      </c>
      <c r="M1113" s="14">
        <v>1108</v>
      </c>
      <c r="N1113" s="14">
        <f t="shared" si="139"/>
        <v>0</v>
      </c>
      <c r="O1113" s="19">
        <f t="shared" si="140"/>
        <v>0</v>
      </c>
      <c r="P1113" s="19">
        <f t="shared" si="138"/>
        <v>0</v>
      </c>
      <c r="Q1113" s="14">
        <f t="shared" si="141"/>
        <v>0</v>
      </c>
      <c r="R1113" s="19">
        <f t="shared" si="142"/>
        <v>0</v>
      </c>
      <c r="S1113" s="19">
        <f t="shared" si="143"/>
        <v>0</v>
      </c>
      <c r="T1113" s="14">
        <f t="shared" si="144"/>
        <v>0</v>
      </c>
      <c r="U1113" s="18" t="str" cm="1">
        <f t="array" aca="1" ref="U1113" ca="1">IF(M1113&lt;=$N$1,L1113,IF(M1113&lt;=($N$1+1),INDIRECT("L"&amp;5+$X$2),""))</f>
        <v/>
      </c>
    </row>
    <row r="1114" spans="12:21" hidden="1" x14ac:dyDescent="0.25">
      <c r="L1114" s="18">
        <f t="shared" ca="1" si="145"/>
        <v>79968</v>
      </c>
      <c r="M1114" s="14">
        <v>1109</v>
      </c>
      <c r="N1114" s="14">
        <f t="shared" si="139"/>
        <v>0</v>
      </c>
      <c r="O1114" s="19">
        <f t="shared" si="140"/>
        <v>0</v>
      </c>
      <c r="P1114" s="19">
        <f t="shared" si="138"/>
        <v>0</v>
      </c>
      <c r="Q1114" s="14">
        <f t="shared" si="141"/>
        <v>0</v>
      </c>
      <c r="R1114" s="19">
        <f t="shared" si="142"/>
        <v>0</v>
      </c>
      <c r="S1114" s="19">
        <f t="shared" si="143"/>
        <v>0</v>
      </c>
      <c r="T1114" s="14">
        <f t="shared" si="144"/>
        <v>0</v>
      </c>
      <c r="U1114" s="18" t="str" cm="1">
        <f t="array" aca="1" ref="U1114" ca="1">IF(M1114&lt;=$N$1,L1114,IF(M1114&lt;=($N$1+1),INDIRECT("L"&amp;5+$X$2),""))</f>
        <v/>
      </c>
    </row>
    <row r="1115" spans="12:21" hidden="1" x14ac:dyDescent="0.25">
      <c r="L1115" s="18">
        <f t="shared" ca="1" si="145"/>
        <v>79999</v>
      </c>
      <c r="M1115" s="14">
        <v>1110</v>
      </c>
      <c r="N1115" s="14">
        <f t="shared" si="139"/>
        <v>0</v>
      </c>
      <c r="O1115" s="19">
        <f t="shared" si="140"/>
        <v>0</v>
      </c>
      <c r="P1115" s="19">
        <f t="shared" si="138"/>
        <v>0</v>
      </c>
      <c r="Q1115" s="14">
        <f t="shared" si="141"/>
        <v>0</v>
      </c>
      <c r="R1115" s="19">
        <f t="shared" si="142"/>
        <v>0</v>
      </c>
      <c r="S1115" s="19">
        <f t="shared" si="143"/>
        <v>0</v>
      </c>
      <c r="T1115" s="14">
        <f t="shared" si="144"/>
        <v>0</v>
      </c>
      <c r="U1115" s="18" t="str" cm="1">
        <f t="array" aca="1" ref="U1115" ca="1">IF(M1115&lt;=$N$1,L1115,IF(M1115&lt;=($N$1+1),INDIRECT("L"&amp;5+$X$2),""))</f>
        <v/>
      </c>
    </row>
    <row r="1116" spans="12:21" hidden="1" x14ac:dyDescent="0.25">
      <c r="L1116" s="18">
        <f t="shared" ca="1" si="145"/>
        <v>80030</v>
      </c>
      <c r="M1116" s="14">
        <v>1111</v>
      </c>
      <c r="N1116" s="14">
        <f t="shared" si="139"/>
        <v>0</v>
      </c>
      <c r="O1116" s="19">
        <f t="shared" si="140"/>
        <v>0</v>
      </c>
      <c r="P1116" s="19">
        <f t="shared" si="138"/>
        <v>0</v>
      </c>
      <c r="Q1116" s="14">
        <f t="shared" si="141"/>
        <v>0</v>
      </c>
      <c r="R1116" s="19">
        <f t="shared" si="142"/>
        <v>0</v>
      </c>
      <c r="S1116" s="19">
        <f t="shared" si="143"/>
        <v>0</v>
      </c>
      <c r="T1116" s="14">
        <f t="shared" si="144"/>
        <v>0</v>
      </c>
      <c r="U1116" s="18" t="str" cm="1">
        <f t="array" aca="1" ref="U1116" ca="1">IF(M1116&lt;=$N$1,L1116,IF(M1116&lt;=($N$1+1),INDIRECT("L"&amp;5+$X$2),""))</f>
        <v/>
      </c>
    </row>
    <row r="1117" spans="12:21" hidden="1" x14ac:dyDescent="0.25">
      <c r="L1117" s="18">
        <f t="shared" ca="1" si="145"/>
        <v>80058</v>
      </c>
      <c r="M1117" s="14">
        <v>1112</v>
      </c>
      <c r="N1117" s="14">
        <f t="shared" si="139"/>
        <v>0</v>
      </c>
      <c r="O1117" s="19">
        <f t="shared" si="140"/>
        <v>0</v>
      </c>
      <c r="P1117" s="19">
        <f t="shared" si="138"/>
        <v>0</v>
      </c>
      <c r="Q1117" s="14">
        <f t="shared" si="141"/>
        <v>0</v>
      </c>
      <c r="R1117" s="19">
        <f t="shared" si="142"/>
        <v>0</v>
      </c>
      <c r="S1117" s="19">
        <f t="shared" si="143"/>
        <v>0</v>
      </c>
      <c r="T1117" s="14">
        <f t="shared" si="144"/>
        <v>0</v>
      </c>
      <c r="U1117" s="18" t="str" cm="1">
        <f t="array" aca="1" ref="U1117" ca="1">IF(M1117&lt;=$N$1,L1117,IF(M1117&lt;=($N$1+1),INDIRECT("L"&amp;5+$X$2),""))</f>
        <v/>
      </c>
    </row>
    <row r="1118" spans="12:21" hidden="1" x14ac:dyDescent="0.25">
      <c r="L1118" s="18">
        <f t="shared" ca="1" si="145"/>
        <v>80089</v>
      </c>
      <c r="M1118" s="14">
        <v>1113</v>
      </c>
      <c r="N1118" s="14">
        <f t="shared" si="139"/>
        <v>0</v>
      </c>
      <c r="O1118" s="19">
        <f t="shared" si="140"/>
        <v>0</v>
      </c>
      <c r="P1118" s="19">
        <f t="shared" si="138"/>
        <v>0</v>
      </c>
      <c r="Q1118" s="14">
        <f t="shared" si="141"/>
        <v>0</v>
      </c>
      <c r="R1118" s="19">
        <f t="shared" si="142"/>
        <v>0</v>
      </c>
      <c r="S1118" s="19">
        <f t="shared" si="143"/>
        <v>0</v>
      </c>
      <c r="T1118" s="14">
        <f t="shared" si="144"/>
        <v>0</v>
      </c>
      <c r="U1118" s="18" t="str" cm="1">
        <f t="array" aca="1" ref="U1118" ca="1">IF(M1118&lt;=$N$1,L1118,IF(M1118&lt;=($N$1+1),INDIRECT("L"&amp;5+$X$2),""))</f>
        <v/>
      </c>
    </row>
    <row r="1119" spans="12:21" hidden="1" x14ac:dyDescent="0.25">
      <c r="L1119" s="18">
        <f t="shared" ca="1" si="145"/>
        <v>80119</v>
      </c>
      <c r="M1119" s="14">
        <v>1114</v>
      </c>
      <c r="N1119" s="14">
        <f t="shared" si="139"/>
        <v>0</v>
      </c>
      <c r="O1119" s="19">
        <f t="shared" si="140"/>
        <v>0</v>
      </c>
      <c r="P1119" s="19">
        <f t="shared" si="138"/>
        <v>0</v>
      </c>
      <c r="Q1119" s="14">
        <f t="shared" si="141"/>
        <v>0</v>
      </c>
      <c r="R1119" s="19">
        <f t="shared" si="142"/>
        <v>0</v>
      </c>
      <c r="S1119" s="19">
        <f t="shared" si="143"/>
        <v>0</v>
      </c>
      <c r="T1119" s="14">
        <f t="shared" si="144"/>
        <v>0</v>
      </c>
      <c r="U1119" s="18" t="str" cm="1">
        <f t="array" aca="1" ref="U1119" ca="1">IF(M1119&lt;=$N$1,L1119,IF(M1119&lt;=($N$1+1),INDIRECT("L"&amp;5+$X$2),""))</f>
        <v/>
      </c>
    </row>
    <row r="1120" spans="12:21" hidden="1" x14ac:dyDescent="0.25">
      <c r="L1120" s="18">
        <f t="shared" ca="1" si="145"/>
        <v>80150</v>
      </c>
      <c r="M1120" s="14">
        <v>1115</v>
      </c>
      <c r="N1120" s="14">
        <f t="shared" si="139"/>
        <v>0</v>
      </c>
      <c r="O1120" s="19">
        <f t="shared" si="140"/>
        <v>0</v>
      </c>
      <c r="P1120" s="19">
        <f t="shared" si="138"/>
        <v>0</v>
      </c>
      <c r="Q1120" s="14">
        <f t="shared" si="141"/>
        <v>0</v>
      </c>
      <c r="R1120" s="19">
        <f t="shared" si="142"/>
        <v>0</v>
      </c>
      <c r="S1120" s="19">
        <f t="shared" si="143"/>
        <v>0</v>
      </c>
      <c r="T1120" s="14">
        <f t="shared" si="144"/>
        <v>0</v>
      </c>
      <c r="U1120" s="18" t="str" cm="1">
        <f t="array" aca="1" ref="U1120" ca="1">IF(M1120&lt;=$N$1,L1120,IF(M1120&lt;=($N$1+1),INDIRECT("L"&amp;5+$X$2),""))</f>
        <v/>
      </c>
    </row>
    <row r="1121" spans="12:21" hidden="1" x14ac:dyDescent="0.25">
      <c r="L1121" s="18">
        <f t="shared" ca="1" si="145"/>
        <v>80180</v>
      </c>
      <c r="M1121" s="14">
        <v>1116</v>
      </c>
      <c r="N1121" s="14">
        <f t="shared" si="139"/>
        <v>0</v>
      </c>
      <c r="O1121" s="19">
        <f t="shared" si="140"/>
        <v>0</v>
      </c>
      <c r="P1121" s="19">
        <f t="shared" si="138"/>
        <v>0</v>
      </c>
      <c r="Q1121" s="14">
        <f t="shared" si="141"/>
        <v>0</v>
      </c>
      <c r="R1121" s="19">
        <f t="shared" si="142"/>
        <v>0</v>
      </c>
      <c r="S1121" s="19">
        <f t="shared" si="143"/>
        <v>0</v>
      </c>
      <c r="T1121" s="14">
        <f t="shared" si="144"/>
        <v>0</v>
      </c>
      <c r="U1121" s="18" t="str" cm="1">
        <f t="array" aca="1" ref="U1121" ca="1">IF(M1121&lt;=$N$1,L1121,IF(M1121&lt;=($N$1+1),INDIRECT("L"&amp;5+$X$2),""))</f>
        <v/>
      </c>
    </row>
    <row r="1122" spans="12:21" hidden="1" x14ac:dyDescent="0.25">
      <c r="L1122" s="18">
        <f t="shared" ca="1" si="145"/>
        <v>80211</v>
      </c>
      <c r="M1122" s="14">
        <v>1117</v>
      </c>
      <c r="N1122" s="14">
        <f t="shared" si="139"/>
        <v>0</v>
      </c>
      <c r="O1122" s="19">
        <f t="shared" si="140"/>
        <v>0</v>
      </c>
      <c r="P1122" s="19">
        <f t="shared" si="138"/>
        <v>0</v>
      </c>
      <c r="Q1122" s="14">
        <f t="shared" si="141"/>
        <v>0</v>
      </c>
      <c r="R1122" s="19">
        <f t="shared" si="142"/>
        <v>0</v>
      </c>
      <c r="S1122" s="19">
        <f t="shared" si="143"/>
        <v>0</v>
      </c>
      <c r="T1122" s="14">
        <f t="shared" si="144"/>
        <v>0</v>
      </c>
      <c r="U1122" s="18" t="str" cm="1">
        <f t="array" aca="1" ref="U1122" ca="1">IF(M1122&lt;=$N$1,L1122,IF(M1122&lt;=($N$1+1),INDIRECT("L"&amp;5+$X$2),""))</f>
        <v/>
      </c>
    </row>
    <row r="1123" spans="12:21" hidden="1" x14ac:dyDescent="0.25">
      <c r="L1123" s="18">
        <f t="shared" ca="1" si="145"/>
        <v>80242</v>
      </c>
      <c r="M1123" s="14">
        <v>1118</v>
      </c>
      <c r="N1123" s="14">
        <f t="shared" si="139"/>
        <v>0</v>
      </c>
      <c r="O1123" s="19">
        <f t="shared" si="140"/>
        <v>0</v>
      </c>
      <c r="P1123" s="19">
        <f t="shared" si="138"/>
        <v>0</v>
      </c>
      <c r="Q1123" s="14">
        <f t="shared" si="141"/>
        <v>0</v>
      </c>
      <c r="R1123" s="19">
        <f t="shared" si="142"/>
        <v>0</v>
      </c>
      <c r="S1123" s="19">
        <f t="shared" si="143"/>
        <v>0</v>
      </c>
      <c r="T1123" s="14">
        <f t="shared" si="144"/>
        <v>0</v>
      </c>
      <c r="U1123" s="18" t="str" cm="1">
        <f t="array" aca="1" ref="U1123" ca="1">IF(M1123&lt;=$N$1,L1123,IF(M1123&lt;=($N$1+1),INDIRECT("L"&amp;5+$X$2),""))</f>
        <v/>
      </c>
    </row>
    <row r="1124" spans="12:21" hidden="1" x14ac:dyDescent="0.25">
      <c r="L1124" s="18">
        <f t="shared" ca="1" si="145"/>
        <v>80272</v>
      </c>
      <c r="M1124" s="14">
        <v>1119</v>
      </c>
      <c r="N1124" s="14">
        <f t="shared" si="139"/>
        <v>0</v>
      </c>
      <c r="O1124" s="19">
        <f t="shared" si="140"/>
        <v>0</v>
      </c>
      <c r="P1124" s="19">
        <f t="shared" si="138"/>
        <v>0</v>
      </c>
      <c r="Q1124" s="14">
        <f t="shared" si="141"/>
        <v>0</v>
      </c>
      <c r="R1124" s="19">
        <f t="shared" si="142"/>
        <v>0</v>
      </c>
      <c r="S1124" s="19">
        <f t="shared" si="143"/>
        <v>0</v>
      </c>
      <c r="T1124" s="14">
        <f t="shared" si="144"/>
        <v>0</v>
      </c>
      <c r="U1124" s="18" t="str" cm="1">
        <f t="array" aca="1" ref="U1124" ca="1">IF(M1124&lt;=$N$1,L1124,IF(M1124&lt;=($N$1+1),INDIRECT("L"&amp;5+$X$2),""))</f>
        <v/>
      </c>
    </row>
    <row r="1125" spans="12:21" hidden="1" x14ac:dyDescent="0.25">
      <c r="L1125" s="18">
        <f t="shared" ca="1" si="145"/>
        <v>80303</v>
      </c>
      <c r="M1125" s="14">
        <v>1120</v>
      </c>
      <c r="N1125" s="14">
        <f t="shared" si="139"/>
        <v>0</v>
      </c>
      <c r="O1125" s="19">
        <f t="shared" si="140"/>
        <v>0</v>
      </c>
      <c r="P1125" s="19">
        <f t="shared" si="138"/>
        <v>0</v>
      </c>
      <c r="Q1125" s="14">
        <f t="shared" si="141"/>
        <v>0</v>
      </c>
      <c r="R1125" s="19">
        <f t="shared" si="142"/>
        <v>0</v>
      </c>
      <c r="S1125" s="19">
        <f t="shared" si="143"/>
        <v>0</v>
      </c>
      <c r="T1125" s="14">
        <f t="shared" si="144"/>
        <v>0</v>
      </c>
      <c r="U1125" s="18" t="str" cm="1">
        <f t="array" aca="1" ref="U1125" ca="1">IF(M1125&lt;=$N$1,L1125,IF(M1125&lt;=($N$1+1),INDIRECT("L"&amp;5+$X$2),""))</f>
        <v/>
      </c>
    </row>
    <row r="1126" spans="12:21" hidden="1" x14ac:dyDescent="0.25">
      <c r="L1126" s="18">
        <f t="shared" ca="1" si="145"/>
        <v>80333</v>
      </c>
      <c r="M1126" s="14">
        <v>1121</v>
      </c>
      <c r="N1126" s="14">
        <f t="shared" si="139"/>
        <v>0</v>
      </c>
      <c r="O1126" s="19">
        <f t="shared" si="140"/>
        <v>0</v>
      </c>
      <c r="P1126" s="19">
        <f t="shared" ref="P1126:P1162" si="146">O1126/((1+SIPInflationRate)^(M1126/12))</f>
        <v>0</v>
      </c>
      <c r="Q1126" s="14">
        <f t="shared" si="141"/>
        <v>0</v>
      </c>
      <c r="R1126" s="19">
        <f t="shared" si="142"/>
        <v>0</v>
      </c>
      <c r="S1126" s="19">
        <f t="shared" si="143"/>
        <v>0</v>
      </c>
      <c r="T1126" s="14">
        <f t="shared" si="144"/>
        <v>0</v>
      </c>
      <c r="U1126" s="18" t="str" cm="1">
        <f t="array" aca="1" ref="U1126" ca="1">IF(M1126&lt;=$N$1,L1126,IF(M1126&lt;=($N$1+1),INDIRECT("L"&amp;5+$X$2),""))</f>
        <v/>
      </c>
    </row>
    <row r="1127" spans="12:21" hidden="1" x14ac:dyDescent="0.25">
      <c r="L1127" s="18">
        <f t="shared" ca="1" si="145"/>
        <v>80364</v>
      </c>
      <c r="M1127" s="14">
        <v>1122</v>
      </c>
      <c r="N1127" s="14">
        <f t="shared" si="139"/>
        <v>0</v>
      </c>
      <c r="O1127" s="19">
        <f t="shared" si="140"/>
        <v>0</v>
      </c>
      <c r="P1127" s="19">
        <f t="shared" si="146"/>
        <v>0</v>
      </c>
      <c r="Q1127" s="14">
        <f t="shared" si="141"/>
        <v>0</v>
      </c>
      <c r="R1127" s="19">
        <f t="shared" si="142"/>
        <v>0</v>
      </c>
      <c r="S1127" s="19">
        <f t="shared" si="143"/>
        <v>0</v>
      </c>
      <c r="T1127" s="14">
        <f t="shared" si="144"/>
        <v>0</v>
      </c>
      <c r="U1127" s="18" t="str" cm="1">
        <f t="array" aca="1" ref="U1127" ca="1">IF(M1127&lt;=$N$1,L1127,IF(M1127&lt;=($N$1+1),INDIRECT("L"&amp;5+$X$2),""))</f>
        <v/>
      </c>
    </row>
    <row r="1128" spans="12:21" hidden="1" x14ac:dyDescent="0.25">
      <c r="L1128" s="18">
        <f t="shared" ca="1" si="145"/>
        <v>80395</v>
      </c>
      <c r="M1128" s="14">
        <v>1123</v>
      </c>
      <c r="N1128" s="14">
        <f t="shared" si="139"/>
        <v>0</v>
      </c>
      <c r="O1128" s="19">
        <f t="shared" si="140"/>
        <v>0</v>
      </c>
      <c r="P1128" s="19">
        <f t="shared" si="146"/>
        <v>0</v>
      </c>
      <c r="Q1128" s="14">
        <f t="shared" si="141"/>
        <v>0</v>
      </c>
      <c r="R1128" s="19">
        <f t="shared" si="142"/>
        <v>0</v>
      </c>
      <c r="S1128" s="19">
        <f t="shared" si="143"/>
        <v>0</v>
      </c>
      <c r="T1128" s="14">
        <f t="shared" si="144"/>
        <v>0</v>
      </c>
      <c r="U1128" s="18" t="str" cm="1">
        <f t="array" aca="1" ref="U1128" ca="1">IF(M1128&lt;=$N$1,L1128,IF(M1128&lt;=($N$1+1),INDIRECT("L"&amp;5+$X$2),""))</f>
        <v/>
      </c>
    </row>
    <row r="1129" spans="12:21" hidden="1" x14ac:dyDescent="0.25">
      <c r="L1129" s="18">
        <f t="shared" ca="1" si="145"/>
        <v>80424</v>
      </c>
      <c r="M1129" s="14">
        <v>1124</v>
      </c>
      <c r="N1129" s="14">
        <f t="shared" si="139"/>
        <v>0</v>
      </c>
      <c r="O1129" s="19">
        <f t="shared" si="140"/>
        <v>0</v>
      </c>
      <c r="P1129" s="19">
        <f t="shared" si="146"/>
        <v>0</v>
      </c>
      <c r="Q1129" s="14">
        <f t="shared" si="141"/>
        <v>0</v>
      </c>
      <c r="R1129" s="19">
        <f t="shared" si="142"/>
        <v>0</v>
      </c>
      <c r="S1129" s="19">
        <f t="shared" si="143"/>
        <v>0</v>
      </c>
      <c r="T1129" s="14">
        <f t="shared" si="144"/>
        <v>0</v>
      </c>
      <c r="U1129" s="18" t="str" cm="1">
        <f t="array" aca="1" ref="U1129" ca="1">IF(M1129&lt;=$N$1,L1129,IF(M1129&lt;=($N$1+1),INDIRECT("L"&amp;5+$X$2),""))</f>
        <v/>
      </c>
    </row>
    <row r="1130" spans="12:21" hidden="1" x14ac:dyDescent="0.25">
      <c r="L1130" s="18">
        <f t="shared" ca="1" si="145"/>
        <v>80455</v>
      </c>
      <c r="M1130" s="14">
        <v>1125</v>
      </c>
      <c r="N1130" s="14">
        <f t="shared" si="139"/>
        <v>0</v>
      </c>
      <c r="O1130" s="19">
        <f t="shared" si="140"/>
        <v>0</v>
      </c>
      <c r="P1130" s="19">
        <f t="shared" si="146"/>
        <v>0</v>
      </c>
      <c r="Q1130" s="14">
        <f t="shared" si="141"/>
        <v>0</v>
      </c>
      <c r="R1130" s="19">
        <f t="shared" si="142"/>
        <v>0</v>
      </c>
      <c r="S1130" s="19">
        <f t="shared" si="143"/>
        <v>0</v>
      </c>
      <c r="T1130" s="14">
        <f t="shared" si="144"/>
        <v>0</v>
      </c>
      <c r="U1130" s="18" t="str" cm="1">
        <f t="array" aca="1" ref="U1130" ca="1">IF(M1130&lt;=$N$1,L1130,IF(M1130&lt;=($N$1+1),INDIRECT("L"&amp;5+$X$2),""))</f>
        <v/>
      </c>
    </row>
    <row r="1131" spans="12:21" hidden="1" x14ac:dyDescent="0.25">
      <c r="L1131" s="18">
        <f t="shared" ca="1" si="145"/>
        <v>80485</v>
      </c>
      <c r="M1131" s="14">
        <v>1126</v>
      </c>
      <c r="N1131" s="14">
        <f t="shared" si="139"/>
        <v>0</v>
      </c>
      <c r="O1131" s="19">
        <f t="shared" si="140"/>
        <v>0</v>
      </c>
      <c r="P1131" s="19">
        <f t="shared" si="146"/>
        <v>0</v>
      </c>
      <c r="Q1131" s="14">
        <f t="shared" si="141"/>
        <v>0</v>
      </c>
      <c r="R1131" s="19">
        <f t="shared" si="142"/>
        <v>0</v>
      </c>
      <c r="S1131" s="19">
        <f t="shared" si="143"/>
        <v>0</v>
      </c>
      <c r="T1131" s="14">
        <f t="shared" si="144"/>
        <v>0</v>
      </c>
      <c r="U1131" s="18" t="str" cm="1">
        <f t="array" aca="1" ref="U1131" ca="1">IF(M1131&lt;=$N$1,L1131,IF(M1131&lt;=($N$1+1),INDIRECT("L"&amp;5+$X$2),""))</f>
        <v/>
      </c>
    </row>
    <row r="1132" spans="12:21" hidden="1" x14ac:dyDescent="0.25">
      <c r="L1132" s="18">
        <f t="shared" ca="1" si="145"/>
        <v>80516</v>
      </c>
      <c r="M1132" s="14">
        <v>1127</v>
      </c>
      <c r="N1132" s="14">
        <f t="shared" si="139"/>
        <v>0</v>
      </c>
      <c r="O1132" s="19">
        <f t="shared" si="140"/>
        <v>0</v>
      </c>
      <c r="P1132" s="19">
        <f t="shared" si="146"/>
        <v>0</v>
      </c>
      <c r="Q1132" s="14">
        <f t="shared" si="141"/>
        <v>0</v>
      </c>
      <c r="R1132" s="19">
        <f t="shared" si="142"/>
        <v>0</v>
      </c>
      <c r="S1132" s="19">
        <f t="shared" si="143"/>
        <v>0</v>
      </c>
      <c r="T1132" s="14">
        <f t="shared" si="144"/>
        <v>0</v>
      </c>
      <c r="U1132" s="18" t="str" cm="1">
        <f t="array" aca="1" ref="U1132" ca="1">IF(M1132&lt;=$N$1,L1132,IF(M1132&lt;=($N$1+1),INDIRECT("L"&amp;5+$X$2),""))</f>
        <v/>
      </c>
    </row>
    <row r="1133" spans="12:21" hidden="1" x14ac:dyDescent="0.25">
      <c r="L1133" s="18">
        <f t="shared" ca="1" si="145"/>
        <v>80546</v>
      </c>
      <c r="M1133" s="14">
        <v>1128</v>
      </c>
      <c r="N1133" s="14">
        <f t="shared" si="139"/>
        <v>0</v>
      </c>
      <c r="O1133" s="19">
        <f t="shared" si="140"/>
        <v>0</v>
      </c>
      <c r="P1133" s="19">
        <f t="shared" si="146"/>
        <v>0</v>
      </c>
      <c r="Q1133" s="14">
        <f t="shared" si="141"/>
        <v>0</v>
      </c>
      <c r="R1133" s="19">
        <f t="shared" si="142"/>
        <v>0</v>
      </c>
      <c r="S1133" s="19">
        <f t="shared" si="143"/>
        <v>0</v>
      </c>
      <c r="T1133" s="14">
        <f t="shared" si="144"/>
        <v>0</v>
      </c>
      <c r="U1133" s="18" t="str" cm="1">
        <f t="array" aca="1" ref="U1133" ca="1">IF(M1133&lt;=$N$1,L1133,IF(M1133&lt;=($N$1+1),INDIRECT("L"&amp;5+$X$2),""))</f>
        <v/>
      </c>
    </row>
    <row r="1134" spans="12:21" hidden="1" x14ac:dyDescent="0.25">
      <c r="L1134" s="18">
        <f t="shared" ca="1" si="145"/>
        <v>80577</v>
      </c>
      <c r="M1134" s="14">
        <v>1129</v>
      </c>
      <c r="N1134" s="14">
        <f t="shared" si="139"/>
        <v>0</v>
      </c>
      <c r="O1134" s="19">
        <f t="shared" si="140"/>
        <v>0</v>
      </c>
      <c r="P1134" s="19">
        <f t="shared" si="146"/>
        <v>0</v>
      </c>
      <c r="Q1134" s="14">
        <f t="shared" si="141"/>
        <v>0</v>
      </c>
      <c r="R1134" s="19">
        <f t="shared" si="142"/>
        <v>0</v>
      </c>
      <c r="S1134" s="19">
        <f t="shared" si="143"/>
        <v>0</v>
      </c>
      <c r="T1134" s="14">
        <f t="shared" si="144"/>
        <v>0</v>
      </c>
      <c r="U1134" s="18" t="str" cm="1">
        <f t="array" aca="1" ref="U1134" ca="1">IF(M1134&lt;=$N$1,L1134,IF(M1134&lt;=($N$1+1),INDIRECT("L"&amp;5+$X$2),""))</f>
        <v/>
      </c>
    </row>
    <row r="1135" spans="12:21" hidden="1" x14ac:dyDescent="0.25">
      <c r="L1135" s="18">
        <f t="shared" ca="1" si="145"/>
        <v>80608</v>
      </c>
      <c r="M1135" s="14">
        <v>1130</v>
      </c>
      <c r="N1135" s="14">
        <f t="shared" si="139"/>
        <v>0</v>
      </c>
      <c r="O1135" s="19">
        <f t="shared" si="140"/>
        <v>0</v>
      </c>
      <c r="P1135" s="19">
        <f t="shared" si="146"/>
        <v>0</v>
      </c>
      <c r="Q1135" s="14">
        <f t="shared" si="141"/>
        <v>0</v>
      </c>
      <c r="R1135" s="19">
        <f t="shared" si="142"/>
        <v>0</v>
      </c>
      <c r="S1135" s="19">
        <f t="shared" si="143"/>
        <v>0</v>
      </c>
      <c r="T1135" s="14">
        <f t="shared" si="144"/>
        <v>0</v>
      </c>
      <c r="U1135" s="18" t="str" cm="1">
        <f t="array" aca="1" ref="U1135" ca="1">IF(M1135&lt;=$N$1,L1135,IF(M1135&lt;=($N$1+1),INDIRECT("L"&amp;5+$X$2),""))</f>
        <v/>
      </c>
    </row>
    <row r="1136" spans="12:21" hidden="1" x14ac:dyDescent="0.25">
      <c r="L1136" s="18">
        <f t="shared" ca="1" si="145"/>
        <v>80638</v>
      </c>
      <c r="M1136" s="14">
        <v>1131</v>
      </c>
      <c r="N1136" s="14">
        <f t="shared" si="139"/>
        <v>0</v>
      </c>
      <c r="O1136" s="19">
        <f t="shared" si="140"/>
        <v>0</v>
      </c>
      <c r="P1136" s="19">
        <f t="shared" si="146"/>
        <v>0</v>
      </c>
      <c r="Q1136" s="14">
        <f t="shared" si="141"/>
        <v>0</v>
      </c>
      <c r="R1136" s="19">
        <f t="shared" si="142"/>
        <v>0</v>
      </c>
      <c r="S1136" s="19">
        <f t="shared" si="143"/>
        <v>0</v>
      </c>
      <c r="T1136" s="14">
        <f t="shared" si="144"/>
        <v>0</v>
      </c>
      <c r="U1136" s="18" t="str" cm="1">
        <f t="array" aca="1" ref="U1136" ca="1">IF(M1136&lt;=$N$1,L1136,IF(M1136&lt;=($N$1+1),INDIRECT("L"&amp;5+$X$2),""))</f>
        <v/>
      </c>
    </row>
    <row r="1137" spans="12:21" hidden="1" x14ac:dyDescent="0.25">
      <c r="L1137" s="18">
        <f t="shared" ca="1" si="145"/>
        <v>80669</v>
      </c>
      <c r="M1137" s="14">
        <v>1132</v>
      </c>
      <c r="N1137" s="14">
        <f t="shared" si="139"/>
        <v>0</v>
      </c>
      <c r="O1137" s="19">
        <f t="shared" si="140"/>
        <v>0</v>
      </c>
      <c r="P1137" s="19">
        <f t="shared" si="146"/>
        <v>0</v>
      </c>
      <c r="Q1137" s="14">
        <f t="shared" si="141"/>
        <v>0</v>
      </c>
      <c r="R1137" s="19">
        <f t="shared" si="142"/>
        <v>0</v>
      </c>
      <c r="S1137" s="19">
        <f t="shared" si="143"/>
        <v>0</v>
      </c>
      <c r="T1137" s="14">
        <f t="shared" si="144"/>
        <v>0</v>
      </c>
      <c r="U1137" s="18" t="str" cm="1">
        <f t="array" aca="1" ref="U1137" ca="1">IF(M1137&lt;=$N$1,L1137,IF(M1137&lt;=($N$1+1),INDIRECT("L"&amp;5+$X$2),""))</f>
        <v/>
      </c>
    </row>
    <row r="1138" spans="12:21" hidden="1" x14ac:dyDescent="0.25">
      <c r="L1138" s="18">
        <f t="shared" ca="1" si="145"/>
        <v>80699</v>
      </c>
      <c r="M1138" s="14">
        <v>1133</v>
      </c>
      <c r="N1138" s="14">
        <f t="shared" si="139"/>
        <v>0</v>
      </c>
      <c r="O1138" s="19">
        <f t="shared" si="140"/>
        <v>0</v>
      </c>
      <c r="P1138" s="19">
        <f t="shared" si="146"/>
        <v>0</v>
      </c>
      <c r="Q1138" s="14">
        <f t="shared" si="141"/>
        <v>0</v>
      </c>
      <c r="R1138" s="19">
        <f t="shared" si="142"/>
        <v>0</v>
      </c>
      <c r="S1138" s="19">
        <f t="shared" si="143"/>
        <v>0</v>
      </c>
      <c r="T1138" s="14">
        <f t="shared" si="144"/>
        <v>0</v>
      </c>
      <c r="U1138" s="18" t="str" cm="1">
        <f t="array" aca="1" ref="U1138" ca="1">IF(M1138&lt;=$N$1,L1138,IF(M1138&lt;=($N$1+1),INDIRECT("L"&amp;5+$X$2),""))</f>
        <v/>
      </c>
    </row>
    <row r="1139" spans="12:21" hidden="1" x14ac:dyDescent="0.25">
      <c r="L1139" s="18">
        <f t="shared" ca="1" si="145"/>
        <v>80730</v>
      </c>
      <c r="M1139" s="14">
        <v>1134</v>
      </c>
      <c r="N1139" s="14">
        <f t="shared" si="139"/>
        <v>0</v>
      </c>
      <c r="O1139" s="19">
        <f t="shared" si="140"/>
        <v>0</v>
      </c>
      <c r="P1139" s="19">
        <f t="shared" si="146"/>
        <v>0</v>
      </c>
      <c r="Q1139" s="14">
        <f t="shared" si="141"/>
        <v>0</v>
      </c>
      <c r="R1139" s="19">
        <f t="shared" si="142"/>
        <v>0</v>
      </c>
      <c r="S1139" s="19">
        <f t="shared" si="143"/>
        <v>0</v>
      </c>
      <c r="T1139" s="14">
        <f t="shared" si="144"/>
        <v>0</v>
      </c>
      <c r="U1139" s="18" t="str" cm="1">
        <f t="array" aca="1" ref="U1139" ca="1">IF(M1139&lt;=$N$1,L1139,IF(M1139&lt;=($N$1+1),INDIRECT("L"&amp;5+$X$2),""))</f>
        <v/>
      </c>
    </row>
    <row r="1140" spans="12:21" hidden="1" x14ac:dyDescent="0.25">
      <c r="L1140" s="18">
        <f t="shared" ca="1" si="145"/>
        <v>80761</v>
      </c>
      <c r="M1140" s="14">
        <v>1135</v>
      </c>
      <c r="N1140" s="14">
        <f t="shared" si="139"/>
        <v>0</v>
      </c>
      <c r="O1140" s="19">
        <f t="shared" si="140"/>
        <v>0</v>
      </c>
      <c r="P1140" s="19">
        <f t="shared" si="146"/>
        <v>0</v>
      </c>
      <c r="Q1140" s="14">
        <f t="shared" si="141"/>
        <v>0</v>
      </c>
      <c r="R1140" s="19">
        <f t="shared" si="142"/>
        <v>0</v>
      </c>
      <c r="S1140" s="19">
        <f t="shared" si="143"/>
        <v>0</v>
      </c>
      <c r="T1140" s="14">
        <f t="shared" si="144"/>
        <v>0</v>
      </c>
      <c r="U1140" s="18" t="str" cm="1">
        <f t="array" aca="1" ref="U1140" ca="1">IF(M1140&lt;=$N$1,L1140,IF(M1140&lt;=($N$1+1),INDIRECT("L"&amp;5+$X$2),""))</f>
        <v/>
      </c>
    </row>
    <row r="1141" spans="12:21" hidden="1" x14ac:dyDescent="0.25">
      <c r="L1141" s="18">
        <f t="shared" ca="1" si="145"/>
        <v>80789</v>
      </c>
      <c r="M1141" s="14">
        <v>1136</v>
      </c>
      <c r="N1141" s="14">
        <f t="shared" si="139"/>
        <v>0</v>
      </c>
      <c r="O1141" s="19">
        <f t="shared" si="140"/>
        <v>0</v>
      </c>
      <c r="P1141" s="19">
        <f t="shared" si="146"/>
        <v>0</v>
      </c>
      <c r="Q1141" s="14">
        <f t="shared" si="141"/>
        <v>0</v>
      </c>
      <c r="R1141" s="19">
        <f t="shared" si="142"/>
        <v>0</v>
      </c>
      <c r="S1141" s="19">
        <f t="shared" si="143"/>
        <v>0</v>
      </c>
      <c r="T1141" s="14">
        <f t="shared" si="144"/>
        <v>0</v>
      </c>
      <c r="U1141" s="18" t="str" cm="1">
        <f t="array" aca="1" ref="U1141" ca="1">IF(M1141&lt;=$N$1,L1141,IF(M1141&lt;=($N$1+1),INDIRECT("L"&amp;5+$X$2),""))</f>
        <v/>
      </c>
    </row>
    <row r="1142" spans="12:21" hidden="1" x14ac:dyDescent="0.25">
      <c r="L1142" s="18">
        <f t="shared" ca="1" si="145"/>
        <v>80820</v>
      </c>
      <c r="M1142" s="14">
        <v>1137</v>
      </c>
      <c r="N1142" s="14">
        <f t="shared" si="139"/>
        <v>0</v>
      </c>
      <c r="O1142" s="19">
        <f t="shared" si="140"/>
        <v>0</v>
      </c>
      <c r="P1142" s="19">
        <f t="shared" si="146"/>
        <v>0</v>
      </c>
      <c r="Q1142" s="14">
        <f t="shared" si="141"/>
        <v>0</v>
      </c>
      <c r="R1142" s="19">
        <f t="shared" si="142"/>
        <v>0</v>
      </c>
      <c r="S1142" s="19">
        <f t="shared" si="143"/>
        <v>0</v>
      </c>
      <c r="T1142" s="14">
        <f t="shared" si="144"/>
        <v>0</v>
      </c>
      <c r="U1142" s="18" t="str" cm="1">
        <f t="array" aca="1" ref="U1142" ca="1">IF(M1142&lt;=$N$1,L1142,IF(M1142&lt;=($N$1+1),INDIRECT("L"&amp;5+$X$2),""))</f>
        <v/>
      </c>
    </row>
    <row r="1143" spans="12:21" hidden="1" x14ac:dyDescent="0.25">
      <c r="L1143" s="18">
        <f t="shared" ca="1" si="145"/>
        <v>80850</v>
      </c>
      <c r="M1143" s="14">
        <v>1138</v>
      </c>
      <c r="N1143" s="14">
        <f t="shared" si="139"/>
        <v>0</v>
      </c>
      <c r="O1143" s="19">
        <f t="shared" si="140"/>
        <v>0</v>
      </c>
      <c r="P1143" s="19">
        <f t="shared" si="146"/>
        <v>0</v>
      </c>
      <c r="Q1143" s="14">
        <f t="shared" si="141"/>
        <v>0</v>
      </c>
      <c r="R1143" s="19">
        <f t="shared" si="142"/>
        <v>0</v>
      </c>
      <c r="S1143" s="19">
        <f t="shared" si="143"/>
        <v>0</v>
      </c>
      <c r="T1143" s="14">
        <f t="shared" si="144"/>
        <v>0</v>
      </c>
      <c r="U1143" s="18" t="str" cm="1">
        <f t="array" aca="1" ref="U1143" ca="1">IF(M1143&lt;=$N$1,L1143,IF(M1143&lt;=($N$1+1),INDIRECT("L"&amp;5+$X$2),""))</f>
        <v/>
      </c>
    </row>
    <row r="1144" spans="12:21" hidden="1" x14ac:dyDescent="0.25">
      <c r="L1144" s="18">
        <f t="shared" ca="1" si="145"/>
        <v>80881</v>
      </c>
      <c r="M1144" s="14">
        <v>1139</v>
      </c>
      <c r="N1144" s="14">
        <f t="shared" si="139"/>
        <v>0</v>
      </c>
      <c r="O1144" s="19">
        <f t="shared" si="140"/>
        <v>0</v>
      </c>
      <c r="P1144" s="19">
        <f t="shared" si="146"/>
        <v>0</v>
      </c>
      <c r="Q1144" s="14">
        <f t="shared" si="141"/>
        <v>0</v>
      </c>
      <c r="R1144" s="19">
        <f t="shared" si="142"/>
        <v>0</v>
      </c>
      <c r="S1144" s="19">
        <f t="shared" si="143"/>
        <v>0</v>
      </c>
      <c r="T1144" s="14">
        <f t="shared" si="144"/>
        <v>0</v>
      </c>
      <c r="U1144" s="18" t="str" cm="1">
        <f t="array" aca="1" ref="U1144" ca="1">IF(M1144&lt;=$N$1,L1144,IF(M1144&lt;=($N$1+1),INDIRECT("L"&amp;5+$X$2),""))</f>
        <v/>
      </c>
    </row>
    <row r="1145" spans="12:21" hidden="1" x14ac:dyDescent="0.25">
      <c r="L1145" s="18">
        <f t="shared" ca="1" si="145"/>
        <v>80911</v>
      </c>
      <c r="M1145" s="14">
        <v>1140</v>
      </c>
      <c r="N1145" s="14">
        <f t="shared" si="139"/>
        <v>0</v>
      </c>
      <c r="O1145" s="19">
        <f t="shared" si="140"/>
        <v>0</v>
      </c>
      <c r="P1145" s="19">
        <f t="shared" si="146"/>
        <v>0</v>
      </c>
      <c r="Q1145" s="14">
        <f t="shared" si="141"/>
        <v>0</v>
      </c>
      <c r="R1145" s="19">
        <f t="shared" si="142"/>
        <v>0</v>
      </c>
      <c r="S1145" s="19">
        <f t="shared" si="143"/>
        <v>0</v>
      </c>
      <c r="T1145" s="14">
        <f t="shared" si="144"/>
        <v>0</v>
      </c>
      <c r="U1145" s="18" t="str" cm="1">
        <f t="array" aca="1" ref="U1145" ca="1">IF(M1145&lt;=$N$1,L1145,IF(M1145&lt;=($N$1+1),INDIRECT("L"&amp;5+$X$2),""))</f>
        <v/>
      </c>
    </row>
    <row r="1146" spans="12:21" hidden="1" x14ac:dyDescent="0.25">
      <c r="L1146" s="18">
        <f t="shared" ca="1" si="145"/>
        <v>80942</v>
      </c>
      <c r="M1146" s="14">
        <v>1141</v>
      </c>
      <c r="N1146" s="14">
        <f t="shared" si="139"/>
        <v>0</v>
      </c>
      <c r="O1146" s="19">
        <f t="shared" si="140"/>
        <v>0</v>
      </c>
      <c r="P1146" s="19">
        <f t="shared" si="146"/>
        <v>0</v>
      </c>
      <c r="Q1146" s="14">
        <f t="shared" si="141"/>
        <v>0</v>
      </c>
      <c r="R1146" s="19">
        <f t="shared" si="142"/>
        <v>0</v>
      </c>
      <c r="S1146" s="19">
        <f t="shared" si="143"/>
        <v>0</v>
      </c>
      <c r="T1146" s="14">
        <f t="shared" si="144"/>
        <v>0</v>
      </c>
      <c r="U1146" s="18" t="str" cm="1">
        <f t="array" aca="1" ref="U1146" ca="1">IF(M1146&lt;=$N$1,L1146,IF(M1146&lt;=($N$1+1),INDIRECT("L"&amp;5+$X$2),""))</f>
        <v/>
      </c>
    </row>
    <row r="1147" spans="12:21" hidden="1" x14ac:dyDescent="0.25">
      <c r="L1147" s="18">
        <f t="shared" ca="1" si="145"/>
        <v>80973</v>
      </c>
      <c r="M1147" s="14">
        <v>1142</v>
      </c>
      <c r="N1147" s="14">
        <f t="shared" si="139"/>
        <v>0</v>
      </c>
      <c r="O1147" s="19">
        <f t="shared" si="140"/>
        <v>0</v>
      </c>
      <c r="P1147" s="19">
        <f t="shared" si="146"/>
        <v>0</v>
      </c>
      <c r="Q1147" s="14">
        <f t="shared" si="141"/>
        <v>0</v>
      </c>
      <c r="R1147" s="19">
        <f t="shared" si="142"/>
        <v>0</v>
      </c>
      <c r="S1147" s="19">
        <f t="shared" si="143"/>
        <v>0</v>
      </c>
      <c r="T1147" s="14">
        <f t="shared" si="144"/>
        <v>0</v>
      </c>
      <c r="U1147" s="18" t="str" cm="1">
        <f t="array" aca="1" ref="U1147" ca="1">IF(M1147&lt;=$N$1,L1147,IF(M1147&lt;=($N$1+1),INDIRECT("L"&amp;5+$X$2),""))</f>
        <v/>
      </c>
    </row>
    <row r="1148" spans="12:21" hidden="1" x14ac:dyDescent="0.25">
      <c r="L1148" s="18">
        <f t="shared" ca="1" si="145"/>
        <v>81003</v>
      </c>
      <c r="M1148" s="14">
        <v>1143</v>
      </c>
      <c r="N1148" s="14">
        <f t="shared" si="139"/>
        <v>0</v>
      </c>
      <c r="O1148" s="19">
        <f t="shared" si="140"/>
        <v>0</v>
      </c>
      <c r="P1148" s="19">
        <f t="shared" si="146"/>
        <v>0</v>
      </c>
      <c r="Q1148" s="14">
        <f t="shared" si="141"/>
        <v>0</v>
      </c>
      <c r="R1148" s="19">
        <f t="shared" si="142"/>
        <v>0</v>
      </c>
      <c r="S1148" s="19">
        <f t="shared" si="143"/>
        <v>0</v>
      </c>
      <c r="T1148" s="14">
        <f t="shared" si="144"/>
        <v>0</v>
      </c>
      <c r="U1148" s="18" t="str" cm="1">
        <f t="array" aca="1" ref="U1148" ca="1">IF(M1148&lt;=$N$1,L1148,IF(M1148&lt;=($N$1+1),INDIRECT("L"&amp;5+$X$2),""))</f>
        <v/>
      </c>
    </row>
    <row r="1149" spans="12:21" hidden="1" x14ac:dyDescent="0.25">
      <c r="L1149" s="18">
        <f t="shared" ca="1" si="145"/>
        <v>81034</v>
      </c>
      <c r="M1149" s="14">
        <v>1144</v>
      </c>
      <c r="N1149" s="14">
        <f t="shared" si="139"/>
        <v>0</v>
      </c>
      <c r="O1149" s="19">
        <f t="shared" si="140"/>
        <v>0</v>
      </c>
      <c r="P1149" s="19">
        <f t="shared" si="146"/>
        <v>0</v>
      </c>
      <c r="Q1149" s="14">
        <f t="shared" si="141"/>
        <v>0</v>
      </c>
      <c r="R1149" s="19">
        <f t="shared" si="142"/>
        <v>0</v>
      </c>
      <c r="S1149" s="19">
        <f t="shared" si="143"/>
        <v>0</v>
      </c>
      <c r="T1149" s="14">
        <f t="shared" si="144"/>
        <v>0</v>
      </c>
      <c r="U1149" s="18" t="str" cm="1">
        <f t="array" aca="1" ref="U1149" ca="1">IF(M1149&lt;=$N$1,L1149,IF(M1149&lt;=($N$1+1),INDIRECT("L"&amp;5+$X$2),""))</f>
        <v/>
      </c>
    </row>
    <row r="1150" spans="12:21" hidden="1" x14ac:dyDescent="0.25">
      <c r="L1150" s="18">
        <f t="shared" ca="1" si="145"/>
        <v>81064</v>
      </c>
      <c r="M1150" s="14">
        <v>1145</v>
      </c>
      <c r="N1150" s="14">
        <f t="shared" si="139"/>
        <v>0</v>
      </c>
      <c r="O1150" s="19">
        <f t="shared" si="140"/>
        <v>0</v>
      </c>
      <c r="P1150" s="19">
        <f t="shared" si="146"/>
        <v>0</v>
      </c>
      <c r="Q1150" s="14">
        <f t="shared" si="141"/>
        <v>0</v>
      </c>
      <c r="R1150" s="19">
        <f t="shared" si="142"/>
        <v>0</v>
      </c>
      <c r="S1150" s="19">
        <f t="shared" si="143"/>
        <v>0</v>
      </c>
      <c r="T1150" s="14">
        <f t="shared" si="144"/>
        <v>0</v>
      </c>
      <c r="U1150" s="18" t="str" cm="1">
        <f t="array" aca="1" ref="U1150" ca="1">IF(M1150&lt;=$N$1,L1150,IF(M1150&lt;=($N$1+1),INDIRECT("L"&amp;5+$X$2),""))</f>
        <v/>
      </c>
    </row>
    <row r="1151" spans="12:21" hidden="1" x14ac:dyDescent="0.25">
      <c r="L1151" s="18">
        <f t="shared" ca="1" si="145"/>
        <v>81095</v>
      </c>
      <c r="M1151" s="14">
        <v>1146</v>
      </c>
      <c r="N1151" s="14">
        <f t="shared" si="139"/>
        <v>0</v>
      </c>
      <c r="O1151" s="19">
        <f t="shared" si="140"/>
        <v>0</v>
      </c>
      <c r="P1151" s="19">
        <f t="shared" si="146"/>
        <v>0</v>
      </c>
      <c r="Q1151" s="14">
        <f t="shared" si="141"/>
        <v>0</v>
      </c>
      <c r="R1151" s="19">
        <f t="shared" si="142"/>
        <v>0</v>
      </c>
      <c r="S1151" s="19">
        <f t="shared" si="143"/>
        <v>0</v>
      </c>
      <c r="T1151" s="14">
        <f t="shared" si="144"/>
        <v>0</v>
      </c>
      <c r="U1151" s="18" t="str" cm="1">
        <f t="array" aca="1" ref="U1151" ca="1">IF(M1151&lt;=$N$1,L1151,IF(M1151&lt;=($N$1+1),INDIRECT("L"&amp;5+$X$2),""))</f>
        <v/>
      </c>
    </row>
    <row r="1152" spans="12:21" hidden="1" x14ac:dyDescent="0.25">
      <c r="L1152" s="18">
        <f t="shared" ca="1" si="145"/>
        <v>81126</v>
      </c>
      <c r="M1152" s="14">
        <v>1147</v>
      </c>
      <c r="N1152" s="14">
        <f t="shared" si="139"/>
        <v>0</v>
      </c>
      <c r="O1152" s="19">
        <f t="shared" si="140"/>
        <v>0</v>
      </c>
      <c r="P1152" s="19">
        <f t="shared" si="146"/>
        <v>0</v>
      </c>
      <c r="Q1152" s="14">
        <f t="shared" si="141"/>
        <v>0</v>
      </c>
      <c r="R1152" s="19">
        <f t="shared" si="142"/>
        <v>0</v>
      </c>
      <c r="S1152" s="19">
        <f t="shared" si="143"/>
        <v>0</v>
      </c>
      <c r="T1152" s="14">
        <f t="shared" si="144"/>
        <v>0</v>
      </c>
      <c r="U1152" s="18" t="str" cm="1">
        <f t="array" aca="1" ref="U1152" ca="1">IF(M1152&lt;=$N$1,L1152,IF(M1152&lt;=($N$1+1),INDIRECT("L"&amp;5+$X$2),""))</f>
        <v/>
      </c>
    </row>
    <row r="1153" spans="12:21" hidden="1" x14ac:dyDescent="0.25">
      <c r="L1153" s="18">
        <f t="shared" ca="1" si="145"/>
        <v>81154</v>
      </c>
      <c r="M1153" s="14">
        <v>1148</v>
      </c>
      <c r="N1153" s="14">
        <f t="shared" si="139"/>
        <v>0</v>
      </c>
      <c r="O1153" s="19">
        <f t="shared" si="140"/>
        <v>0</v>
      </c>
      <c r="P1153" s="19">
        <f t="shared" si="146"/>
        <v>0</v>
      </c>
      <c r="Q1153" s="14">
        <f t="shared" si="141"/>
        <v>0</v>
      </c>
      <c r="R1153" s="19">
        <f t="shared" si="142"/>
        <v>0</v>
      </c>
      <c r="S1153" s="19">
        <f t="shared" si="143"/>
        <v>0</v>
      </c>
      <c r="T1153" s="14">
        <f t="shared" si="144"/>
        <v>0</v>
      </c>
      <c r="U1153" s="18" t="str" cm="1">
        <f t="array" aca="1" ref="U1153" ca="1">IF(M1153&lt;=$N$1,L1153,IF(M1153&lt;=($N$1+1),INDIRECT("L"&amp;5+$X$2),""))</f>
        <v/>
      </c>
    </row>
    <row r="1154" spans="12:21" hidden="1" x14ac:dyDescent="0.25">
      <c r="L1154" s="18">
        <f t="shared" ca="1" si="145"/>
        <v>81185</v>
      </c>
      <c r="M1154" s="14">
        <v>1149</v>
      </c>
      <c r="N1154" s="14">
        <f t="shared" si="139"/>
        <v>0</v>
      </c>
      <c r="O1154" s="19">
        <f t="shared" si="140"/>
        <v>0</v>
      </c>
      <c r="P1154" s="19">
        <f t="shared" si="146"/>
        <v>0</v>
      </c>
      <c r="Q1154" s="14">
        <f t="shared" si="141"/>
        <v>0</v>
      </c>
      <c r="R1154" s="19">
        <f t="shared" si="142"/>
        <v>0</v>
      </c>
      <c r="S1154" s="19">
        <f t="shared" si="143"/>
        <v>0</v>
      </c>
      <c r="T1154" s="14">
        <f t="shared" si="144"/>
        <v>0</v>
      </c>
      <c r="U1154" s="18" t="str" cm="1">
        <f t="array" aca="1" ref="U1154" ca="1">IF(M1154&lt;=$N$1,L1154,IF(M1154&lt;=($N$1+1),INDIRECT("L"&amp;5+$X$2),""))</f>
        <v/>
      </c>
    </row>
    <row r="1155" spans="12:21" hidden="1" x14ac:dyDescent="0.25">
      <c r="L1155" s="18">
        <f t="shared" ca="1" si="145"/>
        <v>81215</v>
      </c>
      <c r="M1155" s="14">
        <v>1150</v>
      </c>
      <c r="N1155" s="14">
        <f t="shared" si="139"/>
        <v>0</v>
      </c>
      <c r="O1155" s="19">
        <f t="shared" si="140"/>
        <v>0</v>
      </c>
      <c r="P1155" s="19">
        <f t="shared" si="146"/>
        <v>0</v>
      </c>
      <c r="Q1155" s="14">
        <f t="shared" si="141"/>
        <v>0</v>
      </c>
      <c r="R1155" s="19">
        <f t="shared" si="142"/>
        <v>0</v>
      </c>
      <c r="S1155" s="19">
        <f t="shared" si="143"/>
        <v>0</v>
      </c>
      <c r="T1155" s="14">
        <f t="shared" si="144"/>
        <v>0</v>
      </c>
      <c r="U1155" s="18" t="str" cm="1">
        <f t="array" aca="1" ref="U1155" ca="1">IF(M1155&lt;=$N$1,L1155,IF(M1155&lt;=($N$1+1),INDIRECT("L"&amp;5+$X$2),""))</f>
        <v/>
      </c>
    </row>
    <row r="1156" spans="12:21" hidden="1" x14ac:dyDescent="0.25">
      <c r="L1156" s="18">
        <f t="shared" ca="1" si="145"/>
        <v>81246</v>
      </c>
      <c r="M1156" s="14">
        <v>1151</v>
      </c>
      <c r="N1156" s="14">
        <f t="shared" si="139"/>
        <v>0</v>
      </c>
      <c r="O1156" s="19">
        <f t="shared" si="140"/>
        <v>0</v>
      </c>
      <c r="P1156" s="19">
        <f t="shared" si="146"/>
        <v>0</v>
      </c>
      <c r="Q1156" s="14">
        <f t="shared" si="141"/>
        <v>0</v>
      </c>
      <c r="R1156" s="19">
        <f t="shared" si="142"/>
        <v>0</v>
      </c>
      <c r="S1156" s="19">
        <f t="shared" si="143"/>
        <v>0</v>
      </c>
      <c r="T1156" s="14">
        <f t="shared" si="144"/>
        <v>0</v>
      </c>
      <c r="U1156" s="18" t="str" cm="1">
        <f t="array" aca="1" ref="U1156" ca="1">IF(M1156&lt;=$N$1,L1156,IF(M1156&lt;=($N$1+1),INDIRECT("L"&amp;5+$X$2),""))</f>
        <v/>
      </c>
    </row>
    <row r="1157" spans="12:21" hidden="1" x14ac:dyDescent="0.25">
      <c r="L1157" s="18">
        <f t="shared" ca="1" si="145"/>
        <v>81276</v>
      </c>
      <c r="M1157" s="14">
        <v>1152</v>
      </c>
      <c r="N1157" s="14">
        <f t="shared" si="139"/>
        <v>0</v>
      </c>
      <c r="O1157" s="19">
        <f t="shared" si="140"/>
        <v>0</v>
      </c>
      <c r="P1157" s="19">
        <f t="shared" si="146"/>
        <v>0</v>
      </c>
      <c r="Q1157" s="14">
        <f t="shared" si="141"/>
        <v>0</v>
      </c>
      <c r="R1157" s="19">
        <f t="shared" si="142"/>
        <v>0</v>
      </c>
      <c r="S1157" s="19">
        <f t="shared" si="143"/>
        <v>0</v>
      </c>
      <c r="T1157" s="14">
        <f t="shared" si="144"/>
        <v>0</v>
      </c>
      <c r="U1157" s="18" t="str" cm="1">
        <f t="array" aca="1" ref="U1157" ca="1">IF(M1157&lt;=$N$1,L1157,IF(M1157&lt;=($N$1+1),INDIRECT("L"&amp;5+$X$2),""))</f>
        <v/>
      </c>
    </row>
    <row r="1158" spans="12:21" hidden="1" x14ac:dyDescent="0.25">
      <c r="L1158" s="18">
        <f t="shared" ca="1" si="145"/>
        <v>81307</v>
      </c>
      <c r="M1158" s="14">
        <v>1153</v>
      </c>
      <c r="N1158" s="14">
        <f t="shared" ref="N1158:N1205" si="147">IF($N$1&gt;=M1158,SIPMonthlyPmt*M1158,0)</f>
        <v>0</v>
      </c>
      <c r="O1158" s="19">
        <f t="shared" ref="O1158:O1205" si="148">IF($X$2&gt;=M1158,IF(M1158&lt;=$N$1,FV(SRate,M1158,-SIPMonthlyPmt,0,1),FV(SRate,M1158-$N$1,0,-$X$1,1)),0)</f>
        <v>0</v>
      </c>
      <c r="P1158" s="19">
        <f t="shared" si="146"/>
        <v>0</v>
      </c>
      <c r="Q1158" s="14">
        <f t="shared" ref="Q1158:Q1205" si="149">IF((M1158-$C$15)&gt;0, IF($N$1+$C$15&gt;=M1158,SIPMonthlyPmt*(M1158-$C$15),0),0)</f>
        <v>0</v>
      </c>
      <c r="R1158" s="19">
        <f t="shared" ref="R1158:R1205" si="150">IF(M1158&lt;=$C$15,0,IF($X$2&gt;=M1158,IF(M1158&lt;=($N$1+$C$15),FV(SRate,M1158-$C$15,-SIPMonthlyPmt,0,1),FV(SRate,M1158-$N$1-$C$15,0,-$X$1,1)),0))</f>
        <v>0</v>
      </c>
      <c r="S1158" s="19">
        <f t="shared" ref="S1158:S1205" si="151">R1158/((1+SIPInflationRate)^((M1158-$C$15)/12))</f>
        <v>0</v>
      </c>
      <c r="T1158" s="14">
        <f t="shared" ref="T1158:T1205" si="152">IF(M1158&lt;=$N$1,-SIPMonthlyPmt,IF(M1158&lt;=($N$1+1),$X$4,0))</f>
        <v>0</v>
      </c>
      <c r="U1158" s="18" t="str" cm="1">
        <f t="array" aca="1" ref="U1158" ca="1">IF(M1158&lt;=$N$1,L1158,IF(M1158&lt;=($N$1+1),INDIRECT("L"&amp;5+$X$2),""))</f>
        <v/>
      </c>
    </row>
    <row r="1159" spans="12:21" hidden="1" x14ac:dyDescent="0.25">
      <c r="L1159" s="18">
        <f t="shared" ca="1" si="145"/>
        <v>81338</v>
      </c>
      <c r="M1159" s="14">
        <v>1154</v>
      </c>
      <c r="N1159" s="14">
        <f t="shared" si="147"/>
        <v>0</v>
      </c>
      <c r="O1159" s="19">
        <f t="shared" si="148"/>
        <v>0</v>
      </c>
      <c r="P1159" s="19">
        <f t="shared" si="146"/>
        <v>0</v>
      </c>
      <c r="Q1159" s="14">
        <f t="shared" si="149"/>
        <v>0</v>
      </c>
      <c r="R1159" s="19">
        <f t="shared" si="150"/>
        <v>0</v>
      </c>
      <c r="S1159" s="19">
        <f t="shared" si="151"/>
        <v>0</v>
      </c>
      <c r="T1159" s="14">
        <f t="shared" si="152"/>
        <v>0</v>
      </c>
      <c r="U1159" s="18" t="str" cm="1">
        <f t="array" aca="1" ref="U1159" ca="1">IF(M1159&lt;=$N$1,L1159,IF(M1159&lt;=($N$1+1),INDIRECT("L"&amp;5+$X$2),""))</f>
        <v/>
      </c>
    </row>
    <row r="1160" spans="12:21" hidden="1" x14ac:dyDescent="0.25">
      <c r="L1160" s="18">
        <f t="shared" ca="1" si="145"/>
        <v>81368</v>
      </c>
      <c r="M1160" s="14">
        <v>1155</v>
      </c>
      <c r="N1160" s="14">
        <f t="shared" si="147"/>
        <v>0</v>
      </c>
      <c r="O1160" s="19">
        <f t="shared" si="148"/>
        <v>0</v>
      </c>
      <c r="P1160" s="19">
        <f t="shared" si="146"/>
        <v>0</v>
      </c>
      <c r="Q1160" s="14">
        <f t="shared" si="149"/>
        <v>0</v>
      </c>
      <c r="R1160" s="19">
        <f t="shared" si="150"/>
        <v>0</v>
      </c>
      <c r="S1160" s="19">
        <f t="shared" si="151"/>
        <v>0</v>
      </c>
      <c r="T1160" s="14">
        <f t="shared" si="152"/>
        <v>0</v>
      </c>
      <c r="U1160" s="18" t="str" cm="1">
        <f t="array" aca="1" ref="U1160" ca="1">IF(M1160&lt;=$N$1,L1160,IF(M1160&lt;=($N$1+1),INDIRECT("L"&amp;5+$X$2),""))</f>
        <v/>
      </c>
    </row>
    <row r="1161" spans="12:21" hidden="1" x14ac:dyDescent="0.25">
      <c r="L1161" s="18">
        <f t="shared" ref="L1161:L1205" ca="1" si="153">EDATE(L1160,1)</f>
        <v>81399</v>
      </c>
      <c r="M1161" s="14">
        <v>1156</v>
      </c>
      <c r="N1161" s="14">
        <f t="shared" si="147"/>
        <v>0</v>
      </c>
      <c r="O1161" s="19">
        <f t="shared" si="148"/>
        <v>0</v>
      </c>
      <c r="P1161" s="19">
        <f t="shared" si="146"/>
        <v>0</v>
      </c>
      <c r="Q1161" s="14">
        <f t="shared" si="149"/>
        <v>0</v>
      </c>
      <c r="R1161" s="19">
        <f t="shared" si="150"/>
        <v>0</v>
      </c>
      <c r="S1161" s="19">
        <f t="shared" si="151"/>
        <v>0</v>
      </c>
      <c r="T1161" s="14">
        <f t="shared" si="152"/>
        <v>0</v>
      </c>
      <c r="U1161" s="18" t="str" cm="1">
        <f t="array" aca="1" ref="U1161" ca="1">IF(M1161&lt;=$N$1,L1161,IF(M1161&lt;=($N$1+1),INDIRECT("L"&amp;5+$X$2),""))</f>
        <v/>
      </c>
    </row>
    <row r="1162" spans="12:21" hidden="1" x14ac:dyDescent="0.25">
      <c r="L1162" s="18">
        <f t="shared" ca="1" si="153"/>
        <v>81429</v>
      </c>
      <c r="M1162" s="14">
        <v>1157</v>
      </c>
      <c r="N1162" s="14">
        <f t="shared" si="147"/>
        <v>0</v>
      </c>
      <c r="O1162" s="19">
        <f t="shared" si="148"/>
        <v>0</v>
      </c>
      <c r="P1162" s="19">
        <f t="shared" si="146"/>
        <v>0</v>
      </c>
      <c r="Q1162" s="14">
        <f t="shared" si="149"/>
        <v>0</v>
      </c>
      <c r="R1162" s="19">
        <f t="shared" si="150"/>
        <v>0</v>
      </c>
      <c r="S1162" s="19">
        <f t="shared" si="151"/>
        <v>0</v>
      </c>
      <c r="T1162" s="14">
        <f t="shared" si="152"/>
        <v>0</v>
      </c>
      <c r="U1162" s="18" t="str" cm="1">
        <f t="array" aca="1" ref="U1162" ca="1">IF(M1162&lt;=$N$1,L1162,IF(M1162&lt;=($N$1+1),INDIRECT("L"&amp;5+$X$2),""))</f>
        <v/>
      </c>
    </row>
    <row r="1163" spans="12:21" hidden="1" x14ac:dyDescent="0.25">
      <c r="L1163" s="18">
        <f t="shared" ca="1" si="153"/>
        <v>81460</v>
      </c>
      <c r="M1163" s="14">
        <v>1158</v>
      </c>
      <c r="N1163" s="14">
        <f t="shared" si="147"/>
        <v>0</v>
      </c>
      <c r="O1163" s="19">
        <f t="shared" si="148"/>
        <v>0</v>
      </c>
      <c r="P1163" s="19">
        <f t="shared" ref="P1163:P1169" si="154">O1163/((1+SIPInflationRate)^(M1163/12))</f>
        <v>0</v>
      </c>
      <c r="Q1163" s="14">
        <f t="shared" si="149"/>
        <v>0</v>
      </c>
      <c r="R1163" s="19">
        <f t="shared" si="150"/>
        <v>0</v>
      </c>
      <c r="S1163" s="19">
        <f t="shared" si="151"/>
        <v>0</v>
      </c>
      <c r="T1163" s="14">
        <f t="shared" si="152"/>
        <v>0</v>
      </c>
      <c r="U1163" s="18" t="str" cm="1">
        <f t="array" aca="1" ref="U1163" ca="1">IF(M1163&lt;=$N$1,L1163,IF(M1163&lt;=($N$1+1),INDIRECT("L"&amp;5+$X$2),""))</f>
        <v/>
      </c>
    </row>
    <row r="1164" spans="12:21" hidden="1" x14ac:dyDescent="0.25">
      <c r="L1164" s="18">
        <f t="shared" ca="1" si="153"/>
        <v>81491</v>
      </c>
      <c r="M1164" s="14">
        <v>1159</v>
      </c>
      <c r="N1164" s="14">
        <f t="shared" si="147"/>
        <v>0</v>
      </c>
      <c r="O1164" s="19">
        <f t="shared" si="148"/>
        <v>0</v>
      </c>
      <c r="P1164" s="19">
        <f t="shared" si="154"/>
        <v>0</v>
      </c>
      <c r="Q1164" s="14">
        <f t="shared" si="149"/>
        <v>0</v>
      </c>
      <c r="R1164" s="19">
        <f t="shared" si="150"/>
        <v>0</v>
      </c>
      <c r="S1164" s="19">
        <f t="shared" si="151"/>
        <v>0</v>
      </c>
      <c r="T1164" s="14">
        <f t="shared" si="152"/>
        <v>0</v>
      </c>
      <c r="U1164" s="18" t="str" cm="1">
        <f t="array" aca="1" ref="U1164" ca="1">IF(M1164&lt;=$N$1,L1164,IF(M1164&lt;=($N$1+1),INDIRECT("L"&amp;5+$X$2),""))</f>
        <v/>
      </c>
    </row>
    <row r="1165" spans="12:21" hidden="1" x14ac:dyDescent="0.25">
      <c r="L1165" s="18">
        <f t="shared" ca="1" si="153"/>
        <v>81519</v>
      </c>
      <c r="M1165" s="14">
        <v>1160</v>
      </c>
      <c r="N1165" s="14">
        <f t="shared" si="147"/>
        <v>0</v>
      </c>
      <c r="O1165" s="19">
        <f t="shared" si="148"/>
        <v>0</v>
      </c>
      <c r="P1165" s="19">
        <f t="shared" si="154"/>
        <v>0</v>
      </c>
      <c r="Q1165" s="14">
        <f t="shared" si="149"/>
        <v>0</v>
      </c>
      <c r="R1165" s="19">
        <f t="shared" si="150"/>
        <v>0</v>
      </c>
      <c r="S1165" s="19">
        <f t="shared" si="151"/>
        <v>0</v>
      </c>
      <c r="T1165" s="14">
        <f t="shared" si="152"/>
        <v>0</v>
      </c>
      <c r="U1165" s="18" t="str" cm="1">
        <f t="array" aca="1" ref="U1165" ca="1">IF(M1165&lt;=$N$1,L1165,IF(M1165&lt;=($N$1+1),INDIRECT("L"&amp;5+$X$2),""))</f>
        <v/>
      </c>
    </row>
    <row r="1166" spans="12:21" hidden="1" x14ac:dyDescent="0.25">
      <c r="L1166" s="18">
        <f t="shared" ca="1" si="153"/>
        <v>81550</v>
      </c>
      <c r="M1166" s="14">
        <v>1161</v>
      </c>
      <c r="N1166" s="14">
        <f t="shared" si="147"/>
        <v>0</v>
      </c>
      <c r="O1166" s="19">
        <f t="shared" si="148"/>
        <v>0</v>
      </c>
      <c r="P1166" s="19">
        <f t="shared" si="154"/>
        <v>0</v>
      </c>
      <c r="Q1166" s="14">
        <f t="shared" si="149"/>
        <v>0</v>
      </c>
      <c r="R1166" s="19">
        <f t="shared" si="150"/>
        <v>0</v>
      </c>
      <c r="S1166" s="19">
        <f t="shared" si="151"/>
        <v>0</v>
      </c>
      <c r="T1166" s="14">
        <f t="shared" si="152"/>
        <v>0</v>
      </c>
      <c r="U1166" s="18" t="str" cm="1">
        <f t="array" aca="1" ref="U1166" ca="1">IF(M1166&lt;=$N$1,L1166,IF(M1166&lt;=($N$1+1),INDIRECT("L"&amp;5+$X$2),""))</f>
        <v/>
      </c>
    </row>
    <row r="1167" spans="12:21" hidden="1" x14ac:dyDescent="0.25">
      <c r="L1167" s="18">
        <f t="shared" ca="1" si="153"/>
        <v>81580</v>
      </c>
      <c r="M1167" s="14">
        <v>1162</v>
      </c>
      <c r="N1167" s="14">
        <f t="shared" si="147"/>
        <v>0</v>
      </c>
      <c r="O1167" s="19">
        <f t="shared" si="148"/>
        <v>0</v>
      </c>
      <c r="P1167" s="19">
        <f t="shared" si="154"/>
        <v>0</v>
      </c>
      <c r="Q1167" s="14">
        <f t="shared" si="149"/>
        <v>0</v>
      </c>
      <c r="R1167" s="19">
        <f t="shared" si="150"/>
        <v>0</v>
      </c>
      <c r="S1167" s="19">
        <f t="shared" si="151"/>
        <v>0</v>
      </c>
      <c r="T1167" s="14">
        <f t="shared" si="152"/>
        <v>0</v>
      </c>
      <c r="U1167" s="18" t="str" cm="1">
        <f t="array" aca="1" ref="U1167" ca="1">IF(M1167&lt;=$N$1,L1167,IF(M1167&lt;=($N$1+1),INDIRECT("L"&amp;5+$X$2),""))</f>
        <v/>
      </c>
    </row>
    <row r="1168" spans="12:21" hidden="1" x14ac:dyDescent="0.25">
      <c r="L1168" s="18">
        <f t="shared" ca="1" si="153"/>
        <v>81611</v>
      </c>
      <c r="M1168" s="14">
        <v>1163</v>
      </c>
      <c r="N1168" s="14">
        <f t="shared" si="147"/>
        <v>0</v>
      </c>
      <c r="O1168" s="19">
        <f t="shared" si="148"/>
        <v>0</v>
      </c>
      <c r="P1168" s="19">
        <f t="shared" si="154"/>
        <v>0</v>
      </c>
      <c r="Q1168" s="14">
        <f t="shared" si="149"/>
        <v>0</v>
      </c>
      <c r="R1168" s="19">
        <f t="shared" si="150"/>
        <v>0</v>
      </c>
      <c r="S1168" s="19">
        <f t="shared" si="151"/>
        <v>0</v>
      </c>
      <c r="T1168" s="14">
        <f t="shared" si="152"/>
        <v>0</v>
      </c>
      <c r="U1168" s="18" t="str" cm="1">
        <f t="array" aca="1" ref="U1168" ca="1">IF(M1168&lt;=$N$1,L1168,IF(M1168&lt;=($N$1+1),INDIRECT("L"&amp;5+$X$2),""))</f>
        <v/>
      </c>
    </row>
    <row r="1169" spans="12:21" hidden="1" x14ac:dyDescent="0.25">
      <c r="L1169" s="18">
        <f t="shared" ca="1" si="153"/>
        <v>81641</v>
      </c>
      <c r="M1169" s="14">
        <v>1164</v>
      </c>
      <c r="N1169" s="14">
        <f t="shared" si="147"/>
        <v>0</v>
      </c>
      <c r="O1169" s="19">
        <f t="shared" si="148"/>
        <v>0</v>
      </c>
      <c r="P1169" s="19">
        <f t="shared" si="154"/>
        <v>0</v>
      </c>
      <c r="Q1169" s="14">
        <f t="shared" si="149"/>
        <v>0</v>
      </c>
      <c r="R1169" s="19">
        <f t="shared" si="150"/>
        <v>0</v>
      </c>
      <c r="S1169" s="19">
        <f t="shared" si="151"/>
        <v>0</v>
      </c>
      <c r="T1169" s="14">
        <f t="shared" si="152"/>
        <v>0</v>
      </c>
      <c r="U1169" s="18" t="str" cm="1">
        <f t="array" aca="1" ref="U1169" ca="1">IF(M1169&lt;=$N$1,L1169,IF(M1169&lt;=($N$1+1),INDIRECT("L"&amp;5+$X$2),""))</f>
        <v/>
      </c>
    </row>
    <row r="1170" spans="12:21" hidden="1" x14ac:dyDescent="0.25">
      <c r="L1170" s="18">
        <f t="shared" ca="1" si="153"/>
        <v>81672</v>
      </c>
      <c r="M1170" s="14">
        <v>1165</v>
      </c>
      <c r="N1170" s="14">
        <f t="shared" si="147"/>
        <v>0</v>
      </c>
      <c r="O1170" s="19">
        <f t="shared" si="148"/>
        <v>0</v>
      </c>
      <c r="P1170" s="19">
        <f t="shared" ref="P1170:P1184" si="155">O1170/((1+SIPInflationRate)^(M1170/12))</f>
        <v>0</v>
      </c>
      <c r="Q1170" s="14">
        <f t="shared" si="149"/>
        <v>0</v>
      </c>
      <c r="R1170" s="19">
        <f t="shared" si="150"/>
        <v>0</v>
      </c>
      <c r="S1170" s="19">
        <f t="shared" si="151"/>
        <v>0</v>
      </c>
      <c r="T1170" s="14">
        <f t="shared" si="152"/>
        <v>0</v>
      </c>
      <c r="U1170" s="18" t="str" cm="1">
        <f t="array" aca="1" ref="U1170" ca="1">IF(M1170&lt;=$N$1,L1170,IF(M1170&lt;=($N$1+1),INDIRECT("L"&amp;5+$X$2),""))</f>
        <v/>
      </c>
    </row>
    <row r="1171" spans="12:21" hidden="1" x14ac:dyDescent="0.25">
      <c r="L1171" s="18">
        <f t="shared" ca="1" si="153"/>
        <v>81703</v>
      </c>
      <c r="M1171" s="14">
        <v>1166</v>
      </c>
      <c r="N1171" s="14">
        <f t="shared" si="147"/>
        <v>0</v>
      </c>
      <c r="O1171" s="19">
        <f t="shared" si="148"/>
        <v>0</v>
      </c>
      <c r="P1171" s="19">
        <f t="shared" si="155"/>
        <v>0</v>
      </c>
      <c r="Q1171" s="14">
        <f t="shared" si="149"/>
        <v>0</v>
      </c>
      <c r="R1171" s="19">
        <f t="shared" si="150"/>
        <v>0</v>
      </c>
      <c r="S1171" s="19">
        <f t="shared" si="151"/>
        <v>0</v>
      </c>
      <c r="T1171" s="14">
        <f t="shared" si="152"/>
        <v>0</v>
      </c>
      <c r="U1171" s="18" t="str" cm="1">
        <f t="array" aca="1" ref="U1171" ca="1">IF(M1171&lt;=$N$1,L1171,IF(M1171&lt;=($N$1+1),INDIRECT("L"&amp;5+$X$2),""))</f>
        <v/>
      </c>
    </row>
    <row r="1172" spans="12:21" hidden="1" x14ac:dyDescent="0.25">
      <c r="L1172" s="18">
        <f t="shared" ca="1" si="153"/>
        <v>81733</v>
      </c>
      <c r="M1172" s="14">
        <v>1167</v>
      </c>
      <c r="N1172" s="14">
        <f t="shared" si="147"/>
        <v>0</v>
      </c>
      <c r="O1172" s="19">
        <f t="shared" si="148"/>
        <v>0</v>
      </c>
      <c r="P1172" s="19">
        <f t="shared" si="155"/>
        <v>0</v>
      </c>
      <c r="Q1172" s="14">
        <f t="shared" si="149"/>
        <v>0</v>
      </c>
      <c r="R1172" s="19">
        <f t="shared" si="150"/>
        <v>0</v>
      </c>
      <c r="S1172" s="19">
        <f t="shared" si="151"/>
        <v>0</v>
      </c>
      <c r="T1172" s="14">
        <f t="shared" si="152"/>
        <v>0</v>
      </c>
      <c r="U1172" s="18" t="str" cm="1">
        <f t="array" aca="1" ref="U1172" ca="1">IF(M1172&lt;=$N$1,L1172,IF(M1172&lt;=($N$1+1),INDIRECT("L"&amp;5+$X$2),""))</f>
        <v/>
      </c>
    </row>
    <row r="1173" spans="12:21" hidden="1" x14ac:dyDescent="0.25">
      <c r="L1173" s="18">
        <f t="shared" ca="1" si="153"/>
        <v>81764</v>
      </c>
      <c r="M1173" s="14">
        <v>1168</v>
      </c>
      <c r="N1173" s="14">
        <f t="shared" si="147"/>
        <v>0</v>
      </c>
      <c r="O1173" s="19">
        <f t="shared" si="148"/>
        <v>0</v>
      </c>
      <c r="P1173" s="19">
        <f t="shared" si="155"/>
        <v>0</v>
      </c>
      <c r="Q1173" s="14">
        <f t="shared" si="149"/>
        <v>0</v>
      </c>
      <c r="R1173" s="19">
        <f t="shared" si="150"/>
        <v>0</v>
      </c>
      <c r="S1173" s="19">
        <f t="shared" si="151"/>
        <v>0</v>
      </c>
      <c r="T1173" s="14">
        <f t="shared" si="152"/>
        <v>0</v>
      </c>
      <c r="U1173" s="18" t="str" cm="1">
        <f t="array" aca="1" ref="U1173" ca="1">IF(M1173&lt;=$N$1,L1173,IF(M1173&lt;=($N$1+1),INDIRECT("L"&amp;5+$X$2),""))</f>
        <v/>
      </c>
    </row>
    <row r="1174" spans="12:21" hidden="1" x14ac:dyDescent="0.25">
      <c r="L1174" s="18">
        <f t="shared" ca="1" si="153"/>
        <v>81794</v>
      </c>
      <c r="M1174" s="14">
        <v>1169</v>
      </c>
      <c r="N1174" s="14">
        <f t="shared" si="147"/>
        <v>0</v>
      </c>
      <c r="O1174" s="19">
        <f t="shared" si="148"/>
        <v>0</v>
      </c>
      <c r="P1174" s="19">
        <f t="shared" si="155"/>
        <v>0</v>
      </c>
      <c r="Q1174" s="14">
        <f t="shared" si="149"/>
        <v>0</v>
      </c>
      <c r="R1174" s="19">
        <f t="shared" si="150"/>
        <v>0</v>
      </c>
      <c r="S1174" s="19">
        <f t="shared" si="151"/>
        <v>0</v>
      </c>
      <c r="T1174" s="14">
        <f t="shared" si="152"/>
        <v>0</v>
      </c>
      <c r="U1174" s="18" t="str" cm="1">
        <f t="array" aca="1" ref="U1174" ca="1">IF(M1174&lt;=$N$1,L1174,IF(M1174&lt;=($N$1+1),INDIRECT("L"&amp;5+$X$2),""))</f>
        <v/>
      </c>
    </row>
    <row r="1175" spans="12:21" hidden="1" x14ac:dyDescent="0.25">
      <c r="L1175" s="18">
        <f t="shared" ca="1" si="153"/>
        <v>81825</v>
      </c>
      <c r="M1175" s="14">
        <v>1170</v>
      </c>
      <c r="N1175" s="14">
        <f t="shared" si="147"/>
        <v>0</v>
      </c>
      <c r="O1175" s="19">
        <f t="shared" si="148"/>
        <v>0</v>
      </c>
      <c r="P1175" s="19">
        <f t="shared" si="155"/>
        <v>0</v>
      </c>
      <c r="Q1175" s="14">
        <f t="shared" si="149"/>
        <v>0</v>
      </c>
      <c r="R1175" s="19">
        <f t="shared" si="150"/>
        <v>0</v>
      </c>
      <c r="S1175" s="19">
        <f t="shared" si="151"/>
        <v>0</v>
      </c>
      <c r="T1175" s="14">
        <f t="shared" si="152"/>
        <v>0</v>
      </c>
      <c r="U1175" s="18" t="str" cm="1">
        <f t="array" aca="1" ref="U1175" ca="1">IF(M1175&lt;=$N$1,L1175,IF(M1175&lt;=($N$1+1),INDIRECT("L"&amp;5+$X$2),""))</f>
        <v/>
      </c>
    </row>
    <row r="1176" spans="12:21" hidden="1" x14ac:dyDescent="0.25">
      <c r="L1176" s="18">
        <f t="shared" ca="1" si="153"/>
        <v>81856</v>
      </c>
      <c r="M1176" s="14">
        <v>1171</v>
      </c>
      <c r="N1176" s="14">
        <f t="shared" si="147"/>
        <v>0</v>
      </c>
      <c r="O1176" s="19">
        <f t="shared" si="148"/>
        <v>0</v>
      </c>
      <c r="P1176" s="19">
        <f t="shared" si="155"/>
        <v>0</v>
      </c>
      <c r="Q1176" s="14">
        <f t="shared" si="149"/>
        <v>0</v>
      </c>
      <c r="R1176" s="19">
        <f t="shared" si="150"/>
        <v>0</v>
      </c>
      <c r="S1176" s="19">
        <f t="shared" si="151"/>
        <v>0</v>
      </c>
      <c r="T1176" s="14">
        <f t="shared" si="152"/>
        <v>0</v>
      </c>
      <c r="U1176" s="18" t="str" cm="1">
        <f t="array" aca="1" ref="U1176" ca="1">IF(M1176&lt;=$N$1,L1176,IF(M1176&lt;=($N$1+1),INDIRECT("L"&amp;5+$X$2),""))</f>
        <v/>
      </c>
    </row>
    <row r="1177" spans="12:21" hidden="1" x14ac:dyDescent="0.25">
      <c r="L1177" s="18">
        <f t="shared" ca="1" si="153"/>
        <v>81885</v>
      </c>
      <c r="M1177" s="14">
        <v>1172</v>
      </c>
      <c r="N1177" s="14">
        <f t="shared" si="147"/>
        <v>0</v>
      </c>
      <c r="O1177" s="19">
        <f t="shared" si="148"/>
        <v>0</v>
      </c>
      <c r="P1177" s="19">
        <f t="shared" si="155"/>
        <v>0</v>
      </c>
      <c r="Q1177" s="14">
        <f t="shared" si="149"/>
        <v>0</v>
      </c>
      <c r="R1177" s="19">
        <f t="shared" si="150"/>
        <v>0</v>
      </c>
      <c r="S1177" s="19">
        <f t="shared" si="151"/>
        <v>0</v>
      </c>
      <c r="T1177" s="14">
        <f t="shared" si="152"/>
        <v>0</v>
      </c>
      <c r="U1177" s="18" t="str" cm="1">
        <f t="array" aca="1" ref="U1177" ca="1">IF(M1177&lt;=$N$1,L1177,IF(M1177&lt;=($N$1+1),INDIRECT("L"&amp;5+$X$2),""))</f>
        <v/>
      </c>
    </row>
    <row r="1178" spans="12:21" hidden="1" x14ac:dyDescent="0.25">
      <c r="L1178" s="18">
        <f t="shared" ca="1" si="153"/>
        <v>81916</v>
      </c>
      <c r="M1178" s="14">
        <v>1173</v>
      </c>
      <c r="N1178" s="14">
        <f t="shared" si="147"/>
        <v>0</v>
      </c>
      <c r="O1178" s="19">
        <f t="shared" si="148"/>
        <v>0</v>
      </c>
      <c r="P1178" s="19">
        <f t="shared" si="155"/>
        <v>0</v>
      </c>
      <c r="Q1178" s="14">
        <f t="shared" si="149"/>
        <v>0</v>
      </c>
      <c r="R1178" s="19">
        <f t="shared" si="150"/>
        <v>0</v>
      </c>
      <c r="S1178" s="19">
        <f t="shared" si="151"/>
        <v>0</v>
      </c>
      <c r="T1178" s="14">
        <f t="shared" si="152"/>
        <v>0</v>
      </c>
      <c r="U1178" s="18" t="str" cm="1">
        <f t="array" aca="1" ref="U1178" ca="1">IF(M1178&lt;=$N$1,L1178,IF(M1178&lt;=($N$1+1),INDIRECT("L"&amp;5+$X$2),""))</f>
        <v/>
      </c>
    </row>
    <row r="1179" spans="12:21" hidden="1" x14ac:dyDescent="0.25">
      <c r="L1179" s="18">
        <f t="shared" ca="1" si="153"/>
        <v>81946</v>
      </c>
      <c r="M1179" s="14">
        <v>1174</v>
      </c>
      <c r="N1179" s="14">
        <f t="shared" si="147"/>
        <v>0</v>
      </c>
      <c r="O1179" s="19">
        <f t="shared" si="148"/>
        <v>0</v>
      </c>
      <c r="P1179" s="19">
        <f t="shared" si="155"/>
        <v>0</v>
      </c>
      <c r="Q1179" s="14">
        <f t="shared" si="149"/>
        <v>0</v>
      </c>
      <c r="R1179" s="19">
        <f t="shared" si="150"/>
        <v>0</v>
      </c>
      <c r="S1179" s="19">
        <f t="shared" si="151"/>
        <v>0</v>
      </c>
      <c r="T1179" s="14">
        <f t="shared" si="152"/>
        <v>0</v>
      </c>
      <c r="U1179" s="18" t="str" cm="1">
        <f t="array" aca="1" ref="U1179" ca="1">IF(M1179&lt;=$N$1,L1179,IF(M1179&lt;=($N$1+1),INDIRECT("L"&amp;5+$X$2),""))</f>
        <v/>
      </c>
    </row>
    <row r="1180" spans="12:21" hidden="1" x14ac:dyDescent="0.25">
      <c r="L1180" s="18">
        <f t="shared" ca="1" si="153"/>
        <v>81977</v>
      </c>
      <c r="M1180" s="14">
        <v>1175</v>
      </c>
      <c r="N1180" s="14">
        <f t="shared" si="147"/>
        <v>0</v>
      </c>
      <c r="O1180" s="19">
        <f t="shared" si="148"/>
        <v>0</v>
      </c>
      <c r="P1180" s="19">
        <f t="shared" si="155"/>
        <v>0</v>
      </c>
      <c r="Q1180" s="14">
        <f t="shared" si="149"/>
        <v>0</v>
      </c>
      <c r="R1180" s="19">
        <f t="shared" si="150"/>
        <v>0</v>
      </c>
      <c r="S1180" s="19">
        <f t="shared" si="151"/>
        <v>0</v>
      </c>
      <c r="T1180" s="14">
        <f t="shared" si="152"/>
        <v>0</v>
      </c>
      <c r="U1180" s="18" t="str" cm="1">
        <f t="array" aca="1" ref="U1180" ca="1">IF(M1180&lt;=$N$1,L1180,IF(M1180&lt;=($N$1+1),INDIRECT("L"&amp;5+$X$2),""))</f>
        <v/>
      </c>
    </row>
    <row r="1181" spans="12:21" hidden="1" x14ac:dyDescent="0.25">
      <c r="L1181" s="18">
        <f t="shared" ca="1" si="153"/>
        <v>82007</v>
      </c>
      <c r="M1181" s="14">
        <v>1176</v>
      </c>
      <c r="N1181" s="14">
        <f t="shared" si="147"/>
        <v>0</v>
      </c>
      <c r="O1181" s="19">
        <f t="shared" si="148"/>
        <v>0</v>
      </c>
      <c r="P1181" s="19">
        <f t="shared" si="155"/>
        <v>0</v>
      </c>
      <c r="Q1181" s="14">
        <f t="shared" si="149"/>
        <v>0</v>
      </c>
      <c r="R1181" s="19">
        <f t="shared" si="150"/>
        <v>0</v>
      </c>
      <c r="S1181" s="19">
        <f t="shared" si="151"/>
        <v>0</v>
      </c>
      <c r="T1181" s="14">
        <f t="shared" si="152"/>
        <v>0</v>
      </c>
      <c r="U1181" s="18" t="str" cm="1">
        <f t="array" aca="1" ref="U1181" ca="1">IF(M1181&lt;=$N$1,L1181,IF(M1181&lt;=($N$1+1),INDIRECT("L"&amp;5+$X$2),""))</f>
        <v/>
      </c>
    </row>
    <row r="1182" spans="12:21" hidden="1" x14ac:dyDescent="0.25">
      <c r="L1182" s="18">
        <f t="shared" ca="1" si="153"/>
        <v>82038</v>
      </c>
      <c r="M1182" s="14">
        <v>1177</v>
      </c>
      <c r="N1182" s="14">
        <f t="shared" si="147"/>
        <v>0</v>
      </c>
      <c r="O1182" s="19">
        <f t="shared" si="148"/>
        <v>0</v>
      </c>
      <c r="P1182" s="19">
        <f t="shared" si="155"/>
        <v>0</v>
      </c>
      <c r="Q1182" s="14">
        <f t="shared" si="149"/>
        <v>0</v>
      </c>
      <c r="R1182" s="19">
        <f t="shared" si="150"/>
        <v>0</v>
      </c>
      <c r="S1182" s="19">
        <f t="shared" si="151"/>
        <v>0</v>
      </c>
      <c r="T1182" s="14">
        <f t="shared" si="152"/>
        <v>0</v>
      </c>
      <c r="U1182" s="18" t="str" cm="1">
        <f t="array" aca="1" ref="U1182" ca="1">IF(M1182&lt;=$N$1,L1182,IF(M1182&lt;=($N$1+1),INDIRECT("L"&amp;5+$X$2),""))</f>
        <v/>
      </c>
    </row>
    <row r="1183" spans="12:21" hidden="1" x14ac:dyDescent="0.25">
      <c r="L1183" s="18">
        <f t="shared" ca="1" si="153"/>
        <v>82069</v>
      </c>
      <c r="M1183" s="14">
        <v>1178</v>
      </c>
      <c r="N1183" s="14">
        <f t="shared" si="147"/>
        <v>0</v>
      </c>
      <c r="O1183" s="19">
        <f t="shared" si="148"/>
        <v>0</v>
      </c>
      <c r="P1183" s="19">
        <f t="shared" si="155"/>
        <v>0</v>
      </c>
      <c r="Q1183" s="14">
        <f t="shared" si="149"/>
        <v>0</v>
      </c>
      <c r="R1183" s="19">
        <f t="shared" si="150"/>
        <v>0</v>
      </c>
      <c r="S1183" s="19">
        <f t="shared" si="151"/>
        <v>0</v>
      </c>
      <c r="T1183" s="14">
        <f t="shared" si="152"/>
        <v>0</v>
      </c>
      <c r="U1183" s="18" t="str" cm="1">
        <f t="array" aca="1" ref="U1183" ca="1">IF(M1183&lt;=$N$1,L1183,IF(M1183&lt;=($N$1+1),INDIRECT("L"&amp;5+$X$2),""))</f>
        <v/>
      </c>
    </row>
    <row r="1184" spans="12:21" hidden="1" x14ac:dyDescent="0.25">
      <c r="L1184" s="18">
        <f t="shared" ca="1" si="153"/>
        <v>82099</v>
      </c>
      <c r="M1184" s="14">
        <v>1179</v>
      </c>
      <c r="N1184" s="14">
        <f t="shared" si="147"/>
        <v>0</v>
      </c>
      <c r="O1184" s="19">
        <f t="shared" si="148"/>
        <v>0</v>
      </c>
      <c r="P1184" s="19">
        <f t="shared" si="155"/>
        <v>0</v>
      </c>
      <c r="Q1184" s="14">
        <f t="shared" si="149"/>
        <v>0</v>
      </c>
      <c r="R1184" s="19">
        <f t="shared" si="150"/>
        <v>0</v>
      </c>
      <c r="S1184" s="19">
        <f t="shared" si="151"/>
        <v>0</v>
      </c>
      <c r="T1184" s="14">
        <f t="shared" si="152"/>
        <v>0</v>
      </c>
      <c r="U1184" s="18" t="str" cm="1">
        <f t="array" aca="1" ref="U1184" ca="1">IF(M1184&lt;=$N$1,L1184,IF(M1184&lt;=($N$1+1),INDIRECT("L"&amp;5+$X$2),""))</f>
        <v/>
      </c>
    </row>
    <row r="1185" spans="12:21" hidden="1" x14ac:dyDescent="0.25">
      <c r="L1185" s="18">
        <f t="shared" ca="1" si="153"/>
        <v>82130</v>
      </c>
      <c r="M1185" s="14">
        <v>1180</v>
      </c>
      <c r="N1185" s="14">
        <f t="shared" si="147"/>
        <v>0</v>
      </c>
      <c r="O1185" s="19">
        <f t="shared" si="148"/>
        <v>0</v>
      </c>
      <c r="P1185" s="19">
        <f t="shared" ref="P1185:P1205" si="156">O1185/((1+SIPInflationRate)^(M1185/12))</f>
        <v>0</v>
      </c>
      <c r="Q1185" s="14">
        <f t="shared" si="149"/>
        <v>0</v>
      </c>
      <c r="R1185" s="19">
        <f t="shared" si="150"/>
        <v>0</v>
      </c>
      <c r="S1185" s="19">
        <f t="shared" si="151"/>
        <v>0</v>
      </c>
      <c r="T1185" s="14">
        <f t="shared" si="152"/>
        <v>0</v>
      </c>
      <c r="U1185" s="18" t="str" cm="1">
        <f t="array" aca="1" ref="U1185" ca="1">IF(M1185&lt;=$N$1,L1185,IF(M1185&lt;=($N$1+1),INDIRECT("L"&amp;5+$X$2),""))</f>
        <v/>
      </c>
    </row>
    <row r="1186" spans="12:21" hidden="1" x14ac:dyDescent="0.25">
      <c r="L1186" s="18">
        <f t="shared" ca="1" si="153"/>
        <v>82160</v>
      </c>
      <c r="M1186" s="14">
        <v>1181</v>
      </c>
      <c r="N1186" s="14">
        <f t="shared" si="147"/>
        <v>0</v>
      </c>
      <c r="O1186" s="19">
        <f t="shared" si="148"/>
        <v>0</v>
      </c>
      <c r="P1186" s="19">
        <f t="shared" si="156"/>
        <v>0</v>
      </c>
      <c r="Q1186" s="14">
        <f t="shared" si="149"/>
        <v>0</v>
      </c>
      <c r="R1186" s="19">
        <f t="shared" si="150"/>
        <v>0</v>
      </c>
      <c r="S1186" s="19">
        <f t="shared" si="151"/>
        <v>0</v>
      </c>
      <c r="T1186" s="14">
        <f t="shared" si="152"/>
        <v>0</v>
      </c>
      <c r="U1186" s="18" t="str" cm="1">
        <f t="array" aca="1" ref="U1186" ca="1">IF(M1186&lt;=$N$1,L1186,IF(M1186&lt;=($N$1+1),INDIRECT("L"&amp;5+$X$2),""))</f>
        <v/>
      </c>
    </row>
    <row r="1187" spans="12:21" hidden="1" x14ac:dyDescent="0.25">
      <c r="L1187" s="18">
        <f t="shared" ca="1" si="153"/>
        <v>82191</v>
      </c>
      <c r="M1187" s="14">
        <v>1182</v>
      </c>
      <c r="N1187" s="14">
        <f t="shared" si="147"/>
        <v>0</v>
      </c>
      <c r="O1187" s="19">
        <f t="shared" si="148"/>
        <v>0</v>
      </c>
      <c r="P1187" s="19">
        <f t="shared" si="156"/>
        <v>0</v>
      </c>
      <c r="Q1187" s="14">
        <f t="shared" si="149"/>
        <v>0</v>
      </c>
      <c r="R1187" s="19">
        <f t="shared" si="150"/>
        <v>0</v>
      </c>
      <c r="S1187" s="19">
        <f t="shared" si="151"/>
        <v>0</v>
      </c>
      <c r="T1187" s="14">
        <f t="shared" si="152"/>
        <v>0</v>
      </c>
      <c r="U1187" s="18" t="str" cm="1">
        <f t="array" aca="1" ref="U1187" ca="1">IF(M1187&lt;=$N$1,L1187,IF(M1187&lt;=($N$1+1),INDIRECT("L"&amp;5+$X$2),""))</f>
        <v/>
      </c>
    </row>
    <row r="1188" spans="12:21" hidden="1" x14ac:dyDescent="0.25">
      <c r="L1188" s="18">
        <f t="shared" ca="1" si="153"/>
        <v>82222</v>
      </c>
      <c r="M1188" s="14">
        <v>1183</v>
      </c>
      <c r="N1188" s="14">
        <f t="shared" si="147"/>
        <v>0</v>
      </c>
      <c r="O1188" s="19">
        <f t="shared" si="148"/>
        <v>0</v>
      </c>
      <c r="P1188" s="19">
        <f t="shared" si="156"/>
        <v>0</v>
      </c>
      <c r="Q1188" s="14">
        <f t="shared" si="149"/>
        <v>0</v>
      </c>
      <c r="R1188" s="19">
        <f t="shared" si="150"/>
        <v>0</v>
      </c>
      <c r="S1188" s="19">
        <f t="shared" si="151"/>
        <v>0</v>
      </c>
      <c r="T1188" s="14">
        <f t="shared" si="152"/>
        <v>0</v>
      </c>
      <c r="U1188" s="18" t="str" cm="1">
        <f t="array" aca="1" ref="U1188" ca="1">IF(M1188&lt;=$N$1,L1188,IF(M1188&lt;=($N$1+1),INDIRECT("L"&amp;5+$X$2),""))</f>
        <v/>
      </c>
    </row>
    <row r="1189" spans="12:21" hidden="1" x14ac:dyDescent="0.25">
      <c r="L1189" s="18">
        <f t="shared" ca="1" si="153"/>
        <v>82250</v>
      </c>
      <c r="M1189" s="14">
        <v>1184</v>
      </c>
      <c r="N1189" s="14">
        <f t="shared" si="147"/>
        <v>0</v>
      </c>
      <c r="O1189" s="19">
        <f t="shared" si="148"/>
        <v>0</v>
      </c>
      <c r="P1189" s="19">
        <f t="shared" si="156"/>
        <v>0</v>
      </c>
      <c r="Q1189" s="14">
        <f t="shared" si="149"/>
        <v>0</v>
      </c>
      <c r="R1189" s="19">
        <f t="shared" si="150"/>
        <v>0</v>
      </c>
      <c r="S1189" s="19">
        <f t="shared" si="151"/>
        <v>0</v>
      </c>
      <c r="T1189" s="14">
        <f t="shared" si="152"/>
        <v>0</v>
      </c>
      <c r="U1189" s="18" t="str" cm="1">
        <f t="array" aca="1" ref="U1189" ca="1">IF(M1189&lt;=$N$1,L1189,IF(M1189&lt;=($N$1+1),INDIRECT("L"&amp;5+$X$2),""))</f>
        <v/>
      </c>
    </row>
    <row r="1190" spans="12:21" hidden="1" x14ac:dyDescent="0.25">
      <c r="L1190" s="18">
        <f t="shared" ca="1" si="153"/>
        <v>82281</v>
      </c>
      <c r="M1190" s="14">
        <v>1185</v>
      </c>
      <c r="N1190" s="14">
        <f t="shared" si="147"/>
        <v>0</v>
      </c>
      <c r="O1190" s="19">
        <f t="shared" si="148"/>
        <v>0</v>
      </c>
      <c r="P1190" s="19">
        <f t="shared" si="156"/>
        <v>0</v>
      </c>
      <c r="Q1190" s="14">
        <f t="shared" si="149"/>
        <v>0</v>
      </c>
      <c r="R1190" s="19">
        <f t="shared" si="150"/>
        <v>0</v>
      </c>
      <c r="S1190" s="19">
        <f t="shared" si="151"/>
        <v>0</v>
      </c>
      <c r="T1190" s="14">
        <f t="shared" si="152"/>
        <v>0</v>
      </c>
      <c r="U1190" s="18" t="str" cm="1">
        <f t="array" aca="1" ref="U1190" ca="1">IF(M1190&lt;=$N$1,L1190,IF(M1190&lt;=($N$1+1),INDIRECT("L"&amp;5+$X$2),""))</f>
        <v/>
      </c>
    </row>
    <row r="1191" spans="12:21" hidden="1" x14ac:dyDescent="0.25">
      <c r="L1191" s="18">
        <f t="shared" ca="1" si="153"/>
        <v>82311</v>
      </c>
      <c r="M1191" s="14">
        <v>1186</v>
      </c>
      <c r="N1191" s="14">
        <f t="shared" si="147"/>
        <v>0</v>
      </c>
      <c r="O1191" s="19">
        <f t="shared" si="148"/>
        <v>0</v>
      </c>
      <c r="P1191" s="19">
        <f t="shared" si="156"/>
        <v>0</v>
      </c>
      <c r="Q1191" s="14">
        <f t="shared" si="149"/>
        <v>0</v>
      </c>
      <c r="R1191" s="19">
        <f t="shared" si="150"/>
        <v>0</v>
      </c>
      <c r="S1191" s="19">
        <f t="shared" si="151"/>
        <v>0</v>
      </c>
      <c r="T1191" s="14">
        <f t="shared" si="152"/>
        <v>0</v>
      </c>
      <c r="U1191" s="18" t="str" cm="1">
        <f t="array" aca="1" ref="U1191" ca="1">IF(M1191&lt;=$N$1,L1191,IF(M1191&lt;=($N$1+1),INDIRECT("L"&amp;5+$X$2),""))</f>
        <v/>
      </c>
    </row>
    <row r="1192" spans="12:21" hidden="1" x14ac:dyDescent="0.25">
      <c r="L1192" s="18">
        <f t="shared" ca="1" si="153"/>
        <v>82342</v>
      </c>
      <c r="M1192" s="14">
        <v>1187</v>
      </c>
      <c r="N1192" s="14">
        <f t="shared" si="147"/>
        <v>0</v>
      </c>
      <c r="O1192" s="19">
        <f t="shared" si="148"/>
        <v>0</v>
      </c>
      <c r="P1192" s="19">
        <f t="shared" si="156"/>
        <v>0</v>
      </c>
      <c r="Q1192" s="14">
        <f t="shared" si="149"/>
        <v>0</v>
      </c>
      <c r="R1192" s="19">
        <f t="shared" si="150"/>
        <v>0</v>
      </c>
      <c r="S1192" s="19">
        <f t="shared" si="151"/>
        <v>0</v>
      </c>
      <c r="T1192" s="14">
        <f t="shared" si="152"/>
        <v>0</v>
      </c>
      <c r="U1192" s="18" t="str" cm="1">
        <f t="array" aca="1" ref="U1192" ca="1">IF(M1192&lt;=$N$1,L1192,IF(M1192&lt;=($N$1+1),INDIRECT("L"&amp;5+$X$2),""))</f>
        <v/>
      </c>
    </row>
    <row r="1193" spans="12:21" hidden="1" x14ac:dyDescent="0.25">
      <c r="L1193" s="18">
        <f t="shared" ca="1" si="153"/>
        <v>82372</v>
      </c>
      <c r="M1193" s="14">
        <v>1188</v>
      </c>
      <c r="N1193" s="14">
        <f t="shared" si="147"/>
        <v>0</v>
      </c>
      <c r="O1193" s="19">
        <f t="shared" si="148"/>
        <v>0</v>
      </c>
      <c r="P1193" s="19">
        <f t="shared" si="156"/>
        <v>0</v>
      </c>
      <c r="Q1193" s="14">
        <f t="shared" si="149"/>
        <v>0</v>
      </c>
      <c r="R1193" s="19">
        <f t="shared" si="150"/>
        <v>0</v>
      </c>
      <c r="S1193" s="19">
        <f t="shared" si="151"/>
        <v>0</v>
      </c>
      <c r="T1193" s="14">
        <f t="shared" si="152"/>
        <v>0</v>
      </c>
      <c r="U1193" s="18" t="str" cm="1">
        <f t="array" aca="1" ref="U1193" ca="1">IF(M1193&lt;=$N$1,L1193,IF(M1193&lt;=($N$1+1),INDIRECT("L"&amp;5+$X$2),""))</f>
        <v/>
      </c>
    </row>
    <row r="1194" spans="12:21" hidden="1" x14ac:dyDescent="0.25">
      <c r="L1194" s="18">
        <f t="shared" ca="1" si="153"/>
        <v>82403</v>
      </c>
      <c r="M1194" s="14">
        <v>1189</v>
      </c>
      <c r="N1194" s="14">
        <f t="shared" si="147"/>
        <v>0</v>
      </c>
      <c r="O1194" s="19">
        <f t="shared" si="148"/>
        <v>0</v>
      </c>
      <c r="P1194" s="19">
        <f t="shared" si="156"/>
        <v>0</v>
      </c>
      <c r="Q1194" s="14">
        <f t="shared" si="149"/>
        <v>0</v>
      </c>
      <c r="R1194" s="19">
        <f t="shared" si="150"/>
        <v>0</v>
      </c>
      <c r="S1194" s="19">
        <f t="shared" si="151"/>
        <v>0</v>
      </c>
      <c r="T1194" s="14">
        <f t="shared" si="152"/>
        <v>0</v>
      </c>
      <c r="U1194" s="18" t="str" cm="1">
        <f t="array" aca="1" ref="U1194" ca="1">IF(M1194&lt;=$N$1,L1194,IF(M1194&lt;=($N$1+1),INDIRECT("L"&amp;5+$X$2),""))</f>
        <v/>
      </c>
    </row>
    <row r="1195" spans="12:21" hidden="1" x14ac:dyDescent="0.25">
      <c r="L1195" s="18">
        <f t="shared" ca="1" si="153"/>
        <v>82434</v>
      </c>
      <c r="M1195" s="14">
        <v>1190</v>
      </c>
      <c r="N1195" s="14">
        <f t="shared" si="147"/>
        <v>0</v>
      </c>
      <c r="O1195" s="19">
        <f t="shared" si="148"/>
        <v>0</v>
      </c>
      <c r="P1195" s="19">
        <f t="shared" si="156"/>
        <v>0</v>
      </c>
      <c r="Q1195" s="14">
        <f t="shared" si="149"/>
        <v>0</v>
      </c>
      <c r="R1195" s="19">
        <f t="shared" si="150"/>
        <v>0</v>
      </c>
      <c r="S1195" s="19">
        <f t="shared" si="151"/>
        <v>0</v>
      </c>
      <c r="T1195" s="14">
        <f t="shared" si="152"/>
        <v>0</v>
      </c>
      <c r="U1195" s="18" t="str" cm="1">
        <f t="array" aca="1" ref="U1195" ca="1">IF(M1195&lt;=$N$1,L1195,IF(M1195&lt;=($N$1+1),INDIRECT("L"&amp;5+$X$2),""))</f>
        <v/>
      </c>
    </row>
    <row r="1196" spans="12:21" hidden="1" x14ac:dyDescent="0.25">
      <c r="L1196" s="18">
        <f t="shared" ca="1" si="153"/>
        <v>82464</v>
      </c>
      <c r="M1196" s="14">
        <v>1191</v>
      </c>
      <c r="N1196" s="14">
        <f t="shared" si="147"/>
        <v>0</v>
      </c>
      <c r="O1196" s="19">
        <f t="shared" si="148"/>
        <v>0</v>
      </c>
      <c r="P1196" s="19">
        <f t="shared" si="156"/>
        <v>0</v>
      </c>
      <c r="Q1196" s="14">
        <f t="shared" si="149"/>
        <v>0</v>
      </c>
      <c r="R1196" s="19">
        <f t="shared" si="150"/>
        <v>0</v>
      </c>
      <c r="S1196" s="19">
        <f t="shared" si="151"/>
        <v>0</v>
      </c>
      <c r="T1196" s="14">
        <f t="shared" si="152"/>
        <v>0</v>
      </c>
      <c r="U1196" s="18" t="str" cm="1">
        <f t="array" aca="1" ref="U1196" ca="1">IF(M1196&lt;=$N$1,L1196,IF(M1196&lt;=($N$1+1),INDIRECT("L"&amp;5+$X$2),""))</f>
        <v/>
      </c>
    </row>
    <row r="1197" spans="12:21" hidden="1" x14ac:dyDescent="0.25">
      <c r="L1197" s="18">
        <f t="shared" ca="1" si="153"/>
        <v>82495</v>
      </c>
      <c r="M1197" s="14">
        <v>1192</v>
      </c>
      <c r="N1197" s="14">
        <f t="shared" si="147"/>
        <v>0</v>
      </c>
      <c r="O1197" s="19">
        <f t="shared" si="148"/>
        <v>0</v>
      </c>
      <c r="P1197" s="19">
        <f t="shared" si="156"/>
        <v>0</v>
      </c>
      <c r="Q1197" s="14">
        <f t="shared" si="149"/>
        <v>0</v>
      </c>
      <c r="R1197" s="19">
        <f t="shared" si="150"/>
        <v>0</v>
      </c>
      <c r="S1197" s="19">
        <f t="shared" si="151"/>
        <v>0</v>
      </c>
      <c r="T1197" s="14">
        <f t="shared" si="152"/>
        <v>0</v>
      </c>
      <c r="U1197" s="18" t="str" cm="1">
        <f t="array" aca="1" ref="U1197" ca="1">IF(M1197&lt;=$N$1,L1197,IF(M1197&lt;=($N$1+1),INDIRECT("L"&amp;5+$X$2),""))</f>
        <v/>
      </c>
    </row>
    <row r="1198" spans="12:21" hidden="1" x14ac:dyDescent="0.25">
      <c r="L1198" s="18">
        <f t="shared" ca="1" si="153"/>
        <v>82525</v>
      </c>
      <c r="M1198" s="14">
        <v>1193</v>
      </c>
      <c r="N1198" s="14">
        <f t="shared" si="147"/>
        <v>0</v>
      </c>
      <c r="O1198" s="19">
        <f t="shared" si="148"/>
        <v>0</v>
      </c>
      <c r="P1198" s="19">
        <f t="shared" si="156"/>
        <v>0</v>
      </c>
      <c r="Q1198" s="14">
        <f t="shared" si="149"/>
        <v>0</v>
      </c>
      <c r="R1198" s="19">
        <f t="shared" si="150"/>
        <v>0</v>
      </c>
      <c r="S1198" s="19">
        <f t="shared" si="151"/>
        <v>0</v>
      </c>
      <c r="T1198" s="14">
        <f t="shared" si="152"/>
        <v>0</v>
      </c>
      <c r="U1198" s="18" t="str" cm="1">
        <f t="array" aca="1" ref="U1198" ca="1">IF(M1198&lt;=$N$1,L1198,IF(M1198&lt;=($N$1+1),INDIRECT("L"&amp;5+$X$2),""))</f>
        <v/>
      </c>
    </row>
    <row r="1199" spans="12:21" hidden="1" x14ac:dyDescent="0.25">
      <c r="L1199" s="18">
        <f t="shared" ca="1" si="153"/>
        <v>82556</v>
      </c>
      <c r="M1199" s="14">
        <v>1194</v>
      </c>
      <c r="N1199" s="14">
        <f t="shared" si="147"/>
        <v>0</v>
      </c>
      <c r="O1199" s="19">
        <f t="shared" si="148"/>
        <v>0</v>
      </c>
      <c r="P1199" s="19">
        <f t="shared" si="156"/>
        <v>0</v>
      </c>
      <c r="Q1199" s="14">
        <f t="shared" si="149"/>
        <v>0</v>
      </c>
      <c r="R1199" s="19">
        <f t="shared" si="150"/>
        <v>0</v>
      </c>
      <c r="S1199" s="19">
        <f t="shared" si="151"/>
        <v>0</v>
      </c>
      <c r="T1199" s="14">
        <f t="shared" si="152"/>
        <v>0</v>
      </c>
      <c r="U1199" s="18" t="str" cm="1">
        <f t="array" aca="1" ref="U1199" ca="1">IF(M1199&lt;=$N$1,L1199,IF(M1199&lt;=($N$1+1),INDIRECT("L"&amp;5+$X$2),""))</f>
        <v/>
      </c>
    </row>
    <row r="1200" spans="12:21" hidden="1" x14ac:dyDescent="0.25">
      <c r="L1200" s="18">
        <f t="shared" ca="1" si="153"/>
        <v>82587</v>
      </c>
      <c r="M1200" s="14">
        <v>1195</v>
      </c>
      <c r="N1200" s="14">
        <f t="shared" si="147"/>
        <v>0</v>
      </c>
      <c r="O1200" s="19">
        <f t="shared" si="148"/>
        <v>0</v>
      </c>
      <c r="P1200" s="19">
        <f t="shared" si="156"/>
        <v>0</v>
      </c>
      <c r="Q1200" s="14">
        <f t="shared" si="149"/>
        <v>0</v>
      </c>
      <c r="R1200" s="19">
        <f t="shared" si="150"/>
        <v>0</v>
      </c>
      <c r="S1200" s="19">
        <f t="shared" si="151"/>
        <v>0</v>
      </c>
      <c r="T1200" s="14">
        <f t="shared" si="152"/>
        <v>0</v>
      </c>
      <c r="U1200" s="18" t="str" cm="1">
        <f t="array" aca="1" ref="U1200" ca="1">IF(M1200&lt;=$N$1,L1200,IF(M1200&lt;=($N$1+1),INDIRECT("L"&amp;5+$X$2),""))</f>
        <v/>
      </c>
    </row>
    <row r="1201" spans="12:21" hidden="1" x14ac:dyDescent="0.25">
      <c r="L1201" s="18">
        <f t="shared" ca="1" si="153"/>
        <v>82615</v>
      </c>
      <c r="M1201" s="14">
        <v>1196</v>
      </c>
      <c r="N1201" s="14">
        <f t="shared" si="147"/>
        <v>0</v>
      </c>
      <c r="O1201" s="19">
        <f t="shared" si="148"/>
        <v>0</v>
      </c>
      <c r="P1201" s="19">
        <f t="shared" si="156"/>
        <v>0</v>
      </c>
      <c r="Q1201" s="14">
        <f t="shared" si="149"/>
        <v>0</v>
      </c>
      <c r="R1201" s="19">
        <f t="shared" si="150"/>
        <v>0</v>
      </c>
      <c r="S1201" s="19">
        <f t="shared" si="151"/>
        <v>0</v>
      </c>
      <c r="T1201" s="14">
        <f t="shared" si="152"/>
        <v>0</v>
      </c>
      <c r="U1201" s="18" t="str" cm="1">
        <f t="array" aca="1" ref="U1201" ca="1">IF(M1201&lt;=$N$1,L1201,IF(M1201&lt;=($N$1+1),INDIRECT("L"&amp;5+$X$2),""))</f>
        <v/>
      </c>
    </row>
    <row r="1202" spans="12:21" hidden="1" x14ac:dyDescent="0.25">
      <c r="L1202" s="18">
        <f t="shared" ca="1" si="153"/>
        <v>82646</v>
      </c>
      <c r="M1202" s="14">
        <v>1197</v>
      </c>
      <c r="N1202" s="14">
        <f t="shared" si="147"/>
        <v>0</v>
      </c>
      <c r="O1202" s="19">
        <f t="shared" si="148"/>
        <v>0</v>
      </c>
      <c r="P1202" s="19">
        <f t="shared" si="156"/>
        <v>0</v>
      </c>
      <c r="Q1202" s="14">
        <f t="shared" si="149"/>
        <v>0</v>
      </c>
      <c r="R1202" s="19">
        <f t="shared" si="150"/>
        <v>0</v>
      </c>
      <c r="S1202" s="19">
        <f t="shared" si="151"/>
        <v>0</v>
      </c>
      <c r="T1202" s="14">
        <f t="shared" si="152"/>
        <v>0</v>
      </c>
      <c r="U1202" s="18" t="str" cm="1">
        <f t="array" aca="1" ref="U1202" ca="1">IF(M1202&lt;=$N$1,L1202,IF(M1202&lt;=($N$1+1),INDIRECT("L"&amp;5+$X$2),""))</f>
        <v/>
      </c>
    </row>
    <row r="1203" spans="12:21" hidden="1" x14ac:dyDescent="0.25">
      <c r="L1203" s="18">
        <f t="shared" ca="1" si="153"/>
        <v>82676</v>
      </c>
      <c r="M1203" s="14">
        <v>1198</v>
      </c>
      <c r="N1203" s="14">
        <f t="shared" si="147"/>
        <v>0</v>
      </c>
      <c r="O1203" s="19">
        <f t="shared" si="148"/>
        <v>0</v>
      </c>
      <c r="P1203" s="19">
        <f t="shared" si="156"/>
        <v>0</v>
      </c>
      <c r="Q1203" s="14">
        <f t="shared" si="149"/>
        <v>0</v>
      </c>
      <c r="R1203" s="19">
        <f t="shared" si="150"/>
        <v>0</v>
      </c>
      <c r="S1203" s="19">
        <f t="shared" si="151"/>
        <v>0</v>
      </c>
      <c r="T1203" s="14">
        <f t="shared" si="152"/>
        <v>0</v>
      </c>
      <c r="U1203" s="18" t="str" cm="1">
        <f t="array" aca="1" ref="U1203" ca="1">IF(M1203&lt;=$N$1,L1203,IF(M1203&lt;=($N$1+1),INDIRECT("L"&amp;5+$X$2),""))</f>
        <v/>
      </c>
    </row>
    <row r="1204" spans="12:21" hidden="1" x14ac:dyDescent="0.25">
      <c r="L1204" s="18">
        <f t="shared" ca="1" si="153"/>
        <v>82707</v>
      </c>
      <c r="M1204" s="14">
        <v>1199</v>
      </c>
      <c r="N1204" s="14">
        <f t="shared" si="147"/>
        <v>0</v>
      </c>
      <c r="O1204" s="19">
        <f t="shared" si="148"/>
        <v>0</v>
      </c>
      <c r="P1204" s="19">
        <f t="shared" si="156"/>
        <v>0</v>
      </c>
      <c r="Q1204" s="14">
        <f t="shared" si="149"/>
        <v>0</v>
      </c>
      <c r="R1204" s="19">
        <f t="shared" si="150"/>
        <v>0</v>
      </c>
      <c r="S1204" s="19">
        <f t="shared" si="151"/>
        <v>0</v>
      </c>
      <c r="T1204" s="14">
        <f t="shared" si="152"/>
        <v>0</v>
      </c>
      <c r="U1204" s="18" t="str" cm="1">
        <f t="array" aca="1" ref="U1204" ca="1">IF(M1204&lt;=$N$1,L1204,IF(M1204&lt;=($N$1+1),INDIRECT("L"&amp;5+$X$2),""))</f>
        <v/>
      </c>
    </row>
    <row r="1205" spans="12:21" hidden="1" x14ac:dyDescent="0.25">
      <c r="L1205" s="18">
        <f t="shared" ca="1" si="153"/>
        <v>82737</v>
      </c>
      <c r="M1205" s="14">
        <v>1200</v>
      </c>
      <c r="N1205" s="14">
        <f t="shared" si="147"/>
        <v>0</v>
      </c>
      <c r="O1205" s="19">
        <f t="shared" si="148"/>
        <v>0</v>
      </c>
      <c r="P1205" s="19">
        <f t="shared" si="156"/>
        <v>0</v>
      </c>
      <c r="Q1205" s="14">
        <f t="shared" si="149"/>
        <v>0</v>
      </c>
      <c r="R1205" s="19">
        <f t="shared" si="150"/>
        <v>0</v>
      </c>
      <c r="S1205" s="19">
        <f t="shared" si="151"/>
        <v>0</v>
      </c>
      <c r="T1205" s="14">
        <f t="shared" si="152"/>
        <v>0</v>
      </c>
      <c r="U1205" s="18" t="str" cm="1">
        <f t="array" aca="1" ref="U1205" ca="1">IF(M1205&lt;=$N$1,L1205,IF(M1205&lt;=($N$1+1),INDIRECT("L"&amp;5+$X$2),""))</f>
        <v/>
      </c>
    </row>
  </sheetData>
  <sheetProtection selectLockedCells="1"/>
  <mergeCells count="5">
    <mergeCell ref="D9:E9"/>
    <mergeCell ref="D10:E10"/>
    <mergeCell ref="Q5:S5"/>
    <mergeCell ref="D7:E7"/>
    <mergeCell ref="B2:G2"/>
  </mergeCells>
  <pageMargins left="0.7" right="0.7" top="0.75" bottom="0.75" header="0.3" footer="0.3"/>
  <pageSetup paperSize="9" scale="65" orientation="landscape" r:id="rId1"/>
  <drawing r:id="rId2"/>
  <legacyDrawing r:id="rId3"/>
  <controls>
    <mc:AlternateContent xmlns:mc="http://schemas.openxmlformats.org/markup-compatibility/2006">
      <mc:Choice Requires="x14">
        <control shapeId="1193" r:id="rId4" name="InfPercent">
          <controlPr defaultSize="0" print="0" autoLine="0" linkedCell="K7" r:id="rId5">
            <anchor moveWithCells="1">
              <from>
                <xdr:col>3</xdr:col>
                <xdr:colOff>76200</xdr:colOff>
                <xdr:row>11</xdr:row>
                <xdr:rowOff>30480</xdr:rowOff>
              </from>
              <to>
                <xdr:col>4</xdr:col>
                <xdr:colOff>502920</xdr:colOff>
                <xdr:row>11</xdr:row>
                <xdr:rowOff>175260</xdr:rowOff>
              </to>
            </anchor>
          </controlPr>
        </control>
      </mc:Choice>
      <mc:Fallback>
        <control shapeId="1193" r:id="rId4" name="InfPercent"/>
      </mc:Fallback>
    </mc:AlternateContent>
    <mc:AlternateContent xmlns:mc="http://schemas.openxmlformats.org/markup-compatibility/2006">
      <mc:Choice Requires="x14">
        <control shapeId="1192" r:id="rId6" name="GainPercent">
          <controlPr defaultSize="0" print="0" autoLine="0" linkedCell="K6" r:id="rId7">
            <anchor moveWithCells="1">
              <from>
                <xdr:col>3</xdr:col>
                <xdr:colOff>76200</xdr:colOff>
                <xdr:row>5</xdr:row>
                <xdr:rowOff>53340</xdr:rowOff>
              </from>
              <to>
                <xdr:col>4</xdr:col>
                <xdr:colOff>502920</xdr:colOff>
                <xdr:row>5</xdr:row>
                <xdr:rowOff>198120</xdr:rowOff>
              </to>
            </anchor>
          </controlPr>
        </control>
      </mc:Choice>
      <mc:Fallback>
        <control shapeId="1192" r:id="rId6" name="GainPercent"/>
      </mc:Fallback>
    </mc:AlternateContent>
    <mc:AlternateContent xmlns:mc="http://schemas.openxmlformats.org/markup-compatibility/2006">
      <mc:Choice Requires="x14">
        <control shapeId="1191" r:id="rId8" name="ScrollBar1">
          <controlPr defaultSize="0" print="0" autoLine="0" linkedCell="C5" r:id="rId9">
            <anchor moveWithCells="1">
              <from>
                <xdr:col>3</xdr:col>
                <xdr:colOff>76200</xdr:colOff>
                <xdr:row>4</xdr:row>
                <xdr:rowOff>68580</xdr:rowOff>
              </from>
              <to>
                <xdr:col>4</xdr:col>
                <xdr:colOff>502920</xdr:colOff>
                <xdr:row>4</xdr:row>
                <xdr:rowOff>213360</xdr:rowOff>
              </to>
            </anchor>
          </controlPr>
        </control>
      </mc:Choice>
      <mc:Fallback>
        <control shapeId="1191" r:id="rId8" name="ScrollBar1"/>
      </mc:Fallback>
    </mc:AlternateContent>
    <mc:AlternateContent xmlns:mc="http://schemas.openxmlformats.org/markup-compatibility/2006">
      <mc:Choice Requires="x14">
        <control shapeId="1190" r:id="rId10" name="MonthlyInvestAmount">
          <controlPr defaultSize="0" print="0" autoLine="0" linkedCell="C4" r:id="rId11">
            <anchor moveWithCells="1">
              <from>
                <xdr:col>3</xdr:col>
                <xdr:colOff>76200</xdr:colOff>
                <xdr:row>3</xdr:row>
                <xdr:rowOff>45720</xdr:rowOff>
              </from>
              <to>
                <xdr:col>4</xdr:col>
                <xdr:colOff>502920</xdr:colOff>
                <xdr:row>3</xdr:row>
                <xdr:rowOff>190500</xdr:rowOff>
              </to>
            </anchor>
          </controlPr>
        </control>
      </mc:Choice>
      <mc:Fallback>
        <control shapeId="1190" r:id="rId10" name="MonthlyInvestAmount"/>
      </mc:Fallback>
    </mc:AlternateContent>
    <mc:AlternateContent xmlns:mc="http://schemas.openxmlformats.org/markup-compatibility/2006">
      <mc:Choice Requires="x14">
        <control shapeId="1189" r:id="rId12" name="btnPrint">
          <controlPr defaultSize="0" print="0" autoLine="0" r:id="rId13">
            <anchor moveWithCells="1">
              <from>
                <xdr:col>5</xdr:col>
                <xdr:colOff>76200</xdr:colOff>
                <xdr:row>3</xdr:row>
                <xdr:rowOff>15240</xdr:rowOff>
              </from>
              <to>
                <xdr:col>5</xdr:col>
                <xdr:colOff>365760</xdr:colOff>
                <xdr:row>4</xdr:row>
                <xdr:rowOff>45720</xdr:rowOff>
              </to>
            </anchor>
          </controlPr>
        </control>
      </mc:Choice>
      <mc:Fallback>
        <control shapeId="1189" r:id="rId12" name="btnPri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SIP Calculator</vt:lpstr>
      <vt:lpstr>InvestYears</vt:lpstr>
      <vt:lpstr>'SIP Calculator'!SIPFinalAmt</vt:lpstr>
      <vt:lpstr>'SIP Calculator'!SIPInflationRate</vt:lpstr>
      <vt:lpstr>SIPInflationRate</vt:lpstr>
      <vt:lpstr>'SIP Calculator'!SIPMonthlyPmt</vt:lpstr>
      <vt:lpstr>'SIP Calculator'!SIPMonths</vt:lpstr>
      <vt:lpstr>SIPYears</vt:lpstr>
      <vt:lpstr>'SIP Calculator'!SIPYield</vt:lpstr>
      <vt:lpstr>SRate</vt:lpstr>
    </vt:vector>
  </TitlesOfParts>
  <Company>Jain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FinOptic SIP Calculator</dc:title>
  <dc:creator>Reddi, Sasmith</dc:creator>
  <dc:description>COPYRIGHT PROTECTED - FinOptic Financial Services, Hyderabad, India</dc:description>
  <cp:lastModifiedBy>Sasmith Reddi</cp:lastModifiedBy>
  <cp:lastPrinted>2025-07-06T06:24:52Z</cp:lastPrinted>
  <dcterms:created xsi:type="dcterms:W3CDTF">1996-10-14T23:33:28Z</dcterms:created>
  <dcterms:modified xsi:type="dcterms:W3CDTF">2026-08-10T04:52:36Z</dcterms:modified>
  <cp:contentStatus>Jul 4 2017</cp:contentStatus>
</cp:coreProperties>
</file>