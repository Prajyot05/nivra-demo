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_Personal\Finance\Investments\Nivra FinTech\Tools\Unprotected\"/>
    </mc:Choice>
  </mc:AlternateContent>
  <xr:revisionPtr revIDLastSave="0" documentId="8_{A343E53A-4B16-44BD-AF0E-F52BE17DF549}" xr6:coauthVersionLast="47" xr6:coauthVersionMax="47" xr10:uidLastSave="{00000000-0000-0000-0000-000000000000}"/>
  <bookViews>
    <workbookView xWindow="-108" yWindow="-108" windowWidth="23256" windowHeight="12456" tabRatio="716" xr2:uid="{00000000-000D-0000-FFFF-FFFF00000000}"/>
  </bookViews>
  <sheets>
    <sheet name="SIP Calculator" sheetId="23" r:id="rId1"/>
  </sheets>
  <functionGroups builtInGroupCount="19"/>
  <definedNames>
    <definedName name="_xleta.DATEVALUE" hidden="1" xlm="1">#NAME?</definedName>
    <definedName name="_xleta.FV" hidden="1" xlm="1">#NAME?</definedName>
    <definedName name="_xleta.IF" hidden="1" xlm="1">#NAME?</definedName>
    <definedName name="_xleta.MOD" hidden="1" xlm="1">#NAME?</definedName>
    <definedName name="_xleta.MONTH" hidden="1" xlm="1">#NAME?</definedName>
    <definedName name="_xleta.OFFSET" hidden="1" xlm="1">#NAME?</definedName>
    <definedName name="_xleta.QUOTIENT" hidden="1" xlm="1">#NAME?</definedName>
    <definedName name="_xleta.TODAY" hidden="1" xlm="1">#NAME?</definedName>
    <definedName name="DelayMonths">'SIP Calculator'!$C$16</definedName>
    <definedName name="InvestYears">'SIP Calculator'!$W$12</definedName>
    <definedName name="SIPDelayGraph" localSheetId="0">OFFSET('SIP Calculator'!$Q$6,0,0,'SIP Calculator'!$W$2,1)</definedName>
    <definedName name="SIPDelayInflationWB">OFFSET('SIP Calculator'!$Q$6,0,0,'SIP Calculator'!$W$2,1)</definedName>
    <definedName name="SIPFinalAmt" localSheetId="0">'SIP Calculator'!$C$10</definedName>
    <definedName name="SIPFullReturn" localSheetId="0">OFFSET('SIP Calculator'!$N$6,0,0,'SIP Calculator'!$W$2,1)</definedName>
    <definedName name="SIPFullReturnWB">OFFSET('SIP Calculator'!$N$6,0,0,'SIP Calculator'!$W$2,1)</definedName>
    <definedName name="SIPInflationRate" localSheetId="0">'SIP Calculator'!$C$13</definedName>
    <definedName name="SIPInflationRate">'SIP Calculator'!$C$13</definedName>
    <definedName name="SIPInflationReturn" localSheetId="0">OFFSET('SIP Calculator'!$O$6,0,0,'SIP Calculator'!$W$2,1)</definedName>
    <definedName name="SIPInflationReturnWB">OFFSET('SIP Calculator'!$O$6,0,0,'SIP Calculator'!$W$2,1)</definedName>
    <definedName name="SIPInvestmentGraph" localSheetId="0">OFFSET('SIP Calculator'!$M$6,0,0,'SIP Calculator'!$M$2,1)</definedName>
    <definedName name="SIPInvestmentGraphWB">OFFSET('SIP Calculator'!$M$6,0,0,'SIP Calculator'!$M$2,1)</definedName>
    <definedName name="SIPMonthlyPmt" localSheetId="0">'SIP Calculator'!$C$4</definedName>
    <definedName name="SIPMonths" localSheetId="0">'SIP Calculator'!$C$6</definedName>
    <definedName name="SIPYears">'SIP Calculator'!$C$6</definedName>
    <definedName name="SIPYield" localSheetId="0">'SIP Calculator'!$C$7</definedName>
    <definedName name="SRate">'SIP Calculator'!$M$1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38" i="23" l="1" a="1"/>
  <c r="P139" i="23" a="1"/>
  <c r="P140" i="23" a="1"/>
  <c r="P141" i="23" a="1"/>
  <c r="P142" i="23" a="1"/>
  <c r="P143" i="23" a="1"/>
  <c r="P144" i="23" a="1"/>
  <c r="P145" i="23" a="1"/>
  <c r="P146" i="23" a="1"/>
  <c r="P147" i="23" a="1"/>
  <c r="P148" i="23" a="1"/>
  <c r="P149" i="23" a="1"/>
  <c r="P150" i="23" a="1"/>
  <c r="P151" i="23" a="1"/>
  <c r="P152" i="23" a="1"/>
  <c r="P153" i="23" a="1"/>
  <c r="P154" i="23" a="1"/>
  <c r="P155" i="23" a="1"/>
  <c r="P156" i="23" a="1"/>
  <c r="P157" i="23" a="1"/>
  <c r="P158" i="23" a="1"/>
  <c r="P159" i="23" a="1"/>
  <c r="P160" i="23" a="1"/>
  <c r="P161" i="23" a="1"/>
  <c r="P162" i="23" a="1"/>
  <c r="P163" i="23" a="1"/>
  <c r="P164" i="23" a="1"/>
  <c r="P165" i="23" a="1"/>
  <c r="P166" i="23" a="1"/>
  <c r="P167" i="23" a="1"/>
  <c r="P168" i="23" a="1"/>
  <c r="P169" i="23" a="1"/>
  <c r="P170" i="23" a="1"/>
  <c r="P171" i="23" a="1"/>
  <c r="P172" i="23" a="1"/>
  <c r="P173" i="23" a="1"/>
  <c r="P174" i="23" a="1"/>
  <c r="P175" i="23" a="1"/>
  <c r="P176" i="23" a="1"/>
  <c r="P177" i="23" a="1"/>
  <c r="P178" i="23" a="1"/>
  <c r="P179" i="23" a="1"/>
  <c r="P180" i="23" a="1"/>
  <c r="P181" i="23" a="1"/>
  <c r="P182" i="23" a="1"/>
  <c r="P183" i="23" a="1"/>
  <c r="P184" i="23" a="1"/>
  <c r="P185" i="23" a="1"/>
  <c r="P186" i="23" a="1"/>
  <c r="P187" i="23" a="1"/>
  <c r="P188" i="23" a="1"/>
  <c r="P189" i="23" a="1"/>
  <c r="P190" i="23" a="1"/>
  <c r="P191" i="23" a="1"/>
  <c r="P192" i="23" a="1"/>
  <c r="P193" i="23" a="1"/>
  <c r="P194" i="23" a="1"/>
  <c r="P195" i="23" a="1"/>
  <c r="P196" i="23" a="1"/>
  <c r="P197" i="23" a="1"/>
  <c r="P198" i="23" a="1"/>
  <c r="P199" i="23" a="1"/>
  <c r="P200" i="23" a="1"/>
  <c r="P201" i="23" a="1"/>
  <c r="P202" i="23" a="1"/>
  <c r="P203" i="23" a="1"/>
  <c r="P204" i="23" a="1"/>
  <c r="P205" i="23" a="1"/>
  <c r="P206" i="23" a="1"/>
  <c r="P207" i="23" a="1"/>
  <c r="P208" i="23" a="1"/>
  <c r="P209" i="23" a="1"/>
  <c r="P210" i="23" a="1"/>
  <c r="P211" i="23" a="1"/>
  <c r="P212" i="23" a="1"/>
  <c r="P213" i="23" a="1"/>
  <c r="P214" i="23" a="1"/>
  <c r="P215" i="23" a="1"/>
  <c r="P216" i="23" a="1"/>
  <c r="P217" i="23" a="1"/>
  <c r="P218" i="23" a="1"/>
  <c r="P219" i="23" a="1"/>
  <c r="P220" i="23" a="1"/>
  <c r="P221" i="23" a="1"/>
  <c r="P222" i="23" a="1"/>
  <c r="P223" i="23" a="1"/>
  <c r="P224" i="23" a="1"/>
  <c r="P225" i="23" a="1"/>
  <c r="P226" i="23" a="1"/>
  <c r="P227" i="23" a="1"/>
  <c r="P228" i="23" a="1"/>
  <c r="P229" i="23" a="1"/>
  <c r="P230" i="23" a="1"/>
  <c r="P231" i="23" a="1"/>
  <c r="P232" i="23" a="1"/>
  <c r="P233" i="23" a="1"/>
  <c r="P234" i="23" a="1"/>
  <c r="P235" i="23" a="1"/>
  <c r="P236" i="23" a="1"/>
  <c r="P237" i="23" a="1"/>
  <c r="P238" i="23" a="1"/>
  <c r="P239" i="23" a="1"/>
  <c r="P240" i="23" a="1"/>
  <c r="P241" i="23" a="1"/>
  <c r="P242" i="23" a="1"/>
  <c r="P243" i="23" a="1"/>
  <c r="P244" i="23" a="1"/>
  <c r="P245" i="23" a="1"/>
  <c r="P246" i="23" a="1"/>
  <c r="P247" i="23" a="1"/>
  <c r="P248" i="23" a="1"/>
  <c r="P249" i="23" a="1"/>
  <c r="P250" i="23" a="1"/>
  <c r="P251" i="23" a="1"/>
  <c r="P252" i="23" a="1"/>
  <c r="P253" i="23" a="1"/>
  <c r="P254" i="23" a="1"/>
  <c r="P255" i="23" a="1"/>
  <c r="P256" i="23" a="1"/>
  <c r="P257" i="23" a="1"/>
  <c r="P258" i="23" a="1"/>
  <c r="P259" i="23" a="1"/>
  <c r="P260" i="23" a="1"/>
  <c r="P261" i="23" a="1"/>
  <c r="P262" i="23" a="1"/>
  <c r="P263" i="23" a="1"/>
  <c r="P264" i="23" a="1"/>
  <c r="P265" i="23" a="1"/>
  <c r="P266" i="23" a="1"/>
  <c r="P267" i="23" a="1"/>
  <c r="P268" i="23" a="1"/>
  <c r="P269" i="23" a="1"/>
  <c r="P270" i="23" a="1"/>
  <c r="P271" i="23" a="1"/>
  <c r="P272" i="23" a="1"/>
  <c r="P273" i="23" a="1"/>
  <c r="P274" i="23" a="1"/>
  <c r="P275" i="23" a="1"/>
  <c r="P276" i="23" a="1"/>
  <c r="P277" i="23" a="1"/>
  <c r="P278" i="23" a="1"/>
  <c r="P279" i="23" a="1"/>
  <c r="P280" i="23" a="1"/>
  <c r="P281" i="23" a="1"/>
  <c r="P282" i="23" a="1"/>
  <c r="P283" i="23" a="1"/>
  <c r="P284" i="23" a="1"/>
  <c r="P285" i="23" a="1"/>
  <c r="P286" i="23" a="1"/>
  <c r="P287" i="23" a="1"/>
  <c r="P288" i="23" a="1"/>
  <c r="P289" i="23" a="1"/>
  <c r="P290" i="23" a="1"/>
  <c r="P291" i="23" a="1"/>
  <c r="P292" i="23" a="1"/>
  <c r="P293" i="23" a="1"/>
  <c r="P294" i="23" a="1"/>
  <c r="P295" i="23" a="1"/>
  <c r="P296" i="23" a="1"/>
  <c r="P297" i="23" a="1"/>
  <c r="P298" i="23" a="1"/>
  <c r="P299" i="23" a="1"/>
  <c r="P300" i="23" a="1"/>
  <c r="P301" i="23" a="1"/>
  <c r="P302" i="23" a="1"/>
  <c r="P303" i="23" a="1"/>
  <c r="P304" i="23" a="1"/>
  <c r="P305" i="23" a="1"/>
  <c r="P306" i="23" a="1"/>
  <c r="P307" i="23" a="1"/>
  <c r="P308" i="23" a="1"/>
  <c r="P309" i="23" a="1"/>
  <c r="P310" i="23" a="1"/>
  <c r="P311" i="23" a="1"/>
  <c r="P312" i="23" a="1"/>
  <c r="P313" i="23" a="1"/>
  <c r="P314" i="23" a="1"/>
  <c r="P315" i="23" a="1"/>
  <c r="P316" i="23" a="1"/>
  <c r="P317" i="23" a="1"/>
  <c r="P318" i="23" a="1"/>
  <c r="P319" i="23" a="1"/>
  <c r="P320" i="23" a="1"/>
  <c r="P321" i="23" a="1"/>
  <c r="P322" i="23" a="1"/>
  <c r="P323" i="23" a="1"/>
  <c r="P324" i="23" a="1"/>
  <c r="P325" i="23" a="1"/>
  <c r="P326" i="23" a="1"/>
  <c r="P327" i="23" a="1"/>
  <c r="P328" i="23" a="1"/>
  <c r="P329" i="23" a="1"/>
  <c r="P330" i="23" a="1"/>
  <c r="P331" i="23" a="1"/>
  <c r="P332" i="23" a="1"/>
  <c r="P333" i="23" a="1"/>
  <c r="P334" i="23" a="1"/>
  <c r="P335" i="23" a="1"/>
  <c r="P336" i="23" a="1"/>
  <c r="P337" i="23" a="1"/>
  <c r="P338" i="23" a="1"/>
  <c r="P339" i="23" a="1"/>
  <c r="P340" i="23" a="1"/>
  <c r="P341" i="23" a="1"/>
  <c r="P342" i="23" a="1"/>
  <c r="P343" i="23" a="1"/>
  <c r="P344" i="23" a="1"/>
  <c r="P345" i="23" a="1"/>
  <c r="P346" i="23" a="1"/>
  <c r="P347" i="23" a="1"/>
  <c r="P348" i="23" a="1"/>
  <c r="P349" i="23" a="1"/>
  <c r="P350" i="23" a="1"/>
  <c r="P351" i="23" a="1"/>
  <c r="P352" i="23" a="1"/>
  <c r="P353" i="23" a="1"/>
  <c r="P354" i="23" a="1"/>
  <c r="P355" i="23" a="1"/>
  <c r="P356" i="23" a="1"/>
  <c r="P357" i="23" a="1"/>
  <c r="P358" i="23" a="1"/>
  <c r="P359" i="23" a="1"/>
  <c r="P360" i="23" a="1"/>
  <c r="P361" i="23" a="1"/>
  <c r="P362" i="23" a="1"/>
  <c r="P363" i="23" a="1"/>
  <c r="P364" i="23" a="1"/>
  <c r="P365" i="23" a="1"/>
  <c r="P366" i="23" a="1"/>
  <c r="P367" i="23" a="1"/>
  <c r="P368" i="23" a="1"/>
  <c r="P369" i="23" a="1"/>
  <c r="P370" i="23" a="1"/>
  <c r="P371" i="23" a="1"/>
  <c r="P372" i="23" a="1"/>
  <c r="P373" i="23" a="1"/>
  <c r="P374" i="23" a="1"/>
  <c r="P375" i="23" a="1"/>
  <c r="P376" i="23" a="1"/>
  <c r="P377" i="23" a="1"/>
  <c r="P378" i="23" a="1"/>
  <c r="P379" i="23" a="1"/>
  <c r="P380" i="23" a="1"/>
  <c r="P381" i="23" a="1"/>
  <c r="P382" i="23" a="1"/>
  <c r="P383" i="23" a="1"/>
  <c r="P384" i="23" a="1"/>
  <c r="P385" i="23" a="1"/>
  <c r="P386" i="23" a="1"/>
  <c r="P387" i="23" a="1"/>
  <c r="P388" i="23" a="1"/>
  <c r="P389" i="23" a="1"/>
  <c r="P390" i="23" a="1"/>
  <c r="P391" i="23" a="1"/>
  <c r="P392" i="23" a="1"/>
  <c r="P393" i="23" a="1"/>
  <c r="P394" i="23" a="1"/>
  <c r="P395" i="23" a="1"/>
  <c r="P396" i="23" a="1"/>
  <c r="P397" i="23" a="1"/>
  <c r="P398" i="23" a="1"/>
  <c r="P399" i="23" a="1"/>
  <c r="P400" i="23" a="1"/>
  <c r="P401" i="23" a="1"/>
  <c r="P402" i="23" a="1"/>
  <c r="P403" i="23" a="1"/>
  <c r="P404" i="23" a="1"/>
  <c r="P405" i="23" a="1"/>
  <c r="P406" i="23" a="1"/>
  <c r="P407" i="23" a="1"/>
  <c r="P408" i="23" a="1"/>
  <c r="P409" i="23" a="1"/>
  <c r="P410" i="23" a="1"/>
  <c r="P411" i="23" a="1"/>
  <c r="P412" i="23" a="1"/>
  <c r="P413" i="23" a="1"/>
  <c r="P414" i="23" a="1"/>
  <c r="P415" i="23" a="1"/>
  <c r="P416" i="23" a="1"/>
  <c r="P417" i="23" a="1"/>
  <c r="P418" i="23" a="1"/>
  <c r="P419" i="23" a="1"/>
  <c r="P420" i="23" a="1"/>
  <c r="P421" i="23" a="1"/>
  <c r="P422" i="23" a="1"/>
  <c r="P423" i="23" a="1"/>
  <c r="P424" i="23" a="1"/>
  <c r="P425" i="23" a="1"/>
  <c r="P426" i="23" a="1"/>
  <c r="P427" i="23" a="1"/>
  <c r="P428" i="23" a="1"/>
  <c r="P429" i="23" a="1"/>
  <c r="P430" i="23" a="1"/>
  <c r="P431" i="23" a="1"/>
  <c r="P432" i="23" a="1"/>
  <c r="P433" i="23" a="1"/>
  <c r="P434" i="23" a="1"/>
  <c r="P435" i="23" a="1"/>
  <c r="P436" i="23" a="1"/>
  <c r="P437" i="23" a="1"/>
  <c r="P438" i="23" a="1"/>
  <c r="P439" i="23" a="1"/>
  <c r="P440" i="23" a="1"/>
  <c r="P441" i="23" a="1"/>
  <c r="P442" i="23" a="1"/>
  <c r="P443" i="23" a="1"/>
  <c r="P444" i="23" a="1"/>
  <c r="P445" i="23" a="1"/>
  <c r="P446" i="23" a="1"/>
  <c r="P447" i="23" a="1"/>
  <c r="P448" i="23" a="1"/>
  <c r="P449" i="23" a="1"/>
  <c r="P450" i="23" a="1"/>
  <c r="P451" i="23" a="1"/>
  <c r="P452" i="23" a="1"/>
  <c r="P453" i="23" a="1"/>
  <c r="P454" i="23" a="1"/>
  <c r="P455" i="23" a="1"/>
  <c r="P456" i="23" a="1"/>
  <c r="P457" i="23" a="1"/>
  <c r="P458" i="23" a="1"/>
  <c r="P459" i="23" a="1"/>
  <c r="P460" i="23" a="1"/>
  <c r="P461" i="23" a="1"/>
  <c r="P462" i="23" a="1"/>
  <c r="P463" i="23" a="1"/>
  <c r="P464" i="23" a="1"/>
  <c r="P465" i="23" a="1"/>
  <c r="P466" i="23" a="1"/>
  <c r="P467" i="23" a="1"/>
  <c r="P468" i="23" a="1"/>
  <c r="P469" i="23" a="1"/>
  <c r="P470" i="23" a="1"/>
  <c r="P471" i="23" a="1"/>
  <c r="P472" i="23" a="1"/>
  <c r="P473" i="23" a="1"/>
  <c r="P474" i="23" a="1"/>
  <c r="P475" i="23" a="1"/>
  <c r="P476" i="23" a="1"/>
  <c r="P477" i="23" a="1"/>
  <c r="P478" i="23" a="1"/>
  <c r="P479" i="23" a="1"/>
  <c r="P480" i="23" a="1"/>
  <c r="P481" i="23" a="1"/>
  <c r="P482" i="23" a="1"/>
  <c r="P483" i="23" a="1"/>
  <c r="P484" i="23" a="1"/>
  <c r="P485" i="23" a="1"/>
  <c r="P486" i="23" a="1"/>
  <c r="P487" i="23" a="1"/>
  <c r="P488" i="23" a="1"/>
  <c r="P489" i="23" a="1"/>
  <c r="P490" i="23" a="1"/>
  <c r="P491" i="23" a="1"/>
  <c r="P492" i="23" a="1"/>
  <c r="P493" i="23" a="1"/>
  <c r="P494" i="23" a="1"/>
  <c r="P495" i="23" a="1"/>
  <c r="P496" i="23" a="1"/>
  <c r="P497" i="23" a="1"/>
  <c r="P498" i="23" a="1"/>
  <c r="P499" i="23" a="1"/>
  <c r="P500" i="23" a="1"/>
  <c r="P501" i="23" a="1"/>
  <c r="P502" i="23" a="1"/>
  <c r="P503" i="23" a="1"/>
  <c r="P504" i="23" a="1"/>
  <c r="P505" i="23" a="1"/>
  <c r="P506" i="23" a="1"/>
  <c r="P507" i="23" a="1"/>
  <c r="P508" i="23" a="1"/>
  <c r="P509" i="23" a="1"/>
  <c r="P510" i="23" a="1"/>
  <c r="P511" i="23" a="1"/>
  <c r="P512" i="23" a="1"/>
  <c r="P513" i="23" a="1"/>
  <c r="P514" i="23" a="1"/>
  <c r="P515" i="23" a="1"/>
  <c r="P516" i="23" a="1"/>
  <c r="P517" i="23" a="1"/>
  <c r="P518" i="23" a="1"/>
  <c r="P519" i="23" a="1"/>
  <c r="P520" i="23" a="1"/>
  <c r="P521" i="23" a="1"/>
  <c r="P522" i="23" a="1"/>
  <c r="P523" i="23" a="1"/>
  <c r="P524" i="23" a="1"/>
  <c r="P525" i="23" a="1"/>
  <c r="P526" i="23" a="1"/>
  <c r="P527" i="23" a="1"/>
  <c r="P528" i="23" a="1"/>
  <c r="P529" i="23" a="1"/>
  <c r="P530" i="23" a="1"/>
  <c r="P531" i="23" a="1"/>
  <c r="P532" i="23" a="1"/>
  <c r="P533" i="23" a="1"/>
  <c r="P534" i="23" a="1"/>
  <c r="P535" i="23" a="1"/>
  <c r="P536" i="23" a="1"/>
  <c r="P537" i="23" a="1"/>
  <c r="P538" i="23" a="1"/>
  <c r="P539" i="23" a="1"/>
  <c r="P540" i="23" a="1"/>
  <c r="P541" i="23" a="1"/>
  <c r="P542" i="23" a="1"/>
  <c r="P543" i="23" a="1"/>
  <c r="P544" i="23" a="1"/>
  <c r="P545" i="23" a="1"/>
  <c r="P546" i="23" a="1"/>
  <c r="P547" i="23" a="1"/>
  <c r="P548" i="23" a="1"/>
  <c r="P549" i="23" a="1"/>
  <c r="P550" i="23" a="1"/>
  <c r="P551" i="23" a="1"/>
  <c r="P552" i="23" a="1"/>
  <c r="P553" i="23" a="1"/>
  <c r="P554" i="23" a="1"/>
  <c r="P555" i="23" a="1"/>
  <c r="P556" i="23" a="1"/>
  <c r="P557" i="23" a="1"/>
  <c r="P558" i="23" a="1"/>
  <c r="P559" i="23" a="1"/>
  <c r="P560" i="23" a="1"/>
  <c r="P561" i="23" a="1"/>
  <c r="P562" i="23" a="1"/>
  <c r="P563" i="23" a="1"/>
  <c r="P564" i="23" a="1"/>
  <c r="P565" i="23" a="1"/>
  <c r="P566" i="23" a="1"/>
  <c r="P567" i="23" a="1"/>
  <c r="P568" i="23" a="1"/>
  <c r="P569" i="23" a="1"/>
  <c r="P570" i="23" a="1"/>
  <c r="P571" i="23" a="1"/>
  <c r="P572" i="23" a="1"/>
  <c r="P573" i="23" a="1"/>
  <c r="P574" i="23" a="1"/>
  <c r="P575" i="23" a="1"/>
  <c r="P576" i="23" a="1"/>
  <c r="P577" i="23" a="1"/>
  <c r="P578" i="23" a="1"/>
  <c r="P579" i="23" a="1"/>
  <c r="P580" i="23" a="1"/>
  <c r="P581" i="23" a="1"/>
  <c r="P582" i="23" a="1"/>
  <c r="P583" i="23" a="1"/>
  <c r="P584" i="23" a="1"/>
  <c r="P585" i="23" a="1"/>
  <c r="P586" i="23" a="1"/>
  <c r="P587" i="23" a="1"/>
  <c r="P588" i="23" a="1"/>
  <c r="P589" i="23" a="1"/>
  <c r="P590" i="23" a="1"/>
  <c r="P591" i="23" a="1"/>
  <c r="P592" i="23" a="1"/>
  <c r="P593" i="23" a="1"/>
  <c r="P594" i="23" a="1"/>
  <c r="P595" i="23" a="1"/>
  <c r="P596" i="23" a="1"/>
  <c r="P597" i="23" a="1"/>
  <c r="P598" i="23" a="1"/>
  <c r="P599" i="23" a="1"/>
  <c r="P600" i="23" a="1"/>
  <c r="P601" i="23" a="1"/>
  <c r="P602" i="23" a="1"/>
  <c r="P603" i="23" a="1"/>
  <c r="P604" i="23" a="1"/>
  <c r="P605" i="23" a="1"/>
  <c r="P606" i="23" a="1"/>
  <c r="P607" i="23" a="1"/>
  <c r="P608" i="23" a="1"/>
  <c r="P609" i="23" a="1"/>
  <c r="P610" i="23" a="1"/>
  <c r="P611" i="23" a="1"/>
  <c r="P612" i="23" a="1"/>
  <c r="P613" i="23" a="1"/>
  <c r="P614" i="23" a="1"/>
  <c r="P615" i="23" a="1"/>
  <c r="P616" i="23" a="1"/>
  <c r="P617" i="23" a="1"/>
  <c r="P618" i="23" a="1"/>
  <c r="P619" i="23" a="1"/>
  <c r="P620" i="23" a="1"/>
  <c r="P621" i="23" a="1"/>
  <c r="P622" i="23" a="1"/>
  <c r="P623" i="23" a="1"/>
  <c r="P624" i="23" a="1"/>
  <c r="P625" i="23" a="1"/>
  <c r="P626" i="23" a="1"/>
  <c r="P627" i="23" a="1"/>
  <c r="P628" i="23" a="1"/>
  <c r="P629" i="23" a="1"/>
  <c r="P630" i="23" a="1"/>
  <c r="P631" i="23" a="1"/>
  <c r="P632" i="23" a="1"/>
  <c r="P633" i="23" a="1"/>
  <c r="P634" i="23" a="1"/>
  <c r="P635" i="23" a="1"/>
  <c r="P636" i="23" a="1"/>
  <c r="P637" i="23" a="1"/>
  <c r="P638" i="23" a="1"/>
  <c r="P639" i="23" a="1"/>
  <c r="P640" i="23" a="1"/>
  <c r="P641" i="23" a="1"/>
  <c r="P642" i="23" a="1"/>
  <c r="P643" i="23" a="1"/>
  <c r="P644" i="23" a="1"/>
  <c r="P645" i="23" a="1"/>
  <c r="P646" i="23" a="1"/>
  <c r="P647" i="23" a="1"/>
  <c r="P648" i="23" a="1"/>
  <c r="P649" i="23" a="1"/>
  <c r="P650" i="23" a="1"/>
  <c r="P651" i="23" a="1"/>
  <c r="P652" i="23" a="1"/>
  <c r="P653" i="23" a="1"/>
  <c r="P654" i="23" a="1"/>
  <c r="P655" i="23" a="1"/>
  <c r="P656" i="23" a="1"/>
  <c r="P657" i="23" a="1"/>
  <c r="P658" i="23" a="1"/>
  <c r="P659" i="23" a="1"/>
  <c r="P660" i="23" a="1"/>
  <c r="P661" i="23" a="1"/>
  <c r="P662" i="23" a="1"/>
  <c r="P663" i="23" a="1"/>
  <c r="P664" i="23" a="1"/>
  <c r="P665" i="23" a="1"/>
  <c r="P666" i="23" a="1"/>
  <c r="P667" i="23" a="1"/>
  <c r="P668" i="23" a="1"/>
  <c r="P669" i="23" a="1"/>
  <c r="P670" i="23" a="1"/>
  <c r="P671" i="23" a="1"/>
  <c r="P672" i="23" a="1"/>
  <c r="P673" i="23" a="1"/>
  <c r="P674" i="23" a="1"/>
  <c r="P675" i="23" a="1"/>
  <c r="P676" i="23" a="1"/>
  <c r="P677" i="23" a="1"/>
  <c r="P678" i="23" a="1"/>
  <c r="P679" i="23" a="1"/>
  <c r="P680" i="23" a="1"/>
  <c r="P681" i="23" a="1"/>
  <c r="P682" i="23" a="1"/>
  <c r="P683" i="23" a="1"/>
  <c r="P684" i="23" a="1"/>
  <c r="P685" i="23" a="1"/>
  <c r="P686" i="23" a="1"/>
  <c r="P687" i="23" a="1"/>
  <c r="P688" i="23" a="1"/>
  <c r="P689" i="23" a="1"/>
  <c r="P690" i="23" a="1"/>
  <c r="P691" i="23" a="1"/>
  <c r="P692" i="23" a="1"/>
  <c r="P693" i="23" a="1"/>
  <c r="P694" i="23" a="1"/>
  <c r="P695" i="23" a="1"/>
  <c r="P696" i="23" a="1"/>
  <c r="P697" i="23" a="1"/>
  <c r="P698" i="23" a="1"/>
  <c r="P699" i="23" a="1"/>
  <c r="P700" i="23" a="1"/>
  <c r="P701" i="23" a="1"/>
  <c r="P702" i="23" a="1"/>
  <c r="P703" i="23" a="1"/>
  <c r="P704" i="23" a="1"/>
  <c r="P705" i="23" a="1"/>
  <c r="P706" i="23" a="1"/>
  <c r="P707" i="23" a="1"/>
  <c r="P708" i="23" a="1"/>
  <c r="P709" i="23" a="1"/>
  <c r="P710" i="23" a="1"/>
  <c r="P711" i="23" a="1"/>
  <c r="P712" i="23" a="1"/>
  <c r="P713" i="23" a="1"/>
  <c r="P714" i="23" a="1"/>
  <c r="P715" i="23" a="1"/>
  <c r="P716" i="23" a="1"/>
  <c r="P717" i="23" a="1"/>
  <c r="P718" i="23" a="1"/>
  <c r="P719" i="23" a="1"/>
  <c r="P720" i="23" a="1"/>
  <c r="P721" i="23" a="1"/>
  <c r="P722" i="23" a="1"/>
  <c r="P723" i="23" a="1"/>
  <c r="P724" i="23" a="1"/>
  <c r="P725" i="23" a="1"/>
  <c r="P726" i="23" a="1"/>
  <c r="P727" i="23" a="1"/>
  <c r="P728" i="23" a="1"/>
  <c r="P729" i="23" a="1"/>
  <c r="P730" i="23" a="1"/>
  <c r="P731" i="23" a="1"/>
  <c r="P732" i="23" a="1"/>
  <c r="P733" i="23" a="1"/>
  <c r="P734" i="23" a="1"/>
  <c r="P735" i="23" a="1"/>
  <c r="P736" i="23" a="1"/>
  <c r="P737" i="23" a="1"/>
  <c r="P738" i="23" a="1"/>
  <c r="P739" i="23" a="1"/>
  <c r="P740" i="23" a="1"/>
  <c r="P741" i="23" a="1"/>
  <c r="P742" i="23" a="1"/>
  <c r="P743" i="23" a="1"/>
  <c r="P744" i="23" a="1"/>
  <c r="P745" i="23" a="1"/>
  <c r="P746" i="23" a="1"/>
  <c r="P747" i="23" a="1"/>
  <c r="P748" i="23" a="1"/>
  <c r="P749" i="23" a="1"/>
  <c r="P750" i="23" a="1"/>
  <c r="P751" i="23" a="1"/>
  <c r="P752" i="23" a="1"/>
  <c r="P753" i="23" a="1"/>
  <c r="P754" i="23" a="1"/>
  <c r="P755" i="23" a="1"/>
  <c r="P756" i="23" a="1"/>
  <c r="P757" i="23" a="1"/>
  <c r="P758" i="23" a="1"/>
  <c r="P759" i="23" a="1"/>
  <c r="P760" i="23" a="1"/>
  <c r="P761" i="23" a="1"/>
  <c r="P762" i="23" a="1"/>
  <c r="P763" i="23" a="1"/>
  <c r="P764" i="23" a="1"/>
  <c r="P765" i="23" a="1"/>
  <c r="P766" i="23" a="1"/>
  <c r="P767" i="23" a="1"/>
  <c r="P768" i="23" a="1"/>
  <c r="P769" i="23" a="1"/>
  <c r="P770" i="23" a="1"/>
  <c r="P771" i="23" a="1"/>
  <c r="P772" i="23" a="1"/>
  <c r="P773" i="23" a="1"/>
  <c r="P774" i="23" a="1"/>
  <c r="P775" i="23" a="1"/>
  <c r="P776" i="23" a="1"/>
  <c r="P777" i="23" a="1"/>
  <c r="P778" i="23" a="1"/>
  <c r="P779" i="23" a="1"/>
  <c r="P780" i="23" a="1"/>
  <c r="P781" i="23" a="1"/>
  <c r="P782" i="23" a="1"/>
  <c r="P783" i="23" a="1"/>
  <c r="P784" i="23" a="1"/>
  <c r="P785" i="23" a="1"/>
  <c r="P786" i="23" a="1"/>
  <c r="P787" i="23" a="1"/>
  <c r="P788" i="23" a="1"/>
  <c r="P789" i="23" a="1"/>
  <c r="P790" i="23" a="1"/>
  <c r="P791" i="23" a="1"/>
  <c r="P792" i="23" a="1"/>
  <c r="P793" i="23" a="1"/>
  <c r="P794" i="23" a="1"/>
  <c r="P795" i="23" a="1"/>
  <c r="P796" i="23" a="1"/>
  <c r="P797" i="23" a="1"/>
  <c r="P798" i="23" a="1"/>
  <c r="P799" i="23" a="1"/>
  <c r="P800" i="23" a="1"/>
  <c r="P801" i="23" a="1"/>
  <c r="P802" i="23" a="1"/>
  <c r="P803" i="23" a="1"/>
  <c r="P804" i="23" a="1"/>
  <c r="P805" i="23" a="1"/>
  <c r="P806" i="23" a="1"/>
  <c r="P807" i="23" a="1"/>
  <c r="P808" i="23" a="1"/>
  <c r="P809" i="23" a="1"/>
  <c r="P810" i="23" a="1"/>
  <c r="P811" i="23" a="1"/>
  <c r="P812" i="23" a="1"/>
  <c r="P813" i="23" a="1"/>
  <c r="P814" i="23" a="1"/>
  <c r="P815" i="23" a="1"/>
  <c r="P816" i="23" a="1"/>
  <c r="P817" i="23" a="1"/>
  <c r="P818" i="23" a="1"/>
  <c r="P819" i="23" a="1"/>
  <c r="P820" i="23" a="1"/>
  <c r="P821" i="23" a="1"/>
  <c r="P822" i="23" a="1"/>
  <c r="P823" i="23" a="1"/>
  <c r="P824" i="23" a="1"/>
  <c r="P825" i="23" a="1"/>
  <c r="P826" i="23" a="1"/>
  <c r="P827" i="23" a="1"/>
  <c r="P828" i="23" a="1"/>
  <c r="P829" i="23" a="1"/>
  <c r="P830" i="23" a="1"/>
  <c r="P831" i="23" a="1"/>
  <c r="P832" i="23" a="1"/>
  <c r="P833" i="23" a="1"/>
  <c r="P834" i="23" a="1"/>
  <c r="P835" i="23" a="1"/>
  <c r="P836" i="23" a="1"/>
  <c r="P837" i="23" a="1"/>
  <c r="P838" i="23" a="1"/>
  <c r="P839" i="23" a="1"/>
  <c r="P840" i="23" a="1"/>
  <c r="P841" i="23" a="1"/>
  <c r="P842" i="23" a="1"/>
  <c r="P843" i="23" a="1"/>
  <c r="P844" i="23" a="1"/>
  <c r="P845" i="23" a="1"/>
  <c r="P846" i="23" a="1"/>
  <c r="P847" i="23" a="1"/>
  <c r="P848" i="23" a="1"/>
  <c r="P849" i="23" a="1"/>
  <c r="P850" i="23" a="1"/>
  <c r="P851" i="23" a="1"/>
  <c r="P852" i="23" a="1"/>
  <c r="P853" i="23" a="1"/>
  <c r="P854" i="23" a="1"/>
  <c r="P855" i="23" a="1"/>
  <c r="P856" i="23" a="1"/>
  <c r="P857" i="23" a="1"/>
  <c r="P858" i="23" a="1"/>
  <c r="P859" i="23" a="1"/>
  <c r="P860" i="23" a="1"/>
  <c r="P861" i="23" a="1"/>
  <c r="P862" i="23" a="1"/>
  <c r="P863" i="23" a="1"/>
  <c r="P864" i="23" a="1"/>
  <c r="P865" i="23" a="1"/>
  <c r="P866" i="23" a="1"/>
  <c r="P867" i="23" a="1"/>
  <c r="P868" i="23" a="1"/>
  <c r="P869" i="23" a="1"/>
  <c r="P870" i="23" a="1"/>
  <c r="P871" i="23" a="1"/>
  <c r="P872" i="23" a="1"/>
  <c r="P873" i="23" a="1"/>
  <c r="P874" i="23" a="1"/>
  <c r="P875" i="23" a="1"/>
  <c r="P876" i="23" a="1"/>
  <c r="P877" i="23" a="1"/>
  <c r="P878" i="23" a="1"/>
  <c r="P879" i="23" a="1"/>
  <c r="P880" i="23" a="1"/>
  <c r="P881" i="23" a="1"/>
  <c r="P882" i="23" a="1"/>
  <c r="P883" i="23" a="1"/>
  <c r="P884" i="23" a="1"/>
  <c r="P885" i="23" a="1"/>
  <c r="P886" i="23" a="1"/>
  <c r="P887" i="23" a="1"/>
  <c r="P888" i="23" a="1"/>
  <c r="P889" i="23" a="1"/>
  <c r="P890" i="23" a="1"/>
  <c r="P891" i="23" a="1"/>
  <c r="P892" i="23" a="1"/>
  <c r="P893" i="23" a="1"/>
  <c r="P894" i="23" a="1"/>
  <c r="P895" i="23" a="1"/>
  <c r="P896" i="23" a="1"/>
  <c r="P897" i="23" a="1"/>
  <c r="P898" i="23" a="1"/>
  <c r="P899" i="23" a="1"/>
  <c r="P900" i="23" a="1"/>
  <c r="P901" i="23" a="1"/>
  <c r="P902" i="23" a="1"/>
  <c r="P903" i="23" a="1"/>
  <c r="P904" i="23" a="1"/>
  <c r="P905" i="23" a="1"/>
  <c r="P906" i="23" a="1"/>
  <c r="P907" i="23" a="1"/>
  <c r="P908" i="23" a="1"/>
  <c r="P909" i="23" a="1"/>
  <c r="P910" i="23" a="1"/>
  <c r="P911" i="23" a="1"/>
  <c r="P912" i="23" a="1"/>
  <c r="P913" i="23" a="1"/>
  <c r="P914" i="23" a="1"/>
  <c r="P915" i="23" a="1"/>
  <c r="P916" i="23" a="1"/>
  <c r="P917" i="23" a="1"/>
  <c r="P918" i="23" a="1"/>
  <c r="P919" i="23" a="1"/>
  <c r="P920" i="23" a="1"/>
  <c r="P921" i="23" a="1"/>
  <c r="P922" i="23" a="1"/>
  <c r="P923" i="23" a="1"/>
  <c r="P924" i="23" a="1"/>
  <c r="P925" i="23" a="1"/>
  <c r="P926" i="23" a="1"/>
  <c r="P927" i="23" a="1"/>
  <c r="P928" i="23" a="1"/>
  <c r="P929" i="23" a="1"/>
  <c r="P930" i="23" a="1"/>
  <c r="P931" i="23" a="1"/>
  <c r="P932" i="23" a="1"/>
  <c r="P933" i="23" a="1"/>
  <c r="P934" i="23" a="1"/>
  <c r="P935" i="23" a="1"/>
  <c r="P936" i="23" a="1"/>
  <c r="P937" i="23" a="1"/>
  <c r="P938" i="23" a="1"/>
  <c r="P939" i="23" a="1"/>
  <c r="P940" i="23" a="1"/>
  <c r="P941" i="23" a="1"/>
  <c r="P942" i="23" a="1"/>
  <c r="P943" i="23" a="1"/>
  <c r="P944" i="23" a="1"/>
  <c r="P945" i="23" a="1"/>
  <c r="P946" i="23" a="1"/>
  <c r="P947" i="23" a="1"/>
  <c r="P948" i="23" a="1"/>
  <c r="P949" i="23" a="1"/>
  <c r="P950" i="23" a="1"/>
  <c r="P951" i="23" a="1"/>
  <c r="P952" i="23" a="1"/>
  <c r="P953" i="23" a="1"/>
  <c r="P954" i="23" a="1"/>
  <c r="P955" i="23" a="1"/>
  <c r="P956" i="23" a="1"/>
  <c r="P957" i="23" a="1"/>
  <c r="P958" i="23" a="1"/>
  <c r="P959" i="23" a="1"/>
  <c r="P960" i="23" a="1"/>
  <c r="P961" i="23" a="1"/>
  <c r="P962" i="23" a="1"/>
  <c r="P963" i="23" a="1"/>
  <c r="P964" i="23" a="1"/>
  <c r="P965" i="23" a="1"/>
  <c r="P966" i="23" a="1"/>
  <c r="P967" i="23" a="1"/>
  <c r="P968" i="23" a="1"/>
  <c r="P969" i="23" a="1"/>
  <c r="P970" i="23" a="1"/>
  <c r="P971" i="23" a="1"/>
  <c r="P972" i="23" a="1"/>
  <c r="P973" i="23" a="1"/>
  <c r="P974" i="23" a="1"/>
  <c r="P975" i="23" a="1"/>
  <c r="P976" i="23" a="1"/>
  <c r="P977" i="23" a="1"/>
  <c r="P978" i="23" a="1"/>
  <c r="P979" i="23" a="1"/>
  <c r="P980" i="23" a="1"/>
  <c r="P981" i="23" a="1"/>
  <c r="P982" i="23" a="1"/>
  <c r="P983" i="23" a="1"/>
  <c r="P984" i="23" a="1"/>
  <c r="P985" i="23" a="1"/>
  <c r="P986" i="23" a="1"/>
  <c r="P987" i="23" a="1"/>
  <c r="P988" i="23" a="1"/>
  <c r="P989" i="23" a="1"/>
  <c r="P990" i="23" a="1"/>
  <c r="P991" i="23" a="1"/>
  <c r="P992" i="23" a="1"/>
  <c r="P993" i="23" a="1"/>
  <c r="P994" i="23" a="1"/>
  <c r="P995" i="23" a="1"/>
  <c r="P996" i="23" a="1"/>
  <c r="P997" i="23" a="1"/>
  <c r="P998" i="23" a="1"/>
  <c r="P999" i="23" a="1"/>
  <c r="P1000" i="23" a="1"/>
  <c r="P1001" i="23" a="1"/>
  <c r="P1002" i="23" a="1"/>
  <c r="P1003" i="23" a="1"/>
  <c r="P1004" i="23" a="1"/>
  <c r="P1005" i="23" a="1"/>
  <c r="P1006" i="23" a="1"/>
  <c r="P1007" i="23" a="1"/>
  <c r="P1008" i="23" a="1"/>
  <c r="P1009" i="23" a="1"/>
  <c r="P1010" i="23" a="1"/>
  <c r="P1011" i="23" a="1"/>
  <c r="P1012" i="23" a="1"/>
  <c r="P1013" i="23" a="1"/>
  <c r="P1014" i="23" a="1"/>
  <c r="P1015" i="23" a="1"/>
  <c r="P1016" i="23" a="1"/>
  <c r="P1017" i="23" a="1"/>
  <c r="P1018" i="23" a="1"/>
  <c r="P1019" i="23" a="1"/>
  <c r="P1020" i="23" a="1"/>
  <c r="P1021" i="23" a="1"/>
  <c r="P1022" i="23" a="1"/>
  <c r="P1023" i="23" a="1"/>
  <c r="P1024" i="23" a="1"/>
  <c r="P1025" i="23" a="1"/>
  <c r="P1026" i="23" a="1"/>
  <c r="P1027" i="23" a="1"/>
  <c r="P1028" i="23" a="1"/>
  <c r="P1029" i="23" a="1"/>
  <c r="P1030" i="23" a="1"/>
  <c r="P1031" i="23" a="1"/>
  <c r="P1032" i="23" a="1"/>
  <c r="P1033" i="23" a="1"/>
  <c r="P1034" i="23" a="1"/>
  <c r="P1035" i="23" a="1"/>
  <c r="P1036" i="23" a="1"/>
  <c r="P1037" i="23" a="1"/>
  <c r="P1038" i="23" a="1"/>
  <c r="P1039" i="23" a="1"/>
  <c r="P1040" i="23" a="1"/>
  <c r="P1041" i="23" a="1"/>
  <c r="P1042" i="23" a="1"/>
  <c r="P1043" i="23" a="1"/>
  <c r="P1044" i="23" a="1"/>
  <c r="P1045" i="23" a="1"/>
  <c r="P1046" i="23" a="1"/>
  <c r="P1047" i="23" a="1"/>
  <c r="P1048" i="23" a="1"/>
  <c r="P1049" i="23" a="1"/>
  <c r="P1050" i="23" a="1"/>
  <c r="P1051" i="23" a="1"/>
  <c r="P1052" i="23" a="1"/>
  <c r="P1053" i="23" a="1"/>
  <c r="P1054" i="23" a="1"/>
  <c r="P1055" i="23" a="1"/>
  <c r="P1056" i="23" a="1"/>
  <c r="P1057" i="23" a="1"/>
  <c r="P1058" i="23" a="1"/>
  <c r="P1059" i="23" a="1"/>
  <c r="P1060" i="23" a="1"/>
  <c r="P1061" i="23" a="1"/>
  <c r="P1062" i="23" a="1"/>
  <c r="P1063" i="23" a="1"/>
  <c r="P1064" i="23" a="1"/>
  <c r="P1065" i="23" a="1"/>
  <c r="P1066" i="23" a="1"/>
  <c r="P1067" i="23" a="1"/>
  <c r="P1068" i="23" a="1"/>
  <c r="P1069" i="23" a="1"/>
  <c r="P1070" i="23" a="1"/>
  <c r="P1071" i="23" a="1"/>
  <c r="P1072" i="23" a="1"/>
  <c r="P1073" i="23" a="1"/>
  <c r="P1074" i="23" a="1"/>
  <c r="P1075" i="23" a="1"/>
  <c r="P1076" i="23" a="1"/>
  <c r="P1077" i="23" a="1"/>
  <c r="P1078" i="23" a="1"/>
  <c r="P1079" i="23" a="1"/>
  <c r="P1080" i="23" a="1"/>
  <c r="P1081" i="23" a="1"/>
  <c r="P1082" i="23" a="1"/>
  <c r="P1083" i="23" a="1"/>
  <c r="P1084" i="23" a="1"/>
  <c r="P1085" i="23" a="1"/>
  <c r="P1086" i="23" a="1"/>
  <c r="P1087" i="23" a="1"/>
  <c r="P1088" i="23" a="1"/>
  <c r="P1089" i="23" a="1"/>
  <c r="P1090" i="23" a="1"/>
  <c r="P1091" i="23" a="1"/>
  <c r="P1092" i="23" a="1"/>
  <c r="P1093" i="23" a="1"/>
  <c r="P1094" i="23" a="1"/>
  <c r="P1095" i="23" a="1"/>
  <c r="P1096" i="23" a="1"/>
  <c r="P1097" i="23" a="1"/>
  <c r="P1098" i="23" a="1"/>
  <c r="P1099" i="23" a="1"/>
  <c r="P1100" i="23" a="1"/>
  <c r="P1101" i="23" a="1"/>
  <c r="P1102" i="23" a="1"/>
  <c r="P1103" i="23" a="1"/>
  <c r="P1104" i="23" a="1"/>
  <c r="P1105" i="23" a="1"/>
  <c r="P1106" i="23" a="1"/>
  <c r="P1107" i="23" a="1"/>
  <c r="P1108" i="23" a="1"/>
  <c r="P1109" i="23" a="1"/>
  <c r="P1110" i="23" a="1"/>
  <c r="P1111" i="23" a="1"/>
  <c r="P1112" i="23" a="1"/>
  <c r="P1113" i="23" a="1"/>
  <c r="P1114" i="23" a="1"/>
  <c r="P1115" i="23" a="1"/>
  <c r="P1116" i="23" a="1"/>
  <c r="P1117" i="23" a="1"/>
  <c r="P1118" i="23" a="1"/>
  <c r="P1119" i="23" a="1"/>
  <c r="P1120" i="23" a="1"/>
  <c r="P1121" i="23" a="1"/>
  <c r="P1122" i="23" a="1"/>
  <c r="P1123" i="23" a="1"/>
  <c r="P1124" i="23" a="1"/>
  <c r="P1125" i="23" a="1"/>
  <c r="P1126" i="23" a="1"/>
  <c r="P1127" i="23" a="1"/>
  <c r="P1128" i="23" a="1"/>
  <c r="P1129" i="23" a="1"/>
  <c r="P1130" i="23" a="1"/>
  <c r="P1131" i="23" a="1"/>
  <c r="P1132" i="23" a="1"/>
  <c r="P1133" i="23" a="1"/>
  <c r="P1134" i="23" a="1"/>
  <c r="P1135" i="23" a="1"/>
  <c r="P1136" i="23" a="1"/>
  <c r="P1137" i="23" a="1"/>
  <c r="P1138" i="23" a="1"/>
  <c r="P1139" i="23" a="1"/>
  <c r="P1140" i="23" a="1"/>
  <c r="P1141" i="23" a="1"/>
  <c r="P1142" i="23" a="1"/>
  <c r="P1143" i="23" a="1"/>
  <c r="P1144" i="23" a="1"/>
  <c r="P1145" i="23" a="1"/>
  <c r="P1146" i="23" a="1"/>
  <c r="P1147" i="23" a="1"/>
  <c r="P1148" i="23" a="1"/>
  <c r="P1149" i="23" a="1"/>
  <c r="P1150" i="23" a="1"/>
  <c r="P1151" i="23" a="1"/>
  <c r="P1152" i="23" a="1"/>
  <c r="P1153" i="23" a="1"/>
  <c r="P1154" i="23" a="1"/>
  <c r="P1155" i="23" a="1"/>
  <c r="P1156" i="23" a="1"/>
  <c r="P1157" i="23" a="1"/>
  <c r="P1158" i="23" a="1"/>
  <c r="P1159" i="23" a="1"/>
  <c r="P1160" i="23" a="1"/>
  <c r="P1161" i="23" a="1"/>
  <c r="P1162" i="23" a="1"/>
  <c r="P1163" i="23" a="1"/>
  <c r="P1164" i="23" a="1"/>
  <c r="P1165" i="23" a="1"/>
  <c r="P1166" i="23" a="1"/>
  <c r="P1167" i="23" a="1"/>
  <c r="P1168" i="23" a="1"/>
  <c r="P1169" i="23" a="1"/>
  <c r="P1170" i="23" a="1"/>
  <c r="P1171" i="23" a="1"/>
  <c r="P1172" i="23" a="1"/>
  <c r="P1173" i="23" a="1"/>
  <c r="P1174" i="23" a="1"/>
  <c r="P1175" i="23" a="1"/>
  <c r="P1176" i="23" a="1"/>
  <c r="P1177" i="23" a="1"/>
  <c r="P1178" i="23" a="1"/>
  <c r="P1179" i="23" a="1"/>
  <c r="P1180" i="23" a="1"/>
  <c r="P1181" i="23" a="1"/>
  <c r="P1182" i="23" a="1"/>
  <c r="P1183" i="23" a="1"/>
  <c r="P1184" i="23" a="1"/>
  <c r="P1185" i="23" a="1"/>
  <c r="P1186" i="23" a="1"/>
  <c r="P1187" i="23" a="1"/>
  <c r="P1188" i="23" a="1"/>
  <c r="P1189" i="23" a="1"/>
  <c r="P1190" i="23" a="1"/>
  <c r="P1191" i="23" a="1"/>
  <c r="P1192" i="23" a="1"/>
  <c r="P1193" i="23" a="1"/>
  <c r="P1194" i="23" a="1"/>
  <c r="P1195" i="23" a="1"/>
  <c r="P1196" i="23" a="1"/>
  <c r="P1197" i="23" a="1"/>
  <c r="P1198" i="23" a="1"/>
  <c r="P1199" i="23" a="1"/>
  <c r="P1200" i="23" a="1"/>
  <c r="P1201" i="23" a="1"/>
  <c r="P1202" i="23" a="1"/>
  <c r="P1203" i="23" a="1"/>
  <c r="P1204" i="23" a="1"/>
  <c r="P1205" i="23" a="1"/>
  <c r="Q186" i="23" a="1"/>
  <c r="Q187" i="23" a="1"/>
  <c r="Q188" i="23" a="1"/>
  <c r="Q189" i="23" a="1"/>
  <c r="Q190" i="23" a="1"/>
  <c r="Q191" i="23" a="1"/>
  <c r="Q192" i="23" a="1"/>
  <c r="Q193" i="23" a="1"/>
  <c r="Q194" i="23" a="1"/>
  <c r="Q195" i="23" a="1"/>
  <c r="Q196" i="23" a="1"/>
  <c r="Q197" i="23" a="1"/>
  <c r="Q198" i="23" a="1"/>
  <c r="Q199" i="23" a="1"/>
  <c r="Q200" i="23" a="1"/>
  <c r="Q201" i="23" a="1"/>
  <c r="Q202" i="23" a="1"/>
  <c r="Q203" i="23" a="1"/>
  <c r="Q204" i="23" a="1"/>
  <c r="Q205" i="23" a="1"/>
  <c r="Q206" i="23" a="1"/>
  <c r="Q207" i="23" a="1"/>
  <c r="Q208" i="23" a="1"/>
  <c r="Q209" i="23" a="1"/>
  <c r="Q210" i="23" a="1"/>
  <c r="Q211" i="23" a="1"/>
  <c r="Q212" i="23" a="1"/>
  <c r="Q213" i="23" a="1"/>
  <c r="Q214" i="23" a="1"/>
  <c r="Q215" i="23" a="1"/>
  <c r="Q216" i="23" a="1"/>
  <c r="Q217" i="23" a="1"/>
  <c r="Q218" i="23" a="1"/>
  <c r="Q219" i="23" a="1"/>
  <c r="Q220" i="23" a="1"/>
  <c r="Q221" i="23" a="1"/>
  <c r="Q222" i="23" a="1"/>
  <c r="Q223" i="23" a="1"/>
  <c r="Q224" i="23" a="1"/>
  <c r="Q225" i="23" a="1"/>
  <c r="Q226" i="23" a="1"/>
  <c r="Q227" i="23" a="1"/>
  <c r="Q228" i="23" a="1"/>
  <c r="Q229" i="23" a="1"/>
  <c r="Q230" i="23" a="1"/>
  <c r="Q231" i="23" a="1"/>
  <c r="Q232" i="23" a="1"/>
  <c r="Q233" i="23" a="1"/>
  <c r="Q234" i="23" a="1"/>
  <c r="Q235" i="23" a="1"/>
  <c r="Q236" i="23" a="1"/>
  <c r="Q237" i="23" a="1"/>
  <c r="Q238" i="23" a="1"/>
  <c r="Q239" i="23" a="1"/>
  <c r="Q240" i="23" a="1"/>
  <c r="Q241" i="23" a="1"/>
  <c r="Q242" i="23" a="1"/>
  <c r="Q243" i="23" a="1"/>
  <c r="Q244" i="23" a="1"/>
  <c r="Q245" i="23" a="1"/>
  <c r="Q246" i="23" a="1"/>
  <c r="Q247" i="23" a="1"/>
  <c r="Q248" i="23" a="1"/>
  <c r="Q249" i="23" a="1"/>
  <c r="Q250" i="23" a="1"/>
  <c r="Q251" i="23" a="1"/>
  <c r="Q252" i="23" a="1"/>
  <c r="Q253" i="23" a="1"/>
  <c r="Q254" i="23" a="1"/>
  <c r="Q255" i="23" a="1"/>
  <c r="Q256" i="23" a="1"/>
  <c r="Q257" i="23" a="1"/>
  <c r="Q258" i="23" a="1"/>
  <c r="Q259" i="23" a="1"/>
  <c r="Q260" i="23" a="1"/>
  <c r="Q261" i="23" a="1"/>
  <c r="Q262" i="23" a="1"/>
  <c r="Q263" i="23" a="1"/>
  <c r="Q264" i="23" a="1"/>
  <c r="Q265" i="23" a="1"/>
  <c r="Q266" i="23" a="1"/>
  <c r="Q267" i="23" a="1"/>
  <c r="Q268" i="23" a="1"/>
  <c r="Q269" i="23" a="1"/>
  <c r="Q270" i="23" a="1"/>
  <c r="Q271" i="23" a="1"/>
  <c r="Q272" i="23" a="1"/>
  <c r="Q273" i="23" a="1"/>
  <c r="Q274" i="23" a="1"/>
  <c r="Q275" i="23" a="1"/>
  <c r="Q276" i="23" a="1"/>
  <c r="Q277" i="23" a="1"/>
  <c r="Q278" i="23" a="1"/>
  <c r="Q279" i="23" a="1"/>
  <c r="Q280" i="23" a="1"/>
  <c r="Q281" i="23" a="1"/>
  <c r="Q282" i="23" a="1"/>
  <c r="Q283" i="23" a="1"/>
  <c r="Q284" i="23" a="1"/>
  <c r="Q285" i="23" a="1"/>
  <c r="Q286" i="23" a="1"/>
  <c r="Q287" i="23" a="1"/>
  <c r="Q288" i="23" a="1"/>
  <c r="Q289" i="23" a="1"/>
  <c r="Q290" i="23" a="1"/>
  <c r="Q291" i="23" a="1"/>
  <c r="Q292" i="23" a="1"/>
  <c r="Q293" i="23" a="1"/>
  <c r="Q294" i="23" a="1"/>
  <c r="Q295" i="23" a="1"/>
  <c r="Q296" i="23" a="1"/>
  <c r="Q297" i="23" a="1"/>
  <c r="Q298" i="23" a="1"/>
  <c r="Q299" i="23" a="1"/>
  <c r="Q300" i="23" a="1"/>
  <c r="Q301" i="23" a="1"/>
  <c r="Q302" i="23" a="1"/>
  <c r="Q303" i="23" a="1"/>
  <c r="Q304" i="23" a="1"/>
  <c r="Q305" i="23" a="1"/>
  <c r="Q306" i="23" a="1"/>
  <c r="Q307" i="23" a="1"/>
  <c r="Q308" i="23" a="1"/>
  <c r="Q309" i="23" a="1"/>
  <c r="Q310" i="23" a="1"/>
  <c r="Q311" i="23" a="1"/>
  <c r="Q312" i="23" a="1"/>
  <c r="Q313" i="23" a="1"/>
  <c r="Q314" i="23" a="1"/>
  <c r="Q315" i="23" a="1"/>
  <c r="Q316" i="23" a="1"/>
  <c r="Q317" i="23" a="1"/>
  <c r="Q318" i="23" a="1"/>
  <c r="Q319" i="23" a="1"/>
  <c r="Q320" i="23" a="1"/>
  <c r="Q321" i="23" a="1"/>
  <c r="Q322" i="23" a="1"/>
  <c r="Q323" i="23" a="1"/>
  <c r="Q324" i="23" a="1"/>
  <c r="Q325" i="23" a="1"/>
  <c r="Q326" i="23" a="1"/>
  <c r="Q327" i="23" a="1"/>
  <c r="Q328" i="23" a="1"/>
  <c r="Q329" i="23" a="1"/>
  <c r="Q330" i="23" a="1"/>
  <c r="Q331" i="23" a="1"/>
  <c r="Q332" i="23" a="1"/>
  <c r="Q333" i="23" a="1"/>
  <c r="Q334" i="23" a="1"/>
  <c r="Q335" i="23" a="1"/>
  <c r="Q336" i="23" a="1"/>
  <c r="Q337" i="23" a="1"/>
  <c r="Q338" i="23" a="1"/>
  <c r="Q339" i="23" a="1"/>
  <c r="Q340" i="23" a="1"/>
  <c r="Q341" i="23" a="1"/>
  <c r="Q342" i="23" a="1"/>
  <c r="Q343" i="23" a="1"/>
  <c r="Q344" i="23" a="1"/>
  <c r="Q345" i="23" a="1"/>
  <c r="Q346" i="23" a="1"/>
  <c r="Q347" i="23" a="1"/>
  <c r="Q348" i="23" a="1"/>
  <c r="Q349" i="23" a="1"/>
  <c r="Q350" i="23" a="1"/>
  <c r="Q351" i="23" a="1"/>
  <c r="Q352" i="23" a="1"/>
  <c r="Q353" i="23" a="1"/>
  <c r="Q354" i="23" a="1"/>
  <c r="Q355" i="23" a="1"/>
  <c r="Q356" i="23" a="1"/>
  <c r="Q357" i="23" a="1"/>
  <c r="Q358" i="23" a="1"/>
  <c r="Q359" i="23" a="1"/>
  <c r="Q360" i="23" a="1"/>
  <c r="Q361" i="23" a="1"/>
  <c r="Q362" i="23" a="1"/>
  <c r="Q363" i="23" a="1"/>
  <c r="Q364" i="23" a="1"/>
  <c r="Q365" i="23" a="1"/>
  <c r="Q366" i="23" a="1"/>
  <c r="Q367" i="23" a="1"/>
  <c r="Q368" i="23" a="1"/>
  <c r="Q369" i="23" a="1"/>
  <c r="Q370" i="23" a="1"/>
  <c r="Q371" i="23" a="1"/>
  <c r="Q372" i="23" a="1"/>
  <c r="Q373" i="23" a="1"/>
  <c r="Q374" i="23" a="1"/>
  <c r="Q375" i="23" a="1"/>
  <c r="Q376" i="23" a="1"/>
  <c r="Q377" i="23" a="1"/>
  <c r="Q378" i="23" a="1"/>
  <c r="Q379" i="23" a="1"/>
  <c r="Q380" i="23" a="1"/>
  <c r="Q381" i="23" a="1"/>
  <c r="Q382" i="23" a="1"/>
  <c r="Q383" i="23" a="1"/>
  <c r="Q384" i="23" a="1"/>
  <c r="Q385" i="23" a="1"/>
  <c r="Q386" i="23" a="1"/>
  <c r="Q387" i="23" a="1"/>
  <c r="Q388" i="23" a="1"/>
  <c r="Q389" i="23" a="1"/>
  <c r="Q390" i="23" a="1"/>
  <c r="Q391" i="23" a="1"/>
  <c r="Q392" i="23" a="1"/>
  <c r="Q393" i="23" a="1"/>
  <c r="Q394" i="23" a="1"/>
  <c r="Q395" i="23" a="1"/>
  <c r="Q396" i="23" a="1"/>
  <c r="Q397" i="23" a="1"/>
  <c r="Q398" i="23" a="1"/>
  <c r="Q399" i="23" a="1"/>
  <c r="Q400" i="23" a="1"/>
  <c r="Q401" i="23" a="1"/>
  <c r="Q402" i="23" a="1"/>
  <c r="Q403" i="23" a="1"/>
  <c r="Q404" i="23" a="1"/>
  <c r="Q405" i="23" a="1"/>
  <c r="Q406" i="23" a="1"/>
  <c r="Q407" i="23" a="1"/>
  <c r="Q408" i="23" a="1"/>
  <c r="Q409" i="23" a="1"/>
  <c r="Q410" i="23" a="1"/>
  <c r="Q411" i="23" a="1"/>
  <c r="Q412" i="23" a="1"/>
  <c r="Q413" i="23" a="1"/>
  <c r="Q414" i="23" a="1"/>
  <c r="Q415" i="23" a="1"/>
  <c r="Q416" i="23" a="1"/>
  <c r="Q417" i="23" a="1"/>
  <c r="Q418" i="23" a="1"/>
  <c r="Q419" i="23" a="1"/>
  <c r="Q420" i="23" a="1"/>
  <c r="Q421" i="23" a="1"/>
  <c r="Q422" i="23" a="1"/>
  <c r="Q423" i="23" a="1"/>
  <c r="Q424" i="23" a="1"/>
  <c r="Q425" i="23" a="1"/>
  <c r="Q426" i="23" a="1"/>
  <c r="Q427" i="23" a="1"/>
  <c r="Q428" i="23" a="1"/>
  <c r="Q429" i="23" a="1"/>
  <c r="Q430" i="23" a="1"/>
  <c r="Q431" i="23" a="1"/>
  <c r="Q432" i="23" a="1"/>
  <c r="Q433" i="23" a="1"/>
  <c r="Q434" i="23" a="1"/>
  <c r="Q435" i="23" a="1"/>
  <c r="Q436" i="23" a="1"/>
  <c r="Q437" i="23" a="1"/>
  <c r="Q438" i="23" a="1"/>
  <c r="Q439" i="23" a="1"/>
  <c r="Q440" i="23" a="1"/>
  <c r="Q441" i="23" a="1"/>
  <c r="Q442" i="23" a="1"/>
  <c r="Q443" i="23" a="1"/>
  <c r="Q444" i="23" a="1"/>
  <c r="Q445" i="23" a="1"/>
  <c r="Q446" i="23" a="1"/>
  <c r="Q447" i="23" a="1"/>
  <c r="Q448" i="23" a="1"/>
  <c r="Q449" i="23" a="1"/>
  <c r="Q450" i="23" a="1"/>
  <c r="Q451" i="23" a="1"/>
  <c r="Q452" i="23" a="1"/>
  <c r="Q453" i="23" a="1"/>
  <c r="Q454" i="23" a="1"/>
  <c r="Q455" i="23" a="1"/>
  <c r="Q456" i="23" a="1"/>
  <c r="Q457" i="23" a="1"/>
  <c r="Q458" i="23" a="1"/>
  <c r="Q459" i="23" a="1"/>
  <c r="Q460" i="23" a="1"/>
  <c r="Q461" i="23" a="1"/>
  <c r="Q462" i="23" a="1"/>
  <c r="Q463" i="23" a="1"/>
  <c r="Q464" i="23" a="1"/>
  <c r="Q465" i="23" a="1"/>
  <c r="Q466" i="23" a="1"/>
  <c r="Q467" i="23" a="1"/>
  <c r="Q468" i="23" a="1"/>
  <c r="Q469" i="23" a="1"/>
  <c r="Q470" i="23" a="1"/>
  <c r="Q471" i="23" a="1"/>
  <c r="Q472" i="23" a="1"/>
  <c r="Q473" i="23" a="1"/>
  <c r="Q474" i="23" a="1"/>
  <c r="Q475" i="23" a="1"/>
  <c r="Q476" i="23" a="1"/>
  <c r="Q477" i="23" a="1"/>
  <c r="Q478" i="23" a="1"/>
  <c r="Q479" i="23" a="1"/>
  <c r="Q480" i="23" a="1"/>
  <c r="Q481" i="23" a="1"/>
  <c r="Q482" i="23" a="1"/>
  <c r="Q483" i="23" a="1"/>
  <c r="Q484" i="23" a="1"/>
  <c r="Q485" i="23" a="1"/>
  <c r="Q486" i="23" a="1"/>
  <c r="Q487" i="23" a="1"/>
  <c r="Q488" i="23" a="1"/>
  <c r="Q489" i="23" a="1"/>
  <c r="Q490" i="23" a="1"/>
  <c r="Q491" i="23" a="1"/>
  <c r="Q492" i="23" a="1"/>
  <c r="Q493" i="23" a="1"/>
  <c r="Q494" i="23" a="1"/>
  <c r="Q495" i="23" a="1"/>
  <c r="Q496" i="23" a="1"/>
  <c r="Q497" i="23" a="1"/>
  <c r="Q498" i="23" a="1"/>
  <c r="Q499" i="23" a="1"/>
  <c r="Q500" i="23" a="1"/>
  <c r="Q501" i="23" a="1"/>
  <c r="Q502" i="23" a="1"/>
  <c r="Q503" i="23" a="1"/>
  <c r="Q504" i="23" a="1"/>
  <c r="Q505" i="23" a="1"/>
  <c r="Q506" i="23" a="1"/>
  <c r="Q507" i="23" a="1"/>
  <c r="Q508" i="23" a="1"/>
  <c r="Q509" i="23" a="1"/>
  <c r="Q510" i="23" a="1"/>
  <c r="Q511" i="23" a="1"/>
  <c r="Q512" i="23" a="1"/>
  <c r="Q513" i="23" a="1"/>
  <c r="Q514" i="23" a="1"/>
  <c r="Q515" i="23" a="1"/>
  <c r="Q516" i="23" a="1"/>
  <c r="Q517" i="23" a="1"/>
  <c r="Q518" i="23" a="1"/>
  <c r="Q519" i="23" a="1"/>
  <c r="Q520" i="23" a="1"/>
  <c r="Q521" i="23" a="1"/>
  <c r="Q522" i="23" a="1"/>
  <c r="Q523" i="23" a="1"/>
  <c r="Q524" i="23" a="1"/>
  <c r="Q525" i="23" a="1"/>
  <c r="Q526" i="23" a="1"/>
  <c r="Q527" i="23" a="1"/>
  <c r="Q528" i="23" a="1"/>
  <c r="Q529" i="23" a="1"/>
  <c r="Q530" i="23" a="1"/>
  <c r="Q531" i="23" a="1"/>
  <c r="Q532" i="23" a="1"/>
  <c r="Q533" i="23" a="1"/>
  <c r="Q534" i="23" a="1"/>
  <c r="Q535" i="23" a="1"/>
  <c r="Q536" i="23" a="1"/>
  <c r="Q537" i="23" a="1"/>
  <c r="Q538" i="23" a="1"/>
  <c r="Q539" i="23" a="1"/>
  <c r="Q540" i="23" a="1"/>
  <c r="Q541" i="23" a="1"/>
  <c r="Q542" i="23" a="1"/>
  <c r="Q543" i="23" a="1"/>
  <c r="Q544" i="23" a="1"/>
  <c r="Q545" i="23" a="1"/>
  <c r="Q546" i="23" a="1"/>
  <c r="Q547" i="23" a="1"/>
  <c r="Q548" i="23" a="1"/>
  <c r="Q549" i="23" a="1"/>
  <c r="Q550" i="23" a="1"/>
  <c r="Q551" i="23" a="1"/>
  <c r="Q552" i="23" a="1"/>
  <c r="Q553" i="23" a="1"/>
  <c r="Q554" i="23" a="1"/>
  <c r="Q555" i="23" a="1"/>
  <c r="Q556" i="23" a="1"/>
  <c r="Q557" i="23" a="1"/>
  <c r="Q558" i="23" a="1"/>
  <c r="Q559" i="23" a="1"/>
  <c r="Q560" i="23" a="1"/>
  <c r="Q561" i="23" a="1"/>
  <c r="Q562" i="23" a="1"/>
  <c r="Q563" i="23" a="1"/>
  <c r="Q564" i="23" a="1"/>
  <c r="Q565" i="23" a="1"/>
  <c r="Q566" i="23" a="1"/>
  <c r="Q567" i="23" a="1"/>
  <c r="Q568" i="23" a="1"/>
  <c r="Q569" i="23" a="1"/>
  <c r="Q570" i="23" a="1"/>
  <c r="Q571" i="23" a="1"/>
  <c r="Q572" i="23" a="1"/>
  <c r="Q573" i="23" a="1"/>
  <c r="Q574" i="23" a="1"/>
  <c r="Q575" i="23" a="1"/>
  <c r="Q576" i="23" a="1"/>
  <c r="Q577" i="23" a="1"/>
  <c r="Q578" i="23" a="1"/>
  <c r="Q579" i="23" a="1"/>
  <c r="Q580" i="23" a="1"/>
  <c r="Q581" i="23" a="1"/>
  <c r="Q582" i="23" a="1"/>
  <c r="Q583" i="23" a="1"/>
  <c r="Q584" i="23" a="1"/>
  <c r="Q585" i="23" a="1"/>
  <c r="Q586" i="23" a="1"/>
  <c r="Q587" i="23" a="1"/>
  <c r="Q588" i="23" a="1"/>
  <c r="Q589" i="23" a="1"/>
  <c r="Q590" i="23" a="1"/>
  <c r="Q591" i="23" a="1"/>
  <c r="Q592" i="23" a="1"/>
  <c r="Q593" i="23" a="1"/>
  <c r="Q594" i="23" a="1"/>
  <c r="Q595" i="23" a="1"/>
  <c r="Q596" i="23" a="1"/>
  <c r="Q597" i="23" a="1"/>
  <c r="Q598" i="23" a="1"/>
  <c r="Q599" i="23" a="1"/>
  <c r="Q600" i="23" a="1"/>
  <c r="Q601" i="23" a="1"/>
  <c r="Q602" i="23" a="1"/>
  <c r="Q603" i="23" a="1"/>
  <c r="Q604" i="23" a="1"/>
  <c r="Q605" i="23" a="1"/>
  <c r="Q606" i="23" a="1"/>
  <c r="Q607" i="23" a="1"/>
  <c r="Q608" i="23" a="1"/>
  <c r="Q609" i="23" a="1"/>
  <c r="Q610" i="23" a="1"/>
  <c r="Q611" i="23" a="1"/>
  <c r="Q612" i="23" a="1"/>
  <c r="Q613" i="23" a="1"/>
  <c r="Q614" i="23" a="1"/>
  <c r="Q615" i="23" a="1"/>
  <c r="Q616" i="23" a="1"/>
  <c r="Q617" i="23" a="1"/>
  <c r="Q618" i="23" a="1"/>
  <c r="Q619" i="23" a="1"/>
  <c r="Q620" i="23" a="1"/>
  <c r="Q621" i="23" a="1"/>
  <c r="Q622" i="23" a="1"/>
  <c r="Q623" i="23" a="1"/>
  <c r="Q624" i="23" a="1"/>
  <c r="Q625" i="23" a="1"/>
  <c r="Q626" i="23" a="1"/>
  <c r="Q627" i="23" a="1"/>
  <c r="Q628" i="23" a="1"/>
  <c r="Q629" i="23" a="1"/>
  <c r="Q630" i="23" a="1"/>
  <c r="Q631" i="23" a="1"/>
  <c r="Q632" i="23" a="1"/>
  <c r="Q633" i="23" a="1"/>
  <c r="Q634" i="23" a="1"/>
  <c r="Q635" i="23" a="1"/>
  <c r="Q636" i="23" a="1"/>
  <c r="Q637" i="23" a="1"/>
  <c r="Q638" i="23" a="1"/>
  <c r="Q639" i="23" a="1"/>
  <c r="Q640" i="23" a="1"/>
  <c r="Q641" i="23" a="1"/>
  <c r="Q642" i="23" a="1"/>
  <c r="Q643" i="23" a="1"/>
  <c r="Q644" i="23" a="1"/>
  <c r="Q645" i="23" a="1"/>
  <c r="Q646" i="23" a="1"/>
  <c r="Q647" i="23" a="1"/>
  <c r="Q648" i="23" a="1"/>
  <c r="Q649" i="23" a="1"/>
  <c r="Q650" i="23" a="1"/>
  <c r="Q651" i="23" a="1"/>
  <c r="Q652" i="23" a="1"/>
  <c r="Q653" i="23" a="1"/>
  <c r="Q654" i="23" a="1"/>
  <c r="Q655" i="23" a="1"/>
  <c r="Q656" i="23" a="1"/>
  <c r="Q657" i="23" a="1"/>
  <c r="Q658" i="23" a="1"/>
  <c r="Q659" i="23" a="1"/>
  <c r="Q660" i="23" a="1"/>
  <c r="Q661" i="23" a="1"/>
  <c r="Q662" i="23" a="1"/>
  <c r="Q663" i="23" a="1"/>
  <c r="Q664" i="23" a="1"/>
  <c r="Q665" i="23" a="1"/>
  <c r="Q666" i="23" a="1"/>
  <c r="Q667" i="23" a="1"/>
  <c r="Q668" i="23" a="1"/>
  <c r="Q669" i="23" a="1"/>
  <c r="Q670" i="23" a="1"/>
  <c r="Q671" i="23" a="1"/>
  <c r="Q672" i="23" a="1"/>
  <c r="Q673" i="23" a="1"/>
  <c r="Q674" i="23" a="1"/>
  <c r="Q675" i="23" a="1"/>
  <c r="Q676" i="23" a="1"/>
  <c r="Q677" i="23" a="1"/>
  <c r="Q678" i="23" a="1"/>
  <c r="Q679" i="23" a="1"/>
  <c r="Q680" i="23" a="1"/>
  <c r="Q681" i="23" a="1"/>
  <c r="Q682" i="23" a="1"/>
  <c r="Q683" i="23" a="1"/>
  <c r="Q684" i="23" a="1"/>
  <c r="Q685" i="23" a="1"/>
  <c r="Q686" i="23" a="1"/>
  <c r="Q687" i="23" a="1"/>
  <c r="Q688" i="23" a="1"/>
  <c r="Q689" i="23" a="1"/>
  <c r="Q690" i="23" a="1"/>
  <c r="Q691" i="23" a="1"/>
  <c r="Q692" i="23" a="1"/>
  <c r="Q693" i="23" a="1"/>
  <c r="Q694" i="23" a="1"/>
  <c r="Q695" i="23" a="1"/>
  <c r="Q696" i="23" a="1"/>
  <c r="Q697" i="23" a="1"/>
  <c r="Q698" i="23" a="1"/>
  <c r="Q699" i="23" a="1"/>
  <c r="Q700" i="23" a="1"/>
  <c r="Q701" i="23" a="1"/>
  <c r="Q702" i="23" a="1"/>
  <c r="Q703" i="23" a="1"/>
  <c r="Q704" i="23" a="1"/>
  <c r="Q705" i="23" a="1"/>
  <c r="Q706" i="23" a="1"/>
  <c r="Q707" i="23" a="1"/>
  <c r="Q708" i="23" a="1"/>
  <c r="Q709" i="23" a="1"/>
  <c r="Q710" i="23" a="1"/>
  <c r="Q711" i="23" a="1"/>
  <c r="Q712" i="23" a="1"/>
  <c r="Q713" i="23" a="1"/>
  <c r="Q714" i="23" a="1"/>
  <c r="Q715" i="23" a="1"/>
  <c r="Q716" i="23" a="1"/>
  <c r="Q717" i="23" a="1"/>
  <c r="Q718" i="23" a="1"/>
  <c r="Q719" i="23" a="1"/>
  <c r="Q720" i="23" a="1"/>
  <c r="Q721" i="23" a="1"/>
  <c r="Q722" i="23" a="1"/>
  <c r="Q723" i="23" a="1"/>
  <c r="Q724" i="23" a="1"/>
  <c r="Q725" i="23" a="1"/>
  <c r="Q726" i="23" a="1"/>
  <c r="Q727" i="23" a="1"/>
  <c r="Q728" i="23" a="1"/>
  <c r="Q729" i="23" a="1"/>
  <c r="Q730" i="23" a="1"/>
  <c r="Q731" i="23" a="1"/>
  <c r="Q732" i="23" a="1"/>
  <c r="Q733" i="23" a="1"/>
  <c r="Q734" i="23" a="1"/>
  <c r="Q735" i="23" a="1"/>
  <c r="Q736" i="23" a="1"/>
  <c r="Q737" i="23" a="1"/>
  <c r="Q738" i="23" a="1"/>
  <c r="Q739" i="23" a="1"/>
  <c r="Q740" i="23" a="1"/>
  <c r="Q741" i="23" a="1"/>
  <c r="Q742" i="23" a="1"/>
  <c r="Q743" i="23" a="1"/>
  <c r="Q744" i="23" a="1"/>
  <c r="Q745" i="23" a="1"/>
  <c r="Q746" i="23" a="1"/>
  <c r="Q747" i="23" a="1"/>
  <c r="Q748" i="23" a="1"/>
  <c r="Q749" i="23" a="1"/>
  <c r="Q750" i="23" a="1"/>
  <c r="Q751" i="23" a="1"/>
  <c r="Q752" i="23" a="1"/>
  <c r="Q753" i="23" a="1"/>
  <c r="Q754" i="23" a="1"/>
  <c r="Q755" i="23" a="1"/>
  <c r="Q756" i="23" a="1"/>
  <c r="Q757" i="23" a="1"/>
  <c r="Q758" i="23" a="1"/>
  <c r="Q759" i="23" a="1"/>
  <c r="Q760" i="23" a="1"/>
  <c r="Q761" i="23" a="1"/>
  <c r="Q762" i="23" a="1"/>
  <c r="Q763" i="23" a="1"/>
  <c r="Q764" i="23" a="1"/>
  <c r="Q765" i="23" a="1"/>
  <c r="Q766" i="23" a="1"/>
  <c r="Q767" i="23" a="1"/>
  <c r="Q768" i="23" a="1"/>
  <c r="Q769" i="23" a="1"/>
  <c r="Q770" i="23" a="1"/>
  <c r="Q771" i="23" a="1"/>
  <c r="Q772" i="23" a="1"/>
  <c r="Q773" i="23" a="1"/>
  <c r="Q774" i="23" a="1"/>
  <c r="Q775" i="23" a="1"/>
  <c r="Q776" i="23" a="1"/>
  <c r="Q777" i="23" a="1"/>
  <c r="Q778" i="23" a="1"/>
  <c r="Q779" i="23" a="1"/>
  <c r="Q780" i="23" a="1"/>
  <c r="Q781" i="23" a="1"/>
  <c r="Q782" i="23" a="1"/>
  <c r="Q783" i="23" a="1"/>
  <c r="Q784" i="23" a="1"/>
  <c r="Q785" i="23" a="1"/>
  <c r="Q786" i="23" a="1"/>
  <c r="Q787" i="23" a="1"/>
  <c r="Q788" i="23" a="1"/>
  <c r="Q789" i="23" a="1"/>
  <c r="Q790" i="23" a="1"/>
  <c r="Q791" i="23" a="1"/>
  <c r="Q792" i="23" a="1"/>
  <c r="Q793" i="23" a="1"/>
  <c r="Q794" i="23" a="1"/>
  <c r="Q795" i="23" a="1"/>
  <c r="Q796" i="23" a="1"/>
  <c r="Q797" i="23" a="1"/>
  <c r="Q798" i="23" a="1"/>
  <c r="Q799" i="23" a="1"/>
  <c r="Q800" i="23" a="1"/>
  <c r="Q801" i="23" a="1"/>
  <c r="Q802" i="23" a="1"/>
  <c r="Q803" i="23" a="1"/>
  <c r="Q804" i="23" a="1"/>
  <c r="Q805" i="23" a="1"/>
  <c r="Q806" i="23" a="1"/>
  <c r="Q807" i="23" a="1"/>
  <c r="Q808" i="23" a="1"/>
  <c r="Q809" i="23" a="1"/>
  <c r="Q810" i="23" a="1"/>
  <c r="Q811" i="23" a="1"/>
  <c r="Q812" i="23" a="1"/>
  <c r="Q813" i="23" a="1"/>
  <c r="Q814" i="23" a="1"/>
  <c r="Q815" i="23" a="1"/>
  <c r="Q816" i="23" a="1"/>
  <c r="Q817" i="23" a="1"/>
  <c r="Q818" i="23" a="1"/>
  <c r="Q819" i="23" a="1"/>
  <c r="Q820" i="23" a="1"/>
  <c r="Q821" i="23" a="1"/>
  <c r="Q822" i="23" a="1"/>
  <c r="Q823" i="23" a="1"/>
  <c r="Q824" i="23" a="1"/>
  <c r="Q825" i="23" a="1"/>
  <c r="Q826" i="23" a="1"/>
  <c r="Q827" i="23" a="1"/>
  <c r="Q828" i="23" a="1"/>
  <c r="Q829" i="23" a="1"/>
  <c r="Q830" i="23" a="1"/>
  <c r="Q831" i="23" a="1"/>
  <c r="Q832" i="23" a="1"/>
  <c r="Q833" i="23" a="1"/>
  <c r="Q834" i="23" a="1"/>
  <c r="Q835" i="23" a="1"/>
  <c r="Q836" i="23" a="1"/>
  <c r="Q837" i="23" a="1"/>
  <c r="Q838" i="23" a="1"/>
  <c r="Q839" i="23" a="1"/>
  <c r="Q840" i="23" a="1"/>
  <c r="Q841" i="23" a="1"/>
  <c r="Q842" i="23" a="1"/>
  <c r="Q843" i="23" a="1"/>
  <c r="Q844" i="23" a="1"/>
  <c r="Q845" i="23" a="1"/>
  <c r="Q846" i="23" a="1"/>
  <c r="Q847" i="23" a="1"/>
  <c r="Q848" i="23" a="1"/>
  <c r="Q849" i="23" a="1"/>
  <c r="Q850" i="23" a="1"/>
  <c r="Q851" i="23" a="1"/>
  <c r="Q852" i="23" a="1"/>
  <c r="Q853" i="23" a="1"/>
  <c r="Q854" i="23" a="1"/>
  <c r="Q855" i="23" a="1"/>
  <c r="Q856" i="23" a="1"/>
  <c r="Q857" i="23" a="1"/>
  <c r="Q858" i="23" a="1"/>
  <c r="Q859" i="23" a="1"/>
  <c r="Q860" i="23" a="1"/>
  <c r="Q861" i="23" a="1"/>
  <c r="Q862" i="23" a="1"/>
  <c r="Q863" i="23" a="1"/>
  <c r="Q864" i="23" a="1"/>
  <c r="Q865" i="23" a="1"/>
  <c r="Q866" i="23" a="1"/>
  <c r="Q867" i="23" a="1"/>
  <c r="Q868" i="23" a="1"/>
  <c r="Q869" i="23" a="1"/>
  <c r="Q870" i="23" a="1"/>
  <c r="Q871" i="23" a="1"/>
  <c r="Q872" i="23" a="1"/>
  <c r="Q873" i="23" a="1"/>
  <c r="Q874" i="23" a="1"/>
  <c r="Q875" i="23" a="1"/>
  <c r="Q876" i="23" a="1"/>
  <c r="Q877" i="23" a="1"/>
  <c r="Q878" i="23" a="1"/>
  <c r="Q879" i="23" a="1"/>
  <c r="Q880" i="23" a="1"/>
  <c r="Q881" i="23" a="1"/>
  <c r="Q882" i="23" a="1"/>
  <c r="Q883" i="23" a="1"/>
  <c r="Q884" i="23" a="1"/>
  <c r="Q885" i="23" a="1"/>
  <c r="Q886" i="23" a="1"/>
  <c r="Q887" i="23" a="1"/>
  <c r="Q888" i="23" a="1"/>
  <c r="Q889" i="23" a="1"/>
  <c r="Q890" i="23" a="1"/>
  <c r="Q891" i="23" a="1"/>
  <c r="Q892" i="23" a="1"/>
  <c r="Q893" i="23" a="1"/>
  <c r="Q894" i="23" a="1"/>
  <c r="Q895" i="23" a="1"/>
  <c r="Q896" i="23" a="1"/>
  <c r="Q897" i="23" a="1"/>
  <c r="Q898" i="23" a="1"/>
  <c r="Q899" i="23" a="1"/>
  <c r="Q900" i="23" a="1"/>
  <c r="Q901" i="23" a="1"/>
  <c r="Q902" i="23" a="1"/>
  <c r="Q903" i="23" a="1"/>
  <c r="Q904" i="23" a="1"/>
  <c r="Q905" i="23" a="1"/>
  <c r="Q906" i="23" a="1"/>
  <c r="Q907" i="23" a="1"/>
  <c r="Q908" i="23" a="1"/>
  <c r="Q909" i="23" a="1"/>
  <c r="Q910" i="23" a="1"/>
  <c r="Q911" i="23" a="1"/>
  <c r="Q912" i="23" a="1"/>
  <c r="Q913" i="23" a="1"/>
  <c r="Q914" i="23" a="1"/>
  <c r="Q915" i="23" a="1"/>
  <c r="Q916" i="23" a="1"/>
  <c r="Q917" i="23" a="1"/>
  <c r="Q918" i="23" a="1"/>
  <c r="Q919" i="23" a="1"/>
  <c r="Q920" i="23" a="1"/>
  <c r="Q921" i="23" a="1"/>
  <c r="Q922" i="23" a="1"/>
  <c r="Q923" i="23" a="1"/>
  <c r="Q924" i="23" a="1"/>
  <c r="Q925" i="23" a="1"/>
  <c r="Q926" i="23" a="1"/>
  <c r="Q927" i="23" a="1"/>
  <c r="Q928" i="23" a="1"/>
  <c r="Q929" i="23" a="1"/>
  <c r="Q930" i="23" a="1"/>
  <c r="Q931" i="23" a="1"/>
  <c r="Q932" i="23" a="1"/>
  <c r="Q933" i="23" a="1"/>
  <c r="Q934" i="23" a="1"/>
  <c r="Q935" i="23" a="1"/>
  <c r="Q936" i="23" a="1"/>
  <c r="Q937" i="23" a="1"/>
  <c r="Q938" i="23" a="1"/>
  <c r="Q939" i="23" a="1"/>
  <c r="Q940" i="23" a="1"/>
  <c r="Q941" i="23" a="1"/>
  <c r="Q942" i="23" a="1"/>
  <c r="Q943" i="23" a="1"/>
  <c r="Q944" i="23" a="1"/>
  <c r="Q945" i="23" a="1"/>
  <c r="Q946" i="23" a="1"/>
  <c r="Q947" i="23" a="1"/>
  <c r="Q948" i="23" a="1"/>
  <c r="Q949" i="23" a="1"/>
  <c r="Q950" i="23" a="1"/>
  <c r="Q951" i="23" a="1"/>
  <c r="Q952" i="23" a="1"/>
  <c r="Q953" i="23" a="1"/>
  <c r="Q954" i="23" a="1"/>
  <c r="Q955" i="23" a="1"/>
  <c r="Q956" i="23" a="1"/>
  <c r="Q957" i="23" a="1"/>
  <c r="Q958" i="23" a="1"/>
  <c r="Q959" i="23" a="1"/>
  <c r="Q960" i="23" a="1"/>
  <c r="Q961" i="23" a="1"/>
  <c r="Q962" i="23" a="1"/>
  <c r="Q963" i="23" a="1"/>
  <c r="Q964" i="23" a="1"/>
  <c r="Q965" i="23" a="1"/>
  <c r="Q966" i="23" a="1"/>
  <c r="Q967" i="23" a="1"/>
  <c r="Q968" i="23" a="1"/>
  <c r="Q969" i="23" a="1"/>
  <c r="Q970" i="23" a="1"/>
  <c r="Q971" i="23" a="1"/>
  <c r="Q972" i="23" a="1"/>
  <c r="Q973" i="23" a="1"/>
  <c r="Q974" i="23" a="1"/>
  <c r="Q975" i="23" a="1"/>
  <c r="Q976" i="23" a="1"/>
  <c r="Q977" i="23" a="1"/>
  <c r="Q978" i="23" a="1"/>
  <c r="Q979" i="23" a="1"/>
  <c r="Q980" i="23" a="1"/>
  <c r="Q981" i="23" a="1"/>
  <c r="Q982" i="23" a="1"/>
  <c r="Q983" i="23" a="1"/>
  <c r="Q984" i="23" a="1"/>
  <c r="Q985" i="23" a="1"/>
  <c r="Q986" i="23" a="1"/>
  <c r="Q987" i="23" a="1"/>
  <c r="Q988" i="23" a="1"/>
  <c r="Q989" i="23" a="1"/>
  <c r="Q990" i="23" a="1"/>
  <c r="Q991" i="23" a="1"/>
  <c r="Q992" i="23" a="1"/>
  <c r="Q993" i="23" a="1"/>
  <c r="Q994" i="23" a="1"/>
  <c r="Q995" i="23" a="1"/>
  <c r="Q996" i="23" a="1"/>
  <c r="Q997" i="23" a="1"/>
  <c r="Q998" i="23" a="1"/>
  <c r="Q999" i="23" a="1"/>
  <c r="Q1000" i="23" a="1"/>
  <c r="Q1001" i="23" a="1"/>
  <c r="Q1002" i="23" a="1"/>
  <c r="Q1003" i="23" a="1"/>
  <c r="Q1004" i="23" a="1"/>
  <c r="Q1005" i="23" a="1"/>
  <c r="Q1006" i="23" a="1"/>
  <c r="Q1007" i="23" a="1"/>
  <c r="Q1008" i="23" a="1"/>
  <c r="Q1009" i="23" a="1"/>
  <c r="Q1010" i="23" a="1"/>
  <c r="Q1011" i="23" a="1"/>
  <c r="Q1012" i="23" a="1"/>
  <c r="Q1013" i="23" a="1"/>
  <c r="Q1014" i="23" a="1"/>
  <c r="Q1015" i="23" a="1"/>
  <c r="Q1016" i="23" a="1"/>
  <c r="Q1017" i="23" a="1"/>
  <c r="Q1018" i="23" a="1"/>
  <c r="Q1019" i="23" a="1"/>
  <c r="Q1020" i="23" a="1"/>
  <c r="Q1021" i="23" a="1"/>
  <c r="Q1022" i="23" a="1"/>
  <c r="Q1023" i="23" a="1"/>
  <c r="Q1024" i="23" a="1"/>
  <c r="Q1025" i="23" a="1"/>
  <c r="Q1026" i="23" a="1"/>
  <c r="Q1027" i="23" a="1"/>
  <c r="Q1028" i="23" a="1"/>
  <c r="Q1029" i="23" a="1"/>
  <c r="Q1030" i="23" a="1"/>
  <c r="Q1031" i="23" a="1"/>
  <c r="Q1032" i="23" a="1"/>
  <c r="Q1033" i="23" a="1"/>
  <c r="Q1034" i="23" a="1"/>
  <c r="Q1035" i="23" a="1"/>
  <c r="Q1036" i="23" a="1"/>
  <c r="Q1037" i="23" a="1"/>
  <c r="Q1038" i="23" a="1"/>
  <c r="Q1039" i="23" a="1"/>
  <c r="Q1040" i="23" a="1"/>
  <c r="Q1041" i="23" a="1"/>
  <c r="Q1042" i="23" a="1"/>
  <c r="Q1043" i="23" a="1"/>
  <c r="Q1044" i="23" a="1"/>
  <c r="Q1045" i="23" a="1"/>
  <c r="Q1046" i="23" a="1"/>
  <c r="Q1047" i="23" a="1"/>
  <c r="Q1048" i="23" a="1"/>
  <c r="Q1049" i="23" a="1"/>
  <c r="Q1050" i="23" a="1"/>
  <c r="Q1051" i="23" a="1"/>
  <c r="Q1052" i="23" a="1"/>
  <c r="Q1053" i="23" a="1"/>
  <c r="Q1054" i="23" a="1"/>
  <c r="Q1055" i="23" a="1"/>
  <c r="Q1056" i="23" a="1"/>
  <c r="Q1057" i="23" a="1"/>
  <c r="Q1058" i="23" a="1"/>
  <c r="Q1059" i="23" a="1"/>
  <c r="Q1060" i="23" a="1"/>
  <c r="Q1061" i="23" a="1"/>
  <c r="Q1062" i="23" a="1"/>
  <c r="Q1063" i="23" a="1"/>
  <c r="Q1064" i="23" a="1"/>
  <c r="Q1065" i="23" a="1"/>
  <c r="Q1066" i="23" a="1"/>
  <c r="Q1067" i="23" a="1"/>
  <c r="Q1068" i="23" a="1"/>
  <c r="Q1069" i="23" a="1"/>
  <c r="Q1070" i="23" a="1"/>
  <c r="Q1071" i="23" a="1"/>
  <c r="Q1072" i="23" a="1"/>
  <c r="Q1073" i="23" a="1"/>
  <c r="Q1074" i="23" a="1"/>
  <c r="Q1075" i="23" a="1"/>
  <c r="Q1076" i="23" a="1"/>
  <c r="Q1077" i="23" a="1"/>
  <c r="Q1078" i="23" a="1"/>
  <c r="Q1079" i="23" a="1"/>
  <c r="Q1080" i="23" a="1"/>
  <c r="Q1081" i="23" a="1"/>
  <c r="Q1082" i="23" a="1"/>
  <c r="Q1083" i="23" a="1"/>
  <c r="Q1084" i="23" a="1"/>
  <c r="Q1085" i="23" a="1"/>
  <c r="Q1086" i="23" a="1"/>
  <c r="Q1087" i="23" a="1"/>
  <c r="Q1088" i="23" a="1"/>
  <c r="Q1089" i="23" a="1"/>
  <c r="Q1090" i="23" a="1"/>
  <c r="Q1091" i="23" a="1"/>
  <c r="Q1092" i="23" a="1"/>
  <c r="Q1093" i="23" a="1"/>
  <c r="Q1094" i="23" a="1"/>
  <c r="Q1095" i="23" a="1"/>
  <c r="Q1096" i="23" a="1"/>
  <c r="Q1097" i="23" a="1"/>
  <c r="Q1098" i="23" a="1"/>
  <c r="Q1099" i="23" a="1"/>
  <c r="Q1100" i="23" a="1"/>
  <c r="Q1101" i="23" a="1"/>
  <c r="Q1102" i="23" a="1"/>
  <c r="Q1103" i="23" a="1"/>
  <c r="Q1104" i="23" a="1"/>
  <c r="Q1105" i="23" a="1"/>
  <c r="Q1106" i="23" a="1"/>
  <c r="Q1107" i="23" a="1"/>
  <c r="Q1108" i="23" a="1"/>
  <c r="Q1109" i="23" a="1"/>
  <c r="Q1110" i="23" a="1"/>
  <c r="Q1111" i="23" a="1"/>
  <c r="Q1112" i="23" a="1"/>
  <c r="Q1113" i="23" a="1"/>
  <c r="Q1114" i="23" a="1"/>
  <c r="Q1115" i="23" a="1"/>
  <c r="Q1116" i="23" a="1"/>
  <c r="Q1117" i="23" a="1"/>
  <c r="Q1118" i="23" a="1"/>
  <c r="Q1119" i="23" a="1"/>
  <c r="Q1120" i="23" a="1"/>
  <c r="Q1121" i="23" a="1"/>
  <c r="Q1122" i="23" a="1"/>
  <c r="Q1123" i="23" a="1"/>
  <c r="Q1124" i="23" a="1"/>
  <c r="Q1125" i="23" a="1"/>
  <c r="Q1126" i="23" a="1"/>
  <c r="Q1127" i="23" a="1"/>
  <c r="Q1128" i="23" a="1"/>
  <c r="Q1129" i="23" a="1"/>
  <c r="Q1130" i="23" a="1"/>
  <c r="Q1131" i="23" a="1"/>
  <c r="Q1132" i="23" a="1"/>
  <c r="Q1133" i="23" a="1"/>
  <c r="Q1134" i="23" a="1"/>
  <c r="Q1135" i="23" a="1"/>
  <c r="Q1136" i="23" a="1"/>
  <c r="Q1137" i="23" a="1"/>
  <c r="Q1138" i="23" a="1"/>
  <c r="Q1139" i="23" a="1"/>
  <c r="Q1140" i="23" a="1"/>
  <c r="Q1141" i="23" a="1"/>
  <c r="Q1142" i="23" a="1"/>
  <c r="Q1143" i="23" a="1"/>
  <c r="Q1144" i="23" a="1"/>
  <c r="Q1145" i="23" a="1"/>
  <c r="Q1146" i="23" a="1"/>
  <c r="Q1147" i="23" a="1"/>
  <c r="Q1148" i="23" a="1"/>
  <c r="Q1149" i="23" a="1"/>
  <c r="Q1150" i="23" a="1"/>
  <c r="Q1151" i="23" a="1"/>
  <c r="Q1152" i="23" a="1"/>
  <c r="Q1153" i="23" a="1"/>
  <c r="Q1154" i="23" a="1"/>
  <c r="Q1155" i="23" a="1"/>
  <c r="Q1156" i="23" a="1"/>
  <c r="Q1157" i="23" a="1"/>
  <c r="Q1158" i="23" a="1"/>
  <c r="Q1159" i="23" a="1"/>
  <c r="Q1160" i="23" a="1"/>
  <c r="Q1161" i="23" a="1"/>
  <c r="Q1162" i="23" a="1"/>
  <c r="Q1163" i="23" a="1"/>
  <c r="Q1164" i="23" a="1"/>
  <c r="Q1165" i="23" a="1"/>
  <c r="Q1166" i="23" a="1"/>
  <c r="Q1167" i="23" a="1"/>
  <c r="Q1168" i="23" a="1"/>
  <c r="Q1169" i="23" a="1"/>
  <c r="Q1170" i="23" a="1"/>
  <c r="Q1171" i="23" a="1"/>
  <c r="Q1172" i="23" a="1"/>
  <c r="Q1173" i="23" a="1"/>
  <c r="Q1174" i="23" a="1"/>
  <c r="Q1175" i="23" a="1"/>
  <c r="Q1176" i="23" a="1"/>
  <c r="Q1177" i="23" a="1"/>
  <c r="Q1178" i="23" a="1"/>
  <c r="Q1179" i="23" a="1"/>
  <c r="Q1180" i="23" a="1"/>
  <c r="Q1181" i="23" a="1"/>
  <c r="Q1182" i="23" a="1"/>
  <c r="Q1183" i="23" a="1"/>
  <c r="Q1184" i="23" a="1"/>
  <c r="Q1185" i="23" a="1"/>
  <c r="Q1186" i="23" a="1"/>
  <c r="Q1187" i="23" a="1"/>
  <c r="Q1188" i="23" a="1"/>
  <c r="Q1189" i="23" a="1"/>
  <c r="Q1190" i="23" a="1"/>
  <c r="Q1191" i="23" a="1"/>
  <c r="Q1192" i="23" a="1"/>
  <c r="Q1193" i="23" a="1"/>
  <c r="Q1194" i="23" a="1"/>
  <c r="Q1195" i="23" a="1"/>
  <c r="Q1196" i="23" a="1"/>
  <c r="Q1197" i="23" a="1"/>
  <c r="Q1198" i="23" a="1"/>
  <c r="Q1199" i="23" a="1"/>
  <c r="Q1200" i="23" a="1"/>
  <c r="Q1201" i="23" a="1"/>
  <c r="Q1202" i="23" a="1"/>
  <c r="Q1203" i="23" a="1"/>
  <c r="Q1204" i="23" a="1"/>
  <c r="Q1205" i="23" a="1"/>
  <c r="T127" i="23" a="1"/>
  <c r="T128" i="23" a="1"/>
  <c r="T129" i="23" a="1"/>
  <c r="T130" i="23" a="1"/>
  <c r="T131" i="23" a="1"/>
  <c r="T132" i="23" a="1"/>
  <c r="T133" i="23" a="1"/>
  <c r="T134" i="23" a="1"/>
  <c r="T135" i="23" a="1"/>
  <c r="T136" i="23" a="1"/>
  <c r="T137" i="23" a="1"/>
  <c r="T138" i="23" a="1"/>
  <c r="T139" i="23" a="1"/>
  <c r="T140" i="23" a="1"/>
  <c r="T141" i="23" a="1"/>
  <c r="T142" i="23" a="1"/>
  <c r="T143" i="23" a="1"/>
  <c r="T144" i="23" a="1"/>
  <c r="T145" i="23" a="1"/>
  <c r="T146" i="23" a="1"/>
  <c r="T147" i="23" a="1"/>
  <c r="T148" i="23" a="1"/>
  <c r="T149" i="23" a="1"/>
  <c r="T150" i="23" a="1"/>
  <c r="T151" i="23" a="1"/>
  <c r="T152" i="23" a="1"/>
  <c r="T153" i="23" a="1"/>
  <c r="T154" i="23" a="1"/>
  <c r="T155" i="23" a="1"/>
  <c r="T156" i="23" a="1"/>
  <c r="T157" i="23" a="1"/>
  <c r="T158" i="23" a="1"/>
  <c r="T159" i="23" a="1"/>
  <c r="T160" i="23" a="1"/>
  <c r="T161" i="23" a="1"/>
  <c r="T162" i="23" a="1"/>
  <c r="T163" i="23" a="1"/>
  <c r="T164" i="23" a="1"/>
  <c r="T165" i="23" a="1"/>
  <c r="T166" i="23" a="1"/>
  <c r="T167" i="23" a="1"/>
  <c r="T168" i="23" a="1"/>
  <c r="T169" i="23" a="1"/>
  <c r="T170" i="23" a="1"/>
  <c r="T171" i="23" a="1"/>
  <c r="T172" i="23" a="1"/>
  <c r="T173" i="23" a="1"/>
  <c r="T174" i="23" a="1"/>
  <c r="T175" i="23" a="1"/>
  <c r="T176" i="23" a="1"/>
  <c r="T177" i="23" a="1"/>
  <c r="T178" i="23" a="1"/>
  <c r="T179" i="23" a="1"/>
  <c r="T180" i="23" a="1"/>
  <c r="T181" i="23" a="1"/>
  <c r="T182" i="23" a="1"/>
  <c r="T183" i="23" a="1"/>
  <c r="T184" i="23" a="1"/>
  <c r="T185" i="23" a="1"/>
  <c r="T186" i="23" a="1"/>
  <c r="T187" i="23" a="1"/>
  <c r="T188" i="23" a="1"/>
  <c r="T189" i="23" a="1"/>
  <c r="T190" i="23" a="1"/>
  <c r="T191" i="23" a="1"/>
  <c r="T192" i="23" a="1"/>
  <c r="T193" i="23" a="1"/>
  <c r="T194" i="23" a="1"/>
  <c r="T195" i="23" a="1"/>
  <c r="T196" i="23" a="1"/>
  <c r="T197" i="23" a="1"/>
  <c r="T198" i="23" a="1"/>
  <c r="T199" i="23" a="1"/>
  <c r="T200" i="23" a="1"/>
  <c r="T201" i="23" a="1"/>
  <c r="T202" i="23" a="1"/>
  <c r="T203" i="23" a="1"/>
  <c r="T204" i="23" a="1"/>
  <c r="T205" i="23" a="1"/>
  <c r="T206" i="23" a="1"/>
  <c r="T207" i="23" a="1"/>
  <c r="T208" i="23" a="1"/>
  <c r="T209" i="23" a="1"/>
  <c r="T210" i="23" a="1"/>
  <c r="T211" i="23" a="1"/>
  <c r="T212" i="23" a="1"/>
  <c r="T213" i="23" a="1"/>
  <c r="T214" i="23" a="1"/>
  <c r="T215" i="23" a="1"/>
  <c r="T216" i="23" a="1"/>
  <c r="T217" i="23" a="1"/>
  <c r="T218" i="23" a="1"/>
  <c r="T219" i="23" a="1"/>
  <c r="T220" i="23" a="1"/>
  <c r="T221" i="23" a="1"/>
  <c r="T222" i="23" a="1"/>
  <c r="T223" i="23" a="1"/>
  <c r="T224" i="23" a="1"/>
  <c r="T225" i="23" a="1"/>
  <c r="T226" i="23" a="1"/>
  <c r="T227" i="23" a="1"/>
  <c r="T228" i="23" a="1"/>
  <c r="T229" i="23" a="1"/>
  <c r="T230" i="23" a="1"/>
  <c r="T231" i="23" a="1"/>
  <c r="T232" i="23" a="1"/>
  <c r="T233" i="23" a="1"/>
  <c r="T234" i="23" a="1"/>
  <c r="T235" i="23" a="1"/>
  <c r="T236" i="23" a="1"/>
  <c r="T237" i="23" a="1"/>
  <c r="T238" i="23" a="1"/>
  <c r="T239" i="23" a="1"/>
  <c r="T240" i="23" a="1"/>
  <c r="T241" i="23" a="1"/>
  <c r="T242" i="23" a="1"/>
  <c r="T243" i="23" a="1"/>
  <c r="T244" i="23" a="1"/>
  <c r="T245" i="23" a="1"/>
  <c r="T246" i="23" a="1"/>
  <c r="T247" i="23" a="1"/>
  <c r="T248" i="23" a="1"/>
  <c r="T249" i="23" a="1"/>
  <c r="T250" i="23" a="1"/>
  <c r="T251" i="23" a="1"/>
  <c r="T252" i="23" a="1"/>
  <c r="T253" i="23" a="1"/>
  <c r="T254" i="23" a="1"/>
  <c r="T255" i="23" a="1"/>
  <c r="T256" i="23" a="1"/>
  <c r="T257" i="23" a="1"/>
  <c r="T258" i="23" a="1"/>
  <c r="T259" i="23" a="1"/>
  <c r="T260" i="23" a="1"/>
  <c r="T261" i="23" a="1"/>
  <c r="T262" i="23" a="1"/>
  <c r="T263" i="23" a="1"/>
  <c r="T264" i="23" a="1"/>
  <c r="T265" i="23" a="1"/>
  <c r="T266" i="23" a="1"/>
  <c r="T267" i="23" a="1"/>
  <c r="T268" i="23" a="1"/>
  <c r="T269" i="23" a="1"/>
  <c r="T270" i="23" a="1"/>
  <c r="T271" i="23" a="1"/>
  <c r="T272" i="23" a="1"/>
  <c r="T273" i="23" a="1"/>
  <c r="T274" i="23" a="1"/>
  <c r="T275" i="23" a="1"/>
  <c r="T276" i="23" a="1"/>
  <c r="T277" i="23" a="1"/>
  <c r="T278" i="23" a="1"/>
  <c r="T279" i="23" a="1"/>
  <c r="T280" i="23" a="1"/>
  <c r="T281" i="23" a="1"/>
  <c r="T282" i="23" a="1"/>
  <c r="T283" i="23" a="1"/>
  <c r="T284" i="23" a="1"/>
  <c r="T285" i="23" a="1"/>
  <c r="T286" i="23" a="1"/>
  <c r="T287" i="23" a="1"/>
  <c r="T288" i="23" a="1"/>
  <c r="T289" i="23" a="1"/>
  <c r="T290" i="23" a="1"/>
  <c r="T291" i="23" a="1"/>
  <c r="T292" i="23" a="1"/>
  <c r="T293" i="23" a="1"/>
  <c r="T294" i="23" a="1"/>
  <c r="T295" i="23" a="1"/>
  <c r="T296" i="23" a="1"/>
  <c r="T297" i="23" a="1"/>
  <c r="T298" i="23" a="1"/>
  <c r="T299" i="23" a="1"/>
  <c r="T300" i="23" a="1"/>
  <c r="T301" i="23" a="1"/>
  <c r="T302" i="23" a="1"/>
  <c r="T303" i="23" a="1"/>
  <c r="T304" i="23" a="1"/>
  <c r="T305" i="23" a="1"/>
  <c r="T306" i="23" a="1"/>
  <c r="T307" i="23" a="1"/>
  <c r="T308" i="23" a="1"/>
  <c r="T309" i="23" a="1"/>
  <c r="T310" i="23" a="1"/>
  <c r="T311" i="23" a="1"/>
  <c r="T312" i="23" a="1"/>
  <c r="T313" i="23" a="1"/>
  <c r="T314" i="23" a="1"/>
  <c r="T315" i="23" a="1"/>
  <c r="T316" i="23" a="1"/>
  <c r="T317" i="23" a="1"/>
  <c r="T318" i="23" a="1"/>
  <c r="T319" i="23" a="1"/>
  <c r="T320" i="23" a="1"/>
  <c r="T321" i="23" a="1"/>
  <c r="T322" i="23" a="1"/>
  <c r="T323" i="23" a="1"/>
  <c r="T324" i="23" a="1"/>
  <c r="T325" i="23" a="1"/>
  <c r="T326" i="23" a="1"/>
  <c r="T327" i="23" a="1"/>
  <c r="T328" i="23" a="1"/>
  <c r="T329" i="23" a="1"/>
  <c r="T330" i="23" a="1"/>
  <c r="T331" i="23" a="1"/>
  <c r="T332" i="23" a="1"/>
  <c r="T333" i="23" a="1"/>
  <c r="T334" i="23" a="1"/>
  <c r="T335" i="23" a="1"/>
  <c r="T336" i="23" a="1"/>
  <c r="T337" i="23" a="1"/>
  <c r="T338" i="23" a="1"/>
  <c r="T339" i="23" a="1"/>
  <c r="T340" i="23" a="1"/>
  <c r="T341" i="23" a="1"/>
  <c r="T342" i="23" a="1"/>
  <c r="T343" i="23" a="1"/>
  <c r="T344" i="23" a="1"/>
  <c r="T345" i="23" a="1"/>
  <c r="T346" i="23" a="1"/>
  <c r="T347" i="23" a="1"/>
  <c r="T348" i="23" a="1"/>
  <c r="T349" i="23" a="1"/>
  <c r="T350" i="23" a="1"/>
  <c r="T351" i="23" a="1"/>
  <c r="T352" i="23" a="1"/>
  <c r="T353" i="23" a="1"/>
  <c r="T354" i="23" a="1"/>
  <c r="T355" i="23" a="1"/>
  <c r="T356" i="23" a="1"/>
  <c r="T357" i="23" a="1"/>
  <c r="T358" i="23" a="1"/>
  <c r="T359" i="23" a="1"/>
  <c r="T360" i="23" a="1"/>
  <c r="T361" i="23" a="1"/>
  <c r="T362" i="23" a="1"/>
  <c r="T363" i="23" a="1"/>
  <c r="T364" i="23" a="1"/>
  <c r="T365" i="23" a="1"/>
  <c r="T366" i="23" a="1"/>
  <c r="T367" i="23" a="1"/>
  <c r="T368" i="23" a="1"/>
  <c r="T369" i="23" a="1"/>
  <c r="T370" i="23" a="1"/>
  <c r="T371" i="23" a="1"/>
  <c r="T372" i="23" a="1"/>
  <c r="T373" i="23" a="1"/>
  <c r="T374" i="23" a="1"/>
  <c r="T375" i="23" a="1"/>
  <c r="T376" i="23" a="1"/>
  <c r="T377" i="23" a="1"/>
  <c r="T378" i="23" a="1"/>
  <c r="T379" i="23" a="1"/>
  <c r="T380" i="23" a="1"/>
  <c r="T381" i="23" a="1"/>
  <c r="T382" i="23" a="1"/>
  <c r="T383" i="23" a="1"/>
  <c r="T384" i="23" a="1"/>
  <c r="T385" i="23" a="1"/>
  <c r="T386" i="23" a="1"/>
  <c r="T387" i="23" a="1"/>
  <c r="T388" i="23" a="1"/>
  <c r="T389" i="23" a="1"/>
  <c r="T390" i="23" a="1"/>
  <c r="T391" i="23" a="1"/>
  <c r="T392" i="23" a="1"/>
  <c r="T393" i="23" a="1"/>
  <c r="T394" i="23" a="1"/>
  <c r="T395" i="23" a="1"/>
  <c r="T396" i="23" a="1"/>
  <c r="T397" i="23" a="1"/>
  <c r="T398" i="23" a="1"/>
  <c r="T399" i="23" a="1"/>
  <c r="T400" i="23" a="1"/>
  <c r="T401" i="23" a="1"/>
  <c r="T402" i="23" a="1"/>
  <c r="T403" i="23" a="1"/>
  <c r="T404" i="23" a="1"/>
  <c r="T405" i="23" a="1"/>
  <c r="T406" i="23" a="1"/>
  <c r="T407" i="23" a="1"/>
  <c r="T408" i="23" a="1"/>
  <c r="T409" i="23" a="1"/>
  <c r="T410" i="23" a="1"/>
  <c r="T411" i="23" a="1"/>
  <c r="T412" i="23" a="1"/>
  <c r="T413" i="23" a="1"/>
  <c r="T414" i="23" a="1"/>
  <c r="T415" i="23" a="1"/>
  <c r="T416" i="23" a="1"/>
  <c r="T417" i="23" a="1"/>
  <c r="T418" i="23" a="1"/>
  <c r="T419" i="23" a="1"/>
  <c r="T420" i="23" a="1"/>
  <c r="T421" i="23" a="1"/>
  <c r="T422" i="23" a="1"/>
  <c r="T423" i="23" a="1"/>
  <c r="T424" i="23" a="1"/>
  <c r="T425" i="23" a="1"/>
  <c r="T426" i="23" a="1"/>
  <c r="T427" i="23" a="1"/>
  <c r="T428" i="23" a="1"/>
  <c r="T429" i="23" a="1"/>
  <c r="T430" i="23" a="1"/>
  <c r="T431" i="23" a="1"/>
  <c r="T432" i="23" a="1"/>
  <c r="T433" i="23" a="1"/>
  <c r="T434" i="23" a="1"/>
  <c r="T435" i="23" a="1"/>
  <c r="T436" i="23" a="1"/>
  <c r="T437" i="23" a="1"/>
  <c r="T438" i="23" a="1"/>
  <c r="T439" i="23" a="1"/>
  <c r="T440" i="23" a="1"/>
  <c r="T441" i="23" a="1"/>
  <c r="T442" i="23" a="1"/>
  <c r="T443" i="23" a="1"/>
  <c r="T444" i="23" a="1"/>
  <c r="T445" i="23" a="1"/>
  <c r="T446" i="23" a="1"/>
  <c r="T447" i="23" a="1"/>
  <c r="T448" i="23" a="1"/>
  <c r="T449" i="23" a="1"/>
  <c r="T450" i="23" a="1"/>
  <c r="T451" i="23" a="1"/>
  <c r="T452" i="23" a="1"/>
  <c r="T453" i="23" a="1"/>
  <c r="T454" i="23" a="1"/>
  <c r="T455" i="23" a="1"/>
  <c r="T456" i="23" a="1"/>
  <c r="T457" i="23" a="1"/>
  <c r="T458" i="23" a="1"/>
  <c r="T459" i="23" a="1"/>
  <c r="T460" i="23" a="1"/>
  <c r="T461" i="23" a="1"/>
  <c r="T462" i="23" a="1"/>
  <c r="T463" i="23" a="1"/>
  <c r="T464" i="23" a="1"/>
  <c r="T465" i="23" a="1"/>
  <c r="T466" i="23" a="1"/>
  <c r="T467" i="23" a="1"/>
  <c r="T468" i="23" a="1"/>
  <c r="T469" i="23" a="1"/>
  <c r="T470" i="23" a="1"/>
  <c r="T471" i="23" a="1"/>
  <c r="T472" i="23" a="1"/>
  <c r="T473" i="23" a="1"/>
  <c r="T474" i="23" a="1"/>
  <c r="T475" i="23" a="1"/>
  <c r="T476" i="23" a="1"/>
  <c r="T477" i="23" a="1"/>
  <c r="T478" i="23" a="1"/>
  <c r="T479" i="23" a="1"/>
  <c r="T480" i="23" a="1"/>
  <c r="T481" i="23" a="1"/>
  <c r="T482" i="23" a="1"/>
  <c r="T483" i="23" a="1"/>
  <c r="T484" i="23" a="1"/>
  <c r="T485" i="23" a="1"/>
  <c r="T486" i="23" a="1"/>
  <c r="T487" i="23" a="1"/>
  <c r="T488" i="23" a="1"/>
  <c r="T489" i="23" a="1"/>
  <c r="T490" i="23" a="1"/>
  <c r="T491" i="23" a="1"/>
  <c r="T492" i="23" a="1"/>
  <c r="T493" i="23" a="1"/>
  <c r="T494" i="23" a="1"/>
  <c r="T495" i="23" a="1"/>
  <c r="T496" i="23" a="1"/>
  <c r="T497" i="23" a="1"/>
  <c r="T498" i="23" a="1"/>
  <c r="T499" i="23" a="1"/>
  <c r="T500" i="23" a="1"/>
  <c r="T501" i="23" a="1"/>
  <c r="T502" i="23" a="1"/>
  <c r="T503" i="23" a="1"/>
  <c r="T504" i="23" a="1"/>
  <c r="T505" i="23" a="1"/>
  <c r="T506" i="23" a="1"/>
  <c r="T507" i="23" a="1"/>
  <c r="T508" i="23" a="1"/>
  <c r="T509" i="23" a="1"/>
  <c r="T510" i="23" a="1"/>
  <c r="T511" i="23" a="1"/>
  <c r="T512" i="23" a="1"/>
  <c r="T513" i="23" a="1"/>
  <c r="T514" i="23" a="1"/>
  <c r="T515" i="23" a="1"/>
  <c r="T516" i="23" a="1"/>
  <c r="T517" i="23" a="1"/>
  <c r="T518" i="23" a="1"/>
  <c r="T519" i="23" a="1"/>
  <c r="T520" i="23" a="1"/>
  <c r="T521" i="23" a="1"/>
  <c r="T522" i="23" a="1"/>
  <c r="T523" i="23" a="1"/>
  <c r="T524" i="23" a="1"/>
  <c r="T525" i="23" a="1"/>
  <c r="T526" i="23" a="1"/>
  <c r="T527" i="23" a="1"/>
  <c r="T528" i="23" a="1"/>
  <c r="T529" i="23" a="1"/>
  <c r="T530" i="23" a="1"/>
  <c r="T531" i="23" a="1"/>
  <c r="T532" i="23" a="1"/>
  <c r="T533" i="23" a="1"/>
  <c r="T534" i="23" a="1"/>
  <c r="T535" i="23" a="1"/>
  <c r="T536" i="23" a="1"/>
  <c r="T537" i="23" a="1"/>
  <c r="T538" i="23" a="1"/>
  <c r="T539" i="23" a="1"/>
  <c r="T540" i="23" a="1"/>
  <c r="T541" i="23" a="1"/>
  <c r="T542" i="23" a="1"/>
  <c r="T543" i="23" a="1"/>
  <c r="T544" i="23" a="1"/>
  <c r="T545" i="23" a="1"/>
  <c r="T546" i="23" a="1"/>
  <c r="T547" i="23" a="1"/>
  <c r="T548" i="23" a="1"/>
  <c r="T549" i="23" a="1"/>
  <c r="T550" i="23" a="1"/>
  <c r="T551" i="23" a="1"/>
  <c r="T552" i="23" a="1"/>
  <c r="T553" i="23" a="1"/>
  <c r="T554" i="23" a="1"/>
  <c r="T555" i="23" a="1"/>
  <c r="T556" i="23" a="1"/>
  <c r="T557" i="23" a="1"/>
  <c r="T558" i="23" a="1"/>
  <c r="T559" i="23" a="1"/>
  <c r="T560" i="23" a="1"/>
  <c r="T561" i="23" a="1"/>
  <c r="T562" i="23" a="1"/>
  <c r="T563" i="23" a="1"/>
  <c r="T564" i="23" a="1"/>
  <c r="T565" i="23" a="1"/>
  <c r="T566" i="23" a="1"/>
  <c r="T567" i="23" a="1"/>
  <c r="T568" i="23" a="1"/>
  <c r="T569" i="23" a="1"/>
  <c r="T570" i="23" a="1"/>
  <c r="T571" i="23" a="1"/>
  <c r="T572" i="23" a="1"/>
  <c r="T573" i="23" a="1"/>
  <c r="T574" i="23" a="1"/>
  <c r="T575" i="23" a="1"/>
  <c r="T576" i="23" a="1"/>
  <c r="T577" i="23" a="1"/>
  <c r="T578" i="23" a="1"/>
  <c r="T579" i="23" a="1"/>
  <c r="T580" i="23" a="1"/>
  <c r="T581" i="23" a="1"/>
  <c r="T582" i="23" a="1"/>
  <c r="T583" i="23" a="1"/>
  <c r="T584" i="23" a="1"/>
  <c r="T585" i="23" a="1"/>
  <c r="T586" i="23" a="1"/>
  <c r="T587" i="23" a="1"/>
  <c r="T588" i="23" a="1"/>
  <c r="T589" i="23" a="1"/>
  <c r="T590" i="23" a="1"/>
  <c r="T591" i="23" a="1"/>
  <c r="T592" i="23" a="1"/>
  <c r="T593" i="23" a="1"/>
  <c r="T594" i="23" a="1"/>
  <c r="T595" i="23" a="1"/>
  <c r="T596" i="23" a="1"/>
  <c r="T597" i="23" a="1"/>
  <c r="T598" i="23" a="1"/>
  <c r="T599" i="23" a="1"/>
  <c r="T600" i="23" a="1"/>
  <c r="T601" i="23" a="1"/>
  <c r="T602" i="23" a="1"/>
  <c r="T603" i="23" a="1"/>
  <c r="T604" i="23" a="1"/>
  <c r="T605" i="23" a="1"/>
  <c r="T606" i="23" a="1"/>
  <c r="T607" i="23" a="1"/>
  <c r="T608" i="23" a="1"/>
  <c r="T609" i="23" a="1"/>
  <c r="T610" i="23" a="1"/>
  <c r="T611" i="23" a="1"/>
  <c r="T612" i="23" a="1"/>
  <c r="T613" i="23" a="1"/>
  <c r="T614" i="23" a="1"/>
  <c r="T615" i="23" a="1"/>
  <c r="T616" i="23" a="1"/>
  <c r="T617" i="23" a="1"/>
  <c r="T618" i="23" a="1"/>
  <c r="T619" i="23" a="1"/>
  <c r="T620" i="23" a="1"/>
  <c r="T621" i="23" a="1"/>
  <c r="T622" i="23" a="1"/>
  <c r="T623" i="23" a="1"/>
  <c r="T624" i="23" a="1"/>
  <c r="T625" i="23" a="1"/>
  <c r="T626" i="23" a="1"/>
  <c r="T627" i="23" a="1"/>
  <c r="T628" i="23" a="1"/>
  <c r="T629" i="23" a="1"/>
  <c r="T630" i="23" a="1"/>
  <c r="T631" i="23" a="1"/>
  <c r="T632" i="23" a="1"/>
  <c r="T633" i="23" a="1"/>
  <c r="T634" i="23" a="1"/>
  <c r="T635" i="23" a="1"/>
  <c r="T636" i="23" a="1"/>
  <c r="T637" i="23" a="1"/>
  <c r="T638" i="23" a="1"/>
  <c r="T639" i="23" a="1"/>
  <c r="T640" i="23" a="1"/>
  <c r="T641" i="23" a="1"/>
  <c r="T642" i="23" a="1"/>
  <c r="T643" i="23" a="1"/>
  <c r="T644" i="23" a="1"/>
  <c r="T645" i="23" a="1"/>
  <c r="T646" i="23" a="1"/>
  <c r="T647" i="23" a="1"/>
  <c r="T648" i="23" a="1"/>
  <c r="T649" i="23" a="1"/>
  <c r="T650" i="23" a="1"/>
  <c r="T651" i="23" a="1"/>
  <c r="T652" i="23" a="1"/>
  <c r="T653" i="23" a="1"/>
  <c r="T654" i="23" a="1"/>
  <c r="T655" i="23" a="1"/>
  <c r="T656" i="23" a="1"/>
  <c r="T657" i="23" a="1"/>
  <c r="T658" i="23" a="1"/>
  <c r="T659" i="23" a="1"/>
  <c r="T660" i="23" a="1"/>
  <c r="T661" i="23" a="1"/>
  <c r="T662" i="23" a="1"/>
  <c r="T663" i="23" a="1"/>
  <c r="T664" i="23" a="1"/>
  <c r="T665" i="23" a="1"/>
  <c r="T666" i="23" a="1"/>
  <c r="T667" i="23" a="1"/>
  <c r="T668" i="23" a="1"/>
  <c r="T669" i="23" a="1"/>
  <c r="T670" i="23" a="1"/>
  <c r="T671" i="23" a="1"/>
  <c r="T672" i="23" a="1"/>
  <c r="T673" i="23" a="1"/>
  <c r="T674" i="23" a="1"/>
  <c r="T675" i="23" a="1"/>
  <c r="T676" i="23" a="1"/>
  <c r="T677" i="23" a="1"/>
  <c r="T678" i="23" a="1"/>
  <c r="T679" i="23" a="1"/>
  <c r="T680" i="23" a="1"/>
  <c r="T681" i="23" a="1"/>
  <c r="T682" i="23" a="1"/>
  <c r="T683" i="23" a="1"/>
  <c r="T684" i="23" a="1"/>
  <c r="T685" i="23" a="1"/>
  <c r="T686" i="23" a="1"/>
  <c r="T687" i="23" a="1"/>
  <c r="T688" i="23" a="1"/>
  <c r="T689" i="23" a="1"/>
  <c r="T690" i="23" a="1"/>
  <c r="T691" i="23" a="1"/>
  <c r="T692" i="23" a="1"/>
  <c r="T693" i="23" a="1"/>
  <c r="T694" i="23" a="1"/>
  <c r="T695" i="23" a="1"/>
  <c r="T696" i="23" a="1"/>
  <c r="T697" i="23" a="1"/>
  <c r="T698" i="23" a="1"/>
  <c r="T699" i="23" a="1"/>
  <c r="T700" i="23" a="1"/>
  <c r="T701" i="23" a="1"/>
  <c r="T702" i="23" a="1"/>
  <c r="T703" i="23" a="1"/>
  <c r="T704" i="23" a="1"/>
  <c r="T705" i="23" a="1"/>
  <c r="T706" i="23" a="1"/>
  <c r="T707" i="23" a="1"/>
  <c r="T708" i="23" a="1"/>
  <c r="T709" i="23" a="1"/>
  <c r="T710" i="23" a="1"/>
  <c r="T711" i="23" a="1"/>
  <c r="T712" i="23" a="1"/>
  <c r="T713" i="23" a="1"/>
  <c r="T714" i="23" a="1"/>
  <c r="T715" i="23" a="1"/>
  <c r="T716" i="23" a="1"/>
  <c r="T717" i="23" a="1"/>
  <c r="T718" i="23" a="1"/>
  <c r="T719" i="23" a="1"/>
  <c r="T720" i="23" a="1"/>
  <c r="T721" i="23" a="1"/>
  <c r="T722" i="23" a="1"/>
  <c r="T723" i="23" a="1"/>
  <c r="T724" i="23" a="1"/>
  <c r="T725" i="23" a="1"/>
  <c r="T726" i="23" a="1"/>
  <c r="T727" i="23" a="1"/>
  <c r="T728" i="23" a="1"/>
  <c r="T729" i="23" a="1"/>
  <c r="T730" i="23" a="1"/>
  <c r="T731" i="23" a="1"/>
  <c r="T732" i="23" a="1"/>
  <c r="T733" i="23" a="1"/>
  <c r="T734" i="23" a="1"/>
  <c r="T735" i="23" a="1"/>
  <c r="T736" i="23" a="1"/>
  <c r="T737" i="23" a="1"/>
  <c r="T738" i="23" a="1"/>
  <c r="T739" i="23" a="1"/>
  <c r="T740" i="23" a="1"/>
  <c r="T741" i="23" a="1"/>
  <c r="T742" i="23" a="1"/>
  <c r="T743" i="23" a="1"/>
  <c r="T744" i="23" a="1"/>
  <c r="T745" i="23" a="1"/>
  <c r="T746" i="23" a="1"/>
  <c r="T747" i="23" a="1"/>
  <c r="T748" i="23" a="1"/>
  <c r="T749" i="23" a="1"/>
  <c r="T750" i="23" a="1"/>
  <c r="T751" i="23" a="1"/>
  <c r="T752" i="23" a="1"/>
  <c r="T753" i="23" a="1"/>
  <c r="T754" i="23" a="1"/>
  <c r="T755" i="23" a="1"/>
  <c r="T756" i="23" a="1"/>
  <c r="T757" i="23" a="1"/>
  <c r="T758" i="23" a="1"/>
  <c r="T759" i="23" a="1"/>
  <c r="T760" i="23" a="1"/>
  <c r="T761" i="23" a="1"/>
  <c r="T762" i="23" a="1"/>
  <c r="T763" i="23" a="1"/>
  <c r="T764" i="23" a="1"/>
  <c r="T765" i="23" a="1"/>
  <c r="T766" i="23" a="1"/>
  <c r="T767" i="23" a="1"/>
  <c r="T768" i="23" a="1"/>
  <c r="T769" i="23" a="1"/>
  <c r="T770" i="23" a="1"/>
  <c r="T771" i="23" a="1"/>
  <c r="T772" i="23" a="1"/>
  <c r="T773" i="23" a="1"/>
  <c r="T774" i="23" a="1"/>
  <c r="T775" i="23" a="1"/>
  <c r="T776" i="23" a="1"/>
  <c r="T777" i="23" a="1"/>
  <c r="T778" i="23" a="1"/>
  <c r="T779" i="23" a="1"/>
  <c r="T780" i="23" a="1"/>
  <c r="T781" i="23" a="1"/>
  <c r="T782" i="23" a="1"/>
  <c r="T783" i="23" a="1"/>
  <c r="T784" i="23" a="1"/>
  <c r="T785" i="23" a="1"/>
  <c r="T786" i="23" a="1"/>
  <c r="T787" i="23" a="1"/>
  <c r="T788" i="23" a="1"/>
  <c r="T789" i="23" a="1"/>
  <c r="T790" i="23" a="1"/>
  <c r="T791" i="23" a="1"/>
  <c r="T792" i="23" a="1"/>
  <c r="T793" i="23" a="1"/>
  <c r="T794" i="23" a="1"/>
  <c r="T795" i="23" a="1"/>
  <c r="T796" i="23" a="1"/>
  <c r="T797" i="23" a="1"/>
  <c r="T798" i="23" a="1"/>
  <c r="T799" i="23" a="1"/>
  <c r="T800" i="23" a="1"/>
  <c r="T801" i="23" a="1"/>
  <c r="T802" i="23" a="1"/>
  <c r="T803" i="23" a="1"/>
  <c r="T804" i="23" a="1"/>
  <c r="T805" i="23" a="1"/>
  <c r="T806" i="23" a="1"/>
  <c r="T807" i="23" a="1"/>
  <c r="T808" i="23" a="1"/>
  <c r="T809" i="23" a="1"/>
  <c r="T810" i="23" a="1"/>
  <c r="T811" i="23" a="1"/>
  <c r="T812" i="23" a="1"/>
  <c r="T813" i="23" a="1"/>
  <c r="T814" i="23" a="1"/>
  <c r="T815" i="23" a="1"/>
  <c r="T816" i="23" a="1"/>
  <c r="T817" i="23" a="1"/>
  <c r="T818" i="23" a="1"/>
  <c r="T819" i="23" a="1"/>
  <c r="T820" i="23" a="1"/>
  <c r="T821" i="23" a="1"/>
  <c r="T822" i="23" a="1"/>
  <c r="T823" i="23" a="1"/>
  <c r="T824" i="23" a="1"/>
  <c r="T825" i="23" a="1"/>
  <c r="T826" i="23" a="1"/>
  <c r="T827" i="23" a="1"/>
  <c r="T828" i="23" a="1"/>
  <c r="T829" i="23" a="1"/>
  <c r="T830" i="23" a="1"/>
  <c r="T831" i="23" a="1"/>
  <c r="T832" i="23" a="1"/>
  <c r="T833" i="23" a="1"/>
  <c r="T834" i="23" a="1"/>
  <c r="T835" i="23" a="1"/>
  <c r="T836" i="23" a="1"/>
  <c r="T837" i="23" a="1"/>
  <c r="T838" i="23" a="1"/>
  <c r="T839" i="23" a="1"/>
  <c r="T840" i="23" a="1"/>
  <c r="T841" i="23" a="1"/>
  <c r="T842" i="23" a="1"/>
  <c r="T843" i="23" a="1"/>
  <c r="T844" i="23" a="1"/>
  <c r="T845" i="23" a="1"/>
  <c r="T846" i="23" a="1"/>
  <c r="T847" i="23" a="1"/>
  <c r="T848" i="23" a="1"/>
  <c r="T849" i="23" a="1"/>
  <c r="T850" i="23" a="1"/>
  <c r="T851" i="23" a="1"/>
  <c r="T852" i="23" a="1"/>
  <c r="T853" i="23" a="1"/>
  <c r="T854" i="23" a="1"/>
  <c r="T855" i="23" a="1"/>
  <c r="T856" i="23" a="1"/>
  <c r="T857" i="23" a="1"/>
  <c r="T858" i="23" a="1"/>
  <c r="T859" i="23" a="1"/>
  <c r="T860" i="23" a="1"/>
  <c r="T861" i="23" a="1"/>
  <c r="T862" i="23" a="1"/>
  <c r="T863" i="23" a="1"/>
  <c r="T864" i="23" a="1"/>
  <c r="T865" i="23" a="1"/>
  <c r="T866" i="23" a="1"/>
  <c r="T867" i="23" a="1"/>
  <c r="T868" i="23" a="1"/>
  <c r="T869" i="23" a="1"/>
  <c r="T870" i="23" a="1"/>
  <c r="T871" i="23" a="1"/>
  <c r="T872" i="23" a="1"/>
  <c r="T873" i="23" a="1"/>
  <c r="T874" i="23" a="1"/>
  <c r="T875" i="23" a="1"/>
  <c r="T876" i="23" a="1"/>
  <c r="T877" i="23" a="1"/>
  <c r="T878" i="23" a="1"/>
  <c r="T879" i="23" a="1"/>
  <c r="T880" i="23" a="1"/>
  <c r="T881" i="23" a="1"/>
  <c r="T882" i="23" a="1"/>
  <c r="T883" i="23" a="1"/>
  <c r="T884" i="23" a="1"/>
  <c r="T885" i="23" a="1"/>
  <c r="T886" i="23" a="1"/>
  <c r="T887" i="23" a="1"/>
  <c r="T888" i="23" a="1"/>
  <c r="T889" i="23" a="1"/>
  <c r="T890" i="23" a="1"/>
  <c r="T891" i="23" a="1"/>
  <c r="T892" i="23" a="1"/>
  <c r="T893" i="23" a="1"/>
  <c r="T894" i="23" a="1"/>
  <c r="T895" i="23" a="1"/>
  <c r="T896" i="23" a="1"/>
  <c r="T897" i="23" a="1"/>
  <c r="T898" i="23" a="1"/>
  <c r="T899" i="23" a="1"/>
  <c r="T900" i="23" a="1"/>
  <c r="T901" i="23" a="1"/>
  <c r="T902" i="23" a="1"/>
  <c r="T903" i="23" a="1"/>
  <c r="T904" i="23" a="1"/>
  <c r="T905" i="23" a="1"/>
  <c r="T906" i="23" a="1"/>
  <c r="T907" i="23" a="1"/>
  <c r="T908" i="23" a="1"/>
  <c r="T909" i="23" a="1"/>
  <c r="T910" i="23" a="1"/>
  <c r="T911" i="23" a="1"/>
  <c r="T912" i="23" a="1"/>
  <c r="T913" i="23" a="1"/>
  <c r="T914" i="23" a="1"/>
  <c r="T915" i="23" a="1"/>
  <c r="T916" i="23" a="1"/>
  <c r="T917" i="23" a="1"/>
  <c r="T918" i="23" a="1"/>
  <c r="T919" i="23" a="1"/>
  <c r="T920" i="23" a="1"/>
  <c r="T921" i="23" a="1"/>
  <c r="T922" i="23" a="1"/>
  <c r="T923" i="23" a="1"/>
  <c r="T924" i="23" a="1"/>
  <c r="T925" i="23" a="1"/>
  <c r="T926" i="23" a="1"/>
  <c r="T927" i="23" a="1"/>
  <c r="T928" i="23" a="1"/>
  <c r="T929" i="23" a="1"/>
  <c r="T930" i="23" a="1"/>
  <c r="T931" i="23" a="1"/>
  <c r="T932" i="23" a="1"/>
  <c r="T933" i="23" a="1"/>
  <c r="T934" i="23" a="1"/>
  <c r="T935" i="23" a="1"/>
  <c r="T936" i="23" a="1"/>
  <c r="T937" i="23" a="1"/>
  <c r="T938" i="23" a="1"/>
  <c r="T939" i="23" a="1"/>
  <c r="T940" i="23" a="1"/>
  <c r="T941" i="23" a="1"/>
  <c r="T942" i="23" a="1"/>
  <c r="T943" i="23" a="1"/>
  <c r="T944" i="23" a="1"/>
  <c r="T945" i="23" a="1"/>
  <c r="T946" i="23" a="1"/>
  <c r="T947" i="23" a="1"/>
  <c r="T948" i="23" a="1"/>
  <c r="T949" i="23" a="1"/>
  <c r="T950" i="23" a="1"/>
  <c r="T951" i="23" a="1"/>
  <c r="T952" i="23" a="1"/>
  <c r="T953" i="23" a="1"/>
  <c r="T954" i="23" a="1"/>
  <c r="T955" i="23" a="1"/>
  <c r="T956" i="23" a="1"/>
  <c r="T957" i="23" a="1"/>
  <c r="T958" i="23" a="1"/>
  <c r="T959" i="23" a="1"/>
  <c r="T960" i="23" a="1"/>
  <c r="T961" i="23" a="1"/>
  <c r="T962" i="23" a="1"/>
  <c r="T963" i="23" a="1"/>
  <c r="T964" i="23" a="1"/>
  <c r="T965" i="23" a="1"/>
  <c r="T966" i="23" a="1"/>
  <c r="T967" i="23" a="1"/>
  <c r="T968" i="23" a="1"/>
  <c r="T969" i="23" a="1"/>
  <c r="T970" i="23" a="1"/>
  <c r="T971" i="23" a="1"/>
  <c r="T972" i="23" a="1"/>
  <c r="T973" i="23" a="1"/>
  <c r="T974" i="23" a="1"/>
  <c r="T975" i="23" a="1"/>
  <c r="T976" i="23" a="1"/>
  <c r="T977" i="23" a="1"/>
  <c r="T978" i="23" a="1"/>
  <c r="T979" i="23" a="1"/>
  <c r="T980" i="23" a="1"/>
  <c r="T981" i="23" a="1"/>
  <c r="T982" i="23" a="1"/>
  <c r="T983" i="23" a="1"/>
  <c r="T984" i="23" a="1"/>
  <c r="T985" i="23" a="1"/>
  <c r="T986" i="23" a="1"/>
  <c r="T987" i="23" a="1"/>
  <c r="T988" i="23" a="1"/>
  <c r="T989" i="23" a="1"/>
  <c r="T990" i="23" a="1"/>
  <c r="T991" i="23" a="1"/>
  <c r="T992" i="23" a="1"/>
  <c r="T993" i="23" a="1"/>
  <c r="T994" i="23" a="1"/>
  <c r="T995" i="23" a="1"/>
  <c r="T996" i="23" a="1"/>
  <c r="T997" i="23" a="1"/>
  <c r="T998" i="23" a="1"/>
  <c r="T999" i="23" a="1"/>
  <c r="T1000" i="23" a="1"/>
  <c r="T1001" i="23" a="1"/>
  <c r="T1002" i="23" a="1"/>
  <c r="T1003" i="23" a="1"/>
  <c r="T1004" i="23" a="1"/>
  <c r="T1005" i="23" a="1"/>
  <c r="T1006" i="23" a="1"/>
  <c r="T1007" i="23" a="1"/>
  <c r="T1008" i="23" a="1"/>
  <c r="T1009" i="23" a="1"/>
  <c r="T1010" i="23" a="1"/>
  <c r="T1011" i="23" a="1"/>
  <c r="T1012" i="23" a="1"/>
  <c r="T1013" i="23" a="1"/>
  <c r="T1014" i="23" a="1"/>
  <c r="T1015" i="23" a="1"/>
  <c r="T1016" i="23" a="1"/>
  <c r="T1017" i="23" a="1"/>
  <c r="T1018" i="23" a="1"/>
  <c r="T1019" i="23" a="1"/>
  <c r="T1020" i="23" a="1"/>
  <c r="T1021" i="23" a="1"/>
  <c r="T1022" i="23" a="1"/>
  <c r="T1023" i="23" a="1"/>
  <c r="T1024" i="23" a="1"/>
  <c r="T1025" i="23" a="1"/>
  <c r="T1026" i="23" a="1"/>
  <c r="T1027" i="23" a="1"/>
  <c r="T1028" i="23" a="1"/>
  <c r="T1029" i="23" a="1"/>
  <c r="T1030" i="23" a="1"/>
  <c r="T1031" i="23" a="1"/>
  <c r="T1032" i="23" a="1"/>
  <c r="T1033" i="23" a="1"/>
  <c r="T1034" i="23" a="1"/>
  <c r="T1035" i="23" a="1"/>
  <c r="T1036" i="23" a="1"/>
  <c r="T1037" i="23" a="1"/>
  <c r="T1038" i="23" a="1"/>
  <c r="T1039" i="23" a="1"/>
  <c r="T1040" i="23" a="1"/>
  <c r="T1041" i="23" a="1"/>
  <c r="T1042" i="23" a="1"/>
  <c r="T1043" i="23" a="1"/>
  <c r="T1044" i="23" a="1"/>
  <c r="T1045" i="23" a="1"/>
  <c r="T1046" i="23" a="1"/>
  <c r="T1047" i="23" a="1"/>
  <c r="T1048" i="23" a="1"/>
  <c r="T1049" i="23" a="1"/>
  <c r="T1050" i="23" a="1"/>
  <c r="T1051" i="23" a="1"/>
  <c r="T1052" i="23" a="1"/>
  <c r="T1053" i="23" a="1"/>
  <c r="T1054" i="23" a="1"/>
  <c r="T1055" i="23" a="1"/>
  <c r="T1056" i="23" a="1"/>
  <c r="T1057" i="23" a="1"/>
  <c r="T1058" i="23" a="1"/>
  <c r="T1059" i="23" a="1"/>
  <c r="T1060" i="23" a="1"/>
  <c r="T1061" i="23" a="1"/>
  <c r="T1062" i="23" a="1"/>
  <c r="T1063" i="23" a="1"/>
  <c r="T1064" i="23" a="1"/>
  <c r="T1065" i="23" a="1"/>
  <c r="T1066" i="23" a="1"/>
  <c r="T1067" i="23" a="1"/>
  <c r="T1068" i="23" a="1"/>
  <c r="T1069" i="23" a="1"/>
  <c r="T1070" i="23" a="1"/>
  <c r="T1071" i="23" a="1"/>
  <c r="T1072" i="23" a="1"/>
  <c r="T1073" i="23" a="1"/>
  <c r="T1074" i="23" a="1"/>
  <c r="T1075" i="23" a="1"/>
  <c r="T1076" i="23" a="1"/>
  <c r="T1077" i="23" a="1"/>
  <c r="T1078" i="23" a="1"/>
  <c r="T1079" i="23" a="1"/>
  <c r="T1080" i="23" a="1"/>
  <c r="T1081" i="23" a="1"/>
  <c r="T1082" i="23" a="1"/>
  <c r="T1083" i="23" a="1"/>
  <c r="T1084" i="23" a="1"/>
  <c r="T1085" i="23" a="1"/>
  <c r="T1086" i="23" a="1"/>
  <c r="T1087" i="23" a="1"/>
  <c r="T1088" i="23" a="1"/>
  <c r="T1089" i="23" a="1"/>
  <c r="T1090" i="23" a="1"/>
  <c r="T1091" i="23" a="1"/>
  <c r="T1092" i="23" a="1"/>
  <c r="T1093" i="23" a="1"/>
  <c r="T1094" i="23" a="1"/>
  <c r="T1095" i="23" a="1"/>
  <c r="T1096" i="23" a="1"/>
  <c r="T1097" i="23" a="1"/>
  <c r="T1098" i="23" a="1"/>
  <c r="T1099" i="23" a="1"/>
  <c r="T1100" i="23" a="1"/>
  <c r="T1101" i="23" a="1"/>
  <c r="T1102" i="23" a="1"/>
  <c r="T1103" i="23" a="1"/>
  <c r="T1104" i="23" a="1"/>
  <c r="T1105" i="23" a="1"/>
  <c r="T1106" i="23" a="1"/>
  <c r="T1107" i="23" a="1"/>
  <c r="T1108" i="23" a="1"/>
  <c r="T1109" i="23" a="1"/>
  <c r="T1110" i="23" a="1"/>
  <c r="T1111" i="23" a="1"/>
  <c r="T1112" i="23" a="1"/>
  <c r="T1113" i="23" a="1"/>
  <c r="T1114" i="23" a="1"/>
  <c r="T1115" i="23" a="1"/>
  <c r="T1116" i="23" a="1"/>
  <c r="T1117" i="23" a="1"/>
  <c r="T1118" i="23" a="1"/>
  <c r="T1119" i="23" a="1"/>
  <c r="T1120" i="23" a="1"/>
  <c r="T1121" i="23" a="1"/>
  <c r="T1122" i="23" a="1"/>
  <c r="T1123" i="23" a="1"/>
  <c r="T1124" i="23" a="1"/>
  <c r="T1125" i="23" a="1"/>
  <c r="T1126" i="23" a="1"/>
  <c r="T1127" i="23" a="1"/>
  <c r="T1128" i="23" a="1"/>
  <c r="T1129" i="23" a="1"/>
  <c r="T1130" i="23" a="1"/>
  <c r="T1131" i="23" a="1"/>
  <c r="T1132" i="23" a="1"/>
  <c r="T1133" i="23" a="1"/>
  <c r="T1134" i="23" a="1"/>
  <c r="T1135" i="23" a="1"/>
  <c r="T1136" i="23" a="1"/>
  <c r="T1137" i="23" a="1"/>
  <c r="T1138" i="23" a="1"/>
  <c r="T1139" i="23" a="1"/>
  <c r="T1140" i="23" a="1"/>
  <c r="T1141" i="23" a="1"/>
  <c r="T1142" i="23" a="1"/>
  <c r="T1143" i="23" a="1"/>
  <c r="T1144" i="23" a="1"/>
  <c r="T1145" i="23" a="1"/>
  <c r="T1146" i="23" a="1"/>
  <c r="T1147" i="23" a="1"/>
  <c r="T1148" i="23" a="1"/>
  <c r="T1149" i="23" a="1"/>
  <c r="T1150" i="23" a="1"/>
  <c r="T1151" i="23" a="1"/>
  <c r="T1152" i="23" a="1"/>
  <c r="T1153" i="23" a="1"/>
  <c r="T1154" i="23" a="1"/>
  <c r="T1155" i="23" a="1"/>
  <c r="T1156" i="23" a="1"/>
  <c r="T1157" i="23" a="1"/>
  <c r="T1158" i="23" a="1"/>
  <c r="T1159" i="23" a="1"/>
  <c r="T1160" i="23" a="1"/>
  <c r="T1161" i="23" a="1"/>
  <c r="T1162" i="23" a="1"/>
  <c r="T1163" i="23" a="1"/>
  <c r="T1164" i="23" a="1"/>
  <c r="T1165" i="23" a="1"/>
  <c r="T1166" i="23" a="1"/>
  <c r="T1167" i="23" a="1"/>
  <c r="T1168" i="23" a="1"/>
  <c r="T1169" i="23" a="1"/>
  <c r="T1170" i="23" a="1"/>
  <c r="T1171" i="23" a="1"/>
  <c r="T1172" i="23" a="1"/>
  <c r="T1173" i="23" a="1"/>
  <c r="T1174" i="23" a="1"/>
  <c r="T1175" i="23" a="1"/>
  <c r="T1176" i="23" a="1"/>
  <c r="T1177" i="23" a="1"/>
  <c r="T1178" i="23" a="1"/>
  <c r="T1179" i="23" a="1"/>
  <c r="T1180" i="23" a="1"/>
  <c r="T1181" i="23" a="1"/>
  <c r="T1182" i="23" a="1"/>
  <c r="T1183" i="23" a="1"/>
  <c r="T1184" i="23" a="1"/>
  <c r="T1185" i="23" a="1"/>
  <c r="T1186" i="23" a="1"/>
  <c r="T1187" i="23" a="1"/>
  <c r="T1188" i="23" a="1"/>
  <c r="T1189" i="23" a="1"/>
  <c r="T1190" i="23" a="1"/>
  <c r="T1191" i="23" a="1"/>
  <c r="T1192" i="23" a="1"/>
  <c r="T1193" i="23" a="1"/>
  <c r="T1194" i="23" a="1"/>
  <c r="T1195" i="23" a="1"/>
  <c r="T1196" i="23" a="1"/>
  <c r="T1197" i="23" a="1"/>
  <c r="T1198" i="23" a="1"/>
  <c r="T1199" i="23" a="1"/>
  <c r="T1200" i="23" a="1"/>
  <c r="T1201" i="23" a="1"/>
  <c r="T1202" i="23" a="1"/>
  <c r="T1203" i="23" a="1"/>
  <c r="T1204" i="23" a="1"/>
  <c r="T1205" i="23" a="1"/>
  <c r="AB72" i="23"/>
  <c r="AB71" i="23"/>
  <c r="AB70" i="23"/>
  <c r="AB69" i="23"/>
  <c r="AB68" i="23"/>
  <c r="AB67" i="23"/>
  <c r="AB66" i="23"/>
  <c r="AB65" i="23"/>
  <c r="AB64" i="23"/>
  <c r="AB63" i="23"/>
  <c r="AB62" i="23"/>
  <c r="AB61" i="23"/>
  <c r="AB60" i="23"/>
  <c r="AB59" i="23"/>
  <c r="AB58" i="23"/>
  <c r="AB57" i="23"/>
  <c r="AB56" i="23"/>
  <c r="AB55" i="23"/>
  <c r="AB54" i="23"/>
  <c r="AB53" i="23"/>
  <c r="AB52" i="23"/>
  <c r="AB51" i="23"/>
  <c r="AB50" i="23"/>
  <c r="AB49" i="23"/>
  <c r="AB48" i="23"/>
  <c r="AB47" i="23"/>
  <c r="AB46" i="23"/>
  <c r="AB45" i="23"/>
  <c r="AB44" i="23"/>
  <c r="AB43" i="23"/>
  <c r="AB42" i="23"/>
  <c r="AB41" i="23"/>
  <c r="AB40" i="23"/>
  <c r="AB39" i="23"/>
  <c r="AB38" i="23"/>
  <c r="AB37" i="23"/>
  <c r="AB36" i="23"/>
  <c r="AB35" i="23"/>
  <c r="AB34" i="23"/>
  <c r="AB33" i="23"/>
  <c r="AB32" i="23"/>
  <c r="AB31" i="23"/>
  <c r="AB30" i="23"/>
  <c r="AB29" i="23"/>
  <c r="AB28" i="23"/>
  <c r="AB27" i="23"/>
  <c r="AB26" i="23"/>
  <c r="AB25" i="23"/>
  <c r="AB24" i="23"/>
  <c r="AB23" i="23"/>
  <c r="AB22" i="23"/>
  <c r="AB21" i="23"/>
  <c r="AB20" i="23"/>
  <c r="AB19" i="23"/>
  <c r="AB18" i="23"/>
  <c r="AB17" i="23"/>
  <c r="AB16" i="23"/>
  <c r="AB15" i="23"/>
  <c r="AB14" i="23"/>
  <c r="AB13" i="23"/>
  <c r="AB8" i="23"/>
  <c r="D8" i="23"/>
  <c r="AB7" i="23"/>
  <c r="AB6" i="23"/>
  <c r="AB5" i="23"/>
  <c r="AB4" i="23"/>
  <c r="AB3" i="23"/>
  <c r="AB12" i="23"/>
  <c r="AB11" i="23"/>
  <c r="AB10" i="23"/>
  <c r="AB9" i="23"/>
  <c r="P1" i="23"/>
  <c r="P135" i="23" a="1"/>
  <c r="P136" i="23" a="1"/>
  <c r="P137" i="23" a="1"/>
  <c r="P132" i="23" a="1"/>
  <c r="P133" i="23" a="1"/>
  <c r="P134" i="23" a="1"/>
  <c r="P129" i="23" a="1"/>
  <c r="P130" i="23" a="1"/>
  <c r="P131" i="23" a="1"/>
  <c r="P126" i="23" a="1"/>
  <c r="P127" i="23" a="1"/>
  <c r="P128" i="23" a="1"/>
  <c r="P7" i="23" a="1"/>
  <c r="Q38" i="23" a="1"/>
  <c r="P48" i="23" a="1"/>
  <c r="P44" i="23" a="1"/>
  <c r="Q57" i="23" a="1"/>
  <c r="Q116" i="23" a="1"/>
  <c r="P106" i="23" a="1"/>
  <c r="P11" i="23" a="1"/>
  <c r="P26" i="23" a="1"/>
  <c r="P47" i="23" a="1"/>
  <c r="Q20" i="23" a="1"/>
  <c r="P107" i="23" a="1"/>
  <c r="P66" i="23" a="1"/>
  <c r="P69" i="23" a="1"/>
  <c r="Q73" i="23" a="1"/>
  <c r="Q43" i="23" a="1"/>
  <c r="P15" i="23" a="1"/>
  <c r="P53" i="23" a="1"/>
  <c r="Q11" i="23" a="1"/>
  <c r="Q122" i="23" a="1"/>
  <c r="Q53" i="23" a="1"/>
  <c r="P45" i="23" a="1"/>
  <c r="P119" i="23" a="1"/>
  <c r="Q67" i="23" a="1"/>
  <c r="P49" i="23" a="1"/>
  <c r="Q125" i="23" a="1"/>
  <c r="Q60" i="23" a="1"/>
  <c r="P13" i="23" a="1"/>
  <c r="Q39" i="23" a="1"/>
  <c r="P111" i="23" a="1"/>
  <c r="Q97" i="23" a="1"/>
  <c r="Q89" i="23" a="1"/>
  <c r="P79" i="23" a="1"/>
  <c r="Q86" i="23" a="1"/>
  <c r="Q31" i="23" a="1"/>
  <c r="P9" i="23" a="1"/>
  <c r="Q10" i="23" a="1"/>
  <c r="Q58" i="23" a="1"/>
  <c r="Q74" i="23" a="1"/>
  <c r="Q19" i="23" a="1"/>
  <c r="P10" i="23" a="1"/>
  <c r="P21" i="23" a="1"/>
  <c r="Q14" i="23" a="1"/>
  <c r="P6" i="23" a="1"/>
  <c r="P14" i="23" a="1"/>
  <c r="Q8" i="23" a="1"/>
  <c r="Q87" i="23" a="1"/>
  <c r="Q115" i="23" a="1"/>
  <c r="Q61" i="23" a="1"/>
  <c r="P110" i="23" a="1"/>
  <c r="Q93" i="23" a="1"/>
  <c r="Q112" i="23" a="1"/>
  <c r="Q24" i="23" a="1"/>
  <c r="P90" i="23" a="1"/>
  <c r="P114" i="23" a="1"/>
  <c r="P58" i="23" a="1"/>
  <c r="Q84" i="23" a="1"/>
  <c r="P42" i="23" a="1"/>
  <c r="P92" i="23" a="1"/>
  <c r="Q121" i="23" a="1"/>
  <c r="P31" i="23" a="1"/>
  <c r="Q35" i="23" a="1"/>
  <c r="Q26" i="23" a="1"/>
  <c r="Q51" i="23" a="1"/>
  <c r="P78" i="23" a="1"/>
  <c r="P102" i="23" a="1"/>
  <c r="P28" i="23" a="1"/>
  <c r="P70" i="23" a="1"/>
  <c r="P99" i="23" a="1"/>
  <c r="P118" i="23" a="1"/>
  <c r="Q44" i="23" a="1"/>
  <c r="P27" i="23" a="1"/>
  <c r="Q113" i="23" a="1"/>
  <c r="P87" i="23" a="1"/>
  <c r="P40" i="23" a="1"/>
  <c r="P57" i="23" a="1"/>
  <c r="P88" i="23" a="1"/>
  <c r="P23" i="23" a="1"/>
  <c r="Q55" i="23" a="1"/>
  <c r="P36" i="23" a="1"/>
  <c r="Q48" i="23" a="1"/>
  <c r="Q16" i="23" a="1"/>
  <c r="P112" i="23" a="1"/>
  <c r="Q15" i="23" a="1"/>
  <c r="Q108" i="23" a="1"/>
  <c r="Q69" i="23" a="1"/>
  <c r="Q91" i="23" a="1"/>
  <c r="P38" i="23" a="1"/>
  <c r="Q103" i="23" a="1"/>
  <c r="Q101" i="23" a="1"/>
  <c r="Q33" i="23" a="1"/>
  <c r="Q37" i="23" a="1"/>
  <c r="Q28" i="23" a="1"/>
  <c r="P43" i="23" a="1"/>
  <c r="Q98" i="23" a="1"/>
  <c r="Q34" i="23" a="1"/>
  <c r="P71" i="23" a="1"/>
  <c r="Q41" i="23" a="1"/>
  <c r="Q90" i="23" a="1"/>
  <c r="Q102" i="23" a="1"/>
  <c r="Q30" i="23" a="1"/>
  <c r="Q72" i="23" a="1"/>
  <c r="P67" i="23" a="1"/>
  <c r="Q40" i="23" a="1"/>
  <c r="Q54" i="23" a="1"/>
  <c r="P62" i="23" a="1"/>
  <c r="P18" i="23" a="1"/>
  <c r="P125" i="23" a="1"/>
  <c r="Q47" i="23" a="1"/>
  <c r="Q27" i="23" a="1"/>
  <c r="Q105" i="23" a="1"/>
  <c r="Q49" i="23" a="1"/>
  <c r="P41" i="23" a="1"/>
  <c r="Q99" i="23" a="1"/>
  <c r="P76" i="23" a="1"/>
  <c r="Q46" i="23" a="1"/>
  <c r="Q106" i="23" a="1"/>
  <c r="Q82" i="23" a="1"/>
  <c r="Q66" i="23" a="1"/>
  <c r="P84" i="23" a="1"/>
  <c r="P113" i="23" a="1"/>
  <c r="P77" i="23" a="1"/>
  <c r="P22" i="23" a="1"/>
  <c r="Q110" i="23" a="1"/>
  <c r="P103" i="23" a="1"/>
  <c r="P39" i="23" a="1"/>
  <c r="P65" i="23" a="1"/>
  <c r="P75" i="23" a="1"/>
  <c r="P64" i="23" a="1"/>
  <c r="Q88" i="23" a="1"/>
  <c r="P12" i="23" a="1"/>
  <c r="P30" i="23" a="1"/>
  <c r="Q21" i="23" a="1"/>
  <c r="P55" i="23" a="1"/>
  <c r="P16" i="23" a="1"/>
  <c r="Q79" i="23" a="1"/>
  <c r="Q92" i="23" a="1"/>
  <c r="P46" i="23" a="1"/>
  <c r="P56" i="23" a="1"/>
  <c r="P8" i="23" a="1"/>
  <c r="Q114" i="23" a="1"/>
  <c r="P123" i="23" a="1"/>
  <c r="Q124" i="23" a="1"/>
  <c r="Q95" i="23" a="1"/>
  <c r="P105" i="23" a="1"/>
  <c r="Q23" i="23" a="1"/>
  <c r="Q118" i="23" a="1"/>
  <c r="P19" i="23" a="1"/>
  <c r="Q50" i="23" a="1"/>
  <c r="P50" i="23" a="1"/>
  <c r="Q68" i="23" a="1"/>
  <c r="Q63" i="23" a="1"/>
  <c r="Q71" i="23" a="1"/>
  <c r="Q109" i="23" a="1"/>
  <c r="Q22" i="23" a="1"/>
  <c r="P115" i="23" a="1"/>
  <c r="Q64" i="23" a="1"/>
  <c r="P86" i="23" a="1"/>
  <c r="P74" i="23" a="1"/>
  <c r="Q111" i="23" a="1"/>
  <c r="Q117" i="23" a="1"/>
  <c r="P108" i="23" a="1"/>
  <c r="Q36" i="23" a="1"/>
  <c r="Q62" i="23" a="1"/>
  <c r="P109" i="23" a="1"/>
  <c r="P52" i="23" a="1"/>
  <c r="P32" i="23" a="1"/>
  <c r="P93" i="23" a="1"/>
  <c r="P98" i="23" a="1"/>
  <c r="Q42" i="23" a="1"/>
  <c r="P29" i="23" a="1"/>
  <c r="P120" i="23" a="1"/>
  <c r="Q77" i="23" a="1"/>
  <c r="Q9" i="23" a="1"/>
  <c r="Q6" i="23" a="1"/>
  <c r="P81" i="23" a="1"/>
  <c r="P117" i="23" a="1"/>
  <c r="P122" i="23" a="1"/>
  <c r="Q65" i="23" a="1"/>
  <c r="P35" i="23" a="1"/>
  <c r="P63" i="23" a="1"/>
  <c r="P82" i="23" a="1"/>
  <c r="Q85" i="23" a="1"/>
  <c r="Q107" i="23" a="1"/>
  <c r="Q70" i="23" a="1"/>
  <c r="Q100" i="23" a="1"/>
  <c r="Q56" i="23" a="1"/>
  <c r="P34" i="23" a="1"/>
  <c r="Q75" i="23" a="1"/>
  <c r="P25" i="23" a="1"/>
  <c r="P68" i="23" a="1"/>
  <c r="P83" i="23" a="1"/>
  <c r="Q18" i="23" a="1"/>
  <c r="P85" i="23" a="1"/>
  <c r="P97" i="23" a="1"/>
  <c r="P59" i="23" a="1"/>
  <c r="P95" i="23" a="1"/>
  <c r="Q78" i="23" a="1"/>
  <c r="P104" i="23" a="1"/>
  <c r="Q12" i="23" a="1"/>
  <c r="Q59" i="23" a="1"/>
  <c r="P20" i="23" a="1"/>
  <c r="Q94" i="23" a="1"/>
  <c r="P89" i="23" a="1"/>
  <c r="P91" i="23" a="1"/>
  <c r="Q104" i="23" a="1"/>
  <c r="Q25" i="23" a="1"/>
  <c r="Q96" i="23" a="1"/>
  <c r="Q17" i="23" a="1"/>
  <c r="P37" i="23" a="1"/>
  <c r="Q80" i="23" a="1"/>
  <c r="Q123" i="23" a="1"/>
  <c r="P80" i="23" a="1"/>
  <c r="Q120" i="23" a="1"/>
  <c r="Q76" i="23" a="1"/>
  <c r="P100" i="23" a="1"/>
  <c r="P94" i="23" a="1"/>
  <c r="Q52" i="23" a="1"/>
  <c r="P96" i="23" a="1"/>
  <c r="P124" i="23" a="1"/>
  <c r="P51" i="23" a="1"/>
  <c r="Q119" i="23" a="1"/>
  <c r="P61" i="23" a="1"/>
  <c r="P116" i="23" a="1"/>
  <c r="P101" i="23" a="1"/>
  <c r="Q83" i="23" a="1"/>
  <c r="P17" i="23" a="1"/>
  <c r="Q81" i="23" a="1"/>
  <c r="P72" i="23" a="1"/>
  <c r="Q32" i="23" a="1"/>
  <c r="P24" i="23" a="1"/>
  <c r="P33" i="23" a="1"/>
  <c r="Q13" i="23" a="1"/>
  <c r="Q29" i="23" a="1"/>
  <c r="Q45" i="23" a="1"/>
  <c r="P121" i="23" a="1"/>
  <c r="Q7" i="23" a="1"/>
  <c r="P54" i="23" a="1"/>
  <c r="P73" i="23" a="1"/>
  <c r="P60" i="23" a="1"/>
  <c r="B6" i="23"/>
  <c r="M1" i="23" l="1"/>
  <c r="M249" i="23" l="1"/>
  <c r="M255" i="23"/>
  <c r="M256" i="23"/>
  <c r="M257" i="23"/>
  <c r="M261" i="23"/>
  <c r="M263" i="23"/>
  <c r="M486" i="23"/>
  <c r="M487" i="23"/>
  <c r="M488" i="23"/>
  <c r="M489" i="23"/>
  <c r="M521" i="23"/>
  <c r="M544" i="23"/>
  <c r="M604" i="23"/>
  <c r="M605" i="23"/>
  <c r="M636" i="23"/>
  <c r="M659" i="23"/>
  <c r="M660" i="23"/>
  <c r="M661" i="23"/>
  <c r="M751" i="23"/>
  <c r="M765" i="23"/>
  <c r="M773" i="23"/>
  <c r="M774" i="23"/>
  <c r="M775" i="23"/>
  <c r="M805" i="23"/>
  <c r="M878" i="23"/>
  <c r="M880" i="23"/>
  <c r="M881" i="23"/>
  <c r="M889" i="23"/>
  <c r="M918" i="23"/>
  <c r="M919" i="23"/>
  <c r="M992" i="23"/>
  <c r="M993" i="23"/>
  <c r="M995" i="23"/>
  <c r="M996" i="23"/>
  <c r="M1033" i="23"/>
  <c r="M1034" i="23"/>
  <c r="M1099" i="23"/>
  <c r="M1100" i="23"/>
  <c r="M1101" i="23"/>
  <c r="M1102" i="23"/>
  <c r="M1126" i="23"/>
  <c r="M1127" i="23"/>
  <c r="M1169" i="23"/>
  <c r="M1170" i="23"/>
  <c r="M1176" i="23"/>
  <c r="M1177" i="23"/>
  <c r="M1196" i="23"/>
  <c r="U7" i="23"/>
  <c r="U8" i="23"/>
  <c r="U9" i="23"/>
  <c r="U10" i="23"/>
  <c r="U11" i="23"/>
  <c r="U12" i="23"/>
  <c r="U13" i="23"/>
  <c r="U14" i="23"/>
  <c r="U15" i="23"/>
  <c r="U16" i="23"/>
  <c r="U17" i="23"/>
  <c r="U18" i="23"/>
  <c r="U19" i="23"/>
  <c r="U20" i="23"/>
  <c r="U21" i="23"/>
  <c r="U22" i="23"/>
  <c r="U23" i="23"/>
  <c r="U24" i="23"/>
  <c r="U25" i="23"/>
  <c r="U26" i="23"/>
  <c r="U27" i="23"/>
  <c r="U28" i="23"/>
  <c r="U29" i="23"/>
  <c r="U30" i="23"/>
  <c r="U31" i="23"/>
  <c r="U32" i="23"/>
  <c r="U33" i="23"/>
  <c r="U34" i="23"/>
  <c r="U35" i="23"/>
  <c r="U36" i="23"/>
  <c r="U37" i="23"/>
  <c r="U38" i="23"/>
  <c r="U39" i="23"/>
  <c r="U40" i="23"/>
  <c r="U41" i="23"/>
  <c r="U42" i="23"/>
  <c r="U43" i="23"/>
  <c r="U44" i="23"/>
  <c r="U45" i="23"/>
  <c r="U46" i="23"/>
  <c r="U47" i="23"/>
  <c r="U48" i="23"/>
  <c r="U49" i="23"/>
  <c r="U50" i="23"/>
  <c r="U51" i="23"/>
  <c r="U52" i="23"/>
  <c r="U53" i="23"/>
  <c r="U54" i="23"/>
  <c r="U55" i="23"/>
  <c r="U56" i="23"/>
  <c r="U57" i="23"/>
  <c r="U58" i="23"/>
  <c r="U59" i="23"/>
  <c r="U60" i="23"/>
  <c r="U61" i="23"/>
  <c r="U62" i="23"/>
  <c r="U63" i="23"/>
  <c r="U64" i="23"/>
  <c r="U65" i="23"/>
  <c r="U66" i="23"/>
  <c r="U67" i="23"/>
  <c r="U68" i="23"/>
  <c r="U69" i="23"/>
  <c r="U70" i="23"/>
  <c r="U71" i="23"/>
  <c r="U72" i="23"/>
  <c r="U73" i="23"/>
  <c r="U74" i="23"/>
  <c r="U75" i="23"/>
  <c r="U76" i="23"/>
  <c r="U77" i="23"/>
  <c r="U78" i="23"/>
  <c r="U79" i="23"/>
  <c r="U80" i="23"/>
  <c r="U81" i="23"/>
  <c r="U82" i="23"/>
  <c r="U83" i="23"/>
  <c r="U84" i="23"/>
  <c r="U85" i="23"/>
  <c r="U86" i="23"/>
  <c r="U87" i="23"/>
  <c r="U88" i="23"/>
  <c r="U89" i="23"/>
  <c r="U90" i="23"/>
  <c r="U91" i="23"/>
  <c r="U92" i="23"/>
  <c r="U93" i="23"/>
  <c r="U94" i="23"/>
  <c r="U95" i="23"/>
  <c r="U96" i="23"/>
  <c r="U97" i="23"/>
  <c r="U98" i="23"/>
  <c r="U99" i="23"/>
  <c r="U100" i="23"/>
  <c r="U101" i="23"/>
  <c r="U102" i="23"/>
  <c r="U103" i="23"/>
  <c r="U104" i="23"/>
  <c r="U105" i="23"/>
  <c r="U106" i="23"/>
  <c r="U107" i="23"/>
  <c r="U108" i="23"/>
  <c r="U109" i="23"/>
  <c r="U110" i="23"/>
  <c r="U111" i="23"/>
  <c r="U112" i="23"/>
  <c r="U113" i="23"/>
  <c r="U114" i="23"/>
  <c r="U115" i="23"/>
  <c r="U116" i="23"/>
  <c r="U117" i="23"/>
  <c r="U118" i="23"/>
  <c r="U119" i="23"/>
  <c r="U120" i="23"/>
  <c r="U121" i="23"/>
  <c r="U122" i="23"/>
  <c r="U123" i="23"/>
  <c r="U124" i="23"/>
  <c r="U125" i="23"/>
  <c r="U126" i="23"/>
  <c r="U127" i="23"/>
  <c r="U128" i="23"/>
  <c r="U129" i="23"/>
  <c r="U130" i="23"/>
  <c r="U131" i="23"/>
  <c r="U132" i="23"/>
  <c r="U133" i="23"/>
  <c r="U134" i="23"/>
  <c r="U135" i="23"/>
  <c r="U136" i="23"/>
  <c r="U137" i="23"/>
  <c r="U138" i="23"/>
  <c r="U139" i="23"/>
  <c r="U140" i="23"/>
  <c r="U141" i="23"/>
  <c r="U142" i="23"/>
  <c r="U143" i="23"/>
  <c r="U144" i="23"/>
  <c r="U145" i="23"/>
  <c r="U146" i="23"/>
  <c r="U147" i="23"/>
  <c r="U148" i="23"/>
  <c r="U149" i="23"/>
  <c r="U150" i="23"/>
  <c r="U151" i="23"/>
  <c r="U152" i="23"/>
  <c r="U153" i="23"/>
  <c r="U154" i="23"/>
  <c r="U155" i="23"/>
  <c r="U156" i="23"/>
  <c r="U157" i="23"/>
  <c r="U158" i="23"/>
  <c r="U159" i="23"/>
  <c r="U160" i="23"/>
  <c r="U161" i="23"/>
  <c r="U162" i="23"/>
  <c r="U163" i="23"/>
  <c r="U164" i="23"/>
  <c r="U165" i="23"/>
  <c r="U166" i="23"/>
  <c r="U167" i="23"/>
  <c r="U168" i="23"/>
  <c r="U169" i="23"/>
  <c r="U170" i="23"/>
  <c r="U171" i="23"/>
  <c r="U172" i="23"/>
  <c r="U173" i="23"/>
  <c r="U174" i="23"/>
  <c r="U175" i="23"/>
  <c r="U176" i="23"/>
  <c r="U177" i="23"/>
  <c r="U178" i="23"/>
  <c r="U179" i="23"/>
  <c r="U180" i="23"/>
  <c r="U181" i="23"/>
  <c r="U182" i="23"/>
  <c r="U183" i="23"/>
  <c r="U184" i="23"/>
  <c r="U185" i="23"/>
  <c r="U186" i="23"/>
  <c r="U187" i="23"/>
  <c r="U188" i="23"/>
  <c r="U189" i="23"/>
  <c r="U190" i="23"/>
  <c r="U191" i="23"/>
  <c r="U192" i="23"/>
  <c r="U193" i="23"/>
  <c r="U194" i="23"/>
  <c r="U195" i="23"/>
  <c r="U196" i="23"/>
  <c r="U197" i="23"/>
  <c r="U198" i="23"/>
  <c r="U199" i="23"/>
  <c r="U200" i="23"/>
  <c r="U201" i="23"/>
  <c r="U202" i="23"/>
  <c r="U203" i="23"/>
  <c r="U204" i="23"/>
  <c r="U205" i="23"/>
  <c r="U206" i="23"/>
  <c r="U207" i="23"/>
  <c r="U208" i="23"/>
  <c r="U209" i="23"/>
  <c r="U210" i="23"/>
  <c r="U211" i="23"/>
  <c r="U212" i="23"/>
  <c r="U213" i="23"/>
  <c r="U214" i="23"/>
  <c r="U215" i="23"/>
  <c r="U216" i="23"/>
  <c r="U217" i="23"/>
  <c r="U218" i="23"/>
  <c r="U219" i="23"/>
  <c r="U220" i="23"/>
  <c r="U221" i="23"/>
  <c r="U222" i="23"/>
  <c r="U223" i="23"/>
  <c r="U224" i="23"/>
  <c r="U225" i="23"/>
  <c r="U226" i="23"/>
  <c r="U227" i="23"/>
  <c r="U228" i="23"/>
  <c r="U229" i="23"/>
  <c r="U230" i="23"/>
  <c r="U231" i="23"/>
  <c r="U232" i="23"/>
  <c r="U233" i="23"/>
  <c r="U234" i="23"/>
  <c r="U235" i="23"/>
  <c r="U236" i="23"/>
  <c r="U237" i="23"/>
  <c r="U238" i="23"/>
  <c r="U239" i="23"/>
  <c r="U240" i="23"/>
  <c r="U241" i="23"/>
  <c r="U242" i="23"/>
  <c r="U243" i="23"/>
  <c r="U244" i="23"/>
  <c r="U245" i="23"/>
  <c r="U246" i="23"/>
  <c r="U247" i="23"/>
  <c r="U248" i="23"/>
  <c r="U249" i="23"/>
  <c r="U250" i="23"/>
  <c r="U251" i="23"/>
  <c r="U252" i="23"/>
  <c r="U253" i="23"/>
  <c r="U254" i="23"/>
  <c r="U255" i="23"/>
  <c r="U256" i="23"/>
  <c r="U257" i="23"/>
  <c r="U258" i="23"/>
  <c r="U259" i="23"/>
  <c r="U260" i="23"/>
  <c r="U261" i="23"/>
  <c r="U262" i="23"/>
  <c r="U263" i="23"/>
  <c r="U264" i="23"/>
  <c r="U265" i="23"/>
  <c r="U266" i="23"/>
  <c r="U267" i="23"/>
  <c r="U268" i="23"/>
  <c r="U269" i="23"/>
  <c r="U270" i="23"/>
  <c r="U271" i="23"/>
  <c r="U272" i="23"/>
  <c r="U273" i="23"/>
  <c r="U274" i="23"/>
  <c r="U275" i="23"/>
  <c r="U276" i="23"/>
  <c r="U277" i="23"/>
  <c r="U278" i="23"/>
  <c r="U279" i="23"/>
  <c r="U280" i="23"/>
  <c r="U281" i="23"/>
  <c r="U282" i="23"/>
  <c r="U283" i="23"/>
  <c r="U284" i="23"/>
  <c r="U285" i="23"/>
  <c r="U286" i="23"/>
  <c r="U287" i="23"/>
  <c r="U288" i="23"/>
  <c r="U289" i="23"/>
  <c r="U290" i="23"/>
  <c r="U291" i="23"/>
  <c r="U292" i="23"/>
  <c r="U293" i="23"/>
  <c r="U294" i="23"/>
  <c r="U295" i="23"/>
  <c r="U296" i="23"/>
  <c r="U297" i="23"/>
  <c r="U298" i="23"/>
  <c r="U299" i="23"/>
  <c r="U300" i="23"/>
  <c r="U301" i="23"/>
  <c r="U302" i="23"/>
  <c r="U303" i="23"/>
  <c r="U304" i="23"/>
  <c r="U305" i="23"/>
  <c r="U306" i="23"/>
  <c r="U307" i="23"/>
  <c r="U308" i="23"/>
  <c r="U309" i="23"/>
  <c r="U310" i="23"/>
  <c r="U311" i="23"/>
  <c r="U312" i="23"/>
  <c r="U313" i="23"/>
  <c r="U314" i="23"/>
  <c r="U315" i="23"/>
  <c r="U316" i="23"/>
  <c r="U317" i="23"/>
  <c r="U318" i="23"/>
  <c r="U319" i="23"/>
  <c r="U320" i="23"/>
  <c r="U321" i="23"/>
  <c r="U322" i="23"/>
  <c r="U323" i="23"/>
  <c r="U324" i="23"/>
  <c r="U325" i="23"/>
  <c r="U326" i="23"/>
  <c r="U327" i="23"/>
  <c r="U328" i="23"/>
  <c r="U329" i="23"/>
  <c r="U330" i="23"/>
  <c r="U331" i="23"/>
  <c r="U332" i="23"/>
  <c r="U333" i="23"/>
  <c r="U334" i="23"/>
  <c r="U335" i="23"/>
  <c r="U336" i="23"/>
  <c r="U337" i="23"/>
  <c r="U338" i="23"/>
  <c r="U339" i="23"/>
  <c r="U340" i="23"/>
  <c r="U341" i="23"/>
  <c r="U342" i="23"/>
  <c r="U343" i="23"/>
  <c r="U344" i="23"/>
  <c r="U345" i="23"/>
  <c r="U346" i="23"/>
  <c r="U347" i="23"/>
  <c r="U348" i="23"/>
  <c r="U349" i="23"/>
  <c r="U350" i="23"/>
  <c r="U351" i="23"/>
  <c r="U352" i="23"/>
  <c r="U353" i="23"/>
  <c r="U354" i="23"/>
  <c r="U355" i="23"/>
  <c r="U356" i="23"/>
  <c r="U357" i="23"/>
  <c r="U358" i="23"/>
  <c r="U359" i="23"/>
  <c r="U360" i="23"/>
  <c r="U361" i="23"/>
  <c r="U362" i="23"/>
  <c r="U363" i="23"/>
  <c r="U364" i="23"/>
  <c r="U365" i="23"/>
  <c r="U366" i="23"/>
  <c r="U367" i="23"/>
  <c r="U368" i="23"/>
  <c r="U369" i="23"/>
  <c r="U370" i="23"/>
  <c r="U371" i="23"/>
  <c r="U372" i="23"/>
  <c r="U373" i="23"/>
  <c r="U374" i="23"/>
  <c r="U375" i="23"/>
  <c r="U376" i="23"/>
  <c r="U377" i="23"/>
  <c r="U378" i="23"/>
  <c r="U379" i="23"/>
  <c r="U380" i="23"/>
  <c r="U381" i="23"/>
  <c r="U382" i="23"/>
  <c r="U383" i="23"/>
  <c r="U384" i="23"/>
  <c r="U385" i="23"/>
  <c r="U386" i="23"/>
  <c r="U387" i="23"/>
  <c r="U388" i="23"/>
  <c r="U389" i="23"/>
  <c r="U390" i="23"/>
  <c r="U391" i="23"/>
  <c r="U392" i="23"/>
  <c r="U393" i="23"/>
  <c r="U394" i="23"/>
  <c r="U395" i="23"/>
  <c r="U396" i="23"/>
  <c r="U397" i="23"/>
  <c r="U398" i="23"/>
  <c r="U399" i="23"/>
  <c r="U400" i="23"/>
  <c r="U401" i="23"/>
  <c r="U402" i="23"/>
  <c r="U403" i="23"/>
  <c r="U404" i="23"/>
  <c r="U405" i="23"/>
  <c r="U406" i="23"/>
  <c r="U407" i="23"/>
  <c r="U408" i="23"/>
  <c r="U409" i="23"/>
  <c r="U410" i="23"/>
  <c r="U411" i="23"/>
  <c r="U412" i="23"/>
  <c r="U413" i="23"/>
  <c r="U414" i="23"/>
  <c r="U415" i="23"/>
  <c r="U416" i="23"/>
  <c r="U417" i="23"/>
  <c r="U418" i="23"/>
  <c r="U419" i="23"/>
  <c r="U420" i="23"/>
  <c r="U421" i="23"/>
  <c r="U422" i="23"/>
  <c r="U423" i="23"/>
  <c r="U424" i="23"/>
  <c r="U425" i="23"/>
  <c r="U426" i="23"/>
  <c r="U427" i="23"/>
  <c r="U428" i="23"/>
  <c r="U429" i="23"/>
  <c r="U430" i="23"/>
  <c r="U431" i="23"/>
  <c r="U432" i="23"/>
  <c r="U433" i="23"/>
  <c r="U434" i="23"/>
  <c r="U435" i="23"/>
  <c r="U436" i="23"/>
  <c r="U437" i="23"/>
  <c r="U438" i="23"/>
  <c r="U439" i="23"/>
  <c r="U440" i="23"/>
  <c r="U441" i="23"/>
  <c r="U442" i="23"/>
  <c r="U443" i="23"/>
  <c r="U444" i="23"/>
  <c r="U445" i="23"/>
  <c r="U446" i="23"/>
  <c r="U447" i="23"/>
  <c r="U448" i="23"/>
  <c r="U449" i="23"/>
  <c r="U450" i="23"/>
  <c r="U451" i="23"/>
  <c r="U452" i="23"/>
  <c r="U453" i="23"/>
  <c r="U454" i="23"/>
  <c r="U455" i="23"/>
  <c r="U456" i="23"/>
  <c r="U457" i="23"/>
  <c r="U458" i="23"/>
  <c r="U459" i="23"/>
  <c r="U460" i="23"/>
  <c r="U461" i="23"/>
  <c r="U462" i="23"/>
  <c r="U463" i="23"/>
  <c r="U464" i="23"/>
  <c r="U465" i="23"/>
  <c r="U466" i="23"/>
  <c r="U467" i="23"/>
  <c r="U468" i="23"/>
  <c r="U469" i="23"/>
  <c r="U470" i="23"/>
  <c r="U471" i="23"/>
  <c r="U472" i="23"/>
  <c r="U473" i="23"/>
  <c r="U474" i="23"/>
  <c r="U475" i="23"/>
  <c r="U476" i="23"/>
  <c r="U477" i="23"/>
  <c r="U478" i="23"/>
  <c r="U479" i="23"/>
  <c r="U480" i="23"/>
  <c r="U481" i="23"/>
  <c r="U482" i="23"/>
  <c r="U483" i="23"/>
  <c r="U484" i="23"/>
  <c r="U485" i="23"/>
  <c r="U486" i="23"/>
  <c r="U487" i="23"/>
  <c r="U488" i="23"/>
  <c r="U489" i="23"/>
  <c r="U490" i="23"/>
  <c r="U491" i="23"/>
  <c r="U492" i="23"/>
  <c r="U493" i="23"/>
  <c r="U494" i="23"/>
  <c r="U495" i="23"/>
  <c r="U496" i="23"/>
  <c r="U497" i="23"/>
  <c r="U498" i="23"/>
  <c r="U499" i="23"/>
  <c r="U500" i="23"/>
  <c r="U501" i="23"/>
  <c r="U502" i="23"/>
  <c r="U503" i="23"/>
  <c r="U504" i="23"/>
  <c r="U505" i="23"/>
  <c r="U506" i="23"/>
  <c r="U507" i="23"/>
  <c r="U508" i="23"/>
  <c r="U509" i="23"/>
  <c r="U510" i="23"/>
  <c r="U511" i="23"/>
  <c r="U512" i="23"/>
  <c r="U513" i="23"/>
  <c r="U514" i="23"/>
  <c r="U515" i="23"/>
  <c r="U516" i="23"/>
  <c r="U517" i="23"/>
  <c r="U518" i="23"/>
  <c r="U519" i="23"/>
  <c r="U520" i="23"/>
  <c r="U521" i="23"/>
  <c r="U522" i="23"/>
  <c r="U523" i="23"/>
  <c r="U524" i="23"/>
  <c r="U525" i="23"/>
  <c r="U526" i="23"/>
  <c r="U527" i="23"/>
  <c r="U528" i="23"/>
  <c r="U529" i="23"/>
  <c r="U530" i="23"/>
  <c r="U531" i="23"/>
  <c r="U532" i="23"/>
  <c r="U533" i="23"/>
  <c r="U534" i="23"/>
  <c r="U535" i="23"/>
  <c r="U536" i="23"/>
  <c r="U537" i="23"/>
  <c r="U538" i="23"/>
  <c r="U539" i="23"/>
  <c r="U540" i="23"/>
  <c r="U541" i="23"/>
  <c r="U542" i="23"/>
  <c r="U543" i="23"/>
  <c r="U544" i="23"/>
  <c r="U545" i="23"/>
  <c r="U546" i="23"/>
  <c r="U547" i="23"/>
  <c r="U548" i="23"/>
  <c r="U549" i="23"/>
  <c r="U550" i="23"/>
  <c r="U551" i="23"/>
  <c r="U552" i="23"/>
  <c r="U553" i="23"/>
  <c r="U554" i="23"/>
  <c r="U555" i="23"/>
  <c r="U556" i="23"/>
  <c r="U557" i="23"/>
  <c r="U558" i="23"/>
  <c r="U559" i="23"/>
  <c r="U560" i="23"/>
  <c r="U561" i="23"/>
  <c r="U562" i="23"/>
  <c r="U563" i="23"/>
  <c r="U564" i="23"/>
  <c r="U565" i="23"/>
  <c r="U566" i="23"/>
  <c r="U567" i="23"/>
  <c r="U568" i="23"/>
  <c r="U569" i="23"/>
  <c r="U570" i="23"/>
  <c r="U571" i="23"/>
  <c r="U572" i="23"/>
  <c r="U573" i="23"/>
  <c r="U574" i="23"/>
  <c r="U575" i="23"/>
  <c r="U576" i="23"/>
  <c r="U577" i="23"/>
  <c r="U578" i="23"/>
  <c r="U579" i="23"/>
  <c r="U580" i="23"/>
  <c r="U581" i="23"/>
  <c r="U582" i="23"/>
  <c r="U583" i="23"/>
  <c r="U584" i="23"/>
  <c r="U585" i="23"/>
  <c r="U586" i="23"/>
  <c r="U587" i="23"/>
  <c r="U588" i="23"/>
  <c r="U589" i="23"/>
  <c r="U590" i="23"/>
  <c r="U591" i="23"/>
  <c r="U592" i="23"/>
  <c r="U593" i="23"/>
  <c r="U594" i="23"/>
  <c r="U595" i="23"/>
  <c r="U596" i="23"/>
  <c r="U597" i="23"/>
  <c r="U598" i="23"/>
  <c r="U599" i="23"/>
  <c r="U600" i="23"/>
  <c r="U601" i="23"/>
  <c r="U602" i="23"/>
  <c r="U603" i="23"/>
  <c r="U604" i="23"/>
  <c r="U605" i="23"/>
  <c r="U606" i="23"/>
  <c r="U607" i="23"/>
  <c r="U608" i="23"/>
  <c r="U609" i="23"/>
  <c r="U610" i="23"/>
  <c r="U611" i="23"/>
  <c r="U612" i="23"/>
  <c r="U613" i="23"/>
  <c r="U614" i="23"/>
  <c r="U615" i="23"/>
  <c r="U616" i="23"/>
  <c r="U617" i="23"/>
  <c r="U618" i="23"/>
  <c r="U619" i="23"/>
  <c r="U620" i="23"/>
  <c r="U621" i="23"/>
  <c r="U622" i="23"/>
  <c r="U623" i="23"/>
  <c r="U624" i="23"/>
  <c r="U625" i="23"/>
  <c r="U626" i="23"/>
  <c r="U627" i="23"/>
  <c r="U628" i="23"/>
  <c r="U629" i="23"/>
  <c r="U630" i="23"/>
  <c r="U631" i="23"/>
  <c r="U632" i="23"/>
  <c r="U633" i="23"/>
  <c r="U634" i="23"/>
  <c r="U635" i="23"/>
  <c r="U636" i="23"/>
  <c r="U637" i="23"/>
  <c r="U638" i="23"/>
  <c r="U639" i="23"/>
  <c r="U640" i="23"/>
  <c r="U641" i="23"/>
  <c r="U642" i="23"/>
  <c r="U643" i="23"/>
  <c r="U644" i="23"/>
  <c r="U645" i="23"/>
  <c r="U646" i="23"/>
  <c r="U647" i="23"/>
  <c r="U648" i="23"/>
  <c r="U649" i="23"/>
  <c r="U650" i="23"/>
  <c r="U651" i="23"/>
  <c r="U652" i="23"/>
  <c r="U653" i="23"/>
  <c r="U654" i="23"/>
  <c r="U655" i="23"/>
  <c r="U656" i="23"/>
  <c r="U657" i="23"/>
  <c r="U658" i="23"/>
  <c r="U659" i="23"/>
  <c r="U660" i="23"/>
  <c r="U661" i="23"/>
  <c r="U662" i="23"/>
  <c r="U663" i="23"/>
  <c r="U664" i="23"/>
  <c r="U665" i="23"/>
  <c r="U666" i="23"/>
  <c r="U667" i="23"/>
  <c r="U668" i="23"/>
  <c r="U669" i="23"/>
  <c r="U670" i="23"/>
  <c r="U671" i="23"/>
  <c r="U672" i="23"/>
  <c r="U673" i="23"/>
  <c r="U674" i="23"/>
  <c r="U675" i="23"/>
  <c r="U676" i="23"/>
  <c r="U677" i="23"/>
  <c r="U678" i="23"/>
  <c r="U679" i="23"/>
  <c r="U680" i="23"/>
  <c r="U681" i="23"/>
  <c r="U682" i="23"/>
  <c r="U683" i="23"/>
  <c r="U684" i="23"/>
  <c r="U685" i="23"/>
  <c r="U686" i="23"/>
  <c r="U687" i="23"/>
  <c r="U688" i="23"/>
  <c r="U689" i="23"/>
  <c r="U690" i="23"/>
  <c r="U691" i="23"/>
  <c r="U692" i="23"/>
  <c r="U693" i="23"/>
  <c r="U694" i="23"/>
  <c r="U695" i="23"/>
  <c r="U696" i="23"/>
  <c r="U697" i="23"/>
  <c r="U698" i="23"/>
  <c r="U699" i="23"/>
  <c r="U700" i="23"/>
  <c r="U701" i="23"/>
  <c r="U702" i="23"/>
  <c r="U703" i="23"/>
  <c r="U704" i="23"/>
  <c r="U705" i="23"/>
  <c r="U706" i="23"/>
  <c r="U707" i="23"/>
  <c r="U708" i="23"/>
  <c r="U709" i="23"/>
  <c r="U710" i="23"/>
  <c r="U711" i="23"/>
  <c r="U712" i="23"/>
  <c r="U713" i="23"/>
  <c r="U714" i="23"/>
  <c r="U715" i="23"/>
  <c r="U716" i="23"/>
  <c r="U717" i="23"/>
  <c r="U718" i="23"/>
  <c r="U719" i="23"/>
  <c r="U720" i="23"/>
  <c r="U721" i="23"/>
  <c r="U722" i="23"/>
  <c r="U723" i="23"/>
  <c r="U724" i="23"/>
  <c r="U725" i="23"/>
  <c r="U726" i="23"/>
  <c r="U727" i="23"/>
  <c r="U728" i="23"/>
  <c r="U729" i="23"/>
  <c r="U730" i="23"/>
  <c r="U731" i="23"/>
  <c r="U732" i="23"/>
  <c r="U733" i="23"/>
  <c r="U734" i="23"/>
  <c r="U735" i="23"/>
  <c r="U736" i="23"/>
  <c r="U737" i="23"/>
  <c r="U738" i="23"/>
  <c r="U739" i="23"/>
  <c r="U740" i="23"/>
  <c r="U741" i="23"/>
  <c r="U742" i="23"/>
  <c r="U743" i="23"/>
  <c r="U744" i="23"/>
  <c r="U745" i="23"/>
  <c r="U746" i="23"/>
  <c r="U747" i="23"/>
  <c r="U748" i="23"/>
  <c r="U749" i="23"/>
  <c r="U750" i="23"/>
  <c r="U751" i="23"/>
  <c r="U752" i="23"/>
  <c r="U753" i="23"/>
  <c r="U754" i="23"/>
  <c r="U755" i="23"/>
  <c r="U756" i="23"/>
  <c r="U757" i="23"/>
  <c r="U758" i="23"/>
  <c r="U759" i="23"/>
  <c r="U760" i="23"/>
  <c r="U761" i="23"/>
  <c r="U762" i="23"/>
  <c r="U763" i="23"/>
  <c r="U764" i="23"/>
  <c r="U765" i="23"/>
  <c r="U766" i="23"/>
  <c r="U767" i="23"/>
  <c r="U768" i="23"/>
  <c r="U769" i="23"/>
  <c r="U770" i="23"/>
  <c r="U771" i="23"/>
  <c r="U772" i="23"/>
  <c r="U773" i="23"/>
  <c r="U774" i="23"/>
  <c r="U775" i="23"/>
  <c r="U776" i="23"/>
  <c r="U777" i="23"/>
  <c r="U778" i="23"/>
  <c r="U779" i="23"/>
  <c r="U780" i="23"/>
  <c r="U781" i="23"/>
  <c r="U782" i="23"/>
  <c r="U783" i="23"/>
  <c r="U784" i="23"/>
  <c r="U785" i="23"/>
  <c r="U786" i="23"/>
  <c r="U787" i="23"/>
  <c r="U788" i="23"/>
  <c r="U789" i="23"/>
  <c r="U790" i="23"/>
  <c r="U791" i="23"/>
  <c r="U792" i="23"/>
  <c r="U793" i="23"/>
  <c r="U794" i="23"/>
  <c r="U795" i="23"/>
  <c r="U796" i="23"/>
  <c r="U797" i="23"/>
  <c r="U798" i="23"/>
  <c r="U799" i="23"/>
  <c r="U800" i="23"/>
  <c r="U801" i="23"/>
  <c r="U802" i="23"/>
  <c r="U803" i="23"/>
  <c r="U804" i="23"/>
  <c r="U805" i="23"/>
  <c r="U806" i="23"/>
  <c r="U807" i="23"/>
  <c r="U808" i="23"/>
  <c r="U809" i="23"/>
  <c r="U810" i="23"/>
  <c r="U811" i="23"/>
  <c r="U812" i="23"/>
  <c r="U813" i="23"/>
  <c r="U814" i="23"/>
  <c r="U815" i="23"/>
  <c r="U816" i="23"/>
  <c r="U817" i="23"/>
  <c r="U818" i="23"/>
  <c r="U819" i="23"/>
  <c r="U820" i="23"/>
  <c r="U821" i="23"/>
  <c r="U822" i="23"/>
  <c r="U823" i="23"/>
  <c r="U824" i="23"/>
  <c r="U825" i="23"/>
  <c r="U826" i="23"/>
  <c r="U827" i="23"/>
  <c r="U828" i="23"/>
  <c r="U829" i="23"/>
  <c r="U830" i="23"/>
  <c r="U831" i="23"/>
  <c r="U832" i="23"/>
  <c r="U833" i="23"/>
  <c r="U834" i="23"/>
  <c r="U835" i="23"/>
  <c r="U836" i="23"/>
  <c r="U837" i="23"/>
  <c r="U838" i="23"/>
  <c r="U839" i="23"/>
  <c r="U840" i="23"/>
  <c r="U841" i="23"/>
  <c r="U842" i="23"/>
  <c r="U843" i="23"/>
  <c r="U844" i="23"/>
  <c r="U845" i="23"/>
  <c r="U846" i="23"/>
  <c r="U847" i="23"/>
  <c r="U848" i="23"/>
  <c r="U849" i="23"/>
  <c r="U850" i="23"/>
  <c r="U851" i="23"/>
  <c r="U852" i="23"/>
  <c r="U853" i="23"/>
  <c r="U854" i="23"/>
  <c r="U855" i="23"/>
  <c r="U856" i="23"/>
  <c r="U857" i="23"/>
  <c r="U858" i="23"/>
  <c r="U859" i="23"/>
  <c r="U860" i="23"/>
  <c r="U861" i="23"/>
  <c r="U862" i="23"/>
  <c r="U863" i="23"/>
  <c r="U864" i="23"/>
  <c r="U865" i="23"/>
  <c r="U866" i="23"/>
  <c r="U867" i="23"/>
  <c r="U868" i="23"/>
  <c r="U869" i="23"/>
  <c r="U870" i="23"/>
  <c r="U871" i="23"/>
  <c r="U872" i="23"/>
  <c r="U873" i="23"/>
  <c r="U874" i="23"/>
  <c r="U875" i="23"/>
  <c r="U876" i="23"/>
  <c r="U877" i="23"/>
  <c r="U878" i="23"/>
  <c r="U879" i="23"/>
  <c r="U880" i="23"/>
  <c r="U881" i="23"/>
  <c r="U882" i="23"/>
  <c r="U883" i="23"/>
  <c r="U884" i="23"/>
  <c r="U885" i="23"/>
  <c r="U886" i="23"/>
  <c r="U887" i="23"/>
  <c r="U888" i="23"/>
  <c r="U889" i="23"/>
  <c r="U890" i="23"/>
  <c r="U891" i="23"/>
  <c r="U892" i="23"/>
  <c r="U893" i="23"/>
  <c r="U894" i="23"/>
  <c r="U895" i="23"/>
  <c r="U896" i="23"/>
  <c r="U897" i="23"/>
  <c r="U898" i="23"/>
  <c r="U899" i="23"/>
  <c r="U900" i="23"/>
  <c r="U901" i="23"/>
  <c r="U902" i="23"/>
  <c r="U903" i="23"/>
  <c r="U904" i="23"/>
  <c r="U905" i="23"/>
  <c r="U906" i="23"/>
  <c r="U907" i="23"/>
  <c r="U908" i="23"/>
  <c r="U909" i="23"/>
  <c r="U910" i="23"/>
  <c r="U911" i="23"/>
  <c r="U912" i="23"/>
  <c r="U913" i="23"/>
  <c r="U914" i="23"/>
  <c r="U915" i="23"/>
  <c r="U916" i="23"/>
  <c r="U917" i="23"/>
  <c r="U918" i="23"/>
  <c r="U919" i="23"/>
  <c r="U920" i="23"/>
  <c r="U921" i="23"/>
  <c r="U922" i="23"/>
  <c r="U923" i="23"/>
  <c r="U924" i="23"/>
  <c r="U925" i="23"/>
  <c r="U926" i="23"/>
  <c r="U927" i="23"/>
  <c r="U928" i="23"/>
  <c r="U929" i="23"/>
  <c r="U930" i="23"/>
  <c r="U931" i="23"/>
  <c r="U932" i="23"/>
  <c r="U933" i="23"/>
  <c r="U934" i="23"/>
  <c r="U935" i="23"/>
  <c r="U936" i="23"/>
  <c r="U937" i="23"/>
  <c r="U938" i="23"/>
  <c r="U939" i="23"/>
  <c r="U940" i="23"/>
  <c r="U941" i="23"/>
  <c r="U942" i="23"/>
  <c r="U943" i="23"/>
  <c r="U944" i="23"/>
  <c r="U945" i="23"/>
  <c r="U946" i="23"/>
  <c r="U947" i="23"/>
  <c r="U948" i="23"/>
  <c r="U949" i="23"/>
  <c r="U950" i="23"/>
  <c r="U951" i="23"/>
  <c r="U952" i="23"/>
  <c r="U953" i="23"/>
  <c r="U954" i="23"/>
  <c r="U955" i="23"/>
  <c r="U956" i="23"/>
  <c r="U957" i="23"/>
  <c r="U958" i="23"/>
  <c r="U959" i="23"/>
  <c r="U960" i="23"/>
  <c r="U961" i="23"/>
  <c r="U962" i="23"/>
  <c r="U963" i="23"/>
  <c r="U964" i="23"/>
  <c r="U965" i="23"/>
  <c r="U966" i="23"/>
  <c r="U967" i="23"/>
  <c r="U968" i="23"/>
  <c r="U969" i="23"/>
  <c r="U970" i="23"/>
  <c r="U971" i="23"/>
  <c r="U972" i="23"/>
  <c r="U973" i="23"/>
  <c r="U974" i="23"/>
  <c r="U975" i="23"/>
  <c r="U976" i="23"/>
  <c r="U977" i="23"/>
  <c r="U978" i="23"/>
  <c r="U979" i="23"/>
  <c r="U980" i="23"/>
  <c r="U981" i="23"/>
  <c r="U982" i="23"/>
  <c r="U983" i="23"/>
  <c r="U984" i="23"/>
  <c r="U985" i="23"/>
  <c r="U986" i="23"/>
  <c r="U987" i="23"/>
  <c r="U988" i="23"/>
  <c r="U989" i="23"/>
  <c r="U990" i="23"/>
  <c r="U991" i="23"/>
  <c r="U992" i="23"/>
  <c r="U993" i="23"/>
  <c r="U994" i="23"/>
  <c r="U995" i="23"/>
  <c r="U996" i="23"/>
  <c r="U997" i="23"/>
  <c r="U998" i="23"/>
  <c r="U999" i="23"/>
  <c r="U1000" i="23"/>
  <c r="U1001" i="23"/>
  <c r="U1002" i="23"/>
  <c r="U1003" i="23"/>
  <c r="U1004" i="23"/>
  <c r="U1005" i="23"/>
  <c r="U1006" i="23"/>
  <c r="U1007" i="23"/>
  <c r="U1008" i="23"/>
  <c r="U1009" i="23"/>
  <c r="U1010" i="23"/>
  <c r="U1011" i="23"/>
  <c r="U1012" i="23"/>
  <c r="U1013" i="23"/>
  <c r="U1014" i="23"/>
  <c r="U1015" i="23"/>
  <c r="U1016" i="23"/>
  <c r="U1017" i="23"/>
  <c r="U1018" i="23"/>
  <c r="U1019" i="23"/>
  <c r="U1020" i="23"/>
  <c r="U1021" i="23"/>
  <c r="U1022" i="23"/>
  <c r="U1023" i="23"/>
  <c r="U1024" i="23"/>
  <c r="U1025" i="23"/>
  <c r="U1026" i="23"/>
  <c r="U1027" i="23"/>
  <c r="U1028" i="23"/>
  <c r="U1029" i="23"/>
  <c r="U1030" i="23"/>
  <c r="U1031" i="23"/>
  <c r="U1032" i="23"/>
  <c r="U1033" i="23"/>
  <c r="U1034" i="23"/>
  <c r="U1035" i="23"/>
  <c r="U1036" i="23"/>
  <c r="U1037" i="23"/>
  <c r="U1038" i="23"/>
  <c r="U1039" i="23"/>
  <c r="U1040" i="23"/>
  <c r="U1041" i="23"/>
  <c r="U1042" i="23"/>
  <c r="U1043" i="23"/>
  <c r="U1044" i="23"/>
  <c r="U1045" i="23"/>
  <c r="U1046" i="23"/>
  <c r="U1047" i="23"/>
  <c r="U1048" i="23"/>
  <c r="U1049" i="23"/>
  <c r="U1050" i="23"/>
  <c r="U1051" i="23"/>
  <c r="U1052" i="23"/>
  <c r="U1053" i="23"/>
  <c r="U1054" i="23"/>
  <c r="U1055" i="23"/>
  <c r="U1056" i="23"/>
  <c r="U1057" i="23"/>
  <c r="U1058" i="23"/>
  <c r="U1059" i="23"/>
  <c r="U1060" i="23"/>
  <c r="U1061" i="23"/>
  <c r="U1062" i="23"/>
  <c r="U1063" i="23"/>
  <c r="U1064" i="23"/>
  <c r="U1065" i="23"/>
  <c r="U1066" i="23"/>
  <c r="U1067" i="23"/>
  <c r="U1068" i="23"/>
  <c r="U1069" i="23"/>
  <c r="U1070" i="23"/>
  <c r="U1071" i="23"/>
  <c r="U1072" i="23"/>
  <c r="U1073" i="23"/>
  <c r="U1074" i="23"/>
  <c r="U1075" i="23"/>
  <c r="U1076" i="23"/>
  <c r="U1077" i="23"/>
  <c r="U1078" i="23"/>
  <c r="U1079" i="23"/>
  <c r="U1080" i="23"/>
  <c r="U1081" i="23"/>
  <c r="U1082" i="23"/>
  <c r="U1083" i="23"/>
  <c r="U1084" i="23"/>
  <c r="U1085" i="23"/>
  <c r="U1086" i="23"/>
  <c r="U1087" i="23"/>
  <c r="U1088" i="23"/>
  <c r="U1089" i="23"/>
  <c r="U1090" i="23"/>
  <c r="U1091" i="23"/>
  <c r="U1092" i="23"/>
  <c r="U1093" i="23"/>
  <c r="U1094" i="23"/>
  <c r="U1095" i="23"/>
  <c r="U1096" i="23"/>
  <c r="U1097" i="23"/>
  <c r="U1098" i="23"/>
  <c r="U1099" i="23"/>
  <c r="U1100" i="23"/>
  <c r="U1101" i="23"/>
  <c r="U1102" i="23"/>
  <c r="U1103" i="23"/>
  <c r="U1104" i="23"/>
  <c r="U1105" i="23"/>
  <c r="U1106" i="23"/>
  <c r="U1107" i="23"/>
  <c r="U1108" i="23"/>
  <c r="U1109" i="23"/>
  <c r="U1110" i="23"/>
  <c r="U1111" i="23"/>
  <c r="U1112" i="23"/>
  <c r="U1113" i="23"/>
  <c r="U1114" i="23"/>
  <c r="U1115" i="23"/>
  <c r="U1116" i="23"/>
  <c r="U1117" i="23"/>
  <c r="U1118" i="23"/>
  <c r="U1119" i="23"/>
  <c r="U1120" i="23"/>
  <c r="U1121" i="23"/>
  <c r="U1122" i="23"/>
  <c r="U1123" i="23"/>
  <c r="U1124" i="23"/>
  <c r="U1125" i="23"/>
  <c r="U1126" i="23"/>
  <c r="U1127" i="23"/>
  <c r="U1128" i="23"/>
  <c r="U1129" i="23"/>
  <c r="U1130" i="23"/>
  <c r="U1131" i="23"/>
  <c r="U1132" i="23"/>
  <c r="U1133" i="23"/>
  <c r="U1134" i="23"/>
  <c r="U1135" i="23"/>
  <c r="U1136" i="23"/>
  <c r="U1137" i="23"/>
  <c r="U1138" i="23"/>
  <c r="U1139" i="23"/>
  <c r="U1140" i="23"/>
  <c r="U1141" i="23"/>
  <c r="U1142" i="23"/>
  <c r="U1143" i="23"/>
  <c r="U1144" i="23"/>
  <c r="U1145" i="23"/>
  <c r="U1146" i="23"/>
  <c r="U1147" i="23"/>
  <c r="U1148" i="23"/>
  <c r="U1149" i="23"/>
  <c r="U1150" i="23"/>
  <c r="U1151" i="23"/>
  <c r="U1152" i="23"/>
  <c r="U1153" i="23"/>
  <c r="U1154" i="23"/>
  <c r="U1155" i="23"/>
  <c r="U1156" i="23"/>
  <c r="U1157" i="23"/>
  <c r="U1158" i="23"/>
  <c r="U1159" i="23"/>
  <c r="U1160" i="23"/>
  <c r="U1161" i="23"/>
  <c r="U1162" i="23"/>
  <c r="U1163" i="23"/>
  <c r="U1164" i="23"/>
  <c r="U1165" i="23"/>
  <c r="U1166" i="23"/>
  <c r="U1167" i="23"/>
  <c r="U1168" i="23"/>
  <c r="U1169" i="23"/>
  <c r="U1170" i="23"/>
  <c r="U1171" i="23"/>
  <c r="U1172" i="23"/>
  <c r="U1173" i="23"/>
  <c r="U1174" i="23"/>
  <c r="U1175" i="23"/>
  <c r="U1176" i="23"/>
  <c r="U1177" i="23"/>
  <c r="U1178" i="23"/>
  <c r="U1179" i="23"/>
  <c r="U1180" i="23"/>
  <c r="U1181" i="23"/>
  <c r="U1182" i="23"/>
  <c r="U1183" i="23"/>
  <c r="U1184" i="23"/>
  <c r="U1185" i="23"/>
  <c r="U1186" i="23"/>
  <c r="U1187" i="23"/>
  <c r="U1188" i="23"/>
  <c r="U1189" i="23"/>
  <c r="U1190" i="23"/>
  <c r="U1191" i="23"/>
  <c r="U1192" i="23"/>
  <c r="U1193" i="23"/>
  <c r="U1194" i="23"/>
  <c r="U1195" i="23"/>
  <c r="U1196" i="23"/>
  <c r="U1197" i="23"/>
  <c r="U1198" i="23"/>
  <c r="U1199" i="23"/>
  <c r="U1200" i="23"/>
  <c r="U1201" i="23"/>
  <c r="U1202" i="23"/>
  <c r="U1203" i="23"/>
  <c r="U1204" i="23"/>
  <c r="U1205" i="23"/>
  <c r="U6" i="23"/>
  <c r="M602" i="23" l="1"/>
  <c r="M1142" i="23"/>
  <c r="M1052" i="23"/>
  <c r="M938" i="23"/>
  <c r="M832" i="23"/>
  <c r="M717" i="23"/>
  <c r="M578" i="23"/>
  <c r="M414" i="23"/>
  <c r="M1168" i="23"/>
  <c r="M1086" i="23"/>
  <c r="M977" i="23"/>
  <c r="M863" i="23"/>
  <c r="M720" i="23"/>
  <c r="M1166" i="23"/>
  <c r="M1085" i="23"/>
  <c r="M976" i="23"/>
  <c r="M861" i="23"/>
  <c r="M719" i="23"/>
  <c r="M601" i="23"/>
  <c r="M417" i="23"/>
  <c r="M1141" i="23"/>
  <c r="M1051" i="23"/>
  <c r="M937" i="23"/>
  <c r="M823" i="23"/>
  <c r="M716" i="23"/>
  <c r="M547" i="23"/>
  <c r="M372" i="23"/>
  <c r="M462" i="23"/>
  <c r="M1129" i="23"/>
  <c r="M1050" i="23"/>
  <c r="M936" i="23"/>
  <c r="M822" i="23"/>
  <c r="M693" i="23"/>
  <c r="M546" i="23"/>
  <c r="M371" i="23"/>
  <c r="M1128" i="23"/>
  <c r="M1049" i="23"/>
  <c r="M935" i="23"/>
  <c r="M821" i="23"/>
  <c r="M662" i="23"/>
  <c r="M545" i="23"/>
  <c r="M369" i="23"/>
  <c r="M804" i="23"/>
  <c r="M750" i="23"/>
  <c r="M692" i="23"/>
  <c r="M635" i="23"/>
  <c r="M577" i="23"/>
  <c r="M520" i="23"/>
  <c r="M461" i="23"/>
  <c r="M363" i="23"/>
  <c r="M1195" i="23"/>
  <c r="M1125" i="23"/>
  <c r="M1025" i="23"/>
  <c r="M909" i="23"/>
  <c r="M803" i="23"/>
  <c r="M691" i="23"/>
  <c r="M576" i="23"/>
  <c r="M458" i="23"/>
  <c r="M1194" i="23"/>
  <c r="M1153" i="23"/>
  <c r="M1124" i="23"/>
  <c r="M1077" i="23"/>
  <c r="M1024" i="23"/>
  <c r="M966" i="23"/>
  <c r="M908" i="23"/>
  <c r="M852" i="23"/>
  <c r="M801" i="23"/>
  <c r="M748" i="23"/>
  <c r="M690" i="23"/>
  <c r="M632" i="23"/>
  <c r="M575" i="23"/>
  <c r="M517" i="23"/>
  <c r="M457" i="23"/>
  <c r="M321" i="23"/>
  <c r="M1193" i="23"/>
  <c r="M1152" i="23"/>
  <c r="M1117" i="23"/>
  <c r="M1076" i="23"/>
  <c r="M1022" i="23"/>
  <c r="M965" i="23"/>
  <c r="M907" i="23"/>
  <c r="M851" i="23"/>
  <c r="M794" i="23"/>
  <c r="M746" i="23"/>
  <c r="M689" i="23"/>
  <c r="M631" i="23"/>
  <c r="M573" i="23"/>
  <c r="M516" i="23"/>
  <c r="M456" i="23"/>
  <c r="M317" i="23"/>
  <c r="M1165" i="23"/>
  <c r="M1078" i="23"/>
  <c r="M967" i="23"/>
  <c r="M860" i="23"/>
  <c r="M749" i="23"/>
  <c r="M633" i="23"/>
  <c r="M518" i="23"/>
  <c r="M362" i="23"/>
  <c r="M1192" i="23"/>
  <c r="M1151" i="23"/>
  <c r="M1111" i="23"/>
  <c r="M1075" i="23"/>
  <c r="M1021" i="23"/>
  <c r="M964" i="23"/>
  <c r="M906" i="23"/>
  <c r="M849" i="23"/>
  <c r="M793" i="23"/>
  <c r="M745" i="23"/>
  <c r="M688" i="23"/>
  <c r="M630" i="23"/>
  <c r="M572" i="23"/>
  <c r="M515" i="23"/>
  <c r="M422" i="23"/>
  <c r="M314" i="23"/>
  <c r="M1190" i="23"/>
  <c r="M1150" i="23"/>
  <c r="M1104" i="23"/>
  <c r="M1061" i="23"/>
  <c r="M1005" i="23"/>
  <c r="M948" i="23"/>
  <c r="M892" i="23"/>
  <c r="M834" i="23"/>
  <c r="M777" i="23"/>
  <c r="M722" i="23"/>
  <c r="M665" i="23"/>
  <c r="M607" i="23"/>
  <c r="M549" i="23"/>
  <c r="M492" i="23"/>
  <c r="M421" i="23"/>
  <c r="M312" i="23"/>
  <c r="M1189" i="23"/>
  <c r="M1144" i="23"/>
  <c r="M1103" i="23"/>
  <c r="M1060" i="23"/>
  <c r="M1004" i="23"/>
  <c r="M947" i="23"/>
  <c r="M890" i="23"/>
  <c r="M833" i="23"/>
  <c r="M776" i="23"/>
  <c r="M721" i="23"/>
  <c r="M664" i="23"/>
  <c r="M606" i="23"/>
  <c r="M548" i="23"/>
  <c r="M491" i="23"/>
  <c r="M419" i="23"/>
  <c r="M311" i="23"/>
  <c r="M1183" i="23"/>
  <c r="M1116" i="23"/>
  <c r="M991" i="23"/>
  <c r="M792" i="23"/>
  <c r="M6" i="23"/>
  <c r="M1182" i="23"/>
  <c r="M1163" i="23"/>
  <c r="M1139" i="23"/>
  <c r="M1115" i="23"/>
  <c r="M1091" i="23"/>
  <c r="M1073" i="23"/>
  <c r="M1046" i="23"/>
  <c r="M1019" i="23"/>
  <c r="M990" i="23"/>
  <c r="M961" i="23"/>
  <c r="M932" i="23"/>
  <c r="M904" i="23"/>
  <c r="M876" i="23"/>
  <c r="M847" i="23"/>
  <c r="M818" i="23"/>
  <c r="M791" i="23"/>
  <c r="M763" i="23"/>
  <c r="M736" i="23"/>
  <c r="M707" i="23"/>
  <c r="M678" i="23"/>
  <c r="M649" i="23"/>
  <c r="M620" i="23"/>
  <c r="M592" i="23"/>
  <c r="M563" i="23"/>
  <c r="M534" i="23"/>
  <c r="M505" i="23"/>
  <c r="M476" i="23"/>
  <c r="M441" i="23"/>
  <c r="M397" i="23"/>
  <c r="M341" i="23"/>
  <c r="M290" i="23"/>
  <c r="M455" i="23"/>
  <c r="M361" i="23"/>
  <c r="M309" i="23"/>
  <c r="M1164" i="23"/>
  <c r="M1140" i="23"/>
  <c r="M1098" i="23"/>
  <c r="M1074" i="23"/>
  <c r="M1048" i="23"/>
  <c r="M1020" i="23"/>
  <c r="M962" i="23"/>
  <c r="M933" i="23"/>
  <c r="M905" i="23"/>
  <c r="M877" i="23"/>
  <c r="M848" i="23"/>
  <c r="M820" i="23"/>
  <c r="M764" i="23"/>
  <c r="M737" i="23"/>
  <c r="M708" i="23"/>
  <c r="M679" i="23"/>
  <c r="M650" i="23"/>
  <c r="M621" i="23"/>
  <c r="M593" i="23"/>
  <c r="M564" i="23"/>
  <c r="M535" i="23"/>
  <c r="M506" i="23"/>
  <c r="M477" i="23"/>
  <c r="M443" i="23"/>
  <c r="M398" i="23"/>
  <c r="M345" i="23"/>
  <c r="M291" i="23"/>
  <c r="M1205" i="23"/>
  <c r="M1181" i="23"/>
  <c r="M1157" i="23"/>
  <c r="M1138" i="23"/>
  <c r="M1114" i="23"/>
  <c r="M1090" i="23"/>
  <c r="M1065" i="23"/>
  <c r="M1039" i="23"/>
  <c r="M1010" i="23"/>
  <c r="M981" i="23"/>
  <c r="M953" i="23"/>
  <c r="M924" i="23"/>
  <c r="M902" i="23"/>
  <c r="M875" i="23"/>
  <c r="M846" i="23"/>
  <c r="M817" i="23"/>
  <c r="M789" i="23"/>
  <c r="M762" i="23"/>
  <c r="M734" i="23"/>
  <c r="M705" i="23"/>
  <c r="M677" i="23"/>
  <c r="M648" i="23"/>
  <c r="M619" i="23"/>
  <c r="M590" i="23"/>
  <c r="M561" i="23"/>
  <c r="M533" i="23"/>
  <c r="M504" i="23"/>
  <c r="M475" i="23"/>
  <c r="M440" i="23"/>
  <c r="M393" i="23"/>
  <c r="M340" i="23"/>
  <c r="M289" i="23"/>
  <c r="M411" i="23"/>
  <c r="M1204" i="23"/>
  <c r="M1180" i="23"/>
  <c r="M1156" i="23"/>
  <c r="M1137" i="23"/>
  <c r="M1113" i="23"/>
  <c r="M1089" i="23"/>
  <c r="M1064" i="23"/>
  <c r="M1038" i="23"/>
  <c r="M1009" i="23"/>
  <c r="M980" i="23"/>
  <c r="M952" i="23"/>
  <c r="M923" i="23"/>
  <c r="M895" i="23"/>
  <c r="M866" i="23"/>
  <c r="M837" i="23"/>
  <c r="M809" i="23"/>
  <c r="M788" i="23"/>
  <c r="M761" i="23"/>
  <c r="M733" i="23"/>
  <c r="M704" i="23"/>
  <c r="M676" i="23"/>
  <c r="M647" i="23"/>
  <c r="M618" i="23"/>
  <c r="M589" i="23"/>
  <c r="M560" i="23"/>
  <c r="M532" i="23"/>
  <c r="M503" i="23"/>
  <c r="M474" i="23"/>
  <c r="M437" i="23"/>
  <c r="M389" i="23"/>
  <c r="M339" i="23"/>
  <c r="M287" i="23"/>
  <c r="M1202" i="23"/>
  <c r="M1178" i="23"/>
  <c r="M1154" i="23"/>
  <c r="M1130" i="23"/>
  <c r="M1112" i="23"/>
  <c r="M1088" i="23"/>
  <c r="M1063" i="23"/>
  <c r="M1037" i="23"/>
  <c r="M1008" i="23"/>
  <c r="M979" i="23"/>
  <c r="M950" i="23"/>
  <c r="M921" i="23"/>
  <c r="M894" i="23"/>
  <c r="M865" i="23"/>
  <c r="M836" i="23"/>
  <c r="M808" i="23"/>
  <c r="M780" i="23"/>
  <c r="M760" i="23"/>
  <c r="M732" i="23"/>
  <c r="M703" i="23"/>
  <c r="M674" i="23"/>
  <c r="M645" i="23"/>
  <c r="M617" i="23"/>
  <c r="M588" i="23"/>
  <c r="M559" i="23"/>
  <c r="M530" i="23"/>
  <c r="M501" i="23"/>
  <c r="M473" i="23"/>
  <c r="M436" i="23"/>
  <c r="M388" i="23"/>
  <c r="M338" i="23"/>
  <c r="M285" i="23"/>
  <c r="M1087" i="23"/>
  <c r="M1062" i="23"/>
  <c r="M1036" i="23"/>
  <c r="M1007" i="23"/>
  <c r="M978" i="23"/>
  <c r="M949" i="23"/>
  <c r="M920" i="23"/>
  <c r="M893" i="23"/>
  <c r="M864" i="23"/>
  <c r="M835" i="23"/>
  <c r="M806" i="23"/>
  <c r="M779" i="23"/>
  <c r="M758" i="23"/>
  <c r="M731" i="23"/>
  <c r="M702" i="23"/>
  <c r="M673" i="23"/>
  <c r="M644" i="23"/>
  <c r="M616" i="23"/>
  <c r="M587" i="23"/>
  <c r="M558" i="23"/>
  <c r="M529" i="23"/>
  <c r="M500" i="23"/>
  <c r="M470" i="23"/>
  <c r="M435" i="23"/>
  <c r="M387" i="23"/>
  <c r="M335" i="23"/>
  <c r="M281" i="23"/>
  <c r="M1072" i="23"/>
  <c r="M1058" i="23"/>
  <c r="M1045" i="23"/>
  <c r="M1032" i="23"/>
  <c r="M1017" i="23"/>
  <c r="M1003" i="23"/>
  <c r="M989" i="23"/>
  <c r="M974" i="23"/>
  <c r="M960" i="23"/>
  <c r="M945" i="23"/>
  <c r="M931" i="23"/>
  <c r="M917" i="23"/>
  <c r="M729" i="23"/>
  <c r="M686" i="23"/>
  <c r="M643" i="23"/>
  <c r="M614" i="23"/>
  <c r="M585" i="23"/>
  <c r="M557" i="23"/>
  <c r="M513" i="23"/>
  <c r="M485" i="23"/>
  <c r="M452" i="23"/>
  <c r="M410" i="23"/>
  <c r="M360" i="23"/>
  <c r="M304" i="23"/>
  <c r="M1188" i="23"/>
  <c r="M1162" i="23"/>
  <c r="M1123" i="23"/>
  <c r="M1097" i="23"/>
  <c r="M1057" i="23"/>
  <c r="M1044" i="23"/>
  <c r="M1002" i="23"/>
  <c r="M944" i="23"/>
  <c r="M872" i="23"/>
  <c r="M786" i="23"/>
  <c r="M671" i="23"/>
  <c r="M541" i="23"/>
  <c r="M1200" i="23"/>
  <c r="M1187" i="23"/>
  <c r="M1174" i="23"/>
  <c r="M1161" i="23"/>
  <c r="M1148" i="23"/>
  <c r="M1135" i="23"/>
  <c r="M1122" i="23"/>
  <c r="M1109" i="23"/>
  <c r="M1096" i="23"/>
  <c r="M1082" i="23"/>
  <c r="M1069" i="23"/>
  <c r="M1056" i="23"/>
  <c r="M1043" i="23"/>
  <c r="M1029" i="23"/>
  <c r="M1015" i="23"/>
  <c r="M1001" i="23"/>
  <c r="M986" i="23"/>
  <c r="M972" i="23"/>
  <c r="M957" i="23"/>
  <c r="M943" i="23"/>
  <c r="M929" i="23"/>
  <c r="M914" i="23"/>
  <c r="M900" i="23"/>
  <c r="M885" i="23"/>
  <c r="M871" i="23"/>
  <c r="M857" i="23"/>
  <c r="M842" i="23"/>
  <c r="M828" i="23"/>
  <c r="M813" i="23"/>
  <c r="M799" i="23"/>
  <c r="M785" i="23"/>
  <c r="M770" i="23"/>
  <c r="M756" i="23"/>
  <c r="M741" i="23"/>
  <c r="M727" i="23"/>
  <c r="M713" i="23"/>
  <c r="M698" i="23"/>
  <c r="M684" i="23"/>
  <c r="M669" i="23"/>
  <c r="M655" i="23"/>
  <c r="M641" i="23"/>
  <c r="M626" i="23"/>
  <c r="M612" i="23"/>
  <c r="M597" i="23"/>
  <c r="M583" i="23"/>
  <c r="M569" i="23"/>
  <c r="M554" i="23"/>
  <c r="M540" i="23"/>
  <c r="M525" i="23"/>
  <c r="M511" i="23"/>
  <c r="M497" i="23"/>
  <c r="M482" i="23"/>
  <c r="M467" i="23"/>
  <c r="M449" i="23"/>
  <c r="M429" i="23"/>
  <c r="M408" i="23"/>
  <c r="M381" i="23"/>
  <c r="M352" i="23"/>
  <c r="M327" i="23"/>
  <c r="M302" i="23"/>
  <c r="M275" i="23"/>
  <c r="M787" i="23"/>
  <c r="M701" i="23"/>
  <c r="M528" i="23"/>
  <c r="M280" i="23"/>
  <c r="M1201" i="23"/>
  <c r="M1136" i="23"/>
  <c r="M1084" i="23"/>
  <c r="M1031" i="23"/>
  <c r="M988" i="23"/>
  <c r="M930" i="23"/>
  <c r="M887" i="23"/>
  <c r="M829" i="23"/>
  <c r="M800" i="23"/>
  <c r="M743" i="23"/>
  <c r="M714" i="23"/>
  <c r="M685" i="23"/>
  <c r="M628" i="23"/>
  <c r="M599" i="23"/>
  <c r="M570" i="23"/>
  <c r="M527" i="23"/>
  <c r="M484" i="23"/>
  <c r="M450" i="23"/>
  <c r="M409" i="23"/>
  <c r="M359" i="23"/>
  <c r="M1199" i="23"/>
  <c r="M1186" i="23"/>
  <c r="M1173" i="23"/>
  <c r="M1160" i="23"/>
  <c r="M1147" i="23"/>
  <c r="M1134" i="23"/>
  <c r="M1121" i="23"/>
  <c r="M1108" i="23"/>
  <c r="M1094" i="23"/>
  <c r="M1081" i="23"/>
  <c r="M1068" i="23"/>
  <c r="M1055" i="23"/>
  <c r="M1042" i="23"/>
  <c r="M1028" i="23"/>
  <c r="M1014" i="23"/>
  <c r="M1000" i="23"/>
  <c r="M985" i="23"/>
  <c r="M971" i="23"/>
  <c r="M956" i="23"/>
  <c r="M942" i="23"/>
  <c r="M928" i="23"/>
  <c r="M913" i="23"/>
  <c r="M899" i="23"/>
  <c r="M884" i="23"/>
  <c r="M870" i="23"/>
  <c r="M856" i="23"/>
  <c r="M841" i="23"/>
  <c r="M827" i="23"/>
  <c r="M812" i="23"/>
  <c r="M798" i="23"/>
  <c r="M784" i="23"/>
  <c r="M769" i="23"/>
  <c r="M755" i="23"/>
  <c r="M740" i="23"/>
  <c r="M726" i="23"/>
  <c r="M712" i="23"/>
  <c r="M697" i="23"/>
  <c r="M683" i="23"/>
  <c r="M668" i="23"/>
  <c r="M654" i="23"/>
  <c r="M640" i="23"/>
  <c r="M625" i="23"/>
  <c r="M611" i="23"/>
  <c r="M596" i="23"/>
  <c r="M582" i="23"/>
  <c r="M568" i="23"/>
  <c r="M553" i="23"/>
  <c r="M539" i="23"/>
  <c r="M524" i="23"/>
  <c r="M510" i="23"/>
  <c r="M496" i="23"/>
  <c r="M481" i="23"/>
  <c r="M465" i="23"/>
  <c r="M448" i="23"/>
  <c r="M426" i="23"/>
  <c r="M405" i="23"/>
  <c r="M377" i="23"/>
  <c r="M351" i="23"/>
  <c r="M325" i="23"/>
  <c r="M301" i="23"/>
  <c r="M273" i="23"/>
  <c r="M744" i="23"/>
  <c r="M715" i="23"/>
  <c r="M672" i="23"/>
  <c r="M629" i="23"/>
  <c r="M600" i="23"/>
  <c r="M571" i="23"/>
  <c r="M542" i="23"/>
  <c r="M499" i="23"/>
  <c r="M469" i="23"/>
  <c r="M434" i="23"/>
  <c r="M384" i="23"/>
  <c r="M333" i="23"/>
  <c r="M1175" i="23"/>
  <c r="M1149" i="23"/>
  <c r="M1110" i="23"/>
  <c r="M1070" i="23"/>
  <c r="M1016" i="23"/>
  <c r="M973" i="23"/>
  <c r="M916" i="23"/>
  <c r="M844" i="23"/>
  <c r="M757" i="23"/>
  <c r="M642" i="23"/>
  <c r="M512" i="23"/>
  <c r="M279" i="23"/>
  <c r="M1198" i="23"/>
  <c r="M1185" i="23"/>
  <c r="M1172" i="23"/>
  <c r="M1159" i="23"/>
  <c r="M1146" i="23"/>
  <c r="M1133" i="23"/>
  <c r="M1120" i="23"/>
  <c r="M1106" i="23"/>
  <c r="M1093" i="23"/>
  <c r="M1080" i="23"/>
  <c r="M1067" i="23"/>
  <c r="M1054" i="23"/>
  <c r="M1041" i="23"/>
  <c r="M1027" i="23"/>
  <c r="M1013" i="23"/>
  <c r="M998" i="23"/>
  <c r="M984" i="23"/>
  <c r="M969" i="23"/>
  <c r="M955" i="23"/>
  <c r="M941" i="23"/>
  <c r="M926" i="23"/>
  <c r="M912" i="23"/>
  <c r="M897" i="23"/>
  <c r="M883" i="23"/>
  <c r="M869" i="23"/>
  <c r="M854" i="23"/>
  <c r="M840" i="23"/>
  <c r="M825" i="23"/>
  <c r="M811" i="23"/>
  <c r="M797" i="23"/>
  <c r="M782" i="23"/>
  <c r="M768" i="23"/>
  <c r="M753" i="23"/>
  <c r="M739" i="23"/>
  <c r="M725" i="23"/>
  <c r="M710" i="23"/>
  <c r="M696" i="23"/>
  <c r="M681" i="23"/>
  <c r="M667" i="23"/>
  <c r="M653" i="23"/>
  <c r="M638" i="23"/>
  <c r="M624" i="23"/>
  <c r="M609" i="23"/>
  <c r="M595" i="23"/>
  <c r="M581" i="23"/>
  <c r="M566" i="23"/>
  <c r="M552" i="23"/>
  <c r="M537" i="23"/>
  <c r="M523" i="23"/>
  <c r="M509" i="23"/>
  <c r="M494" i="23"/>
  <c r="M480" i="23"/>
  <c r="M464" i="23"/>
  <c r="M447" i="23"/>
  <c r="M425" i="23"/>
  <c r="M400" i="23"/>
  <c r="M376" i="23"/>
  <c r="M350" i="23"/>
  <c r="M324" i="23"/>
  <c r="M300" i="23"/>
  <c r="M266" i="23"/>
  <c r="M888" i="23"/>
  <c r="M873" i="23"/>
  <c r="M859" i="23"/>
  <c r="M845" i="23"/>
  <c r="M830" i="23"/>
  <c r="M816" i="23"/>
  <c r="M657" i="23"/>
  <c r="M959" i="23"/>
  <c r="M901" i="23"/>
  <c r="M858" i="23"/>
  <c r="M815" i="23"/>
  <c r="M772" i="23"/>
  <c r="M728" i="23"/>
  <c r="M700" i="23"/>
  <c r="M656" i="23"/>
  <c r="M613" i="23"/>
  <c r="M584" i="23"/>
  <c r="M556" i="23"/>
  <c r="M498" i="23"/>
  <c r="M468" i="23"/>
  <c r="M433" i="23"/>
  <c r="M383" i="23"/>
  <c r="M328" i="23"/>
  <c r="M303" i="23"/>
  <c r="M1197" i="23"/>
  <c r="M1184" i="23"/>
  <c r="M1171" i="23"/>
  <c r="M1158" i="23"/>
  <c r="M1145" i="23"/>
  <c r="M1132" i="23"/>
  <c r="M1118" i="23"/>
  <c r="M1105" i="23"/>
  <c r="M1092" i="23"/>
  <c r="M1079" i="23"/>
  <c r="M1066" i="23"/>
  <c r="M1053" i="23"/>
  <c r="M1040" i="23"/>
  <c r="M1026" i="23"/>
  <c r="M1012" i="23"/>
  <c r="M997" i="23"/>
  <c r="M983" i="23"/>
  <c r="M968" i="23"/>
  <c r="M954" i="23"/>
  <c r="M940" i="23"/>
  <c r="M925" i="23"/>
  <c r="M911" i="23"/>
  <c r="M896" i="23"/>
  <c r="M882" i="23"/>
  <c r="M868" i="23"/>
  <c r="M853" i="23"/>
  <c r="M839" i="23"/>
  <c r="M824" i="23"/>
  <c r="M810" i="23"/>
  <c r="M796" i="23"/>
  <c r="M781" i="23"/>
  <c r="M767" i="23"/>
  <c r="M752" i="23"/>
  <c r="M738" i="23"/>
  <c r="M724" i="23"/>
  <c r="M709" i="23"/>
  <c r="M695" i="23"/>
  <c r="M680" i="23"/>
  <c r="M666" i="23"/>
  <c r="M652" i="23"/>
  <c r="M637" i="23"/>
  <c r="M623" i="23"/>
  <c r="M608" i="23"/>
  <c r="M594" i="23"/>
  <c r="M580" i="23"/>
  <c r="M565" i="23"/>
  <c r="M551" i="23"/>
  <c r="M536" i="23"/>
  <c r="M522" i="23"/>
  <c r="M508" i="23"/>
  <c r="M493" i="23"/>
  <c r="M479" i="23"/>
  <c r="M463" i="23"/>
  <c r="M444" i="23"/>
  <c r="M424" i="23"/>
  <c r="M399" i="23"/>
  <c r="M373" i="23"/>
  <c r="M348" i="23"/>
  <c r="M323" i="23"/>
  <c r="M292" i="23"/>
  <c r="M265" i="23"/>
  <c r="M472" i="23"/>
  <c r="M460" i="23"/>
  <c r="M446" i="23"/>
  <c r="M432" i="23"/>
  <c r="M413" i="23"/>
  <c r="M396" i="23"/>
  <c r="M375" i="23"/>
  <c r="M357" i="23"/>
  <c r="M337" i="23"/>
  <c r="M316" i="23"/>
  <c r="M299" i="23"/>
  <c r="M278" i="23"/>
  <c r="M1203" i="23"/>
  <c r="M1191" i="23"/>
  <c r="M1179" i="23"/>
  <c r="M1167" i="23"/>
  <c r="M1155" i="23"/>
  <c r="M1143" i="23"/>
  <c r="M1131" i="23"/>
  <c r="M1119" i="23"/>
  <c r="M1107" i="23"/>
  <c r="M1095" i="23"/>
  <c r="M1083" i="23"/>
  <c r="M1071" i="23"/>
  <c r="M1059" i="23"/>
  <c r="M1047" i="23"/>
  <c r="M1035" i="23"/>
  <c r="M1023" i="23"/>
  <c r="M1011" i="23"/>
  <c r="M999" i="23"/>
  <c r="M987" i="23"/>
  <c r="M975" i="23"/>
  <c r="M963" i="23"/>
  <c r="M951" i="23"/>
  <c r="M939" i="23"/>
  <c r="M927" i="23"/>
  <c r="M915" i="23"/>
  <c r="M903" i="23"/>
  <c r="M891" i="23"/>
  <c r="M879" i="23"/>
  <c r="M867" i="23"/>
  <c r="M855" i="23"/>
  <c r="M843" i="23"/>
  <c r="M831" i="23"/>
  <c r="M819" i="23"/>
  <c r="M807" i="23"/>
  <c r="M795" i="23"/>
  <c r="M783" i="23"/>
  <c r="M771" i="23"/>
  <c r="M759" i="23"/>
  <c r="M747" i="23"/>
  <c r="M735" i="23"/>
  <c r="M723" i="23"/>
  <c r="M711" i="23"/>
  <c r="M699" i="23"/>
  <c r="M687" i="23"/>
  <c r="M675" i="23"/>
  <c r="M663" i="23"/>
  <c r="M651" i="23"/>
  <c r="M639" i="23"/>
  <c r="M627" i="23"/>
  <c r="M615" i="23"/>
  <c r="M603" i="23"/>
  <c r="M591" i="23"/>
  <c r="M579" i="23"/>
  <c r="M567" i="23"/>
  <c r="M555" i="23"/>
  <c r="M543" i="23"/>
  <c r="M531" i="23"/>
  <c r="M519" i="23"/>
  <c r="M507" i="23"/>
  <c r="M495" i="23"/>
  <c r="M483" i="23"/>
  <c r="M471" i="23"/>
  <c r="M459" i="23"/>
  <c r="M445" i="23"/>
  <c r="M431" i="23"/>
  <c r="M412" i="23"/>
  <c r="M395" i="23"/>
  <c r="M374" i="23"/>
  <c r="M353" i="23"/>
  <c r="M336" i="23"/>
  <c r="M315" i="23"/>
  <c r="M297" i="23"/>
  <c r="M276" i="23"/>
  <c r="M1030" i="23"/>
  <c r="M1018" i="23"/>
  <c r="M1006" i="23"/>
  <c r="M994" i="23"/>
  <c r="M982" i="23"/>
  <c r="M970" i="23"/>
  <c r="M958" i="23"/>
  <c r="M946" i="23"/>
  <c r="M934" i="23"/>
  <c r="M922" i="23"/>
  <c r="M910" i="23"/>
  <c r="M898" i="23"/>
  <c r="M886" i="23"/>
  <c r="M874" i="23"/>
  <c r="M862" i="23"/>
  <c r="M850" i="23"/>
  <c r="M838" i="23"/>
  <c r="M826" i="23"/>
  <c r="M814" i="23"/>
  <c r="M802" i="23"/>
  <c r="M790" i="23"/>
  <c r="M778" i="23"/>
  <c r="M766" i="23"/>
  <c r="M754" i="23"/>
  <c r="M742" i="23"/>
  <c r="M730" i="23"/>
  <c r="M718" i="23"/>
  <c r="M706" i="23"/>
  <c r="M694" i="23"/>
  <c r="M682" i="23"/>
  <c r="M670" i="23"/>
  <c r="M658" i="23"/>
  <c r="M646" i="23"/>
  <c r="M634" i="23"/>
  <c r="M622" i="23"/>
  <c r="M610" i="23"/>
  <c r="M598" i="23"/>
  <c r="M586" i="23"/>
  <c r="M574" i="23"/>
  <c r="M562" i="23"/>
  <c r="M550" i="23"/>
  <c r="M538" i="23"/>
  <c r="M526" i="23"/>
  <c r="M514" i="23"/>
  <c r="M502" i="23"/>
  <c r="M490" i="23"/>
  <c r="M478" i="23"/>
  <c r="M466" i="23"/>
  <c r="M453" i="23"/>
  <c r="M438" i="23"/>
  <c r="M423" i="23"/>
  <c r="M407" i="23"/>
  <c r="M386" i="23"/>
  <c r="M364" i="23"/>
  <c r="M347" i="23"/>
  <c r="M326" i="23"/>
  <c r="M305" i="23"/>
  <c r="M288" i="23"/>
  <c r="M264" i="23"/>
  <c r="M420" i="23"/>
  <c r="M401" i="23"/>
  <c r="M385" i="23"/>
  <c r="M365" i="23"/>
  <c r="M349" i="23"/>
  <c r="M329" i="23"/>
  <c r="M313" i="23"/>
  <c r="M293" i="23"/>
  <c r="M277" i="23"/>
  <c r="M254" i="23"/>
  <c r="M269" i="23"/>
  <c r="M253" i="23"/>
  <c r="M268" i="23"/>
  <c r="M252" i="23"/>
  <c r="M267" i="23"/>
  <c r="M251" i="23"/>
  <c r="S172" i="23"/>
  <c r="S254" i="23"/>
  <c r="S266" i="23"/>
  <c r="S278" i="23"/>
  <c r="S290" i="23"/>
  <c r="S302" i="23"/>
  <c r="S314" i="23"/>
  <c r="S326" i="23"/>
  <c r="S338" i="23"/>
  <c r="S350" i="23"/>
  <c r="S362" i="23"/>
  <c r="S374" i="23"/>
  <c r="S386" i="23"/>
  <c r="S398" i="23"/>
  <c r="S410" i="23"/>
  <c r="S422" i="23"/>
  <c r="S434" i="23"/>
  <c r="S446" i="23"/>
  <c r="S458" i="23"/>
  <c r="S470" i="23"/>
  <c r="S482" i="23"/>
  <c r="S494" i="23"/>
  <c r="S506" i="23"/>
  <c r="S518" i="23"/>
  <c r="S530" i="23"/>
  <c r="S542" i="23"/>
  <c r="S554" i="23"/>
  <c r="S566" i="23"/>
  <c r="S578" i="23"/>
  <c r="S590" i="23"/>
  <c r="S602" i="23"/>
  <c r="S614" i="23"/>
  <c r="S626" i="23"/>
  <c r="S638" i="23"/>
  <c r="S650" i="23"/>
  <c r="S662" i="23"/>
  <c r="S674" i="23"/>
  <c r="S686" i="23"/>
  <c r="S698" i="23"/>
  <c r="S710" i="23"/>
  <c r="S722" i="23"/>
  <c r="S734" i="23"/>
  <c r="S746" i="23"/>
  <c r="S758" i="23"/>
  <c r="S770" i="23"/>
  <c r="S782" i="23"/>
  <c r="S794" i="23"/>
  <c r="S806" i="23"/>
  <c r="S818" i="23"/>
  <c r="S830" i="23"/>
  <c r="S842" i="23"/>
  <c r="S854" i="23"/>
  <c r="S866" i="23"/>
  <c r="S878" i="23"/>
  <c r="S890" i="23"/>
  <c r="S902" i="23"/>
  <c r="S914" i="23"/>
  <c r="S926" i="23"/>
  <c r="S938" i="23"/>
  <c r="S950" i="23"/>
  <c r="S962" i="23"/>
  <c r="S974" i="23"/>
  <c r="S986" i="23"/>
  <c r="S998" i="23"/>
  <c r="S1010" i="23"/>
  <c r="S1022" i="23"/>
  <c r="S1034" i="23"/>
  <c r="S1046" i="23"/>
  <c r="S1058" i="23"/>
  <c r="S1070" i="23"/>
  <c r="S1082" i="23"/>
  <c r="S1094" i="23"/>
  <c r="S1106" i="23"/>
  <c r="S1118" i="23"/>
  <c r="S1130" i="23"/>
  <c r="S1142" i="23"/>
  <c r="S1154" i="23"/>
  <c r="S1166" i="23"/>
  <c r="S1178" i="23"/>
  <c r="S1190" i="23"/>
  <c r="S1202" i="23"/>
  <c r="S184" i="23"/>
  <c r="S255" i="23"/>
  <c r="S267" i="23"/>
  <c r="S279" i="23"/>
  <c r="S291" i="23"/>
  <c r="S303" i="23"/>
  <c r="S315" i="23"/>
  <c r="S327" i="23"/>
  <c r="S339" i="23"/>
  <c r="S351" i="23"/>
  <c r="S363" i="23"/>
  <c r="S375" i="23"/>
  <c r="S387" i="23"/>
  <c r="S399" i="23"/>
  <c r="S411" i="23"/>
  <c r="S423" i="23"/>
  <c r="S435" i="23"/>
  <c r="S447" i="23"/>
  <c r="S459" i="23"/>
  <c r="S471" i="23"/>
  <c r="S483" i="23"/>
  <c r="S495" i="23"/>
  <c r="S507" i="23"/>
  <c r="S519" i="23"/>
  <c r="S531" i="23"/>
  <c r="S543" i="23"/>
  <c r="S555" i="23"/>
  <c r="S567" i="23"/>
  <c r="S579" i="23"/>
  <c r="S591" i="23"/>
  <c r="S603" i="23"/>
  <c r="S615" i="23"/>
  <c r="S627" i="23"/>
  <c r="S639" i="23"/>
  <c r="S651" i="23"/>
  <c r="S663" i="23"/>
  <c r="S675" i="23"/>
  <c r="S687" i="23"/>
  <c r="S699" i="23"/>
  <c r="S711" i="23"/>
  <c r="S723" i="23"/>
  <c r="S735" i="23"/>
  <c r="S747" i="23"/>
  <c r="S759" i="23"/>
  <c r="S771" i="23"/>
  <c r="S783" i="23"/>
  <c r="S795" i="23"/>
  <c r="S807" i="23"/>
  <c r="S819" i="23"/>
  <c r="S831" i="23"/>
  <c r="S843" i="23"/>
  <c r="S855" i="23"/>
  <c r="S867" i="23"/>
  <c r="S879" i="23"/>
  <c r="S891" i="23"/>
  <c r="S903" i="23"/>
  <c r="S915" i="23"/>
  <c r="S927" i="23"/>
  <c r="S939" i="23"/>
  <c r="S951" i="23"/>
  <c r="S963" i="23"/>
  <c r="S975" i="23"/>
  <c r="S987" i="23"/>
  <c r="S999" i="23"/>
  <c r="S1011" i="23"/>
  <c r="S1023" i="23"/>
  <c r="S1035" i="23"/>
  <c r="S1047" i="23"/>
  <c r="S1059" i="23"/>
  <c r="S1071" i="23"/>
  <c r="S1083" i="23"/>
  <c r="S1095" i="23"/>
  <c r="S1107" i="23"/>
  <c r="S1119" i="23"/>
  <c r="S1131" i="23"/>
  <c r="S1143" i="23"/>
  <c r="S1155" i="23"/>
  <c r="S1167" i="23"/>
  <c r="S1179" i="23"/>
  <c r="S1191" i="23"/>
  <c r="S181" i="23"/>
  <c r="S256" i="23"/>
  <c r="S268" i="23"/>
  <c r="S280" i="23"/>
  <c r="S292" i="23"/>
  <c r="S304" i="23"/>
  <c r="S316" i="23"/>
  <c r="S328" i="23"/>
  <c r="S340" i="23"/>
  <c r="S352" i="23"/>
  <c r="S364" i="23"/>
  <c r="S376" i="23"/>
  <c r="S388" i="23"/>
  <c r="S400" i="23"/>
  <c r="S412" i="23"/>
  <c r="S424" i="23"/>
  <c r="S436" i="23"/>
  <c r="S448" i="23"/>
  <c r="S460" i="23"/>
  <c r="S472" i="23"/>
  <c r="S484" i="23"/>
  <c r="S496" i="23"/>
  <c r="S508" i="23"/>
  <c r="S520" i="23"/>
  <c r="S532" i="23"/>
  <c r="S544" i="23"/>
  <c r="S556" i="23"/>
  <c r="S568" i="23"/>
  <c r="S580" i="23"/>
  <c r="S592" i="23"/>
  <c r="S604" i="23"/>
  <c r="S616" i="23"/>
  <c r="S628" i="23"/>
  <c r="S640" i="23"/>
  <c r="S652" i="23"/>
  <c r="S664" i="23"/>
  <c r="S676" i="23"/>
  <c r="S688" i="23"/>
  <c r="S700" i="23"/>
  <c r="S712" i="23"/>
  <c r="S724" i="23"/>
  <c r="S736" i="23"/>
  <c r="S748" i="23"/>
  <c r="S760" i="23"/>
  <c r="S772" i="23"/>
  <c r="S784" i="23"/>
  <c r="S796" i="23"/>
  <c r="S808" i="23"/>
  <c r="S820" i="23"/>
  <c r="S832" i="23"/>
  <c r="S844" i="23"/>
  <c r="S856" i="23"/>
  <c r="S868" i="23"/>
  <c r="S880" i="23"/>
  <c r="S892" i="23"/>
  <c r="S904" i="23"/>
  <c r="S916" i="23"/>
  <c r="S928" i="23"/>
  <c r="S940" i="23"/>
  <c r="S952" i="23"/>
  <c r="S964" i="23"/>
  <c r="S976" i="23"/>
  <c r="S988" i="23"/>
  <c r="S1000" i="23"/>
  <c r="S1012" i="23"/>
  <c r="S1024" i="23"/>
  <c r="S1036" i="23"/>
  <c r="S1048" i="23"/>
  <c r="S1060" i="23"/>
  <c r="S1072" i="23"/>
  <c r="S1084" i="23"/>
  <c r="S1096" i="23"/>
  <c r="S1108" i="23"/>
  <c r="S1120" i="23"/>
  <c r="S1132" i="23"/>
  <c r="S1144" i="23"/>
  <c r="S1156" i="23"/>
  <c r="S1168" i="23"/>
  <c r="S1180" i="23"/>
  <c r="S1192" i="23"/>
  <c r="S1204" i="23"/>
  <c r="S193" i="23"/>
  <c r="S257" i="23"/>
  <c r="S269" i="23"/>
  <c r="S281" i="23"/>
  <c r="S293" i="23"/>
  <c r="S305" i="23"/>
  <c r="S317" i="23"/>
  <c r="S329" i="23"/>
  <c r="S341" i="23"/>
  <c r="S353" i="23"/>
  <c r="S365" i="23"/>
  <c r="S377" i="23"/>
  <c r="S389" i="23"/>
  <c r="S401" i="23"/>
  <c r="S413" i="23"/>
  <c r="S425" i="23"/>
  <c r="S437" i="23"/>
  <c r="S449" i="23"/>
  <c r="S461" i="23"/>
  <c r="S473" i="23"/>
  <c r="S485" i="23"/>
  <c r="S497" i="23"/>
  <c r="S509" i="23"/>
  <c r="S521" i="23"/>
  <c r="S533" i="23"/>
  <c r="S545" i="23"/>
  <c r="S557" i="23"/>
  <c r="S569" i="23"/>
  <c r="S581" i="23"/>
  <c r="S593" i="23"/>
  <c r="S605" i="23"/>
  <c r="S617" i="23"/>
  <c r="S629" i="23"/>
  <c r="S641" i="23"/>
  <c r="S653" i="23"/>
  <c r="S665" i="23"/>
  <c r="S677" i="23"/>
  <c r="S689" i="23"/>
  <c r="S701" i="23"/>
  <c r="S713" i="23"/>
  <c r="S725" i="23"/>
  <c r="S737" i="23"/>
  <c r="S749" i="23"/>
  <c r="S761" i="23"/>
  <c r="S773" i="23"/>
  <c r="S785" i="23"/>
  <c r="S797" i="23"/>
  <c r="S809" i="23"/>
  <c r="S821" i="23"/>
  <c r="S833" i="23"/>
  <c r="S845" i="23"/>
  <c r="S857" i="23"/>
  <c r="S869" i="23"/>
  <c r="S881" i="23"/>
  <c r="S893" i="23"/>
  <c r="S905" i="23"/>
  <c r="S917" i="23"/>
  <c r="S929" i="23"/>
  <c r="S941" i="23"/>
  <c r="S953" i="23"/>
  <c r="S965" i="23"/>
  <c r="S977" i="23"/>
  <c r="S989" i="23"/>
  <c r="S1001" i="23"/>
  <c r="S1013" i="23"/>
  <c r="S1025" i="23"/>
  <c r="S1037" i="23"/>
  <c r="S1049" i="23"/>
  <c r="S247" i="23"/>
  <c r="S259" i="23"/>
  <c r="S271" i="23"/>
  <c r="S283" i="23"/>
  <c r="S295" i="23"/>
  <c r="S307" i="23"/>
  <c r="S319" i="23"/>
  <c r="S331" i="23"/>
  <c r="S343" i="23"/>
  <c r="S355" i="23"/>
  <c r="S367" i="23"/>
  <c r="S379" i="23"/>
  <c r="S391" i="23"/>
  <c r="S403" i="23"/>
  <c r="S415" i="23"/>
  <c r="S427" i="23"/>
  <c r="S439" i="23"/>
  <c r="S451" i="23"/>
  <c r="S463" i="23"/>
  <c r="S475" i="23"/>
  <c r="S194" i="23"/>
  <c r="S264" i="23"/>
  <c r="S286" i="23"/>
  <c r="S308" i="23"/>
  <c r="S325" i="23"/>
  <c r="S347" i="23"/>
  <c r="S369" i="23"/>
  <c r="S390" i="23"/>
  <c r="S408" i="23"/>
  <c r="S430" i="23"/>
  <c r="S452" i="23"/>
  <c r="S469" i="23"/>
  <c r="S490" i="23"/>
  <c r="S510" i="23"/>
  <c r="S526" i="23"/>
  <c r="S546" i="23"/>
  <c r="S562" i="23"/>
  <c r="S582" i="23"/>
  <c r="S598" i="23"/>
  <c r="S618" i="23"/>
  <c r="S634" i="23"/>
  <c r="S654" i="23"/>
  <c r="S670" i="23"/>
  <c r="S690" i="23"/>
  <c r="S706" i="23"/>
  <c r="S726" i="23"/>
  <c r="S742" i="23"/>
  <c r="S762" i="23"/>
  <c r="S778" i="23"/>
  <c r="S798" i="23"/>
  <c r="S814" i="23"/>
  <c r="S834" i="23"/>
  <c r="S850" i="23"/>
  <c r="S870" i="23"/>
  <c r="S886" i="23"/>
  <c r="S906" i="23"/>
  <c r="S922" i="23"/>
  <c r="S942" i="23"/>
  <c r="S958" i="23"/>
  <c r="S978" i="23"/>
  <c r="S994" i="23"/>
  <c r="S1014" i="23"/>
  <c r="S1030" i="23"/>
  <c r="S1050" i="23"/>
  <c r="S1065" i="23"/>
  <c r="S1080" i="23"/>
  <c r="S1098" i="23"/>
  <c r="S1113" i="23"/>
  <c r="S1128" i="23"/>
  <c r="S1146" i="23"/>
  <c r="S1161" i="23"/>
  <c r="S1176" i="23"/>
  <c r="S1194" i="23"/>
  <c r="S248" i="23"/>
  <c r="S265" i="23"/>
  <c r="S287" i="23"/>
  <c r="S309" i="23"/>
  <c r="S330" i="23"/>
  <c r="S348" i="23"/>
  <c r="S370" i="23"/>
  <c r="S392" i="23"/>
  <c r="S409" i="23"/>
  <c r="S431" i="23"/>
  <c r="S453" i="23"/>
  <c r="S474" i="23"/>
  <c r="S491" i="23"/>
  <c r="S511" i="23"/>
  <c r="S527" i="23"/>
  <c r="S547" i="23"/>
  <c r="S563" i="23"/>
  <c r="S583" i="23"/>
  <c r="S599" i="23"/>
  <c r="S619" i="23"/>
  <c r="S635" i="23"/>
  <c r="S655" i="23"/>
  <c r="S671" i="23"/>
  <c r="S691" i="23"/>
  <c r="S707" i="23"/>
  <c r="S727" i="23"/>
  <c r="S743" i="23"/>
  <c r="S763" i="23"/>
  <c r="S779" i="23"/>
  <c r="S799" i="23"/>
  <c r="S815" i="23"/>
  <c r="S835" i="23"/>
  <c r="S851" i="23"/>
  <c r="S871" i="23"/>
  <c r="S887" i="23"/>
  <c r="S907" i="23"/>
  <c r="S923" i="23"/>
  <c r="S943" i="23"/>
  <c r="S959" i="23"/>
  <c r="S979" i="23"/>
  <c r="S995" i="23"/>
  <c r="S1015" i="23"/>
  <c r="S1031" i="23"/>
  <c r="S1051" i="23"/>
  <c r="S1066" i="23"/>
  <c r="S1081" i="23"/>
  <c r="S1099" i="23"/>
  <c r="S1114" i="23"/>
  <c r="S1129" i="23"/>
  <c r="S1147" i="23"/>
  <c r="S1162" i="23"/>
  <c r="S1177" i="23"/>
  <c r="S1195" i="23"/>
  <c r="S249" i="23"/>
  <c r="S270" i="23"/>
  <c r="S288" i="23"/>
  <c r="S310" i="23"/>
  <c r="S332" i="23"/>
  <c r="S349" i="23"/>
  <c r="S371" i="23"/>
  <c r="S393" i="23"/>
  <c r="S414" i="23"/>
  <c r="S432" i="23"/>
  <c r="S454" i="23"/>
  <c r="S476" i="23"/>
  <c r="S492" i="23"/>
  <c r="S512" i="23"/>
  <c r="S528" i="23"/>
  <c r="S548" i="23"/>
  <c r="S564" i="23"/>
  <c r="S584" i="23"/>
  <c r="S600" i="23"/>
  <c r="S620" i="23"/>
  <c r="S636" i="23"/>
  <c r="S656" i="23"/>
  <c r="S672" i="23"/>
  <c r="S692" i="23"/>
  <c r="S708" i="23"/>
  <c r="S728" i="23"/>
  <c r="S744" i="23"/>
  <c r="S764" i="23"/>
  <c r="S780" i="23"/>
  <c r="S800" i="23"/>
  <c r="S816" i="23"/>
  <c r="S836" i="23"/>
  <c r="S852" i="23"/>
  <c r="S872" i="23"/>
  <c r="S888" i="23"/>
  <c r="S908" i="23"/>
  <c r="S924" i="23"/>
  <c r="S944" i="23"/>
  <c r="S960" i="23"/>
  <c r="S980" i="23"/>
  <c r="S996" i="23"/>
  <c r="S1016" i="23"/>
  <c r="S1032" i="23"/>
  <c r="S1052" i="23"/>
  <c r="S1067" i="23"/>
  <c r="S1085" i="23"/>
  <c r="S1100" i="23"/>
  <c r="S1115" i="23"/>
  <c r="S1133" i="23"/>
  <c r="S1148" i="23"/>
  <c r="S1163" i="23"/>
  <c r="S1181" i="23"/>
  <c r="S1196" i="23"/>
  <c r="S250" i="23"/>
  <c r="S272" i="23"/>
  <c r="S289" i="23"/>
  <c r="S311" i="23"/>
  <c r="S333" i="23"/>
  <c r="S354" i="23"/>
  <c r="S372" i="23"/>
  <c r="S394" i="23"/>
  <c r="S416" i="23"/>
  <c r="S433" i="23"/>
  <c r="S455" i="23"/>
  <c r="S477" i="23"/>
  <c r="S493" i="23"/>
  <c r="S513" i="23"/>
  <c r="S529" i="23"/>
  <c r="S549" i="23"/>
  <c r="S565" i="23"/>
  <c r="S585" i="23"/>
  <c r="S601" i="23"/>
  <c r="S621" i="23"/>
  <c r="S637" i="23"/>
  <c r="S657" i="23"/>
  <c r="S673" i="23"/>
  <c r="S693" i="23"/>
  <c r="S709" i="23"/>
  <c r="S729" i="23"/>
  <c r="S745" i="23"/>
  <c r="S765" i="23"/>
  <c r="S781" i="23"/>
  <c r="S801" i="23"/>
  <c r="S817" i="23"/>
  <c r="S837" i="23"/>
  <c r="S853" i="23"/>
  <c r="S873" i="23"/>
  <c r="S889" i="23"/>
  <c r="S909" i="23"/>
  <c r="S925" i="23"/>
  <c r="S945" i="23"/>
  <c r="S961" i="23"/>
  <c r="S981" i="23"/>
  <c r="S997" i="23"/>
  <c r="S1017" i="23"/>
  <c r="S1033" i="23"/>
  <c r="S1053" i="23"/>
  <c r="S1068" i="23"/>
  <c r="S1086" i="23"/>
  <c r="S1101" i="23"/>
  <c r="S1116" i="23"/>
  <c r="S1134" i="23"/>
  <c r="S1149" i="23"/>
  <c r="S1164" i="23"/>
  <c r="S1182" i="23"/>
  <c r="S1197" i="23"/>
  <c r="S251" i="23"/>
  <c r="S277" i="23"/>
  <c r="S312" i="23"/>
  <c r="S342" i="23"/>
  <c r="S373" i="23"/>
  <c r="S404" i="23"/>
  <c r="S438" i="23"/>
  <c r="S465" i="23"/>
  <c r="S498" i="23"/>
  <c r="S522" i="23"/>
  <c r="S550" i="23"/>
  <c r="S574" i="23"/>
  <c r="S606" i="23"/>
  <c r="S630" i="23"/>
  <c r="S658" i="23"/>
  <c r="S682" i="23"/>
  <c r="S714" i="23"/>
  <c r="S738" i="23"/>
  <c r="S766" i="23"/>
  <c r="S790" i="23"/>
  <c r="S822" i="23"/>
  <c r="S846" i="23"/>
  <c r="S874" i="23"/>
  <c r="S898" i="23"/>
  <c r="S930" i="23"/>
  <c r="S954" i="23"/>
  <c r="S982" i="23"/>
  <c r="S1006" i="23"/>
  <c r="S1038" i="23"/>
  <c r="S1061" i="23"/>
  <c r="S1087" i="23"/>
  <c r="S1109" i="23"/>
  <c r="S1135" i="23"/>
  <c r="S1157" i="23"/>
  <c r="S1183" i="23"/>
  <c r="S1203" i="23"/>
  <c r="S252" i="23"/>
  <c r="S282" i="23"/>
  <c r="S313" i="23"/>
  <c r="S344" i="23"/>
  <c r="S378" i="23"/>
  <c r="S405" i="23"/>
  <c r="S440" i="23"/>
  <c r="S466" i="23"/>
  <c r="S499" i="23"/>
  <c r="S523" i="23"/>
  <c r="S551" i="23"/>
  <c r="S575" i="23"/>
  <c r="S607" i="23"/>
  <c r="S631" i="23"/>
  <c r="S659" i="23"/>
  <c r="S683" i="23"/>
  <c r="S715" i="23"/>
  <c r="S739" i="23"/>
  <c r="S767" i="23"/>
  <c r="S791" i="23"/>
  <c r="S823" i="23"/>
  <c r="S847" i="23"/>
  <c r="S875" i="23"/>
  <c r="S899" i="23"/>
  <c r="S931" i="23"/>
  <c r="S955" i="23"/>
  <c r="S983" i="23"/>
  <c r="S1007" i="23"/>
  <c r="S1039" i="23"/>
  <c r="S1062" i="23"/>
  <c r="S1088" i="23"/>
  <c r="S1110" i="23"/>
  <c r="S1136" i="23"/>
  <c r="S1158" i="23"/>
  <c r="S1184" i="23"/>
  <c r="S1205" i="23"/>
  <c r="S253" i="23"/>
  <c r="S284" i="23"/>
  <c r="S318" i="23"/>
  <c r="S345" i="23"/>
  <c r="S380" i="23"/>
  <c r="S406" i="23"/>
  <c r="S441" i="23"/>
  <c r="S467" i="23"/>
  <c r="S500" i="23"/>
  <c r="S524" i="23"/>
  <c r="S552" i="23"/>
  <c r="S576" i="23"/>
  <c r="S608" i="23"/>
  <c r="S632" i="23"/>
  <c r="S660" i="23"/>
  <c r="S684" i="23"/>
  <c r="S716" i="23"/>
  <c r="S740" i="23"/>
  <c r="S768" i="23"/>
  <c r="S792" i="23"/>
  <c r="S824" i="23"/>
  <c r="S848" i="23"/>
  <c r="S876" i="23"/>
  <c r="S900" i="23"/>
  <c r="S932" i="23"/>
  <c r="S956" i="23"/>
  <c r="S984" i="23"/>
  <c r="S1008" i="23"/>
  <c r="S1040" i="23"/>
  <c r="S1063" i="23"/>
  <c r="S1089" i="23"/>
  <c r="S1111" i="23"/>
  <c r="S1137" i="23"/>
  <c r="S1159" i="23"/>
  <c r="S1185" i="23"/>
  <c r="S258" i="23"/>
  <c r="S285" i="23"/>
  <c r="S320" i="23"/>
  <c r="S346" i="23"/>
  <c r="S381" i="23"/>
  <c r="S407" i="23"/>
  <c r="S442" i="23"/>
  <c r="S468" i="23"/>
  <c r="S501" i="23"/>
  <c r="S525" i="23"/>
  <c r="S553" i="23"/>
  <c r="S577" i="23"/>
  <c r="S609" i="23"/>
  <c r="S633" i="23"/>
  <c r="S661" i="23"/>
  <c r="S685" i="23"/>
  <c r="S717" i="23"/>
  <c r="S741" i="23"/>
  <c r="S769" i="23"/>
  <c r="S793" i="23"/>
  <c r="S825" i="23"/>
  <c r="S849" i="23"/>
  <c r="S877" i="23"/>
  <c r="S901" i="23"/>
  <c r="S933" i="23"/>
  <c r="S957" i="23"/>
  <c r="S985" i="23"/>
  <c r="S1009" i="23"/>
  <c r="S1041" i="23"/>
  <c r="S1064" i="23"/>
  <c r="S1090" i="23"/>
  <c r="S1112" i="23"/>
  <c r="S1138" i="23"/>
  <c r="S1160" i="23"/>
  <c r="S1186" i="23"/>
  <c r="S261" i="23"/>
  <c r="S296" i="23"/>
  <c r="S322" i="23"/>
  <c r="S357" i="23"/>
  <c r="S383" i="23"/>
  <c r="S418" i="23"/>
  <c r="S444" i="23"/>
  <c r="S479" i="23"/>
  <c r="S503" i="23"/>
  <c r="S535" i="23"/>
  <c r="S559" i="23"/>
  <c r="S587" i="23"/>
  <c r="S611" i="23"/>
  <c r="S643" i="23"/>
  <c r="S667" i="23"/>
  <c r="S695" i="23"/>
  <c r="S719" i="23"/>
  <c r="S751" i="23"/>
  <c r="S775" i="23"/>
  <c r="S803" i="23"/>
  <c r="S827" i="23"/>
  <c r="S859" i="23"/>
  <c r="S883" i="23"/>
  <c r="S911" i="23"/>
  <c r="S935" i="23"/>
  <c r="S967" i="23"/>
  <c r="S991" i="23"/>
  <c r="S1019" i="23"/>
  <c r="S1043" i="23"/>
  <c r="S1073" i="23"/>
  <c r="S1092" i="23"/>
  <c r="S1121" i="23"/>
  <c r="S1140" i="23"/>
  <c r="S1169" i="23"/>
  <c r="S1188" i="23"/>
  <c r="S260" i="23"/>
  <c r="S301" i="23"/>
  <c r="S360" i="23"/>
  <c r="S419" i="23"/>
  <c r="S464" i="23"/>
  <c r="S515" i="23"/>
  <c r="S561" i="23"/>
  <c r="S610" i="23"/>
  <c r="S648" i="23"/>
  <c r="S702" i="23"/>
  <c r="S752" i="23"/>
  <c r="S789" i="23"/>
  <c r="S839" i="23"/>
  <c r="S885" i="23"/>
  <c r="S934" i="23"/>
  <c r="S972" i="23"/>
  <c r="S1026" i="23"/>
  <c r="S1074" i="23"/>
  <c r="S1105" i="23"/>
  <c r="S1151" i="23"/>
  <c r="S1193" i="23"/>
  <c r="S262" i="23"/>
  <c r="S306" i="23"/>
  <c r="S361" i="23"/>
  <c r="S420" i="23"/>
  <c r="S478" i="23"/>
  <c r="S516" i="23"/>
  <c r="S570" i="23"/>
  <c r="S612" i="23"/>
  <c r="S649" i="23"/>
  <c r="S703" i="23"/>
  <c r="S753" i="23"/>
  <c r="S802" i="23"/>
  <c r="S840" i="23"/>
  <c r="S894" i="23"/>
  <c r="S936" i="23"/>
  <c r="S973" i="23"/>
  <c r="S1027" i="23"/>
  <c r="S1075" i="23"/>
  <c r="S1117" i="23"/>
  <c r="S1152" i="23"/>
  <c r="S1198" i="23"/>
  <c r="S263" i="23"/>
  <c r="S321" i="23"/>
  <c r="S366" i="23"/>
  <c r="S421" i="23"/>
  <c r="S480" i="23"/>
  <c r="S517" i="23"/>
  <c r="S571" i="23"/>
  <c r="S613" i="23"/>
  <c r="S666" i="23"/>
  <c r="S704" i="23"/>
  <c r="S754" i="23"/>
  <c r="S804" i="23"/>
  <c r="S841" i="23"/>
  <c r="S895" i="23"/>
  <c r="S937" i="23"/>
  <c r="S990" i="23"/>
  <c r="S1028" i="23"/>
  <c r="S1076" i="23"/>
  <c r="S1122" i="23"/>
  <c r="S1153" i="23"/>
  <c r="S1199" i="23"/>
  <c r="S273" i="23"/>
  <c r="S323" i="23"/>
  <c r="S368" i="23"/>
  <c r="S426" i="23"/>
  <c r="S481" i="23"/>
  <c r="S534" i="23"/>
  <c r="S572" i="23"/>
  <c r="S622" i="23"/>
  <c r="S668" i="23"/>
  <c r="S705" i="23"/>
  <c r="S755" i="23"/>
  <c r="S805" i="23"/>
  <c r="S858" i="23"/>
  <c r="S896" i="23"/>
  <c r="S946" i="23"/>
  <c r="S992" i="23"/>
  <c r="S1029" i="23"/>
  <c r="S1077" i="23"/>
  <c r="S1123" i="23"/>
  <c r="S1165" i="23"/>
  <c r="S1200" i="23"/>
  <c r="S275" i="23"/>
  <c r="S334" i="23"/>
  <c r="S384" i="23"/>
  <c r="S429" i="23"/>
  <c r="S487" i="23"/>
  <c r="S537" i="23"/>
  <c r="S586" i="23"/>
  <c r="S624" i="23"/>
  <c r="S678" i="23"/>
  <c r="S720" i="23"/>
  <c r="S757" i="23"/>
  <c r="S811" i="23"/>
  <c r="S861" i="23"/>
  <c r="S910" i="23"/>
  <c r="S948" i="23"/>
  <c r="S1002" i="23"/>
  <c r="S1044" i="23"/>
  <c r="S1079" i="23"/>
  <c r="S1125" i="23"/>
  <c r="S1171" i="23"/>
  <c r="S274" i="23"/>
  <c r="S358" i="23"/>
  <c r="S450" i="23"/>
  <c r="S538" i="23"/>
  <c r="S597" i="23"/>
  <c r="S694" i="23"/>
  <c r="S776" i="23"/>
  <c r="S860" i="23"/>
  <c r="S920" i="23"/>
  <c r="S1005" i="23"/>
  <c r="S1091" i="23"/>
  <c r="S1150" i="23"/>
  <c r="S276" i="23"/>
  <c r="S359" i="23"/>
  <c r="S456" i="23"/>
  <c r="S539" i="23"/>
  <c r="S623" i="23"/>
  <c r="S696" i="23"/>
  <c r="S777" i="23"/>
  <c r="S862" i="23"/>
  <c r="S921" i="23"/>
  <c r="S1018" i="23"/>
  <c r="S1093" i="23"/>
  <c r="S1170" i="23"/>
  <c r="S294" i="23"/>
  <c r="S382" i="23"/>
  <c r="S457" i="23"/>
  <c r="S540" i="23"/>
  <c r="S625" i="23"/>
  <c r="S697" i="23"/>
  <c r="S786" i="23"/>
  <c r="S863" i="23"/>
  <c r="S947" i="23"/>
  <c r="S1020" i="23"/>
  <c r="S1097" i="23"/>
  <c r="S1172" i="23"/>
  <c r="S297" i="23"/>
  <c r="S385" i="23"/>
  <c r="S462" i="23"/>
  <c r="S541" i="23"/>
  <c r="S642" i="23"/>
  <c r="S718" i="23"/>
  <c r="S787" i="23"/>
  <c r="S864" i="23"/>
  <c r="S949" i="23"/>
  <c r="S1021" i="23"/>
  <c r="S1102" i="23"/>
  <c r="S1173" i="23"/>
  <c r="S299" i="23"/>
  <c r="S396" i="23"/>
  <c r="S488" i="23"/>
  <c r="S560" i="23"/>
  <c r="S645" i="23"/>
  <c r="S730" i="23"/>
  <c r="S810" i="23"/>
  <c r="S882" i="23"/>
  <c r="S968" i="23"/>
  <c r="S1045" i="23"/>
  <c r="S1104" i="23"/>
  <c r="S1175" i="23"/>
  <c r="S298" i="23"/>
  <c r="S443" i="23"/>
  <c r="S589" i="23"/>
  <c r="S731" i="23"/>
  <c r="S838" i="23"/>
  <c r="S993" i="23"/>
  <c r="S1126" i="23"/>
  <c r="S644" i="23"/>
  <c r="S1145" i="23"/>
  <c r="S356" i="23"/>
  <c r="S647" i="23"/>
  <c r="S918" i="23"/>
  <c r="S1187" i="23"/>
  <c r="S813" i="23"/>
  <c r="S1201" i="23"/>
  <c r="S300" i="23"/>
  <c r="S445" i="23"/>
  <c r="S594" i="23"/>
  <c r="S732" i="23"/>
  <c r="S865" i="23"/>
  <c r="S1003" i="23"/>
  <c r="S1127" i="23"/>
  <c r="S336" i="23"/>
  <c r="S502" i="23"/>
  <c r="S912" i="23"/>
  <c r="S1054" i="23"/>
  <c r="S505" i="23"/>
  <c r="S1056" i="23"/>
  <c r="S395" i="23"/>
  <c r="S514" i="23"/>
  <c r="S669" i="23"/>
  <c r="S812" i="23"/>
  <c r="S919" i="23"/>
  <c r="S1057" i="23"/>
  <c r="S105" i="23"/>
  <c r="S680" i="23"/>
  <c r="S969" i="23"/>
  <c r="S324" i="23"/>
  <c r="S486" i="23"/>
  <c r="S595" i="23"/>
  <c r="S733" i="23"/>
  <c r="S884" i="23"/>
  <c r="S1004" i="23"/>
  <c r="S1139" i="23"/>
  <c r="S756" i="23"/>
  <c r="S788" i="23"/>
  <c r="S397" i="23"/>
  <c r="S966" i="23"/>
  <c r="S335" i="23"/>
  <c r="S489" i="23"/>
  <c r="S596" i="23"/>
  <c r="S750" i="23"/>
  <c r="S897" i="23"/>
  <c r="S1042" i="23"/>
  <c r="S1141" i="23"/>
  <c r="S1189" i="23"/>
  <c r="S536" i="23"/>
  <c r="S679" i="23"/>
  <c r="S1069" i="23"/>
  <c r="S402" i="23"/>
  <c r="S558" i="23"/>
  <c r="S826" i="23"/>
  <c r="S1078" i="23"/>
  <c r="S337" i="23"/>
  <c r="S504" i="23"/>
  <c r="S646" i="23"/>
  <c r="S774" i="23"/>
  <c r="S913" i="23"/>
  <c r="S1055" i="23"/>
  <c r="S1174" i="23"/>
  <c r="S428" i="23"/>
  <c r="S118" i="23"/>
  <c r="S573" i="23"/>
  <c r="S1103" i="23"/>
  <c r="S588" i="23"/>
  <c r="S721" i="23"/>
  <c r="S970" i="23"/>
  <c r="S971" i="23"/>
  <c r="S166" i="23"/>
  <c r="S417" i="23"/>
  <c r="S681" i="23"/>
  <c r="S828" i="23"/>
  <c r="S829" i="23"/>
  <c r="S1124" i="23"/>
  <c r="S154" i="23"/>
  <c r="S93" i="23"/>
  <c r="S132" i="23"/>
  <c r="S145" i="23"/>
  <c r="S98" i="23"/>
  <c r="S119" i="23"/>
  <c r="S243" i="23"/>
  <c r="S170" i="23"/>
  <c r="S228" i="23"/>
  <c r="S225" i="23"/>
  <c r="S152" i="23"/>
  <c r="S161" i="23"/>
  <c r="S149" i="23"/>
  <c r="S179" i="23"/>
  <c r="S204" i="23"/>
  <c r="S137" i="23"/>
  <c r="S113" i="23"/>
  <c r="S169" i="23"/>
  <c r="S124" i="23"/>
  <c r="S156" i="23"/>
  <c r="S242" i="23"/>
  <c r="S165" i="23"/>
  <c r="S135" i="23"/>
  <c r="S163" i="23"/>
  <c r="S220" i="23"/>
  <c r="S120" i="23"/>
  <c r="S226" i="23"/>
  <c r="S91" i="23"/>
  <c r="S107" i="23"/>
  <c r="S214" i="23"/>
  <c r="S208" i="23"/>
  <c r="S167" i="23"/>
  <c r="S188" i="23"/>
  <c r="S196" i="23"/>
  <c r="S241" i="23"/>
  <c r="S153" i="23"/>
  <c r="S217" i="23"/>
  <c r="S173" i="23"/>
  <c r="S148" i="23"/>
  <c r="S102" i="23"/>
  <c r="S131" i="23"/>
  <c r="S129" i="23"/>
  <c r="S140" i="23"/>
  <c r="S106" i="23"/>
  <c r="S218" i="23"/>
  <c r="S244" i="23"/>
  <c r="S216" i="23"/>
  <c r="S213" i="23"/>
  <c r="S223" i="23"/>
  <c r="S94" i="23"/>
  <c r="S211" i="23"/>
  <c r="S125" i="23"/>
  <c r="S136" i="23"/>
  <c r="S235" i="23"/>
  <c r="S128" i="23"/>
  <c r="S159" i="23"/>
  <c r="S203" i="23"/>
  <c r="S182" i="23"/>
  <c r="S219" i="23"/>
  <c r="S233" i="23"/>
  <c r="S112" i="23"/>
  <c r="S157" i="23"/>
  <c r="S151" i="23"/>
  <c r="S111" i="23"/>
  <c r="S238" i="23"/>
  <c r="S200" i="23"/>
  <c r="S109" i="23"/>
  <c r="S95" i="23"/>
  <c r="S202" i="23"/>
  <c r="S197" i="23"/>
  <c r="S123" i="23"/>
  <c r="S230" i="23"/>
  <c r="S185" i="23"/>
  <c r="S110" i="23"/>
  <c r="S178" i="23"/>
  <c r="S239" i="23"/>
  <c r="S103" i="23"/>
  <c r="S130" i="23"/>
  <c r="S101" i="23"/>
  <c r="S121" i="23"/>
  <c r="S240" i="23"/>
  <c r="S201" i="23"/>
  <c r="S97" i="23"/>
  <c r="S96" i="23"/>
  <c r="S215" i="23"/>
  <c r="S117" i="23"/>
  <c r="S236" i="23"/>
  <c r="S92" i="23"/>
  <c r="S158" i="23"/>
  <c r="S191" i="23"/>
  <c r="S116" i="23"/>
  <c r="S195" i="23"/>
  <c r="S221" i="23"/>
  <c r="S127" i="23"/>
  <c r="S245" i="23"/>
  <c r="S139" i="23"/>
  <c r="S142" i="23"/>
  <c r="S180" i="23"/>
  <c r="S192" i="23"/>
  <c r="S155" i="23"/>
  <c r="S190" i="23"/>
  <c r="S183" i="23"/>
  <c r="S206" i="23"/>
  <c r="S133" i="23"/>
  <c r="S99" i="23"/>
  <c r="S122" i="23"/>
  <c r="S146" i="23"/>
  <c r="S108" i="23"/>
  <c r="S160" i="23"/>
  <c r="S237" i="23"/>
  <c r="S205" i="23"/>
  <c r="S227" i="23"/>
  <c r="S189" i="23"/>
  <c r="S199" i="23"/>
  <c r="S144" i="23"/>
  <c r="S141" i="23"/>
  <c r="S177" i="23"/>
  <c r="S187" i="23"/>
  <c r="S90" i="23"/>
  <c r="S175" i="23"/>
  <c r="S100" i="23"/>
  <c r="S207" i="23"/>
  <c r="S224" i="23"/>
  <c r="S143" i="23"/>
  <c r="S171" i="23"/>
  <c r="S212" i="23"/>
  <c r="S232" i="23"/>
  <c r="S168" i="23"/>
  <c r="S209" i="23"/>
  <c r="S115" i="23"/>
  <c r="S229" i="23"/>
  <c r="S104" i="23"/>
  <c r="S176" i="23"/>
  <c r="S147" i="23"/>
  <c r="S231" i="23"/>
  <c r="S164" i="23"/>
  <c r="S134" i="23"/>
  <c r="S17" i="23"/>
  <c r="S13" i="23"/>
  <c r="S16" i="23"/>
  <c r="S10" i="23"/>
  <c r="S15" i="23"/>
  <c r="S8" i="23"/>
  <c r="S11" i="23"/>
  <c r="S14" i="23"/>
  <c r="S9" i="23"/>
  <c r="S6" i="23"/>
  <c r="S12" i="23"/>
  <c r="S41" i="23"/>
  <c r="S35" i="23"/>
  <c r="S30" i="23"/>
  <c r="S38" i="23"/>
  <c r="S31" i="23"/>
  <c r="S37" i="23"/>
  <c r="S40" i="23"/>
  <c r="S32" i="23"/>
  <c r="S34" i="23"/>
  <c r="S39" i="23"/>
  <c r="S33" i="23"/>
  <c r="S36" i="23"/>
  <c r="S89" i="23"/>
  <c r="S78" i="23"/>
  <c r="S82" i="23"/>
  <c r="S83" i="23"/>
  <c r="S84" i="23"/>
  <c r="S85" i="23"/>
  <c r="S79" i="23"/>
  <c r="S87" i="23"/>
  <c r="S80" i="23"/>
  <c r="S86" i="23"/>
  <c r="S88" i="23"/>
  <c r="S81" i="23"/>
  <c r="S77" i="23"/>
  <c r="S70" i="23"/>
  <c r="S71" i="23"/>
  <c r="S72" i="23"/>
  <c r="S66" i="23"/>
  <c r="S74" i="23"/>
  <c r="S67" i="23"/>
  <c r="S76" i="23"/>
  <c r="S68" i="23"/>
  <c r="S73" i="23"/>
  <c r="S75" i="23"/>
  <c r="S69" i="23"/>
  <c r="S29" i="23"/>
  <c r="S22" i="23"/>
  <c r="S27" i="23"/>
  <c r="S23" i="23"/>
  <c r="S19" i="23"/>
  <c r="S26" i="23"/>
  <c r="S20" i="23"/>
  <c r="S25" i="23"/>
  <c r="S28" i="23"/>
  <c r="S21" i="23"/>
  <c r="S24" i="23"/>
  <c r="S65" i="23"/>
  <c r="S61" i="23"/>
  <c r="S63" i="23"/>
  <c r="S54" i="23"/>
  <c r="S64" i="23"/>
  <c r="S55" i="23"/>
  <c r="S58" i="23"/>
  <c r="S62" i="23"/>
  <c r="S56" i="23"/>
  <c r="S59" i="23"/>
  <c r="S57" i="23"/>
  <c r="S60" i="23"/>
  <c r="S53" i="23"/>
  <c r="S52" i="23"/>
  <c r="S42" i="23"/>
  <c r="S46" i="23"/>
  <c r="S47" i="23"/>
  <c r="S49" i="23"/>
  <c r="S43" i="23"/>
  <c r="S51" i="23"/>
  <c r="S44" i="23"/>
  <c r="S50" i="23"/>
  <c r="S45" i="23"/>
  <c r="S48" i="23"/>
  <c r="M454" i="23"/>
  <c r="M442" i="23"/>
  <c r="M430" i="23"/>
  <c r="M418" i="23"/>
  <c r="M406" i="23"/>
  <c r="M394" i="23"/>
  <c r="M382" i="23"/>
  <c r="M370" i="23"/>
  <c r="M358" i="23"/>
  <c r="M346" i="23"/>
  <c r="M334" i="23"/>
  <c r="M322" i="23"/>
  <c r="M310" i="23"/>
  <c r="M298" i="23"/>
  <c r="M286" i="23"/>
  <c r="M274" i="23"/>
  <c r="M262" i="23"/>
  <c r="M250" i="23"/>
  <c r="M428" i="23"/>
  <c r="M416" i="23"/>
  <c r="M404" i="23"/>
  <c r="M392" i="23"/>
  <c r="M380" i="23"/>
  <c r="M368" i="23"/>
  <c r="M356" i="23"/>
  <c r="M344" i="23"/>
  <c r="M332" i="23"/>
  <c r="M320" i="23"/>
  <c r="M308" i="23"/>
  <c r="M296" i="23"/>
  <c r="M284" i="23"/>
  <c r="M272" i="23"/>
  <c r="M260" i="23"/>
  <c r="M248" i="23"/>
  <c r="M451" i="23"/>
  <c r="M439" i="23"/>
  <c r="M427" i="23"/>
  <c r="M415" i="23"/>
  <c r="M403" i="23"/>
  <c r="M391" i="23"/>
  <c r="M379" i="23"/>
  <c r="M367" i="23"/>
  <c r="M355" i="23"/>
  <c r="M343" i="23"/>
  <c r="M331" i="23"/>
  <c r="M319" i="23"/>
  <c r="M307" i="23"/>
  <c r="M295" i="23"/>
  <c r="M283" i="23"/>
  <c r="M271" i="23"/>
  <c r="M259" i="23"/>
  <c r="M247" i="23"/>
  <c r="M402" i="23"/>
  <c r="M390" i="23"/>
  <c r="M378" i="23"/>
  <c r="M366" i="23"/>
  <c r="M354" i="23"/>
  <c r="M342" i="23"/>
  <c r="M330" i="23"/>
  <c r="M318" i="23"/>
  <c r="M306" i="23"/>
  <c r="M294" i="23"/>
  <c r="M282" i="23"/>
  <c r="M270" i="23"/>
  <c r="M258" i="23"/>
  <c r="M246" i="23"/>
  <c r="W2" i="23"/>
  <c r="K6" i="23"/>
  <c r="K7" i="23" l="1"/>
  <c r="T6" i="23" a="1"/>
  <c r="M7" i="23"/>
  <c r="N306" i="23"/>
  <c r="N318" i="23"/>
  <c r="N330" i="23"/>
  <c r="N342" i="23"/>
  <c r="N354" i="23"/>
  <c r="N366" i="23"/>
  <c r="N378" i="23"/>
  <c r="N390" i="23"/>
  <c r="N402" i="23"/>
  <c r="N414" i="23"/>
  <c r="N426" i="23"/>
  <c r="N438" i="23"/>
  <c r="N450" i="23"/>
  <c r="N462" i="23"/>
  <c r="N474" i="23"/>
  <c r="N486" i="23"/>
  <c r="N498" i="23"/>
  <c r="N510" i="23"/>
  <c r="N522" i="23"/>
  <c r="N534" i="23"/>
  <c r="N546" i="23"/>
  <c r="N558" i="23"/>
  <c r="N570" i="23"/>
  <c r="N582" i="23"/>
  <c r="N594" i="23"/>
  <c r="N606" i="23"/>
  <c r="N618" i="23"/>
  <c r="N630" i="23"/>
  <c r="N642" i="23"/>
  <c r="N654" i="23"/>
  <c r="N666" i="23"/>
  <c r="N678" i="23"/>
  <c r="N690" i="23"/>
  <c r="N702" i="23"/>
  <c r="N714" i="23"/>
  <c r="N726" i="23"/>
  <c r="N738" i="23"/>
  <c r="N750" i="23"/>
  <c r="N762" i="23"/>
  <c r="N774" i="23"/>
  <c r="N786" i="23"/>
  <c r="N798" i="23"/>
  <c r="N810" i="23"/>
  <c r="N822" i="23"/>
  <c r="N834" i="23"/>
  <c r="N846" i="23"/>
  <c r="N858" i="23"/>
  <c r="N870" i="23"/>
  <c r="N882" i="23"/>
  <c r="N894" i="23"/>
  <c r="N906" i="23"/>
  <c r="N918" i="23"/>
  <c r="N930" i="23"/>
  <c r="N942" i="23"/>
  <c r="N954" i="23"/>
  <c r="N966" i="23"/>
  <c r="N978" i="23"/>
  <c r="N990" i="23"/>
  <c r="N1002" i="23"/>
  <c r="N1014" i="23"/>
  <c r="N1026" i="23"/>
  <c r="N1038" i="23"/>
  <c r="N1050" i="23"/>
  <c r="N1062" i="23"/>
  <c r="N1074" i="23"/>
  <c r="N1086" i="23"/>
  <c r="N1098" i="23"/>
  <c r="N1110" i="23"/>
  <c r="N1122" i="23"/>
  <c r="N1134" i="23"/>
  <c r="N1146" i="23"/>
  <c r="N1158" i="23"/>
  <c r="N1170" i="23"/>
  <c r="N1182" i="23"/>
  <c r="N1194" i="23"/>
  <c r="N347" i="23"/>
  <c r="N527" i="23"/>
  <c r="N635" i="23"/>
  <c r="N719" i="23"/>
  <c r="N779" i="23"/>
  <c r="N827" i="23"/>
  <c r="N863" i="23"/>
  <c r="N911" i="23"/>
  <c r="N959" i="23"/>
  <c r="N307" i="23"/>
  <c r="N319" i="23"/>
  <c r="N331" i="23"/>
  <c r="N343" i="23"/>
  <c r="N355" i="23"/>
  <c r="N367" i="23"/>
  <c r="N379" i="23"/>
  <c r="N391" i="23"/>
  <c r="N403" i="23"/>
  <c r="N415" i="23"/>
  <c r="N427" i="23"/>
  <c r="N439" i="23"/>
  <c r="N451" i="23"/>
  <c r="N463" i="23"/>
  <c r="N475" i="23"/>
  <c r="N487" i="23"/>
  <c r="N499" i="23"/>
  <c r="N511" i="23"/>
  <c r="N523" i="23"/>
  <c r="N535" i="23"/>
  <c r="N547" i="23"/>
  <c r="N559" i="23"/>
  <c r="N571" i="23"/>
  <c r="N583" i="23"/>
  <c r="N595" i="23"/>
  <c r="N607" i="23"/>
  <c r="N619" i="23"/>
  <c r="N631" i="23"/>
  <c r="N643" i="23"/>
  <c r="N655" i="23"/>
  <c r="N667" i="23"/>
  <c r="N679" i="23"/>
  <c r="N691" i="23"/>
  <c r="N703" i="23"/>
  <c r="N715" i="23"/>
  <c r="N727" i="23"/>
  <c r="N739" i="23"/>
  <c r="N751" i="23"/>
  <c r="N763" i="23"/>
  <c r="N775" i="23"/>
  <c r="N787" i="23"/>
  <c r="N799" i="23"/>
  <c r="N811" i="23"/>
  <c r="N823" i="23"/>
  <c r="N835" i="23"/>
  <c r="N847" i="23"/>
  <c r="N859" i="23"/>
  <c r="N871" i="23"/>
  <c r="N883" i="23"/>
  <c r="N895" i="23"/>
  <c r="N907" i="23"/>
  <c r="N919" i="23"/>
  <c r="N931" i="23"/>
  <c r="N943" i="23"/>
  <c r="N955" i="23"/>
  <c r="N967" i="23"/>
  <c r="N979" i="23"/>
  <c r="N991" i="23"/>
  <c r="N1003" i="23"/>
  <c r="N1015" i="23"/>
  <c r="N1027" i="23"/>
  <c r="N1039" i="23"/>
  <c r="N1051" i="23"/>
  <c r="N1063" i="23"/>
  <c r="N1075" i="23"/>
  <c r="N1087" i="23"/>
  <c r="N1099" i="23"/>
  <c r="N1111" i="23"/>
  <c r="N1123" i="23"/>
  <c r="N1135" i="23"/>
  <c r="N1147" i="23"/>
  <c r="N1159" i="23"/>
  <c r="N1171" i="23"/>
  <c r="N1183" i="23"/>
  <c r="N1195" i="23"/>
  <c r="N308" i="23"/>
  <c r="N320" i="23"/>
  <c r="N332" i="23"/>
  <c r="N344" i="23"/>
  <c r="N356" i="23"/>
  <c r="N368" i="23"/>
  <c r="N380" i="23"/>
  <c r="N392" i="23"/>
  <c r="N404" i="23"/>
  <c r="N416" i="23"/>
  <c r="N428" i="23"/>
  <c r="N440" i="23"/>
  <c r="N452" i="23"/>
  <c r="N464" i="23"/>
  <c r="N476" i="23"/>
  <c r="N488" i="23"/>
  <c r="N500" i="23"/>
  <c r="N512" i="23"/>
  <c r="N524" i="23"/>
  <c r="N536" i="23"/>
  <c r="N548" i="23"/>
  <c r="N560" i="23"/>
  <c r="N572" i="23"/>
  <c r="N584" i="23"/>
  <c r="N596" i="23"/>
  <c r="N608" i="23"/>
  <c r="N620" i="23"/>
  <c r="N632" i="23"/>
  <c r="N644" i="23"/>
  <c r="N656" i="23"/>
  <c r="N668" i="23"/>
  <c r="N680" i="23"/>
  <c r="N692" i="23"/>
  <c r="N704" i="23"/>
  <c r="N716" i="23"/>
  <c r="N728" i="23"/>
  <c r="N740" i="23"/>
  <c r="N752" i="23"/>
  <c r="N764" i="23"/>
  <c r="N776" i="23"/>
  <c r="N788" i="23"/>
  <c r="N800" i="23"/>
  <c r="N812" i="23"/>
  <c r="N824" i="23"/>
  <c r="N836" i="23"/>
  <c r="N848" i="23"/>
  <c r="N860" i="23"/>
  <c r="N872" i="23"/>
  <c r="N884" i="23"/>
  <c r="N896" i="23"/>
  <c r="N908" i="23"/>
  <c r="N920" i="23"/>
  <c r="N932" i="23"/>
  <c r="N944" i="23"/>
  <c r="N956" i="23"/>
  <c r="N968" i="23"/>
  <c r="N980" i="23"/>
  <c r="N992" i="23"/>
  <c r="N1004" i="23"/>
  <c r="N1016" i="23"/>
  <c r="N1028" i="23"/>
  <c r="N1040" i="23"/>
  <c r="N1052" i="23"/>
  <c r="N1064" i="23"/>
  <c r="N1076" i="23"/>
  <c r="N1088" i="23"/>
  <c r="N1100" i="23"/>
  <c r="N1112" i="23"/>
  <c r="N1124" i="23"/>
  <c r="N1136" i="23"/>
  <c r="N1148" i="23"/>
  <c r="N1160" i="23"/>
  <c r="N1172" i="23"/>
  <c r="N1184" i="23"/>
  <c r="N1196" i="23"/>
  <c r="N335" i="23"/>
  <c r="N371" i="23"/>
  <c r="N407" i="23"/>
  <c r="N431" i="23"/>
  <c r="N455" i="23"/>
  <c r="N479" i="23"/>
  <c r="N503" i="23"/>
  <c r="N551" i="23"/>
  <c r="N587" i="23"/>
  <c r="N611" i="23"/>
  <c r="N659" i="23"/>
  <c r="N683" i="23"/>
  <c r="N731" i="23"/>
  <c r="N767" i="23"/>
  <c r="N803" i="23"/>
  <c r="N851" i="23"/>
  <c r="N899" i="23"/>
  <c r="N935" i="23"/>
  <c r="N309" i="23"/>
  <c r="N321" i="23"/>
  <c r="N333" i="23"/>
  <c r="N345" i="23"/>
  <c r="N357" i="23"/>
  <c r="N369" i="23"/>
  <c r="N381" i="23"/>
  <c r="N393" i="23"/>
  <c r="N405" i="23"/>
  <c r="N417" i="23"/>
  <c r="N429" i="23"/>
  <c r="N441" i="23"/>
  <c r="N453" i="23"/>
  <c r="N465" i="23"/>
  <c r="N477" i="23"/>
  <c r="N489" i="23"/>
  <c r="N501" i="23"/>
  <c r="N513" i="23"/>
  <c r="N525" i="23"/>
  <c r="N537" i="23"/>
  <c r="N549" i="23"/>
  <c r="N561" i="23"/>
  <c r="N573" i="23"/>
  <c r="N585" i="23"/>
  <c r="N597" i="23"/>
  <c r="N609" i="23"/>
  <c r="N621" i="23"/>
  <c r="N633" i="23"/>
  <c r="N645" i="23"/>
  <c r="N657" i="23"/>
  <c r="N669" i="23"/>
  <c r="N681" i="23"/>
  <c r="N693" i="23"/>
  <c r="N705" i="23"/>
  <c r="N717" i="23"/>
  <c r="N729" i="23"/>
  <c r="N741" i="23"/>
  <c r="N753" i="23"/>
  <c r="N765" i="23"/>
  <c r="N777" i="23"/>
  <c r="N789" i="23"/>
  <c r="N801" i="23"/>
  <c r="N813" i="23"/>
  <c r="N825" i="23"/>
  <c r="N837" i="23"/>
  <c r="N849" i="23"/>
  <c r="N861" i="23"/>
  <c r="N873" i="23"/>
  <c r="N885" i="23"/>
  <c r="N897" i="23"/>
  <c r="N909" i="23"/>
  <c r="N921" i="23"/>
  <c r="N933" i="23"/>
  <c r="N945" i="23"/>
  <c r="N957" i="23"/>
  <c r="N969" i="23"/>
  <c r="N981" i="23"/>
  <c r="N993" i="23"/>
  <c r="N1005" i="23"/>
  <c r="N1017" i="23"/>
  <c r="N1029" i="23"/>
  <c r="N1041" i="23"/>
  <c r="N1053" i="23"/>
  <c r="N1065" i="23"/>
  <c r="N1077" i="23"/>
  <c r="N1089" i="23"/>
  <c r="N1101" i="23"/>
  <c r="N1113" i="23"/>
  <c r="N1125" i="23"/>
  <c r="N1137" i="23"/>
  <c r="N1149" i="23"/>
  <c r="N1161" i="23"/>
  <c r="N1173" i="23"/>
  <c r="N1185" i="23"/>
  <c r="N1197" i="23"/>
  <c r="N323" i="23"/>
  <c r="N383" i="23"/>
  <c r="N395" i="23"/>
  <c r="N419" i="23"/>
  <c r="N443" i="23"/>
  <c r="N467" i="23"/>
  <c r="N491" i="23"/>
  <c r="N515" i="23"/>
  <c r="N563" i="23"/>
  <c r="N575" i="23"/>
  <c r="N599" i="23"/>
  <c r="N647" i="23"/>
  <c r="N671" i="23"/>
  <c r="N707" i="23"/>
  <c r="N743" i="23"/>
  <c r="N791" i="23"/>
  <c r="N839" i="23"/>
  <c r="N887" i="23"/>
  <c r="N947" i="23"/>
  <c r="N310" i="23"/>
  <c r="N322" i="23"/>
  <c r="N334" i="23"/>
  <c r="N346" i="23"/>
  <c r="N358" i="23"/>
  <c r="N370" i="23"/>
  <c r="N382" i="23"/>
  <c r="N394" i="23"/>
  <c r="N406" i="23"/>
  <c r="N418" i="23"/>
  <c r="N430" i="23"/>
  <c r="N442" i="23"/>
  <c r="N454" i="23"/>
  <c r="N466" i="23"/>
  <c r="N478" i="23"/>
  <c r="N490" i="23"/>
  <c r="N502" i="23"/>
  <c r="N514" i="23"/>
  <c r="N526" i="23"/>
  <c r="N538" i="23"/>
  <c r="N550" i="23"/>
  <c r="N562" i="23"/>
  <c r="N574" i="23"/>
  <c r="N586" i="23"/>
  <c r="N598" i="23"/>
  <c r="N610" i="23"/>
  <c r="N622" i="23"/>
  <c r="N634" i="23"/>
  <c r="N646" i="23"/>
  <c r="N658" i="23"/>
  <c r="N670" i="23"/>
  <c r="N682" i="23"/>
  <c r="N694" i="23"/>
  <c r="N706" i="23"/>
  <c r="N718" i="23"/>
  <c r="N730" i="23"/>
  <c r="N742" i="23"/>
  <c r="N754" i="23"/>
  <c r="N766" i="23"/>
  <c r="N778" i="23"/>
  <c r="N790" i="23"/>
  <c r="N802" i="23"/>
  <c r="N814" i="23"/>
  <c r="N826" i="23"/>
  <c r="N838" i="23"/>
  <c r="N850" i="23"/>
  <c r="N862" i="23"/>
  <c r="N874" i="23"/>
  <c r="N886" i="23"/>
  <c r="N898" i="23"/>
  <c r="N910" i="23"/>
  <c r="N922" i="23"/>
  <c r="N934" i="23"/>
  <c r="N946" i="23"/>
  <c r="N958" i="23"/>
  <c r="N970" i="23"/>
  <c r="N982" i="23"/>
  <c r="N994" i="23"/>
  <c r="N1006" i="23"/>
  <c r="N1018" i="23"/>
  <c r="N1030" i="23"/>
  <c r="N1042" i="23"/>
  <c r="N1054" i="23"/>
  <c r="N1066" i="23"/>
  <c r="N1078" i="23"/>
  <c r="N1090" i="23"/>
  <c r="N1102" i="23"/>
  <c r="N1114" i="23"/>
  <c r="N1126" i="23"/>
  <c r="N1138" i="23"/>
  <c r="N1150" i="23"/>
  <c r="N1162" i="23"/>
  <c r="N1174" i="23"/>
  <c r="N1186" i="23"/>
  <c r="N1198" i="23"/>
  <c r="N311" i="23"/>
  <c r="N539" i="23"/>
  <c r="N623" i="23"/>
  <c r="N695" i="23"/>
  <c r="N755" i="23"/>
  <c r="N815" i="23"/>
  <c r="N875" i="23"/>
  <c r="N923" i="23"/>
  <c r="N312" i="23"/>
  <c r="N336" i="23"/>
  <c r="N359" i="23"/>
  <c r="N377" i="23"/>
  <c r="N401" i="23"/>
  <c r="N425" i="23"/>
  <c r="N449" i="23"/>
  <c r="N473" i="23"/>
  <c r="N497" i="23"/>
  <c r="N521" i="23"/>
  <c r="N545" i="23"/>
  <c r="N569" i="23"/>
  <c r="N593" i="23"/>
  <c r="N617" i="23"/>
  <c r="N641" i="23"/>
  <c r="N665" i="23"/>
  <c r="N689" i="23"/>
  <c r="N713" i="23"/>
  <c r="N737" i="23"/>
  <c r="N761" i="23"/>
  <c r="N785" i="23"/>
  <c r="N809" i="23"/>
  <c r="N833" i="23"/>
  <c r="N857" i="23"/>
  <c r="N881" i="23"/>
  <c r="N905" i="23"/>
  <c r="N929" i="23"/>
  <c r="N953" i="23"/>
  <c r="N976" i="23"/>
  <c r="N998" i="23"/>
  <c r="N1020" i="23"/>
  <c r="N1037" i="23"/>
  <c r="N1059" i="23"/>
  <c r="N1081" i="23"/>
  <c r="N1103" i="23"/>
  <c r="N1120" i="23"/>
  <c r="N1142" i="23"/>
  <c r="N1164" i="23"/>
  <c r="N1181" i="23"/>
  <c r="N1203" i="23"/>
  <c r="N1168" i="23"/>
  <c r="N396" i="23"/>
  <c r="N444" i="23"/>
  <c r="N564" i="23"/>
  <c r="N660" i="23"/>
  <c r="N756" i="23"/>
  <c r="N948" i="23"/>
  <c r="N1049" i="23"/>
  <c r="N1132" i="23"/>
  <c r="N1193" i="23"/>
  <c r="N397" i="23"/>
  <c r="N445" i="23"/>
  <c r="N541" i="23"/>
  <c r="N589" i="23"/>
  <c r="N637" i="23"/>
  <c r="N733" i="23"/>
  <c r="N781" i="23"/>
  <c r="N853" i="23"/>
  <c r="N949" i="23"/>
  <c r="N989" i="23"/>
  <c r="N1033" i="23"/>
  <c r="N1072" i="23"/>
  <c r="N1155" i="23"/>
  <c r="N1199" i="23"/>
  <c r="N351" i="23"/>
  <c r="N734" i="23"/>
  <c r="N973" i="23"/>
  <c r="N1139" i="23"/>
  <c r="N375" i="23"/>
  <c r="N447" i="23"/>
  <c r="N495" i="23"/>
  <c r="N567" i="23"/>
  <c r="N615" i="23"/>
  <c r="N687" i="23"/>
  <c r="N735" i="23"/>
  <c r="N807" i="23"/>
  <c r="N879" i="23"/>
  <c r="N903" i="23"/>
  <c r="N927" i="23"/>
  <c r="N1013" i="23"/>
  <c r="N1035" i="23"/>
  <c r="N1096" i="23"/>
  <c r="N1140" i="23"/>
  <c r="N1201" i="23"/>
  <c r="N353" i="23"/>
  <c r="N520" i="23"/>
  <c r="N664" i="23"/>
  <c r="N784" i="23"/>
  <c r="N975" i="23"/>
  <c r="N1141" i="23"/>
  <c r="N313" i="23"/>
  <c r="N337" i="23"/>
  <c r="N360" i="23"/>
  <c r="N384" i="23"/>
  <c r="N408" i="23"/>
  <c r="N432" i="23"/>
  <c r="N456" i="23"/>
  <c r="N480" i="23"/>
  <c r="N504" i="23"/>
  <c r="N528" i="23"/>
  <c r="N552" i="23"/>
  <c r="N576" i="23"/>
  <c r="N600" i="23"/>
  <c r="N624" i="23"/>
  <c r="N648" i="23"/>
  <c r="N672" i="23"/>
  <c r="N696" i="23"/>
  <c r="N720" i="23"/>
  <c r="N744" i="23"/>
  <c r="N768" i="23"/>
  <c r="N792" i="23"/>
  <c r="N816" i="23"/>
  <c r="N840" i="23"/>
  <c r="N864" i="23"/>
  <c r="N888" i="23"/>
  <c r="N912" i="23"/>
  <c r="N936" i="23"/>
  <c r="N960" i="23"/>
  <c r="N977" i="23"/>
  <c r="N999" i="23"/>
  <c r="N1021" i="23"/>
  <c r="N1043" i="23"/>
  <c r="N1060" i="23"/>
  <c r="N1082" i="23"/>
  <c r="N1104" i="23"/>
  <c r="N1121" i="23"/>
  <c r="N1143" i="23"/>
  <c r="N1165" i="23"/>
  <c r="N1187" i="23"/>
  <c r="N1204" i="23"/>
  <c r="N340" i="23"/>
  <c r="N411" i="23"/>
  <c r="N459" i="23"/>
  <c r="N531" i="23"/>
  <c r="N579" i="23"/>
  <c r="N627" i="23"/>
  <c r="N675" i="23"/>
  <c r="N747" i="23"/>
  <c r="N771" i="23"/>
  <c r="N819" i="23"/>
  <c r="N891" i="23"/>
  <c r="N985" i="23"/>
  <c r="N1024" i="23"/>
  <c r="N1085" i="23"/>
  <c r="N1129" i="23"/>
  <c r="N325" i="23"/>
  <c r="N516" i="23"/>
  <c r="N636" i="23"/>
  <c r="N732" i="23"/>
  <c r="N852" i="23"/>
  <c r="N924" i="23"/>
  <c r="N988" i="23"/>
  <c r="N1071" i="23"/>
  <c r="N1154" i="23"/>
  <c r="N350" i="23"/>
  <c r="N469" i="23"/>
  <c r="N685" i="23"/>
  <c r="N901" i="23"/>
  <c r="N1116" i="23"/>
  <c r="N398" i="23"/>
  <c r="N422" i="23"/>
  <c r="N470" i="23"/>
  <c r="N518" i="23"/>
  <c r="N590" i="23"/>
  <c r="N638" i="23"/>
  <c r="N686" i="23"/>
  <c r="N758" i="23"/>
  <c r="N830" i="23"/>
  <c r="N878" i="23"/>
  <c r="N926" i="23"/>
  <c r="N995" i="23"/>
  <c r="N1056" i="23"/>
  <c r="N1095" i="23"/>
  <c r="N1156" i="23"/>
  <c r="N328" i="23"/>
  <c r="N639" i="23"/>
  <c r="N783" i="23"/>
  <c r="N974" i="23"/>
  <c r="N1079" i="23"/>
  <c r="N1179" i="23"/>
  <c r="N400" i="23"/>
  <c r="N424" i="23"/>
  <c r="N472" i="23"/>
  <c r="N544" i="23"/>
  <c r="N568" i="23"/>
  <c r="N616" i="23"/>
  <c r="N712" i="23"/>
  <c r="N736" i="23"/>
  <c r="N832" i="23"/>
  <c r="N880" i="23"/>
  <c r="N928" i="23"/>
  <c r="N1019" i="23"/>
  <c r="N1058" i="23"/>
  <c r="N1097" i="23"/>
  <c r="N1180" i="23"/>
  <c r="N314" i="23"/>
  <c r="N338" i="23"/>
  <c r="N361" i="23"/>
  <c r="N385" i="23"/>
  <c r="N409" i="23"/>
  <c r="N433" i="23"/>
  <c r="N457" i="23"/>
  <c r="N481" i="23"/>
  <c r="N505" i="23"/>
  <c r="N529" i="23"/>
  <c r="N553" i="23"/>
  <c r="N577" i="23"/>
  <c r="N601" i="23"/>
  <c r="N625" i="23"/>
  <c r="N649" i="23"/>
  <c r="N673" i="23"/>
  <c r="N697" i="23"/>
  <c r="N721" i="23"/>
  <c r="N745" i="23"/>
  <c r="N769" i="23"/>
  <c r="N793" i="23"/>
  <c r="N817" i="23"/>
  <c r="N841" i="23"/>
  <c r="N865" i="23"/>
  <c r="N889" i="23"/>
  <c r="N913" i="23"/>
  <c r="N937" i="23"/>
  <c r="N961" i="23"/>
  <c r="N983" i="23"/>
  <c r="N1000" i="23"/>
  <c r="N1022" i="23"/>
  <c r="N1044" i="23"/>
  <c r="N1061" i="23"/>
  <c r="N1083" i="23"/>
  <c r="N1105" i="23"/>
  <c r="N1127" i="23"/>
  <c r="N1144" i="23"/>
  <c r="N1166" i="23"/>
  <c r="N1188" i="23"/>
  <c r="N1205" i="23"/>
  <c r="N316" i="23"/>
  <c r="N483" i="23"/>
  <c r="N603" i="23"/>
  <c r="N699" i="23"/>
  <c r="N795" i="23"/>
  <c r="N867" i="23"/>
  <c r="N939" i="23"/>
  <c r="N1046" i="23"/>
  <c r="N1107" i="23"/>
  <c r="N1190" i="23"/>
  <c r="N372" i="23"/>
  <c r="N468" i="23"/>
  <c r="N540" i="23"/>
  <c r="N588" i="23"/>
  <c r="N684" i="23"/>
  <c r="N780" i="23"/>
  <c r="N804" i="23"/>
  <c r="N876" i="23"/>
  <c r="N971" i="23"/>
  <c r="N1032" i="23"/>
  <c r="N1115" i="23"/>
  <c r="N373" i="23"/>
  <c r="N517" i="23"/>
  <c r="N565" i="23"/>
  <c r="N613" i="23"/>
  <c r="N661" i="23"/>
  <c r="N757" i="23"/>
  <c r="N805" i="23"/>
  <c r="N829" i="23"/>
  <c r="N877" i="23"/>
  <c r="N972" i="23"/>
  <c r="N1011" i="23"/>
  <c r="N1055" i="23"/>
  <c r="N1133" i="23"/>
  <c r="N1177" i="23"/>
  <c r="N327" i="23"/>
  <c r="N806" i="23"/>
  <c r="N1034" i="23"/>
  <c r="N1200" i="23"/>
  <c r="N399" i="23"/>
  <c r="N423" i="23"/>
  <c r="N471" i="23"/>
  <c r="N519" i="23"/>
  <c r="N591" i="23"/>
  <c r="N663" i="23"/>
  <c r="N759" i="23"/>
  <c r="N855" i="23"/>
  <c r="N996" i="23"/>
  <c r="N1118" i="23"/>
  <c r="N376" i="23"/>
  <c r="N496" i="23"/>
  <c r="N640" i="23"/>
  <c r="N808" i="23"/>
  <c r="N997" i="23"/>
  <c r="N1163" i="23"/>
  <c r="N315" i="23"/>
  <c r="N339" i="23"/>
  <c r="N362" i="23"/>
  <c r="N386" i="23"/>
  <c r="N410" i="23"/>
  <c r="N434" i="23"/>
  <c r="N458" i="23"/>
  <c r="N482" i="23"/>
  <c r="N506" i="23"/>
  <c r="N530" i="23"/>
  <c r="N554" i="23"/>
  <c r="N578" i="23"/>
  <c r="N602" i="23"/>
  <c r="N626" i="23"/>
  <c r="N650" i="23"/>
  <c r="N674" i="23"/>
  <c r="N698" i="23"/>
  <c r="N722" i="23"/>
  <c r="N746" i="23"/>
  <c r="N770" i="23"/>
  <c r="N794" i="23"/>
  <c r="N818" i="23"/>
  <c r="N842" i="23"/>
  <c r="N866" i="23"/>
  <c r="N890" i="23"/>
  <c r="N914" i="23"/>
  <c r="N938" i="23"/>
  <c r="N962" i="23"/>
  <c r="N984" i="23"/>
  <c r="N1001" i="23"/>
  <c r="N1023" i="23"/>
  <c r="N1045" i="23"/>
  <c r="N1067" i="23"/>
  <c r="N1084" i="23"/>
  <c r="N1106" i="23"/>
  <c r="N1128" i="23"/>
  <c r="N1145" i="23"/>
  <c r="N1167" i="23"/>
  <c r="N1189" i="23"/>
  <c r="N363" i="23"/>
  <c r="N387" i="23"/>
  <c r="N435" i="23"/>
  <c r="N507" i="23"/>
  <c r="N555" i="23"/>
  <c r="N651" i="23"/>
  <c r="N723" i="23"/>
  <c r="N843" i="23"/>
  <c r="N915" i="23"/>
  <c r="N963" i="23"/>
  <c r="N1007" i="23"/>
  <c r="N1068" i="23"/>
  <c r="N1151" i="23"/>
  <c r="N349" i="23"/>
  <c r="N492" i="23"/>
  <c r="N612" i="23"/>
  <c r="N708" i="23"/>
  <c r="N828" i="23"/>
  <c r="N900" i="23"/>
  <c r="N1010" i="23"/>
  <c r="N1093" i="23"/>
  <c r="N1176" i="23"/>
  <c r="N326" i="23"/>
  <c r="N493" i="23"/>
  <c r="N709" i="23"/>
  <c r="N925" i="23"/>
  <c r="N1094" i="23"/>
  <c r="N374" i="23"/>
  <c r="N446" i="23"/>
  <c r="N494" i="23"/>
  <c r="N566" i="23"/>
  <c r="N614" i="23"/>
  <c r="N662" i="23"/>
  <c r="N710" i="23"/>
  <c r="N782" i="23"/>
  <c r="N854" i="23"/>
  <c r="N902" i="23"/>
  <c r="N950" i="23"/>
  <c r="N1012" i="23"/>
  <c r="N1073" i="23"/>
  <c r="N1117" i="23"/>
  <c r="N1178" i="23"/>
  <c r="N352" i="23"/>
  <c r="N543" i="23"/>
  <c r="N711" i="23"/>
  <c r="N831" i="23"/>
  <c r="N951" i="23"/>
  <c r="N1057" i="23"/>
  <c r="N1157" i="23"/>
  <c r="N329" i="23"/>
  <c r="N448" i="23"/>
  <c r="N592" i="23"/>
  <c r="N688" i="23"/>
  <c r="N760" i="23"/>
  <c r="N856" i="23"/>
  <c r="N904" i="23"/>
  <c r="N952" i="23"/>
  <c r="N1036" i="23"/>
  <c r="N1080" i="23"/>
  <c r="N1119" i="23"/>
  <c r="N1202" i="23"/>
  <c r="N317" i="23"/>
  <c r="N341" i="23"/>
  <c r="N364" i="23"/>
  <c r="N388" i="23"/>
  <c r="N412" i="23"/>
  <c r="N436" i="23"/>
  <c r="N460" i="23"/>
  <c r="N484" i="23"/>
  <c r="N508" i="23"/>
  <c r="N532" i="23"/>
  <c r="N556" i="23"/>
  <c r="N580" i="23"/>
  <c r="N604" i="23"/>
  <c r="N628" i="23"/>
  <c r="N652" i="23"/>
  <c r="N676" i="23"/>
  <c r="N700" i="23"/>
  <c r="N724" i="23"/>
  <c r="N748" i="23"/>
  <c r="N772" i="23"/>
  <c r="N796" i="23"/>
  <c r="N820" i="23"/>
  <c r="N844" i="23"/>
  <c r="N868" i="23"/>
  <c r="N892" i="23"/>
  <c r="N916" i="23"/>
  <c r="N940" i="23"/>
  <c r="N964" i="23"/>
  <c r="N986" i="23"/>
  <c r="N1008" i="23"/>
  <c r="N1025" i="23"/>
  <c r="N1047" i="23"/>
  <c r="N1069" i="23"/>
  <c r="N1091" i="23"/>
  <c r="N1108" i="23"/>
  <c r="N1130" i="23"/>
  <c r="N1152" i="23"/>
  <c r="N1169" i="23"/>
  <c r="N1191" i="23"/>
  <c r="N324" i="23"/>
  <c r="N348" i="23"/>
  <c r="N365" i="23"/>
  <c r="N389" i="23"/>
  <c r="N413" i="23"/>
  <c r="N437" i="23"/>
  <c r="N461" i="23"/>
  <c r="N485" i="23"/>
  <c r="N509" i="23"/>
  <c r="N533" i="23"/>
  <c r="N557" i="23"/>
  <c r="N581" i="23"/>
  <c r="N605" i="23"/>
  <c r="N629" i="23"/>
  <c r="N653" i="23"/>
  <c r="N677" i="23"/>
  <c r="N701" i="23"/>
  <c r="N725" i="23"/>
  <c r="N749" i="23"/>
  <c r="N773" i="23"/>
  <c r="N797" i="23"/>
  <c r="N821" i="23"/>
  <c r="N845" i="23"/>
  <c r="N869" i="23"/>
  <c r="N893" i="23"/>
  <c r="N917" i="23"/>
  <c r="N941" i="23"/>
  <c r="N965" i="23"/>
  <c r="N987" i="23"/>
  <c r="N1009" i="23"/>
  <c r="N1031" i="23"/>
  <c r="N1048" i="23"/>
  <c r="N1070" i="23"/>
  <c r="N1092" i="23"/>
  <c r="N1109" i="23"/>
  <c r="N1131" i="23"/>
  <c r="N1153" i="23"/>
  <c r="N1175" i="23"/>
  <c r="N1192" i="23"/>
  <c r="N420" i="23"/>
  <c r="N421" i="23"/>
  <c r="N542" i="23"/>
  <c r="M8" i="23"/>
  <c r="W3" i="23"/>
  <c r="W11" i="23"/>
  <c r="W12" i="23"/>
  <c r="K8" i="23" l="1"/>
  <c r="T7" i="23" a="1"/>
  <c r="AA28" i="23"/>
  <c r="AA40" i="23"/>
  <c r="AA52" i="23"/>
  <c r="AA64" i="23"/>
  <c r="AA55" i="23"/>
  <c r="AA44" i="23"/>
  <c r="AA69" i="23"/>
  <c r="AA34" i="23"/>
  <c r="AA70" i="23"/>
  <c r="AA35" i="23"/>
  <c r="AA71" i="23"/>
  <c r="AA29" i="23"/>
  <c r="AA41" i="23"/>
  <c r="AA53" i="23"/>
  <c r="AA65" i="23"/>
  <c r="AA43" i="23"/>
  <c r="AA56" i="23"/>
  <c r="AA33" i="23"/>
  <c r="AA57" i="23"/>
  <c r="AA46" i="23"/>
  <c r="AA47" i="23"/>
  <c r="AA30" i="23"/>
  <c r="AA42" i="23"/>
  <c r="AA54" i="23"/>
  <c r="AA66" i="23"/>
  <c r="AA31" i="23"/>
  <c r="AA67" i="23"/>
  <c r="AA32" i="23"/>
  <c r="AA68" i="23"/>
  <c r="AA45" i="23"/>
  <c r="AA58" i="23"/>
  <c r="AA59" i="23"/>
  <c r="AA36" i="23"/>
  <c r="AA48" i="23"/>
  <c r="AA60" i="23"/>
  <c r="AA72" i="23"/>
  <c r="AA37" i="23"/>
  <c r="AA49" i="23"/>
  <c r="AA61" i="23"/>
  <c r="AA38" i="23"/>
  <c r="AA50" i="23"/>
  <c r="AA62" i="23"/>
  <c r="AA39" i="23"/>
  <c r="AA51" i="23"/>
  <c r="AA63" i="23"/>
  <c r="M9" i="23"/>
  <c r="O306" i="23"/>
  <c r="R306" i="23"/>
  <c r="O307" i="23"/>
  <c r="R307" i="23"/>
  <c r="O308" i="23"/>
  <c r="R308" i="23"/>
  <c r="O309" i="23"/>
  <c r="R309" i="23"/>
  <c r="O310" i="23"/>
  <c r="R310" i="23"/>
  <c r="O311" i="23"/>
  <c r="R311" i="23"/>
  <c r="O312" i="23"/>
  <c r="R312" i="23"/>
  <c r="O313" i="23"/>
  <c r="R313" i="23"/>
  <c r="O314" i="23"/>
  <c r="R314" i="23"/>
  <c r="O315" i="23"/>
  <c r="R315" i="23"/>
  <c r="O316" i="23"/>
  <c r="R316" i="23"/>
  <c r="O317" i="23"/>
  <c r="R317" i="23"/>
  <c r="O318" i="23"/>
  <c r="R318" i="23"/>
  <c r="O319" i="23"/>
  <c r="R319" i="23"/>
  <c r="O320" i="23"/>
  <c r="R320" i="23"/>
  <c r="O321" i="23"/>
  <c r="R321" i="23"/>
  <c r="O322" i="23"/>
  <c r="R322" i="23"/>
  <c r="O323" i="23"/>
  <c r="R323" i="23"/>
  <c r="O324" i="23"/>
  <c r="R324" i="23"/>
  <c r="O325" i="23"/>
  <c r="R325" i="23"/>
  <c r="O326" i="23"/>
  <c r="R326" i="23"/>
  <c r="O327" i="23"/>
  <c r="R327" i="23"/>
  <c r="O328" i="23"/>
  <c r="R328" i="23"/>
  <c r="O329" i="23"/>
  <c r="R329" i="23"/>
  <c r="O330" i="23"/>
  <c r="R330" i="23"/>
  <c r="O331" i="23"/>
  <c r="R331" i="23"/>
  <c r="O332" i="23"/>
  <c r="R332" i="23"/>
  <c r="O333" i="23"/>
  <c r="R333" i="23"/>
  <c r="O334" i="23"/>
  <c r="R334" i="23"/>
  <c r="O335" i="23"/>
  <c r="R335" i="23"/>
  <c r="O336" i="23"/>
  <c r="R336" i="23"/>
  <c r="O337" i="23"/>
  <c r="R337" i="23"/>
  <c r="O338" i="23"/>
  <c r="R338" i="23"/>
  <c r="O339" i="23"/>
  <c r="R339" i="23"/>
  <c r="O340" i="23"/>
  <c r="R340" i="23"/>
  <c r="O341" i="23"/>
  <c r="R341" i="23"/>
  <c r="O342" i="23"/>
  <c r="R342" i="23"/>
  <c r="O343" i="23"/>
  <c r="R343" i="23"/>
  <c r="O344" i="23"/>
  <c r="R344" i="23"/>
  <c r="O345" i="23"/>
  <c r="R345" i="23"/>
  <c r="O346" i="23"/>
  <c r="R346" i="23"/>
  <c r="O347" i="23"/>
  <c r="R347" i="23"/>
  <c r="O348" i="23"/>
  <c r="R348" i="23"/>
  <c r="O349" i="23"/>
  <c r="R349" i="23"/>
  <c r="O350" i="23"/>
  <c r="R350" i="23"/>
  <c r="O351" i="23"/>
  <c r="R351" i="23"/>
  <c r="O352" i="23"/>
  <c r="R352" i="23"/>
  <c r="O353" i="23"/>
  <c r="R353" i="23"/>
  <c r="O354" i="23"/>
  <c r="R354" i="23"/>
  <c r="O355" i="23"/>
  <c r="R355" i="23"/>
  <c r="O356" i="23"/>
  <c r="R356" i="23"/>
  <c r="O357" i="23"/>
  <c r="R357" i="23"/>
  <c r="O358" i="23"/>
  <c r="R358" i="23"/>
  <c r="O359" i="23"/>
  <c r="R359" i="23"/>
  <c r="O360" i="23"/>
  <c r="R360" i="23"/>
  <c r="O361" i="23"/>
  <c r="R361" i="23"/>
  <c r="O362" i="23"/>
  <c r="R362" i="23"/>
  <c r="O363" i="23"/>
  <c r="R363" i="23"/>
  <c r="O364" i="23"/>
  <c r="R364" i="23"/>
  <c r="O365" i="23"/>
  <c r="R365" i="23"/>
  <c r="O366" i="23"/>
  <c r="R366" i="23"/>
  <c r="O367" i="23"/>
  <c r="R367" i="23"/>
  <c r="O368" i="23"/>
  <c r="R368" i="23"/>
  <c r="O369" i="23"/>
  <c r="R369" i="23"/>
  <c r="O370" i="23"/>
  <c r="R370" i="23"/>
  <c r="O371" i="23"/>
  <c r="R371" i="23"/>
  <c r="O372" i="23"/>
  <c r="R372" i="23"/>
  <c r="O373" i="23"/>
  <c r="R373" i="23"/>
  <c r="O374" i="23"/>
  <c r="R374" i="23"/>
  <c r="O375" i="23"/>
  <c r="R375" i="23"/>
  <c r="O376" i="23"/>
  <c r="R376" i="23"/>
  <c r="O377" i="23"/>
  <c r="R377" i="23"/>
  <c r="O378" i="23"/>
  <c r="R378" i="23"/>
  <c r="O379" i="23"/>
  <c r="R379" i="23"/>
  <c r="O380" i="23"/>
  <c r="R380" i="23"/>
  <c r="O381" i="23"/>
  <c r="R381" i="23"/>
  <c r="O382" i="23"/>
  <c r="R382" i="23"/>
  <c r="O383" i="23"/>
  <c r="R383" i="23"/>
  <c r="O384" i="23"/>
  <c r="R384" i="23"/>
  <c r="O385" i="23"/>
  <c r="R385" i="23"/>
  <c r="O386" i="23"/>
  <c r="R386" i="23"/>
  <c r="O387" i="23"/>
  <c r="R387" i="23"/>
  <c r="O388" i="23"/>
  <c r="R388" i="23"/>
  <c r="O389" i="23"/>
  <c r="R389" i="23"/>
  <c r="O390" i="23"/>
  <c r="R390" i="23"/>
  <c r="O391" i="23"/>
  <c r="R391" i="23"/>
  <c r="O392" i="23"/>
  <c r="R392" i="23"/>
  <c r="O393" i="23"/>
  <c r="R393" i="23"/>
  <c r="O394" i="23"/>
  <c r="R394" i="23"/>
  <c r="O395" i="23"/>
  <c r="R395" i="23"/>
  <c r="O396" i="23"/>
  <c r="R396" i="23"/>
  <c r="O397" i="23"/>
  <c r="R397" i="23"/>
  <c r="O398" i="23"/>
  <c r="R398" i="23"/>
  <c r="O399" i="23"/>
  <c r="R399" i="23"/>
  <c r="O400" i="23"/>
  <c r="R400" i="23"/>
  <c r="O401" i="23"/>
  <c r="R401" i="23"/>
  <c r="O402" i="23"/>
  <c r="R402" i="23"/>
  <c r="O403" i="23"/>
  <c r="R403" i="23"/>
  <c r="O404" i="23"/>
  <c r="R404" i="23"/>
  <c r="O405" i="23"/>
  <c r="R405" i="23"/>
  <c r="O406" i="23"/>
  <c r="R406" i="23"/>
  <c r="O407" i="23"/>
  <c r="R407" i="23"/>
  <c r="O408" i="23"/>
  <c r="R408" i="23"/>
  <c r="O409" i="23"/>
  <c r="R409" i="23"/>
  <c r="O410" i="23"/>
  <c r="R410" i="23"/>
  <c r="O411" i="23"/>
  <c r="R411" i="23"/>
  <c r="O412" i="23"/>
  <c r="R412" i="23"/>
  <c r="O413" i="23"/>
  <c r="R413" i="23"/>
  <c r="O414" i="23"/>
  <c r="R414" i="23"/>
  <c r="O415" i="23"/>
  <c r="R415" i="23"/>
  <c r="O416" i="23"/>
  <c r="R416" i="23"/>
  <c r="O417" i="23"/>
  <c r="R417" i="23"/>
  <c r="O418" i="23"/>
  <c r="R418" i="23"/>
  <c r="O419" i="23"/>
  <c r="R419" i="23"/>
  <c r="O420" i="23"/>
  <c r="R420" i="23"/>
  <c r="O421" i="23"/>
  <c r="R421" i="23"/>
  <c r="O422" i="23"/>
  <c r="R422" i="23"/>
  <c r="O423" i="23"/>
  <c r="R423" i="23"/>
  <c r="O424" i="23"/>
  <c r="R424" i="23"/>
  <c r="O425" i="23"/>
  <c r="R425" i="23"/>
  <c r="O426" i="23"/>
  <c r="R426" i="23"/>
  <c r="O427" i="23"/>
  <c r="R427" i="23"/>
  <c r="O428" i="23"/>
  <c r="R428" i="23"/>
  <c r="O429" i="23"/>
  <c r="R429" i="23"/>
  <c r="O430" i="23"/>
  <c r="R430" i="23"/>
  <c r="O431" i="23"/>
  <c r="R431" i="23"/>
  <c r="O432" i="23"/>
  <c r="R432" i="23"/>
  <c r="O433" i="23"/>
  <c r="R433" i="23"/>
  <c r="O434" i="23"/>
  <c r="R434" i="23"/>
  <c r="O435" i="23"/>
  <c r="R435" i="23"/>
  <c r="O436" i="23"/>
  <c r="R436" i="23"/>
  <c r="O437" i="23"/>
  <c r="R437" i="23"/>
  <c r="O438" i="23"/>
  <c r="R438" i="23"/>
  <c r="O439" i="23"/>
  <c r="R439" i="23"/>
  <c r="O440" i="23"/>
  <c r="R440" i="23"/>
  <c r="O441" i="23"/>
  <c r="R441" i="23"/>
  <c r="O442" i="23"/>
  <c r="R442" i="23"/>
  <c r="O443" i="23"/>
  <c r="R443" i="23"/>
  <c r="O444" i="23"/>
  <c r="R444" i="23"/>
  <c r="O445" i="23"/>
  <c r="R445" i="23"/>
  <c r="O446" i="23"/>
  <c r="R446" i="23"/>
  <c r="O447" i="23"/>
  <c r="R447" i="23"/>
  <c r="O448" i="23"/>
  <c r="R448" i="23"/>
  <c r="O449" i="23"/>
  <c r="R449" i="23"/>
  <c r="O450" i="23"/>
  <c r="R450" i="23"/>
  <c r="O451" i="23"/>
  <c r="R451" i="23"/>
  <c r="O452" i="23"/>
  <c r="R452" i="23"/>
  <c r="O453" i="23"/>
  <c r="R453" i="23"/>
  <c r="O454" i="23"/>
  <c r="R454" i="23"/>
  <c r="O455" i="23"/>
  <c r="R455" i="23"/>
  <c r="O456" i="23"/>
  <c r="R456" i="23"/>
  <c r="O457" i="23"/>
  <c r="R457" i="23"/>
  <c r="O458" i="23"/>
  <c r="R458" i="23"/>
  <c r="O459" i="23"/>
  <c r="R459" i="23"/>
  <c r="O460" i="23"/>
  <c r="R460" i="23"/>
  <c r="O461" i="23"/>
  <c r="R461" i="23"/>
  <c r="O462" i="23"/>
  <c r="R462" i="23"/>
  <c r="O463" i="23"/>
  <c r="R463" i="23"/>
  <c r="O464" i="23"/>
  <c r="R464" i="23"/>
  <c r="O465" i="23"/>
  <c r="R465" i="23"/>
  <c r="O466" i="23"/>
  <c r="R466" i="23"/>
  <c r="O467" i="23"/>
  <c r="R467" i="23"/>
  <c r="O468" i="23"/>
  <c r="R468" i="23"/>
  <c r="O469" i="23"/>
  <c r="R469" i="23"/>
  <c r="O470" i="23"/>
  <c r="R470" i="23"/>
  <c r="O471" i="23"/>
  <c r="R471" i="23"/>
  <c r="O472" i="23"/>
  <c r="R472" i="23"/>
  <c r="O473" i="23"/>
  <c r="R473" i="23"/>
  <c r="O474" i="23"/>
  <c r="R474" i="23"/>
  <c r="O475" i="23"/>
  <c r="R475" i="23"/>
  <c r="O476" i="23"/>
  <c r="R476" i="23"/>
  <c r="O477" i="23"/>
  <c r="R477" i="23"/>
  <c r="O478" i="23"/>
  <c r="R478" i="23"/>
  <c r="O479" i="23"/>
  <c r="R479" i="23"/>
  <c r="O480" i="23"/>
  <c r="R480" i="23"/>
  <c r="O481" i="23"/>
  <c r="R481" i="23"/>
  <c r="O482" i="23"/>
  <c r="R482" i="23"/>
  <c r="O483" i="23"/>
  <c r="R483" i="23"/>
  <c r="O484" i="23"/>
  <c r="R484" i="23"/>
  <c r="O485" i="23"/>
  <c r="R485" i="23"/>
  <c r="O486" i="23"/>
  <c r="R486" i="23"/>
  <c r="O487" i="23"/>
  <c r="R487" i="23"/>
  <c r="O488" i="23"/>
  <c r="R488" i="23"/>
  <c r="O489" i="23"/>
  <c r="R489" i="23"/>
  <c r="O490" i="23"/>
  <c r="R490" i="23"/>
  <c r="O491" i="23"/>
  <c r="R491" i="23"/>
  <c r="O492" i="23"/>
  <c r="R492" i="23"/>
  <c r="O493" i="23"/>
  <c r="R493" i="23"/>
  <c r="O494" i="23"/>
  <c r="R494" i="23"/>
  <c r="O495" i="23"/>
  <c r="R495" i="23"/>
  <c r="O496" i="23"/>
  <c r="R496" i="23"/>
  <c r="O497" i="23"/>
  <c r="R497" i="23"/>
  <c r="O498" i="23"/>
  <c r="R498" i="23"/>
  <c r="O499" i="23"/>
  <c r="R499" i="23"/>
  <c r="O500" i="23"/>
  <c r="R500" i="23"/>
  <c r="O501" i="23"/>
  <c r="R501" i="23"/>
  <c r="O502" i="23"/>
  <c r="R502" i="23"/>
  <c r="O503" i="23"/>
  <c r="R503" i="23"/>
  <c r="O504" i="23"/>
  <c r="R504" i="23"/>
  <c r="O505" i="23"/>
  <c r="R505" i="23"/>
  <c r="O506" i="23"/>
  <c r="R506" i="23"/>
  <c r="O507" i="23"/>
  <c r="R507" i="23"/>
  <c r="O508" i="23"/>
  <c r="R508" i="23"/>
  <c r="O509" i="23"/>
  <c r="R509" i="23"/>
  <c r="O510" i="23"/>
  <c r="R510" i="23"/>
  <c r="O511" i="23"/>
  <c r="R511" i="23"/>
  <c r="O512" i="23"/>
  <c r="R512" i="23"/>
  <c r="O513" i="23"/>
  <c r="R513" i="23"/>
  <c r="O514" i="23"/>
  <c r="R514" i="23"/>
  <c r="O515" i="23"/>
  <c r="R515" i="23"/>
  <c r="O516" i="23"/>
  <c r="R516" i="23"/>
  <c r="O517" i="23"/>
  <c r="R517" i="23"/>
  <c r="O518" i="23"/>
  <c r="R518" i="23"/>
  <c r="O519" i="23"/>
  <c r="R519" i="23"/>
  <c r="O520" i="23"/>
  <c r="R520" i="23"/>
  <c r="O521" i="23"/>
  <c r="R521" i="23"/>
  <c r="O522" i="23"/>
  <c r="R522" i="23"/>
  <c r="O523" i="23"/>
  <c r="R523" i="23"/>
  <c r="O524" i="23"/>
  <c r="R524" i="23"/>
  <c r="O525" i="23"/>
  <c r="R525" i="23"/>
  <c r="O526" i="23"/>
  <c r="R526" i="23"/>
  <c r="O527" i="23"/>
  <c r="R527" i="23"/>
  <c r="O528" i="23"/>
  <c r="R528" i="23"/>
  <c r="O529" i="23"/>
  <c r="R529" i="23"/>
  <c r="O530" i="23"/>
  <c r="R530" i="23"/>
  <c r="O531" i="23"/>
  <c r="R531" i="23"/>
  <c r="O532" i="23"/>
  <c r="R532" i="23"/>
  <c r="O533" i="23"/>
  <c r="R533" i="23"/>
  <c r="O534" i="23"/>
  <c r="R534" i="23"/>
  <c r="O535" i="23"/>
  <c r="R535" i="23"/>
  <c r="O536" i="23"/>
  <c r="R536" i="23"/>
  <c r="O537" i="23"/>
  <c r="R537" i="23"/>
  <c r="O538" i="23"/>
  <c r="R538" i="23"/>
  <c r="O539" i="23"/>
  <c r="R539" i="23"/>
  <c r="O540" i="23"/>
  <c r="R540" i="23"/>
  <c r="O541" i="23"/>
  <c r="R541" i="23"/>
  <c r="O542" i="23"/>
  <c r="R542" i="23"/>
  <c r="O543" i="23"/>
  <c r="R543" i="23"/>
  <c r="O544" i="23"/>
  <c r="R544" i="23"/>
  <c r="O545" i="23"/>
  <c r="R545" i="23"/>
  <c r="O546" i="23"/>
  <c r="R546" i="23"/>
  <c r="O547" i="23"/>
  <c r="R547" i="23"/>
  <c r="O548" i="23"/>
  <c r="R548" i="23"/>
  <c r="O549" i="23"/>
  <c r="R549" i="23"/>
  <c r="O550" i="23"/>
  <c r="R550" i="23"/>
  <c r="O551" i="23"/>
  <c r="R551" i="23"/>
  <c r="O552" i="23"/>
  <c r="R552" i="23"/>
  <c r="O553" i="23"/>
  <c r="R553" i="23"/>
  <c r="O554" i="23"/>
  <c r="R554" i="23"/>
  <c r="O555" i="23"/>
  <c r="R555" i="23"/>
  <c r="O556" i="23"/>
  <c r="R556" i="23"/>
  <c r="O557" i="23"/>
  <c r="R557" i="23"/>
  <c r="O558" i="23"/>
  <c r="R558" i="23"/>
  <c r="O559" i="23"/>
  <c r="R559" i="23"/>
  <c r="O560" i="23"/>
  <c r="R560" i="23"/>
  <c r="O561" i="23"/>
  <c r="R561" i="23"/>
  <c r="O562" i="23"/>
  <c r="R562" i="23"/>
  <c r="O563" i="23"/>
  <c r="R563" i="23"/>
  <c r="O564" i="23"/>
  <c r="R564" i="23"/>
  <c r="O565" i="23"/>
  <c r="R565" i="23"/>
  <c r="O566" i="23"/>
  <c r="R566" i="23"/>
  <c r="O567" i="23"/>
  <c r="R567" i="23"/>
  <c r="O568" i="23"/>
  <c r="R568" i="23"/>
  <c r="O569" i="23"/>
  <c r="R569" i="23"/>
  <c r="O570" i="23"/>
  <c r="R570" i="23"/>
  <c r="O571" i="23"/>
  <c r="R571" i="23"/>
  <c r="O572" i="23"/>
  <c r="R572" i="23"/>
  <c r="O573" i="23"/>
  <c r="R573" i="23"/>
  <c r="O574" i="23"/>
  <c r="R574" i="23"/>
  <c r="O575" i="23"/>
  <c r="R575" i="23"/>
  <c r="O576" i="23"/>
  <c r="R576" i="23"/>
  <c r="O577" i="23"/>
  <c r="R577" i="23"/>
  <c r="O578" i="23"/>
  <c r="R578" i="23"/>
  <c r="O579" i="23"/>
  <c r="R579" i="23"/>
  <c r="O580" i="23"/>
  <c r="R580" i="23"/>
  <c r="O581" i="23"/>
  <c r="R581" i="23"/>
  <c r="O582" i="23"/>
  <c r="R582" i="23"/>
  <c r="O583" i="23"/>
  <c r="R583" i="23"/>
  <c r="O584" i="23"/>
  <c r="R584" i="23"/>
  <c r="O585" i="23"/>
  <c r="R585" i="23"/>
  <c r="O586" i="23"/>
  <c r="R586" i="23"/>
  <c r="O587" i="23"/>
  <c r="R587" i="23"/>
  <c r="O588" i="23"/>
  <c r="R588" i="23"/>
  <c r="O589" i="23"/>
  <c r="R589" i="23"/>
  <c r="O590" i="23"/>
  <c r="R590" i="23"/>
  <c r="O591" i="23"/>
  <c r="R591" i="23"/>
  <c r="O592" i="23"/>
  <c r="R592" i="23"/>
  <c r="O593" i="23"/>
  <c r="R593" i="23"/>
  <c r="O594" i="23"/>
  <c r="R594" i="23"/>
  <c r="O595" i="23"/>
  <c r="R595" i="23"/>
  <c r="O596" i="23"/>
  <c r="R596" i="23"/>
  <c r="O597" i="23"/>
  <c r="R597" i="23"/>
  <c r="O598" i="23"/>
  <c r="R598" i="23"/>
  <c r="O599" i="23"/>
  <c r="R599" i="23"/>
  <c r="O600" i="23"/>
  <c r="R600" i="23"/>
  <c r="O601" i="23"/>
  <c r="R601" i="23"/>
  <c r="O602" i="23"/>
  <c r="R602" i="23"/>
  <c r="O603" i="23"/>
  <c r="R603" i="23"/>
  <c r="O604" i="23"/>
  <c r="R604" i="23"/>
  <c r="O605" i="23"/>
  <c r="R605" i="23"/>
  <c r="O606" i="23"/>
  <c r="R606" i="23"/>
  <c r="O607" i="23"/>
  <c r="R607" i="23"/>
  <c r="O608" i="23"/>
  <c r="R608" i="23"/>
  <c r="O609" i="23"/>
  <c r="R609" i="23"/>
  <c r="O610" i="23"/>
  <c r="R610" i="23"/>
  <c r="O611" i="23"/>
  <c r="R611" i="23"/>
  <c r="O612" i="23"/>
  <c r="R612" i="23"/>
  <c r="O613" i="23"/>
  <c r="R613" i="23"/>
  <c r="O614" i="23"/>
  <c r="R614" i="23"/>
  <c r="O615" i="23"/>
  <c r="R615" i="23"/>
  <c r="O616" i="23"/>
  <c r="R616" i="23"/>
  <c r="O617" i="23"/>
  <c r="R617" i="23"/>
  <c r="O618" i="23"/>
  <c r="R618" i="23"/>
  <c r="O619" i="23"/>
  <c r="R619" i="23"/>
  <c r="O620" i="23"/>
  <c r="R620" i="23"/>
  <c r="O621" i="23"/>
  <c r="R621" i="23"/>
  <c r="O622" i="23"/>
  <c r="R622" i="23"/>
  <c r="O623" i="23"/>
  <c r="R623" i="23"/>
  <c r="O624" i="23"/>
  <c r="R624" i="23"/>
  <c r="O625" i="23"/>
  <c r="R625" i="23"/>
  <c r="O626" i="23"/>
  <c r="R626" i="23"/>
  <c r="O627" i="23"/>
  <c r="R627" i="23"/>
  <c r="O628" i="23"/>
  <c r="R628" i="23"/>
  <c r="O629" i="23"/>
  <c r="R629" i="23"/>
  <c r="O630" i="23"/>
  <c r="R630" i="23"/>
  <c r="O631" i="23"/>
  <c r="R631" i="23"/>
  <c r="O632" i="23"/>
  <c r="R632" i="23"/>
  <c r="O633" i="23"/>
  <c r="R633" i="23"/>
  <c r="O634" i="23"/>
  <c r="R634" i="23"/>
  <c r="O635" i="23"/>
  <c r="R635" i="23"/>
  <c r="O636" i="23"/>
  <c r="R636" i="23"/>
  <c r="O637" i="23"/>
  <c r="R637" i="23"/>
  <c r="O638" i="23"/>
  <c r="R638" i="23"/>
  <c r="O639" i="23"/>
  <c r="R639" i="23"/>
  <c r="O640" i="23"/>
  <c r="R640" i="23"/>
  <c r="O641" i="23"/>
  <c r="R641" i="23"/>
  <c r="O642" i="23"/>
  <c r="R642" i="23"/>
  <c r="O643" i="23"/>
  <c r="R643" i="23"/>
  <c r="O644" i="23"/>
  <c r="R644" i="23"/>
  <c r="O645" i="23"/>
  <c r="R645" i="23"/>
  <c r="O646" i="23"/>
  <c r="R646" i="23"/>
  <c r="O647" i="23"/>
  <c r="R647" i="23"/>
  <c r="O648" i="23"/>
  <c r="R648" i="23"/>
  <c r="O649" i="23"/>
  <c r="R649" i="23"/>
  <c r="O650" i="23"/>
  <c r="R650" i="23"/>
  <c r="O651" i="23"/>
  <c r="R651" i="23"/>
  <c r="O652" i="23"/>
  <c r="R652" i="23"/>
  <c r="O653" i="23"/>
  <c r="R653" i="23"/>
  <c r="O654" i="23"/>
  <c r="R654" i="23"/>
  <c r="O655" i="23"/>
  <c r="R655" i="23"/>
  <c r="O656" i="23"/>
  <c r="R656" i="23"/>
  <c r="O657" i="23"/>
  <c r="R657" i="23"/>
  <c r="O658" i="23"/>
  <c r="R658" i="23"/>
  <c r="O659" i="23"/>
  <c r="R659" i="23"/>
  <c r="O660" i="23"/>
  <c r="R660" i="23"/>
  <c r="O661" i="23"/>
  <c r="R661" i="23"/>
  <c r="O662" i="23"/>
  <c r="R662" i="23"/>
  <c r="O663" i="23"/>
  <c r="R663" i="23"/>
  <c r="O664" i="23"/>
  <c r="R664" i="23"/>
  <c r="O665" i="23"/>
  <c r="R665" i="23"/>
  <c r="O666" i="23"/>
  <c r="R666" i="23"/>
  <c r="O667" i="23"/>
  <c r="R667" i="23"/>
  <c r="O668" i="23"/>
  <c r="R668" i="23"/>
  <c r="O669" i="23"/>
  <c r="R669" i="23"/>
  <c r="O670" i="23"/>
  <c r="R670" i="23"/>
  <c r="O671" i="23"/>
  <c r="R671" i="23"/>
  <c r="O672" i="23"/>
  <c r="R672" i="23"/>
  <c r="O673" i="23"/>
  <c r="R673" i="23"/>
  <c r="O674" i="23"/>
  <c r="R674" i="23"/>
  <c r="O675" i="23"/>
  <c r="R675" i="23"/>
  <c r="O676" i="23"/>
  <c r="R676" i="23"/>
  <c r="O677" i="23"/>
  <c r="R677" i="23"/>
  <c r="O678" i="23"/>
  <c r="R678" i="23"/>
  <c r="O679" i="23"/>
  <c r="R679" i="23"/>
  <c r="O680" i="23"/>
  <c r="R680" i="23"/>
  <c r="O681" i="23"/>
  <c r="R681" i="23"/>
  <c r="O682" i="23"/>
  <c r="R682" i="23"/>
  <c r="O683" i="23"/>
  <c r="R683" i="23"/>
  <c r="O684" i="23"/>
  <c r="R684" i="23"/>
  <c r="O685" i="23"/>
  <c r="R685" i="23"/>
  <c r="O686" i="23"/>
  <c r="R686" i="23"/>
  <c r="O687" i="23"/>
  <c r="R687" i="23"/>
  <c r="O688" i="23"/>
  <c r="R688" i="23"/>
  <c r="O689" i="23"/>
  <c r="R689" i="23"/>
  <c r="O690" i="23"/>
  <c r="R690" i="23"/>
  <c r="O691" i="23"/>
  <c r="R691" i="23"/>
  <c r="O692" i="23"/>
  <c r="R692" i="23"/>
  <c r="O693" i="23"/>
  <c r="R693" i="23"/>
  <c r="O694" i="23"/>
  <c r="R694" i="23"/>
  <c r="O695" i="23"/>
  <c r="R695" i="23"/>
  <c r="O696" i="23"/>
  <c r="R696" i="23"/>
  <c r="O697" i="23"/>
  <c r="R697" i="23"/>
  <c r="O698" i="23"/>
  <c r="R698" i="23"/>
  <c r="O699" i="23"/>
  <c r="R699" i="23"/>
  <c r="O700" i="23"/>
  <c r="R700" i="23"/>
  <c r="O701" i="23"/>
  <c r="R701" i="23"/>
  <c r="O702" i="23"/>
  <c r="R702" i="23"/>
  <c r="O703" i="23"/>
  <c r="R703" i="23"/>
  <c r="O704" i="23"/>
  <c r="R704" i="23"/>
  <c r="O705" i="23"/>
  <c r="R705" i="23"/>
  <c r="O706" i="23"/>
  <c r="R706" i="23"/>
  <c r="O707" i="23"/>
  <c r="R707" i="23"/>
  <c r="O708" i="23"/>
  <c r="R708" i="23"/>
  <c r="O709" i="23"/>
  <c r="R709" i="23"/>
  <c r="O710" i="23"/>
  <c r="R710" i="23"/>
  <c r="O711" i="23"/>
  <c r="R711" i="23"/>
  <c r="O712" i="23"/>
  <c r="R712" i="23"/>
  <c r="O713" i="23"/>
  <c r="R713" i="23"/>
  <c r="O714" i="23"/>
  <c r="R714" i="23"/>
  <c r="O715" i="23"/>
  <c r="R715" i="23"/>
  <c r="O716" i="23"/>
  <c r="R716" i="23"/>
  <c r="O717" i="23"/>
  <c r="R717" i="23"/>
  <c r="O718" i="23"/>
  <c r="R718" i="23"/>
  <c r="O719" i="23"/>
  <c r="R719" i="23"/>
  <c r="O720" i="23"/>
  <c r="R720" i="23"/>
  <c r="O721" i="23"/>
  <c r="R721" i="23"/>
  <c r="O722" i="23"/>
  <c r="R722" i="23"/>
  <c r="O723" i="23"/>
  <c r="R723" i="23"/>
  <c r="O724" i="23"/>
  <c r="R724" i="23"/>
  <c r="O725" i="23"/>
  <c r="R725" i="23"/>
  <c r="O726" i="23"/>
  <c r="R726" i="23"/>
  <c r="O727" i="23"/>
  <c r="R727" i="23"/>
  <c r="O728" i="23"/>
  <c r="R728" i="23"/>
  <c r="O729" i="23"/>
  <c r="R729" i="23"/>
  <c r="O730" i="23"/>
  <c r="R730" i="23"/>
  <c r="O731" i="23"/>
  <c r="R731" i="23"/>
  <c r="O732" i="23"/>
  <c r="R732" i="23"/>
  <c r="O733" i="23"/>
  <c r="R733" i="23"/>
  <c r="O734" i="23"/>
  <c r="R734" i="23"/>
  <c r="O735" i="23"/>
  <c r="R735" i="23"/>
  <c r="O736" i="23"/>
  <c r="R736" i="23"/>
  <c r="O737" i="23"/>
  <c r="R737" i="23"/>
  <c r="O738" i="23"/>
  <c r="R738" i="23"/>
  <c r="O739" i="23"/>
  <c r="R739" i="23"/>
  <c r="O740" i="23"/>
  <c r="R740" i="23"/>
  <c r="O741" i="23"/>
  <c r="R741" i="23"/>
  <c r="O742" i="23"/>
  <c r="R742" i="23"/>
  <c r="O743" i="23"/>
  <c r="R743" i="23"/>
  <c r="O744" i="23"/>
  <c r="R744" i="23"/>
  <c r="O745" i="23"/>
  <c r="R745" i="23"/>
  <c r="O746" i="23"/>
  <c r="R746" i="23"/>
  <c r="O747" i="23"/>
  <c r="R747" i="23"/>
  <c r="O748" i="23"/>
  <c r="R748" i="23"/>
  <c r="O749" i="23"/>
  <c r="R749" i="23"/>
  <c r="O750" i="23"/>
  <c r="R750" i="23"/>
  <c r="O751" i="23"/>
  <c r="R751" i="23"/>
  <c r="O752" i="23"/>
  <c r="R752" i="23"/>
  <c r="O753" i="23"/>
  <c r="R753" i="23"/>
  <c r="O754" i="23"/>
  <c r="R754" i="23"/>
  <c r="O755" i="23"/>
  <c r="R755" i="23"/>
  <c r="O756" i="23"/>
  <c r="R756" i="23"/>
  <c r="O757" i="23"/>
  <c r="R757" i="23"/>
  <c r="O758" i="23"/>
  <c r="R758" i="23"/>
  <c r="O759" i="23"/>
  <c r="R759" i="23"/>
  <c r="O760" i="23"/>
  <c r="R760" i="23"/>
  <c r="O761" i="23"/>
  <c r="R761" i="23"/>
  <c r="O762" i="23"/>
  <c r="R762" i="23"/>
  <c r="O763" i="23"/>
  <c r="R763" i="23"/>
  <c r="O764" i="23"/>
  <c r="R764" i="23"/>
  <c r="O765" i="23"/>
  <c r="R765" i="23"/>
  <c r="O766" i="23"/>
  <c r="R766" i="23"/>
  <c r="O767" i="23"/>
  <c r="R767" i="23"/>
  <c r="O768" i="23"/>
  <c r="R768" i="23"/>
  <c r="O769" i="23"/>
  <c r="R769" i="23"/>
  <c r="O770" i="23"/>
  <c r="R770" i="23"/>
  <c r="O771" i="23"/>
  <c r="R771" i="23"/>
  <c r="O772" i="23"/>
  <c r="R772" i="23"/>
  <c r="O773" i="23"/>
  <c r="R773" i="23"/>
  <c r="O774" i="23"/>
  <c r="R774" i="23"/>
  <c r="O775" i="23"/>
  <c r="R775" i="23"/>
  <c r="O776" i="23"/>
  <c r="R776" i="23"/>
  <c r="O777" i="23"/>
  <c r="R777" i="23"/>
  <c r="O778" i="23"/>
  <c r="R778" i="23"/>
  <c r="O779" i="23"/>
  <c r="R779" i="23"/>
  <c r="O780" i="23"/>
  <c r="R780" i="23"/>
  <c r="O781" i="23"/>
  <c r="R781" i="23"/>
  <c r="O782" i="23"/>
  <c r="R782" i="23"/>
  <c r="O783" i="23"/>
  <c r="R783" i="23"/>
  <c r="O784" i="23"/>
  <c r="R784" i="23"/>
  <c r="O785" i="23"/>
  <c r="R785" i="23"/>
  <c r="O786" i="23"/>
  <c r="R786" i="23"/>
  <c r="O787" i="23"/>
  <c r="R787" i="23"/>
  <c r="O788" i="23"/>
  <c r="R788" i="23"/>
  <c r="O789" i="23"/>
  <c r="R789" i="23"/>
  <c r="O790" i="23"/>
  <c r="R790" i="23"/>
  <c r="O791" i="23"/>
  <c r="R791" i="23"/>
  <c r="O792" i="23"/>
  <c r="R792" i="23"/>
  <c r="O793" i="23"/>
  <c r="R793" i="23"/>
  <c r="O794" i="23"/>
  <c r="R794" i="23"/>
  <c r="O795" i="23"/>
  <c r="R795" i="23"/>
  <c r="O796" i="23"/>
  <c r="R796" i="23"/>
  <c r="O797" i="23"/>
  <c r="R797" i="23"/>
  <c r="O798" i="23"/>
  <c r="R798" i="23"/>
  <c r="O799" i="23"/>
  <c r="R799" i="23"/>
  <c r="O800" i="23"/>
  <c r="R800" i="23"/>
  <c r="O801" i="23"/>
  <c r="R801" i="23"/>
  <c r="O802" i="23"/>
  <c r="R802" i="23"/>
  <c r="O803" i="23"/>
  <c r="R803" i="23"/>
  <c r="O804" i="23"/>
  <c r="R804" i="23"/>
  <c r="O805" i="23"/>
  <c r="R805" i="23"/>
  <c r="O806" i="23"/>
  <c r="R806" i="23"/>
  <c r="O807" i="23"/>
  <c r="R807" i="23"/>
  <c r="O808" i="23"/>
  <c r="R808" i="23"/>
  <c r="O809" i="23"/>
  <c r="R809" i="23"/>
  <c r="O810" i="23"/>
  <c r="R810" i="23"/>
  <c r="O811" i="23"/>
  <c r="R811" i="23"/>
  <c r="O812" i="23"/>
  <c r="R812" i="23"/>
  <c r="O813" i="23"/>
  <c r="R813" i="23"/>
  <c r="O814" i="23"/>
  <c r="R814" i="23"/>
  <c r="O815" i="23"/>
  <c r="R815" i="23"/>
  <c r="O816" i="23"/>
  <c r="R816" i="23"/>
  <c r="O817" i="23"/>
  <c r="R817" i="23"/>
  <c r="O818" i="23"/>
  <c r="R818" i="23"/>
  <c r="O819" i="23"/>
  <c r="R819" i="23"/>
  <c r="O820" i="23"/>
  <c r="R820" i="23"/>
  <c r="O821" i="23"/>
  <c r="R821" i="23"/>
  <c r="O822" i="23"/>
  <c r="R822" i="23"/>
  <c r="O823" i="23"/>
  <c r="R823" i="23"/>
  <c r="O824" i="23"/>
  <c r="R824" i="23"/>
  <c r="O825" i="23"/>
  <c r="R825" i="23"/>
  <c r="O826" i="23"/>
  <c r="R826" i="23"/>
  <c r="O827" i="23"/>
  <c r="R827" i="23"/>
  <c r="O828" i="23"/>
  <c r="R828" i="23"/>
  <c r="O829" i="23"/>
  <c r="R829" i="23"/>
  <c r="O830" i="23"/>
  <c r="R830" i="23"/>
  <c r="O831" i="23"/>
  <c r="R831" i="23"/>
  <c r="O832" i="23"/>
  <c r="R832" i="23"/>
  <c r="O833" i="23"/>
  <c r="R833" i="23"/>
  <c r="O834" i="23"/>
  <c r="R834" i="23"/>
  <c r="O835" i="23"/>
  <c r="R835" i="23"/>
  <c r="O836" i="23"/>
  <c r="R836" i="23"/>
  <c r="O837" i="23"/>
  <c r="R837" i="23"/>
  <c r="O838" i="23"/>
  <c r="R838" i="23"/>
  <c r="O839" i="23"/>
  <c r="R839" i="23"/>
  <c r="O840" i="23"/>
  <c r="R840" i="23"/>
  <c r="O841" i="23"/>
  <c r="R841" i="23"/>
  <c r="O842" i="23"/>
  <c r="R842" i="23"/>
  <c r="O843" i="23"/>
  <c r="R843" i="23"/>
  <c r="O844" i="23"/>
  <c r="R844" i="23"/>
  <c r="O845" i="23"/>
  <c r="R845" i="23"/>
  <c r="O846" i="23"/>
  <c r="R846" i="23"/>
  <c r="O847" i="23"/>
  <c r="R847" i="23"/>
  <c r="O848" i="23"/>
  <c r="R848" i="23"/>
  <c r="O849" i="23"/>
  <c r="R849" i="23"/>
  <c r="O850" i="23"/>
  <c r="R850" i="23"/>
  <c r="O851" i="23"/>
  <c r="R851" i="23"/>
  <c r="O852" i="23"/>
  <c r="R852" i="23"/>
  <c r="O853" i="23"/>
  <c r="R853" i="23"/>
  <c r="O854" i="23"/>
  <c r="R854" i="23"/>
  <c r="O855" i="23"/>
  <c r="R855" i="23"/>
  <c r="O856" i="23"/>
  <c r="R856" i="23"/>
  <c r="O857" i="23"/>
  <c r="R857" i="23"/>
  <c r="O858" i="23"/>
  <c r="R858" i="23"/>
  <c r="O859" i="23"/>
  <c r="R859" i="23"/>
  <c r="O860" i="23"/>
  <c r="R860" i="23"/>
  <c r="O861" i="23"/>
  <c r="R861" i="23"/>
  <c r="O862" i="23"/>
  <c r="R862" i="23"/>
  <c r="O863" i="23"/>
  <c r="R863" i="23"/>
  <c r="O864" i="23"/>
  <c r="R864" i="23"/>
  <c r="O865" i="23"/>
  <c r="R865" i="23"/>
  <c r="O866" i="23"/>
  <c r="R866" i="23"/>
  <c r="O867" i="23"/>
  <c r="R867" i="23"/>
  <c r="O868" i="23"/>
  <c r="R868" i="23"/>
  <c r="O869" i="23"/>
  <c r="R869" i="23"/>
  <c r="O870" i="23"/>
  <c r="R870" i="23"/>
  <c r="O871" i="23"/>
  <c r="R871" i="23"/>
  <c r="O872" i="23"/>
  <c r="R872" i="23"/>
  <c r="O873" i="23"/>
  <c r="R873" i="23"/>
  <c r="O874" i="23"/>
  <c r="R874" i="23"/>
  <c r="O875" i="23"/>
  <c r="R875" i="23"/>
  <c r="O876" i="23"/>
  <c r="R876" i="23"/>
  <c r="O877" i="23"/>
  <c r="R877" i="23"/>
  <c r="O878" i="23"/>
  <c r="R878" i="23"/>
  <c r="O879" i="23"/>
  <c r="R879" i="23"/>
  <c r="O880" i="23"/>
  <c r="R880" i="23"/>
  <c r="O881" i="23"/>
  <c r="R881" i="23"/>
  <c r="O882" i="23"/>
  <c r="R882" i="23"/>
  <c r="O883" i="23"/>
  <c r="R883" i="23"/>
  <c r="O884" i="23"/>
  <c r="R884" i="23"/>
  <c r="O885" i="23"/>
  <c r="R885" i="23"/>
  <c r="O886" i="23"/>
  <c r="R886" i="23"/>
  <c r="O887" i="23"/>
  <c r="R887" i="23"/>
  <c r="O888" i="23"/>
  <c r="R888" i="23"/>
  <c r="O889" i="23"/>
  <c r="R889" i="23"/>
  <c r="O890" i="23"/>
  <c r="R890" i="23"/>
  <c r="O891" i="23"/>
  <c r="R891" i="23"/>
  <c r="O892" i="23"/>
  <c r="R892" i="23"/>
  <c r="O893" i="23"/>
  <c r="R893" i="23"/>
  <c r="O894" i="23"/>
  <c r="R894" i="23"/>
  <c r="O895" i="23"/>
  <c r="R895" i="23"/>
  <c r="O896" i="23"/>
  <c r="R896" i="23"/>
  <c r="O897" i="23"/>
  <c r="R897" i="23"/>
  <c r="O898" i="23"/>
  <c r="R898" i="23"/>
  <c r="O899" i="23"/>
  <c r="R899" i="23"/>
  <c r="O900" i="23"/>
  <c r="R900" i="23"/>
  <c r="O901" i="23"/>
  <c r="R901" i="23"/>
  <c r="O902" i="23"/>
  <c r="R902" i="23"/>
  <c r="O903" i="23"/>
  <c r="R903" i="23"/>
  <c r="O904" i="23"/>
  <c r="R904" i="23"/>
  <c r="O905" i="23"/>
  <c r="R905" i="23"/>
  <c r="O906" i="23"/>
  <c r="R906" i="23"/>
  <c r="O907" i="23"/>
  <c r="R907" i="23"/>
  <c r="O908" i="23"/>
  <c r="R908" i="23"/>
  <c r="O909" i="23"/>
  <c r="R909" i="23"/>
  <c r="O910" i="23"/>
  <c r="R910" i="23"/>
  <c r="O911" i="23"/>
  <c r="R911" i="23"/>
  <c r="O912" i="23"/>
  <c r="R912" i="23"/>
  <c r="O913" i="23"/>
  <c r="R913" i="23"/>
  <c r="O914" i="23"/>
  <c r="R914" i="23"/>
  <c r="O915" i="23"/>
  <c r="R915" i="23"/>
  <c r="O916" i="23"/>
  <c r="R916" i="23"/>
  <c r="O917" i="23"/>
  <c r="R917" i="23"/>
  <c r="O918" i="23"/>
  <c r="R918" i="23"/>
  <c r="O919" i="23"/>
  <c r="R919" i="23"/>
  <c r="O920" i="23"/>
  <c r="R920" i="23"/>
  <c r="O921" i="23"/>
  <c r="R921" i="23"/>
  <c r="O922" i="23"/>
  <c r="R922" i="23"/>
  <c r="O923" i="23"/>
  <c r="R923" i="23"/>
  <c r="O924" i="23"/>
  <c r="R924" i="23"/>
  <c r="O925" i="23"/>
  <c r="R925" i="23"/>
  <c r="O926" i="23"/>
  <c r="R926" i="23"/>
  <c r="O927" i="23"/>
  <c r="R927" i="23"/>
  <c r="O928" i="23"/>
  <c r="R928" i="23"/>
  <c r="O929" i="23"/>
  <c r="R929" i="23"/>
  <c r="O930" i="23"/>
  <c r="R930" i="23"/>
  <c r="O931" i="23"/>
  <c r="R931" i="23"/>
  <c r="O932" i="23"/>
  <c r="R932" i="23"/>
  <c r="O933" i="23"/>
  <c r="R933" i="23"/>
  <c r="O934" i="23"/>
  <c r="R934" i="23"/>
  <c r="O935" i="23"/>
  <c r="R935" i="23"/>
  <c r="O936" i="23"/>
  <c r="R936" i="23"/>
  <c r="O937" i="23"/>
  <c r="R937" i="23"/>
  <c r="O938" i="23"/>
  <c r="R938" i="23"/>
  <c r="O939" i="23"/>
  <c r="R939" i="23"/>
  <c r="O940" i="23"/>
  <c r="R940" i="23"/>
  <c r="O941" i="23"/>
  <c r="R941" i="23"/>
  <c r="O942" i="23"/>
  <c r="R942" i="23"/>
  <c r="O943" i="23"/>
  <c r="R943" i="23"/>
  <c r="O944" i="23"/>
  <c r="R944" i="23"/>
  <c r="O945" i="23"/>
  <c r="R945" i="23"/>
  <c r="O946" i="23"/>
  <c r="R946" i="23"/>
  <c r="O947" i="23"/>
  <c r="R947" i="23"/>
  <c r="O948" i="23"/>
  <c r="R948" i="23"/>
  <c r="O949" i="23"/>
  <c r="R949" i="23"/>
  <c r="O950" i="23"/>
  <c r="R950" i="23"/>
  <c r="O951" i="23"/>
  <c r="R951" i="23"/>
  <c r="O952" i="23"/>
  <c r="R952" i="23"/>
  <c r="O953" i="23"/>
  <c r="R953" i="23"/>
  <c r="O954" i="23"/>
  <c r="R954" i="23"/>
  <c r="O955" i="23"/>
  <c r="R955" i="23"/>
  <c r="O956" i="23"/>
  <c r="R956" i="23"/>
  <c r="O957" i="23"/>
  <c r="R957" i="23"/>
  <c r="O958" i="23"/>
  <c r="R958" i="23"/>
  <c r="O959" i="23"/>
  <c r="R959" i="23"/>
  <c r="O960" i="23"/>
  <c r="R960" i="23"/>
  <c r="O961" i="23"/>
  <c r="R961" i="23"/>
  <c r="O962" i="23"/>
  <c r="R962" i="23"/>
  <c r="O963" i="23"/>
  <c r="R963" i="23"/>
  <c r="O964" i="23"/>
  <c r="R964" i="23"/>
  <c r="O965" i="23"/>
  <c r="R965" i="23"/>
  <c r="O966" i="23"/>
  <c r="R966" i="23"/>
  <c r="O967" i="23"/>
  <c r="R967" i="23"/>
  <c r="O968" i="23"/>
  <c r="R968" i="23"/>
  <c r="O969" i="23"/>
  <c r="R969" i="23"/>
  <c r="O970" i="23"/>
  <c r="R970" i="23"/>
  <c r="O971" i="23"/>
  <c r="R971" i="23"/>
  <c r="O972" i="23"/>
  <c r="R972" i="23"/>
  <c r="O973" i="23"/>
  <c r="R973" i="23"/>
  <c r="O974" i="23"/>
  <c r="R974" i="23"/>
  <c r="O975" i="23"/>
  <c r="R975" i="23"/>
  <c r="O976" i="23"/>
  <c r="R976" i="23"/>
  <c r="O977" i="23"/>
  <c r="R977" i="23"/>
  <c r="O978" i="23"/>
  <c r="R978" i="23"/>
  <c r="O979" i="23"/>
  <c r="R979" i="23"/>
  <c r="O980" i="23"/>
  <c r="R980" i="23"/>
  <c r="O981" i="23"/>
  <c r="R981" i="23"/>
  <c r="O982" i="23"/>
  <c r="R982" i="23"/>
  <c r="O983" i="23"/>
  <c r="R983" i="23"/>
  <c r="O984" i="23"/>
  <c r="R984" i="23"/>
  <c r="O985" i="23"/>
  <c r="R985" i="23"/>
  <c r="O986" i="23"/>
  <c r="R986" i="23"/>
  <c r="O987" i="23"/>
  <c r="R987" i="23"/>
  <c r="O988" i="23"/>
  <c r="R988" i="23"/>
  <c r="O989" i="23"/>
  <c r="R989" i="23"/>
  <c r="O990" i="23"/>
  <c r="R990" i="23"/>
  <c r="O991" i="23"/>
  <c r="R991" i="23"/>
  <c r="O992" i="23"/>
  <c r="R992" i="23"/>
  <c r="O993" i="23"/>
  <c r="R993" i="23"/>
  <c r="O994" i="23"/>
  <c r="R994" i="23"/>
  <c r="O995" i="23"/>
  <c r="R995" i="23"/>
  <c r="O996" i="23"/>
  <c r="R996" i="23"/>
  <c r="O997" i="23"/>
  <c r="R997" i="23"/>
  <c r="O998" i="23"/>
  <c r="R998" i="23"/>
  <c r="O999" i="23"/>
  <c r="R999" i="23"/>
  <c r="O1000" i="23"/>
  <c r="R1000" i="23"/>
  <c r="O1001" i="23"/>
  <c r="R1001" i="23"/>
  <c r="O1002" i="23"/>
  <c r="R1002" i="23"/>
  <c r="O1003" i="23"/>
  <c r="R1003" i="23"/>
  <c r="O1004" i="23"/>
  <c r="R1004" i="23"/>
  <c r="O1005" i="23"/>
  <c r="R1005" i="23"/>
  <c r="O1006" i="23"/>
  <c r="R1006" i="23"/>
  <c r="O1007" i="23"/>
  <c r="R1007" i="23"/>
  <c r="O1008" i="23"/>
  <c r="R1008" i="23"/>
  <c r="O1009" i="23"/>
  <c r="R1009" i="23"/>
  <c r="O1010" i="23"/>
  <c r="R1010" i="23"/>
  <c r="O1011" i="23"/>
  <c r="R1011" i="23"/>
  <c r="O1012" i="23"/>
  <c r="R1012" i="23"/>
  <c r="O1013" i="23"/>
  <c r="R1013" i="23"/>
  <c r="O1014" i="23"/>
  <c r="R1014" i="23"/>
  <c r="O1015" i="23"/>
  <c r="R1015" i="23"/>
  <c r="O1016" i="23"/>
  <c r="R1016" i="23"/>
  <c r="O1017" i="23"/>
  <c r="R1017" i="23"/>
  <c r="O1018" i="23"/>
  <c r="R1018" i="23"/>
  <c r="O1019" i="23"/>
  <c r="R1019" i="23"/>
  <c r="O1020" i="23"/>
  <c r="R1020" i="23"/>
  <c r="O1021" i="23"/>
  <c r="R1021" i="23"/>
  <c r="O1022" i="23"/>
  <c r="R1022" i="23"/>
  <c r="O1023" i="23"/>
  <c r="R1023" i="23"/>
  <c r="O1024" i="23"/>
  <c r="R1024" i="23"/>
  <c r="O1025" i="23"/>
  <c r="R1025" i="23"/>
  <c r="O1026" i="23"/>
  <c r="R1026" i="23"/>
  <c r="O1027" i="23"/>
  <c r="R1027" i="23"/>
  <c r="O1028" i="23"/>
  <c r="R1028" i="23"/>
  <c r="O1029" i="23"/>
  <c r="R1029" i="23"/>
  <c r="O1030" i="23"/>
  <c r="R1030" i="23"/>
  <c r="O1031" i="23"/>
  <c r="R1031" i="23"/>
  <c r="O1032" i="23"/>
  <c r="R1032" i="23"/>
  <c r="O1033" i="23"/>
  <c r="R1033" i="23"/>
  <c r="O1034" i="23"/>
  <c r="R1034" i="23"/>
  <c r="O1035" i="23"/>
  <c r="R1035" i="23"/>
  <c r="O1036" i="23"/>
  <c r="R1036" i="23"/>
  <c r="O1037" i="23"/>
  <c r="R1037" i="23"/>
  <c r="O1038" i="23"/>
  <c r="R1038" i="23"/>
  <c r="O1039" i="23"/>
  <c r="R1039" i="23"/>
  <c r="O1040" i="23"/>
  <c r="R1040" i="23"/>
  <c r="O1041" i="23"/>
  <c r="R1041" i="23"/>
  <c r="O1042" i="23"/>
  <c r="R1042" i="23"/>
  <c r="O1043" i="23"/>
  <c r="R1043" i="23"/>
  <c r="O1044" i="23"/>
  <c r="R1044" i="23"/>
  <c r="O1045" i="23"/>
  <c r="R1045" i="23"/>
  <c r="O1046" i="23"/>
  <c r="R1046" i="23"/>
  <c r="O1047" i="23"/>
  <c r="R1047" i="23"/>
  <c r="O1048" i="23"/>
  <c r="R1048" i="23"/>
  <c r="O1049" i="23"/>
  <c r="R1049" i="23"/>
  <c r="O1050" i="23"/>
  <c r="R1050" i="23"/>
  <c r="O1051" i="23"/>
  <c r="R1051" i="23"/>
  <c r="O1052" i="23"/>
  <c r="R1052" i="23"/>
  <c r="O1053" i="23"/>
  <c r="R1053" i="23"/>
  <c r="O1054" i="23"/>
  <c r="R1054" i="23"/>
  <c r="O1055" i="23"/>
  <c r="R1055" i="23"/>
  <c r="O1056" i="23"/>
  <c r="R1056" i="23"/>
  <c r="O1057" i="23"/>
  <c r="R1057" i="23"/>
  <c r="O1058" i="23"/>
  <c r="R1058" i="23"/>
  <c r="O1059" i="23"/>
  <c r="R1059" i="23"/>
  <c r="O1060" i="23"/>
  <c r="R1060" i="23"/>
  <c r="O1061" i="23"/>
  <c r="R1061" i="23"/>
  <c r="O1062" i="23"/>
  <c r="R1062" i="23"/>
  <c r="O1063" i="23"/>
  <c r="R1063" i="23"/>
  <c r="O1064" i="23"/>
  <c r="R1064" i="23"/>
  <c r="O1065" i="23"/>
  <c r="R1065" i="23"/>
  <c r="O1066" i="23"/>
  <c r="R1066" i="23"/>
  <c r="O1067" i="23"/>
  <c r="R1067" i="23"/>
  <c r="O1068" i="23"/>
  <c r="R1068" i="23"/>
  <c r="O1069" i="23"/>
  <c r="R1069" i="23"/>
  <c r="O1070" i="23"/>
  <c r="R1070" i="23"/>
  <c r="O1071" i="23"/>
  <c r="R1071" i="23"/>
  <c r="O1072" i="23"/>
  <c r="R1072" i="23"/>
  <c r="O1073" i="23"/>
  <c r="R1073" i="23"/>
  <c r="O1074" i="23"/>
  <c r="R1074" i="23"/>
  <c r="O1075" i="23"/>
  <c r="R1075" i="23"/>
  <c r="O1076" i="23"/>
  <c r="R1076" i="23"/>
  <c r="O1077" i="23"/>
  <c r="R1077" i="23"/>
  <c r="O1078" i="23"/>
  <c r="R1078" i="23"/>
  <c r="O1079" i="23"/>
  <c r="R1079" i="23"/>
  <c r="O1080" i="23"/>
  <c r="R1080" i="23"/>
  <c r="O1081" i="23"/>
  <c r="R1081" i="23"/>
  <c r="O1082" i="23"/>
  <c r="R1082" i="23"/>
  <c r="O1083" i="23"/>
  <c r="R1083" i="23"/>
  <c r="O1084" i="23"/>
  <c r="R1084" i="23"/>
  <c r="O1085" i="23"/>
  <c r="R1085" i="23"/>
  <c r="O1086" i="23"/>
  <c r="R1086" i="23"/>
  <c r="O1087" i="23"/>
  <c r="R1087" i="23"/>
  <c r="O1088" i="23"/>
  <c r="R1088" i="23"/>
  <c r="O1089" i="23"/>
  <c r="R1089" i="23"/>
  <c r="O1090" i="23"/>
  <c r="R1090" i="23"/>
  <c r="O1091" i="23"/>
  <c r="R1091" i="23"/>
  <c r="O1092" i="23"/>
  <c r="R1092" i="23"/>
  <c r="O1093" i="23"/>
  <c r="R1093" i="23"/>
  <c r="O1094" i="23"/>
  <c r="R1094" i="23"/>
  <c r="O1095" i="23"/>
  <c r="R1095" i="23"/>
  <c r="O1096" i="23"/>
  <c r="R1096" i="23"/>
  <c r="O1097" i="23"/>
  <c r="R1097" i="23"/>
  <c r="O1098" i="23"/>
  <c r="R1098" i="23"/>
  <c r="O1099" i="23"/>
  <c r="R1099" i="23"/>
  <c r="O1100" i="23"/>
  <c r="R1100" i="23"/>
  <c r="O1101" i="23"/>
  <c r="R1101" i="23"/>
  <c r="O1102" i="23"/>
  <c r="R1102" i="23"/>
  <c r="O1103" i="23"/>
  <c r="R1103" i="23"/>
  <c r="O1104" i="23"/>
  <c r="R1104" i="23"/>
  <c r="O1105" i="23"/>
  <c r="R1105" i="23"/>
  <c r="O1106" i="23"/>
  <c r="R1106" i="23"/>
  <c r="O1107" i="23"/>
  <c r="R1107" i="23"/>
  <c r="O1108" i="23"/>
  <c r="R1108" i="23"/>
  <c r="O1109" i="23"/>
  <c r="R1109" i="23"/>
  <c r="O1110" i="23"/>
  <c r="R1110" i="23"/>
  <c r="O1111" i="23"/>
  <c r="R1111" i="23"/>
  <c r="O1112" i="23"/>
  <c r="R1112" i="23"/>
  <c r="O1113" i="23"/>
  <c r="R1113" i="23"/>
  <c r="O1114" i="23"/>
  <c r="R1114" i="23"/>
  <c r="O1115" i="23"/>
  <c r="R1115" i="23"/>
  <c r="O1116" i="23"/>
  <c r="R1116" i="23"/>
  <c r="O1117" i="23"/>
  <c r="R1117" i="23"/>
  <c r="O1118" i="23"/>
  <c r="R1118" i="23"/>
  <c r="O1119" i="23"/>
  <c r="R1119" i="23"/>
  <c r="O1120" i="23"/>
  <c r="R1120" i="23"/>
  <c r="O1121" i="23"/>
  <c r="R1121" i="23"/>
  <c r="O1122" i="23"/>
  <c r="R1122" i="23"/>
  <c r="O1123" i="23"/>
  <c r="R1123" i="23"/>
  <c r="O1124" i="23"/>
  <c r="R1124" i="23"/>
  <c r="O1125" i="23"/>
  <c r="R1125" i="23"/>
  <c r="O1126" i="23"/>
  <c r="R1126" i="23"/>
  <c r="O1127" i="23"/>
  <c r="R1127" i="23"/>
  <c r="O1128" i="23"/>
  <c r="R1128" i="23"/>
  <c r="O1129" i="23"/>
  <c r="R1129" i="23"/>
  <c r="O1130" i="23"/>
  <c r="R1130" i="23"/>
  <c r="O1131" i="23"/>
  <c r="R1131" i="23"/>
  <c r="O1132" i="23"/>
  <c r="R1132" i="23"/>
  <c r="O1133" i="23"/>
  <c r="R1133" i="23"/>
  <c r="O1134" i="23"/>
  <c r="R1134" i="23"/>
  <c r="O1135" i="23"/>
  <c r="R1135" i="23"/>
  <c r="O1136" i="23"/>
  <c r="R1136" i="23"/>
  <c r="O1137" i="23"/>
  <c r="R1137" i="23"/>
  <c r="O1138" i="23"/>
  <c r="R1138" i="23"/>
  <c r="O1139" i="23"/>
  <c r="R1139" i="23"/>
  <c r="O1140" i="23"/>
  <c r="R1140" i="23"/>
  <c r="O1141" i="23"/>
  <c r="R1141" i="23"/>
  <c r="O1142" i="23"/>
  <c r="R1142" i="23"/>
  <c r="O1143" i="23"/>
  <c r="R1143" i="23"/>
  <c r="O1144" i="23"/>
  <c r="R1144" i="23"/>
  <c r="O1145" i="23"/>
  <c r="R1145" i="23"/>
  <c r="O1146" i="23"/>
  <c r="R1146" i="23"/>
  <c r="O1147" i="23"/>
  <c r="R1147" i="23"/>
  <c r="O1148" i="23"/>
  <c r="R1148" i="23"/>
  <c r="O1149" i="23"/>
  <c r="R1149" i="23"/>
  <c r="O1150" i="23"/>
  <c r="R1150" i="23"/>
  <c r="O1151" i="23"/>
  <c r="R1151" i="23"/>
  <c r="O1152" i="23"/>
  <c r="R1152" i="23"/>
  <c r="O1153" i="23"/>
  <c r="R1153" i="23"/>
  <c r="O1154" i="23"/>
  <c r="R1154" i="23"/>
  <c r="O1155" i="23"/>
  <c r="R1155" i="23"/>
  <c r="O1156" i="23"/>
  <c r="R1156" i="23"/>
  <c r="O1157" i="23"/>
  <c r="R1157" i="23"/>
  <c r="O1158" i="23"/>
  <c r="R1158" i="23"/>
  <c r="O1159" i="23"/>
  <c r="R1159" i="23"/>
  <c r="O1160" i="23"/>
  <c r="R1160" i="23"/>
  <c r="O1161" i="23"/>
  <c r="R1161" i="23"/>
  <c r="O1162" i="23"/>
  <c r="R1162" i="23"/>
  <c r="O1163" i="23"/>
  <c r="R1163" i="23"/>
  <c r="O1164" i="23"/>
  <c r="R1164" i="23"/>
  <c r="O1165" i="23"/>
  <c r="R1165" i="23"/>
  <c r="O1166" i="23"/>
  <c r="R1166" i="23"/>
  <c r="O1167" i="23"/>
  <c r="R1167" i="23"/>
  <c r="O1168" i="23"/>
  <c r="R1168" i="23"/>
  <c r="O1169" i="23"/>
  <c r="R1169" i="23"/>
  <c r="O1170" i="23"/>
  <c r="R1170" i="23"/>
  <c r="O1171" i="23"/>
  <c r="R1171" i="23"/>
  <c r="O1172" i="23"/>
  <c r="R1172" i="23"/>
  <c r="O1173" i="23"/>
  <c r="R1173" i="23"/>
  <c r="O1174" i="23"/>
  <c r="R1174" i="23"/>
  <c r="O1175" i="23"/>
  <c r="R1175" i="23"/>
  <c r="O1176" i="23"/>
  <c r="R1176" i="23"/>
  <c r="O1177" i="23"/>
  <c r="R1177" i="23"/>
  <c r="O1178" i="23"/>
  <c r="R1178" i="23"/>
  <c r="O1179" i="23"/>
  <c r="R1179" i="23"/>
  <c r="O1180" i="23"/>
  <c r="R1180" i="23"/>
  <c r="O1181" i="23"/>
  <c r="R1181" i="23"/>
  <c r="O1182" i="23"/>
  <c r="R1182" i="23"/>
  <c r="O1183" i="23"/>
  <c r="R1183" i="23"/>
  <c r="O1184" i="23"/>
  <c r="R1184" i="23"/>
  <c r="O1185" i="23"/>
  <c r="R1185" i="23"/>
  <c r="O1186" i="23"/>
  <c r="R1186" i="23"/>
  <c r="O1187" i="23"/>
  <c r="R1187" i="23"/>
  <c r="O1188" i="23"/>
  <c r="R1188" i="23"/>
  <c r="O1189" i="23"/>
  <c r="R1189" i="23"/>
  <c r="O1190" i="23"/>
  <c r="R1190" i="23"/>
  <c r="O1191" i="23"/>
  <c r="R1191" i="23"/>
  <c r="O1192" i="23"/>
  <c r="R1192" i="23"/>
  <c r="O1193" i="23"/>
  <c r="R1193" i="23"/>
  <c r="O1194" i="23"/>
  <c r="R1194" i="23"/>
  <c r="O1195" i="23"/>
  <c r="R1195" i="23"/>
  <c r="O1196" i="23"/>
  <c r="R1196" i="23"/>
  <c r="O1197" i="23"/>
  <c r="R1197" i="23"/>
  <c r="O1198" i="23"/>
  <c r="R1198" i="23"/>
  <c r="O1199" i="23"/>
  <c r="R1199" i="23"/>
  <c r="O1200" i="23"/>
  <c r="R1200" i="23"/>
  <c r="O1201" i="23"/>
  <c r="R1201" i="23"/>
  <c r="O1202" i="23"/>
  <c r="R1202" i="23"/>
  <c r="O1203" i="23"/>
  <c r="R1203" i="23"/>
  <c r="O1204" i="23"/>
  <c r="R1204" i="23"/>
  <c r="O1205" i="23"/>
  <c r="R1205" i="23"/>
  <c r="K9" i="23" l="1"/>
  <c r="T8" i="23" a="1"/>
  <c r="M10" i="23"/>
  <c r="T9" i="23" l="1" a="1"/>
  <c r="K10" i="23"/>
  <c r="M11" i="23"/>
  <c r="T10" i="23" l="1" a="1"/>
  <c r="K11" i="23"/>
  <c r="M12" i="23"/>
  <c r="T11" i="23" l="1" a="1"/>
  <c r="K12" i="23"/>
  <c r="M13" i="23"/>
  <c r="T12" i="23" l="1" a="1"/>
  <c r="K13" i="23"/>
  <c r="M14" i="23"/>
  <c r="T13" i="23" l="1" a="1"/>
  <c r="K14" i="23"/>
  <c r="M15" i="23"/>
  <c r="T14" i="23" l="1" a="1"/>
  <c r="K15" i="23"/>
  <c r="M16" i="23"/>
  <c r="T15" i="23" l="1" a="1"/>
  <c r="K16" i="23"/>
  <c r="M17" i="23"/>
  <c r="T16" i="23" l="1" a="1"/>
  <c r="K17" i="23"/>
  <c r="M18" i="23"/>
  <c r="T17" i="23" l="1" a="1"/>
  <c r="K18" i="23"/>
  <c r="M19" i="23"/>
  <c r="T18" i="23" l="1" a="1"/>
  <c r="K19" i="23"/>
  <c r="M20" i="23"/>
  <c r="T19" i="23" l="1" a="1"/>
  <c r="K20" i="23"/>
  <c r="M21" i="23"/>
  <c r="T20" i="23" l="1" a="1"/>
  <c r="K21" i="23"/>
  <c r="M22" i="23"/>
  <c r="T21" i="23" l="1" a="1"/>
  <c r="K22" i="23"/>
  <c r="M23" i="23"/>
  <c r="T22" i="23" l="1" a="1"/>
  <c r="K23" i="23"/>
  <c r="M24" i="23"/>
  <c r="T23" i="23" l="1" a="1"/>
  <c r="K24" i="23"/>
  <c r="M25" i="23"/>
  <c r="T24" i="23" l="1" a="1"/>
  <c r="K25" i="23"/>
  <c r="M26" i="23"/>
  <c r="T25" i="23" l="1" a="1"/>
  <c r="K26" i="23"/>
  <c r="M27" i="23"/>
  <c r="T26" i="23" l="1" a="1"/>
  <c r="K27" i="23"/>
  <c r="M28" i="23"/>
  <c r="T27" i="23" l="1" a="1"/>
  <c r="K28" i="23"/>
  <c r="M29" i="23"/>
  <c r="T28" i="23" l="1" a="1"/>
  <c r="K29" i="23"/>
  <c r="M30" i="23"/>
  <c r="T29" i="23" l="1" a="1"/>
  <c r="K30" i="23"/>
  <c r="M31" i="23"/>
  <c r="T30" i="23" l="1" a="1"/>
  <c r="K31" i="23"/>
  <c r="M32" i="23"/>
  <c r="T31" i="23" l="1" a="1"/>
  <c r="K32" i="23"/>
  <c r="M33" i="23"/>
  <c r="T32" i="23" l="1" a="1"/>
  <c r="K33" i="23"/>
  <c r="M34" i="23"/>
  <c r="T33" i="23" l="1" a="1"/>
  <c r="K34" i="23"/>
  <c r="M35" i="23"/>
  <c r="T34" i="23" l="1" a="1"/>
  <c r="K35" i="23"/>
  <c r="M36" i="23"/>
  <c r="T35" i="23" l="1" a="1"/>
  <c r="K36" i="23"/>
  <c r="M37" i="23"/>
  <c r="T36" i="23" l="1" a="1"/>
  <c r="K37" i="23"/>
  <c r="M38" i="23"/>
  <c r="T37" i="23" l="1" a="1"/>
  <c r="K38" i="23"/>
  <c r="M39" i="23"/>
  <c r="T38" i="23" l="1" a="1"/>
  <c r="K39" i="23"/>
  <c r="M40" i="23"/>
  <c r="T39" i="23" l="1" a="1"/>
  <c r="K40" i="23"/>
  <c r="M41" i="23"/>
  <c r="T40" i="23" l="1" a="1"/>
  <c r="K41" i="23"/>
  <c r="M42" i="23"/>
  <c r="T41" i="23" l="1" a="1"/>
  <c r="K42" i="23"/>
  <c r="M43" i="23"/>
  <c r="T42" i="23" l="1" a="1"/>
  <c r="K43" i="23"/>
  <c r="M44" i="23"/>
  <c r="T43" i="23" l="1" a="1"/>
  <c r="K44" i="23"/>
  <c r="M45" i="23"/>
  <c r="T44" i="23" l="1" a="1"/>
  <c r="K45" i="23"/>
  <c r="M46" i="23"/>
  <c r="T45" i="23" l="1" a="1"/>
  <c r="K46" i="23"/>
  <c r="M47" i="23"/>
  <c r="T46" i="23" l="1" a="1"/>
  <c r="K47" i="23"/>
  <c r="M48" i="23"/>
  <c r="T47" i="23" l="1" a="1"/>
  <c r="K48" i="23"/>
  <c r="M49" i="23"/>
  <c r="T48" i="23" l="1" a="1"/>
  <c r="K49" i="23"/>
  <c r="M50" i="23"/>
  <c r="T49" i="23" l="1" a="1"/>
  <c r="K50" i="23"/>
  <c r="M51" i="23"/>
  <c r="T50" i="23" l="1" a="1"/>
  <c r="K51" i="23"/>
  <c r="M52" i="23"/>
  <c r="T51" i="23" l="1" a="1"/>
  <c r="K52" i="23"/>
  <c r="M53" i="23"/>
  <c r="T52" i="23" l="1" a="1"/>
  <c r="K53" i="23"/>
  <c r="M54" i="23"/>
  <c r="T53" i="23" l="1" a="1"/>
  <c r="K54" i="23"/>
  <c r="M55" i="23"/>
  <c r="T54" i="23" l="1" a="1"/>
  <c r="K55" i="23"/>
  <c r="M56" i="23"/>
  <c r="T55" i="23" l="1" a="1"/>
  <c r="K56" i="23"/>
  <c r="M57" i="23"/>
  <c r="T56" i="23" l="1" a="1"/>
  <c r="K57" i="23"/>
  <c r="M58" i="23"/>
  <c r="T57" i="23" l="1" a="1"/>
  <c r="K58" i="23"/>
  <c r="M59" i="23"/>
  <c r="T58" i="23" l="1" a="1"/>
  <c r="K59" i="23"/>
  <c r="M60" i="23"/>
  <c r="T59" i="23" l="1" a="1"/>
  <c r="K60" i="23"/>
  <c r="M61" i="23"/>
  <c r="T60" i="23" l="1" a="1"/>
  <c r="K61" i="23"/>
  <c r="M62" i="23"/>
  <c r="T61" i="23" l="1" a="1"/>
  <c r="K62" i="23"/>
  <c r="M63" i="23"/>
  <c r="T62" i="23" l="1" a="1"/>
  <c r="K63" i="23"/>
  <c r="M64" i="23"/>
  <c r="T63" i="23" l="1" a="1"/>
  <c r="K64" i="23"/>
  <c r="M65" i="23"/>
  <c r="T64" i="23" l="1" a="1"/>
  <c r="K65" i="23"/>
  <c r="M66" i="23"/>
  <c r="T65" i="23" l="1" a="1"/>
  <c r="K66" i="23"/>
  <c r="M67" i="23"/>
  <c r="T66" i="23" l="1" a="1"/>
  <c r="K67" i="23"/>
  <c r="M68" i="23"/>
  <c r="T67" i="23" l="1" a="1"/>
  <c r="K68" i="23"/>
  <c r="M69" i="23"/>
  <c r="T68" i="23" l="1" a="1"/>
  <c r="K69" i="23"/>
  <c r="M70" i="23"/>
  <c r="T69" i="23" l="1" a="1"/>
  <c r="K70" i="23"/>
  <c r="M71" i="23"/>
  <c r="T70" i="23" l="1" a="1"/>
  <c r="K71" i="23"/>
  <c r="M72" i="23"/>
  <c r="T71" i="23" l="1" a="1"/>
  <c r="K72" i="23"/>
  <c r="M73" i="23"/>
  <c r="T72" i="23" l="1" a="1"/>
  <c r="K73" i="23"/>
  <c r="M74" i="23"/>
  <c r="T73" i="23" l="1" a="1"/>
  <c r="K74" i="23"/>
  <c r="M75" i="23"/>
  <c r="T74" i="23" l="1" a="1"/>
  <c r="K75" i="23"/>
  <c r="M76" i="23"/>
  <c r="T75" i="23" l="1" a="1"/>
  <c r="K76" i="23"/>
  <c r="M77" i="23"/>
  <c r="T76" i="23" l="1" a="1"/>
  <c r="K77" i="23"/>
  <c r="M78" i="23"/>
  <c r="T77" i="23" l="1" a="1"/>
  <c r="K78" i="23"/>
  <c r="M79" i="23"/>
  <c r="T78" i="23" l="1" a="1"/>
  <c r="K79" i="23"/>
  <c r="M80" i="23"/>
  <c r="T79" i="23" l="1" a="1"/>
  <c r="K80" i="23"/>
  <c r="M81" i="23"/>
  <c r="T80" i="23" l="1" a="1"/>
  <c r="K81" i="23"/>
  <c r="M82" i="23"/>
  <c r="T81" i="23" l="1" a="1"/>
  <c r="K82" i="23"/>
  <c r="M83" i="23"/>
  <c r="T82" i="23" l="1" a="1"/>
  <c r="K83" i="23"/>
  <c r="M84" i="23"/>
  <c r="T83" i="23" l="1" a="1"/>
  <c r="K84" i="23"/>
  <c r="M85" i="23"/>
  <c r="T84" i="23" l="1" a="1"/>
  <c r="K85" i="23"/>
  <c r="M86" i="23"/>
  <c r="T85" i="23" l="1" a="1"/>
  <c r="K86" i="23"/>
  <c r="M87" i="23"/>
  <c r="T86" i="23" l="1" a="1"/>
  <c r="K87" i="23"/>
  <c r="M88" i="23"/>
  <c r="T87" i="23" l="1" a="1"/>
  <c r="K88" i="23"/>
  <c r="M89" i="23"/>
  <c r="T88" i="23" l="1" a="1"/>
  <c r="K89" i="23"/>
  <c r="M90" i="23"/>
  <c r="T89" i="23" l="1" a="1"/>
  <c r="K90" i="23"/>
  <c r="M91" i="23"/>
  <c r="T90" i="23" l="1" a="1"/>
  <c r="K91" i="23"/>
  <c r="M92" i="23"/>
  <c r="T91" i="23" l="1" a="1"/>
  <c r="K92" i="23"/>
  <c r="M93" i="23"/>
  <c r="T92" i="23" l="1" a="1"/>
  <c r="K93" i="23"/>
  <c r="M94" i="23"/>
  <c r="T93" i="23" l="1" a="1"/>
  <c r="K94" i="23"/>
  <c r="M95" i="23"/>
  <c r="T94" i="23" l="1" a="1"/>
  <c r="K95" i="23"/>
  <c r="M96" i="23"/>
  <c r="T95" i="23" l="1" a="1"/>
  <c r="K96" i="23"/>
  <c r="M97" i="23"/>
  <c r="T96" i="23" l="1" a="1"/>
  <c r="K97" i="23"/>
  <c r="M98" i="23"/>
  <c r="T97" i="23" l="1" a="1"/>
  <c r="K98" i="23"/>
  <c r="M99" i="23"/>
  <c r="T98" i="23" l="1" a="1"/>
  <c r="K99" i="23"/>
  <c r="M100" i="23"/>
  <c r="T99" i="23" l="1" a="1"/>
  <c r="K100" i="23"/>
  <c r="M101" i="23"/>
  <c r="T100" i="23" l="1" a="1"/>
  <c r="K101" i="23"/>
  <c r="M102" i="23"/>
  <c r="T101" i="23" l="1" a="1"/>
  <c r="K102" i="23"/>
  <c r="M103" i="23"/>
  <c r="T102" i="23" l="1" a="1"/>
  <c r="K103" i="23"/>
  <c r="M104" i="23"/>
  <c r="T103" i="23" l="1" a="1"/>
  <c r="K104" i="23"/>
  <c r="M105" i="23"/>
  <c r="T104" i="23" l="1" a="1"/>
  <c r="K105" i="23"/>
  <c r="M106" i="23"/>
  <c r="T105" i="23" l="1" a="1"/>
  <c r="K106" i="23"/>
  <c r="M107" i="23"/>
  <c r="T106" i="23" l="1" a="1"/>
  <c r="K107" i="23"/>
  <c r="M108" i="23"/>
  <c r="T107" i="23" l="1" a="1"/>
  <c r="K108" i="23"/>
  <c r="M109" i="23"/>
  <c r="T108" i="23" l="1" a="1"/>
  <c r="K109" i="23"/>
  <c r="M110" i="23"/>
  <c r="T109" i="23" l="1" a="1"/>
  <c r="K110" i="23"/>
  <c r="M111" i="23"/>
  <c r="T110" i="23" l="1" a="1"/>
  <c r="K111" i="23"/>
  <c r="M112" i="23"/>
  <c r="T111" i="23" l="1" a="1"/>
  <c r="K112" i="23"/>
  <c r="M113" i="23"/>
  <c r="T112" i="23" l="1" a="1"/>
  <c r="K113" i="23"/>
  <c r="M114" i="23"/>
  <c r="T113" i="23" l="1" a="1"/>
  <c r="K114" i="23"/>
  <c r="M115" i="23"/>
  <c r="T114" i="23" l="1" a="1"/>
  <c r="K115" i="23"/>
  <c r="M116" i="23"/>
  <c r="T115" i="23" l="1" a="1"/>
  <c r="K116" i="23"/>
  <c r="M117" i="23"/>
  <c r="T116" i="23" l="1" a="1"/>
  <c r="K117" i="23"/>
  <c r="M118" i="23"/>
  <c r="T117" i="23" l="1" a="1"/>
  <c r="K118" i="23"/>
  <c r="M119" i="23"/>
  <c r="T118" i="23" l="1" a="1"/>
  <c r="K119" i="23"/>
  <c r="M120" i="23"/>
  <c r="T119" i="23" l="1" a="1"/>
  <c r="K120" i="23"/>
  <c r="M121" i="23"/>
  <c r="T120" i="23" l="1" a="1"/>
  <c r="K121" i="23"/>
  <c r="M122" i="23"/>
  <c r="T121" i="23" l="1" a="1"/>
  <c r="K122" i="23"/>
  <c r="M123" i="23"/>
  <c r="T122" i="23" l="1" a="1"/>
  <c r="K123" i="23"/>
  <c r="M124" i="23"/>
  <c r="T123" i="23" l="1" a="1"/>
  <c r="K124" i="23"/>
  <c r="M125" i="23"/>
  <c r="T124" i="23" l="1" a="1"/>
  <c r="K125" i="23"/>
  <c r="M126" i="23"/>
  <c r="T125" i="23" l="1" a="1"/>
  <c r="K126" i="23"/>
  <c r="K127" i="23" s="1"/>
  <c r="K128" i="23" s="1"/>
  <c r="K129" i="23" s="1"/>
  <c r="M127" i="23"/>
  <c r="M128" i="23" l="1"/>
  <c r="K130" i="23"/>
  <c r="M129" i="23" l="1"/>
  <c r="K131" i="23"/>
  <c r="M130" i="23" l="1"/>
  <c r="K132" i="23"/>
  <c r="M131" i="23" l="1"/>
  <c r="K133" i="23"/>
  <c r="M132" i="23" l="1"/>
  <c r="K134" i="23"/>
  <c r="M133" i="23" l="1"/>
  <c r="K135" i="23"/>
  <c r="M134" i="23" l="1"/>
  <c r="K136" i="23"/>
  <c r="M135" i="23" l="1"/>
  <c r="K137" i="23"/>
  <c r="M136" i="23" l="1"/>
  <c r="K138" i="23"/>
  <c r="M137" i="23" l="1"/>
  <c r="K139" i="23"/>
  <c r="M138" i="23" l="1"/>
  <c r="K140" i="23"/>
  <c r="M139" i="23" l="1"/>
  <c r="K141" i="23"/>
  <c r="M140" i="23" l="1"/>
  <c r="K142" i="23"/>
  <c r="M141" i="23" l="1"/>
  <c r="K143" i="23"/>
  <c r="M142" i="23" l="1"/>
  <c r="K144" i="23"/>
  <c r="M143" i="23" l="1"/>
  <c r="K145" i="23"/>
  <c r="M144" i="23" l="1"/>
  <c r="K146" i="23"/>
  <c r="M145" i="23" l="1"/>
  <c r="K147" i="23"/>
  <c r="M146" i="23" l="1"/>
  <c r="K148" i="23"/>
  <c r="M147" i="23" l="1"/>
  <c r="K149" i="23"/>
  <c r="M148" i="23" l="1"/>
  <c r="K150" i="23"/>
  <c r="M149" i="23" l="1"/>
  <c r="K151" i="23"/>
  <c r="M150" i="23" l="1"/>
  <c r="K152" i="23"/>
  <c r="M151" i="23" l="1"/>
  <c r="K153" i="23"/>
  <c r="M152" i="23" l="1"/>
  <c r="K154" i="23"/>
  <c r="M153" i="23" l="1"/>
  <c r="K155" i="23"/>
  <c r="M154" i="23" l="1"/>
  <c r="K156" i="23"/>
  <c r="M155" i="23" l="1"/>
  <c r="K157" i="23"/>
  <c r="M156" i="23" l="1"/>
  <c r="K158" i="23"/>
  <c r="M157" i="23" l="1"/>
  <c r="K159" i="23"/>
  <c r="M158" i="23" l="1"/>
  <c r="K160" i="23"/>
  <c r="M159" i="23" l="1"/>
  <c r="K161" i="23"/>
  <c r="M160" i="23" l="1"/>
  <c r="K162" i="23"/>
  <c r="M161" i="23" l="1"/>
  <c r="K163" i="23"/>
  <c r="M162" i="23" l="1"/>
  <c r="K164" i="23"/>
  <c r="M163" i="23" l="1"/>
  <c r="K165" i="23"/>
  <c r="M164" i="23" l="1"/>
  <c r="K166" i="23"/>
  <c r="M165" i="23" l="1"/>
  <c r="K167" i="23"/>
  <c r="M166" i="23" l="1"/>
  <c r="K168" i="23"/>
  <c r="M167" i="23" l="1"/>
  <c r="K169" i="23"/>
  <c r="M168" i="23" l="1"/>
  <c r="K170" i="23"/>
  <c r="M169" i="23" l="1"/>
  <c r="K171" i="23"/>
  <c r="M170" i="23" l="1"/>
  <c r="K172" i="23"/>
  <c r="M171" i="23" l="1"/>
  <c r="K173" i="23"/>
  <c r="M172" i="23" l="1"/>
  <c r="K174" i="23"/>
  <c r="M173" i="23" l="1"/>
  <c r="K175" i="23"/>
  <c r="M174" i="23" l="1"/>
  <c r="K176" i="23"/>
  <c r="M175" i="23" l="1"/>
  <c r="K177" i="23"/>
  <c r="M176" i="23" l="1"/>
  <c r="K178" i="23"/>
  <c r="M177" i="23" l="1"/>
  <c r="K179" i="23"/>
  <c r="M178" i="23" l="1"/>
  <c r="K180" i="23"/>
  <c r="M179" i="23" l="1"/>
  <c r="K181" i="23"/>
  <c r="M180" i="23" l="1"/>
  <c r="K182" i="23"/>
  <c r="M181" i="23" l="1"/>
  <c r="K183" i="23"/>
  <c r="M182" i="23" l="1"/>
  <c r="K184" i="23"/>
  <c r="M183" i="23" l="1"/>
  <c r="K185" i="23"/>
  <c r="K186" i="23" s="1"/>
  <c r="T126" i="23" a="1"/>
  <c r="M184" i="23"/>
  <c r="M185" i="23" l="1"/>
  <c r="K187" i="23"/>
  <c r="M186" i="23" l="1"/>
  <c r="K188" i="23"/>
  <c r="M187" i="23" l="1"/>
  <c r="K189" i="23"/>
  <c r="M188" i="23" l="1"/>
  <c r="K190" i="23"/>
  <c r="M189" i="23" l="1"/>
  <c r="K191" i="23"/>
  <c r="M190" i="23" l="1"/>
  <c r="K192" i="23"/>
  <c r="M191" i="23" l="1"/>
  <c r="K193" i="23"/>
  <c r="M192" i="23" l="1"/>
  <c r="K194" i="23"/>
  <c r="M193" i="23" l="1"/>
  <c r="K195" i="23"/>
  <c r="M194" i="23" l="1"/>
  <c r="K196" i="23"/>
  <c r="M195" i="23" l="1"/>
  <c r="K197" i="23"/>
  <c r="M196" i="23" l="1"/>
  <c r="K198" i="23"/>
  <c r="M197" i="23" l="1"/>
  <c r="K199" i="23"/>
  <c r="M198" i="23" l="1"/>
  <c r="K200" i="23"/>
  <c r="M199" i="23" l="1"/>
  <c r="K201" i="23"/>
  <c r="M200" i="23" l="1"/>
  <c r="K202" i="23"/>
  <c r="M201" i="23" l="1"/>
  <c r="K203" i="23"/>
  <c r="M202" i="23" l="1"/>
  <c r="K204" i="23"/>
  <c r="M203" i="23" l="1"/>
  <c r="K205" i="23"/>
  <c r="M204" i="23" l="1"/>
  <c r="K206" i="23"/>
  <c r="M205" i="23" l="1"/>
  <c r="K207" i="23"/>
  <c r="M206" i="23" l="1"/>
  <c r="K208" i="23"/>
  <c r="M207" i="23" l="1"/>
  <c r="K209" i="23"/>
  <c r="M208" i="23" l="1"/>
  <c r="K210" i="23"/>
  <c r="M209" i="23" l="1"/>
  <c r="K211" i="23"/>
  <c r="M210" i="23" l="1"/>
  <c r="K212" i="23"/>
  <c r="M211" i="23" l="1"/>
  <c r="K213" i="23"/>
  <c r="M212" i="23" l="1"/>
  <c r="K214" i="23"/>
  <c r="M213" i="23" l="1"/>
  <c r="K215" i="23"/>
  <c r="M214" i="23" l="1"/>
  <c r="K216" i="23"/>
  <c r="M215" i="23" l="1"/>
  <c r="K217" i="23"/>
  <c r="M216" i="23" l="1"/>
  <c r="K218" i="23"/>
  <c r="M217" i="23" l="1"/>
  <c r="K219" i="23"/>
  <c r="M218" i="23" l="1"/>
  <c r="K220" i="23"/>
  <c r="M219" i="23" l="1"/>
  <c r="K221" i="23"/>
  <c r="M220" i="23" l="1"/>
  <c r="K222" i="23"/>
  <c r="M221" i="23" l="1"/>
  <c r="K223" i="23"/>
  <c r="M222" i="23" l="1"/>
  <c r="K224" i="23"/>
  <c r="M223" i="23" l="1"/>
  <c r="K225" i="23"/>
  <c r="M224" i="23" l="1"/>
  <c r="K226" i="23"/>
  <c r="M225" i="23" l="1"/>
  <c r="K227" i="23"/>
  <c r="M226" i="23" l="1"/>
  <c r="K228" i="23"/>
  <c r="M227" i="23" l="1"/>
  <c r="K229" i="23"/>
  <c r="M228" i="23" l="1"/>
  <c r="K230" i="23"/>
  <c r="M229" i="23" l="1"/>
  <c r="K231" i="23"/>
  <c r="M230" i="23" l="1"/>
  <c r="K232" i="23"/>
  <c r="M231" i="23" l="1"/>
  <c r="K233" i="23"/>
  <c r="M232" i="23" l="1"/>
  <c r="K234" i="23"/>
  <c r="M233" i="23" l="1"/>
  <c r="K235" i="23"/>
  <c r="M234" i="23" l="1"/>
  <c r="M235" i="23" s="1"/>
  <c r="M236" i="23" s="1"/>
  <c r="M237" i="23" s="1"/>
  <c r="M238" i="23" s="1"/>
  <c r="M239" i="23" s="1"/>
  <c r="M240" i="23" s="1"/>
  <c r="M241" i="23" s="1"/>
  <c r="M242" i="23" s="1"/>
  <c r="M243" i="23" s="1"/>
  <c r="M244" i="23" s="1"/>
  <c r="M245" i="23" s="1"/>
  <c r="M2" i="23" s="1"/>
  <c r="M3" i="23" s="1"/>
  <c r="C20" i="23" s="1"/>
  <c r="K236" i="23"/>
  <c r="K237" i="23" l="1"/>
  <c r="K238" i="23" l="1"/>
  <c r="K239" i="23" l="1"/>
  <c r="K240" i="23" l="1"/>
  <c r="K241" i="23" l="1"/>
  <c r="K242" i="23" l="1"/>
  <c r="K243" i="23" l="1"/>
  <c r="K244" i="23" l="1"/>
  <c r="K245" i="23" l="1"/>
  <c r="K246" i="23" l="1"/>
  <c r="K247" i="23" s="1"/>
  <c r="K248" i="23" s="1"/>
  <c r="K249" i="23" s="1"/>
  <c r="K250" i="23" s="1"/>
  <c r="K251" i="23" s="1"/>
  <c r="K252" i="23" s="1"/>
  <c r="K253" i="23" s="1"/>
  <c r="K254" i="23" s="1"/>
  <c r="K255" i="23" s="1"/>
  <c r="K256" i="23" s="1"/>
  <c r="K257" i="23" s="1"/>
  <c r="K258" i="23" l="1"/>
  <c r="K259" i="23" s="1"/>
  <c r="K260" i="23" s="1"/>
  <c r="K261" i="23" s="1"/>
  <c r="K262" i="23" s="1"/>
  <c r="K263" i="23" s="1"/>
  <c r="K264" i="23" s="1"/>
  <c r="K265" i="23" s="1"/>
  <c r="K266" i="23" s="1"/>
  <c r="K267" i="23" s="1"/>
  <c r="K268" i="23" s="1"/>
  <c r="K269" i="23" s="1"/>
  <c r="K270" i="23" s="1"/>
  <c r="K271" i="23" s="1"/>
  <c r="K272" i="23" s="1"/>
  <c r="K273" i="23" s="1"/>
  <c r="K274" i="23" s="1"/>
  <c r="K275" i="23" s="1"/>
  <c r="K276" i="23" s="1"/>
  <c r="K277" i="23" s="1"/>
  <c r="K278" i="23" s="1"/>
  <c r="K279" i="23" s="1"/>
  <c r="K280" i="23" s="1"/>
  <c r="K281" i="23" s="1"/>
  <c r="K282" i="23" s="1"/>
  <c r="K283" i="23" s="1"/>
  <c r="K284" i="23" s="1"/>
  <c r="K285" i="23" s="1"/>
  <c r="K286" i="23" s="1"/>
  <c r="K287" i="23" s="1"/>
  <c r="K288" i="23" s="1"/>
  <c r="K289" i="23" s="1"/>
  <c r="K290" i="23" s="1"/>
  <c r="K291" i="23" s="1"/>
  <c r="K292" i="23" s="1"/>
  <c r="K293" i="23" s="1"/>
  <c r="K294" i="23" s="1"/>
  <c r="K295" i="23" s="1"/>
  <c r="K296" i="23" s="1"/>
  <c r="K297" i="23" s="1"/>
  <c r="K298" i="23" s="1"/>
  <c r="K299" i="23" s="1"/>
  <c r="K300" i="23" s="1"/>
  <c r="K301" i="23" s="1"/>
  <c r="K302" i="23" s="1"/>
  <c r="K303" i="23" s="1"/>
  <c r="K304" i="23" s="1"/>
  <c r="K305" i="23" s="1"/>
  <c r="K306" i="23" l="1"/>
  <c r="K307" i="23" s="1"/>
  <c r="K308" i="23" s="1"/>
  <c r="K309" i="23" s="1"/>
  <c r="K310" i="23" s="1"/>
  <c r="K311" i="23" s="1"/>
  <c r="K312" i="23" s="1"/>
  <c r="K313" i="23" s="1"/>
  <c r="K314" i="23" s="1"/>
  <c r="K315" i="23" s="1"/>
  <c r="K316" i="23" s="1"/>
  <c r="K317" i="23" s="1"/>
  <c r="K318" i="23" s="1"/>
  <c r="K319" i="23" s="1"/>
  <c r="K320" i="23" s="1"/>
  <c r="K321" i="23" s="1"/>
  <c r="K322" i="23" s="1"/>
  <c r="K323" i="23" s="1"/>
  <c r="K324" i="23" s="1"/>
  <c r="K325" i="23" s="1"/>
  <c r="K326" i="23" s="1"/>
  <c r="K327" i="23" s="1"/>
  <c r="K328" i="23" s="1"/>
  <c r="K329" i="23" s="1"/>
  <c r="K330" i="23" s="1"/>
  <c r="K331" i="23" s="1"/>
  <c r="K332" i="23" s="1"/>
  <c r="K333" i="23" s="1"/>
  <c r="K334" i="23" s="1"/>
  <c r="K335" i="23" s="1"/>
  <c r="K336" i="23" s="1"/>
  <c r="K337" i="23" s="1"/>
  <c r="K338" i="23" s="1"/>
  <c r="K339" i="23" s="1"/>
  <c r="K340" i="23" s="1"/>
  <c r="K341" i="23" s="1"/>
  <c r="K342" i="23" s="1"/>
  <c r="K343" i="23" s="1"/>
  <c r="K344" i="23" s="1"/>
  <c r="K345" i="23" s="1"/>
  <c r="K346" i="23" s="1"/>
  <c r="K347" i="23" s="1"/>
  <c r="K348" i="23" s="1"/>
  <c r="K349" i="23" s="1"/>
  <c r="K350" i="23" s="1"/>
  <c r="K351" i="23" s="1"/>
  <c r="K352" i="23" s="1"/>
  <c r="K353" i="23" s="1"/>
  <c r="K354" i="23" s="1"/>
  <c r="K355" i="23" s="1"/>
  <c r="K356" i="23" s="1"/>
  <c r="K357" i="23" s="1"/>
  <c r="K358" i="23" s="1"/>
  <c r="K359" i="23" s="1"/>
  <c r="K360" i="23" s="1"/>
  <c r="K361" i="23" s="1"/>
  <c r="K362" i="23" s="1"/>
  <c r="K363" i="23" s="1"/>
  <c r="K364" i="23" s="1"/>
  <c r="K365" i="23" s="1"/>
  <c r="K366" i="23" s="1"/>
  <c r="K367" i="23" s="1"/>
  <c r="K368" i="23" s="1"/>
  <c r="K369" i="23" s="1"/>
  <c r="K370" i="23" s="1"/>
  <c r="K371" i="23" s="1"/>
  <c r="K372" i="23" s="1"/>
  <c r="K373" i="23" s="1"/>
  <c r="K374" i="23" s="1"/>
  <c r="K375" i="23" s="1"/>
  <c r="K376" i="23" s="1"/>
  <c r="K377" i="23" s="1"/>
  <c r="K378" i="23" s="1"/>
  <c r="K379" i="23" s="1"/>
  <c r="K380" i="23" s="1"/>
  <c r="K381" i="23" s="1"/>
  <c r="K382" i="23" s="1"/>
  <c r="K383" i="23" s="1"/>
  <c r="K384" i="23" s="1"/>
  <c r="K385" i="23" s="1"/>
  <c r="K386" i="23" s="1"/>
  <c r="K387" i="23" s="1"/>
  <c r="K388" i="23" s="1"/>
  <c r="K389" i="23" s="1"/>
  <c r="K390" i="23" s="1"/>
  <c r="K391" i="23" s="1"/>
  <c r="K392" i="23" s="1"/>
  <c r="K393" i="23" s="1"/>
  <c r="K394" i="23" s="1"/>
  <c r="K395" i="23" s="1"/>
  <c r="K396" i="23" s="1"/>
  <c r="K397" i="23" s="1"/>
  <c r="K398" i="23" s="1"/>
  <c r="K399" i="23" s="1"/>
  <c r="K400" i="23" s="1"/>
  <c r="K401" i="23" s="1"/>
  <c r="K402" i="23" s="1"/>
  <c r="K403" i="23" s="1"/>
  <c r="K404" i="23" s="1"/>
  <c r="K405" i="23" s="1"/>
  <c r="K406" i="23" s="1"/>
  <c r="K407" i="23" s="1"/>
  <c r="K408" i="23" s="1"/>
  <c r="K409" i="23" s="1"/>
  <c r="K410" i="23" s="1"/>
  <c r="K411" i="23" s="1"/>
  <c r="K412" i="23" s="1"/>
  <c r="K413" i="23" s="1"/>
  <c r="K414" i="23" s="1"/>
  <c r="K415" i="23" s="1"/>
  <c r="K416" i="23" s="1"/>
  <c r="K417" i="23" s="1"/>
  <c r="K418" i="23" s="1"/>
  <c r="K419" i="23" s="1"/>
  <c r="K420" i="23" s="1"/>
  <c r="K421" i="23" s="1"/>
  <c r="K422" i="23" s="1"/>
  <c r="K423" i="23" s="1"/>
  <c r="K424" i="23" s="1"/>
  <c r="K425" i="23" s="1"/>
  <c r="K426" i="23" s="1"/>
  <c r="K427" i="23" s="1"/>
  <c r="K428" i="23" s="1"/>
  <c r="K429" i="23" s="1"/>
  <c r="K430" i="23" s="1"/>
  <c r="K431" i="23" s="1"/>
  <c r="K432" i="23" s="1"/>
  <c r="K433" i="23" s="1"/>
  <c r="K434" i="23" s="1"/>
  <c r="K435" i="23" s="1"/>
  <c r="K436" i="23" s="1"/>
  <c r="K437" i="23" s="1"/>
  <c r="K438" i="23" s="1"/>
  <c r="K439" i="23" s="1"/>
  <c r="K440" i="23" s="1"/>
  <c r="K441" i="23" s="1"/>
  <c r="K442" i="23" s="1"/>
  <c r="K443" i="23" s="1"/>
  <c r="K444" i="23" s="1"/>
  <c r="K445" i="23" s="1"/>
  <c r="K446" i="23" s="1"/>
  <c r="K447" i="23" s="1"/>
  <c r="K448" i="23" s="1"/>
  <c r="K449" i="23" s="1"/>
  <c r="K450" i="23" s="1"/>
  <c r="K451" i="23" s="1"/>
  <c r="K452" i="23" s="1"/>
  <c r="K453" i="23" s="1"/>
  <c r="K454" i="23" s="1"/>
  <c r="K455" i="23" s="1"/>
  <c r="K456" i="23" s="1"/>
  <c r="K457" i="23" s="1"/>
  <c r="K458" i="23" s="1"/>
  <c r="K459" i="23" s="1"/>
  <c r="K460" i="23" s="1"/>
  <c r="K461" i="23" s="1"/>
  <c r="K462" i="23" s="1"/>
  <c r="K463" i="23" s="1"/>
  <c r="K464" i="23" s="1"/>
  <c r="K465" i="23" s="1"/>
  <c r="K466" i="23" s="1"/>
  <c r="K467" i="23" s="1"/>
  <c r="K468" i="23" s="1"/>
  <c r="K469" i="23" s="1"/>
  <c r="K470" i="23" s="1"/>
  <c r="K471" i="23" s="1"/>
  <c r="K472" i="23" s="1"/>
  <c r="K473" i="23" s="1"/>
  <c r="K474" i="23" s="1"/>
  <c r="K475" i="23" s="1"/>
  <c r="K476" i="23" s="1"/>
  <c r="K477" i="23" s="1"/>
  <c r="K478" i="23" s="1"/>
  <c r="K479" i="23" s="1"/>
  <c r="K480" i="23" s="1"/>
  <c r="K481" i="23" s="1"/>
  <c r="K482" i="23" s="1"/>
  <c r="K483" i="23" s="1"/>
  <c r="K484" i="23" s="1"/>
  <c r="K485" i="23" s="1"/>
  <c r="K486" i="23" s="1"/>
  <c r="K487" i="23" s="1"/>
  <c r="K488" i="23" s="1"/>
  <c r="K489" i="23" s="1"/>
  <c r="K490" i="23" s="1"/>
  <c r="K491" i="23" s="1"/>
  <c r="K492" i="23" s="1"/>
  <c r="K493" i="23" s="1"/>
  <c r="K494" i="23" s="1"/>
  <c r="K495" i="23" s="1"/>
  <c r="K496" i="23" s="1"/>
  <c r="K497" i="23" s="1"/>
  <c r="K498" i="23" s="1"/>
  <c r="K499" i="23" s="1"/>
  <c r="K500" i="23" s="1"/>
  <c r="K501" i="23" s="1"/>
  <c r="K502" i="23" s="1"/>
  <c r="K503" i="23" s="1"/>
  <c r="K504" i="23" s="1"/>
  <c r="K505" i="23" s="1"/>
  <c r="K506" i="23" s="1"/>
  <c r="K507" i="23" s="1"/>
  <c r="K508" i="23" s="1"/>
  <c r="K509" i="23" s="1"/>
  <c r="K510" i="23" s="1"/>
  <c r="K511" i="23" s="1"/>
  <c r="K512" i="23" s="1"/>
  <c r="K513" i="23" s="1"/>
  <c r="K514" i="23" s="1"/>
  <c r="K515" i="23" s="1"/>
  <c r="K516" i="23" s="1"/>
  <c r="K517" i="23" s="1"/>
  <c r="K518" i="23" s="1"/>
  <c r="K519" i="23" s="1"/>
  <c r="K520" i="23" s="1"/>
  <c r="K521" i="23" s="1"/>
  <c r="K522" i="23" s="1"/>
  <c r="K523" i="23" s="1"/>
  <c r="K524" i="23" s="1"/>
  <c r="K525" i="23" s="1"/>
  <c r="K526" i="23" s="1"/>
  <c r="K527" i="23" s="1"/>
  <c r="K528" i="23" s="1"/>
  <c r="K529" i="23" s="1"/>
  <c r="K530" i="23" s="1"/>
  <c r="K531" i="23" s="1"/>
  <c r="K532" i="23" s="1"/>
  <c r="K533" i="23" s="1"/>
  <c r="K534" i="23" s="1"/>
  <c r="K535" i="23" s="1"/>
  <c r="K536" i="23" s="1"/>
  <c r="K537" i="23" s="1"/>
  <c r="K538" i="23" s="1"/>
  <c r="K539" i="23" s="1"/>
  <c r="K540" i="23" s="1"/>
  <c r="K541" i="23" s="1"/>
  <c r="K542" i="23" s="1"/>
  <c r="K543" i="23" s="1"/>
  <c r="K544" i="23" s="1"/>
  <c r="K545" i="23" s="1"/>
  <c r="K546" i="23" s="1"/>
  <c r="K547" i="23" s="1"/>
  <c r="K548" i="23" s="1"/>
  <c r="K549" i="23" s="1"/>
  <c r="K550" i="23" s="1"/>
  <c r="K551" i="23" s="1"/>
  <c r="K552" i="23" s="1"/>
  <c r="K553" i="23" s="1"/>
  <c r="K554" i="23" s="1"/>
  <c r="K555" i="23" s="1"/>
  <c r="K556" i="23" s="1"/>
  <c r="K557" i="23" s="1"/>
  <c r="K558" i="23" s="1"/>
  <c r="K559" i="23" s="1"/>
  <c r="K560" i="23" s="1"/>
  <c r="K561" i="23" s="1"/>
  <c r="K562" i="23" s="1"/>
  <c r="K563" i="23" s="1"/>
  <c r="K564" i="23" s="1"/>
  <c r="K565" i="23" s="1"/>
  <c r="K566" i="23" s="1"/>
  <c r="K567" i="23" s="1"/>
  <c r="K568" i="23" s="1"/>
  <c r="K569" i="23" s="1"/>
  <c r="K570" i="23" s="1"/>
  <c r="K571" i="23" s="1"/>
  <c r="K572" i="23" s="1"/>
  <c r="K573" i="23" s="1"/>
  <c r="K574" i="23" s="1"/>
  <c r="K575" i="23" s="1"/>
  <c r="K576" i="23" s="1"/>
  <c r="K577" i="23" s="1"/>
  <c r="K578" i="23" s="1"/>
  <c r="K579" i="23" s="1"/>
  <c r="K580" i="23" s="1"/>
  <c r="K581" i="23" s="1"/>
  <c r="K582" i="23" s="1"/>
  <c r="K583" i="23" s="1"/>
  <c r="K584" i="23" s="1"/>
  <c r="K585" i="23" s="1"/>
  <c r="K586" i="23" s="1"/>
  <c r="K587" i="23" s="1"/>
  <c r="K588" i="23" s="1"/>
  <c r="K589" i="23" s="1"/>
  <c r="K590" i="23" s="1"/>
  <c r="K591" i="23" s="1"/>
  <c r="K592" i="23" s="1"/>
  <c r="K593" i="23" s="1"/>
  <c r="K594" i="23" s="1"/>
  <c r="K595" i="23" s="1"/>
  <c r="K596" i="23" s="1"/>
  <c r="K597" i="23" s="1"/>
  <c r="K598" i="23" s="1"/>
  <c r="K599" i="23" s="1"/>
  <c r="K600" i="23" s="1"/>
  <c r="K601" i="23" s="1"/>
  <c r="K602" i="23" s="1"/>
  <c r="K603" i="23" s="1"/>
  <c r="K604" i="23" s="1"/>
  <c r="K605" i="23" s="1"/>
  <c r="K606" i="23" s="1"/>
  <c r="K607" i="23" s="1"/>
  <c r="K608" i="23" s="1"/>
  <c r="K609" i="23" s="1"/>
  <c r="K610" i="23" s="1"/>
  <c r="K611" i="23" s="1"/>
  <c r="K612" i="23" s="1"/>
  <c r="K613" i="23" s="1"/>
  <c r="K614" i="23" s="1"/>
  <c r="K615" i="23" s="1"/>
  <c r="K616" i="23" s="1"/>
  <c r="K617" i="23" s="1"/>
  <c r="K618" i="23" s="1"/>
  <c r="K619" i="23" s="1"/>
  <c r="K620" i="23" s="1"/>
  <c r="K621" i="23" s="1"/>
  <c r="K622" i="23" s="1"/>
  <c r="K623" i="23" s="1"/>
  <c r="K624" i="23" s="1"/>
  <c r="K625" i="23" s="1"/>
  <c r="K626" i="23" s="1"/>
  <c r="K627" i="23" s="1"/>
  <c r="K628" i="23" s="1"/>
  <c r="K629" i="23" s="1"/>
  <c r="K630" i="23" s="1"/>
  <c r="K631" i="23" s="1"/>
  <c r="K632" i="23" s="1"/>
  <c r="K633" i="23" s="1"/>
  <c r="K634" i="23" s="1"/>
  <c r="K635" i="23" s="1"/>
  <c r="K636" i="23" s="1"/>
  <c r="K637" i="23" s="1"/>
  <c r="K638" i="23" s="1"/>
  <c r="K639" i="23" s="1"/>
  <c r="K640" i="23" s="1"/>
  <c r="K641" i="23" s="1"/>
  <c r="K642" i="23" s="1"/>
  <c r="K643" i="23" s="1"/>
  <c r="K644" i="23" s="1"/>
  <c r="K645" i="23" s="1"/>
  <c r="K646" i="23" s="1"/>
  <c r="K647" i="23" s="1"/>
  <c r="K648" i="23" s="1"/>
  <c r="K649" i="23" s="1"/>
  <c r="K650" i="23" s="1"/>
  <c r="K651" i="23" s="1"/>
  <c r="K652" i="23" s="1"/>
  <c r="K653" i="23" s="1"/>
  <c r="K654" i="23" s="1"/>
  <c r="K655" i="23" s="1"/>
  <c r="K656" i="23" s="1"/>
  <c r="K657" i="23" s="1"/>
  <c r="K658" i="23" s="1"/>
  <c r="K659" i="23" s="1"/>
  <c r="K660" i="23" s="1"/>
  <c r="K661" i="23" s="1"/>
  <c r="K662" i="23" s="1"/>
  <c r="K663" i="23" s="1"/>
  <c r="K664" i="23" s="1"/>
  <c r="K665" i="23" s="1"/>
  <c r="K666" i="23" s="1"/>
  <c r="K667" i="23" s="1"/>
  <c r="K668" i="23" s="1"/>
  <c r="K669" i="23" s="1"/>
  <c r="K670" i="23" s="1"/>
  <c r="K671" i="23" s="1"/>
  <c r="K672" i="23" s="1"/>
  <c r="K673" i="23" s="1"/>
  <c r="K674" i="23" s="1"/>
  <c r="K675" i="23" s="1"/>
  <c r="K676" i="23" s="1"/>
  <c r="K677" i="23" s="1"/>
  <c r="K678" i="23" s="1"/>
  <c r="K679" i="23" s="1"/>
  <c r="K680" i="23" s="1"/>
  <c r="K681" i="23" s="1"/>
  <c r="K682" i="23" s="1"/>
  <c r="K683" i="23" s="1"/>
  <c r="K684" i="23" s="1"/>
  <c r="K685" i="23" s="1"/>
  <c r="K686" i="23" s="1"/>
  <c r="K687" i="23" s="1"/>
  <c r="K688" i="23" s="1"/>
  <c r="K689" i="23" s="1"/>
  <c r="K690" i="23" s="1"/>
  <c r="K691" i="23" s="1"/>
  <c r="K692" i="23" s="1"/>
  <c r="K693" i="23" s="1"/>
  <c r="K694" i="23" s="1"/>
  <c r="K695" i="23" s="1"/>
  <c r="K696" i="23" s="1"/>
  <c r="K697" i="23" s="1"/>
  <c r="K698" i="23" s="1"/>
  <c r="K699" i="23" s="1"/>
  <c r="K700" i="23" s="1"/>
  <c r="K701" i="23" s="1"/>
  <c r="K702" i="23" s="1"/>
  <c r="K703" i="23" s="1"/>
  <c r="K704" i="23" s="1"/>
  <c r="K705" i="23" s="1"/>
  <c r="K706" i="23" s="1"/>
  <c r="K707" i="23" s="1"/>
  <c r="K708" i="23" s="1"/>
  <c r="K709" i="23" s="1"/>
  <c r="K710" i="23" s="1"/>
  <c r="K711" i="23" s="1"/>
  <c r="K712" i="23" s="1"/>
  <c r="K713" i="23" s="1"/>
  <c r="K714" i="23" s="1"/>
  <c r="K715" i="23" s="1"/>
  <c r="K716" i="23" s="1"/>
  <c r="K717" i="23" s="1"/>
  <c r="K718" i="23" s="1"/>
  <c r="K719" i="23" s="1"/>
  <c r="K720" i="23" s="1"/>
  <c r="K721" i="23" s="1"/>
  <c r="K722" i="23" s="1"/>
  <c r="K723" i="23" s="1"/>
  <c r="K724" i="23" s="1"/>
  <c r="K725" i="23" s="1"/>
  <c r="K726" i="23" s="1"/>
  <c r="K727" i="23" s="1"/>
  <c r="K728" i="23" s="1"/>
  <c r="K729" i="23" s="1"/>
  <c r="K730" i="23" s="1"/>
  <c r="K731" i="23" s="1"/>
  <c r="K732" i="23" s="1"/>
  <c r="K733" i="23" s="1"/>
  <c r="K734" i="23" s="1"/>
  <c r="K735" i="23" s="1"/>
  <c r="K736" i="23" s="1"/>
  <c r="K737" i="23" s="1"/>
  <c r="K738" i="23" s="1"/>
  <c r="K739" i="23" s="1"/>
  <c r="K740" i="23" s="1"/>
  <c r="K741" i="23" s="1"/>
  <c r="K742" i="23" s="1"/>
  <c r="K743" i="23" s="1"/>
  <c r="K744" i="23" s="1"/>
  <c r="K745" i="23" s="1"/>
  <c r="K746" i="23" s="1"/>
  <c r="K747" i="23" s="1"/>
  <c r="K748" i="23" s="1"/>
  <c r="K749" i="23" s="1"/>
  <c r="K750" i="23" s="1"/>
  <c r="K751" i="23" s="1"/>
  <c r="K752" i="23" s="1"/>
  <c r="K753" i="23" s="1"/>
  <c r="K754" i="23" s="1"/>
  <c r="K755" i="23" s="1"/>
  <c r="K756" i="23" s="1"/>
  <c r="K757" i="23" s="1"/>
  <c r="K758" i="23" s="1"/>
  <c r="K759" i="23" s="1"/>
  <c r="K760" i="23" s="1"/>
  <c r="K761" i="23" s="1"/>
  <c r="K762" i="23" s="1"/>
  <c r="K763" i="23" s="1"/>
  <c r="K764" i="23" s="1"/>
  <c r="K765" i="23" s="1"/>
  <c r="K766" i="23" s="1"/>
  <c r="K767" i="23" s="1"/>
  <c r="K768" i="23" s="1"/>
  <c r="K769" i="23" s="1"/>
  <c r="K770" i="23" s="1"/>
  <c r="K771" i="23" s="1"/>
  <c r="K772" i="23" s="1"/>
  <c r="K773" i="23" s="1"/>
  <c r="K774" i="23" s="1"/>
  <c r="K775" i="23" s="1"/>
  <c r="K776" i="23" s="1"/>
  <c r="K777" i="23" s="1"/>
  <c r="K778" i="23" s="1"/>
  <c r="K779" i="23" s="1"/>
  <c r="K780" i="23" s="1"/>
  <c r="K781" i="23" s="1"/>
  <c r="K782" i="23" s="1"/>
  <c r="K783" i="23" s="1"/>
  <c r="K784" i="23" s="1"/>
  <c r="K785" i="23" s="1"/>
  <c r="K786" i="23" s="1"/>
  <c r="K787" i="23" s="1"/>
  <c r="K788" i="23" s="1"/>
  <c r="K789" i="23" s="1"/>
  <c r="K790" i="23" s="1"/>
  <c r="K791" i="23" s="1"/>
  <c r="K792" i="23" s="1"/>
  <c r="K793" i="23" s="1"/>
  <c r="K794" i="23" s="1"/>
  <c r="K795" i="23" s="1"/>
  <c r="K796" i="23" s="1"/>
  <c r="K797" i="23" s="1"/>
  <c r="K798" i="23" s="1"/>
  <c r="K799" i="23" s="1"/>
  <c r="K800" i="23" s="1"/>
  <c r="K801" i="23" s="1"/>
  <c r="K802" i="23" s="1"/>
  <c r="K803" i="23" s="1"/>
  <c r="K804" i="23" s="1"/>
  <c r="K805" i="23" s="1"/>
  <c r="K806" i="23" s="1"/>
  <c r="K807" i="23" s="1"/>
  <c r="K808" i="23" s="1"/>
  <c r="K809" i="23" s="1"/>
  <c r="K810" i="23" s="1"/>
  <c r="K811" i="23" s="1"/>
  <c r="K812" i="23" s="1"/>
  <c r="K813" i="23" s="1"/>
  <c r="K814" i="23" s="1"/>
  <c r="K815" i="23" s="1"/>
  <c r="K816" i="23" s="1"/>
  <c r="K817" i="23" s="1"/>
  <c r="K818" i="23" s="1"/>
  <c r="K819" i="23" s="1"/>
  <c r="K820" i="23" s="1"/>
  <c r="K821" i="23" s="1"/>
  <c r="K822" i="23" s="1"/>
  <c r="K823" i="23" s="1"/>
  <c r="K824" i="23" s="1"/>
  <c r="K825" i="23" s="1"/>
  <c r="K826" i="23" s="1"/>
  <c r="K827" i="23" s="1"/>
  <c r="K828" i="23" s="1"/>
  <c r="K829" i="23" s="1"/>
  <c r="K830" i="23" s="1"/>
  <c r="K831" i="23" s="1"/>
  <c r="K832" i="23" s="1"/>
  <c r="K833" i="23" s="1"/>
  <c r="K834" i="23" s="1"/>
  <c r="K835" i="23" s="1"/>
  <c r="K836" i="23" s="1"/>
  <c r="K837" i="23" s="1"/>
  <c r="K838" i="23" s="1"/>
  <c r="K839" i="23" s="1"/>
  <c r="K840" i="23" s="1"/>
  <c r="K841" i="23" s="1"/>
  <c r="K842" i="23" s="1"/>
  <c r="K843" i="23" s="1"/>
  <c r="K844" i="23" s="1"/>
  <c r="K845" i="23" s="1"/>
  <c r="K846" i="23" s="1"/>
  <c r="K847" i="23" s="1"/>
  <c r="K848" i="23" s="1"/>
  <c r="K849" i="23" s="1"/>
  <c r="K850" i="23" s="1"/>
  <c r="K851" i="23" s="1"/>
  <c r="K852" i="23" s="1"/>
  <c r="K853" i="23" s="1"/>
  <c r="K854" i="23" s="1"/>
  <c r="K855" i="23" s="1"/>
  <c r="K856" i="23" s="1"/>
  <c r="K857" i="23" s="1"/>
  <c r="K858" i="23" s="1"/>
  <c r="K859" i="23" s="1"/>
  <c r="K860" i="23" s="1"/>
  <c r="K861" i="23" s="1"/>
  <c r="K862" i="23" s="1"/>
  <c r="K863" i="23" s="1"/>
  <c r="K864" i="23" s="1"/>
  <c r="K865" i="23" s="1"/>
  <c r="K866" i="23" s="1"/>
  <c r="K867" i="23" s="1"/>
  <c r="K868" i="23" s="1"/>
  <c r="K869" i="23" s="1"/>
  <c r="K870" i="23" s="1"/>
  <c r="K871" i="23" s="1"/>
  <c r="K872" i="23" s="1"/>
  <c r="K873" i="23" s="1"/>
  <c r="K874" i="23" s="1"/>
  <c r="K875" i="23" s="1"/>
  <c r="K876" i="23" s="1"/>
  <c r="K877" i="23" s="1"/>
  <c r="K878" i="23" s="1"/>
  <c r="K879" i="23" s="1"/>
  <c r="K880" i="23" s="1"/>
  <c r="K881" i="23" s="1"/>
  <c r="K882" i="23" s="1"/>
  <c r="K883" i="23" s="1"/>
  <c r="K884" i="23" s="1"/>
  <c r="K885" i="23" s="1"/>
  <c r="K886" i="23" s="1"/>
  <c r="K887" i="23" s="1"/>
  <c r="K888" i="23" s="1"/>
  <c r="K889" i="23" s="1"/>
  <c r="K890" i="23" s="1"/>
  <c r="K891" i="23" s="1"/>
  <c r="K892" i="23" s="1"/>
  <c r="K893" i="23" s="1"/>
  <c r="K894" i="23" s="1"/>
  <c r="K895" i="23" s="1"/>
  <c r="K896" i="23" s="1"/>
  <c r="K897" i="23" s="1"/>
  <c r="K898" i="23" s="1"/>
  <c r="K899" i="23" s="1"/>
  <c r="K900" i="23" s="1"/>
  <c r="K901" i="23" s="1"/>
  <c r="K902" i="23" s="1"/>
  <c r="K903" i="23" s="1"/>
  <c r="K904" i="23" s="1"/>
  <c r="K905" i="23" s="1"/>
  <c r="K906" i="23" s="1"/>
  <c r="K907" i="23" s="1"/>
  <c r="K908" i="23" s="1"/>
  <c r="K909" i="23" s="1"/>
  <c r="K910" i="23" s="1"/>
  <c r="K911" i="23" s="1"/>
  <c r="K912" i="23" s="1"/>
  <c r="K913" i="23" s="1"/>
  <c r="K914" i="23" s="1"/>
  <c r="K915" i="23" s="1"/>
  <c r="K916" i="23" s="1"/>
  <c r="K917" i="23" s="1"/>
  <c r="K918" i="23" s="1"/>
  <c r="K919" i="23" s="1"/>
  <c r="K920" i="23" s="1"/>
  <c r="K921" i="23" s="1"/>
  <c r="K922" i="23" s="1"/>
  <c r="K923" i="23" s="1"/>
  <c r="K924" i="23" s="1"/>
  <c r="K925" i="23" s="1"/>
  <c r="K926" i="23" s="1"/>
  <c r="K927" i="23" s="1"/>
  <c r="K928" i="23" s="1"/>
  <c r="K929" i="23" s="1"/>
  <c r="K930" i="23" s="1"/>
  <c r="K931" i="23" s="1"/>
  <c r="K932" i="23" s="1"/>
  <c r="K933" i="23" s="1"/>
  <c r="K934" i="23" s="1"/>
  <c r="K935" i="23" s="1"/>
  <c r="K936" i="23" s="1"/>
  <c r="K937" i="23" s="1"/>
  <c r="K938" i="23" s="1"/>
  <c r="K939" i="23" s="1"/>
  <c r="K940" i="23" s="1"/>
  <c r="K941" i="23" s="1"/>
  <c r="K942" i="23" s="1"/>
  <c r="K943" i="23" s="1"/>
  <c r="K944" i="23" s="1"/>
  <c r="K945" i="23" s="1"/>
  <c r="K946" i="23" s="1"/>
  <c r="K947" i="23" s="1"/>
  <c r="K948" i="23" s="1"/>
  <c r="K949" i="23" s="1"/>
  <c r="K950" i="23" s="1"/>
  <c r="K951" i="23" s="1"/>
  <c r="K952" i="23" s="1"/>
  <c r="K953" i="23" s="1"/>
  <c r="K954" i="23" s="1"/>
  <c r="K955" i="23" s="1"/>
  <c r="K956" i="23" s="1"/>
  <c r="K957" i="23" s="1"/>
  <c r="K958" i="23" s="1"/>
  <c r="K959" i="23" s="1"/>
  <c r="K960" i="23" s="1"/>
  <c r="K961" i="23" s="1"/>
  <c r="K962" i="23" s="1"/>
  <c r="K963" i="23" s="1"/>
  <c r="K964" i="23" s="1"/>
  <c r="K965" i="23" s="1"/>
  <c r="K966" i="23" s="1"/>
  <c r="K967" i="23" s="1"/>
  <c r="K968" i="23" s="1"/>
  <c r="K969" i="23" s="1"/>
  <c r="K970" i="23" s="1"/>
  <c r="K971" i="23" s="1"/>
  <c r="K972" i="23" s="1"/>
  <c r="K973" i="23" s="1"/>
  <c r="K974" i="23" s="1"/>
  <c r="K975" i="23" s="1"/>
  <c r="K976" i="23" s="1"/>
  <c r="K977" i="23" s="1"/>
  <c r="K978" i="23" s="1"/>
  <c r="K979" i="23" s="1"/>
  <c r="K980" i="23" s="1"/>
  <c r="K981" i="23" s="1"/>
  <c r="K982" i="23" s="1"/>
  <c r="K983" i="23" s="1"/>
  <c r="K984" i="23" s="1"/>
  <c r="K985" i="23" s="1"/>
  <c r="K986" i="23" s="1"/>
  <c r="K987" i="23" s="1"/>
  <c r="K988" i="23" s="1"/>
  <c r="K989" i="23" s="1"/>
  <c r="K990" i="23" s="1"/>
  <c r="K991" i="23" s="1"/>
  <c r="K992" i="23" s="1"/>
  <c r="K993" i="23" s="1"/>
  <c r="K994" i="23" s="1"/>
  <c r="K995" i="23" s="1"/>
  <c r="K996" i="23" s="1"/>
  <c r="K997" i="23" s="1"/>
  <c r="K998" i="23" s="1"/>
  <c r="K999" i="23" s="1"/>
  <c r="K1000" i="23" s="1"/>
  <c r="K1001" i="23" s="1"/>
  <c r="K1002" i="23" s="1"/>
  <c r="K1003" i="23" s="1"/>
  <c r="K1004" i="23" s="1"/>
  <c r="K1005" i="23" s="1"/>
  <c r="K1006" i="23" s="1"/>
  <c r="K1007" i="23" s="1"/>
  <c r="K1008" i="23" s="1"/>
  <c r="K1009" i="23" s="1"/>
  <c r="K1010" i="23" s="1"/>
  <c r="K1011" i="23" s="1"/>
  <c r="K1012" i="23" s="1"/>
  <c r="K1013" i="23" s="1"/>
  <c r="K1014" i="23" s="1"/>
  <c r="K1015" i="23" s="1"/>
  <c r="K1016" i="23" s="1"/>
  <c r="K1017" i="23" s="1"/>
  <c r="K1018" i="23" s="1"/>
  <c r="K1019" i="23" s="1"/>
  <c r="K1020" i="23" s="1"/>
  <c r="K1021" i="23" s="1"/>
  <c r="K1022" i="23" s="1"/>
  <c r="K1023" i="23" s="1"/>
  <c r="K1024" i="23" s="1"/>
  <c r="K1025" i="23" s="1"/>
  <c r="K1026" i="23" s="1"/>
  <c r="K1027" i="23" s="1"/>
  <c r="K1028" i="23" s="1"/>
  <c r="K1029" i="23" s="1"/>
  <c r="K1030" i="23" s="1"/>
  <c r="K1031" i="23" s="1"/>
  <c r="K1032" i="23" s="1"/>
  <c r="K1033" i="23" s="1"/>
  <c r="K1034" i="23" s="1"/>
  <c r="K1035" i="23" s="1"/>
  <c r="K1036" i="23" s="1"/>
  <c r="K1037" i="23" s="1"/>
  <c r="K1038" i="23" s="1"/>
  <c r="K1039" i="23" s="1"/>
  <c r="K1040" i="23" s="1"/>
  <c r="K1041" i="23" s="1"/>
  <c r="K1042" i="23" s="1"/>
  <c r="K1043" i="23" s="1"/>
  <c r="K1044" i="23" s="1"/>
  <c r="K1045" i="23" s="1"/>
  <c r="K1046" i="23" s="1"/>
  <c r="K1047" i="23" s="1"/>
  <c r="K1048" i="23" s="1"/>
  <c r="K1049" i="23" s="1"/>
  <c r="K1050" i="23" s="1"/>
  <c r="K1051" i="23" s="1"/>
  <c r="K1052" i="23" s="1"/>
  <c r="K1053" i="23" s="1"/>
  <c r="K1054" i="23" s="1"/>
  <c r="K1055" i="23" s="1"/>
  <c r="K1056" i="23" s="1"/>
  <c r="K1057" i="23" s="1"/>
  <c r="K1058" i="23" s="1"/>
  <c r="K1059" i="23" s="1"/>
  <c r="K1060" i="23" s="1"/>
  <c r="K1061" i="23" s="1"/>
  <c r="K1062" i="23" s="1"/>
  <c r="K1063" i="23" s="1"/>
  <c r="K1064" i="23" s="1"/>
  <c r="K1065" i="23" s="1"/>
  <c r="K1066" i="23" s="1"/>
  <c r="K1067" i="23" s="1"/>
  <c r="K1068" i="23" s="1"/>
  <c r="K1069" i="23" s="1"/>
  <c r="K1070" i="23" s="1"/>
  <c r="K1071" i="23" s="1"/>
  <c r="K1072" i="23" s="1"/>
  <c r="K1073" i="23" s="1"/>
  <c r="K1074" i="23" s="1"/>
  <c r="K1075" i="23" s="1"/>
  <c r="K1076" i="23" s="1"/>
  <c r="K1077" i="23" s="1"/>
  <c r="K1078" i="23" s="1"/>
  <c r="K1079" i="23" s="1"/>
  <c r="K1080" i="23" s="1"/>
  <c r="K1081" i="23" s="1"/>
  <c r="K1082" i="23" s="1"/>
  <c r="K1083" i="23" s="1"/>
  <c r="K1084" i="23" s="1"/>
  <c r="K1085" i="23" s="1"/>
  <c r="K1086" i="23" s="1"/>
  <c r="K1087" i="23" s="1"/>
  <c r="K1088" i="23" s="1"/>
  <c r="K1089" i="23" s="1"/>
  <c r="K1090" i="23" s="1"/>
  <c r="K1091" i="23" s="1"/>
  <c r="K1092" i="23" s="1"/>
  <c r="K1093" i="23" s="1"/>
  <c r="K1094" i="23" s="1"/>
  <c r="K1095" i="23" s="1"/>
  <c r="K1096" i="23" s="1"/>
  <c r="K1097" i="23" s="1"/>
  <c r="K1098" i="23" s="1"/>
  <c r="K1099" i="23" s="1"/>
  <c r="K1100" i="23" s="1"/>
  <c r="K1101" i="23" s="1"/>
  <c r="K1102" i="23" s="1"/>
  <c r="K1103" i="23" s="1"/>
  <c r="K1104" i="23" s="1"/>
  <c r="K1105" i="23" s="1"/>
  <c r="K1106" i="23" s="1"/>
  <c r="K1107" i="23" s="1"/>
  <c r="K1108" i="23" s="1"/>
  <c r="K1109" i="23" s="1"/>
  <c r="K1110" i="23" s="1"/>
  <c r="K1111" i="23" s="1"/>
  <c r="K1112" i="23" s="1"/>
  <c r="K1113" i="23" s="1"/>
  <c r="K1114" i="23" s="1"/>
  <c r="K1115" i="23" s="1"/>
  <c r="K1116" i="23" s="1"/>
  <c r="K1117" i="23" s="1"/>
  <c r="K1118" i="23" s="1"/>
  <c r="K1119" i="23" s="1"/>
  <c r="K1120" i="23" s="1"/>
  <c r="K1121" i="23" s="1"/>
  <c r="K1122" i="23" s="1"/>
  <c r="K1123" i="23" s="1"/>
  <c r="K1124" i="23" s="1"/>
  <c r="K1125" i="23" s="1"/>
  <c r="K1126" i="23" s="1"/>
  <c r="K1127" i="23" s="1"/>
  <c r="K1128" i="23" s="1"/>
  <c r="K1129" i="23" s="1"/>
  <c r="K1130" i="23" s="1"/>
  <c r="K1131" i="23" s="1"/>
  <c r="K1132" i="23" s="1"/>
  <c r="K1133" i="23" s="1"/>
  <c r="K1134" i="23" s="1"/>
  <c r="K1135" i="23" s="1"/>
  <c r="K1136" i="23" s="1"/>
  <c r="K1137" i="23" s="1"/>
  <c r="K1138" i="23" s="1"/>
  <c r="K1139" i="23" s="1"/>
  <c r="K1140" i="23" s="1"/>
  <c r="K1141" i="23" s="1"/>
  <c r="K1142" i="23" s="1"/>
  <c r="K1143" i="23" s="1"/>
  <c r="K1144" i="23" s="1"/>
  <c r="K1145" i="23" s="1"/>
  <c r="K1146" i="23" s="1"/>
  <c r="K1147" i="23" s="1"/>
  <c r="K1148" i="23" s="1"/>
  <c r="K1149" i="23" s="1"/>
  <c r="K1150" i="23" s="1"/>
  <c r="K1151" i="23" s="1"/>
  <c r="K1152" i="23" s="1"/>
  <c r="K1153" i="23" s="1"/>
  <c r="K1154" i="23" s="1"/>
  <c r="K1155" i="23" s="1"/>
  <c r="K1156" i="23" s="1"/>
  <c r="K1157" i="23" s="1"/>
  <c r="K1158" i="23" s="1"/>
  <c r="K1159" i="23" s="1"/>
  <c r="K1160" i="23" s="1"/>
  <c r="K1161" i="23" s="1"/>
  <c r="K1162" i="23" s="1"/>
  <c r="K1163" i="23" s="1"/>
  <c r="K1164" i="23" s="1"/>
  <c r="K1165" i="23" s="1"/>
  <c r="K1166" i="23" s="1"/>
  <c r="K1167" i="23" s="1"/>
  <c r="K1168" i="23" s="1"/>
  <c r="K1169" i="23" s="1"/>
  <c r="K1170" i="23" s="1"/>
  <c r="K1171" i="23" s="1"/>
  <c r="K1172" i="23" s="1"/>
  <c r="K1173" i="23" s="1"/>
  <c r="K1174" i="23" s="1"/>
  <c r="K1175" i="23" s="1"/>
  <c r="K1176" i="23" s="1"/>
  <c r="K1177" i="23" s="1"/>
  <c r="K1178" i="23" s="1"/>
  <c r="K1179" i="23" s="1"/>
  <c r="K1180" i="23" s="1"/>
  <c r="K1181" i="23" s="1"/>
  <c r="K1182" i="23" s="1"/>
  <c r="K1183" i="23" s="1"/>
  <c r="K1184" i="23" s="1"/>
  <c r="K1185" i="23" s="1"/>
  <c r="K1186" i="23" s="1"/>
  <c r="K1187" i="23" s="1"/>
  <c r="K1188" i="23" s="1"/>
  <c r="K1189" i="23" s="1"/>
  <c r="K1190" i="23" s="1"/>
  <c r="K1191" i="23" s="1"/>
  <c r="K1192" i="23" s="1"/>
  <c r="K1193" i="23" s="1"/>
  <c r="K1194" i="23" s="1"/>
  <c r="K1195" i="23" s="1"/>
  <c r="K1196" i="23" s="1"/>
  <c r="K1197" i="23" s="1"/>
  <c r="K1198" i="23" s="1"/>
  <c r="K1199" i="23" s="1"/>
  <c r="K1200" i="23" s="1"/>
  <c r="K1201" i="23" s="1"/>
  <c r="K1202" i="23" s="1"/>
  <c r="K1203" i="23" s="1"/>
  <c r="K1204" i="23" s="1"/>
  <c r="K1205" i="23" s="1"/>
  <c r="W13" i="23"/>
  <c r="N6" i="23"/>
  <c r="R6" i="23" l="1"/>
  <c r="O6" i="23"/>
  <c r="R186" i="23" l="1"/>
  <c r="R187" i="23"/>
  <c r="R188" i="23"/>
  <c r="R189" i="23"/>
  <c r="R190" i="23"/>
  <c r="R191" i="23"/>
  <c r="R192" i="23"/>
  <c r="R193" i="23"/>
  <c r="R194" i="23"/>
  <c r="R195" i="23"/>
  <c r="R196" i="23"/>
  <c r="R197" i="23"/>
  <c r="R198" i="23"/>
  <c r="R199" i="23"/>
  <c r="R200" i="23"/>
  <c r="R201" i="23"/>
  <c r="R202" i="23"/>
  <c r="R203" i="23"/>
  <c r="R204" i="23"/>
  <c r="R205" i="23"/>
  <c r="R206" i="23"/>
  <c r="R207" i="23"/>
  <c r="R208" i="23"/>
  <c r="R209" i="23"/>
  <c r="R210" i="23"/>
  <c r="R211" i="23"/>
  <c r="R212" i="23"/>
  <c r="R213" i="23"/>
  <c r="R214" i="23"/>
  <c r="R215" i="23"/>
  <c r="R216" i="23"/>
  <c r="R217" i="23"/>
  <c r="R218" i="23"/>
  <c r="R219" i="23"/>
  <c r="R220" i="23"/>
  <c r="R221" i="23"/>
  <c r="R222" i="23"/>
  <c r="R223" i="23"/>
  <c r="R224" i="23"/>
  <c r="R225" i="23"/>
  <c r="R226" i="23"/>
  <c r="R227" i="23"/>
  <c r="R228" i="23"/>
  <c r="R229" i="23"/>
  <c r="R230" i="23"/>
  <c r="R231" i="23"/>
  <c r="R232" i="23"/>
  <c r="R233" i="23"/>
  <c r="R234" i="23"/>
  <c r="R235" i="23"/>
  <c r="R236" i="23"/>
  <c r="R237" i="23"/>
  <c r="R238" i="23"/>
  <c r="R239" i="23"/>
  <c r="R240" i="23"/>
  <c r="R241" i="23"/>
  <c r="R242" i="23"/>
  <c r="R243" i="23"/>
  <c r="R244" i="23"/>
  <c r="R245" i="23"/>
  <c r="R246" i="23"/>
  <c r="R247" i="23"/>
  <c r="R248" i="23"/>
  <c r="R249" i="23"/>
  <c r="R250" i="23"/>
  <c r="R251" i="23"/>
  <c r="R252" i="23"/>
  <c r="R253" i="23"/>
  <c r="R254" i="23"/>
  <c r="R255" i="23"/>
  <c r="R256" i="23"/>
  <c r="R257" i="23"/>
  <c r="AA19" i="23"/>
  <c r="AA20" i="23"/>
  <c r="AA18" i="23"/>
  <c r="AA22" i="23"/>
  <c r="AA21" i="23"/>
  <c r="N186" i="23"/>
  <c r="O186" i="23" s="1"/>
  <c r="N187" i="23"/>
  <c r="O187" i="23" s="1"/>
  <c r="N188" i="23"/>
  <c r="O188" i="23" s="1"/>
  <c r="N189" i="23"/>
  <c r="O189" i="23" s="1"/>
  <c r="N190" i="23"/>
  <c r="O190" i="23" s="1"/>
  <c r="N191" i="23"/>
  <c r="O191" i="23" s="1"/>
  <c r="N192" i="23"/>
  <c r="O192" i="23" s="1"/>
  <c r="N193" i="23"/>
  <c r="O193" i="23" s="1"/>
  <c r="N194" i="23"/>
  <c r="O194" i="23" s="1"/>
  <c r="N195" i="23"/>
  <c r="O195" i="23" s="1"/>
  <c r="N196" i="23"/>
  <c r="O196" i="23" s="1"/>
  <c r="N197" i="23"/>
  <c r="O197" i="23" s="1"/>
  <c r="N198" i="23"/>
  <c r="O198" i="23" s="1"/>
  <c r="N199" i="23"/>
  <c r="O199" i="23" s="1"/>
  <c r="N200" i="23"/>
  <c r="O200" i="23" s="1"/>
  <c r="N201" i="23"/>
  <c r="O201" i="23" s="1"/>
  <c r="N202" i="23"/>
  <c r="O202" i="23" s="1"/>
  <c r="N203" i="23"/>
  <c r="O203" i="23" s="1"/>
  <c r="N204" i="23"/>
  <c r="O204" i="23" s="1"/>
  <c r="N205" i="23"/>
  <c r="O205" i="23" s="1"/>
  <c r="N206" i="23"/>
  <c r="O206" i="23" s="1"/>
  <c r="N207" i="23"/>
  <c r="O207" i="23" s="1"/>
  <c r="N208" i="23"/>
  <c r="O208" i="23" s="1"/>
  <c r="N209" i="23"/>
  <c r="O209" i="23" s="1"/>
  <c r="N210" i="23"/>
  <c r="O210" i="23" s="1"/>
  <c r="N211" i="23"/>
  <c r="O211" i="23" s="1"/>
  <c r="N212" i="23"/>
  <c r="O212" i="23" s="1"/>
  <c r="N213" i="23"/>
  <c r="O213" i="23" s="1"/>
  <c r="N214" i="23"/>
  <c r="O214" i="23" s="1"/>
  <c r="N215" i="23"/>
  <c r="O215" i="23" s="1"/>
  <c r="N216" i="23"/>
  <c r="O216" i="23" s="1"/>
  <c r="N217" i="23"/>
  <c r="O217" i="23" s="1"/>
  <c r="N218" i="23"/>
  <c r="O218" i="23" s="1"/>
  <c r="N219" i="23"/>
  <c r="O219" i="23" s="1"/>
  <c r="N220" i="23"/>
  <c r="O220" i="23" s="1"/>
  <c r="N221" i="23"/>
  <c r="O221" i="23" s="1"/>
  <c r="N222" i="23"/>
  <c r="O222" i="23" s="1"/>
  <c r="N223" i="23"/>
  <c r="O223" i="23" s="1"/>
  <c r="N224" i="23"/>
  <c r="O224" i="23" s="1"/>
  <c r="N225" i="23"/>
  <c r="O225" i="23" s="1"/>
  <c r="N226" i="23"/>
  <c r="O226" i="23" s="1"/>
  <c r="N227" i="23"/>
  <c r="O227" i="23" s="1"/>
  <c r="N228" i="23"/>
  <c r="O228" i="23" s="1"/>
  <c r="N229" i="23"/>
  <c r="O229" i="23" s="1"/>
  <c r="N230" i="23"/>
  <c r="O230" i="23" s="1"/>
  <c r="N231" i="23"/>
  <c r="O231" i="23" s="1"/>
  <c r="N232" i="23"/>
  <c r="O232" i="23" s="1"/>
  <c r="N233" i="23"/>
  <c r="O233" i="23" s="1"/>
  <c r="N234" i="23"/>
  <c r="O234" i="23" s="1"/>
  <c r="N235" i="23"/>
  <c r="O235" i="23" s="1"/>
  <c r="N236" i="23"/>
  <c r="O236" i="23" s="1"/>
  <c r="N237" i="23"/>
  <c r="O237" i="23" s="1"/>
  <c r="N238" i="23"/>
  <c r="O238" i="23" s="1"/>
  <c r="N239" i="23"/>
  <c r="O239" i="23" s="1"/>
  <c r="N240" i="23"/>
  <c r="O240" i="23" s="1"/>
  <c r="N241" i="23"/>
  <c r="O241" i="23" s="1"/>
  <c r="N242" i="23"/>
  <c r="O242" i="23" s="1"/>
  <c r="N243" i="23"/>
  <c r="O243" i="23" s="1"/>
  <c r="N244" i="23"/>
  <c r="O244" i="23" s="1"/>
  <c r="N245" i="23"/>
  <c r="O245" i="23" s="1"/>
  <c r="AA26" i="23"/>
  <c r="AA23" i="23"/>
  <c r="AA24" i="23"/>
  <c r="AA27" i="23"/>
  <c r="AA25" i="23"/>
  <c r="N247" i="23"/>
  <c r="O247" i="23" s="1"/>
  <c r="N248" i="23"/>
  <c r="O248" i="23" s="1"/>
  <c r="N301" i="23"/>
  <c r="O301" i="23" s="1"/>
  <c r="N291" i="23"/>
  <c r="O291" i="23" s="1"/>
  <c r="N279" i="23"/>
  <c r="O279" i="23" s="1"/>
  <c r="R265" i="23"/>
  <c r="R301" i="23"/>
  <c r="R283" i="23"/>
  <c r="R263" i="23"/>
  <c r="R303" i="23"/>
  <c r="R270" i="23"/>
  <c r="R290" i="23"/>
  <c r="N263" i="23"/>
  <c r="O263" i="23" s="1"/>
  <c r="R291" i="23"/>
  <c r="N267" i="23"/>
  <c r="O267" i="23" s="1"/>
  <c r="R289" i="23"/>
  <c r="N299" i="23"/>
  <c r="O299" i="23" s="1"/>
  <c r="N265" i="23"/>
  <c r="O265" i="23" s="1"/>
  <c r="R304" i="23"/>
  <c r="R294" i="23"/>
  <c r="R286" i="23"/>
  <c r="N297" i="23"/>
  <c r="O297" i="23" s="1"/>
  <c r="N273" i="23"/>
  <c r="O273" i="23" s="1"/>
  <c r="N292" i="23"/>
  <c r="O292" i="23" s="1"/>
  <c r="N254" i="23"/>
  <c r="O254" i="23" s="1"/>
  <c r="N296" i="23"/>
  <c r="O296" i="23" s="1"/>
  <c r="R272" i="23"/>
  <c r="R288" i="23"/>
  <c r="R297" i="23"/>
  <c r="N275" i="23"/>
  <c r="O275" i="23" s="1"/>
  <c r="N288" i="23"/>
  <c r="O288" i="23" s="1"/>
  <c r="R267" i="23"/>
  <c r="R269" i="23"/>
  <c r="R277" i="23"/>
  <c r="N283" i="23"/>
  <c r="O283" i="23" s="1"/>
  <c r="R292" i="23"/>
  <c r="N290" i="23"/>
  <c r="O290" i="23" s="1"/>
  <c r="R279" i="23"/>
  <c r="N289" i="23"/>
  <c r="O289" i="23" s="1"/>
  <c r="N257" i="23"/>
  <c r="O257" i="23" s="1"/>
  <c r="N304" i="23"/>
  <c r="O304" i="23" s="1"/>
  <c r="N282" i="23"/>
  <c r="O282" i="23" s="1"/>
  <c r="N264" i="23"/>
  <c r="O264" i="23" s="1"/>
  <c r="R271" i="23"/>
  <c r="R262" i="23"/>
  <c r="R268" i="23"/>
  <c r="N286" i="23"/>
  <c r="O286" i="23" s="1"/>
  <c r="R302" i="23"/>
  <c r="N251" i="23"/>
  <c r="O251" i="23" s="1"/>
  <c r="N277" i="23"/>
  <c r="O277" i="23" s="1"/>
  <c r="N270" i="23"/>
  <c r="O270" i="23" s="1"/>
  <c r="N271" i="23"/>
  <c r="O271" i="23" s="1"/>
  <c r="R296" i="23"/>
  <c r="N256" i="23"/>
  <c r="O256" i="23" s="1"/>
  <c r="R287" i="23"/>
  <c r="N276" i="23"/>
  <c r="O276" i="23" s="1"/>
  <c r="N253" i="23"/>
  <c r="O253" i="23" s="1"/>
  <c r="N268" i="23"/>
  <c r="O268" i="23" s="1"/>
  <c r="N259" i="23"/>
  <c r="O259" i="23" s="1"/>
  <c r="N287" i="23"/>
  <c r="O287" i="23" s="1"/>
  <c r="R259" i="23"/>
  <c r="R274" i="23"/>
  <c r="R295" i="23"/>
  <c r="N252" i="23"/>
  <c r="O252" i="23" s="1"/>
  <c r="R261" i="23"/>
  <c r="N262" i="23"/>
  <c r="O262" i="23" s="1"/>
  <c r="R281" i="23"/>
  <c r="R275" i="23"/>
  <c r="N284" i="23"/>
  <c r="O284" i="23" s="1"/>
  <c r="R305" i="23"/>
  <c r="N295" i="23"/>
  <c r="O295" i="23" s="1"/>
  <c r="R260" i="23"/>
  <c r="N246" i="23"/>
  <c r="O246" i="23" s="1"/>
  <c r="N302" i="23"/>
  <c r="O302" i="23" s="1"/>
  <c r="N261" i="23"/>
  <c r="O261" i="23" s="1"/>
  <c r="N274" i="23"/>
  <c r="O274" i="23" s="1"/>
  <c r="N281" i="23"/>
  <c r="O281" i="23" s="1"/>
  <c r="N250" i="23"/>
  <c r="O250" i="23" s="1"/>
  <c r="R264" i="23"/>
  <c r="R282" i="23"/>
  <c r="R293" i="23"/>
  <c r="R300" i="23"/>
  <c r="N249" i="23"/>
  <c r="O249" i="23" s="1"/>
  <c r="R298" i="23"/>
  <c r="N280" i="23"/>
  <c r="O280" i="23" s="1"/>
  <c r="R273" i="23"/>
  <c r="R276" i="23"/>
  <c r="N278" i="23"/>
  <c r="O278" i="23" s="1"/>
  <c r="R280" i="23"/>
  <c r="N269" i="23"/>
  <c r="O269" i="23" s="1"/>
  <c r="N272" i="23"/>
  <c r="O272" i="23" s="1"/>
  <c r="R278" i="23"/>
  <c r="N300" i="23"/>
  <c r="O300" i="23" s="1"/>
  <c r="N298" i="23"/>
  <c r="O298" i="23" s="1"/>
  <c r="N258" i="23"/>
  <c r="O258" i="23" s="1"/>
  <c r="N266" i="23"/>
  <c r="O266" i="23" s="1"/>
  <c r="N260" i="23"/>
  <c r="O260" i="23" s="1"/>
  <c r="R299" i="23"/>
  <c r="R266" i="23"/>
  <c r="R284" i="23"/>
  <c r="R258" i="23"/>
  <c r="N255" i="23"/>
  <c r="O255" i="23" s="1"/>
  <c r="N294" i="23"/>
  <c r="O294" i="23" s="1"/>
  <c r="N305" i="23"/>
  <c r="O305" i="23" s="1"/>
  <c r="R285" i="23"/>
  <c r="N285" i="23"/>
  <c r="O285" i="23" s="1"/>
  <c r="N293" i="23"/>
  <c r="O293" i="23" s="1"/>
  <c r="N303" i="23"/>
  <c r="O303" i="23" s="1"/>
  <c r="S18" i="23" l="1"/>
  <c r="S246" i="23"/>
  <c r="AA3" i="23" l="1"/>
  <c r="N7" i="23"/>
  <c r="N8" i="23" s="1"/>
  <c r="AA4" i="23"/>
  <c r="AA5" i="23"/>
  <c r="AA9" i="23"/>
  <c r="AA8" i="23"/>
  <c r="AA7" i="23"/>
  <c r="AA11" i="23"/>
  <c r="AA10" i="23"/>
  <c r="AA6" i="23"/>
  <c r="R8" i="23" l="1"/>
  <c r="R7" i="23"/>
  <c r="N9" i="23"/>
  <c r="O9" i="23" s="1"/>
  <c r="O8" i="23"/>
  <c r="O7" i="23"/>
  <c r="N10" i="23" l="1"/>
  <c r="R9" i="23"/>
  <c r="R10" i="23" l="1"/>
  <c r="O10" i="23"/>
  <c r="N11" i="23"/>
  <c r="O11" i="23" s="1"/>
  <c r="N12" i="23"/>
  <c r="R11" i="23" l="1"/>
  <c r="R12" i="23"/>
  <c r="O12" i="23"/>
  <c r="N13" i="23"/>
  <c r="R13" i="23" l="1"/>
  <c r="O13" i="23"/>
  <c r="N14" i="23"/>
  <c r="R14" i="23" l="1"/>
  <c r="O14" i="23"/>
  <c r="N15" i="23"/>
  <c r="R15" i="23" l="1"/>
  <c r="O15" i="23"/>
  <c r="N16" i="23"/>
  <c r="R16" i="23" l="1"/>
  <c r="O16" i="23"/>
  <c r="N17" i="23"/>
  <c r="R17" i="23" l="1"/>
  <c r="O17" i="23"/>
  <c r="N18" i="23"/>
  <c r="R18" i="23" l="1"/>
  <c r="N19" i="23"/>
  <c r="O18" i="23"/>
  <c r="R19" i="23" l="1"/>
  <c r="O19" i="23"/>
  <c r="N20" i="23"/>
  <c r="R20" i="23" l="1"/>
  <c r="O20" i="23"/>
  <c r="N21" i="23"/>
  <c r="R21" i="23" l="1"/>
  <c r="O21" i="23"/>
  <c r="N22" i="23"/>
  <c r="R22" i="23" l="1"/>
  <c r="O22" i="23"/>
  <c r="N23" i="23"/>
  <c r="R23" i="23" l="1"/>
  <c r="O23" i="23"/>
  <c r="N24" i="23"/>
  <c r="R24" i="23" l="1"/>
  <c r="O24" i="23"/>
  <c r="N25" i="23"/>
  <c r="R25" i="23" l="1"/>
  <c r="O25" i="23"/>
  <c r="N26" i="23"/>
  <c r="R26" i="23" l="1"/>
  <c r="O26" i="23"/>
  <c r="N27" i="23"/>
  <c r="R27" i="23" l="1"/>
  <c r="O27" i="23"/>
  <c r="N28" i="23"/>
  <c r="R28" i="23" l="1"/>
  <c r="O28" i="23"/>
  <c r="N29" i="23"/>
  <c r="R29" i="23" l="1"/>
  <c r="O29" i="23"/>
  <c r="N30" i="23"/>
  <c r="R30" i="23" l="1"/>
  <c r="O30" i="23"/>
  <c r="N31" i="23"/>
  <c r="R31" i="23" l="1"/>
  <c r="O31" i="23"/>
  <c r="N32" i="23"/>
  <c r="R32" i="23" l="1"/>
  <c r="O32" i="23"/>
  <c r="N33" i="23"/>
  <c r="R33" i="23" l="1"/>
  <c r="O33" i="23"/>
  <c r="N34" i="23"/>
  <c r="R34" i="23" l="1"/>
  <c r="O34" i="23"/>
  <c r="N35" i="23"/>
  <c r="R35" i="23" l="1"/>
  <c r="O35" i="23"/>
  <c r="N36" i="23"/>
  <c r="R36" i="23" l="1"/>
  <c r="O36" i="23"/>
  <c r="N37" i="23"/>
  <c r="R37" i="23" l="1"/>
  <c r="O37" i="23"/>
  <c r="N38" i="23"/>
  <c r="R38" i="23" l="1"/>
  <c r="O38" i="23"/>
  <c r="N39" i="23"/>
  <c r="R39" i="23" l="1"/>
  <c r="O39" i="23"/>
  <c r="N40" i="23"/>
  <c r="R40" i="23" l="1"/>
  <c r="O40" i="23"/>
  <c r="N41" i="23"/>
  <c r="R41" i="23" l="1"/>
  <c r="O41" i="23"/>
  <c r="N42" i="23"/>
  <c r="R42" i="23" l="1"/>
  <c r="O42" i="23"/>
  <c r="N43" i="23"/>
  <c r="R43" i="23" l="1"/>
  <c r="O43" i="23"/>
  <c r="N44" i="23"/>
  <c r="R44" i="23" l="1"/>
  <c r="O44" i="23"/>
  <c r="N45" i="23"/>
  <c r="R45" i="23" l="1"/>
  <c r="O45" i="23"/>
  <c r="N46" i="23"/>
  <c r="R46" i="23" l="1"/>
  <c r="O46" i="23"/>
  <c r="N47" i="23"/>
  <c r="R47" i="23" l="1"/>
  <c r="O47" i="23"/>
  <c r="N48" i="23"/>
  <c r="R48" i="23" l="1"/>
  <c r="O48" i="23"/>
  <c r="N49" i="23"/>
  <c r="R49" i="23" l="1"/>
  <c r="O49" i="23"/>
  <c r="N50" i="23"/>
  <c r="R50" i="23" l="1"/>
  <c r="O50" i="23"/>
  <c r="N51" i="23"/>
  <c r="R51" i="23" l="1"/>
  <c r="O51" i="23"/>
  <c r="N52" i="23"/>
  <c r="R52" i="23" l="1"/>
  <c r="O52" i="23"/>
  <c r="N53" i="23"/>
  <c r="R53" i="23" l="1"/>
  <c r="O53" i="23"/>
  <c r="N54" i="23"/>
  <c r="R54" i="23" l="1"/>
  <c r="O54" i="23"/>
  <c r="N55" i="23"/>
  <c r="R55" i="23" l="1"/>
  <c r="O55" i="23"/>
  <c r="N56" i="23"/>
  <c r="R56" i="23" l="1"/>
  <c r="O56" i="23"/>
  <c r="N57" i="23"/>
  <c r="R57" i="23" l="1"/>
  <c r="O57" i="23"/>
  <c r="N58" i="23"/>
  <c r="R58" i="23" l="1"/>
  <c r="O58" i="23"/>
  <c r="N59" i="23"/>
  <c r="R59" i="23" l="1"/>
  <c r="O59" i="23"/>
  <c r="N60" i="23"/>
  <c r="R60" i="23" l="1"/>
  <c r="O60" i="23"/>
  <c r="N61" i="23"/>
  <c r="R61" i="23" l="1"/>
  <c r="O61" i="23"/>
  <c r="N62" i="23"/>
  <c r="R62" i="23" l="1"/>
  <c r="O62" i="23"/>
  <c r="N63" i="23"/>
  <c r="R63" i="23" l="1"/>
  <c r="O63" i="23"/>
  <c r="N64" i="23"/>
  <c r="R64" i="23" l="1"/>
  <c r="O64" i="23"/>
  <c r="N65" i="23"/>
  <c r="R65" i="23" l="1"/>
  <c r="O65" i="23"/>
  <c r="N66" i="23"/>
  <c r="R66" i="23" l="1"/>
  <c r="O66" i="23"/>
  <c r="N67" i="23"/>
  <c r="R67" i="23" l="1"/>
  <c r="O67" i="23"/>
  <c r="N68" i="23"/>
  <c r="R68" i="23" l="1"/>
  <c r="O68" i="23"/>
  <c r="N69" i="23"/>
  <c r="R69" i="23" l="1"/>
  <c r="O69" i="23"/>
  <c r="N70" i="23"/>
  <c r="R70" i="23" l="1"/>
  <c r="O70" i="23"/>
  <c r="N71" i="23"/>
  <c r="R71" i="23" l="1"/>
  <c r="O71" i="23"/>
  <c r="N72" i="23"/>
  <c r="R72" i="23" l="1"/>
  <c r="O72" i="23"/>
  <c r="N73" i="23"/>
  <c r="R73" i="23" l="1"/>
  <c r="O73" i="23"/>
  <c r="N74" i="23"/>
  <c r="R74" i="23" l="1"/>
  <c r="O74" i="23"/>
  <c r="N75" i="23"/>
  <c r="R75" i="23" l="1"/>
  <c r="O75" i="23"/>
  <c r="N76" i="23"/>
  <c r="R76" i="23" l="1"/>
  <c r="O76" i="23"/>
  <c r="N77" i="23"/>
  <c r="R77" i="23" l="1"/>
  <c r="O77" i="23"/>
  <c r="N78" i="23"/>
  <c r="R78" i="23" l="1"/>
  <c r="O78" i="23"/>
  <c r="N79" i="23"/>
  <c r="R79" i="23" l="1"/>
  <c r="O79" i="23"/>
  <c r="N80" i="23"/>
  <c r="R80" i="23" l="1"/>
  <c r="O80" i="23"/>
  <c r="N81" i="23"/>
  <c r="R81" i="23" l="1"/>
  <c r="O81" i="23"/>
  <c r="N82" i="23"/>
  <c r="R82" i="23" l="1"/>
  <c r="O82" i="23"/>
  <c r="N83" i="23"/>
  <c r="R83" i="23" l="1"/>
  <c r="O83" i="23"/>
  <c r="N84" i="23"/>
  <c r="R84" i="23" l="1"/>
  <c r="O84" i="23"/>
  <c r="N85" i="23"/>
  <c r="R85" i="23" l="1"/>
  <c r="O85" i="23"/>
  <c r="N86" i="23"/>
  <c r="R86" i="23" l="1"/>
  <c r="O86" i="23"/>
  <c r="N87" i="23"/>
  <c r="R87" i="23" l="1"/>
  <c r="O87" i="23"/>
  <c r="N88" i="23"/>
  <c r="R88" i="23" l="1"/>
  <c r="O88" i="23"/>
  <c r="N89" i="23"/>
  <c r="R89" i="23" l="1"/>
  <c r="O89" i="23"/>
  <c r="N90" i="23"/>
  <c r="R90" i="23" l="1"/>
  <c r="O90" i="23"/>
  <c r="N91" i="23"/>
  <c r="R91" i="23" l="1"/>
  <c r="O91" i="23"/>
  <c r="N92" i="23"/>
  <c r="R92" i="23" l="1"/>
  <c r="O92" i="23"/>
  <c r="N93" i="23"/>
  <c r="R93" i="23" l="1"/>
  <c r="O93" i="23"/>
  <c r="N94" i="23"/>
  <c r="R94" i="23" l="1"/>
  <c r="O94" i="23"/>
  <c r="N95" i="23"/>
  <c r="R95" i="23" l="1"/>
  <c r="O95" i="23"/>
  <c r="N96" i="23"/>
  <c r="R96" i="23" l="1"/>
  <c r="O96" i="23"/>
  <c r="N97" i="23"/>
  <c r="R97" i="23" l="1"/>
  <c r="O97" i="23"/>
  <c r="N98" i="23"/>
  <c r="R98" i="23" l="1"/>
  <c r="O98" i="23"/>
  <c r="N99" i="23"/>
  <c r="R99" i="23" l="1"/>
  <c r="O99" i="23"/>
  <c r="N100" i="23"/>
  <c r="R100" i="23" l="1"/>
  <c r="O100" i="23"/>
  <c r="N101" i="23"/>
  <c r="R101" i="23" l="1"/>
  <c r="O101" i="23"/>
  <c r="N102" i="23"/>
  <c r="R102" i="23" l="1"/>
  <c r="O102" i="23"/>
  <c r="N103" i="23"/>
  <c r="R103" i="23" l="1"/>
  <c r="O103" i="23"/>
  <c r="N104" i="23"/>
  <c r="R104" i="23" l="1"/>
  <c r="O104" i="23"/>
  <c r="N105" i="23"/>
  <c r="R105" i="23" l="1"/>
  <c r="O105" i="23"/>
  <c r="N106" i="23"/>
  <c r="R106" i="23" l="1"/>
  <c r="O106" i="23"/>
  <c r="N107" i="23"/>
  <c r="R107" i="23" l="1"/>
  <c r="O107" i="23"/>
  <c r="N108" i="23"/>
  <c r="R108" i="23" l="1"/>
  <c r="O108" i="23"/>
  <c r="N109" i="23"/>
  <c r="R109" i="23" l="1"/>
  <c r="O109" i="23"/>
  <c r="N110" i="23"/>
  <c r="R110" i="23" l="1"/>
  <c r="O110" i="23"/>
  <c r="N111" i="23"/>
  <c r="R111" i="23" l="1"/>
  <c r="O111" i="23"/>
  <c r="N112" i="23"/>
  <c r="R112" i="23" l="1"/>
  <c r="O112" i="23"/>
  <c r="N113" i="23"/>
  <c r="R113" i="23" l="1"/>
  <c r="O113" i="23"/>
  <c r="AA12" i="23" l="1"/>
  <c r="N114" i="23"/>
  <c r="N115" i="23" s="1"/>
  <c r="R115" i="23" l="1"/>
  <c r="R114" i="23"/>
  <c r="N116" i="23"/>
  <c r="O116" i="23" s="1"/>
  <c r="O115" i="23"/>
  <c r="O114" i="23"/>
  <c r="S7" i="23"/>
  <c r="N117" i="23" l="1"/>
  <c r="O117" i="23" s="1"/>
  <c r="R116" i="23"/>
  <c r="R117" i="23" l="1"/>
  <c r="N118" i="23"/>
  <c r="R118" i="23" l="1"/>
  <c r="N119" i="23"/>
  <c r="O118" i="23"/>
  <c r="R119" i="23" l="1"/>
  <c r="N120" i="23"/>
  <c r="O119" i="23"/>
  <c r="R120" i="23" l="1"/>
  <c r="N121" i="23"/>
  <c r="O121" i="23" s="1"/>
  <c r="O120" i="23"/>
  <c r="N122" i="23" l="1"/>
  <c r="R121" i="23"/>
  <c r="R122" i="23" l="1"/>
  <c r="N123" i="23"/>
  <c r="O122" i="23"/>
  <c r="R123" i="23" l="1"/>
  <c r="N124" i="23"/>
  <c r="O123" i="23"/>
  <c r="R124" i="23" l="1"/>
  <c r="N125" i="23"/>
  <c r="O124" i="23"/>
  <c r="R125" i="23" l="1"/>
  <c r="O125" i="23"/>
  <c r="S210" i="23" l="1"/>
  <c r="S198" i="23"/>
  <c r="S234" i="23"/>
  <c r="S222" i="23"/>
  <c r="S114" i="23"/>
  <c r="S186" i="23" l="1"/>
  <c r="W1" i="23"/>
  <c r="S174" i="23"/>
  <c r="W4" i="23" l="1"/>
  <c r="S126" i="23" s="1"/>
  <c r="Q139" i="23" a="1"/>
  <c r="R139" i="23" s="1"/>
  <c r="Q145" i="23" a="1"/>
  <c r="R145" i="23" s="1"/>
  <c r="Q151" i="23" a="1"/>
  <c r="R151" i="23" s="1"/>
  <c r="Q157" i="23" a="1"/>
  <c r="R157" i="23" s="1"/>
  <c r="Q163" i="23" a="1"/>
  <c r="R163" i="23" s="1"/>
  <c r="Q169" i="23" a="1"/>
  <c r="R169" i="23" s="1"/>
  <c r="Q175" i="23" a="1"/>
  <c r="R175" i="23" s="1"/>
  <c r="Q181" i="23" a="1"/>
  <c r="R181" i="23" s="1"/>
  <c r="Q140" i="23" a="1"/>
  <c r="R140" i="23" s="1"/>
  <c r="Q152" i="23" a="1"/>
  <c r="R152" i="23" s="1"/>
  <c r="Q164" i="23" a="1"/>
  <c r="R164" i="23" s="1"/>
  <c r="Q182" i="23" a="1"/>
  <c r="R182" i="23" s="1"/>
  <c r="Q146" i="23" a="1"/>
  <c r="R146" i="23" s="1"/>
  <c r="Q158" i="23" a="1"/>
  <c r="R158" i="23" s="1"/>
  <c r="Q170" i="23" a="1"/>
  <c r="R170" i="23" s="1"/>
  <c r="Q176" i="23" a="1"/>
  <c r="R176" i="23" s="1"/>
  <c r="Q160" i="23" a="1"/>
  <c r="R160" i="23" s="1"/>
  <c r="Q184" i="23" a="1"/>
  <c r="R184" i="23" s="1"/>
  <c r="Q144" i="23" a="1"/>
  <c r="R144" i="23" s="1"/>
  <c r="Q153" i="23" a="1"/>
  <c r="R153" i="23" s="1"/>
  <c r="Q168" i="23" a="1"/>
  <c r="R168" i="23" s="1"/>
  <c r="Q177" i="23" a="1"/>
  <c r="R177" i="23" s="1"/>
  <c r="Q162" i="23" a="1"/>
  <c r="R162" i="23" s="1"/>
  <c r="Q172" i="23" a="1"/>
  <c r="R172" i="23" s="1"/>
  <c r="Q143" i="23" a="1"/>
  <c r="R143" i="23" s="1"/>
  <c r="Q154" i="23" a="1"/>
  <c r="R154" i="23" s="1"/>
  <c r="Q148" i="23" a="1"/>
  <c r="R148" i="23" s="1"/>
  <c r="Q159" i="23" a="1"/>
  <c r="R159" i="23" s="1"/>
  <c r="Q171" i="23" a="1"/>
  <c r="R171" i="23" s="1"/>
  <c r="Q183" i="23" a="1"/>
  <c r="R183" i="23" s="1"/>
  <c r="Q142" i="23" a="1"/>
  <c r="R142" i="23" s="1"/>
  <c r="Q155" i="23" a="1"/>
  <c r="R155" i="23" s="1"/>
  <c r="Q166" i="23" a="1"/>
  <c r="R166" i="23" s="1"/>
  <c r="Q178" i="23" a="1"/>
  <c r="R178" i="23" s="1"/>
  <c r="Q138" i="23" a="1"/>
  <c r="R138" i="23" s="1"/>
  <c r="Q149" i="23" a="1"/>
  <c r="R149" i="23" s="1"/>
  <c r="Q161" i="23" a="1"/>
  <c r="R161" i="23" s="1"/>
  <c r="Q173" i="23" a="1"/>
  <c r="R173" i="23" s="1"/>
  <c r="Q185" i="23" a="1"/>
  <c r="R185" i="23" s="1"/>
  <c r="Q150" i="23" a="1"/>
  <c r="R150" i="23" s="1"/>
  <c r="Q174" i="23" a="1"/>
  <c r="R174" i="23" s="1"/>
  <c r="Q141" i="23" a="1"/>
  <c r="R141" i="23" s="1"/>
  <c r="Q165" i="23" a="1"/>
  <c r="R165" i="23" s="1"/>
  <c r="Q156" i="23" a="1"/>
  <c r="R156" i="23" s="1"/>
  <c r="Q167" i="23" a="1"/>
  <c r="R167" i="23" s="1"/>
  <c r="Q179" i="23" a="1"/>
  <c r="R179" i="23" s="1"/>
  <c r="Q147" i="23" a="1"/>
  <c r="R147" i="23" s="1"/>
  <c r="Q180" i="23" a="1"/>
  <c r="R180" i="23" s="1"/>
  <c r="S138" i="23"/>
  <c r="AA14" i="23"/>
  <c r="AA13" i="23"/>
  <c r="AA15" i="23"/>
  <c r="N126" i="23"/>
  <c r="O126" i="23" s="1"/>
  <c r="N127" i="23"/>
  <c r="O127" i="23" s="1"/>
  <c r="N128" i="23"/>
  <c r="O128" i="23" s="1"/>
  <c r="N129" i="23"/>
  <c r="O129" i="23" s="1"/>
  <c r="N130" i="23"/>
  <c r="O130" i="23" s="1"/>
  <c r="N131" i="23"/>
  <c r="O131" i="23" s="1"/>
  <c r="N132" i="23"/>
  <c r="O132" i="23" s="1"/>
  <c r="N133" i="23"/>
  <c r="O133" i="23" s="1"/>
  <c r="N134" i="23"/>
  <c r="O134" i="23" s="1"/>
  <c r="N135" i="23"/>
  <c r="O135" i="23" s="1"/>
  <c r="N136" i="23"/>
  <c r="O136" i="23" s="1"/>
  <c r="N137" i="23"/>
  <c r="O137" i="23" s="1"/>
  <c r="N138" i="23"/>
  <c r="O138" i="23" s="1"/>
  <c r="N139" i="23"/>
  <c r="O139" i="23" s="1"/>
  <c r="N140" i="23"/>
  <c r="O140" i="23" s="1"/>
  <c r="N141" i="23"/>
  <c r="O141" i="23" s="1"/>
  <c r="N142" i="23"/>
  <c r="O142" i="23" s="1"/>
  <c r="N143" i="23"/>
  <c r="O143" i="23" s="1"/>
  <c r="N144" i="23"/>
  <c r="O144" i="23" s="1"/>
  <c r="N145" i="23"/>
  <c r="O145" i="23" s="1"/>
  <c r="N146" i="23"/>
  <c r="O146" i="23" s="1"/>
  <c r="N147" i="23"/>
  <c r="O147" i="23" s="1"/>
  <c r="N148" i="23"/>
  <c r="O148" i="23" s="1"/>
  <c r="N149" i="23"/>
  <c r="O149" i="23" s="1"/>
  <c r="N150" i="23"/>
  <c r="O150" i="23" s="1"/>
  <c r="N151" i="23"/>
  <c r="O151" i="23" s="1"/>
  <c r="N152" i="23"/>
  <c r="O152" i="23" s="1"/>
  <c r="N153" i="23"/>
  <c r="O153" i="23" s="1"/>
  <c r="N154" i="23"/>
  <c r="O154" i="23" s="1"/>
  <c r="N155" i="23"/>
  <c r="O155" i="23" s="1"/>
  <c r="N156" i="23"/>
  <c r="O156" i="23" s="1"/>
  <c r="N157" i="23"/>
  <c r="O157" i="23" s="1"/>
  <c r="N158" i="23"/>
  <c r="O158" i="23" s="1"/>
  <c r="N159" i="23"/>
  <c r="O159" i="23" s="1"/>
  <c r="N160" i="23"/>
  <c r="O160" i="23" s="1"/>
  <c r="N161" i="23"/>
  <c r="O161" i="23" s="1"/>
  <c r="S162" i="23"/>
  <c r="S150" i="23"/>
  <c r="C10" i="23"/>
  <c r="AA16" i="23"/>
  <c r="N162" i="23"/>
  <c r="O162" i="23" s="1"/>
  <c r="N163" i="23"/>
  <c r="O163" i="23" s="1"/>
  <c r="N164" i="23"/>
  <c r="O164" i="23" s="1"/>
  <c r="N165" i="23"/>
  <c r="O165" i="23" s="1"/>
  <c r="N166" i="23"/>
  <c r="O166" i="23" s="1"/>
  <c r="N167" i="23"/>
  <c r="O167" i="23" s="1"/>
  <c r="N168" i="23"/>
  <c r="O168" i="23" s="1"/>
  <c r="N169" i="23"/>
  <c r="O169" i="23" s="1"/>
  <c r="N170" i="23"/>
  <c r="O170" i="23" s="1"/>
  <c r="N171" i="23"/>
  <c r="O171" i="23" s="1"/>
  <c r="N172" i="23"/>
  <c r="O172" i="23" s="1"/>
  <c r="N173" i="23"/>
  <c r="O173" i="23" s="1"/>
  <c r="Q136" i="23" a="1"/>
  <c r="Q135" i="23" a="1"/>
  <c r="Q137" i="23" a="1"/>
  <c r="Q132" i="23" a="1"/>
  <c r="Q133" i="23" a="1"/>
  <c r="Q134" i="23" a="1"/>
  <c r="Q131" i="23" a="1"/>
  <c r="Q130" i="23" a="1"/>
  <c r="Q129" i="23" a="1"/>
  <c r="Q127" i="23" a="1"/>
  <c r="Q128" i="23" a="1"/>
  <c r="Q126" i="23" a="1"/>
  <c r="R137" i="23" s="1"/>
  <c r="R135" i="23" s="1"/>
  <c r="R136" i="23" s="1"/>
  <c r="R134" i="23" s="1"/>
  <c r="R133" i="23" s="1"/>
  <c r="R132" i="23" s="1"/>
  <c r="R129" i="23" s="1"/>
  <c r="R130" i="23" s="1"/>
  <c r="R131" i="23" s="1"/>
  <c r="R126" i="23" s="1"/>
  <c r="R128" i="23" s="1"/>
  <c r="R127" i="23" s="1"/>
  <c r="N185" i="23"/>
  <c r="O185" i="23" s="1"/>
  <c r="N184" i="23"/>
  <c r="O184" i="23" s="1"/>
  <c r="N183" i="23"/>
  <c r="O183" i="23" s="1"/>
  <c r="N182" i="23"/>
  <c r="O182" i="23" s="1"/>
  <c r="N181" i="23"/>
  <c r="O181" i="23" s="1"/>
  <c r="N180" i="23"/>
  <c r="O180" i="23" s="1"/>
  <c r="N179" i="23"/>
  <c r="O179" i="23" s="1"/>
  <c r="N178" i="23"/>
  <c r="O178" i="23" s="1"/>
  <c r="N177" i="23"/>
  <c r="O177" i="23" s="1"/>
  <c r="N176" i="23"/>
  <c r="O176" i="23" s="1"/>
  <c r="N175" i="23"/>
  <c r="O175" i="23" s="1"/>
  <c r="N174" i="23"/>
  <c r="O174" i="23" s="1"/>
  <c r="AA17" i="23"/>
  <c r="W9" i="23"/>
  <c r="C14" i="23" l="1"/>
  <c r="C21" i="23"/>
  <c r="W5" i="23"/>
  <c r="W6" i="23" s="1"/>
  <c r="C18" i="23" s="1"/>
  <c r="C17" i="23"/>
  <c r="C11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<sst xmlns="http://schemas.openxmlformats.org/spreadsheetml/2006/main" count="43" uniqueCount="40">
  <si>
    <t>Months</t>
  </si>
  <si>
    <t>Inflation Rate/Year</t>
  </si>
  <si>
    <t>Monthly</t>
  </si>
  <si>
    <t>Cost of Delay</t>
  </si>
  <si>
    <t>Delay in Investing - Months</t>
  </si>
  <si>
    <t>Inflation Adjusted Value after term (Rs.)</t>
  </si>
  <si>
    <t>Return</t>
  </si>
  <si>
    <t>Inflation Adjusted</t>
  </si>
  <si>
    <t>Maturity Value at the End of Term (Rs.)</t>
  </si>
  <si>
    <t>Total Invested</t>
  </si>
  <si>
    <t>Delay</t>
  </si>
  <si>
    <t>Total Months</t>
  </si>
  <si>
    <t>Total Amount Invested</t>
  </si>
  <si>
    <t>Absolute Gain</t>
  </si>
  <si>
    <t>* For Educational Purposes Only</t>
  </si>
  <si>
    <t>Total Investment Months</t>
  </si>
  <si>
    <t>Growth Months</t>
  </si>
  <si>
    <t>FV</t>
  </si>
  <si>
    <t>FV During SIP</t>
  </si>
  <si>
    <t>Value after of Delay</t>
  </si>
  <si>
    <t>Maturity Value with Delay</t>
  </si>
  <si>
    <t>Monthly Investment Amount</t>
  </si>
  <si>
    <t>XIRR</t>
  </si>
  <si>
    <t>XIRR %</t>
  </si>
  <si>
    <t>Expected Rate of Return</t>
  </si>
  <si>
    <t>SIP Years</t>
  </si>
  <si>
    <t>Invest Years</t>
  </si>
  <si>
    <t>SIPRate Compounding</t>
  </si>
  <si>
    <t>For Table in Document</t>
  </si>
  <si>
    <t>Total Investment Duration in Years (Max. 100)</t>
  </si>
  <si>
    <t>Step-Up % per year</t>
  </si>
  <si>
    <t>For Stepup</t>
  </si>
  <si>
    <t>SIPRate</t>
  </si>
  <si>
    <t>Date</t>
  </si>
  <si>
    <t>Percent Changes</t>
  </si>
  <si>
    <t>Step-Up SIP Calculator</t>
  </si>
  <si>
    <t>Name:</t>
  </si>
  <si>
    <t>Age:</t>
  </si>
  <si>
    <t>Mrs. Ayra Khan</t>
  </si>
  <si>
    <t>© Copyright Nivra Fintech LLC, India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</si>
</sst>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₹&quot;\ #,##0;[Red]&quot;₹&quot;\ \-#,##0"/>
    <numFmt numFmtId="8" formatCode="&quot;₹&quot;\ #,##0.00;[Red]&quot;₹&quot;\ \-#,##0.00"/>
    <numFmt numFmtId="43" formatCode="_ * #,##0.00_ ;_ * \-#,##0.00_ ;_ * &quot;-&quot;??_ ;_ @_ "/>
    <numFmt numFmtId="164" formatCode="_ [$₹-4009]\ * #,##0_ ;_ [$₹-4009]\ * \-#,##0_ ;_ [$₹-4009]\ * &quot;-&quot;??_ ;_ @_ "/>
    <numFmt numFmtId="165" formatCode="_ &quot;₹&quot;\ * #,##0_ ;_ &quot;₹&quot;\ * \-#,##0_ ;_ &quot;₹&quot;\ * &quot;-&quot;??_ ;_ @_ "/>
    <numFmt numFmtId="166" formatCode="_ * #,##0_ ;_ * \-#,##0_ ;_ * &quot;-&quot;??_ ;_ @_ "/>
  </numFmts>
  <fonts count="16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FFFF00"/>
      <name val="Arial"/>
      <family val="2"/>
    </font>
    <font>
      <sz val="10"/>
      <color rgb="FFFF0000"/>
      <name val="Arial"/>
      <family val="2"/>
    </font>
    <font>
      <b/>
      <sz val="10"/>
      <color theme="0"/>
      <name val="Arial"/>
      <family val="2"/>
    </font>
    <font>
      <b/>
      <sz val="10"/>
      <color rgb="FF002060"/>
      <name val="Arial"/>
      <family val="2"/>
    </font>
    <font>
      <sz val="10"/>
      <color rgb="FF002060"/>
      <name val="Arial"/>
      <family val="2"/>
    </font>
    <font>
      <b/>
      <sz val="10"/>
      <color rgb="FFFFFF00"/>
      <name val="Arial"/>
      <family val="2"/>
    </font>
    <font>
      <b/>
      <i/>
      <sz val="10"/>
      <color rgb="FFFF0000"/>
      <name val="Arial"/>
      <family val="2"/>
    </font>
    <font>
      <b/>
      <sz val="16"/>
      <color theme="8" tint="-0.499984740745262"/>
      <name val="Arial"/>
      <family val="2"/>
    </font>
    <font>
      <i/>
      <sz val="10"/>
      <name val="Arial"/>
      <family val="2"/>
    </font>
    <font>
      <b/>
      <sz val="10"/>
      <color rgb="FFC00000"/>
      <name val="Arial"/>
      <family val="2"/>
    </font>
    <font>
      <sz val="10"/>
      <color rgb="FFC00000"/>
      <name val="Arial"/>
      <family val="2"/>
    </font>
    <font>
      <sz val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7F6FD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AEDFF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7A9CD2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/>
    <xf numFmtId="43" fontId="15" fillId="0" borderId="0" applyFont="0" applyFill="0" applyBorder="0" applyAlignment="0" applyProtection="0"/>
  </cellStyleXfs>
  <cellXfs count="64">
    <xf numFmtId="0" fontId="0" fillId="0" borderId="0" xfId="0"/>
    <xf numFmtId="164" fontId="0" fillId="2" borderId="1" xfId="0" applyNumberFormat="1" applyFill="1" applyBorder="1" applyAlignment="1" applyProtection="1">
      <alignment vertical="center"/>
      <protection locked="0"/>
    </xf>
    <xf numFmtId="0" fontId="0" fillId="2" borderId="1" xfId="0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/>
      <protection hidden="1"/>
    </xf>
    <xf numFmtId="0" fontId="0" fillId="3" borderId="1" xfId="0" applyFill="1" applyBorder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5" fillId="3" borderId="1" xfId="0" applyFont="1" applyFill="1" applyBorder="1" applyAlignment="1" applyProtection="1">
      <alignment vertical="center"/>
      <protection hidden="1"/>
    </xf>
    <xf numFmtId="10" fontId="0" fillId="2" borderId="1" xfId="0" applyNumberFormat="1" applyFill="1" applyBorder="1" applyAlignment="1" applyProtection="1">
      <alignment vertical="center"/>
      <protection locked="0"/>
    </xf>
    <xf numFmtId="10" fontId="8" fillId="2" borderId="1" xfId="0" applyNumberFormat="1" applyFont="1" applyFill="1" applyBorder="1" applyAlignment="1" applyProtection="1">
      <alignment vertical="center"/>
      <protection locked="0"/>
    </xf>
    <xf numFmtId="0" fontId="9" fillId="3" borderId="2" xfId="0" applyFont="1" applyFill="1" applyBorder="1" applyAlignment="1" applyProtection="1">
      <alignment vertical="center"/>
      <protection hidden="1"/>
    </xf>
    <xf numFmtId="164" fontId="9" fillId="3" borderId="2" xfId="0" applyNumberFormat="1" applyFont="1" applyFill="1" applyBorder="1" applyAlignment="1" applyProtection="1">
      <alignment vertical="center"/>
      <protection hidden="1"/>
    </xf>
    <xf numFmtId="164" fontId="6" fillId="4" borderId="0" xfId="0" applyNumberFormat="1" applyFont="1" applyFill="1" applyAlignment="1" applyProtection="1">
      <alignment horizontal="right" vertical="center"/>
      <protection hidden="1"/>
    </xf>
    <xf numFmtId="164" fontId="6" fillId="5" borderId="1" xfId="0" applyNumberFormat="1" applyFont="1" applyFill="1" applyBorder="1" applyAlignment="1" applyProtection="1">
      <alignment horizontal="right" vertical="center"/>
      <protection hidden="1"/>
    </xf>
    <xf numFmtId="10" fontId="6" fillId="4" borderId="3" xfId="1" applyNumberFormat="1" applyFont="1" applyFill="1" applyBorder="1" applyAlignment="1" applyProtection="1">
      <alignment horizontal="right" vertical="center"/>
      <protection hidden="1"/>
    </xf>
    <xf numFmtId="0" fontId="4" fillId="3" borderId="2" xfId="0" applyFont="1" applyFill="1" applyBorder="1" applyAlignment="1" applyProtection="1">
      <alignment vertical="center"/>
      <protection hidden="1"/>
    </xf>
    <xf numFmtId="0" fontId="0" fillId="3" borderId="2" xfId="0" applyFill="1" applyBorder="1" applyAlignment="1" applyProtection="1">
      <alignment vertical="center"/>
      <protection hidden="1"/>
    </xf>
    <xf numFmtId="10" fontId="0" fillId="2" borderId="2" xfId="1" applyNumberFormat="1" applyFont="1" applyFill="1" applyBorder="1" applyAlignment="1" applyProtection="1">
      <alignment vertical="center"/>
      <protection locked="0"/>
    </xf>
    <xf numFmtId="0" fontId="0" fillId="8" borderId="0" xfId="0" applyFill="1" applyAlignment="1" applyProtection="1">
      <alignment vertical="center"/>
      <protection hidden="1"/>
    </xf>
    <xf numFmtId="0" fontId="2" fillId="8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12" fillId="8" borderId="0" xfId="0" applyFont="1" applyFill="1" applyAlignment="1" applyProtection="1">
      <alignment vertical="center"/>
      <protection hidden="1"/>
    </xf>
    <xf numFmtId="0" fontId="10" fillId="8" borderId="0" xfId="2" applyFont="1" applyFill="1" applyAlignment="1" applyProtection="1">
      <alignment vertical="center"/>
      <protection hidden="1"/>
    </xf>
    <xf numFmtId="0" fontId="6" fillId="4" borderId="0" xfId="0" applyFont="1" applyFill="1" applyAlignment="1" applyProtection="1">
      <alignment vertical="center"/>
      <protection hidden="1"/>
    </xf>
    <xf numFmtId="8" fontId="6" fillId="4" borderId="0" xfId="0" applyNumberFormat="1" applyFont="1" applyFill="1" applyAlignment="1" applyProtection="1">
      <alignment vertical="center"/>
      <protection hidden="1"/>
    </xf>
    <xf numFmtId="0" fontId="6" fillId="4" borderId="3" xfId="0" applyFont="1" applyFill="1" applyBorder="1" applyAlignment="1" applyProtection="1">
      <alignment vertical="center"/>
      <protection hidden="1"/>
    </xf>
    <xf numFmtId="8" fontId="6" fillId="4" borderId="3" xfId="0" applyNumberFormat="1" applyFont="1" applyFill="1" applyBorder="1" applyAlignment="1" applyProtection="1">
      <alignment vertical="center"/>
      <protection hidden="1"/>
    </xf>
    <xf numFmtId="0" fontId="5" fillId="7" borderId="1" xfId="0" applyFont="1" applyFill="1" applyBorder="1" applyAlignment="1" applyProtection="1">
      <alignment vertical="center"/>
      <protection hidden="1"/>
    </xf>
    <xf numFmtId="0" fontId="0" fillId="7" borderId="1" xfId="0" applyFill="1" applyBorder="1" applyAlignment="1" applyProtection="1">
      <alignment vertical="center"/>
      <protection hidden="1"/>
    </xf>
    <xf numFmtId="165" fontId="5" fillId="7" borderId="1" xfId="0" applyNumberFormat="1" applyFont="1" applyFill="1" applyBorder="1" applyAlignment="1" applyProtection="1">
      <alignment vertical="center"/>
      <protection hidden="1"/>
    </xf>
    <xf numFmtId="0" fontId="10" fillId="7" borderId="1" xfId="0" applyFont="1" applyFill="1" applyBorder="1" applyAlignment="1" applyProtection="1">
      <alignment vertical="center"/>
      <protection hidden="1"/>
    </xf>
    <xf numFmtId="165" fontId="10" fillId="7" borderId="1" xfId="0" applyNumberFormat="1" applyFont="1" applyFill="1" applyBorder="1" applyAlignment="1" applyProtection="1">
      <alignment vertical="center"/>
      <protection hidden="1"/>
    </xf>
    <xf numFmtId="0" fontId="8" fillId="10" borderId="1" xfId="0" applyFont="1" applyFill="1" applyBorder="1" applyAlignment="1" applyProtection="1">
      <alignment vertical="center"/>
      <protection hidden="1"/>
    </xf>
    <xf numFmtId="0" fontId="7" fillId="10" borderId="1" xfId="0" applyFont="1" applyFill="1" applyBorder="1" applyAlignment="1" applyProtection="1">
      <alignment vertical="center"/>
      <protection hidden="1"/>
    </xf>
    <xf numFmtId="0" fontId="6" fillId="6" borderId="2" xfId="0" applyFont="1" applyFill="1" applyBorder="1" applyAlignment="1" applyProtection="1">
      <alignment vertical="center"/>
      <protection hidden="1"/>
    </xf>
    <xf numFmtId="164" fontId="6" fillId="6" borderId="2" xfId="0" applyNumberFormat="1" applyFont="1" applyFill="1" applyBorder="1" applyAlignment="1" applyProtection="1">
      <alignment vertical="center"/>
      <protection hidden="1"/>
    </xf>
    <xf numFmtId="0" fontId="4" fillId="11" borderId="0" xfId="0" applyFont="1" applyFill="1" applyAlignment="1" applyProtection="1">
      <alignment vertical="center"/>
      <protection hidden="1"/>
    </xf>
    <xf numFmtId="14" fontId="0" fillId="9" borderId="0" xfId="0" applyNumberFormat="1" applyFill="1" applyAlignment="1" applyProtection="1">
      <alignment vertical="center"/>
      <protection hidden="1"/>
    </xf>
    <xf numFmtId="1" fontId="0" fillId="9" borderId="0" xfId="0" applyNumberFormat="1" applyFill="1" applyAlignment="1" applyProtection="1">
      <alignment vertical="center"/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166" fontId="0" fillId="9" borderId="0" xfId="3" applyNumberFormat="1" applyFont="1" applyFill="1" applyAlignment="1" applyProtection="1">
      <alignment vertical="center"/>
      <protection hidden="1"/>
    </xf>
    <xf numFmtId="166" fontId="14" fillId="9" borderId="0" xfId="3" applyNumberFormat="1" applyFont="1" applyFill="1" applyAlignment="1" applyProtection="1">
      <alignment vertical="center"/>
      <protection hidden="1"/>
    </xf>
    <xf numFmtId="0" fontId="5" fillId="9" borderId="0" xfId="0" applyFont="1" applyFill="1" applyAlignment="1" applyProtection="1">
      <alignment vertical="center"/>
      <protection hidden="1"/>
    </xf>
    <xf numFmtId="0" fontId="13" fillId="9" borderId="0" xfId="0" applyFont="1" applyFill="1" applyAlignment="1" applyProtection="1">
      <alignment vertical="center"/>
      <protection hidden="1"/>
    </xf>
    <xf numFmtId="1" fontId="2" fillId="9" borderId="0" xfId="0" applyNumberFormat="1" applyFont="1" applyFill="1" applyAlignment="1" applyProtection="1">
      <alignment vertical="center"/>
      <protection hidden="1"/>
    </xf>
    <xf numFmtId="1" fontId="3" fillId="9" borderId="0" xfId="0" applyNumberFormat="1" applyFont="1" applyFill="1" applyAlignment="1" applyProtection="1">
      <alignment vertical="center"/>
      <protection hidden="1"/>
    </xf>
    <xf numFmtId="0" fontId="1" fillId="9" borderId="0" xfId="0" applyFont="1" applyFill="1" applyAlignment="1" applyProtection="1">
      <alignment vertical="center"/>
      <protection hidden="1"/>
    </xf>
    <xf numFmtId="6" fontId="0" fillId="9" borderId="0" xfId="0" applyNumberFormat="1" applyFill="1" applyAlignment="1" applyProtection="1">
      <alignment vertical="center"/>
      <protection hidden="1"/>
    </xf>
    <xf numFmtId="0" fontId="2" fillId="9" borderId="0" xfId="0" applyFont="1" applyFill="1" applyAlignment="1" applyProtection="1">
      <alignment vertical="center"/>
      <protection hidden="1"/>
    </xf>
    <xf numFmtId="164" fontId="3" fillId="9" borderId="0" xfId="0" quotePrefix="1" applyNumberFormat="1" applyFont="1" applyFill="1" applyAlignment="1" applyProtection="1">
      <alignment vertical="center"/>
      <protection hidden="1"/>
    </xf>
    <xf numFmtId="0" fontId="2" fillId="9" borderId="0" xfId="0" applyFont="1" applyFill="1" applyAlignment="1" applyProtection="1">
      <alignment horizontal="center" vertical="center"/>
      <protection hidden="1"/>
    </xf>
    <xf numFmtId="0" fontId="0" fillId="9" borderId="0" xfId="0" applyFill="1" applyAlignment="1" applyProtection="1">
      <alignment horizontal="center" vertical="center"/>
      <protection hidden="1"/>
    </xf>
    <xf numFmtId="0" fontId="0" fillId="9" borderId="0" xfId="0" applyFill="1" applyAlignment="1" applyProtection="1">
      <alignment horizontal="center" vertical="center"/>
      <protection locked="0"/>
    </xf>
    <xf numFmtId="10" fontId="0" fillId="9" borderId="0" xfId="1" applyNumberFormat="1" applyFont="1" applyFill="1" applyAlignment="1" applyProtection="1">
      <alignment vertical="center"/>
      <protection hidden="1"/>
    </xf>
    <xf numFmtId="8" fontId="0" fillId="9" borderId="0" xfId="0" applyNumberFormat="1" applyFill="1" applyAlignment="1" applyProtection="1">
      <alignment vertical="center"/>
      <protection hidden="1"/>
    </xf>
    <xf numFmtId="0" fontId="4" fillId="12" borderId="0" xfId="0" applyFont="1" applyFill="1" applyAlignment="1" applyProtection="1">
      <alignment vertical="center"/>
      <protection hidden="1"/>
    </xf>
    <xf numFmtId="0" fontId="0" fillId="13" borderId="0" xfId="0" applyFill="1" applyAlignment="1" applyProtection="1">
      <alignment vertical="center"/>
      <protection hidden="1"/>
    </xf>
    <xf numFmtId="1" fontId="0" fillId="13" borderId="0" xfId="0" applyNumberFormat="1" applyFill="1" applyAlignment="1" applyProtection="1">
      <alignment vertical="center"/>
      <protection hidden="1"/>
    </xf>
    <xf numFmtId="0" fontId="14" fillId="2" borderId="4" xfId="2" applyFont="1" applyFill="1" applyBorder="1" applyAlignment="1" applyProtection="1">
      <alignment horizontal="center" vertical="center"/>
      <protection locked="0"/>
    </xf>
    <xf numFmtId="0" fontId="1" fillId="2" borderId="4" xfId="2" applyFill="1" applyBorder="1" applyAlignment="1" applyProtection="1">
      <alignment horizontal="center" vertical="center"/>
      <protection locked="0"/>
    </xf>
    <xf numFmtId="0" fontId="13" fillId="9" borderId="4" xfId="2" applyFont="1" applyFill="1" applyBorder="1" applyAlignment="1" applyProtection="1">
      <alignment vertical="center"/>
      <protection hidden="1"/>
    </xf>
    <xf numFmtId="0" fontId="2" fillId="9" borderId="4" xfId="2" applyFont="1" applyFill="1" applyBorder="1" applyAlignment="1" applyProtection="1">
      <alignment vertical="center"/>
      <protection hidden="1"/>
    </xf>
    <xf numFmtId="0" fontId="11" fillId="8" borderId="0" xfId="0" applyFont="1" applyFill="1" applyAlignment="1" applyProtection="1">
      <alignment horizontal="right" vertical="center"/>
      <protection hidden="1"/>
    </xf>
    <xf numFmtId="0" fontId="2" fillId="9" borderId="0" xfId="0" applyFont="1" applyFill="1" applyAlignment="1" applyProtection="1">
      <alignment horizontal="center" vertical="center"/>
      <protection hidden="1"/>
    </xf>
    <xf numFmtId="0" fontId="6" fillId="11" borderId="3" xfId="0" applyFont="1" applyFill="1" applyBorder="1" applyAlignment="1" applyProtection="1">
      <alignment horizontal="left" vertical="center"/>
      <protection hidden="1"/>
    </xf>
  </cellXfs>
  <cellStyles count="4">
    <cellStyle name="Comma" xfId="3" builtinId="3"/>
    <cellStyle name="Normal" xfId="0" builtinId="0"/>
    <cellStyle name="Normal 2" xfId="2" xr:uid="{00000000-0005-0000-0000-000003000000}"/>
    <cellStyle name="Percent" xfId="1" builtinId="5"/>
  </cellStyles>
  <dxfs count="0"/>
  <tableStyles count="0" defaultTableStyle="TableStyleMedium9" defaultPivotStyle="PivotStyleLight16"/>
  <colors>
    <mruColors>
      <color rgb="FF7A9CD2"/>
      <color rgb="FFF0FAFE"/>
      <color rgb="FF9EB6DE"/>
      <color rgb="FFAEDFF7"/>
      <color rgb="FFFF8989"/>
      <color rgb="FFE7F6FD"/>
      <color rgb="FFA8DADC"/>
      <color rgb="FF58BC91"/>
      <color rgb="FFE6E6FA"/>
      <color rgb="FFD0F4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accent3">
                    <a:lumMod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800" b="1" i="0" baseline="0">
                <a:solidFill>
                  <a:schemeClr val="accent3">
                    <a:lumMod val="50000"/>
                  </a:schemeClr>
                </a:solidFill>
                <a:effectLst/>
              </a:rPr>
              <a:t>SIP Investment Performance</a:t>
            </a:r>
            <a:endParaRPr lang="en-US">
              <a:solidFill>
                <a:schemeClr val="accent3">
                  <a:lumMod val="50000"/>
                </a:schemeClr>
              </a:solidFill>
              <a:effectLst/>
            </a:endParaRP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accent3">
                  <a:lumMod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177559610408362"/>
          <c:y val="0.19437982235158724"/>
          <c:w val="0.8537768251465041"/>
          <c:h val="0.57067130297913071"/>
        </c:manualLayout>
      </c:layout>
      <c:lineChart>
        <c:grouping val="standard"/>
        <c:varyColors val="0"/>
        <c:ser>
          <c:idx val="3"/>
          <c:order val="0"/>
          <c:tx>
            <c:v>Delayed Investment</c:v>
          </c:tx>
          <c:spPr>
            <a:ln w="412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[0]!SIPDelayInflationWB</c:f>
              <c:numCache>
                <c:formatCode>0</c:formatCode>
                <c:ptCount val="180"/>
                <c:pt idx="0">
                  <c:v>5047.4439646729152</c:v>
                </c:pt>
                <c:pt idx="1">
                  <c:v>10142.782079975523</c:v>
                </c:pt>
                <c:pt idx="2">
                  <c:v>15286.468803585925</c:v>
                </c:pt>
                <c:pt idx="3">
                  <c:v>20478.962905437031</c:v>
                </c:pt>
                <c:pt idx="4">
                  <c:v>25720.727508634645</c:v>
                </c:pt>
                <c:pt idx="5">
                  <c:v>31012.23013076383</c:v>
                </c:pt>
                <c:pt idx="6">
                  <c:v>36353.9427255872</c:v>
                </c:pt>
                <c:pt idx="7">
                  <c:v>41746.341725138904</c:v>
                </c:pt>
                <c:pt idx="8">
                  <c:v>47189.908082218004</c:v>
                </c:pt>
                <c:pt idx="9">
                  <c:v>52685.127313285091</c:v>
                </c:pt>
                <c:pt idx="10">
                  <c:v>58232.489541765914</c:v>
                </c:pt>
                <c:pt idx="11">
                  <c:v>63832.489541765921</c:v>
                </c:pt>
                <c:pt idx="12">
                  <c:v>69990.371178666872</c:v>
                </c:pt>
                <c:pt idx="13">
                  <c:v>76206.683679336056</c:v>
                </c:pt>
                <c:pt idx="14">
                  <c:v>82481.981482140749</c:v>
                </c:pt>
                <c:pt idx="15">
                  <c:v>88816.824286399104</c:v>
                </c:pt>
                <c:pt idx="16">
                  <c:v>95211.777102300199</c:v>
                </c:pt>
                <c:pt idx="17">
                  <c:v>101667.4103012978</c:v>
                </c:pt>
                <c:pt idx="18">
                  <c:v>108184.29966698232</c:v>
                </c:pt>
                <c:pt idx="19">
                  <c:v>114763.0264464354</c:v>
                </c:pt>
                <c:pt idx="20">
                  <c:v>121404.1774020719</c:v>
                </c:pt>
                <c:pt idx="21">
                  <c:v>128108.34486397376</c:v>
                </c:pt>
                <c:pt idx="22">
                  <c:v>134876.12678272038</c:v>
                </c:pt>
                <c:pt idx="23">
                  <c:v>141708.12678272038</c:v>
                </c:pt>
                <c:pt idx="24">
                  <c:v>149160.17305216347</c:v>
                </c:pt>
                <c:pt idx="25">
                  <c:v>156682.93024559625</c:v>
                </c:pt>
                <c:pt idx="26">
                  <c:v>164277.06932433465</c:v>
                </c:pt>
                <c:pt idx="27">
                  <c:v>171943.26761630762</c:v>
                </c:pt>
                <c:pt idx="28">
                  <c:v>179682.20887646859</c:v>
                </c:pt>
                <c:pt idx="29">
                  <c:v>187494.58334778014</c:v>
                </c:pt>
                <c:pt idx="30">
                  <c:v>195381.08782277736</c:v>
                </c:pt>
                <c:pt idx="31">
                  <c:v>203342.42570571552</c:v>
                </c:pt>
                <c:pt idx="32">
                  <c:v>211379.30707530712</c:v>
                </c:pt>
                <c:pt idx="33">
                  <c:v>219492.44874805459</c:v>
                </c:pt>
                <c:pt idx="34">
                  <c:v>227682.57434218368</c:v>
                </c:pt>
                <c:pt idx="35">
                  <c:v>235950.41434218371</c:v>
                </c:pt>
                <c:pt idx="36">
                  <c:v>244907.44688368542</c:v>
                </c:pt>
                <c:pt idx="37">
                  <c:v>253949.47085228175</c:v>
                </c:pt>
                <c:pt idx="38">
                  <c:v>263077.29271402565</c:v>
                </c:pt>
                <c:pt idx="39">
                  <c:v>272291.72658735939</c:v>
                </c:pt>
                <c:pt idx="40">
                  <c:v>281593.5943157266</c:v>
                </c:pt>
                <c:pt idx="41">
                  <c:v>290983.72554087319</c:v>
                </c:pt>
                <c:pt idx="42">
                  <c:v>300462.95777684374</c:v>
                </c:pt>
                <c:pt idx="43">
                  <c:v>310032.13648468023</c:v>
                </c:pt>
                <c:pt idx="44">
                  <c:v>319692.11514782941</c:v>
                </c:pt>
                <c:pt idx="45">
                  <c:v>329443.75534826569</c:v>
                </c:pt>
                <c:pt idx="46">
                  <c:v>339287.92684333649</c:v>
                </c:pt>
                <c:pt idx="47">
                  <c:v>349225.50764333655</c:v>
                </c:pt>
                <c:pt idx="48">
                  <c:v>359929.19888151641</c:v>
                </c:pt>
                <c:pt idx="49">
                  <c:v>370734.45522949111</c:v>
                </c:pt>
                <c:pt idx="50">
                  <c:v>381642.24041755684</c:v>
                </c:pt>
                <c:pt idx="51">
                  <c:v>392653.52732064703</c:v>
                </c:pt>
                <c:pt idx="52">
                  <c:v>403769.2980451039</c:v>
                </c:pt>
                <c:pt idx="53">
                  <c:v>414990.54401627346</c:v>
                </c:pt>
                <c:pt idx="54">
                  <c:v>426318.26606693148</c:v>
                </c:pt>
                <c:pt idx="55">
                  <c:v>437753.4745265487</c:v>
                </c:pt>
                <c:pt idx="56">
                  <c:v>449297.18931140302</c:v>
                </c:pt>
                <c:pt idx="57">
                  <c:v>460950.44001554669</c:v>
                </c:pt>
                <c:pt idx="58">
                  <c:v>472714.26600263675</c:v>
                </c:pt>
                <c:pt idx="59">
                  <c:v>484589.71649863682</c:v>
                </c:pt>
                <c:pt idx="60">
                  <c:v>497316.84695626603</c:v>
                </c:pt>
                <c:pt idx="61">
                  <c:v>510164.74251945911</c:v>
                </c:pt>
                <c:pt idx="62">
                  <c:v>523134.54910329648</c:v>
                </c:pt>
                <c:pt idx="63">
                  <c:v>536227.42349620943</c:v>
                </c:pt>
                <c:pt idx="64">
                  <c:v>549444.53346315527</c:v>
                </c:pt>
                <c:pt idx="65">
                  <c:v>562787.05784977099</c:v>
                </c:pt>
                <c:pt idx="66">
                  <c:v>576256.18668751593</c:v>
                </c:pt>
                <c:pt idx="67">
                  <c:v>589853.12129981152</c:v>
                </c:pt>
                <c:pt idx="68">
                  <c:v>603579.07440918824</c:v>
                </c:pt>
                <c:pt idx="69">
                  <c:v>617435.27024544973</c:v>
                </c:pt>
                <c:pt idx="70">
                  <c:v>631422.9446548624</c:v>
                </c:pt>
                <c:pt idx="71">
                  <c:v>645543.34521038248</c:v>
                </c:pt>
                <c:pt idx="72">
                  <c:v>660610.62722088175</c:v>
                </c:pt>
                <c:pt idx="73">
                  <c:v>675820.87955046573</c:v>
                </c:pt>
                <c:pt idx="74">
                  <c:v>691175.45881488791</c:v>
                </c:pt>
                <c:pt idx="75">
                  <c:v>706675.73450254777</c:v>
                </c:pt>
                <c:pt idx="76">
                  <c:v>722323.08909663674</c:v>
                </c:pt>
                <c:pt idx="77">
                  <c:v>738118.9181984429</c:v>
                </c:pt>
                <c:pt idx="78">
                  <c:v>754064.63065182639</c:v>
                </c:pt>
                <c:pt idx="79">
                  <c:v>770161.6486688744</c:v>
                </c:pt>
                <c:pt idx="80">
                  <c:v>786411.40795675036</c:v>
                </c:pt>
                <c:pt idx="81">
                  <c:v>802815.35784574586</c:v>
                </c:pt>
                <c:pt idx="82">
                  <c:v>819374.96141854732</c:v>
                </c:pt>
                <c:pt idx="83">
                  <c:v>836091.69564072986</c:v>
                </c:pt>
                <c:pt idx="84">
                  <c:v>853861.23698023916</c:v>
                </c:pt>
                <c:pt idx="85">
                  <c:v>871799.38981806149</c:v>
                </c:pt>
                <c:pt idx="86">
                  <c:v>889907.75407379086</c:v>
                </c:pt>
                <c:pt idx="87">
                  <c:v>908187.94484832685</c:v>
                </c:pt>
                <c:pt idx="88">
                  <c:v>926641.59256792709</c:v>
                </c:pt>
                <c:pt idx="89">
                  <c:v>945270.34312962636</c:v>
                </c:pt>
                <c:pt idx="90">
                  <c:v>964075.85804803565</c:v>
                </c:pt>
                <c:pt idx="91">
                  <c:v>983059.81460353383</c:v>
                </c:pt>
                <c:pt idx="92">
                  <c:v>1002223.9059918663</c:v>
                </c:pt>
                <c:pt idx="93">
                  <c:v>1021569.8414751621</c:v>
                </c:pt>
                <c:pt idx="94">
                  <c:v>1041099.3465343846</c:v>
                </c:pt>
                <c:pt idx="95">
                  <c:v>1060814.163023229</c:v>
                </c:pt>
                <c:pt idx="96">
                  <c:v>1081699.6533600043</c:v>
                </c:pt>
                <c:pt idx="97">
                  <c:v>1102783.3217899227</c:v>
                </c:pt>
                <c:pt idx="98">
                  <c:v>1124067.0487838739</c:v>
                </c:pt>
                <c:pt idx="99">
                  <c:v>1145552.7326561469</c:v>
                </c:pt>
                <c:pt idx="100">
                  <c:v>1167242.2897337417</c:v>
                </c:pt>
                <c:pt idx="101">
                  <c:v>1189137.6545272886</c:v>
                </c:pt>
                <c:pt idx="102">
                  <c:v>1211240.7799035888</c:v>
                </c:pt>
                <c:pt idx="103">
                  <c:v>1233553.6372597918</c:v>
                </c:pt>
                <c:pt idx="104">
                  <c:v>1256078.2166992268</c:v>
                </c:pt>
                <c:pt idx="105">
                  <c:v>1278816.527208901</c:v>
                </c:pt>
                <c:pt idx="106">
                  <c:v>1301770.5968386838</c:v>
                </c:pt>
                <c:pt idx="107">
                  <c:v>1324942.4728821896</c:v>
                </c:pt>
                <c:pt idx="108">
                  <c:v>1349416.1864995556</c:v>
                </c:pt>
                <c:pt idx="109">
                  <c:v>1374122.1261177768</c:v>
                </c:pt>
                <c:pt idx="110">
                  <c:v>1399062.49528129</c:v>
                </c:pt>
                <c:pt idx="111">
                  <c:v>1424239.5184435078</c:v>
                </c:pt>
                <c:pt idx="112">
                  <c:v>1449655.4411652212</c:v>
                </c:pt>
                <c:pt idx="113">
                  <c:v>1475312.5303148821</c:v>
                </c:pt>
                <c:pt idx="114">
                  <c:v>1501213.0742707881</c:v>
                </c:pt>
                <c:pt idx="115">
                  <c:v>1527359.3831251848</c:v>
                </c:pt>
                <c:pt idx="116">
                  <c:v>1553753.7888903047</c:v>
                </c:pt>
                <c:pt idx="117">
                  <c:v>1580398.6457063612</c:v>
                </c:pt>
                <c:pt idx="118">
                  <c:v>1607296.3300515166</c:v>
                </c:pt>
                <c:pt idx="119">
                  <c:v>1634449.2409538429</c:v>
                </c:pt>
                <c:pt idx="120">
                  <c:v>1649958.1913633402</c:v>
                </c:pt>
                <c:pt idx="121">
                  <c:v>1665614.3029919064</c:v>
                </c:pt>
                <c:pt idx="122">
                  <c:v>1681418.9722218765</c:v>
                </c:pt>
                <c:pt idx="123">
                  <c:v>1697373.6086855694</c:v>
                </c:pt>
                <c:pt idx="124">
                  <c:v>1713479.6353910128</c:v>
                </c:pt>
                <c:pt idx="125">
                  <c:v>1729738.4888488632</c:v>
                </c:pt>
                <c:pt idx="126">
                  <c:v>1746151.6192005286</c:v>
                </c:pt>
                <c:pt idx="127">
                  <c:v>1762720.4903475093</c:v>
                </c:pt>
                <c:pt idx="128">
                  <c:v>1779446.5800819634</c:v>
                </c:pt>
                <c:pt idx="129">
                  <c:v>1796331.3802185135</c:v>
                </c:pt>
                <c:pt idx="130">
                  <c:v>1813376.3967273007</c:v>
                </c:pt>
                <c:pt idx="131">
                  <c:v>1830583.1498683065</c:v>
                </c:pt>
                <c:pt idx="132">
                  <c:v>1847953.1743269435</c:v>
                </c:pt>
                <c:pt idx="133">
                  <c:v>1865488.0193509376</c:v>
                </c:pt>
                <c:pt idx="134">
                  <c:v>1883189.2488885042</c:v>
                </c:pt>
                <c:pt idx="135">
                  <c:v>1901058.4417278401</c:v>
                </c:pt>
                <c:pt idx="136">
                  <c:v>1919097.1916379367</c:v>
                </c:pt>
                <c:pt idx="137">
                  <c:v>1937307.107510729</c:v>
                </c:pt>
                <c:pt idx="138">
                  <c:v>1955689.8135045944</c:v>
                </c:pt>
                <c:pt idx="139">
                  <c:v>1974246.9491892129</c:v>
                </c:pt>
                <c:pt idx="140">
                  <c:v>1992980.1696918018</c:v>
                </c:pt>
                <c:pt idx="141">
                  <c:v>2011891.1458447375</c:v>
                </c:pt>
                <c:pt idx="142">
                  <c:v>2030981.5643345793</c:v>
                </c:pt>
                <c:pt idx="143">
                  <c:v>2050253.1278525055</c:v>
                </c:pt>
                <c:pt idx="144">
                  <c:v>2069707.555246179</c:v>
                </c:pt>
                <c:pt idx="145">
                  <c:v>2089346.5816730526</c:v>
                </c:pt>
                <c:pt idx="146">
                  <c:v>2109171.9587551276</c:v>
                </c:pt>
                <c:pt idx="147">
                  <c:v>2129185.4547351836</c:v>
                </c:pt>
                <c:pt idx="148">
                  <c:v>2149388.8546344917</c:v>
                </c:pt>
                <c:pt idx="149">
                  <c:v>2169783.9604120194</c:v>
                </c:pt>
                <c:pt idx="150">
                  <c:v>2190372.5911251488</c:v>
                </c:pt>
                <c:pt idx="151">
                  <c:v>2211156.5830919212</c:v>
                </c:pt>
                <c:pt idx="152">
                  <c:v>2232137.7900548205</c:v>
                </c:pt>
                <c:pt idx="153">
                  <c:v>2253318.0833461089</c:v>
                </c:pt>
                <c:pt idx="154">
                  <c:v>2274699.3520547319</c:v>
                </c:pt>
                <c:pt idx="155">
                  <c:v>2296283.5031948094</c:v>
                </c:pt>
                <c:pt idx="156">
                  <c:v>2318072.4618757241</c:v>
                </c:pt>
                <c:pt idx="157">
                  <c:v>2340068.1714738221</c:v>
                </c:pt>
                <c:pt idx="158">
                  <c:v>2362272.5938057457</c:v>
                </c:pt>
                <c:pt idx="159">
                  <c:v>2384687.7093034089</c:v>
                </c:pt>
                <c:pt idx="160">
                  <c:v>2407315.5171906338</c:v>
                </c:pt>
                <c:pt idx="161">
                  <c:v>2430158.035661465</c:v>
                </c:pt>
                <c:pt idx="162">
                  <c:v>2453217.3020601696</c:v>
                </c:pt>
                <c:pt idx="163">
                  <c:v>2476495.3730629552</c:v>
                </c:pt>
                <c:pt idx="164">
                  <c:v>2499994.3248614022</c:v>
                </c:pt>
                <c:pt idx="165">
                  <c:v>2523716.2533476455</c:v>
                </c:pt>
                <c:pt idx="166">
                  <c:v>2547663.2743013031</c:v>
                </c:pt>
                <c:pt idx="167">
                  <c:v>2571837.5235781898</c:v>
                </c:pt>
                <c:pt idx="168">
                  <c:v>2596241.1573008141</c:v>
                </c:pt>
                <c:pt idx="169">
                  <c:v>2620876.3520506839</c:v>
                </c:pt>
                <c:pt idx="170">
                  <c:v>2645745.3050624384</c:v>
                </c:pt>
                <c:pt idx="171">
                  <c:v>2670850.2344198208</c:v>
                </c:pt>
                <c:pt idx="172">
                  <c:v>2696193.3792535132</c:v>
                </c:pt>
                <c:pt idx="173">
                  <c:v>2721776.9999408438</c:v>
                </c:pt>
                <c:pt idx="174">
                  <c:v>2747603.3783073938</c:v>
                </c:pt>
                <c:pt idx="175">
                  <c:v>2773674.8178305128</c:v>
                </c:pt>
                <c:pt idx="176">
                  <c:v>2799993.643844774</c:v>
                </c:pt>
                <c:pt idx="177">
                  <c:v>2826562.2037493661</c:v>
                </c:pt>
                <c:pt idx="178">
                  <c:v>2853382.867217463</c:v>
                </c:pt>
                <c:pt idx="179">
                  <c:v>2880458.0264075766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AE-485E-BCF2-F4F3DE42E135}"/>
            </c:ext>
          </c:extLst>
        </c:ser>
        <c:ser>
          <c:idx val="1"/>
          <c:order val="1"/>
          <c:tx>
            <c:v>Investment</c:v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[0]!SIPInvestmentGraphWB</c:f>
              <c:numCache>
                <c:formatCode>General</c:formatCode>
                <c:ptCount val="120"/>
                <c:pt idx="0">
                  <c:v>5000</c:v>
                </c:pt>
                <c:pt idx="1">
                  <c:v>10000</c:v>
                </c:pt>
                <c:pt idx="2">
                  <c:v>15000</c:v>
                </c:pt>
                <c:pt idx="3">
                  <c:v>20000</c:v>
                </c:pt>
                <c:pt idx="4">
                  <c:v>25000</c:v>
                </c:pt>
                <c:pt idx="5">
                  <c:v>30000</c:v>
                </c:pt>
                <c:pt idx="6">
                  <c:v>35000</c:v>
                </c:pt>
                <c:pt idx="7">
                  <c:v>40000</c:v>
                </c:pt>
                <c:pt idx="8">
                  <c:v>45000</c:v>
                </c:pt>
                <c:pt idx="9">
                  <c:v>50000</c:v>
                </c:pt>
                <c:pt idx="10">
                  <c:v>55000</c:v>
                </c:pt>
                <c:pt idx="11">
                  <c:v>60000</c:v>
                </c:pt>
                <c:pt idx="12">
                  <c:v>65500</c:v>
                </c:pt>
                <c:pt idx="13">
                  <c:v>71000</c:v>
                </c:pt>
                <c:pt idx="14">
                  <c:v>76500</c:v>
                </c:pt>
                <c:pt idx="15">
                  <c:v>82000</c:v>
                </c:pt>
                <c:pt idx="16">
                  <c:v>87500</c:v>
                </c:pt>
                <c:pt idx="17">
                  <c:v>93000</c:v>
                </c:pt>
                <c:pt idx="18">
                  <c:v>98500</c:v>
                </c:pt>
                <c:pt idx="19">
                  <c:v>104000</c:v>
                </c:pt>
                <c:pt idx="20">
                  <c:v>109500</c:v>
                </c:pt>
                <c:pt idx="21">
                  <c:v>115000</c:v>
                </c:pt>
                <c:pt idx="22">
                  <c:v>120500</c:v>
                </c:pt>
                <c:pt idx="23">
                  <c:v>126000</c:v>
                </c:pt>
                <c:pt idx="24">
                  <c:v>132050</c:v>
                </c:pt>
                <c:pt idx="25">
                  <c:v>138100</c:v>
                </c:pt>
                <c:pt idx="26">
                  <c:v>144150</c:v>
                </c:pt>
                <c:pt idx="27">
                  <c:v>150200</c:v>
                </c:pt>
                <c:pt idx="28">
                  <c:v>156250</c:v>
                </c:pt>
                <c:pt idx="29">
                  <c:v>162300</c:v>
                </c:pt>
                <c:pt idx="30">
                  <c:v>168350</c:v>
                </c:pt>
                <c:pt idx="31">
                  <c:v>174400</c:v>
                </c:pt>
                <c:pt idx="32">
                  <c:v>180450</c:v>
                </c:pt>
                <c:pt idx="33">
                  <c:v>186500</c:v>
                </c:pt>
                <c:pt idx="34">
                  <c:v>192550</c:v>
                </c:pt>
                <c:pt idx="35">
                  <c:v>198600</c:v>
                </c:pt>
                <c:pt idx="36">
                  <c:v>205255</c:v>
                </c:pt>
                <c:pt idx="37">
                  <c:v>211910</c:v>
                </c:pt>
                <c:pt idx="38">
                  <c:v>218565</c:v>
                </c:pt>
                <c:pt idx="39">
                  <c:v>225220</c:v>
                </c:pt>
                <c:pt idx="40">
                  <c:v>231875</c:v>
                </c:pt>
                <c:pt idx="41">
                  <c:v>238530</c:v>
                </c:pt>
                <c:pt idx="42">
                  <c:v>245185</c:v>
                </c:pt>
                <c:pt idx="43">
                  <c:v>251840</c:v>
                </c:pt>
                <c:pt idx="44">
                  <c:v>258495</c:v>
                </c:pt>
                <c:pt idx="45">
                  <c:v>265150</c:v>
                </c:pt>
                <c:pt idx="46">
                  <c:v>271805</c:v>
                </c:pt>
                <c:pt idx="47">
                  <c:v>278460</c:v>
                </c:pt>
                <c:pt idx="48">
                  <c:v>285780.5</c:v>
                </c:pt>
                <c:pt idx="49">
                  <c:v>293101</c:v>
                </c:pt>
                <c:pt idx="50">
                  <c:v>300421.5</c:v>
                </c:pt>
                <c:pt idx="51">
                  <c:v>307742</c:v>
                </c:pt>
                <c:pt idx="52">
                  <c:v>315062.5</c:v>
                </c:pt>
                <c:pt idx="53">
                  <c:v>322383</c:v>
                </c:pt>
                <c:pt idx="54">
                  <c:v>329703.5</c:v>
                </c:pt>
                <c:pt idx="55">
                  <c:v>337024</c:v>
                </c:pt>
                <c:pt idx="56">
                  <c:v>344344.5</c:v>
                </c:pt>
                <c:pt idx="57">
                  <c:v>351665</c:v>
                </c:pt>
                <c:pt idx="58">
                  <c:v>358985.5</c:v>
                </c:pt>
                <c:pt idx="59">
                  <c:v>366306</c:v>
                </c:pt>
                <c:pt idx="60">
                  <c:v>374358.55</c:v>
                </c:pt>
                <c:pt idx="61">
                  <c:v>382411.1</c:v>
                </c:pt>
                <c:pt idx="62">
                  <c:v>390463.64999999997</c:v>
                </c:pt>
                <c:pt idx="63">
                  <c:v>398516.19999999995</c:v>
                </c:pt>
                <c:pt idx="64">
                  <c:v>406568.74999999994</c:v>
                </c:pt>
                <c:pt idx="65">
                  <c:v>414621.29999999993</c:v>
                </c:pt>
                <c:pt idx="66">
                  <c:v>422673.84999999992</c:v>
                </c:pt>
                <c:pt idx="67">
                  <c:v>430726.39999999991</c:v>
                </c:pt>
                <c:pt idx="68">
                  <c:v>438778.9499999999</c:v>
                </c:pt>
                <c:pt idx="69">
                  <c:v>446831.49999999988</c:v>
                </c:pt>
                <c:pt idx="70">
                  <c:v>454884.04999999987</c:v>
                </c:pt>
                <c:pt idx="71">
                  <c:v>462936.59999999986</c:v>
                </c:pt>
                <c:pt idx="72">
                  <c:v>471794.40499999985</c:v>
                </c:pt>
                <c:pt idx="73">
                  <c:v>480652.20999999985</c:v>
                </c:pt>
                <c:pt idx="74">
                  <c:v>489510.01499999984</c:v>
                </c:pt>
                <c:pt idx="75">
                  <c:v>498367.81999999983</c:v>
                </c:pt>
                <c:pt idx="76">
                  <c:v>507225.62499999983</c:v>
                </c:pt>
                <c:pt idx="77">
                  <c:v>516083.42999999982</c:v>
                </c:pt>
                <c:pt idx="78">
                  <c:v>524941.23499999987</c:v>
                </c:pt>
                <c:pt idx="79">
                  <c:v>533799.03999999992</c:v>
                </c:pt>
                <c:pt idx="80">
                  <c:v>542656.84499999997</c:v>
                </c:pt>
                <c:pt idx="81">
                  <c:v>551514.65</c:v>
                </c:pt>
                <c:pt idx="82">
                  <c:v>560372.45500000007</c:v>
                </c:pt>
                <c:pt idx="83">
                  <c:v>569230.26000000013</c:v>
                </c:pt>
                <c:pt idx="84">
                  <c:v>578973.84550000017</c:v>
                </c:pt>
                <c:pt idx="85">
                  <c:v>588717.43100000022</c:v>
                </c:pt>
                <c:pt idx="86">
                  <c:v>598461.01650000026</c:v>
                </c:pt>
                <c:pt idx="87">
                  <c:v>608204.6020000003</c:v>
                </c:pt>
                <c:pt idx="88">
                  <c:v>617948.18750000035</c:v>
                </c:pt>
                <c:pt idx="89">
                  <c:v>627691.77300000039</c:v>
                </c:pt>
                <c:pt idx="90">
                  <c:v>637435.35850000044</c:v>
                </c:pt>
                <c:pt idx="91">
                  <c:v>647178.94400000048</c:v>
                </c:pt>
                <c:pt idx="92">
                  <c:v>656922.52950000053</c:v>
                </c:pt>
                <c:pt idx="93">
                  <c:v>666666.11500000057</c:v>
                </c:pt>
                <c:pt idx="94">
                  <c:v>676409.70050000062</c:v>
                </c:pt>
                <c:pt idx="95">
                  <c:v>686153.28600000066</c:v>
                </c:pt>
                <c:pt idx="96">
                  <c:v>696871.23005000071</c:v>
                </c:pt>
                <c:pt idx="97">
                  <c:v>707589.17410000076</c:v>
                </c:pt>
                <c:pt idx="98">
                  <c:v>718307.11815000081</c:v>
                </c:pt>
                <c:pt idx="99">
                  <c:v>729025.06220000086</c:v>
                </c:pt>
                <c:pt idx="100">
                  <c:v>739743.00625000091</c:v>
                </c:pt>
                <c:pt idx="101">
                  <c:v>750460.95030000096</c:v>
                </c:pt>
                <c:pt idx="102">
                  <c:v>761178.89435000101</c:v>
                </c:pt>
                <c:pt idx="103">
                  <c:v>771896.83840000106</c:v>
                </c:pt>
                <c:pt idx="104">
                  <c:v>782614.7824500011</c:v>
                </c:pt>
                <c:pt idx="105">
                  <c:v>793332.72650000115</c:v>
                </c:pt>
                <c:pt idx="106">
                  <c:v>804050.6705500012</c:v>
                </c:pt>
                <c:pt idx="107">
                  <c:v>814768.61460000125</c:v>
                </c:pt>
                <c:pt idx="108">
                  <c:v>826558.35305500124</c:v>
                </c:pt>
                <c:pt idx="109">
                  <c:v>838348.09151000122</c:v>
                </c:pt>
                <c:pt idx="110">
                  <c:v>850137.8299650012</c:v>
                </c:pt>
                <c:pt idx="111">
                  <c:v>861927.56842000119</c:v>
                </c:pt>
                <c:pt idx="112">
                  <c:v>873717.30687500117</c:v>
                </c:pt>
                <c:pt idx="113">
                  <c:v>885507.04533000116</c:v>
                </c:pt>
                <c:pt idx="114">
                  <c:v>897296.78378500114</c:v>
                </c:pt>
                <c:pt idx="115">
                  <c:v>909086.52224000113</c:v>
                </c:pt>
                <c:pt idx="116">
                  <c:v>920876.26069500111</c:v>
                </c:pt>
                <c:pt idx="117">
                  <c:v>932665.99915000109</c:v>
                </c:pt>
                <c:pt idx="118">
                  <c:v>944455.73760500108</c:v>
                </c:pt>
                <c:pt idx="119">
                  <c:v>956245.47606000106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AE-485E-BCF2-F4F3DE42E135}"/>
            </c:ext>
          </c:extLst>
        </c:ser>
        <c:ser>
          <c:idx val="2"/>
          <c:order val="2"/>
          <c:tx>
            <c:v>Inflation Adjusted</c:v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[0]!SIPInflationReturnWB</c:f>
              <c:numCache>
                <c:formatCode>0</c:formatCode>
                <c:ptCount val="180"/>
                <c:pt idx="0">
                  <c:v>5023.9827729793524</c:v>
                </c:pt>
                <c:pt idx="1">
                  <c:v>10048.711212667664</c:v>
                </c:pt>
                <c:pt idx="2">
                  <c:v>15074.297439556854</c:v>
                </c:pt>
                <c:pt idx="3">
                  <c:v>20100.853607404577</c:v>
                </c:pt>
                <c:pt idx="4">
                  <c:v>25128.491905738909</c:v>
                </c:pt>
                <c:pt idx="5">
                  <c:v>30157.324562364098</c:v>
                </c:pt>
                <c:pt idx="6">
                  <c:v>35187.46384586754</c:v>
                </c:pt>
                <c:pt idx="7">
                  <c:v>40219.022068127939</c:v>
                </c:pt>
                <c:pt idx="8">
                  <c:v>45252.111586824765</c:v>
                </c:pt>
                <c:pt idx="9">
                  <c:v>50286.844807949041</c:v>
                </c:pt>
                <c:pt idx="10">
                  <c:v>55323.334188315566</c:v>
                </c:pt>
                <c:pt idx="11">
                  <c:v>60361.692238076517</c:v>
                </c:pt>
                <c:pt idx="12">
                  <c:v>65877.112636520658</c:v>
                </c:pt>
                <c:pt idx="13">
                  <c:v>71394.697406956213</c:v>
                </c:pt>
                <c:pt idx="14">
                  <c:v>76914.569837055242</c:v>
                </c:pt>
                <c:pt idx="15">
                  <c:v>82436.853281043077</c:v>
                </c:pt>
                <c:pt idx="16">
                  <c:v>87961.671162456929</c:v>
                </c:pt>
                <c:pt idx="17">
                  <c:v>93489.146976906282</c:v>
                </c:pt>
                <c:pt idx="18">
                  <c:v>99019.404294835374</c:v>
                </c:pt>
                <c:pt idx="19">
                  <c:v>104552.56676428759</c:v>
                </c:pt>
                <c:pt idx="20">
                  <c:v>110088.75811367208</c:v>
                </c:pt>
                <c:pt idx="21">
                  <c:v>115628.10215453239</c:v>
                </c:pt>
                <c:pt idx="22">
                  <c:v>121170.72278431716</c:v>
                </c:pt>
                <c:pt idx="23">
                  <c:v>126716.74398915355</c:v>
                </c:pt>
                <c:pt idx="24">
                  <c:v>132760.4640542939</c:v>
                </c:pt>
                <c:pt idx="25">
                  <c:v>138807.90628992213</c:v>
                </c:pt>
                <c:pt idx="26">
                  <c:v>144859.20599337498</c:v>
                </c:pt>
                <c:pt idx="27">
                  <c:v>150914.49856505619</c:v>
                </c:pt>
                <c:pt idx="28">
                  <c:v>156973.91951146809</c:v>
                </c:pt>
                <c:pt idx="29">
                  <c:v>163037.60444824619</c:v>
                </c:pt>
                <c:pt idx="30">
                  <c:v>169105.6891031964</c:v>
                </c:pt>
                <c:pt idx="31">
                  <c:v>175178.30931933556</c:v>
                </c:pt>
                <c:pt idx="32">
                  <c:v>181255.60105793402</c:v>
                </c:pt>
                <c:pt idx="33">
                  <c:v>187337.70040156241</c:v>
                </c:pt>
                <c:pt idx="34">
                  <c:v>193424.74355714049</c:v>
                </c:pt>
                <c:pt idx="35">
                  <c:v>199516.86685898976</c:v>
                </c:pt>
                <c:pt idx="36">
                  <c:v>206128.24140871046</c:v>
                </c:pt>
                <c:pt idx="37">
                  <c:v>212745.04546153231</c:v>
                </c:pt>
                <c:pt idx="38">
                  <c:v>219367.42722406753</c:v>
                </c:pt>
                <c:pt idx="39">
                  <c:v>225995.5350459762</c:v>
                </c:pt>
                <c:pt idx="40">
                  <c:v>232629.51742329189</c:v>
                </c:pt>
                <c:pt idx="41">
                  <c:v>239269.52300175081</c:v>
                </c:pt>
                <c:pt idx="42">
                  <c:v>245915.70058012471</c:v>
                </c:pt>
                <c:pt idx="43">
                  <c:v>252568.19911355761</c:v>
                </c:pt>
                <c:pt idx="44">
                  <c:v>259227.16771690667</c:v>
                </c:pt>
                <c:pt idx="45">
                  <c:v>265892.7556680867</c:v>
                </c:pt>
                <c:pt idx="46">
                  <c:v>272565.11241141887</c:v>
                </c:pt>
                <c:pt idx="47">
                  <c:v>279244.38756098371</c:v>
                </c:pt>
                <c:pt idx="48">
                  <c:v>286465.42414322472</c:v>
                </c:pt>
                <c:pt idx="49">
                  <c:v>293693.75824250502</c:v>
                </c:pt>
                <c:pt idx="50">
                  <c:v>300929.55193511996</c:v>
                </c:pt>
                <c:pt idx="51">
                  <c:v>308172.96748411894</c:v>
                </c:pt>
                <c:pt idx="52">
                  <c:v>315424.16734294628</c:v>
                </c:pt>
                <c:pt idx="53">
                  <c:v>322683.3141590876</c:v>
                </c:pt>
                <c:pt idx="54">
                  <c:v>329950.57077772025</c:v>
                </c:pt>
                <c:pt idx="55">
                  <c:v>337226.10024536855</c:v>
                </c:pt>
                <c:pt idx="56">
                  <c:v>344510.06581356522</c:v>
                </c:pt>
                <c:pt idx="57">
                  <c:v>351802.63094251591</c:v>
                </c:pt>
                <c:pt idx="58">
                  <c:v>359103.95930477045</c:v>
                </c:pt>
                <c:pt idx="59">
                  <c:v>366414.21478889883</c:v>
                </c:pt>
                <c:pt idx="60">
                  <c:v>374289.74359600537</c:v>
                </c:pt>
                <c:pt idx="61">
                  <c:v>382174.61051425681</c:v>
                </c:pt>
                <c:pt idx="62">
                  <c:v>390068.99251473654</c:v>
                </c:pt>
                <c:pt idx="63">
                  <c:v>397973.06680298789</c:v>
                </c:pt>
                <c:pt idx="64">
                  <c:v>405887.01082299411</c:v>
                </c:pt>
                <c:pt idx="65">
                  <c:v>413811.00226116477</c:v>
                </c:pt>
                <c:pt idx="66">
                  <c:v>421745.2190503279</c:v>
                </c:pt>
                <c:pt idx="67">
                  <c:v>429689.83937372797</c:v>
                </c:pt>
                <c:pt idx="68">
                  <c:v>437645.04166903009</c:v>
                </c:pt>
                <c:pt idx="69">
                  <c:v>445611.00463233044</c:v>
                </c:pt>
                <c:pt idx="70">
                  <c:v>453587.90722217259</c:v>
                </c:pt>
                <c:pt idx="71">
                  <c:v>461575.92866357125</c:v>
                </c:pt>
                <c:pt idx="72">
                  <c:v>470153.78301669034</c:v>
                </c:pt>
                <c:pt idx="73">
                  <c:v>478743.20135385846</c:v>
                </c:pt>
                <c:pt idx="74">
                  <c:v>487344.37663489161</c:v>
                </c:pt>
                <c:pt idx="75">
                  <c:v>495957.50210606441</c:v>
                </c:pt>
                <c:pt idx="76">
                  <c:v>504582.77130445471</c:v>
                </c:pt>
                <c:pt idx="77">
                  <c:v>513220.37806229532</c:v>
                </c:pt>
                <c:pt idx="78">
                  <c:v>521870.51651133265</c:v>
                </c:pt>
                <c:pt idx="79">
                  <c:v>530533.38108719233</c:v>
                </c:pt>
                <c:pt idx="80">
                  <c:v>539209.16653375304</c:v>
                </c:pt>
                <c:pt idx="81">
                  <c:v>547898.06790752686</c:v>
                </c:pt>
                <c:pt idx="82">
                  <c:v>556600.28058204742</c:v>
                </c:pt>
                <c:pt idx="83">
                  <c:v>565316.00025226607</c:v>
                </c:pt>
                <c:pt idx="84">
                  <c:v>574647.20830171113</c:v>
                </c:pt>
                <c:pt idx="85">
                  <c:v>583992.40503647574</c:v>
                </c:pt>
                <c:pt idx="86">
                  <c:v>593351.80057229276</c:v>
                </c:pt>
                <c:pt idx="87">
                  <c:v>602725.60536795855</c:v>
                </c:pt>
                <c:pt idx="88">
                  <c:v>612114.03023006883</c:v>
                </c:pt>
                <c:pt idx="89">
                  <c:v>621517.28631776245</c:v>
                </c:pt>
                <c:pt idx="90">
                  <c:v>630935.58514747338</c:v>
                </c:pt>
                <c:pt idx="91">
                  <c:v>640369.13859769155</c:v>
                </c:pt>
                <c:pt idx="92">
                  <c:v>649818.15891373286</c:v>
                </c:pt>
                <c:pt idx="93">
                  <c:v>659282.85871251684</c:v>
                </c:pt>
                <c:pt idx="94">
                  <c:v>668763.45098735427</c:v>
                </c:pt>
                <c:pt idx="95">
                  <c:v>678260.14911274298</c:v>
                </c:pt>
                <c:pt idx="96">
                  <c:v>688399.13743927435</c:v>
                </c:pt>
                <c:pt idx="97">
                  <c:v>698554.75243559515</c:v>
                </c:pt>
                <c:pt idx="98">
                  <c:v>708727.22261845239</c:v>
                </c:pt>
                <c:pt idx="99">
                  <c:v>718916.77690920234</c:v>
                </c:pt>
                <c:pt idx="100">
                  <c:v>729123.64463896444</c:v>
                </c:pt>
                <c:pt idx="101">
                  <c:v>739348.05555378681</c:v>
                </c:pt>
                <c:pt idx="102">
                  <c:v>749590.23981982016</c:v>
                </c:pt>
                <c:pt idx="103">
                  <c:v>759850.4280285025</c:v>
                </c:pt>
                <c:pt idx="104">
                  <c:v>770128.85120175371</c:v>
                </c:pt>
                <c:pt idx="105">
                  <c:v>780425.74079718068</c:v>
                </c:pt>
                <c:pt idx="106">
                  <c:v>790741.32871329319</c:v>
                </c:pt>
                <c:pt idx="107">
                  <c:v>801075.84729472781</c:v>
                </c:pt>
                <c:pt idx="108">
                  <c:v>812080.6571380645</c:v>
                </c:pt>
                <c:pt idx="109">
                  <c:v>823104.96033665794</c:v>
                </c:pt>
                <c:pt idx="110">
                  <c:v>834149.0051362454</c:v>
                </c:pt>
                <c:pt idx="111">
                  <c:v>845213.0402540128</c:v>
                </c:pt>
                <c:pt idx="112">
                  <c:v>856297.31488420151</c:v>
                </c:pt>
                <c:pt idx="113">
                  <c:v>867402.07870372268</c:v>
                </c:pt>
                <c:pt idx="114">
                  <c:v>878527.58187778539</c:v>
                </c:pt>
                <c:pt idx="115">
                  <c:v>889674.07506553608</c:v>
                </c:pt>
                <c:pt idx="116">
                  <c:v>900841.80942570837</c:v>
                </c:pt>
                <c:pt idx="117">
                  <c:v>912031.03662228573</c:v>
                </c:pt>
                <c:pt idx="118">
                  <c:v>923242.00883017713</c:v>
                </c:pt>
                <c:pt idx="119">
                  <c:v>934474.97874090238</c:v>
                </c:pt>
                <c:pt idx="120">
                  <c:v>938957.23899490817</c:v>
                </c:pt>
                <c:pt idx="121">
                  <c:v>943460.99865493504</c:v>
                </c:pt>
                <c:pt idx="122">
                  <c:v>947986.36084405787</c:v>
                </c:pt>
                <c:pt idx="123">
                  <c:v>952533.42917998694</c:v>
                </c:pt>
                <c:pt idx="124">
                  <c:v>957102.30777744052</c:v>
                </c:pt>
                <c:pt idx="125">
                  <c:v>961693.10125052859</c:v>
                </c:pt>
                <c:pt idx="126">
                  <c:v>966305.91471514874</c:v>
                </c:pt>
                <c:pt idx="127">
                  <c:v>970940.85379139241</c:v>
                </c:pt>
                <c:pt idx="128">
                  <c:v>975598.02460596373</c:v>
                </c:pt>
                <c:pt idx="129">
                  <c:v>980277.53379460971</c:v>
                </c:pt>
                <c:pt idx="130">
                  <c:v>984979.48850456078</c:v>
                </c:pt>
                <c:pt idx="131">
                  <c:v>989703.99639698525</c:v>
                </c:pt>
                <c:pt idx="132">
                  <c:v>994451.16564945458</c:v>
                </c:pt>
                <c:pt idx="133">
                  <c:v>999221.10495841946</c:v>
                </c:pt>
                <c:pt idx="134">
                  <c:v>1004013.9235416985</c:v>
                </c:pt>
                <c:pt idx="135">
                  <c:v>1008829.7311409801</c:v>
                </c:pt>
                <c:pt idx="136">
                  <c:v>1013668.6380243353</c:v>
                </c:pt>
                <c:pt idx="137">
                  <c:v>1018530.7549887407</c:v>
                </c:pt>
                <c:pt idx="138">
                  <c:v>1023416.1933626172</c:v>
                </c:pt>
                <c:pt idx="139">
                  <c:v>1028325.0650083789</c:v>
                </c:pt>
                <c:pt idx="140">
                  <c:v>1033257.4823249936</c:v>
                </c:pt>
                <c:pt idx="141">
                  <c:v>1038213.5582505572</c:v>
                </c:pt>
                <c:pt idx="142">
                  <c:v>1043193.4062648788</c:v>
                </c:pt>
                <c:pt idx="143">
                  <c:v>1048197.1403920799</c:v>
                </c:pt>
                <c:pt idx="144">
                  <c:v>1053224.875203206</c:v>
                </c:pt>
                <c:pt idx="145">
                  <c:v>1058276.7258188473</c:v>
                </c:pt>
                <c:pt idx="146">
                  <c:v>1063352.8079117765</c:v>
                </c:pt>
                <c:pt idx="147">
                  <c:v>1068453.2377095972</c:v>
                </c:pt>
                <c:pt idx="148">
                  <c:v>1073578.1319974058</c:v>
                </c:pt>
                <c:pt idx="149">
                  <c:v>1078727.6081204643</c:v>
                </c:pt>
                <c:pt idx="150">
                  <c:v>1083901.783986887</c:v>
                </c:pt>
                <c:pt idx="151">
                  <c:v>1089100.7780703411</c:v>
                </c:pt>
                <c:pt idx="152">
                  <c:v>1094324.7094127603</c:v>
                </c:pt>
                <c:pt idx="153">
                  <c:v>1099573.697627069</c:v>
                </c:pt>
                <c:pt idx="154">
                  <c:v>1104847.8628999202</c:v>
                </c:pt>
                <c:pt idx="155">
                  <c:v>1110147.3259944504</c:v>
                </c:pt>
                <c:pt idx="156">
                  <c:v>1115472.2082530425</c:v>
                </c:pt>
                <c:pt idx="157">
                  <c:v>1120822.6316001043</c:v>
                </c:pt>
                <c:pt idx="158">
                  <c:v>1126198.7185448615</c:v>
                </c:pt>
                <c:pt idx="159">
                  <c:v>1131600.5921841613</c:v>
                </c:pt>
                <c:pt idx="160">
                  <c:v>1137028.3762052918</c:v>
                </c:pt>
                <c:pt idx="161">
                  <c:v>1142482.1948888146</c:v>
                </c:pt>
                <c:pt idx="162">
                  <c:v>1147962.1731114085</c:v>
                </c:pt>
                <c:pt idx="163">
                  <c:v>1153468.4363487314</c:v>
                </c:pt>
                <c:pt idx="164">
                  <c:v>1159001.1106782914</c:v>
                </c:pt>
                <c:pt idx="165">
                  <c:v>1164560.3227823344</c:v>
                </c:pt>
                <c:pt idx="166">
                  <c:v>1170146.1999507444</c:v>
                </c:pt>
                <c:pt idx="167">
                  <c:v>1175758.8700839581</c:v>
                </c:pt>
                <c:pt idx="168">
                  <c:v>1181398.4616958948</c:v>
                </c:pt>
                <c:pt idx="169">
                  <c:v>1187065.1039168967</c:v>
                </c:pt>
                <c:pt idx="170">
                  <c:v>1192758.9264966866</c:v>
                </c:pt>
                <c:pt idx="171">
                  <c:v>1198480.0598073397</c:v>
                </c:pt>
                <c:pt idx="172">
                  <c:v>1204228.634846268</c:v>
                </c:pt>
                <c:pt idx="173">
                  <c:v>1210004.7832392184</c:v>
                </c:pt>
                <c:pt idx="174">
                  <c:v>1215808.6372432902</c:v>
                </c:pt>
                <c:pt idx="175">
                  <c:v>1221640.3297499579</c:v>
                </c:pt>
                <c:pt idx="176">
                  <c:v>1227499.9942881209</c:v>
                </c:pt>
                <c:pt idx="177">
                  <c:v>1233387.7650271547</c:v>
                </c:pt>
                <c:pt idx="178">
                  <c:v>1239303.776779986</c:v>
                </c:pt>
                <c:pt idx="179">
                  <c:v>1245248.1650061796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AE-485E-BCF2-F4F3DE42E135}"/>
            </c:ext>
          </c:extLst>
        </c:ser>
        <c:ser>
          <c:idx val="0"/>
          <c:order val="3"/>
          <c:tx>
            <c:v>Full Return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[0]!SIPFullReturnWB</c:f>
              <c:numCache>
                <c:formatCode>0</c:formatCode>
                <c:ptCount val="180"/>
                <c:pt idx="0">
                  <c:v>5047.4439646729152</c:v>
                </c:pt>
                <c:pt idx="1">
                  <c:v>10142.782079975523</c:v>
                </c:pt>
                <c:pt idx="2">
                  <c:v>15286.468803585925</c:v>
                </c:pt>
                <c:pt idx="3">
                  <c:v>20478.962905437031</c:v>
                </c:pt>
                <c:pt idx="4">
                  <c:v>25720.727508634645</c:v>
                </c:pt>
                <c:pt idx="5">
                  <c:v>31012.23013076383</c:v>
                </c:pt>
                <c:pt idx="6">
                  <c:v>36353.9427255872</c:v>
                </c:pt>
                <c:pt idx="7">
                  <c:v>41746.341725138904</c:v>
                </c:pt>
                <c:pt idx="8">
                  <c:v>47189.908082218004</c:v>
                </c:pt>
                <c:pt idx="9">
                  <c:v>52685.127313285091</c:v>
                </c:pt>
                <c:pt idx="10">
                  <c:v>58232.489541765914</c:v>
                </c:pt>
                <c:pt idx="11">
                  <c:v>63832.489541765921</c:v>
                </c:pt>
                <c:pt idx="12">
                  <c:v>69990.371178666872</c:v>
                </c:pt>
                <c:pt idx="13">
                  <c:v>76206.683679336056</c:v>
                </c:pt>
                <c:pt idx="14">
                  <c:v>82481.981482140749</c:v>
                </c:pt>
                <c:pt idx="15">
                  <c:v>88816.824286399104</c:v>
                </c:pt>
                <c:pt idx="16">
                  <c:v>95211.777102300199</c:v>
                </c:pt>
                <c:pt idx="17">
                  <c:v>101667.4103012978</c:v>
                </c:pt>
                <c:pt idx="18">
                  <c:v>108184.29966698232</c:v>
                </c:pt>
                <c:pt idx="19">
                  <c:v>114763.0264464354</c:v>
                </c:pt>
                <c:pt idx="20">
                  <c:v>121404.1774020719</c:v>
                </c:pt>
                <c:pt idx="21">
                  <c:v>128108.34486397376</c:v>
                </c:pt>
                <c:pt idx="22">
                  <c:v>134876.12678272038</c:v>
                </c:pt>
                <c:pt idx="23">
                  <c:v>141708.12678272038</c:v>
                </c:pt>
                <c:pt idx="24">
                  <c:v>149160.17305216347</c:v>
                </c:pt>
                <c:pt idx="25">
                  <c:v>156682.93024559625</c:v>
                </c:pt>
                <c:pt idx="26">
                  <c:v>164277.06932433465</c:v>
                </c:pt>
                <c:pt idx="27">
                  <c:v>171943.26761630762</c:v>
                </c:pt>
                <c:pt idx="28">
                  <c:v>179682.20887646859</c:v>
                </c:pt>
                <c:pt idx="29">
                  <c:v>187494.58334778014</c:v>
                </c:pt>
                <c:pt idx="30">
                  <c:v>195381.08782277736</c:v>
                </c:pt>
                <c:pt idx="31">
                  <c:v>203342.42570571552</c:v>
                </c:pt>
                <c:pt idx="32">
                  <c:v>211379.30707530712</c:v>
                </c:pt>
                <c:pt idx="33">
                  <c:v>219492.44874805459</c:v>
                </c:pt>
                <c:pt idx="34">
                  <c:v>227682.57434218368</c:v>
                </c:pt>
                <c:pt idx="35">
                  <c:v>235950.41434218371</c:v>
                </c:pt>
                <c:pt idx="36">
                  <c:v>244907.44688368542</c:v>
                </c:pt>
                <c:pt idx="37">
                  <c:v>253949.47085228175</c:v>
                </c:pt>
                <c:pt idx="38">
                  <c:v>263077.29271402565</c:v>
                </c:pt>
                <c:pt idx="39">
                  <c:v>272291.72658735939</c:v>
                </c:pt>
                <c:pt idx="40">
                  <c:v>281593.5943157266</c:v>
                </c:pt>
                <c:pt idx="41">
                  <c:v>290983.72554087319</c:v>
                </c:pt>
                <c:pt idx="42">
                  <c:v>300462.95777684374</c:v>
                </c:pt>
                <c:pt idx="43">
                  <c:v>310032.13648468023</c:v>
                </c:pt>
                <c:pt idx="44">
                  <c:v>319692.11514782941</c:v>
                </c:pt>
                <c:pt idx="45">
                  <c:v>329443.75534826569</c:v>
                </c:pt>
                <c:pt idx="46">
                  <c:v>339287.92684333649</c:v>
                </c:pt>
                <c:pt idx="47">
                  <c:v>349225.50764333655</c:v>
                </c:pt>
                <c:pt idx="48">
                  <c:v>359929.19888151641</c:v>
                </c:pt>
                <c:pt idx="49">
                  <c:v>370734.45522949111</c:v>
                </c:pt>
                <c:pt idx="50">
                  <c:v>381642.24041755684</c:v>
                </c:pt>
                <c:pt idx="51">
                  <c:v>392653.52732064703</c:v>
                </c:pt>
                <c:pt idx="52">
                  <c:v>403769.2980451039</c:v>
                </c:pt>
                <c:pt idx="53">
                  <c:v>414990.54401627346</c:v>
                </c:pt>
                <c:pt idx="54">
                  <c:v>426318.26606693148</c:v>
                </c:pt>
                <c:pt idx="55">
                  <c:v>437753.4745265487</c:v>
                </c:pt>
                <c:pt idx="56">
                  <c:v>449297.18931140302</c:v>
                </c:pt>
                <c:pt idx="57">
                  <c:v>460950.44001554669</c:v>
                </c:pt>
                <c:pt idx="58">
                  <c:v>472714.26600263675</c:v>
                </c:pt>
                <c:pt idx="59">
                  <c:v>484589.71649863682</c:v>
                </c:pt>
                <c:pt idx="60">
                  <c:v>497316.84695626603</c:v>
                </c:pt>
                <c:pt idx="61">
                  <c:v>510164.74251945911</c:v>
                </c:pt>
                <c:pt idx="62">
                  <c:v>523134.54910329648</c:v>
                </c:pt>
                <c:pt idx="63">
                  <c:v>536227.42349620943</c:v>
                </c:pt>
                <c:pt idx="64">
                  <c:v>549444.53346315527</c:v>
                </c:pt>
                <c:pt idx="65">
                  <c:v>562787.05784977099</c:v>
                </c:pt>
                <c:pt idx="66">
                  <c:v>576256.18668751593</c:v>
                </c:pt>
                <c:pt idx="67">
                  <c:v>589853.12129981152</c:v>
                </c:pt>
                <c:pt idx="68">
                  <c:v>603579.07440918824</c:v>
                </c:pt>
                <c:pt idx="69">
                  <c:v>617435.27024544973</c:v>
                </c:pt>
                <c:pt idx="70">
                  <c:v>631422.9446548624</c:v>
                </c:pt>
                <c:pt idx="71">
                  <c:v>645543.34521038248</c:v>
                </c:pt>
                <c:pt idx="72">
                  <c:v>660610.62722088175</c:v>
                </c:pt>
                <c:pt idx="73">
                  <c:v>675820.87955046573</c:v>
                </c:pt>
                <c:pt idx="74">
                  <c:v>691175.45881488791</c:v>
                </c:pt>
                <c:pt idx="75">
                  <c:v>706675.73450254777</c:v>
                </c:pt>
                <c:pt idx="76">
                  <c:v>722323.08909663674</c:v>
                </c:pt>
                <c:pt idx="77">
                  <c:v>738118.9181984429</c:v>
                </c:pt>
                <c:pt idx="78">
                  <c:v>754064.63065182639</c:v>
                </c:pt>
                <c:pt idx="79">
                  <c:v>770161.6486688744</c:v>
                </c:pt>
                <c:pt idx="80">
                  <c:v>786411.40795675036</c:v>
                </c:pt>
                <c:pt idx="81">
                  <c:v>802815.35784574586</c:v>
                </c:pt>
                <c:pt idx="82">
                  <c:v>819374.96141854732</c:v>
                </c:pt>
                <c:pt idx="83">
                  <c:v>836091.69564072986</c:v>
                </c:pt>
                <c:pt idx="84">
                  <c:v>853861.23698023916</c:v>
                </c:pt>
                <c:pt idx="85">
                  <c:v>871799.38981806149</c:v>
                </c:pt>
                <c:pt idx="86">
                  <c:v>889907.75407379086</c:v>
                </c:pt>
                <c:pt idx="87">
                  <c:v>908187.94484832685</c:v>
                </c:pt>
                <c:pt idx="88">
                  <c:v>926641.59256792709</c:v>
                </c:pt>
                <c:pt idx="89">
                  <c:v>945270.34312962636</c:v>
                </c:pt>
                <c:pt idx="90">
                  <c:v>964075.85804803565</c:v>
                </c:pt>
                <c:pt idx="91">
                  <c:v>983059.81460353383</c:v>
                </c:pt>
                <c:pt idx="92">
                  <c:v>1002223.9059918663</c:v>
                </c:pt>
                <c:pt idx="93">
                  <c:v>1021569.8414751621</c:v>
                </c:pt>
                <c:pt idx="94">
                  <c:v>1041099.3465343846</c:v>
                </c:pt>
                <c:pt idx="95">
                  <c:v>1060814.163023229</c:v>
                </c:pt>
                <c:pt idx="96">
                  <c:v>1081699.6533600043</c:v>
                </c:pt>
                <c:pt idx="97">
                  <c:v>1102783.3217899227</c:v>
                </c:pt>
                <c:pt idx="98">
                  <c:v>1124067.0487838739</c:v>
                </c:pt>
                <c:pt idx="99">
                  <c:v>1145552.7326561469</c:v>
                </c:pt>
                <c:pt idx="100">
                  <c:v>1167242.2897337417</c:v>
                </c:pt>
                <c:pt idx="101">
                  <c:v>1189137.6545272886</c:v>
                </c:pt>
                <c:pt idx="102">
                  <c:v>1211240.7799035888</c:v>
                </c:pt>
                <c:pt idx="103">
                  <c:v>1233553.6372597918</c:v>
                </c:pt>
                <c:pt idx="104">
                  <c:v>1256078.2166992268</c:v>
                </c:pt>
                <c:pt idx="105">
                  <c:v>1278816.527208901</c:v>
                </c:pt>
                <c:pt idx="106">
                  <c:v>1301770.5968386838</c:v>
                </c:pt>
                <c:pt idx="107">
                  <c:v>1324942.4728821896</c:v>
                </c:pt>
                <c:pt idx="108">
                  <c:v>1349416.1864995556</c:v>
                </c:pt>
                <c:pt idx="109">
                  <c:v>1374122.1261177768</c:v>
                </c:pt>
                <c:pt idx="110">
                  <c:v>1399062.49528129</c:v>
                </c:pt>
                <c:pt idx="111">
                  <c:v>1424239.5184435078</c:v>
                </c:pt>
                <c:pt idx="112">
                  <c:v>1449655.4411652212</c:v>
                </c:pt>
                <c:pt idx="113">
                  <c:v>1475312.5303148821</c:v>
                </c:pt>
                <c:pt idx="114">
                  <c:v>1501213.0742707881</c:v>
                </c:pt>
                <c:pt idx="115">
                  <c:v>1527359.3831251848</c:v>
                </c:pt>
                <c:pt idx="116">
                  <c:v>1553753.7888903047</c:v>
                </c:pt>
                <c:pt idx="117">
                  <c:v>1580398.6457063612</c:v>
                </c:pt>
                <c:pt idx="118">
                  <c:v>1607296.3300515166</c:v>
                </c:pt>
                <c:pt idx="119">
                  <c:v>1634449.2409538429</c:v>
                </c:pt>
                <c:pt idx="120">
                  <c:v>1649958.1913633402</c:v>
                </c:pt>
                <c:pt idx="121">
                  <c:v>1665614.3029919064</c:v>
                </c:pt>
                <c:pt idx="122">
                  <c:v>1681418.9722218765</c:v>
                </c:pt>
                <c:pt idx="123">
                  <c:v>1697373.6086855694</c:v>
                </c:pt>
                <c:pt idx="124">
                  <c:v>1713479.6353910128</c:v>
                </c:pt>
                <c:pt idx="125">
                  <c:v>1729738.4888488632</c:v>
                </c:pt>
                <c:pt idx="126">
                  <c:v>1746151.6192005286</c:v>
                </c:pt>
                <c:pt idx="127">
                  <c:v>1762720.4903475093</c:v>
                </c:pt>
                <c:pt idx="128">
                  <c:v>1779446.5800819634</c:v>
                </c:pt>
                <c:pt idx="129">
                  <c:v>1796331.3802185135</c:v>
                </c:pt>
                <c:pt idx="130">
                  <c:v>1813376.3967273007</c:v>
                </c:pt>
                <c:pt idx="131">
                  <c:v>1830583.1498683065</c:v>
                </c:pt>
                <c:pt idx="132">
                  <c:v>1847953.1743269435</c:v>
                </c:pt>
                <c:pt idx="133">
                  <c:v>1865488.0193509376</c:v>
                </c:pt>
                <c:pt idx="134">
                  <c:v>1883189.2488885042</c:v>
                </c:pt>
                <c:pt idx="135">
                  <c:v>1901058.4417278401</c:v>
                </c:pt>
                <c:pt idx="136">
                  <c:v>1919097.1916379367</c:v>
                </c:pt>
                <c:pt idx="137">
                  <c:v>1937307.107510729</c:v>
                </c:pt>
                <c:pt idx="138">
                  <c:v>1955689.8135045944</c:v>
                </c:pt>
                <c:pt idx="139">
                  <c:v>1974246.9491892129</c:v>
                </c:pt>
                <c:pt idx="140">
                  <c:v>1992980.1696918018</c:v>
                </c:pt>
                <c:pt idx="141">
                  <c:v>2011891.1458447375</c:v>
                </c:pt>
                <c:pt idx="142">
                  <c:v>2030981.5643345793</c:v>
                </c:pt>
                <c:pt idx="143">
                  <c:v>2050253.1278525055</c:v>
                </c:pt>
                <c:pt idx="144">
                  <c:v>2069707.555246179</c:v>
                </c:pt>
                <c:pt idx="145">
                  <c:v>2089346.5816730526</c:v>
                </c:pt>
                <c:pt idx="146">
                  <c:v>2109171.9587551276</c:v>
                </c:pt>
                <c:pt idx="147">
                  <c:v>2129185.4547351836</c:v>
                </c:pt>
                <c:pt idx="148">
                  <c:v>2149388.8546344917</c:v>
                </c:pt>
                <c:pt idx="149">
                  <c:v>2169783.9604120194</c:v>
                </c:pt>
                <c:pt idx="150">
                  <c:v>2190372.5911251488</c:v>
                </c:pt>
                <c:pt idx="151">
                  <c:v>2211156.5830919212</c:v>
                </c:pt>
                <c:pt idx="152">
                  <c:v>2232137.7900548205</c:v>
                </c:pt>
                <c:pt idx="153">
                  <c:v>2253318.0833461089</c:v>
                </c:pt>
                <c:pt idx="154">
                  <c:v>2274699.3520547319</c:v>
                </c:pt>
                <c:pt idx="155">
                  <c:v>2296283.5031948094</c:v>
                </c:pt>
                <c:pt idx="156">
                  <c:v>2318072.4618757241</c:v>
                </c:pt>
                <c:pt idx="157">
                  <c:v>2340068.1714738221</c:v>
                </c:pt>
                <c:pt idx="158">
                  <c:v>2362272.5938057457</c:v>
                </c:pt>
                <c:pt idx="159">
                  <c:v>2384687.7093034089</c:v>
                </c:pt>
                <c:pt idx="160">
                  <c:v>2407315.5171906338</c:v>
                </c:pt>
                <c:pt idx="161">
                  <c:v>2430158.035661465</c:v>
                </c:pt>
                <c:pt idx="162">
                  <c:v>2453217.3020601696</c:v>
                </c:pt>
                <c:pt idx="163">
                  <c:v>2476495.3730629552</c:v>
                </c:pt>
                <c:pt idx="164">
                  <c:v>2499994.3248614022</c:v>
                </c:pt>
                <c:pt idx="165">
                  <c:v>2523716.2533476455</c:v>
                </c:pt>
                <c:pt idx="166">
                  <c:v>2547663.2743013031</c:v>
                </c:pt>
                <c:pt idx="167">
                  <c:v>2571837.5235781898</c:v>
                </c:pt>
                <c:pt idx="168">
                  <c:v>2596241.1573008141</c:v>
                </c:pt>
                <c:pt idx="169">
                  <c:v>2620876.3520506839</c:v>
                </c:pt>
                <c:pt idx="170">
                  <c:v>2645745.3050624384</c:v>
                </c:pt>
                <c:pt idx="171">
                  <c:v>2670850.2344198208</c:v>
                </c:pt>
                <c:pt idx="172">
                  <c:v>2696193.3792535132</c:v>
                </c:pt>
                <c:pt idx="173">
                  <c:v>2721776.9999408438</c:v>
                </c:pt>
                <c:pt idx="174">
                  <c:v>2747603.3783073938</c:v>
                </c:pt>
                <c:pt idx="175">
                  <c:v>2773674.8178305128</c:v>
                </c:pt>
                <c:pt idx="176">
                  <c:v>2799993.643844774</c:v>
                </c:pt>
                <c:pt idx="177">
                  <c:v>2826562.2037493661</c:v>
                </c:pt>
                <c:pt idx="178">
                  <c:v>2853382.867217463</c:v>
                </c:pt>
                <c:pt idx="179">
                  <c:v>2880458.0264075766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AE-485E-BCF2-F4F3DE42E13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93932912"/>
        <c:axId val="293933304"/>
      </c:lineChart>
      <c:catAx>
        <c:axId val="293932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rgbClr val="7030A0"/>
                    </a:solidFill>
                  </a:rPr>
                  <a:t>Term in 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rgbClr val="7030A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933304"/>
        <c:crosses val="autoZero"/>
        <c:auto val="1"/>
        <c:lblAlgn val="ctr"/>
        <c:lblOffset val="100"/>
        <c:noMultiLvlLbl val="0"/>
      </c:catAx>
      <c:valAx>
        <c:axId val="293933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accent4">
                        <a:lumMod val="50000"/>
                      </a:schemeClr>
                    </a:solidFill>
                  </a:rPr>
                  <a:t>Value (Rs.) Thousands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4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932912"/>
        <c:crosses val="autoZero"/>
        <c:crossBetween val="between"/>
        <c:dispUnits>
          <c:builtInUnit val="thousands"/>
        </c:dispUnits>
      </c:valAx>
      <c:spPr>
        <a:solidFill>
          <a:schemeClr val="bg1"/>
        </a:solidFill>
        <a:ln>
          <a:noFill/>
        </a:ln>
        <a:effectLst/>
        <a:scene3d>
          <a:camera prst="orthographicFront"/>
          <a:lightRig rig="threePt" dir="t"/>
        </a:scene3d>
        <a:sp3d>
          <a:bevelT w="69850" h="120650"/>
          <a:bevelB w="152400" h="50800" prst="softRound"/>
        </a:sp3d>
      </c:spPr>
    </c:plotArea>
    <c:legend>
      <c:legendPos val="b"/>
      <c:layout>
        <c:manualLayout>
          <c:xMode val="edge"/>
          <c:yMode val="edge"/>
          <c:x val="0.27503879659056685"/>
          <c:y val="0.89994077727112753"/>
          <c:w val="0.66644976185678639"/>
          <c:h val="5.96096393866310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4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rgbClr val="7A9CD2"/>
        </a:gs>
        <a:gs pos="23000">
          <a:srgbClr val="9EB6DE"/>
        </a:gs>
        <a:gs pos="69000">
          <a:srgbClr val="7A9CD2"/>
        </a:gs>
        <a:gs pos="97000">
          <a:srgbClr val="9EB6DE"/>
        </a:gs>
      </a:gsLst>
      <a:path path="circle">
        <a:fillToRect l="50000" t="50000" r="50000" b="50000"/>
      </a:path>
      <a:tileRect/>
    </a:gradFill>
    <a:ln w="28575" cap="flat" cmpd="sng" algn="ctr">
      <a:solidFill>
        <a:schemeClr val="bg1"/>
      </a:solidFill>
      <a:round/>
    </a:ln>
    <a:effectLst/>
    <a:scene3d>
      <a:camera prst="orthographicFront"/>
      <a:lightRig rig="threePt" dir="t"/>
    </a:scene3d>
    <a:sp3d>
      <a:bevelT w="63500" prst="relaxedInset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493339</xdr:colOff>
      <xdr:row>6</xdr:row>
      <xdr:rowOff>163093</xdr:rowOff>
    </xdr:from>
    <xdr:to>
      <xdr:col>8</xdr:col>
      <xdr:colOff>3420894</xdr:colOff>
      <xdr:row>21</xdr:row>
      <xdr:rowOff>16206</xdr:rowOff>
    </xdr:to>
    <xdr:graphicFrame macro="">
      <xdr:nvGraphicFramePr>
        <xdr:cNvPr id="3" name="Chart1" descr="Chart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2033599</xdr:colOff>
      <xdr:row>8</xdr:row>
      <xdr:rowOff>52353</xdr:rowOff>
    </xdr:from>
    <xdr:to>
      <xdr:col>8</xdr:col>
      <xdr:colOff>3257599</xdr:colOff>
      <xdr:row>9</xdr:row>
      <xdr:rowOff>13692</xdr:rowOff>
    </xdr:to>
    <xdr:sp macro="" textlink="SIPFinalAmt">
      <xdr:nvSpPr>
        <xdr:cNvPr id="4" name="MatValu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0350748" y="1795225"/>
          <a:ext cx="1224000" cy="188318"/>
        </a:xfrm>
        <a:prstGeom prst="rect">
          <a:avLst/>
        </a:prstGeom>
        <a:noFill/>
        <a:ln w="9525" cmpd="sng">
          <a:noFill/>
        </a:ln>
        <a:scene3d>
          <a:camera prst="orthographicFront"/>
          <a:lightRig rig="threePt" dir="t"/>
        </a:scene3d>
        <a:sp3d>
          <a:bevelB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3FE078CA-F2B1-402A-8A51-C44F6D5DEB4A}" type="TxLink">
            <a:rPr lang="en-US" sz="1000" b="1" i="0" u="none" strike="noStrike">
              <a:solidFill>
                <a:srgbClr val="7030A0"/>
              </a:solidFill>
              <a:latin typeface="Arial"/>
              <a:cs typeface="Arial"/>
            </a:rPr>
            <a:pPr algn="l"/>
            <a:t> ₹ 28,80,458 </a:t>
          </a:fld>
          <a:endParaRPr lang="en-US" sz="1100">
            <a:solidFill>
              <a:srgbClr val="7030A0"/>
            </a:solidFill>
          </a:endParaRPr>
        </a:p>
      </xdr:txBody>
    </xdr:sp>
    <xdr:clientData/>
  </xdr:twoCellAnchor>
  <xdr:twoCellAnchor editAs="absolute">
    <xdr:from>
      <xdr:col>7</xdr:col>
      <xdr:colOff>1418692</xdr:colOff>
      <xdr:row>8</xdr:row>
      <xdr:rowOff>84779</xdr:rowOff>
    </xdr:from>
    <xdr:to>
      <xdr:col>8</xdr:col>
      <xdr:colOff>880460</xdr:colOff>
      <xdr:row>9</xdr:row>
      <xdr:rowOff>50138</xdr:rowOff>
    </xdr:to>
    <xdr:sp macro="" textlink="M3">
      <xdr:nvSpPr>
        <xdr:cNvPr id="11" name="TotalInvValue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8130777" y="1827651"/>
          <a:ext cx="1066832" cy="192338"/>
        </a:xfrm>
        <a:prstGeom prst="rect">
          <a:avLst/>
        </a:prstGeom>
        <a:noFill/>
        <a:ln w="9525" cmpd="sng">
          <a:noFill/>
        </a:ln>
        <a:scene3d>
          <a:camera prst="orthographicFront"/>
          <a:lightRig rig="threePt" dir="t"/>
        </a:scene3d>
        <a:sp3d>
          <a:bevelB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20F0550-8EF9-467D-B30C-55774C5EA2D9}" type="TxLink">
            <a:rPr lang="en-US" sz="1000" b="1" i="0" u="none" strike="noStrike">
              <a:solidFill>
                <a:srgbClr val="0070C0"/>
              </a:solidFill>
              <a:latin typeface="Arial"/>
              <a:cs typeface="Arial"/>
            </a:rPr>
            <a:pPr algn="l"/>
            <a:t> ₹ 9,56,245 </a:t>
          </a:fld>
          <a:endParaRPr lang="en-US" sz="1100" b="1">
            <a:solidFill>
              <a:srgbClr val="0070C0"/>
            </a:solidFill>
          </a:endParaRPr>
        </a:p>
      </xdr:txBody>
    </xdr:sp>
    <xdr:clientData/>
  </xdr:twoCellAnchor>
  <xdr:twoCellAnchor editAs="absolute">
    <xdr:from>
      <xdr:col>7</xdr:col>
      <xdr:colOff>447857</xdr:colOff>
      <xdr:row>8</xdr:row>
      <xdr:rowOff>48897</xdr:rowOff>
    </xdr:from>
    <xdr:to>
      <xdr:col>7</xdr:col>
      <xdr:colOff>1542872</xdr:colOff>
      <xdr:row>9</xdr:row>
      <xdr:rowOff>68267</xdr:rowOff>
    </xdr:to>
    <xdr:sp macro="" textlink="">
      <xdr:nvSpPr>
        <xdr:cNvPr id="6" name="TotalInvLbl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7159942" y="1791769"/>
          <a:ext cx="1095015" cy="24634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000" b="1" i="0" u="none" strike="noStrike" cap="none" spc="0">
              <a:ln w="0"/>
              <a:solidFill>
                <a:srgbClr val="0070C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"/>
              <a:cs typeface="Arial"/>
            </a:rPr>
            <a:t>Total Invested:</a:t>
          </a:r>
          <a:endParaRPr lang="en-US" sz="1000" b="1" cap="none" spc="0">
            <a:ln w="0"/>
            <a:solidFill>
              <a:srgbClr val="0070C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 editAs="absolute">
    <xdr:from>
      <xdr:col>8</xdr:col>
      <xdr:colOff>1070811</xdr:colOff>
      <xdr:row>8</xdr:row>
      <xdr:rowOff>48479</xdr:rowOff>
    </xdr:from>
    <xdr:to>
      <xdr:col>8</xdr:col>
      <xdr:colOff>2165826</xdr:colOff>
      <xdr:row>9</xdr:row>
      <xdr:rowOff>67849</xdr:rowOff>
    </xdr:to>
    <xdr:sp macro="" textlink="">
      <xdr:nvSpPr>
        <xdr:cNvPr id="14" name="MatValueLbl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9387960" y="1791351"/>
          <a:ext cx="1095015" cy="24634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000" b="1" i="0" u="none" strike="noStrike" cap="none" spc="0">
              <a:ln w="0"/>
              <a:solidFill>
                <a:srgbClr val="7030A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"/>
              <a:cs typeface="Arial"/>
            </a:rPr>
            <a:t>Maturity</a:t>
          </a:r>
          <a:r>
            <a:rPr lang="en-US" sz="1000" b="1" i="0" u="none" strike="noStrike" cap="none" spc="0" baseline="0">
              <a:ln w="0"/>
              <a:solidFill>
                <a:srgbClr val="7030A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"/>
              <a:cs typeface="Arial"/>
            </a:rPr>
            <a:t> Value</a:t>
          </a:r>
          <a:r>
            <a:rPr lang="en-US" sz="1000" b="1" i="0" u="none" strike="noStrike" cap="none" spc="0">
              <a:ln w="0"/>
              <a:solidFill>
                <a:srgbClr val="7030A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"/>
              <a:cs typeface="Arial"/>
            </a:rPr>
            <a:t>:</a:t>
          </a:r>
          <a:endParaRPr lang="en-US" sz="1000" b="1" cap="none" spc="0">
            <a:ln w="0"/>
            <a:solidFill>
              <a:srgbClr val="7030A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</xdr:colOff>
          <xdr:row>3</xdr:row>
          <xdr:rowOff>45720</xdr:rowOff>
        </xdr:from>
        <xdr:to>
          <xdr:col>4</xdr:col>
          <xdr:colOff>541020</xdr:colOff>
          <xdr:row>3</xdr:row>
          <xdr:rowOff>190500</xdr:rowOff>
        </xdr:to>
        <xdr:sp macro="" textlink="">
          <xdr:nvSpPr>
            <xdr:cNvPr id="20214" name="MonthlyInvestAmount" hidden="1">
              <a:extLst>
                <a:ext uri="{63B3BB69-23CF-44E3-9099-C40C66FF867C}">
                  <a14:compatExt spid="_x0000_s20214"/>
                </a:ext>
                <a:ext uri="{FF2B5EF4-FFF2-40B4-BE49-F238E27FC236}">
                  <a16:creationId xmlns:a16="http://schemas.microsoft.com/office/drawing/2014/main" id="{00000000-0008-0000-0000-0000F6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</xdr:colOff>
          <xdr:row>4</xdr:row>
          <xdr:rowOff>45720</xdr:rowOff>
        </xdr:from>
        <xdr:to>
          <xdr:col>4</xdr:col>
          <xdr:colOff>541020</xdr:colOff>
          <xdr:row>4</xdr:row>
          <xdr:rowOff>190500</xdr:rowOff>
        </xdr:to>
        <xdr:sp macro="" textlink="">
          <xdr:nvSpPr>
            <xdr:cNvPr id="20215" name="StepupPercent" hidden="1">
              <a:extLst>
                <a:ext uri="{63B3BB69-23CF-44E3-9099-C40C66FF867C}">
                  <a14:compatExt spid="_x0000_s20215"/>
                </a:ext>
                <a:ext uri="{FF2B5EF4-FFF2-40B4-BE49-F238E27FC236}">
                  <a16:creationId xmlns:a16="http://schemas.microsoft.com/office/drawing/2014/main" id="{00000000-0008-0000-0000-0000F7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</xdr:colOff>
          <xdr:row>5</xdr:row>
          <xdr:rowOff>53340</xdr:rowOff>
        </xdr:from>
        <xdr:to>
          <xdr:col>4</xdr:col>
          <xdr:colOff>541020</xdr:colOff>
          <xdr:row>5</xdr:row>
          <xdr:rowOff>198120</xdr:rowOff>
        </xdr:to>
        <xdr:sp macro="" textlink="">
          <xdr:nvSpPr>
            <xdr:cNvPr id="20216" name="ScrollBar1" hidden="1">
              <a:extLst>
                <a:ext uri="{63B3BB69-23CF-44E3-9099-C40C66FF867C}">
                  <a14:compatExt spid="_x0000_s20216"/>
                </a:ext>
                <a:ext uri="{FF2B5EF4-FFF2-40B4-BE49-F238E27FC236}">
                  <a16:creationId xmlns:a16="http://schemas.microsoft.com/office/drawing/2014/main" id="{00000000-0008-0000-0000-0000F8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</xdr:colOff>
          <xdr:row>6</xdr:row>
          <xdr:rowOff>53340</xdr:rowOff>
        </xdr:from>
        <xdr:to>
          <xdr:col>4</xdr:col>
          <xdr:colOff>541020</xdr:colOff>
          <xdr:row>6</xdr:row>
          <xdr:rowOff>198120</xdr:rowOff>
        </xdr:to>
        <xdr:sp macro="" textlink="">
          <xdr:nvSpPr>
            <xdr:cNvPr id="20217" name="GainPercent" hidden="1">
              <a:extLst>
                <a:ext uri="{63B3BB69-23CF-44E3-9099-C40C66FF867C}">
                  <a14:compatExt spid="_x0000_s20217"/>
                </a:ext>
                <a:ext uri="{FF2B5EF4-FFF2-40B4-BE49-F238E27FC236}">
                  <a16:creationId xmlns:a16="http://schemas.microsoft.com/office/drawing/2014/main" id="{00000000-0008-0000-0000-0000F9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</xdr:colOff>
          <xdr:row>12</xdr:row>
          <xdr:rowOff>22860</xdr:rowOff>
        </xdr:from>
        <xdr:to>
          <xdr:col>4</xdr:col>
          <xdr:colOff>541020</xdr:colOff>
          <xdr:row>12</xdr:row>
          <xdr:rowOff>160020</xdr:rowOff>
        </xdr:to>
        <xdr:sp macro="" textlink="">
          <xdr:nvSpPr>
            <xdr:cNvPr id="20218" name="InfPercent" hidden="1">
              <a:extLst>
                <a:ext uri="{63B3BB69-23CF-44E3-9099-C40C66FF867C}">
                  <a14:compatExt spid="_x0000_s20218"/>
                </a:ext>
                <a:ext uri="{FF2B5EF4-FFF2-40B4-BE49-F238E27FC236}">
                  <a16:creationId xmlns:a16="http://schemas.microsoft.com/office/drawing/2014/main" id="{00000000-0008-0000-0000-0000FA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38100</xdr:rowOff>
        </xdr:from>
        <xdr:to>
          <xdr:col>5</xdr:col>
          <xdr:colOff>373380</xdr:colOff>
          <xdr:row>4</xdr:row>
          <xdr:rowOff>91440</xdr:rowOff>
        </xdr:to>
        <xdr:sp macro="" textlink="">
          <xdr:nvSpPr>
            <xdr:cNvPr id="20219" name="prtSIP" hidden="1">
              <a:extLst>
                <a:ext uri="{63B3BB69-23CF-44E3-9099-C40C66FF867C}">
                  <a14:compatExt spid="_x0000_s20219"/>
                </a:ext>
                <a:ext uri="{FF2B5EF4-FFF2-40B4-BE49-F238E27FC236}">
                  <a16:creationId xmlns:a16="http://schemas.microsoft.com/office/drawing/2014/main" id="{00000000-0008-0000-0000-0000F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1</xdr:col>
      <xdr:colOff>81064</xdr:colOff>
      <xdr:row>0</xdr:row>
      <xdr:rowOff>72957</xdr:rowOff>
    </xdr:from>
    <xdr:to>
      <xdr:col>1</xdr:col>
      <xdr:colOff>1742871</xdr:colOff>
      <xdr:row>2</xdr:row>
      <xdr:rowOff>57044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5C425AE-8F1A-4841-87D8-D6C95BDEAD56}"/>
            </a:ext>
          </a:extLst>
        </xdr:cNvPr>
        <xdr:cNvGrpSpPr/>
      </xdr:nvGrpSpPr>
      <xdr:grpSpPr>
        <a:xfrm>
          <a:off x="397213" y="72957"/>
          <a:ext cx="1661807" cy="421832"/>
          <a:chOff x="220134" y="42333"/>
          <a:chExt cx="1661807" cy="421832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40D7B87C-C3E7-F3B4-D0EC-776925413B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0134" y="42333"/>
            <a:ext cx="423333" cy="421832"/>
          </a:xfrm>
          <a:prstGeom prst="rect">
            <a:avLst/>
          </a:prstGeom>
        </xdr:spPr>
      </xdr:pic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3F7570B9-378D-5AFD-CDAE-074C8D592685}"/>
              </a:ext>
            </a:extLst>
          </xdr:cNvPr>
          <xdr:cNvSpPr/>
        </xdr:nvSpPr>
        <xdr:spPr>
          <a:xfrm>
            <a:off x="567266" y="152399"/>
            <a:ext cx="1314675" cy="27093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1">
                <a:solidFill>
                  <a:srgbClr val="AA9B28"/>
                </a:solidFill>
                <a:latin typeface="Aptos Narrow" panose="020B0004020202020204" pitchFamily="34" charset="0"/>
              </a:rPr>
              <a:t>NIVRA</a:t>
            </a:r>
            <a:r>
              <a:rPr lang="en-US" sz="1100" baseline="0">
                <a:solidFill>
                  <a:srgbClr val="AA9B28"/>
                </a:solidFill>
                <a:latin typeface="Aptos Narrow" panose="020B0004020202020204" pitchFamily="34" charset="0"/>
              </a:rPr>
              <a:t> FINTECH</a:t>
            </a:r>
            <a:endParaRPr lang="en-US" sz="1100">
              <a:solidFill>
                <a:srgbClr val="AA9B28"/>
              </a:solidFill>
              <a:latin typeface="Aptos Narrow" panose="020B0004020202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0.01899</cdr:x>
      <cdr:y>0.03819</cdr:y>
    </cdr:from>
    <cdr:to>
      <cdr:x>0.11202</cdr:x>
      <cdr:y>0.11618</cdr:y>
    </cdr:to>
    <cdr:grpSp>
      <cdr:nvGrpSpPr>
        <cdr:cNvPr id="4" name="Group 3">
          <a:extLst xmlns:a="http://schemas.openxmlformats.org/drawingml/2006/main">
            <a:ext uri="{FF2B5EF4-FFF2-40B4-BE49-F238E27FC236}">
              <a16:creationId xmlns:a16="http://schemas.microsoft.com/office/drawing/2014/main" id="{BB0263FD-2FDC-1258-258A-E539F6C60AB6}"/>
            </a:ext>
          </a:extLst>
        </cdr:cNvPr>
        <cdr:cNvGrpSpPr/>
      </cdr:nvGrpSpPr>
      <cdr:grpSpPr>
        <a:xfrm xmlns:a="http://schemas.openxmlformats.org/drawingml/2006/main">
          <a:off x="108704" y="117295"/>
          <a:ext cx="532527" cy="239534"/>
          <a:chOff x="115650" y="131861"/>
          <a:chExt cx="566441" cy="269248"/>
        </a:xfrm>
      </cdr:grpSpPr>
      <cdr:sp macro="" textlink="">
        <cdr:nvSpPr>
          <cdr:cNvPr id="2" name="Rectangle 1">
            <a:extLst xmlns:a="http://schemas.openxmlformats.org/drawingml/2006/main">
              <a:ext uri="{FF2B5EF4-FFF2-40B4-BE49-F238E27FC236}">
                <a16:creationId xmlns:a16="http://schemas.microsoft.com/office/drawing/2014/main" id="{82EFB8AD-6C9C-446D-8236-8E9142585252}"/>
              </a:ext>
            </a:extLst>
          </cdr:cNvPr>
          <cdr:cNvSpPr/>
        </cdr:nvSpPr>
        <cdr:spPr>
          <a:xfrm xmlns:a="http://schemas.openxmlformats.org/drawingml/2006/main">
            <a:off x="115650" y="131861"/>
            <a:ext cx="566441" cy="269248"/>
          </a:xfrm>
          <a:prstGeom xmlns:a="http://schemas.openxmlformats.org/drawingml/2006/main" prst="rect">
            <a:avLst/>
          </a:prstGeom>
          <a:solidFill xmlns:a="http://schemas.openxmlformats.org/drawingml/2006/main">
            <a:schemeClr val="bg1"/>
          </a:solidFill>
          <a:ln xmlns:a="http://schemas.openxmlformats.org/drawingml/2006/main">
            <a:noFill/>
          </a:ln>
        </cdr:spPr>
        <cdr:style>
          <a:lnRef xmlns:a="http://schemas.openxmlformats.org/drawingml/2006/main" idx="2">
            <a:schemeClr val="accent1">
              <a:shade val="15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l"/>
            <a:endParaRPr lang="en-US" sz="1100"/>
          </a:p>
        </cdr:txBody>
      </cdr:sp>
      <cdr:pic>
        <cdr:nvPicPr>
          <cdr:cNvPr id="3" name="Picture 2">
            <a:extLst xmlns:a="http://schemas.openxmlformats.org/drawingml/2006/main">
              <a:ext uri="{FF2B5EF4-FFF2-40B4-BE49-F238E27FC236}">
                <a16:creationId xmlns:a16="http://schemas.microsoft.com/office/drawing/2014/main" id="{0147FF14-7C5D-4656-A861-6F3F7B86DA77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contrast="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161876" y="185694"/>
            <a:ext cx="490202" cy="175109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rganic">
  <a:themeElements>
    <a:clrScheme name="Organic">
      <a:dk1>
        <a:sysClr val="windowText" lastClr="000000"/>
      </a:dk1>
      <a:lt1>
        <a:sysClr val="window" lastClr="FFFFFF"/>
      </a:lt1>
      <a:dk2>
        <a:srgbClr val="212121"/>
      </a:dk2>
      <a:lt2>
        <a:srgbClr val="DADADA"/>
      </a:lt2>
      <a:accent1>
        <a:srgbClr val="83992A"/>
      </a:accent1>
      <a:accent2>
        <a:srgbClr val="3C9770"/>
      </a:accent2>
      <a:accent3>
        <a:srgbClr val="44709D"/>
      </a:accent3>
      <a:accent4>
        <a:srgbClr val="A23C33"/>
      </a:accent4>
      <a:accent5>
        <a:srgbClr val="D97828"/>
      </a:accent5>
      <a:accent6>
        <a:srgbClr val="DEB340"/>
      </a:accent6>
      <a:hlink>
        <a:srgbClr val="A8BF4D"/>
      </a:hlink>
      <a:folHlink>
        <a:srgbClr val="B4CA80"/>
      </a:folHlink>
    </a:clrScheme>
    <a:fontScheme name="Organic">
      <a:majorFont>
        <a:latin typeface="Garamond" panose="02020404030301010803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Garamond" panose="02020404030301010803"/>
        <a:ea typeface=""/>
        <a:cs typeface=""/>
        <a:font script="Jpan" typeface="ＭＳ Ｐ明朝"/>
        <a:font script="Hang" typeface="바탕"/>
        <a:font script="Hans" typeface="方正舒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Organic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lumMod val="110000"/>
              </a:schemeClr>
            </a:gs>
            <a:gs pos="100000">
              <a:schemeClr val="phClr">
                <a:tint val="82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74000"/>
                <a:satMod val="130000"/>
                <a:lumMod val="90000"/>
              </a:schemeClr>
              <a:schemeClr val="phClr">
                <a:tint val="94000"/>
                <a:satMod val="120000"/>
                <a:lumMod val="104000"/>
              </a:schemeClr>
            </a:duotone>
          </a:blip>
          <a:tile tx="0" ty="0" sx="100000" sy="100000" flip="none" algn="tl"/>
        </a:blip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38100" dist="25400" dir="5400000" rotWithShape="0">
              <a:srgbClr val="000000">
                <a:alpha val="60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88000"/>
                <a:lumMod val="98000"/>
              </a:schemeClr>
            </a:gs>
          </a:gsLst>
          <a:lin ang="5400000" scaled="0"/>
        </a:gradFill>
        <a:blipFill>
          <a:blip xmlns:r="http://schemas.openxmlformats.org/officeDocument/2006/relationships"/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rganic" id="{28CDC826-8792-45C0-861B-85EB3ADEDA33}" vid="{7DAC20F1-423D-49E2-BD0B-50532748BAD0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IPCalc">
    <tabColor theme="8" tint="-0.499984740745262"/>
    <pageSetUpPr fitToPage="1"/>
  </sheetPr>
  <dimension ref="A1:AI1205"/>
  <sheetViews>
    <sheetView showGridLines="0" tabSelected="1" topLeftCell="B1" zoomScale="94" zoomScaleNormal="100" workbookViewId="0">
      <selection activeCell="C4" sqref="C4"/>
    </sheetView>
  </sheetViews>
  <sheetFormatPr defaultColWidth="0" defaultRowHeight="13.2" zeroHeight="1" x14ac:dyDescent="0.25"/>
  <cols>
    <col min="1" max="1" width="4.6640625" style="19" customWidth="1"/>
    <col min="2" max="2" width="40.109375" style="19" customWidth="1"/>
    <col min="3" max="3" width="17.6640625" style="19" customWidth="1"/>
    <col min="4" max="5" width="9.109375" style="19" customWidth="1"/>
    <col min="6" max="6" width="8.21875" style="19" customWidth="1"/>
    <col min="7" max="7" width="9.109375" style="19" customWidth="1"/>
    <col min="8" max="8" width="23.44140625" style="19" customWidth="1"/>
    <col min="9" max="9" width="54.109375" style="19" customWidth="1"/>
    <col min="10" max="10" width="14.44140625" style="19" hidden="1" customWidth="1"/>
    <col min="11" max="11" width="10.77734375" style="19" hidden="1" customWidth="1"/>
    <col min="12" max="12" width="5.33203125" style="19" hidden="1" customWidth="1"/>
    <col min="13" max="13" width="13.44140625" style="19" hidden="1" customWidth="1"/>
    <col min="14" max="14" width="12.33203125" style="37" hidden="1" customWidth="1"/>
    <col min="15" max="15" width="15" style="37" hidden="1" customWidth="1"/>
    <col min="16" max="16" width="12.77734375" style="19" hidden="1" customWidth="1"/>
    <col min="17" max="17" width="10.6640625" style="19" hidden="1" customWidth="1"/>
    <col min="18" max="18" width="9.5546875" style="19" hidden="1" customWidth="1"/>
    <col min="19" max="19" width="12.77734375" style="19" hidden="1" customWidth="1"/>
    <col min="20" max="20" width="10.77734375" style="19" hidden="1" customWidth="1"/>
    <col min="21" max="21" width="20.44140625" style="41" hidden="1" customWidth="1"/>
    <col min="22" max="22" width="20.77734375" style="19" hidden="1" customWidth="1"/>
    <col min="23" max="23" width="16.33203125" style="19" hidden="1" customWidth="1"/>
    <col min="24" max="26" width="9.109375" style="19" hidden="1" customWidth="1"/>
    <col min="27" max="27" width="14.77734375" style="19" hidden="1" customWidth="1"/>
    <col min="28" max="30" width="9.109375" style="19" hidden="1" customWidth="1"/>
    <col min="31" max="31" width="27.109375" style="19" hidden="1" customWidth="1"/>
    <col min="32" max="32" width="11.44140625" style="19" hidden="1" customWidth="1"/>
    <col min="33" max="34" width="9.109375" style="19" hidden="1" customWidth="1"/>
    <col min="35" max="35" width="12.5546875" style="19" hidden="1" customWidth="1"/>
    <col min="36" max="16384" width="8.88671875" style="19" hidden="1"/>
  </cols>
  <sheetData>
    <row r="1" spans="1:29" x14ac:dyDescent="0.25">
      <c r="B1" s="17"/>
      <c r="C1" s="17"/>
      <c r="D1" s="17"/>
      <c r="E1" s="17"/>
      <c r="F1" s="17"/>
      <c r="G1" s="17"/>
      <c r="H1" s="17"/>
      <c r="I1" s="17"/>
      <c r="M1" s="42">
        <f>(1+SIPYield)^(1/12)-1</f>
        <v>9.4887929345830457E-3</v>
      </c>
      <c r="N1" s="43" t="s">
        <v>32</v>
      </c>
      <c r="O1" s="44" t="s">
        <v>11</v>
      </c>
      <c r="P1" s="19">
        <f>SIPYears*12</f>
        <v>120</v>
      </c>
      <c r="V1" s="45" t="s">
        <v>18</v>
      </c>
      <c r="W1" s="46">
        <f ca="1">OFFSET(N5:N1205,$P$1,0,1,1)</f>
        <v>1634449.2409538429</v>
      </c>
      <c r="Z1" s="47" t="s">
        <v>28</v>
      </c>
    </row>
    <row r="2" spans="1:29" ht="21" x14ac:dyDescent="0.25">
      <c r="B2" s="61" t="s">
        <v>35</v>
      </c>
      <c r="C2" s="61"/>
      <c r="D2" s="61"/>
      <c r="E2" s="61"/>
      <c r="F2" s="17"/>
      <c r="G2" s="17"/>
      <c r="H2" s="17"/>
      <c r="I2" s="17"/>
      <c r="M2" s="19">
        <f>COUNTIF(M6:M480,"&gt;0")</f>
        <v>120</v>
      </c>
      <c r="N2" s="43" t="s">
        <v>0</v>
      </c>
      <c r="V2" s="45" t="s">
        <v>15</v>
      </c>
      <c r="W2" s="19">
        <f>C8*12</f>
        <v>180</v>
      </c>
      <c r="AB2" s="42" t="s">
        <v>31</v>
      </c>
    </row>
    <row r="3" spans="1:29" x14ac:dyDescent="0.25">
      <c r="B3" s="17"/>
      <c r="C3" s="17"/>
      <c r="D3" s="17"/>
      <c r="E3" s="17"/>
      <c r="F3" s="17"/>
      <c r="G3" s="17"/>
      <c r="H3" s="17"/>
      <c r="I3" s="17"/>
      <c r="M3" s="48">
        <f ca="1">OFFSET(M6,M2-1,0)</f>
        <v>956245.47606000106</v>
      </c>
      <c r="N3" s="43" t="s">
        <v>9</v>
      </c>
      <c r="V3" s="45" t="s">
        <v>16</v>
      </c>
      <c r="W3" s="19">
        <f>W2-P1</f>
        <v>60</v>
      </c>
      <c r="Z3" s="19">
        <v>1</v>
      </c>
      <c r="AA3" s="39">
        <f t="shared" ref="AA3:AA66" si="0">IF(InvestYears&lt;SIPYears,0,IF(Z3&lt;=SIPYears,FV($W$13,Z3*12,-SIPMonthlyPmt,0,1), IF((InvestYears-SIPYears)&gt;0,IF(Z3&lt;=InvestYears,FV(SIPYield,Z3-SIPYears,0,-$W$1,1),0),0)))</f>
        <v>63832.489541766176</v>
      </c>
      <c r="AB3" s="40">
        <f t="shared" ref="AB3:AB34" si="1">IF(Z3&lt;=SIPYears,SIPMonthlyPmt*((1+$C$5)^(Z3-1)),0)</f>
        <v>5000</v>
      </c>
    </row>
    <row r="4" spans="1:29" ht="18" customHeight="1" x14ac:dyDescent="0.25">
      <c r="B4" s="3" t="s">
        <v>21</v>
      </c>
      <c r="C4" s="1">
        <v>5000</v>
      </c>
      <c r="D4" s="4"/>
      <c r="E4" s="4"/>
      <c r="F4" s="17"/>
      <c r="G4" s="59" t="s">
        <v>36</v>
      </c>
      <c r="H4" s="57" t="s">
        <v>38</v>
      </c>
      <c r="I4" s="17"/>
      <c r="J4" s="49" t="s">
        <v>34</v>
      </c>
      <c r="P4" s="45"/>
      <c r="V4" s="45" t="s">
        <v>17</v>
      </c>
      <c r="W4" s="46">
        <f ca="1">FV(SIPYield,W3/12,0,-W1,1)</f>
        <v>2880458.0264075585</v>
      </c>
      <c r="Z4" s="19">
        <v>2</v>
      </c>
      <c r="AA4" s="39">
        <f t="shared" si="0"/>
        <v>135324.87782854433</v>
      </c>
      <c r="AB4" s="40">
        <f t="shared" si="1"/>
        <v>5500</v>
      </c>
    </row>
    <row r="5" spans="1:29" ht="18" customHeight="1" x14ac:dyDescent="0.25">
      <c r="B5" s="14" t="s">
        <v>30</v>
      </c>
      <c r="C5" s="16">
        <v>0.1</v>
      </c>
      <c r="D5" s="5"/>
      <c r="E5" s="15"/>
      <c r="F5" s="17"/>
      <c r="G5" s="60" t="s">
        <v>37</v>
      </c>
      <c r="H5" s="58">
        <v>37</v>
      </c>
      <c r="I5" s="17"/>
      <c r="J5" s="50">
        <v>1000</v>
      </c>
      <c r="K5" s="54" t="s">
        <v>33</v>
      </c>
      <c r="M5" s="47" t="s">
        <v>2</v>
      </c>
      <c r="N5" s="43" t="s">
        <v>6</v>
      </c>
      <c r="O5" s="43" t="s">
        <v>7</v>
      </c>
      <c r="P5" s="62" t="s">
        <v>10</v>
      </c>
      <c r="Q5" s="62"/>
      <c r="R5" s="62"/>
      <c r="S5" s="47" t="s">
        <v>22</v>
      </c>
      <c r="T5" s="47" t="s">
        <v>22</v>
      </c>
      <c r="V5" s="45" t="s">
        <v>19</v>
      </c>
      <c r="W5" s="46">
        <f ca="1">IF(OR(SIPFinalAmt="Invalid",C16=0),0,OFFSET(Q5:Q1205,W2,0,1,1))</f>
        <v>0</v>
      </c>
      <c r="Z5" s="19">
        <v>3</v>
      </c>
      <c r="AA5" s="39">
        <f t="shared" si="0"/>
        <v>215396.35270973615</v>
      </c>
      <c r="AB5" s="40">
        <f t="shared" si="1"/>
        <v>6050.0000000000009</v>
      </c>
    </row>
    <row r="6" spans="1:29" ht="18" customHeight="1" x14ac:dyDescent="0.25">
      <c r="B6" s="3" t="str">
        <f>"SIP Term in Years"</f>
        <v>SIP Term in Years</v>
      </c>
      <c r="C6" s="2">
        <v>10</v>
      </c>
      <c r="D6" s="5"/>
      <c r="E6" s="6"/>
      <c r="F6" s="17"/>
      <c r="G6" s="17"/>
      <c r="H6" s="17"/>
      <c r="I6" s="17"/>
      <c r="J6" s="51">
        <v>1200</v>
      </c>
      <c r="K6" s="36">
        <f ca="1">TODAY()</f>
        <v>46244</v>
      </c>
      <c r="L6" s="19">
        <v>1</v>
      </c>
      <c r="M6" s="19">
        <f>IF($P$1&gt;=L6,_xlfn.XLOOKUP(U6,$Z$3:$Z$72,$AB$3:$AB$72,0)*L6,0)</f>
        <v>5000</v>
      </c>
      <c r="N6" s="37">
        <f>IF($W$2&gt;=L6,IF(L6&lt;=$P$1,M6*(1+SRate),FV(SRate,L6-$P$1,0,-$W$1,1)),0)</f>
        <v>5047.4439646729152</v>
      </c>
      <c r="O6" s="37">
        <f>N6/((1+SIPInflationRate)^(L6/12))</f>
        <v>5023.9827729793524</v>
      </c>
      <c r="P6" s="55" cm="1">
        <f t="array" aca="1" ref="P6" ca="1">IF((L6-$C$16)&gt;0, IF($P$1+$C$16&gt;=L6,INDIRECT("M"&amp;(L6-$C$16)+5),0),0)</f>
        <v>5000</v>
      </c>
      <c r="Q6" s="56" cm="1">
        <f t="array" aca="1" ref="Q6" ca="1">IF(L6&lt;=$C$16,0,IF($W$2&gt;=L6,IF(L6&lt;=($P$1+$C$16),INDIRECT("N"&amp;(L6-$C$16)+5),FV(SRate,L6-$P$1-$C$16,0,-$W$1,1)),0))</f>
        <v>5047.4439646729152</v>
      </c>
      <c r="R6" s="56">
        <f t="shared" ref="R6:R69" ca="1" si="2">Q6/((1+SIPInflationRate)^((L6-$C$16)/12))</f>
        <v>5023.9827729793524</v>
      </c>
      <c r="S6" s="19">
        <f>IF(L6&lt;=$P$1,-(_xlfn.XLOOKUP(U6,$Z$3:$Z$72,$AB$3:$AB$72,0)),IF(L6&lt;=($P$1+1),$W$4,0))</f>
        <v>-5000</v>
      </c>
      <c r="T6" s="36" cm="1">
        <f t="array" aca="1" ref="T6" ca="1">IF(L6&lt;=$P$1,K6,IF(L6&lt;=($P$1+1),INDIRECT("K"&amp;5+$W$2),""))</f>
        <v>46244</v>
      </c>
      <c r="U6" s="38">
        <f>QUOTIENT(L6,12)+IF(MOD(L6,12)=0,-1,0)+1</f>
        <v>1</v>
      </c>
      <c r="V6" s="45" t="s">
        <v>3</v>
      </c>
      <c r="W6" s="46">
        <f ca="1">W4-W5</f>
        <v>2880458.0264075585</v>
      </c>
      <c r="Z6" s="19">
        <v>4</v>
      </c>
      <c r="AA6" s="39">
        <f t="shared" si="0"/>
        <v>305076.40457667096</v>
      </c>
      <c r="AB6" s="40">
        <f t="shared" si="1"/>
        <v>6655.0000000000018</v>
      </c>
    </row>
    <row r="7" spans="1:29" ht="18" customHeight="1" x14ac:dyDescent="0.25">
      <c r="B7" s="3" t="s">
        <v>24</v>
      </c>
      <c r="C7" s="7">
        <v>0.12</v>
      </c>
      <c r="D7" s="4"/>
      <c r="E7" s="4"/>
      <c r="F7" s="17"/>
      <c r="G7" s="17"/>
      <c r="H7" s="17"/>
      <c r="I7" s="17"/>
      <c r="J7" s="50"/>
      <c r="K7" s="36">
        <f ca="1">EDATE(K6,1)</f>
        <v>46275</v>
      </c>
      <c r="L7" s="19">
        <v>2</v>
      </c>
      <c r="M7" s="19">
        <f>IF($P$1&gt;=L7,_xlfn.XLOOKUP(U7,$Z$3:$Z$72,$AB$3:$AB$72,0)+M6,0)</f>
        <v>10000</v>
      </c>
      <c r="N7" s="37">
        <f t="shared" ref="N7:N70" si="3">IF($W$2&gt;=L7,IF(L7&lt;=$P$1,(M7-M6+N6)*(1+SRate),FV(SRate,L7-$P$1,0,-$W$1,1)),0)</f>
        <v>10142.782079975523</v>
      </c>
      <c r="O7" s="37">
        <f t="shared" ref="O7:O69" si="4">N7/((1+SIPInflationRate)^(L7/12))</f>
        <v>10048.711212667664</v>
      </c>
      <c r="P7" s="55" cm="1">
        <f t="array" aca="1" ref="P7" ca="1">IF((L7-$C$16)&gt;0, IF($P$1+$C$16&gt;=L7,INDIRECT("M"&amp;(L7-$C$16)+5),0),0)</f>
        <v>10000</v>
      </c>
      <c r="Q7" s="56" cm="1">
        <f t="array" aca="1" ref="Q7" ca="1">IF(L7&lt;=$C$16,0,IF($W$2&gt;=L7,IF(L7&lt;=($P$1+$C$16),INDIRECT("N"&amp;(L7-$C$16)+5),FV(SRate,L7-$P$1-$C$16,0,-$W$1,1)),0))</f>
        <v>10142.782079975523</v>
      </c>
      <c r="R7" s="56">
        <f t="shared" ca="1" si="2"/>
        <v>10048.711212667664</v>
      </c>
      <c r="S7" s="19">
        <f t="shared" ref="S7:S70" si="5">IF(L7&lt;=$P$1,-(_xlfn.XLOOKUP(U7,$Z$3:$Z$72,$AB$3:$AB$72,0)),IF(L7&lt;=($P$1+1),$W$4,0))</f>
        <v>-5000</v>
      </c>
      <c r="T7" s="36" cm="1">
        <f t="array" aca="1" ref="T7" ca="1">IF(L7&lt;=$P$1,K7,IF(L7&lt;=($P$1+1),INDIRECT("K"&amp;5+$W$2),""))</f>
        <v>46275</v>
      </c>
      <c r="U7" s="38">
        <f t="shared" ref="U7:U70" si="6">QUOTIENT(L7,12)+IF(MOD(L7,12)=0,-1,0)+1</f>
        <v>1</v>
      </c>
      <c r="Z7" s="19">
        <v>5</v>
      </c>
      <c r="AA7" s="39">
        <f t="shared" si="0"/>
        <v>405518.06266763806</v>
      </c>
      <c r="AB7" s="40">
        <f t="shared" si="1"/>
        <v>7320.5000000000018</v>
      </c>
    </row>
    <row r="8" spans="1:29" ht="18" customHeight="1" x14ac:dyDescent="0.25">
      <c r="B8" s="35" t="s">
        <v>29</v>
      </c>
      <c r="C8" s="2">
        <v>15</v>
      </c>
      <c r="D8" s="63" t="str">
        <f>IF(C8&lt;SIPYears,"Invalid","Min. " &amp; SIPYears &amp; " Years")</f>
        <v>Min. 10 Years</v>
      </c>
      <c r="E8" s="63"/>
      <c r="F8" s="17"/>
      <c r="G8" s="17"/>
      <c r="H8" s="17"/>
      <c r="I8" s="17"/>
      <c r="J8" s="50"/>
      <c r="K8" s="36">
        <f ca="1">EDATE(K7,1)</f>
        <v>46305</v>
      </c>
      <c r="L8" s="19">
        <v>3</v>
      </c>
      <c r="M8" s="19">
        <f t="shared" ref="M8:M71" si="7">IF($P$1&gt;=L8,_xlfn.XLOOKUP(U8,$Z$3:$Z$72,$AB$3:$AB$72,0)+M7,0)</f>
        <v>15000</v>
      </c>
      <c r="N8" s="37">
        <f t="shared" si="3"/>
        <v>15286.468803585925</v>
      </c>
      <c r="O8" s="37">
        <f t="shared" si="4"/>
        <v>15074.297439556854</v>
      </c>
      <c r="P8" s="55" cm="1">
        <f t="array" aca="1" ref="P8" ca="1">IF((L8-$C$16)&gt;0, IF($P$1+$C$16&gt;=L8,INDIRECT("M"&amp;(L8-$C$16)+5),0),0)</f>
        <v>15000</v>
      </c>
      <c r="Q8" s="56" cm="1">
        <f t="array" aca="1" ref="Q8" ca="1">IF(L8&lt;=$C$16,0,IF($W$2&gt;=L8,IF(L8&lt;=($P$1+$C$16),INDIRECT("N"&amp;(L8-$C$16)+5),FV(SRate,L8-$P$1-$C$16,0,-$W$1,1)),0))</f>
        <v>15286.468803585925</v>
      </c>
      <c r="R8" s="56">
        <f t="shared" ca="1" si="2"/>
        <v>15074.297439556854</v>
      </c>
      <c r="S8" s="19">
        <f t="shared" si="5"/>
        <v>-5000</v>
      </c>
      <c r="T8" s="36" cm="1">
        <f t="array" aca="1" ref="T8" ca="1">IF(L8&lt;=$P$1,K8,IF(L8&lt;=($P$1+1),INDIRECT("K"&amp;5+$W$2),""))</f>
        <v>46305</v>
      </c>
      <c r="U8" s="38">
        <f t="shared" si="6"/>
        <v>1</v>
      </c>
      <c r="Z8" s="19">
        <v>6</v>
      </c>
      <c r="AA8" s="39">
        <f t="shared" si="0"/>
        <v>518012.71972952143</v>
      </c>
      <c r="AB8" s="40">
        <f t="shared" si="1"/>
        <v>8052.5500000000029</v>
      </c>
    </row>
    <row r="9" spans="1:29" ht="18" customHeight="1" x14ac:dyDescent="0.25">
      <c r="A9" s="17"/>
      <c r="B9" s="17"/>
      <c r="C9" s="17"/>
      <c r="D9" s="17"/>
      <c r="E9" s="17"/>
      <c r="F9" s="17"/>
      <c r="G9" s="17"/>
      <c r="H9" s="17"/>
      <c r="I9" s="17"/>
      <c r="J9" s="50"/>
      <c r="K9" s="36">
        <f t="shared" ref="K9:K72" ca="1" si="8">EDATE(K8,1)</f>
        <v>46336</v>
      </c>
      <c r="L9" s="19">
        <v>4</v>
      </c>
      <c r="M9" s="19">
        <f t="shared" si="7"/>
        <v>20000</v>
      </c>
      <c r="N9" s="37">
        <f t="shared" si="3"/>
        <v>20478.962905437031</v>
      </c>
      <c r="O9" s="37">
        <f t="shared" si="4"/>
        <v>20100.853607404577</v>
      </c>
      <c r="P9" s="55" cm="1">
        <f t="array" aca="1" ref="P9" ca="1">IF((L9-$C$16)&gt;0, IF($P$1+$C$16&gt;=L9,INDIRECT("M"&amp;(L9-$C$16)+5),0),0)</f>
        <v>20000</v>
      </c>
      <c r="Q9" s="56" cm="1">
        <f t="array" aca="1" ref="Q9" ca="1">IF(L9&lt;=$C$16,0,IF($W$2&gt;=L9,IF(L9&lt;=($P$1+$C$16),INDIRECT("N"&amp;(L9-$C$16)+5),FV(SRate,L9-$P$1-$C$16,0,-$W$1,1)),0))</f>
        <v>20478.962905437031</v>
      </c>
      <c r="R9" s="56">
        <f t="shared" ca="1" si="2"/>
        <v>20100.853607404577</v>
      </c>
      <c r="S9" s="19">
        <f t="shared" si="5"/>
        <v>-5000</v>
      </c>
      <c r="T9" s="36" cm="1">
        <f t="array" aca="1" ref="T9" ca="1">IF(L9&lt;=$P$1,K9,IF(L9&lt;=($P$1+1),INDIRECT("K"&amp;5+$W$2),""))</f>
        <v>46336</v>
      </c>
      <c r="U9" s="38">
        <f t="shared" si="6"/>
        <v>1</v>
      </c>
      <c r="V9" s="45" t="s">
        <v>22</v>
      </c>
      <c r="W9" s="52">
        <f ca="1">XIRR(S6:INDIRECT("S" &amp;6+$P$1),T6:INDIRECT("T" &amp;6+$P$1))</f>
        <v>0.12097640633583068</v>
      </c>
      <c r="Z9" s="19">
        <v>7</v>
      </c>
      <c r="AA9" s="39">
        <f t="shared" si="0"/>
        <v>644006.73563883104</v>
      </c>
      <c r="AB9" s="40">
        <f t="shared" si="1"/>
        <v>8857.8050000000039</v>
      </c>
    </row>
    <row r="10" spans="1:29" ht="20.399999999999999" customHeight="1" x14ac:dyDescent="0.25">
      <c r="B10" s="22" t="s">
        <v>8</v>
      </c>
      <c r="C10" s="11">
        <f ca="1">IF(D8="Invalid","Invalid",W4)</f>
        <v>2880458.0264075585</v>
      </c>
      <c r="D10" s="23"/>
      <c r="E10" s="23"/>
      <c r="F10" s="17"/>
      <c r="G10" s="17"/>
      <c r="H10" s="17"/>
      <c r="I10" s="17"/>
      <c r="J10" s="50"/>
      <c r="K10" s="36">
        <f t="shared" ca="1" si="8"/>
        <v>46366</v>
      </c>
      <c r="L10" s="19">
        <v>5</v>
      </c>
      <c r="M10" s="19">
        <f t="shared" si="7"/>
        <v>25000</v>
      </c>
      <c r="N10" s="37">
        <f t="shared" si="3"/>
        <v>25720.727508634645</v>
      </c>
      <c r="O10" s="37">
        <f t="shared" si="4"/>
        <v>25128.491905738909</v>
      </c>
      <c r="P10" s="55" cm="1">
        <f t="array" aca="1" ref="P10" ca="1">IF((L10-$C$16)&gt;0, IF($P$1+$C$16&gt;=L10,INDIRECT("M"&amp;(L10-$C$16)+5),0),0)</f>
        <v>25000</v>
      </c>
      <c r="Q10" s="56" cm="1">
        <f t="array" aca="1" ref="Q10" ca="1">IF(L10&lt;=$C$16,0,IF($W$2&gt;=L10,IF(L10&lt;=($P$1+$C$16),INDIRECT("N"&amp;(L10-$C$16)+5),FV(SRate,L10-$P$1-$C$16,0,-$W$1,1)),0))</f>
        <v>25720.727508634645</v>
      </c>
      <c r="R10" s="56">
        <f t="shared" ca="1" si="2"/>
        <v>25128.491905738909</v>
      </c>
      <c r="S10" s="19">
        <f t="shared" si="5"/>
        <v>-5000</v>
      </c>
      <c r="T10" s="36" cm="1">
        <f t="array" aca="1" ref="T10" ca="1">IF(L10&lt;=$P$1,K10,IF(L10&lt;=($P$1+1),INDIRECT("K"&amp;5+$W$2),""))</f>
        <v>46366</v>
      </c>
      <c r="U10" s="38">
        <f t="shared" si="6"/>
        <v>1</v>
      </c>
      <c r="Z10" s="19">
        <v>8</v>
      </c>
      <c r="AA10" s="39">
        <f t="shared" si="0"/>
        <v>785120.0334572579</v>
      </c>
      <c r="AB10" s="40">
        <f t="shared" si="1"/>
        <v>9743.5855000000065</v>
      </c>
    </row>
    <row r="11" spans="1:29" ht="20.399999999999999" customHeight="1" x14ac:dyDescent="0.25">
      <c r="B11" s="24" t="s">
        <v>23</v>
      </c>
      <c r="C11" s="13">
        <f ca="1">IF(SIPFinalAmt="Invalid","Invalid",W9)</f>
        <v>0.12097640633583068</v>
      </c>
      <c r="D11" s="25"/>
      <c r="E11" s="25"/>
      <c r="F11" s="17"/>
      <c r="G11" s="17"/>
      <c r="H11" s="17"/>
      <c r="I11" s="17"/>
      <c r="K11" s="36">
        <f t="shared" ca="1" si="8"/>
        <v>46397</v>
      </c>
      <c r="L11" s="19">
        <v>6</v>
      </c>
      <c r="M11" s="19">
        <f t="shared" si="7"/>
        <v>30000</v>
      </c>
      <c r="N11" s="37">
        <f t="shared" si="3"/>
        <v>31012.23013076383</v>
      </c>
      <c r="O11" s="37">
        <f t="shared" si="4"/>
        <v>30157.324562364098</v>
      </c>
      <c r="P11" s="55" cm="1">
        <f t="array" aca="1" ref="P11" ca="1">IF((L11-$C$16)&gt;0, IF($P$1+$C$16&gt;=L11,INDIRECT("M"&amp;(L11-$C$16)+5),0),0)</f>
        <v>30000</v>
      </c>
      <c r="Q11" s="56" cm="1">
        <f t="array" aca="1" ref="Q11" ca="1">IF(L11&lt;=$C$16,0,IF($W$2&gt;=L11,IF(L11&lt;=($P$1+$C$16),INDIRECT("N"&amp;(L11-$C$16)+5),FV(SRate,L11-$P$1-$C$16,0,-$W$1,1)),0))</f>
        <v>31012.23013076383</v>
      </c>
      <c r="R11" s="56">
        <f t="shared" ca="1" si="2"/>
        <v>30157.324562364098</v>
      </c>
      <c r="S11" s="19">
        <f t="shared" si="5"/>
        <v>-5000</v>
      </c>
      <c r="T11" s="36" cm="1">
        <f t="array" aca="1" ref="T11" ca="1">IF(L11&lt;=$P$1,K11,IF(L11&lt;=($P$1+1),INDIRECT("K"&amp;5+$W$2),""))</f>
        <v>46397</v>
      </c>
      <c r="U11" s="38">
        <f t="shared" si="6"/>
        <v>1</v>
      </c>
      <c r="V11" s="45" t="s">
        <v>25</v>
      </c>
      <c r="W11" s="19">
        <f>P1/12</f>
        <v>10</v>
      </c>
      <c r="Z11" s="19">
        <v>9</v>
      </c>
      <c r="AA11" s="39">
        <f t="shared" si="0"/>
        <v>943166.92701389582</v>
      </c>
      <c r="AB11" s="40">
        <f t="shared" si="1"/>
        <v>10717.944050000006</v>
      </c>
    </row>
    <row r="12" spans="1:29" ht="15.6" customHeight="1" x14ac:dyDescent="0.25">
      <c r="A12" s="17"/>
      <c r="B12" s="17"/>
      <c r="C12" s="17"/>
      <c r="D12" s="17"/>
      <c r="E12" s="17"/>
      <c r="F12" s="17"/>
      <c r="G12" s="17"/>
      <c r="H12" s="17"/>
      <c r="I12" s="17"/>
      <c r="K12" s="36">
        <f t="shared" ca="1" si="8"/>
        <v>46428</v>
      </c>
      <c r="L12" s="19">
        <v>7</v>
      </c>
      <c r="M12" s="19">
        <f t="shared" si="7"/>
        <v>35000</v>
      </c>
      <c r="N12" s="37">
        <f t="shared" si="3"/>
        <v>36353.9427255872</v>
      </c>
      <c r="O12" s="37">
        <f t="shared" si="4"/>
        <v>35187.46384586754</v>
      </c>
      <c r="P12" s="55" cm="1">
        <f t="array" aca="1" ref="P12" ca="1">IF((L12-$C$16)&gt;0, IF($P$1+$C$16&gt;=L12,INDIRECT("M"&amp;(L12-$C$16)+5),0),0)</f>
        <v>35000</v>
      </c>
      <c r="Q12" s="56" cm="1">
        <f t="array" aca="1" ref="Q12" ca="1">IF(L12&lt;=$C$16,0,IF($W$2&gt;=L12,IF(L12&lt;=($P$1+$C$16),INDIRECT("N"&amp;(L12-$C$16)+5),FV(SRate,L12-$P$1-$C$16,0,-$W$1,1)),0))</f>
        <v>36353.9427255872</v>
      </c>
      <c r="R12" s="56">
        <f t="shared" ca="1" si="2"/>
        <v>35187.46384586754</v>
      </c>
      <c r="S12" s="19">
        <f t="shared" si="5"/>
        <v>-5000</v>
      </c>
      <c r="T12" s="36" cm="1">
        <f t="array" aca="1" ref="T12" ca="1">IF(L12&lt;=$P$1,K12,IF(L12&lt;=($P$1+1),INDIRECT("K"&amp;5+$W$2),""))</f>
        <v>46428</v>
      </c>
      <c r="U12" s="38">
        <f t="shared" si="6"/>
        <v>1</v>
      </c>
      <c r="V12" s="45" t="s">
        <v>26</v>
      </c>
      <c r="W12" s="19">
        <f>C8</f>
        <v>15</v>
      </c>
      <c r="Z12" s="19">
        <v>10</v>
      </c>
      <c r="AA12" s="39">
        <f t="shared" si="0"/>
        <v>1120179.4477973308</v>
      </c>
      <c r="AB12" s="40">
        <f t="shared" si="1"/>
        <v>11789.738455000008</v>
      </c>
    </row>
    <row r="13" spans="1:29" ht="17.399999999999999" customHeight="1" x14ac:dyDescent="0.25">
      <c r="B13" s="31" t="s">
        <v>1</v>
      </c>
      <c r="C13" s="8">
        <v>5.7500000000000002E-2</v>
      </c>
      <c r="D13" s="31"/>
      <c r="E13" s="31"/>
      <c r="F13" s="17"/>
      <c r="G13" s="17"/>
      <c r="H13" s="17"/>
      <c r="I13" s="17"/>
      <c r="J13" s="51">
        <v>575</v>
      </c>
      <c r="K13" s="36">
        <f t="shared" ca="1" si="8"/>
        <v>46456</v>
      </c>
      <c r="L13" s="19">
        <v>8</v>
      </c>
      <c r="M13" s="19">
        <f t="shared" si="7"/>
        <v>40000</v>
      </c>
      <c r="N13" s="37">
        <f t="shared" si="3"/>
        <v>41746.341725138904</v>
      </c>
      <c r="O13" s="37">
        <f t="shared" si="4"/>
        <v>40219.022068127939</v>
      </c>
      <c r="P13" s="55" cm="1">
        <f t="array" aca="1" ref="P13" ca="1">IF((L13-$C$16)&gt;0, IF($P$1+$C$16&gt;=L13,INDIRECT("M"&amp;(L13-$C$16)+5),0),0)</f>
        <v>40000</v>
      </c>
      <c r="Q13" s="56" cm="1">
        <f t="array" aca="1" ref="Q13" ca="1">IF(L13&lt;=$C$16,0,IF($W$2&gt;=L13,IF(L13&lt;=($P$1+$C$16),INDIRECT("N"&amp;(L13-$C$16)+5),FV(SRate,L13-$P$1-$C$16,0,-$W$1,1)),0))</f>
        <v>41746.341725138904</v>
      </c>
      <c r="R13" s="56">
        <f t="shared" ca="1" si="2"/>
        <v>40219.022068127939</v>
      </c>
      <c r="S13" s="19">
        <f t="shared" si="5"/>
        <v>-5000</v>
      </c>
      <c r="T13" s="36" cm="1">
        <f t="array" aca="1" ref="T13" ca="1">IF(L13&lt;=$P$1,K13,IF(L13&lt;=($P$1+1),INDIRECT("K"&amp;5+$W$2),""))</f>
        <v>46456</v>
      </c>
      <c r="U13" s="38">
        <f t="shared" si="6"/>
        <v>1</v>
      </c>
      <c r="V13" s="45" t="s">
        <v>27</v>
      </c>
      <c r="W13" s="19">
        <f>SRate</f>
        <v>9.4887929345830457E-3</v>
      </c>
      <c r="Z13" s="19">
        <v>11</v>
      </c>
      <c r="AA13" s="39">
        <f t="shared" ca="1" si="0"/>
        <v>1830583.1498683041</v>
      </c>
      <c r="AB13" s="40">
        <f t="shared" si="1"/>
        <v>0</v>
      </c>
    </row>
    <row r="14" spans="1:29" ht="17.399999999999999" customHeight="1" x14ac:dyDescent="0.25">
      <c r="B14" s="32" t="s">
        <v>5</v>
      </c>
      <c r="C14" s="12">
        <f ca="1">IF(SIPFinalAmt="Invalid","Invalid",SIPFinalAmt/((1+SIPInflationRate)^(SIPYears)))</f>
        <v>1646864.2069425264</v>
      </c>
      <c r="D14" s="32"/>
      <c r="E14" s="32"/>
      <c r="F14" s="17"/>
      <c r="G14" s="17"/>
      <c r="H14" s="17"/>
      <c r="I14" s="17"/>
      <c r="K14" s="36">
        <f t="shared" ca="1" si="8"/>
        <v>46487</v>
      </c>
      <c r="L14" s="19">
        <v>9</v>
      </c>
      <c r="M14" s="19">
        <f t="shared" si="7"/>
        <v>45000</v>
      </c>
      <c r="N14" s="37">
        <f t="shared" si="3"/>
        <v>47189.908082218004</v>
      </c>
      <c r="O14" s="37">
        <f t="shared" si="4"/>
        <v>45252.111586824765</v>
      </c>
      <c r="P14" s="55" cm="1">
        <f t="array" aca="1" ref="P14" ca="1">IF((L14-$C$16)&gt;0, IF($P$1+$C$16&gt;=L14,INDIRECT("M"&amp;(L14-$C$16)+5),0),0)</f>
        <v>45000</v>
      </c>
      <c r="Q14" s="56" cm="1">
        <f t="array" aca="1" ref="Q14" ca="1">IF(L14&lt;=$C$16,0,IF($W$2&gt;=L14,IF(L14&lt;=($P$1+$C$16),INDIRECT("N"&amp;(L14-$C$16)+5),FV(SRate,L14-$P$1-$C$16,0,-$W$1,1)),0))</f>
        <v>47189.908082218004</v>
      </c>
      <c r="R14" s="56">
        <f t="shared" ca="1" si="2"/>
        <v>45252.111586824765</v>
      </c>
      <c r="S14" s="19">
        <f t="shared" si="5"/>
        <v>-5000</v>
      </c>
      <c r="T14" s="36" cm="1">
        <f t="array" aca="1" ref="T14" ca="1">IF(L14&lt;=$P$1,K14,IF(L14&lt;=($P$1+1),INDIRECT("K"&amp;5+$W$2),""))</f>
        <v>46487</v>
      </c>
      <c r="U14" s="38">
        <f t="shared" si="6"/>
        <v>1</v>
      </c>
      <c r="Z14" s="19">
        <v>12</v>
      </c>
      <c r="AA14" s="39">
        <f t="shared" ca="1" si="0"/>
        <v>2050253.1278525009</v>
      </c>
      <c r="AB14" s="40">
        <f t="shared" si="1"/>
        <v>0</v>
      </c>
    </row>
    <row r="15" spans="1:29" ht="15.75" customHeight="1" x14ac:dyDescent="0.25">
      <c r="A15" s="17"/>
      <c r="B15" s="17"/>
      <c r="C15" s="17"/>
      <c r="D15" s="17"/>
      <c r="E15" s="17"/>
      <c r="F15" s="17"/>
      <c r="G15" s="17"/>
      <c r="H15" s="17"/>
      <c r="I15" s="17"/>
      <c r="K15" s="36">
        <f t="shared" ca="1" si="8"/>
        <v>46517</v>
      </c>
      <c r="L15" s="19">
        <v>10</v>
      </c>
      <c r="M15" s="19">
        <f t="shared" si="7"/>
        <v>50000</v>
      </c>
      <c r="N15" s="37">
        <f t="shared" si="3"/>
        <v>52685.127313285091</v>
      </c>
      <c r="O15" s="37">
        <f t="shared" si="4"/>
        <v>50286.844807949041</v>
      </c>
      <c r="P15" s="55" cm="1">
        <f t="array" aca="1" ref="P15" ca="1">IF((L15-$C$16)&gt;0, IF($P$1+$C$16&gt;=L15,INDIRECT("M"&amp;(L15-$C$16)+5),0),0)</f>
        <v>50000</v>
      </c>
      <c r="Q15" s="56" cm="1">
        <f t="array" aca="1" ref="Q15" ca="1">IF(L15&lt;=$C$16,0,IF($W$2&gt;=L15,IF(L15&lt;=($P$1+$C$16),INDIRECT("N"&amp;(L15-$C$16)+5),FV(SRate,L15-$P$1-$C$16,0,-$W$1,1)),0))</f>
        <v>52685.127313285091</v>
      </c>
      <c r="R15" s="56">
        <f t="shared" ca="1" si="2"/>
        <v>50286.844807949041</v>
      </c>
      <c r="S15" s="19">
        <f t="shared" si="5"/>
        <v>-5000</v>
      </c>
      <c r="T15" s="36" cm="1">
        <f t="array" aca="1" ref="T15" ca="1">IF(L15&lt;=$P$1,K15,IF(L15&lt;=($P$1+1),INDIRECT("K"&amp;5+$W$2),""))</f>
        <v>46517</v>
      </c>
      <c r="U15" s="38">
        <f t="shared" si="6"/>
        <v>1</v>
      </c>
      <c r="Z15" s="19">
        <v>13</v>
      </c>
      <c r="AA15" s="39">
        <f t="shared" ca="1" si="0"/>
        <v>2296283.503194801</v>
      </c>
      <c r="AB15" s="40">
        <f t="shared" si="1"/>
        <v>0</v>
      </c>
    </row>
    <row r="16" spans="1:29" s="47" customFormat="1" ht="15.75" customHeight="1" x14ac:dyDescent="0.25">
      <c r="A16" s="19"/>
      <c r="B16" s="26" t="s">
        <v>4</v>
      </c>
      <c r="C16" s="2"/>
      <c r="D16" s="27"/>
      <c r="E16" s="27"/>
      <c r="F16" s="18"/>
      <c r="G16" s="18"/>
      <c r="H16" s="18"/>
      <c r="I16" s="18"/>
      <c r="K16" s="36">
        <f t="shared" ca="1" si="8"/>
        <v>46548</v>
      </c>
      <c r="L16" s="19">
        <v>11</v>
      </c>
      <c r="M16" s="19">
        <f t="shared" si="7"/>
        <v>55000</v>
      </c>
      <c r="N16" s="37">
        <f t="shared" si="3"/>
        <v>58232.489541765914</v>
      </c>
      <c r="O16" s="37">
        <f t="shared" si="4"/>
        <v>55323.334188315566</v>
      </c>
      <c r="P16" s="55" cm="1">
        <f t="array" aca="1" ref="P16" ca="1">IF((L16-$C$16)&gt;0, IF($P$1+$C$16&gt;=L16,INDIRECT("M"&amp;(L16-$C$16)+5),0),0)</f>
        <v>55000</v>
      </c>
      <c r="Q16" s="56" cm="1">
        <f t="array" aca="1" ref="Q16" ca="1">IF(L16&lt;=$C$16,0,IF($W$2&gt;=L16,IF(L16&lt;=($P$1+$C$16),INDIRECT("N"&amp;(L16-$C$16)+5),FV(SRate,L16-$P$1-$C$16,0,-$W$1,1)),0))</f>
        <v>58232.489541765914</v>
      </c>
      <c r="R16" s="56">
        <f t="shared" ca="1" si="2"/>
        <v>55323.334188315566</v>
      </c>
      <c r="S16" s="19">
        <f t="shared" si="5"/>
        <v>-5000</v>
      </c>
      <c r="T16" s="36" cm="1">
        <f t="array" aca="1" ref="T16" ca="1">IF(L16&lt;=$P$1,K16,IF(L16&lt;=($P$1+1),INDIRECT("K"&amp;5+$W$2),""))</f>
        <v>46548</v>
      </c>
      <c r="U16" s="38">
        <f t="shared" si="6"/>
        <v>1</v>
      </c>
      <c r="Z16" s="19">
        <v>14</v>
      </c>
      <c r="AA16" s="39">
        <f t="shared" ca="1" si="0"/>
        <v>2571837.5235781772</v>
      </c>
      <c r="AB16" s="40">
        <f t="shared" si="1"/>
        <v>0</v>
      </c>
      <c r="AC16" s="19"/>
    </row>
    <row r="17" spans="1:31" ht="15.75" customHeight="1" x14ac:dyDescent="0.25">
      <c r="B17" s="26" t="s">
        <v>20</v>
      </c>
      <c r="C17" s="28" t="str">
        <f ca="1">IF(OR(SIPFinalAmt="Invalid",C16=0),"",W5)</f>
        <v/>
      </c>
      <c r="D17" s="29"/>
      <c r="E17" s="29"/>
      <c r="F17" s="17"/>
      <c r="G17" s="17"/>
      <c r="H17" s="17"/>
      <c r="I17" s="17"/>
      <c r="K17" s="36">
        <f t="shared" ca="1" si="8"/>
        <v>46578</v>
      </c>
      <c r="L17" s="19">
        <v>12</v>
      </c>
      <c r="M17" s="19">
        <f t="shared" si="7"/>
        <v>60000</v>
      </c>
      <c r="N17" s="37">
        <f t="shared" si="3"/>
        <v>63832.489541765921</v>
      </c>
      <c r="O17" s="37">
        <f t="shared" si="4"/>
        <v>60361.692238076517</v>
      </c>
      <c r="P17" s="55" cm="1">
        <f t="array" aca="1" ref="P17" ca="1">IF((L17-$C$16)&gt;0, IF($P$1+$C$16&gt;=L17,INDIRECT("M"&amp;(L17-$C$16)+5),0),0)</f>
        <v>60000</v>
      </c>
      <c r="Q17" s="56" cm="1">
        <f t="array" aca="1" ref="Q17" ca="1">IF(L17&lt;=$C$16,0,IF($W$2&gt;=L17,IF(L17&lt;=($P$1+$C$16),INDIRECT("N"&amp;(L17-$C$16)+5),FV(SRate,L17-$P$1-$C$16,0,-$W$1,1)),0))</f>
        <v>63832.489541765921</v>
      </c>
      <c r="R17" s="56">
        <f t="shared" ca="1" si="2"/>
        <v>60361.692238076517</v>
      </c>
      <c r="S17" s="19">
        <f t="shared" si="5"/>
        <v>-5000</v>
      </c>
      <c r="T17" s="36" cm="1">
        <f t="array" aca="1" ref="T17" ca="1">IF(L17&lt;=$P$1,K17,IF(L17&lt;=($P$1+1),INDIRECT("K"&amp;5+$W$2),""))</f>
        <v>46578</v>
      </c>
      <c r="U17" s="38">
        <f t="shared" si="6"/>
        <v>1</v>
      </c>
      <c r="Z17" s="19">
        <v>15</v>
      </c>
      <c r="AA17" s="39">
        <f t="shared" ca="1" si="0"/>
        <v>2880458.0264075585</v>
      </c>
      <c r="AB17" s="40">
        <f t="shared" si="1"/>
        <v>0</v>
      </c>
      <c r="AE17" s="53"/>
    </row>
    <row r="18" spans="1:31" x14ac:dyDescent="0.25">
      <c r="B18" s="29" t="s">
        <v>3</v>
      </c>
      <c r="C18" s="30" t="str">
        <f ca="1">IF(OR(SIPFinalAmt="Invalid",C16=0),"",W6)</f>
        <v/>
      </c>
      <c r="D18" s="29"/>
      <c r="E18" s="29"/>
      <c r="F18" s="17"/>
      <c r="G18" s="17"/>
      <c r="H18" s="17"/>
      <c r="I18" s="17"/>
      <c r="J18" s="37"/>
      <c r="K18" s="36">
        <f t="shared" ca="1" si="8"/>
        <v>46609</v>
      </c>
      <c r="L18" s="19">
        <v>13</v>
      </c>
      <c r="M18" s="19">
        <f t="shared" si="7"/>
        <v>65500</v>
      </c>
      <c r="N18" s="37">
        <f t="shared" si="3"/>
        <v>69990.371178666872</v>
      </c>
      <c r="O18" s="37">
        <f t="shared" si="4"/>
        <v>65877.112636520658</v>
      </c>
      <c r="P18" s="55" cm="1">
        <f t="array" aca="1" ref="P18" ca="1">IF((L18-$C$16)&gt;0, IF($P$1+$C$16&gt;=L18,INDIRECT("M"&amp;(L18-$C$16)+5),0),0)</f>
        <v>65500</v>
      </c>
      <c r="Q18" s="56" cm="1">
        <f t="array" aca="1" ref="Q18" ca="1">IF(L18&lt;=$C$16,0,IF($W$2&gt;=L18,IF(L18&lt;=($P$1+$C$16),INDIRECT("N"&amp;(L18-$C$16)+5),FV(SRate,L18-$P$1-$C$16,0,-$W$1,1)),0))</f>
        <v>69990.371178666872</v>
      </c>
      <c r="R18" s="56">
        <f t="shared" ca="1" si="2"/>
        <v>65877.112636520658</v>
      </c>
      <c r="S18" s="19">
        <f t="shared" si="5"/>
        <v>-5500</v>
      </c>
      <c r="T18" s="36" cm="1">
        <f t="array" aca="1" ref="T18" ca="1">IF(L18&lt;=$P$1,K18,IF(L18&lt;=($P$1+1),INDIRECT("K"&amp;5+$W$2),""))</f>
        <v>46609</v>
      </c>
      <c r="U18" s="38">
        <f t="shared" si="6"/>
        <v>2</v>
      </c>
      <c r="V18" s="53"/>
      <c r="Z18" s="19">
        <v>16</v>
      </c>
      <c r="AA18" s="39">
        <f t="shared" si="0"/>
        <v>0</v>
      </c>
      <c r="AB18" s="40">
        <f t="shared" si="1"/>
        <v>0</v>
      </c>
      <c r="AE18" s="53"/>
    </row>
    <row r="19" spans="1:31" ht="17.25" customHeight="1" x14ac:dyDescent="0.25">
      <c r="A19" s="17"/>
      <c r="B19" s="17"/>
      <c r="C19" s="17"/>
      <c r="D19" s="17"/>
      <c r="E19" s="17"/>
      <c r="F19" s="17"/>
      <c r="G19" s="17"/>
      <c r="H19" s="17"/>
      <c r="I19" s="17"/>
      <c r="K19" s="36">
        <f t="shared" ca="1" si="8"/>
        <v>46640</v>
      </c>
      <c r="L19" s="19">
        <v>14</v>
      </c>
      <c r="M19" s="19">
        <f t="shared" si="7"/>
        <v>71000</v>
      </c>
      <c r="N19" s="37">
        <f t="shared" si="3"/>
        <v>76206.683679336056</v>
      </c>
      <c r="O19" s="37">
        <f t="shared" si="4"/>
        <v>71394.697406956213</v>
      </c>
      <c r="P19" s="55" cm="1">
        <f t="array" aca="1" ref="P19" ca="1">IF((L19-$C$16)&gt;0, IF($P$1+$C$16&gt;=L19,INDIRECT("M"&amp;(L19-$C$16)+5),0),0)</f>
        <v>71000</v>
      </c>
      <c r="Q19" s="56" cm="1">
        <f t="array" aca="1" ref="Q19" ca="1">IF(L19&lt;=$C$16,0,IF($W$2&gt;=L19,IF(L19&lt;=($P$1+$C$16),INDIRECT("N"&amp;(L19-$C$16)+5),FV(SRate,L19-$P$1-$C$16,0,-$W$1,1)),0))</f>
        <v>76206.683679336056</v>
      </c>
      <c r="R19" s="56">
        <f t="shared" ca="1" si="2"/>
        <v>71394.697406956213</v>
      </c>
      <c r="S19" s="19">
        <f t="shared" si="5"/>
        <v>-5500</v>
      </c>
      <c r="T19" s="36" cm="1">
        <f t="array" aca="1" ref="T19" ca="1">IF(L19&lt;=$P$1,K19,IF(L19&lt;=($P$1+1),INDIRECT("K"&amp;5+$W$2),""))</f>
        <v>46640</v>
      </c>
      <c r="U19" s="38">
        <f t="shared" si="6"/>
        <v>2</v>
      </c>
      <c r="V19" s="53"/>
      <c r="Z19" s="19">
        <v>17</v>
      </c>
      <c r="AA19" s="39">
        <f t="shared" si="0"/>
        <v>0</v>
      </c>
      <c r="AB19" s="40">
        <f t="shared" si="1"/>
        <v>0</v>
      </c>
    </row>
    <row r="20" spans="1:31" ht="17.25" customHeight="1" x14ac:dyDescent="0.25">
      <c r="B20" s="33" t="s">
        <v>12</v>
      </c>
      <c r="C20" s="34">
        <f ca="1">M3</f>
        <v>956245.47606000106</v>
      </c>
      <c r="D20" s="33"/>
      <c r="E20" s="33"/>
      <c r="F20" s="17"/>
      <c r="G20" s="17"/>
      <c r="H20" s="17"/>
      <c r="I20" s="17"/>
      <c r="K20" s="36">
        <f t="shared" ca="1" si="8"/>
        <v>46670</v>
      </c>
      <c r="L20" s="19">
        <v>15</v>
      </c>
      <c r="M20" s="19">
        <f t="shared" si="7"/>
        <v>76500</v>
      </c>
      <c r="N20" s="37">
        <f t="shared" si="3"/>
        <v>82481.981482140749</v>
      </c>
      <c r="O20" s="37">
        <f t="shared" si="4"/>
        <v>76914.569837055242</v>
      </c>
      <c r="P20" s="55" cm="1">
        <f t="array" aca="1" ref="P20" ca="1">IF((L20-$C$16)&gt;0, IF($P$1+$C$16&gt;=L20,INDIRECT("M"&amp;(L20-$C$16)+5),0),0)</f>
        <v>76500</v>
      </c>
      <c r="Q20" s="56" cm="1">
        <f t="array" aca="1" ref="Q20" ca="1">IF(L20&lt;=$C$16,0,IF($W$2&gt;=L20,IF(L20&lt;=($P$1+$C$16),INDIRECT("N"&amp;(L20-$C$16)+5),FV(SRate,L20-$P$1-$C$16,0,-$W$1,1)),0))</f>
        <v>82481.981482140749</v>
      </c>
      <c r="R20" s="56">
        <f t="shared" ca="1" si="2"/>
        <v>76914.569837055242</v>
      </c>
      <c r="S20" s="19">
        <f t="shared" si="5"/>
        <v>-5500</v>
      </c>
      <c r="T20" s="36" cm="1">
        <f t="array" aca="1" ref="T20" ca="1">IF(L20&lt;=$P$1,K20,IF(L20&lt;=($P$1+1),INDIRECT("K"&amp;5+$W$2),""))</f>
        <v>46670</v>
      </c>
      <c r="U20" s="38">
        <f t="shared" si="6"/>
        <v>2</v>
      </c>
      <c r="Z20" s="19">
        <v>18</v>
      </c>
      <c r="AA20" s="39">
        <f t="shared" si="0"/>
        <v>0</v>
      </c>
      <c r="AB20" s="40">
        <f t="shared" si="1"/>
        <v>0</v>
      </c>
      <c r="AE20" s="53"/>
    </row>
    <row r="21" spans="1:31" ht="17.25" customHeight="1" x14ac:dyDescent="0.25">
      <c r="B21" s="9" t="s">
        <v>13</v>
      </c>
      <c r="C21" s="10">
        <f ca="1">IF(SIPFinalAmt="Invalid","",SIPFinalAmt-C20)</f>
        <v>1924212.5503475573</v>
      </c>
      <c r="D21" s="9"/>
      <c r="E21" s="9"/>
      <c r="F21" s="17"/>
      <c r="G21" s="17"/>
      <c r="H21" s="17"/>
      <c r="I21" s="17"/>
      <c r="K21" s="36">
        <f t="shared" ca="1" si="8"/>
        <v>46701</v>
      </c>
      <c r="L21" s="19">
        <v>16</v>
      </c>
      <c r="M21" s="19">
        <f t="shared" si="7"/>
        <v>82000</v>
      </c>
      <c r="N21" s="37">
        <f t="shared" si="3"/>
        <v>88816.824286399104</v>
      </c>
      <c r="O21" s="37">
        <f t="shared" si="4"/>
        <v>82436.853281043077</v>
      </c>
      <c r="P21" s="55" cm="1">
        <f t="array" aca="1" ref="P21" ca="1">IF((L21-$C$16)&gt;0, IF($P$1+$C$16&gt;=L21,INDIRECT("M"&amp;(L21-$C$16)+5),0),0)</f>
        <v>82000</v>
      </c>
      <c r="Q21" s="56" cm="1">
        <f t="array" aca="1" ref="Q21" ca="1">IF(L21&lt;=$C$16,0,IF($W$2&gt;=L21,IF(L21&lt;=($P$1+$C$16),INDIRECT("N"&amp;(L21-$C$16)+5),FV(SRate,L21-$P$1-$C$16,0,-$W$1,1)),0))</f>
        <v>88816.824286399104</v>
      </c>
      <c r="R21" s="56">
        <f t="shared" ca="1" si="2"/>
        <v>82436.853281043077</v>
      </c>
      <c r="S21" s="19">
        <f t="shared" si="5"/>
        <v>-5500</v>
      </c>
      <c r="T21" s="36" cm="1">
        <f t="array" aca="1" ref="T21" ca="1">IF(L21&lt;=$P$1,K21,IF(L21&lt;=($P$1+1),INDIRECT("K"&amp;5+$W$2),""))</f>
        <v>46701</v>
      </c>
      <c r="U21" s="38">
        <f t="shared" si="6"/>
        <v>2</v>
      </c>
      <c r="V21" s="53"/>
      <c r="Z21" s="19">
        <v>19</v>
      </c>
      <c r="AA21" s="39">
        <f t="shared" si="0"/>
        <v>0</v>
      </c>
      <c r="AB21" s="40">
        <f t="shared" si="1"/>
        <v>0</v>
      </c>
    </row>
    <row r="22" spans="1:31" x14ac:dyDescent="0.25">
      <c r="A22" s="17"/>
      <c r="B22" s="17"/>
      <c r="C22" s="17"/>
      <c r="D22" s="17"/>
      <c r="E22" s="17"/>
      <c r="F22" s="17"/>
      <c r="G22" s="17"/>
      <c r="H22" s="17"/>
      <c r="I22" s="17"/>
      <c r="K22" s="36">
        <f t="shared" ca="1" si="8"/>
        <v>46731</v>
      </c>
      <c r="L22" s="19">
        <v>17</v>
      </c>
      <c r="M22" s="19">
        <f t="shared" si="7"/>
        <v>87500</v>
      </c>
      <c r="N22" s="37">
        <f t="shared" si="3"/>
        <v>95211.777102300199</v>
      </c>
      <c r="O22" s="37">
        <f t="shared" si="4"/>
        <v>87961.671162456929</v>
      </c>
      <c r="P22" s="55" cm="1">
        <f t="array" aca="1" ref="P22" ca="1">IF((L22-$C$16)&gt;0, IF($P$1+$C$16&gt;=L22,INDIRECT("M"&amp;(L22-$C$16)+5),0),0)</f>
        <v>87500</v>
      </c>
      <c r="Q22" s="56" cm="1">
        <f t="array" aca="1" ref="Q22" ca="1">IF(L22&lt;=$C$16,0,IF($W$2&gt;=L22,IF(L22&lt;=($P$1+$C$16),INDIRECT("N"&amp;(L22-$C$16)+5),FV(SRate,L22-$P$1-$C$16,0,-$W$1,1)),0))</f>
        <v>95211.777102300199</v>
      </c>
      <c r="R22" s="56">
        <f t="shared" ca="1" si="2"/>
        <v>87961.671162456929</v>
      </c>
      <c r="S22" s="19">
        <f t="shared" si="5"/>
        <v>-5500</v>
      </c>
      <c r="T22" s="36" cm="1">
        <f t="array" aca="1" ref="T22" ca="1">IF(L22&lt;=$P$1,K22,IF(L22&lt;=($P$1+1),INDIRECT("K"&amp;5+$W$2),""))</f>
        <v>46731</v>
      </c>
      <c r="U22" s="38">
        <f t="shared" si="6"/>
        <v>2</v>
      </c>
      <c r="V22" s="53"/>
      <c r="Z22" s="19">
        <v>20</v>
      </c>
      <c r="AA22" s="39">
        <f t="shared" si="0"/>
        <v>0</v>
      </c>
      <c r="AB22" s="40">
        <f t="shared" si="1"/>
        <v>0</v>
      </c>
    </row>
    <row r="23" spans="1:31" ht="12" customHeight="1" x14ac:dyDescent="0.25">
      <c r="A23" s="17"/>
      <c r="B23" s="17"/>
      <c r="C23" s="17"/>
      <c r="D23" s="17"/>
      <c r="E23" s="17"/>
      <c r="F23" s="17"/>
      <c r="G23" s="17"/>
      <c r="H23" s="17"/>
      <c r="I23" s="17"/>
      <c r="K23" s="36">
        <f t="shared" ca="1" si="8"/>
        <v>46762</v>
      </c>
      <c r="L23" s="19">
        <v>18</v>
      </c>
      <c r="M23" s="19">
        <f t="shared" si="7"/>
        <v>93000</v>
      </c>
      <c r="N23" s="37">
        <f t="shared" si="3"/>
        <v>101667.4103012978</v>
      </c>
      <c r="O23" s="37">
        <f t="shared" si="4"/>
        <v>93489.146976906282</v>
      </c>
      <c r="P23" s="55" cm="1">
        <f t="array" aca="1" ref="P23" ca="1">IF((L23-$C$16)&gt;0, IF($P$1+$C$16&gt;=L23,INDIRECT("M"&amp;(L23-$C$16)+5),0),0)</f>
        <v>93000</v>
      </c>
      <c r="Q23" s="56" cm="1">
        <f t="array" aca="1" ref="Q23" ca="1">IF(L23&lt;=$C$16,0,IF($W$2&gt;=L23,IF(L23&lt;=($P$1+$C$16),INDIRECT("N"&amp;(L23-$C$16)+5),FV(SRate,L23-$P$1-$C$16,0,-$W$1,1)),0))</f>
        <v>101667.4103012978</v>
      </c>
      <c r="R23" s="56">
        <f t="shared" ca="1" si="2"/>
        <v>93489.146976906282</v>
      </c>
      <c r="S23" s="19">
        <f t="shared" si="5"/>
        <v>-5500</v>
      </c>
      <c r="T23" s="36" cm="1">
        <f t="array" aca="1" ref="T23" ca="1">IF(L23&lt;=$P$1,K23,IF(L23&lt;=($P$1+1),INDIRECT("K"&amp;5+$W$2),""))</f>
        <v>46762</v>
      </c>
      <c r="U23" s="38">
        <f t="shared" si="6"/>
        <v>2</v>
      </c>
      <c r="V23" s="53"/>
      <c r="Z23" s="19">
        <v>21</v>
      </c>
      <c r="AA23" s="39">
        <f t="shared" si="0"/>
        <v>0</v>
      </c>
      <c r="AB23" s="40">
        <f t="shared" si="1"/>
        <v>0</v>
      </c>
    </row>
    <row r="24" spans="1:31" x14ac:dyDescent="0.25">
      <c r="A24" s="17"/>
      <c r="B24" s="21" t="s">
        <v>14</v>
      </c>
      <c r="C24" s="17"/>
      <c r="D24" s="17"/>
      <c r="E24" s="17"/>
      <c r="F24" s="17"/>
      <c r="G24" s="17"/>
      <c r="H24" s="20" t="s">
        <v>39</v>
      </c>
      <c r="I24" s="20"/>
      <c r="K24" s="36">
        <f t="shared" ca="1" si="8"/>
        <v>46793</v>
      </c>
      <c r="L24" s="19">
        <v>19</v>
      </c>
      <c r="M24" s="19">
        <f t="shared" si="7"/>
        <v>98500</v>
      </c>
      <c r="N24" s="37">
        <f t="shared" si="3"/>
        <v>108184.29966698232</v>
      </c>
      <c r="O24" s="37">
        <f t="shared" si="4"/>
        <v>99019.404294835374</v>
      </c>
      <c r="P24" s="55" cm="1">
        <f t="array" aca="1" ref="P24" ca="1">IF((L24-$C$16)&gt;0, IF($P$1+$C$16&gt;=L24,INDIRECT("M"&amp;(L24-$C$16)+5),0),0)</f>
        <v>98500</v>
      </c>
      <c r="Q24" s="56" cm="1">
        <f t="array" aca="1" ref="Q24" ca="1">IF(L24&lt;=$C$16,0,IF($W$2&gt;=L24,IF(L24&lt;=($P$1+$C$16),INDIRECT("N"&amp;(L24-$C$16)+5),FV(SRate,L24-$P$1-$C$16,0,-$W$1,1)),0))</f>
        <v>108184.29966698232</v>
      </c>
      <c r="R24" s="56">
        <f t="shared" ca="1" si="2"/>
        <v>99019.404294835374</v>
      </c>
      <c r="S24" s="19">
        <f t="shared" si="5"/>
        <v>-5500</v>
      </c>
      <c r="T24" s="36" cm="1">
        <f t="array" aca="1" ref="T24" ca="1">IF(L24&lt;=$P$1,K24,IF(L24&lt;=($P$1+1),INDIRECT("K"&amp;5+$W$2),""))</f>
        <v>46793</v>
      </c>
      <c r="U24" s="38">
        <f t="shared" si="6"/>
        <v>2</v>
      </c>
      <c r="Z24" s="19">
        <v>22</v>
      </c>
      <c r="AA24" s="39">
        <f t="shared" si="0"/>
        <v>0</v>
      </c>
      <c r="AB24" s="40">
        <f t="shared" si="1"/>
        <v>0</v>
      </c>
    </row>
    <row r="25" spans="1:31" x14ac:dyDescent="0.25">
      <c r="A25" s="17"/>
      <c r="B25" s="17"/>
      <c r="C25" s="17"/>
      <c r="D25" s="17"/>
      <c r="E25" s="17"/>
      <c r="F25" s="17"/>
      <c r="G25" s="17"/>
      <c r="H25" s="17"/>
      <c r="I25" s="17"/>
      <c r="K25" s="36">
        <f t="shared" ca="1" si="8"/>
        <v>46822</v>
      </c>
      <c r="L25" s="19">
        <v>20</v>
      </c>
      <c r="M25" s="19">
        <f t="shared" si="7"/>
        <v>104000</v>
      </c>
      <c r="N25" s="37">
        <f t="shared" si="3"/>
        <v>114763.0264464354</v>
      </c>
      <c r="O25" s="37">
        <f t="shared" si="4"/>
        <v>104552.56676428759</v>
      </c>
      <c r="P25" s="55" cm="1">
        <f t="array" aca="1" ref="P25" ca="1">IF((L25-$C$16)&gt;0, IF($P$1+$C$16&gt;=L25,INDIRECT("M"&amp;(L25-$C$16)+5),0),0)</f>
        <v>104000</v>
      </c>
      <c r="Q25" s="56" cm="1">
        <f t="array" aca="1" ref="Q25" ca="1">IF(L25&lt;=$C$16,0,IF($W$2&gt;=L25,IF(L25&lt;=($P$1+$C$16),INDIRECT("N"&amp;(L25-$C$16)+5),FV(SRate,L25-$P$1-$C$16,0,-$W$1,1)),0))</f>
        <v>114763.0264464354</v>
      </c>
      <c r="R25" s="56">
        <f t="shared" ca="1" si="2"/>
        <v>104552.56676428759</v>
      </c>
      <c r="S25" s="19">
        <f t="shared" si="5"/>
        <v>-5500</v>
      </c>
      <c r="T25" s="36" cm="1">
        <f t="array" aca="1" ref="T25" ca="1">IF(L25&lt;=$P$1,K25,IF(L25&lt;=($P$1+1),INDIRECT("K"&amp;5+$W$2),""))</f>
        <v>46822</v>
      </c>
      <c r="U25" s="38">
        <f t="shared" si="6"/>
        <v>2</v>
      </c>
      <c r="Z25" s="19">
        <v>23</v>
      </c>
      <c r="AA25" s="39">
        <f t="shared" si="0"/>
        <v>0</v>
      </c>
      <c r="AB25" s="40">
        <f t="shared" si="1"/>
        <v>0</v>
      </c>
    </row>
    <row r="26" spans="1:31" hidden="1" x14ac:dyDescent="0.25">
      <c r="K26" s="36">
        <f t="shared" ca="1" si="8"/>
        <v>46853</v>
      </c>
      <c r="L26" s="19">
        <v>21</v>
      </c>
      <c r="M26" s="19">
        <f t="shared" si="7"/>
        <v>109500</v>
      </c>
      <c r="N26" s="37">
        <f t="shared" si="3"/>
        <v>121404.1774020719</v>
      </c>
      <c r="O26" s="37">
        <f t="shared" si="4"/>
        <v>110088.75811367208</v>
      </c>
      <c r="P26" s="55" cm="1">
        <f t="array" aca="1" ref="P26" ca="1">IF((L26-$C$16)&gt;0, IF($P$1+$C$16&gt;=L26,INDIRECT("M"&amp;(L26-$C$16)+5),0),0)</f>
        <v>109500</v>
      </c>
      <c r="Q26" s="56" cm="1">
        <f t="array" aca="1" ref="Q26" ca="1">IF(L26&lt;=$C$16,0,IF($W$2&gt;=L26,IF(L26&lt;=($P$1+$C$16),INDIRECT("N"&amp;(L26-$C$16)+5),FV(SRate,L26-$P$1-$C$16,0,-$W$1,1)),0))</f>
        <v>121404.1774020719</v>
      </c>
      <c r="R26" s="56">
        <f t="shared" ca="1" si="2"/>
        <v>110088.75811367208</v>
      </c>
      <c r="S26" s="19">
        <f t="shared" si="5"/>
        <v>-5500</v>
      </c>
      <c r="T26" s="36" cm="1">
        <f t="array" aca="1" ref="T26" ca="1">IF(L26&lt;=$P$1,K26,IF(L26&lt;=($P$1+1),INDIRECT("K"&amp;5+$W$2),""))</f>
        <v>46853</v>
      </c>
      <c r="U26" s="38">
        <f t="shared" si="6"/>
        <v>2</v>
      </c>
      <c r="Z26" s="19">
        <v>24</v>
      </c>
      <c r="AA26" s="39">
        <f t="shared" si="0"/>
        <v>0</v>
      </c>
      <c r="AB26" s="40">
        <f t="shared" si="1"/>
        <v>0</v>
      </c>
    </row>
    <row r="27" spans="1:31" hidden="1" x14ac:dyDescent="0.25">
      <c r="K27" s="36">
        <f t="shared" ca="1" si="8"/>
        <v>46883</v>
      </c>
      <c r="L27" s="19">
        <v>22</v>
      </c>
      <c r="M27" s="19">
        <f t="shared" si="7"/>
        <v>115000</v>
      </c>
      <c r="N27" s="37">
        <f t="shared" si="3"/>
        <v>128108.34486397376</v>
      </c>
      <c r="O27" s="37">
        <f t="shared" si="4"/>
        <v>115628.10215453239</v>
      </c>
      <c r="P27" s="55" cm="1">
        <f t="array" aca="1" ref="P27" ca="1">IF((L27-$C$16)&gt;0, IF($P$1+$C$16&gt;=L27,INDIRECT("M"&amp;(L27-$C$16)+5),0),0)</f>
        <v>115000</v>
      </c>
      <c r="Q27" s="56" cm="1">
        <f t="array" aca="1" ref="Q27" ca="1">IF(L27&lt;=$C$16,0,IF($W$2&gt;=L27,IF(L27&lt;=($P$1+$C$16),INDIRECT("N"&amp;(L27-$C$16)+5),FV(SRate,L27-$P$1-$C$16,0,-$W$1,1)),0))</f>
        <v>128108.34486397376</v>
      </c>
      <c r="R27" s="56">
        <f t="shared" ca="1" si="2"/>
        <v>115628.10215453239</v>
      </c>
      <c r="S27" s="19">
        <f t="shared" si="5"/>
        <v>-5500</v>
      </c>
      <c r="T27" s="36" cm="1">
        <f t="array" aca="1" ref="T27" ca="1">IF(L27&lt;=$P$1,K27,IF(L27&lt;=($P$1+1),INDIRECT("K"&amp;5+$W$2),""))</f>
        <v>46883</v>
      </c>
      <c r="U27" s="38">
        <f t="shared" si="6"/>
        <v>2</v>
      </c>
      <c r="Z27" s="19">
        <v>25</v>
      </c>
      <c r="AA27" s="39">
        <f t="shared" si="0"/>
        <v>0</v>
      </c>
      <c r="AB27" s="40">
        <f t="shared" si="1"/>
        <v>0</v>
      </c>
    </row>
    <row r="28" spans="1:31" hidden="1" x14ac:dyDescent="0.25">
      <c r="K28" s="36">
        <f t="shared" ca="1" si="8"/>
        <v>46914</v>
      </c>
      <c r="L28" s="19">
        <v>23</v>
      </c>
      <c r="M28" s="19">
        <f t="shared" si="7"/>
        <v>120500</v>
      </c>
      <c r="N28" s="37">
        <f t="shared" si="3"/>
        <v>134876.12678272038</v>
      </c>
      <c r="O28" s="37">
        <f t="shared" si="4"/>
        <v>121170.72278431716</v>
      </c>
      <c r="P28" s="55" cm="1">
        <f t="array" aca="1" ref="P28" ca="1">IF((L28-$C$16)&gt;0, IF($P$1+$C$16&gt;=L28,INDIRECT("M"&amp;(L28-$C$16)+5),0),0)</f>
        <v>120500</v>
      </c>
      <c r="Q28" s="56" cm="1">
        <f t="array" aca="1" ref="Q28" ca="1">IF(L28&lt;=$C$16,0,IF($W$2&gt;=L28,IF(L28&lt;=($P$1+$C$16),INDIRECT("N"&amp;(L28-$C$16)+5),FV(SRate,L28-$P$1-$C$16,0,-$W$1,1)),0))</f>
        <v>134876.12678272038</v>
      </c>
      <c r="R28" s="56">
        <f t="shared" ca="1" si="2"/>
        <v>121170.72278431716</v>
      </c>
      <c r="S28" s="19">
        <f t="shared" si="5"/>
        <v>-5500</v>
      </c>
      <c r="T28" s="36" cm="1">
        <f t="array" aca="1" ref="T28" ca="1">IF(L28&lt;=$P$1,K28,IF(L28&lt;=($P$1+1),INDIRECT("K"&amp;5+$W$2),""))</f>
        <v>46914</v>
      </c>
      <c r="U28" s="38">
        <f t="shared" si="6"/>
        <v>2</v>
      </c>
      <c r="Z28" s="19">
        <v>26</v>
      </c>
      <c r="AA28" s="39">
        <f t="shared" si="0"/>
        <v>0</v>
      </c>
      <c r="AB28" s="40">
        <f t="shared" si="1"/>
        <v>0</v>
      </c>
    </row>
    <row r="29" spans="1:31" hidden="1" x14ac:dyDescent="0.25">
      <c r="K29" s="36">
        <f t="shared" ca="1" si="8"/>
        <v>46944</v>
      </c>
      <c r="L29" s="19">
        <v>24</v>
      </c>
      <c r="M29" s="19">
        <f t="shared" si="7"/>
        <v>126000</v>
      </c>
      <c r="N29" s="37">
        <f t="shared" si="3"/>
        <v>141708.12678272038</v>
      </c>
      <c r="O29" s="37">
        <f t="shared" si="4"/>
        <v>126716.74398915355</v>
      </c>
      <c r="P29" s="55" cm="1">
        <f t="array" aca="1" ref="P29" ca="1">IF((L29-$C$16)&gt;0, IF($P$1+$C$16&gt;=L29,INDIRECT("M"&amp;(L29-$C$16)+5),0),0)</f>
        <v>126000</v>
      </c>
      <c r="Q29" s="56" cm="1">
        <f t="array" aca="1" ref="Q29" ca="1">IF(L29&lt;=$C$16,0,IF($W$2&gt;=L29,IF(L29&lt;=($P$1+$C$16),INDIRECT("N"&amp;(L29-$C$16)+5),FV(SRate,L29-$P$1-$C$16,0,-$W$1,1)),0))</f>
        <v>141708.12678272038</v>
      </c>
      <c r="R29" s="56">
        <f t="shared" ca="1" si="2"/>
        <v>126716.74398915355</v>
      </c>
      <c r="S29" s="19">
        <f t="shared" si="5"/>
        <v>-5500</v>
      </c>
      <c r="T29" s="36" cm="1">
        <f t="array" aca="1" ref="T29" ca="1">IF(L29&lt;=$P$1,K29,IF(L29&lt;=($P$1+1),INDIRECT("K"&amp;5+$W$2),""))</f>
        <v>46944</v>
      </c>
      <c r="U29" s="38">
        <f t="shared" si="6"/>
        <v>2</v>
      </c>
      <c r="Z29" s="19">
        <v>27</v>
      </c>
      <c r="AA29" s="39">
        <f t="shared" si="0"/>
        <v>0</v>
      </c>
      <c r="AB29" s="40">
        <f t="shared" si="1"/>
        <v>0</v>
      </c>
    </row>
    <row r="30" spans="1:31" hidden="1" x14ac:dyDescent="0.25">
      <c r="K30" s="36">
        <f t="shared" ca="1" si="8"/>
        <v>46975</v>
      </c>
      <c r="L30" s="19">
        <v>25</v>
      </c>
      <c r="M30" s="19">
        <f t="shared" si="7"/>
        <v>132050</v>
      </c>
      <c r="N30" s="37">
        <f t="shared" si="3"/>
        <v>149160.17305216347</v>
      </c>
      <c r="O30" s="37">
        <f t="shared" si="4"/>
        <v>132760.4640542939</v>
      </c>
      <c r="P30" s="55" cm="1">
        <f t="array" aca="1" ref="P30" ca="1">IF((L30-$C$16)&gt;0, IF($P$1+$C$16&gt;=L30,INDIRECT("M"&amp;(L30-$C$16)+5),0),0)</f>
        <v>132050</v>
      </c>
      <c r="Q30" s="56" cm="1">
        <f t="array" aca="1" ref="Q30" ca="1">IF(L30&lt;=$C$16,0,IF($W$2&gt;=L30,IF(L30&lt;=($P$1+$C$16),INDIRECT("N"&amp;(L30-$C$16)+5),FV(SRate,L30-$P$1-$C$16,0,-$W$1,1)),0))</f>
        <v>149160.17305216347</v>
      </c>
      <c r="R30" s="56">
        <f t="shared" ca="1" si="2"/>
        <v>132760.4640542939</v>
      </c>
      <c r="S30" s="19">
        <f t="shared" si="5"/>
        <v>-6050.0000000000009</v>
      </c>
      <c r="T30" s="36" cm="1">
        <f t="array" aca="1" ref="T30" ca="1">IF(L30&lt;=$P$1,K30,IF(L30&lt;=($P$1+1),INDIRECT("K"&amp;5+$W$2),""))</f>
        <v>46975</v>
      </c>
      <c r="U30" s="38">
        <f t="shared" si="6"/>
        <v>3</v>
      </c>
      <c r="Z30" s="19">
        <v>28</v>
      </c>
      <c r="AA30" s="39">
        <f t="shared" si="0"/>
        <v>0</v>
      </c>
      <c r="AB30" s="40">
        <f t="shared" si="1"/>
        <v>0</v>
      </c>
    </row>
    <row r="31" spans="1:31" hidden="1" x14ac:dyDescent="0.25">
      <c r="K31" s="36">
        <f t="shared" ca="1" si="8"/>
        <v>47006</v>
      </c>
      <c r="L31" s="19">
        <v>26</v>
      </c>
      <c r="M31" s="19">
        <f t="shared" si="7"/>
        <v>138100</v>
      </c>
      <c r="N31" s="37">
        <f t="shared" si="3"/>
        <v>156682.93024559625</v>
      </c>
      <c r="O31" s="37">
        <f t="shared" si="4"/>
        <v>138807.90628992213</v>
      </c>
      <c r="P31" s="55" cm="1">
        <f t="array" aca="1" ref="P31" ca="1">IF((L31-$C$16)&gt;0, IF($P$1+$C$16&gt;=L31,INDIRECT("M"&amp;(L31-$C$16)+5),0),0)</f>
        <v>138100</v>
      </c>
      <c r="Q31" s="56" cm="1">
        <f t="array" aca="1" ref="Q31" ca="1">IF(L31&lt;=$C$16,0,IF($W$2&gt;=L31,IF(L31&lt;=($P$1+$C$16),INDIRECT("N"&amp;(L31-$C$16)+5),FV(SRate,L31-$P$1-$C$16,0,-$W$1,1)),0))</f>
        <v>156682.93024559625</v>
      </c>
      <c r="R31" s="56">
        <f t="shared" ca="1" si="2"/>
        <v>138807.90628992213</v>
      </c>
      <c r="S31" s="19">
        <f t="shared" si="5"/>
        <v>-6050.0000000000009</v>
      </c>
      <c r="T31" s="36" cm="1">
        <f t="array" aca="1" ref="T31" ca="1">IF(L31&lt;=$P$1,K31,IF(L31&lt;=($P$1+1),INDIRECT("K"&amp;5+$W$2),""))</f>
        <v>47006</v>
      </c>
      <c r="U31" s="38">
        <f t="shared" si="6"/>
        <v>3</v>
      </c>
      <c r="Z31" s="19">
        <v>29</v>
      </c>
      <c r="AA31" s="39">
        <f t="shared" si="0"/>
        <v>0</v>
      </c>
      <c r="AB31" s="40">
        <f t="shared" si="1"/>
        <v>0</v>
      </c>
    </row>
    <row r="32" spans="1:31" hidden="1" x14ac:dyDescent="0.25">
      <c r="K32" s="36">
        <f t="shared" ca="1" si="8"/>
        <v>47036</v>
      </c>
      <c r="L32" s="19">
        <v>27</v>
      </c>
      <c r="M32" s="19">
        <f t="shared" si="7"/>
        <v>144150</v>
      </c>
      <c r="N32" s="37">
        <f t="shared" si="3"/>
        <v>164277.06932433465</v>
      </c>
      <c r="O32" s="37">
        <f t="shared" si="4"/>
        <v>144859.20599337498</v>
      </c>
      <c r="P32" s="55" cm="1">
        <f t="array" aca="1" ref="P32" ca="1">IF((L32-$C$16)&gt;0, IF($P$1+$C$16&gt;=L32,INDIRECT("M"&amp;(L32-$C$16)+5),0),0)</f>
        <v>144150</v>
      </c>
      <c r="Q32" s="56" cm="1">
        <f t="array" aca="1" ref="Q32" ca="1">IF(L32&lt;=$C$16,0,IF($W$2&gt;=L32,IF(L32&lt;=($P$1+$C$16),INDIRECT("N"&amp;(L32-$C$16)+5),FV(SRate,L32-$P$1-$C$16,0,-$W$1,1)),0))</f>
        <v>164277.06932433465</v>
      </c>
      <c r="R32" s="56">
        <f t="shared" ca="1" si="2"/>
        <v>144859.20599337498</v>
      </c>
      <c r="S32" s="19">
        <f t="shared" si="5"/>
        <v>-6050.0000000000009</v>
      </c>
      <c r="T32" s="36" cm="1">
        <f t="array" aca="1" ref="T32" ca="1">IF(L32&lt;=$P$1,K32,IF(L32&lt;=($P$1+1),INDIRECT("K"&amp;5+$W$2),""))</f>
        <v>47036</v>
      </c>
      <c r="U32" s="38">
        <f t="shared" si="6"/>
        <v>3</v>
      </c>
      <c r="Z32" s="19">
        <v>30</v>
      </c>
      <c r="AA32" s="39">
        <f t="shared" si="0"/>
        <v>0</v>
      </c>
      <c r="AB32" s="40">
        <f t="shared" si="1"/>
        <v>0</v>
      </c>
    </row>
    <row r="33" spans="11:28" hidden="1" x14ac:dyDescent="0.25">
      <c r="K33" s="36">
        <f t="shared" ca="1" si="8"/>
        <v>47067</v>
      </c>
      <c r="L33" s="19">
        <v>28</v>
      </c>
      <c r="M33" s="19">
        <f t="shared" si="7"/>
        <v>150200</v>
      </c>
      <c r="N33" s="37">
        <f t="shared" si="3"/>
        <v>171943.26761630762</v>
      </c>
      <c r="O33" s="37">
        <f t="shared" si="4"/>
        <v>150914.49856505619</v>
      </c>
      <c r="P33" s="55" cm="1">
        <f t="array" aca="1" ref="P33" ca="1">IF((L33-$C$16)&gt;0, IF($P$1+$C$16&gt;=L33,INDIRECT("M"&amp;(L33-$C$16)+5),0),0)</f>
        <v>150200</v>
      </c>
      <c r="Q33" s="56" cm="1">
        <f t="array" aca="1" ref="Q33" ca="1">IF(L33&lt;=$C$16,0,IF($W$2&gt;=L33,IF(L33&lt;=($P$1+$C$16),INDIRECT("N"&amp;(L33-$C$16)+5),FV(SRate,L33-$P$1-$C$16,0,-$W$1,1)),0))</f>
        <v>171943.26761630762</v>
      </c>
      <c r="R33" s="56">
        <f t="shared" ca="1" si="2"/>
        <v>150914.49856505619</v>
      </c>
      <c r="S33" s="19">
        <f t="shared" si="5"/>
        <v>-6050.0000000000009</v>
      </c>
      <c r="T33" s="36" cm="1">
        <f t="array" aca="1" ref="T33" ca="1">IF(L33&lt;=$P$1,K33,IF(L33&lt;=($P$1+1),INDIRECT("K"&amp;5+$W$2),""))</f>
        <v>47067</v>
      </c>
      <c r="U33" s="38">
        <f t="shared" si="6"/>
        <v>3</v>
      </c>
      <c r="Z33" s="19">
        <v>31</v>
      </c>
      <c r="AA33" s="39">
        <f t="shared" si="0"/>
        <v>0</v>
      </c>
      <c r="AB33" s="40">
        <f t="shared" si="1"/>
        <v>0</v>
      </c>
    </row>
    <row r="34" spans="11:28" hidden="1" x14ac:dyDescent="0.25">
      <c r="K34" s="36">
        <f t="shared" ca="1" si="8"/>
        <v>47097</v>
      </c>
      <c r="L34" s="19">
        <v>29</v>
      </c>
      <c r="M34" s="19">
        <f t="shared" si="7"/>
        <v>156250</v>
      </c>
      <c r="N34" s="37">
        <f t="shared" si="3"/>
        <v>179682.20887646859</v>
      </c>
      <c r="O34" s="37">
        <f t="shared" si="4"/>
        <v>156973.91951146809</v>
      </c>
      <c r="P34" s="55" cm="1">
        <f t="array" aca="1" ref="P34" ca="1">IF((L34-$C$16)&gt;0, IF($P$1+$C$16&gt;=L34,INDIRECT("M"&amp;(L34-$C$16)+5),0),0)</f>
        <v>156250</v>
      </c>
      <c r="Q34" s="56" cm="1">
        <f t="array" aca="1" ref="Q34" ca="1">IF(L34&lt;=$C$16,0,IF($W$2&gt;=L34,IF(L34&lt;=($P$1+$C$16),INDIRECT("N"&amp;(L34-$C$16)+5),FV(SRate,L34-$P$1-$C$16,0,-$W$1,1)),0))</f>
        <v>179682.20887646859</v>
      </c>
      <c r="R34" s="56">
        <f t="shared" ca="1" si="2"/>
        <v>156973.91951146809</v>
      </c>
      <c r="S34" s="19">
        <f t="shared" si="5"/>
        <v>-6050.0000000000009</v>
      </c>
      <c r="T34" s="36" cm="1">
        <f t="array" aca="1" ref="T34" ca="1">IF(L34&lt;=$P$1,K34,IF(L34&lt;=($P$1+1),INDIRECT("K"&amp;5+$W$2),""))</f>
        <v>47097</v>
      </c>
      <c r="U34" s="38">
        <f t="shared" si="6"/>
        <v>3</v>
      </c>
      <c r="Z34" s="19">
        <v>32</v>
      </c>
      <c r="AA34" s="39">
        <f t="shared" si="0"/>
        <v>0</v>
      </c>
      <c r="AB34" s="40">
        <f t="shared" si="1"/>
        <v>0</v>
      </c>
    </row>
    <row r="35" spans="11:28" hidden="1" x14ac:dyDescent="0.25">
      <c r="K35" s="36">
        <f t="shared" ca="1" si="8"/>
        <v>47128</v>
      </c>
      <c r="L35" s="19">
        <v>30</v>
      </c>
      <c r="M35" s="19">
        <f t="shared" si="7"/>
        <v>162300</v>
      </c>
      <c r="N35" s="37">
        <f t="shared" si="3"/>
        <v>187494.58334778014</v>
      </c>
      <c r="O35" s="37">
        <f t="shared" si="4"/>
        <v>163037.60444824619</v>
      </c>
      <c r="P35" s="55" cm="1">
        <f t="array" aca="1" ref="P35" ca="1">IF((L35-$C$16)&gt;0, IF($P$1+$C$16&gt;=L35,INDIRECT("M"&amp;(L35-$C$16)+5),0),0)</f>
        <v>162300</v>
      </c>
      <c r="Q35" s="56" cm="1">
        <f t="array" aca="1" ref="Q35" ca="1">IF(L35&lt;=$C$16,0,IF($W$2&gt;=L35,IF(L35&lt;=($P$1+$C$16),INDIRECT("N"&amp;(L35-$C$16)+5),FV(SRate,L35-$P$1-$C$16,0,-$W$1,1)),0))</f>
        <v>187494.58334778014</v>
      </c>
      <c r="R35" s="56">
        <f t="shared" ca="1" si="2"/>
        <v>163037.60444824619</v>
      </c>
      <c r="S35" s="19">
        <f t="shared" si="5"/>
        <v>-6050.0000000000009</v>
      </c>
      <c r="T35" s="36" cm="1">
        <f t="array" aca="1" ref="T35" ca="1">IF(L35&lt;=$P$1,K35,IF(L35&lt;=($P$1+1),INDIRECT("K"&amp;5+$W$2),""))</f>
        <v>47128</v>
      </c>
      <c r="U35" s="38">
        <f t="shared" si="6"/>
        <v>3</v>
      </c>
      <c r="Z35" s="19">
        <v>33</v>
      </c>
      <c r="AA35" s="39">
        <f t="shared" si="0"/>
        <v>0</v>
      </c>
      <c r="AB35" s="40">
        <f t="shared" ref="AB35:AB66" si="9">IF(Z35&lt;=SIPYears,SIPMonthlyPmt*((1+$C$5)^(Z35-1)),0)</f>
        <v>0</v>
      </c>
    </row>
    <row r="36" spans="11:28" hidden="1" x14ac:dyDescent="0.25">
      <c r="K36" s="36">
        <f t="shared" ca="1" si="8"/>
        <v>47159</v>
      </c>
      <c r="L36" s="19">
        <v>31</v>
      </c>
      <c r="M36" s="19">
        <f t="shared" si="7"/>
        <v>168350</v>
      </c>
      <c r="N36" s="37">
        <f t="shared" si="3"/>
        <v>195381.08782277736</v>
      </c>
      <c r="O36" s="37">
        <f t="shared" si="4"/>
        <v>169105.6891031964</v>
      </c>
      <c r="P36" s="55" cm="1">
        <f t="array" aca="1" ref="P36" ca="1">IF((L36-$C$16)&gt;0, IF($P$1+$C$16&gt;=L36,INDIRECT("M"&amp;(L36-$C$16)+5),0),0)</f>
        <v>168350</v>
      </c>
      <c r="Q36" s="56" cm="1">
        <f t="array" aca="1" ref="Q36" ca="1">IF(L36&lt;=$C$16,0,IF($W$2&gt;=L36,IF(L36&lt;=($P$1+$C$16),INDIRECT("N"&amp;(L36-$C$16)+5),FV(SRate,L36-$P$1-$C$16,0,-$W$1,1)),0))</f>
        <v>195381.08782277736</v>
      </c>
      <c r="R36" s="56">
        <f t="shared" ca="1" si="2"/>
        <v>169105.6891031964</v>
      </c>
      <c r="S36" s="19">
        <f t="shared" si="5"/>
        <v>-6050.0000000000009</v>
      </c>
      <c r="T36" s="36" cm="1">
        <f t="array" aca="1" ref="T36" ca="1">IF(L36&lt;=$P$1,K36,IF(L36&lt;=($P$1+1),INDIRECT("K"&amp;5+$W$2),""))</f>
        <v>47159</v>
      </c>
      <c r="U36" s="38">
        <f t="shared" si="6"/>
        <v>3</v>
      </c>
      <c r="Z36" s="19">
        <v>34</v>
      </c>
      <c r="AA36" s="39">
        <f t="shared" si="0"/>
        <v>0</v>
      </c>
      <c r="AB36" s="40">
        <f t="shared" si="9"/>
        <v>0</v>
      </c>
    </row>
    <row r="37" spans="11:28" hidden="1" x14ac:dyDescent="0.25">
      <c r="K37" s="36">
        <f t="shared" ca="1" si="8"/>
        <v>47187</v>
      </c>
      <c r="L37" s="19">
        <v>32</v>
      </c>
      <c r="M37" s="19">
        <f t="shared" si="7"/>
        <v>174400</v>
      </c>
      <c r="N37" s="37">
        <f t="shared" si="3"/>
        <v>203342.42570571552</v>
      </c>
      <c r="O37" s="37">
        <f t="shared" si="4"/>
        <v>175178.30931933556</v>
      </c>
      <c r="P37" s="55" cm="1">
        <f t="array" aca="1" ref="P37" ca="1">IF((L37-$C$16)&gt;0, IF($P$1+$C$16&gt;=L37,INDIRECT("M"&amp;(L37-$C$16)+5),0),0)</f>
        <v>174400</v>
      </c>
      <c r="Q37" s="56" cm="1">
        <f t="array" aca="1" ref="Q37" ca="1">IF(L37&lt;=$C$16,0,IF($W$2&gt;=L37,IF(L37&lt;=($P$1+$C$16),INDIRECT("N"&amp;(L37-$C$16)+5),FV(SRate,L37-$P$1-$C$16,0,-$W$1,1)),0))</f>
        <v>203342.42570571552</v>
      </c>
      <c r="R37" s="56">
        <f t="shared" ca="1" si="2"/>
        <v>175178.30931933556</v>
      </c>
      <c r="S37" s="19">
        <f t="shared" si="5"/>
        <v>-6050.0000000000009</v>
      </c>
      <c r="T37" s="36" cm="1">
        <f t="array" aca="1" ref="T37" ca="1">IF(L37&lt;=$P$1,K37,IF(L37&lt;=($P$1+1),INDIRECT("K"&amp;5+$W$2),""))</f>
        <v>47187</v>
      </c>
      <c r="U37" s="38">
        <f t="shared" si="6"/>
        <v>3</v>
      </c>
      <c r="Z37" s="19">
        <v>35</v>
      </c>
      <c r="AA37" s="39">
        <f t="shared" si="0"/>
        <v>0</v>
      </c>
      <c r="AB37" s="40">
        <f t="shared" si="9"/>
        <v>0</v>
      </c>
    </row>
    <row r="38" spans="11:28" hidden="1" x14ac:dyDescent="0.25">
      <c r="K38" s="36">
        <f t="shared" ca="1" si="8"/>
        <v>47218</v>
      </c>
      <c r="L38" s="19">
        <v>33</v>
      </c>
      <c r="M38" s="19">
        <f t="shared" si="7"/>
        <v>180450</v>
      </c>
      <c r="N38" s="37">
        <f t="shared" si="3"/>
        <v>211379.30707530712</v>
      </c>
      <c r="O38" s="37">
        <f t="shared" si="4"/>
        <v>181255.60105793402</v>
      </c>
      <c r="P38" s="55" cm="1">
        <f t="array" aca="1" ref="P38" ca="1">IF((L38-$C$16)&gt;0, IF($P$1+$C$16&gt;=L38,INDIRECT("M"&amp;(L38-$C$16)+5),0),0)</f>
        <v>180450</v>
      </c>
      <c r="Q38" s="56" cm="1">
        <f t="array" aca="1" ref="Q38" ca="1">IF(L38&lt;=$C$16,0,IF($W$2&gt;=L38,IF(L38&lt;=($P$1+$C$16),INDIRECT("N"&amp;(L38-$C$16)+5),FV(SRate,L38-$P$1-$C$16,0,-$W$1,1)),0))</f>
        <v>211379.30707530712</v>
      </c>
      <c r="R38" s="56">
        <f t="shared" ca="1" si="2"/>
        <v>181255.60105793402</v>
      </c>
      <c r="S38" s="19">
        <f t="shared" si="5"/>
        <v>-6050.0000000000009</v>
      </c>
      <c r="T38" s="36" cm="1">
        <f t="array" aca="1" ref="T38" ca="1">IF(L38&lt;=$P$1,K38,IF(L38&lt;=($P$1+1),INDIRECT("K"&amp;5+$W$2),""))</f>
        <v>47218</v>
      </c>
      <c r="U38" s="38">
        <f t="shared" si="6"/>
        <v>3</v>
      </c>
      <c r="Z38" s="19">
        <v>36</v>
      </c>
      <c r="AA38" s="39">
        <f t="shared" si="0"/>
        <v>0</v>
      </c>
      <c r="AB38" s="40">
        <f t="shared" si="9"/>
        <v>0</v>
      </c>
    </row>
    <row r="39" spans="11:28" hidden="1" x14ac:dyDescent="0.25">
      <c r="K39" s="36">
        <f t="shared" ca="1" si="8"/>
        <v>47248</v>
      </c>
      <c r="L39" s="19">
        <v>34</v>
      </c>
      <c r="M39" s="19">
        <f t="shared" si="7"/>
        <v>186500</v>
      </c>
      <c r="N39" s="37">
        <f t="shared" si="3"/>
        <v>219492.44874805459</v>
      </c>
      <c r="O39" s="37">
        <f t="shared" si="4"/>
        <v>187337.70040156241</v>
      </c>
      <c r="P39" s="55" cm="1">
        <f t="array" aca="1" ref="P39" ca="1">IF((L39-$C$16)&gt;0, IF($P$1+$C$16&gt;=L39,INDIRECT("M"&amp;(L39-$C$16)+5),0),0)</f>
        <v>186500</v>
      </c>
      <c r="Q39" s="56" cm="1">
        <f t="array" aca="1" ref="Q39" ca="1">IF(L39&lt;=$C$16,0,IF($W$2&gt;=L39,IF(L39&lt;=($P$1+$C$16),INDIRECT("N"&amp;(L39-$C$16)+5),FV(SRate,L39-$P$1-$C$16,0,-$W$1,1)),0))</f>
        <v>219492.44874805459</v>
      </c>
      <c r="R39" s="56">
        <f t="shared" ca="1" si="2"/>
        <v>187337.70040156241</v>
      </c>
      <c r="S39" s="19">
        <f t="shared" si="5"/>
        <v>-6050.0000000000009</v>
      </c>
      <c r="T39" s="36" cm="1">
        <f t="array" aca="1" ref="T39" ca="1">IF(L39&lt;=$P$1,K39,IF(L39&lt;=($P$1+1),INDIRECT("K"&amp;5+$W$2),""))</f>
        <v>47248</v>
      </c>
      <c r="U39" s="38">
        <f t="shared" si="6"/>
        <v>3</v>
      </c>
      <c r="Z39" s="19">
        <v>37</v>
      </c>
      <c r="AA39" s="39">
        <f t="shared" si="0"/>
        <v>0</v>
      </c>
      <c r="AB39" s="40">
        <f t="shared" si="9"/>
        <v>0</v>
      </c>
    </row>
    <row r="40" spans="11:28" hidden="1" x14ac:dyDescent="0.25">
      <c r="K40" s="36">
        <f t="shared" ca="1" si="8"/>
        <v>47279</v>
      </c>
      <c r="L40" s="19">
        <v>35</v>
      </c>
      <c r="M40" s="19">
        <f t="shared" si="7"/>
        <v>192550</v>
      </c>
      <c r="N40" s="37">
        <f t="shared" si="3"/>
        <v>227682.57434218368</v>
      </c>
      <c r="O40" s="37">
        <f t="shared" si="4"/>
        <v>193424.74355714049</v>
      </c>
      <c r="P40" s="55" cm="1">
        <f t="array" aca="1" ref="P40" ca="1">IF((L40-$C$16)&gt;0, IF($P$1+$C$16&gt;=L40,INDIRECT("M"&amp;(L40-$C$16)+5),0),0)</f>
        <v>192550</v>
      </c>
      <c r="Q40" s="56" cm="1">
        <f t="array" aca="1" ref="Q40" ca="1">IF(L40&lt;=$C$16,0,IF($W$2&gt;=L40,IF(L40&lt;=($P$1+$C$16),INDIRECT("N"&amp;(L40-$C$16)+5),FV(SRate,L40-$P$1-$C$16,0,-$W$1,1)),0))</f>
        <v>227682.57434218368</v>
      </c>
      <c r="R40" s="56">
        <f t="shared" ca="1" si="2"/>
        <v>193424.74355714049</v>
      </c>
      <c r="S40" s="19">
        <f t="shared" si="5"/>
        <v>-6050.0000000000009</v>
      </c>
      <c r="T40" s="36" cm="1">
        <f t="array" aca="1" ref="T40" ca="1">IF(L40&lt;=$P$1,K40,IF(L40&lt;=($P$1+1),INDIRECT("K"&amp;5+$W$2),""))</f>
        <v>47279</v>
      </c>
      <c r="U40" s="38">
        <f t="shared" si="6"/>
        <v>3</v>
      </c>
      <c r="Z40" s="19">
        <v>38</v>
      </c>
      <c r="AA40" s="39">
        <f t="shared" si="0"/>
        <v>0</v>
      </c>
      <c r="AB40" s="40">
        <f t="shared" si="9"/>
        <v>0</v>
      </c>
    </row>
    <row r="41" spans="11:28" hidden="1" x14ac:dyDescent="0.25">
      <c r="K41" s="36">
        <f t="shared" ca="1" si="8"/>
        <v>47309</v>
      </c>
      <c r="L41" s="19">
        <v>36</v>
      </c>
      <c r="M41" s="19">
        <f t="shared" si="7"/>
        <v>198600</v>
      </c>
      <c r="N41" s="37">
        <f t="shared" si="3"/>
        <v>235950.41434218371</v>
      </c>
      <c r="O41" s="37">
        <f t="shared" si="4"/>
        <v>199516.86685898976</v>
      </c>
      <c r="P41" s="55" cm="1">
        <f t="array" aca="1" ref="P41" ca="1">IF((L41-$C$16)&gt;0, IF($P$1+$C$16&gt;=L41,INDIRECT("M"&amp;(L41-$C$16)+5),0),0)</f>
        <v>198600</v>
      </c>
      <c r="Q41" s="56" cm="1">
        <f t="array" aca="1" ref="Q41" ca="1">IF(L41&lt;=$C$16,0,IF($W$2&gt;=L41,IF(L41&lt;=($P$1+$C$16),INDIRECT("N"&amp;(L41-$C$16)+5),FV(SRate,L41-$P$1-$C$16,0,-$W$1,1)),0))</f>
        <v>235950.41434218371</v>
      </c>
      <c r="R41" s="56">
        <f t="shared" ca="1" si="2"/>
        <v>199516.86685898976</v>
      </c>
      <c r="S41" s="19">
        <f t="shared" si="5"/>
        <v>-6050.0000000000009</v>
      </c>
      <c r="T41" s="36" cm="1">
        <f t="array" aca="1" ref="T41" ca="1">IF(L41&lt;=$P$1,K41,IF(L41&lt;=($P$1+1),INDIRECT("K"&amp;5+$W$2),""))</f>
        <v>47309</v>
      </c>
      <c r="U41" s="38">
        <f t="shared" si="6"/>
        <v>3</v>
      </c>
      <c r="Z41" s="19">
        <v>39</v>
      </c>
      <c r="AA41" s="39">
        <f t="shared" si="0"/>
        <v>0</v>
      </c>
      <c r="AB41" s="40">
        <f t="shared" si="9"/>
        <v>0</v>
      </c>
    </row>
    <row r="42" spans="11:28" hidden="1" x14ac:dyDescent="0.25">
      <c r="K42" s="36">
        <f t="shared" ca="1" si="8"/>
        <v>47340</v>
      </c>
      <c r="L42" s="19">
        <v>37</v>
      </c>
      <c r="M42" s="19">
        <f t="shared" si="7"/>
        <v>205255</v>
      </c>
      <c r="N42" s="37">
        <f t="shared" si="3"/>
        <v>244907.44688368542</v>
      </c>
      <c r="O42" s="37">
        <f t="shared" si="4"/>
        <v>206128.24140871046</v>
      </c>
      <c r="P42" s="55" cm="1">
        <f t="array" aca="1" ref="P42" ca="1">IF((L42-$C$16)&gt;0, IF($P$1+$C$16&gt;=L42,INDIRECT("M"&amp;(L42-$C$16)+5),0),0)</f>
        <v>205255</v>
      </c>
      <c r="Q42" s="56" cm="1">
        <f t="array" aca="1" ref="Q42" ca="1">IF(L42&lt;=$C$16,0,IF($W$2&gt;=L42,IF(L42&lt;=($P$1+$C$16),INDIRECT("N"&amp;(L42-$C$16)+5),FV(SRate,L42-$P$1-$C$16,0,-$W$1,1)),0))</f>
        <v>244907.44688368542</v>
      </c>
      <c r="R42" s="56">
        <f t="shared" ca="1" si="2"/>
        <v>206128.24140871046</v>
      </c>
      <c r="S42" s="19">
        <f t="shared" si="5"/>
        <v>-6655.0000000000018</v>
      </c>
      <c r="T42" s="36" cm="1">
        <f t="array" aca="1" ref="T42" ca="1">IF(L42&lt;=$P$1,K42,IF(L42&lt;=($P$1+1),INDIRECT("K"&amp;5+$W$2),""))</f>
        <v>47340</v>
      </c>
      <c r="U42" s="38">
        <f t="shared" si="6"/>
        <v>4</v>
      </c>
      <c r="Z42" s="19">
        <v>40</v>
      </c>
      <c r="AA42" s="39">
        <f t="shared" si="0"/>
        <v>0</v>
      </c>
      <c r="AB42" s="40">
        <f t="shared" si="9"/>
        <v>0</v>
      </c>
    </row>
    <row r="43" spans="11:28" hidden="1" x14ac:dyDescent="0.25">
      <c r="K43" s="36">
        <f t="shared" ca="1" si="8"/>
        <v>47371</v>
      </c>
      <c r="L43" s="19">
        <v>38</v>
      </c>
      <c r="M43" s="19">
        <f t="shared" si="7"/>
        <v>211910</v>
      </c>
      <c r="N43" s="37">
        <f t="shared" si="3"/>
        <v>253949.47085228175</v>
      </c>
      <c r="O43" s="37">
        <f t="shared" si="4"/>
        <v>212745.04546153231</v>
      </c>
      <c r="P43" s="55" cm="1">
        <f t="array" aca="1" ref="P43" ca="1">IF((L43-$C$16)&gt;0, IF($P$1+$C$16&gt;=L43,INDIRECT("M"&amp;(L43-$C$16)+5),0),0)</f>
        <v>211910</v>
      </c>
      <c r="Q43" s="56" cm="1">
        <f t="array" aca="1" ref="Q43" ca="1">IF(L43&lt;=$C$16,0,IF($W$2&gt;=L43,IF(L43&lt;=($P$1+$C$16),INDIRECT("N"&amp;(L43-$C$16)+5),FV(SRate,L43-$P$1-$C$16,0,-$W$1,1)),0))</f>
        <v>253949.47085228175</v>
      </c>
      <c r="R43" s="56">
        <f t="shared" ca="1" si="2"/>
        <v>212745.04546153231</v>
      </c>
      <c r="S43" s="19">
        <f t="shared" si="5"/>
        <v>-6655.0000000000018</v>
      </c>
      <c r="T43" s="36" cm="1">
        <f t="array" aca="1" ref="T43" ca="1">IF(L43&lt;=$P$1,K43,IF(L43&lt;=($P$1+1),INDIRECT("K"&amp;5+$W$2),""))</f>
        <v>47371</v>
      </c>
      <c r="U43" s="38">
        <f t="shared" si="6"/>
        <v>4</v>
      </c>
      <c r="Z43" s="19">
        <v>41</v>
      </c>
      <c r="AA43" s="39">
        <f t="shared" si="0"/>
        <v>0</v>
      </c>
      <c r="AB43" s="40">
        <f t="shared" si="9"/>
        <v>0</v>
      </c>
    </row>
    <row r="44" spans="11:28" hidden="1" x14ac:dyDescent="0.25">
      <c r="K44" s="36">
        <f t="shared" ca="1" si="8"/>
        <v>47401</v>
      </c>
      <c r="L44" s="19">
        <v>39</v>
      </c>
      <c r="M44" s="19">
        <f t="shared" si="7"/>
        <v>218565</v>
      </c>
      <c r="N44" s="37">
        <f t="shared" si="3"/>
        <v>263077.29271402565</v>
      </c>
      <c r="O44" s="37">
        <f t="shared" si="4"/>
        <v>219367.42722406753</v>
      </c>
      <c r="P44" s="55" cm="1">
        <f t="array" aca="1" ref="P44" ca="1">IF((L44-$C$16)&gt;0, IF($P$1+$C$16&gt;=L44,INDIRECT("M"&amp;(L44-$C$16)+5),0),0)</f>
        <v>218565</v>
      </c>
      <c r="Q44" s="56" cm="1">
        <f t="array" aca="1" ref="Q44" ca="1">IF(L44&lt;=$C$16,0,IF($W$2&gt;=L44,IF(L44&lt;=($P$1+$C$16),INDIRECT("N"&amp;(L44-$C$16)+5),FV(SRate,L44-$P$1-$C$16,0,-$W$1,1)),0))</f>
        <v>263077.29271402565</v>
      </c>
      <c r="R44" s="56">
        <f t="shared" ca="1" si="2"/>
        <v>219367.42722406753</v>
      </c>
      <c r="S44" s="19">
        <f t="shared" si="5"/>
        <v>-6655.0000000000018</v>
      </c>
      <c r="T44" s="36" cm="1">
        <f t="array" aca="1" ref="T44" ca="1">IF(L44&lt;=$P$1,K44,IF(L44&lt;=($P$1+1),INDIRECT("K"&amp;5+$W$2),""))</f>
        <v>47401</v>
      </c>
      <c r="U44" s="38">
        <f t="shared" si="6"/>
        <v>4</v>
      </c>
      <c r="Z44" s="19">
        <v>42</v>
      </c>
      <c r="AA44" s="39">
        <f t="shared" si="0"/>
        <v>0</v>
      </c>
      <c r="AB44" s="40">
        <f t="shared" si="9"/>
        <v>0</v>
      </c>
    </row>
    <row r="45" spans="11:28" hidden="1" x14ac:dyDescent="0.25">
      <c r="K45" s="36">
        <f t="shared" ca="1" si="8"/>
        <v>47432</v>
      </c>
      <c r="L45" s="19">
        <v>40</v>
      </c>
      <c r="M45" s="19">
        <f t="shared" si="7"/>
        <v>225220</v>
      </c>
      <c r="N45" s="37">
        <f t="shared" si="3"/>
        <v>272291.72658735939</v>
      </c>
      <c r="O45" s="37">
        <f t="shared" si="4"/>
        <v>225995.5350459762</v>
      </c>
      <c r="P45" s="55" cm="1">
        <f t="array" aca="1" ref="P45" ca="1">IF((L45-$C$16)&gt;0, IF($P$1+$C$16&gt;=L45,INDIRECT("M"&amp;(L45-$C$16)+5),0),0)</f>
        <v>225220</v>
      </c>
      <c r="Q45" s="56" cm="1">
        <f t="array" aca="1" ref="Q45" ca="1">IF(L45&lt;=$C$16,0,IF($W$2&gt;=L45,IF(L45&lt;=($P$1+$C$16),INDIRECT("N"&amp;(L45-$C$16)+5),FV(SRate,L45-$P$1-$C$16,0,-$W$1,1)),0))</f>
        <v>272291.72658735939</v>
      </c>
      <c r="R45" s="56">
        <f t="shared" ca="1" si="2"/>
        <v>225995.5350459762</v>
      </c>
      <c r="S45" s="19">
        <f t="shared" si="5"/>
        <v>-6655.0000000000018</v>
      </c>
      <c r="T45" s="36" cm="1">
        <f t="array" aca="1" ref="T45" ca="1">IF(L45&lt;=$P$1,K45,IF(L45&lt;=($P$1+1),INDIRECT("K"&amp;5+$W$2),""))</f>
        <v>47432</v>
      </c>
      <c r="U45" s="38">
        <f t="shared" si="6"/>
        <v>4</v>
      </c>
      <c r="Z45" s="19">
        <v>43</v>
      </c>
      <c r="AA45" s="39">
        <f t="shared" si="0"/>
        <v>0</v>
      </c>
      <c r="AB45" s="40">
        <f t="shared" si="9"/>
        <v>0</v>
      </c>
    </row>
    <row r="46" spans="11:28" hidden="1" x14ac:dyDescent="0.25">
      <c r="K46" s="36">
        <f t="shared" ca="1" si="8"/>
        <v>47462</v>
      </c>
      <c r="L46" s="19">
        <v>41</v>
      </c>
      <c r="M46" s="19">
        <f t="shared" si="7"/>
        <v>231875</v>
      </c>
      <c r="N46" s="37">
        <f t="shared" si="3"/>
        <v>281593.5943157266</v>
      </c>
      <c r="O46" s="37">
        <f t="shared" si="4"/>
        <v>232629.51742329189</v>
      </c>
      <c r="P46" s="55" cm="1">
        <f t="array" aca="1" ref="P46" ca="1">IF((L46-$C$16)&gt;0, IF($P$1+$C$16&gt;=L46,INDIRECT("M"&amp;(L46-$C$16)+5),0),0)</f>
        <v>231875</v>
      </c>
      <c r="Q46" s="56" cm="1">
        <f t="array" aca="1" ref="Q46" ca="1">IF(L46&lt;=$C$16,0,IF($W$2&gt;=L46,IF(L46&lt;=($P$1+$C$16),INDIRECT("N"&amp;(L46-$C$16)+5),FV(SRate,L46-$P$1-$C$16,0,-$W$1,1)),0))</f>
        <v>281593.5943157266</v>
      </c>
      <c r="R46" s="56">
        <f t="shared" ca="1" si="2"/>
        <v>232629.51742329189</v>
      </c>
      <c r="S46" s="19">
        <f t="shared" si="5"/>
        <v>-6655.0000000000018</v>
      </c>
      <c r="T46" s="36" cm="1">
        <f t="array" aca="1" ref="T46" ca="1">IF(L46&lt;=$P$1,K46,IF(L46&lt;=($P$1+1),INDIRECT("K"&amp;5+$W$2),""))</f>
        <v>47462</v>
      </c>
      <c r="U46" s="38">
        <f t="shared" si="6"/>
        <v>4</v>
      </c>
      <c r="Z46" s="19">
        <v>44</v>
      </c>
      <c r="AA46" s="39">
        <f t="shared" si="0"/>
        <v>0</v>
      </c>
      <c r="AB46" s="40">
        <f t="shared" si="9"/>
        <v>0</v>
      </c>
    </row>
    <row r="47" spans="11:28" hidden="1" x14ac:dyDescent="0.25">
      <c r="K47" s="36">
        <f t="shared" ca="1" si="8"/>
        <v>47493</v>
      </c>
      <c r="L47" s="19">
        <v>42</v>
      </c>
      <c r="M47" s="19">
        <f t="shared" si="7"/>
        <v>238530</v>
      </c>
      <c r="N47" s="37">
        <f t="shared" si="3"/>
        <v>290983.72554087319</v>
      </c>
      <c r="O47" s="37">
        <f t="shared" si="4"/>
        <v>239269.52300175081</v>
      </c>
      <c r="P47" s="55" cm="1">
        <f t="array" aca="1" ref="P47" ca="1">IF((L47-$C$16)&gt;0, IF($P$1+$C$16&gt;=L47,INDIRECT("M"&amp;(L47-$C$16)+5),0),0)</f>
        <v>238530</v>
      </c>
      <c r="Q47" s="56" cm="1">
        <f t="array" aca="1" ref="Q47" ca="1">IF(L47&lt;=$C$16,0,IF($W$2&gt;=L47,IF(L47&lt;=($P$1+$C$16),INDIRECT("N"&amp;(L47-$C$16)+5),FV(SRate,L47-$P$1-$C$16,0,-$W$1,1)),0))</f>
        <v>290983.72554087319</v>
      </c>
      <c r="R47" s="56">
        <f t="shared" ca="1" si="2"/>
        <v>239269.52300175081</v>
      </c>
      <c r="S47" s="19">
        <f t="shared" si="5"/>
        <v>-6655.0000000000018</v>
      </c>
      <c r="T47" s="36" cm="1">
        <f t="array" aca="1" ref="T47" ca="1">IF(L47&lt;=$P$1,K47,IF(L47&lt;=($P$1+1),INDIRECT("K"&amp;5+$W$2),""))</f>
        <v>47493</v>
      </c>
      <c r="U47" s="38">
        <f t="shared" si="6"/>
        <v>4</v>
      </c>
      <c r="Z47" s="19">
        <v>45</v>
      </c>
      <c r="AA47" s="39">
        <f t="shared" si="0"/>
        <v>0</v>
      </c>
      <c r="AB47" s="40">
        <f t="shared" si="9"/>
        <v>0</v>
      </c>
    </row>
    <row r="48" spans="11:28" hidden="1" x14ac:dyDescent="0.25">
      <c r="K48" s="36">
        <f t="shared" ca="1" si="8"/>
        <v>47524</v>
      </c>
      <c r="L48" s="19">
        <v>43</v>
      </c>
      <c r="M48" s="19">
        <f t="shared" si="7"/>
        <v>245185</v>
      </c>
      <c r="N48" s="37">
        <f t="shared" si="3"/>
        <v>300462.95777684374</v>
      </c>
      <c r="O48" s="37">
        <f t="shared" si="4"/>
        <v>245915.70058012471</v>
      </c>
      <c r="P48" s="55" cm="1">
        <f t="array" aca="1" ref="P48" ca="1">IF((L48-$C$16)&gt;0, IF($P$1+$C$16&gt;=L48,INDIRECT("M"&amp;(L48-$C$16)+5),0),0)</f>
        <v>245185</v>
      </c>
      <c r="Q48" s="56" cm="1">
        <f t="array" aca="1" ref="Q48" ca="1">IF(L48&lt;=$C$16,0,IF($W$2&gt;=L48,IF(L48&lt;=($P$1+$C$16),INDIRECT("N"&amp;(L48-$C$16)+5),FV(SRate,L48-$P$1-$C$16,0,-$W$1,1)),0))</f>
        <v>300462.95777684374</v>
      </c>
      <c r="R48" s="56">
        <f t="shared" ca="1" si="2"/>
        <v>245915.70058012471</v>
      </c>
      <c r="S48" s="19">
        <f t="shared" si="5"/>
        <v>-6655.0000000000018</v>
      </c>
      <c r="T48" s="36" cm="1">
        <f t="array" aca="1" ref="T48" ca="1">IF(L48&lt;=$P$1,K48,IF(L48&lt;=($P$1+1),INDIRECT("K"&amp;5+$W$2),""))</f>
        <v>47524</v>
      </c>
      <c r="U48" s="38">
        <f t="shared" si="6"/>
        <v>4</v>
      </c>
      <c r="Z48" s="19">
        <v>46</v>
      </c>
      <c r="AA48" s="39">
        <f t="shared" si="0"/>
        <v>0</v>
      </c>
      <c r="AB48" s="40">
        <f t="shared" si="9"/>
        <v>0</v>
      </c>
    </row>
    <row r="49" spans="11:28" hidden="1" x14ac:dyDescent="0.25">
      <c r="K49" s="36">
        <f t="shared" ca="1" si="8"/>
        <v>47552</v>
      </c>
      <c r="L49" s="19">
        <v>44</v>
      </c>
      <c r="M49" s="19">
        <f t="shared" si="7"/>
        <v>251840</v>
      </c>
      <c r="N49" s="37">
        <f t="shared" si="3"/>
        <v>310032.13648468023</v>
      </c>
      <c r="O49" s="37">
        <f t="shared" si="4"/>
        <v>252568.19911355761</v>
      </c>
      <c r="P49" s="55" cm="1">
        <f t="array" aca="1" ref="P49" ca="1">IF((L49-$C$16)&gt;0, IF($P$1+$C$16&gt;=L49,INDIRECT("M"&amp;(L49-$C$16)+5),0),0)</f>
        <v>251840</v>
      </c>
      <c r="Q49" s="56" cm="1">
        <f t="array" aca="1" ref="Q49" ca="1">IF(L49&lt;=$C$16,0,IF($W$2&gt;=L49,IF(L49&lt;=($P$1+$C$16),INDIRECT("N"&amp;(L49-$C$16)+5),FV(SRate,L49-$P$1-$C$16,0,-$W$1,1)),0))</f>
        <v>310032.13648468023</v>
      </c>
      <c r="R49" s="56">
        <f t="shared" ca="1" si="2"/>
        <v>252568.19911355761</v>
      </c>
      <c r="S49" s="19">
        <f t="shared" si="5"/>
        <v>-6655.0000000000018</v>
      </c>
      <c r="T49" s="36" cm="1">
        <f t="array" aca="1" ref="T49" ca="1">IF(L49&lt;=$P$1,K49,IF(L49&lt;=($P$1+1),INDIRECT("K"&amp;5+$W$2),""))</f>
        <v>47552</v>
      </c>
      <c r="U49" s="38">
        <f t="shared" si="6"/>
        <v>4</v>
      </c>
      <c r="Z49" s="19">
        <v>47</v>
      </c>
      <c r="AA49" s="39">
        <f t="shared" si="0"/>
        <v>0</v>
      </c>
      <c r="AB49" s="40">
        <f t="shared" si="9"/>
        <v>0</v>
      </c>
    </row>
    <row r="50" spans="11:28" hidden="1" x14ac:dyDescent="0.25">
      <c r="K50" s="36">
        <f t="shared" ca="1" si="8"/>
        <v>47583</v>
      </c>
      <c r="L50" s="19">
        <v>45</v>
      </c>
      <c r="M50" s="19">
        <f t="shared" si="7"/>
        <v>258495</v>
      </c>
      <c r="N50" s="37">
        <f t="shared" si="3"/>
        <v>319692.11514782941</v>
      </c>
      <c r="O50" s="37">
        <f t="shared" si="4"/>
        <v>259227.16771690667</v>
      </c>
      <c r="P50" s="55" cm="1">
        <f t="array" aca="1" ref="P50" ca="1">IF((L50-$C$16)&gt;0, IF($P$1+$C$16&gt;=L50,INDIRECT("M"&amp;(L50-$C$16)+5),0),0)</f>
        <v>258495</v>
      </c>
      <c r="Q50" s="56" cm="1">
        <f t="array" aca="1" ref="Q50" ca="1">IF(L50&lt;=$C$16,0,IF($W$2&gt;=L50,IF(L50&lt;=($P$1+$C$16),INDIRECT("N"&amp;(L50-$C$16)+5),FV(SRate,L50-$P$1-$C$16,0,-$W$1,1)),0))</f>
        <v>319692.11514782941</v>
      </c>
      <c r="R50" s="56">
        <f t="shared" ca="1" si="2"/>
        <v>259227.16771690667</v>
      </c>
      <c r="S50" s="19">
        <f t="shared" si="5"/>
        <v>-6655.0000000000018</v>
      </c>
      <c r="T50" s="36" cm="1">
        <f t="array" aca="1" ref="T50" ca="1">IF(L50&lt;=$P$1,K50,IF(L50&lt;=($P$1+1),INDIRECT("K"&amp;5+$W$2),""))</f>
        <v>47583</v>
      </c>
      <c r="U50" s="38">
        <f t="shared" si="6"/>
        <v>4</v>
      </c>
      <c r="Z50" s="19">
        <v>48</v>
      </c>
      <c r="AA50" s="39">
        <f t="shared" si="0"/>
        <v>0</v>
      </c>
      <c r="AB50" s="40">
        <f t="shared" si="9"/>
        <v>0</v>
      </c>
    </row>
    <row r="51" spans="11:28" hidden="1" x14ac:dyDescent="0.25">
      <c r="K51" s="36">
        <f t="shared" ca="1" si="8"/>
        <v>47613</v>
      </c>
      <c r="L51" s="19">
        <v>46</v>
      </c>
      <c r="M51" s="19">
        <f t="shared" si="7"/>
        <v>265150</v>
      </c>
      <c r="N51" s="37">
        <f t="shared" si="3"/>
        <v>329443.75534826569</v>
      </c>
      <c r="O51" s="37">
        <f t="shared" si="4"/>
        <v>265892.7556680867</v>
      </c>
      <c r="P51" s="55" cm="1">
        <f t="array" aca="1" ref="P51" ca="1">IF((L51-$C$16)&gt;0, IF($P$1+$C$16&gt;=L51,INDIRECT("M"&amp;(L51-$C$16)+5),0),0)</f>
        <v>265150</v>
      </c>
      <c r="Q51" s="56" cm="1">
        <f t="array" aca="1" ref="Q51" ca="1">IF(L51&lt;=$C$16,0,IF($W$2&gt;=L51,IF(L51&lt;=($P$1+$C$16),INDIRECT("N"&amp;(L51-$C$16)+5),FV(SRate,L51-$P$1-$C$16,0,-$W$1,1)),0))</f>
        <v>329443.75534826569</v>
      </c>
      <c r="R51" s="56">
        <f t="shared" ca="1" si="2"/>
        <v>265892.7556680867</v>
      </c>
      <c r="S51" s="19">
        <f t="shared" si="5"/>
        <v>-6655.0000000000018</v>
      </c>
      <c r="T51" s="36" cm="1">
        <f t="array" aca="1" ref="T51" ca="1">IF(L51&lt;=$P$1,K51,IF(L51&lt;=($P$1+1),INDIRECT("K"&amp;5+$W$2),""))</f>
        <v>47613</v>
      </c>
      <c r="U51" s="38">
        <f t="shared" si="6"/>
        <v>4</v>
      </c>
      <c r="Z51" s="19">
        <v>49</v>
      </c>
      <c r="AA51" s="39">
        <f t="shared" si="0"/>
        <v>0</v>
      </c>
      <c r="AB51" s="40">
        <f t="shared" si="9"/>
        <v>0</v>
      </c>
    </row>
    <row r="52" spans="11:28" hidden="1" x14ac:dyDescent="0.25">
      <c r="K52" s="36">
        <f t="shared" ca="1" si="8"/>
        <v>47644</v>
      </c>
      <c r="L52" s="19">
        <v>47</v>
      </c>
      <c r="M52" s="19">
        <f t="shared" si="7"/>
        <v>271805</v>
      </c>
      <c r="N52" s="37">
        <f t="shared" si="3"/>
        <v>339287.92684333649</v>
      </c>
      <c r="O52" s="37">
        <f t="shared" si="4"/>
        <v>272565.11241141887</v>
      </c>
      <c r="P52" s="55" cm="1">
        <f t="array" aca="1" ref="P52" ca="1">IF((L52-$C$16)&gt;0, IF($P$1+$C$16&gt;=L52,INDIRECT("M"&amp;(L52-$C$16)+5),0),0)</f>
        <v>271805</v>
      </c>
      <c r="Q52" s="56" cm="1">
        <f t="array" aca="1" ref="Q52" ca="1">IF(L52&lt;=$C$16,0,IF($W$2&gt;=L52,IF(L52&lt;=($P$1+$C$16),INDIRECT("N"&amp;(L52-$C$16)+5),FV(SRate,L52-$P$1-$C$16,0,-$W$1,1)),0))</f>
        <v>339287.92684333649</v>
      </c>
      <c r="R52" s="56">
        <f t="shared" ca="1" si="2"/>
        <v>272565.11241141887</v>
      </c>
      <c r="S52" s="19">
        <f t="shared" si="5"/>
        <v>-6655.0000000000018</v>
      </c>
      <c r="T52" s="36" cm="1">
        <f t="array" aca="1" ref="T52" ca="1">IF(L52&lt;=$P$1,K52,IF(L52&lt;=($P$1+1),INDIRECT("K"&amp;5+$W$2),""))</f>
        <v>47644</v>
      </c>
      <c r="U52" s="38">
        <f t="shared" si="6"/>
        <v>4</v>
      </c>
      <c r="Z52" s="19">
        <v>50</v>
      </c>
      <c r="AA52" s="39">
        <f t="shared" si="0"/>
        <v>0</v>
      </c>
      <c r="AB52" s="40">
        <f t="shared" si="9"/>
        <v>0</v>
      </c>
    </row>
    <row r="53" spans="11:28" hidden="1" x14ac:dyDescent="0.25">
      <c r="K53" s="36">
        <f t="shared" ca="1" si="8"/>
        <v>47674</v>
      </c>
      <c r="L53" s="19">
        <v>48</v>
      </c>
      <c r="M53" s="19">
        <f t="shared" si="7"/>
        <v>278460</v>
      </c>
      <c r="N53" s="37">
        <f t="shared" si="3"/>
        <v>349225.50764333655</v>
      </c>
      <c r="O53" s="37">
        <f t="shared" si="4"/>
        <v>279244.38756098371</v>
      </c>
      <c r="P53" s="55" cm="1">
        <f t="array" aca="1" ref="P53" ca="1">IF((L53-$C$16)&gt;0, IF($P$1+$C$16&gt;=L53,INDIRECT("M"&amp;(L53-$C$16)+5),0),0)</f>
        <v>278460</v>
      </c>
      <c r="Q53" s="56" cm="1">
        <f t="array" aca="1" ref="Q53" ca="1">IF(L53&lt;=$C$16,0,IF($W$2&gt;=L53,IF(L53&lt;=($P$1+$C$16),INDIRECT("N"&amp;(L53-$C$16)+5),FV(SRate,L53-$P$1-$C$16,0,-$W$1,1)),0))</f>
        <v>349225.50764333655</v>
      </c>
      <c r="R53" s="56">
        <f t="shared" ca="1" si="2"/>
        <v>279244.38756098371</v>
      </c>
      <c r="S53" s="19">
        <f t="shared" si="5"/>
        <v>-6655.0000000000018</v>
      </c>
      <c r="T53" s="36" cm="1">
        <f t="array" aca="1" ref="T53" ca="1">IF(L53&lt;=$P$1,K53,IF(L53&lt;=($P$1+1),INDIRECT("K"&amp;5+$W$2),""))</f>
        <v>47674</v>
      </c>
      <c r="U53" s="38">
        <f t="shared" si="6"/>
        <v>4</v>
      </c>
      <c r="Z53" s="19">
        <v>51</v>
      </c>
      <c r="AA53" s="39">
        <f t="shared" si="0"/>
        <v>0</v>
      </c>
      <c r="AB53" s="40">
        <f t="shared" si="9"/>
        <v>0</v>
      </c>
    </row>
    <row r="54" spans="11:28" hidden="1" x14ac:dyDescent="0.25">
      <c r="K54" s="36">
        <f t="shared" ca="1" si="8"/>
        <v>47705</v>
      </c>
      <c r="L54" s="19">
        <v>49</v>
      </c>
      <c r="M54" s="19">
        <f t="shared" si="7"/>
        <v>285780.5</v>
      </c>
      <c r="N54" s="37">
        <f t="shared" si="3"/>
        <v>359929.19888151641</v>
      </c>
      <c r="O54" s="37">
        <f t="shared" si="4"/>
        <v>286465.42414322472</v>
      </c>
      <c r="P54" s="55" cm="1">
        <f t="array" aca="1" ref="P54" ca="1">IF((L54-$C$16)&gt;0, IF($P$1+$C$16&gt;=L54,INDIRECT("M"&amp;(L54-$C$16)+5),0),0)</f>
        <v>285780.5</v>
      </c>
      <c r="Q54" s="56" cm="1">
        <f t="array" aca="1" ref="Q54" ca="1">IF(L54&lt;=$C$16,0,IF($W$2&gt;=L54,IF(L54&lt;=($P$1+$C$16),INDIRECT("N"&amp;(L54-$C$16)+5),FV(SRate,L54-$P$1-$C$16,0,-$W$1,1)),0))</f>
        <v>359929.19888151641</v>
      </c>
      <c r="R54" s="56">
        <f t="shared" ca="1" si="2"/>
        <v>286465.42414322472</v>
      </c>
      <c r="S54" s="19">
        <f t="shared" si="5"/>
        <v>-7320.5000000000018</v>
      </c>
      <c r="T54" s="36" cm="1">
        <f t="array" aca="1" ref="T54" ca="1">IF(L54&lt;=$P$1,K54,IF(L54&lt;=($P$1+1),INDIRECT("K"&amp;5+$W$2),""))</f>
        <v>47705</v>
      </c>
      <c r="U54" s="38">
        <f t="shared" si="6"/>
        <v>5</v>
      </c>
      <c r="Z54" s="19">
        <v>52</v>
      </c>
      <c r="AA54" s="39">
        <f t="shared" si="0"/>
        <v>0</v>
      </c>
      <c r="AB54" s="40">
        <f t="shared" si="9"/>
        <v>0</v>
      </c>
    </row>
    <row r="55" spans="11:28" hidden="1" x14ac:dyDescent="0.25">
      <c r="K55" s="36">
        <f t="shared" ca="1" si="8"/>
        <v>47736</v>
      </c>
      <c r="L55" s="19">
        <v>50</v>
      </c>
      <c r="M55" s="19">
        <f t="shared" si="7"/>
        <v>293101</v>
      </c>
      <c r="N55" s="37">
        <f t="shared" si="3"/>
        <v>370734.45522949111</v>
      </c>
      <c r="O55" s="37">
        <f t="shared" si="4"/>
        <v>293693.75824250502</v>
      </c>
      <c r="P55" s="55" cm="1">
        <f t="array" aca="1" ref="P55" ca="1">IF((L55-$C$16)&gt;0, IF($P$1+$C$16&gt;=L55,INDIRECT("M"&amp;(L55-$C$16)+5),0),0)</f>
        <v>293101</v>
      </c>
      <c r="Q55" s="56" cm="1">
        <f t="array" aca="1" ref="Q55" ca="1">IF(L55&lt;=$C$16,0,IF($W$2&gt;=L55,IF(L55&lt;=($P$1+$C$16),INDIRECT("N"&amp;(L55-$C$16)+5),FV(SRate,L55-$P$1-$C$16,0,-$W$1,1)),0))</f>
        <v>370734.45522949111</v>
      </c>
      <c r="R55" s="56">
        <f t="shared" ca="1" si="2"/>
        <v>293693.75824250502</v>
      </c>
      <c r="S55" s="19">
        <f t="shared" si="5"/>
        <v>-7320.5000000000018</v>
      </c>
      <c r="T55" s="36" cm="1">
        <f t="array" aca="1" ref="T55" ca="1">IF(L55&lt;=$P$1,K55,IF(L55&lt;=($P$1+1),INDIRECT("K"&amp;5+$W$2),""))</f>
        <v>47736</v>
      </c>
      <c r="U55" s="38">
        <f t="shared" si="6"/>
        <v>5</v>
      </c>
      <c r="Z55" s="19">
        <v>53</v>
      </c>
      <c r="AA55" s="39">
        <f t="shared" si="0"/>
        <v>0</v>
      </c>
      <c r="AB55" s="40">
        <f t="shared" si="9"/>
        <v>0</v>
      </c>
    </row>
    <row r="56" spans="11:28" hidden="1" x14ac:dyDescent="0.25">
      <c r="K56" s="36">
        <f t="shared" ca="1" si="8"/>
        <v>47766</v>
      </c>
      <c r="L56" s="19">
        <v>51</v>
      </c>
      <c r="M56" s="19">
        <f t="shared" si="7"/>
        <v>300421.5</v>
      </c>
      <c r="N56" s="37">
        <f t="shared" si="3"/>
        <v>381642.24041755684</v>
      </c>
      <c r="O56" s="37">
        <f t="shared" si="4"/>
        <v>300929.55193511996</v>
      </c>
      <c r="P56" s="55" cm="1">
        <f t="array" aca="1" ref="P56" ca="1">IF((L56-$C$16)&gt;0, IF($P$1+$C$16&gt;=L56,INDIRECT("M"&amp;(L56-$C$16)+5),0),0)</f>
        <v>300421.5</v>
      </c>
      <c r="Q56" s="56" cm="1">
        <f t="array" aca="1" ref="Q56" ca="1">IF(L56&lt;=$C$16,0,IF($W$2&gt;=L56,IF(L56&lt;=($P$1+$C$16),INDIRECT("N"&amp;(L56-$C$16)+5),FV(SRate,L56-$P$1-$C$16,0,-$W$1,1)),0))</f>
        <v>381642.24041755684</v>
      </c>
      <c r="R56" s="56">
        <f t="shared" ca="1" si="2"/>
        <v>300929.55193511996</v>
      </c>
      <c r="S56" s="19">
        <f t="shared" si="5"/>
        <v>-7320.5000000000018</v>
      </c>
      <c r="T56" s="36" cm="1">
        <f t="array" aca="1" ref="T56" ca="1">IF(L56&lt;=$P$1,K56,IF(L56&lt;=($P$1+1),INDIRECT("K"&amp;5+$W$2),""))</f>
        <v>47766</v>
      </c>
      <c r="U56" s="38">
        <f t="shared" si="6"/>
        <v>5</v>
      </c>
      <c r="Z56" s="19">
        <v>54</v>
      </c>
      <c r="AA56" s="39">
        <f t="shared" si="0"/>
        <v>0</v>
      </c>
      <c r="AB56" s="40">
        <f t="shared" si="9"/>
        <v>0</v>
      </c>
    </row>
    <row r="57" spans="11:28" hidden="1" x14ac:dyDescent="0.25">
      <c r="K57" s="36">
        <f t="shared" ca="1" si="8"/>
        <v>47797</v>
      </c>
      <c r="L57" s="19">
        <v>52</v>
      </c>
      <c r="M57" s="19">
        <f t="shared" si="7"/>
        <v>307742</v>
      </c>
      <c r="N57" s="37">
        <f t="shared" si="3"/>
        <v>392653.52732064703</v>
      </c>
      <c r="O57" s="37">
        <f t="shared" si="4"/>
        <v>308172.96748411894</v>
      </c>
      <c r="P57" s="55" cm="1">
        <f t="array" aca="1" ref="P57" ca="1">IF((L57-$C$16)&gt;0, IF($P$1+$C$16&gt;=L57,INDIRECT("M"&amp;(L57-$C$16)+5),0),0)</f>
        <v>307742</v>
      </c>
      <c r="Q57" s="56" cm="1">
        <f t="array" aca="1" ref="Q57" ca="1">IF(L57&lt;=$C$16,0,IF($W$2&gt;=L57,IF(L57&lt;=($P$1+$C$16),INDIRECT("N"&amp;(L57-$C$16)+5),FV(SRate,L57-$P$1-$C$16,0,-$W$1,1)),0))</f>
        <v>392653.52732064703</v>
      </c>
      <c r="R57" s="56">
        <f t="shared" ca="1" si="2"/>
        <v>308172.96748411894</v>
      </c>
      <c r="S57" s="19">
        <f t="shared" si="5"/>
        <v>-7320.5000000000018</v>
      </c>
      <c r="T57" s="36" cm="1">
        <f t="array" aca="1" ref="T57" ca="1">IF(L57&lt;=$P$1,K57,IF(L57&lt;=($P$1+1),INDIRECT("K"&amp;5+$W$2),""))</f>
        <v>47797</v>
      </c>
      <c r="U57" s="38">
        <f t="shared" si="6"/>
        <v>5</v>
      </c>
      <c r="Z57" s="19">
        <v>55</v>
      </c>
      <c r="AA57" s="39">
        <f t="shared" si="0"/>
        <v>0</v>
      </c>
      <c r="AB57" s="40">
        <f t="shared" si="9"/>
        <v>0</v>
      </c>
    </row>
    <row r="58" spans="11:28" hidden="1" x14ac:dyDescent="0.25">
      <c r="K58" s="36">
        <f t="shared" ca="1" si="8"/>
        <v>47827</v>
      </c>
      <c r="L58" s="19">
        <v>53</v>
      </c>
      <c r="M58" s="19">
        <f t="shared" si="7"/>
        <v>315062.5</v>
      </c>
      <c r="N58" s="37">
        <f t="shared" si="3"/>
        <v>403769.2980451039</v>
      </c>
      <c r="O58" s="37">
        <f t="shared" si="4"/>
        <v>315424.16734294628</v>
      </c>
      <c r="P58" s="55" cm="1">
        <f t="array" aca="1" ref="P58" ca="1">IF((L58-$C$16)&gt;0, IF($P$1+$C$16&gt;=L58,INDIRECT("M"&amp;(L58-$C$16)+5),0),0)</f>
        <v>315062.5</v>
      </c>
      <c r="Q58" s="56" cm="1">
        <f t="array" aca="1" ref="Q58" ca="1">IF(L58&lt;=$C$16,0,IF($W$2&gt;=L58,IF(L58&lt;=($P$1+$C$16),INDIRECT("N"&amp;(L58-$C$16)+5),FV(SRate,L58-$P$1-$C$16,0,-$W$1,1)),0))</f>
        <v>403769.2980451039</v>
      </c>
      <c r="R58" s="56">
        <f t="shared" ca="1" si="2"/>
        <v>315424.16734294628</v>
      </c>
      <c r="S58" s="19">
        <f t="shared" si="5"/>
        <v>-7320.5000000000018</v>
      </c>
      <c r="T58" s="36" cm="1">
        <f t="array" aca="1" ref="T58" ca="1">IF(L58&lt;=$P$1,K58,IF(L58&lt;=($P$1+1),INDIRECT("K"&amp;5+$W$2),""))</f>
        <v>47827</v>
      </c>
      <c r="U58" s="38">
        <f t="shared" si="6"/>
        <v>5</v>
      </c>
      <c r="Z58" s="19">
        <v>56</v>
      </c>
      <c r="AA58" s="39">
        <f t="shared" si="0"/>
        <v>0</v>
      </c>
      <c r="AB58" s="40">
        <f t="shared" si="9"/>
        <v>0</v>
      </c>
    </row>
    <row r="59" spans="11:28" hidden="1" x14ac:dyDescent="0.25">
      <c r="K59" s="36">
        <f t="shared" ca="1" si="8"/>
        <v>47858</v>
      </c>
      <c r="L59" s="19">
        <v>54</v>
      </c>
      <c r="M59" s="19">
        <f t="shared" si="7"/>
        <v>322383</v>
      </c>
      <c r="N59" s="37">
        <f t="shared" si="3"/>
        <v>414990.54401627346</v>
      </c>
      <c r="O59" s="37">
        <f t="shared" si="4"/>
        <v>322683.3141590876</v>
      </c>
      <c r="P59" s="55" cm="1">
        <f t="array" aca="1" ref="P59" ca="1">IF((L59-$C$16)&gt;0, IF($P$1+$C$16&gt;=L59,INDIRECT("M"&amp;(L59-$C$16)+5),0),0)</f>
        <v>322383</v>
      </c>
      <c r="Q59" s="56" cm="1">
        <f t="array" aca="1" ref="Q59" ca="1">IF(L59&lt;=$C$16,0,IF($W$2&gt;=L59,IF(L59&lt;=($P$1+$C$16),INDIRECT("N"&amp;(L59-$C$16)+5),FV(SRate,L59-$P$1-$C$16,0,-$W$1,1)),0))</f>
        <v>414990.54401627346</v>
      </c>
      <c r="R59" s="56">
        <f t="shared" ca="1" si="2"/>
        <v>322683.3141590876</v>
      </c>
      <c r="S59" s="19">
        <f t="shared" si="5"/>
        <v>-7320.5000000000018</v>
      </c>
      <c r="T59" s="36" cm="1">
        <f t="array" aca="1" ref="T59" ca="1">IF(L59&lt;=$P$1,K59,IF(L59&lt;=($P$1+1),INDIRECT("K"&amp;5+$W$2),""))</f>
        <v>47858</v>
      </c>
      <c r="U59" s="38">
        <f t="shared" si="6"/>
        <v>5</v>
      </c>
      <c r="Z59" s="19">
        <v>57</v>
      </c>
      <c r="AA59" s="39">
        <f t="shared" si="0"/>
        <v>0</v>
      </c>
      <c r="AB59" s="40">
        <f t="shared" si="9"/>
        <v>0</v>
      </c>
    </row>
    <row r="60" spans="11:28" hidden="1" x14ac:dyDescent="0.25">
      <c r="K60" s="36">
        <f t="shared" ca="1" si="8"/>
        <v>47889</v>
      </c>
      <c r="L60" s="19">
        <v>55</v>
      </c>
      <c r="M60" s="19">
        <f t="shared" si="7"/>
        <v>329703.5</v>
      </c>
      <c r="N60" s="37">
        <f t="shared" si="3"/>
        <v>426318.26606693148</v>
      </c>
      <c r="O60" s="37">
        <f t="shared" si="4"/>
        <v>329950.57077772025</v>
      </c>
      <c r="P60" s="55" cm="1">
        <f t="array" aca="1" ref="P60" ca="1">IF((L60-$C$16)&gt;0, IF($P$1+$C$16&gt;=L60,INDIRECT("M"&amp;(L60-$C$16)+5),0),0)</f>
        <v>329703.5</v>
      </c>
      <c r="Q60" s="56" cm="1">
        <f t="array" aca="1" ref="Q60" ca="1">IF(L60&lt;=$C$16,0,IF($W$2&gt;=L60,IF(L60&lt;=($P$1+$C$16),INDIRECT("N"&amp;(L60-$C$16)+5),FV(SRate,L60-$P$1-$C$16,0,-$W$1,1)),0))</f>
        <v>426318.26606693148</v>
      </c>
      <c r="R60" s="56">
        <f t="shared" ca="1" si="2"/>
        <v>329950.57077772025</v>
      </c>
      <c r="S60" s="19">
        <f t="shared" si="5"/>
        <v>-7320.5000000000018</v>
      </c>
      <c r="T60" s="36" cm="1">
        <f t="array" aca="1" ref="T60" ca="1">IF(L60&lt;=$P$1,K60,IF(L60&lt;=($P$1+1),INDIRECT("K"&amp;5+$W$2),""))</f>
        <v>47889</v>
      </c>
      <c r="U60" s="38">
        <f t="shared" si="6"/>
        <v>5</v>
      </c>
      <c r="Z60" s="19">
        <v>58</v>
      </c>
      <c r="AA60" s="39">
        <f t="shared" si="0"/>
        <v>0</v>
      </c>
      <c r="AB60" s="40">
        <f t="shared" si="9"/>
        <v>0</v>
      </c>
    </row>
    <row r="61" spans="11:28" hidden="1" x14ac:dyDescent="0.25">
      <c r="K61" s="36">
        <f t="shared" ca="1" si="8"/>
        <v>47917</v>
      </c>
      <c r="L61" s="19">
        <v>56</v>
      </c>
      <c r="M61" s="19">
        <f t="shared" si="7"/>
        <v>337024</v>
      </c>
      <c r="N61" s="37">
        <f t="shared" si="3"/>
        <v>437753.4745265487</v>
      </c>
      <c r="O61" s="37">
        <f t="shared" si="4"/>
        <v>337226.10024536855</v>
      </c>
      <c r="P61" s="55" cm="1">
        <f t="array" aca="1" ref="P61" ca="1">IF((L61-$C$16)&gt;0, IF($P$1+$C$16&gt;=L61,INDIRECT("M"&amp;(L61-$C$16)+5),0),0)</f>
        <v>337024</v>
      </c>
      <c r="Q61" s="56" cm="1">
        <f t="array" aca="1" ref="Q61" ca="1">IF(L61&lt;=$C$16,0,IF($W$2&gt;=L61,IF(L61&lt;=($P$1+$C$16),INDIRECT("N"&amp;(L61-$C$16)+5),FV(SRate,L61-$P$1-$C$16,0,-$W$1,1)),0))</f>
        <v>437753.4745265487</v>
      </c>
      <c r="R61" s="56">
        <f t="shared" ca="1" si="2"/>
        <v>337226.10024536855</v>
      </c>
      <c r="S61" s="19">
        <f t="shared" si="5"/>
        <v>-7320.5000000000018</v>
      </c>
      <c r="T61" s="36" cm="1">
        <f t="array" aca="1" ref="T61" ca="1">IF(L61&lt;=$P$1,K61,IF(L61&lt;=($P$1+1),INDIRECT("K"&amp;5+$W$2),""))</f>
        <v>47917</v>
      </c>
      <c r="U61" s="38">
        <f t="shared" si="6"/>
        <v>5</v>
      </c>
      <c r="Z61" s="19">
        <v>59</v>
      </c>
      <c r="AA61" s="39">
        <f t="shared" si="0"/>
        <v>0</v>
      </c>
      <c r="AB61" s="40">
        <f t="shared" si="9"/>
        <v>0</v>
      </c>
    </row>
    <row r="62" spans="11:28" hidden="1" x14ac:dyDescent="0.25">
      <c r="K62" s="36">
        <f t="shared" ca="1" si="8"/>
        <v>47948</v>
      </c>
      <c r="L62" s="19">
        <v>57</v>
      </c>
      <c r="M62" s="19">
        <f t="shared" si="7"/>
        <v>344344.5</v>
      </c>
      <c r="N62" s="37">
        <f t="shared" si="3"/>
        <v>449297.18931140302</v>
      </c>
      <c r="O62" s="37">
        <f t="shared" si="4"/>
        <v>344510.06581356522</v>
      </c>
      <c r="P62" s="55" cm="1">
        <f t="array" aca="1" ref="P62" ca="1">IF((L62-$C$16)&gt;0, IF($P$1+$C$16&gt;=L62,INDIRECT("M"&amp;(L62-$C$16)+5),0),0)</f>
        <v>344344.5</v>
      </c>
      <c r="Q62" s="56" cm="1">
        <f t="array" aca="1" ref="Q62" ca="1">IF(L62&lt;=$C$16,0,IF($W$2&gt;=L62,IF(L62&lt;=($P$1+$C$16),INDIRECT("N"&amp;(L62-$C$16)+5),FV(SRate,L62-$P$1-$C$16,0,-$W$1,1)),0))</f>
        <v>449297.18931140302</v>
      </c>
      <c r="R62" s="56">
        <f t="shared" ca="1" si="2"/>
        <v>344510.06581356522</v>
      </c>
      <c r="S62" s="19">
        <f t="shared" si="5"/>
        <v>-7320.5000000000018</v>
      </c>
      <c r="T62" s="36" cm="1">
        <f t="array" aca="1" ref="T62" ca="1">IF(L62&lt;=$P$1,K62,IF(L62&lt;=($P$1+1),INDIRECT("K"&amp;5+$W$2),""))</f>
        <v>47948</v>
      </c>
      <c r="U62" s="38">
        <f t="shared" si="6"/>
        <v>5</v>
      </c>
      <c r="Z62" s="19">
        <v>60</v>
      </c>
      <c r="AA62" s="39">
        <f t="shared" si="0"/>
        <v>0</v>
      </c>
      <c r="AB62" s="40">
        <f t="shared" si="9"/>
        <v>0</v>
      </c>
    </row>
    <row r="63" spans="11:28" hidden="1" x14ac:dyDescent="0.25">
      <c r="K63" s="36">
        <f t="shared" ca="1" si="8"/>
        <v>47978</v>
      </c>
      <c r="L63" s="19">
        <v>58</v>
      </c>
      <c r="M63" s="19">
        <f t="shared" si="7"/>
        <v>351665</v>
      </c>
      <c r="N63" s="37">
        <f t="shared" si="3"/>
        <v>460950.44001554669</v>
      </c>
      <c r="O63" s="37">
        <f t="shared" si="4"/>
        <v>351802.63094251591</v>
      </c>
      <c r="P63" s="55" cm="1">
        <f t="array" aca="1" ref="P63" ca="1">IF((L63-$C$16)&gt;0, IF($P$1+$C$16&gt;=L63,INDIRECT("M"&amp;(L63-$C$16)+5),0),0)</f>
        <v>351665</v>
      </c>
      <c r="Q63" s="56" cm="1">
        <f t="array" aca="1" ref="Q63" ca="1">IF(L63&lt;=$C$16,0,IF($W$2&gt;=L63,IF(L63&lt;=($P$1+$C$16),INDIRECT("N"&amp;(L63-$C$16)+5),FV(SRate,L63-$P$1-$C$16,0,-$W$1,1)),0))</f>
        <v>460950.44001554669</v>
      </c>
      <c r="R63" s="56">
        <f t="shared" ca="1" si="2"/>
        <v>351802.63094251591</v>
      </c>
      <c r="S63" s="19">
        <f t="shared" si="5"/>
        <v>-7320.5000000000018</v>
      </c>
      <c r="T63" s="36" cm="1">
        <f t="array" aca="1" ref="T63" ca="1">IF(L63&lt;=$P$1,K63,IF(L63&lt;=($P$1+1),INDIRECT("K"&amp;5+$W$2),""))</f>
        <v>47978</v>
      </c>
      <c r="U63" s="38">
        <f t="shared" si="6"/>
        <v>5</v>
      </c>
      <c r="Z63" s="19">
        <v>61</v>
      </c>
      <c r="AA63" s="39">
        <f t="shared" si="0"/>
        <v>0</v>
      </c>
      <c r="AB63" s="40">
        <f t="shared" si="9"/>
        <v>0</v>
      </c>
    </row>
    <row r="64" spans="11:28" hidden="1" x14ac:dyDescent="0.25">
      <c r="K64" s="36">
        <f t="shared" ca="1" si="8"/>
        <v>48009</v>
      </c>
      <c r="L64" s="19">
        <v>59</v>
      </c>
      <c r="M64" s="19">
        <f t="shared" si="7"/>
        <v>358985.5</v>
      </c>
      <c r="N64" s="37">
        <f t="shared" si="3"/>
        <v>472714.26600263675</v>
      </c>
      <c r="O64" s="37">
        <f t="shared" si="4"/>
        <v>359103.95930477045</v>
      </c>
      <c r="P64" s="55" cm="1">
        <f t="array" aca="1" ref="P64" ca="1">IF((L64-$C$16)&gt;0, IF($P$1+$C$16&gt;=L64,INDIRECT("M"&amp;(L64-$C$16)+5),0),0)</f>
        <v>358985.5</v>
      </c>
      <c r="Q64" s="56" cm="1">
        <f t="array" aca="1" ref="Q64" ca="1">IF(L64&lt;=$C$16,0,IF($W$2&gt;=L64,IF(L64&lt;=($P$1+$C$16),INDIRECT("N"&amp;(L64-$C$16)+5),FV(SRate,L64-$P$1-$C$16,0,-$W$1,1)),0))</f>
        <v>472714.26600263675</v>
      </c>
      <c r="R64" s="56">
        <f t="shared" ca="1" si="2"/>
        <v>359103.95930477045</v>
      </c>
      <c r="S64" s="19">
        <f t="shared" si="5"/>
        <v>-7320.5000000000018</v>
      </c>
      <c r="T64" s="36" cm="1">
        <f t="array" aca="1" ref="T64" ca="1">IF(L64&lt;=$P$1,K64,IF(L64&lt;=($P$1+1),INDIRECT("K"&amp;5+$W$2),""))</f>
        <v>48009</v>
      </c>
      <c r="U64" s="38">
        <f t="shared" si="6"/>
        <v>5</v>
      </c>
      <c r="Z64" s="19">
        <v>62</v>
      </c>
      <c r="AA64" s="39">
        <f t="shared" si="0"/>
        <v>0</v>
      </c>
      <c r="AB64" s="40">
        <f t="shared" si="9"/>
        <v>0</v>
      </c>
    </row>
    <row r="65" spans="11:28" hidden="1" x14ac:dyDescent="0.25">
      <c r="K65" s="36">
        <f t="shared" ca="1" si="8"/>
        <v>48039</v>
      </c>
      <c r="L65" s="19">
        <v>60</v>
      </c>
      <c r="M65" s="19">
        <f t="shared" si="7"/>
        <v>366306</v>
      </c>
      <c r="N65" s="37">
        <f t="shared" si="3"/>
        <v>484589.71649863682</v>
      </c>
      <c r="O65" s="37">
        <f t="shared" si="4"/>
        <v>366414.21478889883</v>
      </c>
      <c r="P65" s="55" cm="1">
        <f t="array" aca="1" ref="P65" ca="1">IF((L65-$C$16)&gt;0, IF($P$1+$C$16&gt;=L65,INDIRECT("M"&amp;(L65-$C$16)+5),0),0)</f>
        <v>366306</v>
      </c>
      <c r="Q65" s="56" cm="1">
        <f t="array" aca="1" ref="Q65" ca="1">IF(L65&lt;=$C$16,0,IF($W$2&gt;=L65,IF(L65&lt;=($P$1+$C$16),INDIRECT("N"&amp;(L65-$C$16)+5),FV(SRate,L65-$P$1-$C$16,0,-$W$1,1)),0))</f>
        <v>484589.71649863682</v>
      </c>
      <c r="R65" s="56">
        <f t="shared" ca="1" si="2"/>
        <v>366414.21478889883</v>
      </c>
      <c r="S65" s="19">
        <f t="shared" si="5"/>
        <v>-7320.5000000000018</v>
      </c>
      <c r="T65" s="36" cm="1">
        <f t="array" aca="1" ref="T65" ca="1">IF(L65&lt;=$P$1,K65,IF(L65&lt;=($P$1+1),INDIRECT("K"&amp;5+$W$2),""))</f>
        <v>48039</v>
      </c>
      <c r="U65" s="38">
        <f t="shared" si="6"/>
        <v>5</v>
      </c>
      <c r="Z65" s="19">
        <v>63</v>
      </c>
      <c r="AA65" s="39">
        <f t="shared" si="0"/>
        <v>0</v>
      </c>
      <c r="AB65" s="40">
        <f t="shared" si="9"/>
        <v>0</v>
      </c>
    </row>
    <row r="66" spans="11:28" hidden="1" x14ac:dyDescent="0.25">
      <c r="K66" s="36">
        <f t="shared" ca="1" si="8"/>
        <v>48070</v>
      </c>
      <c r="L66" s="19">
        <v>61</v>
      </c>
      <c r="M66" s="19">
        <f t="shared" si="7"/>
        <v>374358.55</v>
      </c>
      <c r="N66" s="37">
        <f t="shared" si="3"/>
        <v>497316.84695626603</v>
      </c>
      <c r="O66" s="37">
        <f t="shared" si="4"/>
        <v>374289.74359600537</v>
      </c>
      <c r="P66" s="55" cm="1">
        <f t="array" aca="1" ref="P66" ca="1">IF((L66-$C$16)&gt;0, IF($P$1+$C$16&gt;=L66,INDIRECT("M"&amp;(L66-$C$16)+5),0),0)</f>
        <v>374358.55</v>
      </c>
      <c r="Q66" s="56" cm="1">
        <f t="array" aca="1" ref="Q66" ca="1">IF(L66&lt;=$C$16,0,IF($W$2&gt;=L66,IF(L66&lt;=($P$1+$C$16),INDIRECT("N"&amp;(L66-$C$16)+5),FV(SRate,L66-$P$1-$C$16,0,-$W$1,1)),0))</f>
        <v>497316.84695626603</v>
      </c>
      <c r="R66" s="56">
        <f t="shared" ca="1" si="2"/>
        <v>374289.74359600537</v>
      </c>
      <c r="S66" s="19">
        <f t="shared" si="5"/>
        <v>-8052.5500000000029</v>
      </c>
      <c r="T66" s="36" cm="1">
        <f t="array" aca="1" ref="T66" ca="1">IF(L66&lt;=$P$1,K66,IF(L66&lt;=($P$1+1),INDIRECT("K"&amp;5+$W$2),""))</f>
        <v>48070</v>
      </c>
      <c r="U66" s="38">
        <f t="shared" si="6"/>
        <v>6</v>
      </c>
      <c r="Z66" s="19">
        <v>64</v>
      </c>
      <c r="AA66" s="39">
        <f t="shared" si="0"/>
        <v>0</v>
      </c>
      <c r="AB66" s="40">
        <f t="shared" si="9"/>
        <v>0</v>
      </c>
    </row>
    <row r="67" spans="11:28" hidden="1" x14ac:dyDescent="0.25">
      <c r="K67" s="36">
        <f t="shared" ca="1" si="8"/>
        <v>48101</v>
      </c>
      <c r="L67" s="19">
        <v>62</v>
      </c>
      <c r="M67" s="19">
        <f t="shared" si="7"/>
        <v>382411.1</v>
      </c>
      <c r="N67" s="37">
        <f t="shared" si="3"/>
        <v>510164.74251945911</v>
      </c>
      <c r="O67" s="37">
        <f t="shared" si="4"/>
        <v>382174.61051425681</v>
      </c>
      <c r="P67" s="55" cm="1">
        <f t="array" aca="1" ref="P67" ca="1">IF((L67-$C$16)&gt;0, IF($P$1+$C$16&gt;=L67,INDIRECT("M"&amp;(L67-$C$16)+5),0),0)</f>
        <v>382411.1</v>
      </c>
      <c r="Q67" s="56" cm="1">
        <f t="array" aca="1" ref="Q67" ca="1">IF(L67&lt;=$C$16,0,IF($W$2&gt;=L67,IF(L67&lt;=($P$1+$C$16),INDIRECT("N"&amp;(L67-$C$16)+5),FV(SRate,L67-$P$1-$C$16,0,-$W$1,1)),0))</f>
        <v>510164.74251945911</v>
      </c>
      <c r="R67" s="56">
        <f t="shared" ca="1" si="2"/>
        <v>382174.61051425681</v>
      </c>
      <c r="S67" s="19">
        <f t="shared" si="5"/>
        <v>-8052.5500000000029</v>
      </c>
      <c r="T67" s="36" cm="1">
        <f t="array" aca="1" ref="T67" ca="1">IF(L67&lt;=$P$1,K67,IF(L67&lt;=($P$1+1),INDIRECT("K"&amp;5+$W$2),""))</f>
        <v>48101</v>
      </c>
      <c r="U67" s="38">
        <f t="shared" si="6"/>
        <v>6</v>
      </c>
      <c r="Z67" s="19">
        <v>65</v>
      </c>
      <c r="AA67" s="39">
        <f t="shared" ref="AA67:AA72" si="10">IF(InvestYears&lt;SIPYears,0,IF(Z67&lt;=SIPYears,FV($W$13,Z67*12,-SIPMonthlyPmt,0,1), IF((InvestYears-SIPYears)&gt;0,IF(Z67&lt;=InvestYears,FV(SIPYield,Z67-SIPYears,0,-$W$1,1),0),0)))</f>
        <v>0</v>
      </c>
      <c r="AB67" s="40">
        <f t="shared" ref="AB67:AB72" si="11">IF(Z67&lt;=SIPYears,SIPMonthlyPmt*((1+$C$5)^(Z67-1)),0)</f>
        <v>0</v>
      </c>
    </row>
    <row r="68" spans="11:28" hidden="1" x14ac:dyDescent="0.25">
      <c r="K68" s="36">
        <f t="shared" ca="1" si="8"/>
        <v>48131</v>
      </c>
      <c r="L68" s="19">
        <v>63</v>
      </c>
      <c r="M68" s="19">
        <f t="shared" si="7"/>
        <v>390463.64999999997</v>
      </c>
      <c r="N68" s="37">
        <f t="shared" si="3"/>
        <v>523134.54910329648</v>
      </c>
      <c r="O68" s="37">
        <f t="shared" si="4"/>
        <v>390068.99251473654</v>
      </c>
      <c r="P68" s="55" cm="1">
        <f t="array" aca="1" ref="P68" ca="1">IF((L68-$C$16)&gt;0, IF($P$1+$C$16&gt;=L68,INDIRECT("M"&amp;(L68-$C$16)+5),0),0)</f>
        <v>390463.64999999997</v>
      </c>
      <c r="Q68" s="56" cm="1">
        <f t="array" aca="1" ref="Q68" ca="1">IF(L68&lt;=$C$16,0,IF($W$2&gt;=L68,IF(L68&lt;=($P$1+$C$16),INDIRECT("N"&amp;(L68-$C$16)+5),FV(SRate,L68-$P$1-$C$16,0,-$W$1,1)),0))</f>
        <v>523134.54910329648</v>
      </c>
      <c r="R68" s="56">
        <f t="shared" ca="1" si="2"/>
        <v>390068.99251473654</v>
      </c>
      <c r="S68" s="19">
        <f t="shared" si="5"/>
        <v>-8052.5500000000029</v>
      </c>
      <c r="T68" s="36" cm="1">
        <f t="array" aca="1" ref="T68" ca="1">IF(L68&lt;=$P$1,K68,IF(L68&lt;=($P$1+1),INDIRECT("K"&amp;5+$W$2),""))</f>
        <v>48131</v>
      </c>
      <c r="U68" s="38">
        <f t="shared" si="6"/>
        <v>6</v>
      </c>
      <c r="Z68" s="19">
        <v>66</v>
      </c>
      <c r="AA68" s="39">
        <f t="shared" si="10"/>
        <v>0</v>
      </c>
      <c r="AB68" s="40">
        <f t="shared" si="11"/>
        <v>0</v>
      </c>
    </row>
    <row r="69" spans="11:28" hidden="1" x14ac:dyDescent="0.25">
      <c r="K69" s="36">
        <f t="shared" ca="1" si="8"/>
        <v>48162</v>
      </c>
      <c r="L69" s="19">
        <v>64</v>
      </c>
      <c r="M69" s="19">
        <f t="shared" si="7"/>
        <v>398516.19999999995</v>
      </c>
      <c r="N69" s="37">
        <f t="shared" si="3"/>
        <v>536227.42349620943</v>
      </c>
      <c r="O69" s="37">
        <f t="shared" si="4"/>
        <v>397973.06680298789</v>
      </c>
      <c r="P69" s="55" cm="1">
        <f t="array" aca="1" ref="P69" ca="1">IF((L69-$C$16)&gt;0, IF($P$1+$C$16&gt;=L69,INDIRECT("M"&amp;(L69-$C$16)+5),0),0)</f>
        <v>398516.19999999995</v>
      </c>
      <c r="Q69" s="56" cm="1">
        <f t="array" aca="1" ref="Q69" ca="1">IF(L69&lt;=$C$16,0,IF($W$2&gt;=L69,IF(L69&lt;=($P$1+$C$16),INDIRECT("N"&amp;(L69-$C$16)+5),FV(SRate,L69-$P$1-$C$16,0,-$W$1,1)),0))</f>
        <v>536227.42349620943</v>
      </c>
      <c r="R69" s="56">
        <f t="shared" ca="1" si="2"/>
        <v>397973.06680298789</v>
      </c>
      <c r="S69" s="19">
        <f t="shared" si="5"/>
        <v>-8052.5500000000029</v>
      </c>
      <c r="T69" s="36" cm="1">
        <f t="array" aca="1" ref="T69" ca="1">IF(L69&lt;=$P$1,K69,IF(L69&lt;=($P$1+1),INDIRECT("K"&amp;5+$W$2),""))</f>
        <v>48162</v>
      </c>
      <c r="U69" s="38">
        <f t="shared" si="6"/>
        <v>6</v>
      </c>
      <c r="Z69" s="19">
        <v>67</v>
      </c>
      <c r="AA69" s="39">
        <f t="shared" si="10"/>
        <v>0</v>
      </c>
      <c r="AB69" s="40">
        <f t="shared" si="11"/>
        <v>0</v>
      </c>
    </row>
    <row r="70" spans="11:28" hidden="1" x14ac:dyDescent="0.25">
      <c r="K70" s="36">
        <f t="shared" ca="1" si="8"/>
        <v>48192</v>
      </c>
      <c r="L70" s="19">
        <v>65</v>
      </c>
      <c r="M70" s="19">
        <f t="shared" si="7"/>
        <v>406568.74999999994</v>
      </c>
      <c r="N70" s="37">
        <f t="shared" si="3"/>
        <v>549444.53346315527</v>
      </c>
      <c r="O70" s="37">
        <f t="shared" ref="O70:O133" si="12">N70/((1+SIPInflationRate)^(L70/12))</f>
        <v>405887.01082299411</v>
      </c>
      <c r="P70" s="55" cm="1">
        <f t="array" aca="1" ref="P70" ca="1">IF((L70-$C$16)&gt;0, IF($P$1+$C$16&gt;=L70,INDIRECT("M"&amp;(L70-$C$16)+5),0),0)</f>
        <v>406568.74999999994</v>
      </c>
      <c r="Q70" s="56" cm="1">
        <f t="array" aca="1" ref="Q70" ca="1">IF(L70&lt;=$C$16,0,IF($W$2&gt;=L70,IF(L70&lt;=($P$1+$C$16),INDIRECT("N"&amp;(L70-$C$16)+5),FV(SRate,L70-$P$1-$C$16,0,-$W$1,1)),0))</f>
        <v>549444.53346315527</v>
      </c>
      <c r="R70" s="56">
        <f t="shared" ref="R70:R133" ca="1" si="13">Q70/((1+SIPInflationRate)^((L70-$C$16)/12))</f>
        <v>405887.01082299411</v>
      </c>
      <c r="S70" s="19">
        <f t="shared" si="5"/>
        <v>-8052.5500000000029</v>
      </c>
      <c r="T70" s="36" cm="1">
        <f t="array" aca="1" ref="T70" ca="1">IF(L70&lt;=$P$1,K70,IF(L70&lt;=($P$1+1),INDIRECT("K"&amp;5+$W$2),""))</f>
        <v>48192</v>
      </c>
      <c r="U70" s="38">
        <f t="shared" si="6"/>
        <v>6</v>
      </c>
      <c r="Z70" s="19">
        <v>68</v>
      </c>
      <c r="AA70" s="39">
        <f t="shared" si="10"/>
        <v>0</v>
      </c>
      <c r="AB70" s="40">
        <f t="shared" si="11"/>
        <v>0</v>
      </c>
    </row>
    <row r="71" spans="11:28" hidden="1" x14ac:dyDescent="0.25">
      <c r="K71" s="36">
        <f t="shared" ca="1" si="8"/>
        <v>48223</v>
      </c>
      <c r="L71" s="19">
        <v>66</v>
      </c>
      <c r="M71" s="19">
        <f t="shared" si="7"/>
        <v>414621.29999999993</v>
      </c>
      <c r="N71" s="37">
        <f t="shared" ref="N71:N134" si="14">IF($W$2&gt;=L71,IF(L71&lt;=$P$1,(M71-M70+N70)*(1+SRate),FV(SRate,L71-$P$1,0,-$W$1,1)),0)</f>
        <v>562787.05784977099</v>
      </c>
      <c r="O71" s="37">
        <f t="shared" si="12"/>
        <v>413811.00226116477</v>
      </c>
      <c r="P71" s="55" cm="1">
        <f t="array" aca="1" ref="P71" ca="1">IF((L71-$C$16)&gt;0, IF($P$1+$C$16&gt;=L71,INDIRECT("M"&amp;(L71-$C$16)+5),0),0)</f>
        <v>414621.29999999993</v>
      </c>
      <c r="Q71" s="56" cm="1">
        <f t="array" aca="1" ref="Q71" ca="1">IF(L71&lt;=$C$16,0,IF($W$2&gt;=L71,IF(L71&lt;=($P$1+$C$16),INDIRECT("N"&amp;(L71-$C$16)+5),FV(SRate,L71-$P$1-$C$16,0,-$W$1,1)),0))</f>
        <v>562787.05784977099</v>
      </c>
      <c r="R71" s="56">
        <f t="shared" ca="1" si="13"/>
        <v>413811.00226116477</v>
      </c>
      <c r="S71" s="19">
        <f t="shared" ref="S71:S134" si="15">IF(L71&lt;=$P$1,-(_xlfn.XLOOKUP(U71,$Z$3:$Z$72,$AB$3:$AB$72,0)),IF(L71&lt;=($P$1+1),$W$4,0))</f>
        <v>-8052.5500000000029</v>
      </c>
      <c r="T71" s="36" cm="1">
        <f t="array" aca="1" ref="T71" ca="1">IF(L71&lt;=$P$1,K71,IF(L71&lt;=($P$1+1),INDIRECT("K"&amp;5+$W$2),""))</f>
        <v>48223</v>
      </c>
      <c r="U71" s="38">
        <f t="shared" ref="U71:U134" si="16">QUOTIENT(L71,12)+IF(MOD(L71,12)=0,-1,0)+1</f>
        <v>6</v>
      </c>
      <c r="Z71" s="19">
        <v>69</v>
      </c>
      <c r="AA71" s="39">
        <f t="shared" si="10"/>
        <v>0</v>
      </c>
      <c r="AB71" s="40">
        <f t="shared" si="11"/>
        <v>0</v>
      </c>
    </row>
    <row r="72" spans="11:28" hidden="1" x14ac:dyDescent="0.25">
      <c r="K72" s="36">
        <f t="shared" ca="1" si="8"/>
        <v>48254</v>
      </c>
      <c r="L72" s="19">
        <v>67</v>
      </c>
      <c r="M72" s="19">
        <f t="shared" ref="M72:M135" si="17">IF($P$1&gt;=L72,_xlfn.XLOOKUP(U72,$Z$3:$Z$72,$AB$3:$AB$72,0)+M71,0)</f>
        <v>422673.84999999992</v>
      </c>
      <c r="N72" s="37">
        <f t="shared" si="14"/>
        <v>576256.18668751593</v>
      </c>
      <c r="O72" s="37">
        <f t="shared" si="12"/>
        <v>421745.2190503279</v>
      </c>
      <c r="P72" s="55" cm="1">
        <f t="array" aca="1" ref="P72" ca="1">IF((L72-$C$16)&gt;0, IF($P$1+$C$16&gt;=L72,INDIRECT("M"&amp;(L72-$C$16)+5),0),0)</f>
        <v>422673.84999999992</v>
      </c>
      <c r="Q72" s="56" cm="1">
        <f t="array" aca="1" ref="Q72" ca="1">IF(L72&lt;=$C$16,0,IF($W$2&gt;=L72,IF(L72&lt;=($P$1+$C$16),INDIRECT("N"&amp;(L72-$C$16)+5),FV(SRate,L72-$P$1-$C$16,0,-$W$1,1)),0))</f>
        <v>576256.18668751593</v>
      </c>
      <c r="R72" s="56">
        <f t="shared" ca="1" si="13"/>
        <v>421745.2190503279</v>
      </c>
      <c r="S72" s="19">
        <f t="shared" si="15"/>
        <v>-8052.5500000000029</v>
      </c>
      <c r="T72" s="36" cm="1">
        <f t="array" aca="1" ref="T72" ca="1">IF(L72&lt;=$P$1,K72,IF(L72&lt;=($P$1+1),INDIRECT("K"&amp;5+$W$2),""))</f>
        <v>48254</v>
      </c>
      <c r="U72" s="38">
        <f t="shared" si="16"/>
        <v>6</v>
      </c>
      <c r="Z72" s="19">
        <v>70</v>
      </c>
      <c r="AA72" s="39">
        <f t="shared" si="10"/>
        <v>0</v>
      </c>
      <c r="AB72" s="40">
        <f t="shared" si="11"/>
        <v>0</v>
      </c>
    </row>
    <row r="73" spans="11:28" hidden="1" x14ac:dyDescent="0.25">
      <c r="K73" s="36">
        <f t="shared" ref="K73:K136" ca="1" si="18">EDATE(K72,1)</f>
        <v>48283</v>
      </c>
      <c r="L73" s="19">
        <v>68</v>
      </c>
      <c r="M73" s="19">
        <f t="shared" si="17"/>
        <v>430726.39999999991</v>
      </c>
      <c r="N73" s="37">
        <f t="shared" si="14"/>
        <v>589853.12129981152</v>
      </c>
      <c r="O73" s="37">
        <f t="shared" si="12"/>
        <v>429689.83937372797</v>
      </c>
      <c r="P73" s="55" cm="1">
        <f t="array" aca="1" ref="P73" ca="1">IF((L73-$C$16)&gt;0, IF($P$1+$C$16&gt;=L73,INDIRECT("M"&amp;(L73-$C$16)+5),0),0)</f>
        <v>430726.39999999991</v>
      </c>
      <c r="Q73" s="56" cm="1">
        <f t="array" aca="1" ref="Q73" ca="1">IF(L73&lt;=$C$16,0,IF($W$2&gt;=L73,IF(L73&lt;=($P$1+$C$16),INDIRECT("N"&amp;(L73-$C$16)+5),FV(SRate,L73-$P$1-$C$16,0,-$W$1,1)),0))</f>
        <v>589853.12129981152</v>
      </c>
      <c r="R73" s="56">
        <f t="shared" ca="1" si="13"/>
        <v>429689.83937372797</v>
      </c>
      <c r="S73" s="19">
        <f t="shared" si="15"/>
        <v>-8052.5500000000029</v>
      </c>
      <c r="T73" s="36" cm="1">
        <f t="array" aca="1" ref="T73" ca="1">IF(L73&lt;=$P$1,K73,IF(L73&lt;=($P$1+1),INDIRECT("K"&amp;5+$W$2),""))</f>
        <v>48283</v>
      </c>
      <c r="U73" s="38">
        <f t="shared" si="16"/>
        <v>6</v>
      </c>
    </row>
    <row r="74" spans="11:28" hidden="1" x14ac:dyDescent="0.25">
      <c r="K74" s="36">
        <f t="shared" ca="1" si="18"/>
        <v>48314</v>
      </c>
      <c r="L74" s="19">
        <v>69</v>
      </c>
      <c r="M74" s="19">
        <f t="shared" si="17"/>
        <v>438778.9499999999</v>
      </c>
      <c r="N74" s="37">
        <f t="shared" si="14"/>
        <v>603579.07440918824</v>
      </c>
      <c r="O74" s="37">
        <f t="shared" si="12"/>
        <v>437645.04166903009</v>
      </c>
      <c r="P74" s="55" cm="1">
        <f t="array" aca="1" ref="P74" ca="1">IF((L74-$C$16)&gt;0, IF($P$1+$C$16&gt;=L74,INDIRECT("M"&amp;(L74-$C$16)+5),0),0)</f>
        <v>438778.9499999999</v>
      </c>
      <c r="Q74" s="56" cm="1">
        <f t="array" aca="1" ref="Q74" ca="1">IF(L74&lt;=$C$16,0,IF($W$2&gt;=L74,IF(L74&lt;=($P$1+$C$16),INDIRECT("N"&amp;(L74-$C$16)+5),FV(SRate,L74-$P$1-$C$16,0,-$W$1,1)),0))</f>
        <v>603579.07440918824</v>
      </c>
      <c r="R74" s="56">
        <f t="shared" ca="1" si="13"/>
        <v>437645.04166903009</v>
      </c>
      <c r="S74" s="19">
        <f t="shared" si="15"/>
        <v>-8052.5500000000029</v>
      </c>
      <c r="T74" s="36" cm="1">
        <f t="array" aca="1" ref="T74" ca="1">IF(L74&lt;=$P$1,K74,IF(L74&lt;=($P$1+1),INDIRECT("K"&amp;5+$W$2),""))</f>
        <v>48314</v>
      </c>
      <c r="U74" s="38">
        <f t="shared" si="16"/>
        <v>6</v>
      </c>
    </row>
    <row r="75" spans="11:28" hidden="1" x14ac:dyDescent="0.25">
      <c r="K75" s="36">
        <f t="shared" ca="1" si="18"/>
        <v>48344</v>
      </c>
      <c r="L75" s="19">
        <v>70</v>
      </c>
      <c r="M75" s="19">
        <f t="shared" si="17"/>
        <v>446831.49999999988</v>
      </c>
      <c r="N75" s="37">
        <f t="shared" si="14"/>
        <v>617435.27024544973</v>
      </c>
      <c r="O75" s="37">
        <f t="shared" si="12"/>
        <v>445611.00463233044</v>
      </c>
      <c r="P75" s="55" cm="1">
        <f t="array" aca="1" ref="P75" ca="1">IF((L75-$C$16)&gt;0, IF($P$1+$C$16&gt;=L75,INDIRECT("M"&amp;(L75-$C$16)+5),0),0)</f>
        <v>446831.49999999988</v>
      </c>
      <c r="Q75" s="56" cm="1">
        <f t="array" aca="1" ref="Q75" ca="1">IF(L75&lt;=$C$16,0,IF($W$2&gt;=L75,IF(L75&lt;=($P$1+$C$16),INDIRECT("N"&amp;(L75-$C$16)+5),FV(SRate,L75-$P$1-$C$16,0,-$W$1,1)),0))</f>
        <v>617435.27024544973</v>
      </c>
      <c r="R75" s="56">
        <f t="shared" ca="1" si="13"/>
        <v>445611.00463233044</v>
      </c>
      <c r="S75" s="19">
        <f t="shared" si="15"/>
        <v>-8052.5500000000029</v>
      </c>
      <c r="T75" s="36" cm="1">
        <f t="array" aca="1" ref="T75" ca="1">IF(L75&lt;=$P$1,K75,IF(L75&lt;=($P$1+1),INDIRECT("K"&amp;5+$W$2),""))</f>
        <v>48344</v>
      </c>
      <c r="U75" s="38">
        <f t="shared" si="16"/>
        <v>6</v>
      </c>
    </row>
    <row r="76" spans="11:28" hidden="1" x14ac:dyDescent="0.25">
      <c r="K76" s="36">
        <f t="shared" ca="1" si="18"/>
        <v>48375</v>
      </c>
      <c r="L76" s="19">
        <v>71</v>
      </c>
      <c r="M76" s="19">
        <f t="shared" si="17"/>
        <v>454884.04999999987</v>
      </c>
      <c r="N76" s="37">
        <f t="shared" si="14"/>
        <v>631422.9446548624</v>
      </c>
      <c r="O76" s="37">
        <f t="shared" si="12"/>
        <v>453587.90722217259</v>
      </c>
      <c r="P76" s="55" cm="1">
        <f t="array" aca="1" ref="P76" ca="1">IF((L76-$C$16)&gt;0, IF($P$1+$C$16&gt;=L76,INDIRECT("M"&amp;(L76-$C$16)+5),0),0)</f>
        <v>454884.04999999987</v>
      </c>
      <c r="Q76" s="56" cm="1">
        <f t="array" aca="1" ref="Q76" ca="1">IF(L76&lt;=$C$16,0,IF($W$2&gt;=L76,IF(L76&lt;=($P$1+$C$16),INDIRECT("N"&amp;(L76-$C$16)+5),FV(SRate,L76-$P$1-$C$16,0,-$W$1,1)),0))</f>
        <v>631422.9446548624</v>
      </c>
      <c r="R76" s="56">
        <f t="shared" ca="1" si="13"/>
        <v>453587.90722217259</v>
      </c>
      <c r="S76" s="19">
        <f t="shared" si="15"/>
        <v>-8052.5500000000029</v>
      </c>
      <c r="T76" s="36" cm="1">
        <f t="array" aca="1" ref="T76" ca="1">IF(L76&lt;=$P$1,K76,IF(L76&lt;=($P$1+1),INDIRECT("K"&amp;5+$W$2),""))</f>
        <v>48375</v>
      </c>
      <c r="U76" s="38">
        <f t="shared" si="16"/>
        <v>6</v>
      </c>
    </row>
    <row r="77" spans="11:28" hidden="1" x14ac:dyDescent="0.25">
      <c r="K77" s="36">
        <f t="shared" ca="1" si="18"/>
        <v>48405</v>
      </c>
      <c r="L77" s="19">
        <v>72</v>
      </c>
      <c r="M77" s="19">
        <f t="shared" si="17"/>
        <v>462936.59999999986</v>
      </c>
      <c r="N77" s="37">
        <f t="shared" si="14"/>
        <v>645543.34521038248</v>
      </c>
      <c r="O77" s="37">
        <f t="shared" si="12"/>
        <v>461575.92866357125</v>
      </c>
      <c r="P77" s="55" cm="1">
        <f t="array" aca="1" ref="P77" ca="1">IF((L77-$C$16)&gt;0, IF($P$1+$C$16&gt;=L77,INDIRECT("M"&amp;(L77-$C$16)+5),0),0)</f>
        <v>462936.59999999986</v>
      </c>
      <c r="Q77" s="56" cm="1">
        <f t="array" aca="1" ref="Q77" ca="1">IF(L77&lt;=$C$16,0,IF($W$2&gt;=L77,IF(L77&lt;=($P$1+$C$16),INDIRECT("N"&amp;(L77-$C$16)+5),FV(SRate,L77-$P$1-$C$16,0,-$W$1,1)),0))</f>
        <v>645543.34521038248</v>
      </c>
      <c r="R77" s="56">
        <f t="shared" ca="1" si="13"/>
        <v>461575.92866357125</v>
      </c>
      <c r="S77" s="19">
        <f t="shared" si="15"/>
        <v>-8052.5500000000029</v>
      </c>
      <c r="T77" s="36" cm="1">
        <f t="array" aca="1" ref="T77" ca="1">IF(L77&lt;=$P$1,K77,IF(L77&lt;=($P$1+1),INDIRECT("K"&amp;5+$W$2),""))</f>
        <v>48405</v>
      </c>
      <c r="U77" s="38">
        <f t="shared" si="16"/>
        <v>6</v>
      </c>
    </row>
    <row r="78" spans="11:28" hidden="1" x14ac:dyDescent="0.25">
      <c r="K78" s="36">
        <f t="shared" ca="1" si="18"/>
        <v>48436</v>
      </c>
      <c r="L78" s="19">
        <v>73</v>
      </c>
      <c r="M78" s="19">
        <f t="shared" si="17"/>
        <v>471794.40499999985</v>
      </c>
      <c r="N78" s="37">
        <f t="shared" si="14"/>
        <v>660610.62722088175</v>
      </c>
      <c r="O78" s="37">
        <f t="shared" si="12"/>
        <v>470153.78301669034</v>
      </c>
      <c r="P78" s="55" cm="1">
        <f t="array" aca="1" ref="P78" ca="1">IF((L78-$C$16)&gt;0, IF($P$1+$C$16&gt;=L78,INDIRECT("M"&amp;(L78-$C$16)+5),0),0)</f>
        <v>471794.40499999985</v>
      </c>
      <c r="Q78" s="56" cm="1">
        <f t="array" aca="1" ref="Q78" ca="1">IF(L78&lt;=$C$16,0,IF($W$2&gt;=L78,IF(L78&lt;=($P$1+$C$16),INDIRECT("N"&amp;(L78-$C$16)+5),FV(SRate,L78-$P$1-$C$16,0,-$W$1,1)),0))</f>
        <v>660610.62722088175</v>
      </c>
      <c r="R78" s="56">
        <f t="shared" ca="1" si="13"/>
        <v>470153.78301669034</v>
      </c>
      <c r="S78" s="19">
        <f t="shared" si="15"/>
        <v>-8857.8050000000039</v>
      </c>
      <c r="T78" s="36" cm="1">
        <f t="array" aca="1" ref="T78" ca="1">IF(L78&lt;=$P$1,K78,IF(L78&lt;=($P$1+1),INDIRECT("K"&amp;5+$W$2),""))</f>
        <v>48436</v>
      </c>
      <c r="U78" s="38">
        <f t="shared" si="16"/>
        <v>7</v>
      </c>
    </row>
    <row r="79" spans="11:28" hidden="1" x14ac:dyDescent="0.25">
      <c r="K79" s="36">
        <f t="shared" ca="1" si="18"/>
        <v>48467</v>
      </c>
      <c r="L79" s="19">
        <v>74</v>
      </c>
      <c r="M79" s="19">
        <f t="shared" si="17"/>
        <v>480652.20999999985</v>
      </c>
      <c r="N79" s="37">
        <f t="shared" si="14"/>
        <v>675820.87955046573</v>
      </c>
      <c r="O79" s="37">
        <f t="shared" si="12"/>
        <v>478743.20135385846</v>
      </c>
      <c r="P79" s="55" cm="1">
        <f t="array" aca="1" ref="P79" ca="1">IF((L79-$C$16)&gt;0, IF($P$1+$C$16&gt;=L79,INDIRECT("M"&amp;(L79-$C$16)+5),0),0)</f>
        <v>480652.20999999985</v>
      </c>
      <c r="Q79" s="56" cm="1">
        <f t="array" aca="1" ref="Q79" ca="1">IF(L79&lt;=$C$16,0,IF($W$2&gt;=L79,IF(L79&lt;=($P$1+$C$16),INDIRECT("N"&amp;(L79-$C$16)+5),FV(SRate,L79-$P$1-$C$16,0,-$W$1,1)),0))</f>
        <v>675820.87955046573</v>
      </c>
      <c r="R79" s="56">
        <f t="shared" ca="1" si="13"/>
        <v>478743.20135385846</v>
      </c>
      <c r="S79" s="19">
        <f t="shared" si="15"/>
        <v>-8857.8050000000039</v>
      </c>
      <c r="T79" s="36" cm="1">
        <f t="array" aca="1" ref="T79" ca="1">IF(L79&lt;=$P$1,K79,IF(L79&lt;=($P$1+1),INDIRECT("K"&amp;5+$W$2),""))</f>
        <v>48467</v>
      </c>
      <c r="U79" s="38">
        <f t="shared" si="16"/>
        <v>7</v>
      </c>
    </row>
    <row r="80" spans="11:28" hidden="1" x14ac:dyDescent="0.25">
      <c r="K80" s="36">
        <f t="shared" ca="1" si="18"/>
        <v>48497</v>
      </c>
      <c r="L80" s="19">
        <v>75</v>
      </c>
      <c r="M80" s="19">
        <f t="shared" si="17"/>
        <v>489510.01499999984</v>
      </c>
      <c r="N80" s="37">
        <f t="shared" si="14"/>
        <v>691175.45881488791</v>
      </c>
      <c r="O80" s="37">
        <f t="shared" si="12"/>
        <v>487344.37663489161</v>
      </c>
      <c r="P80" s="55" cm="1">
        <f t="array" aca="1" ref="P80" ca="1">IF((L80-$C$16)&gt;0, IF($P$1+$C$16&gt;=L80,INDIRECT("M"&amp;(L80-$C$16)+5),0),0)</f>
        <v>489510.01499999984</v>
      </c>
      <c r="Q80" s="56" cm="1">
        <f t="array" aca="1" ref="Q80" ca="1">IF(L80&lt;=$C$16,0,IF($W$2&gt;=L80,IF(L80&lt;=($P$1+$C$16),INDIRECT("N"&amp;(L80-$C$16)+5),FV(SRate,L80-$P$1-$C$16,0,-$W$1,1)),0))</f>
        <v>691175.45881488791</v>
      </c>
      <c r="R80" s="56">
        <f t="shared" ca="1" si="13"/>
        <v>487344.37663489161</v>
      </c>
      <c r="S80" s="19">
        <f t="shared" si="15"/>
        <v>-8857.8050000000039</v>
      </c>
      <c r="T80" s="36" cm="1">
        <f t="array" aca="1" ref="T80" ca="1">IF(L80&lt;=$P$1,K80,IF(L80&lt;=($P$1+1),INDIRECT("K"&amp;5+$W$2),""))</f>
        <v>48497</v>
      </c>
      <c r="U80" s="38">
        <f t="shared" si="16"/>
        <v>7</v>
      </c>
    </row>
    <row r="81" spans="11:21" hidden="1" x14ac:dyDescent="0.25">
      <c r="K81" s="36">
        <f t="shared" ca="1" si="18"/>
        <v>48528</v>
      </c>
      <c r="L81" s="19">
        <v>76</v>
      </c>
      <c r="M81" s="19">
        <f t="shared" si="17"/>
        <v>498367.81999999983</v>
      </c>
      <c r="N81" s="37">
        <f t="shared" si="14"/>
        <v>706675.73450254777</v>
      </c>
      <c r="O81" s="37">
        <f t="shared" si="12"/>
        <v>495957.50210606441</v>
      </c>
      <c r="P81" s="55" cm="1">
        <f t="array" aca="1" ref="P81" ca="1">IF((L81-$C$16)&gt;0, IF($P$1+$C$16&gt;=L81,INDIRECT("M"&amp;(L81-$C$16)+5),0),0)</f>
        <v>498367.81999999983</v>
      </c>
      <c r="Q81" s="56" cm="1">
        <f t="array" aca="1" ref="Q81" ca="1">IF(L81&lt;=$C$16,0,IF($W$2&gt;=L81,IF(L81&lt;=($P$1+$C$16),INDIRECT("N"&amp;(L81-$C$16)+5),FV(SRate,L81-$P$1-$C$16,0,-$W$1,1)),0))</f>
        <v>706675.73450254777</v>
      </c>
      <c r="R81" s="56">
        <f t="shared" ca="1" si="13"/>
        <v>495957.50210606441</v>
      </c>
      <c r="S81" s="19">
        <f t="shared" si="15"/>
        <v>-8857.8050000000039</v>
      </c>
      <c r="T81" s="36" cm="1">
        <f t="array" aca="1" ref="T81" ca="1">IF(L81&lt;=$P$1,K81,IF(L81&lt;=($P$1+1),INDIRECT("K"&amp;5+$W$2),""))</f>
        <v>48528</v>
      </c>
      <c r="U81" s="38">
        <f t="shared" si="16"/>
        <v>7</v>
      </c>
    </row>
    <row r="82" spans="11:21" hidden="1" x14ac:dyDescent="0.25">
      <c r="K82" s="36">
        <f t="shared" ca="1" si="18"/>
        <v>48558</v>
      </c>
      <c r="L82" s="19">
        <v>77</v>
      </c>
      <c r="M82" s="19">
        <f t="shared" si="17"/>
        <v>507225.62499999983</v>
      </c>
      <c r="N82" s="37">
        <f t="shared" si="14"/>
        <v>722323.08909663674</v>
      </c>
      <c r="O82" s="37">
        <f t="shared" si="12"/>
        <v>504582.77130445471</v>
      </c>
      <c r="P82" s="55" cm="1">
        <f t="array" aca="1" ref="P82" ca="1">IF((L82-$C$16)&gt;0, IF($P$1+$C$16&gt;=L82,INDIRECT("M"&amp;(L82-$C$16)+5),0),0)</f>
        <v>507225.62499999983</v>
      </c>
      <c r="Q82" s="56" cm="1">
        <f t="array" aca="1" ref="Q82" ca="1">IF(L82&lt;=$C$16,0,IF($W$2&gt;=L82,IF(L82&lt;=($P$1+$C$16),INDIRECT("N"&amp;(L82-$C$16)+5),FV(SRate,L82-$P$1-$C$16,0,-$W$1,1)),0))</f>
        <v>722323.08909663674</v>
      </c>
      <c r="R82" s="56">
        <f t="shared" ca="1" si="13"/>
        <v>504582.77130445471</v>
      </c>
      <c r="S82" s="19">
        <f t="shared" si="15"/>
        <v>-8857.8050000000039</v>
      </c>
      <c r="T82" s="36" cm="1">
        <f t="array" aca="1" ref="T82" ca="1">IF(L82&lt;=$P$1,K82,IF(L82&lt;=($P$1+1),INDIRECT("K"&amp;5+$W$2),""))</f>
        <v>48558</v>
      </c>
      <c r="U82" s="38">
        <f t="shared" si="16"/>
        <v>7</v>
      </c>
    </row>
    <row r="83" spans="11:21" hidden="1" x14ac:dyDescent="0.25">
      <c r="K83" s="36">
        <f t="shared" ca="1" si="18"/>
        <v>48589</v>
      </c>
      <c r="L83" s="19">
        <v>78</v>
      </c>
      <c r="M83" s="19">
        <f t="shared" si="17"/>
        <v>516083.42999999982</v>
      </c>
      <c r="N83" s="37">
        <f t="shared" si="14"/>
        <v>738118.9181984429</v>
      </c>
      <c r="O83" s="37">
        <f t="shared" si="12"/>
        <v>513220.37806229532</v>
      </c>
      <c r="P83" s="55" cm="1">
        <f t="array" aca="1" ref="P83" ca="1">IF((L83-$C$16)&gt;0, IF($P$1+$C$16&gt;=L83,INDIRECT("M"&amp;(L83-$C$16)+5),0),0)</f>
        <v>516083.42999999982</v>
      </c>
      <c r="Q83" s="56" cm="1">
        <f t="array" aca="1" ref="Q83" ca="1">IF(L83&lt;=$C$16,0,IF($W$2&gt;=L83,IF(L83&lt;=($P$1+$C$16),INDIRECT("N"&amp;(L83-$C$16)+5),FV(SRate,L83-$P$1-$C$16,0,-$W$1,1)),0))</f>
        <v>738118.9181984429</v>
      </c>
      <c r="R83" s="56">
        <f t="shared" ca="1" si="13"/>
        <v>513220.37806229532</v>
      </c>
      <c r="S83" s="19">
        <f t="shared" si="15"/>
        <v>-8857.8050000000039</v>
      </c>
      <c r="T83" s="36" cm="1">
        <f t="array" aca="1" ref="T83" ca="1">IF(L83&lt;=$P$1,K83,IF(L83&lt;=($P$1+1),INDIRECT("K"&amp;5+$W$2),""))</f>
        <v>48589</v>
      </c>
      <c r="U83" s="38">
        <f t="shared" si="16"/>
        <v>7</v>
      </c>
    </row>
    <row r="84" spans="11:21" hidden="1" x14ac:dyDescent="0.25">
      <c r="K84" s="36">
        <f t="shared" ca="1" si="18"/>
        <v>48620</v>
      </c>
      <c r="L84" s="19">
        <v>79</v>
      </c>
      <c r="M84" s="19">
        <f t="shared" si="17"/>
        <v>524941.23499999987</v>
      </c>
      <c r="N84" s="37">
        <f t="shared" si="14"/>
        <v>754064.63065182639</v>
      </c>
      <c r="O84" s="37">
        <f t="shared" si="12"/>
        <v>521870.51651133265</v>
      </c>
      <c r="P84" s="55" cm="1">
        <f t="array" aca="1" ref="P84" ca="1">IF((L84-$C$16)&gt;0, IF($P$1+$C$16&gt;=L84,INDIRECT("M"&amp;(L84-$C$16)+5),0),0)</f>
        <v>524941.23499999987</v>
      </c>
      <c r="Q84" s="56" cm="1">
        <f t="array" aca="1" ref="Q84" ca="1">IF(L84&lt;=$C$16,0,IF($W$2&gt;=L84,IF(L84&lt;=($P$1+$C$16),INDIRECT("N"&amp;(L84-$C$16)+5),FV(SRate,L84-$P$1-$C$16,0,-$W$1,1)),0))</f>
        <v>754064.63065182639</v>
      </c>
      <c r="R84" s="56">
        <f t="shared" ca="1" si="13"/>
        <v>521870.51651133265</v>
      </c>
      <c r="S84" s="19">
        <f t="shared" si="15"/>
        <v>-8857.8050000000039</v>
      </c>
      <c r="T84" s="36" cm="1">
        <f t="array" aca="1" ref="T84" ca="1">IF(L84&lt;=$P$1,K84,IF(L84&lt;=($P$1+1),INDIRECT("K"&amp;5+$W$2),""))</f>
        <v>48620</v>
      </c>
      <c r="U84" s="38">
        <f t="shared" si="16"/>
        <v>7</v>
      </c>
    </row>
    <row r="85" spans="11:21" hidden="1" x14ac:dyDescent="0.25">
      <c r="K85" s="36">
        <f t="shared" ca="1" si="18"/>
        <v>48648</v>
      </c>
      <c r="L85" s="19">
        <v>80</v>
      </c>
      <c r="M85" s="19">
        <f t="shared" si="17"/>
        <v>533799.03999999992</v>
      </c>
      <c r="N85" s="37">
        <f t="shared" si="14"/>
        <v>770161.6486688744</v>
      </c>
      <c r="O85" s="37">
        <f t="shared" si="12"/>
        <v>530533.38108719233</v>
      </c>
      <c r="P85" s="55" cm="1">
        <f t="array" aca="1" ref="P85" ca="1">IF((L85-$C$16)&gt;0, IF($P$1+$C$16&gt;=L85,INDIRECT("M"&amp;(L85-$C$16)+5),0),0)</f>
        <v>533799.03999999992</v>
      </c>
      <c r="Q85" s="56" cm="1">
        <f t="array" aca="1" ref="Q85" ca="1">IF(L85&lt;=$C$16,0,IF($W$2&gt;=L85,IF(L85&lt;=($P$1+$C$16),INDIRECT("N"&amp;(L85-$C$16)+5),FV(SRate,L85-$P$1-$C$16,0,-$W$1,1)),0))</f>
        <v>770161.6486688744</v>
      </c>
      <c r="R85" s="56">
        <f t="shared" ca="1" si="13"/>
        <v>530533.38108719233</v>
      </c>
      <c r="S85" s="19">
        <f t="shared" si="15"/>
        <v>-8857.8050000000039</v>
      </c>
      <c r="T85" s="36" cm="1">
        <f t="array" aca="1" ref="T85" ca="1">IF(L85&lt;=$P$1,K85,IF(L85&lt;=($P$1+1),INDIRECT("K"&amp;5+$W$2),""))</f>
        <v>48648</v>
      </c>
      <c r="U85" s="38">
        <f t="shared" si="16"/>
        <v>7</v>
      </c>
    </row>
    <row r="86" spans="11:21" hidden="1" x14ac:dyDescent="0.25">
      <c r="K86" s="36">
        <f t="shared" ca="1" si="18"/>
        <v>48679</v>
      </c>
      <c r="L86" s="19">
        <v>81</v>
      </c>
      <c r="M86" s="19">
        <f t="shared" si="17"/>
        <v>542656.84499999997</v>
      </c>
      <c r="N86" s="37">
        <f t="shared" si="14"/>
        <v>786411.40795675036</v>
      </c>
      <c r="O86" s="37">
        <f t="shared" si="12"/>
        <v>539209.16653375304</v>
      </c>
      <c r="P86" s="55" cm="1">
        <f t="array" aca="1" ref="P86" ca="1">IF((L86-$C$16)&gt;0, IF($P$1+$C$16&gt;=L86,INDIRECT("M"&amp;(L86-$C$16)+5),0),0)</f>
        <v>542656.84499999997</v>
      </c>
      <c r="Q86" s="56" cm="1">
        <f t="array" aca="1" ref="Q86" ca="1">IF(L86&lt;=$C$16,0,IF($W$2&gt;=L86,IF(L86&lt;=($P$1+$C$16),INDIRECT("N"&amp;(L86-$C$16)+5),FV(SRate,L86-$P$1-$C$16,0,-$W$1,1)),0))</f>
        <v>786411.40795675036</v>
      </c>
      <c r="R86" s="56">
        <f t="shared" ca="1" si="13"/>
        <v>539209.16653375304</v>
      </c>
      <c r="S86" s="19">
        <f t="shared" si="15"/>
        <v>-8857.8050000000039</v>
      </c>
      <c r="T86" s="36" cm="1">
        <f t="array" aca="1" ref="T86" ca="1">IF(L86&lt;=$P$1,K86,IF(L86&lt;=($P$1+1),INDIRECT("K"&amp;5+$W$2),""))</f>
        <v>48679</v>
      </c>
      <c r="U86" s="38">
        <f t="shared" si="16"/>
        <v>7</v>
      </c>
    </row>
    <row r="87" spans="11:21" hidden="1" x14ac:dyDescent="0.25">
      <c r="K87" s="36">
        <f t="shared" ca="1" si="18"/>
        <v>48709</v>
      </c>
      <c r="L87" s="19">
        <v>82</v>
      </c>
      <c r="M87" s="19">
        <f t="shared" si="17"/>
        <v>551514.65</v>
      </c>
      <c r="N87" s="37">
        <f t="shared" si="14"/>
        <v>802815.35784574586</v>
      </c>
      <c r="O87" s="37">
        <f t="shared" si="12"/>
        <v>547898.06790752686</v>
      </c>
      <c r="P87" s="55" cm="1">
        <f t="array" aca="1" ref="P87" ca="1">IF((L87-$C$16)&gt;0, IF($P$1+$C$16&gt;=L87,INDIRECT("M"&amp;(L87-$C$16)+5),0),0)</f>
        <v>551514.65</v>
      </c>
      <c r="Q87" s="56" cm="1">
        <f t="array" aca="1" ref="Q87" ca="1">IF(L87&lt;=$C$16,0,IF($W$2&gt;=L87,IF(L87&lt;=($P$1+$C$16),INDIRECT("N"&amp;(L87-$C$16)+5),FV(SRate,L87-$P$1-$C$16,0,-$W$1,1)),0))</f>
        <v>802815.35784574586</v>
      </c>
      <c r="R87" s="56">
        <f t="shared" ca="1" si="13"/>
        <v>547898.06790752686</v>
      </c>
      <c r="S87" s="19">
        <f t="shared" si="15"/>
        <v>-8857.8050000000039</v>
      </c>
      <c r="T87" s="36" cm="1">
        <f t="array" aca="1" ref="T87" ca="1">IF(L87&lt;=$P$1,K87,IF(L87&lt;=($P$1+1),INDIRECT("K"&amp;5+$W$2),""))</f>
        <v>48709</v>
      </c>
      <c r="U87" s="38">
        <f t="shared" si="16"/>
        <v>7</v>
      </c>
    </row>
    <row r="88" spans="11:21" hidden="1" x14ac:dyDescent="0.25">
      <c r="K88" s="36">
        <f t="shared" ca="1" si="18"/>
        <v>48740</v>
      </c>
      <c r="L88" s="19">
        <v>83</v>
      </c>
      <c r="M88" s="19">
        <f t="shared" si="17"/>
        <v>560372.45500000007</v>
      </c>
      <c r="N88" s="37">
        <f t="shared" si="14"/>
        <v>819374.96141854732</v>
      </c>
      <c r="O88" s="37">
        <f t="shared" si="12"/>
        <v>556600.28058204742</v>
      </c>
      <c r="P88" s="55" cm="1">
        <f t="array" aca="1" ref="P88" ca="1">IF((L88-$C$16)&gt;0, IF($P$1+$C$16&gt;=L88,INDIRECT("M"&amp;(L88-$C$16)+5),0),0)</f>
        <v>560372.45500000007</v>
      </c>
      <c r="Q88" s="56" cm="1">
        <f t="array" aca="1" ref="Q88" ca="1">IF(L88&lt;=$C$16,0,IF($W$2&gt;=L88,IF(L88&lt;=($P$1+$C$16),INDIRECT("N"&amp;(L88-$C$16)+5),FV(SRate,L88-$P$1-$C$16,0,-$W$1,1)),0))</f>
        <v>819374.96141854732</v>
      </c>
      <c r="R88" s="56">
        <f t="shared" ca="1" si="13"/>
        <v>556600.28058204742</v>
      </c>
      <c r="S88" s="19">
        <f t="shared" si="15"/>
        <v>-8857.8050000000039</v>
      </c>
      <c r="T88" s="36" cm="1">
        <f t="array" aca="1" ref="T88" ca="1">IF(L88&lt;=$P$1,K88,IF(L88&lt;=($P$1+1),INDIRECT("K"&amp;5+$W$2),""))</f>
        <v>48740</v>
      </c>
      <c r="U88" s="38">
        <f t="shared" si="16"/>
        <v>7</v>
      </c>
    </row>
    <row r="89" spans="11:21" hidden="1" x14ac:dyDescent="0.25">
      <c r="K89" s="36">
        <f t="shared" ca="1" si="18"/>
        <v>48770</v>
      </c>
      <c r="L89" s="19">
        <v>84</v>
      </c>
      <c r="M89" s="19">
        <f t="shared" si="17"/>
        <v>569230.26000000013</v>
      </c>
      <c r="N89" s="37">
        <f t="shared" si="14"/>
        <v>836091.69564072986</v>
      </c>
      <c r="O89" s="37">
        <f t="shared" si="12"/>
        <v>565316.00025226607</v>
      </c>
      <c r="P89" s="55" cm="1">
        <f t="array" aca="1" ref="P89" ca="1">IF((L89-$C$16)&gt;0, IF($P$1+$C$16&gt;=L89,INDIRECT("M"&amp;(L89-$C$16)+5),0),0)</f>
        <v>569230.26000000013</v>
      </c>
      <c r="Q89" s="56" cm="1">
        <f t="array" aca="1" ref="Q89" ca="1">IF(L89&lt;=$C$16,0,IF($W$2&gt;=L89,IF(L89&lt;=($P$1+$C$16),INDIRECT("N"&amp;(L89-$C$16)+5),FV(SRate,L89-$P$1-$C$16,0,-$W$1,1)),0))</f>
        <v>836091.69564072986</v>
      </c>
      <c r="R89" s="56">
        <f t="shared" ca="1" si="13"/>
        <v>565316.00025226607</v>
      </c>
      <c r="S89" s="19">
        <f t="shared" si="15"/>
        <v>-8857.8050000000039</v>
      </c>
      <c r="T89" s="36" cm="1">
        <f t="array" aca="1" ref="T89" ca="1">IF(L89&lt;=$P$1,K89,IF(L89&lt;=($P$1+1),INDIRECT("K"&amp;5+$W$2),""))</f>
        <v>48770</v>
      </c>
      <c r="U89" s="38">
        <f t="shared" si="16"/>
        <v>7</v>
      </c>
    </row>
    <row r="90" spans="11:21" hidden="1" x14ac:dyDescent="0.25">
      <c r="K90" s="36">
        <f t="shared" ca="1" si="18"/>
        <v>48801</v>
      </c>
      <c r="L90" s="19">
        <v>85</v>
      </c>
      <c r="M90" s="19">
        <f t="shared" si="17"/>
        <v>578973.84550000017</v>
      </c>
      <c r="N90" s="37">
        <f t="shared" si="14"/>
        <v>853861.23698023916</v>
      </c>
      <c r="O90" s="37">
        <f t="shared" si="12"/>
        <v>574647.20830171113</v>
      </c>
      <c r="P90" s="55" cm="1">
        <f t="array" aca="1" ref="P90" ca="1">IF((L90-$C$16)&gt;0, IF($P$1+$C$16&gt;=L90,INDIRECT("M"&amp;(L90-$C$16)+5),0),0)</f>
        <v>578973.84550000017</v>
      </c>
      <c r="Q90" s="56" cm="1">
        <f t="array" aca="1" ref="Q90" ca="1">IF(L90&lt;=$C$16,0,IF($W$2&gt;=L90,IF(L90&lt;=($P$1+$C$16),INDIRECT("N"&amp;(L90-$C$16)+5),FV(SRate,L90-$P$1-$C$16,0,-$W$1,1)),0))</f>
        <v>853861.23698023916</v>
      </c>
      <c r="R90" s="56">
        <f t="shared" ca="1" si="13"/>
        <v>574647.20830171113</v>
      </c>
      <c r="S90" s="19">
        <f t="shared" si="15"/>
        <v>-9743.5855000000065</v>
      </c>
      <c r="T90" s="36" cm="1">
        <f t="array" aca="1" ref="T90" ca="1">IF(L90&lt;=$P$1,K90,IF(L90&lt;=($P$1+1),INDIRECT("K"&amp;5+$W$2),""))</f>
        <v>48801</v>
      </c>
      <c r="U90" s="38">
        <f t="shared" si="16"/>
        <v>8</v>
      </c>
    </row>
    <row r="91" spans="11:21" hidden="1" x14ac:dyDescent="0.25">
      <c r="K91" s="36">
        <f t="shared" ca="1" si="18"/>
        <v>48832</v>
      </c>
      <c r="L91" s="19">
        <v>86</v>
      </c>
      <c r="M91" s="19">
        <f t="shared" si="17"/>
        <v>588717.43100000022</v>
      </c>
      <c r="N91" s="37">
        <f t="shared" si="14"/>
        <v>871799.38981806149</v>
      </c>
      <c r="O91" s="37">
        <f t="shared" si="12"/>
        <v>583992.40503647574</v>
      </c>
      <c r="P91" s="55" cm="1">
        <f t="array" aca="1" ref="P91" ca="1">IF((L91-$C$16)&gt;0, IF($P$1+$C$16&gt;=L91,INDIRECT("M"&amp;(L91-$C$16)+5),0),0)</f>
        <v>588717.43100000022</v>
      </c>
      <c r="Q91" s="56" cm="1">
        <f t="array" aca="1" ref="Q91" ca="1">IF(L91&lt;=$C$16,0,IF($W$2&gt;=L91,IF(L91&lt;=($P$1+$C$16),INDIRECT("N"&amp;(L91-$C$16)+5),FV(SRate,L91-$P$1-$C$16,0,-$W$1,1)),0))</f>
        <v>871799.38981806149</v>
      </c>
      <c r="R91" s="56">
        <f t="shared" ca="1" si="13"/>
        <v>583992.40503647574</v>
      </c>
      <c r="S91" s="19">
        <f t="shared" si="15"/>
        <v>-9743.5855000000065</v>
      </c>
      <c r="T91" s="36" cm="1">
        <f t="array" aca="1" ref="T91" ca="1">IF(L91&lt;=$P$1,K91,IF(L91&lt;=($P$1+1),INDIRECT("K"&amp;5+$W$2),""))</f>
        <v>48832</v>
      </c>
      <c r="U91" s="38">
        <f t="shared" si="16"/>
        <v>8</v>
      </c>
    </row>
    <row r="92" spans="11:21" hidden="1" x14ac:dyDescent="0.25">
      <c r="K92" s="36">
        <f t="shared" ca="1" si="18"/>
        <v>48862</v>
      </c>
      <c r="L92" s="19">
        <v>87</v>
      </c>
      <c r="M92" s="19">
        <f t="shared" si="17"/>
        <v>598461.01650000026</v>
      </c>
      <c r="N92" s="37">
        <f t="shared" si="14"/>
        <v>889907.75407379086</v>
      </c>
      <c r="O92" s="37">
        <f t="shared" si="12"/>
        <v>593351.80057229276</v>
      </c>
      <c r="P92" s="55" cm="1">
        <f t="array" aca="1" ref="P92" ca="1">IF((L92-$C$16)&gt;0, IF($P$1+$C$16&gt;=L92,INDIRECT("M"&amp;(L92-$C$16)+5),0),0)</f>
        <v>598461.01650000026</v>
      </c>
      <c r="Q92" s="56" cm="1">
        <f t="array" aca="1" ref="Q92" ca="1">IF(L92&lt;=$C$16,0,IF($W$2&gt;=L92,IF(L92&lt;=($P$1+$C$16),INDIRECT("N"&amp;(L92-$C$16)+5),FV(SRate,L92-$P$1-$C$16,0,-$W$1,1)),0))</f>
        <v>889907.75407379086</v>
      </c>
      <c r="R92" s="56">
        <f t="shared" ca="1" si="13"/>
        <v>593351.80057229276</v>
      </c>
      <c r="S92" s="19">
        <f t="shared" si="15"/>
        <v>-9743.5855000000065</v>
      </c>
      <c r="T92" s="36" cm="1">
        <f t="array" aca="1" ref="T92" ca="1">IF(L92&lt;=$P$1,K92,IF(L92&lt;=($P$1+1),INDIRECT("K"&amp;5+$W$2),""))</f>
        <v>48862</v>
      </c>
      <c r="U92" s="38">
        <f t="shared" si="16"/>
        <v>8</v>
      </c>
    </row>
    <row r="93" spans="11:21" hidden="1" x14ac:dyDescent="0.25">
      <c r="K93" s="36">
        <f t="shared" ca="1" si="18"/>
        <v>48893</v>
      </c>
      <c r="L93" s="19">
        <v>88</v>
      </c>
      <c r="M93" s="19">
        <f t="shared" si="17"/>
        <v>608204.6020000003</v>
      </c>
      <c r="N93" s="37">
        <f t="shared" si="14"/>
        <v>908187.94484832685</v>
      </c>
      <c r="O93" s="37">
        <f t="shared" si="12"/>
        <v>602725.60536795855</v>
      </c>
      <c r="P93" s="55" cm="1">
        <f t="array" aca="1" ref="P93" ca="1">IF((L93-$C$16)&gt;0, IF($P$1+$C$16&gt;=L93,INDIRECT("M"&amp;(L93-$C$16)+5),0),0)</f>
        <v>608204.6020000003</v>
      </c>
      <c r="Q93" s="56" cm="1">
        <f t="array" aca="1" ref="Q93" ca="1">IF(L93&lt;=$C$16,0,IF($W$2&gt;=L93,IF(L93&lt;=($P$1+$C$16),INDIRECT("N"&amp;(L93-$C$16)+5),FV(SRate,L93-$P$1-$C$16,0,-$W$1,1)),0))</f>
        <v>908187.94484832685</v>
      </c>
      <c r="R93" s="56">
        <f t="shared" ca="1" si="13"/>
        <v>602725.60536795855</v>
      </c>
      <c r="S93" s="19">
        <f t="shared" si="15"/>
        <v>-9743.5855000000065</v>
      </c>
      <c r="T93" s="36" cm="1">
        <f t="array" aca="1" ref="T93" ca="1">IF(L93&lt;=$P$1,K93,IF(L93&lt;=($P$1+1),INDIRECT("K"&amp;5+$W$2),""))</f>
        <v>48893</v>
      </c>
      <c r="U93" s="38">
        <f t="shared" si="16"/>
        <v>8</v>
      </c>
    </row>
    <row r="94" spans="11:21" hidden="1" x14ac:dyDescent="0.25">
      <c r="K94" s="36">
        <f t="shared" ca="1" si="18"/>
        <v>48923</v>
      </c>
      <c r="L94" s="19">
        <v>89</v>
      </c>
      <c r="M94" s="19">
        <f t="shared" si="17"/>
        <v>617948.18750000035</v>
      </c>
      <c r="N94" s="37">
        <f t="shared" si="14"/>
        <v>926641.59256792709</v>
      </c>
      <c r="O94" s="37">
        <f t="shared" si="12"/>
        <v>612114.03023006883</v>
      </c>
      <c r="P94" s="55" cm="1">
        <f t="array" aca="1" ref="P94" ca="1">IF((L94-$C$16)&gt;0, IF($P$1+$C$16&gt;=L94,INDIRECT("M"&amp;(L94-$C$16)+5),0),0)</f>
        <v>617948.18750000035</v>
      </c>
      <c r="Q94" s="56" cm="1">
        <f t="array" aca="1" ref="Q94" ca="1">IF(L94&lt;=$C$16,0,IF($W$2&gt;=L94,IF(L94&lt;=($P$1+$C$16),INDIRECT("N"&amp;(L94-$C$16)+5),FV(SRate,L94-$P$1-$C$16,0,-$W$1,1)),0))</f>
        <v>926641.59256792709</v>
      </c>
      <c r="R94" s="56">
        <f t="shared" ca="1" si="13"/>
        <v>612114.03023006883</v>
      </c>
      <c r="S94" s="19">
        <f t="shared" si="15"/>
        <v>-9743.5855000000065</v>
      </c>
      <c r="T94" s="36" cm="1">
        <f t="array" aca="1" ref="T94" ca="1">IF(L94&lt;=$P$1,K94,IF(L94&lt;=($P$1+1),INDIRECT("K"&amp;5+$W$2),""))</f>
        <v>48923</v>
      </c>
      <c r="U94" s="38">
        <f t="shared" si="16"/>
        <v>8</v>
      </c>
    </row>
    <row r="95" spans="11:21" hidden="1" x14ac:dyDescent="0.25">
      <c r="K95" s="36">
        <f t="shared" ca="1" si="18"/>
        <v>48954</v>
      </c>
      <c r="L95" s="19">
        <v>90</v>
      </c>
      <c r="M95" s="19">
        <f t="shared" si="17"/>
        <v>627691.77300000039</v>
      </c>
      <c r="N95" s="37">
        <f t="shared" si="14"/>
        <v>945270.34312962636</v>
      </c>
      <c r="O95" s="37">
        <f t="shared" si="12"/>
        <v>621517.28631776245</v>
      </c>
      <c r="P95" s="55" cm="1">
        <f t="array" aca="1" ref="P95" ca="1">IF((L95-$C$16)&gt;0, IF($P$1+$C$16&gt;=L95,INDIRECT("M"&amp;(L95-$C$16)+5),0),0)</f>
        <v>627691.77300000039</v>
      </c>
      <c r="Q95" s="56" cm="1">
        <f t="array" aca="1" ref="Q95" ca="1">IF(L95&lt;=$C$16,0,IF($W$2&gt;=L95,IF(L95&lt;=($P$1+$C$16),INDIRECT("N"&amp;(L95-$C$16)+5),FV(SRate,L95-$P$1-$C$16,0,-$W$1,1)),0))</f>
        <v>945270.34312962636</v>
      </c>
      <c r="R95" s="56">
        <f t="shared" ca="1" si="13"/>
        <v>621517.28631776245</v>
      </c>
      <c r="S95" s="19">
        <f t="shared" si="15"/>
        <v>-9743.5855000000065</v>
      </c>
      <c r="T95" s="36" cm="1">
        <f t="array" aca="1" ref="T95" ca="1">IF(L95&lt;=$P$1,K95,IF(L95&lt;=($P$1+1),INDIRECT("K"&amp;5+$W$2),""))</f>
        <v>48954</v>
      </c>
      <c r="U95" s="38">
        <f t="shared" si="16"/>
        <v>8</v>
      </c>
    </row>
    <row r="96" spans="11:21" hidden="1" x14ac:dyDescent="0.25">
      <c r="K96" s="36">
        <f t="shared" ca="1" si="18"/>
        <v>48985</v>
      </c>
      <c r="L96" s="19">
        <v>91</v>
      </c>
      <c r="M96" s="19">
        <f t="shared" si="17"/>
        <v>637435.35850000044</v>
      </c>
      <c r="N96" s="37">
        <f t="shared" si="14"/>
        <v>964075.85804803565</v>
      </c>
      <c r="O96" s="37">
        <f t="shared" si="12"/>
        <v>630935.58514747338</v>
      </c>
      <c r="P96" s="55" cm="1">
        <f t="array" aca="1" ref="P96" ca="1">IF((L96-$C$16)&gt;0, IF($P$1+$C$16&gt;=L96,INDIRECT("M"&amp;(L96-$C$16)+5),0),0)</f>
        <v>637435.35850000044</v>
      </c>
      <c r="Q96" s="56" cm="1">
        <f t="array" aca="1" ref="Q96" ca="1">IF(L96&lt;=$C$16,0,IF($W$2&gt;=L96,IF(L96&lt;=($P$1+$C$16),INDIRECT("N"&amp;(L96-$C$16)+5),FV(SRate,L96-$P$1-$C$16,0,-$W$1,1)),0))</f>
        <v>964075.85804803565</v>
      </c>
      <c r="R96" s="56">
        <f t="shared" ca="1" si="13"/>
        <v>630935.58514747338</v>
      </c>
      <c r="S96" s="19">
        <f t="shared" si="15"/>
        <v>-9743.5855000000065</v>
      </c>
      <c r="T96" s="36" cm="1">
        <f t="array" aca="1" ref="T96" ca="1">IF(L96&lt;=$P$1,K96,IF(L96&lt;=($P$1+1),INDIRECT("K"&amp;5+$W$2),""))</f>
        <v>48985</v>
      </c>
      <c r="U96" s="38">
        <f t="shared" si="16"/>
        <v>8</v>
      </c>
    </row>
    <row r="97" spans="11:21" hidden="1" x14ac:dyDescent="0.25">
      <c r="K97" s="36">
        <f t="shared" ca="1" si="18"/>
        <v>49013</v>
      </c>
      <c r="L97" s="19">
        <v>92</v>
      </c>
      <c r="M97" s="19">
        <f t="shared" si="17"/>
        <v>647178.94400000048</v>
      </c>
      <c r="N97" s="37">
        <f t="shared" si="14"/>
        <v>983059.81460353383</v>
      </c>
      <c r="O97" s="37">
        <f t="shared" si="12"/>
        <v>640369.13859769155</v>
      </c>
      <c r="P97" s="55" cm="1">
        <f t="array" aca="1" ref="P97" ca="1">IF((L97-$C$16)&gt;0, IF($P$1+$C$16&gt;=L97,INDIRECT("M"&amp;(L97-$C$16)+5),0),0)</f>
        <v>647178.94400000048</v>
      </c>
      <c r="Q97" s="56" cm="1">
        <f t="array" aca="1" ref="Q97" ca="1">IF(L97&lt;=$C$16,0,IF($W$2&gt;=L97,IF(L97&lt;=($P$1+$C$16),INDIRECT("N"&amp;(L97-$C$16)+5),FV(SRate,L97-$P$1-$C$16,0,-$W$1,1)),0))</f>
        <v>983059.81460353383</v>
      </c>
      <c r="R97" s="56">
        <f t="shared" ca="1" si="13"/>
        <v>640369.13859769155</v>
      </c>
      <c r="S97" s="19">
        <f t="shared" si="15"/>
        <v>-9743.5855000000065</v>
      </c>
      <c r="T97" s="36" cm="1">
        <f t="array" aca="1" ref="T97" ca="1">IF(L97&lt;=$P$1,K97,IF(L97&lt;=($P$1+1),INDIRECT("K"&amp;5+$W$2),""))</f>
        <v>49013</v>
      </c>
      <c r="U97" s="38">
        <f t="shared" si="16"/>
        <v>8</v>
      </c>
    </row>
    <row r="98" spans="11:21" hidden="1" x14ac:dyDescent="0.25">
      <c r="K98" s="36">
        <f t="shared" ca="1" si="18"/>
        <v>49044</v>
      </c>
      <c r="L98" s="19">
        <v>93</v>
      </c>
      <c r="M98" s="19">
        <f t="shared" si="17"/>
        <v>656922.52950000053</v>
      </c>
      <c r="N98" s="37">
        <f t="shared" si="14"/>
        <v>1002223.9059918663</v>
      </c>
      <c r="O98" s="37">
        <f t="shared" si="12"/>
        <v>649818.15891373286</v>
      </c>
      <c r="P98" s="55" cm="1">
        <f t="array" aca="1" ref="P98" ca="1">IF((L98-$C$16)&gt;0, IF($P$1+$C$16&gt;=L98,INDIRECT("M"&amp;(L98-$C$16)+5),0),0)</f>
        <v>656922.52950000053</v>
      </c>
      <c r="Q98" s="56" cm="1">
        <f t="array" aca="1" ref="Q98" ca="1">IF(L98&lt;=$C$16,0,IF($W$2&gt;=L98,IF(L98&lt;=($P$1+$C$16),INDIRECT("N"&amp;(L98-$C$16)+5),FV(SRate,L98-$P$1-$C$16,0,-$W$1,1)),0))</f>
        <v>1002223.9059918663</v>
      </c>
      <c r="R98" s="56">
        <f t="shared" ca="1" si="13"/>
        <v>649818.15891373286</v>
      </c>
      <c r="S98" s="19">
        <f t="shared" si="15"/>
        <v>-9743.5855000000065</v>
      </c>
      <c r="T98" s="36" cm="1">
        <f t="array" aca="1" ref="T98" ca="1">IF(L98&lt;=$P$1,K98,IF(L98&lt;=($P$1+1),INDIRECT("K"&amp;5+$W$2),""))</f>
        <v>49044</v>
      </c>
      <c r="U98" s="38">
        <f t="shared" si="16"/>
        <v>8</v>
      </c>
    </row>
    <row r="99" spans="11:21" hidden="1" x14ac:dyDescent="0.25">
      <c r="K99" s="36">
        <f t="shared" ca="1" si="18"/>
        <v>49074</v>
      </c>
      <c r="L99" s="19">
        <v>94</v>
      </c>
      <c r="M99" s="19">
        <f t="shared" si="17"/>
        <v>666666.11500000057</v>
      </c>
      <c r="N99" s="37">
        <f t="shared" si="14"/>
        <v>1021569.8414751621</v>
      </c>
      <c r="O99" s="37">
        <f t="shared" si="12"/>
        <v>659282.85871251684</v>
      </c>
      <c r="P99" s="55" cm="1">
        <f t="array" aca="1" ref="P99" ca="1">IF((L99-$C$16)&gt;0, IF($P$1+$C$16&gt;=L99,INDIRECT("M"&amp;(L99-$C$16)+5),0),0)</f>
        <v>666666.11500000057</v>
      </c>
      <c r="Q99" s="56" cm="1">
        <f t="array" aca="1" ref="Q99" ca="1">IF(L99&lt;=$C$16,0,IF($W$2&gt;=L99,IF(L99&lt;=($P$1+$C$16),INDIRECT("N"&amp;(L99-$C$16)+5),FV(SRate,L99-$P$1-$C$16,0,-$W$1,1)),0))</f>
        <v>1021569.8414751621</v>
      </c>
      <c r="R99" s="56">
        <f t="shared" ca="1" si="13"/>
        <v>659282.85871251684</v>
      </c>
      <c r="S99" s="19">
        <f t="shared" si="15"/>
        <v>-9743.5855000000065</v>
      </c>
      <c r="T99" s="36" cm="1">
        <f t="array" aca="1" ref="T99" ca="1">IF(L99&lt;=$P$1,K99,IF(L99&lt;=($P$1+1),INDIRECT("K"&amp;5+$W$2),""))</f>
        <v>49074</v>
      </c>
      <c r="U99" s="38">
        <f t="shared" si="16"/>
        <v>8</v>
      </c>
    </row>
    <row r="100" spans="11:21" hidden="1" x14ac:dyDescent="0.25">
      <c r="K100" s="36">
        <f t="shared" ca="1" si="18"/>
        <v>49105</v>
      </c>
      <c r="L100" s="19">
        <v>95</v>
      </c>
      <c r="M100" s="19">
        <f t="shared" si="17"/>
        <v>676409.70050000062</v>
      </c>
      <c r="N100" s="37">
        <f t="shared" si="14"/>
        <v>1041099.3465343846</v>
      </c>
      <c r="O100" s="37">
        <f t="shared" si="12"/>
        <v>668763.45098735427</v>
      </c>
      <c r="P100" s="55" cm="1">
        <f t="array" aca="1" ref="P100" ca="1">IF((L100-$C$16)&gt;0, IF($P$1+$C$16&gt;=L100,INDIRECT("M"&amp;(L100-$C$16)+5),0),0)</f>
        <v>676409.70050000062</v>
      </c>
      <c r="Q100" s="56" cm="1">
        <f t="array" aca="1" ref="Q100" ca="1">IF(L100&lt;=$C$16,0,IF($W$2&gt;=L100,IF(L100&lt;=($P$1+$C$16),INDIRECT("N"&amp;(L100-$C$16)+5),FV(SRate,L100-$P$1-$C$16,0,-$W$1,1)),0))</f>
        <v>1041099.3465343846</v>
      </c>
      <c r="R100" s="56">
        <f t="shared" ca="1" si="13"/>
        <v>668763.45098735427</v>
      </c>
      <c r="S100" s="19">
        <f t="shared" si="15"/>
        <v>-9743.5855000000065</v>
      </c>
      <c r="T100" s="36" cm="1">
        <f t="array" aca="1" ref="T100" ca="1">IF(L100&lt;=$P$1,K100,IF(L100&lt;=($P$1+1),INDIRECT("K"&amp;5+$W$2),""))</f>
        <v>49105</v>
      </c>
      <c r="U100" s="38">
        <f t="shared" si="16"/>
        <v>8</v>
      </c>
    </row>
    <row r="101" spans="11:21" hidden="1" x14ac:dyDescent="0.25">
      <c r="K101" s="36">
        <f t="shared" ca="1" si="18"/>
        <v>49135</v>
      </c>
      <c r="L101" s="19">
        <v>96</v>
      </c>
      <c r="M101" s="19">
        <f t="shared" si="17"/>
        <v>686153.28600000066</v>
      </c>
      <c r="N101" s="37">
        <f t="shared" si="14"/>
        <v>1060814.163023229</v>
      </c>
      <c r="O101" s="37">
        <f t="shared" si="12"/>
        <v>678260.14911274298</v>
      </c>
      <c r="P101" s="55" cm="1">
        <f t="array" aca="1" ref="P101" ca="1">IF((L101-$C$16)&gt;0, IF($P$1+$C$16&gt;=L101,INDIRECT("M"&amp;(L101-$C$16)+5),0),0)</f>
        <v>686153.28600000066</v>
      </c>
      <c r="Q101" s="56" cm="1">
        <f t="array" aca="1" ref="Q101" ca="1">IF(L101&lt;=$C$16,0,IF($W$2&gt;=L101,IF(L101&lt;=($P$1+$C$16),INDIRECT("N"&amp;(L101-$C$16)+5),FV(SRate,L101-$P$1-$C$16,0,-$W$1,1)),0))</f>
        <v>1060814.163023229</v>
      </c>
      <c r="R101" s="56">
        <f t="shared" ca="1" si="13"/>
        <v>678260.14911274298</v>
      </c>
      <c r="S101" s="19">
        <f t="shared" si="15"/>
        <v>-9743.5855000000065</v>
      </c>
      <c r="T101" s="36" cm="1">
        <f t="array" aca="1" ref="T101" ca="1">IF(L101&lt;=$P$1,K101,IF(L101&lt;=($P$1+1),INDIRECT("K"&amp;5+$W$2),""))</f>
        <v>49135</v>
      </c>
      <c r="U101" s="38">
        <f t="shared" si="16"/>
        <v>8</v>
      </c>
    </row>
    <row r="102" spans="11:21" hidden="1" x14ac:dyDescent="0.25">
      <c r="K102" s="36">
        <f t="shared" ca="1" si="18"/>
        <v>49166</v>
      </c>
      <c r="L102" s="19">
        <v>97</v>
      </c>
      <c r="M102" s="19">
        <f t="shared" si="17"/>
        <v>696871.23005000071</v>
      </c>
      <c r="N102" s="37">
        <f t="shared" si="14"/>
        <v>1081699.6533600043</v>
      </c>
      <c r="O102" s="37">
        <f t="shared" si="12"/>
        <v>688399.13743927435</v>
      </c>
      <c r="P102" s="55" cm="1">
        <f t="array" aca="1" ref="P102" ca="1">IF((L102-$C$16)&gt;0, IF($P$1+$C$16&gt;=L102,INDIRECT("M"&amp;(L102-$C$16)+5),0),0)</f>
        <v>696871.23005000071</v>
      </c>
      <c r="Q102" s="56" cm="1">
        <f t="array" aca="1" ref="Q102" ca="1">IF(L102&lt;=$C$16,0,IF($W$2&gt;=L102,IF(L102&lt;=($P$1+$C$16),INDIRECT("N"&amp;(L102-$C$16)+5),FV(SRate,L102-$P$1-$C$16,0,-$W$1,1)),0))</f>
        <v>1081699.6533600043</v>
      </c>
      <c r="R102" s="56">
        <f t="shared" ca="1" si="13"/>
        <v>688399.13743927435</v>
      </c>
      <c r="S102" s="19">
        <f t="shared" si="15"/>
        <v>-10717.944050000006</v>
      </c>
      <c r="T102" s="36" cm="1">
        <f t="array" aca="1" ref="T102" ca="1">IF(L102&lt;=$P$1,K102,IF(L102&lt;=($P$1+1),INDIRECT("K"&amp;5+$W$2),""))</f>
        <v>49166</v>
      </c>
      <c r="U102" s="38">
        <f t="shared" si="16"/>
        <v>9</v>
      </c>
    </row>
    <row r="103" spans="11:21" hidden="1" x14ac:dyDescent="0.25">
      <c r="K103" s="36">
        <f t="shared" ca="1" si="18"/>
        <v>49197</v>
      </c>
      <c r="L103" s="19">
        <v>98</v>
      </c>
      <c r="M103" s="19">
        <f t="shared" si="17"/>
        <v>707589.17410000076</v>
      </c>
      <c r="N103" s="37">
        <f t="shared" si="14"/>
        <v>1102783.3217899227</v>
      </c>
      <c r="O103" s="37">
        <f t="shared" si="12"/>
        <v>698554.75243559515</v>
      </c>
      <c r="P103" s="55" cm="1">
        <f t="array" aca="1" ref="P103" ca="1">IF((L103-$C$16)&gt;0, IF($P$1+$C$16&gt;=L103,INDIRECT("M"&amp;(L103-$C$16)+5),0),0)</f>
        <v>707589.17410000076</v>
      </c>
      <c r="Q103" s="56" cm="1">
        <f t="array" aca="1" ref="Q103" ca="1">IF(L103&lt;=$C$16,0,IF($W$2&gt;=L103,IF(L103&lt;=($P$1+$C$16),INDIRECT("N"&amp;(L103-$C$16)+5),FV(SRate,L103-$P$1-$C$16,0,-$W$1,1)),0))</f>
        <v>1102783.3217899227</v>
      </c>
      <c r="R103" s="56">
        <f t="shared" ca="1" si="13"/>
        <v>698554.75243559515</v>
      </c>
      <c r="S103" s="19">
        <f t="shared" si="15"/>
        <v>-10717.944050000006</v>
      </c>
      <c r="T103" s="36" cm="1">
        <f t="array" aca="1" ref="T103" ca="1">IF(L103&lt;=$P$1,K103,IF(L103&lt;=($P$1+1),INDIRECT("K"&amp;5+$W$2),""))</f>
        <v>49197</v>
      </c>
      <c r="U103" s="38">
        <f t="shared" si="16"/>
        <v>9</v>
      </c>
    </row>
    <row r="104" spans="11:21" hidden="1" x14ac:dyDescent="0.25">
      <c r="K104" s="36">
        <f t="shared" ca="1" si="18"/>
        <v>49227</v>
      </c>
      <c r="L104" s="19">
        <v>99</v>
      </c>
      <c r="M104" s="19">
        <f t="shared" si="17"/>
        <v>718307.11815000081</v>
      </c>
      <c r="N104" s="37">
        <f t="shared" si="14"/>
        <v>1124067.0487838739</v>
      </c>
      <c r="O104" s="37">
        <f t="shared" si="12"/>
        <v>708727.22261845239</v>
      </c>
      <c r="P104" s="55" cm="1">
        <f t="array" aca="1" ref="P104" ca="1">IF((L104-$C$16)&gt;0, IF($P$1+$C$16&gt;=L104,INDIRECT("M"&amp;(L104-$C$16)+5),0),0)</f>
        <v>718307.11815000081</v>
      </c>
      <c r="Q104" s="56" cm="1">
        <f t="array" aca="1" ref="Q104" ca="1">IF(L104&lt;=$C$16,0,IF($W$2&gt;=L104,IF(L104&lt;=($P$1+$C$16),INDIRECT("N"&amp;(L104-$C$16)+5),FV(SRate,L104-$P$1-$C$16,0,-$W$1,1)),0))</f>
        <v>1124067.0487838739</v>
      </c>
      <c r="R104" s="56">
        <f t="shared" ca="1" si="13"/>
        <v>708727.22261845239</v>
      </c>
      <c r="S104" s="19">
        <f t="shared" si="15"/>
        <v>-10717.944050000006</v>
      </c>
      <c r="T104" s="36" cm="1">
        <f t="array" aca="1" ref="T104" ca="1">IF(L104&lt;=$P$1,K104,IF(L104&lt;=($P$1+1),INDIRECT("K"&amp;5+$W$2),""))</f>
        <v>49227</v>
      </c>
      <c r="U104" s="38">
        <f t="shared" si="16"/>
        <v>9</v>
      </c>
    </row>
    <row r="105" spans="11:21" hidden="1" x14ac:dyDescent="0.25">
      <c r="K105" s="36">
        <f t="shared" ca="1" si="18"/>
        <v>49258</v>
      </c>
      <c r="L105" s="19">
        <v>100</v>
      </c>
      <c r="M105" s="19">
        <f t="shared" si="17"/>
        <v>729025.06220000086</v>
      </c>
      <c r="N105" s="37">
        <f t="shared" si="14"/>
        <v>1145552.7326561469</v>
      </c>
      <c r="O105" s="37">
        <f t="shared" si="12"/>
        <v>718916.77690920234</v>
      </c>
      <c r="P105" s="55" cm="1">
        <f t="array" aca="1" ref="P105" ca="1">IF((L105-$C$16)&gt;0, IF($P$1+$C$16&gt;=L105,INDIRECT("M"&amp;(L105-$C$16)+5),0),0)</f>
        <v>729025.06220000086</v>
      </c>
      <c r="Q105" s="56" cm="1">
        <f t="array" aca="1" ref="Q105" ca="1">IF(L105&lt;=$C$16,0,IF($W$2&gt;=L105,IF(L105&lt;=($P$1+$C$16),INDIRECT("N"&amp;(L105-$C$16)+5),FV(SRate,L105-$P$1-$C$16,0,-$W$1,1)),0))</f>
        <v>1145552.7326561469</v>
      </c>
      <c r="R105" s="56">
        <f t="shared" ca="1" si="13"/>
        <v>718916.77690920234</v>
      </c>
      <c r="S105" s="19">
        <f t="shared" si="15"/>
        <v>-10717.944050000006</v>
      </c>
      <c r="T105" s="36" cm="1">
        <f t="array" aca="1" ref="T105" ca="1">IF(L105&lt;=$P$1,K105,IF(L105&lt;=($P$1+1),INDIRECT("K"&amp;5+$W$2),""))</f>
        <v>49258</v>
      </c>
      <c r="U105" s="38">
        <f t="shared" si="16"/>
        <v>9</v>
      </c>
    </row>
    <row r="106" spans="11:21" hidden="1" x14ac:dyDescent="0.25">
      <c r="K106" s="36">
        <f t="shared" ca="1" si="18"/>
        <v>49288</v>
      </c>
      <c r="L106" s="19">
        <v>101</v>
      </c>
      <c r="M106" s="19">
        <f t="shared" si="17"/>
        <v>739743.00625000091</v>
      </c>
      <c r="N106" s="37">
        <f t="shared" si="14"/>
        <v>1167242.2897337417</v>
      </c>
      <c r="O106" s="37">
        <f t="shared" si="12"/>
        <v>729123.64463896444</v>
      </c>
      <c r="P106" s="55" cm="1">
        <f t="array" aca="1" ref="P106" ca="1">IF((L106-$C$16)&gt;0, IF($P$1+$C$16&gt;=L106,INDIRECT("M"&amp;(L106-$C$16)+5),0),0)</f>
        <v>739743.00625000091</v>
      </c>
      <c r="Q106" s="56" cm="1">
        <f t="array" aca="1" ref="Q106" ca="1">IF(L106&lt;=$C$16,0,IF($W$2&gt;=L106,IF(L106&lt;=($P$1+$C$16),INDIRECT("N"&amp;(L106-$C$16)+5),FV(SRate,L106-$P$1-$C$16,0,-$W$1,1)),0))</f>
        <v>1167242.2897337417</v>
      </c>
      <c r="R106" s="56">
        <f t="shared" ca="1" si="13"/>
        <v>729123.64463896444</v>
      </c>
      <c r="S106" s="19">
        <f t="shared" si="15"/>
        <v>-10717.944050000006</v>
      </c>
      <c r="T106" s="36" cm="1">
        <f t="array" aca="1" ref="T106" ca="1">IF(L106&lt;=$P$1,K106,IF(L106&lt;=($P$1+1),INDIRECT("K"&amp;5+$W$2),""))</f>
        <v>49288</v>
      </c>
      <c r="U106" s="38">
        <f t="shared" si="16"/>
        <v>9</v>
      </c>
    </row>
    <row r="107" spans="11:21" hidden="1" x14ac:dyDescent="0.25">
      <c r="K107" s="36">
        <f t="shared" ca="1" si="18"/>
        <v>49319</v>
      </c>
      <c r="L107" s="19">
        <v>102</v>
      </c>
      <c r="M107" s="19">
        <f t="shared" si="17"/>
        <v>750460.95030000096</v>
      </c>
      <c r="N107" s="37">
        <f t="shared" si="14"/>
        <v>1189137.6545272886</v>
      </c>
      <c r="O107" s="37">
        <f t="shared" si="12"/>
        <v>739348.05555378681</v>
      </c>
      <c r="P107" s="55" cm="1">
        <f t="array" aca="1" ref="P107" ca="1">IF((L107-$C$16)&gt;0, IF($P$1+$C$16&gt;=L107,INDIRECT("M"&amp;(L107-$C$16)+5),0),0)</f>
        <v>750460.95030000096</v>
      </c>
      <c r="Q107" s="56" cm="1">
        <f t="array" aca="1" ref="Q107" ca="1">IF(L107&lt;=$C$16,0,IF($W$2&gt;=L107,IF(L107&lt;=($P$1+$C$16),INDIRECT("N"&amp;(L107-$C$16)+5),FV(SRate,L107-$P$1-$C$16,0,-$W$1,1)),0))</f>
        <v>1189137.6545272886</v>
      </c>
      <c r="R107" s="56">
        <f t="shared" ca="1" si="13"/>
        <v>739348.05555378681</v>
      </c>
      <c r="S107" s="19">
        <f t="shared" si="15"/>
        <v>-10717.944050000006</v>
      </c>
      <c r="T107" s="36" cm="1">
        <f t="array" aca="1" ref="T107" ca="1">IF(L107&lt;=$P$1,K107,IF(L107&lt;=($P$1+1),INDIRECT("K"&amp;5+$W$2),""))</f>
        <v>49319</v>
      </c>
      <c r="U107" s="38">
        <f t="shared" si="16"/>
        <v>9</v>
      </c>
    </row>
    <row r="108" spans="11:21" hidden="1" x14ac:dyDescent="0.25">
      <c r="K108" s="36">
        <f t="shared" ca="1" si="18"/>
        <v>49350</v>
      </c>
      <c r="L108" s="19">
        <v>103</v>
      </c>
      <c r="M108" s="19">
        <f t="shared" si="17"/>
        <v>761178.89435000101</v>
      </c>
      <c r="N108" s="37">
        <f t="shared" si="14"/>
        <v>1211240.7799035888</v>
      </c>
      <c r="O108" s="37">
        <f t="shared" si="12"/>
        <v>749590.23981982016</v>
      </c>
      <c r="P108" s="55" cm="1">
        <f t="array" aca="1" ref="P108" ca="1">IF((L108-$C$16)&gt;0, IF($P$1+$C$16&gt;=L108,INDIRECT("M"&amp;(L108-$C$16)+5),0),0)</f>
        <v>761178.89435000101</v>
      </c>
      <c r="Q108" s="56" cm="1">
        <f t="array" aca="1" ref="Q108" ca="1">IF(L108&lt;=$C$16,0,IF($W$2&gt;=L108,IF(L108&lt;=($P$1+$C$16),INDIRECT("N"&amp;(L108-$C$16)+5),FV(SRate,L108-$P$1-$C$16,0,-$W$1,1)),0))</f>
        <v>1211240.7799035888</v>
      </c>
      <c r="R108" s="56">
        <f t="shared" ca="1" si="13"/>
        <v>749590.23981982016</v>
      </c>
      <c r="S108" s="19">
        <f t="shared" si="15"/>
        <v>-10717.944050000006</v>
      </c>
      <c r="T108" s="36" cm="1">
        <f t="array" aca="1" ref="T108" ca="1">IF(L108&lt;=$P$1,K108,IF(L108&lt;=($P$1+1),INDIRECT("K"&amp;5+$W$2),""))</f>
        <v>49350</v>
      </c>
      <c r="U108" s="38">
        <f t="shared" si="16"/>
        <v>9</v>
      </c>
    </row>
    <row r="109" spans="11:21" hidden="1" x14ac:dyDescent="0.25">
      <c r="K109" s="36">
        <f t="shared" ca="1" si="18"/>
        <v>49378</v>
      </c>
      <c r="L109" s="19">
        <v>104</v>
      </c>
      <c r="M109" s="19">
        <f t="shared" si="17"/>
        <v>771896.83840000106</v>
      </c>
      <c r="N109" s="37">
        <f t="shared" si="14"/>
        <v>1233553.6372597918</v>
      </c>
      <c r="O109" s="37">
        <f t="shared" si="12"/>
        <v>759850.4280285025</v>
      </c>
      <c r="P109" s="55" cm="1">
        <f t="array" aca="1" ref="P109" ca="1">IF((L109-$C$16)&gt;0, IF($P$1+$C$16&gt;=L109,INDIRECT("M"&amp;(L109-$C$16)+5),0),0)</f>
        <v>771896.83840000106</v>
      </c>
      <c r="Q109" s="56" cm="1">
        <f t="array" aca="1" ref="Q109" ca="1">IF(L109&lt;=$C$16,0,IF($W$2&gt;=L109,IF(L109&lt;=($P$1+$C$16),INDIRECT("N"&amp;(L109-$C$16)+5),FV(SRate,L109-$P$1-$C$16,0,-$W$1,1)),0))</f>
        <v>1233553.6372597918</v>
      </c>
      <c r="R109" s="56">
        <f t="shared" ca="1" si="13"/>
        <v>759850.4280285025</v>
      </c>
      <c r="S109" s="19">
        <f t="shared" si="15"/>
        <v>-10717.944050000006</v>
      </c>
      <c r="T109" s="36" cm="1">
        <f t="array" aca="1" ref="T109" ca="1">IF(L109&lt;=$P$1,K109,IF(L109&lt;=($P$1+1),INDIRECT("K"&amp;5+$W$2),""))</f>
        <v>49378</v>
      </c>
      <c r="U109" s="38">
        <f t="shared" si="16"/>
        <v>9</v>
      </c>
    </row>
    <row r="110" spans="11:21" hidden="1" x14ac:dyDescent="0.25">
      <c r="K110" s="36">
        <f t="shared" ca="1" si="18"/>
        <v>49409</v>
      </c>
      <c r="L110" s="19">
        <v>105</v>
      </c>
      <c r="M110" s="19">
        <f t="shared" si="17"/>
        <v>782614.7824500011</v>
      </c>
      <c r="N110" s="37">
        <f t="shared" si="14"/>
        <v>1256078.2166992268</v>
      </c>
      <c r="O110" s="37">
        <f t="shared" si="12"/>
        <v>770128.85120175371</v>
      </c>
      <c r="P110" s="55" cm="1">
        <f t="array" aca="1" ref="P110" ca="1">IF((L110-$C$16)&gt;0, IF($P$1+$C$16&gt;=L110,INDIRECT("M"&amp;(L110-$C$16)+5),0),0)</f>
        <v>782614.7824500011</v>
      </c>
      <c r="Q110" s="56" cm="1">
        <f t="array" aca="1" ref="Q110" ca="1">IF(L110&lt;=$C$16,0,IF($W$2&gt;=L110,IF(L110&lt;=($P$1+$C$16),INDIRECT("N"&amp;(L110-$C$16)+5),FV(SRate,L110-$P$1-$C$16,0,-$W$1,1)),0))</f>
        <v>1256078.2166992268</v>
      </c>
      <c r="R110" s="56">
        <f t="shared" ca="1" si="13"/>
        <v>770128.85120175371</v>
      </c>
      <c r="S110" s="19">
        <f t="shared" si="15"/>
        <v>-10717.944050000006</v>
      </c>
      <c r="T110" s="36" cm="1">
        <f t="array" aca="1" ref="T110" ca="1">IF(L110&lt;=$P$1,K110,IF(L110&lt;=($P$1+1),INDIRECT("K"&amp;5+$W$2),""))</f>
        <v>49409</v>
      </c>
      <c r="U110" s="38">
        <f t="shared" si="16"/>
        <v>9</v>
      </c>
    </row>
    <row r="111" spans="11:21" hidden="1" x14ac:dyDescent="0.25">
      <c r="K111" s="36">
        <f t="shared" ca="1" si="18"/>
        <v>49439</v>
      </c>
      <c r="L111" s="19">
        <v>106</v>
      </c>
      <c r="M111" s="19">
        <f t="shared" si="17"/>
        <v>793332.72650000115</v>
      </c>
      <c r="N111" s="37">
        <f t="shared" si="14"/>
        <v>1278816.527208901</v>
      </c>
      <c r="O111" s="37">
        <f t="shared" si="12"/>
        <v>780425.74079718068</v>
      </c>
      <c r="P111" s="55" cm="1">
        <f t="array" aca="1" ref="P111" ca="1">IF((L111-$C$16)&gt;0, IF($P$1+$C$16&gt;=L111,INDIRECT("M"&amp;(L111-$C$16)+5),0),0)</f>
        <v>793332.72650000115</v>
      </c>
      <c r="Q111" s="56" cm="1">
        <f t="array" aca="1" ref="Q111" ca="1">IF(L111&lt;=$C$16,0,IF($W$2&gt;=L111,IF(L111&lt;=($P$1+$C$16),INDIRECT("N"&amp;(L111-$C$16)+5),FV(SRate,L111-$P$1-$C$16,0,-$W$1,1)),0))</f>
        <v>1278816.527208901</v>
      </c>
      <c r="R111" s="56">
        <f t="shared" ca="1" si="13"/>
        <v>780425.74079718068</v>
      </c>
      <c r="S111" s="19">
        <f t="shared" si="15"/>
        <v>-10717.944050000006</v>
      </c>
      <c r="T111" s="36" cm="1">
        <f t="array" aca="1" ref="T111" ca="1">IF(L111&lt;=$P$1,K111,IF(L111&lt;=($P$1+1),INDIRECT("K"&amp;5+$W$2),""))</f>
        <v>49439</v>
      </c>
      <c r="U111" s="38">
        <f t="shared" si="16"/>
        <v>9</v>
      </c>
    </row>
    <row r="112" spans="11:21" hidden="1" x14ac:dyDescent="0.25">
      <c r="K112" s="36">
        <f t="shared" ca="1" si="18"/>
        <v>49470</v>
      </c>
      <c r="L112" s="19">
        <v>107</v>
      </c>
      <c r="M112" s="19">
        <f t="shared" si="17"/>
        <v>804050.6705500012</v>
      </c>
      <c r="N112" s="37">
        <f t="shared" si="14"/>
        <v>1301770.5968386838</v>
      </c>
      <c r="O112" s="37">
        <f t="shared" si="12"/>
        <v>790741.32871329319</v>
      </c>
      <c r="P112" s="55" cm="1">
        <f t="array" aca="1" ref="P112" ca="1">IF((L112-$C$16)&gt;0, IF($P$1+$C$16&gt;=L112,INDIRECT("M"&amp;(L112-$C$16)+5),0),0)</f>
        <v>804050.6705500012</v>
      </c>
      <c r="Q112" s="56" cm="1">
        <f t="array" aca="1" ref="Q112" ca="1">IF(L112&lt;=$C$16,0,IF($W$2&gt;=L112,IF(L112&lt;=($P$1+$C$16),INDIRECT("N"&amp;(L112-$C$16)+5),FV(SRate,L112-$P$1-$C$16,0,-$W$1,1)),0))</f>
        <v>1301770.5968386838</v>
      </c>
      <c r="R112" s="56">
        <f t="shared" ca="1" si="13"/>
        <v>790741.32871329319</v>
      </c>
      <c r="S112" s="19">
        <f t="shared" si="15"/>
        <v>-10717.944050000006</v>
      </c>
      <c r="T112" s="36" cm="1">
        <f t="array" aca="1" ref="T112" ca="1">IF(L112&lt;=$P$1,K112,IF(L112&lt;=($P$1+1),INDIRECT("K"&amp;5+$W$2),""))</f>
        <v>49470</v>
      </c>
      <c r="U112" s="38">
        <f t="shared" si="16"/>
        <v>9</v>
      </c>
    </row>
    <row r="113" spans="11:21" hidden="1" x14ac:dyDescent="0.25">
      <c r="K113" s="36">
        <f t="shared" ca="1" si="18"/>
        <v>49500</v>
      </c>
      <c r="L113" s="19">
        <v>108</v>
      </c>
      <c r="M113" s="19">
        <f t="shared" si="17"/>
        <v>814768.61460000125</v>
      </c>
      <c r="N113" s="37">
        <f t="shared" si="14"/>
        <v>1324942.4728821896</v>
      </c>
      <c r="O113" s="37">
        <f t="shared" si="12"/>
        <v>801075.84729472781</v>
      </c>
      <c r="P113" s="55" cm="1">
        <f t="array" aca="1" ref="P113" ca="1">IF((L113-$C$16)&gt;0, IF($P$1+$C$16&gt;=L113,INDIRECT("M"&amp;(L113-$C$16)+5),0),0)</f>
        <v>814768.61460000125</v>
      </c>
      <c r="Q113" s="56" cm="1">
        <f t="array" aca="1" ref="Q113" ca="1">IF(L113&lt;=$C$16,0,IF($W$2&gt;=L113,IF(L113&lt;=($P$1+$C$16),INDIRECT("N"&amp;(L113-$C$16)+5),FV(SRate,L113-$P$1-$C$16,0,-$W$1,1)),0))</f>
        <v>1324942.4728821896</v>
      </c>
      <c r="R113" s="56">
        <f t="shared" ca="1" si="13"/>
        <v>801075.84729472781</v>
      </c>
      <c r="S113" s="19">
        <f t="shared" si="15"/>
        <v>-10717.944050000006</v>
      </c>
      <c r="T113" s="36" cm="1">
        <f t="array" aca="1" ref="T113" ca="1">IF(L113&lt;=$P$1,K113,IF(L113&lt;=($P$1+1),INDIRECT("K"&amp;5+$W$2),""))</f>
        <v>49500</v>
      </c>
      <c r="U113" s="38">
        <f t="shared" si="16"/>
        <v>9</v>
      </c>
    </row>
    <row r="114" spans="11:21" hidden="1" x14ac:dyDescent="0.25">
      <c r="K114" s="36">
        <f t="shared" ca="1" si="18"/>
        <v>49531</v>
      </c>
      <c r="L114" s="19">
        <v>109</v>
      </c>
      <c r="M114" s="19">
        <f t="shared" si="17"/>
        <v>826558.35305500124</v>
      </c>
      <c r="N114" s="37">
        <f t="shared" si="14"/>
        <v>1349416.1864995556</v>
      </c>
      <c r="O114" s="37">
        <f t="shared" si="12"/>
        <v>812080.6571380645</v>
      </c>
      <c r="P114" s="55" cm="1">
        <f t="array" aca="1" ref="P114" ca="1">IF((L114-$C$16)&gt;0, IF($P$1+$C$16&gt;=L114,INDIRECT("M"&amp;(L114-$C$16)+5),0),0)</f>
        <v>826558.35305500124</v>
      </c>
      <c r="Q114" s="56" cm="1">
        <f t="array" aca="1" ref="Q114" ca="1">IF(L114&lt;=$C$16,0,IF($W$2&gt;=L114,IF(L114&lt;=($P$1+$C$16),INDIRECT("N"&amp;(L114-$C$16)+5),FV(SRate,L114-$P$1-$C$16,0,-$W$1,1)),0))</f>
        <v>1349416.1864995556</v>
      </c>
      <c r="R114" s="56">
        <f t="shared" ca="1" si="13"/>
        <v>812080.6571380645</v>
      </c>
      <c r="S114" s="19">
        <f t="shared" si="15"/>
        <v>-11789.738455000008</v>
      </c>
      <c r="T114" s="36" cm="1">
        <f t="array" aca="1" ref="T114" ca="1">IF(L114&lt;=$P$1,K114,IF(L114&lt;=($P$1+1),INDIRECT("K"&amp;5+$W$2),""))</f>
        <v>49531</v>
      </c>
      <c r="U114" s="38">
        <f t="shared" si="16"/>
        <v>10</v>
      </c>
    </row>
    <row r="115" spans="11:21" hidden="1" x14ac:dyDescent="0.25">
      <c r="K115" s="36">
        <f t="shared" ca="1" si="18"/>
        <v>49562</v>
      </c>
      <c r="L115" s="19">
        <v>110</v>
      </c>
      <c r="M115" s="19">
        <f t="shared" si="17"/>
        <v>838348.09151000122</v>
      </c>
      <c r="N115" s="37">
        <f t="shared" si="14"/>
        <v>1374122.1261177768</v>
      </c>
      <c r="O115" s="37">
        <f t="shared" si="12"/>
        <v>823104.96033665794</v>
      </c>
      <c r="P115" s="55" cm="1">
        <f t="array" aca="1" ref="P115" ca="1">IF((L115-$C$16)&gt;0, IF($P$1+$C$16&gt;=L115,INDIRECT("M"&amp;(L115-$C$16)+5),0),0)</f>
        <v>838348.09151000122</v>
      </c>
      <c r="Q115" s="56" cm="1">
        <f t="array" aca="1" ref="Q115" ca="1">IF(L115&lt;=$C$16,0,IF($W$2&gt;=L115,IF(L115&lt;=($P$1+$C$16),INDIRECT("N"&amp;(L115-$C$16)+5),FV(SRate,L115-$P$1-$C$16,0,-$W$1,1)),0))</f>
        <v>1374122.1261177768</v>
      </c>
      <c r="R115" s="56">
        <f t="shared" ca="1" si="13"/>
        <v>823104.96033665794</v>
      </c>
      <c r="S115" s="19">
        <f t="shared" si="15"/>
        <v>-11789.738455000008</v>
      </c>
      <c r="T115" s="36" cm="1">
        <f t="array" aca="1" ref="T115" ca="1">IF(L115&lt;=$P$1,K115,IF(L115&lt;=($P$1+1),INDIRECT("K"&amp;5+$W$2),""))</f>
        <v>49562</v>
      </c>
      <c r="U115" s="38">
        <f t="shared" si="16"/>
        <v>10</v>
      </c>
    </row>
    <row r="116" spans="11:21" hidden="1" x14ac:dyDescent="0.25">
      <c r="K116" s="36">
        <f t="shared" ca="1" si="18"/>
        <v>49592</v>
      </c>
      <c r="L116" s="19">
        <v>111</v>
      </c>
      <c r="M116" s="19">
        <f t="shared" si="17"/>
        <v>850137.8299650012</v>
      </c>
      <c r="N116" s="37">
        <f t="shared" si="14"/>
        <v>1399062.49528129</v>
      </c>
      <c r="O116" s="37">
        <f t="shared" si="12"/>
        <v>834149.0051362454</v>
      </c>
      <c r="P116" s="55" cm="1">
        <f t="array" aca="1" ref="P116" ca="1">IF((L116-$C$16)&gt;0, IF($P$1+$C$16&gt;=L116,INDIRECT("M"&amp;(L116-$C$16)+5),0),0)</f>
        <v>850137.8299650012</v>
      </c>
      <c r="Q116" s="56" cm="1">
        <f t="array" aca="1" ref="Q116" ca="1">IF(L116&lt;=$C$16,0,IF($W$2&gt;=L116,IF(L116&lt;=($P$1+$C$16),INDIRECT("N"&amp;(L116-$C$16)+5),FV(SRate,L116-$P$1-$C$16,0,-$W$1,1)),0))</f>
        <v>1399062.49528129</v>
      </c>
      <c r="R116" s="56">
        <f t="shared" ca="1" si="13"/>
        <v>834149.0051362454</v>
      </c>
      <c r="S116" s="19">
        <f t="shared" si="15"/>
        <v>-11789.738455000008</v>
      </c>
      <c r="T116" s="36" cm="1">
        <f t="array" aca="1" ref="T116" ca="1">IF(L116&lt;=$P$1,K116,IF(L116&lt;=($P$1+1),INDIRECT("K"&amp;5+$W$2),""))</f>
        <v>49592</v>
      </c>
      <c r="U116" s="38">
        <f t="shared" si="16"/>
        <v>10</v>
      </c>
    </row>
    <row r="117" spans="11:21" hidden="1" x14ac:dyDescent="0.25">
      <c r="K117" s="36">
        <f t="shared" ca="1" si="18"/>
        <v>49623</v>
      </c>
      <c r="L117" s="19">
        <v>112</v>
      </c>
      <c r="M117" s="19">
        <f t="shared" si="17"/>
        <v>861927.56842000119</v>
      </c>
      <c r="N117" s="37">
        <f t="shared" si="14"/>
        <v>1424239.5184435078</v>
      </c>
      <c r="O117" s="37">
        <f t="shared" si="12"/>
        <v>845213.0402540128</v>
      </c>
      <c r="P117" s="55" cm="1">
        <f t="array" aca="1" ref="P117" ca="1">IF((L117-$C$16)&gt;0, IF($P$1+$C$16&gt;=L117,INDIRECT("M"&amp;(L117-$C$16)+5),0),0)</f>
        <v>861927.56842000119</v>
      </c>
      <c r="Q117" s="56" cm="1">
        <f t="array" aca="1" ref="Q117" ca="1">IF(L117&lt;=$C$16,0,IF($W$2&gt;=L117,IF(L117&lt;=($P$1+$C$16),INDIRECT("N"&amp;(L117-$C$16)+5),FV(SRate,L117-$P$1-$C$16,0,-$W$1,1)),0))</f>
        <v>1424239.5184435078</v>
      </c>
      <c r="R117" s="56">
        <f t="shared" ca="1" si="13"/>
        <v>845213.0402540128</v>
      </c>
      <c r="S117" s="19">
        <f t="shared" si="15"/>
        <v>-11789.738455000008</v>
      </c>
      <c r="T117" s="36" cm="1">
        <f t="array" aca="1" ref="T117" ca="1">IF(L117&lt;=$P$1,K117,IF(L117&lt;=($P$1+1),INDIRECT("K"&amp;5+$W$2),""))</f>
        <v>49623</v>
      </c>
      <c r="U117" s="38">
        <f t="shared" si="16"/>
        <v>10</v>
      </c>
    </row>
    <row r="118" spans="11:21" hidden="1" x14ac:dyDescent="0.25">
      <c r="K118" s="36">
        <f t="shared" ca="1" si="18"/>
        <v>49653</v>
      </c>
      <c r="L118" s="19">
        <v>113</v>
      </c>
      <c r="M118" s="19">
        <f t="shared" si="17"/>
        <v>873717.30687500117</v>
      </c>
      <c r="N118" s="37">
        <f t="shared" si="14"/>
        <v>1449655.4411652212</v>
      </c>
      <c r="O118" s="37">
        <f t="shared" si="12"/>
        <v>856297.31488420151</v>
      </c>
      <c r="P118" s="55" cm="1">
        <f t="array" aca="1" ref="P118" ca="1">IF((L118-$C$16)&gt;0, IF($P$1+$C$16&gt;=L118,INDIRECT("M"&amp;(L118-$C$16)+5),0),0)</f>
        <v>873717.30687500117</v>
      </c>
      <c r="Q118" s="56" cm="1">
        <f t="array" aca="1" ref="Q118" ca="1">IF(L118&lt;=$C$16,0,IF($W$2&gt;=L118,IF(L118&lt;=($P$1+$C$16),INDIRECT("N"&amp;(L118-$C$16)+5),FV(SRate,L118-$P$1-$C$16,0,-$W$1,1)),0))</f>
        <v>1449655.4411652212</v>
      </c>
      <c r="R118" s="56">
        <f t="shared" ca="1" si="13"/>
        <v>856297.31488420151</v>
      </c>
      <c r="S118" s="19">
        <f t="shared" si="15"/>
        <v>-11789.738455000008</v>
      </c>
      <c r="T118" s="36" cm="1">
        <f t="array" aca="1" ref="T118" ca="1">IF(L118&lt;=$P$1,K118,IF(L118&lt;=($P$1+1),INDIRECT("K"&amp;5+$W$2),""))</f>
        <v>49653</v>
      </c>
      <c r="U118" s="38">
        <f t="shared" si="16"/>
        <v>10</v>
      </c>
    </row>
    <row r="119" spans="11:21" hidden="1" x14ac:dyDescent="0.25">
      <c r="K119" s="36">
        <f t="shared" ca="1" si="18"/>
        <v>49684</v>
      </c>
      <c r="L119" s="19">
        <v>114</v>
      </c>
      <c r="M119" s="19">
        <f t="shared" si="17"/>
        <v>885507.04533000116</v>
      </c>
      <c r="N119" s="37">
        <f t="shared" si="14"/>
        <v>1475312.5303148821</v>
      </c>
      <c r="O119" s="37">
        <f t="shared" si="12"/>
        <v>867402.07870372268</v>
      </c>
      <c r="P119" s="55" cm="1">
        <f t="array" aca="1" ref="P119" ca="1">IF((L119-$C$16)&gt;0, IF($P$1+$C$16&gt;=L119,INDIRECT("M"&amp;(L119-$C$16)+5),0),0)</f>
        <v>885507.04533000116</v>
      </c>
      <c r="Q119" s="56" cm="1">
        <f t="array" aca="1" ref="Q119" ca="1">IF(L119&lt;=$C$16,0,IF($W$2&gt;=L119,IF(L119&lt;=($P$1+$C$16),INDIRECT("N"&amp;(L119-$C$16)+5),FV(SRate,L119-$P$1-$C$16,0,-$W$1,1)),0))</f>
        <v>1475312.5303148821</v>
      </c>
      <c r="R119" s="56">
        <f t="shared" ca="1" si="13"/>
        <v>867402.07870372268</v>
      </c>
      <c r="S119" s="19">
        <f t="shared" si="15"/>
        <v>-11789.738455000008</v>
      </c>
      <c r="T119" s="36" cm="1">
        <f t="array" aca="1" ref="T119" ca="1">IF(L119&lt;=$P$1,K119,IF(L119&lt;=($P$1+1),INDIRECT("K"&amp;5+$W$2),""))</f>
        <v>49684</v>
      </c>
      <c r="U119" s="38">
        <f t="shared" si="16"/>
        <v>10</v>
      </c>
    </row>
    <row r="120" spans="11:21" hidden="1" x14ac:dyDescent="0.25">
      <c r="K120" s="36">
        <f t="shared" ca="1" si="18"/>
        <v>49715</v>
      </c>
      <c r="L120" s="19">
        <v>115</v>
      </c>
      <c r="M120" s="19">
        <f t="shared" si="17"/>
        <v>897296.78378500114</v>
      </c>
      <c r="N120" s="37">
        <f t="shared" si="14"/>
        <v>1501213.0742707881</v>
      </c>
      <c r="O120" s="37">
        <f t="shared" si="12"/>
        <v>878527.58187778539</v>
      </c>
      <c r="P120" s="55" cm="1">
        <f t="array" aca="1" ref="P120" ca="1">IF((L120-$C$16)&gt;0, IF($P$1+$C$16&gt;=L120,INDIRECT("M"&amp;(L120-$C$16)+5),0),0)</f>
        <v>897296.78378500114</v>
      </c>
      <c r="Q120" s="56" cm="1">
        <f t="array" aca="1" ref="Q120" ca="1">IF(L120&lt;=$C$16,0,IF($W$2&gt;=L120,IF(L120&lt;=($P$1+$C$16),INDIRECT("N"&amp;(L120-$C$16)+5),FV(SRate,L120-$P$1-$C$16,0,-$W$1,1)),0))</f>
        <v>1501213.0742707881</v>
      </c>
      <c r="R120" s="56">
        <f t="shared" ca="1" si="13"/>
        <v>878527.58187778539</v>
      </c>
      <c r="S120" s="19">
        <f t="shared" si="15"/>
        <v>-11789.738455000008</v>
      </c>
      <c r="T120" s="36" cm="1">
        <f t="array" aca="1" ref="T120" ca="1">IF(L120&lt;=$P$1,K120,IF(L120&lt;=($P$1+1),INDIRECT("K"&amp;5+$W$2),""))</f>
        <v>49715</v>
      </c>
      <c r="U120" s="38">
        <f t="shared" si="16"/>
        <v>10</v>
      </c>
    </row>
    <row r="121" spans="11:21" hidden="1" x14ac:dyDescent="0.25">
      <c r="K121" s="36">
        <f t="shared" ca="1" si="18"/>
        <v>49744</v>
      </c>
      <c r="L121" s="19">
        <v>116</v>
      </c>
      <c r="M121" s="19">
        <f t="shared" si="17"/>
        <v>909086.52224000113</v>
      </c>
      <c r="N121" s="37">
        <f t="shared" si="14"/>
        <v>1527359.3831251848</v>
      </c>
      <c r="O121" s="37">
        <f t="shared" si="12"/>
        <v>889674.07506553608</v>
      </c>
      <c r="P121" s="55" cm="1">
        <f t="array" aca="1" ref="P121" ca="1">IF((L121-$C$16)&gt;0, IF($P$1+$C$16&gt;=L121,INDIRECT("M"&amp;(L121-$C$16)+5),0),0)</f>
        <v>909086.52224000113</v>
      </c>
      <c r="Q121" s="56" cm="1">
        <f t="array" aca="1" ref="Q121" ca="1">IF(L121&lt;=$C$16,0,IF($W$2&gt;=L121,IF(L121&lt;=($P$1+$C$16),INDIRECT("N"&amp;(L121-$C$16)+5),FV(SRate,L121-$P$1-$C$16,0,-$W$1,1)),0))</f>
        <v>1527359.3831251848</v>
      </c>
      <c r="R121" s="56">
        <f t="shared" ca="1" si="13"/>
        <v>889674.07506553608</v>
      </c>
      <c r="S121" s="19">
        <f t="shared" si="15"/>
        <v>-11789.738455000008</v>
      </c>
      <c r="T121" s="36" cm="1">
        <f t="array" aca="1" ref="T121" ca="1">IF(L121&lt;=$P$1,K121,IF(L121&lt;=($P$1+1),INDIRECT("K"&amp;5+$W$2),""))</f>
        <v>49744</v>
      </c>
      <c r="U121" s="38">
        <f t="shared" si="16"/>
        <v>10</v>
      </c>
    </row>
    <row r="122" spans="11:21" hidden="1" x14ac:dyDescent="0.25">
      <c r="K122" s="36">
        <f t="shared" ca="1" si="18"/>
        <v>49775</v>
      </c>
      <c r="L122" s="19">
        <v>117</v>
      </c>
      <c r="M122" s="19">
        <f t="shared" si="17"/>
        <v>920876.26069500111</v>
      </c>
      <c r="N122" s="37">
        <f t="shared" si="14"/>
        <v>1553753.7888903047</v>
      </c>
      <c r="O122" s="37">
        <f t="shared" si="12"/>
        <v>900841.80942570837</v>
      </c>
      <c r="P122" s="55" cm="1">
        <f t="array" aca="1" ref="P122" ca="1">IF((L122-$C$16)&gt;0, IF($P$1+$C$16&gt;=L122,INDIRECT("M"&amp;(L122-$C$16)+5),0),0)</f>
        <v>920876.26069500111</v>
      </c>
      <c r="Q122" s="56" cm="1">
        <f t="array" aca="1" ref="Q122" ca="1">IF(L122&lt;=$C$16,0,IF($W$2&gt;=L122,IF(L122&lt;=($P$1+$C$16),INDIRECT("N"&amp;(L122-$C$16)+5),FV(SRate,L122-$P$1-$C$16,0,-$W$1,1)),0))</f>
        <v>1553753.7888903047</v>
      </c>
      <c r="R122" s="56">
        <f t="shared" ca="1" si="13"/>
        <v>900841.80942570837</v>
      </c>
      <c r="S122" s="19">
        <f t="shared" si="15"/>
        <v>-11789.738455000008</v>
      </c>
      <c r="T122" s="36" cm="1">
        <f t="array" aca="1" ref="T122" ca="1">IF(L122&lt;=$P$1,K122,IF(L122&lt;=($P$1+1),INDIRECT("K"&amp;5+$W$2),""))</f>
        <v>49775</v>
      </c>
      <c r="U122" s="38">
        <f t="shared" si="16"/>
        <v>10</v>
      </c>
    </row>
    <row r="123" spans="11:21" hidden="1" x14ac:dyDescent="0.25">
      <c r="K123" s="36">
        <f t="shared" ca="1" si="18"/>
        <v>49805</v>
      </c>
      <c r="L123" s="19">
        <v>118</v>
      </c>
      <c r="M123" s="19">
        <f t="shared" si="17"/>
        <v>932665.99915000109</v>
      </c>
      <c r="N123" s="37">
        <f t="shared" si="14"/>
        <v>1580398.6457063612</v>
      </c>
      <c r="O123" s="37">
        <f t="shared" si="12"/>
        <v>912031.03662228573</v>
      </c>
      <c r="P123" s="55" cm="1">
        <f t="array" aca="1" ref="P123" ca="1">IF((L123-$C$16)&gt;0, IF($P$1+$C$16&gt;=L123,INDIRECT("M"&amp;(L123-$C$16)+5),0),0)</f>
        <v>932665.99915000109</v>
      </c>
      <c r="Q123" s="56" cm="1">
        <f t="array" aca="1" ref="Q123" ca="1">IF(L123&lt;=$C$16,0,IF($W$2&gt;=L123,IF(L123&lt;=($P$1+$C$16),INDIRECT("N"&amp;(L123-$C$16)+5),FV(SRate,L123-$P$1-$C$16,0,-$W$1,1)),0))</f>
        <v>1580398.6457063612</v>
      </c>
      <c r="R123" s="56">
        <f t="shared" ca="1" si="13"/>
        <v>912031.03662228573</v>
      </c>
      <c r="S123" s="19">
        <f t="shared" si="15"/>
        <v>-11789.738455000008</v>
      </c>
      <c r="T123" s="36" cm="1">
        <f t="array" aca="1" ref="T123" ca="1">IF(L123&lt;=$P$1,K123,IF(L123&lt;=($P$1+1),INDIRECT("K"&amp;5+$W$2),""))</f>
        <v>49805</v>
      </c>
      <c r="U123" s="38">
        <f t="shared" si="16"/>
        <v>10</v>
      </c>
    </row>
    <row r="124" spans="11:21" hidden="1" x14ac:dyDescent="0.25">
      <c r="K124" s="36">
        <f t="shared" ca="1" si="18"/>
        <v>49836</v>
      </c>
      <c r="L124" s="19">
        <v>119</v>
      </c>
      <c r="M124" s="19">
        <f t="shared" si="17"/>
        <v>944455.73760500108</v>
      </c>
      <c r="N124" s="37">
        <f t="shared" si="14"/>
        <v>1607296.3300515166</v>
      </c>
      <c r="O124" s="37">
        <f t="shared" si="12"/>
        <v>923242.00883017713</v>
      </c>
      <c r="P124" s="55" cm="1">
        <f t="array" aca="1" ref="P124" ca="1">IF((L124-$C$16)&gt;0, IF($P$1+$C$16&gt;=L124,INDIRECT("M"&amp;(L124-$C$16)+5),0),0)</f>
        <v>944455.73760500108</v>
      </c>
      <c r="Q124" s="56" cm="1">
        <f t="array" aca="1" ref="Q124" ca="1">IF(L124&lt;=$C$16,0,IF($W$2&gt;=L124,IF(L124&lt;=($P$1+$C$16),INDIRECT("N"&amp;(L124-$C$16)+5),FV(SRate,L124-$P$1-$C$16,0,-$W$1,1)),0))</f>
        <v>1607296.3300515166</v>
      </c>
      <c r="R124" s="56">
        <f t="shared" ca="1" si="13"/>
        <v>923242.00883017713</v>
      </c>
      <c r="S124" s="19">
        <f t="shared" si="15"/>
        <v>-11789.738455000008</v>
      </c>
      <c r="T124" s="36" cm="1">
        <f t="array" aca="1" ref="T124" ca="1">IF(L124&lt;=$P$1,K124,IF(L124&lt;=($P$1+1),INDIRECT("K"&amp;5+$W$2),""))</f>
        <v>49836</v>
      </c>
      <c r="U124" s="38">
        <f t="shared" si="16"/>
        <v>10</v>
      </c>
    </row>
    <row r="125" spans="11:21" hidden="1" x14ac:dyDescent="0.25">
      <c r="K125" s="36">
        <f t="shared" ca="1" si="18"/>
        <v>49866</v>
      </c>
      <c r="L125" s="19">
        <v>120</v>
      </c>
      <c r="M125" s="19">
        <f t="shared" si="17"/>
        <v>956245.47606000106</v>
      </c>
      <c r="N125" s="37">
        <f t="shared" si="14"/>
        <v>1634449.2409538429</v>
      </c>
      <c r="O125" s="37">
        <f t="shared" si="12"/>
        <v>934474.97874090238</v>
      </c>
      <c r="P125" s="55" cm="1">
        <f t="array" aca="1" ref="P125" ca="1">IF((L125-$C$16)&gt;0, IF($P$1+$C$16&gt;=L125,INDIRECT("M"&amp;(L125-$C$16)+5),0),0)</f>
        <v>956245.47606000106</v>
      </c>
      <c r="Q125" s="56" cm="1">
        <f t="array" aca="1" ref="Q125" ca="1">IF(L125&lt;=$C$16,0,IF($W$2&gt;=L125,IF(L125&lt;=($P$1+$C$16),INDIRECT("N"&amp;(L125-$C$16)+5),FV(SRate,L125-$P$1-$C$16,0,-$W$1,1)),0))</f>
        <v>1634449.2409538429</v>
      </c>
      <c r="R125" s="56">
        <f t="shared" ca="1" si="13"/>
        <v>934474.97874090238</v>
      </c>
      <c r="S125" s="19">
        <f t="shared" si="15"/>
        <v>-11789.738455000008</v>
      </c>
      <c r="T125" s="36" cm="1">
        <f t="array" aca="1" ref="T125" ca="1">IF(L125&lt;=$P$1,K125,IF(L125&lt;=($P$1+1),INDIRECT("K"&amp;5+$W$2),""))</f>
        <v>49866</v>
      </c>
      <c r="U125" s="38">
        <f t="shared" si="16"/>
        <v>10</v>
      </c>
    </row>
    <row r="126" spans="11:21" hidden="1" x14ac:dyDescent="0.25">
      <c r="K126" s="36">
        <f t="shared" ca="1" si="18"/>
        <v>49897</v>
      </c>
      <c r="L126" s="19">
        <v>121</v>
      </c>
      <c r="M126" s="19">
        <f t="shared" si="17"/>
        <v>0</v>
      </c>
      <c r="N126" s="37">
        <f t="shared" ca="1" si="14"/>
        <v>1649958.1913633402</v>
      </c>
      <c r="O126" s="37">
        <f t="shared" ca="1" si="12"/>
        <v>938957.23899490817</v>
      </c>
      <c r="P126" s="55" cm="1">
        <f t="array" aca="1" ref="P126" ca="1">IF((L126-$C$16)&gt;0, IF($P$1+$C$16&gt;=L126,INDIRECT("M"&amp;(L126-$C$16)+5),0),0)</f>
        <v>0</v>
      </c>
      <c r="Q126" s="56" cm="1">
        <f t="array" aca="1" ref="Q126" ca="1">IF(L126&lt;=$C$16,0,IF($W$2&gt;=L126,IF(L126&lt;=($P$1+$C$16),INDIRECT("N"&amp;(L126-$C$16)+5),FV(SRate,L126-$P$1-$C$16,0,-$W$1,1)),0))</f>
        <v>1649958.1913633402</v>
      </c>
      <c r="R126" s="56">
        <f t="shared" ca="1" si="13"/>
        <v>938957.23899490817</v>
      </c>
      <c r="S126" s="19">
        <f t="shared" ca="1" si="15"/>
        <v>2880458.0264075585</v>
      </c>
      <c r="T126" s="36" cm="1">
        <f t="array" aca="1" ref="T126" ca="1">IF(L126&lt;=$P$1,K126,IF(L126&lt;=($P$1+1),INDIRECT("K"&amp;5+$W$2),""))</f>
        <v>51692</v>
      </c>
      <c r="U126" s="38">
        <f t="shared" si="16"/>
        <v>11</v>
      </c>
    </row>
    <row r="127" spans="11:21" hidden="1" x14ac:dyDescent="0.25">
      <c r="K127" s="36">
        <f t="shared" ca="1" si="18"/>
        <v>49928</v>
      </c>
      <c r="L127" s="19">
        <v>122</v>
      </c>
      <c r="M127" s="19">
        <f t="shared" si="17"/>
        <v>0</v>
      </c>
      <c r="N127" s="37">
        <f t="shared" ca="1" si="14"/>
        <v>1665614.3029919064</v>
      </c>
      <c r="O127" s="37">
        <f t="shared" ca="1" si="12"/>
        <v>943460.99865493504</v>
      </c>
      <c r="P127" s="55" cm="1">
        <f t="array" aca="1" ref="P127" ca="1">IF((L127-$C$16)&gt;0, IF($P$1+$C$16&gt;=L127,INDIRECT("M"&amp;(L127-$C$16)+5),0),0)</f>
        <v>0</v>
      </c>
      <c r="Q127" s="56" cm="1">
        <f t="array" aca="1" ref="Q127" ca="1">IF(L127&lt;=$C$16,0,IF($W$2&gt;=L127,IF(L127&lt;=($P$1+$C$16),INDIRECT("N"&amp;(L127-$C$16)+5),FV(SRate,L127-$P$1-$C$16,0,-$W$1,1)),0))</f>
        <v>1665614.3029919064</v>
      </c>
      <c r="R127" s="56">
        <f t="shared" ca="1" si="13"/>
        <v>943460.99865493504</v>
      </c>
      <c r="S127" s="19">
        <f t="shared" si="15"/>
        <v>0</v>
      </c>
      <c r="T127" s="36" t="str" cm="1">
        <f t="array" aca="1" ref="T127" ca="1">IF(L127&lt;=$P$1,K127,IF(L127&lt;=($P$1+1),INDIRECT("K"&amp;5+$W$2),""))</f>
        <v/>
      </c>
      <c r="U127" s="38">
        <f t="shared" si="16"/>
        <v>11</v>
      </c>
    </row>
    <row r="128" spans="11:21" hidden="1" x14ac:dyDescent="0.25">
      <c r="K128" s="36">
        <f t="shared" ca="1" si="18"/>
        <v>49958</v>
      </c>
      <c r="L128" s="19">
        <v>123</v>
      </c>
      <c r="M128" s="19">
        <f t="shared" si="17"/>
        <v>0</v>
      </c>
      <c r="N128" s="37">
        <f t="shared" ca="1" si="14"/>
        <v>1681418.9722218765</v>
      </c>
      <c r="O128" s="37">
        <f t="shared" ca="1" si="12"/>
        <v>947986.36084405787</v>
      </c>
      <c r="P128" s="55" cm="1">
        <f t="array" aca="1" ref="P128" ca="1">IF((L128-$C$16)&gt;0, IF($P$1+$C$16&gt;=L128,INDIRECT("M"&amp;(L128-$C$16)+5),0),0)</f>
        <v>0</v>
      </c>
      <c r="Q128" s="56" cm="1">
        <f t="array" aca="1" ref="Q128" ca="1">IF(L128&lt;=$C$16,0,IF($W$2&gt;=L128,IF(L128&lt;=($P$1+$C$16),INDIRECT("N"&amp;(L128-$C$16)+5),FV(SRate,L128-$P$1-$C$16,0,-$W$1,1)),0))</f>
        <v>1681418.9722218765</v>
      </c>
      <c r="R128" s="56">
        <f t="shared" ca="1" si="13"/>
        <v>947986.36084405787</v>
      </c>
      <c r="S128" s="19">
        <f t="shared" si="15"/>
        <v>0</v>
      </c>
      <c r="T128" s="36" t="str" cm="1">
        <f t="array" aca="1" ref="T128" ca="1">IF(L128&lt;=$P$1,K128,IF(L128&lt;=($P$1+1),INDIRECT("K"&amp;5+$W$2),""))</f>
        <v/>
      </c>
      <c r="U128" s="38">
        <f t="shared" si="16"/>
        <v>11</v>
      </c>
    </row>
    <row r="129" spans="11:21" hidden="1" x14ac:dyDescent="0.25">
      <c r="K129" s="36">
        <f t="shared" ca="1" si="18"/>
        <v>49989</v>
      </c>
      <c r="L129" s="19">
        <v>124</v>
      </c>
      <c r="M129" s="19">
        <f t="shared" si="17"/>
        <v>0</v>
      </c>
      <c r="N129" s="37">
        <f t="shared" ca="1" si="14"/>
        <v>1697373.6086855694</v>
      </c>
      <c r="O129" s="37">
        <f t="shared" ca="1" si="12"/>
        <v>952533.42917998694</v>
      </c>
      <c r="P129" s="55" cm="1">
        <f t="array" aca="1" ref="P129" ca="1">IF((L129-$C$16)&gt;0, IF($P$1+$C$16&gt;=L129,INDIRECT("M"&amp;(L129-$C$16)+5),0),0)</f>
        <v>0</v>
      </c>
      <c r="Q129" s="56" cm="1">
        <f t="array" aca="1" ref="Q129" ca="1">IF(L129&lt;=$C$16,0,IF($W$2&gt;=L129,IF(L129&lt;=($P$1+$C$16),INDIRECT("N"&amp;(L129-$C$16)+5),FV(SRate,L129-$P$1-$C$16,0,-$W$1,1)),0))</f>
        <v>1697373.6086855694</v>
      </c>
      <c r="R129" s="56">
        <f t="shared" ca="1" si="13"/>
        <v>952533.42917998694</v>
      </c>
      <c r="S129" s="19">
        <f t="shared" si="15"/>
        <v>0</v>
      </c>
      <c r="T129" s="36" t="str" cm="1">
        <f t="array" aca="1" ref="T129" ca="1">IF(L129&lt;=$P$1,K129,IF(L129&lt;=($P$1+1),INDIRECT("K"&amp;5+$W$2),""))</f>
        <v/>
      </c>
      <c r="U129" s="38">
        <f t="shared" si="16"/>
        <v>11</v>
      </c>
    </row>
    <row r="130" spans="11:21" hidden="1" x14ac:dyDescent="0.25">
      <c r="K130" s="36">
        <f t="shared" ca="1" si="18"/>
        <v>50019</v>
      </c>
      <c r="L130" s="19">
        <v>125</v>
      </c>
      <c r="M130" s="19">
        <f t="shared" si="17"/>
        <v>0</v>
      </c>
      <c r="N130" s="37">
        <f t="shared" ca="1" si="14"/>
        <v>1713479.6353910128</v>
      </c>
      <c r="O130" s="37">
        <f t="shared" ca="1" si="12"/>
        <v>957102.30777744052</v>
      </c>
      <c r="P130" s="55" cm="1">
        <f t="array" aca="1" ref="P130" ca="1">IF((L130-$C$16)&gt;0, IF($P$1+$C$16&gt;=L130,INDIRECT("M"&amp;(L130-$C$16)+5),0),0)</f>
        <v>0</v>
      </c>
      <c r="Q130" s="56" cm="1">
        <f t="array" aca="1" ref="Q130" ca="1">IF(L130&lt;=$C$16,0,IF($W$2&gt;=L130,IF(L130&lt;=($P$1+$C$16),INDIRECT("N"&amp;(L130-$C$16)+5),FV(SRate,L130-$P$1-$C$16,0,-$W$1,1)),0))</f>
        <v>1713479.6353910128</v>
      </c>
      <c r="R130" s="56">
        <f t="shared" ca="1" si="13"/>
        <v>957102.30777744052</v>
      </c>
      <c r="S130" s="19">
        <f t="shared" si="15"/>
        <v>0</v>
      </c>
      <c r="T130" s="36" t="str" cm="1">
        <f t="array" aca="1" ref="T130" ca="1">IF(L130&lt;=$P$1,K130,IF(L130&lt;=($P$1+1),INDIRECT("K"&amp;5+$W$2),""))</f>
        <v/>
      </c>
      <c r="U130" s="38">
        <f t="shared" si="16"/>
        <v>11</v>
      </c>
    </row>
    <row r="131" spans="11:21" hidden="1" x14ac:dyDescent="0.25">
      <c r="K131" s="36">
        <f t="shared" ca="1" si="18"/>
        <v>50050</v>
      </c>
      <c r="L131" s="19">
        <v>126</v>
      </c>
      <c r="M131" s="19">
        <f t="shared" si="17"/>
        <v>0</v>
      </c>
      <c r="N131" s="37">
        <f t="shared" ca="1" si="14"/>
        <v>1729738.4888488632</v>
      </c>
      <c r="O131" s="37">
        <f t="shared" ca="1" si="12"/>
        <v>961693.10125052859</v>
      </c>
      <c r="P131" s="55" cm="1">
        <f t="array" aca="1" ref="P131" ca="1">IF((L131-$C$16)&gt;0, IF($P$1+$C$16&gt;=L131,INDIRECT("M"&amp;(L131-$C$16)+5),0),0)</f>
        <v>0</v>
      </c>
      <c r="Q131" s="56" cm="1">
        <f t="array" aca="1" ref="Q131" ca="1">IF(L131&lt;=$C$16,0,IF($W$2&gt;=L131,IF(L131&lt;=($P$1+$C$16),INDIRECT("N"&amp;(L131-$C$16)+5),FV(SRate,L131-$P$1-$C$16,0,-$W$1,1)),0))</f>
        <v>1729738.4888488632</v>
      </c>
      <c r="R131" s="56">
        <f t="shared" ca="1" si="13"/>
        <v>961693.10125052859</v>
      </c>
      <c r="S131" s="19">
        <f t="shared" si="15"/>
        <v>0</v>
      </c>
      <c r="T131" s="36" t="str" cm="1">
        <f t="array" aca="1" ref="T131" ca="1">IF(L131&lt;=$P$1,K131,IF(L131&lt;=($P$1+1),INDIRECT("K"&amp;5+$W$2),""))</f>
        <v/>
      </c>
      <c r="U131" s="38">
        <f t="shared" si="16"/>
        <v>11</v>
      </c>
    </row>
    <row r="132" spans="11:21" hidden="1" x14ac:dyDescent="0.25">
      <c r="K132" s="36">
        <f t="shared" ca="1" si="18"/>
        <v>50081</v>
      </c>
      <c r="L132" s="19">
        <v>127</v>
      </c>
      <c r="M132" s="19">
        <f t="shared" si="17"/>
        <v>0</v>
      </c>
      <c r="N132" s="37">
        <f t="shared" ca="1" si="14"/>
        <v>1746151.6192005286</v>
      </c>
      <c r="O132" s="37">
        <f t="shared" ca="1" si="12"/>
        <v>966305.91471514874</v>
      </c>
      <c r="P132" s="55" cm="1">
        <f t="array" aca="1" ref="P132" ca="1">IF((L132-$C$16)&gt;0, IF($P$1+$C$16&gt;=L132,INDIRECT("M"&amp;(L132-$C$16)+5),0),0)</f>
        <v>0</v>
      </c>
      <c r="Q132" s="56" cm="1">
        <f t="array" aca="1" ref="Q132" ca="1">IF(L132&lt;=$C$16,0,IF($W$2&gt;=L132,IF(L132&lt;=($P$1+$C$16),INDIRECT("N"&amp;(L132-$C$16)+5),FV(SRate,L132-$P$1-$C$16,0,-$W$1,1)),0))</f>
        <v>1746151.6192005286</v>
      </c>
      <c r="R132" s="56">
        <f t="shared" ca="1" si="13"/>
        <v>966305.91471514874</v>
      </c>
      <c r="S132" s="19">
        <f t="shared" si="15"/>
        <v>0</v>
      </c>
      <c r="T132" s="36" t="str" cm="1">
        <f t="array" aca="1" ref="T132" ca="1">IF(L132&lt;=$P$1,K132,IF(L132&lt;=($P$1+1),INDIRECT("K"&amp;5+$W$2),""))</f>
        <v/>
      </c>
      <c r="U132" s="38">
        <f t="shared" si="16"/>
        <v>11</v>
      </c>
    </row>
    <row r="133" spans="11:21" hidden="1" x14ac:dyDescent="0.25">
      <c r="K133" s="36">
        <f t="shared" ca="1" si="18"/>
        <v>50109</v>
      </c>
      <c r="L133" s="19">
        <v>128</v>
      </c>
      <c r="M133" s="19">
        <f t="shared" si="17"/>
        <v>0</v>
      </c>
      <c r="N133" s="37">
        <f t="shared" ca="1" si="14"/>
        <v>1762720.4903475093</v>
      </c>
      <c r="O133" s="37">
        <f t="shared" ca="1" si="12"/>
        <v>970940.85379139241</v>
      </c>
      <c r="P133" s="55" cm="1">
        <f t="array" aca="1" ref="P133" ca="1">IF((L133-$C$16)&gt;0, IF($P$1+$C$16&gt;=L133,INDIRECT("M"&amp;(L133-$C$16)+5),0),0)</f>
        <v>0</v>
      </c>
      <c r="Q133" s="56" cm="1">
        <f t="array" aca="1" ref="Q133" ca="1">IF(L133&lt;=$C$16,0,IF($W$2&gt;=L133,IF(L133&lt;=($P$1+$C$16),INDIRECT("N"&amp;(L133-$C$16)+5),FV(SRate,L133-$P$1-$C$16,0,-$W$1,1)),0))</f>
        <v>1762720.4903475093</v>
      </c>
      <c r="R133" s="56">
        <f t="shared" ca="1" si="13"/>
        <v>970940.85379139241</v>
      </c>
      <c r="S133" s="19">
        <f t="shared" si="15"/>
        <v>0</v>
      </c>
      <c r="T133" s="36" t="str" cm="1">
        <f t="array" aca="1" ref="T133" ca="1">IF(L133&lt;=$P$1,K133,IF(L133&lt;=($P$1+1),INDIRECT("K"&amp;5+$W$2),""))</f>
        <v/>
      </c>
      <c r="U133" s="38">
        <f t="shared" si="16"/>
        <v>11</v>
      </c>
    </row>
    <row r="134" spans="11:21" hidden="1" x14ac:dyDescent="0.25">
      <c r="K134" s="36">
        <f t="shared" ca="1" si="18"/>
        <v>50140</v>
      </c>
      <c r="L134" s="19">
        <v>129</v>
      </c>
      <c r="M134" s="19">
        <f t="shared" si="17"/>
        <v>0</v>
      </c>
      <c r="N134" s="37">
        <f t="shared" ca="1" si="14"/>
        <v>1779446.5800819634</v>
      </c>
      <c r="O134" s="37">
        <f t="shared" ref="O134:O197" ca="1" si="19">N134/((1+SIPInflationRate)^(L134/12))</f>
        <v>975598.02460596373</v>
      </c>
      <c r="P134" s="55" cm="1">
        <f t="array" aca="1" ref="P134" ca="1">IF((L134-$C$16)&gt;0, IF($P$1+$C$16&gt;=L134,INDIRECT("M"&amp;(L134-$C$16)+5),0),0)</f>
        <v>0</v>
      </c>
      <c r="Q134" s="56" cm="1">
        <f t="array" aca="1" ref="Q134" ca="1">IF(L134&lt;=$C$16,0,IF($W$2&gt;=L134,IF(L134&lt;=($P$1+$C$16),INDIRECT("N"&amp;(L134-$C$16)+5),FV(SRate,L134-$P$1-$C$16,0,-$W$1,1)),0))</f>
        <v>1779446.5800819634</v>
      </c>
      <c r="R134" s="56">
        <f t="shared" ref="R134:R197" ca="1" si="20">Q134/((1+SIPInflationRate)^((L134-$C$16)/12))</f>
        <v>975598.02460596373</v>
      </c>
      <c r="S134" s="19">
        <f t="shared" si="15"/>
        <v>0</v>
      </c>
      <c r="T134" s="36" t="str" cm="1">
        <f t="array" aca="1" ref="T134" ca="1">IF(L134&lt;=$P$1,K134,IF(L134&lt;=($P$1+1),INDIRECT("K"&amp;5+$W$2),""))</f>
        <v/>
      </c>
      <c r="U134" s="38">
        <f t="shared" si="16"/>
        <v>11</v>
      </c>
    </row>
    <row r="135" spans="11:21" hidden="1" x14ac:dyDescent="0.25">
      <c r="K135" s="36">
        <f t="shared" ca="1" si="18"/>
        <v>50170</v>
      </c>
      <c r="L135" s="19">
        <v>130</v>
      </c>
      <c r="M135" s="19">
        <f t="shared" si="17"/>
        <v>0</v>
      </c>
      <c r="N135" s="37">
        <f t="shared" ref="N135:N198" ca="1" si="21">IF($W$2&gt;=L135,IF(L135&lt;=$P$1,(M135-M134+N134)*(1+SRate),FV(SRate,L135-$P$1,0,-$W$1,1)),0)</f>
        <v>1796331.3802185135</v>
      </c>
      <c r="O135" s="37">
        <f t="shared" ca="1" si="19"/>
        <v>980277.53379460971</v>
      </c>
      <c r="P135" s="55" cm="1">
        <f t="array" aca="1" ref="P135" ca="1">IF((L135-$C$16)&gt;0, IF($P$1+$C$16&gt;=L135,INDIRECT("M"&amp;(L135-$C$16)+5),0),0)</f>
        <v>0</v>
      </c>
      <c r="Q135" s="56" cm="1">
        <f t="array" aca="1" ref="Q135" ca="1">IF(L135&lt;=$C$16,0,IF($W$2&gt;=L135,IF(L135&lt;=($P$1+$C$16),INDIRECT("N"&amp;(L135-$C$16)+5),FV(SRate,L135-$P$1-$C$16,0,-$W$1,1)),0))</f>
        <v>1796331.3802185135</v>
      </c>
      <c r="R135" s="56">
        <f t="shared" ca="1" si="20"/>
        <v>980277.53379460971</v>
      </c>
      <c r="S135" s="19">
        <f t="shared" ref="S135:S198" si="22">IF(L135&lt;=$P$1,-(_xlfn.XLOOKUP(U135,$Z$3:$Z$72,$AB$3:$AB$72,0)),IF(L135&lt;=($P$1+1),$W$4,0))</f>
        <v>0</v>
      </c>
      <c r="T135" s="36" t="str" cm="1">
        <f t="array" aca="1" ref="T135" ca="1">IF(L135&lt;=$P$1,K135,IF(L135&lt;=($P$1+1),INDIRECT("K"&amp;5+$W$2),""))</f>
        <v/>
      </c>
      <c r="U135" s="38">
        <f t="shared" ref="U135:U198" si="23">QUOTIENT(L135,12)+IF(MOD(L135,12)=0,-1,0)+1</f>
        <v>11</v>
      </c>
    </row>
    <row r="136" spans="11:21" hidden="1" x14ac:dyDescent="0.25">
      <c r="K136" s="36">
        <f t="shared" ca="1" si="18"/>
        <v>50201</v>
      </c>
      <c r="L136" s="19">
        <v>131</v>
      </c>
      <c r="M136" s="19">
        <f t="shared" ref="M136:M199" si="24">IF($P$1&gt;=L136,_xlfn.XLOOKUP(U136,$Z$3:$Z$72,$AB$3:$AB$72,0)+M135,0)</f>
        <v>0</v>
      </c>
      <c r="N136" s="37">
        <f t="shared" ca="1" si="21"/>
        <v>1813376.3967273007</v>
      </c>
      <c r="O136" s="37">
        <f t="shared" ca="1" si="19"/>
        <v>984979.48850456078</v>
      </c>
      <c r="P136" s="55" cm="1">
        <f t="array" aca="1" ref="P136" ca="1">IF((L136-$C$16)&gt;0, IF($P$1+$C$16&gt;=L136,INDIRECT("M"&amp;(L136-$C$16)+5),0),0)</f>
        <v>0</v>
      </c>
      <c r="Q136" s="56" cm="1">
        <f t="array" aca="1" ref="Q136" ca="1">IF(L136&lt;=$C$16,0,IF($W$2&gt;=L136,IF(L136&lt;=($P$1+$C$16),INDIRECT("N"&amp;(L136-$C$16)+5),FV(SRate,L136-$P$1-$C$16,0,-$W$1,1)),0))</f>
        <v>1813376.3967273007</v>
      </c>
      <c r="R136" s="56">
        <f t="shared" ca="1" si="20"/>
        <v>984979.48850456078</v>
      </c>
      <c r="S136" s="19">
        <f t="shared" si="22"/>
        <v>0</v>
      </c>
      <c r="T136" s="36" t="str" cm="1">
        <f t="array" aca="1" ref="T136" ca="1">IF(L136&lt;=$P$1,K136,IF(L136&lt;=($P$1+1),INDIRECT("K"&amp;5+$W$2),""))</f>
        <v/>
      </c>
      <c r="U136" s="38">
        <f t="shared" si="23"/>
        <v>11</v>
      </c>
    </row>
    <row r="137" spans="11:21" hidden="1" x14ac:dyDescent="0.25">
      <c r="K137" s="36">
        <f t="shared" ref="K137:K200" ca="1" si="25">EDATE(K136,1)</f>
        <v>50231</v>
      </c>
      <c r="L137" s="19">
        <v>132</v>
      </c>
      <c r="M137" s="19">
        <f t="shared" si="24"/>
        <v>0</v>
      </c>
      <c r="N137" s="37">
        <f t="shared" ca="1" si="21"/>
        <v>1830583.1498683065</v>
      </c>
      <c r="O137" s="37">
        <f t="shared" ca="1" si="19"/>
        <v>989703.99639698525</v>
      </c>
      <c r="P137" s="55" cm="1">
        <f t="array" aca="1" ref="P137" ca="1">IF((L137-$C$16)&gt;0, IF($P$1+$C$16&gt;=L137,INDIRECT("M"&amp;(L137-$C$16)+5),0),0)</f>
        <v>0</v>
      </c>
      <c r="Q137" s="56" cm="1">
        <f t="array" aca="1" ref="Q137" ca="1">IF(L137&lt;=$C$16,0,IF($W$2&gt;=L137,IF(L137&lt;=($P$1+$C$16),INDIRECT("N"&amp;(L137-$C$16)+5),FV(SRate,L137-$P$1-$C$16,0,-$W$1,1)),0))</f>
        <v>1830583.1498683065</v>
      </c>
      <c r="R137" s="56">
        <f t="shared" ca="1" si="20"/>
        <v>989703.99639698525</v>
      </c>
      <c r="S137" s="19">
        <f t="shared" si="22"/>
        <v>0</v>
      </c>
      <c r="T137" s="36" t="str" cm="1">
        <f t="array" aca="1" ref="T137" ca="1">IF(L137&lt;=$P$1,K137,IF(L137&lt;=($P$1+1),INDIRECT("K"&amp;5+$W$2),""))</f>
        <v/>
      </c>
      <c r="U137" s="38">
        <f t="shared" si="23"/>
        <v>11</v>
      </c>
    </row>
    <row r="138" spans="11:21" hidden="1" x14ac:dyDescent="0.25">
      <c r="K138" s="36">
        <f t="shared" ca="1" si="25"/>
        <v>50262</v>
      </c>
      <c r="L138" s="19">
        <v>133</v>
      </c>
      <c r="M138" s="19">
        <f t="shared" si="24"/>
        <v>0</v>
      </c>
      <c r="N138" s="37">
        <f t="shared" ca="1" si="21"/>
        <v>1847953.1743269435</v>
      </c>
      <c r="O138" s="37">
        <f t="shared" ca="1" si="19"/>
        <v>994451.16564945458</v>
      </c>
      <c r="P138" s="55" cm="1">
        <f t="array" aca="1" ref="P138" ca="1">IF((L138-$C$16)&gt;0, IF($P$1+$C$16&gt;=L138,INDIRECT("M"&amp;(L138-$C$16)+5),0),0)</f>
        <v>0</v>
      </c>
      <c r="Q138" s="56" cm="1">
        <f t="array" aca="1" ref="Q138" ca="1">IF(L138&lt;=$C$16,0,IF($W$2&gt;=L138,IF(L138&lt;=($P$1+$C$16),INDIRECT("N"&amp;(L138-$C$16)+5),FV(SRate,L138-$P$1-$C$16,0,-$W$1,1)),0))</f>
        <v>1847953.1743269435</v>
      </c>
      <c r="R138" s="56">
        <f t="shared" ca="1" si="20"/>
        <v>994451.16564945458</v>
      </c>
      <c r="S138" s="19">
        <f t="shared" si="22"/>
        <v>0</v>
      </c>
      <c r="T138" s="36" t="str" cm="1">
        <f t="array" aca="1" ref="T138" ca="1">IF(L138&lt;=$P$1,K138,IF(L138&lt;=($P$1+1),INDIRECT("K"&amp;5+$W$2),""))</f>
        <v/>
      </c>
      <c r="U138" s="38">
        <f t="shared" si="23"/>
        <v>12</v>
      </c>
    </row>
    <row r="139" spans="11:21" hidden="1" x14ac:dyDescent="0.25">
      <c r="K139" s="36">
        <f t="shared" ca="1" si="25"/>
        <v>50293</v>
      </c>
      <c r="L139" s="19">
        <v>134</v>
      </c>
      <c r="M139" s="19">
        <f t="shared" si="24"/>
        <v>0</v>
      </c>
      <c r="N139" s="37">
        <f t="shared" ca="1" si="21"/>
        <v>1865488.0193509376</v>
      </c>
      <c r="O139" s="37">
        <f t="shared" ca="1" si="19"/>
        <v>999221.10495841946</v>
      </c>
      <c r="P139" s="55" cm="1">
        <f t="array" aca="1" ref="P139" ca="1">IF((L139-$C$16)&gt;0, IF($P$1+$C$16&gt;=L139,INDIRECT("M"&amp;(L139-$C$16)+5),0),0)</f>
        <v>0</v>
      </c>
      <c r="Q139" s="56" cm="1">
        <f t="array" aca="1" ref="Q139" ca="1">IF(L139&lt;=$C$16,0,IF($W$2&gt;=L139,IF(L139&lt;=($P$1+$C$16),INDIRECT("N"&amp;(L139-$C$16)+5),FV(SRate,L139-$P$1-$C$16,0,-$W$1,1)),0))</f>
        <v>1865488.0193509376</v>
      </c>
      <c r="R139" s="56">
        <f t="shared" ca="1" si="20"/>
        <v>999221.10495841946</v>
      </c>
      <c r="S139" s="19">
        <f t="shared" si="22"/>
        <v>0</v>
      </c>
      <c r="T139" s="36" t="str" cm="1">
        <f t="array" aca="1" ref="T139" ca="1">IF(L139&lt;=$P$1,K139,IF(L139&lt;=($P$1+1),INDIRECT("K"&amp;5+$W$2),""))</f>
        <v/>
      </c>
      <c r="U139" s="38">
        <f t="shared" si="23"/>
        <v>12</v>
      </c>
    </row>
    <row r="140" spans="11:21" hidden="1" x14ac:dyDescent="0.25">
      <c r="K140" s="36">
        <f t="shared" ca="1" si="25"/>
        <v>50323</v>
      </c>
      <c r="L140" s="19">
        <v>135</v>
      </c>
      <c r="M140" s="19">
        <f t="shared" si="24"/>
        <v>0</v>
      </c>
      <c r="N140" s="37">
        <f t="shared" ca="1" si="21"/>
        <v>1883189.2488885042</v>
      </c>
      <c r="O140" s="37">
        <f t="shared" ca="1" si="19"/>
        <v>1004013.9235416985</v>
      </c>
      <c r="P140" s="55" cm="1">
        <f t="array" aca="1" ref="P140" ca="1">IF((L140-$C$16)&gt;0, IF($P$1+$C$16&gt;=L140,INDIRECT("M"&amp;(L140-$C$16)+5),0),0)</f>
        <v>0</v>
      </c>
      <c r="Q140" s="56" cm="1">
        <f t="array" aca="1" ref="Q140" ca="1">IF(L140&lt;=$C$16,0,IF($W$2&gt;=L140,IF(L140&lt;=($P$1+$C$16),INDIRECT("N"&amp;(L140-$C$16)+5),FV(SRate,L140-$P$1-$C$16,0,-$W$1,1)),0))</f>
        <v>1883189.2488885042</v>
      </c>
      <c r="R140" s="56">
        <f t="shared" ca="1" si="20"/>
        <v>1004013.9235416985</v>
      </c>
      <c r="S140" s="19">
        <f t="shared" si="22"/>
        <v>0</v>
      </c>
      <c r="T140" s="36" t="str" cm="1">
        <f t="array" aca="1" ref="T140" ca="1">IF(L140&lt;=$P$1,K140,IF(L140&lt;=($P$1+1),INDIRECT("K"&amp;5+$W$2),""))</f>
        <v/>
      </c>
      <c r="U140" s="38">
        <f t="shared" si="23"/>
        <v>12</v>
      </c>
    </row>
    <row r="141" spans="11:21" hidden="1" x14ac:dyDescent="0.25">
      <c r="K141" s="36">
        <f t="shared" ca="1" si="25"/>
        <v>50354</v>
      </c>
      <c r="L141" s="19">
        <v>136</v>
      </c>
      <c r="M141" s="19">
        <f t="shared" si="24"/>
        <v>0</v>
      </c>
      <c r="N141" s="37">
        <f t="shared" ca="1" si="21"/>
        <v>1901058.4417278401</v>
      </c>
      <c r="O141" s="37">
        <f t="shared" ca="1" si="19"/>
        <v>1008829.7311409801</v>
      </c>
      <c r="P141" s="55" cm="1">
        <f t="array" aca="1" ref="P141" ca="1">IF((L141-$C$16)&gt;0, IF($P$1+$C$16&gt;=L141,INDIRECT("M"&amp;(L141-$C$16)+5),0),0)</f>
        <v>0</v>
      </c>
      <c r="Q141" s="56" cm="1">
        <f t="array" aca="1" ref="Q141" ca="1">IF(L141&lt;=$C$16,0,IF($W$2&gt;=L141,IF(L141&lt;=($P$1+$C$16),INDIRECT("N"&amp;(L141-$C$16)+5),FV(SRate,L141-$P$1-$C$16,0,-$W$1,1)),0))</f>
        <v>1901058.4417278401</v>
      </c>
      <c r="R141" s="56">
        <f t="shared" ca="1" si="20"/>
        <v>1008829.7311409801</v>
      </c>
      <c r="S141" s="19">
        <f t="shared" si="22"/>
        <v>0</v>
      </c>
      <c r="T141" s="36" t="str" cm="1">
        <f t="array" aca="1" ref="T141" ca="1">IF(L141&lt;=$P$1,K141,IF(L141&lt;=($P$1+1),INDIRECT("K"&amp;5+$W$2),""))</f>
        <v/>
      </c>
      <c r="U141" s="38">
        <f t="shared" si="23"/>
        <v>12</v>
      </c>
    </row>
    <row r="142" spans="11:21" hidden="1" x14ac:dyDescent="0.25">
      <c r="K142" s="36">
        <f t="shared" ca="1" si="25"/>
        <v>50384</v>
      </c>
      <c r="L142" s="19">
        <v>137</v>
      </c>
      <c r="M142" s="19">
        <f t="shared" si="24"/>
        <v>0</v>
      </c>
      <c r="N142" s="37">
        <f t="shared" ca="1" si="21"/>
        <v>1919097.1916379367</v>
      </c>
      <c r="O142" s="37">
        <f t="shared" ca="1" si="19"/>
        <v>1013668.6380243353</v>
      </c>
      <c r="P142" s="55" cm="1">
        <f t="array" aca="1" ref="P142" ca="1">IF((L142-$C$16)&gt;0, IF($P$1+$C$16&gt;=L142,INDIRECT("M"&amp;(L142-$C$16)+5),0),0)</f>
        <v>0</v>
      </c>
      <c r="Q142" s="56" cm="1">
        <f t="array" aca="1" ref="Q142" ca="1">IF(L142&lt;=$C$16,0,IF($W$2&gt;=L142,IF(L142&lt;=($P$1+$C$16),INDIRECT("N"&amp;(L142-$C$16)+5),FV(SRate,L142-$P$1-$C$16,0,-$W$1,1)),0))</f>
        <v>1919097.1916379367</v>
      </c>
      <c r="R142" s="56">
        <f t="shared" ca="1" si="20"/>
        <v>1013668.6380243353</v>
      </c>
      <c r="S142" s="19">
        <f t="shared" si="22"/>
        <v>0</v>
      </c>
      <c r="T142" s="36" t="str" cm="1">
        <f t="array" aca="1" ref="T142" ca="1">IF(L142&lt;=$P$1,K142,IF(L142&lt;=($P$1+1),INDIRECT("K"&amp;5+$W$2),""))</f>
        <v/>
      </c>
      <c r="U142" s="38">
        <f t="shared" si="23"/>
        <v>12</v>
      </c>
    </row>
    <row r="143" spans="11:21" hidden="1" x14ac:dyDescent="0.25">
      <c r="K143" s="36">
        <f t="shared" ca="1" si="25"/>
        <v>50415</v>
      </c>
      <c r="L143" s="19">
        <v>138</v>
      </c>
      <c r="M143" s="19">
        <f t="shared" si="24"/>
        <v>0</v>
      </c>
      <c r="N143" s="37">
        <f t="shared" ca="1" si="21"/>
        <v>1937307.107510729</v>
      </c>
      <c r="O143" s="37">
        <f t="shared" ca="1" si="19"/>
        <v>1018530.7549887407</v>
      </c>
      <c r="P143" s="55" cm="1">
        <f t="array" aca="1" ref="P143" ca="1">IF((L143-$C$16)&gt;0, IF($P$1+$C$16&gt;=L143,INDIRECT("M"&amp;(L143-$C$16)+5),0),0)</f>
        <v>0</v>
      </c>
      <c r="Q143" s="56" cm="1">
        <f t="array" aca="1" ref="Q143" ca="1">IF(L143&lt;=$C$16,0,IF($W$2&gt;=L143,IF(L143&lt;=($P$1+$C$16),INDIRECT("N"&amp;(L143-$C$16)+5),FV(SRate,L143-$P$1-$C$16,0,-$W$1,1)),0))</f>
        <v>1937307.107510729</v>
      </c>
      <c r="R143" s="56">
        <f t="shared" ca="1" si="20"/>
        <v>1018530.7549887407</v>
      </c>
      <c r="S143" s="19">
        <f t="shared" si="22"/>
        <v>0</v>
      </c>
      <c r="T143" s="36" t="str" cm="1">
        <f t="array" aca="1" ref="T143" ca="1">IF(L143&lt;=$P$1,K143,IF(L143&lt;=($P$1+1),INDIRECT("K"&amp;5+$W$2),""))</f>
        <v/>
      </c>
      <c r="U143" s="38">
        <f t="shared" si="23"/>
        <v>12</v>
      </c>
    </row>
    <row r="144" spans="11:21" hidden="1" x14ac:dyDescent="0.25">
      <c r="K144" s="36">
        <f t="shared" ca="1" si="25"/>
        <v>50446</v>
      </c>
      <c r="L144" s="19">
        <v>139</v>
      </c>
      <c r="M144" s="19">
        <f t="shared" si="24"/>
        <v>0</v>
      </c>
      <c r="N144" s="37">
        <f t="shared" ca="1" si="21"/>
        <v>1955689.8135045944</v>
      </c>
      <c r="O144" s="37">
        <f t="shared" ca="1" si="19"/>
        <v>1023416.1933626172</v>
      </c>
      <c r="P144" s="55" cm="1">
        <f t="array" aca="1" ref="P144" ca="1">IF((L144-$C$16)&gt;0, IF($P$1+$C$16&gt;=L144,INDIRECT("M"&amp;(L144-$C$16)+5),0),0)</f>
        <v>0</v>
      </c>
      <c r="Q144" s="56" cm="1">
        <f t="array" aca="1" ref="Q144" ca="1">IF(L144&lt;=$C$16,0,IF($W$2&gt;=L144,IF(L144&lt;=($P$1+$C$16),INDIRECT("N"&amp;(L144-$C$16)+5),FV(SRate,L144-$P$1-$C$16,0,-$W$1,1)),0))</f>
        <v>1955689.8135045944</v>
      </c>
      <c r="R144" s="56">
        <f t="shared" ca="1" si="20"/>
        <v>1023416.1933626172</v>
      </c>
      <c r="S144" s="19">
        <f t="shared" si="22"/>
        <v>0</v>
      </c>
      <c r="T144" s="36" t="str" cm="1">
        <f t="array" aca="1" ref="T144" ca="1">IF(L144&lt;=$P$1,K144,IF(L144&lt;=($P$1+1),INDIRECT("K"&amp;5+$W$2),""))</f>
        <v/>
      </c>
      <c r="U144" s="38">
        <f t="shared" si="23"/>
        <v>12</v>
      </c>
    </row>
    <row r="145" spans="11:21" hidden="1" x14ac:dyDescent="0.25">
      <c r="K145" s="36">
        <f t="shared" ca="1" si="25"/>
        <v>50474</v>
      </c>
      <c r="L145" s="19">
        <v>140</v>
      </c>
      <c r="M145" s="19">
        <f t="shared" si="24"/>
        <v>0</v>
      </c>
      <c r="N145" s="37">
        <f t="shared" ca="1" si="21"/>
        <v>1974246.9491892129</v>
      </c>
      <c r="O145" s="37">
        <f t="shared" ca="1" si="19"/>
        <v>1028325.0650083789</v>
      </c>
      <c r="P145" s="55" cm="1">
        <f t="array" aca="1" ref="P145" ca="1">IF((L145-$C$16)&gt;0, IF($P$1+$C$16&gt;=L145,INDIRECT("M"&amp;(L145-$C$16)+5),0),0)</f>
        <v>0</v>
      </c>
      <c r="Q145" s="56" cm="1">
        <f t="array" aca="1" ref="Q145" ca="1">IF(L145&lt;=$C$16,0,IF($W$2&gt;=L145,IF(L145&lt;=($P$1+$C$16),INDIRECT("N"&amp;(L145-$C$16)+5),FV(SRate,L145-$P$1-$C$16,0,-$W$1,1)),0))</f>
        <v>1974246.9491892129</v>
      </c>
      <c r="R145" s="56">
        <f t="shared" ca="1" si="20"/>
        <v>1028325.0650083789</v>
      </c>
      <c r="S145" s="19">
        <f t="shared" si="22"/>
        <v>0</v>
      </c>
      <c r="T145" s="36" t="str" cm="1">
        <f t="array" aca="1" ref="T145" ca="1">IF(L145&lt;=$P$1,K145,IF(L145&lt;=($P$1+1),INDIRECT("K"&amp;5+$W$2),""))</f>
        <v/>
      </c>
      <c r="U145" s="38">
        <f t="shared" si="23"/>
        <v>12</v>
      </c>
    </row>
    <row r="146" spans="11:21" hidden="1" x14ac:dyDescent="0.25">
      <c r="K146" s="36">
        <f t="shared" ca="1" si="25"/>
        <v>50505</v>
      </c>
      <c r="L146" s="19">
        <v>141</v>
      </c>
      <c r="M146" s="19">
        <f t="shared" si="24"/>
        <v>0</v>
      </c>
      <c r="N146" s="37">
        <f t="shared" ca="1" si="21"/>
        <v>1992980.1696918018</v>
      </c>
      <c r="O146" s="37">
        <f t="shared" ca="1" si="19"/>
        <v>1033257.4823249936</v>
      </c>
      <c r="P146" s="55" cm="1">
        <f t="array" aca="1" ref="P146" ca="1">IF((L146-$C$16)&gt;0, IF($P$1+$C$16&gt;=L146,INDIRECT("M"&amp;(L146-$C$16)+5),0),0)</f>
        <v>0</v>
      </c>
      <c r="Q146" s="56" cm="1">
        <f t="array" aca="1" ref="Q146" ca="1">IF(L146&lt;=$C$16,0,IF($W$2&gt;=L146,IF(L146&lt;=($P$1+$C$16),INDIRECT("N"&amp;(L146-$C$16)+5),FV(SRate,L146-$P$1-$C$16,0,-$W$1,1)),0))</f>
        <v>1992980.1696918018</v>
      </c>
      <c r="R146" s="56">
        <f t="shared" ca="1" si="20"/>
        <v>1033257.4823249936</v>
      </c>
      <c r="S146" s="19">
        <f t="shared" si="22"/>
        <v>0</v>
      </c>
      <c r="T146" s="36" t="str" cm="1">
        <f t="array" aca="1" ref="T146" ca="1">IF(L146&lt;=$P$1,K146,IF(L146&lt;=($P$1+1),INDIRECT("K"&amp;5+$W$2),""))</f>
        <v/>
      </c>
      <c r="U146" s="38">
        <f t="shared" si="23"/>
        <v>12</v>
      </c>
    </row>
    <row r="147" spans="11:21" hidden="1" x14ac:dyDescent="0.25">
      <c r="K147" s="36">
        <f t="shared" ca="1" si="25"/>
        <v>50535</v>
      </c>
      <c r="L147" s="19">
        <v>142</v>
      </c>
      <c r="M147" s="19">
        <f t="shared" si="24"/>
        <v>0</v>
      </c>
      <c r="N147" s="37">
        <f t="shared" ca="1" si="21"/>
        <v>2011891.1458447375</v>
      </c>
      <c r="O147" s="37">
        <f t="shared" ca="1" si="19"/>
        <v>1038213.5582505572</v>
      </c>
      <c r="P147" s="55" cm="1">
        <f t="array" aca="1" ref="P147" ca="1">IF((L147-$C$16)&gt;0, IF($P$1+$C$16&gt;=L147,INDIRECT("M"&amp;(L147-$C$16)+5),0),0)</f>
        <v>0</v>
      </c>
      <c r="Q147" s="56" cm="1">
        <f t="array" aca="1" ref="Q147" ca="1">IF(L147&lt;=$C$16,0,IF($W$2&gt;=L147,IF(L147&lt;=($P$1+$C$16),INDIRECT("N"&amp;(L147-$C$16)+5),FV(SRate,L147-$P$1-$C$16,0,-$W$1,1)),0))</f>
        <v>2011891.1458447375</v>
      </c>
      <c r="R147" s="56">
        <f t="shared" ca="1" si="20"/>
        <v>1038213.5582505572</v>
      </c>
      <c r="S147" s="19">
        <f t="shared" si="22"/>
        <v>0</v>
      </c>
      <c r="T147" s="36" t="str" cm="1">
        <f t="array" aca="1" ref="T147" ca="1">IF(L147&lt;=$P$1,K147,IF(L147&lt;=($P$1+1),INDIRECT("K"&amp;5+$W$2),""))</f>
        <v/>
      </c>
      <c r="U147" s="38">
        <f t="shared" si="23"/>
        <v>12</v>
      </c>
    </row>
    <row r="148" spans="11:21" hidden="1" x14ac:dyDescent="0.25">
      <c r="K148" s="36">
        <f t="shared" ca="1" si="25"/>
        <v>50566</v>
      </c>
      <c r="L148" s="19">
        <v>143</v>
      </c>
      <c r="M148" s="19">
        <f t="shared" si="24"/>
        <v>0</v>
      </c>
      <c r="N148" s="37">
        <f t="shared" ca="1" si="21"/>
        <v>2030981.5643345793</v>
      </c>
      <c r="O148" s="37">
        <f t="shared" ca="1" si="19"/>
        <v>1043193.4062648788</v>
      </c>
      <c r="P148" s="55" cm="1">
        <f t="array" aca="1" ref="P148" ca="1">IF((L148-$C$16)&gt;0, IF($P$1+$C$16&gt;=L148,INDIRECT("M"&amp;(L148-$C$16)+5),0),0)</f>
        <v>0</v>
      </c>
      <c r="Q148" s="56" cm="1">
        <f t="array" aca="1" ref="Q148" ca="1">IF(L148&lt;=$C$16,0,IF($W$2&gt;=L148,IF(L148&lt;=($P$1+$C$16),INDIRECT("N"&amp;(L148-$C$16)+5),FV(SRate,L148-$P$1-$C$16,0,-$W$1,1)),0))</f>
        <v>2030981.5643345793</v>
      </c>
      <c r="R148" s="56">
        <f t="shared" ca="1" si="20"/>
        <v>1043193.4062648788</v>
      </c>
      <c r="S148" s="19">
        <f t="shared" si="22"/>
        <v>0</v>
      </c>
      <c r="T148" s="36" t="str" cm="1">
        <f t="array" aca="1" ref="T148" ca="1">IF(L148&lt;=$P$1,K148,IF(L148&lt;=($P$1+1),INDIRECT("K"&amp;5+$W$2),""))</f>
        <v/>
      </c>
      <c r="U148" s="38">
        <f t="shared" si="23"/>
        <v>12</v>
      </c>
    </row>
    <row r="149" spans="11:21" hidden="1" x14ac:dyDescent="0.25">
      <c r="K149" s="36">
        <f t="shared" ca="1" si="25"/>
        <v>50596</v>
      </c>
      <c r="L149" s="19">
        <v>144</v>
      </c>
      <c r="M149" s="19">
        <f t="shared" si="24"/>
        <v>0</v>
      </c>
      <c r="N149" s="37">
        <f t="shared" ca="1" si="21"/>
        <v>2050253.1278525055</v>
      </c>
      <c r="O149" s="37">
        <f t="shared" ca="1" si="19"/>
        <v>1048197.1403920799</v>
      </c>
      <c r="P149" s="55" cm="1">
        <f t="array" aca="1" ref="P149" ca="1">IF((L149-$C$16)&gt;0, IF($P$1+$C$16&gt;=L149,INDIRECT("M"&amp;(L149-$C$16)+5),0),0)</f>
        <v>0</v>
      </c>
      <c r="Q149" s="56" cm="1">
        <f t="array" aca="1" ref="Q149" ca="1">IF(L149&lt;=$C$16,0,IF($W$2&gt;=L149,IF(L149&lt;=($P$1+$C$16),INDIRECT("N"&amp;(L149-$C$16)+5),FV(SRate,L149-$P$1-$C$16,0,-$W$1,1)),0))</f>
        <v>2050253.1278525055</v>
      </c>
      <c r="R149" s="56">
        <f t="shared" ca="1" si="20"/>
        <v>1048197.1403920799</v>
      </c>
      <c r="S149" s="19">
        <f t="shared" si="22"/>
        <v>0</v>
      </c>
      <c r="T149" s="36" t="str" cm="1">
        <f t="array" aca="1" ref="T149" ca="1">IF(L149&lt;=$P$1,K149,IF(L149&lt;=($P$1+1),INDIRECT("K"&amp;5+$W$2),""))</f>
        <v/>
      </c>
      <c r="U149" s="38">
        <f t="shared" si="23"/>
        <v>12</v>
      </c>
    </row>
    <row r="150" spans="11:21" hidden="1" x14ac:dyDescent="0.25">
      <c r="K150" s="36">
        <f t="shared" ca="1" si="25"/>
        <v>50627</v>
      </c>
      <c r="L150" s="19">
        <v>145</v>
      </c>
      <c r="M150" s="19">
        <f t="shared" si="24"/>
        <v>0</v>
      </c>
      <c r="N150" s="37">
        <f t="shared" ca="1" si="21"/>
        <v>2069707.555246179</v>
      </c>
      <c r="O150" s="37">
        <f t="shared" ca="1" si="19"/>
        <v>1053224.875203206</v>
      </c>
      <c r="P150" s="55" cm="1">
        <f t="array" aca="1" ref="P150" ca="1">IF((L150-$C$16)&gt;0, IF($P$1+$C$16&gt;=L150,INDIRECT("M"&amp;(L150-$C$16)+5),0),0)</f>
        <v>0</v>
      </c>
      <c r="Q150" s="56" cm="1">
        <f t="array" aca="1" ref="Q150" ca="1">IF(L150&lt;=$C$16,0,IF($W$2&gt;=L150,IF(L150&lt;=($P$1+$C$16),INDIRECT("N"&amp;(L150-$C$16)+5),FV(SRate,L150-$P$1-$C$16,0,-$W$1,1)),0))</f>
        <v>2069707.555246179</v>
      </c>
      <c r="R150" s="56">
        <f t="shared" ca="1" si="20"/>
        <v>1053224.875203206</v>
      </c>
      <c r="S150" s="19">
        <f t="shared" si="22"/>
        <v>0</v>
      </c>
      <c r="T150" s="36" t="str" cm="1">
        <f t="array" aca="1" ref="T150" ca="1">IF(L150&lt;=$P$1,K150,IF(L150&lt;=($P$1+1),INDIRECT("K"&amp;5+$W$2),""))</f>
        <v/>
      </c>
      <c r="U150" s="38">
        <f t="shared" si="23"/>
        <v>13</v>
      </c>
    </row>
    <row r="151" spans="11:21" hidden="1" x14ac:dyDescent="0.25">
      <c r="K151" s="36">
        <f t="shared" ca="1" si="25"/>
        <v>50658</v>
      </c>
      <c r="L151" s="19">
        <v>146</v>
      </c>
      <c r="M151" s="19">
        <f t="shared" si="24"/>
        <v>0</v>
      </c>
      <c r="N151" s="37">
        <f t="shared" ca="1" si="21"/>
        <v>2089346.5816730526</v>
      </c>
      <c r="O151" s="37">
        <f t="shared" ca="1" si="19"/>
        <v>1058276.7258188473</v>
      </c>
      <c r="P151" s="55" cm="1">
        <f t="array" aca="1" ref="P151" ca="1">IF((L151-$C$16)&gt;0, IF($P$1+$C$16&gt;=L151,INDIRECT("M"&amp;(L151-$C$16)+5),0),0)</f>
        <v>0</v>
      </c>
      <c r="Q151" s="56" cm="1">
        <f t="array" aca="1" ref="Q151" ca="1">IF(L151&lt;=$C$16,0,IF($W$2&gt;=L151,IF(L151&lt;=($P$1+$C$16),INDIRECT("N"&amp;(L151-$C$16)+5),FV(SRate,L151-$P$1-$C$16,0,-$W$1,1)),0))</f>
        <v>2089346.5816730526</v>
      </c>
      <c r="R151" s="56">
        <f t="shared" ca="1" si="20"/>
        <v>1058276.7258188473</v>
      </c>
      <c r="S151" s="19">
        <f t="shared" si="22"/>
        <v>0</v>
      </c>
      <c r="T151" s="36" t="str" cm="1">
        <f t="array" aca="1" ref="T151" ca="1">IF(L151&lt;=$P$1,K151,IF(L151&lt;=($P$1+1),INDIRECT("K"&amp;5+$W$2),""))</f>
        <v/>
      </c>
      <c r="U151" s="38">
        <f t="shared" si="23"/>
        <v>13</v>
      </c>
    </row>
    <row r="152" spans="11:21" hidden="1" x14ac:dyDescent="0.25">
      <c r="K152" s="36">
        <f t="shared" ca="1" si="25"/>
        <v>50688</v>
      </c>
      <c r="L152" s="19">
        <v>147</v>
      </c>
      <c r="M152" s="19">
        <f t="shared" si="24"/>
        <v>0</v>
      </c>
      <c r="N152" s="37">
        <f t="shared" ca="1" si="21"/>
        <v>2109171.9587551276</v>
      </c>
      <c r="O152" s="37">
        <f t="shared" ca="1" si="19"/>
        <v>1063352.8079117765</v>
      </c>
      <c r="P152" s="55" cm="1">
        <f t="array" aca="1" ref="P152" ca="1">IF((L152-$C$16)&gt;0, IF($P$1+$C$16&gt;=L152,INDIRECT("M"&amp;(L152-$C$16)+5),0),0)</f>
        <v>0</v>
      </c>
      <c r="Q152" s="56" cm="1">
        <f t="array" aca="1" ref="Q152" ca="1">IF(L152&lt;=$C$16,0,IF($W$2&gt;=L152,IF(L152&lt;=($P$1+$C$16),INDIRECT("N"&amp;(L152-$C$16)+5),FV(SRate,L152-$P$1-$C$16,0,-$W$1,1)),0))</f>
        <v>2109171.9587551276</v>
      </c>
      <c r="R152" s="56">
        <f t="shared" ca="1" si="20"/>
        <v>1063352.8079117765</v>
      </c>
      <c r="S152" s="19">
        <f t="shared" si="22"/>
        <v>0</v>
      </c>
      <c r="T152" s="36" t="str" cm="1">
        <f t="array" aca="1" ref="T152" ca="1">IF(L152&lt;=$P$1,K152,IF(L152&lt;=($P$1+1),INDIRECT("K"&amp;5+$W$2),""))</f>
        <v/>
      </c>
      <c r="U152" s="38">
        <f t="shared" si="23"/>
        <v>13</v>
      </c>
    </row>
    <row r="153" spans="11:21" hidden="1" x14ac:dyDescent="0.25">
      <c r="K153" s="36">
        <f t="shared" ca="1" si="25"/>
        <v>50719</v>
      </c>
      <c r="L153" s="19">
        <v>148</v>
      </c>
      <c r="M153" s="19">
        <f t="shared" si="24"/>
        <v>0</v>
      </c>
      <c r="N153" s="37">
        <f t="shared" ca="1" si="21"/>
        <v>2129185.4547351836</v>
      </c>
      <c r="O153" s="37">
        <f t="shared" ca="1" si="19"/>
        <v>1068453.2377095972</v>
      </c>
      <c r="P153" s="55" cm="1">
        <f t="array" aca="1" ref="P153" ca="1">IF((L153-$C$16)&gt;0, IF($P$1+$C$16&gt;=L153,INDIRECT("M"&amp;(L153-$C$16)+5),0),0)</f>
        <v>0</v>
      </c>
      <c r="Q153" s="56" cm="1">
        <f t="array" aca="1" ref="Q153" ca="1">IF(L153&lt;=$C$16,0,IF($W$2&gt;=L153,IF(L153&lt;=($P$1+$C$16),INDIRECT("N"&amp;(L153-$C$16)+5),FV(SRate,L153-$P$1-$C$16,0,-$W$1,1)),0))</f>
        <v>2129185.4547351836</v>
      </c>
      <c r="R153" s="56">
        <f t="shared" ca="1" si="20"/>
        <v>1068453.2377095972</v>
      </c>
      <c r="S153" s="19">
        <f t="shared" si="22"/>
        <v>0</v>
      </c>
      <c r="T153" s="36" t="str" cm="1">
        <f t="array" aca="1" ref="T153" ca="1">IF(L153&lt;=$P$1,K153,IF(L153&lt;=($P$1+1),INDIRECT("K"&amp;5+$W$2),""))</f>
        <v/>
      </c>
      <c r="U153" s="38">
        <f t="shared" si="23"/>
        <v>13</v>
      </c>
    </row>
    <row r="154" spans="11:21" hidden="1" x14ac:dyDescent="0.25">
      <c r="K154" s="36">
        <f t="shared" ca="1" si="25"/>
        <v>50749</v>
      </c>
      <c r="L154" s="19">
        <v>149</v>
      </c>
      <c r="M154" s="19">
        <f t="shared" si="24"/>
        <v>0</v>
      </c>
      <c r="N154" s="37">
        <f t="shared" ca="1" si="21"/>
        <v>2149388.8546344917</v>
      </c>
      <c r="O154" s="37">
        <f t="shared" ca="1" si="19"/>
        <v>1073578.1319974058</v>
      </c>
      <c r="P154" s="55" cm="1">
        <f t="array" aca="1" ref="P154" ca="1">IF((L154-$C$16)&gt;0, IF($P$1+$C$16&gt;=L154,INDIRECT("M"&amp;(L154-$C$16)+5),0),0)</f>
        <v>0</v>
      </c>
      <c r="Q154" s="56" cm="1">
        <f t="array" aca="1" ref="Q154" ca="1">IF(L154&lt;=$C$16,0,IF($W$2&gt;=L154,IF(L154&lt;=($P$1+$C$16),INDIRECT("N"&amp;(L154-$C$16)+5),FV(SRate,L154-$P$1-$C$16,0,-$W$1,1)),0))</f>
        <v>2149388.8546344917</v>
      </c>
      <c r="R154" s="56">
        <f t="shared" ca="1" si="20"/>
        <v>1073578.1319974058</v>
      </c>
      <c r="S154" s="19">
        <f t="shared" si="22"/>
        <v>0</v>
      </c>
      <c r="T154" s="36" t="str" cm="1">
        <f t="array" aca="1" ref="T154" ca="1">IF(L154&lt;=$P$1,K154,IF(L154&lt;=($P$1+1),INDIRECT("K"&amp;5+$W$2),""))</f>
        <v/>
      </c>
      <c r="U154" s="38">
        <f t="shared" si="23"/>
        <v>13</v>
      </c>
    </row>
    <row r="155" spans="11:21" hidden="1" x14ac:dyDescent="0.25">
      <c r="K155" s="36">
        <f t="shared" ca="1" si="25"/>
        <v>50780</v>
      </c>
      <c r="L155" s="19">
        <v>150</v>
      </c>
      <c r="M155" s="19">
        <f t="shared" si="24"/>
        <v>0</v>
      </c>
      <c r="N155" s="37">
        <f t="shared" ca="1" si="21"/>
        <v>2169783.9604120194</v>
      </c>
      <c r="O155" s="37">
        <f t="shared" ca="1" si="19"/>
        <v>1078727.6081204643</v>
      </c>
      <c r="P155" s="55" cm="1">
        <f t="array" aca="1" ref="P155" ca="1">IF((L155-$C$16)&gt;0, IF($P$1+$C$16&gt;=L155,INDIRECT("M"&amp;(L155-$C$16)+5),0),0)</f>
        <v>0</v>
      </c>
      <c r="Q155" s="56" cm="1">
        <f t="array" aca="1" ref="Q155" ca="1">IF(L155&lt;=$C$16,0,IF($W$2&gt;=L155,IF(L155&lt;=($P$1+$C$16),INDIRECT("N"&amp;(L155-$C$16)+5),FV(SRate,L155-$P$1-$C$16,0,-$W$1,1)),0))</f>
        <v>2169783.9604120194</v>
      </c>
      <c r="R155" s="56">
        <f t="shared" ca="1" si="20"/>
        <v>1078727.6081204643</v>
      </c>
      <c r="S155" s="19">
        <f t="shared" si="22"/>
        <v>0</v>
      </c>
      <c r="T155" s="36" t="str" cm="1">
        <f t="array" aca="1" ref="T155" ca="1">IF(L155&lt;=$P$1,K155,IF(L155&lt;=($P$1+1),INDIRECT("K"&amp;5+$W$2),""))</f>
        <v/>
      </c>
      <c r="U155" s="38">
        <f t="shared" si="23"/>
        <v>13</v>
      </c>
    </row>
    <row r="156" spans="11:21" hidden="1" x14ac:dyDescent="0.25">
      <c r="K156" s="36">
        <f t="shared" ca="1" si="25"/>
        <v>50811</v>
      </c>
      <c r="L156" s="19">
        <v>151</v>
      </c>
      <c r="M156" s="19">
        <f t="shared" si="24"/>
        <v>0</v>
      </c>
      <c r="N156" s="37">
        <f t="shared" ca="1" si="21"/>
        <v>2190372.5911251488</v>
      </c>
      <c r="O156" s="37">
        <f t="shared" ca="1" si="19"/>
        <v>1083901.783986887</v>
      </c>
      <c r="P156" s="55" cm="1">
        <f t="array" aca="1" ref="P156" ca="1">IF((L156-$C$16)&gt;0, IF($P$1+$C$16&gt;=L156,INDIRECT("M"&amp;(L156-$C$16)+5),0),0)</f>
        <v>0</v>
      </c>
      <c r="Q156" s="56" cm="1">
        <f t="array" aca="1" ref="Q156" ca="1">IF(L156&lt;=$C$16,0,IF($W$2&gt;=L156,IF(L156&lt;=($P$1+$C$16),INDIRECT("N"&amp;(L156-$C$16)+5),FV(SRate,L156-$P$1-$C$16,0,-$W$1,1)),0))</f>
        <v>2190372.5911251488</v>
      </c>
      <c r="R156" s="56">
        <f t="shared" ca="1" si="20"/>
        <v>1083901.783986887</v>
      </c>
      <c r="S156" s="19">
        <f t="shared" si="22"/>
        <v>0</v>
      </c>
      <c r="T156" s="36" t="str" cm="1">
        <f t="array" aca="1" ref="T156" ca="1">IF(L156&lt;=$P$1,K156,IF(L156&lt;=($P$1+1),INDIRECT("K"&amp;5+$W$2),""))</f>
        <v/>
      </c>
      <c r="U156" s="38">
        <f t="shared" si="23"/>
        <v>13</v>
      </c>
    </row>
    <row r="157" spans="11:21" hidden="1" x14ac:dyDescent="0.25">
      <c r="K157" s="36">
        <f t="shared" ca="1" si="25"/>
        <v>50839</v>
      </c>
      <c r="L157" s="19">
        <v>152</v>
      </c>
      <c r="M157" s="19">
        <f t="shared" si="24"/>
        <v>0</v>
      </c>
      <c r="N157" s="37">
        <f t="shared" ca="1" si="21"/>
        <v>2211156.5830919212</v>
      </c>
      <c r="O157" s="37">
        <f t="shared" ca="1" si="19"/>
        <v>1089100.7780703411</v>
      </c>
      <c r="P157" s="55" cm="1">
        <f t="array" aca="1" ref="P157" ca="1">IF((L157-$C$16)&gt;0, IF($P$1+$C$16&gt;=L157,INDIRECT("M"&amp;(L157-$C$16)+5),0),0)</f>
        <v>0</v>
      </c>
      <c r="Q157" s="56" cm="1">
        <f t="array" aca="1" ref="Q157" ca="1">IF(L157&lt;=$C$16,0,IF($W$2&gt;=L157,IF(L157&lt;=($P$1+$C$16),INDIRECT("N"&amp;(L157-$C$16)+5),FV(SRate,L157-$P$1-$C$16,0,-$W$1,1)),0))</f>
        <v>2211156.5830919212</v>
      </c>
      <c r="R157" s="56">
        <f t="shared" ca="1" si="20"/>
        <v>1089100.7780703411</v>
      </c>
      <c r="S157" s="19">
        <f t="shared" si="22"/>
        <v>0</v>
      </c>
      <c r="T157" s="36" t="str" cm="1">
        <f t="array" aca="1" ref="T157" ca="1">IF(L157&lt;=$P$1,K157,IF(L157&lt;=($P$1+1),INDIRECT("K"&amp;5+$W$2),""))</f>
        <v/>
      </c>
      <c r="U157" s="38">
        <f t="shared" si="23"/>
        <v>13</v>
      </c>
    </row>
    <row r="158" spans="11:21" hidden="1" x14ac:dyDescent="0.25">
      <c r="K158" s="36">
        <f t="shared" ca="1" si="25"/>
        <v>50870</v>
      </c>
      <c r="L158" s="19">
        <v>153</v>
      </c>
      <c r="M158" s="19">
        <f t="shared" si="24"/>
        <v>0</v>
      </c>
      <c r="N158" s="37">
        <f t="shared" ca="1" si="21"/>
        <v>2232137.7900548205</v>
      </c>
      <c r="O158" s="37">
        <f t="shared" ca="1" si="19"/>
        <v>1094324.7094127603</v>
      </c>
      <c r="P158" s="55" cm="1">
        <f t="array" aca="1" ref="P158" ca="1">IF((L158-$C$16)&gt;0, IF($P$1+$C$16&gt;=L158,INDIRECT("M"&amp;(L158-$C$16)+5),0),0)</f>
        <v>0</v>
      </c>
      <c r="Q158" s="56" cm="1">
        <f t="array" aca="1" ref="Q158" ca="1">IF(L158&lt;=$C$16,0,IF($W$2&gt;=L158,IF(L158&lt;=($P$1+$C$16),INDIRECT("N"&amp;(L158-$C$16)+5),FV(SRate,L158-$P$1-$C$16,0,-$W$1,1)),0))</f>
        <v>2232137.7900548205</v>
      </c>
      <c r="R158" s="56">
        <f t="shared" ca="1" si="20"/>
        <v>1094324.7094127603</v>
      </c>
      <c r="S158" s="19">
        <f t="shared" si="22"/>
        <v>0</v>
      </c>
      <c r="T158" s="36" t="str" cm="1">
        <f t="array" aca="1" ref="T158" ca="1">IF(L158&lt;=$P$1,K158,IF(L158&lt;=($P$1+1),INDIRECT("K"&amp;5+$W$2),""))</f>
        <v/>
      </c>
      <c r="U158" s="38">
        <f t="shared" si="23"/>
        <v>13</v>
      </c>
    </row>
    <row r="159" spans="11:21" hidden="1" x14ac:dyDescent="0.25">
      <c r="K159" s="36">
        <f t="shared" ca="1" si="25"/>
        <v>50900</v>
      </c>
      <c r="L159" s="19">
        <v>154</v>
      </c>
      <c r="M159" s="19">
        <f t="shared" si="24"/>
        <v>0</v>
      </c>
      <c r="N159" s="37">
        <f t="shared" ca="1" si="21"/>
        <v>2253318.0833461089</v>
      </c>
      <c r="O159" s="37">
        <f t="shared" ca="1" si="19"/>
        <v>1099573.697627069</v>
      </c>
      <c r="P159" s="55" cm="1">
        <f t="array" aca="1" ref="P159" ca="1">IF((L159-$C$16)&gt;0, IF($P$1+$C$16&gt;=L159,INDIRECT("M"&amp;(L159-$C$16)+5),0),0)</f>
        <v>0</v>
      </c>
      <c r="Q159" s="56" cm="1">
        <f t="array" aca="1" ref="Q159" ca="1">IF(L159&lt;=$C$16,0,IF($W$2&gt;=L159,IF(L159&lt;=($P$1+$C$16),INDIRECT("N"&amp;(L159-$C$16)+5),FV(SRate,L159-$P$1-$C$16,0,-$W$1,1)),0))</f>
        <v>2253318.0833461089</v>
      </c>
      <c r="R159" s="56">
        <f t="shared" ca="1" si="20"/>
        <v>1099573.697627069</v>
      </c>
      <c r="S159" s="19">
        <f t="shared" si="22"/>
        <v>0</v>
      </c>
      <c r="T159" s="36" t="str" cm="1">
        <f t="array" aca="1" ref="T159" ca="1">IF(L159&lt;=$P$1,K159,IF(L159&lt;=($P$1+1),INDIRECT("K"&amp;5+$W$2),""))</f>
        <v/>
      </c>
      <c r="U159" s="38">
        <f t="shared" si="23"/>
        <v>13</v>
      </c>
    </row>
    <row r="160" spans="11:21" hidden="1" x14ac:dyDescent="0.25">
      <c r="K160" s="36">
        <f t="shared" ca="1" si="25"/>
        <v>50931</v>
      </c>
      <c r="L160" s="19">
        <v>155</v>
      </c>
      <c r="M160" s="19">
        <f t="shared" si="24"/>
        <v>0</v>
      </c>
      <c r="N160" s="37">
        <f t="shared" ca="1" si="21"/>
        <v>2274699.3520547319</v>
      </c>
      <c r="O160" s="37">
        <f t="shared" ca="1" si="19"/>
        <v>1104847.8628999202</v>
      </c>
      <c r="P160" s="55" cm="1">
        <f t="array" aca="1" ref="P160" ca="1">IF((L160-$C$16)&gt;0, IF($P$1+$C$16&gt;=L160,INDIRECT("M"&amp;(L160-$C$16)+5),0),0)</f>
        <v>0</v>
      </c>
      <c r="Q160" s="56" cm="1">
        <f t="array" aca="1" ref="Q160" ca="1">IF(L160&lt;=$C$16,0,IF($W$2&gt;=L160,IF(L160&lt;=($P$1+$C$16),INDIRECT("N"&amp;(L160-$C$16)+5),FV(SRate,L160-$P$1-$C$16,0,-$W$1,1)),0))</f>
        <v>2274699.3520547319</v>
      </c>
      <c r="R160" s="56">
        <f t="shared" ca="1" si="20"/>
        <v>1104847.8628999202</v>
      </c>
      <c r="S160" s="19">
        <f t="shared" si="22"/>
        <v>0</v>
      </c>
      <c r="T160" s="36" t="str" cm="1">
        <f t="array" aca="1" ref="T160" ca="1">IF(L160&lt;=$P$1,K160,IF(L160&lt;=($P$1+1),INDIRECT("K"&amp;5+$W$2),""))</f>
        <v/>
      </c>
      <c r="U160" s="38">
        <f t="shared" si="23"/>
        <v>13</v>
      </c>
    </row>
    <row r="161" spans="11:21" hidden="1" x14ac:dyDescent="0.25">
      <c r="K161" s="36">
        <f t="shared" ca="1" si="25"/>
        <v>50961</v>
      </c>
      <c r="L161" s="19">
        <v>156</v>
      </c>
      <c r="M161" s="19">
        <f t="shared" si="24"/>
        <v>0</v>
      </c>
      <c r="N161" s="37">
        <f t="shared" ca="1" si="21"/>
        <v>2296283.5031948094</v>
      </c>
      <c r="O161" s="37">
        <f t="shared" ca="1" si="19"/>
        <v>1110147.3259944504</v>
      </c>
      <c r="P161" s="55" cm="1">
        <f t="array" aca="1" ref="P161" ca="1">IF((L161-$C$16)&gt;0, IF($P$1+$C$16&gt;=L161,INDIRECT("M"&amp;(L161-$C$16)+5),0),0)</f>
        <v>0</v>
      </c>
      <c r="Q161" s="56" cm="1">
        <f t="array" aca="1" ref="Q161" ca="1">IF(L161&lt;=$C$16,0,IF($W$2&gt;=L161,IF(L161&lt;=($P$1+$C$16),INDIRECT("N"&amp;(L161-$C$16)+5),FV(SRate,L161-$P$1-$C$16,0,-$W$1,1)),0))</f>
        <v>2296283.5031948094</v>
      </c>
      <c r="R161" s="56">
        <f t="shared" ca="1" si="20"/>
        <v>1110147.3259944504</v>
      </c>
      <c r="S161" s="19">
        <f t="shared" si="22"/>
        <v>0</v>
      </c>
      <c r="T161" s="36" t="str" cm="1">
        <f t="array" aca="1" ref="T161" ca="1">IF(L161&lt;=$P$1,K161,IF(L161&lt;=($P$1+1),INDIRECT("K"&amp;5+$W$2),""))</f>
        <v/>
      </c>
      <c r="U161" s="38">
        <f t="shared" si="23"/>
        <v>13</v>
      </c>
    </row>
    <row r="162" spans="11:21" hidden="1" x14ac:dyDescent="0.25">
      <c r="K162" s="36">
        <f t="shared" ca="1" si="25"/>
        <v>50992</v>
      </c>
      <c r="L162" s="19">
        <v>157</v>
      </c>
      <c r="M162" s="19">
        <f t="shared" si="24"/>
        <v>0</v>
      </c>
      <c r="N162" s="37">
        <f t="shared" ca="1" si="21"/>
        <v>2318072.4618757241</v>
      </c>
      <c r="O162" s="37">
        <f t="shared" ca="1" si="19"/>
        <v>1115472.2082530425</v>
      </c>
      <c r="P162" s="55" cm="1">
        <f t="array" aca="1" ref="P162" ca="1">IF((L162-$C$16)&gt;0, IF($P$1+$C$16&gt;=L162,INDIRECT("M"&amp;(L162-$C$16)+5),0),0)</f>
        <v>0</v>
      </c>
      <c r="Q162" s="56" cm="1">
        <f t="array" aca="1" ref="Q162" ca="1">IF(L162&lt;=$C$16,0,IF($W$2&gt;=L162,IF(L162&lt;=($P$1+$C$16),INDIRECT("N"&amp;(L162-$C$16)+5),FV(SRate,L162-$P$1-$C$16,0,-$W$1,1)),0))</f>
        <v>2318072.4618757241</v>
      </c>
      <c r="R162" s="56">
        <f t="shared" ca="1" si="20"/>
        <v>1115472.2082530425</v>
      </c>
      <c r="S162" s="19">
        <f t="shared" si="22"/>
        <v>0</v>
      </c>
      <c r="T162" s="36" t="str" cm="1">
        <f t="array" aca="1" ref="T162" ca="1">IF(L162&lt;=$P$1,K162,IF(L162&lt;=($P$1+1),INDIRECT("K"&amp;5+$W$2),""))</f>
        <v/>
      </c>
      <c r="U162" s="38">
        <f t="shared" si="23"/>
        <v>14</v>
      </c>
    </row>
    <row r="163" spans="11:21" hidden="1" x14ac:dyDescent="0.25">
      <c r="K163" s="36">
        <f t="shared" ca="1" si="25"/>
        <v>51023</v>
      </c>
      <c r="L163" s="19">
        <v>158</v>
      </c>
      <c r="M163" s="19">
        <f t="shared" si="24"/>
        <v>0</v>
      </c>
      <c r="N163" s="37">
        <f t="shared" ca="1" si="21"/>
        <v>2340068.1714738221</v>
      </c>
      <c r="O163" s="37">
        <f t="shared" ca="1" si="19"/>
        <v>1120822.6316001043</v>
      </c>
      <c r="P163" s="55" cm="1">
        <f t="array" aca="1" ref="P163" ca="1">IF((L163-$C$16)&gt;0, IF($P$1+$C$16&gt;=L163,INDIRECT("M"&amp;(L163-$C$16)+5),0),0)</f>
        <v>0</v>
      </c>
      <c r="Q163" s="56" cm="1">
        <f t="array" aca="1" ref="Q163" ca="1">IF(L163&lt;=$C$16,0,IF($W$2&gt;=L163,IF(L163&lt;=($P$1+$C$16),INDIRECT("N"&amp;(L163-$C$16)+5),FV(SRate,L163-$P$1-$C$16,0,-$W$1,1)),0))</f>
        <v>2340068.1714738221</v>
      </c>
      <c r="R163" s="56">
        <f t="shared" ca="1" si="20"/>
        <v>1120822.6316001043</v>
      </c>
      <c r="S163" s="19">
        <f t="shared" si="22"/>
        <v>0</v>
      </c>
      <c r="T163" s="36" t="str" cm="1">
        <f t="array" aca="1" ref="T163" ca="1">IF(L163&lt;=$P$1,K163,IF(L163&lt;=($P$1+1),INDIRECT("K"&amp;5+$W$2),""))</f>
        <v/>
      </c>
      <c r="U163" s="38">
        <f t="shared" si="23"/>
        <v>14</v>
      </c>
    </row>
    <row r="164" spans="11:21" hidden="1" x14ac:dyDescent="0.25">
      <c r="K164" s="36">
        <f t="shared" ca="1" si="25"/>
        <v>51053</v>
      </c>
      <c r="L164" s="19">
        <v>159</v>
      </c>
      <c r="M164" s="19">
        <f t="shared" si="24"/>
        <v>0</v>
      </c>
      <c r="N164" s="37">
        <f t="shared" ca="1" si="21"/>
        <v>2362272.5938057457</v>
      </c>
      <c r="O164" s="37">
        <f t="shared" ca="1" si="19"/>
        <v>1126198.7185448615</v>
      </c>
      <c r="P164" s="55" cm="1">
        <f t="array" aca="1" ref="P164" ca="1">IF((L164-$C$16)&gt;0, IF($P$1+$C$16&gt;=L164,INDIRECT("M"&amp;(L164-$C$16)+5),0),0)</f>
        <v>0</v>
      </c>
      <c r="Q164" s="56" cm="1">
        <f t="array" aca="1" ref="Q164" ca="1">IF(L164&lt;=$C$16,0,IF($W$2&gt;=L164,IF(L164&lt;=($P$1+$C$16),INDIRECT("N"&amp;(L164-$C$16)+5),FV(SRate,L164-$P$1-$C$16,0,-$W$1,1)),0))</f>
        <v>2362272.5938057457</v>
      </c>
      <c r="R164" s="56">
        <f t="shared" ca="1" si="20"/>
        <v>1126198.7185448615</v>
      </c>
      <c r="S164" s="19">
        <f t="shared" si="22"/>
        <v>0</v>
      </c>
      <c r="T164" s="36" t="str" cm="1">
        <f t="array" aca="1" ref="T164" ca="1">IF(L164&lt;=$P$1,K164,IF(L164&lt;=($P$1+1),INDIRECT("K"&amp;5+$W$2),""))</f>
        <v/>
      </c>
      <c r="U164" s="38">
        <f t="shared" si="23"/>
        <v>14</v>
      </c>
    </row>
    <row r="165" spans="11:21" hidden="1" x14ac:dyDescent="0.25">
      <c r="K165" s="36">
        <f t="shared" ca="1" si="25"/>
        <v>51084</v>
      </c>
      <c r="L165" s="19">
        <v>160</v>
      </c>
      <c r="M165" s="19">
        <f t="shared" si="24"/>
        <v>0</v>
      </c>
      <c r="N165" s="37">
        <f t="shared" ca="1" si="21"/>
        <v>2384687.7093034089</v>
      </c>
      <c r="O165" s="37">
        <f t="shared" ca="1" si="19"/>
        <v>1131600.5921841613</v>
      </c>
      <c r="P165" s="55" cm="1">
        <f t="array" aca="1" ref="P165" ca="1">IF((L165-$C$16)&gt;0, IF($P$1+$C$16&gt;=L165,INDIRECT("M"&amp;(L165-$C$16)+5),0),0)</f>
        <v>0</v>
      </c>
      <c r="Q165" s="56" cm="1">
        <f t="array" aca="1" ref="Q165" ca="1">IF(L165&lt;=$C$16,0,IF($W$2&gt;=L165,IF(L165&lt;=($P$1+$C$16),INDIRECT("N"&amp;(L165-$C$16)+5),FV(SRate,L165-$P$1-$C$16,0,-$W$1,1)),0))</f>
        <v>2384687.7093034089</v>
      </c>
      <c r="R165" s="56">
        <f t="shared" ca="1" si="20"/>
        <v>1131600.5921841613</v>
      </c>
      <c r="S165" s="19">
        <f t="shared" si="22"/>
        <v>0</v>
      </c>
      <c r="T165" s="36" t="str" cm="1">
        <f t="array" aca="1" ref="T165" ca="1">IF(L165&lt;=$P$1,K165,IF(L165&lt;=($P$1+1),INDIRECT("K"&amp;5+$W$2),""))</f>
        <v/>
      </c>
      <c r="U165" s="38">
        <f t="shared" si="23"/>
        <v>14</v>
      </c>
    </row>
    <row r="166" spans="11:21" hidden="1" x14ac:dyDescent="0.25">
      <c r="K166" s="36">
        <f t="shared" ca="1" si="25"/>
        <v>51114</v>
      </c>
      <c r="L166" s="19">
        <v>161</v>
      </c>
      <c r="M166" s="19">
        <f t="shared" si="24"/>
        <v>0</v>
      </c>
      <c r="N166" s="37">
        <f t="shared" ca="1" si="21"/>
        <v>2407315.5171906338</v>
      </c>
      <c r="O166" s="37">
        <f t="shared" ca="1" si="19"/>
        <v>1137028.3762052918</v>
      </c>
      <c r="P166" s="55" cm="1">
        <f t="array" aca="1" ref="P166" ca="1">IF((L166-$C$16)&gt;0, IF($P$1+$C$16&gt;=L166,INDIRECT("M"&amp;(L166-$C$16)+5),0),0)</f>
        <v>0</v>
      </c>
      <c r="Q166" s="56" cm="1">
        <f t="array" aca="1" ref="Q166" ca="1">IF(L166&lt;=$C$16,0,IF($W$2&gt;=L166,IF(L166&lt;=($P$1+$C$16),INDIRECT("N"&amp;(L166-$C$16)+5),FV(SRate,L166-$P$1-$C$16,0,-$W$1,1)),0))</f>
        <v>2407315.5171906338</v>
      </c>
      <c r="R166" s="56">
        <f t="shared" ca="1" si="20"/>
        <v>1137028.3762052918</v>
      </c>
      <c r="S166" s="19">
        <f t="shared" si="22"/>
        <v>0</v>
      </c>
      <c r="T166" s="36" t="str" cm="1">
        <f t="array" aca="1" ref="T166" ca="1">IF(L166&lt;=$P$1,K166,IF(L166&lt;=($P$1+1),INDIRECT("K"&amp;5+$W$2),""))</f>
        <v/>
      </c>
      <c r="U166" s="38">
        <f t="shared" si="23"/>
        <v>14</v>
      </c>
    </row>
    <row r="167" spans="11:21" hidden="1" x14ac:dyDescent="0.25">
      <c r="K167" s="36">
        <f t="shared" ca="1" si="25"/>
        <v>51145</v>
      </c>
      <c r="L167" s="19">
        <v>162</v>
      </c>
      <c r="M167" s="19">
        <f t="shared" si="24"/>
        <v>0</v>
      </c>
      <c r="N167" s="37">
        <f t="shared" ca="1" si="21"/>
        <v>2430158.035661465</v>
      </c>
      <c r="O167" s="37">
        <f t="shared" ca="1" si="19"/>
        <v>1142482.1948888146</v>
      </c>
      <c r="P167" s="55" cm="1">
        <f t="array" aca="1" ref="P167" ca="1">IF((L167-$C$16)&gt;0, IF($P$1+$C$16&gt;=L167,INDIRECT("M"&amp;(L167-$C$16)+5),0),0)</f>
        <v>0</v>
      </c>
      <c r="Q167" s="56" cm="1">
        <f t="array" aca="1" ref="Q167" ca="1">IF(L167&lt;=$C$16,0,IF($W$2&gt;=L167,IF(L167&lt;=($P$1+$C$16),INDIRECT("N"&amp;(L167-$C$16)+5),FV(SRate,L167-$P$1-$C$16,0,-$W$1,1)),0))</f>
        <v>2430158.035661465</v>
      </c>
      <c r="R167" s="56">
        <f t="shared" ca="1" si="20"/>
        <v>1142482.1948888146</v>
      </c>
      <c r="S167" s="19">
        <f t="shared" si="22"/>
        <v>0</v>
      </c>
      <c r="T167" s="36" t="str" cm="1">
        <f t="array" aca="1" ref="T167" ca="1">IF(L167&lt;=$P$1,K167,IF(L167&lt;=($P$1+1),INDIRECT("K"&amp;5+$W$2),""))</f>
        <v/>
      </c>
      <c r="U167" s="38">
        <f t="shared" si="23"/>
        <v>14</v>
      </c>
    </row>
    <row r="168" spans="11:21" hidden="1" x14ac:dyDescent="0.25">
      <c r="K168" s="36">
        <f t="shared" ca="1" si="25"/>
        <v>51176</v>
      </c>
      <c r="L168" s="19">
        <v>163</v>
      </c>
      <c r="M168" s="19">
        <f t="shared" si="24"/>
        <v>0</v>
      </c>
      <c r="N168" s="37">
        <f t="shared" ca="1" si="21"/>
        <v>2453217.3020601696</v>
      </c>
      <c r="O168" s="37">
        <f t="shared" ca="1" si="19"/>
        <v>1147962.1731114085</v>
      </c>
      <c r="P168" s="55" cm="1">
        <f t="array" aca="1" ref="P168" ca="1">IF((L168-$C$16)&gt;0, IF($P$1+$C$16&gt;=L168,INDIRECT("M"&amp;(L168-$C$16)+5),0),0)</f>
        <v>0</v>
      </c>
      <c r="Q168" s="56" cm="1">
        <f t="array" aca="1" ref="Q168" ca="1">IF(L168&lt;=$C$16,0,IF($W$2&gt;=L168,IF(L168&lt;=($P$1+$C$16),INDIRECT("N"&amp;(L168-$C$16)+5),FV(SRate,L168-$P$1-$C$16,0,-$W$1,1)),0))</f>
        <v>2453217.3020601696</v>
      </c>
      <c r="R168" s="56">
        <f t="shared" ca="1" si="20"/>
        <v>1147962.1731114085</v>
      </c>
      <c r="S168" s="19">
        <f t="shared" si="22"/>
        <v>0</v>
      </c>
      <c r="T168" s="36" t="str" cm="1">
        <f t="array" aca="1" ref="T168" ca="1">IF(L168&lt;=$P$1,K168,IF(L168&lt;=($P$1+1),INDIRECT("K"&amp;5+$W$2),""))</f>
        <v/>
      </c>
      <c r="U168" s="38">
        <f t="shared" si="23"/>
        <v>14</v>
      </c>
    </row>
    <row r="169" spans="11:21" hidden="1" x14ac:dyDescent="0.25">
      <c r="K169" s="36">
        <f t="shared" ca="1" si="25"/>
        <v>51205</v>
      </c>
      <c r="L169" s="19">
        <v>164</v>
      </c>
      <c r="M169" s="19">
        <f t="shared" si="24"/>
        <v>0</v>
      </c>
      <c r="N169" s="37">
        <f t="shared" ca="1" si="21"/>
        <v>2476495.3730629552</v>
      </c>
      <c r="O169" s="37">
        <f t="shared" ca="1" si="19"/>
        <v>1153468.4363487314</v>
      </c>
      <c r="P169" s="55" cm="1">
        <f t="array" aca="1" ref="P169" ca="1">IF((L169-$C$16)&gt;0, IF($P$1+$C$16&gt;=L169,INDIRECT("M"&amp;(L169-$C$16)+5),0),0)</f>
        <v>0</v>
      </c>
      <c r="Q169" s="56" cm="1">
        <f t="array" aca="1" ref="Q169" ca="1">IF(L169&lt;=$C$16,0,IF($W$2&gt;=L169,IF(L169&lt;=($P$1+$C$16),INDIRECT("N"&amp;(L169-$C$16)+5),FV(SRate,L169-$P$1-$C$16,0,-$W$1,1)),0))</f>
        <v>2476495.3730629552</v>
      </c>
      <c r="R169" s="56">
        <f t="shared" ca="1" si="20"/>
        <v>1153468.4363487314</v>
      </c>
      <c r="S169" s="19">
        <f t="shared" si="22"/>
        <v>0</v>
      </c>
      <c r="T169" s="36" t="str" cm="1">
        <f t="array" aca="1" ref="T169" ca="1">IF(L169&lt;=$P$1,K169,IF(L169&lt;=($P$1+1),INDIRECT("K"&amp;5+$W$2),""))</f>
        <v/>
      </c>
      <c r="U169" s="38">
        <f t="shared" si="23"/>
        <v>14</v>
      </c>
    </row>
    <row r="170" spans="11:21" hidden="1" x14ac:dyDescent="0.25">
      <c r="K170" s="36">
        <f t="shared" ca="1" si="25"/>
        <v>51236</v>
      </c>
      <c r="L170" s="19">
        <v>165</v>
      </c>
      <c r="M170" s="19">
        <f t="shared" si="24"/>
        <v>0</v>
      </c>
      <c r="N170" s="37">
        <f t="shared" ca="1" si="21"/>
        <v>2499994.3248614022</v>
      </c>
      <c r="O170" s="37">
        <f t="shared" ca="1" si="19"/>
        <v>1159001.1106782914</v>
      </c>
      <c r="P170" s="55" cm="1">
        <f t="array" aca="1" ref="P170" ca="1">IF((L170-$C$16)&gt;0, IF($P$1+$C$16&gt;=L170,INDIRECT("M"&amp;(L170-$C$16)+5),0),0)</f>
        <v>0</v>
      </c>
      <c r="Q170" s="56" cm="1">
        <f t="array" aca="1" ref="Q170" ca="1">IF(L170&lt;=$C$16,0,IF($W$2&gt;=L170,IF(L170&lt;=($P$1+$C$16),INDIRECT("N"&amp;(L170-$C$16)+5),FV(SRate,L170-$P$1-$C$16,0,-$W$1,1)),0))</f>
        <v>2499994.3248614022</v>
      </c>
      <c r="R170" s="56">
        <f t="shared" ca="1" si="20"/>
        <v>1159001.1106782914</v>
      </c>
      <c r="S170" s="19">
        <f t="shared" si="22"/>
        <v>0</v>
      </c>
      <c r="T170" s="36" t="str" cm="1">
        <f t="array" aca="1" ref="T170" ca="1">IF(L170&lt;=$P$1,K170,IF(L170&lt;=($P$1+1),INDIRECT("K"&amp;5+$W$2),""))</f>
        <v/>
      </c>
      <c r="U170" s="38">
        <f t="shared" si="23"/>
        <v>14</v>
      </c>
    </row>
    <row r="171" spans="11:21" hidden="1" x14ac:dyDescent="0.25">
      <c r="K171" s="36">
        <f t="shared" ca="1" si="25"/>
        <v>51266</v>
      </c>
      <c r="L171" s="19">
        <v>166</v>
      </c>
      <c r="M171" s="19">
        <f t="shared" si="24"/>
        <v>0</v>
      </c>
      <c r="N171" s="37">
        <f t="shared" ca="1" si="21"/>
        <v>2523716.2533476455</v>
      </c>
      <c r="O171" s="37">
        <f t="shared" ca="1" si="19"/>
        <v>1164560.3227823344</v>
      </c>
      <c r="P171" s="55" cm="1">
        <f t="array" aca="1" ref="P171" ca="1">IF((L171-$C$16)&gt;0, IF($P$1+$C$16&gt;=L171,INDIRECT("M"&amp;(L171-$C$16)+5),0),0)</f>
        <v>0</v>
      </c>
      <c r="Q171" s="56" cm="1">
        <f t="array" aca="1" ref="Q171" ca="1">IF(L171&lt;=$C$16,0,IF($W$2&gt;=L171,IF(L171&lt;=($P$1+$C$16),INDIRECT("N"&amp;(L171-$C$16)+5),FV(SRate,L171-$P$1-$C$16,0,-$W$1,1)),0))</f>
        <v>2523716.2533476455</v>
      </c>
      <c r="R171" s="56">
        <f t="shared" ca="1" si="20"/>
        <v>1164560.3227823344</v>
      </c>
      <c r="S171" s="19">
        <f t="shared" si="22"/>
        <v>0</v>
      </c>
      <c r="T171" s="36" t="str" cm="1">
        <f t="array" aca="1" ref="T171" ca="1">IF(L171&lt;=$P$1,K171,IF(L171&lt;=($P$1+1),INDIRECT("K"&amp;5+$W$2),""))</f>
        <v/>
      </c>
      <c r="U171" s="38">
        <f t="shared" si="23"/>
        <v>14</v>
      </c>
    </row>
    <row r="172" spans="11:21" hidden="1" x14ac:dyDescent="0.25">
      <c r="K172" s="36">
        <f t="shared" ca="1" si="25"/>
        <v>51297</v>
      </c>
      <c r="L172" s="19">
        <v>167</v>
      </c>
      <c r="M172" s="19">
        <f t="shared" si="24"/>
        <v>0</v>
      </c>
      <c r="N172" s="37">
        <f t="shared" ca="1" si="21"/>
        <v>2547663.2743013031</v>
      </c>
      <c r="O172" s="37">
        <f t="shared" ca="1" si="19"/>
        <v>1170146.1999507444</v>
      </c>
      <c r="P172" s="55" cm="1">
        <f t="array" aca="1" ref="P172" ca="1">IF((L172-$C$16)&gt;0, IF($P$1+$C$16&gt;=L172,INDIRECT("M"&amp;(L172-$C$16)+5),0),0)</f>
        <v>0</v>
      </c>
      <c r="Q172" s="56" cm="1">
        <f t="array" aca="1" ref="Q172" ca="1">IF(L172&lt;=$C$16,0,IF($W$2&gt;=L172,IF(L172&lt;=($P$1+$C$16),INDIRECT("N"&amp;(L172-$C$16)+5),FV(SRate,L172-$P$1-$C$16,0,-$W$1,1)),0))</f>
        <v>2547663.2743013031</v>
      </c>
      <c r="R172" s="56">
        <f t="shared" ca="1" si="20"/>
        <v>1170146.1999507444</v>
      </c>
      <c r="S172" s="19">
        <f t="shared" si="22"/>
        <v>0</v>
      </c>
      <c r="T172" s="36" t="str" cm="1">
        <f t="array" aca="1" ref="T172" ca="1">IF(L172&lt;=$P$1,K172,IF(L172&lt;=($P$1+1),INDIRECT("K"&amp;5+$W$2),""))</f>
        <v/>
      </c>
      <c r="U172" s="38">
        <f t="shared" si="23"/>
        <v>14</v>
      </c>
    </row>
    <row r="173" spans="11:21" hidden="1" x14ac:dyDescent="0.25">
      <c r="K173" s="36">
        <f t="shared" ca="1" si="25"/>
        <v>51327</v>
      </c>
      <c r="L173" s="19">
        <v>168</v>
      </c>
      <c r="M173" s="19">
        <f t="shared" si="24"/>
        <v>0</v>
      </c>
      <c r="N173" s="37">
        <f t="shared" ca="1" si="21"/>
        <v>2571837.5235781898</v>
      </c>
      <c r="O173" s="37">
        <f t="shared" ca="1" si="19"/>
        <v>1175758.8700839581</v>
      </c>
      <c r="P173" s="55" cm="1">
        <f t="array" aca="1" ref="P173" ca="1">IF((L173-$C$16)&gt;0, IF($P$1+$C$16&gt;=L173,INDIRECT("M"&amp;(L173-$C$16)+5),0),0)</f>
        <v>0</v>
      </c>
      <c r="Q173" s="56" cm="1">
        <f t="array" aca="1" ref="Q173" ca="1">IF(L173&lt;=$C$16,0,IF($W$2&gt;=L173,IF(L173&lt;=($P$1+$C$16),INDIRECT("N"&amp;(L173-$C$16)+5),FV(SRate,L173-$P$1-$C$16,0,-$W$1,1)),0))</f>
        <v>2571837.5235781898</v>
      </c>
      <c r="R173" s="56">
        <f t="shared" ca="1" si="20"/>
        <v>1175758.8700839581</v>
      </c>
      <c r="S173" s="19">
        <f t="shared" si="22"/>
        <v>0</v>
      </c>
      <c r="T173" s="36" t="str" cm="1">
        <f t="array" aca="1" ref="T173" ca="1">IF(L173&lt;=$P$1,K173,IF(L173&lt;=($P$1+1),INDIRECT("K"&amp;5+$W$2),""))</f>
        <v/>
      </c>
      <c r="U173" s="38">
        <f t="shared" si="23"/>
        <v>14</v>
      </c>
    </row>
    <row r="174" spans="11:21" hidden="1" x14ac:dyDescent="0.25">
      <c r="K174" s="36">
        <f t="shared" ca="1" si="25"/>
        <v>51358</v>
      </c>
      <c r="L174" s="19">
        <v>169</v>
      </c>
      <c r="M174" s="19">
        <f t="shared" si="24"/>
        <v>0</v>
      </c>
      <c r="N174" s="37">
        <f t="shared" ca="1" si="21"/>
        <v>2596241.1573008141</v>
      </c>
      <c r="O174" s="37">
        <f t="shared" ca="1" si="19"/>
        <v>1181398.4616958948</v>
      </c>
      <c r="P174" s="55" cm="1">
        <f t="array" aca="1" ref="P174" ca="1">IF((L174-$C$16)&gt;0, IF($P$1+$C$16&gt;=L174,INDIRECT("M"&amp;(L174-$C$16)+5),0),0)</f>
        <v>0</v>
      </c>
      <c r="Q174" s="56" cm="1">
        <f t="array" aca="1" ref="Q174" ca="1">IF(L174&lt;=$C$16,0,IF($W$2&gt;=L174,IF(L174&lt;=($P$1+$C$16),INDIRECT("N"&amp;(L174-$C$16)+5),FV(SRate,L174-$P$1-$C$16,0,-$W$1,1)),0))</f>
        <v>2596241.1573008141</v>
      </c>
      <c r="R174" s="56">
        <f t="shared" ca="1" si="20"/>
        <v>1181398.4616958948</v>
      </c>
      <c r="S174" s="19">
        <f t="shared" si="22"/>
        <v>0</v>
      </c>
      <c r="T174" s="36" t="str" cm="1">
        <f t="array" aca="1" ref="T174" ca="1">IF(L174&lt;=$P$1,K174,IF(L174&lt;=($P$1+1),INDIRECT("K"&amp;5+$W$2),""))</f>
        <v/>
      </c>
      <c r="U174" s="38">
        <f t="shared" si="23"/>
        <v>15</v>
      </c>
    </row>
    <row r="175" spans="11:21" hidden="1" x14ac:dyDescent="0.25">
      <c r="K175" s="36">
        <f t="shared" ca="1" si="25"/>
        <v>51389</v>
      </c>
      <c r="L175" s="19">
        <v>170</v>
      </c>
      <c r="M175" s="19">
        <f t="shared" si="24"/>
        <v>0</v>
      </c>
      <c r="N175" s="37">
        <f t="shared" ca="1" si="21"/>
        <v>2620876.3520506839</v>
      </c>
      <c r="O175" s="37">
        <f t="shared" ca="1" si="19"/>
        <v>1187065.1039168967</v>
      </c>
      <c r="P175" s="55" cm="1">
        <f t="array" aca="1" ref="P175" ca="1">IF((L175-$C$16)&gt;0, IF($P$1+$C$16&gt;=L175,INDIRECT("M"&amp;(L175-$C$16)+5),0),0)</f>
        <v>0</v>
      </c>
      <c r="Q175" s="56" cm="1">
        <f t="array" aca="1" ref="Q175" ca="1">IF(L175&lt;=$C$16,0,IF($W$2&gt;=L175,IF(L175&lt;=($P$1+$C$16),INDIRECT("N"&amp;(L175-$C$16)+5),FV(SRate,L175-$P$1-$C$16,0,-$W$1,1)),0))</f>
        <v>2620876.3520506839</v>
      </c>
      <c r="R175" s="56">
        <f t="shared" ca="1" si="20"/>
        <v>1187065.1039168967</v>
      </c>
      <c r="S175" s="19">
        <f t="shared" si="22"/>
        <v>0</v>
      </c>
      <c r="T175" s="36" t="str" cm="1">
        <f t="array" aca="1" ref="T175" ca="1">IF(L175&lt;=$P$1,K175,IF(L175&lt;=($P$1+1),INDIRECT("K"&amp;5+$W$2),""))</f>
        <v/>
      </c>
      <c r="U175" s="38">
        <f t="shared" si="23"/>
        <v>15</v>
      </c>
    </row>
    <row r="176" spans="11:21" hidden="1" x14ac:dyDescent="0.25">
      <c r="K176" s="36">
        <f t="shared" ca="1" si="25"/>
        <v>51419</v>
      </c>
      <c r="L176" s="19">
        <v>171</v>
      </c>
      <c r="M176" s="19">
        <f t="shared" si="24"/>
        <v>0</v>
      </c>
      <c r="N176" s="37">
        <f t="shared" ca="1" si="21"/>
        <v>2645745.3050624384</v>
      </c>
      <c r="O176" s="37">
        <f t="shared" ca="1" si="19"/>
        <v>1192758.9264966866</v>
      </c>
      <c r="P176" s="55" cm="1">
        <f t="array" aca="1" ref="P176" ca="1">IF((L176-$C$16)&gt;0, IF($P$1+$C$16&gt;=L176,INDIRECT("M"&amp;(L176-$C$16)+5),0),0)</f>
        <v>0</v>
      </c>
      <c r="Q176" s="56" cm="1">
        <f t="array" aca="1" ref="Q176" ca="1">IF(L176&lt;=$C$16,0,IF($W$2&gt;=L176,IF(L176&lt;=($P$1+$C$16),INDIRECT("N"&amp;(L176-$C$16)+5),FV(SRate,L176-$P$1-$C$16,0,-$W$1,1)),0))</f>
        <v>2645745.3050624384</v>
      </c>
      <c r="R176" s="56">
        <f t="shared" ca="1" si="20"/>
        <v>1192758.9264966866</v>
      </c>
      <c r="S176" s="19">
        <f t="shared" si="22"/>
        <v>0</v>
      </c>
      <c r="T176" s="36" t="str" cm="1">
        <f t="array" aca="1" ref="T176" ca="1">IF(L176&lt;=$P$1,K176,IF(L176&lt;=($P$1+1),INDIRECT("K"&amp;5+$W$2),""))</f>
        <v/>
      </c>
      <c r="U176" s="38">
        <f t="shared" si="23"/>
        <v>15</v>
      </c>
    </row>
    <row r="177" spans="11:21" hidden="1" x14ac:dyDescent="0.25">
      <c r="K177" s="36">
        <f t="shared" ca="1" si="25"/>
        <v>51450</v>
      </c>
      <c r="L177" s="19">
        <v>172</v>
      </c>
      <c r="M177" s="19">
        <f t="shared" si="24"/>
        <v>0</v>
      </c>
      <c r="N177" s="37">
        <f t="shared" ca="1" si="21"/>
        <v>2670850.2344198208</v>
      </c>
      <c r="O177" s="37">
        <f t="shared" ca="1" si="19"/>
        <v>1198480.0598073397</v>
      </c>
      <c r="P177" s="55" cm="1">
        <f t="array" aca="1" ref="P177" ca="1">IF((L177-$C$16)&gt;0, IF($P$1+$C$16&gt;=L177,INDIRECT("M"&amp;(L177-$C$16)+5),0),0)</f>
        <v>0</v>
      </c>
      <c r="Q177" s="56" cm="1">
        <f t="array" aca="1" ref="Q177" ca="1">IF(L177&lt;=$C$16,0,IF($W$2&gt;=L177,IF(L177&lt;=($P$1+$C$16),INDIRECT("N"&amp;(L177-$C$16)+5),FV(SRate,L177-$P$1-$C$16,0,-$W$1,1)),0))</f>
        <v>2670850.2344198208</v>
      </c>
      <c r="R177" s="56">
        <f t="shared" ca="1" si="20"/>
        <v>1198480.0598073397</v>
      </c>
      <c r="S177" s="19">
        <f t="shared" si="22"/>
        <v>0</v>
      </c>
      <c r="T177" s="36" t="str" cm="1">
        <f t="array" aca="1" ref="T177" ca="1">IF(L177&lt;=$P$1,K177,IF(L177&lt;=($P$1+1),INDIRECT("K"&amp;5+$W$2),""))</f>
        <v/>
      </c>
      <c r="U177" s="38">
        <f t="shared" si="23"/>
        <v>15</v>
      </c>
    </row>
    <row r="178" spans="11:21" hidden="1" x14ac:dyDescent="0.25">
      <c r="K178" s="36">
        <f t="shared" ca="1" si="25"/>
        <v>51480</v>
      </c>
      <c r="L178" s="19">
        <v>173</v>
      </c>
      <c r="M178" s="19">
        <f t="shared" si="24"/>
        <v>0</v>
      </c>
      <c r="N178" s="37">
        <f t="shared" ca="1" si="21"/>
        <v>2696193.3792535132</v>
      </c>
      <c r="O178" s="37">
        <f t="shared" ca="1" si="19"/>
        <v>1204228.634846268</v>
      </c>
      <c r="P178" s="55" cm="1">
        <f t="array" aca="1" ref="P178" ca="1">IF((L178-$C$16)&gt;0, IF($P$1+$C$16&gt;=L178,INDIRECT("M"&amp;(L178-$C$16)+5),0),0)</f>
        <v>0</v>
      </c>
      <c r="Q178" s="56" cm="1">
        <f t="array" aca="1" ref="Q178" ca="1">IF(L178&lt;=$C$16,0,IF($W$2&gt;=L178,IF(L178&lt;=($P$1+$C$16),INDIRECT("N"&amp;(L178-$C$16)+5),FV(SRate,L178-$P$1-$C$16,0,-$W$1,1)),0))</f>
        <v>2696193.3792535132</v>
      </c>
      <c r="R178" s="56">
        <f t="shared" ca="1" si="20"/>
        <v>1204228.634846268</v>
      </c>
      <c r="S178" s="19">
        <f t="shared" si="22"/>
        <v>0</v>
      </c>
      <c r="T178" s="36" t="str" cm="1">
        <f t="array" aca="1" ref="T178" ca="1">IF(L178&lt;=$P$1,K178,IF(L178&lt;=($P$1+1),INDIRECT("K"&amp;5+$W$2),""))</f>
        <v/>
      </c>
      <c r="U178" s="38">
        <f t="shared" si="23"/>
        <v>15</v>
      </c>
    </row>
    <row r="179" spans="11:21" hidden="1" x14ac:dyDescent="0.25">
      <c r="K179" s="36">
        <f t="shared" ca="1" si="25"/>
        <v>51511</v>
      </c>
      <c r="L179" s="19">
        <v>174</v>
      </c>
      <c r="M179" s="19">
        <f t="shared" si="24"/>
        <v>0</v>
      </c>
      <c r="N179" s="37">
        <f t="shared" ca="1" si="21"/>
        <v>2721776.9999408438</v>
      </c>
      <c r="O179" s="37">
        <f t="shared" ca="1" si="19"/>
        <v>1210004.7832392184</v>
      </c>
      <c r="P179" s="55" cm="1">
        <f t="array" aca="1" ref="P179" ca="1">IF((L179-$C$16)&gt;0, IF($P$1+$C$16&gt;=L179,INDIRECT("M"&amp;(L179-$C$16)+5),0),0)</f>
        <v>0</v>
      </c>
      <c r="Q179" s="56" cm="1">
        <f t="array" aca="1" ref="Q179" ca="1">IF(L179&lt;=$C$16,0,IF($W$2&gt;=L179,IF(L179&lt;=($P$1+$C$16),INDIRECT("N"&amp;(L179-$C$16)+5),FV(SRate,L179-$P$1-$C$16,0,-$W$1,1)),0))</f>
        <v>2721776.9999408438</v>
      </c>
      <c r="R179" s="56">
        <f t="shared" ca="1" si="20"/>
        <v>1210004.7832392184</v>
      </c>
      <c r="S179" s="19">
        <f t="shared" si="22"/>
        <v>0</v>
      </c>
      <c r="T179" s="36" t="str" cm="1">
        <f t="array" aca="1" ref="T179" ca="1">IF(L179&lt;=$P$1,K179,IF(L179&lt;=($P$1+1),INDIRECT("K"&amp;5+$W$2),""))</f>
        <v/>
      </c>
      <c r="U179" s="38">
        <f t="shared" si="23"/>
        <v>15</v>
      </c>
    </row>
    <row r="180" spans="11:21" hidden="1" x14ac:dyDescent="0.25">
      <c r="K180" s="36">
        <f t="shared" ca="1" si="25"/>
        <v>51542</v>
      </c>
      <c r="L180" s="19">
        <v>175</v>
      </c>
      <c r="M180" s="19">
        <f t="shared" si="24"/>
        <v>0</v>
      </c>
      <c r="N180" s="37">
        <f t="shared" ca="1" si="21"/>
        <v>2747603.3783073938</v>
      </c>
      <c r="O180" s="37">
        <f t="shared" ca="1" si="19"/>
        <v>1215808.6372432902</v>
      </c>
      <c r="P180" s="55" cm="1">
        <f t="array" aca="1" ref="P180" ca="1">IF((L180-$C$16)&gt;0, IF($P$1+$C$16&gt;=L180,INDIRECT("M"&amp;(L180-$C$16)+5),0),0)</f>
        <v>0</v>
      </c>
      <c r="Q180" s="56" cm="1">
        <f t="array" aca="1" ref="Q180" ca="1">IF(L180&lt;=$C$16,0,IF($W$2&gt;=L180,IF(L180&lt;=($P$1+$C$16),INDIRECT("N"&amp;(L180-$C$16)+5),FV(SRate,L180-$P$1-$C$16,0,-$W$1,1)),0))</f>
        <v>2747603.3783073938</v>
      </c>
      <c r="R180" s="56">
        <f t="shared" ca="1" si="20"/>
        <v>1215808.6372432902</v>
      </c>
      <c r="S180" s="19">
        <f t="shared" si="22"/>
        <v>0</v>
      </c>
      <c r="T180" s="36" t="str" cm="1">
        <f t="array" aca="1" ref="T180" ca="1">IF(L180&lt;=$P$1,K180,IF(L180&lt;=($P$1+1),INDIRECT("K"&amp;5+$W$2),""))</f>
        <v/>
      </c>
      <c r="U180" s="38">
        <f t="shared" si="23"/>
        <v>15</v>
      </c>
    </row>
    <row r="181" spans="11:21" hidden="1" x14ac:dyDescent="0.25">
      <c r="K181" s="36">
        <f t="shared" ca="1" si="25"/>
        <v>51570</v>
      </c>
      <c r="L181" s="19">
        <v>176</v>
      </c>
      <c r="M181" s="19">
        <f t="shared" si="24"/>
        <v>0</v>
      </c>
      <c r="N181" s="37">
        <f t="shared" ca="1" si="21"/>
        <v>2773674.8178305128</v>
      </c>
      <c r="O181" s="37">
        <f t="shared" ca="1" si="19"/>
        <v>1221640.3297499579</v>
      </c>
      <c r="P181" s="55" cm="1">
        <f t="array" aca="1" ref="P181" ca="1">IF((L181-$C$16)&gt;0, IF($P$1+$C$16&gt;=L181,INDIRECT("M"&amp;(L181-$C$16)+5),0),0)</f>
        <v>0</v>
      </c>
      <c r="Q181" s="56" cm="1">
        <f t="array" aca="1" ref="Q181" ca="1">IF(L181&lt;=$C$16,0,IF($W$2&gt;=L181,IF(L181&lt;=($P$1+$C$16),INDIRECT("N"&amp;(L181-$C$16)+5),FV(SRate,L181-$P$1-$C$16,0,-$W$1,1)),0))</f>
        <v>2773674.8178305128</v>
      </c>
      <c r="R181" s="56">
        <f t="shared" ca="1" si="20"/>
        <v>1221640.3297499579</v>
      </c>
      <c r="S181" s="19">
        <f t="shared" si="22"/>
        <v>0</v>
      </c>
      <c r="T181" s="36" t="str" cm="1">
        <f t="array" aca="1" ref="T181" ca="1">IF(L181&lt;=$P$1,K181,IF(L181&lt;=($P$1+1),INDIRECT("K"&amp;5+$W$2),""))</f>
        <v/>
      </c>
      <c r="U181" s="38">
        <f t="shared" si="23"/>
        <v>15</v>
      </c>
    </row>
    <row r="182" spans="11:21" hidden="1" x14ac:dyDescent="0.25">
      <c r="K182" s="36">
        <f t="shared" ca="1" si="25"/>
        <v>51601</v>
      </c>
      <c r="L182" s="19">
        <v>177</v>
      </c>
      <c r="M182" s="19">
        <f t="shared" si="24"/>
        <v>0</v>
      </c>
      <c r="N182" s="37">
        <f t="shared" ca="1" si="21"/>
        <v>2799993.643844774</v>
      </c>
      <c r="O182" s="37">
        <f t="shared" ca="1" si="19"/>
        <v>1227499.9942881209</v>
      </c>
      <c r="P182" s="55" cm="1">
        <f t="array" aca="1" ref="P182" ca="1">IF((L182-$C$16)&gt;0, IF($P$1+$C$16&gt;=L182,INDIRECT("M"&amp;(L182-$C$16)+5),0),0)</f>
        <v>0</v>
      </c>
      <c r="Q182" s="56" cm="1">
        <f t="array" aca="1" ref="Q182" ca="1">IF(L182&lt;=$C$16,0,IF($W$2&gt;=L182,IF(L182&lt;=($P$1+$C$16),INDIRECT("N"&amp;(L182-$C$16)+5),FV(SRate,L182-$P$1-$C$16,0,-$W$1,1)),0))</f>
        <v>2799993.643844774</v>
      </c>
      <c r="R182" s="56">
        <f t="shared" ca="1" si="20"/>
        <v>1227499.9942881209</v>
      </c>
      <c r="S182" s="19">
        <f t="shared" si="22"/>
        <v>0</v>
      </c>
      <c r="T182" s="36" t="str" cm="1">
        <f t="array" aca="1" ref="T182" ca="1">IF(L182&lt;=$P$1,K182,IF(L182&lt;=($P$1+1),INDIRECT("K"&amp;5+$W$2),""))</f>
        <v/>
      </c>
      <c r="U182" s="38">
        <f t="shared" si="23"/>
        <v>15</v>
      </c>
    </row>
    <row r="183" spans="11:21" hidden="1" x14ac:dyDescent="0.25">
      <c r="K183" s="36">
        <f t="shared" ca="1" si="25"/>
        <v>51631</v>
      </c>
      <c r="L183" s="19">
        <v>178</v>
      </c>
      <c r="M183" s="19">
        <f t="shared" si="24"/>
        <v>0</v>
      </c>
      <c r="N183" s="37">
        <f t="shared" ca="1" si="21"/>
        <v>2826562.2037493661</v>
      </c>
      <c r="O183" s="37">
        <f t="shared" ca="1" si="19"/>
        <v>1233387.7650271547</v>
      </c>
      <c r="P183" s="55" cm="1">
        <f t="array" aca="1" ref="P183" ca="1">IF((L183-$C$16)&gt;0, IF($P$1+$C$16&gt;=L183,INDIRECT("M"&amp;(L183-$C$16)+5),0),0)</f>
        <v>0</v>
      </c>
      <c r="Q183" s="56" cm="1">
        <f t="array" aca="1" ref="Q183" ca="1">IF(L183&lt;=$C$16,0,IF($W$2&gt;=L183,IF(L183&lt;=($P$1+$C$16),INDIRECT("N"&amp;(L183-$C$16)+5),FV(SRate,L183-$P$1-$C$16,0,-$W$1,1)),0))</f>
        <v>2826562.2037493661</v>
      </c>
      <c r="R183" s="56">
        <f t="shared" ca="1" si="20"/>
        <v>1233387.7650271547</v>
      </c>
      <c r="S183" s="19">
        <f t="shared" si="22"/>
        <v>0</v>
      </c>
      <c r="T183" s="36" t="str" cm="1">
        <f t="array" aca="1" ref="T183" ca="1">IF(L183&lt;=$P$1,K183,IF(L183&lt;=($P$1+1),INDIRECT("K"&amp;5+$W$2),""))</f>
        <v/>
      </c>
      <c r="U183" s="38">
        <f t="shared" si="23"/>
        <v>15</v>
      </c>
    </row>
    <row r="184" spans="11:21" hidden="1" x14ac:dyDescent="0.25">
      <c r="K184" s="36">
        <f t="shared" ca="1" si="25"/>
        <v>51662</v>
      </c>
      <c r="L184" s="19">
        <v>179</v>
      </c>
      <c r="M184" s="19">
        <f t="shared" si="24"/>
        <v>0</v>
      </c>
      <c r="N184" s="37">
        <f t="shared" ca="1" si="21"/>
        <v>2853382.867217463</v>
      </c>
      <c r="O184" s="37">
        <f t="shared" ca="1" si="19"/>
        <v>1239303.776779986</v>
      </c>
      <c r="P184" s="55" cm="1">
        <f t="array" aca="1" ref="P184" ca="1">IF((L184-$C$16)&gt;0, IF($P$1+$C$16&gt;=L184,INDIRECT("M"&amp;(L184-$C$16)+5),0),0)</f>
        <v>0</v>
      </c>
      <c r="Q184" s="56" cm="1">
        <f t="array" aca="1" ref="Q184" ca="1">IF(L184&lt;=$C$16,0,IF($W$2&gt;=L184,IF(L184&lt;=($P$1+$C$16),INDIRECT("N"&amp;(L184-$C$16)+5),FV(SRate,L184-$P$1-$C$16,0,-$W$1,1)),0))</f>
        <v>2853382.867217463</v>
      </c>
      <c r="R184" s="56">
        <f t="shared" ca="1" si="20"/>
        <v>1239303.776779986</v>
      </c>
      <c r="S184" s="19">
        <f t="shared" si="22"/>
        <v>0</v>
      </c>
      <c r="T184" s="36" t="str" cm="1">
        <f t="array" aca="1" ref="T184" ca="1">IF(L184&lt;=$P$1,K184,IF(L184&lt;=($P$1+1),INDIRECT("K"&amp;5+$W$2),""))</f>
        <v/>
      </c>
      <c r="U184" s="38">
        <f t="shared" si="23"/>
        <v>15</v>
      </c>
    </row>
    <row r="185" spans="11:21" hidden="1" x14ac:dyDescent="0.25">
      <c r="K185" s="36">
        <f t="shared" ca="1" si="25"/>
        <v>51692</v>
      </c>
      <c r="L185" s="19">
        <v>180</v>
      </c>
      <c r="M185" s="19">
        <f t="shared" si="24"/>
        <v>0</v>
      </c>
      <c r="N185" s="37">
        <f t="shared" ca="1" si="21"/>
        <v>2880458.0264075766</v>
      </c>
      <c r="O185" s="37">
        <f t="shared" ca="1" si="19"/>
        <v>1245248.1650061796</v>
      </c>
      <c r="P185" s="55" cm="1">
        <f t="array" aca="1" ref="P185" ca="1">IF((L185-$C$16)&gt;0, IF($P$1+$C$16&gt;=L185,INDIRECT("M"&amp;(L185-$C$16)+5),0),0)</f>
        <v>0</v>
      </c>
      <c r="Q185" s="56" cm="1">
        <f t="array" aca="1" ref="Q185" ca="1">IF(L185&lt;=$C$16,0,IF($W$2&gt;=L185,IF(L185&lt;=($P$1+$C$16),INDIRECT("N"&amp;(L185-$C$16)+5),FV(SRate,L185-$P$1-$C$16,0,-$W$1,1)),0))</f>
        <v>2880458.0264075766</v>
      </c>
      <c r="R185" s="56">
        <f t="shared" ca="1" si="20"/>
        <v>1245248.1650061796</v>
      </c>
      <c r="S185" s="19">
        <f t="shared" si="22"/>
        <v>0</v>
      </c>
      <c r="T185" s="36" t="str" cm="1">
        <f t="array" aca="1" ref="T185" ca="1">IF(L185&lt;=$P$1,K185,IF(L185&lt;=($P$1+1),INDIRECT("K"&amp;5+$W$2),""))</f>
        <v/>
      </c>
      <c r="U185" s="38">
        <f t="shared" si="23"/>
        <v>15</v>
      </c>
    </row>
    <row r="186" spans="11:21" hidden="1" x14ac:dyDescent="0.25">
      <c r="K186" s="36">
        <f t="shared" ca="1" si="25"/>
        <v>51723</v>
      </c>
      <c r="L186" s="19">
        <v>181</v>
      </c>
      <c r="M186" s="19">
        <f t="shared" si="24"/>
        <v>0</v>
      </c>
      <c r="N186" s="37">
        <f t="shared" si="21"/>
        <v>0</v>
      </c>
      <c r="O186" s="37">
        <f t="shared" si="19"/>
        <v>0</v>
      </c>
      <c r="P186" s="55" cm="1">
        <f t="array" aca="1" ref="P186" ca="1">IF((L186-$C$16)&gt;0, IF($P$1+$C$16&gt;=L186,INDIRECT("M"&amp;(L186-$C$16)+5),0),0)</f>
        <v>0</v>
      </c>
      <c r="Q186" s="56" cm="1">
        <f t="array" aca="1" ref="Q186" ca="1">IF(L186&lt;=$C$16,0,IF($W$2&gt;=L186,IF(L186&lt;=($P$1+$C$16),INDIRECT("N"&amp;(L186-$C$16)+5),FV(SRate,L186-$P$1-$C$16,0,-$W$1,1)),0))</f>
        <v>0</v>
      </c>
      <c r="R186" s="56">
        <f t="shared" ca="1" si="20"/>
        <v>0</v>
      </c>
      <c r="S186" s="19">
        <f t="shared" si="22"/>
        <v>0</v>
      </c>
      <c r="T186" s="36" t="str" cm="1">
        <f t="array" aca="1" ref="T186" ca="1">IF(L186&lt;=$P$1,K186,IF(L186&lt;=($P$1+1),INDIRECT("K"&amp;5+$W$2),""))</f>
        <v/>
      </c>
      <c r="U186" s="38">
        <f t="shared" si="23"/>
        <v>16</v>
      </c>
    </row>
    <row r="187" spans="11:21" hidden="1" x14ac:dyDescent="0.25">
      <c r="K187" s="36">
        <f t="shared" ca="1" si="25"/>
        <v>51754</v>
      </c>
      <c r="L187" s="19">
        <v>182</v>
      </c>
      <c r="M187" s="19">
        <f t="shared" si="24"/>
        <v>0</v>
      </c>
      <c r="N187" s="37">
        <f t="shared" si="21"/>
        <v>0</v>
      </c>
      <c r="O187" s="37">
        <f t="shared" si="19"/>
        <v>0</v>
      </c>
      <c r="P187" s="55" cm="1">
        <f t="array" aca="1" ref="P187" ca="1">IF((L187-$C$16)&gt;0, IF($P$1+$C$16&gt;=L187,INDIRECT("M"&amp;(L187-$C$16)+5),0),0)</f>
        <v>0</v>
      </c>
      <c r="Q187" s="56" cm="1">
        <f t="array" aca="1" ref="Q187" ca="1">IF(L187&lt;=$C$16,0,IF($W$2&gt;=L187,IF(L187&lt;=($P$1+$C$16),INDIRECT("N"&amp;(L187-$C$16)+5),FV(SRate,L187-$P$1-$C$16,0,-$W$1,1)),0))</f>
        <v>0</v>
      </c>
      <c r="R187" s="56">
        <f t="shared" ca="1" si="20"/>
        <v>0</v>
      </c>
      <c r="S187" s="19">
        <f t="shared" si="22"/>
        <v>0</v>
      </c>
      <c r="T187" s="36" t="str" cm="1">
        <f t="array" aca="1" ref="T187" ca="1">IF(L187&lt;=$P$1,K187,IF(L187&lt;=($P$1+1),INDIRECT("K"&amp;5+$W$2),""))</f>
        <v/>
      </c>
      <c r="U187" s="38">
        <f t="shared" si="23"/>
        <v>16</v>
      </c>
    </row>
    <row r="188" spans="11:21" hidden="1" x14ac:dyDescent="0.25">
      <c r="K188" s="36">
        <f t="shared" ca="1" si="25"/>
        <v>51784</v>
      </c>
      <c r="L188" s="19">
        <v>183</v>
      </c>
      <c r="M188" s="19">
        <f t="shared" si="24"/>
        <v>0</v>
      </c>
      <c r="N188" s="37">
        <f t="shared" si="21"/>
        <v>0</v>
      </c>
      <c r="O188" s="37">
        <f t="shared" si="19"/>
        <v>0</v>
      </c>
      <c r="P188" s="55" cm="1">
        <f t="array" aca="1" ref="P188" ca="1">IF((L188-$C$16)&gt;0, IF($P$1+$C$16&gt;=L188,INDIRECT("M"&amp;(L188-$C$16)+5),0),0)</f>
        <v>0</v>
      </c>
      <c r="Q188" s="56" cm="1">
        <f t="array" aca="1" ref="Q188" ca="1">IF(L188&lt;=$C$16,0,IF($W$2&gt;=L188,IF(L188&lt;=($P$1+$C$16),INDIRECT("N"&amp;(L188-$C$16)+5),FV(SRate,L188-$P$1-$C$16,0,-$W$1,1)),0))</f>
        <v>0</v>
      </c>
      <c r="R188" s="56">
        <f t="shared" ca="1" si="20"/>
        <v>0</v>
      </c>
      <c r="S188" s="19">
        <f t="shared" si="22"/>
        <v>0</v>
      </c>
      <c r="T188" s="36" t="str" cm="1">
        <f t="array" aca="1" ref="T188" ca="1">IF(L188&lt;=$P$1,K188,IF(L188&lt;=($P$1+1),INDIRECT("K"&amp;5+$W$2),""))</f>
        <v/>
      </c>
      <c r="U188" s="38">
        <f t="shared" si="23"/>
        <v>16</v>
      </c>
    </row>
    <row r="189" spans="11:21" hidden="1" x14ac:dyDescent="0.25">
      <c r="K189" s="36">
        <f t="shared" ca="1" si="25"/>
        <v>51815</v>
      </c>
      <c r="L189" s="19">
        <v>184</v>
      </c>
      <c r="M189" s="19">
        <f t="shared" si="24"/>
        <v>0</v>
      </c>
      <c r="N189" s="37">
        <f t="shared" si="21"/>
        <v>0</v>
      </c>
      <c r="O189" s="37">
        <f t="shared" si="19"/>
        <v>0</v>
      </c>
      <c r="P189" s="55" cm="1">
        <f t="array" aca="1" ref="P189" ca="1">IF((L189-$C$16)&gt;0, IF($P$1+$C$16&gt;=L189,INDIRECT("M"&amp;(L189-$C$16)+5),0),0)</f>
        <v>0</v>
      </c>
      <c r="Q189" s="56" cm="1">
        <f t="array" aca="1" ref="Q189" ca="1">IF(L189&lt;=$C$16,0,IF($W$2&gt;=L189,IF(L189&lt;=($P$1+$C$16),INDIRECT("N"&amp;(L189-$C$16)+5),FV(SRate,L189-$P$1-$C$16,0,-$W$1,1)),0))</f>
        <v>0</v>
      </c>
      <c r="R189" s="56">
        <f t="shared" ca="1" si="20"/>
        <v>0</v>
      </c>
      <c r="S189" s="19">
        <f t="shared" si="22"/>
        <v>0</v>
      </c>
      <c r="T189" s="36" t="str" cm="1">
        <f t="array" aca="1" ref="T189" ca="1">IF(L189&lt;=$P$1,K189,IF(L189&lt;=($P$1+1),INDIRECT("K"&amp;5+$W$2),""))</f>
        <v/>
      </c>
      <c r="U189" s="38">
        <f t="shared" si="23"/>
        <v>16</v>
      </c>
    </row>
    <row r="190" spans="11:21" hidden="1" x14ac:dyDescent="0.25">
      <c r="K190" s="36">
        <f t="shared" ca="1" si="25"/>
        <v>51845</v>
      </c>
      <c r="L190" s="19">
        <v>185</v>
      </c>
      <c r="M190" s="19">
        <f t="shared" si="24"/>
        <v>0</v>
      </c>
      <c r="N190" s="37">
        <f t="shared" si="21"/>
        <v>0</v>
      </c>
      <c r="O190" s="37">
        <f t="shared" si="19"/>
        <v>0</v>
      </c>
      <c r="P190" s="55" cm="1">
        <f t="array" aca="1" ref="P190" ca="1">IF((L190-$C$16)&gt;0, IF($P$1+$C$16&gt;=L190,INDIRECT("M"&amp;(L190-$C$16)+5),0),0)</f>
        <v>0</v>
      </c>
      <c r="Q190" s="56" cm="1">
        <f t="array" aca="1" ref="Q190" ca="1">IF(L190&lt;=$C$16,0,IF($W$2&gt;=L190,IF(L190&lt;=($P$1+$C$16),INDIRECT("N"&amp;(L190-$C$16)+5),FV(SRate,L190-$P$1-$C$16,0,-$W$1,1)),0))</f>
        <v>0</v>
      </c>
      <c r="R190" s="56">
        <f t="shared" ca="1" si="20"/>
        <v>0</v>
      </c>
      <c r="S190" s="19">
        <f t="shared" si="22"/>
        <v>0</v>
      </c>
      <c r="T190" s="36" t="str" cm="1">
        <f t="array" aca="1" ref="T190" ca="1">IF(L190&lt;=$P$1,K190,IF(L190&lt;=($P$1+1),INDIRECT("K"&amp;5+$W$2),""))</f>
        <v/>
      </c>
      <c r="U190" s="38">
        <f t="shared" si="23"/>
        <v>16</v>
      </c>
    </row>
    <row r="191" spans="11:21" hidden="1" x14ac:dyDescent="0.25">
      <c r="K191" s="36">
        <f t="shared" ca="1" si="25"/>
        <v>51876</v>
      </c>
      <c r="L191" s="19">
        <v>186</v>
      </c>
      <c r="M191" s="19">
        <f t="shared" si="24"/>
        <v>0</v>
      </c>
      <c r="N191" s="37">
        <f t="shared" si="21"/>
        <v>0</v>
      </c>
      <c r="O191" s="37">
        <f t="shared" si="19"/>
        <v>0</v>
      </c>
      <c r="P191" s="55" cm="1">
        <f t="array" aca="1" ref="P191" ca="1">IF((L191-$C$16)&gt;0, IF($P$1+$C$16&gt;=L191,INDIRECT("M"&amp;(L191-$C$16)+5),0),0)</f>
        <v>0</v>
      </c>
      <c r="Q191" s="56" cm="1">
        <f t="array" aca="1" ref="Q191" ca="1">IF(L191&lt;=$C$16,0,IF($W$2&gt;=L191,IF(L191&lt;=($P$1+$C$16),INDIRECT("N"&amp;(L191-$C$16)+5),FV(SRate,L191-$P$1-$C$16,0,-$W$1,1)),0))</f>
        <v>0</v>
      </c>
      <c r="R191" s="56">
        <f t="shared" ca="1" si="20"/>
        <v>0</v>
      </c>
      <c r="S191" s="19">
        <f t="shared" si="22"/>
        <v>0</v>
      </c>
      <c r="T191" s="36" t="str" cm="1">
        <f t="array" aca="1" ref="T191" ca="1">IF(L191&lt;=$P$1,K191,IF(L191&lt;=($P$1+1),INDIRECT("K"&amp;5+$W$2),""))</f>
        <v/>
      </c>
      <c r="U191" s="38">
        <f t="shared" si="23"/>
        <v>16</v>
      </c>
    </row>
    <row r="192" spans="11:21" hidden="1" x14ac:dyDescent="0.25">
      <c r="K192" s="36">
        <f t="shared" ca="1" si="25"/>
        <v>51907</v>
      </c>
      <c r="L192" s="19">
        <v>187</v>
      </c>
      <c r="M192" s="19">
        <f t="shared" si="24"/>
        <v>0</v>
      </c>
      <c r="N192" s="37">
        <f t="shared" si="21"/>
        <v>0</v>
      </c>
      <c r="O192" s="37">
        <f t="shared" si="19"/>
        <v>0</v>
      </c>
      <c r="P192" s="55" cm="1">
        <f t="array" aca="1" ref="P192" ca="1">IF((L192-$C$16)&gt;0, IF($P$1+$C$16&gt;=L192,INDIRECT("M"&amp;(L192-$C$16)+5),0),0)</f>
        <v>0</v>
      </c>
      <c r="Q192" s="56" cm="1">
        <f t="array" aca="1" ref="Q192" ca="1">IF(L192&lt;=$C$16,0,IF($W$2&gt;=L192,IF(L192&lt;=($P$1+$C$16),INDIRECT("N"&amp;(L192-$C$16)+5),FV(SRate,L192-$P$1-$C$16,0,-$W$1,1)),0))</f>
        <v>0</v>
      </c>
      <c r="R192" s="56">
        <f t="shared" ca="1" si="20"/>
        <v>0</v>
      </c>
      <c r="S192" s="19">
        <f t="shared" si="22"/>
        <v>0</v>
      </c>
      <c r="T192" s="36" t="str" cm="1">
        <f t="array" aca="1" ref="T192" ca="1">IF(L192&lt;=$P$1,K192,IF(L192&lt;=($P$1+1),INDIRECT("K"&amp;5+$W$2),""))</f>
        <v/>
      </c>
      <c r="U192" s="38">
        <f t="shared" si="23"/>
        <v>16</v>
      </c>
    </row>
    <row r="193" spans="11:21" hidden="1" x14ac:dyDescent="0.25">
      <c r="K193" s="36">
        <f t="shared" ca="1" si="25"/>
        <v>51935</v>
      </c>
      <c r="L193" s="19">
        <v>188</v>
      </c>
      <c r="M193" s="19">
        <f t="shared" si="24"/>
        <v>0</v>
      </c>
      <c r="N193" s="37">
        <f t="shared" si="21"/>
        <v>0</v>
      </c>
      <c r="O193" s="37">
        <f t="shared" si="19"/>
        <v>0</v>
      </c>
      <c r="P193" s="55" cm="1">
        <f t="array" aca="1" ref="P193" ca="1">IF((L193-$C$16)&gt;0, IF($P$1+$C$16&gt;=L193,INDIRECT("M"&amp;(L193-$C$16)+5),0),0)</f>
        <v>0</v>
      </c>
      <c r="Q193" s="56" cm="1">
        <f t="array" aca="1" ref="Q193" ca="1">IF(L193&lt;=$C$16,0,IF($W$2&gt;=L193,IF(L193&lt;=($P$1+$C$16),INDIRECT("N"&amp;(L193-$C$16)+5),FV(SRate,L193-$P$1-$C$16,0,-$W$1,1)),0))</f>
        <v>0</v>
      </c>
      <c r="R193" s="56">
        <f t="shared" ca="1" si="20"/>
        <v>0</v>
      </c>
      <c r="S193" s="19">
        <f t="shared" si="22"/>
        <v>0</v>
      </c>
      <c r="T193" s="36" t="str" cm="1">
        <f t="array" aca="1" ref="T193" ca="1">IF(L193&lt;=$P$1,K193,IF(L193&lt;=($P$1+1),INDIRECT("K"&amp;5+$W$2),""))</f>
        <v/>
      </c>
      <c r="U193" s="38">
        <f t="shared" si="23"/>
        <v>16</v>
      </c>
    </row>
    <row r="194" spans="11:21" hidden="1" x14ac:dyDescent="0.25">
      <c r="K194" s="36">
        <f t="shared" ca="1" si="25"/>
        <v>51966</v>
      </c>
      <c r="L194" s="19">
        <v>189</v>
      </c>
      <c r="M194" s="19">
        <f t="shared" si="24"/>
        <v>0</v>
      </c>
      <c r="N194" s="37">
        <f t="shared" si="21"/>
        <v>0</v>
      </c>
      <c r="O194" s="37">
        <f t="shared" si="19"/>
        <v>0</v>
      </c>
      <c r="P194" s="55" cm="1">
        <f t="array" aca="1" ref="P194" ca="1">IF((L194-$C$16)&gt;0, IF($P$1+$C$16&gt;=L194,INDIRECT("M"&amp;(L194-$C$16)+5),0),0)</f>
        <v>0</v>
      </c>
      <c r="Q194" s="56" cm="1">
        <f t="array" aca="1" ref="Q194" ca="1">IF(L194&lt;=$C$16,0,IF($W$2&gt;=L194,IF(L194&lt;=($P$1+$C$16),INDIRECT("N"&amp;(L194-$C$16)+5),FV(SRate,L194-$P$1-$C$16,0,-$W$1,1)),0))</f>
        <v>0</v>
      </c>
      <c r="R194" s="56">
        <f t="shared" ca="1" si="20"/>
        <v>0</v>
      </c>
      <c r="S194" s="19">
        <f t="shared" si="22"/>
        <v>0</v>
      </c>
      <c r="T194" s="36" t="str" cm="1">
        <f t="array" aca="1" ref="T194" ca="1">IF(L194&lt;=$P$1,K194,IF(L194&lt;=($P$1+1),INDIRECT("K"&amp;5+$W$2),""))</f>
        <v/>
      </c>
      <c r="U194" s="38">
        <f t="shared" si="23"/>
        <v>16</v>
      </c>
    </row>
    <row r="195" spans="11:21" hidden="1" x14ac:dyDescent="0.25">
      <c r="K195" s="36">
        <f t="shared" ca="1" si="25"/>
        <v>51996</v>
      </c>
      <c r="L195" s="19">
        <v>190</v>
      </c>
      <c r="M195" s="19">
        <f t="shared" si="24"/>
        <v>0</v>
      </c>
      <c r="N195" s="37">
        <f t="shared" si="21"/>
        <v>0</v>
      </c>
      <c r="O195" s="37">
        <f t="shared" si="19"/>
        <v>0</v>
      </c>
      <c r="P195" s="55" cm="1">
        <f t="array" aca="1" ref="P195" ca="1">IF((L195-$C$16)&gt;0, IF($P$1+$C$16&gt;=L195,INDIRECT("M"&amp;(L195-$C$16)+5),0),0)</f>
        <v>0</v>
      </c>
      <c r="Q195" s="56" cm="1">
        <f t="array" aca="1" ref="Q195" ca="1">IF(L195&lt;=$C$16,0,IF($W$2&gt;=L195,IF(L195&lt;=($P$1+$C$16),INDIRECT("N"&amp;(L195-$C$16)+5),FV(SRate,L195-$P$1-$C$16,0,-$W$1,1)),0))</f>
        <v>0</v>
      </c>
      <c r="R195" s="56">
        <f t="shared" ca="1" si="20"/>
        <v>0</v>
      </c>
      <c r="S195" s="19">
        <f t="shared" si="22"/>
        <v>0</v>
      </c>
      <c r="T195" s="36" t="str" cm="1">
        <f t="array" aca="1" ref="T195" ca="1">IF(L195&lt;=$P$1,K195,IF(L195&lt;=($P$1+1),INDIRECT("K"&amp;5+$W$2),""))</f>
        <v/>
      </c>
      <c r="U195" s="38">
        <f t="shared" si="23"/>
        <v>16</v>
      </c>
    </row>
    <row r="196" spans="11:21" hidden="1" x14ac:dyDescent="0.25">
      <c r="K196" s="36">
        <f t="shared" ca="1" si="25"/>
        <v>52027</v>
      </c>
      <c r="L196" s="19">
        <v>191</v>
      </c>
      <c r="M196" s="19">
        <f t="shared" si="24"/>
        <v>0</v>
      </c>
      <c r="N196" s="37">
        <f t="shared" si="21"/>
        <v>0</v>
      </c>
      <c r="O196" s="37">
        <f t="shared" si="19"/>
        <v>0</v>
      </c>
      <c r="P196" s="55" cm="1">
        <f t="array" aca="1" ref="P196" ca="1">IF((L196-$C$16)&gt;0, IF($P$1+$C$16&gt;=L196,INDIRECT("M"&amp;(L196-$C$16)+5),0),0)</f>
        <v>0</v>
      </c>
      <c r="Q196" s="56" cm="1">
        <f t="array" aca="1" ref="Q196" ca="1">IF(L196&lt;=$C$16,0,IF($W$2&gt;=L196,IF(L196&lt;=($P$1+$C$16),INDIRECT("N"&amp;(L196-$C$16)+5),FV(SRate,L196-$P$1-$C$16,0,-$W$1,1)),0))</f>
        <v>0</v>
      </c>
      <c r="R196" s="56">
        <f t="shared" ca="1" si="20"/>
        <v>0</v>
      </c>
      <c r="S196" s="19">
        <f t="shared" si="22"/>
        <v>0</v>
      </c>
      <c r="T196" s="36" t="str" cm="1">
        <f t="array" aca="1" ref="T196" ca="1">IF(L196&lt;=$P$1,K196,IF(L196&lt;=($P$1+1),INDIRECT("K"&amp;5+$W$2),""))</f>
        <v/>
      </c>
      <c r="U196" s="38">
        <f t="shared" si="23"/>
        <v>16</v>
      </c>
    </row>
    <row r="197" spans="11:21" hidden="1" x14ac:dyDescent="0.25">
      <c r="K197" s="36">
        <f t="shared" ca="1" si="25"/>
        <v>52057</v>
      </c>
      <c r="L197" s="19">
        <v>192</v>
      </c>
      <c r="M197" s="19">
        <f t="shared" si="24"/>
        <v>0</v>
      </c>
      <c r="N197" s="37">
        <f t="shared" si="21"/>
        <v>0</v>
      </c>
      <c r="O197" s="37">
        <f t="shared" si="19"/>
        <v>0</v>
      </c>
      <c r="P197" s="55" cm="1">
        <f t="array" aca="1" ref="P197" ca="1">IF((L197-$C$16)&gt;0, IF($P$1+$C$16&gt;=L197,INDIRECT("M"&amp;(L197-$C$16)+5),0),0)</f>
        <v>0</v>
      </c>
      <c r="Q197" s="56" cm="1">
        <f t="array" aca="1" ref="Q197" ca="1">IF(L197&lt;=$C$16,0,IF($W$2&gt;=L197,IF(L197&lt;=($P$1+$C$16),INDIRECT("N"&amp;(L197-$C$16)+5),FV(SRate,L197-$P$1-$C$16,0,-$W$1,1)),0))</f>
        <v>0</v>
      </c>
      <c r="R197" s="56">
        <f t="shared" ca="1" si="20"/>
        <v>0</v>
      </c>
      <c r="S197" s="19">
        <f t="shared" si="22"/>
        <v>0</v>
      </c>
      <c r="T197" s="36" t="str" cm="1">
        <f t="array" aca="1" ref="T197" ca="1">IF(L197&lt;=$P$1,K197,IF(L197&lt;=($P$1+1),INDIRECT("K"&amp;5+$W$2),""))</f>
        <v/>
      </c>
      <c r="U197" s="38">
        <f t="shared" si="23"/>
        <v>16</v>
      </c>
    </row>
    <row r="198" spans="11:21" hidden="1" x14ac:dyDescent="0.25">
      <c r="K198" s="36">
        <f t="shared" ca="1" si="25"/>
        <v>52088</v>
      </c>
      <c r="L198" s="19">
        <v>193</v>
      </c>
      <c r="M198" s="19">
        <f t="shared" si="24"/>
        <v>0</v>
      </c>
      <c r="N198" s="37">
        <f t="shared" si="21"/>
        <v>0</v>
      </c>
      <c r="O198" s="37">
        <f t="shared" ref="O198:O261" si="26">N198/((1+SIPInflationRate)^(L198/12))</f>
        <v>0</v>
      </c>
      <c r="P198" s="55" cm="1">
        <f t="array" aca="1" ref="P198" ca="1">IF((L198-$C$16)&gt;0, IF($P$1+$C$16&gt;=L198,INDIRECT("M"&amp;(L198-$C$16)+5),0),0)</f>
        <v>0</v>
      </c>
      <c r="Q198" s="56" cm="1">
        <f t="array" aca="1" ref="Q198" ca="1">IF(L198&lt;=$C$16,0,IF($W$2&gt;=L198,IF(L198&lt;=($P$1+$C$16),INDIRECT("N"&amp;(L198-$C$16)+5),FV(SRate,L198-$P$1-$C$16,0,-$W$1,1)),0))</f>
        <v>0</v>
      </c>
      <c r="R198" s="56">
        <f t="shared" ref="R198:R261" ca="1" si="27">Q198/((1+SIPInflationRate)^((L198-$C$16)/12))</f>
        <v>0</v>
      </c>
      <c r="S198" s="19">
        <f t="shared" si="22"/>
        <v>0</v>
      </c>
      <c r="T198" s="36" t="str" cm="1">
        <f t="array" aca="1" ref="T198" ca="1">IF(L198&lt;=$P$1,K198,IF(L198&lt;=($P$1+1),INDIRECT("K"&amp;5+$W$2),""))</f>
        <v/>
      </c>
      <c r="U198" s="38">
        <f t="shared" si="23"/>
        <v>17</v>
      </c>
    </row>
    <row r="199" spans="11:21" hidden="1" x14ac:dyDescent="0.25">
      <c r="K199" s="36">
        <f t="shared" ca="1" si="25"/>
        <v>52119</v>
      </c>
      <c r="L199" s="19">
        <v>194</v>
      </c>
      <c r="M199" s="19">
        <f t="shared" si="24"/>
        <v>0</v>
      </c>
      <c r="N199" s="37">
        <f t="shared" ref="N199:N262" si="28">IF($W$2&gt;=L199,IF(L199&lt;=$P$1,(M199-M198+N198)*(1+SRate),FV(SRate,L199-$P$1,0,-$W$1,1)),0)</f>
        <v>0</v>
      </c>
      <c r="O199" s="37">
        <f t="shared" si="26"/>
        <v>0</v>
      </c>
      <c r="P199" s="55" cm="1">
        <f t="array" aca="1" ref="P199" ca="1">IF((L199-$C$16)&gt;0, IF($P$1+$C$16&gt;=L199,INDIRECT("M"&amp;(L199-$C$16)+5),0),0)</f>
        <v>0</v>
      </c>
      <c r="Q199" s="56" cm="1">
        <f t="array" aca="1" ref="Q199" ca="1">IF(L199&lt;=$C$16,0,IF($W$2&gt;=L199,IF(L199&lt;=($P$1+$C$16),INDIRECT("N"&amp;(L199-$C$16)+5),FV(SRate,L199-$P$1-$C$16,0,-$W$1,1)),0))</f>
        <v>0</v>
      </c>
      <c r="R199" s="56">
        <f t="shared" ca="1" si="27"/>
        <v>0</v>
      </c>
      <c r="S199" s="19">
        <f t="shared" ref="S199:S262" si="29">IF(L199&lt;=$P$1,-(_xlfn.XLOOKUP(U199,$Z$3:$Z$72,$AB$3:$AB$72,0)),IF(L199&lt;=($P$1+1),$W$4,0))</f>
        <v>0</v>
      </c>
      <c r="T199" s="36" t="str" cm="1">
        <f t="array" aca="1" ref="T199" ca="1">IF(L199&lt;=$P$1,K199,IF(L199&lt;=($P$1+1),INDIRECT("K"&amp;5+$W$2),""))</f>
        <v/>
      </c>
      <c r="U199" s="38">
        <f t="shared" ref="U199:U262" si="30">QUOTIENT(L199,12)+IF(MOD(L199,12)=0,-1,0)+1</f>
        <v>17</v>
      </c>
    </row>
    <row r="200" spans="11:21" hidden="1" x14ac:dyDescent="0.25">
      <c r="K200" s="36">
        <f t="shared" ca="1" si="25"/>
        <v>52149</v>
      </c>
      <c r="L200" s="19">
        <v>195</v>
      </c>
      <c r="M200" s="19">
        <f t="shared" ref="M200:M263" si="31">IF($P$1&gt;=L200,_xlfn.XLOOKUP(U200,$Z$3:$Z$72,$AB$3:$AB$72,0)+M199,0)</f>
        <v>0</v>
      </c>
      <c r="N200" s="37">
        <f t="shared" si="28"/>
        <v>0</v>
      </c>
      <c r="O200" s="37">
        <f t="shared" si="26"/>
        <v>0</v>
      </c>
      <c r="P200" s="55" cm="1">
        <f t="array" aca="1" ref="P200" ca="1">IF((L200-$C$16)&gt;0, IF($P$1+$C$16&gt;=L200,INDIRECT("M"&amp;(L200-$C$16)+5),0),0)</f>
        <v>0</v>
      </c>
      <c r="Q200" s="56" cm="1">
        <f t="array" aca="1" ref="Q200" ca="1">IF(L200&lt;=$C$16,0,IF($W$2&gt;=L200,IF(L200&lt;=($P$1+$C$16),INDIRECT("N"&amp;(L200-$C$16)+5),FV(SRate,L200-$P$1-$C$16,0,-$W$1,1)),0))</f>
        <v>0</v>
      </c>
      <c r="R200" s="56">
        <f t="shared" ca="1" si="27"/>
        <v>0</v>
      </c>
      <c r="S200" s="19">
        <f t="shared" si="29"/>
        <v>0</v>
      </c>
      <c r="T200" s="36" t="str" cm="1">
        <f t="array" aca="1" ref="T200" ca="1">IF(L200&lt;=$P$1,K200,IF(L200&lt;=($P$1+1),INDIRECT("K"&amp;5+$W$2),""))</f>
        <v/>
      </c>
      <c r="U200" s="38">
        <f t="shared" si="30"/>
        <v>17</v>
      </c>
    </row>
    <row r="201" spans="11:21" hidden="1" x14ac:dyDescent="0.25">
      <c r="K201" s="36">
        <f t="shared" ref="K201:K264" ca="1" si="32">EDATE(K200,1)</f>
        <v>52180</v>
      </c>
      <c r="L201" s="19">
        <v>196</v>
      </c>
      <c r="M201" s="19">
        <f t="shared" si="31"/>
        <v>0</v>
      </c>
      <c r="N201" s="37">
        <f t="shared" si="28"/>
        <v>0</v>
      </c>
      <c r="O201" s="37">
        <f t="shared" si="26"/>
        <v>0</v>
      </c>
      <c r="P201" s="55" cm="1">
        <f t="array" aca="1" ref="P201" ca="1">IF((L201-$C$16)&gt;0, IF($P$1+$C$16&gt;=L201,INDIRECT("M"&amp;(L201-$C$16)+5),0),0)</f>
        <v>0</v>
      </c>
      <c r="Q201" s="56" cm="1">
        <f t="array" aca="1" ref="Q201" ca="1">IF(L201&lt;=$C$16,0,IF($W$2&gt;=L201,IF(L201&lt;=($P$1+$C$16),INDIRECT("N"&amp;(L201-$C$16)+5),FV(SRate,L201-$P$1-$C$16,0,-$W$1,1)),0))</f>
        <v>0</v>
      </c>
      <c r="R201" s="56">
        <f t="shared" ca="1" si="27"/>
        <v>0</v>
      </c>
      <c r="S201" s="19">
        <f t="shared" si="29"/>
        <v>0</v>
      </c>
      <c r="T201" s="36" t="str" cm="1">
        <f t="array" aca="1" ref="T201" ca="1">IF(L201&lt;=$P$1,K201,IF(L201&lt;=($P$1+1),INDIRECT("K"&amp;5+$W$2),""))</f>
        <v/>
      </c>
      <c r="U201" s="38">
        <f t="shared" si="30"/>
        <v>17</v>
      </c>
    </row>
    <row r="202" spans="11:21" hidden="1" x14ac:dyDescent="0.25">
      <c r="K202" s="36">
        <f t="shared" ca="1" si="32"/>
        <v>52210</v>
      </c>
      <c r="L202" s="19">
        <v>197</v>
      </c>
      <c r="M202" s="19">
        <f t="shared" si="31"/>
        <v>0</v>
      </c>
      <c r="N202" s="37">
        <f t="shared" si="28"/>
        <v>0</v>
      </c>
      <c r="O202" s="37">
        <f t="shared" si="26"/>
        <v>0</v>
      </c>
      <c r="P202" s="55" cm="1">
        <f t="array" aca="1" ref="P202" ca="1">IF((L202-$C$16)&gt;0, IF($P$1+$C$16&gt;=L202,INDIRECT("M"&amp;(L202-$C$16)+5),0),0)</f>
        <v>0</v>
      </c>
      <c r="Q202" s="56" cm="1">
        <f t="array" aca="1" ref="Q202" ca="1">IF(L202&lt;=$C$16,0,IF($W$2&gt;=L202,IF(L202&lt;=($P$1+$C$16),INDIRECT("N"&amp;(L202-$C$16)+5),FV(SRate,L202-$P$1-$C$16,0,-$W$1,1)),0))</f>
        <v>0</v>
      </c>
      <c r="R202" s="56">
        <f t="shared" ca="1" si="27"/>
        <v>0</v>
      </c>
      <c r="S202" s="19">
        <f t="shared" si="29"/>
        <v>0</v>
      </c>
      <c r="T202" s="36" t="str" cm="1">
        <f t="array" aca="1" ref="T202" ca="1">IF(L202&lt;=$P$1,K202,IF(L202&lt;=($P$1+1),INDIRECT("K"&amp;5+$W$2),""))</f>
        <v/>
      </c>
      <c r="U202" s="38">
        <f t="shared" si="30"/>
        <v>17</v>
      </c>
    </row>
    <row r="203" spans="11:21" hidden="1" x14ac:dyDescent="0.25">
      <c r="K203" s="36">
        <f t="shared" ca="1" si="32"/>
        <v>52241</v>
      </c>
      <c r="L203" s="19">
        <v>198</v>
      </c>
      <c r="M203" s="19">
        <f t="shared" si="31"/>
        <v>0</v>
      </c>
      <c r="N203" s="37">
        <f t="shared" si="28"/>
        <v>0</v>
      </c>
      <c r="O203" s="37">
        <f t="shared" si="26"/>
        <v>0</v>
      </c>
      <c r="P203" s="55" cm="1">
        <f t="array" aca="1" ref="P203" ca="1">IF((L203-$C$16)&gt;0, IF($P$1+$C$16&gt;=L203,INDIRECT("M"&amp;(L203-$C$16)+5),0),0)</f>
        <v>0</v>
      </c>
      <c r="Q203" s="56" cm="1">
        <f t="array" aca="1" ref="Q203" ca="1">IF(L203&lt;=$C$16,0,IF($W$2&gt;=L203,IF(L203&lt;=($P$1+$C$16),INDIRECT("N"&amp;(L203-$C$16)+5),FV(SRate,L203-$P$1-$C$16,0,-$W$1,1)),0))</f>
        <v>0</v>
      </c>
      <c r="R203" s="56">
        <f t="shared" ca="1" si="27"/>
        <v>0</v>
      </c>
      <c r="S203" s="19">
        <f t="shared" si="29"/>
        <v>0</v>
      </c>
      <c r="T203" s="36" t="str" cm="1">
        <f t="array" aca="1" ref="T203" ca="1">IF(L203&lt;=$P$1,K203,IF(L203&lt;=($P$1+1),INDIRECT("K"&amp;5+$W$2),""))</f>
        <v/>
      </c>
      <c r="U203" s="38">
        <f t="shared" si="30"/>
        <v>17</v>
      </c>
    </row>
    <row r="204" spans="11:21" hidden="1" x14ac:dyDescent="0.25">
      <c r="K204" s="36">
        <f t="shared" ca="1" si="32"/>
        <v>52272</v>
      </c>
      <c r="L204" s="19">
        <v>199</v>
      </c>
      <c r="M204" s="19">
        <f t="shared" si="31"/>
        <v>0</v>
      </c>
      <c r="N204" s="37">
        <f t="shared" si="28"/>
        <v>0</v>
      </c>
      <c r="O204" s="37">
        <f t="shared" si="26"/>
        <v>0</v>
      </c>
      <c r="P204" s="55" cm="1">
        <f t="array" aca="1" ref="P204" ca="1">IF((L204-$C$16)&gt;0, IF($P$1+$C$16&gt;=L204,INDIRECT("M"&amp;(L204-$C$16)+5),0),0)</f>
        <v>0</v>
      </c>
      <c r="Q204" s="56" cm="1">
        <f t="array" aca="1" ref="Q204" ca="1">IF(L204&lt;=$C$16,0,IF($W$2&gt;=L204,IF(L204&lt;=($P$1+$C$16),INDIRECT("N"&amp;(L204-$C$16)+5),FV(SRate,L204-$P$1-$C$16,0,-$W$1,1)),0))</f>
        <v>0</v>
      </c>
      <c r="R204" s="56">
        <f t="shared" ca="1" si="27"/>
        <v>0</v>
      </c>
      <c r="S204" s="19">
        <f t="shared" si="29"/>
        <v>0</v>
      </c>
      <c r="T204" s="36" t="str" cm="1">
        <f t="array" aca="1" ref="T204" ca="1">IF(L204&lt;=$P$1,K204,IF(L204&lt;=($P$1+1),INDIRECT("K"&amp;5+$W$2),""))</f>
        <v/>
      </c>
      <c r="U204" s="38">
        <f t="shared" si="30"/>
        <v>17</v>
      </c>
    </row>
    <row r="205" spans="11:21" hidden="1" x14ac:dyDescent="0.25">
      <c r="K205" s="36">
        <f t="shared" ca="1" si="32"/>
        <v>52300</v>
      </c>
      <c r="L205" s="19">
        <v>200</v>
      </c>
      <c r="M205" s="19">
        <f t="shared" si="31"/>
        <v>0</v>
      </c>
      <c r="N205" s="37">
        <f t="shared" si="28"/>
        <v>0</v>
      </c>
      <c r="O205" s="37">
        <f t="shared" si="26"/>
        <v>0</v>
      </c>
      <c r="P205" s="55" cm="1">
        <f t="array" aca="1" ref="P205" ca="1">IF((L205-$C$16)&gt;0, IF($P$1+$C$16&gt;=L205,INDIRECT("M"&amp;(L205-$C$16)+5),0),0)</f>
        <v>0</v>
      </c>
      <c r="Q205" s="56" cm="1">
        <f t="array" aca="1" ref="Q205" ca="1">IF(L205&lt;=$C$16,0,IF($W$2&gt;=L205,IF(L205&lt;=($P$1+$C$16),INDIRECT("N"&amp;(L205-$C$16)+5),FV(SRate,L205-$P$1-$C$16,0,-$W$1,1)),0))</f>
        <v>0</v>
      </c>
      <c r="R205" s="56">
        <f t="shared" ca="1" si="27"/>
        <v>0</v>
      </c>
      <c r="S205" s="19">
        <f t="shared" si="29"/>
        <v>0</v>
      </c>
      <c r="T205" s="36" t="str" cm="1">
        <f t="array" aca="1" ref="T205" ca="1">IF(L205&lt;=$P$1,K205,IF(L205&lt;=($P$1+1),INDIRECT("K"&amp;5+$W$2),""))</f>
        <v/>
      </c>
      <c r="U205" s="38">
        <f t="shared" si="30"/>
        <v>17</v>
      </c>
    </row>
    <row r="206" spans="11:21" hidden="1" x14ac:dyDescent="0.25">
      <c r="K206" s="36">
        <f t="shared" ca="1" si="32"/>
        <v>52331</v>
      </c>
      <c r="L206" s="19">
        <v>201</v>
      </c>
      <c r="M206" s="19">
        <f t="shared" si="31"/>
        <v>0</v>
      </c>
      <c r="N206" s="37">
        <f t="shared" si="28"/>
        <v>0</v>
      </c>
      <c r="O206" s="37">
        <f t="shared" si="26"/>
        <v>0</v>
      </c>
      <c r="P206" s="55" cm="1">
        <f t="array" aca="1" ref="P206" ca="1">IF((L206-$C$16)&gt;0, IF($P$1+$C$16&gt;=L206,INDIRECT("M"&amp;(L206-$C$16)+5),0),0)</f>
        <v>0</v>
      </c>
      <c r="Q206" s="56" cm="1">
        <f t="array" aca="1" ref="Q206" ca="1">IF(L206&lt;=$C$16,0,IF($W$2&gt;=L206,IF(L206&lt;=($P$1+$C$16),INDIRECT("N"&amp;(L206-$C$16)+5),FV(SRate,L206-$P$1-$C$16,0,-$W$1,1)),0))</f>
        <v>0</v>
      </c>
      <c r="R206" s="56">
        <f t="shared" ca="1" si="27"/>
        <v>0</v>
      </c>
      <c r="S206" s="19">
        <f t="shared" si="29"/>
        <v>0</v>
      </c>
      <c r="T206" s="36" t="str" cm="1">
        <f t="array" aca="1" ref="T206" ca="1">IF(L206&lt;=$P$1,K206,IF(L206&lt;=($P$1+1),INDIRECT("K"&amp;5+$W$2),""))</f>
        <v/>
      </c>
      <c r="U206" s="38">
        <f t="shared" si="30"/>
        <v>17</v>
      </c>
    </row>
    <row r="207" spans="11:21" hidden="1" x14ac:dyDescent="0.25">
      <c r="K207" s="36">
        <f t="shared" ca="1" si="32"/>
        <v>52361</v>
      </c>
      <c r="L207" s="19">
        <v>202</v>
      </c>
      <c r="M207" s="19">
        <f t="shared" si="31"/>
        <v>0</v>
      </c>
      <c r="N207" s="37">
        <f t="shared" si="28"/>
        <v>0</v>
      </c>
      <c r="O207" s="37">
        <f t="shared" si="26"/>
        <v>0</v>
      </c>
      <c r="P207" s="55" cm="1">
        <f t="array" aca="1" ref="P207" ca="1">IF((L207-$C$16)&gt;0, IF($P$1+$C$16&gt;=L207,INDIRECT("M"&amp;(L207-$C$16)+5),0),0)</f>
        <v>0</v>
      </c>
      <c r="Q207" s="56" cm="1">
        <f t="array" aca="1" ref="Q207" ca="1">IF(L207&lt;=$C$16,0,IF($W$2&gt;=L207,IF(L207&lt;=($P$1+$C$16),INDIRECT("N"&amp;(L207-$C$16)+5),FV(SRate,L207-$P$1-$C$16,0,-$W$1,1)),0))</f>
        <v>0</v>
      </c>
      <c r="R207" s="56">
        <f t="shared" ca="1" si="27"/>
        <v>0</v>
      </c>
      <c r="S207" s="19">
        <f t="shared" si="29"/>
        <v>0</v>
      </c>
      <c r="T207" s="36" t="str" cm="1">
        <f t="array" aca="1" ref="T207" ca="1">IF(L207&lt;=$P$1,K207,IF(L207&lt;=($P$1+1),INDIRECT("K"&amp;5+$W$2),""))</f>
        <v/>
      </c>
      <c r="U207" s="38">
        <f t="shared" si="30"/>
        <v>17</v>
      </c>
    </row>
    <row r="208" spans="11:21" hidden="1" x14ac:dyDescent="0.25">
      <c r="K208" s="36">
        <f t="shared" ca="1" si="32"/>
        <v>52392</v>
      </c>
      <c r="L208" s="19">
        <v>203</v>
      </c>
      <c r="M208" s="19">
        <f t="shared" si="31"/>
        <v>0</v>
      </c>
      <c r="N208" s="37">
        <f t="shared" si="28"/>
        <v>0</v>
      </c>
      <c r="O208" s="37">
        <f t="shared" si="26"/>
        <v>0</v>
      </c>
      <c r="P208" s="55" cm="1">
        <f t="array" aca="1" ref="P208" ca="1">IF((L208-$C$16)&gt;0, IF($P$1+$C$16&gt;=L208,INDIRECT("M"&amp;(L208-$C$16)+5),0),0)</f>
        <v>0</v>
      </c>
      <c r="Q208" s="56" cm="1">
        <f t="array" aca="1" ref="Q208" ca="1">IF(L208&lt;=$C$16,0,IF($W$2&gt;=L208,IF(L208&lt;=($P$1+$C$16),INDIRECT("N"&amp;(L208-$C$16)+5),FV(SRate,L208-$P$1-$C$16,0,-$W$1,1)),0))</f>
        <v>0</v>
      </c>
      <c r="R208" s="56">
        <f t="shared" ca="1" si="27"/>
        <v>0</v>
      </c>
      <c r="S208" s="19">
        <f t="shared" si="29"/>
        <v>0</v>
      </c>
      <c r="T208" s="36" t="str" cm="1">
        <f t="array" aca="1" ref="T208" ca="1">IF(L208&lt;=$P$1,K208,IF(L208&lt;=($P$1+1),INDIRECT("K"&amp;5+$W$2),""))</f>
        <v/>
      </c>
      <c r="U208" s="38">
        <f t="shared" si="30"/>
        <v>17</v>
      </c>
    </row>
    <row r="209" spans="11:21" hidden="1" x14ac:dyDescent="0.25">
      <c r="K209" s="36">
        <f t="shared" ca="1" si="32"/>
        <v>52422</v>
      </c>
      <c r="L209" s="19">
        <v>204</v>
      </c>
      <c r="M209" s="19">
        <f t="shared" si="31"/>
        <v>0</v>
      </c>
      <c r="N209" s="37">
        <f t="shared" si="28"/>
        <v>0</v>
      </c>
      <c r="O209" s="37">
        <f t="shared" si="26"/>
        <v>0</v>
      </c>
      <c r="P209" s="55" cm="1">
        <f t="array" aca="1" ref="P209" ca="1">IF((L209-$C$16)&gt;0, IF($P$1+$C$16&gt;=L209,INDIRECT("M"&amp;(L209-$C$16)+5),0),0)</f>
        <v>0</v>
      </c>
      <c r="Q209" s="56" cm="1">
        <f t="array" aca="1" ref="Q209" ca="1">IF(L209&lt;=$C$16,0,IF($W$2&gt;=L209,IF(L209&lt;=($P$1+$C$16),INDIRECT("N"&amp;(L209-$C$16)+5),FV(SRate,L209-$P$1-$C$16,0,-$W$1,1)),0))</f>
        <v>0</v>
      </c>
      <c r="R209" s="56">
        <f t="shared" ca="1" si="27"/>
        <v>0</v>
      </c>
      <c r="S209" s="19">
        <f t="shared" si="29"/>
        <v>0</v>
      </c>
      <c r="T209" s="36" t="str" cm="1">
        <f t="array" aca="1" ref="T209" ca="1">IF(L209&lt;=$P$1,K209,IF(L209&lt;=($P$1+1),INDIRECT("K"&amp;5+$W$2),""))</f>
        <v/>
      </c>
      <c r="U209" s="38">
        <f t="shared" si="30"/>
        <v>17</v>
      </c>
    </row>
    <row r="210" spans="11:21" hidden="1" x14ac:dyDescent="0.25">
      <c r="K210" s="36">
        <f t="shared" ca="1" si="32"/>
        <v>52453</v>
      </c>
      <c r="L210" s="19">
        <v>205</v>
      </c>
      <c r="M210" s="19">
        <f t="shared" si="31"/>
        <v>0</v>
      </c>
      <c r="N210" s="37">
        <f t="shared" si="28"/>
        <v>0</v>
      </c>
      <c r="O210" s="37">
        <f t="shared" si="26"/>
        <v>0</v>
      </c>
      <c r="P210" s="55" cm="1">
        <f t="array" aca="1" ref="P210" ca="1">IF((L210-$C$16)&gt;0, IF($P$1+$C$16&gt;=L210,INDIRECT("M"&amp;(L210-$C$16)+5),0),0)</f>
        <v>0</v>
      </c>
      <c r="Q210" s="56" cm="1">
        <f t="array" aca="1" ref="Q210" ca="1">IF(L210&lt;=$C$16,0,IF($W$2&gt;=L210,IF(L210&lt;=($P$1+$C$16),INDIRECT("N"&amp;(L210-$C$16)+5),FV(SRate,L210-$P$1-$C$16,0,-$W$1,1)),0))</f>
        <v>0</v>
      </c>
      <c r="R210" s="56">
        <f t="shared" ca="1" si="27"/>
        <v>0</v>
      </c>
      <c r="S210" s="19">
        <f t="shared" si="29"/>
        <v>0</v>
      </c>
      <c r="T210" s="36" t="str" cm="1">
        <f t="array" aca="1" ref="T210" ca="1">IF(L210&lt;=$P$1,K210,IF(L210&lt;=($P$1+1),INDIRECT("K"&amp;5+$W$2),""))</f>
        <v/>
      </c>
      <c r="U210" s="38">
        <f t="shared" si="30"/>
        <v>18</v>
      </c>
    </row>
    <row r="211" spans="11:21" hidden="1" x14ac:dyDescent="0.25">
      <c r="K211" s="36">
        <f t="shared" ca="1" si="32"/>
        <v>52484</v>
      </c>
      <c r="L211" s="19">
        <v>206</v>
      </c>
      <c r="M211" s="19">
        <f t="shared" si="31"/>
        <v>0</v>
      </c>
      <c r="N211" s="37">
        <f t="shared" si="28"/>
        <v>0</v>
      </c>
      <c r="O211" s="37">
        <f t="shared" si="26"/>
        <v>0</v>
      </c>
      <c r="P211" s="55" cm="1">
        <f t="array" aca="1" ref="P211" ca="1">IF((L211-$C$16)&gt;0, IF($P$1+$C$16&gt;=L211,INDIRECT("M"&amp;(L211-$C$16)+5),0),0)</f>
        <v>0</v>
      </c>
      <c r="Q211" s="56" cm="1">
        <f t="array" aca="1" ref="Q211" ca="1">IF(L211&lt;=$C$16,0,IF($W$2&gt;=L211,IF(L211&lt;=($P$1+$C$16),INDIRECT("N"&amp;(L211-$C$16)+5),FV(SRate,L211-$P$1-$C$16,0,-$W$1,1)),0))</f>
        <v>0</v>
      </c>
      <c r="R211" s="56">
        <f t="shared" ca="1" si="27"/>
        <v>0</v>
      </c>
      <c r="S211" s="19">
        <f t="shared" si="29"/>
        <v>0</v>
      </c>
      <c r="T211" s="36" t="str" cm="1">
        <f t="array" aca="1" ref="T211" ca="1">IF(L211&lt;=$P$1,K211,IF(L211&lt;=($P$1+1),INDIRECT("K"&amp;5+$W$2),""))</f>
        <v/>
      </c>
      <c r="U211" s="38">
        <f t="shared" si="30"/>
        <v>18</v>
      </c>
    </row>
    <row r="212" spans="11:21" hidden="1" x14ac:dyDescent="0.25">
      <c r="K212" s="36">
        <f t="shared" ca="1" si="32"/>
        <v>52514</v>
      </c>
      <c r="L212" s="19">
        <v>207</v>
      </c>
      <c r="M212" s="19">
        <f t="shared" si="31"/>
        <v>0</v>
      </c>
      <c r="N212" s="37">
        <f t="shared" si="28"/>
        <v>0</v>
      </c>
      <c r="O212" s="37">
        <f t="shared" si="26"/>
        <v>0</v>
      </c>
      <c r="P212" s="55" cm="1">
        <f t="array" aca="1" ref="P212" ca="1">IF((L212-$C$16)&gt;0, IF($P$1+$C$16&gt;=L212,INDIRECT("M"&amp;(L212-$C$16)+5),0),0)</f>
        <v>0</v>
      </c>
      <c r="Q212" s="56" cm="1">
        <f t="array" aca="1" ref="Q212" ca="1">IF(L212&lt;=$C$16,0,IF($W$2&gt;=L212,IF(L212&lt;=($P$1+$C$16),INDIRECT("N"&amp;(L212-$C$16)+5),FV(SRate,L212-$P$1-$C$16,0,-$W$1,1)),0))</f>
        <v>0</v>
      </c>
      <c r="R212" s="56">
        <f t="shared" ca="1" si="27"/>
        <v>0</v>
      </c>
      <c r="S212" s="19">
        <f t="shared" si="29"/>
        <v>0</v>
      </c>
      <c r="T212" s="36" t="str" cm="1">
        <f t="array" aca="1" ref="T212" ca="1">IF(L212&lt;=$P$1,K212,IF(L212&lt;=($P$1+1),INDIRECT("K"&amp;5+$W$2),""))</f>
        <v/>
      </c>
      <c r="U212" s="38">
        <f t="shared" si="30"/>
        <v>18</v>
      </c>
    </row>
    <row r="213" spans="11:21" hidden="1" x14ac:dyDescent="0.25">
      <c r="K213" s="36">
        <f t="shared" ca="1" si="32"/>
        <v>52545</v>
      </c>
      <c r="L213" s="19">
        <v>208</v>
      </c>
      <c r="M213" s="19">
        <f t="shared" si="31"/>
        <v>0</v>
      </c>
      <c r="N213" s="37">
        <f t="shared" si="28"/>
        <v>0</v>
      </c>
      <c r="O213" s="37">
        <f t="shared" si="26"/>
        <v>0</v>
      </c>
      <c r="P213" s="55" cm="1">
        <f t="array" aca="1" ref="P213" ca="1">IF((L213-$C$16)&gt;0, IF($P$1+$C$16&gt;=L213,INDIRECT("M"&amp;(L213-$C$16)+5),0),0)</f>
        <v>0</v>
      </c>
      <c r="Q213" s="56" cm="1">
        <f t="array" aca="1" ref="Q213" ca="1">IF(L213&lt;=$C$16,0,IF($W$2&gt;=L213,IF(L213&lt;=($P$1+$C$16),INDIRECT("N"&amp;(L213-$C$16)+5),FV(SRate,L213-$P$1-$C$16,0,-$W$1,1)),0))</f>
        <v>0</v>
      </c>
      <c r="R213" s="56">
        <f t="shared" ca="1" si="27"/>
        <v>0</v>
      </c>
      <c r="S213" s="19">
        <f t="shared" si="29"/>
        <v>0</v>
      </c>
      <c r="T213" s="36" t="str" cm="1">
        <f t="array" aca="1" ref="T213" ca="1">IF(L213&lt;=$P$1,K213,IF(L213&lt;=($P$1+1),INDIRECT("K"&amp;5+$W$2),""))</f>
        <v/>
      </c>
      <c r="U213" s="38">
        <f t="shared" si="30"/>
        <v>18</v>
      </c>
    </row>
    <row r="214" spans="11:21" hidden="1" x14ac:dyDescent="0.25">
      <c r="K214" s="36">
        <f t="shared" ca="1" si="32"/>
        <v>52575</v>
      </c>
      <c r="L214" s="19">
        <v>209</v>
      </c>
      <c r="M214" s="19">
        <f t="shared" si="31"/>
        <v>0</v>
      </c>
      <c r="N214" s="37">
        <f t="shared" si="28"/>
        <v>0</v>
      </c>
      <c r="O214" s="37">
        <f t="shared" si="26"/>
        <v>0</v>
      </c>
      <c r="P214" s="55" cm="1">
        <f t="array" aca="1" ref="P214" ca="1">IF((L214-$C$16)&gt;0, IF($P$1+$C$16&gt;=L214,INDIRECT("M"&amp;(L214-$C$16)+5),0),0)</f>
        <v>0</v>
      </c>
      <c r="Q214" s="56" cm="1">
        <f t="array" aca="1" ref="Q214" ca="1">IF(L214&lt;=$C$16,0,IF($W$2&gt;=L214,IF(L214&lt;=($P$1+$C$16),INDIRECT("N"&amp;(L214-$C$16)+5),FV(SRate,L214-$P$1-$C$16,0,-$W$1,1)),0))</f>
        <v>0</v>
      </c>
      <c r="R214" s="56">
        <f t="shared" ca="1" si="27"/>
        <v>0</v>
      </c>
      <c r="S214" s="19">
        <f t="shared" si="29"/>
        <v>0</v>
      </c>
      <c r="T214" s="36" t="str" cm="1">
        <f t="array" aca="1" ref="T214" ca="1">IF(L214&lt;=$P$1,K214,IF(L214&lt;=($P$1+1),INDIRECT("K"&amp;5+$W$2),""))</f>
        <v/>
      </c>
      <c r="U214" s="38">
        <f t="shared" si="30"/>
        <v>18</v>
      </c>
    </row>
    <row r="215" spans="11:21" hidden="1" x14ac:dyDescent="0.25">
      <c r="K215" s="36">
        <f t="shared" ca="1" si="32"/>
        <v>52606</v>
      </c>
      <c r="L215" s="19">
        <v>210</v>
      </c>
      <c r="M215" s="19">
        <f t="shared" si="31"/>
        <v>0</v>
      </c>
      <c r="N215" s="37">
        <f t="shared" si="28"/>
        <v>0</v>
      </c>
      <c r="O215" s="37">
        <f t="shared" si="26"/>
        <v>0</v>
      </c>
      <c r="P215" s="55" cm="1">
        <f t="array" aca="1" ref="P215" ca="1">IF((L215-$C$16)&gt;0, IF($P$1+$C$16&gt;=L215,INDIRECT("M"&amp;(L215-$C$16)+5),0),0)</f>
        <v>0</v>
      </c>
      <c r="Q215" s="56" cm="1">
        <f t="array" aca="1" ref="Q215" ca="1">IF(L215&lt;=$C$16,0,IF($W$2&gt;=L215,IF(L215&lt;=($P$1+$C$16),INDIRECT("N"&amp;(L215-$C$16)+5),FV(SRate,L215-$P$1-$C$16,0,-$W$1,1)),0))</f>
        <v>0</v>
      </c>
      <c r="R215" s="56">
        <f t="shared" ca="1" si="27"/>
        <v>0</v>
      </c>
      <c r="S215" s="19">
        <f t="shared" si="29"/>
        <v>0</v>
      </c>
      <c r="T215" s="36" t="str" cm="1">
        <f t="array" aca="1" ref="T215" ca="1">IF(L215&lt;=$P$1,K215,IF(L215&lt;=($P$1+1),INDIRECT("K"&amp;5+$W$2),""))</f>
        <v/>
      </c>
      <c r="U215" s="38">
        <f t="shared" si="30"/>
        <v>18</v>
      </c>
    </row>
    <row r="216" spans="11:21" hidden="1" x14ac:dyDescent="0.25">
      <c r="K216" s="36">
        <f t="shared" ca="1" si="32"/>
        <v>52637</v>
      </c>
      <c r="L216" s="19">
        <v>211</v>
      </c>
      <c r="M216" s="19">
        <f t="shared" si="31"/>
        <v>0</v>
      </c>
      <c r="N216" s="37">
        <f t="shared" si="28"/>
        <v>0</v>
      </c>
      <c r="O216" s="37">
        <f t="shared" si="26"/>
        <v>0</v>
      </c>
      <c r="P216" s="55" cm="1">
        <f t="array" aca="1" ref="P216" ca="1">IF((L216-$C$16)&gt;0, IF($P$1+$C$16&gt;=L216,INDIRECT("M"&amp;(L216-$C$16)+5),0),0)</f>
        <v>0</v>
      </c>
      <c r="Q216" s="56" cm="1">
        <f t="array" aca="1" ref="Q216" ca="1">IF(L216&lt;=$C$16,0,IF($W$2&gt;=L216,IF(L216&lt;=($P$1+$C$16),INDIRECT("N"&amp;(L216-$C$16)+5),FV(SRate,L216-$P$1-$C$16,0,-$W$1,1)),0))</f>
        <v>0</v>
      </c>
      <c r="R216" s="56">
        <f t="shared" ca="1" si="27"/>
        <v>0</v>
      </c>
      <c r="S216" s="19">
        <f t="shared" si="29"/>
        <v>0</v>
      </c>
      <c r="T216" s="36" t="str" cm="1">
        <f t="array" aca="1" ref="T216" ca="1">IF(L216&lt;=$P$1,K216,IF(L216&lt;=($P$1+1),INDIRECT("K"&amp;5+$W$2),""))</f>
        <v/>
      </c>
      <c r="U216" s="38">
        <f t="shared" si="30"/>
        <v>18</v>
      </c>
    </row>
    <row r="217" spans="11:21" hidden="1" x14ac:dyDescent="0.25">
      <c r="K217" s="36">
        <f t="shared" ca="1" si="32"/>
        <v>52666</v>
      </c>
      <c r="L217" s="19">
        <v>212</v>
      </c>
      <c r="M217" s="19">
        <f t="shared" si="31"/>
        <v>0</v>
      </c>
      <c r="N217" s="37">
        <f t="shared" si="28"/>
        <v>0</v>
      </c>
      <c r="O217" s="37">
        <f t="shared" si="26"/>
        <v>0</v>
      </c>
      <c r="P217" s="55" cm="1">
        <f t="array" aca="1" ref="P217" ca="1">IF((L217-$C$16)&gt;0, IF($P$1+$C$16&gt;=L217,INDIRECT("M"&amp;(L217-$C$16)+5),0),0)</f>
        <v>0</v>
      </c>
      <c r="Q217" s="56" cm="1">
        <f t="array" aca="1" ref="Q217" ca="1">IF(L217&lt;=$C$16,0,IF($W$2&gt;=L217,IF(L217&lt;=($P$1+$C$16),INDIRECT("N"&amp;(L217-$C$16)+5),FV(SRate,L217-$P$1-$C$16,0,-$W$1,1)),0))</f>
        <v>0</v>
      </c>
      <c r="R217" s="56">
        <f t="shared" ca="1" si="27"/>
        <v>0</v>
      </c>
      <c r="S217" s="19">
        <f t="shared" si="29"/>
        <v>0</v>
      </c>
      <c r="T217" s="36" t="str" cm="1">
        <f t="array" aca="1" ref="T217" ca="1">IF(L217&lt;=$P$1,K217,IF(L217&lt;=($P$1+1),INDIRECT("K"&amp;5+$W$2),""))</f>
        <v/>
      </c>
      <c r="U217" s="38">
        <f t="shared" si="30"/>
        <v>18</v>
      </c>
    </row>
    <row r="218" spans="11:21" hidden="1" x14ac:dyDescent="0.25">
      <c r="K218" s="36">
        <f t="shared" ca="1" si="32"/>
        <v>52697</v>
      </c>
      <c r="L218" s="19">
        <v>213</v>
      </c>
      <c r="M218" s="19">
        <f t="shared" si="31"/>
        <v>0</v>
      </c>
      <c r="N218" s="37">
        <f t="shared" si="28"/>
        <v>0</v>
      </c>
      <c r="O218" s="37">
        <f t="shared" si="26"/>
        <v>0</v>
      </c>
      <c r="P218" s="55" cm="1">
        <f t="array" aca="1" ref="P218" ca="1">IF((L218-$C$16)&gt;0, IF($P$1+$C$16&gt;=L218,INDIRECT("M"&amp;(L218-$C$16)+5),0),0)</f>
        <v>0</v>
      </c>
      <c r="Q218" s="56" cm="1">
        <f t="array" aca="1" ref="Q218" ca="1">IF(L218&lt;=$C$16,0,IF($W$2&gt;=L218,IF(L218&lt;=($P$1+$C$16),INDIRECT("N"&amp;(L218-$C$16)+5),FV(SRate,L218-$P$1-$C$16,0,-$W$1,1)),0))</f>
        <v>0</v>
      </c>
      <c r="R218" s="56">
        <f t="shared" ca="1" si="27"/>
        <v>0</v>
      </c>
      <c r="S218" s="19">
        <f t="shared" si="29"/>
        <v>0</v>
      </c>
      <c r="T218" s="36" t="str" cm="1">
        <f t="array" aca="1" ref="T218" ca="1">IF(L218&lt;=$P$1,K218,IF(L218&lt;=($P$1+1),INDIRECT("K"&amp;5+$W$2),""))</f>
        <v/>
      </c>
      <c r="U218" s="38">
        <f t="shared" si="30"/>
        <v>18</v>
      </c>
    </row>
    <row r="219" spans="11:21" hidden="1" x14ac:dyDescent="0.25">
      <c r="K219" s="36">
        <f t="shared" ca="1" si="32"/>
        <v>52727</v>
      </c>
      <c r="L219" s="19">
        <v>214</v>
      </c>
      <c r="M219" s="19">
        <f t="shared" si="31"/>
        <v>0</v>
      </c>
      <c r="N219" s="37">
        <f t="shared" si="28"/>
        <v>0</v>
      </c>
      <c r="O219" s="37">
        <f t="shared" si="26"/>
        <v>0</v>
      </c>
      <c r="P219" s="55" cm="1">
        <f t="array" aca="1" ref="P219" ca="1">IF((L219-$C$16)&gt;0, IF($P$1+$C$16&gt;=L219,INDIRECT("M"&amp;(L219-$C$16)+5),0),0)</f>
        <v>0</v>
      </c>
      <c r="Q219" s="56" cm="1">
        <f t="array" aca="1" ref="Q219" ca="1">IF(L219&lt;=$C$16,0,IF($W$2&gt;=L219,IF(L219&lt;=($P$1+$C$16),INDIRECT("N"&amp;(L219-$C$16)+5),FV(SRate,L219-$P$1-$C$16,0,-$W$1,1)),0))</f>
        <v>0</v>
      </c>
      <c r="R219" s="56">
        <f t="shared" ca="1" si="27"/>
        <v>0</v>
      </c>
      <c r="S219" s="19">
        <f t="shared" si="29"/>
        <v>0</v>
      </c>
      <c r="T219" s="36" t="str" cm="1">
        <f t="array" aca="1" ref="T219" ca="1">IF(L219&lt;=$P$1,K219,IF(L219&lt;=($P$1+1),INDIRECT("K"&amp;5+$W$2),""))</f>
        <v/>
      </c>
      <c r="U219" s="38">
        <f t="shared" si="30"/>
        <v>18</v>
      </c>
    </row>
    <row r="220" spans="11:21" hidden="1" x14ac:dyDescent="0.25">
      <c r="K220" s="36">
        <f t="shared" ca="1" si="32"/>
        <v>52758</v>
      </c>
      <c r="L220" s="19">
        <v>215</v>
      </c>
      <c r="M220" s="19">
        <f t="shared" si="31"/>
        <v>0</v>
      </c>
      <c r="N220" s="37">
        <f t="shared" si="28"/>
        <v>0</v>
      </c>
      <c r="O220" s="37">
        <f t="shared" si="26"/>
        <v>0</v>
      </c>
      <c r="P220" s="55" cm="1">
        <f t="array" aca="1" ref="P220" ca="1">IF((L220-$C$16)&gt;0, IF($P$1+$C$16&gt;=L220,INDIRECT("M"&amp;(L220-$C$16)+5),0),0)</f>
        <v>0</v>
      </c>
      <c r="Q220" s="56" cm="1">
        <f t="array" aca="1" ref="Q220" ca="1">IF(L220&lt;=$C$16,0,IF($W$2&gt;=L220,IF(L220&lt;=($P$1+$C$16),INDIRECT("N"&amp;(L220-$C$16)+5),FV(SRate,L220-$P$1-$C$16,0,-$W$1,1)),0))</f>
        <v>0</v>
      </c>
      <c r="R220" s="56">
        <f t="shared" ca="1" si="27"/>
        <v>0</v>
      </c>
      <c r="S220" s="19">
        <f t="shared" si="29"/>
        <v>0</v>
      </c>
      <c r="T220" s="36" t="str" cm="1">
        <f t="array" aca="1" ref="T220" ca="1">IF(L220&lt;=$P$1,K220,IF(L220&lt;=($P$1+1),INDIRECT("K"&amp;5+$W$2),""))</f>
        <v/>
      </c>
      <c r="U220" s="38">
        <f t="shared" si="30"/>
        <v>18</v>
      </c>
    </row>
    <row r="221" spans="11:21" hidden="1" x14ac:dyDescent="0.25">
      <c r="K221" s="36">
        <f t="shared" ca="1" si="32"/>
        <v>52788</v>
      </c>
      <c r="L221" s="19">
        <v>216</v>
      </c>
      <c r="M221" s="19">
        <f t="shared" si="31"/>
        <v>0</v>
      </c>
      <c r="N221" s="37">
        <f t="shared" si="28"/>
        <v>0</v>
      </c>
      <c r="O221" s="37">
        <f t="shared" si="26"/>
        <v>0</v>
      </c>
      <c r="P221" s="55" cm="1">
        <f t="array" aca="1" ref="P221" ca="1">IF((L221-$C$16)&gt;0, IF($P$1+$C$16&gt;=L221,INDIRECT("M"&amp;(L221-$C$16)+5),0),0)</f>
        <v>0</v>
      </c>
      <c r="Q221" s="56" cm="1">
        <f t="array" aca="1" ref="Q221" ca="1">IF(L221&lt;=$C$16,0,IF($W$2&gt;=L221,IF(L221&lt;=($P$1+$C$16),INDIRECT("N"&amp;(L221-$C$16)+5),FV(SRate,L221-$P$1-$C$16,0,-$W$1,1)),0))</f>
        <v>0</v>
      </c>
      <c r="R221" s="56">
        <f t="shared" ca="1" si="27"/>
        <v>0</v>
      </c>
      <c r="S221" s="19">
        <f t="shared" si="29"/>
        <v>0</v>
      </c>
      <c r="T221" s="36" t="str" cm="1">
        <f t="array" aca="1" ref="T221" ca="1">IF(L221&lt;=$P$1,K221,IF(L221&lt;=($P$1+1),INDIRECT("K"&amp;5+$W$2),""))</f>
        <v/>
      </c>
      <c r="U221" s="38">
        <f t="shared" si="30"/>
        <v>18</v>
      </c>
    </row>
    <row r="222" spans="11:21" hidden="1" x14ac:dyDescent="0.25">
      <c r="K222" s="36">
        <f t="shared" ca="1" si="32"/>
        <v>52819</v>
      </c>
      <c r="L222" s="19">
        <v>217</v>
      </c>
      <c r="M222" s="19">
        <f t="shared" si="31"/>
        <v>0</v>
      </c>
      <c r="N222" s="37">
        <f t="shared" si="28"/>
        <v>0</v>
      </c>
      <c r="O222" s="37">
        <f t="shared" si="26"/>
        <v>0</v>
      </c>
      <c r="P222" s="55" cm="1">
        <f t="array" aca="1" ref="P222" ca="1">IF((L222-$C$16)&gt;0, IF($P$1+$C$16&gt;=L222,INDIRECT("M"&amp;(L222-$C$16)+5),0),0)</f>
        <v>0</v>
      </c>
      <c r="Q222" s="56" cm="1">
        <f t="array" aca="1" ref="Q222" ca="1">IF(L222&lt;=$C$16,0,IF($W$2&gt;=L222,IF(L222&lt;=($P$1+$C$16),INDIRECT("N"&amp;(L222-$C$16)+5),FV(SRate,L222-$P$1-$C$16,0,-$W$1,1)),0))</f>
        <v>0</v>
      </c>
      <c r="R222" s="56">
        <f t="shared" ca="1" si="27"/>
        <v>0</v>
      </c>
      <c r="S222" s="19">
        <f t="shared" si="29"/>
        <v>0</v>
      </c>
      <c r="T222" s="36" t="str" cm="1">
        <f t="array" aca="1" ref="T222" ca="1">IF(L222&lt;=$P$1,K222,IF(L222&lt;=($P$1+1),INDIRECT("K"&amp;5+$W$2),""))</f>
        <v/>
      </c>
      <c r="U222" s="38">
        <f t="shared" si="30"/>
        <v>19</v>
      </c>
    </row>
    <row r="223" spans="11:21" hidden="1" x14ac:dyDescent="0.25">
      <c r="K223" s="36">
        <f t="shared" ca="1" si="32"/>
        <v>52850</v>
      </c>
      <c r="L223" s="19">
        <v>218</v>
      </c>
      <c r="M223" s="19">
        <f t="shared" si="31"/>
        <v>0</v>
      </c>
      <c r="N223" s="37">
        <f t="shared" si="28"/>
        <v>0</v>
      </c>
      <c r="O223" s="37">
        <f t="shared" si="26"/>
        <v>0</v>
      </c>
      <c r="P223" s="55" cm="1">
        <f t="array" aca="1" ref="P223" ca="1">IF((L223-$C$16)&gt;0, IF($P$1+$C$16&gt;=L223,INDIRECT("M"&amp;(L223-$C$16)+5),0),0)</f>
        <v>0</v>
      </c>
      <c r="Q223" s="56" cm="1">
        <f t="array" aca="1" ref="Q223" ca="1">IF(L223&lt;=$C$16,0,IF($W$2&gt;=L223,IF(L223&lt;=($P$1+$C$16),INDIRECT("N"&amp;(L223-$C$16)+5),FV(SRate,L223-$P$1-$C$16,0,-$W$1,1)),0))</f>
        <v>0</v>
      </c>
      <c r="R223" s="56">
        <f t="shared" ca="1" si="27"/>
        <v>0</v>
      </c>
      <c r="S223" s="19">
        <f t="shared" si="29"/>
        <v>0</v>
      </c>
      <c r="T223" s="36" t="str" cm="1">
        <f t="array" aca="1" ref="T223" ca="1">IF(L223&lt;=$P$1,K223,IF(L223&lt;=($P$1+1),INDIRECT("K"&amp;5+$W$2),""))</f>
        <v/>
      </c>
      <c r="U223" s="38">
        <f t="shared" si="30"/>
        <v>19</v>
      </c>
    </row>
    <row r="224" spans="11:21" hidden="1" x14ac:dyDescent="0.25">
      <c r="K224" s="36">
        <f t="shared" ca="1" si="32"/>
        <v>52880</v>
      </c>
      <c r="L224" s="19">
        <v>219</v>
      </c>
      <c r="M224" s="19">
        <f t="shared" si="31"/>
        <v>0</v>
      </c>
      <c r="N224" s="37">
        <f t="shared" si="28"/>
        <v>0</v>
      </c>
      <c r="O224" s="37">
        <f t="shared" si="26"/>
        <v>0</v>
      </c>
      <c r="P224" s="55" cm="1">
        <f t="array" aca="1" ref="P224" ca="1">IF((L224-$C$16)&gt;0, IF($P$1+$C$16&gt;=L224,INDIRECT("M"&amp;(L224-$C$16)+5),0),0)</f>
        <v>0</v>
      </c>
      <c r="Q224" s="56" cm="1">
        <f t="array" aca="1" ref="Q224" ca="1">IF(L224&lt;=$C$16,0,IF($W$2&gt;=L224,IF(L224&lt;=($P$1+$C$16),INDIRECT("N"&amp;(L224-$C$16)+5),FV(SRate,L224-$P$1-$C$16,0,-$W$1,1)),0))</f>
        <v>0</v>
      </c>
      <c r="R224" s="56">
        <f t="shared" ca="1" si="27"/>
        <v>0</v>
      </c>
      <c r="S224" s="19">
        <f t="shared" si="29"/>
        <v>0</v>
      </c>
      <c r="T224" s="36" t="str" cm="1">
        <f t="array" aca="1" ref="T224" ca="1">IF(L224&lt;=$P$1,K224,IF(L224&lt;=($P$1+1),INDIRECT("K"&amp;5+$W$2),""))</f>
        <v/>
      </c>
      <c r="U224" s="38">
        <f t="shared" si="30"/>
        <v>19</v>
      </c>
    </row>
    <row r="225" spans="11:21" hidden="1" x14ac:dyDescent="0.25">
      <c r="K225" s="36">
        <f t="shared" ca="1" si="32"/>
        <v>52911</v>
      </c>
      <c r="L225" s="19">
        <v>220</v>
      </c>
      <c r="M225" s="19">
        <f t="shared" si="31"/>
        <v>0</v>
      </c>
      <c r="N225" s="37">
        <f t="shared" si="28"/>
        <v>0</v>
      </c>
      <c r="O225" s="37">
        <f t="shared" si="26"/>
        <v>0</v>
      </c>
      <c r="P225" s="55" cm="1">
        <f t="array" aca="1" ref="P225" ca="1">IF((L225-$C$16)&gt;0, IF($P$1+$C$16&gt;=L225,INDIRECT("M"&amp;(L225-$C$16)+5),0),0)</f>
        <v>0</v>
      </c>
      <c r="Q225" s="56" cm="1">
        <f t="array" aca="1" ref="Q225" ca="1">IF(L225&lt;=$C$16,0,IF($W$2&gt;=L225,IF(L225&lt;=($P$1+$C$16),INDIRECT("N"&amp;(L225-$C$16)+5),FV(SRate,L225-$P$1-$C$16,0,-$W$1,1)),0))</f>
        <v>0</v>
      </c>
      <c r="R225" s="56">
        <f t="shared" ca="1" si="27"/>
        <v>0</v>
      </c>
      <c r="S225" s="19">
        <f t="shared" si="29"/>
        <v>0</v>
      </c>
      <c r="T225" s="36" t="str" cm="1">
        <f t="array" aca="1" ref="T225" ca="1">IF(L225&lt;=$P$1,K225,IF(L225&lt;=($P$1+1),INDIRECT("K"&amp;5+$W$2),""))</f>
        <v/>
      </c>
      <c r="U225" s="38">
        <f t="shared" si="30"/>
        <v>19</v>
      </c>
    </row>
    <row r="226" spans="11:21" hidden="1" x14ac:dyDescent="0.25">
      <c r="K226" s="36">
        <f t="shared" ca="1" si="32"/>
        <v>52941</v>
      </c>
      <c r="L226" s="19">
        <v>221</v>
      </c>
      <c r="M226" s="19">
        <f t="shared" si="31"/>
        <v>0</v>
      </c>
      <c r="N226" s="37">
        <f t="shared" si="28"/>
        <v>0</v>
      </c>
      <c r="O226" s="37">
        <f t="shared" si="26"/>
        <v>0</v>
      </c>
      <c r="P226" s="55" cm="1">
        <f t="array" aca="1" ref="P226" ca="1">IF((L226-$C$16)&gt;0, IF($P$1+$C$16&gt;=L226,INDIRECT("M"&amp;(L226-$C$16)+5),0),0)</f>
        <v>0</v>
      </c>
      <c r="Q226" s="56" cm="1">
        <f t="array" aca="1" ref="Q226" ca="1">IF(L226&lt;=$C$16,0,IF($W$2&gt;=L226,IF(L226&lt;=($P$1+$C$16),INDIRECT("N"&amp;(L226-$C$16)+5),FV(SRate,L226-$P$1-$C$16,0,-$W$1,1)),0))</f>
        <v>0</v>
      </c>
      <c r="R226" s="56">
        <f t="shared" ca="1" si="27"/>
        <v>0</v>
      </c>
      <c r="S226" s="19">
        <f t="shared" si="29"/>
        <v>0</v>
      </c>
      <c r="T226" s="36" t="str" cm="1">
        <f t="array" aca="1" ref="T226" ca="1">IF(L226&lt;=$P$1,K226,IF(L226&lt;=($P$1+1),INDIRECT("K"&amp;5+$W$2),""))</f>
        <v/>
      </c>
      <c r="U226" s="38">
        <f t="shared" si="30"/>
        <v>19</v>
      </c>
    </row>
    <row r="227" spans="11:21" hidden="1" x14ac:dyDescent="0.25">
      <c r="K227" s="36">
        <f t="shared" ca="1" si="32"/>
        <v>52972</v>
      </c>
      <c r="L227" s="19">
        <v>222</v>
      </c>
      <c r="M227" s="19">
        <f t="shared" si="31"/>
        <v>0</v>
      </c>
      <c r="N227" s="37">
        <f t="shared" si="28"/>
        <v>0</v>
      </c>
      <c r="O227" s="37">
        <f t="shared" si="26"/>
        <v>0</v>
      </c>
      <c r="P227" s="55" cm="1">
        <f t="array" aca="1" ref="P227" ca="1">IF((L227-$C$16)&gt;0, IF($P$1+$C$16&gt;=L227,INDIRECT("M"&amp;(L227-$C$16)+5),0),0)</f>
        <v>0</v>
      </c>
      <c r="Q227" s="56" cm="1">
        <f t="array" aca="1" ref="Q227" ca="1">IF(L227&lt;=$C$16,0,IF($W$2&gt;=L227,IF(L227&lt;=($P$1+$C$16),INDIRECT("N"&amp;(L227-$C$16)+5),FV(SRate,L227-$P$1-$C$16,0,-$W$1,1)),0))</f>
        <v>0</v>
      </c>
      <c r="R227" s="56">
        <f t="shared" ca="1" si="27"/>
        <v>0</v>
      </c>
      <c r="S227" s="19">
        <f t="shared" si="29"/>
        <v>0</v>
      </c>
      <c r="T227" s="36" t="str" cm="1">
        <f t="array" aca="1" ref="T227" ca="1">IF(L227&lt;=$P$1,K227,IF(L227&lt;=($P$1+1),INDIRECT("K"&amp;5+$W$2),""))</f>
        <v/>
      </c>
      <c r="U227" s="38">
        <f t="shared" si="30"/>
        <v>19</v>
      </c>
    </row>
    <row r="228" spans="11:21" hidden="1" x14ac:dyDescent="0.25">
      <c r="K228" s="36">
        <f t="shared" ca="1" si="32"/>
        <v>53003</v>
      </c>
      <c r="L228" s="19">
        <v>223</v>
      </c>
      <c r="M228" s="19">
        <f t="shared" si="31"/>
        <v>0</v>
      </c>
      <c r="N228" s="37">
        <f t="shared" si="28"/>
        <v>0</v>
      </c>
      <c r="O228" s="37">
        <f t="shared" si="26"/>
        <v>0</v>
      </c>
      <c r="P228" s="55" cm="1">
        <f t="array" aca="1" ref="P228" ca="1">IF((L228-$C$16)&gt;0, IF($P$1+$C$16&gt;=L228,INDIRECT("M"&amp;(L228-$C$16)+5),0),0)</f>
        <v>0</v>
      </c>
      <c r="Q228" s="56" cm="1">
        <f t="array" aca="1" ref="Q228" ca="1">IF(L228&lt;=$C$16,0,IF($W$2&gt;=L228,IF(L228&lt;=($P$1+$C$16),INDIRECT("N"&amp;(L228-$C$16)+5),FV(SRate,L228-$P$1-$C$16,0,-$W$1,1)),0))</f>
        <v>0</v>
      </c>
      <c r="R228" s="56">
        <f t="shared" ca="1" si="27"/>
        <v>0</v>
      </c>
      <c r="S228" s="19">
        <f t="shared" si="29"/>
        <v>0</v>
      </c>
      <c r="T228" s="36" t="str" cm="1">
        <f t="array" aca="1" ref="T228" ca="1">IF(L228&lt;=$P$1,K228,IF(L228&lt;=($P$1+1),INDIRECT("K"&amp;5+$W$2),""))</f>
        <v/>
      </c>
      <c r="U228" s="38">
        <f t="shared" si="30"/>
        <v>19</v>
      </c>
    </row>
    <row r="229" spans="11:21" hidden="1" x14ac:dyDescent="0.25">
      <c r="K229" s="36">
        <f t="shared" ca="1" si="32"/>
        <v>53031</v>
      </c>
      <c r="L229" s="19">
        <v>224</v>
      </c>
      <c r="M229" s="19">
        <f t="shared" si="31"/>
        <v>0</v>
      </c>
      <c r="N229" s="37">
        <f t="shared" si="28"/>
        <v>0</v>
      </c>
      <c r="O229" s="37">
        <f t="shared" si="26"/>
        <v>0</v>
      </c>
      <c r="P229" s="55" cm="1">
        <f t="array" aca="1" ref="P229" ca="1">IF((L229-$C$16)&gt;0, IF($P$1+$C$16&gt;=L229,INDIRECT("M"&amp;(L229-$C$16)+5),0),0)</f>
        <v>0</v>
      </c>
      <c r="Q229" s="56" cm="1">
        <f t="array" aca="1" ref="Q229" ca="1">IF(L229&lt;=$C$16,0,IF($W$2&gt;=L229,IF(L229&lt;=($P$1+$C$16),INDIRECT("N"&amp;(L229-$C$16)+5),FV(SRate,L229-$P$1-$C$16,0,-$W$1,1)),0))</f>
        <v>0</v>
      </c>
      <c r="R229" s="56">
        <f t="shared" ca="1" si="27"/>
        <v>0</v>
      </c>
      <c r="S229" s="19">
        <f t="shared" si="29"/>
        <v>0</v>
      </c>
      <c r="T229" s="36" t="str" cm="1">
        <f t="array" aca="1" ref="T229" ca="1">IF(L229&lt;=$P$1,K229,IF(L229&lt;=($P$1+1),INDIRECT("K"&amp;5+$W$2),""))</f>
        <v/>
      </c>
      <c r="U229" s="38">
        <f t="shared" si="30"/>
        <v>19</v>
      </c>
    </row>
    <row r="230" spans="11:21" hidden="1" x14ac:dyDescent="0.25">
      <c r="K230" s="36">
        <f t="shared" ca="1" si="32"/>
        <v>53062</v>
      </c>
      <c r="L230" s="19">
        <v>225</v>
      </c>
      <c r="M230" s="19">
        <f t="shared" si="31"/>
        <v>0</v>
      </c>
      <c r="N230" s="37">
        <f t="shared" si="28"/>
        <v>0</v>
      </c>
      <c r="O230" s="37">
        <f t="shared" si="26"/>
        <v>0</v>
      </c>
      <c r="P230" s="55" cm="1">
        <f t="array" aca="1" ref="P230" ca="1">IF((L230-$C$16)&gt;0, IF($P$1+$C$16&gt;=L230,INDIRECT("M"&amp;(L230-$C$16)+5),0),0)</f>
        <v>0</v>
      </c>
      <c r="Q230" s="56" cm="1">
        <f t="array" aca="1" ref="Q230" ca="1">IF(L230&lt;=$C$16,0,IF($W$2&gt;=L230,IF(L230&lt;=($P$1+$C$16),INDIRECT("N"&amp;(L230-$C$16)+5),FV(SRate,L230-$P$1-$C$16,0,-$W$1,1)),0))</f>
        <v>0</v>
      </c>
      <c r="R230" s="56">
        <f t="shared" ca="1" si="27"/>
        <v>0</v>
      </c>
      <c r="S230" s="19">
        <f t="shared" si="29"/>
        <v>0</v>
      </c>
      <c r="T230" s="36" t="str" cm="1">
        <f t="array" aca="1" ref="T230" ca="1">IF(L230&lt;=$P$1,K230,IF(L230&lt;=($P$1+1),INDIRECT("K"&amp;5+$W$2),""))</f>
        <v/>
      </c>
      <c r="U230" s="38">
        <f t="shared" si="30"/>
        <v>19</v>
      </c>
    </row>
    <row r="231" spans="11:21" hidden="1" x14ac:dyDescent="0.25">
      <c r="K231" s="36">
        <f t="shared" ca="1" si="32"/>
        <v>53092</v>
      </c>
      <c r="L231" s="19">
        <v>226</v>
      </c>
      <c r="M231" s="19">
        <f t="shared" si="31"/>
        <v>0</v>
      </c>
      <c r="N231" s="37">
        <f t="shared" si="28"/>
        <v>0</v>
      </c>
      <c r="O231" s="37">
        <f t="shared" si="26"/>
        <v>0</v>
      </c>
      <c r="P231" s="55" cm="1">
        <f t="array" aca="1" ref="P231" ca="1">IF((L231-$C$16)&gt;0, IF($P$1+$C$16&gt;=L231,INDIRECT("M"&amp;(L231-$C$16)+5),0),0)</f>
        <v>0</v>
      </c>
      <c r="Q231" s="56" cm="1">
        <f t="array" aca="1" ref="Q231" ca="1">IF(L231&lt;=$C$16,0,IF($W$2&gt;=L231,IF(L231&lt;=($P$1+$C$16),INDIRECT("N"&amp;(L231-$C$16)+5),FV(SRate,L231-$P$1-$C$16,0,-$W$1,1)),0))</f>
        <v>0</v>
      </c>
      <c r="R231" s="56">
        <f t="shared" ca="1" si="27"/>
        <v>0</v>
      </c>
      <c r="S231" s="19">
        <f t="shared" si="29"/>
        <v>0</v>
      </c>
      <c r="T231" s="36" t="str" cm="1">
        <f t="array" aca="1" ref="T231" ca="1">IF(L231&lt;=$P$1,K231,IF(L231&lt;=($P$1+1),INDIRECT("K"&amp;5+$W$2),""))</f>
        <v/>
      </c>
      <c r="U231" s="38">
        <f t="shared" si="30"/>
        <v>19</v>
      </c>
    </row>
    <row r="232" spans="11:21" hidden="1" x14ac:dyDescent="0.25">
      <c r="K232" s="36">
        <f t="shared" ca="1" si="32"/>
        <v>53123</v>
      </c>
      <c r="L232" s="19">
        <v>227</v>
      </c>
      <c r="M232" s="19">
        <f t="shared" si="31"/>
        <v>0</v>
      </c>
      <c r="N232" s="37">
        <f t="shared" si="28"/>
        <v>0</v>
      </c>
      <c r="O232" s="37">
        <f t="shared" si="26"/>
        <v>0</v>
      </c>
      <c r="P232" s="55" cm="1">
        <f t="array" aca="1" ref="P232" ca="1">IF((L232-$C$16)&gt;0, IF($P$1+$C$16&gt;=L232,INDIRECT("M"&amp;(L232-$C$16)+5),0),0)</f>
        <v>0</v>
      </c>
      <c r="Q232" s="56" cm="1">
        <f t="array" aca="1" ref="Q232" ca="1">IF(L232&lt;=$C$16,0,IF($W$2&gt;=L232,IF(L232&lt;=($P$1+$C$16),INDIRECT("N"&amp;(L232-$C$16)+5),FV(SRate,L232-$P$1-$C$16,0,-$W$1,1)),0))</f>
        <v>0</v>
      </c>
      <c r="R232" s="56">
        <f t="shared" ca="1" si="27"/>
        <v>0</v>
      </c>
      <c r="S232" s="19">
        <f t="shared" si="29"/>
        <v>0</v>
      </c>
      <c r="T232" s="36" t="str" cm="1">
        <f t="array" aca="1" ref="T232" ca="1">IF(L232&lt;=$P$1,K232,IF(L232&lt;=($P$1+1),INDIRECT("K"&amp;5+$W$2),""))</f>
        <v/>
      </c>
      <c r="U232" s="38">
        <f t="shared" si="30"/>
        <v>19</v>
      </c>
    </row>
    <row r="233" spans="11:21" hidden="1" x14ac:dyDescent="0.25">
      <c r="K233" s="36">
        <f t="shared" ca="1" si="32"/>
        <v>53153</v>
      </c>
      <c r="L233" s="19">
        <v>228</v>
      </c>
      <c r="M233" s="19">
        <f t="shared" si="31"/>
        <v>0</v>
      </c>
      <c r="N233" s="37">
        <f t="shared" si="28"/>
        <v>0</v>
      </c>
      <c r="O233" s="37">
        <f t="shared" si="26"/>
        <v>0</v>
      </c>
      <c r="P233" s="55" cm="1">
        <f t="array" aca="1" ref="P233" ca="1">IF((L233-$C$16)&gt;0, IF($P$1+$C$16&gt;=L233,INDIRECT("M"&amp;(L233-$C$16)+5),0),0)</f>
        <v>0</v>
      </c>
      <c r="Q233" s="56" cm="1">
        <f t="array" aca="1" ref="Q233" ca="1">IF(L233&lt;=$C$16,0,IF($W$2&gt;=L233,IF(L233&lt;=($P$1+$C$16),INDIRECT("N"&amp;(L233-$C$16)+5),FV(SRate,L233-$P$1-$C$16,0,-$W$1,1)),0))</f>
        <v>0</v>
      </c>
      <c r="R233" s="56">
        <f t="shared" ca="1" si="27"/>
        <v>0</v>
      </c>
      <c r="S233" s="19">
        <f t="shared" si="29"/>
        <v>0</v>
      </c>
      <c r="T233" s="36" t="str" cm="1">
        <f t="array" aca="1" ref="T233" ca="1">IF(L233&lt;=$P$1,K233,IF(L233&lt;=($P$1+1),INDIRECT("K"&amp;5+$W$2),""))</f>
        <v/>
      </c>
      <c r="U233" s="38">
        <f t="shared" si="30"/>
        <v>19</v>
      </c>
    </row>
    <row r="234" spans="11:21" hidden="1" x14ac:dyDescent="0.25">
      <c r="K234" s="36">
        <f t="shared" ca="1" si="32"/>
        <v>53184</v>
      </c>
      <c r="L234" s="19">
        <v>229</v>
      </c>
      <c r="M234" s="19">
        <f t="shared" si="31"/>
        <v>0</v>
      </c>
      <c r="N234" s="37">
        <f t="shared" si="28"/>
        <v>0</v>
      </c>
      <c r="O234" s="37">
        <f t="shared" si="26"/>
        <v>0</v>
      </c>
      <c r="P234" s="55" cm="1">
        <f t="array" aca="1" ref="P234" ca="1">IF((L234-$C$16)&gt;0, IF($P$1+$C$16&gt;=L234,INDIRECT("M"&amp;(L234-$C$16)+5),0),0)</f>
        <v>0</v>
      </c>
      <c r="Q234" s="56" cm="1">
        <f t="array" aca="1" ref="Q234" ca="1">IF(L234&lt;=$C$16,0,IF($W$2&gt;=L234,IF(L234&lt;=($P$1+$C$16),INDIRECT("N"&amp;(L234-$C$16)+5),FV(SRate,L234-$P$1-$C$16,0,-$W$1,1)),0))</f>
        <v>0</v>
      </c>
      <c r="R234" s="56">
        <f t="shared" ca="1" si="27"/>
        <v>0</v>
      </c>
      <c r="S234" s="19">
        <f t="shared" si="29"/>
        <v>0</v>
      </c>
      <c r="T234" s="36" t="str" cm="1">
        <f t="array" aca="1" ref="T234" ca="1">IF(L234&lt;=$P$1,K234,IF(L234&lt;=($P$1+1),INDIRECT("K"&amp;5+$W$2),""))</f>
        <v/>
      </c>
      <c r="U234" s="38">
        <f t="shared" si="30"/>
        <v>20</v>
      </c>
    </row>
    <row r="235" spans="11:21" hidden="1" x14ac:dyDescent="0.25">
      <c r="K235" s="36">
        <f t="shared" ca="1" si="32"/>
        <v>53215</v>
      </c>
      <c r="L235" s="19">
        <v>230</v>
      </c>
      <c r="M235" s="19">
        <f t="shared" si="31"/>
        <v>0</v>
      </c>
      <c r="N235" s="37">
        <f t="shared" si="28"/>
        <v>0</v>
      </c>
      <c r="O235" s="37">
        <f t="shared" si="26"/>
        <v>0</v>
      </c>
      <c r="P235" s="55" cm="1">
        <f t="array" aca="1" ref="P235" ca="1">IF((L235-$C$16)&gt;0, IF($P$1+$C$16&gt;=L235,INDIRECT("M"&amp;(L235-$C$16)+5),0),0)</f>
        <v>0</v>
      </c>
      <c r="Q235" s="56" cm="1">
        <f t="array" aca="1" ref="Q235" ca="1">IF(L235&lt;=$C$16,0,IF($W$2&gt;=L235,IF(L235&lt;=($P$1+$C$16),INDIRECT("N"&amp;(L235-$C$16)+5),FV(SRate,L235-$P$1-$C$16,0,-$W$1,1)),0))</f>
        <v>0</v>
      </c>
      <c r="R235" s="56">
        <f t="shared" ca="1" si="27"/>
        <v>0</v>
      </c>
      <c r="S235" s="19">
        <f t="shared" si="29"/>
        <v>0</v>
      </c>
      <c r="T235" s="36" t="str" cm="1">
        <f t="array" aca="1" ref="T235" ca="1">IF(L235&lt;=$P$1,K235,IF(L235&lt;=($P$1+1),INDIRECT("K"&amp;5+$W$2),""))</f>
        <v/>
      </c>
      <c r="U235" s="38">
        <f t="shared" si="30"/>
        <v>20</v>
      </c>
    </row>
    <row r="236" spans="11:21" hidden="1" x14ac:dyDescent="0.25">
      <c r="K236" s="36">
        <f t="shared" ca="1" si="32"/>
        <v>53245</v>
      </c>
      <c r="L236" s="19">
        <v>231</v>
      </c>
      <c r="M236" s="19">
        <f t="shared" si="31"/>
        <v>0</v>
      </c>
      <c r="N236" s="37">
        <f t="shared" si="28"/>
        <v>0</v>
      </c>
      <c r="O236" s="37">
        <f t="shared" si="26"/>
        <v>0</v>
      </c>
      <c r="P236" s="55" cm="1">
        <f t="array" aca="1" ref="P236" ca="1">IF((L236-$C$16)&gt;0, IF($P$1+$C$16&gt;=L236,INDIRECT("M"&amp;(L236-$C$16)+5),0),0)</f>
        <v>0</v>
      </c>
      <c r="Q236" s="56" cm="1">
        <f t="array" aca="1" ref="Q236" ca="1">IF(L236&lt;=$C$16,0,IF($W$2&gt;=L236,IF(L236&lt;=($P$1+$C$16),INDIRECT("N"&amp;(L236-$C$16)+5),FV(SRate,L236-$P$1-$C$16,0,-$W$1,1)),0))</f>
        <v>0</v>
      </c>
      <c r="R236" s="56">
        <f t="shared" ca="1" si="27"/>
        <v>0</v>
      </c>
      <c r="S236" s="19">
        <f t="shared" si="29"/>
        <v>0</v>
      </c>
      <c r="T236" s="36" t="str" cm="1">
        <f t="array" aca="1" ref="T236" ca="1">IF(L236&lt;=$P$1,K236,IF(L236&lt;=($P$1+1),INDIRECT("K"&amp;5+$W$2),""))</f>
        <v/>
      </c>
      <c r="U236" s="38">
        <f t="shared" si="30"/>
        <v>20</v>
      </c>
    </row>
    <row r="237" spans="11:21" hidden="1" x14ac:dyDescent="0.25">
      <c r="K237" s="36">
        <f t="shared" ca="1" si="32"/>
        <v>53276</v>
      </c>
      <c r="L237" s="19">
        <v>232</v>
      </c>
      <c r="M237" s="19">
        <f t="shared" si="31"/>
        <v>0</v>
      </c>
      <c r="N237" s="37">
        <f t="shared" si="28"/>
        <v>0</v>
      </c>
      <c r="O237" s="37">
        <f t="shared" si="26"/>
        <v>0</v>
      </c>
      <c r="P237" s="55" cm="1">
        <f t="array" aca="1" ref="P237" ca="1">IF((L237-$C$16)&gt;0, IF($P$1+$C$16&gt;=L237,INDIRECT("M"&amp;(L237-$C$16)+5),0),0)</f>
        <v>0</v>
      </c>
      <c r="Q237" s="56" cm="1">
        <f t="array" aca="1" ref="Q237" ca="1">IF(L237&lt;=$C$16,0,IF($W$2&gt;=L237,IF(L237&lt;=($P$1+$C$16),INDIRECT("N"&amp;(L237-$C$16)+5),FV(SRate,L237-$P$1-$C$16,0,-$W$1,1)),0))</f>
        <v>0</v>
      </c>
      <c r="R237" s="56">
        <f t="shared" ca="1" si="27"/>
        <v>0</v>
      </c>
      <c r="S237" s="19">
        <f t="shared" si="29"/>
        <v>0</v>
      </c>
      <c r="T237" s="36" t="str" cm="1">
        <f t="array" aca="1" ref="T237" ca="1">IF(L237&lt;=$P$1,K237,IF(L237&lt;=($P$1+1),INDIRECT("K"&amp;5+$W$2),""))</f>
        <v/>
      </c>
      <c r="U237" s="38">
        <f t="shared" si="30"/>
        <v>20</v>
      </c>
    </row>
    <row r="238" spans="11:21" hidden="1" x14ac:dyDescent="0.25">
      <c r="K238" s="36">
        <f t="shared" ca="1" si="32"/>
        <v>53306</v>
      </c>
      <c r="L238" s="19">
        <v>233</v>
      </c>
      <c r="M238" s="19">
        <f t="shared" si="31"/>
        <v>0</v>
      </c>
      <c r="N238" s="37">
        <f t="shared" si="28"/>
        <v>0</v>
      </c>
      <c r="O238" s="37">
        <f t="shared" si="26"/>
        <v>0</v>
      </c>
      <c r="P238" s="55" cm="1">
        <f t="array" aca="1" ref="P238" ca="1">IF((L238-$C$16)&gt;0, IF($P$1+$C$16&gt;=L238,INDIRECT("M"&amp;(L238-$C$16)+5),0),0)</f>
        <v>0</v>
      </c>
      <c r="Q238" s="56" cm="1">
        <f t="array" aca="1" ref="Q238" ca="1">IF(L238&lt;=$C$16,0,IF($W$2&gt;=L238,IF(L238&lt;=($P$1+$C$16),INDIRECT("N"&amp;(L238-$C$16)+5),FV(SRate,L238-$P$1-$C$16,0,-$W$1,1)),0))</f>
        <v>0</v>
      </c>
      <c r="R238" s="56">
        <f t="shared" ca="1" si="27"/>
        <v>0</v>
      </c>
      <c r="S238" s="19">
        <f t="shared" si="29"/>
        <v>0</v>
      </c>
      <c r="T238" s="36" t="str" cm="1">
        <f t="array" aca="1" ref="T238" ca="1">IF(L238&lt;=$P$1,K238,IF(L238&lt;=($P$1+1),INDIRECT("K"&amp;5+$W$2),""))</f>
        <v/>
      </c>
      <c r="U238" s="38">
        <f t="shared" si="30"/>
        <v>20</v>
      </c>
    </row>
    <row r="239" spans="11:21" hidden="1" x14ac:dyDescent="0.25">
      <c r="K239" s="36">
        <f t="shared" ca="1" si="32"/>
        <v>53337</v>
      </c>
      <c r="L239" s="19">
        <v>234</v>
      </c>
      <c r="M239" s="19">
        <f t="shared" si="31"/>
        <v>0</v>
      </c>
      <c r="N239" s="37">
        <f t="shared" si="28"/>
        <v>0</v>
      </c>
      <c r="O239" s="37">
        <f t="shared" si="26"/>
        <v>0</v>
      </c>
      <c r="P239" s="55" cm="1">
        <f t="array" aca="1" ref="P239" ca="1">IF((L239-$C$16)&gt;0, IF($P$1+$C$16&gt;=L239,INDIRECT("M"&amp;(L239-$C$16)+5),0),0)</f>
        <v>0</v>
      </c>
      <c r="Q239" s="56" cm="1">
        <f t="array" aca="1" ref="Q239" ca="1">IF(L239&lt;=$C$16,0,IF($W$2&gt;=L239,IF(L239&lt;=($P$1+$C$16),INDIRECT("N"&amp;(L239-$C$16)+5),FV(SRate,L239-$P$1-$C$16,0,-$W$1,1)),0))</f>
        <v>0</v>
      </c>
      <c r="R239" s="56">
        <f t="shared" ca="1" si="27"/>
        <v>0</v>
      </c>
      <c r="S239" s="19">
        <f t="shared" si="29"/>
        <v>0</v>
      </c>
      <c r="T239" s="36" t="str" cm="1">
        <f t="array" aca="1" ref="T239" ca="1">IF(L239&lt;=$P$1,K239,IF(L239&lt;=($P$1+1),INDIRECT("K"&amp;5+$W$2),""))</f>
        <v/>
      </c>
      <c r="U239" s="38">
        <f t="shared" si="30"/>
        <v>20</v>
      </c>
    </row>
    <row r="240" spans="11:21" hidden="1" x14ac:dyDescent="0.25">
      <c r="K240" s="36">
        <f t="shared" ca="1" si="32"/>
        <v>53368</v>
      </c>
      <c r="L240" s="19">
        <v>235</v>
      </c>
      <c r="M240" s="19">
        <f t="shared" si="31"/>
        <v>0</v>
      </c>
      <c r="N240" s="37">
        <f t="shared" si="28"/>
        <v>0</v>
      </c>
      <c r="O240" s="37">
        <f t="shared" si="26"/>
        <v>0</v>
      </c>
      <c r="P240" s="55" cm="1">
        <f t="array" aca="1" ref="P240" ca="1">IF((L240-$C$16)&gt;0, IF($P$1+$C$16&gt;=L240,INDIRECT("M"&amp;(L240-$C$16)+5),0),0)</f>
        <v>0</v>
      </c>
      <c r="Q240" s="56" cm="1">
        <f t="array" aca="1" ref="Q240" ca="1">IF(L240&lt;=$C$16,0,IF($W$2&gt;=L240,IF(L240&lt;=($P$1+$C$16),INDIRECT("N"&amp;(L240-$C$16)+5),FV(SRate,L240-$P$1-$C$16,0,-$W$1,1)),0))</f>
        <v>0</v>
      </c>
      <c r="R240" s="56">
        <f t="shared" ca="1" si="27"/>
        <v>0</v>
      </c>
      <c r="S240" s="19">
        <f t="shared" si="29"/>
        <v>0</v>
      </c>
      <c r="T240" s="36" t="str" cm="1">
        <f t="array" aca="1" ref="T240" ca="1">IF(L240&lt;=$P$1,K240,IF(L240&lt;=($P$1+1),INDIRECT("K"&amp;5+$W$2),""))</f>
        <v/>
      </c>
      <c r="U240" s="38">
        <f t="shared" si="30"/>
        <v>20</v>
      </c>
    </row>
    <row r="241" spans="11:21" hidden="1" x14ac:dyDescent="0.25">
      <c r="K241" s="36">
        <f t="shared" ca="1" si="32"/>
        <v>53396</v>
      </c>
      <c r="L241" s="19">
        <v>236</v>
      </c>
      <c r="M241" s="19">
        <f t="shared" si="31"/>
        <v>0</v>
      </c>
      <c r="N241" s="37">
        <f t="shared" si="28"/>
        <v>0</v>
      </c>
      <c r="O241" s="37">
        <f t="shared" si="26"/>
        <v>0</v>
      </c>
      <c r="P241" s="55" cm="1">
        <f t="array" aca="1" ref="P241" ca="1">IF((L241-$C$16)&gt;0, IF($P$1+$C$16&gt;=L241,INDIRECT("M"&amp;(L241-$C$16)+5),0),0)</f>
        <v>0</v>
      </c>
      <c r="Q241" s="56" cm="1">
        <f t="array" aca="1" ref="Q241" ca="1">IF(L241&lt;=$C$16,0,IF($W$2&gt;=L241,IF(L241&lt;=($P$1+$C$16),INDIRECT("N"&amp;(L241-$C$16)+5),FV(SRate,L241-$P$1-$C$16,0,-$W$1,1)),0))</f>
        <v>0</v>
      </c>
      <c r="R241" s="56">
        <f t="shared" ca="1" si="27"/>
        <v>0</v>
      </c>
      <c r="S241" s="19">
        <f t="shared" si="29"/>
        <v>0</v>
      </c>
      <c r="T241" s="36" t="str" cm="1">
        <f t="array" aca="1" ref="T241" ca="1">IF(L241&lt;=$P$1,K241,IF(L241&lt;=($P$1+1),INDIRECT("K"&amp;5+$W$2),""))</f>
        <v/>
      </c>
      <c r="U241" s="38">
        <f t="shared" si="30"/>
        <v>20</v>
      </c>
    </row>
    <row r="242" spans="11:21" hidden="1" x14ac:dyDescent="0.25">
      <c r="K242" s="36">
        <f t="shared" ca="1" si="32"/>
        <v>53427</v>
      </c>
      <c r="L242" s="19">
        <v>237</v>
      </c>
      <c r="M242" s="19">
        <f t="shared" si="31"/>
        <v>0</v>
      </c>
      <c r="N242" s="37">
        <f t="shared" si="28"/>
        <v>0</v>
      </c>
      <c r="O242" s="37">
        <f t="shared" si="26"/>
        <v>0</v>
      </c>
      <c r="P242" s="55" cm="1">
        <f t="array" aca="1" ref="P242" ca="1">IF((L242-$C$16)&gt;0, IF($P$1+$C$16&gt;=L242,INDIRECT("M"&amp;(L242-$C$16)+5),0),0)</f>
        <v>0</v>
      </c>
      <c r="Q242" s="56" cm="1">
        <f t="array" aca="1" ref="Q242" ca="1">IF(L242&lt;=$C$16,0,IF($W$2&gt;=L242,IF(L242&lt;=($P$1+$C$16),INDIRECT("N"&amp;(L242-$C$16)+5),FV(SRate,L242-$P$1-$C$16,0,-$W$1,1)),0))</f>
        <v>0</v>
      </c>
      <c r="R242" s="56">
        <f t="shared" ca="1" si="27"/>
        <v>0</v>
      </c>
      <c r="S242" s="19">
        <f t="shared" si="29"/>
        <v>0</v>
      </c>
      <c r="T242" s="36" t="str" cm="1">
        <f t="array" aca="1" ref="T242" ca="1">IF(L242&lt;=$P$1,K242,IF(L242&lt;=($P$1+1),INDIRECT("K"&amp;5+$W$2),""))</f>
        <v/>
      </c>
      <c r="U242" s="38">
        <f t="shared" si="30"/>
        <v>20</v>
      </c>
    </row>
    <row r="243" spans="11:21" hidden="1" x14ac:dyDescent="0.25">
      <c r="K243" s="36">
        <f t="shared" ca="1" si="32"/>
        <v>53457</v>
      </c>
      <c r="L243" s="19">
        <v>238</v>
      </c>
      <c r="M243" s="19">
        <f t="shared" si="31"/>
        <v>0</v>
      </c>
      <c r="N243" s="37">
        <f t="shared" si="28"/>
        <v>0</v>
      </c>
      <c r="O243" s="37">
        <f t="shared" si="26"/>
        <v>0</v>
      </c>
      <c r="P243" s="55" cm="1">
        <f t="array" aca="1" ref="P243" ca="1">IF((L243-$C$16)&gt;0, IF($P$1+$C$16&gt;=L243,INDIRECT("M"&amp;(L243-$C$16)+5),0),0)</f>
        <v>0</v>
      </c>
      <c r="Q243" s="56" cm="1">
        <f t="array" aca="1" ref="Q243" ca="1">IF(L243&lt;=$C$16,0,IF($W$2&gt;=L243,IF(L243&lt;=($P$1+$C$16),INDIRECT("N"&amp;(L243-$C$16)+5),FV(SRate,L243-$P$1-$C$16,0,-$W$1,1)),0))</f>
        <v>0</v>
      </c>
      <c r="R243" s="56">
        <f t="shared" ca="1" si="27"/>
        <v>0</v>
      </c>
      <c r="S243" s="19">
        <f t="shared" si="29"/>
        <v>0</v>
      </c>
      <c r="T243" s="36" t="str" cm="1">
        <f t="array" aca="1" ref="T243" ca="1">IF(L243&lt;=$P$1,K243,IF(L243&lt;=($P$1+1),INDIRECT("K"&amp;5+$W$2),""))</f>
        <v/>
      </c>
      <c r="U243" s="38">
        <f t="shared" si="30"/>
        <v>20</v>
      </c>
    </row>
    <row r="244" spans="11:21" hidden="1" x14ac:dyDescent="0.25">
      <c r="K244" s="36">
        <f t="shared" ca="1" si="32"/>
        <v>53488</v>
      </c>
      <c r="L244" s="19">
        <v>239</v>
      </c>
      <c r="M244" s="19">
        <f t="shared" si="31"/>
        <v>0</v>
      </c>
      <c r="N244" s="37">
        <f t="shared" si="28"/>
        <v>0</v>
      </c>
      <c r="O244" s="37">
        <f t="shared" si="26"/>
        <v>0</v>
      </c>
      <c r="P244" s="55" cm="1">
        <f t="array" aca="1" ref="P244" ca="1">IF((L244-$C$16)&gt;0, IF($P$1+$C$16&gt;=L244,INDIRECT("M"&amp;(L244-$C$16)+5),0),0)</f>
        <v>0</v>
      </c>
      <c r="Q244" s="56" cm="1">
        <f t="array" aca="1" ref="Q244" ca="1">IF(L244&lt;=$C$16,0,IF($W$2&gt;=L244,IF(L244&lt;=($P$1+$C$16),INDIRECT("N"&amp;(L244-$C$16)+5),FV(SRate,L244-$P$1-$C$16,0,-$W$1,1)),0))</f>
        <v>0</v>
      </c>
      <c r="R244" s="56">
        <f t="shared" ca="1" si="27"/>
        <v>0</v>
      </c>
      <c r="S244" s="19">
        <f t="shared" si="29"/>
        <v>0</v>
      </c>
      <c r="T244" s="36" t="str" cm="1">
        <f t="array" aca="1" ref="T244" ca="1">IF(L244&lt;=$P$1,K244,IF(L244&lt;=($P$1+1),INDIRECT("K"&amp;5+$W$2),""))</f>
        <v/>
      </c>
      <c r="U244" s="38">
        <f t="shared" si="30"/>
        <v>20</v>
      </c>
    </row>
    <row r="245" spans="11:21" hidden="1" x14ac:dyDescent="0.25">
      <c r="K245" s="36">
        <f t="shared" ca="1" si="32"/>
        <v>53518</v>
      </c>
      <c r="L245" s="19">
        <v>240</v>
      </c>
      <c r="M245" s="19">
        <f t="shared" si="31"/>
        <v>0</v>
      </c>
      <c r="N245" s="37">
        <f t="shared" si="28"/>
        <v>0</v>
      </c>
      <c r="O245" s="37">
        <f t="shared" si="26"/>
        <v>0</v>
      </c>
      <c r="P245" s="55" cm="1">
        <f t="array" aca="1" ref="P245" ca="1">IF((L245-$C$16)&gt;0, IF($P$1+$C$16&gt;=L245,INDIRECT("M"&amp;(L245-$C$16)+5),0),0)</f>
        <v>0</v>
      </c>
      <c r="Q245" s="56" cm="1">
        <f t="array" aca="1" ref="Q245" ca="1">IF(L245&lt;=$C$16,0,IF($W$2&gt;=L245,IF(L245&lt;=($P$1+$C$16),INDIRECT("N"&amp;(L245-$C$16)+5),FV(SRate,L245-$P$1-$C$16,0,-$W$1,1)),0))</f>
        <v>0</v>
      </c>
      <c r="R245" s="56">
        <f t="shared" ca="1" si="27"/>
        <v>0</v>
      </c>
      <c r="S245" s="19">
        <f t="shared" si="29"/>
        <v>0</v>
      </c>
      <c r="T245" s="36" t="str" cm="1">
        <f t="array" aca="1" ref="T245" ca="1">IF(L245&lt;=$P$1,K245,IF(L245&lt;=($P$1+1),INDIRECT("K"&amp;5+$W$2),""))</f>
        <v/>
      </c>
      <c r="U245" s="38">
        <f t="shared" si="30"/>
        <v>20</v>
      </c>
    </row>
    <row r="246" spans="11:21" hidden="1" x14ac:dyDescent="0.25">
      <c r="K246" s="36">
        <f t="shared" ca="1" si="32"/>
        <v>53549</v>
      </c>
      <c r="L246" s="19">
        <v>241</v>
      </c>
      <c r="M246" s="19">
        <f t="shared" si="31"/>
        <v>0</v>
      </c>
      <c r="N246" s="37">
        <f t="shared" si="28"/>
        <v>0</v>
      </c>
      <c r="O246" s="37">
        <f t="shared" si="26"/>
        <v>0</v>
      </c>
      <c r="P246" s="55" cm="1">
        <f t="array" aca="1" ref="P246" ca="1">IF((L246-$C$16)&gt;0, IF($P$1+$C$16&gt;=L246,INDIRECT("M"&amp;(L246-$C$16)+5),0),0)</f>
        <v>0</v>
      </c>
      <c r="Q246" s="56" cm="1">
        <f t="array" aca="1" ref="Q246" ca="1">IF(L246&lt;=$C$16,0,IF($W$2&gt;=L246,IF(L246&lt;=($P$1+$C$16),INDIRECT("N"&amp;(L246-$C$16)+5),FV(SRate,L246-$P$1-$C$16,0,-$W$1,1)),0))</f>
        <v>0</v>
      </c>
      <c r="R246" s="56">
        <f t="shared" ca="1" si="27"/>
        <v>0</v>
      </c>
      <c r="S246" s="19">
        <f t="shared" si="29"/>
        <v>0</v>
      </c>
      <c r="T246" s="36" t="str" cm="1">
        <f t="array" aca="1" ref="T246" ca="1">IF(L246&lt;=$P$1,K246,IF(L246&lt;=($P$1+1),INDIRECT("K"&amp;5+$W$2),""))</f>
        <v/>
      </c>
      <c r="U246" s="38">
        <f t="shared" si="30"/>
        <v>21</v>
      </c>
    </row>
    <row r="247" spans="11:21" hidden="1" x14ac:dyDescent="0.25">
      <c r="K247" s="36">
        <f t="shared" ca="1" si="32"/>
        <v>53580</v>
      </c>
      <c r="L247" s="19">
        <v>242</v>
      </c>
      <c r="M247" s="19">
        <f t="shared" si="31"/>
        <v>0</v>
      </c>
      <c r="N247" s="37">
        <f t="shared" si="28"/>
        <v>0</v>
      </c>
      <c r="O247" s="37">
        <f t="shared" si="26"/>
        <v>0</v>
      </c>
      <c r="P247" s="55" cm="1">
        <f t="array" aca="1" ref="P247" ca="1">IF((L247-$C$16)&gt;0, IF($P$1+$C$16&gt;=L247,INDIRECT("M"&amp;(L247-$C$16)+5),0),0)</f>
        <v>0</v>
      </c>
      <c r="Q247" s="56" cm="1">
        <f t="array" aca="1" ref="Q247" ca="1">IF(L247&lt;=$C$16,0,IF($W$2&gt;=L247,IF(L247&lt;=($P$1+$C$16),INDIRECT("N"&amp;(L247-$C$16)+5),FV(SRate,L247-$P$1-$C$16,0,-$W$1,1)),0))</f>
        <v>0</v>
      </c>
      <c r="R247" s="56">
        <f t="shared" ca="1" si="27"/>
        <v>0</v>
      </c>
      <c r="S247" s="19">
        <f t="shared" si="29"/>
        <v>0</v>
      </c>
      <c r="T247" s="36" t="str" cm="1">
        <f t="array" aca="1" ref="T247" ca="1">IF(L247&lt;=$P$1,K247,IF(L247&lt;=($P$1+1),INDIRECT("K"&amp;5+$W$2),""))</f>
        <v/>
      </c>
      <c r="U247" s="38">
        <f t="shared" si="30"/>
        <v>21</v>
      </c>
    </row>
    <row r="248" spans="11:21" hidden="1" x14ac:dyDescent="0.25">
      <c r="K248" s="36">
        <f t="shared" ca="1" si="32"/>
        <v>53610</v>
      </c>
      <c r="L248" s="19">
        <v>243</v>
      </c>
      <c r="M248" s="19">
        <f t="shared" si="31"/>
        <v>0</v>
      </c>
      <c r="N248" s="37">
        <f t="shared" si="28"/>
        <v>0</v>
      </c>
      <c r="O248" s="37">
        <f t="shared" si="26"/>
        <v>0</v>
      </c>
      <c r="P248" s="55" cm="1">
        <f t="array" aca="1" ref="P248" ca="1">IF((L248-$C$16)&gt;0, IF($P$1+$C$16&gt;=L248,INDIRECT("M"&amp;(L248-$C$16)+5),0),0)</f>
        <v>0</v>
      </c>
      <c r="Q248" s="56" cm="1">
        <f t="array" aca="1" ref="Q248" ca="1">IF(L248&lt;=$C$16,0,IF($W$2&gt;=L248,IF(L248&lt;=($P$1+$C$16),INDIRECT("N"&amp;(L248-$C$16)+5),FV(SRate,L248-$P$1-$C$16,0,-$W$1,1)),0))</f>
        <v>0</v>
      </c>
      <c r="R248" s="56">
        <f t="shared" ca="1" si="27"/>
        <v>0</v>
      </c>
      <c r="S248" s="19">
        <f t="shared" si="29"/>
        <v>0</v>
      </c>
      <c r="T248" s="36" t="str" cm="1">
        <f t="array" aca="1" ref="T248" ca="1">IF(L248&lt;=$P$1,K248,IF(L248&lt;=($P$1+1),INDIRECT("K"&amp;5+$W$2),""))</f>
        <v/>
      </c>
      <c r="U248" s="38">
        <f t="shared" si="30"/>
        <v>21</v>
      </c>
    </row>
    <row r="249" spans="11:21" hidden="1" x14ac:dyDescent="0.25">
      <c r="K249" s="36">
        <f t="shared" ca="1" si="32"/>
        <v>53641</v>
      </c>
      <c r="L249" s="19">
        <v>244</v>
      </c>
      <c r="M249" s="19">
        <f t="shared" si="31"/>
        <v>0</v>
      </c>
      <c r="N249" s="37">
        <f t="shared" si="28"/>
        <v>0</v>
      </c>
      <c r="O249" s="37">
        <f t="shared" si="26"/>
        <v>0</v>
      </c>
      <c r="P249" s="55" cm="1">
        <f t="array" aca="1" ref="P249" ca="1">IF((L249-$C$16)&gt;0, IF($P$1+$C$16&gt;=L249,INDIRECT("M"&amp;(L249-$C$16)+5),0),0)</f>
        <v>0</v>
      </c>
      <c r="Q249" s="56" cm="1">
        <f t="array" aca="1" ref="Q249" ca="1">IF(L249&lt;=$C$16,0,IF($W$2&gt;=L249,IF(L249&lt;=($P$1+$C$16),INDIRECT("N"&amp;(L249-$C$16)+5),FV(SRate,L249-$P$1-$C$16,0,-$W$1,1)),0))</f>
        <v>0</v>
      </c>
      <c r="R249" s="56">
        <f t="shared" ca="1" si="27"/>
        <v>0</v>
      </c>
      <c r="S249" s="19">
        <f t="shared" si="29"/>
        <v>0</v>
      </c>
      <c r="T249" s="36" t="str" cm="1">
        <f t="array" aca="1" ref="T249" ca="1">IF(L249&lt;=$P$1,K249,IF(L249&lt;=($P$1+1),INDIRECT("K"&amp;5+$W$2),""))</f>
        <v/>
      </c>
      <c r="U249" s="38">
        <f t="shared" si="30"/>
        <v>21</v>
      </c>
    </row>
    <row r="250" spans="11:21" hidden="1" x14ac:dyDescent="0.25">
      <c r="K250" s="36">
        <f t="shared" ca="1" si="32"/>
        <v>53671</v>
      </c>
      <c r="L250" s="19">
        <v>245</v>
      </c>
      <c r="M250" s="19">
        <f t="shared" si="31"/>
        <v>0</v>
      </c>
      <c r="N250" s="37">
        <f t="shared" si="28"/>
        <v>0</v>
      </c>
      <c r="O250" s="37">
        <f t="shared" si="26"/>
        <v>0</v>
      </c>
      <c r="P250" s="55" cm="1">
        <f t="array" aca="1" ref="P250" ca="1">IF((L250-$C$16)&gt;0, IF($P$1+$C$16&gt;=L250,INDIRECT("M"&amp;(L250-$C$16)+5),0),0)</f>
        <v>0</v>
      </c>
      <c r="Q250" s="56" cm="1">
        <f t="array" aca="1" ref="Q250" ca="1">IF(L250&lt;=$C$16,0,IF($W$2&gt;=L250,IF(L250&lt;=($P$1+$C$16),INDIRECT("N"&amp;(L250-$C$16)+5),FV(SRate,L250-$P$1-$C$16,0,-$W$1,1)),0))</f>
        <v>0</v>
      </c>
      <c r="R250" s="56">
        <f t="shared" ca="1" si="27"/>
        <v>0</v>
      </c>
      <c r="S250" s="19">
        <f t="shared" si="29"/>
        <v>0</v>
      </c>
      <c r="T250" s="36" t="str" cm="1">
        <f t="array" aca="1" ref="T250" ca="1">IF(L250&lt;=$P$1,K250,IF(L250&lt;=($P$1+1),INDIRECT("K"&amp;5+$W$2),""))</f>
        <v/>
      </c>
      <c r="U250" s="38">
        <f t="shared" si="30"/>
        <v>21</v>
      </c>
    </row>
    <row r="251" spans="11:21" hidden="1" x14ac:dyDescent="0.25">
      <c r="K251" s="36">
        <f t="shared" ca="1" si="32"/>
        <v>53702</v>
      </c>
      <c r="L251" s="19">
        <v>246</v>
      </c>
      <c r="M251" s="19">
        <f t="shared" si="31"/>
        <v>0</v>
      </c>
      <c r="N251" s="37">
        <f t="shared" si="28"/>
        <v>0</v>
      </c>
      <c r="O251" s="37">
        <f t="shared" si="26"/>
        <v>0</v>
      </c>
      <c r="P251" s="55" cm="1">
        <f t="array" aca="1" ref="P251" ca="1">IF((L251-$C$16)&gt;0, IF($P$1+$C$16&gt;=L251,INDIRECT("M"&amp;(L251-$C$16)+5),0),0)</f>
        <v>0</v>
      </c>
      <c r="Q251" s="56" cm="1">
        <f t="array" aca="1" ref="Q251" ca="1">IF(L251&lt;=$C$16,0,IF($W$2&gt;=L251,IF(L251&lt;=($P$1+$C$16),INDIRECT("N"&amp;(L251-$C$16)+5),FV(SRate,L251-$P$1-$C$16,0,-$W$1,1)),0))</f>
        <v>0</v>
      </c>
      <c r="R251" s="56">
        <f t="shared" ca="1" si="27"/>
        <v>0</v>
      </c>
      <c r="S251" s="19">
        <f t="shared" si="29"/>
        <v>0</v>
      </c>
      <c r="T251" s="36" t="str" cm="1">
        <f t="array" aca="1" ref="T251" ca="1">IF(L251&lt;=$P$1,K251,IF(L251&lt;=($P$1+1),INDIRECT("K"&amp;5+$W$2),""))</f>
        <v/>
      </c>
      <c r="U251" s="38">
        <f t="shared" si="30"/>
        <v>21</v>
      </c>
    </row>
    <row r="252" spans="11:21" hidden="1" x14ac:dyDescent="0.25">
      <c r="K252" s="36">
        <f t="shared" ca="1" si="32"/>
        <v>53733</v>
      </c>
      <c r="L252" s="19">
        <v>247</v>
      </c>
      <c r="M252" s="19">
        <f t="shared" si="31"/>
        <v>0</v>
      </c>
      <c r="N252" s="37">
        <f t="shared" si="28"/>
        <v>0</v>
      </c>
      <c r="O252" s="37">
        <f t="shared" si="26"/>
        <v>0</v>
      </c>
      <c r="P252" s="55" cm="1">
        <f t="array" aca="1" ref="P252" ca="1">IF((L252-$C$16)&gt;0, IF($P$1+$C$16&gt;=L252,INDIRECT("M"&amp;(L252-$C$16)+5),0),0)</f>
        <v>0</v>
      </c>
      <c r="Q252" s="56" cm="1">
        <f t="array" aca="1" ref="Q252" ca="1">IF(L252&lt;=$C$16,0,IF($W$2&gt;=L252,IF(L252&lt;=($P$1+$C$16),INDIRECT("N"&amp;(L252-$C$16)+5),FV(SRate,L252-$P$1-$C$16,0,-$W$1,1)),0))</f>
        <v>0</v>
      </c>
      <c r="R252" s="56">
        <f t="shared" ca="1" si="27"/>
        <v>0</v>
      </c>
      <c r="S252" s="19">
        <f t="shared" si="29"/>
        <v>0</v>
      </c>
      <c r="T252" s="36" t="str" cm="1">
        <f t="array" aca="1" ref="T252" ca="1">IF(L252&lt;=$P$1,K252,IF(L252&lt;=($P$1+1),INDIRECT("K"&amp;5+$W$2),""))</f>
        <v/>
      </c>
      <c r="U252" s="38">
        <f t="shared" si="30"/>
        <v>21</v>
      </c>
    </row>
    <row r="253" spans="11:21" hidden="1" x14ac:dyDescent="0.25">
      <c r="K253" s="36">
        <f t="shared" ca="1" si="32"/>
        <v>53761</v>
      </c>
      <c r="L253" s="19">
        <v>248</v>
      </c>
      <c r="M253" s="19">
        <f t="shared" si="31"/>
        <v>0</v>
      </c>
      <c r="N253" s="37">
        <f t="shared" si="28"/>
        <v>0</v>
      </c>
      <c r="O253" s="37">
        <f t="shared" si="26"/>
        <v>0</v>
      </c>
      <c r="P253" s="55" cm="1">
        <f t="array" aca="1" ref="P253" ca="1">IF((L253-$C$16)&gt;0, IF($P$1+$C$16&gt;=L253,INDIRECT("M"&amp;(L253-$C$16)+5),0),0)</f>
        <v>0</v>
      </c>
      <c r="Q253" s="56" cm="1">
        <f t="array" aca="1" ref="Q253" ca="1">IF(L253&lt;=$C$16,0,IF($W$2&gt;=L253,IF(L253&lt;=($P$1+$C$16),INDIRECT("N"&amp;(L253-$C$16)+5),FV(SRate,L253-$P$1-$C$16,0,-$W$1,1)),0))</f>
        <v>0</v>
      </c>
      <c r="R253" s="56">
        <f t="shared" ca="1" si="27"/>
        <v>0</v>
      </c>
      <c r="S253" s="19">
        <f t="shared" si="29"/>
        <v>0</v>
      </c>
      <c r="T253" s="36" t="str" cm="1">
        <f t="array" aca="1" ref="T253" ca="1">IF(L253&lt;=$P$1,K253,IF(L253&lt;=($P$1+1),INDIRECT("K"&amp;5+$W$2),""))</f>
        <v/>
      </c>
      <c r="U253" s="38">
        <f t="shared" si="30"/>
        <v>21</v>
      </c>
    </row>
    <row r="254" spans="11:21" hidden="1" x14ac:dyDescent="0.25">
      <c r="K254" s="36">
        <f t="shared" ca="1" si="32"/>
        <v>53792</v>
      </c>
      <c r="L254" s="19">
        <v>249</v>
      </c>
      <c r="M254" s="19">
        <f t="shared" si="31"/>
        <v>0</v>
      </c>
      <c r="N254" s="37">
        <f t="shared" si="28"/>
        <v>0</v>
      </c>
      <c r="O254" s="37">
        <f t="shared" si="26"/>
        <v>0</v>
      </c>
      <c r="P254" s="55" cm="1">
        <f t="array" aca="1" ref="P254" ca="1">IF((L254-$C$16)&gt;0, IF($P$1+$C$16&gt;=L254,INDIRECT("M"&amp;(L254-$C$16)+5),0),0)</f>
        <v>0</v>
      </c>
      <c r="Q254" s="56" cm="1">
        <f t="array" aca="1" ref="Q254" ca="1">IF(L254&lt;=$C$16,0,IF($W$2&gt;=L254,IF(L254&lt;=($P$1+$C$16),INDIRECT("N"&amp;(L254-$C$16)+5),FV(SRate,L254-$P$1-$C$16,0,-$W$1,1)),0))</f>
        <v>0</v>
      </c>
      <c r="R254" s="56">
        <f t="shared" ca="1" si="27"/>
        <v>0</v>
      </c>
      <c r="S254" s="19">
        <f t="shared" si="29"/>
        <v>0</v>
      </c>
      <c r="T254" s="36" t="str" cm="1">
        <f t="array" aca="1" ref="T254" ca="1">IF(L254&lt;=$P$1,K254,IF(L254&lt;=($P$1+1),INDIRECT("K"&amp;5+$W$2),""))</f>
        <v/>
      </c>
      <c r="U254" s="38">
        <f t="shared" si="30"/>
        <v>21</v>
      </c>
    </row>
    <row r="255" spans="11:21" hidden="1" x14ac:dyDescent="0.25">
      <c r="K255" s="36">
        <f t="shared" ca="1" si="32"/>
        <v>53822</v>
      </c>
      <c r="L255" s="19">
        <v>250</v>
      </c>
      <c r="M255" s="19">
        <f t="shared" si="31"/>
        <v>0</v>
      </c>
      <c r="N255" s="37">
        <f t="shared" si="28"/>
        <v>0</v>
      </c>
      <c r="O255" s="37">
        <f t="shared" si="26"/>
        <v>0</v>
      </c>
      <c r="P255" s="55" cm="1">
        <f t="array" aca="1" ref="P255" ca="1">IF((L255-$C$16)&gt;0, IF($P$1+$C$16&gt;=L255,INDIRECT("M"&amp;(L255-$C$16)+5),0),0)</f>
        <v>0</v>
      </c>
      <c r="Q255" s="56" cm="1">
        <f t="array" aca="1" ref="Q255" ca="1">IF(L255&lt;=$C$16,0,IF($W$2&gt;=L255,IF(L255&lt;=($P$1+$C$16),INDIRECT("N"&amp;(L255-$C$16)+5),FV(SRate,L255-$P$1-$C$16,0,-$W$1,1)),0))</f>
        <v>0</v>
      </c>
      <c r="R255" s="56">
        <f t="shared" ca="1" si="27"/>
        <v>0</v>
      </c>
      <c r="S255" s="19">
        <f t="shared" si="29"/>
        <v>0</v>
      </c>
      <c r="T255" s="36" t="str" cm="1">
        <f t="array" aca="1" ref="T255" ca="1">IF(L255&lt;=$P$1,K255,IF(L255&lt;=($P$1+1),INDIRECT("K"&amp;5+$W$2),""))</f>
        <v/>
      </c>
      <c r="U255" s="38">
        <f t="shared" si="30"/>
        <v>21</v>
      </c>
    </row>
    <row r="256" spans="11:21" hidden="1" x14ac:dyDescent="0.25">
      <c r="K256" s="36">
        <f t="shared" ca="1" si="32"/>
        <v>53853</v>
      </c>
      <c r="L256" s="19">
        <v>251</v>
      </c>
      <c r="M256" s="19">
        <f t="shared" si="31"/>
        <v>0</v>
      </c>
      <c r="N256" s="37">
        <f t="shared" si="28"/>
        <v>0</v>
      </c>
      <c r="O256" s="37">
        <f t="shared" si="26"/>
        <v>0</v>
      </c>
      <c r="P256" s="55" cm="1">
        <f t="array" aca="1" ref="P256" ca="1">IF((L256-$C$16)&gt;0, IF($P$1+$C$16&gt;=L256,INDIRECT("M"&amp;(L256-$C$16)+5),0),0)</f>
        <v>0</v>
      </c>
      <c r="Q256" s="56" cm="1">
        <f t="array" aca="1" ref="Q256" ca="1">IF(L256&lt;=$C$16,0,IF($W$2&gt;=L256,IF(L256&lt;=($P$1+$C$16),INDIRECT("N"&amp;(L256-$C$16)+5),FV(SRate,L256-$P$1-$C$16,0,-$W$1,1)),0))</f>
        <v>0</v>
      </c>
      <c r="R256" s="56">
        <f t="shared" ca="1" si="27"/>
        <v>0</v>
      </c>
      <c r="S256" s="19">
        <f t="shared" si="29"/>
        <v>0</v>
      </c>
      <c r="T256" s="36" t="str" cm="1">
        <f t="array" aca="1" ref="T256" ca="1">IF(L256&lt;=$P$1,K256,IF(L256&lt;=($P$1+1),INDIRECT("K"&amp;5+$W$2),""))</f>
        <v/>
      </c>
      <c r="U256" s="38">
        <f t="shared" si="30"/>
        <v>21</v>
      </c>
    </row>
    <row r="257" spans="11:21" hidden="1" x14ac:dyDescent="0.25">
      <c r="K257" s="36">
        <f t="shared" ca="1" si="32"/>
        <v>53883</v>
      </c>
      <c r="L257" s="19">
        <v>252</v>
      </c>
      <c r="M257" s="19">
        <f t="shared" si="31"/>
        <v>0</v>
      </c>
      <c r="N257" s="37">
        <f t="shared" si="28"/>
        <v>0</v>
      </c>
      <c r="O257" s="37">
        <f t="shared" si="26"/>
        <v>0</v>
      </c>
      <c r="P257" s="55" cm="1">
        <f t="array" aca="1" ref="P257" ca="1">IF((L257-$C$16)&gt;0, IF($P$1+$C$16&gt;=L257,INDIRECT("M"&amp;(L257-$C$16)+5),0),0)</f>
        <v>0</v>
      </c>
      <c r="Q257" s="56" cm="1">
        <f t="array" aca="1" ref="Q257" ca="1">IF(L257&lt;=$C$16,0,IF($W$2&gt;=L257,IF(L257&lt;=($P$1+$C$16),INDIRECT("N"&amp;(L257-$C$16)+5),FV(SRate,L257-$P$1-$C$16,0,-$W$1,1)),0))</f>
        <v>0</v>
      </c>
      <c r="R257" s="56">
        <f t="shared" ca="1" si="27"/>
        <v>0</v>
      </c>
      <c r="S257" s="19">
        <f t="shared" si="29"/>
        <v>0</v>
      </c>
      <c r="T257" s="36" t="str" cm="1">
        <f t="array" aca="1" ref="T257" ca="1">IF(L257&lt;=$P$1,K257,IF(L257&lt;=($P$1+1),INDIRECT("K"&amp;5+$W$2),""))</f>
        <v/>
      </c>
      <c r="U257" s="38">
        <f t="shared" si="30"/>
        <v>21</v>
      </c>
    </row>
    <row r="258" spans="11:21" hidden="1" x14ac:dyDescent="0.25">
      <c r="K258" s="36">
        <f t="shared" ca="1" si="32"/>
        <v>53914</v>
      </c>
      <c r="L258" s="19">
        <v>253</v>
      </c>
      <c r="M258" s="19">
        <f t="shared" si="31"/>
        <v>0</v>
      </c>
      <c r="N258" s="37">
        <f t="shared" si="28"/>
        <v>0</v>
      </c>
      <c r="O258" s="37">
        <f t="shared" si="26"/>
        <v>0</v>
      </c>
      <c r="P258" s="55" cm="1">
        <f t="array" aca="1" ref="P258" ca="1">IF((L258-$C$16)&gt;0, IF($P$1+$C$16&gt;=L258,INDIRECT("M"&amp;(L258-$C$16)+5),0),0)</f>
        <v>0</v>
      </c>
      <c r="Q258" s="56" cm="1">
        <f t="array" aca="1" ref="Q258" ca="1">IF(L258&lt;=$C$16,0,IF($W$2&gt;=L258,IF(L258&lt;=($P$1+$C$16),INDIRECT("N"&amp;(L258-$C$16)+5),FV(SRate,L258-$P$1-$C$16,0,-$W$1,1)),0))</f>
        <v>0</v>
      </c>
      <c r="R258" s="56">
        <f t="shared" ca="1" si="27"/>
        <v>0</v>
      </c>
      <c r="S258" s="19">
        <f t="shared" si="29"/>
        <v>0</v>
      </c>
      <c r="T258" s="36" t="str" cm="1">
        <f t="array" aca="1" ref="T258" ca="1">IF(L258&lt;=$P$1,K258,IF(L258&lt;=($P$1+1),INDIRECT("K"&amp;5+$W$2),""))</f>
        <v/>
      </c>
      <c r="U258" s="38">
        <f t="shared" si="30"/>
        <v>22</v>
      </c>
    </row>
    <row r="259" spans="11:21" hidden="1" x14ac:dyDescent="0.25">
      <c r="K259" s="36">
        <f t="shared" ca="1" si="32"/>
        <v>53945</v>
      </c>
      <c r="L259" s="19">
        <v>254</v>
      </c>
      <c r="M259" s="19">
        <f t="shared" si="31"/>
        <v>0</v>
      </c>
      <c r="N259" s="37">
        <f t="shared" si="28"/>
        <v>0</v>
      </c>
      <c r="O259" s="37">
        <f t="shared" si="26"/>
        <v>0</v>
      </c>
      <c r="P259" s="55" cm="1">
        <f t="array" aca="1" ref="P259" ca="1">IF((L259-$C$16)&gt;0, IF($P$1+$C$16&gt;=L259,INDIRECT("M"&amp;(L259-$C$16)+5),0),0)</f>
        <v>0</v>
      </c>
      <c r="Q259" s="56" cm="1">
        <f t="array" aca="1" ref="Q259" ca="1">IF(L259&lt;=$C$16,0,IF($W$2&gt;=L259,IF(L259&lt;=($P$1+$C$16),INDIRECT("N"&amp;(L259-$C$16)+5),FV(SRate,L259-$P$1-$C$16,0,-$W$1,1)),0))</f>
        <v>0</v>
      </c>
      <c r="R259" s="56">
        <f t="shared" ca="1" si="27"/>
        <v>0</v>
      </c>
      <c r="S259" s="19">
        <f t="shared" si="29"/>
        <v>0</v>
      </c>
      <c r="T259" s="36" t="str" cm="1">
        <f t="array" aca="1" ref="T259" ca="1">IF(L259&lt;=$P$1,K259,IF(L259&lt;=($P$1+1),INDIRECT("K"&amp;5+$W$2),""))</f>
        <v/>
      </c>
      <c r="U259" s="38">
        <f t="shared" si="30"/>
        <v>22</v>
      </c>
    </row>
    <row r="260" spans="11:21" hidden="1" x14ac:dyDescent="0.25">
      <c r="K260" s="36">
        <f t="shared" ca="1" si="32"/>
        <v>53975</v>
      </c>
      <c r="L260" s="19">
        <v>255</v>
      </c>
      <c r="M260" s="19">
        <f t="shared" si="31"/>
        <v>0</v>
      </c>
      <c r="N260" s="37">
        <f t="shared" si="28"/>
        <v>0</v>
      </c>
      <c r="O260" s="37">
        <f t="shared" si="26"/>
        <v>0</v>
      </c>
      <c r="P260" s="55" cm="1">
        <f t="array" aca="1" ref="P260" ca="1">IF((L260-$C$16)&gt;0, IF($P$1+$C$16&gt;=L260,INDIRECT("M"&amp;(L260-$C$16)+5),0),0)</f>
        <v>0</v>
      </c>
      <c r="Q260" s="56" cm="1">
        <f t="array" aca="1" ref="Q260" ca="1">IF(L260&lt;=$C$16,0,IF($W$2&gt;=L260,IF(L260&lt;=($P$1+$C$16),INDIRECT("N"&amp;(L260-$C$16)+5),FV(SRate,L260-$P$1-$C$16,0,-$W$1,1)),0))</f>
        <v>0</v>
      </c>
      <c r="R260" s="56">
        <f t="shared" ca="1" si="27"/>
        <v>0</v>
      </c>
      <c r="S260" s="19">
        <f t="shared" si="29"/>
        <v>0</v>
      </c>
      <c r="T260" s="36" t="str" cm="1">
        <f t="array" aca="1" ref="T260" ca="1">IF(L260&lt;=$P$1,K260,IF(L260&lt;=($P$1+1),INDIRECT("K"&amp;5+$W$2),""))</f>
        <v/>
      </c>
      <c r="U260" s="38">
        <f t="shared" si="30"/>
        <v>22</v>
      </c>
    </row>
    <row r="261" spans="11:21" hidden="1" x14ac:dyDescent="0.25">
      <c r="K261" s="36">
        <f t="shared" ca="1" si="32"/>
        <v>54006</v>
      </c>
      <c r="L261" s="19">
        <v>256</v>
      </c>
      <c r="M261" s="19">
        <f t="shared" si="31"/>
        <v>0</v>
      </c>
      <c r="N261" s="37">
        <f t="shared" si="28"/>
        <v>0</v>
      </c>
      <c r="O261" s="37">
        <f t="shared" si="26"/>
        <v>0</v>
      </c>
      <c r="P261" s="55" cm="1">
        <f t="array" aca="1" ref="P261" ca="1">IF((L261-$C$16)&gt;0, IF($P$1+$C$16&gt;=L261,INDIRECT("M"&amp;(L261-$C$16)+5),0),0)</f>
        <v>0</v>
      </c>
      <c r="Q261" s="56" cm="1">
        <f t="array" aca="1" ref="Q261" ca="1">IF(L261&lt;=$C$16,0,IF($W$2&gt;=L261,IF(L261&lt;=($P$1+$C$16),INDIRECT("N"&amp;(L261-$C$16)+5),FV(SRate,L261-$P$1-$C$16,0,-$W$1,1)),0))</f>
        <v>0</v>
      </c>
      <c r="R261" s="56">
        <f t="shared" ca="1" si="27"/>
        <v>0</v>
      </c>
      <c r="S261" s="19">
        <f t="shared" si="29"/>
        <v>0</v>
      </c>
      <c r="T261" s="36" t="str" cm="1">
        <f t="array" aca="1" ref="T261" ca="1">IF(L261&lt;=$P$1,K261,IF(L261&lt;=($P$1+1),INDIRECT("K"&amp;5+$W$2),""))</f>
        <v/>
      </c>
      <c r="U261" s="38">
        <f t="shared" si="30"/>
        <v>22</v>
      </c>
    </row>
    <row r="262" spans="11:21" hidden="1" x14ac:dyDescent="0.25">
      <c r="K262" s="36">
        <f t="shared" ca="1" si="32"/>
        <v>54036</v>
      </c>
      <c r="L262" s="19">
        <v>257</v>
      </c>
      <c r="M262" s="19">
        <f t="shared" si="31"/>
        <v>0</v>
      </c>
      <c r="N262" s="37">
        <f t="shared" si="28"/>
        <v>0</v>
      </c>
      <c r="O262" s="37">
        <f t="shared" ref="O262:O325" si="33">N262/((1+SIPInflationRate)^(L262/12))</f>
        <v>0</v>
      </c>
      <c r="P262" s="55" cm="1">
        <f t="array" aca="1" ref="P262" ca="1">IF((L262-$C$16)&gt;0, IF($P$1+$C$16&gt;=L262,INDIRECT("M"&amp;(L262-$C$16)+5),0),0)</f>
        <v>0</v>
      </c>
      <c r="Q262" s="56" cm="1">
        <f t="array" aca="1" ref="Q262" ca="1">IF(L262&lt;=$C$16,0,IF($W$2&gt;=L262,IF(L262&lt;=($P$1+$C$16),INDIRECT("N"&amp;(L262-$C$16)+5),FV(SRate,L262-$P$1-$C$16,0,-$W$1,1)),0))</f>
        <v>0</v>
      </c>
      <c r="R262" s="56">
        <f t="shared" ref="R262:R325" ca="1" si="34">Q262/((1+SIPInflationRate)^((L262-$C$16)/12))</f>
        <v>0</v>
      </c>
      <c r="S262" s="19">
        <f t="shared" si="29"/>
        <v>0</v>
      </c>
      <c r="T262" s="36" t="str" cm="1">
        <f t="array" aca="1" ref="T262" ca="1">IF(L262&lt;=$P$1,K262,IF(L262&lt;=($P$1+1),INDIRECT("K"&amp;5+$W$2),""))</f>
        <v/>
      </c>
      <c r="U262" s="38">
        <f t="shared" si="30"/>
        <v>22</v>
      </c>
    </row>
    <row r="263" spans="11:21" hidden="1" x14ac:dyDescent="0.25">
      <c r="K263" s="36">
        <f t="shared" ca="1" si="32"/>
        <v>54067</v>
      </c>
      <c r="L263" s="19">
        <v>258</v>
      </c>
      <c r="M263" s="19">
        <f t="shared" si="31"/>
        <v>0</v>
      </c>
      <c r="N263" s="37">
        <f t="shared" ref="N263:N326" si="35">IF($W$2&gt;=L263,IF(L263&lt;=$P$1,(M263-M262+N262)*(1+SRate),FV(SRate,L263-$P$1,0,-$W$1,1)),0)</f>
        <v>0</v>
      </c>
      <c r="O263" s="37">
        <f t="shared" si="33"/>
        <v>0</v>
      </c>
      <c r="P263" s="55" cm="1">
        <f t="array" aca="1" ref="P263" ca="1">IF((L263-$C$16)&gt;0, IF($P$1+$C$16&gt;=L263,INDIRECT("M"&amp;(L263-$C$16)+5),0),0)</f>
        <v>0</v>
      </c>
      <c r="Q263" s="56" cm="1">
        <f t="array" aca="1" ref="Q263" ca="1">IF(L263&lt;=$C$16,0,IF($W$2&gt;=L263,IF(L263&lt;=($P$1+$C$16),INDIRECT("N"&amp;(L263-$C$16)+5),FV(SRate,L263-$P$1-$C$16,0,-$W$1,1)),0))</f>
        <v>0</v>
      </c>
      <c r="R263" s="56">
        <f t="shared" ca="1" si="34"/>
        <v>0</v>
      </c>
      <c r="S263" s="19">
        <f t="shared" ref="S263:S326" si="36">IF(L263&lt;=$P$1,-(_xlfn.XLOOKUP(U263,$Z$3:$Z$72,$AB$3:$AB$72,0)),IF(L263&lt;=($P$1+1),$W$4,0))</f>
        <v>0</v>
      </c>
      <c r="T263" s="36" t="str" cm="1">
        <f t="array" aca="1" ref="T263" ca="1">IF(L263&lt;=$P$1,K263,IF(L263&lt;=($P$1+1),INDIRECT("K"&amp;5+$W$2),""))</f>
        <v/>
      </c>
      <c r="U263" s="38">
        <f t="shared" ref="U263:U326" si="37">QUOTIENT(L263,12)+IF(MOD(L263,12)=0,-1,0)+1</f>
        <v>22</v>
      </c>
    </row>
    <row r="264" spans="11:21" hidden="1" x14ac:dyDescent="0.25">
      <c r="K264" s="36">
        <f t="shared" ca="1" si="32"/>
        <v>54098</v>
      </c>
      <c r="L264" s="19">
        <v>259</v>
      </c>
      <c r="M264" s="19">
        <f t="shared" ref="M264:M327" si="38">IF($P$1&gt;=L264,_xlfn.XLOOKUP(U264,$Z$3:$Z$72,$AB$3:$AB$72,0)+M263,0)</f>
        <v>0</v>
      </c>
      <c r="N264" s="37">
        <f t="shared" si="35"/>
        <v>0</v>
      </c>
      <c r="O264" s="37">
        <f t="shared" si="33"/>
        <v>0</v>
      </c>
      <c r="P264" s="55" cm="1">
        <f t="array" aca="1" ref="P264" ca="1">IF((L264-$C$16)&gt;0, IF($P$1+$C$16&gt;=L264,INDIRECT("M"&amp;(L264-$C$16)+5),0),0)</f>
        <v>0</v>
      </c>
      <c r="Q264" s="56" cm="1">
        <f t="array" aca="1" ref="Q264" ca="1">IF(L264&lt;=$C$16,0,IF($W$2&gt;=L264,IF(L264&lt;=($P$1+$C$16),INDIRECT("N"&amp;(L264-$C$16)+5),FV(SRate,L264-$P$1-$C$16,0,-$W$1,1)),0))</f>
        <v>0</v>
      </c>
      <c r="R264" s="56">
        <f t="shared" ca="1" si="34"/>
        <v>0</v>
      </c>
      <c r="S264" s="19">
        <f t="shared" si="36"/>
        <v>0</v>
      </c>
      <c r="T264" s="36" t="str" cm="1">
        <f t="array" aca="1" ref="T264" ca="1">IF(L264&lt;=$P$1,K264,IF(L264&lt;=($P$1+1),INDIRECT("K"&amp;5+$W$2),""))</f>
        <v/>
      </c>
      <c r="U264" s="38">
        <f t="shared" si="37"/>
        <v>22</v>
      </c>
    </row>
    <row r="265" spans="11:21" hidden="1" x14ac:dyDescent="0.25">
      <c r="K265" s="36">
        <f t="shared" ref="K265:K328" ca="1" si="39">EDATE(K264,1)</f>
        <v>54127</v>
      </c>
      <c r="L265" s="19">
        <v>260</v>
      </c>
      <c r="M265" s="19">
        <f t="shared" si="38"/>
        <v>0</v>
      </c>
      <c r="N265" s="37">
        <f t="shared" si="35"/>
        <v>0</v>
      </c>
      <c r="O265" s="37">
        <f t="shared" si="33"/>
        <v>0</v>
      </c>
      <c r="P265" s="55" cm="1">
        <f t="array" aca="1" ref="P265" ca="1">IF((L265-$C$16)&gt;0, IF($P$1+$C$16&gt;=L265,INDIRECT("M"&amp;(L265-$C$16)+5),0),0)</f>
        <v>0</v>
      </c>
      <c r="Q265" s="56" cm="1">
        <f t="array" aca="1" ref="Q265" ca="1">IF(L265&lt;=$C$16,0,IF($W$2&gt;=L265,IF(L265&lt;=($P$1+$C$16),INDIRECT("N"&amp;(L265-$C$16)+5),FV(SRate,L265-$P$1-$C$16,0,-$W$1,1)),0))</f>
        <v>0</v>
      </c>
      <c r="R265" s="56">
        <f t="shared" ca="1" si="34"/>
        <v>0</v>
      </c>
      <c r="S265" s="19">
        <f t="shared" si="36"/>
        <v>0</v>
      </c>
      <c r="T265" s="36" t="str" cm="1">
        <f t="array" aca="1" ref="T265" ca="1">IF(L265&lt;=$P$1,K265,IF(L265&lt;=($P$1+1),INDIRECT("K"&amp;5+$W$2),""))</f>
        <v/>
      </c>
      <c r="U265" s="38">
        <f t="shared" si="37"/>
        <v>22</v>
      </c>
    </row>
    <row r="266" spans="11:21" hidden="1" x14ac:dyDescent="0.25">
      <c r="K266" s="36">
        <f t="shared" ca="1" si="39"/>
        <v>54158</v>
      </c>
      <c r="L266" s="19">
        <v>261</v>
      </c>
      <c r="M266" s="19">
        <f t="shared" si="38"/>
        <v>0</v>
      </c>
      <c r="N266" s="37">
        <f t="shared" si="35"/>
        <v>0</v>
      </c>
      <c r="O266" s="37">
        <f t="shared" si="33"/>
        <v>0</v>
      </c>
      <c r="P266" s="55" cm="1">
        <f t="array" aca="1" ref="P266" ca="1">IF((L266-$C$16)&gt;0, IF($P$1+$C$16&gt;=L266,INDIRECT("M"&amp;(L266-$C$16)+5),0),0)</f>
        <v>0</v>
      </c>
      <c r="Q266" s="56" cm="1">
        <f t="array" aca="1" ref="Q266" ca="1">IF(L266&lt;=$C$16,0,IF($W$2&gt;=L266,IF(L266&lt;=($P$1+$C$16),INDIRECT("N"&amp;(L266-$C$16)+5),FV(SRate,L266-$P$1-$C$16,0,-$W$1,1)),0))</f>
        <v>0</v>
      </c>
      <c r="R266" s="56">
        <f t="shared" ca="1" si="34"/>
        <v>0</v>
      </c>
      <c r="S266" s="19">
        <f t="shared" si="36"/>
        <v>0</v>
      </c>
      <c r="T266" s="36" t="str" cm="1">
        <f t="array" aca="1" ref="T266" ca="1">IF(L266&lt;=$P$1,K266,IF(L266&lt;=($P$1+1),INDIRECT("K"&amp;5+$W$2),""))</f>
        <v/>
      </c>
      <c r="U266" s="38">
        <f t="shared" si="37"/>
        <v>22</v>
      </c>
    </row>
    <row r="267" spans="11:21" hidden="1" x14ac:dyDescent="0.25">
      <c r="K267" s="36">
        <f t="shared" ca="1" si="39"/>
        <v>54188</v>
      </c>
      <c r="L267" s="19">
        <v>262</v>
      </c>
      <c r="M267" s="19">
        <f t="shared" si="38"/>
        <v>0</v>
      </c>
      <c r="N267" s="37">
        <f t="shared" si="35"/>
        <v>0</v>
      </c>
      <c r="O267" s="37">
        <f t="shared" si="33"/>
        <v>0</v>
      </c>
      <c r="P267" s="55" cm="1">
        <f t="array" aca="1" ref="P267" ca="1">IF((L267-$C$16)&gt;0, IF($P$1+$C$16&gt;=L267,INDIRECT("M"&amp;(L267-$C$16)+5),0),0)</f>
        <v>0</v>
      </c>
      <c r="Q267" s="56" cm="1">
        <f t="array" aca="1" ref="Q267" ca="1">IF(L267&lt;=$C$16,0,IF($W$2&gt;=L267,IF(L267&lt;=($P$1+$C$16),INDIRECT("N"&amp;(L267-$C$16)+5),FV(SRate,L267-$P$1-$C$16,0,-$W$1,1)),0))</f>
        <v>0</v>
      </c>
      <c r="R267" s="56">
        <f t="shared" ca="1" si="34"/>
        <v>0</v>
      </c>
      <c r="S267" s="19">
        <f t="shared" si="36"/>
        <v>0</v>
      </c>
      <c r="T267" s="36" t="str" cm="1">
        <f t="array" aca="1" ref="T267" ca="1">IF(L267&lt;=$P$1,K267,IF(L267&lt;=($P$1+1),INDIRECT("K"&amp;5+$W$2),""))</f>
        <v/>
      </c>
      <c r="U267" s="38">
        <f t="shared" si="37"/>
        <v>22</v>
      </c>
    </row>
    <row r="268" spans="11:21" hidden="1" x14ac:dyDescent="0.25">
      <c r="K268" s="36">
        <f t="shared" ca="1" si="39"/>
        <v>54219</v>
      </c>
      <c r="L268" s="19">
        <v>263</v>
      </c>
      <c r="M268" s="19">
        <f t="shared" si="38"/>
        <v>0</v>
      </c>
      <c r="N268" s="37">
        <f t="shared" si="35"/>
        <v>0</v>
      </c>
      <c r="O268" s="37">
        <f t="shared" si="33"/>
        <v>0</v>
      </c>
      <c r="P268" s="55" cm="1">
        <f t="array" aca="1" ref="P268" ca="1">IF((L268-$C$16)&gt;0, IF($P$1+$C$16&gt;=L268,INDIRECT("M"&amp;(L268-$C$16)+5),0),0)</f>
        <v>0</v>
      </c>
      <c r="Q268" s="56" cm="1">
        <f t="array" aca="1" ref="Q268" ca="1">IF(L268&lt;=$C$16,0,IF($W$2&gt;=L268,IF(L268&lt;=($P$1+$C$16),INDIRECT("N"&amp;(L268-$C$16)+5),FV(SRate,L268-$P$1-$C$16,0,-$W$1,1)),0))</f>
        <v>0</v>
      </c>
      <c r="R268" s="56">
        <f t="shared" ca="1" si="34"/>
        <v>0</v>
      </c>
      <c r="S268" s="19">
        <f t="shared" si="36"/>
        <v>0</v>
      </c>
      <c r="T268" s="36" t="str" cm="1">
        <f t="array" aca="1" ref="T268" ca="1">IF(L268&lt;=$P$1,K268,IF(L268&lt;=($P$1+1),INDIRECT("K"&amp;5+$W$2),""))</f>
        <v/>
      </c>
      <c r="U268" s="38">
        <f t="shared" si="37"/>
        <v>22</v>
      </c>
    </row>
    <row r="269" spans="11:21" hidden="1" x14ac:dyDescent="0.25">
      <c r="K269" s="36">
        <f t="shared" ca="1" si="39"/>
        <v>54249</v>
      </c>
      <c r="L269" s="19">
        <v>264</v>
      </c>
      <c r="M269" s="19">
        <f t="shared" si="38"/>
        <v>0</v>
      </c>
      <c r="N269" s="37">
        <f t="shared" si="35"/>
        <v>0</v>
      </c>
      <c r="O269" s="37">
        <f t="shared" si="33"/>
        <v>0</v>
      </c>
      <c r="P269" s="55" cm="1">
        <f t="array" aca="1" ref="P269" ca="1">IF((L269-$C$16)&gt;0, IF($P$1+$C$16&gt;=L269,INDIRECT("M"&amp;(L269-$C$16)+5),0),0)</f>
        <v>0</v>
      </c>
      <c r="Q269" s="56" cm="1">
        <f t="array" aca="1" ref="Q269" ca="1">IF(L269&lt;=$C$16,0,IF($W$2&gt;=L269,IF(L269&lt;=($P$1+$C$16),INDIRECT("N"&amp;(L269-$C$16)+5),FV(SRate,L269-$P$1-$C$16,0,-$W$1,1)),0))</f>
        <v>0</v>
      </c>
      <c r="R269" s="56">
        <f t="shared" ca="1" si="34"/>
        <v>0</v>
      </c>
      <c r="S269" s="19">
        <f t="shared" si="36"/>
        <v>0</v>
      </c>
      <c r="T269" s="36" t="str" cm="1">
        <f t="array" aca="1" ref="T269" ca="1">IF(L269&lt;=$P$1,K269,IF(L269&lt;=($P$1+1),INDIRECT("K"&amp;5+$W$2),""))</f>
        <v/>
      </c>
      <c r="U269" s="38">
        <f t="shared" si="37"/>
        <v>22</v>
      </c>
    </row>
    <row r="270" spans="11:21" hidden="1" x14ac:dyDescent="0.25">
      <c r="K270" s="36">
        <f t="shared" ca="1" si="39"/>
        <v>54280</v>
      </c>
      <c r="L270" s="19">
        <v>265</v>
      </c>
      <c r="M270" s="19">
        <f t="shared" si="38"/>
        <v>0</v>
      </c>
      <c r="N270" s="37">
        <f t="shared" si="35"/>
        <v>0</v>
      </c>
      <c r="O270" s="37">
        <f t="shared" si="33"/>
        <v>0</v>
      </c>
      <c r="P270" s="55" cm="1">
        <f t="array" aca="1" ref="P270" ca="1">IF((L270-$C$16)&gt;0, IF($P$1+$C$16&gt;=L270,INDIRECT("M"&amp;(L270-$C$16)+5),0),0)</f>
        <v>0</v>
      </c>
      <c r="Q270" s="56" cm="1">
        <f t="array" aca="1" ref="Q270" ca="1">IF(L270&lt;=$C$16,0,IF($W$2&gt;=L270,IF(L270&lt;=($P$1+$C$16),INDIRECT("N"&amp;(L270-$C$16)+5),FV(SRate,L270-$P$1-$C$16,0,-$W$1,1)),0))</f>
        <v>0</v>
      </c>
      <c r="R270" s="56">
        <f t="shared" ca="1" si="34"/>
        <v>0</v>
      </c>
      <c r="S270" s="19">
        <f t="shared" si="36"/>
        <v>0</v>
      </c>
      <c r="T270" s="36" t="str" cm="1">
        <f t="array" aca="1" ref="T270" ca="1">IF(L270&lt;=$P$1,K270,IF(L270&lt;=($P$1+1),INDIRECT("K"&amp;5+$W$2),""))</f>
        <v/>
      </c>
      <c r="U270" s="38">
        <f t="shared" si="37"/>
        <v>23</v>
      </c>
    </row>
    <row r="271" spans="11:21" hidden="1" x14ac:dyDescent="0.25">
      <c r="K271" s="36">
        <f t="shared" ca="1" si="39"/>
        <v>54311</v>
      </c>
      <c r="L271" s="19">
        <v>266</v>
      </c>
      <c r="M271" s="19">
        <f t="shared" si="38"/>
        <v>0</v>
      </c>
      <c r="N271" s="37">
        <f t="shared" si="35"/>
        <v>0</v>
      </c>
      <c r="O271" s="37">
        <f t="shared" si="33"/>
        <v>0</v>
      </c>
      <c r="P271" s="55" cm="1">
        <f t="array" aca="1" ref="P271" ca="1">IF((L271-$C$16)&gt;0, IF($P$1+$C$16&gt;=L271,INDIRECT("M"&amp;(L271-$C$16)+5),0),0)</f>
        <v>0</v>
      </c>
      <c r="Q271" s="56" cm="1">
        <f t="array" aca="1" ref="Q271" ca="1">IF(L271&lt;=$C$16,0,IF($W$2&gt;=L271,IF(L271&lt;=($P$1+$C$16),INDIRECT("N"&amp;(L271-$C$16)+5),FV(SRate,L271-$P$1-$C$16,0,-$W$1,1)),0))</f>
        <v>0</v>
      </c>
      <c r="R271" s="56">
        <f t="shared" ca="1" si="34"/>
        <v>0</v>
      </c>
      <c r="S271" s="19">
        <f t="shared" si="36"/>
        <v>0</v>
      </c>
      <c r="T271" s="36" t="str" cm="1">
        <f t="array" aca="1" ref="T271" ca="1">IF(L271&lt;=$P$1,K271,IF(L271&lt;=($P$1+1),INDIRECT("K"&amp;5+$W$2),""))</f>
        <v/>
      </c>
      <c r="U271" s="38">
        <f t="shared" si="37"/>
        <v>23</v>
      </c>
    </row>
    <row r="272" spans="11:21" hidden="1" x14ac:dyDescent="0.25">
      <c r="K272" s="36">
        <f t="shared" ca="1" si="39"/>
        <v>54341</v>
      </c>
      <c r="L272" s="19">
        <v>267</v>
      </c>
      <c r="M272" s="19">
        <f t="shared" si="38"/>
        <v>0</v>
      </c>
      <c r="N272" s="37">
        <f t="shared" si="35"/>
        <v>0</v>
      </c>
      <c r="O272" s="37">
        <f t="shared" si="33"/>
        <v>0</v>
      </c>
      <c r="P272" s="55" cm="1">
        <f t="array" aca="1" ref="P272" ca="1">IF((L272-$C$16)&gt;0, IF($P$1+$C$16&gt;=L272,INDIRECT("M"&amp;(L272-$C$16)+5),0),0)</f>
        <v>0</v>
      </c>
      <c r="Q272" s="56" cm="1">
        <f t="array" aca="1" ref="Q272" ca="1">IF(L272&lt;=$C$16,0,IF($W$2&gt;=L272,IF(L272&lt;=($P$1+$C$16),INDIRECT("N"&amp;(L272-$C$16)+5),FV(SRate,L272-$P$1-$C$16,0,-$W$1,1)),0))</f>
        <v>0</v>
      </c>
      <c r="R272" s="56">
        <f t="shared" ca="1" si="34"/>
        <v>0</v>
      </c>
      <c r="S272" s="19">
        <f t="shared" si="36"/>
        <v>0</v>
      </c>
      <c r="T272" s="36" t="str" cm="1">
        <f t="array" aca="1" ref="T272" ca="1">IF(L272&lt;=$P$1,K272,IF(L272&lt;=($P$1+1),INDIRECT("K"&amp;5+$W$2),""))</f>
        <v/>
      </c>
      <c r="U272" s="38">
        <f t="shared" si="37"/>
        <v>23</v>
      </c>
    </row>
    <row r="273" spans="11:21" hidden="1" x14ac:dyDescent="0.25">
      <c r="K273" s="36">
        <f t="shared" ca="1" si="39"/>
        <v>54372</v>
      </c>
      <c r="L273" s="19">
        <v>268</v>
      </c>
      <c r="M273" s="19">
        <f t="shared" si="38"/>
        <v>0</v>
      </c>
      <c r="N273" s="37">
        <f t="shared" si="35"/>
        <v>0</v>
      </c>
      <c r="O273" s="37">
        <f t="shared" si="33"/>
        <v>0</v>
      </c>
      <c r="P273" s="55" cm="1">
        <f t="array" aca="1" ref="P273" ca="1">IF((L273-$C$16)&gt;0, IF($P$1+$C$16&gt;=L273,INDIRECT("M"&amp;(L273-$C$16)+5),0),0)</f>
        <v>0</v>
      </c>
      <c r="Q273" s="56" cm="1">
        <f t="array" aca="1" ref="Q273" ca="1">IF(L273&lt;=$C$16,0,IF($W$2&gt;=L273,IF(L273&lt;=($P$1+$C$16),INDIRECT("N"&amp;(L273-$C$16)+5),FV(SRate,L273-$P$1-$C$16,0,-$W$1,1)),0))</f>
        <v>0</v>
      </c>
      <c r="R273" s="56">
        <f t="shared" ca="1" si="34"/>
        <v>0</v>
      </c>
      <c r="S273" s="19">
        <f t="shared" si="36"/>
        <v>0</v>
      </c>
      <c r="T273" s="36" t="str" cm="1">
        <f t="array" aca="1" ref="T273" ca="1">IF(L273&lt;=$P$1,K273,IF(L273&lt;=($P$1+1),INDIRECT("K"&amp;5+$W$2),""))</f>
        <v/>
      </c>
      <c r="U273" s="38">
        <f t="shared" si="37"/>
        <v>23</v>
      </c>
    </row>
    <row r="274" spans="11:21" hidden="1" x14ac:dyDescent="0.25">
      <c r="K274" s="36">
        <f t="shared" ca="1" si="39"/>
        <v>54402</v>
      </c>
      <c r="L274" s="19">
        <v>269</v>
      </c>
      <c r="M274" s="19">
        <f t="shared" si="38"/>
        <v>0</v>
      </c>
      <c r="N274" s="37">
        <f t="shared" si="35"/>
        <v>0</v>
      </c>
      <c r="O274" s="37">
        <f t="shared" si="33"/>
        <v>0</v>
      </c>
      <c r="P274" s="55" cm="1">
        <f t="array" aca="1" ref="P274" ca="1">IF((L274-$C$16)&gt;0, IF($P$1+$C$16&gt;=L274,INDIRECT("M"&amp;(L274-$C$16)+5),0),0)</f>
        <v>0</v>
      </c>
      <c r="Q274" s="56" cm="1">
        <f t="array" aca="1" ref="Q274" ca="1">IF(L274&lt;=$C$16,0,IF($W$2&gt;=L274,IF(L274&lt;=($P$1+$C$16),INDIRECT("N"&amp;(L274-$C$16)+5),FV(SRate,L274-$P$1-$C$16,0,-$W$1,1)),0))</f>
        <v>0</v>
      </c>
      <c r="R274" s="56">
        <f t="shared" ca="1" si="34"/>
        <v>0</v>
      </c>
      <c r="S274" s="19">
        <f t="shared" si="36"/>
        <v>0</v>
      </c>
      <c r="T274" s="36" t="str" cm="1">
        <f t="array" aca="1" ref="T274" ca="1">IF(L274&lt;=$P$1,K274,IF(L274&lt;=($P$1+1),INDIRECT("K"&amp;5+$W$2),""))</f>
        <v/>
      </c>
      <c r="U274" s="38">
        <f t="shared" si="37"/>
        <v>23</v>
      </c>
    </row>
    <row r="275" spans="11:21" hidden="1" x14ac:dyDescent="0.25">
      <c r="K275" s="36">
        <f t="shared" ca="1" si="39"/>
        <v>54433</v>
      </c>
      <c r="L275" s="19">
        <v>270</v>
      </c>
      <c r="M275" s="19">
        <f t="shared" si="38"/>
        <v>0</v>
      </c>
      <c r="N275" s="37">
        <f t="shared" si="35"/>
        <v>0</v>
      </c>
      <c r="O275" s="37">
        <f t="shared" si="33"/>
        <v>0</v>
      </c>
      <c r="P275" s="55" cm="1">
        <f t="array" aca="1" ref="P275" ca="1">IF((L275-$C$16)&gt;0, IF($P$1+$C$16&gt;=L275,INDIRECT("M"&amp;(L275-$C$16)+5),0),0)</f>
        <v>0</v>
      </c>
      <c r="Q275" s="56" cm="1">
        <f t="array" aca="1" ref="Q275" ca="1">IF(L275&lt;=$C$16,0,IF($W$2&gt;=L275,IF(L275&lt;=($P$1+$C$16),INDIRECT("N"&amp;(L275-$C$16)+5),FV(SRate,L275-$P$1-$C$16,0,-$W$1,1)),0))</f>
        <v>0</v>
      </c>
      <c r="R275" s="56">
        <f t="shared" ca="1" si="34"/>
        <v>0</v>
      </c>
      <c r="S275" s="19">
        <f t="shared" si="36"/>
        <v>0</v>
      </c>
      <c r="T275" s="36" t="str" cm="1">
        <f t="array" aca="1" ref="T275" ca="1">IF(L275&lt;=$P$1,K275,IF(L275&lt;=($P$1+1),INDIRECT("K"&amp;5+$W$2),""))</f>
        <v/>
      </c>
      <c r="U275" s="38">
        <f t="shared" si="37"/>
        <v>23</v>
      </c>
    </row>
    <row r="276" spans="11:21" hidden="1" x14ac:dyDescent="0.25">
      <c r="K276" s="36">
        <f t="shared" ca="1" si="39"/>
        <v>54464</v>
      </c>
      <c r="L276" s="19">
        <v>271</v>
      </c>
      <c r="M276" s="19">
        <f t="shared" si="38"/>
        <v>0</v>
      </c>
      <c r="N276" s="37">
        <f t="shared" si="35"/>
        <v>0</v>
      </c>
      <c r="O276" s="37">
        <f t="shared" si="33"/>
        <v>0</v>
      </c>
      <c r="P276" s="55" cm="1">
        <f t="array" aca="1" ref="P276" ca="1">IF((L276-$C$16)&gt;0, IF($P$1+$C$16&gt;=L276,INDIRECT("M"&amp;(L276-$C$16)+5),0),0)</f>
        <v>0</v>
      </c>
      <c r="Q276" s="56" cm="1">
        <f t="array" aca="1" ref="Q276" ca="1">IF(L276&lt;=$C$16,0,IF($W$2&gt;=L276,IF(L276&lt;=($P$1+$C$16),INDIRECT("N"&amp;(L276-$C$16)+5),FV(SRate,L276-$P$1-$C$16,0,-$W$1,1)),0))</f>
        <v>0</v>
      </c>
      <c r="R276" s="56">
        <f t="shared" ca="1" si="34"/>
        <v>0</v>
      </c>
      <c r="S276" s="19">
        <f t="shared" si="36"/>
        <v>0</v>
      </c>
      <c r="T276" s="36" t="str" cm="1">
        <f t="array" aca="1" ref="T276" ca="1">IF(L276&lt;=$P$1,K276,IF(L276&lt;=($P$1+1),INDIRECT("K"&amp;5+$W$2),""))</f>
        <v/>
      </c>
      <c r="U276" s="38">
        <f t="shared" si="37"/>
        <v>23</v>
      </c>
    </row>
    <row r="277" spans="11:21" hidden="1" x14ac:dyDescent="0.25">
      <c r="K277" s="36">
        <f t="shared" ca="1" si="39"/>
        <v>54492</v>
      </c>
      <c r="L277" s="19">
        <v>272</v>
      </c>
      <c r="M277" s="19">
        <f t="shared" si="38"/>
        <v>0</v>
      </c>
      <c r="N277" s="37">
        <f t="shared" si="35"/>
        <v>0</v>
      </c>
      <c r="O277" s="37">
        <f t="shared" si="33"/>
        <v>0</v>
      </c>
      <c r="P277" s="55" cm="1">
        <f t="array" aca="1" ref="P277" ca="1">IF((L277-$C$16)&gt;0, IF($P$1+$C$16&gt;=L277,INDIRECT("M"&amp;(L277-$C$16)+5),0),0)</f>
        <v>0</v>
      </c>
      <c r="Q277" s="56" cm="1">
        <f t="array" aca="1" ref="Q277" ca="1">IF(L277&lt;=$C$16,0,IF($W$2&gt;=L277,IF(L277&lt;=($P$1+$C$16),INDIRECT("N"&amp;(L277-$C$16)+5),FV(SRate,L277-$P$1-$C$16,0,-$W$1,1)),0))</f>
        <v>0</v>
      </c>
      <c r="R277" s="56">
        <f t="shared" ca="1" si="34"/>
        <v>0</v>
      </c>
      <c r="S277" s="19">
        <f t="shared" si="36"/>
        <v>0</v>
      </c>
      <c r="T277" s="36" t="str" cm="1">
        <f t="array" aca="1" ref="T277" ca="1">IF(L277&lt;=$P$1,K277,IF(L277&lt;=($P$1+1),INDIRECT("K"&amp;5+$W$2),""))</f>
        <v/>
      </c>
      <c r="U277" s="38">
        <f t="shared" si="37"/>
        <v>23</v>
      </c>
    </row>
    <row r="278" spans="11:21" hidden="1" x14ac:dyDescent="0.25">
      <c r="K278" s="36">
        <f t="shared" ca="1" si="39"/>
        <v>54523</v>
      </c>
      <c r="L278" s="19">
        <v>273</v>
      </c>
      <c r="M278" s="19">
        <f t="shared" si="38"/>
        <v>0</v>
      </c>
      <c r="N278" s="37">
        <f t="shared" si="35"/>
        <v>0</v>
      </c>
      <c r="O278" s="37">
        <f t="shared" si="33"/>
        <v>0</v>
      </c>
      <c r="P278" s="55" cm="1">
        <f t="array" aca="1" ref="P278" ca="1">IF((L278-$C$16)&gt;0, IF($P$1+$C$16&gt;=L278,INDIRECT("M"&amp;(L278-$C$16)+5),0),0)</f>
        <v>0</v>
      </c>
      <c r="Q278" s="56" cm="1">
        <f t="array" aca="1" ref="Q278" ca="1">IF(L278&lt;=$C$16,0,IF($W$2&gt;=L278,IF(L278&lt;=($P$1+$C$16),INDIRECT("N"&amp;(L278-$C$16)+5),FV(SRate,L278-$P$1-$C$16,0,-$W$1,1)),0))</f>
        <v>0</v>
      </c>
      <c r="R278" s="56">
        <f t="shared" ca="1" si="34"/>
        <v>0</v>
      </c>
      <c r="S278" s="19">
        <f t="shared" si="36"/>
        <v>0</v>
      </c>
      <c r="T278" s="36" t="str" cm="1">
        <f t="array" aca="1" ref="T278" ca="1">IF(L278&lt;=$P$1,K278,IF(L278&lt;=($P$1+1),INDIRECT("K"&amp;5+$W$2),""))</f>
        <v/>
      </c>
      <c r="U278" s="38">
        <f t="shared" si="37"/>
        <v>23</v>
      </c>
    </row>
    <row r="279" spans="11:21" hidden="1" x14ac:dyDescent="0.25">
      <c r="K279" s="36">
        <f t="shared" ca="1" si="39"/>
        <v>54553</v>
      </c>
      <c r="L279" s="19">
        <v>274</v>
      </c>
      <c r="M279" s="19">
        <f t="shared" si="38"/>
        <v>0</v>
      </c>
      <c r="N279" s="37">
        <f t="shared" si="35"/>
        <v>0</v>
      </c>
      <c r="O279" s="37">
        <f t="shared" si="33"/>
        <v>0</v>
      </c>
      <c r="P279" s="55" cm="1">
        <f t="array" aca="1" ref="P279" ca="1">IF((L279-$C$16)&gt;0, IF($P$1+$C$16&gt;=L279,INDIRECT("M"&amp;(L279-$C$16)+5),0),0)</f>
        <v>0</v>
      </c>
      <c r="Q279" s="56" cm="1">
        <f t="array" aca="1" ref="Q279" ca="1">IF(L279&lt;=$C$16,0,IF($W$2&gt;=L279,IF(L279&lt;=($P$1+$C$16),INDIRECT("N"&amp;(L279-$C$16)+5),FV(SRate,L279-$P$1-$C$16,0,-$W$1,1)),0))</f>
        <v>0</v>
      </c>
      <c r="R279" s="56">
        <f t="shared" ca="1" si="34"/>
        <v>0</v>
      </c>
      <c r="S279" s="19">
        <f t="shared" si="36"/>
        <v>0</v>
      </c>
      <c r="T279" s="36" t="str" cm="1">
        <f t="array" aca="1" ref="T279" ca="1">IF(L279&lt;=$P$1,K279,IF(L279&lt;=($P$1+1),INDIRECT("K"&amp;5+$W$2),""))</f>
        <v/>
      </c>
      <c r="U279" s="38">
        <f t="shared" si="37"/>
        <v>23</v>
      </c>
    </row>
    <row r="280" spans="11:21" hidden="1" x14ac:dyDescent="0.25">
      <c r="K280" s="36">
        <f t="shared" ca="1" si="39"/>
        <v>54584</v>
      </c>
      <c r="L280" s="19">
        <v>275</v>
      </c>
      <c r="M280" s="19">
        <f t="shared" si="38"/>
        <v>0</v>
      </c>
      <c r="N280" s="37">
        <f t="shared" si="35"/>
        <v>0</v>
      </c>
      <c r="O280" s="37">
        <f t="shared" si="33"/>
        <v>0</v>
      </c>
      <c r="P280" s="55" cm="1">
        <f t="array" aca="1" ref="P280" ca="1">IF((L280-$C$16)&gt;0, IF($P$1+$C$16&gt;=L280,INDIRECT("M"&amp;(L280-$C$16)+5),0),0)</f>
        <v>0</v>
      </c>
      <c r="Q280" s="56" cm="1">
        <f t="array" aca="1" ref="Q280" ca="1">IF(L280&lt;=$C$16,0,IF($W$2&gt;=L280,IF(L280&lt;=($P$1+$C$16),INDIRECT("N"&amp;(L280-$C$16)+5),FV(SRate,L280-$P$1-$C$16,0,-$W$1,1)),0))</f>
        <v>0</v>
      </c>
      <c r="R280" s="56">
        <f t="shared" ca="1" si="34"/>
        <v>0</v>
      </c>
      <c r="S280" s="19">
        <f t="shared" si="36"/>
        <v>0</v>
      </c>
      <c r="T280" s="36" t="str" cm="1">
        <f t="array" aca="1" ref="T280" ca="1">IF(L280&lt;=$P$1,K280,IF(L280&lt;=($P$1+1),INDIRECT("K"&amp;5+$W$2),""))</f>
        <v/>
      </c>
      <c r="U280" s="38">
        <f t="shared" si="37"/>
        <v>23</v>
      </c>
    </row>
    <row r="281" spans="11:21" hidden="1" x14ac:dyDescent="0.25">
      <c r="K281" s="36">
        <f t="shared" ca="1" si="39"/>
        <v>54614</v>
      </c>
      <c r="L281" s="19">
        <v>276</v>
      </c>
      <c r="M281" s="19">
        <f t="shared" si="38"/>
        <v>0</v>
      </c>
      <c r="N281" s="37">
        <f t="shared" si="35"/>
        <v>0</v>
      </c>
      <c r="O281" s="37">
        <f t="shared" si="33"/>
        <v>0</v>
      </c>
      <c r="P281" s="55" cm="1">
        <f t="array" aca="1" ref="P281" ca="1">IF((L281-$C$16)&gt;0, IF($P$1+$C$16&gt;=L281,INDIRECT("M"&amp;(L281-$C$16)+5),0),0)</f>
        <v>0</v>
      </c>
      <c r="Q281" s="56" cm="1">
        <f t="array" aca="1" ref="Q281" ca="1">IF(L281&lt;=$C$16,0,IF($W$2&gt;=L281,IF(L281&lt;=($P$1+$C$16),INDIRECT("N"&amp;(L281-$C$16)+5),FV(SRate,L281-$P$1-$C$16,0,-$W$1,1)),0))</f>
        <v>0</v>
      </c>
      <c r="R281" s="56">
        <f t="shared" ca="1" si="34"/>
        <v>0</v>
      </c>
      <c r="S281" s="19">
        <f t="shared" si="36"/>
        <v>0</v>
      </c>
      <c r="T281" s="36" t="str" cm="1">
        <f t="array" aca="1" ref="T281" ca="1">IF(L281&lt;=$P$1,K281,IF(L281&lt;=($P$1+1),INDIRECT("K"&amp;5+$W$2),""))</f>
        <v/>
      </c>
      <c r="U281" s="38">
        <f t="shared" si="37"/>
        <v>23</v>
      </c>
    </row>
    <row r="282" spans="11:21" hidden="1" x14ac:dyDescent="0.25">
      <c r="K282" s="36">
        <f t="shared" ca="1" si="39"/>
        <v>54645</v>
      </c>
      <c r="L282" s="19">
        <v>277</v>
      </c>
      <c r="M282" s="19">
        <f t="shared" si="38"/>
        <v>0</v>
      </c>
      <c r="N282" s="37">
        <f t="shared" si="35"/>
        <v>0</v>
      </c>
      <c r="O282" s="37">
        <f t="shared" si="33"/>
        <v>0</v>
      </c>
      <c r="P282" s="55" cm="1">
        <f t="array" aca="1" ref="P282" ca="1">IF((L282-$C$16)&gt;0, IF($P$1+$C$16&gt;=L282,INDIRECT("M"&amp;(L282-$C$16)+5),0),0)</f>
        <v>0</v>
      </c>
      <c r="Q282" s="56" cm="1">
        <f t="array" aca="1" ref="Q282" ca="1">IF(L282&lt;=$C$16,0,IF($W$2&gt;=L282,IF(L282&lt;=($P$1+$C$16),INDIRECT("N"&amp;(L282-$C$16)+5),FV(SRate,L282-$P$1-$C$16,0,-$W$1,1)),0))</f>
        <v>0</v>
      </c>
      <c r="R282" s="56">
        <f t="shared" ca="1" si="34"/>
        <v>0</v>
      </c>
      <c r="S282" s="19">
        <f t="shared" si="36"/>
        <v>0</v>
      </c>
      <c r="T282" s="36" t="str" cm="1">
        <f t="array" aca="1" ref="T282" ca="1">IF(L282&lt;=$P$1,K282,IF(L282&lt;=($P$1+1),INDIRECT("K"&amp;5+$W$2),""))</f>
        <v/>
      </c>
      <c r="U282" s="38">
        <f t="shared" si="37"/>
        <v>24</v>
      </c>
    </row>
    <row r="283" spans="11:21" hidden="1" x14ac:dyDescent="0.25">
      <c r="K283" s="36">
        <f t="shared" ca="1" si="39"/>
        <v>54676</v>
      </c>
      <c r="L283" s="19">
        <v>278</v>
      </c>
      <c r="M283" s="19">
        <f t="shared" si="38"/>
        <v>0</v>
      </c>
      <c r="N283" s="37">
        <f t="shared" si="35"/>
        <v>0</v>
      </c>
      <c r="O283" s="37">
        <f t="shared" si="33"/>
        <v>0</v>
      </c>
      <c r="P283" s="55" cm="1">
        <f t="array" aca="1" ref="P283" ca="1">IF((L283-$C$16)&gt;0, IF($P$1+$C$16&gt;=L283,INDIRECT("M"&amp;(L283-$C$16)+5),0),0)</f>
        <v>0</v>
      </c>
      <c r="Q283" s="56" cm="1">
        <f t="array" aca="1" ref="Q283" ca="1">IF(L283&lt;=$C$16,0,IF($W$2&gt;=L283,IF(L283&lt;=($P$1+$C$16),INDIRECT("N"&amp;(L283-$C$16)+5),FV(SRate,L283-$P$1-$C$16,0,-$W$1,1)),0))</f>
        <v>0</v>
      </c>
      <c r="R283" s="56">
        <f t="shared" ca="1" si="34"/>
        <v>0</v>
      </c>
      <c r="S283" s="19">
        <f t="shared" si="36"/>
        <v>0</v>
      </c>
      <c r="T283" s="36" t="str" cm="1">
        <f t="array" aca="1" ref="T283" ca="1">IF(L283&lt;=$P$1,K283,IF(L283&lt;=($P$1+1),INDIRECT("K"&amp;5+$W$2),""))</f>
        <v/>
      </c>
      <c r="U283" s="38">
        <f t="shared" si="37"/>
        <v>24</v>
      </c>
    </row>
    <row r="284" spans="11:21" hidden="1" x14ac:dyDescent="0.25">
      <c r="K284" s="36">
        <f t="shared" ca="1" si="39"/>
        <v>54706</v>
      </c>
      <c r="L284" s="19">
        <v>279</v>
      </c>
      <c r="M284" s="19">
        <f t="shared" si="38"/>
        <v>0</v>
      </c>
      <c r="N284" s="37">
        <f t="shared" si="35"/>
        <v>0</v>
      </c>
      <c r="O284" s="37">
        <f t="shared" si="33"/>
        <v>0</v>
      </c>
      <c r="P284" s="55" cm="1">
        <f t="array" aca="1" ref="P284" ca="1">IF((L284-$C$16)&gt;0, IF($P$1+$C$16&gt;=L284,INDIRECT("M"&amp;(L284-$C$16)+5),0),0)</f>
        <v>0</v>
      </c>
      <c r="Q284" s="56" cm="1">
        <f t="array" aca="1" ref="Q284" ca="1">IF(L284&lt;=$C$16,0,IF($W$2&gt;=L284,IF(L284&lt;=($P$1+$C$16),INDIRECT("N"&amp;(L284-$C$16)+5),FV(SRate,L284-$P$1-$C$16,0,-$W$1,1)),0))</f>
        <v>0</v>
      </c>
      <c r="R284" s="56">
        <f t="shared" ca="1" si="34"/>
        <v>0</v>
      </c>
      <c r="S284" s="19">
        <f t="shared" si="36"/>
        <v>0</v>
      </c>
      <c r="T284" s="36" t="str" cm="1">
        <f t="array" aca="1" ref="T284" ca="1">IF(L284&lt;=$P$1,K284,IF(L284&lt;=($P$1+1),INDIRECT("K"&amp;5+$W$2),""))</f>
        <v/>
      </c>
      <c r="U284" s="38">
        <f t="shared" si="37"/>
        <v>24</v>
      </c>
    </row>
    <row r="285" spans="11:21" hidden="1" x14ac:dyDescent="0.25">
      <c r="K285" s="36">
        <f t="shared" ca="1" si="39"/>
        <v>54737</v>
      </c>
      <c r="L285" s="19">
        <v>280</v>
      </c>
      <c r="M285" s="19">
        <f t="shared" si="38"/>
        <v>0</v>
      </c>
      <c r="N285" s="37">
        <f t="shared" si="35"/>
        <v>0</v>
      </c>
      <c r="O285" s="37">
        <f t="shared" si="33"/>
        <v>0</v>
      </c>
      <c r="P285" s="55" cm="1">
        <f t="array" aca="1" ref="P285" ca="1">IF((L285-$C$16)&gt;0, IF($P$1+$C$16&gt;=L285,INDIRECT("M"&amp;(L285-$C$16)+5),0),0)</f>
        <v>0</v>
      </c>
      <c r="Q285" s="56" cm="1">
        <f t="array" aca="1" ref="Q285" ca="1">IF(L285&lt;=$C$16,0,IF($W$2&gt;=L285,IF(L285&lt;=($P$1+$C$16),INDIRECT("N"&amp;(L285-$C$16)+5),FV(SRate,L285-$P$1-$C$16,0,-$W$1,1)),0))</f>
        <v>0</v>
      </c>
      <c r="R285" s="56">
        <f t="shared" ca="1" si="34"/>
        <v>0</v>
      </c>
      <c r="S285" s="19">
        <f t="shared" si="36"/>
        <v>0</v>
      </c>
      <c r="T285" s="36" t="str" cm="1">
        <f t="array" aca="1" ref="T285" ca="1">IF(L285&lt;=$P$1,K285,IF(L285&lt;=($P$1+1),INDIRECT("K"&amp;5+$W$2),""))</f>
        <v/>
      </c>
      <c r="U285" s="38">
        <f t="shared" si="37"/>
        <v>24</v>
      </c>
    </row>
    <row r="286" spans="11:21" hidden="1" x14ac:dyDescent="0.25">
      <c r="K286" s="36">
        <f t="shared" ca="1" si="39"/>
        <v>54767</v>
      </c>
      <c r="L286" s="19">
        <v>281</v>
      </c>
      <c r="M286" s="19">
        <f t="shared" si="38"/>
        <v>0</v>
      </c>
      <c r="N286" s="37">
        <f t="shared" si="35"/>
        <v>0</v>
      </c>
      <c r="O286" s="37">
        <f t="shared" si="33"/>
        <v>0</v>
      </c>
      <c r="P286" s="55" cm="1">
        <f t="array" aca="1" ref="P286" ca="1">IF((L286-$C$16)&gt;0, IF($P$1+$C$16&gt;=L286,INDIRECT("M"&amp;(L286-$C$16)+5),0),0)</f>
        <v>0</v>
      </c>
      <c r="Q286" s="56" cm="1">
        <f t="array" aca="1" ref="Q286" ca="1">IF(L286&lt;=$C$16,0,IF($W$2&gt;=L286,IF(L286&lt;=($P$1+$C$16),INDIRECT("N"&amp;(L286-$C$16)+5),FV(SRate,L286-$P$1-$C$16,0,-$W$1,1)),0))</f>
        <v>0</v>
      </c>
      <c r="R286" s="56">
        <f t="shared" ca="1" si="34"/>
        <v>0</v>
      </c>
      <c r="S286" s="19">
        <f t="shared" si="36"/>
        <v>0</v>
      </c>
      <c r="T286" s="36" t="str" cm="1">
        <f t="array" aca="1" ref="T286" ca="1">IF(L286&lt;=$P$1,K286,IF(L286&lt;=($P$1+1),INDIRECT("K"&amp;5+$W$2),""))</f>
        <v/>
      </c>
      <c r="U286" s="38">
        <f t="shared" si="37"/>
        <v>24</v>
      </c>
    </row>
    <row r="287" spans="11:21" hidden="1" x14ac:dyDescent="0.25">
      <c r="K287" s="36">
        <f t="shared" ca="1" si="39"/>
        <v>54798</v>
      </c>
      <c r="L287" s="19">
        <v>282</v>
      </c>
      <c r="M287" s="19">
        <f t="shared" si="38"/>
        <v>0</v>
      </c>
      <c r="N287" s="37">
        <f t="shared" si="35"/>
        <v>0</v>
      </c>
      <c r="O287" s="37">
        <f t="shared" si="33"/>
        <v>0</v>
      </c>
      <c r="P287" s="55" cm="1">
        <f t="array" aca="1" ref="P287" ca="1">IF((L287-$C$16)&gt;0, IF($P$1+$C$16&gt;=L287,INDIRECT("M"&amp;(L287-$C$16)+5),0),0)</f>
        <v>0</v>
      </c>
      <c r="Q287" s="56" cm="1">
        <f t="array" aca="1" ref="Q287" ca="1">IF(L287&lt;=$C$16,0,IF($W$2&gt;=L287,IF(L287&lt;=($P$1+$C$16),INDIRECT("N"&amp;(L287-$C$16)+5),FV(SRate,L287-$P$1-$C$16,0,-$W$1,1)),0))</f>
        <v>0</v>
      </c>
      <c r="R287" s="56">
        <f t="shared" ca="1" si="34"/>
        <v>0</v>
      </c>
      <c r="S287" s="19">
        <f t="shared" si="36"/>
        <v>0</v>
      </c>
      <c r="T287" s="36" t="str" cm="1">
        <f t="array" aca="1" ref="T287" ca="1">IF(L287&lt;=$P$1,K287,IF(L287&lt;=($P$1+1),INDIRECT("K"&amp;5+$W$2),""))</f>
        <v/>
      </c>
      <c r="U287" s="38">
        <f t="shared" si="37"/>
        <v>24</v>
      </c>
    </row>
    <row r="288" spans="11:21" hidden="1" x14ac:dyDescent="0.25">
      <c r="K288" s="36">
        <f t="shared" ca="1" si="39"/>
        <v>54829</v>
      </c>
      <c r="L288" s="19">
        <v>283</v>
      </c>
      <c r="M288" s="19">
        <f t="shared" si="38"/>
        <v>0</v>
      </c>
      <c r="N288" s="37">
        <f t="shared" si="35"/>
        <v>0</v>
      </c>
      <c r="O288" s="37">
        <f t="shared" si="33"/>
        <v>0</v>
      </c>
      <c r="P288" s="55" cm="1">
        <f t="array" aca="1" ref="P288" ca="1">IF((L288-$C$16)&gt;0, IF($P$1+$C$16&gt;=L288,INDIRECT("M"&amp;(L288-$C$16)+5),0),0)</f>
        <v>0</v>
      </c>
      <c r="Q288" s="56" cm="1">
        <f t="array" aca="1" ref="Q288" ca="1">IF(L288&lt;=$C$16,0,IF($W$2&gt;=L288,IF(L288&lt;=($P$1+$C$16),INDIRECT("N"&amp;(L288-$C$16)+5),FV(SRate,L288-$P$1-$C$16,0,-$W$1,1)),0))</f>
        <v>0</v>
      </c>
      <c r="R288" s="56">
        <f t="shared" ca="1" si="34"/>
        <v>0</v>
      </c>
      <c r="S288" s="19">
        <f t="shared" si="36"/>
        <v>0</v>
      </c>
      <c r="T288" s="36" t="str" cm="1">
        <f t="array" aca="1" ref="T288" ca="1">IF(L288&lt;=$P$1,K288,IF(L288&lt;=($P$1+1),INDIRECT("K"&amp;5+$W$2),""))</f>
        <v/>
      </c>
      <c r="U288" s="38">
        <f t="shared" si="37"/>
        <v>24</v>
      </c>
    </row>
    <row r="289" spans="11:21" hidden="1" x14ac:dyDescent="0.25">
      <c r="K289" s="36">
        <f t="shared" ca="1" si="39"/>
        <v>54857</v>
      </c>
      <c r="L289" s="19">
        <v>284</v>
      </c>
      <c r="M289" s="19">
        <f t="shared" si="38"/>
        <v>0</v>
      </c>
      <c r="N289" s="37">
        <f t="shared" si="35"/>
        <v>0</v>
      </c>
      <c r="O289" s="37">
        <f t="shared" si="33"/>
        <v>0</v>
      </c>
      <c r="P289" s="55" cm="1">
        <f t="array" aca="1" ref="P289" ca="1">IF((L289-$C$16)&gt;0, IF($P$1+$C$16&gt;=L289,INDIRECT("M"&amp;(L289-$C$16)+5),0),0)</f>
        <v>0</v>
      </c>
      <c r="Q289" s="56" cm="1">
        <f t="array" aca="1" ref="Q289" ca="1">IF(L289&lt;=$C$16,0,IF($W$2&gt;=L289,IF(L289&lt;=($P$1+$C$16),INDIRECT("N"&amp;(L289-$C$16)+5),FV(SRate,L289-$P$1-$C$16,0,-$W$1,1)),0))</f>
        <v>0</v>
      </c>
      <c r="R289" s="56">
        <f t="shared" ca="1" si="34"/>
        <v>0</v>
      </c>
      <c r="S289" s="19">
        <f t="shared" si="36"/>
        <v>0</v>
      </c>
      <c r="T289" s="36" t="str" cm="1">
        <f t="array" aca="1" ref="T289" ca="1">IF(L289&lt;=$P$1,K289,IF(L289&lt;=($P$1+1),INDIRECT("K"&amp;5+$W$2),""))</f>
        <v/>
      </c>
      <c r="U289" s="38">
        <f t="shared" si="37"/>
        <v>24</v>
      </c>
    </row>
    <row r="290" spans="11:21" hidden="1" x14ac:dyDescent="0.25">
      <c r="K290" s="36">
        <f t="shared" ca="1" si="39"/>
        <v>54888</v>
      </c>
      <c r="L290" s="19">
        <v>285</v>
      </c>
      <c r="M290" s="19">
        <f t="shared" si="38"/>
        <v>0</v>
      </c>
      <c r="N290" s="37">
        <f t="shared" si="35"/>
        <v>0</v>
      </c>
      <c r="O290" s="37">
        <f t="shared" si="33"/>
        <v>0</v>
      </c>
      <c r="P290" s="55" cm="1">
        <f t="array" aca="1" ref="P290" ca="1">IF((L290-$C$16)&gt;0, IF($P$1+$C$16&gt;=L290,INDIRECT("M"&amp;(L290-$C$16)+5),0),0)</f>
        <v>0</v>
      </c>
      <c r="Q290" s="56" cm="1">
        <f t="array" aca="1" ref="Q290" ca="1">IF(L290&lt;=$C$16,0,IF($W$2&gt;=L290,IF(L290&lt;=($P$1+$C$16),INDIRECT("N"&amp;(L290-$C$16)+5),FV(SRate,L290-$P$1-$C$16,0,-$W$1,1)),0))</f>
        <v>0</v>
      </c>
      <c r="R290" s="56">
        <f t="shared" ca="1" si="34"/>
        <v>0</v>
      </c>
      <c r="S290" s="19">
        <f t="shared" si="36"/>
        <v>0</v>
      </c>
      <c r="T290" s="36" t="str" cm="1">
        <f t="array" aca="1" ref="T290" ca="1">IF(L290&lt;=$P$1,K290,IF(L290&lt;=($P$1+1),INDIRECT("K"&amp;5+$W$2),""))</f>
        <v/>
      </c>
      <c r="U290" s="38">
        <f t="shared" si="37"/>
        <v>24</v>
      </c>
    </row>
    <row r="291" spans="11:21" hidden="1" x14ac:dyDescent="0.25">
      <c r="K291" s="36">
        <f t="shared" ca="1" si="39"/>
        <v>54918</v>
      </c>
      <c r="L291" s="19">
        <v>286</v>
      </c>
      <c r="M291" s="19">
        <f t="shared" si="38"/>
        <v>0</v>
      </c>
      <c r="N291" s="37">
        <f t="shared" si="35"/>
        <v>0</v>
      </c>
      <c r="O291" s="37">
        <f t="shared" si="33"/>
        <v>0</v>
      </c>
      <c r="P291" s="55" cm="1">
        <f t="array" aca="1" ref="P291" ca="1">IF((L291-$C$16)&gt;0, IF($P$1+$C$16&gt;=L291,INDIRECT("M"&amp;(L291-$C$16)+5),0),0)</f>
        <v>0</v>
      </c>
      <c r="Q291" s="56" cm="1">
        <f t="array" aca="1" ref="Q291" ca="1">IF(L291&lt;=$C$16,0,IF($W$2&gt;=L291,IF(L291&lt;=($P$1+$C$16),INDIRECT("N"&amp;(L291-$C$16)+5),FV(SRate,L291-$P$1-$C$16,0,-$W$1,1)),0))</f>
        <v>0</v>
      </c>
      <c r="R291" s="56">
        <f t="shared" ca="1" si="34"/>
        <v>0</v>
      </c>
      <c r="S291" s="19">
        <f t="shared" si="36"/>
        <v>0</v>
      </c>
      <c r="T291" s="36" t="str" cm="1">
        <f t="array" aca="1" ref="T291" ca="1">IF(L291&lt;=$P$1,K291,IF(L291&lt;=($P$1+1),INDIRECT("K"&amp;5+$W$2),""))</f>
        <v/>
      </c>
      <c r="U291" s="38">
        <f t="shared" si="37"/>
        <v>24</v>
      </c>
    </row>
    <row r="292" spans="11:21" hidden="1" x14ac:dyDescent="0.25">
      <c r="K292" s="36">
        <f t="shared" ca="1" si="39"/>
        <v>54949</v>
      </c>
      <c r="L292" s="19">
        <v>287</v>
      </c>
      <c r="M292" s="19">
        <f t="shared" si="38"/>
        <v>0</v>
      </c>
      <c r="N292" s="37">
        <f t="shared" si="35"/>
        <v>0</v>
      </c>
      <c r="O292" s="37">
        <f t="shared" si="33"/>
        <v>0</v>
      </c>
      <c r="P292" s="55" cm="1">
        <f t="array" aca="1" ref="P292" ca="1">IF((L292-$C$16)&gt;0, IF($P$1+$C$16&gt;=L292,INDIRECT("M"&amp;(L292-$C$16)+5),0),0)</f>
        <v>0</v>
      </c>
      <c r="Q292" s="56" cm="1">
        <f t="array" aca="1" ref="Q292" ca="1">IF(L292&lt;=$C$16,0,IF($W$2&gt;=L292,IF(L292&lt;=($P$1+$C$16),INDIRECT("N"&amp;(L292-$C$16)+5),FV(SRate,L292-$P$1-$C$16,0,-$W$1,1)),0))</f>
        <v>0</v>
      </c>
      <c r="R292" s="56">
        <f t="shared" ca="1" si="34"/>
        <v>0</v>
      </c>
      <c r="S292" s="19">
        <f t="shared" si="36"/>
        <v>0</v>
      </c>
      <c r="T292" s="36" t="str" cm="1">
        <f t="array" aca="1" ref="T292" ca="1">IF(L292&lt;=$P$1,K292,IF(L292&lt;=($P$1+1),INDIRECT("K"&amp;5+$W$2),""))</f>
        <v/>
      </c>
      <c r="U292" s="38">
        <f t="shared" si="37"/>
        <v>24</v>
      </c>
    </row>
    <row r="293" spans="11:21" hidden="1" x14ac:dyDescent="0.25">
      <c r="K293" s="36">
        <f t="shared" ca="1" si="39"/>
        <v>54979</v>
      </c>
      <c r="L293" s="19">
        <v>288</v>
      </c>
      <c r="M293" s="19">
        <f t="shared" si="38"/>
        <v>0</v>
      </c>
      <c r="N293" s="37">
        <f t="shared" si="35"/>
        <v>0</v>
      </c>
      <c r="O293" s="37">
        <f t="shared" si="33"/>
        <v>0</v>
      </c>
      <c r="P293" s="55" cm="1">
        <f t="array" aca="1" ref="P293" ca="1">IF((L293-$C$16)&gt;0, IF($P$1+$C$16&gt;=L293,INDIRECT("M"&amp;(L293-$C$16)+5),0),0)</f>
        <v>0</v>
      </c>
      <c r="Q293" s="56" cm="1">
        <f t="array" aca="1" ref="Q293" ca="1">IF(L293&lt;=$C$16,0,IF($W$2&gt;=L293,IF(L293&lt;=($P$1+$C$16),INDIRECT("N"&amp;(L293-$C$16)+5),FV(SRate,L293-$P$1-$C$16,0,-$W$1,1)),0))</f>
        <v>0</v>
      </c>
      <c r="R293" s="56">
        <f t="shared" ca="1" si="34"/>
        <v>0</v>
      </c>
      <c r="S293" s="19">
        <f t="shared" si="36"/>
        <v>0</v>
      </c>
      <c r="T293" s="36" t="str" cm="1">
        <f t="array" aca="1" ref="T293" ca="1">IF(L293&lt;=$P$1,K293,IF(L293&lt;=($P$1+1),INDIRECT("K"&amp;5+$W$2),""))</f>
        <v/>
      </c>
      <c r="U293" s="38">
        <f t="shared" si="37"/>
        <v>24</v>
      </c>
    </row>
    <row r="294" spans="11:21" hidden="1" x14ac:dyDescent="0.25">
      <c r="K294" s="36">
        <f t="shared" ca="1" si="39"/>
        <v>55010</v>
      </c>
      <c r="L294" s="19">
        <v>289</v>
      </c>
      <c r="M294" s="19">
        <f t="shared" si="38"/>
        <v>0</v>
      </c>
      <c r="N294" s="37">
        <f t="shared" si="35"/>
        <v>0</v>
      </c>
      <c r="O294" s="37">
        <f t="shared" si="33"/>
        <v>0</v>
      </c>
      <c r="P294" s="55" cm="1">
        <f t="array" aca="1" ref="P294" ca="1">IF((L294-$C$16)&gt;0, IF($P$1+$C$16&gt;=L294,INDIRECT("M"&amp;(L294-$C$16)+5),0),0)</f>
        <v>0</v>
      </c>
      <c r="Q294" s="56" cm="1">
        <f t="array" aca="1" ref="Q294" ca="1">IF(L294&lt;=$C$16,0,IF($W$2&gt;=L294,IF(L294&lt;=($P$1+$C$16),INDIRECT("N"&amp;(L294-$C$16)+5),FV(SRate,L294-$P$1-$C$16,0,-$W$1,1)),0))</f>
        <v>0</v>
      </c>
      <c r="R294" s="56">
        <f t="shared" ca="1" si="34"/>
        <v>0</v>
      </c>
      <c r="S294" s="19">
        <f t="shared" si="36"/>
        <v>0</v>
      </c>
      <c r="T294" s="36" t="str" cm="1">
        <f t="array" aca="1" ref="T294" ca="1">IF(L294&lt;=$P$1,K294,IF(L294&lt;=($P$1+1),INDIRECT("K"&amp;5+$W$2),""))</f>
        <v/>
      </c>
      <c r="U294" s="38">
        <f t="shared" si="37"/>
        <v>25</v>
      </c>
    </row>
    <row r="295" spans="11:21" hidden="1" x14ac:dyDescent="0.25">
      <c r="K295" s="36">
        <f t="shared" ca="1" si="39"/>
        <v>55041</v>
      </c>
      <c r="L295" s="19">
        <v>290</v>
      </c>
      <c r="M295" s="19">
        <f t="shared" si="38"/>
        <v>0</v>
      </c>
      <c r="N295" s="37">
        <f t="shared" si="35"/>
        <v>0</v>
      </c>
      <c r="O295" s="37">
        <f t="shared" si="33"/>
        <v>0</v>
      </c>
      <c r="P295" s="55" cm="1">
        <f t="array" aca="1" ref="P295" ca="1">IF((L295-$C$16)&gt;0, IF($P$1+$C$16&gt;=L295,INDIRECT("M"&amp;(L295-$C$16)+5),0),0)</f>
        <v>0</v>
      </c>
      <c r="Q295" s="56" cm="1">
        <f t="array" aca="1" ref="Q295" ca="1">IF(L295&lt;=$C$16,0,IF($W$2&gt;=L295,IF(L295&lt;=($P$1+$C$16),INDIRECT("N"&amp;(L295-$C$16)+5),FV(SRate,L295-$P$1-$C$16,0,-$W$1,1)),0))</f>
        <v>0</v>
      </c>
      <c r="R295" s="56">
        <f t="shared" ca="1" si="34"/>
        <v>0</v>
      </c>
      <c r="S295" s="19">
        <f t="shared" si="36"/>
        <v>0</v>
      </c>
      <c r="T295" s="36" t="str" cm="1">
        <f t="array" aca="1" ref="T295" ca="1">IF(L295&lt;=$P$1,K295,IF(L295&lt;=($P$1+1),INDIRECT("K"&amp;5+$W$2),""))</f>
        <v/>
      </c>
      <c r="U295" s="38">
        <f t="shared" si="37"/>
        <v>25</v>
      </c>
    </row>
    <row r="296" spans="11:21" hidden="1" x14ac:dyDescent="0.25">
      <c r="K296" s="36">
        <f t="shared" ca="1" si="39"/>
        <v>55071</v>
      </c>
      <c r="L296" s="19">
        <v>291</v>
      </c>
      <c r="M296" s="19">
        <f t="shared" si="38"/>
        <v>0</v>
      </c>
      <c r="N296" s="37">
        <f t="shared" si="35"/>
        <v>0</v>
      </c>
      <c r="O296" s="37">
        <f t="shared" si="33"/>
        <v>0</v>
      </c>
      <c r="P296" s="55" cm="1">
        <f t="array" aca="1" ref="P296" ca="1">IF((L296-$C$16)&gt;0, IF($P$1+$C$16&gt;=L296,INDIRECT("M"&amp;(L296-$C$16)+5),0),0)</f>
        <v>0</v>
      </c>
      <c r="Q296" s="56" cm="1">
        <f t="array" aca="1" ref="Q296" ca="1">IF(L296&lt;=$C$16,0,IF($W$2&gt;=L296,IF(L296&lt;=($P$1+$C$16),INDIRECT("N"&amp;(L296-$C$16)+5),FV(SRate,L296-$P$1-$C$16,0,-$W$1,1)),0))</f>
        <v>0</v>
      </c>
      <c r="R296" s="56">
        <f t="shared" ca="1" si="34"/>
        <v>0</v>
      </c>
      <c r="S296" s="19">
        <f t="shared" si="36"/>
        <v>0</v>
      </c>
      <c r="T296" s="36" t="str" cm="1">
        <f t="array" aca="1" ref="T296" ca="1">IF(L296&lt;=$P$1,K296,IF(L296&lt;=($P$1+1),INDIRECT("K"&amp;5+$W$2),""))</f>
        <v/>
      </c>
      <c r="U296" s="38">
        <f t="shared" si="37"/>
        <v>25</v>
      </c>
    </row>
    <row r="297" spans="11:21" hidden="1" x14ac:dyDescent="0.25">
      <c r="K297" s="36">
        <f t="shared" ca="1" si="39"/>
        <v>55102</v>
      </c>
      <c r="L297" s="19">
        <v>292</v>
      </c>
      <c r="M297" s="19">
        <f t="shared" si="38"/>
        <v>0</v>
      </c>
      <c r="N297" s="37">
        <f t="shared" si="35"/>
        <v>0</v>
      </c>
      <c r="O297" s="37">
        <f t="shared" si="33"/>
        <v>0</v>
      </c>
      <c r="P297" s="55" cm="1">
        <f t="array" aca="1" ref="P297" ca="1">IF((L297-$C$16)&gt;0, IF($P$1+$C$16&gt;=L297,INDIRECT("M"&amp;(L297-$C$16)+5),0),0)</f>
        <v>0</v>
      </c>
      <c r="Q297" s="56" cm="1">
        <f t="array" aca="1" ref="Q297" ca="1">IF(L297&lt;=$C$16,0,IF($W$2&gt;=L297,IF(L297&lt;=($P$1+$C$16),INDIRECT("N"&amp;(L297-$C$16)+5),FV(SRate,L297-$P$1-$C$16,0,-$W$1,1)),0))</f>
        <v>0</v>
      </c>
      <c r="R297" s="56">
        <f t="shared" ca="1" si="34"/>
        <v>0</v>
      </c>
      <c r="S297" s="19">
        <f t="shared" si="36"/>
        <v>0</v>
      </c>
      <c r="T297" s="36" t="str" cm="1">
        <f t="array" aca="1" ref="T297" ca="1">IF(L297&lt;=$P$1,K297,IF(L297&lt;=($P$1+1),INDIRECT("K"&amp;5+$W$2),""))</f>
        <v/>
      </c>
      <c r="U297" s="38">
        <f t="shared" si="37"/>
        <v>25</v>
      </c>
    </row>
    <row r="298" spans="11:21" hidden="1" x14ac:dyDescent="0.25">
      <c r="K298" s="36">
        <f t="shared" ca="1" si="39"/>
        <v>55132</v>
      </c>
      <c r="L298" s="19">
        <v>293</v>
      </c>
      <c r="M298" s="19">
        <f t="shared" si="38"/>
        <v>0</v>
      </c>
      <c r="N298" s="37">
        <f t="shared" si="35"/>
        <v>0</v>
      </c>
      <c r="O298" s="37">
        <f t="shared" si="33"/>
        <v>0</v>
      </c>
      <c r="P298" s="55" cm="1">
        <f t="array" aca="1" ref="P298" ca="1">IF((L298-$C$16)&gt;0, IF($P$1+$C$16&gt;=L298,INDIRECT("M"&amp;(L298-$C$16)+5),0),0)</f>
        <v>0</v>
      </c>
      <c r="Q298" s="56" cm="1">
        <f t="array" aca="1" ref="Q298" ca="1">IF(L298&lt;=$C$16,0,IF($W$2&gt;=L298,IF(L298&lt;=($P$1+$C$16),INDIRECT("N"&amp;(L298-$C$16)+5),FV(SRate,L298-$P$1-$C$16,0,-$W$1,1)),0))</f>
        <v>0</v>
      </c>
      <c r="R298" s="56">
        <f t="shared" ca="1" si="34"/>
        <v>0</v>
      </c>
      <c r="S298" s="19">
        <f t="shared" si="36"/>
        <v>0</v>
      </c>
      <c r="T298" s="36" t="str" cm="1">
        <f t="array" aca="1" ref="T298" ca="1">IF(L298&lt;=$P$1,K298,IF(L298&lt;=($P$1+1),INDIRECT("K"&amp;5+$W$2),""))</f>
        <v/>
      </c>
      <c r="U298" s="38">
        <f t="shared" si="37"/>
        <v>25</v>
      </c>
    </row>
    <row r="299" spans="11:21" hidden="1" x14ac:dyDescent="0.25">
      <c r="K299" s="36">
        <f t="shared" ca="1" si="39"/>
        <v>55163</v>
      </c>
      <c r="L299" s="19">
        <v>294</v>
      </c>
      <c r="M299" s="19">
        <f t="shared" si="38"/>
        <v>0</v>
      </c>
      <c r="N299" s="37">
        <f t="shared" si="35"/>
        <v>0</v>
      </c>
      <c r="O299" s="37">
        <f t="shared" si="33"/>
        <v>0</v>
      </c>
      <c r="P299" s="55" cm="1">
        <f t="array" aca="1" ref="P299" ca="1">IF((L299-$C$16)&gt;0, IF($P$1+$C$16&gt;=L299,INDIRECT("M"&amp;(L299-$C$16)+5),0),0)</f>
        <v>0</v>
      </c>
      <c r="Q299" s="56" cm="1">
        <f t="array" aca="1" ref="Q299" ca="1">IF(L299&lt;=$C$16,0,IF($W$2&gt;=L299,IF(L299&lt;=($P$1+$C$16),INDIRECT("N"&amp;(L299-$C$16)+5),FV(SRate,L299-$P$1-$C$16,0,-$W$1,1)),0))</f>
        <v>0</v>
      </c>
      <c r="R299" s="56">
        <f t="shared" ca="1" si="34"/>
        <v>0</v>
      </c>
      <c r="S299" s="19">
        <f t="shared" si="36"/>
        <v>0</v>
      </c>
      <c r="T299" s="36" t="str" cm="1">
        <f t="array" aca="1" ref="T299" ca="1">IF(L299&lt;=$P$1,K299,IF(L299&lt;=($P$1+1),INDIRECT("K"&amp;5+$W$2),""))</f>
        <v/>
      </c>
      <c r="U299" s="38">
        <f t="shared" si="37"/>
        <v>25</v>
      </c>
    </row>
    <row r="300" spans="11:21" hidden="1" x14ac:dyDescent="0.25">
      <c r="K300" s="36">
        <f t="shared" ca="1" si="39"/>
        <v>55194</v>
      </c>
      <c r="L300" s="19">
        <v>295</v>
      </c>
      <c r="M300" s="19">
        <f t="shared" si="38"/>
        <v>0</v>
      </c>
      <c r="N300" s="37">
        <f t="shared" si="35"/>
        <v>0</v>
      </c>
      <c r="O300" s="37">
        <f t="shared" si="33"/>
        <v>0</v>
      </c>
      <c r="P300" s="55" cm="1">
        <f t="array" aca="1" ref="P300" ca="1">IF((L300-$C$16)&gt;0, IF($P$1+$C$16&gt;=L300,INDIRECT("M"&amp;(L300-$C$16)+5),0),0)</f>
        <v>0</v>
      </c>
      <c r="Q300" s="56" cm="1">
        <f t="array" aca="1" ref="Q300" ca="1">IF(L300&lt;=$C$16,0,IF($W$2&gt;=L300,IF(L300&lt;=($P$1+$C$16),INDIRECT("N"&amp;(L300-$C$16)+5),FV(SRate,L300-$P$1-$C$16,0,-$W$1,1)),0))</f>
        <v>0</v>
      </c>
      <c r="R300" s="56">
        <f t="shared" ca="1" si="34"/>
        <v>0</v>
      </c>
      <c r="S300" s="19">
        <f t="shared" si="36"/>
        <v>0</v>
      </c>
      <c r="T300" s="36" t="str" cm="1">
        <f t="array" aca="1" ref="T300" ca="1">IF(L300&lt;=$P$1,K300,IF(L300&lt;=($P$1+1),INDIRECT("K"&amp;5+$W$2),""))</f>
        <v/>
      </c>
      <c r="U300" s="38">
        <f t="shared" si="37"/>
        <v>25</v>
      </c>
    </row>
    <row r="301" spans="11:21" hidden="1" x14ac:dyDescent="0.25">
      <c r="K301" s="36">
        <f t="shared" ca="1" si="39"/>
        <v>55222</v>
      </c>
      <c r="L301" s="19">
        <v>296</v>
      </c>
      <c r="M301" s="19">
        <f t="shared" si="38"/>
        <v>0</v>
      </c>
      <c r="N301" s="37">
        <f t="shared" si="35"/>
        <v>0</v>
      </c>
      <c r="O301" s="37">
        <f t="shared" si="33"/>
        <v>0</v>
      </c>
      <c r="P301" s="55" cm="1">
        <f t="array" aca="1" ref="P301" ca="1">IF((L301-$C$16)&gt;0, IF($P$1+$C$16&gt;=L301,INDIRECT("M"&amp;(L301-$C$16)+5),0),0)</f>
        <v>0</v>
      </c>
      <c r="Q301" s="56" cm="1">
        <f t="array" aca="1" ref="Q301" ca="1">IF(L301&lt;=$C$16,0,IF($W$2&gt;=L301,IF(L301&lt;=($P$1+$C$16),INDIRECT("N"&amp;(L301-$C$16)+5),FV(SRate,L301-$P$1-$C$16,0,-$W$1,1)),0))</f>
        <v>0</v>
      </c>
      <c r="R301" s="56">
        <f t="shared" ca="1" si="34"/>
        <v>0</v>
      </c>
      <c r="S301" s="19">
        <f t="shared" si="36"/>
        <v>0</v>
      </c>
      <c r="T301" s="36" t="str" cm="1">
        <f t="array" aca="1" ref="T301" ca="1">IF(L301&lt;=$P$1,K301,IF(L301&lt;=($P$1+1),INDIRECT("K"&amp;5+$W$2),""))</f>
        <v/>
      </c>
      <c r="U301" s="38">
        <f t="shared" si="37"/>
        <v>25</v>
      </c>
    </row>
    <row r="302" spans="11:21" hidden="1" x14ac:dyDescent="0.25">
      <c r="K302" s="36">
        <f t="shared" ca="1" si="39"/>
        <v>55253</v>
      </c>
      <c r="L302" s="19">
        <v>297</v>
      </c>
      <c r="M302" s="19">
        <f t="shared" si="38"/>
        <v>0</v>
      </c>
      <c r="N302" s="37">
        <f t="shared" si="35"/>
        <v>0</v>
      </c>
      <c r="O302" s="37">
        <f t="shared" si="33"/>
        <v>0</v>
      </c>
      <c r="P302" s="55" cm="1">
        <f t="array" aca="1" ref="P302" ca="1">IF((L302-$C$16)&gt;0, IF($P$1+$C$16&gt;=L302,INDIRECT("M"&amp;(L302-$C$16)+5),0),0)</f>
        <v>0</v>
      </c>
      <c r="Q302" s="56" cm="1">
        <f t="array" aca="1" ref="Q302" ca="1">IF(L302&lt;=$C$16,0,IF($W$2&gt;=L302,IF(L302&lt;=($P$1+$C$16),INDIRECT("N"&amp;(L302-$C$16)+5),FV(SRate,L302-$P$1-$C$16,0,-$W$1,1)),0))</f>
        <v>0</v>
      </c>
      <c r="R302" s="56">
        <f t="shared" ca="1" si="34"/>
        <v>0</v>
      </c>
      <c r="S302" s="19">
        <f t="shared" si="36"/>
        <v>0</v>
      </c>
      <c r="T302" s="36" t="str" cm="1">
        <f t="array" aca="1" ref="T302" ca="1">IF(L302&lt;=$P$1,K302,IF(L302&lt;=($P$1+1),INDIRECT("K"&amp;5+$W$2),""))</f>
        <v/>
      </c>
      <c r="U302" s="38">
        <f t="shared" si="37"/>
        <v>25</v>
      </c>
    </row>
    <row r="303" spans="11:21" hidden="1" x14ac:dyDescent="0.25">
      <c r="K303" s="36">
        <f t="shared" ca="1" si="39"/>
        <v>55283</v>
      </c>
      <c r="L303" s="19">
        <v>298</v>
      </c>
      <c r="M303" s="19">
        <f t="shared" si="38"/>
        <v>0</v>
      </c>
      <c r="N303" s="37">
        <f t="shared" si="35"/>
        <v>0</v>
      </c>
      <c r="O303" s="37">
        <f t="shared" si="33"/>
        <v>0</v>
      </c>
      <c r="P303" s="55" cm="1">
        <f t="array" aca="1" ref="P303" ca="1">IF((L303-$C$16)&gt;0, IF($P$1+$C$16&gt;=L303,INDIRECT("M"&amp;(L303-$C$16)+5),0),0)</f>
        <v>0</v>
      </c>
      <c r="Q303" s="56" cm="1">
        <f t="array" aca="1" ref="Q303" ca="1">IF(L303&lt;=$C$16,0,IF($W$2&gt;=L303,IF(L303&lt;=($P$1+$C$16),INDIRECT("N"&amp;(L303-$C$16)+5),FV(SRate,L303-$P$1-$C$16,0,-$W$1,1)),0))</f>
        <v>0</v>
      </c>
      <c r="R303" s="56">
        <f t="shared" ca="1" si="34"/>
        <v>0</v>
      </c>
      <c r="S303" s="19">
        <f t="shared" si="36"/>
        <v>0</v>
      </c>
      <c r="T303" s="36" t="str" cm="1">
        <f t="array" aca="1" ref="T303" ca="1">IF(L303&lt;=$P$1,K303,IF(L303&lt;=($P$1+1),INDIRECT("K"&amp;5+$W$2),""))</f>
        <v/>
      </c>
      <c r="U303" s="38">
        <f t="shared" si="37"/>
        <v>25</v>
      </c>
    </row>
    <row r="304" spans="11:21" hidden="1" x14ac:dyDescent="0.25">
      <c r="K304" s="36">
        <f t="shared" ca="1" si="39"/>
        <v>55314</v>
      </c>
      <c r="L304" s="19">
        <v>299</v>
      </c>
      <c r="M304" s="19">
        <f t="shared" si="38"/>
        <v>0</v>
      </c>
      <c r="N304" s="37">
        <f t="shared" si="35"/>
        <v>0</v>
      </c>
      <c r="O304" s="37">
        <f t="shared" si="33"/>
        <v>0</v>
      </c>
      <c r="P304" s="55" cm="1">
        <f t="array" aca="1" ref="P304" ca="1">IF((L304-$C$16)&gt;0, IF($P$1+$C$16&gt;=L304,INDIRECT("M"&amp;(L304-$C$16)+5),0),0)</f>
        <v>0</v>
      </c>
      <c r="Q304" s="56" cm="1">
        <f t="array" aca="1" ref="Q304" ca="1">IF(L304&lt;=$C$16,0,IF($W$2&gt;=L304,IF(L304&lt;=($P$1+$C$16),INDIRECT("N"&amp;(L304-$C$16)+5),FV(SRate,L304-$P$1-$C$16,0,-$W$1,1)),0))</f>
        <v>0</v>
      </c>
      <c r="R304" s="56">
        <f t="shared" ca="1" si="34"/>
        <v>0</v>
      </c>
      <c r="S304" s="19">
        <f t="shared" si="36"/>
        <v>0</v>
      </c>
      <c r="T304" s="36" t="str" cm="1">
        <f t="array" aca="1" ref="T304" ca="1">IF(L304&lt;=$P$1,K304,IF(L304&lt;=($P$1+1),INDIRECT("K"&amp;5+$W$2),""))</f>
        <v/>
      </c>
      <c r="U304" s="38">
        <f t="shared" si="37"/>
        <v>25</v>
      </c>
    </row>
    <row r="305" spans="11:21" hidden="1" x14ac:dyDescent="0.25">
      <c r="K305" s="36">
        <f t="shared" ca="1" si="39"/>
        <v>55344</v>
      </c>
      <c r="L305" s="19">
        <v>300</v>
      </c>
      <c r="M305" s="19">
        <f t="shared" si="38"/>
        <v>0</v>
      </c>
      <c r="N305" s="37">
        <f t="shared" si="35"/>
        <v>0</v>
      </c>
      <c r="O305" s="37">
        <f t="shared" si="33"/>
        <v>0</v>
      </c>
      <c r="P305" s="55" cm="1">
        <f t="array" aca="1" ref="P305" ca="1">IF((L305-$C$16)&gt;0, IF($P$1+$C$16&gt;=L305,INDIRECT("M"&amp;(L305-$C$16)+5),0),0)</f>
        <v>0</v>
      </c>
      <c r="Q305" s="56" cm="1">
        <f t="array" aca="1" ref="Q305" ca="1">IF(L305&lt;=$C$16,0,IF($W$2&gt;=L305,IF(L305&lt;=($P$1+$C$16),INDIRECT("N"&amp;(L305-$C$16)+5),FV(SRate,L305-$P$1-$C$16,0,-$W$1,1)),0))</f>
        <v>0</v>
      </c>
      <c r="R305" s="56">
        <f t="shared" ca="1" si="34"/>
        <v>0</v>
      </c>
      <c r="S305" s="19">
        <f t="shared" si="36"/>
        <v>0</v>
      </c>
      <c r="T305" s="36" t="str" cm="1">
        <f t="array" aca="1" ref="T305" ca="1">IF(L305&lt;=$P$1,K305,IF(L305&lt;=($P$1+1),INDIRECT("K"&amp;5+$W$2),""))</f>
        <v/>
      </c>
      <c r="U305" s="38">
        <f t="shared" si="37"/>
        <v>25</v>
      </c>
    </row>
    <row r="306" spans="11:21" hidden="1" x14ac:dyDescent="0.25">
      <c r="K306" s="36">
        <f t="shared" ca="1" si="39"/>
        <v>55375</v>
      </c>
      <c r="L306" s="19">
        <v>301</v>
      </c>
      <c r="M306" s="19">
        <f t="shared" si="38"/>
        <v>0</v>
      </c>
      <c r="N306" s="37">
        <f t="shared" si="35"/>
        <v>0</v>
      </c>
      <c r="O306" s="37">
        <f t="shared" si="33"/>
        <v>0</v>
      </c>
      <c r="P306" s="55" cm="1">
        <f t="array" aca="1" ref="P306" ca="1">IF((L306-$C$16)&gt;0, IF($P$1+$C$16&gt;=L306,INDIRECT("M"&amp;(L306-$C$16)+5),0),0)</f>
        <v>0</v>
      </c>
      <c r="Q306" s="56" cm="1">
        <f t="array" aca="1" ref="Q306" ca="1">IF(L306&lt;=$C$16,0,IF($W$2&gt;=L306,IF(L306&lt;=($P$1+$C$16),INDIRECT("N"&amp;(L306-$C$16)+5),FV(SRate,L306-$P$1-$C$16,0,-$W$1,1)),0))</f>
        <v>0</v>
      </c>
      <c r="R306" s="56">
        <f t="shared" ca="1" si="34"/>
        <v>0</v>
      </c>
      <c r="S306" s="19">
        <f t="shared" si="36"/>
        <v>0</v>
      </c>
      <c r="T306" s="36" t="str" cm="1">
        <f t="array" aca="1" ref="T306" ca="1">IF(L306&lt;=$P$1,K306,IF(L306&lt;=($P$1+1),INDIRECT("K"&amp;5+$W$2),""))</f>
        <v/>
      </c>
      <c r="U306" s="38">
        <f t="shared" si="37"/>
        <v>26</v>
      </c>
    </row>
    <row r="307" spans="11:21" hidden="1" x14ac:dyDescent="0.25">
      <c r="K307" s="36">
        <f t="shared" ca="1" si="39"/>
        <v>55406</v>
      </c>
      <c r="L307" s="19">
        <v>302</v>
      </c>
      <c r="M307" s="19">
        <f t="shared" si="38"/>
        <v>0</v>
      </c>
      <c r="N307" s="37">
        <f t="shared" si="35"/>
        <v>0</v>
      </c>
      <c r="O307" s="37">
        <f t="shared" si="33"/>
        <v>0</v>
      </c>
      <c r="P307" s="55" cm="1">
        <f t="array" aca="1" ref="P307" ca="1">IF((L307-$C$16)&gt;0, IF($P$1+$C$16&gt;=L307,INDIRECT("M"&amp;(L307-$C$16)+5),0),0)</f>
        <v>0</v>
      </c>
      <c r="Q307" s="56" cm="1">
        <f t="array" aca="1" ref="Q307" ca="1">IF(L307&lt;=$C$16,0,IF($W$2&gt;=L307,IF(L307&lt;=($P$1+$C$16),INDIRECT("N"&amp;(L307-$C$16)+5),FV(SRate,L307-$P$1-$C$16,0,-$W$1,1)),0))</f>
        <v>0</v>
      </c>
      <c r="R307" s="56">
        <f t="shared" ca="1" si="34"/>
        <v>0</v>
      </c>
      <c r="S307" s="19">
        <f t="shared" si="36"/>
        <v>0</v>
      </c>
      <c r="T307" s="36" t="str" cm="1">
        <f t="array" aca="1" ref="T307" ca="1">IF(L307&lt;=$P$1,K307,IF(L307&lt;=($P$1+1),INDIRECT("K"&amp;5+$W$2),""))</f>
        <v/>
      </c>
      <c r="U307" s="38">
        <f t="shared" si="37"/>
        <v>26</v>
      </c>
    </row>
    <row r="308" spans="11:21" hidden="1" x14ac:dyDescent="0.25">
      <c r="K308" s="36">
        <f t="shared" ca="1" si="39"/>
        <v>55436</v>
      </c>
      <c r="L308" s="19">
        <v>303</v>
      </c>
      <c r="M308" s="19">
        <f t="shared" si="38"/>
        <v>0</v>
      </c>
      <c r="N308" s="37">
        <f t="shared" si="35"/>
        <v>0</v>
      </c>
      <c r="O308" s="37">
        <f t="shared" si="33"/>
        <v>0</v>
      </c>
      <c r="P308" s="55" cm="1">
        <f t="array" aca="1" ref="P308" ca="1">IF((L308-$C$16)&gt;0, IF($P$1+$C$16&gt;=L308,INDIRECT("M"&amp;(L308-$C$16)+5),0),0)</f>
        <v>0</v>
      </c>
      <c r="Q308" s="56" cm="1">
        <f t="array" aca="1" ref="Q308" ca="1">IF(L308&lt;=$C$16,0,IF($W$2&gt;=L308,IF(L308&lt;=($P$1+$C$16),INDIRECT("N"&amp;(L308-$C$16)+5),FV(SRate,L308-$P$1-$C$16,0,-$W$1,1)),0))</f>
        <v>0</v>
      </c>
      <c r="R308" s="56">
        <f t="shared" ca="1" si="34"/>
        <v>0</v>
      </c>
      <c r="S308" s="19">
        <f t="shared" si="36"/>
        <v>0</v>
      </c>
      <c r="T308" s="36" t="str" cm="1">
        <f t="array" aca="1" ref="T308" ca="1">IF(L308&lt;=$P$1,K308,IF(L308&lt;=($P$1+1),INDIRECT("K"&amp;5+$W$2),""))</f>
        <v/>
      </c>
      <c r="U308" s="38">
        <f t="shared" si="37"/>
        <v>26</v>
      </c>
    </row>
    <row r="309" spans="11:21" hidden="1" x14ac:dyDescent="0.25">
      <c r="K309" s="36">
        <f t="shared" ca="1" si="39"/>
        <v>55467</v>
      </c>
      <c r="L309" s="19">
        <v>304</v>
      </c>
      <c r="M309" s="19">
        <f t="shared" si="38"/>
        <v>0</v>
      </c>
      <c r="N309" s="37">
        <f t="shared" si="35"/>
        <v>0</v>
      </c>
      <c r="O309" s="37">
        <f t="shared" si="33"/>
        <v>0</v>
      </c>
      <c r="P309" s="55" cm="1">
        <f t="array" aca="1" ref="P309" ca="1">IF((L309-$C$16)&gt;0, IF($P$1+$C$16&gt;=L309,INDIRECT("M"&amp;(L309-$C$16)+5),0),0)</f>
        <v>0</v>
      </c>
      <c r="Q309" s="56" cm="1">
        <f t="array" aca="1" ref="Q309" ca="1">IF(L309&lt;=$C$16,0,IF($W$2&gt;=L309,IF(L309&lt;=($P$1+$C$16),INDIRECT("N"&amp;(L309-$C$16)+5),FV(SRate,L309-$P$1-$C$16,0,-$W$1,1)),0))</f>
        <v>0</v>
      </c>
      <c r="R309" s="56">
        <f t="shared" ca="1" si="34"/>
        <v>0</v>
      </c>
      <c r="S309" s="19">
        <f t="shared" si="36"/>
        <v>0</v>
      </c>
      <c r="T309" s="36" t="str" cm="1">
        <f t="array" aca="1" ref="T309" ca="1">IF(L309&lt;=$P$1,K309,IF(L309&lt;=($P$1+1),INDIRECT("K"&amp;5+$W$2),""))</f>
        <v/>
      </c>
      <c r="U309" s="38">
        <f t="shared" si="37"/>
        <v>26</v>
      </c>
    </row>
    <row r="310" spans="11:21" hidden="1" x14ac:dyDescent="0.25">
      <c r="K310" s="36">
        <f t="shared" ca="1" si="39"/>
        <v>55497</v>
      </c>
      <c r="L310" s="19">
        <v>305</v>
      </c>
      <c r="M310" s="19">
        <f t="shared" si="38"/>
        <v>0</v>
      </c>
      <c r="N310" s="37">
        <f t="shared" si="35"/>
        <v>0</v>
      </c>
      <c r="O310" s="37">
        <f t="shared" si="33"/>
        <v>0</v>
      </c>
      <c r="P310" s="55" cm="1">
        <f t="array" aca="1" ref="P310" ca="1">IF((L310-$C$16)&gt;0, IF($P$1+$C$16&gt;=L310,INDIRECT("M"&amp;(L310-$C$16)+5),0),0)</f>
        <v>0</v>
      </c>
      <c r="Q310" s="56" cm="1">
        <f t="array" aca="1" ref="Q310" ca="1">IF(L310&lt;=$C$16,0,IF($W$2&gt;=L310,IF(L310&lt;=($P$1+$C$16),INDIRECT("N"&amp;(L310-$C$16)+5),FV(SRate,L310-$P$1-$C$16,0,-$W$1,1)),0))</f>
        <v>0</v>
      </c>
      <c r="R310" s="56">
        <f t="shared" ca="1" si="34"/>
        <v>0</v>
      </c>
      <c r="S310" s="19">
        <f t="shared" si="36"/>
        <v>0</v>
      </c>
      <c r="T310" s="36" t="str" cm="1">
        <f t="array" aca="1" ref="T310" ca="1">IF(L310&lt;=$P$1,K310,IF(L310&lt;=($P$1+1),INDIRECT("K"&amp;5+$W$2),""))</f>
        <v/>
      </c>
      <c r="U310" s="38">
        <f t="shared" si="37"/>
        <v>26</v>
      </c>
    </row>
    <row r="311" spans="11:21" hidden="1" x14ac:dyDescent="0.25">
      <c r="K311" s="36">
        <f t="shared" ca="1" si="39"/>
        <v>55528</v>
      </c>
      <c r="L311" s="19">
        <v>306</v>
      </c>
      <c r="M311" s="19">
        <f t="shared" si="38"/>
        <v>0</v>
      </c>
      <c r="N311" s="37">
        <f t="shared" si="35"/>
        <v>0</v>
      </c>
      <c r="O311" s="37">
        <f t="shared" si="33"/>
        <v>0</v>
      </c>
      <c r="P311" s="55" cm="1">
        <f t="array" aca="1" ref="P311" ca="1">IF((L311-$C$16)&gt;0, IF($P$1+$C$16&gt;=L311,INDIRECT("M"&amp;(L311-$C$16)+5),0),0)</f>
        <v>0</v>
      </c>
      <c r="Q311" s="56" cm="1">
        <f t="array" aca="1" ref="Q311" ca="1">IF(L311&lt;=$C$16,0,IF($W$2&gt;=L311,IF(L311&lt;=($P$1+$C$16),INDIRECT("N"&amp;(L311-$C$16)+5),FV(SRate,L311-$P$1-$C$16,0,-$W$1,1)),0))</f>
        <v>0</v>
      </c>
      <c r="R311" s="56">
        <f t="shared" ca="1" si="34"/>
        <v>0</v>
      </c>
      <c r="S311" s="19">
        <f t="shared" si="36"/>
        <v>0</v>
      </c>
      <c r="T311" s="36" t="str" cm="1">
        <f t="array" aca="1" ref="T311" ca="1">IF(L311&lt;=$P$1,K311,IF(L311&lt;=($P$1+1),INDIRECT("K"&amp;5+$W$2),""))</f>
        <v/>
      </c>
      <c r="U311" s="38">
        <f t="shared" si="37"/>
        <v>26</v>
      </c>
    </row>
    <row r="312" spans="11:21" hidden="1" x14ac:dyDescent="0.25">
      <c r="K312" s="36">
        <f t="shared" ca="1" si="39"/>
        <v>55559</v>
      </c>
      <c r="L312" s="19">
        <v>307</v>
      </c>
      <c r="M312" s="19">
        <f t="shared" si="38"/>
        <v>0</v>
      </c>
      <c r="N312" s="37">
        <f t="shared" si="35"/>
        <v>0</v>
      </c>
      <c r="O312" s="37">
        <f t="shared" si="33"/>
        <v>0</v>
      </c>
      <c r="P312" s="55" cm="1">
        <f t="array" aca="1" ref="P312" ca="1">IF((L312-$C$16)&gt;0, IF($P$1+$C$16&gt;=L312,INDIRECT("M"&amp;(L312-$C$16)+5),0),0)</f>
        <v>0</v>
      </c>
      <c r="Q312" s="56" cm="1">
        <f t="array" aca="1" ref="Q312" ca="1">IF(L312&lt;=$C$16,0,IF($W$2&gt;=L312,IF(L312&lt;=($P$1+$C$16),INDIRECT("N"&amp;(L312-$C$16)+5),FV(SRate,L312-$P$1-$C$16,0,-$W$1,1)),0))</f>
        <v>0</v>
      </c>
      <c r="R312" s="56">
        <f t="shared" ca="1" si="34"/>
        <v>0</v>
      </c>
      <c r="S312" s="19">
        <f t="shared" si="36"/>
        <v>0</v>
      </c>
      <c r="T312" s="36" t="str" cm="1">
        <f t="array" aca="1" ref="T312" ca="1">IF(L312&lt;=$P$1,K312,IF(L312&lt;=($P$1+1),INDIRECT("K"&amp;5+$W$2),""))</f>
        <v/>
      </c>
      <c r="U312" s="38">
        <f t="shared" si="37"/>
        <v>26</v>
      </c>
    </row>
    <row r="313" spans="11:21" hidden="1" x14ac:dyDescent="0.25">
      <c r="K313" s="36">
        <f t="shared" ca="1" si="39"/>
        <v>55588</v>
      </c>
      <c r="L313" s="19">
        <v>308</v>
      </c>
      <c r="M313" s="19">
        <f t="shared" si="38"/>
        <v>0</v>
      </c>
      <c r="N313" s="37">
        <f t="shared" si="35"/>
        <v>0</v>
      </c>
      <c r="O313" s="37">
        <f t="shared" si="33"/>
        <v>0</v>
      </c>
      <c r="P313" s="55" cm="1">
        <f t="array" aca="1" ref="P313" ca="1">IF((L313-$C$16)&gt;0, IF($P$1+$C$16&gt;=L313,INDIRECT("M"&amp;(L313-$C$16)+5),0),0)</f>
        <v>0</v>
      </c>
      <c r="Q313" s="56" cm="1">
        <f t="array" aca="1" ref="Q313" ca="1">IF(L313&lt;=$C$16,0,IF($W$2&gt;=L313,IF(L313&lt;=($P$1+$C$16),INDIRECT("N"&amp;(L313-$C$16)+5),FV(SRate,L313-$P$1-$C$16,0,-$W$1,1)),0))</f>
        <v>0</v>
      </c>
      <c r="R313" s="56">
        <f t="shared" ca="1" si="34"/>
        <v>0</v>
      </c>
      <c r="S313" s="19">
        <f t="shared" si="36"/>
        <v>0</v>
      </c>
      <c r="T313" s="36" t="str" cm="1">
        <f t="array" aca="1" ref="T313" ca="1">IF(L313&lt;=$P$1,K313,IF(L313&lt;=($P$1+1),INDIRECT("K"&amp;5+$W$2),""))</f>
        <v/>
      </c>
      <c r="U313" s="38">
        <f t="shared" si="37"/>
        <v>26</v>
      </c>
    </row>
    <row r="314" spans="11:21" hidden="1" x14ac:dyDescent="0.25">
      <c r="K314" s="36">
        <f t="shared" ca="1" si="39"/>
        <v>55619</v>
      </c>
      <c r="L314" s="19">
        <v>309</v>
      </c>
      <c r="M314" s="19">
        <f t="shared" si="38"/>
        <v>0</v>
      </c>
      <c r="N314" s="37">
        <f t="shared" si="35"/>
        <v>0</v>
      </c>
      <c r="O314" s="37">
        <f t="shared" si="33"/>
        <v>0</v>
      </c>
      <c r="P314" s="55" cm="1">
        <f t="array" aca="1" ref="P314" ca="1">IF((L314-$C$16)&gt;0, IF($P$1+$C$16&gt;=L314,INDIRECT("M"&amp;(L314-$C$16)+5),0),0)</f>
        <v>0</v>
      </c>
      <c r="Q314" s="56" cm="1">
        <f t="array" aca="1" ref="Q314" ca="1">IF(L314&lt;=$C$16,0,IF($W$2&gt;=L314,IF(L314&lt;=($P$1+$C$16),INDIRECT("N"&amp;(L314-$C$16)+5),FV(SRate,L314-$P$1-$C$16,0,-$W$1,1)),0))</f>
        <v>0</v>
      </c>
      <c r="R314" s="56">
        <f t="shared" ca="1" si="34"/>
        <v>0</v>
      </c>
      <c r="S314" s="19">
        <f t="shared" si="36"/>
        <v>0</v>
      </c>
      <c r="T314" s="36" t="str" cm="1">
        <f t="array" aca="1" ref="T314" ca="1">IF(L314&lt;=$P$1,K314,IF(L314&lt;=($P$1+1),INDIRECT("K"&amp;5+$W$2),""))</f>
        <v/>
      </c>
      <c r="U314" s="38">
        <f t="shared" si="37"/>
        <v>26</v>
      </c>
    </row>
    <row r="315" spans="11:21" hidden="1" x14ac:dyDescent="0.25">
      <c r="K315" s="36">
        <f t="shared" ca="1" si="39"/>
        <v>55649</v>
      </c>
      <c r="L315" s="19">
        <v>310</v>
      </c>
      <c r="M315" s="19">
        <f t="shared" si="38"/>
        <v>0</v>
      </c>
      <c r="N315" s="37">
        <f t="shared" si="35"/>
        <v>0</v>
      </c>
      <c r="O315" s="37">
        <f t="shared" si="33"/>
        <v>0</v>
      </c>
      <c r="P315" s="55" cm="1">
        <f t="array" aca="1" ref="P315" ca="1">IF((L315-$C$16)&gt;0, IF($P$1+$C$16&gt;=L315,INDIRECT("M"&amp;(L315-$C$16)+5),0),0)</f>
        <v>0</v>
      </c>
      <c r="Q315" s="56" cm="1">
        <f t="array" aca="1" ref="Q315" ca="1">IF(L315&lt;=$C$16,0,IF($W$2&gt;=L315,IF(L315&lt;=($P$1+$C$16),INDIRECT("N"&amp;(L315-$C$16)+5),FV(SRate,L315-$P$1-$C$16,0,-$W$1,1)),0))</f>
        <v>0</v>
      </c>
      <c r="R315" s="56">
        <f t="shared" ca="1" si="34"/>
        <v>0</v>
      </c>
      <c r="S315" s="19">
        <f t="shared" si="36"/>
        <v>0</v>
      </c>
      <c r="T315" s="36" t="str" cm="1">
        <f t="array" aca="1" ref="T315" ca="1">IF(L315&lt;=$P$1,K315,IF(L315&lt;=($P$1+1),INDIRECT("K"&amp;5+$W$2),""))</f>
        <v/>
      </c>
      <c r="U315" s="38">
        <f t="shared" si="37"/>
        <v>26</v>
      </c>
    </row>
    <row r="316" spans="11:21" hidden="1" x14ac:dyDescent="0.25">
      <c r="K316" s="36">
        <f t="shared" ca="1" si="39"/>
        <v>55680</v>
      </c>
      <c r="L316" s="19">
        <v>311</v>
      </c>
      <c r="M316" s="19">
        <f t="shared" si="38"/>
        <v>0</v>
      </c>
      <c r="N316" s="37">
        <f t="shared" si="35"/>
        <v>0</v>
      </c>
      <c r="O316" s="37">
        <f t="shared" si="33"/>
        <v>0</v>
      </c>
      <c r="P316" s="55" cm="1">
        <f t="array" aca="1" ref="P316" ca="1">IF((L316-$C$16)&gt;0, IF($P$1+$C$16&gt;=L316,INDIRECT("M"&amp;(L316-$C$16)+5),0),0)</f>
        <v>0</v>
      </c>
      <c r="Q316" s="56" cm="1">
        <f t="array" aca="1" ref="Q316" ca="1">IF(L316&lt;=$C$16,0,IF($W$2&gt;=L316,IF(L316&lt;=($P$1+$C$16),INDIRECT("N"&amp;(L316-$C$16)+5),FV(SRate,L316-$P$1-$C$16,0,-$W$1,1)),0))</f>
        <v>0</v>
      </c>
      <c r="R316" s="56">
        <f t="shared" ca="1" si="34"/>
        <v>0</v>
      </c>
      <c r="S316" s="19">
        <f t="shared" si="36"/>
        <v>0</v>
      </c>
      <c r="T316" s="36" t="str" cm="1">
        <f t="array" aca="1" ref="T316" ca="1">IF(L316&lt;=$P$1,K316,IF(L316&lt;=($P$1+1),INDIRECT("K"&amp;5+$W$2),""))</f>
        <v/>
      </c>
      <c r="U316" s="38">
        <f t="shared" si="37"/>
        <v>26</v>
      </c>
    </row>
    <row r="317" spans="11:21" hidden="1" x14ac:dyDescent="0.25">
      <c r="K317" s="36">
        <f t="shared" ca="1" si="39"/>
        <v>55710</v>
      </c>
      <c r="L317" s="19">
        <v>312</v>
      </c>
      <c r="M317" s="19">
        <f t="shared" si="38"/>
        <v>0</v>
      </c>
      <c r="N317" s="37">
        <f t="shared" si="35"/>
        <v>0</v>
      </c>
      <c r="O317" s="37">
        <f t="shared" si="33"/>
        <v>0</v>
      </c>
      <c r="P317" s="55" cm="1">
        <f t="array" aca="1" ref="P317" ca="1">IF((L317-$C$16)&gt;0, IF($P$1+$C$16&gt;=L317,INDIRECT("M"&amp;(L317-$C$16)+5),0),0)</f>
        <v>0</v>
      </c>
      <c r="Q317" s="56" cm="1">
        <f t="array" aca="1" ref="Q317" ca="1">IF(L317&lt;=$C$16,0,IF($W$2&gt;=L317,IF(L317&lt;=($P$1+$C$16),INDIRECT("N"&amp;(L317-$C$16)+5),FV(SRate,L317-$P$1-$C$16,0,-$W$1,1)),0))</f>
        <v>0</v>
      </c>
      <c r="R317" s="56">
        <f t="shared" ca="1" si="34"/>
        <v>0</v>
      </c>
      <c r="S317" s="19">
        <f t="shared" si="36"/>
        <v>0</v>
      </c>
      <c r="T317" s="36" t="str" cm="1">
        <f t="array" aca="1" ref="T317" ca="1">IF(L317&lt;=$P$1,K317,IF(L317&lt;=($P$1+1),INDIRECT("K"&amp;5+$W$2),""))</f>
        <v/>
      </c>
      <c r="U317" s="38">
        <f t="shared" si="37"/>
        <v>26</v>
      </c>
    </row>
    <row r="318" spans="11:21" hidden="1" x14ac:dyDescent="0.25">
      <c r="K318" s="36">
        <f t="shared" ca="1" si="39"/>
        <v>55741</v>
      </c>
      <c r="L318" s="19">
        <v>313</v>
      </c>
      <c r="M318" s="19">
        <f t="shared" si="38"/>
        <v>0</v>
      </c>
      <c r="N318" s="37">
        <f t="shared" si="35"/>
        <v>0</v>
      </c>
      <c r="O318" s="37">
        <f t="shared" si="33"/>
        <v>0</v>
      </c>
      <c r="P318" s="55" cm="1">
        <f t="array" aca="1" ref="P318" ca="1">IF((L318-$C$16)&gt;0, IF($P$1+$C$16&gt;=L318,INDIRECT("M"&amp;(L318-$C$16)+5),0),0)</f>
        <v>0</v>
      </c>
      <c r="Q318" s="56" cm="1">
        <f t="array" aca="1" ref="Q318" ca="1">IF(L318&lt;=$C$16,0,IF($W$2&gt;=L318,IF(L318&lt;=($P$1+$C$16),INDIRECT("N"&amp;(L318-$C$16)+5),FV(SRate,L318-$P$1-$C$16,0,-$W$1,1)),0))</f>
        <v>0</v>
      </c>
      <c r="R318" s="56">
        <f t="shared" ca="1" si="34"/>
        <v>0</v>
      </c>
      <c r="S318" s="19">
        <f t="shared" si="36"/>
        <v>0</v>
      </c>
      <c r="T318" s="36" t="str" cm="1">
        <f t="array" aca="1" ref="T318" ca="1">IF(L318&lt;=$P$1,K318,IF(L318&lt;=($P$1+1),INDIRECT("K"&amp;5+$W$2),""))</f>
        <v/>
      </c>
      <c r="U318" s="38">
        <f t="shared" si="37"/>
        <v>27</v>
      </c>
    </row>
    <row r="319" spans="11:21" hidden="1" x14ac:dyDescent="0.25">
      <c r="K319" s="36">
        <f t="shared" ca="1" si="39"/>
        <v>55772</v>
      </c>
      <c r="L319" s="19">
        <v>314</v>
      </c>
      <c r="M319" s="19">
        <f t="shared" si="38"/>
        <v>0</v>
      </c>
      <c r="N319" s="37">
        <f t="shared" si="35"/>
        <v>0</v>
      </c>
      <c r="O319" s="37">
        <f t="shared" si="33"/>
        <v>0</v>
      </c>
      <c r="P319" s="55" cm="1">
        <f t="array" aca="1" ref="P319" ca="1">IF((L319-$C$16)&gt;0, IF($P$1+$C$16&gt;=L319,INDIRECT("M"&amp;(L319-$C$16)+5),0),0)</f>
        <v>0</v>
      </c>
      <c r="Q319" s="56" cm="1">
        <f t="array" aca="1" ref="Q319" ca="1">IF(L319&lt;=$C$16,0,IF($W$2&gt;=L319,IF(L319&lt;=($P$1+$C$16),INDIRECT("N"&amp;(L319-$C$16)+5),FV(SRate,L319-$P$1-$C$16,0,-$W$1,1)),0))</f>
        <v>0</v>
      </c>
      <c r="R319" s="56">
        <f t="shared" ca="1" si="34"/>
        <v>0</v>
      </c>
      <c r="S319" s="19">
        <f t="shared" si="36"/>
        <v>0</v>
      </c>
      <c r="T319" s="36" t="str" cm="1">
        <f t="array" aca="1" ref="T319" ca="1">IF(L319&lt;=$P$1,K319,IF(L319&lt;=($P$1+1),INDIRECT("K"&amp;5+$W$2),""))</f>
        <v/>
      </c>
      <c r="U319" s="38">
        <f t="shared" si="37"/>
        <v>27</v>
      </c>
    </row>
    <row r="320" spans="11:21" hidden="1" x14ac:dyDescent="0.25">
      <c r="K320" s="36">
        <f t="shared" ca="1" si="39"/>
        <v>55802</v>
      </c>
      <c r="L320" s="19">
        <v>315</v>
      </c>
      <c r="M320" s="19">
        <f t="shared" si="38"/>
        <v>0</v>
      </c>
      <c r="N320" s="37">
        <f t="shared" si="35"/>
        <v>0</v>
      </c>
      <c r="O320" s="37">
        <f t="shared" si="33"/>
        <v>0</v>
      </c>
      <c r="P320" s="55" cm="1">
        <f t="array" aca="1" ref="P320" ca="1">IF((L320-$C$16)&gt;0, IF($P$1+$C$16&gt;=L320,INDIRECT("M"&amp;(L320-$C$16)+5),0),0)</f>
        <v>0</v>
      </c>
      <c r="Q320" s="56" cm="1">
        <f t="array" aca="1" ref="Q320" ca="1">IF(L320&lt;=$C$16,0,IF($W$2&gt;=L320,IF(L320&lt;=($P$1+$C$16),INDIRECT("N"&amp;(L320-$C$16)+5),FV(SRate,L320-$P$1-$C$16,0,-$W$1,1)),0))</f>
        <v>0</v>
      </c>
      <c r="R320" s="56">
        <f t="shared" ca="1" si="34"/>
        <v>0</v>
      </c>
      <c r="S320" s="19">
        <f t="shared" si="36"/>
        <v>0</v>
      </c>
      <c r="T320" s="36" t="str" cm="1">
        <f t="array" aca="1" ref="T320" ca="1">IF(L320&lt;=$P$1,K320,IF(L320&lt;=($P$1+1),INDIRECT("K"&amp;5+$W$2),""))</f>
        <v/>
      </c>
      <c r="U320" s="38">
        <f t="shared" si="37"/>
        <v>27</v>
      </c>
    </row>
    <row r="321" spans="11:21" hidden="1" x14ac:dyDescent="0.25">
      <c r="K321" s="36">
        <f t="shared" ca="1" si="39"/>
        <v>55833</v>
      </c>
      <c r="L321" s="19">
        <v>316</v>
      </c>
      <c r="M321" s="19">
        <f t="shared" si="38"/>
        <v>0</v>
      </c>
      <c r="N321" s="37">
        <f t="shared" si="35"/>
        <v>0</v>
      </c>
      <c r="O321" s="37">
        <f t="shared" si="33"/>
        <v>0</v>
      </c>
      <c r="P321" s="55" cm="1">
        <f t="array" aca="1" ref="P321" ca="1">IF((L321-$C$16)&gt;0, IF($P$1+$C$16&gt;=L321,INDIRECT("M"&amp;(L321-$C$16)+5),0),0)</f>
        <v>0</v>
      </c>
      <c r="Q321" s="56" cm="1">
        <f t="array" aca="1" ref="Q321" ca="1">IF(L321&lt;=$C$16,0,IF($W$2&gt;=L321,IF(L321&lt;=($P$1+$C$16),INDIRECT("N"&amp;(L321-$C$16)+5),FV(SRate,L321-$P$1-$C$16,0,-$W$1,1)),0))</f>
        <v>0</v>
      </c>
      <c r="R321" s="56">
        <f t="shared" ca="1" si="34"/>
        <v>0</v>
      </c>
      <c r="S321" s="19">
        <f t="shared" si="36"/>
        <v>0</v>
      </c>
      <c r="T321" s="36" t="str" cm="1">
        <f t="array" aca="1" ref="T321" ca="1">IF(L321&lt;=$P$1,K321,IF(L321&lt;=($P$1+1),INDIRECT("K"&amp;5+$W$2),""))</f>
        <v/>
      </c>
      <c r="U321" s="38">
        <f t="shared" si="37"/>
        <v>27</v>
      </c>
    </row>
    <row r="322" spans="11:21" hidden="1" x14ac:dyDescent="0.25">
      <c r="K322" s="36">
        <f t="shared" ca="1" si="39"/>
        <v>55863</v>
      </c>
      <c r="L322" s="19">
        <v>317</v>
      </c>
      <c r="M322" s="19">
        <f t="shared" si="38"/>
        <v>0</v>
      </c>
      <c r="N322" s="37">
        <f t="shared" si="35"/>
        <v>0</v>
      </c>
      <c r="O322" s="37">
        <f t="shared" si="33"/>
        <v>0</v>
      </c>
      <c r="P322" s="55" cm="1">
        <f t="array" aca="1" ref="P322" ca="1">IF((L322-$C$16)&gt;0, IF($P$1+$C$16&gt;=L322,INDIRECT("M"&amp;(L322-$C$16)+5),0),0)</f>
        <v>0</v>
      </c>
      <c r="Q322" s="56" cm="1">
        <f t="array" aca="1" ref="Q322" ca="1">IF(L322&lt;=$C$16,0,IF($W$2&gt;=L322,IF(L322&lt;=($P$1+$C$16),INDIRECT("N"&amp;(L322-$C$16)+5),FV(SRate,L322-$P$1-$C$16,0,-$W$1,1)),0))</f>
        <v>0</v>
      </c>
      <c r="R322" s="56">
        <f t="shared" ca="1" si="34"/>
        <v>0</v>
      </c>
      <c r="S322" s="19">
        <f t="shared" si="36"/>
        <v>0</v>
      </c>
      <c r="T322" s="36" t="str" cm="1">
        <f t="array" aca="1" ref="T322" ca="1">IF(L322&lt;=$P$1,K322,IF(L322&lt;=($P$1+1),INDIRECT("K"&amp;5+$W$2),""))</f>
        <v/>
      </c>
      <c r="U322" s="38">
        <f t="shared" si="37"/>
        <v>27</v>
      </c>
    </row>
    <row r="323" spans="11:21" hidden="1" x14ac:dyDescent="0.25">
      <c r="K323" s="36">
        <f t="shared" ca="1" si="39"/>
        <v>55894</v>
      </c>
      <c r="L323" s="19">
        <v>318</v>
      </c>
      <c r="M323" s="19">
        <f t="shared" si="38"/>
        <v>0</v>
      </c>
      <c r="N323" s="37">
        <f t="shared" si="35"/>
        <v>0</v>
      </c>
      <c r="O323" s="37">
        <f t="shared" si="33"/>
        <v>0</v>
      </c>
      <c r="P323" s="55" cm="1">
        <f t="array" aca="1" ref="P323" ca="1">IF((L323-$C$16)&gt;0, IF($P$1+$C$16&gt;=L323,INDIRECT("M"&amp;(L323-$C$16)+5),0),0)</f>
        <v>0</v>
      </c>
      <c r="Q323" s="56" cm="1">
        <f t="array" aca="1" ref="Q323" ca="1">IF(L323&lt;=$C$16,0,IF($W$2&gt;=L323,IF(L323&lt;=($P$1+$C$16),INDIRECT("N"&amp;(L323-$C$16)+5),FV(SRate,L323-$P$1-$C$16,0,-$W$1,1)),0))</f>
        <v>0</v>
      </c>
      <c r="R323" s="56">
        <f t="shared" ca="1" si="34"/>
        <v>0</v>
      </c>
      <c r="S323" s="19">
        <f t="shared" si="36"/>
        <v>0</v>
      </c>
      <c r="T323" s="36" t="str" cm="1">
        <f t="array" aca="1" ref="T323" ca="1">IF(L323&lt;=$P$1,K323,IF(L323&lt;=($P$1+1),INDIRECT("K"&amp;5+$W$2),""))</f>
        <v/>
      </c>
      <c r="U323" s="38">
        <f t="shared" si="37"/>
        <v>27</v>
      </c>
    </row>
    <row r="324" spans="11:21" hidden="1" x14ac:dyDescent="0.25">
      <c r="K324" s="36">
        <f t="shared" ca="1" si="39"/>
        <v>55925</v>
      </c>
      <c r="L324" s="19">
        <v>319</v>
      </c>
      <c r="M324" s="19">
        <f t="shared" si="38"/>
        <v>0</v>
      </c>
      <c r="N324" s="37">
        <f t="shared" si="35"/>
        <v>0</v>
      </c>
      <c r="O324" s="37">
        <f t="shared" si="33"/>
        <v>0</v>
      </c>
      <c r="P324" s="55" cm="1">
        <f t="array" aca="1" ref="P324" ca="1">IF((L324-$C$16)&gt;0, IF($P$1+$C$16&gt;=L324,INDIRECT("M"&amp;(L324-$C$16)+5),0),0)</f>
        <v>0</v>
      </c>
      <c r="Q324" s="56" cm="1">
        <f t="array" aca="1" ref="Q324" ca="1">IF(L324&lt;=$C$16,0,IF($W$2&gt;=L324,IF(L324&lt;=($P$1+$C$16),INDIRECT("N"&amp;(L324-$C$16)+5),FV(SRate,L324-$P$1-$C$16,0,-$W$1,1)),0))</f>
        <v>0</v>
      </c>
      <c r="R324" s="56">
        <f t="shared" ca="1" si="34"/>
        <v>0</v>
      </c>
      <c r="S324" s="19">
        <f t="shared" si="36"/>
        <v>0</v>
      </c>
      <c r="T324" s="36" t="str" cm="1">
        <f t="array" aca="1" ref="T324" ca="1">IF(L324&lt;=$P$1,K324,IF(L324&lt;=($P$1+1),INDIRECT("K"&amp;5+$W$2),""))</f>
        <v/>
      </c>
      <c r="U324" s="38">
        <f t="shared" si="37"/>
        <v>27</v>
      </c>
    </row>
    <row r="325" spans="11:21" hidden="1" x14ac:dyDescent="0.25">
      <c r="K325" s="36">
        <f t="shared" ca="1" si="39"/>
        <v>55953</v>
      </c>
      <c r="L325" s="19">
        <v>320</v>
      </c>
      <c r="M325" s="19">
        <f t="shared" si="38"/>
        <v>0</v>
      </c>
      <c r="N325" s="37">
        <f t="shared" si="35"/>
        <v>0</v>
      </c>
      <c r="O325" s="37">
        <f t="shared" si="33"/>
        <v>0</v>
      </c>
      <c r="P325" s="55" cm="1">
        <f t="array" aca="1" ref="P325" ca="1">IF((L325-$C$16)&gt;0, IF($P$1+$C$16&gt;=L325,INDIRECT("M"&amp;(L325-$C$16)+5),0),0)</f>
        <v>0</v>
      </c>
      <c r="Q325" s="56" cm="1">
        <f t="array" aca="1" ref="Q325" ca="1">IF(L325&lt;=$C$16,0,IF($W$2&gt;=L325,IF(L325&lt;=($P$1+$C$16),INDIRECT("N"&amp;(L325-$C$16)+5),FV(SRate,L325-$P$1-$C$16,0,-$W$1,1)),0))</f>
        <v>0</v>
      </c>
      <c r="R325" s="56">
        <f t="shared" ca="1" si="34"/>
        <v>0</v>
      </c>
      <c r="S325" s="19">
        <f t="shared" si="36"/>
        <v>0</v>
      </c>
      <c r="T325" s="36" t="str" cm="1">
        <f t="array" aca="1" ref="T325" ca="1">IF(L325&lt;=$P$1,K325,IF(L325&lt;=($P$1+1),INDIRECT("K"&amp;5+$W$2),""))</f>
        <v/>
      </c>
      <c r="U325" s="38">
        <f t="shared" si="37"/>
        <v>27</v>
      </c>
    </row>
    <row r="326" spans="11:21" hidden="1" x14ac:dyDescent="0.25">
      <c r="K326" s="36">
        <f t="shared" ca="1" si="39"/>
        <v>55984</v>
      </c>
      <c r="L326" s="19">
        <v>321</v>
      </c>
      <c r="M326" s="19">
        <f t="shared" si="38"/>
        <v>0</v>
      </c>
      <c r="N326" s="37">
        <f t="shared" si="35"/>
        <v>0</v>
      </c>
      <c r="O326" s="37">
        <f t="shared" ref="O326:O389" si="40">N326/((1+SIPInflationRate)^(L326/12))</f>
        <v>0</v>
      </c>
      <c r="P326" s="55" cm="1">
        <f t="array" aca="1" ref="P326" ca="1">IF((L326-$C$16)&gt;0, IF($P$1+$C$16&gt;=L326,INDIRECT("M"&amp;(L326-$C$16)+5),0),0)</f>
        <v>0</v>
      </c>
      <c r="Q326" s="56" cm="1">
        <f t="array" aca="1" ref="Q326" ca="1">IF(L326&lt;=$C$16,0,IF($W$2&gt;=L326,IF(L326&lt;=($P$1+$C$16),INDIRECT("N"&amp;(L326-$C$16)+5),FV(SRate,L326-$P$1-$C$16,0,-$W$1,1)),0))</f>
        <v>0</v>
      </c>
      <c r="R326" s="56">
        <f t="shared" ref="R326:R389" ca="1" si="41">Q326/((1+SIPInflationRate)^((L326-$C$16)/12))</f>
        <v>0</v>
      </c>
      <c r="S326" s="19">
        <f t="shared" si="36"/>
        <v>0</v>
      </c>
      <c r="T326" s="36" t="str" cm="1">
        <f t="array" aca="1" ref="T326" ca="1">IF(L326&lt;=$P$1,K326,IF(L326&lt;=($P$1+1),INDIRECT("K"&amp;5+$W$2),""))</f>
        <v/>
      </c>
      <c r="U326" s="38">
        <f t="shared" si="37"/>
        <v>27</v>
      </c>
    </row>
    <row r="327" spans="11:21" hidden="1" x14ac:dyDescent="0.25">
      <c r="K327" s="36">
        <f t="shared" ca="1" si="39"/>
        <v>56014</v>
      </c>
      <c r="L327" s="19">
        <v>322</v>
      </c>
      <c r="M327" s="19">
        <f t="shared" si="38"/>
        <v>0</v>
      </c>
      <c r="N327" s="37">
        <f t="shared" ref="N327:N390" si="42">IF($W$2&gt;=L327,IF(L327&lt;=$P$1,(M327-M326+N326)*(1+SRate),FV(SRate,L327-$P$1,0,-$W$1,1)),0)</f>
        <v>0</v>
      </c>
      <c r="O327" s="37">
        <f t="shared" si="40"/>
        <v>0</v>
      </c>
      <c r="P327" s="55" cm="1">
        <f t="array" aca="1" ref="P327" ca="1">IF((L327-$C$16)&gt;0, IF($P$1+$C$16&gt;=L327,INDIRECT("M"&amp;(L327-$C$16)+5),0),0)</f>
        <v>0</v>
      </c>
      <c r="Q327" s="56" cm="1">
        <f t="array" aca="1" ref="Q327" ca="1">IF(L327&lt;=$C$16,0,IF($W$2&gt;=L327,IF(L327&lt;=($P$1+$C$16),INDIRECT("N"&amp;(L327-$C$16)+5),FV(SRate,L327-$P$1-$C$16,0,-$W$1,1)),0))</f>
        <v>0</v>
      </c>
      <c r="R327" s="56">
        <f t="shared" ca="1" si="41"/>
        <v>0</v>
      </c>
      <c r="S327" s="19">
        <f t="shared" ref="S327:S390" si="43">IF(L327&lt;=$P$1,-(_xlfn.XLOOKUP(U327,$Z$3:$Z$72,$AB$3:$AB$72,0)),IF(L327&lt;=($P$1+1),$W$4,0))</f>
        <v>0</v>
      </c>
      <c r="T327" s="36" t="str" cm="1">
        <f t="array" aca="1" ref="T327" ca="1">IF(L327&lt;=$P$1,K327,IF(L327&lt;=($P$1+1),INDIRECT("K"&amp;5+$W$2),""))</f>
        <v/>
      </c>
      <c r="U327" s="38">
        <f t="shared" ref="U327:U390" si="44">QUOTIENT(L327,12)+IF(MOD(L327,12)=0,-1,0)+1</f>
        <v>27</v>
      </c>
    </row>
    <row r="328" spans="11:21" hidden="1" x14ac:dyDescent="0.25">
      <c r="K328" s="36">
        <f t="shared" ca="1" si="39"/>
        <v>56045</v>
      </c>
      <c r="L328" s="19">
        <v>323</v>
      </c>
      <c r="M328" s="19">
        <f t="shared" ref="M328:M391" si="45">IF($P$1&gt;=L328,_xlfn.XLOOKUP(U328,$Z$3:$Z$72,$AB$3:$AB$72,0)+M327,0)</f>
        <v>0</v>
      </c>
      <c r="N328" s="37">
        <f t="shared" si="42"/>
        <v>0</v>
      </c>
      <c r="O328" s="37">
        <f t="shared" si="40"/>
        <v>0</v>
      </c>
      <c r="P328" s="55" cm="1">
        <f t="array" aca="1" ref="P328" ca="1">IF((L328-$C$16)&gt;0, IF($P$1+$C$16&gt;=L328,INDIRECT("M"&amp;(L328-$C$16)+5),0),0)</f>
        <v>0</v>
      </c>
      <c r="Q328" s="56" cm="1">
        <f t="array" aca="1" ref="Q328" ca="1">IF(L328&lt;=$C$16,0,IF($W$2&gt;=L328,IF(L328&lt;=($P$1+$C$16),INDIRECT("N"&amp;(L328-$C$16)+5),FV(SRate,L328-$P$1-$C$16,0,-$W$1,1)),0))</f>
        <v>0</v>
      </c>
      <c r="R328" s="56">
        <f t="shared" ca="1" si="41"/>
        <v>0</v>
      </c>
      <c r="S328" s="19">
        <f t="shared" si="43"/>
        <v>0</v>
      </c>
      <c r="T328" s="36" t="str" cm="1">
        <f t="array" aca="1" ref="T328" ca="1">IF(L328&lt;=$P$1,K328,IF(L328&lt;=($P$1+1),INDIRECT("K"&amp;5+$W$2),""))</f>
        <v/>
      </c>
      <c r="U328" s="38">
        <f t="shared" si="44"/>
        <v>27</v>
      </c>
    </row>
    <row r="329" spans="11:21" hidden="1" x14ac:dyDescent="0.25">
      <c r="K329" s="36">
        <f t="shared" ref="K329:K392" ca="1" si="46">EDATE(K328,1)</f>
        <v>56075</v>
      </c>
      <c r="L329" s="19">
        <v>324</v>
      </c>
      <c r="M329" s="19">
        <f t="shared" si="45"/>
        <v>0</v>
      </c>
      <c r="N329" s="37">
        <f t="shared" si="42"/>
        <v>0</v>
      </c>
      <c r="O329" s="37">
        <f t="shared" si="40"/>
        <v>0</v>
      </c>
      <c r="P329" s="55" cm="1">
        <f t="array" aca="1" ref="P329" ca="1">IF((L329-$C$16)&gt;0, IF($P$1+$C$16&gt;=L329,INDIRECT("M"&amp;(L329-$C$16)+5),0),0)</f>
        <v>0</v>
      </c>
      <c r="Q329" s="56" cm="1">
        <f t="array" aca="1" ref="Q329" ca="1">IF(L329&lt;=$C$16,0,IF($W$2&gt;=L329,IF(L329&lt;=($P$1+$C$16),INDIRECT("N"&amp;(L329-$C$16)+5),FV(SRate,L329-$P$1-$C$16,0,-$W$1,1)),0))</f>
        <v>0</v>
      </c>
      <c r="R329" s="56">
        <f t="shared" ca="1" si="41"/>
        <v>0</v>
      </c>
      <c r="S329" s="19">
        <f t="shared" si="43"/>
        <v>0</v>
      </c>
      <c r="T329" s="36" t="str" cm="1">
        <f t="array" aca="1" ref="T329" ca="1">IF(L329&lt;=$P$1,K329,IF(L329&lt;=($P$1+1),INDIRECT("K"&amp;5+$W$2),""))</f>
        <v/>
      </c>
      <c r="U329" s="38">
        <f t="shared" si="44"/>
        <v>27</v>
      </c>
    </row>
    <row r="330" spans="11:21" hidden="1" x14ac:dyDescent="0.25">
      <c r="K330" s="36">
        <f t="shared" ca="1" si="46"/>
        <v>56106</v>
      </c>
      <c r="L330" s="19">
        <v>325</v>
      </c>
      <c r="M330" s="19">
        <f t="shared" si="45"/>
        <v>0</v>
      </c>
      <c r="N330" s="37">
        <f t="shared" si="42"/>
        <v>0</v>
      </c>
      <c r="O330" s="37">
        <f t="shared" si="40"/>
        <v>0</v>
      </c>
      <c r="P330" s="55" cm="1">
        <f t="array" aca="1" ref="P330" ca="1">IF((L330-$C$16)&gt;0, IF($P$1+$C$16&gt;=L330,INDIRECT("M"&amp;(L330-$C$16)+5),0),0)</f>
        <v>0</v>
      </c>
      <c r="Q330" s="56" cm="1">
        <f t="array" aca="1" ref="Q330" ca="1">IF(L330&lt;=$C$16,0,IF($W$2&gt;=L330,IF(L330&lt;=($P$1+$C$16),INDIRECT("N"&amp;(L330-$C$16)+5),FV(SRate,L330-$P$1-$C$16,0,-$W$1,1)),0))</f>
        <v>0</v>
      </c>
      <c r="R330" s="56">
        <f t="shared" ca="1" si="41"/>
        <v>0</v>
      </c>
      <c r="S330" s="19">
        <f t="shared" si="43"/>
        <v>0</v>
      </c>
      <c r="T330" s="36" t="str" cm="1">
        <f t="array" aca="1" ref="T330" ca="1">IF(L330&lt;=$P$1,K330,IF(L330&lt;=($P$1+1),INDIRECT("K"&amp;5+$W$2),""))</f>
        <v/>
      </c>
      <c r="U330" s="38">
        <f t="shared" si="44"/>
        <v>28</v>
      </c>
    </row>
    <row r="331" spans="11:21" hidden="1" x14ac:dyDescent="0.25">
      <c r="K331" s="36">
        <f t="shared" ca="1" si="46"/>
        <v>56137</v>
      </c>
      <c r="L331" s="19">
        <v>326</v>
      </c>
      <c r="M331" s="19">
        <f t="shared" si="45"/>
        <v>0</v>
      </c>
      <c r="N331" s="37">
        <f t="shared" si="42"/>
        <v>0</v>
      </c>
      <c r="O331" s="37">
        <f t="shared" si="40"/>
        <v>0</v>
      </c>
      <c r="P331" s="55" cm="1">
        <f t="array" aca="1" ref="P331" ca="1">IF((L331-$C$16)&gt;0, IF($P$1+$C$16&gt;=L331,INDIRECT("M"&amp;(L331-$C$16)+5),0),0)</f>
        <v>0</v>
      </c>
      <c r="Q331" s="56" cm="1">
        <f t="array" aca="1" ref="Q331" ca="1">IF(L331&lt;=$C$16,0,IF($W$2&gt;=L331,IF(L331&lt;=($P$1+$C$16),INDIRECT("N"&amp;(L331-$C$16)+5),FV(SRate,L331-$P$1-$C$16,0,-$W$1,1)),0))</f>
        <v>0</v>
      </c>
      <c r="R331" s="56">
        <f t="shared" ca="1" si="41"/>
        <v>0</v>
      </c>
      <c r="S331" s="19">
        <f t="shared" si="43"/>
        <v>0</v>
      </c>
      <c r="T331" s="36" t="str" cm="1">
        <f t="array" aca="1" ref="T331" ca="1">IF(L331&lt;=$P$1,K331,IF(L331&lt;=($P$1+1),INDIRECT("K"&amp;5+$W$2),""))</f>
        <v/>
      </c>
      <c r="U331" s="38">
        <f t="shared" si="44"/>
        <v>28</v>
      </c>
    </row>
    <row r="332" spans="11:21" hidden="1" x14ac:dyDescent="0.25">
      <c r="K332" s="36">
        <f t="shared" ca="1" si="46"/>
        <v>56167</v>
      </c>
      <c r="L332" s="19">
        <v>327</v>
      </c>
      <c r="M332" s="19">
        <f t="shared" si="45"/>
        <v>0</v>
      </c>
      <c r="N332" s="37">
        <f t="shared" si="42"/>
        <v>0</v>
      </c>
      <c r="O332" s="37">
        <f t="shared" si="40"/>
        <v>0</v>
      </c>
      <c r="P332" s="55" cm="1">
        <f t="array" aca="1" ref="P332" ca="1">IF((L332-$C$16)&gt;0, IF($P$1+$C$16&gt;=L332,INDIRECT("M"&amp;(L332-$C$16)+5),0),0)</f>
        <v>0</v>
      </c>
      <c r="Q332" s="56" cm="1">
        <f t="array" aca="1" ref="Q332" ca="1">IF(L332&lt;=$C$16,0,IF($W$2&gt;=L332,IF(L332&lt;=($P$1+$C$16),INDIRECT("N"&amp;(L332-$C$16)+5),FV(SRate,L332-$P$1-$C$16,0,-$W$1,1)),0))</f>
        <v>0</v>
      </c>
      <c r="R332" s="56">
        <f t="shared" ca="1" si="41"/>
        <v>0</v>
      </c>
      <c r="S332" s="19">
        <f t="shared" si="43"/>
        <v>0</v>
      </c>
      <c r="T332" s="36" t="str" cm="1">
        <f t="array" aca="1" ref="T332" ca="1">IF(L332&lt;=$P$1,K332,IF(L332&lt;=($P$1+1),INDIRECT("K"&amp;5+$W$2),""))</f>
        <v/>
      </c>
      <c r="U332" s="38">
        <f t="shared" si="44"/>
        <v>28</v>
      </c>
    </row>
    <row r="333" spans="11:21" hidden="1" x14ac:dyDescent="0.25">
      <c r="K333" s="36">
        <f t="shared" ca="1" si="46"/>
        <v>56198</v>
      </c>
      <c r="L333" s="19">
        <v>328</v>
      </c>
      <c r="M333" s="19">
        <f t="shared" si="45"/>
        <v>0</v>
      </c>
      <c r="N333" s="37">
        <f t="shared" si="42"/>
        <v>0</v>
      </c>
      <c r="O333" s="37">
        <f t="shared" si="40"/>
        <v>0</v>
      </c>
      <c r="P333" s="55" cm="1">
        <f t="array" aca="1" ref="P333" ca="1">IF((L333-$C$16)&gt;0, IF($P$1+$C$16&gt;=L333,INDIRECT("M"&amp;(L333-$C$16)+5),0),0)</f>
        <v>0</v>
      </c>
      <c r="Q333" s="56" cm="1">
        <f t="array" aca="1" ref="Q333" ca="1">IF(L333&lt;=$C$16,0,IF($W$2&gt;=L333,IF(L333&lt;=($P$1+$C$16),INDIRECT("N"&amp;(L333-$C$16)+5),FV(SRate,L333-$P$1-$C$16,0,-$W$1,1)),0))</f>
        <v>0</v>
      </c>
      <c r="R333" s="56">
        <f t="shared" ca="1" si="41"/>
        <v>0</v>
      </c>
      <c r="S333" s="19">
        <f t="shared" si="43"/>
        <v>0</v>
      </c>
      <c r="T333" s="36" t="str" cm="1">
        <f t="array" aca="1" ref="T333" ca="1">IF(L333&lt;=$P$1,K333,IF(L333&lt;=($P$1+1),INDIRECT("K"&amp;5+$W$2),""))</f>
        <v/>
      </c>
      <c r="U333" s="38">
        <f t="shared" si="44"/>
        <v>28</v>
      </c>
    </row>
    <row r="334" spans="11:21" hidden="1" x14ac:dyDescent="0.25">
      <c r="K334" s="36">
        <f t="shared" ca="1" si="46"/>
        <v>56228</v>
      </c>
      <c r="L334" s="19">
        <v>329</v>
      </c>
      <c r="M334" s="19">
        <f t="shared" si="45"/>
        <v>0</v>
      </c>
      <c r="N334" s="37">
        <f t="shared" si="42"/>
        <v>0</v>
      </c>
      <c r="O334" s="37">
        <f t="shared" si="40"/>
        <v>0</v>
      </c>
      <c r="P334" s="55" cm="1">
        <f t="array" aca="1" ref="P334" ca="1">IF((L334-$C$16)&gt;0, IF($P$1+$C$16&gt;=L334,INDIRECT("M"&amp;(L334-$C$16)+5),0),0)</f>
        <v>0</v>
      </c>
      <c r="Q334" s="56" cm="1">
        <f t="array" aca="1" ref="Q334" ca="1">IF(L334&lt;=$C$16,0,IF($W$2&gt;=L334,IF(L334&lt;=($P$1+$C$16),INDIRECT("N"&amp;(L334-$C$16)+5),FV(SRate,L334-$P$1-$C$16,0,-$W$1,1)),0))</f>
        <v>0</v>
      </c>
      <c r="R334" s="56">
        <f t="shared" ca="1" si="41"/>
        <v>0</v>
      </c>
      <c r="S334" s="19">
        <f t="shared" si="43"/>
        <v>0</v>
      </c>
      <c r="T334" s="36" t="str" cm="1">
        <f t="array" aca="1" ref="T334" ca="1">IF(L334&lt;=$P$1,K334,IF(L334&lt;=($P$1+1),INDIRECT("K"&amp;5+$W$2),""))</f>
        <v/>
      </c>
      <c r="U334" s="38">
        <f t="shared" si="44"/>
        <v>28</v>
      </c>
    </row>
    <row r="335" spans="11:21" hidden="1" x14ac:dyDescent="0.25">
      <c r="K335" s="36">
        <f t="shared" ca="1" si="46"/>
        <v>56259</v>
      </c>
      <c r="L335" s="19">
        <v>330</v>
      </c>
      <c r="M335" s="19">
        <f t="shared" si="45"/>
        <v>0</v>
      </c>
      <c r="N335" s="37">
        <f t="shared" si="42"/>
        <v>0</v>
      </c>
      <c r="O335" s="37">
        <f t="shared" si="40"/>
        <v>0</v>
      </c>
      <c r="P335" s="55" cm="1">
        <f t="array" aca="1" ref="P335" ca="1">IF((L335-$C$16)&gt;0, IF($P$1+$C$16&gt;=L335,INDIRECT("M"&amp;(L335-$C$16)+5),0),0)</f>
        <v>0</v>
      </c>
      <c r="Q335" s="56" cm="1">
        <f t="array" aca="1" ref="Q335" ca="1">IF(L335&lt;=$C$16,0,IF($W$2&gt;=L335,IF(L335&lt;=($P$1+$C$16),INDIRECT("N"&amp;(L335-$C$16)+5),FV(SRate,L335-$P$1-$C$16,0,-$W$1,1)),0))</f>
        <v>0</v>
      </c>
      <c r="R335" s="56">
        <f t="shared" ca="1" si="41"/>
        <v>0</v>
      </c>
      <c r="S335" s="19">
        <f t="shared" si="43"/>
        <v>0</v>
      </c>
      <c r="T335" s="36" t="str" cm="1">
        <f t="array" aca="1" ref="T335" ca="1">IF(L335&lt;=$P$1,K335,IF(L335&lt;=($P$1+1),INDIRECT("K"&amp;5+$W$2),""))</f>
        <v/>
      </c>
      <c r="U335" s="38">
        <f t="shared" si="44"/>
        <v>28</v>
      </c>
    </row>
    <row r="336" spans="11:21" hidden="1" x14ac:dyDescent="0.25">
      <c r="K336" s="36">
        <f t="shared" ca="1" si="46"/>
        <v>56290</v>
      </c>
      <c r="L336" s="19">
        <v>331</v>
      </c>
      <c r="M336" s="19">
        <f t="shared" si="45"/>
        <v>0</v>
      </c>
      <c r="N336" s="37">
        <f t="shared" si="42"/>
        <v>0</v>
      </c>
      <c r="O336" s="37">
        <f t="shared" si="40"/>
        <v>0</v>
      </c>
      <c r="P336" s="55" cm="1">
        <f t="array" aca="1" ref="P336" ca="1">IF((L336-$C$16)&gt;0, IF($P$1+$C$16&gt;=L336,INDIRECT("M"&amp;(L336-$C$16)+5),0),0)</f>
        <v>0</v>
      </c>
      <c r="Q336" s="56" cm="1">
        <f t="array" aca="1" ref="Q336" ca="1">IF(L336&lt;=$C$16,0,IF($W$2&gt;=L336,IF(L336&lt;=($P$1+$C$16),INDIRECT("N"&amp;(L336-$C$16)+5),FV(SRate,L336-$P$1-$C$16,0,-$W$1,1)),0))</f>
        <v>0</v>
      </c>
      <c r="R336" s="56">
        <f t="shared" ca="1" si="41"/>
        <v>0</v>
      </c>
      <c r="S336" s="19">
        <f t="shared" si="43"/>
        <v>0</v>
      </c>
      <c r="T336" s="36" t="str" cm="1">
        <f t="array" aca="1" ref="T336" ca="1">IF(L336&lt;=$P$1,K336,IF(L336&lt;=($P$1+1),INDIRECT("K"&amp;5+$W$2),""))</f>
        <v/>
      </c>
      <c r="U336" s="38">
        <f t="shared" si="44"/>
        <v>28</v>
      </c>
    </row>
    <row r="337" spans="11:21" hidden="1" x14ac:dyDescent="0.25">
      <c r="K337" s="36">
        <f t="shared" ca="1" si="46"/>
        <v>56318</v>
      </c>
      <c r="L337" s="19">
        <v>332</v>
      </c>
      <c r="M337" s="19">
        <f t="shared" si="45"/>
        <v>0</v>
      </c>
      <c r="N337" s="37">
        <f t="shared" si="42"/>
        <v>0</v>
      </c>
      <c r="O337" s="37">
        <f t="shared" si="40"/>
        <v>0</v>
      </c>
      <c r="P337" s="55" cm="1">
        <f t="array" aca="1" ref="P337" ca="1">IF((L337-$C$16)&gt;0, IF($P$1+$C$16&gt;=L337,INDIRECT("M"&amp;(L337-$C$16)+5),0),0)</f>
        <v>0</v>
      </c>
      <c r="Q337" s="56" cm="1">
        <f t="array" aca="1" ref="Q337" ca="1">IF(L337&lt;=$C$16,0,IF($W$2&gt;=L337,IF(L337&lt;=($P$1+$C$16),INDIRECT("N"&amp;(L337-$C$16)+5),FV(SRate,L337-$P$1-$C$16,0,-$W$1,1)),0))</f>
        <v>0</v>
      </c>
      <c r="R337" s="56">
        <f t="shared" ca="1" si="41"/>
        <v>0</v>
      </c>
      <c r="S337" s="19">
        <f t="shared" si="43"/>
        <v>0</v>
      </c>
      <c r="T337" s="36" t="str" cm="1">
        <f t="array" aca="1" ref="T337" ca="1">IF(L337&lt;=$P$1,K337,IF(L337&lt;=($P$1+1),INDIRECT("K"&amp;5+$W$2),""))</f>
        <v/>
      </c>
      <c r="U337" s="38">
        <f t="shared" si="44"/>
        <v>28</v>
      </c>
    </row>
    <row r="338" spans="11:21" hidden="1" x14ac:dyDescent="0.25">
      <c r="K338" s="36">
        <f t="shared" ca="1" si="46"/>
        <v>56349</v>
      </c>
      <c r="L338" s="19">
        <v>333</v>
      </c>
      <c r="M338" s="19">
        <f t="shared" si="45"/>
        <v>0</v>
      </c>
      <c r="N338" s="37">
        <f t="shared" si="42"/>
        <v>0</v>
      </c>
      <c r="O338" s="37">
        <f t="shared" si="40"/>
        <v>0</v>
      </c>
      <c r="P338" s="55" cm="1">
        <f t="array" aca="1" ref="P338" ca="1">IF((L338-$C$16)&gt;0, IF($P$1+$C$16&gt;=L338,INDIRECT("M"&amp;(L338-$C$16)+5),0),0)</f>
        <v>0</v>
      </c>
      <c r="Q338" s="56" cm="1">
        <f t="array" aca="1" ref="Q338" ca="1">IF(L338&lt;=$C$16,0,IF($W$2&gt;=L338,IF(L338&lt;=($P$1+$C$16),INDIRECT("N"&amp;(L338-$C$16)+5),FV(SRate,L338-$P$1-$C$16,0,-$W$1,1)),0))</f>
        <v>0</v>
      </c>
      <c r="R338" s="56">
        <f t="shared" ca="1" si="41"/>
        <v>0</v>
      </c>
      <c r="S338" s="19">
        <f t="shared" si="43"/>
        <v>0</v>
      </c>
      <c r="T338" s="36" t="str" cm="1">
        <f t="array" aca="1" ref="T338" ca="1">IF(L338&lt;=$P$1,K338,IF(L338&lt;=($P$1+1),INDIRECT("K"&amp;5+$W$2),""))</f>
        <v/>
      </c>
      <c r="U338" s="38">
        <f t="shared" si="44"/>
        <v>28</v>
      </c>
    </row>
    <row r="339" spans="11:21" hidden="1" x14ac:dyDescent="0.25">
      <c r="K339" s="36">
        <f t="shared" ca="1" si="46"/>
        <v>56379</v>
      </c>
      <c r="L339" s="19">
        <v>334</v>
      </c>
      <c r="M339" s="19">
        <f t="shared" si="45"/>
        <v>0</v>
      </c>
      <c r="N339" s="37">
        <f t="shared" si="42"/>
        <v>0</v>
      </c>
      <c r="O339" s="37">
        <f t="shared" si="40"/>
        <v>0</v>
      </c>
      <c r="P339" s="55" cm="1">
        <f t="array" aca="1" ref="P339" ca="1">IF((L339-$C$16)&gt;0, IF($P$1+$C$16&gt;=L339,INDIRECT("M"&amp;(L339-$C$16)+5),0),0)</f>
        <v>0</v>
      </c>
      <c r="Q339" s="56" cm="1">
        <f t="array" aca="1" ref="Q339" ca="1">IF(L339&lt;=$C$16,0,IF($W$2&gt;=L339,IF(L339&lt;=($P$1+$C$16),INDIRECT("N"&amp;(L339-$C$16)+5),FV(SRate,L339-$P$1-$C$16,0,-$W$1,1)),0))</f>
        <v>0</v>
      </c>
      <c r="R339" s="56">
        <f t="shared" ca="1" si="41"/>
        <v>0</v>
      </c>
      <c r="S339" s="19">
        <f t="shared" si="43"/>
        <v>0</v>
      </c>
      <c r="T339" s="36" t="str" cm="1">
        <f t="array" aca="1" ref="T339" ca="1">IF(L339&lt;=$P$1,K339,IF(L339&lt;=($P$1+1),INDIRECT("K"&amp;5+$W$2),""))</f>
        <v/>
      </c>
      <c r="U339" s="38">
        <f t="shared" si="44"/>
        <v>28</v>
      </c>
    </row>
    <row r="340" spans="11:21" hidden="1" x14ac:dyDescent="0.25">
      <c r="K340" s="36">
        <f t="shared" ca="1" si="46"/>
        <v>56410</v>
      </c>
      <c r="L340" s="19">
        <v>335</v>
      </c>
      <c r="M340" s="19">
        <f t="shared" si="45"/>
        <v>0</v>
      </c>
      <c r="N340" s="37">
        <f t="shared" si="42"/>
        <v>0</v>
      </c>
      <c r="O340" s="37">
        <f t="shared" si="40"/>
        <v>0</v>
      </c>
      <c r="P340" s="55" cm="1">
        <f t="array" aca="1" ref="P340" ca="1">IF((L340-$C$16)&gt;0, IF($P$1+$C$16&gt;=L340,INDIRECT("M"&amp;(L340-$C$16)+5),0),0)</f>
        <v>0</v>
      </c>
      <c r="Q340" s="56" cm="1">
        <f t="array" aca="1" ref="Q340" ca="1">IF(L340&lt;=$C$16,0,IF($W$2&gt;=L340,IF(L340&lt;=($P$1+$C$16),INDIRECT("N"&amp;(L340-$C$16)+5),FV(SRate,L340-$P$1-$C$16,0,-$W$1,1)),0))</f>
        <v>0</v>
      </c>
      <c r="R340" s="56">
        <f t="shared" ca="1" si="41"/>
        <v>0</v>
      </c>
      <c r="S340" s="19">
        <f t="shared" si="43"/>
        <v>0</v>
      </c>
      <c r="T340" s="36" t="str" cm="1">
        <f t="array" aca="1" ref="T340" ca="1">IF(L340&lt;=$P$1,K340,IF(L340&lt;=($P$1+1),INDIRECT("K"&amp;5+$W$2),""))</f>
        <v/>
      </c>
      <c r="U340" s="38">
        <f t="shared" si="44"/>
        <v>28</v>
      </c>
    </row>
    <row r="341" spans="11:21" hidden="1" x14ac:dyDescent="0.25">
      <c r="K341" s="36">
        <f t="shared" ca="1" si="46"/>
        <v>56440</v>
      </c>
      <c r="L341" s="19">
        <v>336</v>
      </c>
      <c r="M341" s="19">
        <f t="shared" si="45"/>
        <v>0</v>
      </c>
      <c r="N341" s="37">
        <f t="shared" si="42"/>
        <v>0</v>
      </c>
      <c r="O341" s="37">
        <f t="shared" si="40"/>
        <v>0</v>
      </c>
      <c r="P341" s="55" cm="1">
        <f t="array" aca="1" ref="P341" ca="1">IF((L341-$C$16)&gt;0, IF($P$1+$C$16&gt;=L341,INDIRECT("M"&amp;(L341-$C$16)+5),0),0)</f>
        <v>0</v>
      </c>
      <c r="Q341" s="56" cm="1">
        <f t="array" aca="1" ref="Q341" ca="1">IF(L341&lt;=$C$16,0,IF($W$2&gt;=L341,IF(L341&lt;=($P$1+$C$16),INDIRECT("N"&amp;(L341-$C$16)+5),FV(SRate,L341-$P$1-$C$16,0,-$W$1,1)),0))</f>
        <v>0</v>
      </c>
      <c r="R341" s="56">
        <f t="shared" ca="1" si="41"/>
        <v>0</v>
      </c>
      <c r="S341" s="19">
        <f t="shared" si="43"/>
        <v>0</v>
      </c>
      <c r="T341" s="36" t="str" cm="1">
        <f t="array" aca="1" ref="T341" ca="1">IF(L341&lt;=$P$1,K341,IF(L341&lt;=($P$1+1),INDIRECT("K"&amp;5+$W$2),""))</f>
        <v/>
      </c>
      <c r="U341" s="38">
        <f t="shared" si="44"/>
        <v>28</v>
      </c>
    </row>
    <row r="342" spans="11:21" hidden="1" x14ac:dyDescent="0.25">
      <c r="K342" s="36">
        <f t="shared" ca="1" si="46"/>
        <v>56471</v>
      </c>
      <c r="L342" s="19">
        <v>337</v>
      </c>
      <c r="M342" s="19">
        <f t="shared" si="45"/>
        <v>0</v>
      </c>
      <c r="N342" s="37">
        <f t="shared" si="42"/>
        <v>0</v>
      </c>
      <c r="O342" s="37">
        <f t="shared" si="40"/>
        <v>0</v>
      </c>
      <c r="P342" s="55" cm="1">
        <f t="array" aca="1" ref="P342" ca="1">IF((L342-$C$16)&gt;0, IF($P$1+$C$16&gt;=L342,INDIRECT("M"&amp;(L342-$C$16)+5),0),0)</f>
        <v>0</v>
      </c>
      <c r="Q342" s="56" cm="1">
        <f t="array" aca="1" ref="Q342" ca="1">IF(L342&lt;=$C$16,0,IF($W$2&gt;=L342,IF(L342&lt;=($P$1+$C$16),INDIRECT("N"&amp;(L342-$C$16)+5),FV(SRate,L342-$P$1-$C$16,0,-$W$1,1)),0))</f>
        <v>0</v>
      </c>
      <c r="R342" s="56">
        <f t="shared" ca="1" si="41"/>
        <v>0</v>
      </c>
      <c r="S342" s="19">
        <f t="shared" si="43"/>
        <v>0</v>
      </c>
      <c r="T342" s="36" t="str" cm="1">
        <f t="array" aca="1" ref="T342" ca="1">IF(L342&lt;=$P$1,K342,IF(L342&lt;=($P$1+1),INDIRECT("K"&amp;5+$W$2),""))</f>
        <v/>
      </c>
      <c r="U342" s="38">
        <f t="shared" si="44"/>
        <v>29</v>
      </c>
    </row>
    <row r="343" spans="11:21" hidden="1" x14ac:dyDescent="0.25">
      <c r="K343" s="36">
        <f t="shared" ca="1" si="46"/>
        <v>56502</v>
      </c>
      <c r="L343" s="19">
        <v>338</v>
      </c>
      <c r="M343" s="19">
        <f t="shared" si="45"/>
        <v>0</v>
      </c>
      <c r="N343" s="37">
        <f t="shared" si="42"/>
        <v>0</v>
      </c>
      <c r="O343" s="37">
        <f t="shared" si="40"/>
        <v>0</v>
      </c>
      <c r="P343" s="55" cm="1">
        <f t="array" aca="1" ref="P343" ca="1">IF((L343-$C$16)&gt;0, IF($P$1+$C$16&gt;=L343,INDIRECT("M"&amp;(L343-$C$16)+5),0),0)</f>
        <v>0</v>
      </c>
      <c r="Q343" s="56" cm="1">
        <f t="array" aca="1" ref="Q343" ca="1">IF(L343&lt;=$C$16,0,IF($W$2&gt;=L343,IF(L343&lt;=($P$1+$C$16),INDIRECT("N"&amp;(L343-$C$16)+5),FV(SRate,L343-$P$1-$C$16,0,-$W$1,1)),0))</f>
        <v>0</v>
      </c>
      <c r="R343" s="56">
        <f t="shared" ca="1" si="41"/>
        <v>0</v>
      </c>
      <c r="S343" s="19">
        <f t="shared" si="43"/>
        <v>0</v>
      </c>
      <c r="T343" s="36" t="str" cm="1">
        <f t="array" aca="1" ref="T343" ca="1">IF(L343&lt;=$P$1,K343,IF(L343&lt;=($P$1+1),INDIRECT("K"&amp;5+$W$2),""))</f>
        <v/>
      </c>
      <c r="U343" s="38">
        <f t="shared" si="44"/>
        <v>29</v>
      </c>
    </row>
    <row r="344" spans="11:21" hidden="1" x14ac:dyDescent="0.25">
      <c r="K344" s="36">
        <f t="shared" ca="1" si="46"/>
        <v>56532</v>
      </c>
      <c r="L344" s="19">
        <v>339</v>
      </c>
      <c r="M344" s="19">
        <f t="shared" si="45"/>
        <v>0</v>
      </c>
      <c r="N344" s="37">
        <f t="shared" si="42"/>
        <v>0</v>
      </c>
      <c r="O344" s="37">
        <f t="shared" si="40"/>
        <v>0</v>
      </c>
      <c r="P344" s="55" cm="1">
        <f t="array" aca="1" ref="P344" ca="1">IF((L344-$C$16)&gt;0, IF($P$1+$C$16&gt;=L344,INDIRECT("M"&amp;(L344-$C$16)+5),0),0)</f>
        <v>0</v>
      </c>
      <c r="Q344" s="56" cm="1">
        <f t="array" aca="1" ref="Q344" ca="1">IF(L344&lt;=$C$16,0,IF($W$2&gt;=L344,IF(L344&lt;=($P$1+$C$16),INDIRECT("N"&amp;(L344-$C$16)+5),FV(SRate,L344-$P$1-$C$16,0,-$W$1,1)),0))</f>
        <v>0</v>
      </c>
      <c r="R344" s="56">
        <f t="shared" ca="1" si="41"/>
        <v>0</v>
      </c>
      <c r="S344" s="19">
        <f t="shared" si="43"/>
        <v>0</v>
      </c>
      <c r="T344" s="36" t="str" cm="1">
        <f t="array" aca="1" ref="T344" ca="1">IF(L344&lt;=$P$1,K344,IF(L344&lt;=($P$1+1),INDIRECT("K"&amp;5+$W$2),""))</f>
        <v/>
      </c>
      <c r="U344" s="38">
        <f t="shared" si="44"/>
        <v>29</v>
      </c>
    </row>
    <row r="345" spans="11:21" hidden="1" x14ac:dyDescent="0.25">
      <c r="K345" s="36">
        <f t="shared" ca="1" si="46"/>
        <v>56563</v>
      </c>
      <c r="L345" s="19">
        <v>340</v>
      </c>
      <c r="M345" s="19">
        <f t="shared" si="45"/>
        <v>0</v>
      </c>
      <c r="N345" s="37">
        <f t="shared" si="42"/>
        <v>0</v>
      </c>
      <c r="O345" s="37">
        <f t="shared" si="40"/>
        <v>0</v>
      </c>
      <c r="P345" s="55" cm="1">
        <f t="array" aca="1" ref="P345" ca="1">IF((L345-$C$16)&gt;0, IF($P$1+$C$16&gt;=L345,INDIRECT("M"&amp;(L345-$C$16)+5),0),0)</f>
        <v>0</v>
      </c>
      <c r="Q345" s="56" cm="1">
        <f t="array" aca="1" ref="Q345" ca="1">IF(L345&lt;=$C$16,0,IF($W$2&gt;=L345,IF(L345&lt;=($P$1+$C$16),INDIRECT("N"&amp;(L345-$C$16)+5),FV(SRate,L345-$P$1-$C$16,0,-$W$1,1)),0))</f>
        <v>0</v>
      </c>
      <c r="R345" s="56">
        <f t="shared" ca="1" si="41"/>
        <v>0</v>
      </c>
      <c r="S345" s="19">
        <f t="shared" si="43"/>
        <v>0</v>
      </c>
      <c r="T345" s="36" t="str" cm="1">
        <f t="array" aca="1" ref="T345" ca="1">IF(L345&lt;=$P$1,K345,IF(L345&lt;=($P$1+1),INDIRECT("K"&amp;5+$W$2),""))</f>
        <v/>
      </c>
      <c r="U345" s="38">
        <f t="shared" si="44"/>
        <v>29</v>
      </c>
    </row>
    <row r="346" spans="11:21" hidden="1" x14ac:dyDescent="0.25">
      <c r="K346" s="36">
        <f t="shared" ca="1" si="46"/>
        <v>56593</v>
      </c>
      <c r="L346" s="19">
        <v>341</v>
      </c>
      <c r="M346" s="19">
        <f t="shared" si="45"/>
        <v>0</v>
      </c>
      <c r="N346" s="37">
        <f t="shared" si="42"/>
        <v>0</v>
      </c>
      <c r="O346" s="37">
        <f t="shared" si="40"/>
        <v>0</v>
      </c>
      <c r="P346" s="55" cm="1">
        <f t="array" aca="1" ref="P346" ca="1">IF((L346-$C$16)&gt;0, IF($P$1+$C$16&gt;=L346,INDIRECT("M"&amp;(L346-$C$16)+5),0),0)</f>
        <v>0</v>
      </c>
      <c r="Q346" s="56" cm="1">
        <f t="array" aca="1" ref="Q346" ca="1">IF(L346&lt;=$C$16,0,IF($W$2&gt;=L346,IF(L346&lt;=($P$1+$C$16),INDIRECT("N"&amp;(L346-$C$16)+5),FV(SRate,L346-$P$1-$C$16,0,-$W$1,1)),0))</f>
        <v>0</v>
      </c>
      <c r="R346" s="56">
        <f t="shared" ca="1" si="41"/>
        <v>0</v>
      </c>
      <c r="S346" s="19">
        <f t="shared" si="43"/>
        <v>0</v>
      </c>
      <c r="T346" s="36" t="str" cm="1">
        <f t="array" aca="1" ref="T346" ca="1">IF(L346&lt;=$P$1,K346,IF(L346&lt;=($P$1+1),INDIRECT("K"&amp;5+$W$2),""))</f>
        <v/>
      </c>
      <c r="U346" s="38">
        <f t="shared" si="44"/>
        <v>29</v>
      </c>
    </row>
    <row r="347" spans="11:21" hidden="1" x14ac:dyDescent="0.25">
      <c r="K347" s="36">
        <f t="shared" ca="1" si="46"/>
        <v>56624</v>
      </c>
      <c r="L347" s="19">
        <v>342</v>
      </c>
      <c r="M347" s="19">
        <f t="shared" si="45"/>
        <v>0</v>
      </c>
      <c r="N347" s="37">
        <f t="shared" si="42"/>
        <v>0</v>
      </c>
      <c r="O347" s="37">
        <f t="shared" si="40"/>
        <v>0</v>
      </c>
      <c r="P347" s="55" cm="1">
        <f t="array" aca="1" ref="P347" ca="1">IF((L347-$C$16)&gt;0, IF($P$1+$C$16&gt;=L347,INDIRECT("M"&amp;(L347-$C$16)+5),0),0)</f>
        <v>0</v>
      </c>
      <c r="Q347" s="56" cm="1">
        <f t="array" aca="1" ref="Q347" ca="1">IF(L347&lt;=$C$16,0,IF($W$2&gt;=L347,IF(L347&lt;=($P$1+$C$16),INDIRECT("N"&amp;(L347-$C$16)+5),FV(SRate,L347-$P$1-$C$16,0,-$W$1,1)),0))</f>
        <v>0</v>
      </c>
      <c r="R347" s="56">
        <f t="shared" ca="1" si="41"/>
        <v>0</v>
      </c>
      <c r="S347" s="19">
        <f t="shared" si="43"/>
        <v>0</v>
      </c>
      <c r="T347" s="36" t="str" cm="1">
        <f t="array" aca="1" ref="T347" ca="1">IF(L347&lt;=$P$1,K347,IF(L347&lt;=($P$1+1),INDIRECT("K"&amp;5+$W$2),""))</f>
        <v/>
      </c>
      <c r="U347" s="38">
        <f t="shared" si="44"/>
        <v>29</v>
      </c>
    </row>
    <row r="348" spans="11:21" hidden="1" x14ac:dyDescent="0.25">
      <c r="K348" s="36">
        <f t="shared" ca="1" si="46"/>
        <v>56655</v>
      </c>
      <c r="L348" s="19">
        <v>343</v>
      </c>
      <c r="M348" s="19">
        <f t="shared" si="45"/>
        <v>0</v>
      </c>
      <c r="N348" s="37">
        <f t="shared" si="42"/>
        <v>0</v>
      </c>
      <c r="O348" s="37">
        <f t="shared" si="40"/>
        <v>0</v>
      </c>
      <c r="P348" s="55" cm="1">
        <f t="array" aca="1" ref="P348" ca="1">IF((L348-$C$16)&gt;0, IF($P$1+$C$16&gt;=L348,INDIRECT("M"&amp;(L348-$C$16)+5),0),0)</f>
        <v>0</v>
      </c>
      <c r="Q348" s="56" cm="1">
        <f t="array" aca="1" ref="Q348" ca="1">IF(L348&lt;=$C$16,0,IF($W$2&gt;=L348,IF(L348&lt;=($P$1+$C$16),INDIRECT("N"&amp;(L348-$C$16)+5),FV(SRate,L348-$P$1-$C$16,0,-$W$1,1)),0))</f>
        <v>0</v>
      </c>
      <c r="R348" s="56">
        <f t="shared" ca="1" si="41"/>
        <v>0</v>
      </c>
      <c r="S348" s="19">
        <f t="shared" si="43"/>
        <v>0</v>
      </c>
      <c r="T348" s="36" t="str" cm="1">
        <f t="array" aca="1" ref="T348" ca="1">IF(L348&lt;=$P$1,K348,IF(L348&lt;=($P$1+1),INDIRECT("K"&amp;5+$W$2),""))</f>
        <v/>
      </c>
      <c r="U348" s="38">
        <f t="shared" si="44"/>
        <v>29</v>
      </c>
    </row>
    <row r="349" spans="11:21" hidden="1" x14ac:dyDescent="0.25">
      <c r="K349" s="36">
        <f t="shared" ca="1" si="46"/>
        <v>56683</v>
      </c>
      <c r="L349" s="19">
        <v>344</v>
      </c>
      <c r="M349" s="19">
        <f t="shared" si="45"/>
        <v>0</v>
      </c>
      <c r="N349" s="37">
        <f t="shared" si="42"/>
        <v>0</v>
      </c>
      <c r="O349" s="37">
        <f t="shared" si="40"/>
        <v>0</v>
      </c>
      <c r="P349" s="55" cm="1">
        <f t="array" aca="1" ref="P349" ca="1">IF((L349-$C$16)&gt;0, IF($P$1+$C$16&gt;=L349,INDIRECT("M"&amp;(L349-$C$16)+5),0),0)</f>
        <v>0</v>
      </c>
      <c r="Q349" s="56" cm="1">
        <f t="array" aca="1" ref="Q349" ca="1">IF(L349&lt;=$C$16,0,IF($W$2&gt;=L349,IF(L349&lt;=($P$1+$C$16),INDIRECT("N"&amp;(L349-$C$16)+5),FV(SRate,L349-$P$1-$C$16,0,-$W$1,1)),0))</f>
        <v>0</v>
      </c>
      <c r="R349" s="56">
        <f t="shared" ca="1" si="41"/>
        <v>0</v>
      </c>
      <c r="S349" s="19">
        <f t="shared" si="43"/>
        <v>0</v>
      </c>
      <c r="T349" s="36" t="str" cm="1">
        <f t="array" aca="1" ref="T349" ca="1">IF(L349&lt;=$P$1,K349,IF(L349&lt;=($P$1+1),INDIRECT("K"&amp;5+$W$2),""))</f>
        <v/>
      </c>
      <c r="U349" s="38">
        <f t="shared" si="44"/>
        <v>29</v>
      </c>
    </row>
    <row r="350" spans="11:21" hidden="1" x14ac:dyDescent="0.25">
      <c r="K350" s="36">
        <f t="shared" ca="1" si="46"/>
        <v>56714</v>
      </c>
      <c r="L350" s="19">
        <v>345</v>
      </c>
      <c r="M350" s="19">
        <f t="shared" si="45"/>
        <v>0</v>
      </c>
      <c r="N350" s="37">
        <f t="shared" si="42"/>
        <v>0</v>
      </c>
      <c r="O350" s="37">
        <f t="shared" si="40"/>
        <v>0</v>
      </c>
      <c r="P350" s="55" cm="1">
        <f t="array" aca="1" ref="P350" ca="1">IF((L350-$C$16)&gt;0, IF($P$1+$C$16&gt;=L350,INDIRECT("M"&amp;(L350-$C$16)+5),0),0)</f>
        <v>0</v>
      </c>
      <c r="Q350" s="56" cm="1">
        <f t="array" aca="1" ref="Q350" ca="1">IF(L350&lt;=$C$16,0,IF($W$2&gt;=L350,IF(L350&lt;=($P$1+$C$16),INDIRECT("N"&amp;(L350-$C$16)+5),FV(SRate,L350-$P$1-$C$16,0,-$W$1,1)),0))</f>
        <v>0</v>
      </c>
      <c r="R350" s="56">
        <f t="shared" ca="1" si="41"/>
        <v>0</v>
      </c>
      <c r="S350" s="19">
        <f t="shared" si="43"/>
        <v>0</v>
      </c>
      <c r="T350" s="36" t="str" cm="1">
        <f t="array" aca="1" ref="T350" ca="1">IF(L350&lt;=$P$1,K350,IF(L350&lt;=($P$1+1),INDIRECT("K"&amp;5+$W$2),""))</f>
        <v/>
      </c>
      <c r="U350" s="38">
        <f t="shared" si="44"/>
        <v>29</v>
      </c>
    </row>
    <row r="351" spans="11:21" hidden="1" x14ac:dyDescent="0.25">
      <c r="K351" s="36">
        <f t="shared" ca="1" si="46"/>
        <v>56744</v>
      </c>
      <c r="L351" s="19">
        <v>346</v>
      </c>
      <c r="M351" s="19">
        <f t="shared" si="45"/>
        <v>0</v>
      </c>
      <c r="N351" s="37">
        <f t="shared" si="42"/>
        <v>0</v>
      </c>
      <c r="O351" s="37">
        <f t="shared" si="40"/>
        <v>0</v>
      </c>
      <c r="P351" s="55" cm="1">
        <f t="array" aca="1" ref="P351" ca="1">IF((L351-$C$16)&gt;0, IF($P$1+$C$16&gt;=L351,INDIRECT("M"&amp;(L351-$C$16)+5),0),0)</f>
        <v>0</v>
      </c>
      <c r="Q351" s="56" cm="1">
        <f t="array" aca="1" ref="Q351" ca="1">IF(L351&lt;=$C$16,0,IF($W$2&gt;=L351,IF(L351&lt;=($P$1+$C$16),INDIRECT("N"&amp;(L351-$C$16)+5),FV(SRate,L351-$P$1-$C$16,0,-$W$1,1)),0))</f>
        <v>0</v>
      </c>
      <c r="R351" s="56">
        <f t="shared" ca="1" si="41"/>
        <v>0</v>
      </c>
      <c r="S351" s="19">
        <f t="shared" si="43"/>
        <v>0</v>
      </c>
      <c r="T351" s="36" t="str" cm="1">
        <f t="array" aca="1" ref="T351" ca="1">IF(L351&lt;=$P$1,K351,IF(L351&lt;=($P$1+1),INDIRECT("K"&amp;5+$W$2),""))</f>
        <v/>
      </c>
      <c r="U351" s="38">
        <f t="shared" si="44"/>
        <v>29</v>
      </c>
    </row>
    <row r="352" spans="11:21" hidden="1" x14ac:dyDescent="0.25">
      <c r="K352" s="36">
        <f t="shared" ca="1" si="46"/>
        <v>56775</v>
      </c>
      <c r="L352" s="19">
        <v>347</v>
      </c>
      <c r="M352" s="19">
        <f t="shared" si="45"/>
        <v>0</v>
      </c>
      <c r="N352" s="37">
        <f t="shared" si="42"/>
        <v>0</v>
      </c>
      <c r="O352" s="37">
        <f t="shared" si="40"/>
        <v>0</v>
      </c>
      <c r="P352" s="55" cm="1">
        <f t="array" aca="1" ref="P352" ca="1">IF((L352-$C$16)&gt;0, IF($P$1+$C$16&gt;=L352,INDIRECT("M"&amp;(L352-$C$16)+5),0),0)</f>
        <v>0</v>
      </c>
      <c r="Q352" s="56" cm="1">
        <f t="array" aca="1" ref="Q352" ca="1">IF(L352&lt;=$C$16,0,IF($W$2&gt;=L352,IF(L352&lt;=($P$1+$C$16),INDIRECT("N"&amp;(L352-$C$16)+5),FV(SRate,L352-$P$1-$C$16,0,-$W$1,1)),0))</f>
        <v>0</v>
      </c>
      <c r="R352" s="56">
        <f t="shared" ca="1" si="41"/>
        <v>0</v>
      </c>
      <c r="S352" s="19">
        <f t="shared" si="43"/>
        <v>0</v>
      </c>
      <c r="T352" s="36" t="str" cm="1">
        <f t="array" aca="1" ref="T352" ca="1">IF(L352&lt;=$P$1,K352,IF(L352&lt;=($P$1+1),INDIRECT("K"&amp;5+$W$2),""))</f>
        <v/>
      </c>
      <c r="U352" s="38">
        <f t="shared" si="44"/>
        <v>29</v>
      </c>
    </row>
    <row r="353" spans="11:21" hidden="1" x14ac:dyDescent="0.25">
      <c r="K353" s="36">
        <f t="shared" ca="1" si="46"/>
        <v>56805</v>
      </c>
      <c r="L353" s="19">
        <v>348</v>
      </c>
      <c r="M353" s="19">
        <f t="shared" si="45"/>
        <v>0</v>
      </c>
      <c r="N353" s="37">
        <f t="shared" si="42"/>
        <v>0</v>
      </c>
      <c r="O353" s="37">
        <f t="shared" si="40"/>
        <v>0</v>
      </c>
      <c r="P353" s="55" cm="1">
        <f t="array" aca="1" ref="P353" ca="1">IF((L353-$C$16)&gt;0, IF($P$1+$C$16&gt;=L353,INDIRECT("M"&amp;(L353-$C$16)+5),0),0)</f>
        <v>0</v>
      </c>
      <c r="Q353" s="56" cm="1">
        <f t="array" aca="1" ref="Q353" ca="1">IF(L353&lt;=$C$16,0,IF($W$2&gt;=L353,IF(L353&lt;=($P$1+$C$16),INDIRECT("N"&amp;(L353-$C$16)+5),FV(SRate,L353-$P$1-$C$16,0,-$W$1,1)),0))</f>
        <v>0</v>
      </c>
      <c r="R353" s="56">
        <f t="shared" ca="1" si="41"/>
        <v>0</v>
      </c>
      <c r="S353" s="19">
        <f t="shared" si="43"/>
        <v>0</v>
      </c>
      <c r="T353" s="36" t="str" cm="1">
        <f t="array" aca="1" ref="T353" ca="1">IF(L353&lt;=$P$1,K353,IF(L353&lt;=($P$1+1),INDIRECT("K"&amp;5+$W$2),""))</f>
        <v/>
      </c>
      <c r="U353" s="38">
        <f t="shared" si="44"/>
        <v>29</v>
      </c>
    </row>
    <row r="354" spans="11:21" hidden="1" x14ac:dyDescent="0.25">
      <c r="K354" s="36">
        <f t="shared" ca="1" si="46"/>
        <v>56836</v>
      </c>
      <c r="L354" s="19">
        <v>349</v>
      </c>
      <c r="M354" s="19">
        <f t="shared" si="45"/>
        <v>0</v>
      </c>
      <c r="N354" s="37">
        <f t="shared" si="42"/>
        <v>0</v>
      </c>
      <c r="O354" s="37">
        <f t="shared" si="40"/>
        <v>0</v>
      </c>
      <c r="P354" s="55" cm="1">
        <f t="array" aca="1" ref="P354" ca="1">IF((L354-$C$16)&gt;0, IF($P$1+$C$16&gt;=L354,INDIRECT("M"&amp;(L354-$C$16)+5),0),0)</f>
        <v>0</v>
      </c>
      <c r="Q354" s="56" cm="1">
        <f t="array" aca="1" ref="Q354" ca="1">IF(L354&lt;=$C$16,0,IF($W$2&gt;=L354,IF(L354&lt;=($P$1+$C$16),INDIRECT("N"&amp;(L354-$C$16)+5),FV(SRate,L354-$P$1-$C$16,0,-$W$1,1)),0))</f>
        <v>0</v>
      </c>
      <c r="R354" s="56">
        <f t="shared" ca="1" si="41"/>
        <v>0</v>
      </c>
      <c r="S354" s="19">
        <f t="shared" si="43"/>
        <v>0</v>
      </c>
      <c r="T354" s="36" t="str" cm="1">
        <f t="array" aca="1" ref="T354" ca="1">IF(L354&lt;=$P$1,K354,IF(L354&lt;=($P$1+1),INDIRECT("K"&amp;5+$W$2),""))</f>
        <v/>
      </c>
      <c r="U354" s="38">
        <f t="shared" si="44"/>
        <v>30</v>
      </c>
    </row>
    <row r="355" spans="11:21" hidden="1" x14ac:dyDescent="0.25">
      <c r="K355" s="36">
        <f t="shared" ca="1" si="46"/>
        <v>56867</v>
      </c>
      <c r="L355" s="19">
        <v>350</v>
      </c>
      <c r="M355" s="19">
        <f t="shared" si="45"/>
        <v>0</v>
      </c>
      <c r="N355" s="37">
        <f t="shared" si="42"/>
        <v>0</v>
      </c>
      <c r="O355" s="37">
        <f t="shared" si="40"/>
        <v>0</v>
      </c>
      <c r="P355" s="55" cm="1">
        <f t="array" aca="1" ref="P355" ca="1">IF((L355-$C$16)&gt;0, IF($P$1+$C$16&gt;=L355,INDIRECT("M"&amp;(L355-$C$16)+5),0),0)</f>
        <v>0</v>
      </c>
      <c r="Q355" s="56" cm="1">
        <f t="array" aca="1" ref="Q355" ca="1">IF(L355&lt;=$C$16,0,IF($W$2&gt;=L355,IF(L355&lt;=($P$1+$C$16),INDIRECT("N"&amp;(L355-$C$16)+5),FV(SRate,L355-$P$1-$C$16,0,-$W$1,1)),0))</f>
        <v>0</v>
      </c>
      <c r="R355" s="56">
        <f t="shared" ca="1" si="41"/>
        <v>0</v>
      </c>
      <c r="S355" s="19">
        <f t="shared" si="43"/>
        <v>0</v>
      </c>
      <c r="T355" s="36" t="str" cm="1">
        <f t="array" aca="1" ref="T355" ca="1">IF(L355&lt;=$P$1,K355,IF(L355&lt;=($P$1+1),INDIRECT("K"&amp;5+$W$2),""))</f>
        <v/>
      </c>
      <c r="U355" s="38">
        <f t="shared" si="44"/>
        <v>30</v>
      </c>
    </row>
    <row r="356" spans="11:21" hidden="1" x14ac:dyDescent="0.25">
      <c r="K356" s="36">
        <f t="shared" ca="1" si="46"/>
        <v>56897</v>
      </c>
      <c r="L356" s="19">
        <v>351</v>
      </c>
      <c r="M356" s="19">
        <f t="shared" si="45"/>
        <v>0</v>
      </c>
      <c r="N356" s="37">
        <f t="shared" si="42"/>
        <v>0</v>
      </c>
      <c r="O356" s="37">
        <f t="shared" si="40"/>
        <v>0</v>
      </c>
      <c r="P356" s="55" cm="1">
        <f t="array" aca="1" ref="P356" ca="1">IF((L356-$C$16)&gt;0, IF($P$1+$C$16&gt;=L356,INDIRECT("M"&amp;(L356-$C$16)+5),0),0)</f>
        <v>0</v>
      </c>
      <c r="Q356" s="56" cm="1">
        <f t="array" aca="1" ref="Q356" ca="1">IF(L356&lt;=$C$16,0,IF($W$2&gt;=L356,IF(L356&lt;=($P$1+$C$16),INDIRECT("N"&amp;(L356-$C$16)+5),FV(SRate,L356-$P$1-$C$16,0,-$W$1,1)),0))</f>
        <v>0</v>
      </c>
      <c r="R356" s="56">
        <f t="shared" ca="1" si="41"/>
        <v>0</v>
      </c>
      <c r="S356" s="19">
        <f t="shared" si="43"/>
        <v>0</v>
      </c>
      <c r="T356" s="36" t="str" cm="1">
        <f t="array" aca="1" ref="T356" ca="1">IF(L356&lt;=$P$1,K356,IF(L356&lt;=($P$1+1),INDIRECT("K"&amp;5+$W$2),""))</f>
        <v/>
      </c>
      <c r="U356" s="38">
        <f t="shared" si="44"/>
        <v>30</v>
      </c>
    </row>
    <row r="357" spans="11:21" hidden="1" x14ac:dyDescent="0.25">
      <c r="K357" s="36">
        <f t="shared" ca="1" si="46"/>
        <v>56928</v>
      </c>
      <c r="L357" s="19">
        <v>352</v>
      </c>
      <c r="M357" s="19">
        <f t="shared" si="45"/>
        <v>0</v>
      </c>
      <c r="N357" s="37">
        <f t="shared" si="42"/>
        <v>0</v>
      </c>
      <c r="O357" s="37">
        <f t="shared" si="40"/>
        <v>0</v>
      </c>
      <c r="P357" s="55" cm="1">
        <f t="array" aca="1" ref="P357" ca="1">IF((L357-$C$16)&gt;0, IF($P$1+$C$16&gt;=L357,INDIRECT("M"&amp;(L357-$C$16)+5),0),0)</f>
        <v>0</v>
      </c>
      <c r="Q357" s="56" cm="1">
        <f t="array" aca="1" ref="Q357" ca="1">IF(L357&lt;=$C$16,0,IF($W$2&gt;=L357,IF(L357&lt;=($P$1+$C$16),INDIRECT("N"&amp;(L357-$C$16)+5),FV(SRate,L357-$P$1-$C$16,0,-$W$1,1)),0))</f>
        <v>0</v>
      </c>
      <c r="R357" s="56">
        <f t="shared" ca="1" si="41"/>
        <v>0</v>
      </c>
      <c r="S357" s="19">
        <f t="shared" si="43"/>
        <v>0</v>
      </c>
      <c r="T357" s="36" t="str" cm="1">
        <f t="array" aca="1" ref="T357" ca="1">IF(L357&lt;=$P$1,K357,IF(L357&lt;=($P$1+1),INDIRECT("K"&amp;5+$W$2),""))</f>
        <v/>
      </c>
      <c r="U357" s="38">
        <f t="shared" si="44"/>
        <v>30</v>
      </c>
    </row>
    <row r="358" spans="11:21" hidden="1" x14ac:dyDescent="0.25">
      <c r="K358" s="36">
        <f t="shared" ca="1" si="46"/>
        <v>56958</v>
      </c>
      <c r="L358" s="19">
        <v>353</v>
      </c>
      <c r="M358" s="19">
        <f t="shared" si="45"/>
        <v>0</v>
      </c>
      <c r="N358" s="37">
        <f t="shared" si="42"/>
        <v>0</v>
      </c>
      <c r="O358" s="37">
        <f t="shared" si="40"/>
        <v>0</v>
      </c>
      <c r="P358" s="55" cm="1">
        <f t="array" aca="1" ref="P358" ca="1">IF((L358-$C$16)&gt;0, IF($P$1+$C$16&gt;=L358,INDIRECT("M"&amp;(L358-$C$16)+5),0),0)</f>
        <v>0</v>
      </c>
      <c r="Q358" s="56" cm="1">
        <f t="array" aca="1" ref="Q358" ca="1">IF(L358&lt;=$C$16,0,IF($W$2&gt;=L358,IF(L358&lt;=($P$1+$C$16),INDIRECT("N"&amp;(L358-$C$16)+5),FV(SRate,L358-$P$1-$C$16,0,-$W$1,1)),0))</f>
        <v>0</v>
      </c>
      <c r="R358" s="56">
        <f t="shared" ca="1" si="41"/>
        <v>0</v>
      </c>
      <c r="S358" s="19">
        <f t="shared" si="43"/>
        <v>0</v>
      </c>
      <c r="T358" s="36" t="str" cm="1">
        <f t="array" aca="1" ref="T358" ca="1">IF(L358&lt;=$P$1,K358,IF(L358&lt;=($P$1+1),INDIRECT("K"&amp;5+$W$2),""))</f>
        <v/>
      </c>
      <c r="U358" s="38">
        <f t="shared" si="44"/>
        <v>30</v>
      </c>
    </row>
    <row r="359" spans="11:21" hidden="1" x14ac:dyDescent="0.25">
      <c r="K359" s="36">
        <f t="shared" ca="1" si="46"/>
        <v>56989</v>
      </c>
      <c r="L359" s="19">
        <v>354</v>
      </c>
      <c r="M359" s="19">
        <f t="shared" si="45"/>
        <v>0</v>
      </c>
      <c r="N359" s="37">
        <f t="shared" si="42"/>
        <v>0</v>
      </c>
      <c r="O359" s="37">
        <f t="shared" si="40"/>
        <v>0</v>
      </c>
      <c r="P359" s="55" cm="1">
        <f t="array" aca="1" ref="P359" ca="1">IF((L359-$C$16)&gt;0, IF($P$1+$C$16&gt;=L359,INDIRECT("M"&amp;(L359-$C$16)+5),0),0)</f>
        <v>0</v>
      </c>
      <c r="Q359" s="56" cm="1">
        <f t="array" aca="1" ref="Q359" ca="1">IF(L359&lt;=$C$16,0,IF($W$2&gt;=L359,IF(L359&lt;=($P$1+$C$16),INDIRECT("N"&amp;(L359-$C$16)+5),FV(SRate,L359-$P$1-$C$16,0,-$W$1,1)),0))</f>
        <v>0</v>
      </c>
      <c r="R359" s="56">
        <f t="shared" ca="1" si="41"/>
        <v>0</v>
      </c>
      <c r="S359" s="19">
        <f t="shared" si="43"/>
        <v>0</v>
      </c>
      <c r="T359" s="36" t="str" cm="1">
        <f t="array" aca="1" ref="T359" ca="1">IF(L359&lt;=$P$1,K359,IF(L359&lt;=($P$1+1),INDIRECT("K"&amp;5+$W$2),""))</f>
        <v/>
      </c>
      <c r="U359" s="38">
        <f t="shared" si="44"/>
        <v>30</v>
      </c>
    </row>
    <row r="360" spans="11:21" hidden="1" x14ac:dyDescent="0.25">
      <c r="K360" s="36">
        <f t="shared" ca="1" si="46"/>
        <v>57020</v>
      </c>
      <c r="L360" s="19">
        <v>355</v>
      </c>
      <c r="M360" s="19">
        <f t="shared" si="45"/>
        <v>0</v>
      </c>
      <c r="N360" s="37">
        <f t="shared" si="42"/>
        <v>0</v>
      </c>
      <c r="O360" s="37">
        <f t="shared" si="40"/>
        <v>0</v>
      </c>
      <c r="P360" s="55" cm="1">
        <f t="array" aca="1" ref="P360" ca="1">IF((L360-$C$16)&gt;0, IF($P$1+$C$16&gt;=L360,INDIRECT("M"&amp;(L360-$C$16)+5),0),0)</f>
        <v>0</v>
      </c>
      <c r="Q360" s="56" cm="1">
        <f t="array" aca="1" ref="Q360" ca="1">IF(L360&lt;=$C$16,0,IF($W$2&gt;=L360,IF(L360&lt;=($P$1+$C$16),INDIRECT("N"&amp;(L360-$C$16)+5),FV(SRate,L360-$P$1-$C$16,0,-$W$1,1)),0))</f>
        <v>0</v>
      </c>
      <c r="R360" s="56">
        <f t="shared" ca="1" si="41"/>
        <v>0</v>
      </c>
      <c r="S360" s="19">
        <f t="shared" si="43"/>
        <v>0</v>
      </c>
      <c r="T360" s="36" t="str" cm="1">
        <f t="array" aca="1" ref="T360" ca="1">IF(L360&lt;=$P$1,K360,IF(L360&lt;=($P$1+1),INDIRECT("K"&amp;5+$W$2),""))</f>
        <v/>
      </c>
      <c r="U360" s="38">
        <f t="shared" si="44"/>
        <v>30</v>
      </c>
    </row>
    <row r="361" spans="11:21" hidden="1" x14ac:dyDescent="0.25">
      <c r="K361" s="36">
        <f t="shared" ca="1" si="46"/>
        <v>57049</v>
      </c>
      <c r="L361" s="19">
        <v>356</v>
      </c>
      <c r="M361" s="19">
        <f t="shared" si="45"/>
        <v>0</v>
      </c>
      <c r="N361" s="37">
        <f t="shared" si="42"/>
        <v>0</v>
      </c>
      <c r="O361" s="37">
        <f t="shared" si="40"/>
        <v>0</v>
      </c>
      <c r="P361" s="55" cm="1">
        <f t="array" aca="1" ref="P361" ca="1">IF((L361-$C$16)&gt;0, IF($P$1+$C$16&gt;=L361,INDIRECT("M"&amp;(L361-$C$16)+5),0),0)</f>
        <v>0</v>
      </c>
      <c r="Q361" s="56" cm="1">
        <f t="array" aca="1" ref="Q361" ca="1">IF(L361&lt;=$C$16,0,IF($W$2&gt;=L361,IF(L361&lt;=($P$1+$C$16),INDIRECT("N"&amp;(L361-$C$16)+5),FV(SRate,L361-$P$1-$C$16,0,-$W$1,1)),0))</f>
        <v>0</v>
      </c>
      <c r="R361" s="56">
        <f t="shared" ca="1" si="41"/>
        <v>0</v>
      </c>
      <c r="S361" s="19">
        <f t="shared" si="43"/>
        <v>0</v>
      </c>
      <c r="T361" s="36" t="str" cm="1">
        <f t="array" aca="1" ref="T361" ca="1">IF(L361&lt;=$P$1,K361,IF(L361&lt;=($P$1+1),INDIRECT("K"&amp;5+$W$2),""))</f>
        <v/>
      </c>
      <c r="U361" s="38">
        <f t="shared" si="44"/>
        <v>30</v>
      </c>
    </row>
    <row r="362" spans="11:21" hidden="1" x14ac:dyDescent="0.25">
      <c r="K362" s="36">
        <f t="shared" ca="1" si="46"/>
        <v>57080</v>
      </c>
      <c r="L362" s="19">
        <v>357</v>
      </c>
      <c r="M362" s="19">
        <f t="shared" si="45"/>
        <v>0</v>
      </c>
      <c r="N362" s="37">
        <f t="shared" si="42"/>
        <v>0</v>
      </c>
      <c r="O362" s="37">
        <f t="shared" si="40"/>
        <v>0</v>
      </c>
      <c r="P362" s="55" cm="1">
        <f t="array" aca="1" ref="P362" ca="1">IF((L362-$C$16)&gt;0, IF($P$1+$C$16&gt;=L362,INDIRECT("M"&amp;(L362-$C$16)+5),0),0)</f>
        <v>0</v>
      </c>
      <c r="Q362" s="56" cm="1">
        <f t="array" aca="1" ref="Q362" ca="1">IF(L362&lt;=$C$16,0,IF($W$2&gt;=L362,IF(L362&lt;=($P$1+$C$16),INDIRECT("N"&amp;(L362-$C$16)+5),FV(SRate,L362-$P$1-$C$16,0,-$W$1,1)),0))</f>
        <v>0</v>
      </c>
      <c r="R362" s="56">
        <f t="shared" ca="1" si="41"/>
        <v>0</v>
      </c>
      <c r="S362" s="19">
        <f t="shared" si="43"/>
        <v>0</v>
      </c>
      <c r="T362" s="36" t="str" cm="1">
        <f t="array" aca="1" ref="T362" ca="1">IF(L362&lt;=$P$1,K362,IF(L362&lt;=($P$1+1),INDIRECT("K"&amp;5+$W$2),""))</f>
        <v/>
      </c>
      <c r="U362" s="38">
        <f t="shared" si="44"/>
        <v>30</v>
      </c>
    </row>
    <row r="363" spans="11:21" hidden="1" x14ac:dyDescent="0.25">
      <c r="K363" s="36">
        <f t="shared" ca="1" si="46"/>
        <v>57110</v>
      </c>
      <c r="L363" s="19">
        <v>358</v>
      </c>
      <c r="M363" s="19">
        <f t="shared" si="45"/>
        <v>0</v>
      </c>
      <c r="N363" s="37">
        <f t="shared" si="42"/>
        <v>0</v>
      </c>
      <c r="O363" s="37">
        <f t="shared" si="40"/>
        <v>0</v>
      </c>
      <c r="P363" s="55" cm="1">
        <f t="array" aca="1" ref="P363" ca="1">IF((L363-$C$16)&gt;0, IF($P$1+$C$16&gt;=L363,INDIRECT("M"&amp;(L363-$C$16)+5),0),0)</f>
        <v>0</v>
      </c>
      <c r="Q363" s="56" cm="1">
        <f t="array" aca="1" ref="Q363" ca="1">IF(L363&lt;=$C$16,0,IF($W$2&gt;=L363,IF(L363&lt;=($P$1+$C$16),INDIRECT("N"&amp;(L363-$C$16)+5),FV(SRate,L363-$P$1-$C$16,0,-$W$1,1)),0))</f>
        <v>0</v>
      </c>
      <c r="R363" s="56">
        <f t="shared" ca="1" si="41"/>
        <v>0</v>
      </c>
      <c r="S363" s="19">
        <f t="shared" si="43"/>
        <v>0</v>
      </c>
      <c r="T363" s="36" t="str" cm="1">
        <f t="array" aca="1" ref="T363" ca="1">IF(L363&lt;=$P$1,K363,IF(L363&lt;=($P$1+1),INDIRECT("K"&amp;5+$W$2),""))</f>
        <v/>
      </c>
      <c r="U363" s="38">
        <f t="shared" si="44"/>
        <v>30</v>
      </c>
    </row>
    <row r="364" spans="11:21" hidden="1" x14ac:dyDescent="0.25">
      <c r="K364" s="36">
        <f t="shared" ca="1" si="46"/>
        <v>57141</v>
      </c>
      <c r="L364" s="19">
        <v>359</v>
      </c>
      <c r="M364" s="19">
        <f t="shared" si="45"/>
        <v>0</v>
      </c>
      <c r="N364" s="37">
        <f t="shared" si="42"/>
        <v>0</v>
      </c>
      <c r="O364" s="37">
        <f t="shared" si="40"/>
        <v>0</v>
      </c>
      <c r="P364" s="55" cm="1">
        <f t="array" aca="1" ref="P364" ca="1">IF((L364-$C$16)&gt;0, IF($P$1+$C$16&gt;=L364,INDIRECT("M"&amp;(L364-$C$16)+5),0),0)</f>
        <v>0</v>
      </c>
      <c r="Q364" s="56" cm="1">
        <f t="array" aca="1" ref="Q364" ca="1">IF(L364&lt;=$C$16,0,IF($W$2&gt;=L364,IF(L364&lt;=($P$1+$C$16),INDIRECT("N"&amp;(L364-$C$16)+5),FV(SRate,L364-$P$1-$C$16,0,-$W$1,1)),0))</f>
        <v>0</v>
      </c>
      <c r="R364" s="56">
        <f t="shared" ca="1" si="41"/>
        <v>0</v>
      </c>
      <c r="S364" s="19">
        <f t="shared" si="43"/>
        <v>0</v>
      </c>
      <c r="T364" s="36" t="str" cm="1">
        <f t="array" aca="1" ref="T364" ca="1">IF(L364&lt;=$P$1,K364,IF(L364&lt;=($P$1+1),INDIRECT("K"&amp;5+$W$2),""))</f>
        <v/>
      </c>
      <c r="U364" s="38">
        <f t="shared" si="44"/>
        <v>30</v>
      </c>
    </row>
    <row r="365" spans="11:21" hidden="1" x14ac:dyDescent="0.25">
      <c r="K365" s="36">
        <f t="shared" ca="1" si="46"/>
        <v>57171</v>
      </c>
      <c r="L365" s="19">
        <v>360</v>
      </c>
      <c r="M365" s="19">
        <f t="shared" si="45"/>
        <v>0</v>
      </c>
      <c r="N365" s="37">
        <f t="shared" si="42"/>
        <v>0</v>
      </c>
      <c r="O365" s="37">
        <f t="shared" si="40"/>
        <v>0</v>
      </c>
      <c r="P365" s="55" cm="1">
        <f t="array" aca="1" ref="P365" ca="1">IF((L365-$C$16)&gt;0, IF($P$1+$C$16&gt;=L365,INDIRECT("M"&amp;(L365-$C$16)+5),0),0)</f>
        <v>0</v>
      </c>
      <c r="Q365" s="56" cm="1">
        <f t="array" aca="1" ref="Q365" ca="1">IF(L365&lt;=$C$16,0,IF($W$2&gt;=L365,IF(L365&lt;=($P$1+$C$16),INDIRECT("N"&amp;(L365-$C$16)+5),FV(SRate,L365-$P$1-$C$16,0,-$W$1,1)),0))</f>
        <v>0</v>
      </c>
      <c r="R365" s="56">
        <f t="shared" ca="1" si="41"/>
        <v>0</v>
      </c>
      <c r="S365" s="19">
        <f t="shared" si="43"/>
        <v>0</v>
      </c>
      <c r="T365" s="36" t="str" cm="1">
        <f t="array" aca="1" ref="T365" ca="1">IF(L365&lt;=$P$1,K365,IF(L365&lt;=($P$1+1),INDIRECT("K"&amp;5+$W$2),""))</f>
        <v/>
      </c>
      <c r="U365" s="38">
        <f t="shared" si="44"/>
        <v>30</v>
      </c>
    </row>
    <row r="366" spans="11:21" hidden="1" x14ac:dyDescent="0.25">
      <c r="K366" s="36">
        <f t="shared" ca="1" si="46"/>
        <v>57202</v>
      </c>
      <c r="L366" s="19">
        <v>361</v>
      </c>
      <c r="M366" s="19">
        <f t="shared" si="45"/>
        <v>0</v>
      </c>
      <c r="N366" s="37">
        <f t="shared" si="42"/>
        <v>0</v>
      </c>
      <c r="O366" s="37">
        <f t="shared" si="40"/>
        <v>0</v>
      </c>
      <c r="P366" s="55" cm="1">
        <f t="array" aca="1" ref="P366" ca="1">IF((L366-$C$16)&gt;0, IF($P$1+$C$16&gt;=L366,INDIRECT("M"&amp;(L366-$C$16)+5),0),0)</f>
        <v>0</v>
      </c>
      <c r="Q366" s="56" cm="1">
        <f t="array" aca="1" ref="Q366" ca="1">IF(L366&lt;=$C$16,0,IF($W$2&gt;=L366,IF(L366&lt;=($P$1+$C$16),INDIRECT("N"&amp;(L366-$C$16)+5),FV(SRate,L366-$P$1-$C$16,0,-$W$1,1)),0))</f>
        <v>0</v>
      </c>
      <c r="R366" s="56">
        <f t="shared" ca="1" si="41"/>
        <v>0</v>
      </c>
      <c r="S366" s="19">
        <f t="shared" si="43"/>
        <v>0</v>
      </c>
      <c r="T366" s="36" t="str" cm="1">
        <f t="array" aca="1" ref="T366" ca="1">IF(L366&lt;=$P$1,K366,IF(L366&lt;=($P$1+1),INDIRECT("K"&amp;5+$W$2),""))</f>
        <v/>
      </c>
      <c r="U366" s="38">
        <f t="shared" si="44"/>
        <v>31</v>
      </c>
    </row>
    <row r="367" spans="11:21" hidden="1" x14ac:dyDescent="0.25">
      <c r="K367" s="36">
        <f t="shared" ca="1" si="46"/>
        <v>57233</v>
      </c>
      <c r="L367" s="19">
        <v>362</v>
      </c>
      <c r="M367" s="19">
        <f t="shared" si="45"/>
        <v>0</v>
      </c>
      <c r="N367" s="37">
        <f t="shared" si="42"/>
        <v>0</v>
      </c>
      <c r="O367" s="37">
        <f t="shared" si="40"/>
        <v>0</v>
      </c>
      <c r="P367" s="55" cm="1">
        <f t="array" aca="1" ref="P367" ca="1">IF((L367-$C$16)&gt;0, IF($P$1+$C$16&gt;=L367,INDIRECT("M"&amp;(L367-$C$16)+5),0),0)</f>
        <v>0</v>
      </c>
      <c r="Q367" s="56" cm="1">
        <f t="array" aca="1" ref="Q367" ca="1">IF(L367&lt;=$C$16,0,IF($W$2&gt;=L367,IF(L367&lt;=($P$1+$C$16),INDIRECT("N"&amp;(L367-$C$16)+5),FV(SRate,L367-$P$1-$C$16,0,-$W$1,1)),0))</f>
        <v>0</v>
      </c>
      <c r="R367" s="56">
        <f t="shared" ca="1" si="41"/>
        <v>0</v>
      </c>
      <c r="S367" s="19">
        <f t="shared" si="43"/>
        <v>0</v>
      </c>
      <c r="T367" s="36" t="str" cm="1">
        <f t="array" aca="1" ref="T367" ca="1">IF(L367&lt;=$P$1,K367,IF(L367&lt;=($P$1+1),INDIRECT("K"&amp;5+$W$2),""))</f>
        <v/>
      </c>
      <c r="U367" s="38">
        <f t="shared" si="44"/>
        <v>31</v>
      </c>
    </row>
    <row r="368" spans="11:21" hidden="1" x14ac:dyDescent="0.25">
      <c r="K368" s="36">
        <f t="shared" ca="1" si="46"/>
        <v>57263</v>
      </c>
      <c r="L368" s="19">
        <v>363</v>
      </c>
      <c r="M368" s="19">
        <f t="shared" si="45"/>
        <v>0</v>
      </c>
      <c r="N368" s="37">
        <f t="shared" si="42"/>
        <v>0</v>
      </c>
      <c r="O368" s="37">
        <f t="shared" si="40"/>
        <v>0</v>
      </c>
      <c r="P368" s="55" cm="1">
        <f t="array" aca="1" ref="P368" ca="1">IF((L368-$C$16)&gt;0, IF($P$1+$C$16&gt;=L368,INDIRECT("M"&amp;(L368-$C$16)+5),0),0)</f>
        <v>0</v>
      </c>
      <c r="Q368" s="56" cm="1">
        <f t="array" aca="1" ref="Q368" ca="1">IF(L368&lt;=$C$16,0,IF($W$2&gt;=L368,IF(L368&lt;=($P$1+$C$16),INDIRECT("N"&amp;(L368-$C$16)+5),FV(SRate,L368-$P$1-$C$16,0,-$W$1,1)),0))</f>
        <v>0</v>
      </c>
      <c r="R368" s="56">
        <f t="shared" ca="1" si="41"/>
        <v>0</v>
      </c>
      <c r="S368" s="19">
        <f t="shared" si="43"/>
        <v>0</v>
      </c>
      <c r="T368" s="36" t="str" cm="1">
        <f t="array" aca="1" ref="T368" ca="1">IF(L368&lt;=$P$1,K368,IF(L368&lt;=($P$1+1),INDIRECT("K"&amp;5+$W$2),""))</f>
        <v/>
      </c>
      <c r="U368" s="38">
        <f t="shared" si="44"/>
        <v>31</v>
      </c>
    </row>
    <row r="369" spans="11:21" hidden="1" x14ac:dyDescent="0.25">
      <c r="K369" s="36">
        <f t="shared" ca="1" si="46"/>
        <v>57294</v>
      </c>
      <c r="L369" s="19">
        <v>364</v>
      </c>
      <c r="M369" s="19">
        <f t="shared" si="45"/>
        <v>0</v>
      </c>
      <c r="N369" s="37">
        <f t="shared" si="42"/>
        <v>0</v>
      </c>
      <c r="O369" s="37">
        <f t="shared" si="40"/>
        <v>0</v>
      </c>
      <c r="P369" s="55" cm="1">
        <f t="array" aca="1" ref="P369" ca="1">IF((L369-$C$16)&gt;0, IF($P$1+$C$16&gt;=L369,INDIRECT("M"&amp;(L369-$C$16)+5),0),0)</f>
        <v>0</v>
      </c>
      <c r="Q369" s="56" cm="1">
        <f t="array" aca="1" ref="Q369" ca="1">IF(L369&lt;=$C$16,0,IF($W$2&gt;=L369,IF(L369&lt;=($P$1+$C$16),INDIRECT("N"&amp;(L369-$C$16)+5),FV(SRate,L369-$P$1-$C$16,0,-$W$1,1)),0))</f>
        <v>0</v>
      </c>
      <c r="R369" s="56">
        <f t="shared" ca="1" si="41"/>
        <v>0</v>
      </c>
      <c r="S369" s="19">
        <f t="shared" si="43"/>
        <v>0</v>
      </c>
      <c r="T369" s="36" t="str" cm="1">
        <f t="array" aca="1" ref="T369" ca="1">IF(L369&lt;=$P$1,K369,IF(L369&lt;=($P$1+1),INDIRECT("K"&amp;5+$W$2),""))</f>
        <v/>
      </c>
      <c r="U369" s="38">
        <f t="shared" si="44"/>
        <v>31</v>
      </c>
    </row>
    <row r="370" spans="11:21" hidden="1" x14ac:dyDescent="0.25">
      <c r="K370" s="36">
        <f t="shared" ca="1" si="46"/>
        <v>57324</v>
      </c>
      <c r="L370" s="19">
        <v>365</v>
      </c>
      <c r="M370" s="19">
        <f t="shared" si="45"/>
        <v>0</v>
      </c>
      <c r="N370" s="37">
        <f t="shared" si="42"/>
        <v>0</v>
      </c>
      <c r="O370" s="37">
        <f t="shared" si="40"/>
        <v>0</v>
      </c>
      <c r="P370" s="55" cm="1">
        <f t="array" aca="1" ref="P370" ca="1">IF((L370-$C$16)&gt;0, IF($P$1+$C$16&gt;=L370,INDIRECT("M"&amp;(L370-$C$16)+5),0),0)</f>
        <v>0</v>
      </c>
      <c r="Q370" s="56" cm="1">
        <f t="array" aca="1" ref="Q370" ca="1">IF(L370&lt;=$C$16,0,IF($W$2&gt;=L370,IF(L370&lt;=($P$1+$C$16),INDIRECT("N"&amp;(L370-$C$16)+5),FV(SRate,L370-$P$1-$C$16,0,-$W$1,1)),0))</f>
        <v>0</v>
      </c>
      <c r="R370" s="56">
        <f t="shared" ca="1" si="41"/>
        <v>0</v>
      </c>
      <c r="S370" s="19">
        <f t="shared" si="43"/>
        <v>0</v>
      </c>
      <c r="T370" s="36" t="str" cm="1">
        <f t="array" aca="1" ref="T370" ca="1">IF(L370&lt;=$P$1,K370,IF(L370&lt;=($P$1+1),INDIRECT("K"&amp;5+$W$2),""))</f>
        <v/>
      </c>
      <c r="U370" s="38">
        <f t="shared" si="44"/>
        <v>31</v>
      </c>
    </row>
    <row r="371" spans="11:21" hidden="1" x14ac:dyDescent="0.25">
      <c r="K371" s="36">
        <f t="shared" ca="1" si="46"/>
        <v>57355</v>
      </c>
      <c r="L371" s="19">
        <v>366</v>
      </c>
      <c r="M371" s="19">
        <f t="shared" si="45"/>
        <v>0</v>
      </c>
      <c r="N371" s="37">
        <f t="shared" si="42"/>
        <v>0</v>
      </c>
      <c r="O371" s="37">
        <f t="shared" si="40"/>
        <v>0</v>
      </c>
      <c r="P371" s="55" cm="1">
        <f t="array" aca="1" ref="P371" ca="1">IF((L371-$C$16)&gt;0, IF($P$1+$C$16&gt;=L371,INDIRECT("M"&amp;(L371-$C$16)+5),0),0)</f>
        <v>0</v>
      </c>
      <c r="Q371" s="56" cm="1">
        <f t="array" aca="1" ref="Q371" ca="1">IF(L371&lt;=$C$16,0,IF($W$2&gt;=L371,IF(L371&lt;=($P$1+$C$16),INDIRECT("N"&amp;(L371-$C$16)+5),FV(SRate,L371-$P$1-$C$16,0,-$W$1,1)),0))</f>
        <v>0</v>
      </c>
      <c r="R371" s="56">
        <f t="shared" ca="1" si="41"/>
        <v>0</v>
      </c>
      <c r="S371" s="19">
        <f t="shared" si="43"/>
        <v>0</v>
      </c>
      <c r="T371" s="36" t="str" cm="1">
        <f t="array" aca="1" ref="T371" ca="1">IF(L371&lt;=$P$1,K371,IF(L371&lt;=($P$1+1),INDIRECT("K"&amp;5+$W$2),""))</f>
        <v/>
      </c>
      <c r="U371" s="38">
        <f t="shared" si="44"/>
        <v>31</v>
      </c>
    </row>
    <row r="372" spans="11:21" hidden="1" x14ac:dyDescent="0.25">
      <c r="K372" s="36">
        <f t="shared" ca="1" si="46"/>
        <v>57386</v>
      </c>
      <c r="L372" s="19">
        <v>367</v>
      </c>
      <c r="M372" s="19">
        <f t="shared" si="45"/>
        <v>0</v>
      </c>
      <c r="N372" s="37">
        <f t="shared" si="42"/>
        <v>0</v>
      </c>
      <c r="O372" s="37">
        <f t="shared" si="40"/>
        <v>0</v>
      </c>
      <c r="P372" s="55" cm="1">
        <f t="array" aca="1" ref="P372" ca="1">IF((L372-$C$16)&gt;0, IF($P$1+$C$16&gt;=L372,INDIRECT("M"&amp;(L372-$C$16)+5),0),0)</f>
        <v>0</v>
      </c>
      <c r="Q372" s="56" cm="1">
        <f t="array" aca="1" ref="Q372" ca="1">IF(L372&lt;=$C$16,0,IF($W$2&gt;=L372,IF(L372&lt;=($P$1+$C$16),INDIRECT("N"&amp;(L372-$C$16)+5),FV(SRate,L372-$P$1-$C$16,0,-$W$1,1)),0))</f>
        <v>0</v>
      </c>
      <c r="R372" s="56">
        <f t="shared" ca="1" si="41"/>
        <v>0</v>
      </c>
      <c r="S372" s="19">
        <f t="shared" si="43"/>
        <v>0</v>
      </c>
      <c r="T372" s="36" t="str" cm="1">
        <f t="array" aca="1" ref="T372" ca="1">IF(L372&lt;=$P$1,K372,IF(L372&lt;=($P$1+1),INDIRECT("K"&amp;5+$W$2),""))</f>
        <v/>
      </c>
      <c r="U372" s="38">
        <f t="shared" si="44"/>
        <v>31</v>
      </c>
    </row>
    <row r="373" spans="11:21" hidden="1" x14ac:dyDescent="0.25">
      <c r="K373" s="36">
        <f t="shared" ca="1" si="46"/>
        <v>57414</v>
      </c>
      <c r="L373" s="19">
        <v>368</v>
      </c>
      <c r="M373" s="19">
        <f t="shared" si="45"/>
        <v>0</v>
      </c>
      <c r="N373" s="37">
        <f t="shared" si="42"/>
        <v>0</v>
      </c>
      <c r="O373" s="37">
        <f t="shared" si="40"/>
        <v>0</v>
      </c>
      <c r="P373" s="55" cm="1">
        <f t="array" aca="1" ref="P373" ca="1">IF((L373-$C$16)&gt;0, IF($P$1+$C$16&gt;=L373,INDIRECT("M"&amp;(L373-$C$16)+5),0),0)</f>
        <v>0</v>
      </c>
      <c r="Q373" s="56" cm="1">
        <f t="array" aca="1" ref="Q373" ca="1">IF(L373&lt;=$C$16,0,IF($W$2&gt;=L373,IF(L373&lt;=($P$1+$C$16),INDIRECT("N"&amp;(L373-$C$16)+5),FV(SRate,L373-$P$1-$C$16,0,-$W$1,1)),0))</f>
        <v>0</v>
      </c>
      <c r="R373" s="56">
        <f t="shared" ca="1" si="41"/>
        <v>0</v>
      </c>
      <c r="S373" s="19">
        <f t="shared" si="43"/>
        <v>0</v>
      </c>
      <c r="T373" s="36" t="str" cm="1">
        <f t="array" aca="1" ref="T373" ca="1">IF(L373&lt;=$P$1,K373,IF(L373&lt;=($P$1+1),INDIRECT("K"&amp;5+$W$2),""))</f>
        <v/>
      </c>
      <c r="U373" s="38">
        <f t="shared" si="44"/>
        <v>31</v>
      </c>
    </row>
    <row r="374" spans="11:21" hidden="1" x14ac:dyDescent="0.25">
      <c r="K374" s="36">
        <f t="shared" ca="1" si="46"/>
        <v>57445</v>
      </c>
      <c r="L374" s="19">
        <v>369</v>
      </c>
      <c r="M374" s="19">
        <f t="shared" si="45"/>
        <v>0</v>
      </c>
      <c r="N374" s="37">
        <f t="shared" si="42"/>
        <v>0</v>
      </c>
      <c r="O374" s="37">
        <f t="shared" si="40"/>
        <v>0</v>
      </c>
      <c r="P374" s="55" cm="1">
        <f t="array" aca="1" ref="P374" ca="1">IF((L374-$C$16)&gt;0, IF($P$1+$C$16&gt;=L374,INDIRECT("M"&amp;(L374-$C$16)+5),0),0)</f>
        <v>0</v>
      </c>
      <c r="Q374" s="56" cm="1">
        <f t="array" aca="1" ref="Q374" ca="1">IF(L374&lt;=$C$16,0,IF($W$2&gt;=L374,IF(L374&lt;=($P$1+$C$16),INDIRECT("N"&amp;(L374-$C$16)+5),FV(SRate,L374-$P$1-$C$16,0,-$W$1,1)),0))</f>
        <v>0</v>
      </c>
      <c r="R374" s="56">
        <f t="shared" ca="1" si="41"/>
        <v>0</v>
      </c>
      <c r="S374" s="19">
        <f t="shared" si="43"/>
        <v>0</v>
      </c>
      <c r="T374" s="36" t="str" cm="1">
        <f t="array" aca="1" ref="T374" ca="1">IF(L374&lt;=$P$1,K374,IF(L374&lt;=($P$1+1),INDIRECT("K"&amp;5+$W$2),""))</f>
        <v/>
      </c>
      <c r="U374" s="38">
        <f t="shared" si="44"/>
        <v>31</v>
      </c>
    </row>
    <row r="375" spans="11:21" hidden="1" x14ac:dyDescent="0.25">
      <c r="K375" s="36">
        <f t="shared" ca="1" si="46"/>
        <v>57475</v>
      </c>
      <c r="L375" s="19">
        <v>370</v>
      </c>
      <c r="M375" s="19">
        <f t="shared" si="45"/>
        <v>0</v>
      </c>
      <c r="N375" s="37">
        <f t="shared" si="42"/>
        <v>0</v>
      </c>
      <c r="O375" s="37">
        <f t="shared" si="40"/>
        <v>0</v>
      </c>
      <c r="P375" s="55" cm="1">
        <f t="array" aca="1" ref="P375" ca="1">IF((L375-$C$16)&gt;0, IF($P$1+$C$16&gt;=L375,INDIRECT("M"&amp;(L375-$C$16)+5),0),0)</f>
        <v>0</v>
      </c>
      <c r="Q375" s="56" cm="1">
        <f t="array" aca="1" ref="Q375" ca="1">IF(L375&lt;=$C$16,0,IF($W$2&gt;=L375,IF(L375&lt;=($P$1+$C$16),INDIRECT("N"&amp;(L375-$C$16)+5),FV(SRate,L375-$P$1-$C$16,0,-$W$1,1)),0))</f>
        <v>0</v>
      </c>
      <c r="R375" s="56">
        <f t="shared" ca="1" si="41"/>
        <v>0</v>
      </c>
      <c r="S375" s="19">
        <f t="shared" si="43"/>
        <v>0</v>
      </c>
      <c r="T375" s="36" t="str" cm="1">
        <f t="array" aca="1" ref="T375" ca="1">IF(L375&lt;=$P$1,K375,IF(L375&lt;=($P$1+1),INDIRECT("K"&amp;5+$W$2),""))</f>
        <v/>
      </c>
      <c r="U375" s="38">
        <f t="shared" si="44"/>
        <v>31</v>
      </c>
    </row>
    <row r="376" spans="11:21" hidden="1" x14ac:dyDescent="0.25">
      <c r="K376" s="36">
        <f t="shared" ca="1" si="46"/>
        <v>57506</v>
      </c>
      <c r="L376" s="19">
        <v>371</v>
      </c>
      <c r="M376" s="19">
        <f t="shared" si="45"/>
        <v>0</v>
      </c>
      <c r="N376" s="37">
        <f t="shared" si="42"/>
        <v>0</v>
      </c>
      <c r="O376" s="37">
        <f t="shared" si="40"/>
        <v>0</v>
      </c>
      <c r="P376" s="55" cm="1">
        <f t="array" aca="1" ref="P376" ca="1">IF((L376-$C$16)&gt;0, IF($P$1+$C$16&gt;=L376,INDIRECT("M"&amp;(L376-$C$16)+5),0),0)</f>
        <v>0</v>
      </c>
      <c r="Q376" s="56" cm="1">
        <f t="array" aca="1" ref="Q376" ca="1">IF(L376&lt;=$C$16,0,IF($W$2&gt;=L376,IF(L376&lt;=($P$1+$C$16),INDIRECT("N"&amp;(L376-$C$16)+5),FV(SRate,L376-$P$1-$C$16,0,-$W$1,1)),0))</f>
        <v>0</v>
      </c>
      <c r="R376" s="56">
        <f t="shared" ca="1" si="41"/>
        <v>0</v>
      </c>
      <c r="S376" s="19">
        <f t="shared" si="43"/>
        <v>0</v>
      </c>
      <c r="T376" s="36" t="str" cm="1">
        <f t="array" aca="1" ref="T376" ca="1">IF(L376&lt;=$P$1,K376,IF(L376&lt;=($P$1+1),INDIRECT("K"&amp;5+$W$2),""))</f>
        <v/>
      </c>
      <c r="U376" s="38">
        <f t="shared" si="44"/>
        <v>31</v>
      </c>
    </row>
    <row r="377" spans="11:21" hidden="1" x14ac:dyDescent="0.25">
      <c r="K377" s="36">
        <f t="shared" ca="1" si="46"/>
        <v>57536</v>
      </c>
      <c r="L377" s="19">
        <v>372</v>
      </c>
      <c r="M377" s="19">
        <f t="shared" si="45"/>
        <v>0</v>
      </c>
      <c r="N377" s="37">
        <f t="shared" si="42"/>
        <v>0</v>
      </c>
      <c r="O377" s="37">
        <f t="shared" si="40"/>
        <v>0</v>
      </c>
      <c r="P377" s="55" cm="1">
        <f t="array" aca="1" ref="P377" ca="1">IF((L377-$C$16)&gt;0, IF($P$1+$C$16&gt;=L377,INDIRECT("M"&amp;(L377-$C$16)+5),0),0)</f>
        <v>0</v>
      </c>
      <c r="Q377" s="56" cm="1">
        <f t="array" aca="1" ref="Q377" ca="1">IF(L377&lt;=$C$16,0,IF($W$2&gt;=L377,IF(L377&lt;=($P$1+$C$16),INDIRECT("N"&amp;(L377-$C$16)+5),FV(SRate,L377-$P$1-$C$16,0,-$W$1,1)),0))</f>
        <v>0</v>
      </c>
      <c r="R377" s="56">
        <f t="shared" ca="1" si="41"/>
        <v>0</v>
      </c>
      <c r="S377" s="19">
        <f t="shared" si="43"/>
        <v>0</v>
      </c>
      <c r="T377" s="36" t="str" cm="1">
        <f t="array" aca="1" ref="T377" ca="1">IF(L377&lt;=$P$1,K377,IF(L377&lt;=($P$1+1),INDIRECT("K"&amp;5+$W$2),""))</f>
        <v/>
      </c>
      <c r="U377" s="38">
        <f t="shared" si="44"/>
        <v>31</v>
      </c>
    </row>
    <row r="378" spans="11:21" hidden="1" x14ac:dyDescent="0.25">
      <c r="K378" s="36">
        <f t="shared" ca="1" si="46"/>
        <v>57567</v>
      </c>
      <c r="L378" s="19">
        <v>373</v>
      </c>
      <c r="M378" s="19">
        <f t="shared" si="45"/>
        <v>0</v>
      </c>
      <c r="N378" s="37">
        <f t="shared" si="42"/>
        <v>0</v>
      </c>
      <c r="O378" s="37">
        <f t="shared" si="40"/>
        <v>0</v>
      </c>
      <c r="P378" s="55" cm="1">
        <f t="array" aca="1" ref="P378" ca="1">IF((L378-$C$16)&gt;0, IF($P$1+$C$16&gt;=L378,INDIRECT("M"&amp;(L378-$C$16)+5),0),0)</f>
        <v>0</v>
      </c>
      <c r="Q378" s="56" cm="1">
        <f t="array" aca="1" ref="Q378" ca="1">IF(L378&lt;=$C$16,0,IF($W$2&gt;=L378,IF(L378&lt;=($P$1+$C$16),INDIRECT("N"&amp;(L378-$C$16)+5),FV(SRate,L378-$P$1-$C$16,0,-$W$1,1)),0))</f>
        <v>0</v>
      </c>
      <c r="R378" s="56">
        <f t="shared" ca="1" si="41"/>
        <v>0</v>
      </c>
      <c r="S378" s="19">
        <f t="shared" si="43"/>
        <v>0</v>
      </c>
      <c r="T378" s="36" t="str" cm="1">
        <f t="array" aca="1" ref="T378" ca="1">IF(L378&lt;=$P$1,K378,IF(L378&lt;=($P$1+1),INDIRECT("K"&amp;5+$W$2),""))</f>
        <v/>
      </c>
      <c r="U378" s="38">
        <f t="shared" si="44"/>
        <v>32</v>
      </c>
    </row>
    <row r="379" spans="11:21" hidden="1" x14ac:dyDescent="0.25">
      <c r="K379" s="36">
        <f t="shared" ca="1" si="46"/>
        <v>57598</v>
      </c>
      <c r="L379" s="19">
        <v>374</v>
      </c>
      <c r="M379" s="19">
        <f t="shared" si="45"/>
        <v>0</v>
      </c>
      <c r="N379" s="37">
        <f t="shared" si="42"/>
        <v>0</v>
      </c>
      <c r="O379" s="37">
        <f t="shared" si="40"/>
        <v>0</v>
      </c>
      <c r="P379" s="55" cm="1">
        <f t="array" aca="1" ref="P379" ca="1">IF((L379-$C$16)&gt;0, IF($P$1+$C$16&gt;=L379,INDIRECT("M"&amp;(L379-$C$16)+5),0),0)</f>
        <v>0</v>
      </c>
      <c r="Q379" s="56" cm="1">
        <f t="array" aca="1" ref="Q379" ca="1">IF(L379&lt;=$C$16,0,IF($W$2&gt;=L379,IF(L379&lt;=($P$1+$C$16),INDIRECT("N"&amp;(L379-$C$16)+5),FV(SRate,L379-$P$1-$C$16,0,-$W$1,1)),0))</f>
        <v>0</v>
      </c>
      <c r="R379" s="56">
        <f t="shared" ca="1" si="41"/>
        <v>0</v>
      </c>
      <c r="S379" s="19">
        <f t="shared" si="43"/>
        <v>0</v>
      </c>
      <c r="T379" s="36" t="str" cm="1">
        <f t="array" aca="1" ref="T379" ca="1">IF(L379&lt;=$P$1,K379,IF(L379&lt;=($P$1+1),INDIRECT("K"&amp;5+$W$2),""))</f>
        <v/>
      </c>
      <c r="U379" s="38">
        <f t="shared" si="44"/>
        <v>32</v>
      </c>
    </row>
    <row r="380" spans="11:21" hidden="1" x14ac:dyDescent="0.25">
      <c r="K380" s="36">
        <f t="shared" ca="1" si="46"/>
        <v>57628</v>
      </c>
      <c r="L380" s="19">
        <v>375</v>
      </c>
      <c r="M380" s="19">
        <f t="shared" si="45"/>
        <v>0</v>
      </c>
      <c r="N380" s="37">
        <f t="shared" si="42"/>
        <v>0</v>
      </c>
      <c r="O380" s="37">
        <f t="shared" si="40"/>
        <v>0</v>
      </c>
      <c r="P380" s="55" cm="1">
        <f t="array" aca="1" ref="P380" ca="1">IF((L380-$C$16)&gt;0, IF($P$1+$C$16&gt;=L380,INDIRECT("M"&amp;(L380-$C$16)+5),0),0)</f>
        <v>0</v>
      </c>
      <c r="Q380" s="56" cm="1">
        <f t="array" aca="1" ref="Q380" ca="1">IF(L380&lt;=$C$16,0,IF($W$2&gt;=L380,IF(L380&lt;=($P$1+$C$16),INDIRECT("N"&amp;(L380-$C$16)+5),FV(SRate,L380-$P$1-$C$16,0,-$W$1,1)),0))</f>
        <v>0</v>
      </c>
      <c r="R380" s="56">
        <f t="shared" ca="1" si="41"/>
        <v>0</v>
      </c>
      <c r="S380" s="19">
        <f t="shared" si="43"/>
        <v>0</v>
      </c>
      <c r="T380" s="36" t="str" cm="1">
        <f t="array" aca="1" ref="T380" ca="1">IF(L380&lt;=$P$1,K380,IF(L380&lt;=($P$1+1),INDIRECT("K"&amp;5+$W$2),""))</f>
        <v/>
      </c>
      <c r="U380" s="38">
        <f t="shared" si="44"/>
        <v>32</v>
      </c>
    </row>
    <row r="381" spans="11:21" hidden="1" x14ac:dyDescent="0.25">
      <c r="K381" s="36">
        <f t="shared" ca="1" si="46"/>
        <v>57659</v>
      </c>
      <c r="L381" s="19">
        <v>376</v>
      </c>
      <c r="M381" s="19">
        <f t="shared" si="45"/>
        <v>0</v>
      </c>
      <c r="N381" s="37">
        <f t="shared" si="42"/>
        <v>0</v>
      </c>
      <c r="O381" s="37">
        <f t="shared" si="40"/>
        <v>0</v>
      </c>
      <c r="P381" s="55" cm="1">
        <f t="array" aca="1" ref="P381" ca="1">IF((L381-$C$16)&gt;0, IF($P$1+$C$16&gt;=L381,INDIRECT("M"&amp;(L381-$C$16)+5),0),0)</f>
        <v>0</v>
      </c>
      <c r="Q381" s="56" cm="1">
        <f t="array" aca="1" ref="Q381" ca="1">IF(L381&lt;=$C$16,0,IF($W$2&gt;=L381,IF(L381&lt;=($P$1+$C$16),INDIRECT("N"&amp;(L381-$C$16)+5),FV(SRate,L381-$P$1-$C$16,0,-$W$1,1)),0))</f>
        <v>0</v>
      </c>
      <c r="R381" s="56">
        <f t="shared" ca="1" si="41"/>
        <v>0</v>
      </c>
      <c r="S381" s="19">
        <f t="shared" si="43"/>
        <v>0</v>
      </c>
      <c r="T381" s="36" t="str" cm="1">
        <f t="array" aca="1" ref="T381" ca="1">IF(L381&lt;=$P$1,K381,IF(L381&lt;=($P$1+1),INDIRECT("K"&amp;5+$W$2),""))</f>
        <v/>
      </c>
      <c r="U381" s="38">
        <f t="shared" si="44"/>
        <v>32</v>
      </c>
    </row>
    <row r="382" spans="11:21" hidden="1" x14ac:dyDescent="0.25">
      <c r="K382" s="36">
        <f t="shared" ca="1" si="46"/>
        <v>57689</v>
      </c>
      <c r="L382" s="19">
        <v>377</v>
      </c>
      <c r="M382" s="19">
        <f t="shared" si="45"/>
        <v>0</v>
      </c>
      <c r="N382" s="37">
        <f t="shared" si="42"/>
        <v>0</v>
      </c>
      <c r="O382" s="37">
        <f t="shared" si="40"/>
        <v>0</v>
      </c>
      <c r="P382" s="55" cm="1">
        <f t="array" aca="1" ref="P382" ca="1">IF((L382-$C$16)&gt;0, IF($P$1+$C$16&gt;=L382,INDIRECT("M"&amp;(L382-$C$16)+5),0),0)</f>
        <v>0</v>
      </c>
      <c r="Q382" s="56" cm="1">
        <f t="array" aca="1" ref="Q382" ca="1">IF(L382&lt;=$C$16,0,IF($W$2&gt;=L382,IF(L382&lt;=($P$1+$C$16),INDIRECT("N"&amp;(L382-$C$16)+5),FV(SRate,L382-$P$1-$C$16,0,-$W$1,1)),0))</f>
        <v>0</v>
      </c>
      <c r="R382" s="56">
        <f t="shared" ca="1" si="41"/>
        <v>0</v>
      </c>
      <c r="S382" s="19">
        <f t="shared" si="43"/>
        <v>0</v>
      </c>
      <c r="T382" s="36" t="str" cm="1">
        <f t="array" aca="1" ref="T382" ca="1">IF(L382&lt;=$P$1,K382,IF(L382&lt;=($P$1+1),INDIRECT("K"&amp;5+$W$2),""))</f>
        <v/>
      </c>
      <c r="U382" s="38">
        <f t="shared" si="44"/>
        <v>32</v>
      </c>
    </row>
    <row r="383" spans="11:21" hidden="1" x14ac:dyDescent="0.25">
      <c r="K383" s="36">
        <f t="shared" ca="1" si="46"/>
        <v>57720</v>
      </c>
      <c r="L383" s="19">
        <v>378</v>
      </c>
      <c r="M383" s="19">
        <f t="shared" si="45"/>
        <v>0</v>
      </c>
      <c r="N383" s="37">
        <f t="shared" si="42"/>
        <v>0</v>
      </c>
      <c r="O383" s="37">
        <f t="shared" si="40"/>
        <v>0</v>
      </c>
      <c r="P383" s="55" cm="1">
        <f t="array" aca="1" ref="P383" ca="1">IF((L383-$C$16)&gt;0, IF($P$1+$C$16&gt;=L383,INDIRECT("M"&amp;(L383-$C$16)+5),0),0)</f>
        <v>0</v>
      </c>
      <c r="Q383" s="56" cm="1">
        <f t="array" aca="1" ref="Q383" ca="1">IF(L383&lt;=$C$16,0,IF($W$2&gt;=L383,IF(L383&lt;=($P$1+$C$16),INDIRECT("N"&amp;(L383-$C$16)+5),FV(SRate,L383-$P$1-$C$16,0,-$W$1,1)),0))</f>
        <v>0</v>
      </c>
      <c r="R383" s="56">
        <f t="shared" ca="1" si="41"/>
        <v>0</v>
      </c>
      <c r="S383" s="19">
        <f t="shared" si="43"/>
        <v>0</v>
      </c>
      <c r="T383" s="36" t="str" cm="1">
        <f t="array" aca="1" ref="T383" ca="1">IF(L383&lt;=$P$1,K383,IF(L383&lt;=($P$1+1),INDIRECT("K"&amp;5+$W$2),""))</f>
        <v/>
      </c>
      <c r="U383" s="38">
        <f t="shared" si="44"/>
        <v>32</v>
      </c>
    </row>
    <row r="384" spans="11:21" hidden="1" x14ac:dyDescent="0.25">
      <c r="K384" s="36">
        <f t="shared" ca="1" si="46"/>
        <v>57751</v>
      </c>
      <c r="L384" s="19">
        <v>379</v>
      </c>
      <c r="M384" s="19">
        <f t="shared" si="45"/>
        <v>0</v>
      </c>
      <c r="N384" s="37">
        <f t="shared" si="42"/>
        <v>0</v>
      </c>
      <c r="O384" s="37">
        <f t="shared" si="40"/>
        <v>0</v>
      </c>
      <c r="P384" s="55" cm="1">
        <f t="array" aca="1" ref="P384" ca="1">IF((L384-$C$16)&gt;0, IF($P$1+$C$16&gt;=L384,INDIRECT("M"&amp;(L384-$C$16)+5),0),0)</f>
        <v>0</v>
      </c>
      <c r="Q384" s="56" cm="1">
        <f t="array" aca="1" ref="Q384" ca="1">IF(L384&lt;=$C$16,0,IF($W$2&gt;=L384,IF(L384&lt;=($P$1+$C$16),INDIRECT("N"&amp;(L384-$C$16)+5),FV(SRate,L384-$P$1-$C$16,0,-$W$1,1)),0))</f>
        <v>0</v>
      </c>
      <c r="R384" s="56">
        <f t="shared" ca="1" si="41"/>
        <v>0</v>
      </c>
      <c r="S384" s="19">
        <f t="shared" si="43"/>
        <v>0</v>
      </c>
      <c r="T384" s="36" t="str" cm="1">
        <f t="array" aca="1" ref="T384" ca="1">IF(L384&lt;=$P$1,K384,IF(L384&lt;=($P$1+1),INDIRECT("K"&amp;5+$W$2),""))</f>
        <v/>
      </c>
      <c r="U384" s="38">
        <f t="shared" si="44"/>
        <v>32</v>
      </c>
    </row>
    <row r="385" spans="11:21" hidden="1" x14ac:dyDescent="0.25">
      <c r="K385" s="36">
        <f t="shared" ca="1" si="46"/>
        <v>57779</v>
      </c>
      <c r="L385" s="19">
        <v>380</v>
      </c>
      <c r="M385" s="19">
        <f t="shared" si="45"/>
        <v>0</v>
      </c>
      <c r="N385" s="37">
        <f t="shared" si="42"/>
        <v>0</v>
      </c>
      <c r="O385" s="37">
        <f t="shared" si="40"/>
        <v>0</v>
      </c>
      <c r="P385" s="55" cm="1">
        <f t="array" aca="1" ref="P385" ca="1">IF((L385-$C$16)&gt;0, IF($P$1+$C$16&gt;=L385,INDIRECT("M"&amp;(L385-$C$16)+5),0),0)</f>
        <v>0</v>
      </c>
      <c r="Q385" s="56" cm="1">
        <f t="array" aca="1" ref="Q385" ca="1">IF(L385&lt;=$C$16,0,IF($W$2&gt;=L385,IF(L385&lt;=($P$1+$C$16),INDIRECT("N"&amp;(L385-$C$16)+5),FV(SRate,L385-$P$1-$C$16,0,-$W$1,1)),0))</f>
        <v>0</v>
      </c>
      <c r="R385" s="56">
        <f t="shared" ca="1" si="41"/>
        <v>0</v>
      </c>
      <c r="S385" s="19">
        <f t="shared" si="43"/>
        <v>0</v>
      </c>
      <c r="T385" s="36" t="str" cm="1">
        <f t="array" aca="1" ref="T385" ca="1">IF(L385&lt;=$P$1,K385,IF(L385&lt;=($P$1+1),INDIRECT("K"&amp;5+$W$2),""))</f>
        <v/>
      </c>
      <c r="U385" s="38">
        <f t="shared" si="44"/>
        <v>32</v>
      </c>
    </row>
    <row r="386" spans="11:21" hidden="1" x14ac:dyDescent="0.25">
      <c r="K386" s="36">
        <f t="shared" ca="1" si="46"/>
        <v>57810</v>
      </c>
      <c r="L386" s="19">
        <v>381</v>
      </c>
      <c r="M386" s="19">
        <f t="shared" si="45"/>
        <v>0</v>
      </c>
      <c r="N386" s="37">
        <f t="shared" si="42"/>
        <v>0</v>
      </c>
      <c r="O386" s="37">
        <f t="shared" si="40"/>
        <v>0</v>
      </c>
      <c r="P386" s="55" cm="1">
        <f t="array" aca="1" ref="P386" ca="1">IF((L386-$C$16)&gt;0, IF($P$1+$C$16&gt;=L386,INDIRECT("M"&amp;(L386-$C$16)+5),0),0)</f>
        <v>0</v>
      </c>
      <c r="Q386" s="56" cm="1">
        <f t="array" aca="1" ref="Q386" ca="1">IF(L386&lt;=$C$16,0,IF($W$2&gt;=L386,IF(L386&lt;=($P$1+$C$16),INDIRECT("N"&amp;(L386-$C$16)+5),FV(SRate,L386-$P$1-$C$16,0,-$W$1,1)),0))</f>
        <v>0</v>
      </c>
      <c r="R386" s="56">
        <f t="shared" ca="1" si="41"/>
        <v>0</v>
      </c>
      <c r="S386" s="19">
        <f t="shared" si="43"/>
        <v>0</v>
      </c>
      <c r="T386" s="36" t="str" cm="1">
        <f t="array" aca="1" ref="T386" ca="1">IF(L386&lt;=$P$1,K386,IF(L386&lt;=($P$1+1),INDIRECT("K"&amp;5+$W$2),""))</f>
        <v/>
      </c>
      <c r="U386" s="38">
        <f t="shared" si="44"/>
        <v>32</v>
      </c>
    </row>
    <row r="387" spans="11:21" hidden="1" x14ac:dyDescent="0.25">
      <c r="K387" s="36">
        <f t="shared" ca="1" si="46"/>
        <v>57840</v>
      </c>
      <c r="L387" s="19">
        <v>382</v>
      </c>
      <c r="M387" s="19">
        <f t="shared" si="45"/>
        <v>0</v>
      </c>
      <c r="N387" s="37">
        <f t="shared" si="42"/>
        <v>0</v>
      </c>
      <c r="O387" s="37">
        <f t="shared" si="40"/>
        <v>0</v>
      </c>
      <c r="P387" s="55" cm="1">
        <f t="array" aca="1" ref="P387" ca="1">IF((L387-$C$16)&gt;0, IF($P$1+$C$16&gt;=L387,INDIRECT("M"&amp;(L387-$C$16)+5),0),0)</f>
        <v>0</v>
      </c>
      <c r="Q387" s="56" cm="1">
        <f t="array" aca="1" ref="Q387" ca="1">IF(L387&lt;=$C$16,0,IF($W$2&gt;=L387,IF(L387&lt;=($P$1+$C$16),INDIRECT("N"&amp;(L387-$C$16)+5),FV(SRate,L387-$P$1-$C$16,0,-$W$1,1)),0))</f>
        <v>0</v>
      </c>
      <c r="R387" s="56">
        <f t="shared" ca="1" si="41"/>
        <v>0</v>
      </c>
      <c r="S387" s="19">
        <f t="shared" si="43"/>
        <v>0</v>
      </c>
      <c r="T387" s="36" t="str" cm="1">
        <f t="array" aca="1" ref="T387" ca="1">IF(L387&lt;=$P$1,K387,IF(L387&lt;=($P$1+1),INDIRECT("K"&amp;5+$W$2),""))</f>
        <v/>
      </c>
      <c r="U387" s="38">
        <f t="shared" si="44"/>
        <v>32</v>
      </c>
    </row>
    <row r="388" spans="11:21" hidden="1" x14ac:dyDescent="0.25">
      <c r="K388" s="36">
        <f t="shared" ca="1" si="46"/>
        <v>57871</v>
      </c>
      <c r="L388" s="19">
        <v>383</v>
      </c>
      <c r="M388" s="19">
        <f t="shared" si="45"/>
        <v>0</v>
      </c>
      <c r="N388" s="37">
        <f t="shared" si="42"/>
        <v>0</v>
      </c>
      <c r="O388" s="37">
        <f t="shared" si="40"/>
        <v>0</v>
      </c>
      <c r="P388" s="55" cm="1">
        <f t="array" aca="1" ref="P388" ca="1">IF((L388-$C$16)&gt;0, IF($P$1+$C$16&gt;=L388,INDIRECT("M"&amp;(L388-$C$16)+5),0),0)</f>
        <v>0</v>
      </c>
      <c r="Q388" s="56" cm="1">
        <f t="array" aca="1" ref="Q388" ca="1">IF(L388&lt;=$C$16,0,IF($W$2&gt;=L388,IF(L388&lt;=($P$1+$C$16),INDIRECT("N"&amp;(L388-$C$16)+5),FV(SRate,L388-$P$1-$C$16,0,-$W$1,1)),0))</f>
        <v>0</v>
      </c>
      <c r="R388" s="56">
        <f t="shared" ca="1" si="41"/>
        <v>0</v>
      </c>
      <c r="S388" s="19">
        <f t="shared" si="43"/>
        <v>0</v>
      </c>
      <c r="T388" s="36" t="str" cm="1">
        <f t="array" aca="1" ref="T388" ca="1">IF(L388&lt;=$P$1,K388,IF(L388&lt;=($P$1+1),INDIRECT("K"&amp;5+$W$2),""))</f>
        <v/>
      </c>
      <c r="U388" s="38">
        <f t="shared" si="44"/>
        <v>32</v>
      </c>
    </row>
    <row r="389" spans="11:21" hidden="1" x14ac:dyDescent="0.25">
      <c r="K389" s="36">
        <f t="shared" ca="1" si="46"/>
        <v>57901</v>
      </c>
      <c r="L389" s="19">
        <v>384</v>
      </c>
      <c r="M389" s="19">
        <f t="shared" si="45"/>
        <v>0</v>
      </c>
      <c r="N389" s="37">
        <f t="shared" si="42"/>
        <v>0</v>
      </c>
      <c r="O389" s="37">
        <f t="shared" si="40"/>
        <v>0</v>
      </c>
      <c r="P389" s="55" cm="1">
        <f t="array" aca="1" ref="P389" ca="1">IF((L389-$C$16)&gt;0, IF($P$1+$C$16&gt;=L389,INDIRECT("M"&amp;(L389-$C$16)+5),0),0)</f>
        <v>0</v>
      </c>
      <c r="Q389" s="56" cm="1">
        <f t="array" aca="1" ref="Q389" ca="1">IF(L389&lt;=$C$16,0,IF($W$2&gt;=L389,IF(L389&lt;=($P$1+$C$16),INDIRECT("N"&amp;(L389-$C$16)+5),FV(SRate,L389-$P$1-$C$16,0,-$W$1,1)),0))</f>
        <v>0</v>
      </c>
      <c r="R389" s="56">
        <f t="shared" ca="1" si="41"/>
        <v>0</v>
      </c>
      <c r="S389" s="19">
        <f t="shared" si="43"/>
        <v>0</v>
      </c>
      <c r="T389" s="36" t="str" cm="1">
        <f t="array" aca="1" ref="T389" ca="1">IF(L389&lt;=$P$1,K389,IF(L389&lt;=($P$1+1),INDIRECT("K"&amp;5+$W$2),""))</f>
        <v/>
      </c>
      <c r="U389" s="38">
        <f t="shared" si="44"/>
        <v>32</v>
      </c>
    </row>
    <row r="390" spans="11:21" hidden="1" x14ac:dyDescent="0.25">
      <c r="K390" s="36">
        <f t="shared" ca="1" si="46"/>
        <v>57932</v>
      </c>
      <c r="L390" s="19">
        <v>385</v>
      </c>
      <c r="M390" s="19">
        <f t="shared" si="45"/>
        <v>0</v>
      </c>
      <c r="N390" s="37">
        <f t="shared" si="42"/>
        <v>0</v>
      </c>
      <c r="O390" s="37">
        <f t="shared" ref="O390:O453" si="47">N390/((1+SIPInflationRate)^(L390/12))</f>
        <v>0</v>
      </c>
      <c r="P390" s="55" cm="1">
        <f t="array" aca="1" ref="P390" ca="1">IF((L390-$C$16)&gt;0, IF($P$1+$C$16&gt;=L390,INDIRECT("M"&amp;(L390-$C$16)+5),0),0)</f>
        <v>0</v>
      </c>
      <c r="Q390" s="56" cm="1">
        <f t="array" aca="1" ref="Q390" ca="1">IF(L390&lt;=$C$16,0,IF($W$2&gt;=L390,IF(L390&lt;=($P$1+$C$16),INDIRECT("N"&amp;(L390-$C$16)+5),FV(SRate,L390-$P$1-$C$16,0,-$W$1,1)),0))</f>
        <v>0</v>
      </c>
      <c r="R390" s="56">
        <f t="shared" ref="R390:R453" ca="1" si="48">Q390/((1+SIPInflationRate)^((L390-$C$16)/12))</f>
        <v>0</v>
      </c>
      <c r="S390" s="19">
        <f t="shared" si="43"/>
        <v>0</v>
      </c>
      <c r="T390" s="36" t="str" cm="1">
        <f t="array" aca="1" ref="T390" ca="1">IF(L390&lt;=$P$1,K390,IF(L390&lt;=($P$1+1),INDIRECT("K"&amp;5+$W$2),""))</f>
        <v/>
      </c>
      <c r="U390" s="38">
        <f t="shared" si="44"/>
        <v>33</v>
      </c>
    </row>
    <row r="391" spans="11:21" hidden="1" x14ac:dyDescent="0.25">
      <c r="K391" s="36">
        <f t="shared" ca="1" si="46"/>
        <v>57963</v>
      </c>
      <c r="L391" s="19">
        <v>386</v>
      </c>
      <c r="M391" s="19">
        <f t="shared" si="45"/>
        <v>0</v>
      </c>
      <c r="N391" s="37">
        <f t="shared" ref="N391:N454" si="49">IF($W$2&gt;=L391,IF(L391&lt;=$P$1,(M391-M390+N390)*(1+SRate),FV(SRate,L391-$P$1,0,-$W$1,1)),0)</f>
        <v>0</v>
      </c>
      <c r="O391" s="37">
        <f t="shared" si="47"/>
        <v>0</v>
      </c>
      <c r="P391" s="55" cm="1">
        <f t="array" aca="1" ref="P391" ca="1">IF((L391-$C$16)&gt;0, IF($P$1+$C$16&gt;=L391,INDIRECT("M"&amp;(L391-$C$16)+5),0),0)</f>
        <v>0</v>
      </c>
      <c r="Q391" s="56" cm="1">
        <f t="array" aca="1" ref="Q391" ca="1">IF(L391&lt;=$C$16,0,IF($W$2&gt;=L391,IF(L391&lt;=($P$1+$C$16),INDIRECT("N"&amp;(L391-$C$16)+5),FV(SRate,L391-$P$1-$C$16,0,-$W$1,1)),0))</f>
        <v>0</v>
      </c>
      <c r="R391" s="56">
        <f t="shared" ca="1" si="48"/>
        <v>0</v>
      </c>
      <c r="S391" s="19">
        <f t="shared" ref="S391:S454" si="50">IF(L391&lt;=$P$1,-(_xlfn.XLOOKUP(U391,$Z$3:$Z$72,$AB$3:$AB$72,0)),IF(L391&lt;=($P$1+1),$W$4,0))</f>
        <v>0</v>
      </c>
      <c r="T391" s="36" t="str" cm="1">
        <f t="array" aca="1" ref="T391" ca="1">IF(L391&lt;=$P$1,K391,IF(L391&lt;=($P$1+1),INDIRECT("K"&amp;5+$W$2),""))</f>
        <v/>
      </c>
      <c r="U391" s="38">
        <f t="shared" ref="U391:U454" si="51">QUOTIENT(L391,12)+IF(MOD(L391,12)=0,-1,0)+1</f>
        <v>33</v>
      </c>
    </row>
    <row r="392" spans="11:21" hidden="1" x14ac:dyDescent="0.25">
      <c r="K392" s="36">
        <f t="shared" ca="1" si="46"/>
        <v>57993</v>
      </c>
      <c r="L392" s="19">
        <v>387</v>
      </c>
      <c r="M392" s="19">
        <f t="shared" ref="M392:M455" si="52">IF($P$1&gt;=L392,_xlfn.XLOOKUP(U392,$Z$3:$Z$72,$AB$3:$AB$72,0)+M391,0)</f>
        <v>0</v>
      </c>
      <c r="N392" s="37">
        <f t="shared" si="49"/>
        <v>0</v>
      </c>
      <c r="O392" s="37">
        <f t="shared" si="47"/>
        <v>0</v>
      </c>
      <c r="P392" s="55" cm="1">
        <f t="array" aca="1" ref="P392" ca="1">IF((L392-$C$16)&gt;0, IF($P$1+$C$16&gt;=L392,INDIRECT("M"&amp;(L392-$C$16)+5),0),0)</f>
        <v>0</v>
      </c>
      <c r="Q392" s="56" cm="1">
        <f t="array" aca="1" ref="Q392" ca="1">IF(L392&lt;=$C$16,0,IF($W$2&gt;=L392,IF(L392&lt;=($P$1+$C$16),INDIRECT("N"&amp;(L392-$C$16)+5),FV(SRate,L392-$P$1-$C$16,0,-$W$1,1)),0))</f>
        <v>0</v>
      </c>
      <c r="R392" s="56">
        <f t="shared" ca="1" si="48"/>
        <v>0</v>
      </c>
      <c r="S392" s="19">
        <f t="shared" si="50"/>
        <v>0</v>
      </c>
      <c r="T392" s="36" t="str" cm="1">
        <f t="array" aca="1" ref="T392" ca="1">IF(L392&lt;=$P$1,K392,IF(L392&lt;=($P$1+1),INDIRECT("K"&amp;5+$W$2),""))</f>
        <v/>
      </c>
      <c r="U392" s="38">
        <f t="shared" si="51"/>
        <v>33</v>
      </c>
    </row>
    <row r="393" spans="11:21" hidden="1" x14ac:dyDescent="0.25">
      <c r="K393" s="36">
        <f t="shared" ref="K393:K456" ca="1" si="53">EDATE(K392,1)</f>
        <v>58024</v>
      </c>
      <c r="L393" s="19">
        <v>388</v>
      </c>
      <c r="M393" s="19">
        <f t="shared" si="52"/>
        <v>0</v>
      </c>
      <c r="N393" s="37">
        <f t="shared" si="49"/>
        <v>0</v>
      </c>
      <c r="O393" s="37">
        <f t="shared" si="47"/>
        <v>0</v>
      </c>
      <c r="P393" s="55" cm="1">
        <f t="array" aca="1" ref="P393" ca="1">IF((L393-$C$16)&gt;0, IF($P$1+$C$16&gt;=L393,INDIRECT("M"&amp;(L393-$C$16)+5),0),0)</f>
        <v>0</v>
      </c>
      <c r="Q393" s="56" cm="1">
        <f t="array" aca="1" ref="Q393" ca="1">IF(L393&lt;=$C$16,0,IF($W$2&gt;=L393,IF(L393&lt;=($P$1+$C$16),INDIRECT("N"&amp;(L393-$C$16)+5),FV(SRate,L393-$P$1-$C$16,0,-$W$1,1)),0))</f>
        <v>0</v>
      </c>
      <c r="R393" s="56">
        <f t="shared" ca="1" si="48"/>
        <v>0</v>
      </c>
      <c r="S393" s="19">
        <f t="shared" si="50"/>
        <v>0</v>
      </c>
      <c r="T393" s="36" t="str" cm="1">
        <f t="array" aca="1" ref="T393" ca="1">IF(L393&lt;=$P$1,K393,IF(L393&lt;=($P$1+1),INDIRECT("K"&amp;5+$W$2),""))</f>
        <v/>
      </c>
      <c r="U393" s="38">
        <f t="shared" si="51"/>
        <v>33</v>
      </c>
    </row>
    <row r="394" spans="11:21" hidden="1" x14ac:dyDescent="0.25">
      <c r="K394" s="36">
        <f t="shared" ca="1" si="53"/>
        <v>58054</v>
      </c>
      <c r="L394" s="19">
        <v>389</v>
      </c>
      <c r="M394" s="19">
        <f t="shared" si="52"/>
        <v>0</v>
      </c>
      <c r="N394" s="37">
        <f t="shared" si="49"/>
        <v>0</v>
      </c>
      <c r="O394" s="37">
        <f t="shared" si="47"/>
        <v>0</v>
      </c>
      <c r="P394" s="55" cm="1">
        <f t="array" aca="1" ref="P394" ca="1">IF((L394-$C$16)&gt;0, IF($P$1+$C$16&gt;=L394,INDIRECT("M"&amp;(L394-$C$16)+5),0),0)</f>
        <v>0</v>
      </c>
      <c r="Q394" s="56" cm="1">
        <f t="array" aca="1" ref="Q394" ca="1">IF(L394&lt;=$C$16,0,IF($W$2&gt;=L394,IF(L394&lt;=($P$1+$C$16),INDIRECT("N"&amp;(L394-$C$16)+5),FV(SRate,L394-$P$1-$C$16,0,-$W$1,1)),0))</f>
        <v>0</v>
      </c>
      <c r="R394" s="56">
        <f t="shared" ca="1" si="48"/>
        <v>0</v>
      </c>
      <c r="S394" s="19">
        <f t="shared" si="50"/>
        <v>0</v>
      </c>
      <c r="T394" s="36" t="str" cm="1">
        <f t="array" aca="1" ref="T394" ca="1">IF(L394&lt;=$P$1,K394,IF(L394&lt;=($P$1+1),INDIRECT("K"&amp;5+$W$2),""))</f>
        <v/>
      </c>
      <c r="U394" s="38">
        <f t="shared" si="51"/>
        <v>33</v>
      </c>
    </row>
    <row r="395" spans="11:21" hidden="1" x14ac:dyDescent="0.25">
      <c r="K395" s="36">
        <f t="shared" ca="1" si="53"/>
        <v>58085</v>
      </c>
      <c r="L395" s="19">
        <v>390</v>
      </c>
      <c r="M395" s="19">
        <f t="shared" si="52"/>
        <v>0</v>
      </c>
      <c r="N395" s="37">
        <f t="shared" si="49"/>
        <v>0</v>
      </c>
      <c r="O395" s="37">
        <f t="shared" si="47"/>
        <v>0</v>
      </c>
      <c r="P395" s="55" cm="1">
        <f t="array" aca="1" ref="P395" ca="1">IF((L395-$C$16)&gt;0, IF($P$1+$C$16&gt;=L395,INDIRECT("M"&amp;(L395-$C$16)+5),0),0)</f>
        <v>0</v>
      </c>
      <c r="Q395" s="56" cm="1">
        <f t="array" aca="1" ref="Q395" ca="1">IF(L395&lt;=$C$16,0,IF($W$2&gt;=L395,IF(L395&lt;=($P$1+$C$16),INDIRECT("N"&amp;(L395-$C$16)+5),FV(SRate,L395-$P$1-$C$16,0,-$W$1,1)),0))</f>
        <v>0</v>
      </c>
      <c r="R395" s="56">
        <f t="shared" ca="1" si="48"/>
        <v>0</v>
      </c>
      <c r="S395" s="19">
        <f t="shared" si="50"/>
        <v>0</v>
      </c>
      <c r="T395" s="36" t="str" cm="1">
        <f t="array" aca="1" ref="T395" ca="1">IF(L395&lt;=$P$1,K395,IF(L395&lt;=($P$1+1),INDIRECT("K"&amp;5+$W$2),""))</f>
        <v/>
      </c>
      <c r="U395" s="38">
        <f t="shared" si="51"/>
        <v>33</v>
      </c>
    </row>
    <row r="396" spans="11:21" hidden="1" x14ac:dyDescent="0.25">
      <c r="K396" s="36">
        <f t="shared" ca="1" si="53"/>
        <v>58116</v>
      </c>
      <c r="L396" s="19">
        <v>391</v>
      </c>
      <c r="M396" s="19">
        <f t="shared" si="52"/>
        <v>0</v>
      </c>
      <c r="N396" s="37">
        <f t="shared" si="49"/>
        <v>0</v>
      </c>
      <c r="O396" s="37">
        <f t="shared" si="47"/>
        <v>0</v>
      </c>
      <c r="P396" s="55" cm="1">
        <f t="array" aca="1" ref="P396" ca="1">IF((L396-$C$16)&gt;0, IF($P$1+$C$16&gt;=L396,INDIRECT("M"&amp;(L396-$C$16)+5),0),0)</f>
        <v>0</v>
      </c>
      <c r="Q396" s="56" cm="1">
        <f t="array" aca="1" ref="Q396" ca="1">IF(L396&lt;=$C$16,0,IF($W$2&gt;=L396,IF(L396&lt;=($P$1+$C$16),INDIRECT("N"&amp;(L396-$C$16)+5),FV(SRate,L396-$P$1-$C$16,0,-$W$1,1)),0))</f>
        <v>0</v>
      </c>
      <c r="R396" s="56">
        <f t="shared" ca="1" si="48"/>
        <v>0</v>
      </c>
      <c r="S396" s="19">
        <f t="shared" si="50"/>
        <v>0</v>
      </c>
      <c r="T396" s="36" t="str" cm="1">
        <f t="array" aca="1" ref="T396" ca="1">IF(L396&lt;=$P$1,K396,IF(L396&lt;=($P$1+1),INDIRECT("K"&amp;5+$W$2),""))</f>
        <v/>
      </c>
      <c r="U396" s="38">
        <f t="shared" si="51"/>
        <v>33</v>
      </c>
    </row>
    <row r="397" spans="11:21" hidden="1" x14ac:dyDescent="0.25">
      <c r="K397" s="36">
        <f t="shared" ca="1" si="53"/>
        <v>58144</v>
      </c>
      <c r="L397" s="19">
        <v>392</v>
      </c>
      <c r="M397" s="19">
        <f t="shared" si="52"/>
        <v>0</v>
      </c>
      <c r="N397" s="37">
        <f t="shared" si="49"/>
        <v>0</v>
      </c>
      <c r="O397" s="37">
        <f t="shared" si="47"/>
        <v>0</v>
      </c>
      <c r="P397" s="55" cm="1">
        <f t="array" aca="1" ref="P397" ca="1">IF((L397-$C$16)&gt;0, IF($P$1+$C$16&gt;=L397,INDIRECT("M"&amp;(L397-$C$16)+5),0),0)</f>
        <v>0</v>
      </c>
      <c r="Q397" s="56" cm="1">
        <f t="array" aca="1" ref="Q397" ca="1">IF(L397&lt;=$C$16,0,IF($W$2&gt;=L397,IF(L397&lt;=($P$1+$C$16),INDIRECT("N"&amp;(L397-$C$16)+5),FV(SRate,L397-$P$1-$C$16,0,-$W$1,1)),0))</f>
        <v>0</v>
      </c>
      <c r="R397" s="56">
        <f t="shared" ca="1" si="48"/>
        <v>0</v>
      </c>
      <c r="S397" s="19">
        <f t="shared" si="50"/>
        <v>0</v>
      </c>
      <c r="T397" s="36" t="str" cm="1">
        <f t="array" aca="1" ref="T397" ca="1">IF(L397&lt;=$P$1,K397,IF(L397&lt;=($P$1+1),INDIRECT("K"&amp;5+$W$2),""))</f>
        <v/>
      </c>
      <c r="U397" s="38">
        <f t="shared" si="51"/>
        <v>33</v>
      </c>
    </row>
    <row r="398" spans="11:21" hidden="1" x14ac:dyDescent="0.25">
      <c r="K398" s="36">
        <f t="shared" ca="1" si="53"/>
        <v>58175</v>
      </c>
      <c r="L398" s="19">
        <v>393</v>
      </c>
      <c r="M398" s="19">
        <f t="shared" si="52"/>
        <v>0</v>
      </c>
      <c r="N398" s="37">
        <f t="shared" si="49"/>
        <v>0</v>
      </c>
      <c r="O398" s="37">
        <f t="shared" si="47"/>
        <v>0</v>
      </c>
      <c r="P398" s="55" cm="1">
        <f t="array" aca="1" ref="P398" ca="1">IF((L398-$C$16)&gt;0, IF($P$1+$C$16&gt;=L398,INDIRECT("M"&amp;(L398-$C$16)+5),0),0)</f>
        <v>0</v>
      </c>
      <c r="Q398" s="56" cm="1">
        <f t="array" aca="1" ref="Q398" ca="1">IF(L398&lt;=$C$16,0,IF($W$2&gt;=L398,IF(L398&lt;=($P$1+$C$16),INDIRECT("N"&amp;(L398-$C$16)+5),FV(SRate,L398-$P$1-$C$16,0,-$W$1,1)),0))</f>
        <v>0</v>
      </c>
      <c r="R398" s="56">
        <f t="shared" ca="1" si="48"/>
        <v>0</v>
      </c>
      <c r="S398" s="19">
        <f t="shared" si="50"/>
        <v>0</v>
      </c>
      <c r="T398" s="36" t="str" cm="1">
        <f t="array" aca="1" ref="T398" ca="1">IF(L398&lt;=$P$1,K398,IF(L398&lt;=($P$1+1),INDIRECT("K"&amp;5+$W$2),""))</f>
        <v/>
      </c>
      <c r="U398" s="38">
        <f t="shared" si="51"/>
        <v>33</v>
      </c>
    </row>
    <row r="399" spans="11:21" hidden="1" x14ac:dyDescent="0.25">
      <c r="K399" s="36">
        <f t="shared" ca="1" si="53"/>
        <v>58205</v>
      </c>
      <c r="L399" s="19">
        <v>394</v>
      </c>
      <c r="M399" s="19">
        <f t="shared" si="52"/>
        <v>0</v>
      </c>
      <c r="N399" s="37">
        <f t="shared" si="49"/>
        <v>0</v>
      </c>
      <c r="O399" s="37">
        <f t="shared" si="47"/>
        <v>0</v>
      </c>
      <c r="P399" s="55" cm="1">
        <f t="array" aca="1" ref="P399" ca="1">IF((L399-$C$16)&gt;0, IF($P$1+$C$16&gt;=L399,INDIRECT("M"&amp;(L399-$C$16)+5),0),0)</f>
        <v>0</v>
      </c>
      <c r="Q399" s="56" cm="1">
        <f t="array" aca="1" ref="Q399" ca="1">IF(L399&lt;=$C$16,0,IF($W$2&gt;=L399,IF(L399&lt;=($P$1+$C$16),INDIRECT("N"&amp;(L399-$C$16)+5),FV(SRate,L399-$P$1-$C$16,0,-$W$1,1)),0))</f>
        <v>0</v>
      </c>
      <c r="R399" s="56">
        <f t="shared" ca="1" si="48"/>
        <v>0</v>
      </c>
      <c r="S399" s="19">
        <f t="shared" si="50"/>
        <v>0</v>
      </c>
      <c r="T399" s="36" t="str" cm="1">
        <f t="array" aca="1" ref="T399" ca="1">IF(L399&lt;=$P$1,K399,IF(L399&lt;=($P$1+1),INDIRECT("K"&amp;5+$W$2),""))</f>
        <v/>
      </c>
      <c r="U399" s="38">
        <f t="shared" si="51"/>
        <v>33</v>
      </c>
    </row>
    <row r="400" spans="11:21" hidden="1" x14ac:dyDescent="0.25">
      <c r="K400" s="36">
        <f t="shared" ca="1" si="53"/>
        <v>58236</v>
      </c>
      <c r="L400" s="19">
        <v>395</v>
      </c>
      <c r="M400" s="19">
        <f t="shared" si="52"/>
        <v>0</v>
      </c>
      <c r="N400" s="37">
        <f t="shared" si="49"/>
        <v>0</v>
      </c>
      <c r="O400" s="37">
        <f t="shared" si="47"/>
        <v>0</v>
      </c>
      <c r="P400" s="55" cm="1">
        <f t="array" aca="1" ref="P400" ca="1">IF((L400-$C$16)&gt;0, IF($P$1+$C$16&gt;=L400,INDIRECT("M"&amp;(L400-$C$16)+5),0),0)</f>
        <v>0</v>
      </c>
      <c r="Q400" s="56" cm="1">
        <f t="array" aca="1" ref="Q400" ca="1">IF(L400&lt;=$C$16,0,IF($W$2&gt;=L400,IF(L400&lt;=($P$1+$C$16),INDIRECT("N"&amp;(L400-$C$16)+5),FV(SRate,L400-$P$1-$C$16,0,-$W$1,1)),0))</f>
        <v>0</v>
      </c>
      <c r="R400" s="56">
        <f t="shared" ca="1" si="48"/>
        <v>0</v>
      </c>
      <c r="S400" s="19">
        <f t="shared" si="50"/>
        <v>0</v>
      </c>
      <c r="T400" s="36" t="str" cm="1">
        <f t="array" aca="1" ref="T400" ca="1">IF(L400&lt;=$P$1,K400,IF(L400&lt;=($P$1+1),INDIRECT("K"&amp;5+$W$2),""))</f>
        <v/>
      </c>
      <c r="U400" s="38">
        <f t="shared" si="51"/>
        <v>33</v>
      </c>
    </row>
    <row r="401" spans="11:21" hidden="1" x14ac:dyDescent="0.25">
      <c r="K401" s="36">
        <f t="shared" ca="1" si="53"/>
        <v>58266</v>
      </c>
      <c r="L401" s="19">
        <v>396</v>
      </c>
      <c r="M401" s="19">
        <f t="shared" si="52"/>
        <v>0</v>
      </c>
      <c r="N401" s="37">
        <f t="shared" si="49"/>
        <v>0</v>
      </c>
      <c r="O401" s="37">
        <f t="shared" si="47"/>
        <v>0</v>
      </c>
      <c r="P401" s="55" cm="1">
        <f t="array" aca="1" ref="P401" ca="1">IF((L401-$C$16)&gt;0, IF($P$1+$C$16&gt;=L401,INDIRECT("M"&amp;(L401-$C$16)+5),0),0)</f>
        <v>0</v>
      </c>
      <c r="Q401" s="56" cm="1">
        <f t="array" aca="1" ref="Q401" ca="1">IF(L401&lt;=$C$16,0,IF($W$2&gt;=L401,IF(L401&lt;=($P$1+$C$16),INDIRECT("N"&amp;(L401-$C$16)+5),FV(SRate,L401-$P$1-$C$16,0,-$W$1,1)),0))</f>
        <v>0</v>
      </c>
      <c r="R401" s="56">
        <f t="shared" ca="1" si="48"/>
        <v>0</v>
      </c>
      <c r="S401" s="19">
        <f t="shared" si="50"/>
        <v>0</v>
      </c>
      <c r="T401" s="36" t="str" cm="1">
        <f t="array" aca="1" ref="T401" ca="1">IF(L401&lt;=$P$1,K401,IF(L401&lt;=($P$1+1),INDIRECT("K"&amp;5+$W$2),""))</f>
        <v/>
      </c>
      <c r="U401" s="38">
        <f t="shared" si="51"/>
        <v>33</v>
      </c>
    </row>
    <row r="402" spans="11:21" hidden="1" x14ac:dyDescent="0.25">
      <c r="K402" s="36">
        <f t="shared" ca="1" si="53"/>
        <v>58297</v>
      </c>
      <c r="L402" s="19">
        <v>397</v>
      </c>
      <c r="M402" s="19">
        <f t="shared" si="52"/>
        <v>0</v>
      </c>
      <c r="N402" s="37">
        <f t="shared" si="49"/>
        <v>0</v>
      </c>
      <c r="O402" s="37">
        <f t="shared" si="47"/>
        <v>0</v>
      </c>
      <c r="P402" s="55" cm="1">
        <f t="array" aca="1" ref="P402" ca="1">IF((L402-$C$16)&gt;0, IF($P$1+$C$16&gt;=L402,INDIRECT("M"&amp;(L402-$C$16)+5),0),0)</f>
        <v>0</v>
      </c>
      <c r="Q402" s="56" cm="1">
        <f t="array" aca="1" ref="Q402" ca="1">IF(L402&lt;=$C$16,0,IF($W$2&gt;=L402,IF(L402&lt;=($P$1+$C$16),INDIRECT("N"&amp;(L402-$C$16)+5),FV(SRate,L402-$P$1-$C$16,0,-$W$1,1)),0))</f>
        <v>0</v>
      </c>
      <c r="R402" s="56">
        <f t="shared" ca="1" si="48"/>
        <v>0</v>
      </c>
      <c r="S402" s="19">
        <f t="shared" si="50"/>
        <v>0</v>
      </c>
      <c r="T402" s="36" t="str" cm="1">
        <f t="array" aca="1" ref="T402" ca="1">IF(L402&lt;=$P$1,K402,IF(L402&lt;=($P$1+1),INDIRECT("K"&amp;5+$W$2),""))</f>
        <v/>
      </c>
      <c r="U402" s="38">
        <f t="shared" si="51"/>
        <v>34</v>
      </c>
    </row>
    <row r="403" spans="11:21" hidden="1" x14ac:dyDescent="0.25">
      <c r="K403" s="36">
        <f t="shared" ca="1" si="53"/>
        <v>58328</v>
      </c>
      <c r="L403" s="19">
        <v>398</v>
      </c>
      <c r="M403" s="19">
        <f t="shared" si="52"/>
        <v>0</v>
      </c>
      <c r="N403" s="37">
        <f t="shared" si="49"/>
        <v>0</v>
      </c>
      <c r="O403" s="37">
        <f t="shared" si="47"/>
        <v>0</v>
      </c>
      <c r="P403" s="55" cm="1">
        <f t="array" aca="1" ref="P403" ca="1">IF((L403-$C$16)&gt;0, IF($P$1+$C$16&gt;=L403,INDIRECT("M"&amp;(L403-$C$16)+5),0),0)</f>
        <v>0</v>
      </c>
      <c r="Q403" s="56" cm="1">
        <f t="array" aca="1" ref="Q403" ca="1">IF(L403&lt;=$C$16,0,IF($W$2&gt;=L403,IF(L403&lt;=($P$1+$C$16),INDIRECT("N"&amp;(L403-$C$16)+5),FV(SRate,L403-$P$1-$C$16,0,-$W$1,1)),0))</f>
        <v>0</v>
      </c>
      <c r="R403" s="56">
        <f t="shared" ca="1" si="48"/>
        <v>0</v>
      </c>
      <c r="S403" s="19">
        <f t="shared" si="50"/>
        <v>0</v>
      </c>
      <c r="T403" s="36" t="str" cm="1">
        <f t="array" aca="1" ref="T403" ca="1">IF(L403&lt;=$P$1,K403,IF(L403&lt;=($P$1+1),INDIRECT("K"&amp;5+$W$2),""))</f>
        <v/>
      </c>
      <c r="U403" s="38">
        <f t="shared" si="51"/>
        <v>34</v>
      </c>
    </row>
    <row r="404" spans="11:21" hidden="1" x14ac:dyDescent="0.25">
      <c r="K404" s="36">
        <f t="shared" ca="1" si="53"/>
        <v>58358</v>
      </c>
      <c r="L404" s="19">
        <v>399</v>
      </c>
      <c r="M404" s="19">
        <f t="shared" si="52"/>
        <v>0</v>
      </c>
      <c r="N404" s="37">
        <f t="shared" si="49"/>
        <v>0</v>
      </c>
      <c r="O404" s="37">
        <f t="shared" si="47"/>
        <v>0</v>
      </c>
      <c r="P404" s="55" cm="1">
        <f t="array" aca="1" ref="P404" ca="1">IF((L404-$C$16)&gt;0, IF($P$1+$C$16&gt;=L404,INDIRECT("M"&amp;(L404-$C$16)+5),0),0)</f>
        <v>0</v>
      </c>
      <c r="Q404" s="56" cm="1">
        <f t="array" aca="1" ref="Q404" ca="1">IF(L404&lt;=$C$16,0,IF($W$2&gt;=L404,IF(L404&lt;=($P$1+$C$16),INDIRECT("N"&amp;(L404-$C$16)+5),FV(SRate,L404-$P$1-$C$16,0,-$W$1,1)),0))</f>
        <v>0</v>
      </c>
      <c r="R404" s="56">
        <f t="shared" ca="1" si="48"/>
        <v>0</v>
      </c>
      <c r="S404" s="19">
        <f t="shared" si="50"/>
        <v>0</v>
      </c>
      <c r="T404" s="36" t="str" cm="1">
        <f t="array" aca="1" ref="T404" ca="1">IF(L404&lt;=$P$1,K404,IF(L404&lt;=($P$1+1),INDIRECT("K"&amp;5+$W$2),""))</f>
        <v/>
      </c>
      <c r="U404" s="38">
        <f t="shared" si="51"/>
        <v>34</v>
      </c>
    </row>
    <row r="405" spans="11:21" hidden="1" x14ac:dyDescent="0.25">
      <c r="K405" s="36">
        <f t="shared" ca="1" si="53"/>
        <v>58389</v>
      </c>
      <c r="L405" s="19">
        <v>400</v>
      </c>
      <c r="M405" s="19">
        <f t="shared" si="52"/>
        <v>0</v>
      </c>
      <c r="N405" s="37">
        <f t="shared" si="49"/>
        <v>0</v>
      </c>
      <c r="O405" s="37">
        <f t="shared" si="47"/>
        <v>0</v>
      </c>
      <c r="P405" s="55" cm="1">
        <f t="array" aca="1" ref="P405" ca="1">IF((L405-$C$16)&gt;0, IF($P$1+$C$16&gt;=L405,INDIRECT("M"&amp;(L405-$C$16)+5),0),0)</f>
        <v>0</v>
      </c>
      <c r="Q405" s="56" cm="1">
        <f t="array" aca="1" ref="Q405" ca="1">IF(L405&lt;=$C$16,0,IF($W$2&gt;=L405,IF(L405&lt;=($P$1+$C$16),INDIRECT("N"&amp;(L405-$C$16)+5),FV(SRate,L405-$P$1-$C$16,0,-$W$1,1)),0))</f>
        <v>0</v>
      </c>
      <c r="R405" s="56">
        <f t="shared" ca="1" si="48"/>
        <v>0</v>
      </c>
      <c r="S405" s="19">
        <f t="shared" si="50"/>
        <v>0</v>
      </c>
      <c r="T405" s="36" t="str" cm="1">
        <f t="array" aca="1" ref="T405" ca="1">IF(L405&lt;=$P$1,K405,IF(L405&lt;=($P$1+1),INDIRECT("K"&amp;5+$W$2),""))</f>
        <v/>
      </c>
      <c r="U405" s="38">
        <f t="shared" si="51"/>
        <v>34</v>
      </c>
    </row>
    <row r="406" spans="11:21" hidden="1" x14ac:dyDescent="0.25">
      <c r="K406" s="36">
        <f t="shared" ca="1" si="53"/>
        <v>58419</v>
      </c>
      <c r="L406" s="19">
        <v>401</v>
      </c>
      <c r="M406" s="19">
        <f t="shared" si="52"/>
        <v>0</v>
      </c>
      <c r="N406" s="37">
        <f t="shared" si="49"/>
        <v>0</v>
      </c>
      <c r="O406" s="37">
        <f t="shared" si="47"/>
        <v>0</v>
      </c>
      <c r="P406" s="55" cm="1">
        <f t="array" aca="1" ref="P406" ca="1">IF((L406-$C$16)&gt;0, IF($P$1+$C$16&gt;=L406,INDIRECT("M"&amp;(L406-$C$16)+5),0),0)</f>
        <v>0</v>
      </c>
      <c r="Q406" s="56" cm="1">
        <f t="array" aca="1" ref="Q406" ca="1">IF(L406&lt;=$C$16,0,IF($W$2&gt;=L406,IF(L406&lt;=($P$1+$C$16),INDIRECT("N"&amp;(L406-$C$16)+5),FV(SRate,L406-$P$1-$C$16,0,-$W$1,1)),0))</f>
        <v>0</v>
      </c>
      <c r="R406" s="56">
        <f t="shared" ca="1" si="48"/>
        <v>0</v>
      </c>
      <c r="S406" s="19">
        <f t="shared" si="50"/>
        <v>0</v>
      </c>
      <c r="T406" s="36" t="str" cm="1">
        <f t="array" aca="1" ref="T406" ca="1">IF(L406&lt;=$P$1,K406,IF(L406&lt;=($P$1+1),INDIRECT("K"&amp;5+$W$2),""))</f>
        <v/>
      </c>
      <c r="U406" s="38">
        <f t="shared" si="51"/>
        <v>34</v>
      </c>
    </row>
    <row r="407" spans="11:21" hidden="1" x14ac:dyDescent="0.25">
      <c r="K407" s="36">
        <f t="shared" ca="1" si="53"/>
        <v>58450</v>
      </c>
      <c r="L407" s="19">
        <v>402</v>
      </c>
      <c r="M407" s="19">
        <f t="shared" si="52"/>
        <v>0</v>
      </c>
      <c r="N407" s="37">
        <f t="shared" si="49"/>
        <v>0</v>
      </c>
      <c r="O407" s="37">
        <f t="shared" si="47"/>
        <v>0</v>
      </c>
      <c r="P407" s="55" cm="1">
        <f t="array" aca="1" ref="P407" ca="1">IF((L407-$C$16)&gt;0, IF($P$1+$C$16&gt;=L407,INDIRECT("M"&amp;(L407-$C$16)+5),0),0)</f>
        <v>0</v>
      </c>
      <c r="Q407" s="56" cm="1">
        <f t="array" aca="1" ref="Q407" ca="1">IF(L407&lt;=$C$16,0,IF($W$2&gt;=L407,IF(L407&lt;=($P$1+$C$16),INDIRECT("N"&amp;(L407-$C$16)+5),FV(SRate,L407-$P$1-$C$16,0,-$W$1,1)),0))</f>
        <v>0</v>
      </c>
      <c r="R407" s="56">
        <f t="shared" ca="1" si="48"/>
        <v>0</v>
      </c>
      <c r="S407" s="19">
        <f t="shared" si="50"/>
        <v>0</v>
      </c>
      <c r="T407" s="36" t="str" cm="1">
        <f t="array" aca="1" ref="T407" ca="1">IF(L407&lt;=$P$1,K407,IF(L407&lt;=($P$1+1),INDIRECT("K"&amp;5+$W$2),""))</f>
        <v/>
      </c>
      <c r="U407" s="38">
        <f t="shared" si="51"/>
        <v>34</v>
      </c>
    </row>
    <row r="408" spans="11:21" hidden="1" x14ac:dyDescent="0.25">
      <c r="K408" s="36">
        <f t="shared" ca="1" si="53"/>
        <v>58481</v>
      </c>
      <c r="L408" s="19">
        <v>403</v>
      </c>
      <c r="M408" s="19">
        <f t="shared" si="52"/>
        <v>0</v>
      </c>
      <c r="N408" s="37">
        <f t="shared" si="49"/>
        <v>0</v>
      </c>
      <c r="O408" s="37">
        <f t="shared" si="47"/>
        <v>0</v>
      </c>
      <c r="P408" s="55" cm="1">
        <f t="array" aca="1" ref="P408" ca="1">IF((L408-$C$16)&gt;0, IF($P$1+$C$16&gt;=L408,INDIRECT("M"&amp;(L408-$C$16)+5),0),0)</f>
        <v>0</v>
      </c>
      <c r="Q408" s="56" cm="1">
        <f t="array" aca="1" ref="Q408" ca="1">IF(L408&lt;=$C$16,0,IF($W$2&gt;=L408,IF(L408&lt;=($P$1+$C$16),INDIRECT("N"&amp;(L408-$C$16)+5),FV(SRate,L408-$P$1-$C$16,0,-$W$1,1)),0))</f>
        <v>0</v>
      </c>
      <c r="R408" s="56">
        <f t="shared" ca="1" si="48"/>
        <v>0</v>
      </c>
      <c r="S408" s="19">
        <f t="shared" si="50"/>
        <v>0</v>
      </c>
      <c r="T408" s="36" t="str" cm="1">
        <f t="array" aca="1" ref="T408" ca="1">IF(L408&lt;=$P$1,K408,IF(L408&lt;=($P$1+1),INDIRECT("K"&amp;5+$W$2),""))</f>
        <v/>
      </c>
      <c r="U408" s="38">
        <f t="shared" si="51"/>
        <v>34</v>
      </c>
    </row>
    <row r="409" spans="11:21" hidden="1" x14ac:dyDescent="0.25">
      <c r="K409" s="36">
        <f t="shared" ca="1" si="53"/>
        <v>58510</v>
      </c>
      <c r="L409" s="19">
        <v>404</v>
      </c>
      <c r="M409" s="19">
        <f t="shared" si="52"/>
        <v>0</v>
      </c>
      <c r="N409" s="37">
        <f t="shared" si="49"/>
        <v>0</v>
      </c>
      <c r="O409" s="37">
        <f t="shared" si="47"/>
        <v>0</v>
      </c>
      <c r="P409" s="55" cm="1">
        <f t="array" aca="1" ref="P409" ca="1">IF((L409-$C$16)&gt;0, IF($P$1+$C$16&gt;=L409,INDIRECT("M"&amp;(L409-$C$16)+5),0),0)</f>
        <v>0</v>
      </c>
      <c r="Q409" s="56" cm="1">
        <f t="array" aca="1" ref="Q409" ca="1">IF(L409&lt;=$C$16,0,IF($W$2&gt;=L409,IF(L409&lt;=($P$1+$C$16),INDIRECT("N"&amp;(L409-$C$16)+5),FV(SRate,L409-$P$1-$C$16,0,-$W$1,1)),0))</f>
        <v>0</v>
      </c>
      <c r="R409" s="56">
        <f t="shared" ca="1" si="48"/>
        <v>0</v>
      </c>
      <c r="S409" s="19">
        <f t="shared" si="50"/>
        <v>0</v>
      </c>
      <c r="T409" s="36" t="str" cm="1">
        <f t="array" aca="1" ref="T409" ca="1">IF(L409&lt;=$P$1,K409,IF(L409&lt;=($P$1+1),INDIRECT("K"&amp;5+$W$2),""))</f>
        <v/>
      </c>
      <c r="U409" s="38">
        <f t="shared" si="51"/>
        <v>34</v>
      </c>
    </row>
    <row r="410" spans="11:21" hidden="1" x14ac:dyDescent="0.25">
      <c r="K410" s="36">
        <f t="shared" ca="1" si="53"/>
        <v>58541</v>
      </c>
      <c r="L410" s="19">
        <v>405</v>
      </c>
      <c r="M410" s="19">
        <f t="shared" si="52"/>
        <v>0</v>
      </c>
      <c r="N410" s="37">
        <f t="shared" si="49"/>
        <v>0</v>
      </c>
      <c r="O410" s="37">
        <f t="shared" si="47"/>
        <v>0</v>
      </c>
      <c r="P410" s="55" cm="1">
        <f t="array" aca="1" ref="P410" ca="1">IF((L410-$C$16)&gt;0, IF($P$1+$C$16&gt;=L410,INDIRECT("M"&amp;(L410-$C$16)+5),0),0)</f>
        <v>0</v>
      </c>
      <c r="Q410" s="56" cm="1">
        <f t="array" aca="1" ref="Q410" ca="1">IF(L410&lt;=$C$16,0,IF($W$2&gt;=L410,IF(L410&lt;=($P$1+$C$16),INDIRECT("N"&amp;(L410-$C$16)+5),FV(SRate,L410-$P$1-$C$16,0,-$W$1,1)),0))</f>
        <v>0</v>
      </c>
      <c r="R410" s="56">
        <f t="shared" ca="1" si="48"/>
        <v>0</v>
      </c>
      <c r="S410" s="19">
        <f t="shared" si="50"/>
        <v>0</v>
      </c>
      <c r="T410" s="36" t="str" cm="1">
        <f t="array" aca="1" ref="T410" ca="1">IF(L410&lt;=$P$1,K410,IF(L410&lt;=($P$1+1),INDIRECT("K"&amp;5+$W$2),""))</f>
        <v/>
      </c>
      <c r="U410" s="38">
        <f t="shared" si="51"/>
        <v>34</v>
      </c>
    </row>
    <row r="411" spans="11:21" hidden="1" x14ac:dyDescent="0.25">
      <c r="K411" s="36">
        <f t="shared" ca="1" si="53"/>
        <v>58571</v>
      </c>
      <c r="L411" s="19">
        <v>406</v>
      </c>
      <c r="M411" s="19">
        <f t="shared" si="52"/>
        <v>0</v>
      </c>
      <c r="N411" s="37">
        <f t="shared" si="49"/>
        <v>0</v>
      </c>
      <c r="O411" s="37">
        <f t="shared" si="47"/>
        <v>0</v>
      </c>
      <c r="P411" s="55" cm="1">
        <f t="array" aca="1" ref="P411" ca="1">IF((L411-$C$16)&gt;0, IF($P$1+$C$16&gt;=L411,INDIRECT("M"&amp;(L411-$C$16)+5),0),0)</f>
        <v>0</v>
      </c>
      <c r="Q411" s="56" cm="1">
        <f t="array" aca="1" ref="Q411" ca="1">IF(L411&lt;=$C$16,0,IF($W$2&gt;=L411,IF(L411&lt;=($P$1+$C$16),INDIRECT("N"&amp;(L411-$C$16)+5),FV(SRate,L411-$P$1-$C$16,0,-$W$1,1)),0))</f>
        <v>0</v>
      </c>
      <c r="R411" s="56">
        <f t="shared" ca="1" si="48"/>
        <v>0</v>
      </c>
      <c r="S411" s="19">
        <f t="shared" si="50"/>
        <v>0</v>
      </c>
      <c r="T411" s="36" t="str" cm="1">
        <f t="array" aca="1" ref="T411" ca="1">IF(L411&lt;=$P$1,K411,IF(L411&lt;=($P$1+1),INDIRECT("K"&amp;5+$W$2),""))</f>
        <v/>
      </c>
      <c r="U411" s="38">
        <f t="shared" si="51"/>
        <v>34</v>
      </c>
    </row>
    <row r="412" spans="11:21" hidden="1" x14ac:dyDescent="0.25">
      <c r="K412" s="36">
        <f t="shared" ca="1" si="53"/>
        <v>58602</v>
      </c>
      <c r="L412" s="19">
        <v>407</v>
      </c>
      <c r="M412" s="19">
        <f t="shared" si="52"/>
        <v>0</v>
      </c>
      <c r="N412" s="37">
        <f t="shared" si="49"/>
        <v>0</v>
      </c>
      <c r="O412" s="37">
        <f t="shared" si="47"/>
        <v>0</v>
      </c>
      <c r="P412" s="55" cm="1">
        <f t="array" aca="1" ref="P412" ca="1">IF((L412-$C$16)&gt;0, IF($P$1+$C$16&gt;=L412,INDIRECT("M"&amp;(L412-$C$16)+5),0),0)</f>
        <v>0</v>
      </c>
      <c r="Q412" s="56" cm="1">
        <f t="array" aca="1" ref="Q412" ca="1">IF(L412&lt;=$C$16,0,IF($W$2&gt;=L412,IF(L412&lt;=($P$1+$C$16),INDIRECT("N"&amp;(L412-$C$16)+5),FV(SRate,L412-$P$1-$C$16,0,-$W$1,1)),0))</f>
        <v>0</v>
      </c>
      <c r="R412" s="56">
        <f t="shared" ca="1" si="48"/>
        <v>0</v>
      </c>
      <c r="S412" s="19">
        <f t="shared" si="50"/>
        <v>0</v>
      </c>
      <c r="T412" s="36" t="str" cm="1">
        <f t="array" aca="1" ref="T412" ca="1">IF(L412&lt;=$P$1,K412,IF(L412&lt;=($P$1+1),INDIRECT("K"&amp;5+$W$2),""))</f>
        <v/>
      </c>
      <c r="U412" s="38">
        <f t="shared" si="51"/>
        <v>34</v>
      </c>
    </row>
    <row r="413" spans="11:21" hidden="1" x14ac:dyDescent="0.25">
      <c r="K413" s="36">
        <f t="shared" ca="1" si="53"/>
        <v>58632</v>
      </c>
      <c r="L413" s="19">
        <v>408</v>
      </c>
      <c r="M413" s="19">
        <f t="shared" si="52"/>
        <v>0</v>
      </c>
      <c r="N413" s="37">
        <f t="shared" si="49"/>
        <v>0</v>
      </c>
      <c r="O413" s="37">
        <f t="shared" si="47"/>
        <v>0</v>
      </c>
      <c r="P413" s="55" cm="1">
        <f t="array" aca="1" ref="P413" ca="1">IF((L413-$C$16)&gt;0, IF($P$1+$C$16&gt;=L413,INDIRECT("M"&amp;(L413-$C$16)+5),0),0)</f>
        <v>0</v>
      </c>
      <c r="Q413" s="56" cm="1">
        <f t="array" aca="1" ref="Q413" ca="1">IF(L413&lt;=$C$16,0,IF($W$2&gt;=L413,IF(L413&lt;=($P$1+$C$16),INDIRECT("N"&amp;(L413-$C$16)+5),FV(SRate,L413-$P$1-$C$16,0,-$W$1,1)),0))</f>
        <v>0</v>
      </c>
      <c r="R413" s="56">
        <f t="shared" ca="1" si="48"/>
        <v>0</v>
      </c>
      <c r="S413" s="19">
        <f t="shared" si="50"/>
        <v>0</v>
      </c>
      <c r="T413" s="36" t="str" cm="1">
        <f t="array" aca="1" ref="T413" ca="1">IF(L413&lt;=$P$1,K413,IF(L413&lt;=($P$1+1),INDIRECT("K"&amp;5+$W$2),""))</f>
        <v/>
      </c>
      <c r="U413" s="38">
        <f t="shared" si="51"/>
        <v>34</v>
      </c>
    </row>
    <row r="414" spans="11:21" hidden="1" x14ac:dyDescent="0.25">
      <c r="K414" s="36">
        <f t="shared" ca="1" si="53"/>
        <v>58663</v>
      </c>
      <c r="L414" s="19">
        <v>409</v>
      </c>
      <c r="M414" s="19">
        <f t="shared" si="52"/>
        <v>0</v>
      </c>
      <c r="N414" s="37">
        <f t="shared" si="49"/>
        <v>0</v>
      </c>
      <c r="O414" s="37">
        <f t="shared" si="47"/>
        <v>0</v>
      </c>
      <c r="P414" s="55" cm="1">
        <f t="array" aca="1" ref="P414" ca="1">IF((L414-$C$16)&gt;0, IF($P$1+$C$16&gt;=L414,INDIRECT("M"&amp;(L414-$C$16)+5),0),0)</f>
        <v>0</v>
      </c>
      <c r="Q414" s="56" cm="1">
        <f t="array" aca="1" ref="Q414" ca="1">IF(L414&lt;=$C$16,0,IF($W$2&gt;=L414,IF(L414&lt;=($P$1+$C$16),INDIRECT("N"&amp;(L414-$C$16)+5),FV(SRate,L414-$P$1-$C$16,0,-$W$1,1)),0))</f>
        <v>0</v>
      </c>
      <c r="R414" s="56">
        <f t="shared" ca="1" si="48"/>
        <v>0</v>
      </c>
      <c r="S414" s="19">
        <f t="shared" si="50"/>
        <v>0</v>
      </c>
      <c r="T414" s="36" t="str" cm="1">
        <f t="array" aca="1" ref="T414" ca="1">IF(L414&lt;=$P$1,K414,IF(L414&lt;=($P$1+1),INDIRECT("K"&amp;5+$W$2),""))</f>
        <v/>
      </c>
      <c r="U414" s="38">
        <f t="shared" si="51"/>
        <v>35</v>
      </c>
    </row>
    <row r="415" spans="11:21" hidden="1" x14ac:dyDescent="0.25">
      <c r="K415" s="36">
        <f t="shared" ca="1" si="53"/>
        <v>58694</v>
      </c>
      <c r="L415" s="19">
        <v>410</v>
      </c>
      <c r="M415" s="19">
        <f t="shared" si="52"/>
        <v>0</v>
      </c>
      <c r="N415" s="37">
        <f t="shared" si="49"/>
        <v>0</v>
      </c>
      <c r="O415" s="37">
        <f t="shared" si="47"/>
        <v>0</v>
      </c>
      <c r="P415" s="55" cm="1">
        <f t="array" aca="1" ref="P415" ca="1">IF((L415-$C$16)&gt;0, IF($P$1+$C$16&gt;=L415,INDIRECT("M"&amp;(L415-$C$16)+5),0),0)</f>
        <v>0</v>
      </c>
      <c r="Q415" s="56" cm="1">
        <f t="array" aca="1" ref="Q415" ca="1">IF(L415&lt;=$C$16,0,IF($W$2&gt;=L415,IF(L415&lt;=($P$1+$C$16),INDIRECT("N"&amp;(L415-$C$16)+5),FV(SRate,L415-$P$1-$C$16,0,-$W$1,1)),0))</f>
        <v>0</v>
      </c>
      <c r="R415" s="56">
        <f t="shared" ca="1" si="48"/>
        <v>0</v>
      </c>
      <c r="S415" s="19">
        <f t="shared" si="50"/>
        <v>0</v>
      </c>
      <c r="T415" s="36" t="str" cm="1">
        <f t="array" aca="1" ref="T415" ca="1">IF(L415&lt;=$P$1,K415,IF(L415&lt;=($P$1+1),INDIRECT("K"&amp;5+$W$2),""))</f>
        <v/>
      </c>
      <c r="U415" s="38">
        <f t="shared" si="51"/>
        <v>35</v>
      </c>
    </row>
    <row r="416" spans="11:21" hidden="1" x14ac:dyDescent="0.25">
      <c r="K416" s="36">
        <f t="shared" ca="1" si="53"/>
        <v>58724</v>
      </c>
      <c r="L416" s="19">
        <v>411</v>
      </c>
      <c r="M416" s="19">
        <f t="shared" si="52"/>
        <v>0</v>
      </c>
      <c r="N416" s="37">
        <f t="shared" si="49"/>
        <v>0</v>
      </c>
      <c r="O416" s="37">
        <f t="shared" si="47"/>
        <v>0</v>
      </c>
      <c r="P416" s="55" cm="1">
        <f t="array" aca="1" ref="P416" ca="1">IF((L416-$C$16)&gt;0, IF($P$1+$C$16&gt;=L416,INDIRECT("M"&amp;(L416-$C$16)+5),0),0)</f>
        <v>0</v>
      </c>
      <c r="Q416" s="56" cm="1">
        <f t="array" aca="1" ref="Q416" ca="1">IF(L416&lt;=$C$16,0,IF($W$2&gt;=L416,IF(L416&lt;=($P$1+$C$16),INDIRECT("N"&amp;(L416-$C$16)+5),FV(SRate,L416-$P$1-$C$16,0,-$W$1,1)),0))</f>
        <v>0</v>
      </c>
      <c r="R416" s="56">
        <f t="shared" ca="1" si="48"/>
        <v>0</v>
      </c>
      <c r="S416" s="19">
        <f t="shared" si="50"/>
        <v>0</v>
      </c>
      <c r="T416" s="36" t="str" cm="1">
        <f t="array" aca="1" ref="T416" ca="1">IF(L416&lt;=$P$1,K416,IF(L416&lt;=($P$1+1),INDIRECT("K"&amp;5+$W$2),""))</f>
        <v/>
      </c>
      <c r="U416" s="38">
        <f t="shared" si="51"/>
        <v>35</v>
      </c>
    </row>
    <row r="417" spans="11:21" hidden="1" x14ac:dyDescent="0.25">
      <c r="K417" s="36">
        <f t="shared" ca="1" si="53"/>
        <v>58755</v>
      </c>
      <c r="L417" s="19">
        <v>412</v>
      </c>
      <c r="M417" s="19">
        <f t="shared" si="52"/>
        <v>0</v>
      </c>
      <c r="N417" s="37">
        <f t="shared" si="49"/>
        <v>0</v>
      </c>
      <c r="O417" s="37">
        <f t="shared" si="47"/>
        <v>0</v>
      </c>
      <c r="P417" s="55" cm="1">
        <f t="array" aca="1" ref="P417" ca="1">IF((L417-$C$16)&gt;0, IF($P$1+$C$16&gt;=L417,INDIRECT("M"&amp;(L417-$C$16)+5),0),0)</f>
        <v>0</v>
      </c>
      <c r="Q417" s="56" cm="1">
        <f t="array" aca="1" ref="Q417" ca="1">IF(L417&lt;=$C$16,0,IF($W$2&gt;=L417,IF(L417&lt;=($P$1+$C$16),INDIRECT("N"&amp;(L417-$C$16)+5),FV(SRate,L417-$P$1-$C$16,0,-$W$1,1)),0))</f>
        <v>0</v>
      </c>
      <c r="R417" s="56">
        <f t="shared" ca="1" si="48"/>
        <v>0</v>
      </c>
      <c r="S417" s="19">
        <f t="shared" si="50"/>
        <v>0</v>
      </c>
      <c r="T417" s="36" t="str" cm="1">
        <f t="array" aca="1" ref="T417" ca="1">IF(L417&lt;=$P$1,K417,IF(L417&lt;=($P$1+1),INDIRECT("K"&amp;5+$W$2),""))</f>
        <v/>
      </c>
      <c r="U417" s="38">
        <f t="shared" si="51"/>
        <v>35</v>
      </c>
    </row>
    <row r="418" spans="11:21" hidden="1" x14ac:dyDescent="0.25">
      <c r="K418" s="36">
        <f t="shared" ca="1" si="53"/>
        <v>58785</v>
      </c>
      <c r="L418" s="19">
        <v>413</v>
      </c>
      <c r="M418" s="19">
        <f t="shared" si="52"/>
        <v>0</v>
      </c>
      <c r="N418" s="37">
        <f t="shared" si="49"/>
        <v>0</v>
      </c>
      <c r="O418" s="37">
        <f t="shared" si="47"/>
        <v>0</v>
      </c>
      <c r="P418" s="55" cm="1">
        <f t="array" aca="1" ref="P418" ca="1">IF((L418-$C$16)&gt;0, IF($P$1+$C$16&gt;=L418,INDIRECT("M"&amp;(L418-$C$16)+5),0),0)</f>
        <v>0</v>
      </c>
      <c r="Q418" s="56" cm="1">
        <f t="array" aca="1" ref="Q418" ca="1">IF(L418&lt;=$C$16,0,IF($W$2&gt;=L418,IF(L418&lt;=($P$1+$C$16),INDIRECT("N"&amp;(L418-$C$16)+5),FV(SRate,L418-$P$1-$C$16,0,-$W$1,1)),0))</f>
        <v>0</v>
      </c>
      <c r="R418" s="56">
        <f t="shared" ca="1" si="48"/>
        <v>0</v>
      </c>
      <c r="S418" s="19">
        <f t="shared" si="50"/>
        <v>0</v>
      </c>
      <c r="T418" s="36" t="str" cm="1">
        <f t="array" aca="1" ref="T418" ca="1">IF(L418&lt;=$P$1,K418,IF(L418&lt;=($P$1+1),INDIRECT("K"&amp;5+$W$2),""))</f>
        <v/>
      </c>
      <c r="U418" s="38">
        <f t="shared" si="51"/>
        <v>35</v>
      </c>
    </row>
    <row r="419" spans="11:21" hidden="1" x14ac:dyDescent="0.25">
      <c r="K419" s="36">
        <f t="shared" ca="1" si="53"/>
        <v>58816</v>
      </c>
      <c r="L419" s="19">
        <v>414</v>
      </c>
      <c r="M419" s="19">
        <f t="shared" si="52"/>
        <v>0</v>
      </c>
      <c r="N419" s="37">
        <f t="shared" si="49"/>
        <v>0</v>
      </c>
      <c r="O419" s="37">
        <f t="shared" si="47"/>
        <v>0</v>
      </c>
      <c r="P419" s="55" cm="1">
        <f t="array" aca="1" ref="P419" ca="1">IF((L419-$C$16)&gt;0, IF($P$1+$C$16&gt;=L419,INDIRECT("M"&amp;(L419-$C$16)+5),0),0)</f>
        <v>0</v>
      </c>
      <c r="Q419" s="56" cm="1">
        <f t="array" aca="1" ref="Q419" ca="1">IF(L419&lt;=$C$16,0,IF($W$2&gt;=L419,IF(L419&lt;=($P$1+$C$16),INDIRECT("N"&amp;(L419-$C$16)+5),FV(SRate,L419-$P$1-$C$16,0,-$W$1,1)),0))</f>
        <v>0</v>
      </c>
      <c r="R419" s="56">
        <f t="shared" ca="1" si="48"/>
        <v>0</v>
      </c>
      <c r="S419" s="19">
        <f t="shared" si="50"/>
        <v>0</v>
      </c>
      <c r="T419" s="36" t="str" cm="1">
        <f t="array" aca="1" ref="T419" ca="1">IF(L419&lt;=$P$1,K419,IF(L419&lt;=($P$1+1),INDIRECT("K"&amp;5+$W$2),""))</f>
        <v/>
      </c>
      <c r="U419" s="38">
        <f t="shared" si="51"/>
        <v>35</v>
      </c>
    </row>
    <row r="420" spans="11:21" hidden="1" x14ac:dyDescent="0.25">
      <c r="K420" s="36">
        <f t="shared" ca="1" si="53"/>
        <v>58847</v>
      </c>
      <c r="L420" s="19">
        <v>415</v>
      </c>
      <c r="M420" s="19">
        <f t="shared" si="52"/>
        <v>0</v>
      </c>
      <c r="N420" s="37">
        <f t="shared" si="49"/>
        <v>0</v>
      </c>
      <c r="O420" s="37">
        <f t="shared" si="47"/>
        <v>0</v>
      </c>
      <c r="P420" s="55" cm="1">
        <f t="array" aca="1" ref="P420" ca="1">IF((L420-$C$16)&gt;0, IF($P$1+$C$16&gt;=L420,INDIRECT("M"&amp;(L420-$C$16)+5),0),0)</f>
        <v>0</v>
      </c>
      <c r="Q420" s="56" cm="1">
        <f t="array" aca="1" ref="Q420" ca="1">IF(L420&lt;=$C$16,0,IF($W$2&gt;=L420,IF(L420&lt;=($P$1+$C$16),INDIRECT("N"&amp;(L420-$C$16)+5),FV(SRate,L420-$P$1-$C$16,0,-$W$1,1)),0))</f>
        <v>0</v>
      </c>
      <c r="R420" s="56">
        <f t="shared" ca="1" si="48"/>
        <v>0</v>
      </c>
      <c r="S420" s="19">
        <f t="shared" si="50"/>
        <v>0</v>
      </c>
      <c r="T420" s="36" t="str" cm="1">
        <f t="array" aca="1" ref="T420" ca="1">IF(L420&lt;=$P$1,K420,IF(L420&lt;=($P$1+1),INDIRECT("K"&amp;5+$W$2),""))</f>
        <v/>
      </c>
      <c r="U420" s="38">
        <f t="shared" si="51"/>
        <v>35</v>
      </c>
    </row>
    <row r="421" spans="11:21" hidden="1" x14ac:dyDescent="0.25">
      <c r="K421" s="36">
        <f t="shared" ca="1" si="53"/>
        <v>58875</v>
      </c>
      <c r="L421" s="19">
        <v>416</v>
      </c>
      <c r="M421" s="19">
        <f t="shared" si="52"/>
        <v>0</v>
      </c>
      <c r="N421" s="37">
        <f t="shared" si="49"/>
        <v>0</v>
      </c>
      <c r="O421" s="37">
        <f t="shared" si="47"/>
        <v>0</v>
      </c>
      <c r="P421" s="55" cm="1">
        <f t="array" aca="1" ref="P421" ca="1">IF((L421-$C$16)&gt;0, IF($P$1+$C$16&gt;=L421,INDIRECT("M"&amp;(L421-$C$16)+5),0),0)</f>
        <v>0</v>
      </c>
      <c r="Q421" s="56" cm="1">
        <f t="array" aca="1" ref="Q421" ca="1">IF(L421&lt;=$C$16,0,IF($W$2&gt;=L421,IF(L421&lt;=($P$1+$C$16),INDIRECT("N"&amp;(L421-$C$16)+5),FV(SRate,L421-$P$1-$C$16,0,-$W$1,1)),0))</f>
        <v>0</v>
      </c>
      <c r="R421" s="56">
        <f t="shared" ca="1" si="48"/>
        <v>0</v>
      </c>
      <c r="S421" s="19">
        <f t="shared" si="50"/>
        <v>0</v>
      </c>
      <c r="T421" s="36" t="str" cm="1">
        <f t="array" aca="1" ref="T421" ca="1">IF(L421&lt;=$P$1,K421,IF(L421&lt;=($P$1+1),INDIRECT("K"&amp;5+$W$2),""))</f>
        <v/>
      </c>
      <c r="U421" s="38">
        <f t="shared" si="51"/>
        <v>35</v>
      </c>
    </row>
    <row r="422" spans="11:21" hidden="1" x14ac:dyDescent="0.25">
      <c r="K422" s="36">
        <f t="shared" ca="1" si="53"/>
        <v>58906</v>
      </c>
      <c r="L422" s="19">
        <v>417</v>
      </c>
      <c r="M422" s="19">
        <f t="shared" si="52"/>
        <v>0</v>
      </c>
      <c r="N422" s="37">
        <f t="shared" si="49"/>
        <v>0</v>
      </c>
      <c r="O422" s="37">
        <f t="shared" si="47"/>
        <v>0</v>
      </c>
      <c r="P422" s="55" cm="1">
        <f t="array" aca="1" ref="P422" ca="1">IF((L422-$C$16)&gt;0, IF($P$1+$C$16&gt;=L422,INDIRECT("M"&amp;(L422-$C$16)+5),0),0)</f>
        <v>0</v>
      </c>
      <c r="Q422" s="56" cm="1">
        <f t="array" aca="1" ref="Q422" ca="1">IF(L422&lt;=$C$16,0,IF($W$2&gt;=L422,IF(L422&lt;=($P$1+$C$16),INDIRECT("N"&amp;(L422-$C$16)+5),FV(SRate,L422-$P$1-$C$16,0,-$W$1,1)),0))</f>
        <v>0</v>
      </c>
      <c r="R422" s="56">
        <f t="shared" ca="1" si="48"/>
        <v>0</v>
      </c>
      <c r="S422" s="19">
        <f t="shared" si="50"/>
        <v>0</v>
      </c>
      <c r="T422" s="36" t="str" cm="1">
        <f t="array" aca="1" ref="T422" ca="1">IF(L422&lt;=$P$1,K422,IF(L422&lt;=($P$1+1),INDIRECT("K"&amp;5+$W$2),""))</f>
        <v/>
      </c>
      <c r="U422" s="38">
        <f t="shared" si="51"/>
        <v>35</v>
      </c>
    </row>
    <row r="423" spans="11:21" hidden="1" x14ac:dyDescent="0.25">
      <c r="K423" s="36">
        <f t="shared" ca="1" si="53"/>
        <v>58936</v>
      </c>
      <c r="L423" s="19">
        <v>418</v>
      </c>
      <c r="M423" s="19">
        <f t="shared" si="52"/>
        <v>0</v>
      </c>
      <c r="N423" s="37">
        <f t="shared" si="49"/>
        <v>0</v>
      </c>
      <c r="O423" s="37">
        <f t="shared" si="47"/>
        <v>0</v>
      </c>
      <c r="P423" s="55" cm="1">
        <f t="array" aca="1" ref="P423" ca="1">IF((L423-$C$16)&gt;0, IF($P$1+$C$16&gt;=L423,INDIRECT("M"&amp;(L423-$C$16)+5),0),0)</f>
        <v>0</v>
      </c>
      <c r="Q423" s="56" cm="1">
        <f t="array" aca="1" ref="Q423" ca="1">IF(L423&lt;=$C$16,0,IF($W$2&gt;=L423,IF(L423&lt;=($P$1+$C$16),INDIRECT("N"&amp;(L423-$C$16)+5),FV(SRate,L423-$P$1-$C$16,0,-$W$1,1)),0))</f>
        <v>0</v>
      </c>
      <c r="R423" s="56">
        <f t="shared" ca="1" si="48"/>
        <v>0</v>
      </c>
      <c r="S423" s="19">
        <f t="shared" si="50"/>
        <v>0</v>
      </c>
      <c r="T423" s="36" t="str" cm="1">
        <f t="array" aca="1" ref="T423" ca="1">IF(L423&lt;=$P$1,K423,IF(L423&lt;=($P$1+1),INDIRECT("K"&amp;5+$W$2),""))</f>
        <v/>
      </c>
      <c r="U423" s="38">
        <f t="shared" si="51"/>
        <v>35</v>
      </c>
    </row>
    <row r="424" spans="11:21" hidden="1" x14ac:dyDescent="0.25">
      <c r="K424" s="36">
        <f t="shared" ca="1" si="53"/>
        <v>58967</v>
      </c>
      <c r="L424" s="19">
        <v>419</v>
      </c>
      <c r="M424" s="19">
        <f t="shared" si="52"/>
        <v>0</v>
      </c>
      <c r="N424" s="37">
        <f t="shared" si="49"/>
        <v>0</v>
      </c>
      <c r="O424" s="37">
        <f t="shared" si="47"/>
        <v>0</v>
      </c>
      <c r="P424" s="55" cm="1">
        <f t="array" aca="1" ref="P424" ca="1">IF((L424-$C$16)&gt;0, IF($P$1+$C$16&gt;=L424,INDIRECT("M"&amp;(L424-$C$16)+5),0),0)</f>
        <v>0</v>
      </c>
      <c r="Q424" s="56" cm="1">
        <f t="array" aca="1" ref="Q424" ca="1">IF(L424&lt;=$C$16,0,IF($W$2&gt;=L424,IF(L424&lt;=($P$1+$C$16),INDIRECT("N"&amp;(L424-$C$16)+5),FV(SRate,L424-$P$1-$C$16,0,-$W$1,1)),0))</f>
        <v>0</v>
      </c>
      <c r="R424" s="56">
        <f t="shared" ca="1" si="48"/>
        <v>0</v>
      </c>
      <c r="S424" s="19">
        <f t="shared" si="50"/>
        <v>0</v>
      </c>
      <c r="T424" s="36" t="str" cm="1">
        <f t="array" aca="1" ref="T424" ca="1">IF(L424&lt;=$P$1,K424,IF(L424&lt;=($P$1+1),INDIRECT("K"&amp;5+$W$2),""))</f>
        <v/>
      </c>
      <c r="U424" s="38">
        <f t="shared" si="51"/>
        <v>35</v>
      </c>
    </row>
    <row r="425" spans="11:21" hidden="1" x14ac:dyDescent="0.25">
      <c r="K425" s="36">
        <f t="shared" ca="1" si="53"/>
        <v>58997</v>
      </c>
      <c r="L425" s="19">
        <v>420</v>
      </c>
      <c r="M425" s="19">
        <f t="shared" si="52"/>
        <v>0</v>
      </c>
      <c r="N425" s="37">
        <f t="shared" si="49"/>
        <v>0</v>
      </c>
      <c r="O425" s="37">
        <f t="shared" si="47"/>
        <v>0</v>
      </c>
      <c r="P425" s="55" cm="1">
        <f t="array" aca="1" ref="P425" ca="1">IF((L425-$C$16)&gt;0, IF($P$1+$C$16&gt;=L425,INDIRECT("M"&amp;(L425-$C$16)+5),0),0)</f>
        <v>0</v>
      </c>
      <c r="Q425" s="56" cm="1">
        <f t="array" aca="1" ref="Q425" ca="1">IF(L425&lt;=$C$16,0,IF($W$2&gt;=L425,IF(L425&lt;=($P$1+$C$16),INDIRECT("N"&amp;(L425-$C$16)+5),FV(SRate,L425-$P$1-$C$16,0,-$W$1,1)),0))</f>
        <v>0</v>
      </c>
      <c r="R425" s="56">
        <f t="shared" ca="1" si="48"/>
        <v>0</v>
      </c>
      <c r="S425" s="19">
        <f t="shared" si="50"/>
        <v>0</v>
      </c>
      <c r="T425" s="36" t="str" cm="1">
        <f t="array" aca="1" ref="T425" ca="1">IF(L425&lt;=$P$1,K425,IF(L425&lt;=($P$1+1),INDIRECT("K"&amp;5+$W$2),""))</f>
        <v/>
      </c>
      <c r="U425" s="38">
        <f t="shared" si="51"/>
        <v>35</v>
      </c>
    </row>
    <row r="426" spans="11:21" hidden="1" x14ac:dyDescent="0.25">
      <c r="K426" s="36">
        <f t="shared" ca="1" si="53"/>
        <v>59028</v>
      </c>
      <c r="L426" s="19">
        <v>421</v>
      </c>
      <c r="M426" s="19">
        <f t="shared" si="52"/>
        <v>0</v>
      </c>
      <c r="N426" s="37">
        <f t="shared" si="49"/>
        <v>0</v>
      </c>
      <c r="O426" s="37">
        <f t="shared" si="47"/>
        <v>0</v>
      </c>
      <c r="P426" s="55" cm="1">
        <f t="array" aca="1" ref="P426" ca="1">IF((L426-$C$16)&gt;0, IF($P$1+$C$16&gt;=L426,INDIRECT("M"&amp;(L426-$C$16)+5),0),0)</f>
        <v>0</v>
      </c>
      <c r="Q426" s="56" cm="1">
        <f t="array" aca="1" ref="Q426" ca="1">IF(L426&lt;=$C$16,0,IF($W$2&gt;=L426,IF(L426&lt;=($P$1+$C$16),INDIRECT("N"&amp;(L426-$C$16)+5),FV(SRate,L426-$P$1-$C$16,0,-$W$1,1)),0))</f>
        <v>0</v>
      </c>
      <c r="R426" s="56">
        <f t="shared" ca="1" si="48"/>
        <v>0</v>
      </c>
      <c r="S426" s="19">
        <f t="shared" si="50"/>
        <v>0</v>
      </c>
      <c r="T426" s="36" t="str" cm="1">
        <f t="array" aca="1" ref="T426" ca="1">IF(L426&lt;=$P$1,K426,IF(L426&lt;=($P$1+1),INDIRECT("K"&amp;5+$W$2),""))</f>
        <v/>
      </c>
      <c r="U426" s="38">
        <f t="shared" si="51"/>
        <v>36</v>
      </c>
    </row>
    <row r="427" spans="11:21" hidden="1" x14ac:dyDescent="0.25">
      <c r="K427" s="36">
        <f t="shared" ca="1" si="53"/>
        <v>59059</v>
      </c>
      <c r="L427" s="19">
        <v>422</v>
      </c>
      <c r="M427" s="19">
        <f t="shared" si="52"/>
        <v>0</v>
      </c>
      <c r="N427" s="37">
        <f t="shared" si="49"/>
        <v>0</v>
      </c>
      <c r="O427" s="37">
        <f t="shared" si="47"/>
        <v>0</v>
      </c>
      <c r="P427" s="55" cm="1">
        <f t="array" aca="1" ref="P427" ca="1">IF((L427-$C$16)&gt;0, IF($P$1+$C$16&gt;=L427,INDIRECT("M"&amp;(L427-$C$16)+5),0),0)</f>
        <v>0</v>
      </c>
      <c r="Q427" s="56" cm="1">
        <f t="array" aca="1" ref="Q427" ca="1">IF(L427&lt;=$C$16,0,IF($W$2&gt;=L427,IF(L427&lt;=($P$1+$C$16),INDIRECT("N"&amp;(L427-$C$16)+5),FV(SRate,L427-$P$1-$C$16,0,-$W$1,1)),0))</f>
        <v>0</v>
      </c>
      <c r="R427" s="56">
        <f t="shared" ca="1" si="48"/>
        <v>0</v>
      </c>
      <c r="S427" s="19">
        <f t="shared" si="50"/>
        <v>0</v>
      </c>
      <c r="T427" s="36" t="str" cm="1">
        <f t="array" aca="1" ref="T427" ca="1">IF(L427&lt;=$P$1,K427,IF(L427&lt;=($P$1+1),INDIRECT("K"&amp;5+$W$2),""))</f>
        <v/>
      </c>
      <c r="U427" s="38">
        <f t="shared" si="51"/>
        <v>36</v>
      </c>
    </row>
    <row r="428" spans="11:21" hidden="1" x14ac:dyDescent="0.25">
      <c r="K428" s="36">
        <f t="shared" ca="1" si="53"/>
        <v>59089</v>
      </c>
      <c r="L428" s="19">
        <v>423</v>
      </c>
      <c r="M428" s="19">
        <f t="shared" si="52"/>
        <v>0</v>
      </c>
      <c r="N428" s="37">
        <f t="shared" si="49"/>
        <v>0</v>
      </c>
      <c r="O428" s="37">
        <f t="shared" si="47"/>
        <v>0</v>
      </c>
      <c r="P428" s="55" cm="1">
        <f t="array" aca="1" ref="P428" ca="1">IF((L428-$C$16)&gt;0, IF($P$1+$C$16&gt;=L428,INDIRECT("M"&amp;(L428-$C$16)+5),0),0)</f>
        <v>0</v>
      </c>
      <c r="Q428" s="56" cm="1">
        <f t="array" aca="1" ref="Q428" ca="1">IF(L428&lt;=$C$16,0,IF($W$2&gt;=L428,IF(L428&lt;=($P$1+$C$16),INDIRECT("N"&amp;(L428-$C$16)+5),FV(SRate,L428-$P$1-$C$16,0,-$W$1,1)),0))</f>
        <v>0</v>
      </c>
      <c r="R428" s="56">
        <f t="shared" ca="1" si="48"/>
        <v>0</v>
      </c>
      <c r="S428" s="19">
        <f t="shared" si="50"/>
        <v>0</v>
      </c>
      <c r="T428" s="36" t="str" cm="1">
        <f t="array" aca="1" ref="T428" ca="1">IF(L428&lt;=$P$1,K428,IF(L428&lt;=($P$1+1),INDIRECT("K"&amp;5+$W$2),""))</f>
        <v/>
      </c>
      <c r="U428" s="38">
        <f t="shared" si="51"/>
        <v>36</v>
      </c>
    </row>
    <row r="429" spans="11:21" hidden="1" x14ac:dyDescent="0.25">
      <c r="K429" s="36">
        <f t="shared" ca="1" si="53"/>
        <v>59120</v>
      </c>
      <c r="L429" s="19">
        <v>424</v>
      </c>
      <c r="M429" s="19">
        <f t="shared" si="52"/>
        <v>0</v>
      </c>
      <c r="N429" s="37">
        <f t="shared" si="49"/>
        <v>0</v>
      </c>
      <c r="O429" s="37">
        <f t="shared" si="47"/>
        <v>0</v>
      </c>
      <c r="P429" s="55" cm="1">
        <f t="array" aca="1" ref="P429" ca="1">IF((L429-$C$16)&gt;0, IF($P$1+$C$16&gt;=L429,INDIRECT("M"&amp;(L429-$C$16)+5),0),0)</f>
        <v>0</v>
      </c>
      <c r="Q429" s="56" cm="1">
        <f t="array" aca="1" ref="Q429" ca="1">IF(L429&lt;=$C$16,0,IF($W$2&gt;=L429,IF(L429&lt;=($P$1+$C$16),INDIRECT("N"&amp;(L429-$C$16)+5),FV(SRate,L429-$P$1-$C$16,0,-$W$1,1)),0))</f>
        <v>0</v>
      </c>
      <c r="R429" s="56">
        <f t="shared" ca="1" si="48"/>
        <v>0</v>
      </c>
      <c r="S429" s="19">
        <f t="shared" si="50"/>
        <v>0</v>
      </c>
      <c r="T429" s="36" t="str" cm="1">
        <f t="array" aca="1" ref="T429" ca="1">IF(L429&lt;=$P$1,K429,IF(L429&lt;=($P$1+1),INDIRECT("K"&amp;5+$W$2),""))</f>
        <v/>
      </c>
      <c r="U429" s="38">
        <f t="shared" si="51"/>
        <v>36</v>
      </c>
    </row>
    <row r="430" spans="11:21" hidden="1" x14ac:dyDescent="0.25">
      <c r="K430" s="36">
        <f t="shared" ca="1" si="53"/>
        <v>59150</v>
      </c>
      <c r="L430" s="19">
        <v>425</v>
      </c>
      <c r="M430" s="19">
        <f t="shared" si="52"/>
        <v>0</v>
      </c>
      <c r="N430" s="37">
        <f t="shared" si="49"/>
        <v>0</v>
      </c>
      <c r="O430" s="37">
        <f t="shared" si="47"/>
        <v>0</v>
      </c>
      <c r="P430" s="55" cm="1">
        <f t="array" aca="1" ref="P430" ca="1">IF((L430-$C$16)&gt;0, IF($P$1+$C$16&gt;=L430,INDIRECT("M"&amp;(L430-$C$16)+5),0),0)</f>
        <v>0</v>
      </c>
      <c r="Q430" s="56" cm="1">
        <f t="array" aca="1" ref="Q430" ca="1">IF(L430&lt;=$C$16,0,IF($W$2&gt;=L430,IF(L430&lt;=($P$1+$C$16),INDIRECT("N"&amp;(L430-$C$16)+5),FV(SRate,L430-$P$1-$C$16,0,-$W$1,1)),0))</f>
        <v>0</v>
      </c>
      <c r="R430" s="56">
        <f t="shared" ca="1" si="48"/>
        <v>0</v>
      </c>
      <c r="S430" s="19">
        <f t="shared" si="50"/>
        <v>0</v>
      </c>
      <c r="T430" s="36" t="str" cm="1">
        <f t="array" aca="1" ref="T430" ca="1">IF(L430&lt;=$P$1,K430,IF(L430&lt;=($P$1+1),INDIRECT("K"&amp;5+$W$2),""))</f>
        <v/>
      </c>
      <c r="U430" s="38">
        <f t="shared" si="51"/>
        <v>36</v>
      </c>
    </row>
    <row r="431" spans="11:21" hidden="1" x14ac:dyDescent="0.25">
      <c r="K431" s="36">
        <f t="shared" ca="1" si="53"/>
        <v>59181</v>
      </c>
      <c r="L431" s="19">
        <v>426</v>
      </c>
      <c r="M431" s="19">
        <f t="shared" si="52"/>
        <v>0</v>
      </c>
      <c r="N431" s="37">
        <f t="shared" si="49"/>
        <v>0</v>
      </c>
      <c r="O431" s="37">
        <f t="shared" si="47"/>
        <v>0</v>
      </c>
      <c r="P431" s="55" cm="1">
        <f t="array" aca="1" ref="P431" ca="1">IF((L431-$C$16)&gt;0, IF($P$1+$C$16&gt;=L431,INDIRECT("M"&amp;(L431-$C$16)+5),0),0)</f>
        <v>0</v>
      </c>
      <c r="Q431" s="56" cm="1">
        <f t="array" aca="1" ref="Q431" ca="1">IF(L431&lt;=$C$16,0,IF($W$2&gt;=L431,IF(L431&lt;=($P$1+$C$16),INDIRECT("N"&amp;(L431-$C$16)+5),FV(SRate,L431-$P$1-$C$16,0,-$W$1,1)),0))</f>
        <v>0</v>
      </c>
      <c r="R431" s="56">
        <f t="shared" ca="1" si="48"/>
        <v>0</v>
      </c>
      <c r="S431" s="19">
        <f t="shared" si="50"/>
        <v>0</v>
      </c>
      <c r="T431" s="36" t="str" cm="1">
        <f t="array" aca="1" ref="T431" ca="1">IF(L431&lt;=$P$1,K431,IF(L431&lt;=($P$1+1),INDIRECT("K"&amp;5+$W$2),""))</f>
        <v/>
      </c>
      <c r="U431" s="38">
        <f t="shared" si="51"/>
        <v>36</v>
      </c>
    </row>
    <row r="432" spans="11:21" hidden="1" x14ac:dyDescent="0.25">
      <c r="K432" s="36">
        <f t="shared" ca="1" si="53"/>
        <v>59212</v>
      </c>
      <c r="L432" s="19">
        <v>427</v>
      </c>
      <c r="M432" s="19">
        <f t="shared" si="52"/>
        <v>0</v>
      </c>
      <c r="N432" s="37">
        <f t="shared" si="49"/>
        <v>0</v>
      </c>
      <c r="O432" s="37">
        <f t="shared" si="47"/>
        <v>0</v>
      </c>
      <c r="P432" s="55" cm="1">
        <f t="array" aca="1" ref="P432" ca="1">IF((L432-$C$16)&gt;0, IF($P$1+$C$16&gt;=L432,INDIRECT("M"&amp;(L432-$C$16)+5),0),0)</f>
        <v>0</v>
      </c>
      <c r="Q432" s="56" cm="1">
        <f t="array" aca="1" ref="Q432" ca="1">IF(L432&lt;=$C$16,0,IF($W$2&gt;=L432,IF(L432&lt;=($P$1+$C$16),INDIRECT("N"&amp;(L432-$C$16)+5),FV(SRate,L432-$P$1-$C$16,0,-$W$1,1)),0))</f>
        <v>0</v>
      </c>
      <c r="R432" s="56">
        <f t="shared" ca="1" si="48"/>
        <v>0</v>
      </c>
      <c r="S432" s="19">
        <f t="shared" si="50"/>
        <v>0</v>
      </c>
      <c r="T432" s="36" t="str" cm="1">
        <f t="array" aca="1" ref="T432" ca="1">IF(L432&lt;=$P$1,K432,IF(L432&lt;=($P$1+1),INDIRECT("K"&amp;5+$W$2),""))</f>
        <v/>
      </c>
      <c r="U432" s="38">
        <f t="shared" si="51"/>
        <v>36</v>
      </c>
    </row>
    <row r="433" spans="11:21" hidden="1" x14ac:dyDescent="0.25">
      <c r="K433" s="36">
        <f t="shared" ca="1" si="53"/>
        <v>59240</v>
      </c>
      <c r="L433" s="19">
        <v>428</v>
      </c>
      <c r="M433" s="19">
        <f t="shared" si="52"/>
        <v>0</v>
      </c>
      <c r="N433" s="37">
        <f t="shared" si="49"/>
        <v>0</v>
      </c>
      <c r="O433" s="37">
        <f t="shared" si="47"/>
        <v>0</v>
      </c>
      <c r="P433" s="55" cm="1">
        <f t="array" aca="1" ref="P433" ca="1">IF((L433-$C$16)&gt;0, IF($P$1+$C$16&gt;=L433,INDIRECT("M"&amp;(L433-$C$16)+5),0),0)</f>
        <v>0</v>
      </c>
      <c r="Q433" s="56" cm="1">
        <f t="array" aca="1" ref="Q433" ca="1">IF(L433&lt;=$C$16,0,IF($W$2&gt;=L433,IF(L433&lt;=($P$1+$C$16),INDIRECT("N"&amp;(L433-$C$16)+5),FV(SRate,L433-$P$1-$C$16,0,-$W$1,1)),0))</f>
        <v>0</v>
      </c>
      <c r="R433" s="56">
        <f t="shared" ca="1" si="48"/>
        <v>0</v>
      </c>
      <c r="S433" s="19">
        <f t="shared" si="50"/>
        <v>0</v>
      </c>
      <c r="T433" s="36" t="str" cm="1">
        <f t="array" aca="1" ref="T433" ca="1">IF(L433&lt;=$P$1,K433,IF(L433&lt;=($P$1+1),INDIRECT("K"&amp;5+$W$2),""))</f>
        <v/>
      </c>
      <c r="U433" s="38">
        <f t="shared" si="51"/>
        <v>36</v>
      </c>
    </row>
    <row r="434" spans="11:21" hidden="1" x14ac:dyDescent="0.25">
      <c r="K434" s="36">
        <f t="shared" ca="1" si="53"/>
        <v>59271</v>
      </c>
      <c r="L434" s="19">
        <v>429</v>
      </c>
      <c r="M434" s="19">
        <f t="shared" si="52"/>
        <v>0</v>
      </c>
      <c r="N434" s="37">
        <f t="shared" si="49"/>
        <v>0</v>
      </c>
      <c r="O434" s="37">
        <f t="shared" si="47"/>
        <v>0</v>
      </c>
      <c r="P434" s="55" cm="1">
        <f t="array" aca="1" ref="P434" ca="1">IF((L434-$C$16)&gt;0, IF($P$1+$C$16&gt;=L434,INDIRECT("M"&amp;(L434-$C$16)+5),0),0)</f>
        <v>0</v>
      </c>
      <c r="Q434" s="56" cm="1">
        <f t="array" aca="1" ref="Q434" ca="1">IF(L434&lt;=$C$16,0,IF($W$2&gt;=L434,IF(L434&lt;=($P$1+$C$16),INDIRECT("N"&amp;(L434-$C$16)+5),FV(SRate,L434-$P$1-$C$16,0,-$W$1,1)),0))</f>
        <v>0</v>
      </c>
      <c r="R434" s="56">
        <f t="shared" ca="1" si="48"/>
        <v>0</v>
      </c>
      <c r="S434" s="19">
        <f t="shared" si="50"/>
        <v>0</v>
      </c>
      <c r="T434" s="36" t="str" cm="1">
        <f t="array" aca="1" ref="T434" ca="1">IF(L434&lt;=$P$1,K434,IF(L434&lt;=($P$1+1),INDIRECT("K"&amp;5+$W$2),""))</f>
        <v/>
      </c>
      <c r="U434" s="38">
        <f t="shared" si="51"/>
        <v>36</v>
      </c>
    </row>
    <row r="435" spans="11:21" hidden="1" x14ac:dyDescent="0.25">
      <c r="K435" s="36">
        <f t="shared" ca="1" si="53"/>
        <v>59301</v>
      </c>
      <c r="L435" s="19">
        <v>430</v>
      </c>
      <c r="M435" s="19">
        <f t="shared" si="52"/>
        <v>0</v>
      </c>
      <c r="N435" s="37">
        <f t="shared" si="49"/>
        <v>0</v>
      </c>
      <c r="O435" s="37">
        <f t="shared" si="47"/>
        <v>0</v>
      </c>
      <c r="P435" s="55" cm="1">
        <f t="array" aca="1" ref="P435" ca="1">IF((L435-$C$16)&gt;0, IF($P$1+$C$16&gt;=L435,INDIRECT("M"&amp;(L435-$C$16)+5),0),0)</f>
        <v>0</v>
      </c>
      <c r="Q435" s="56" cm="1">
        <f t="array" aca="1" ref="Q435" ca="1">IF(L435&lt;=$C$16,0,IF($W$2&gt;=L435,IF(L435&lt;=($P$1+$C$16),INDIRECT("N"&amp;(L435-$C$16)+5),FV(SRate,L435-$P$1-$C$16,0,-$W$1,1)),0))</f>
        <v>0</v>
      </c>
      <c r="R435" s="56">
        <f t="shared" ca="1" si="48"/>
        <v>0</v>
      </c>
      <c r="S435" s="19">
        <f t="shared" si="50"/>
        <v>0</v>
      </c>
      <c r="T435" s="36" t="str" cm="1">
        <f t="array" aca="1" ref="T435" ca="1">IF(L435&lt;=$P$1,K435,IF(L435&lt;=($P$1+1),INDIRECT("K"&amp;5+$W$2),""))</f>
        <v/>
      </c>
      <c r="U435" s="38">
        <f t="shared" si="51"/>
        <v>36</v>
      </c>
    </row>
    <row r="436" spans="11:21" hidden="1" x14ac:dyDescent="0.25">
      <c r="K436" s="36">
        <f t="shared" ca="1" si="53"/>
        <v>59332</v>
      </c>
      <c r="L436" s="19">
        <v>431</v>
      </c>
      <c r="M436" s="19">
        <f t="shared" si="52"/>
        <v>0</v>
      </c>
      <c r="N436" s="37">
        <f t="shared" si="49"/>
        <v>0</v>
      </c>
      <c r="O436" s="37">
        <f t="shared" si="47"/>
        <v>0</v>
      </c>
      <c r="P436" s="55" cm="1">
        <f t="array" aca="1" ref="P436" ca="1">IF((L436-$C$16)&gt;0, IF($P$1+$C$16&gt;=L436,INDIRECT("M"&amp;(L436-$C$16)+5),0),0)</f>
        <v>0</v>
      </c>
      <c r="Q436" s="56" cm="1">
        <f t="array" aca="1" ref="Q436" ca="1">IF(L436&lt;=$C$16,0,IF($W$2&gt;=L436,IF(L436&lt;=($P$1+$C$16),INDIRECT("N"&amp;(L436-$C$16)+5),FV(SRate,L436-$P$1-$C$16,0,-$W$1,1)),0))</f>
        <v>0</v>
      </c>
      <c r="R436" s="56">
        <f t="shared" ca="1" si="48"/>
        <v>0</v>
      </c>
      <c r="S436" s="19">
        <f t="shared" si="50"/>
        <v>0</v>
      </c>
      <c r="T436" s="36" t="str" cm="1">
        <f t="array" aca="1" ref="T436" ca="1">IF(L436&lt;=$P$1,K436,IF(L436&lt;=($P$1+1),INDIRECT("K"&amp;5+$W$2),""))</f>
        <v/>
      </c>
      <c r="U436" s="38">
        <f t="shared" si="51"/>
        <v>36</v>
      </c>
    </row>
    <row r="437" spans="11:21" hidden="1" x14ac:dyDescent="0.25">
      <c r="K437" s="36">
        <f t="shared" ca="1" si="53"/>
        <v>59362</v>
      </c>
      <c r="L437" s="19">
        <v>432</v>
      </c>
      <c r="M437" s="19">
        <f t="shared" si="52"/>
        <v>0</v>
      </c>
      <c r="N437" s="37">
        <f t="shared" si="49"/>
        <v>0</v>
      </c>
      <c r="O437" s="37">
        <f t="shared" si="47"/>
        <v>0</v>
      </c>
      <c r="P437" s="55" cm="1">
        <f t="array" aca="1" ref="P437" ca="1">IF((L437-$C$16)&gt;0, IF($P$1+$C$16&gt;=L437,INDIRECT("M"&amp;(L437-$C$16)+5),0),0)</f>
        <v>0</v>
      </c>
      <c r="Q437" s="56" cm="1">
        <f t="array" aca="1" ref="Q437" ca="1">IF(L437&lt;=$C$16,0,IF($W$2&gt;=L437,IF(L437&lt;=($P$1+$C$16),INDIRECT("N"&amp;(L437-$C$16)+5),FV(SRate,L437-$P$1-$C$16,0,-$W$1,1)),0))</f>
        <v>0</v>
      </c>
      <c r="R437" s="56">
        <f t="shared" ca="1" si="48"/>
        <v>0</v>
      </c>
      <c r="S437" s="19">
        <f t="shared" si="50"/>
        <v>0</v>
      </c>
      <c r="T437" s="36" t="str" cm="1">
        <f t="array" aca="1" ref="T437" ca="1">IF(L437&lt;=$P$1,K437,IF(L437&lt;=($P$1+1),INDIRECT("K"&amp;5+$W$2),""))</f>
        <v/>
      </c>
      <c r="U437" s="38">
        <f t="shared" si="51"/>
        <v>36</v>
      </c>
    </row>
    <row r="438" spans="11:21" hidden="1" x14ac:dyDescent="0.25">
      <c r="K438" s="36">
        <f t="shared" ca="1" si="53"/>
        <v>59393</v>
      </c>
      <c r="L438" s="19">
        <v>433</v>
      </c>
      <c r="M438" s="19">
        <f t="shared" si="52"/>
        <v>0</v>
      </c>
      <c r="N438" s="37">
        <f t="shared" si="49"/>
        <v>0</v>
      </c>
      <c r="O438" s="37">
        <f t="shared" si="47"/>
        <v>0</v>
      </c>
      <c r="P438" s="55" cm="1">
        <f t="array" aca="1" ref="P438" ca="1">IF((L438-$C$16)&gt;0, IF($P$1+$C$16&gt;=L438,INDIRECT("M"&amp;(L438-$C$16)+5),0),0)</f>
        <v>0</v>
      </c>
      <c r="Q438" s="56" cm="1">
        <f t="array" aca="1" ref="Q438" ca="1">IF(L438&lt;=$C$16,0,IF($W$2&gt;=L438,IF(L438&lt;=($P$1+$C$16),INDIRECT("N"&amp;(L438-$C$16)+5),FV(SRate,L438-$P$1-$C$16,0,-$W$1,1)),0))</f>
        <v>0</v>
      </c>
      <c r="R438" s="56">
        <f t="shared" ca="1" si="48"/>
        <v>0</v>
      </c>
      <c r="S438" s="19">
        <f t="shared" si="50"/>
        <v>0</v>
      </c>
      <c r="T438" s="36" t="str" cm="1">
        <f t="array" aca="1" ref="T438" ca="1">IF(L438&lt;=$P$1,K438,IF(L438&lt;=($P$1+1),INDIRECT("K"&amp;5+$W$2),""))</f>
        <v/>
      </c>
      <c r="U438" s="38">
        <f t="shared" si="51"/>
        <v>37</v>
      </c>
    </row>
    <row r="439" spans="11:21" hidden="1" x14ac:dyDescent="0.25">
      <c r="K439" s="36">
        <f t="shared" ca="1" si="53"/>
        <v>59424</v>
      </c>
      <c r="L439" s="19">
        <v>434</v>
      </c>
      <c r="M439" s="19">
        <f t="shared" si="52"/>
        <v>0</v>
      </c>
      <c r="N439" s="37">
        <f t="shared" si="49"/>
        <v>0</v>
      </c>
      <c r="O439" s="37">
        <f t="shared" si="47"/>
        <v>0</v>
      </c>
      <c r="P439" s="55" cm="1">
        <f t="array" aca="1" ref="P439" ca="1">IF((L439-$C$16)&gt;0, IF($P$1+$C$16&gt;=L439,INDIRECT("M"&amp;(L439-$C$16)+5),0),0)</f>
        <v>0</v>
      </c>
      <c r="Q439" s="56" cm="1">
        <f t="array" aca="1" ref="Q439" ca="1">IF(L439&lt;=$C$16,0,IF($W$2&gt;=L439,IF(L439&lt;=($P$1+$C$16),INDIRECT("N"&amp;(L439-$C$16)+5),FV(SRate,L439-$P$1-$C$16,0,-$W$1,1)),0))</f>
        <v>0</v>
      </c>
      <c r="R439" s="56">
        <f t="shared" ca="1" si="48"/>
        <v>0</v>
      </c>
      <c r="S439" s="19">
        <f t="shared" si="50"/>
        <v>0</v>
      </c>
      <c r="T439" s="36" t="str" cm="1">
        <f t="array" aca="1" ref="T439" ca="1">IF(L439&lt;=$P$1,K439,IF(L439&lt;=($P$1+1),INDIRECT("K"&amp;5+$W$2),""))</f>
        <v/>
      </c>
      <c r="U439" s="38">
        <f t="shared" si="51"/>
        <v>37</v>
      </c>
    </row>
    <row r="440" spans="11:21" hidden="1" x14ac:dyDescent="0.25">
      <c r="K440" s="36">
        <f t="shared" ca="1" si="53"/>
        <v>59454</v>
      </c>
      <c r="L440" s="19">
        <v>435</v>
      </c>
      <c r="M440" s="19">
        <f t="shared" si="52"/>
        <v>0</v>
      </c>
      <c r="N440" s="37">
        <f t="shared" si="49"/>
        <v>0</v>
      </c>
      <c r="O440" s="37">
        <f t="shared" si="47"/>
        <v>0</v>
      </c>
      <c r="P440" s="55" cm="1">
        <f t="array" aca="1" ref="P440" ca="1">IF((L440-$C$16)&gt;0, IF($P$1+$C$16&gt;=L440,INDIRECT("M"&amp;(L440-$C$16)+5),0),0)</f>
        <v>0</v>
      </c>
      <c r="Q440" s="56" cm="1">
        <f t="array" aca="1" ref="Q440" ca="1">IF(L440&lt;=$C$16,0,IF($W$2&gt;=L440,IF(L440&lt;=($P$1+$C$16),INDIRECT("N"&amp;(L440-$C$16)+5),FV(SRate,L440-$P$1-$C$16,0,-$W$1,1)),0))</f>
        <v>0</v>
      </c>
      <c r="R440" s="56">
        <f t="shared" ca="1" si="48"/>
        <v>0</v>
      </c>
      <c r="S440" s="19">
        <f t="shared" si="50"/>
        <v>0</v>
      </c>
      <c r="T440" s="36" t="str" cm="1">
        <f t="array" aca="1" ref="T440" ca="1">IF(L440&lt;=$P$1,K440,IF(L440&lt;=($P$1+1),INDIRECT("K"&amp;5+$W$2),""))</f>
        <v/>
      </c>
      <c r="U440" s="38">
        <f t="shared" si="51"/>
        <v>37</v>
      </c>
    </row>
    <row r="441" spans="11:21" hidden="1" x14ac:dyDescent="0.25">
      <c r="K441" s="36">
        <f t="shared" ca="1" si="53"/>
        <v>59485</v>
      </c>
      <c r="L441" s="19">
        <v>436</v>
      </c>
      <c r="M441" s="19">
        <f t="shared" si="52"/>
        <v>0</v>
      </c>
      <c r="N441" s="37">
        <f t="shared" si="49"/>
        <v>0</v>
      </c>
      <c r="O441" s="37">
        <f t="shared" si="47"/>
        <v>0</v>
      </c>
      <c r="P441" s="55" cm="1">
        <f t="array" aca="1" ref="P441" ca="1">IF((L441-$C$16)&gt;0, IF($P$1+$C$16&gt;=L441,INDIRECT("M"&amp;(L441-$C$16)+5),0),0)</f>
        <v>0</v>
      </c>
      <c r="Q441" s="56" cm="1">
        <f t="array" aca="1" ref="Q441" ca="1">IF(L441&lt;=$C$16,0,IF($W$2&gt;=L441,IF(L441&lt;=($P$1+$C$16),INDIRECT("N"&amp;(L441-$C$16)+5),FV(SRate,L441-$P$1-$C$16,0,-$W$1,1)),0))</f>
        <v>0</v>
      </c>
      <c r="R441" s="56">
        <f t="shared" ca="1" si="48"/>
        <v>0</v>
      </c>
      <c r="S441" s="19">
        <f t="shared" si="50"/>
        <v>0</v>
      </c>
      <c r="T441" s="36" t="str" cm="1">
        <f t="array" aca="1" ref="T441" ca="1">IF(L441&lt;=$P$1,K441,IF(L441&lt;=($P$1+1),INDIRECT("K"&amp;5+$W$2),""))</f>
        <v/>
      </c>
      <c r="U441" s="38">
        <f t="shared" si="51"/>
        <v>37</v>
      </c>
    </row>
    <row r="442" spans="11:21" hidden="1" x14ac:dyDescent="0.25">
      <c r="K442" s="36">
        <f t="shared" ca="1" si="53"/>
        <v>59515</v>
      </c>
      <c r="L442" s="19">
        <v>437</v>
      </c>
      <c r="M442" s="19">
        <f t="shared" si="52"/>
        <v>0</v>
      </c>
      <c r="N442" s="37">
        <f t="shared" si="49"/>
        <v>0</v>
      </c>
      <c r="O442" s="37">
        <f t="shared" si="47"/>
        <v>0</v>
      </c>
      <c r="P442" s="55" cm="1">
        <f t="array" aca="1" ref="P442" ca="1">IF((L442-$C$16)&gt;0, IF($P$1+$C$16&gt;=L442,INDIRECT("M"&amp;(L442-$C$16)+5),0),0)</f>
        <v>0</v>
      </c>
      <c r="Q442" s="56" cm="1">
        <f t="array" aca="1" ref="Q442" ca="1">IF(L442&lt;=$C$16,0,IF($W$2&gt;=L442,IF(L442&lt;=($P$1+$C$16),INDIRECT("N"&amp;(L442-$C$16)+5),FV(SRate,L442-$P$1-$C$16,0,-$W$1,1)),0))</f>
        <v>0</v>
      </c>
      <c r="R442" s="56">
        <f t="shared" ca="1" si="48"/>
        <v>0</v>
      </c>
      <c r="S442" s="19">
        <f t="shared" si="50"/>
        <v>0</v>
      </c>
      <c r="T442" s="36" t="str" cm="1">
        <f t="array" aca="1" ref="T442" ca="1">IF(L442&lt;=$P$1,K442,IF(L442&lt;=($P$1+1),INDIRECT("K"&amp;5+$W$2),""))</f>
        <v/>
      </c>
      <c r="U442" s="38">
        <f t="shared" si="51"/>
        <v>37</v>
      </c>
    </row>
    <row r="443" spans="11:21" hidden="1" x14ac:dyDescent="0.25">
      <c r="K443" s="36">
        <f t="shared" ca="1" si="53"/>
        <v>59546</v>
      </c>
      <c r="L443" s="19">
        <v>438</v>
      </c>
      <c r="M443" s="19">
        <f t="shared" si="52"/>
        <v>0</v>
      </c>
      <c r="N443" s="37">
        <f t="shared" si="49"/>
        <v>0</v>
      </c>
      <c r="O443" s="37">
        <f t="shared" si="47"/>
        <v>0</v>
      </c>
      <c r="P443" s="55" cm="1">
        <f t="array" aca="1" ref="P443" ca="1">IF((L443-$C$16)&gt;0, IF($P$1+$C$16&gt;=L443,INDIRECT("M"&amp;(L443-$C$16)+5),0),0)</f>
        <v>0</v>
      </c>
      <c r="Q443" s="56" cm="1">
        <f t="array" aca="1" ref="Q443" ca="1">IF(L443&lt;=$C$16,0,IF($W$2&gt;=L443,IF(L443&lt;=($P$1+$C$16),INDIRECT("N"&amp;(L443-$C$16)+5),FV(SRate,L443-$P$1-$C$16,0,-$W$1,1)),0))</f>
        <v>0</v>
      </c>
      <c r="R443" s="56">
        <f t="shared" ca="1" si="48"/>
        <v>0</v>
      </c>
      <c r="S443" s="19">
        <f t="shared" si="50"/>
        <v>0</v>
      </c>
      <c r="T443" s="36" t="str" cm="1">
        <f t="array" aca="1" ref="T443" ca="1">IF(L443&lt;=$P$1,K443,IF(L443&lt;=($P$1+1),INDIRECT("K"&amp;5+$W$2),""))</f>
        <v/>
      </c>
      <c r="U443" s="38">
        <f t="shared" si="51"/>
        <v>37</v>
      </c>
    </row>
    <row r="444" spans="11:21" hidden="1" x14ac:dyDescent="0.25">
      <c r="K444" s="36">
        <f t="shared" ca="1" si="53"/>
        <v>59577</v>
      </c>
      <c r="L444" s="19">
        <v>439</v>
      </c>
      <c r="M444" s="19">
        <f t="shared" si="52"/>
        <v>0</v>
      </c>
      <c r="N444" s="37">
        <f t="shared" si="49"/>
        <v>0</v>
      </c>
      <c r="O444" s="37">
        <f t="shared" si="47"/>
        <v>0</v>
      </c>
      <c r="P444" s="55" cm="1">
        <f t="array" aca="1" ref="P444" ca="1">IF((L444-$C$16)&gt;0, IF($P$1+$C$16&gt;=L444,INDIRECT("M"&amp;(L444-$C$16)+5),0),0)</f>
        <v>0</v>
      </c>
      <c r="Q444" s="56" cm="1">
        <f t="array" aca="1" ref="Q444" ca="1">IF(L444&lt;=$C$16,0,IF($W$2&gt;=L444,IF(L444&lt;=($P$1+$C$16),INDIRECT("N"&amp;(L444-$C$16)+5),FV(SRate,L444-$P$1-$C$16,0,-$W$1,1)),0))</f>
        <v>0</v>
      </c>
      <c r="R444" s="56">
        <f t="shared" ca="1" si="48"/>
        <v>0</v>
      </c>
      <c r="S444" s="19">
        <f t="shared" si="50"/>
        <v>0</v>
      </c>
      <c r="T444" s="36" t="str" cm="1">
        <f t="array" aca="1" ref="T444" ca="1">IF(L444&lt;=$P$1,K444,IF(L444&lt;=($P$1+1),INDIRECT("K"&amp;5+$W$2),""))</f>
        <v/>
      </c>
      <c r="U444" s="38">
        <f t="shared" si="51"/>
        <v>37</v>
      </c>
    </row>
    <row r="445" spans="11:21" hidden="1" x14ac:dyDescent="0.25">
      <c r="K445" s="36">
        <f t="shared" ca="1" si="53"/>
        <v>59605</v>
      </c>
      <c r="L445" s="19">
        <v>440</v>
      </c>
      <c r="M445" s="19">
        <f t="shared" si="52"/>
        <v>0</v>
      </c>
      <c r="N445" s="37">
        <f t="shared" si="49"/>
        <v>0</v>
      </c>
      <c r="O445" s="37">
        <f t="shared" si="47"/>
        <v>0</v>
      </c>
      <c r="P445" s="55" cm="1">
        <f t="array" aca="1" ref="P445" ca="1">IF((L445-$C$16)&gt;0, IF($P$1+$C$16&gt;=L445,INDIRECT("M"&amp;(L445-$C$16)+5),0),0)</f>
        <v>0</v>
      </c>
      <c r="Q445" s="56" cm="1">
        <f t="array" aca="1" ref="Q445" ca="1">IF(L445&lt;=$C$16,0,IF($W$2&gt;=L445,IF(L445&lt;=($P$1+$C$16),INDIRECT("N"&amp;(L445-$C$16)+5),FV(SRate,L445-$P$1-$C$16,0,-$W$1,1)),0))</f>
        <v>0</v>
      </c>
      <c r="R445" s="56">
        <f t="shared" ca="1" si="48"/>
        <v>0</v>
      </c>
      <c r="S445" s="19">
        <f t="shared" si="50"/>
        <v>0</v>
      </c>
      <c r="T445" s="36" t="str" cm="1">
        <f t="array" aca="1" ref="T445" ca="1">IF(L445&lt;=$P$1,K445,IF(L445&lt;=($P$1+1),INDIRECT("K"&amp;5+$W$2),""))</f>
        <v/>
      </c>
      <c r="U445" s="38">
        <f t="shared" si="51"/>
        <v>37</v>
      </c>
    </row>
    <row r="446" spans="11:21" hidden="1" x14ac:dyDescent="0.25">
      <c r="K446" s="36">
        <f t="shared" ca="1" si="53"/>
        <v>59636</v>
      </c>
      <c r="L446" s="19">
        <v>441</v>
      </c>
      <c r="M446" s="19">
        <f t="shared" si="52"/>
        <v>0</v>
      </c>
      <c r="N446" s="37">
        <f t="shared" si="49"/>
        <v>0</v>
      </c>
      <c r="O446" s="37">
        <f t="shared" si="47"/>
        <v>0</v>
      </c>
      <c r="P446" s="55" cm="1">
        <f t="array" aca="1" ref="P446" ca="1">IF((L446-$C$16)&gt;0, IF($P$1+$C$16&gt;=L446,INDIRECT("M"&amp;(L446-$C$16)+5),0),0)</f>
        <v>0</v>
      </c>
      <c r="Q446" s="56" cm="1">
        <f t="array" aca="1" ref="Q446" ca="1">IF(L446&lt;=$C$16,0,IF($W$2&gt;=L446,IF(L446&lt;=($P$1+$C$16),INDIRECT("N"&amp;(L446-$C$16)+5),FV(SRate,L446-$P$1-$C$16,0,-$W$1,1)),0))</f>
        <v>0</v>
      </c>
      <c r="R446" s="56">
        <f t="shared" ca="1" si="48"/>
        <v>0</v>
      </c>
      <c r="S446" s="19">
        <f t="shared" si="50"/>
        <v>0</v>
      </c>
      <c r="T446" s="36" t="str" cm="1">
        <f t="array" aca="1" ref="T446" ca="1">IF(L446&lt;=$P$1,K446,IF(L446&lt;=($P$1+1),INDIRECT("K"&amp;5+$W$2),""))</f>
        <v/>
      </c>
      <c r="U446" s="38">
        <f t="shared" si="51"/>
        <v>37</v>
      </c>
    </row>
    <row r="447" spans="11:21" hidden="1" x14ac:dyDescent="0.25">
      <c r="K447" s="36">
        <f t="shared" ca="1" si="53"/>
        <v>59666</v>
      </c>
      <c r="L447" s="19">
        <v>442</v>
      </c>
      <c r="M447" s="19">
        <f t="shared" si="52"/>
        <v>0</v>
      </c>
      <c r="N447" s="37">
        <f t="shared" si="49"/>
        <v>0</v>
      </c>
      <c r="O447" s="37">
        <f t="shared" si="47"/>
        <v>0</v>
      </c>
      <c r="P447" s="55" cm="1">
        <f t="array" aca="1" ref="P447" ca="1">IF((L447-$C$16)&gt;0, IF($P$1+$C$16&gt;=L447,INDIRECT("M"&amp;(L447-$C$16)+5),0),0)</f>
        <v>0</v>
      </c>
      <c r="Q447" s="56" cm="1">
        <f t="array" aca="1" ref="Q447" ca="1">IF(L447&lt;=$C$16,0,IF($W$2&gt;=L447,IF(L447&lt;=($P$1+$C$16),INDIRECT("N"&amp;(L447-$C$16)+5),FV(SRate,L447-$P$1-$C$16,0,-$W$1,1)),0))</f>
        <v>0</v>
      </c>
      <c r="R447" s="56">
        <f t="shared" ca="1" si="48"/>
        <v>0</v>
      </c>
      <c r="S447" s="19">
        <f t="shared" si="50"/>
        <v>0</v>
      </c>
      <c r="T447" s="36" t="str" cm="1">
        <f t="array" aca="1" ref="T447" ca="1">IF(L447&lt;=$P$1,K447,IF(L447&lt;=($P$1+1),INDIRECT("K"&amp;5+$W$2),""))</f>
        <v/>
      </c>
      <c r="U447" s="38">
        <f t="shared" si="51"/>
        <v>37</v>
      </c>
    </row>
    <row r="448" spans="11:21" hidden="1" x14ac:dyDescent="0.25">
      <c r="K448" s="36">
        <f t="shared" ca="1" si="53"/>
        <v>59697</v>
      </c>
      <c r="L448" s="19">
        <v>443</v>
      </c>
      <c r="M448" s="19">
        <f t="shared" si="52"/>
        <v>0</v>
      </c>
      <c r="N448" s="37">
        <f t="shared" si="49"/>
        <v>0</v>
      </c>
      <c r="O448" s="37">
        <f t="shared" si="47"/>
        <v>0</v>
      </c>
      <c r="P448" s="55" cm="1">
        <f t="array" aca="1" ref="P448" ca="1">IF((L448-$C$16)&gt;0, IF($P$1+$C$16&gt;=L448,INDIRECT("M"&amp;(L448-$C$16)+5),0),0)</f>
        <v>0</v>
      </c>
      <c r="Q448" s="56" cm="1">
        <f t="array" aca="1" ref="Q448" ca="1">IF(L448&lt;=$C$16,0,IF($W$2&gt;=L448,IF(L448&lt;=($P$1+$C$16),INDIRECT("N"&amp;(L448-$C$16)+5),FV(SRate,L448-$P$1-$C$16,0,-$W$1,1)),0))</f>
        <v>0</v>
      </c>
      <c r="R448" s="56">
        <f t="shared" ca="1" si="48"/>
        <v>0</v>
      </c>
      <c r="S448" s="19">
        <f t="shared" si="50"/>
        <v>0</v>
      </c>
      <c r="T448" s="36" t="str" cm="1">
        <f t="array" aca="1" ref="T448" ca="1">IF(L448&lt;=$P$1,K448,IF(L448&lt;=($P$1+1),INDIRECT("K"&amp;5+$W$2),""))</f>
        <v/>
      </c>
      <c r="U448" s="38">
        <f t="shared" si="51"/>
        <v>37</v>
      </c>
    </row>
    <row r="449" spans="11:21" hidden="1" x14ac:dyDescent="0.25">
      <c r="K449" s="36">
        <f t="shared" ca="1" si="53"/>
        <v>59727</v>
      </c>
      <c r="L449" s="19">
        <v>444</v>
      </c>
      <c r="M449" s="19">
        <f t="shared" si="52"/>
        <v>0</v>
      </c>
      <c r="N449" s="37">
        <f t="shared" si="49"/>
        <v>0</v>
      </c>
      <c r="O449" s="37">
        <f t="shared" si="47"/>
        <v>0</v>
      </c>
      <c r="P449" s="55" cm="1">
        <f t="array" aca="1" ref="P449" ca="1">IF((L449-$C$16)&gt;0, IF($P$1+$C$16&gt;=L449,INDIRECT("M"&amp;(L449-$C$16)+5),0),0)</f>
        <v>0</v>
      </c>
      <c r="Q449" s="56" cm="1">
        <f t="array" aca="1" ref="Q449" ca="1">IF(L449&lt;=$C$16,0,IF($W$2&gt;=L449,IF(L449&lt;=($P$1+$C$16),INDIRECT("N"&amp;(L449-$C$16)+5),FV(SRate,L449-$P$1-$C$16,0,-$W$1,1)),0))</f>
        <v>0</v>
      </c>
      <c r="R449" s="56">
        <f t="shared" ca="1" si="48"/>
        <v>0</v>
      </c>
      <c r="S449" s="19">
        <f t="shared" si="50"/>
        <v>0</v>
      </c>
      <c r="T449" s="36" t="str" cm="1">
        <f t="array" aca="1" ref="T449" ca="1">IF(L449&lt;=$P$1,K449,IF(L449&lt;=($P$1+1),INDIRECT("K"&amp;5+$W$2),""))</f>
        <v/>
      </c>
      <c r="U449" s="38">
        <f t="shared" si="51"/>
        <v>37</v>
      </c>
    </row>
    <row r="450" spans="11:21" hidden="1" x14ac:dyDescent="0.25">
      <c r="K450" s="36">
        <f t="shared" ca="1" si="53"/>
        <v>59758</v>
      </c>
      <c r="L450" s="19">
        <v>445</v>
      </c>
      <c r="M450" s="19">
        <f t="shared" si="52"/>
        <v>0</v>
      </c>
      <c r="N450" s="37">
        <f t="shared" si="49"/>
        <v>0</v>
      </c>
      <c r="O450" s="37">
        <f t="shared" si="47"/>
        <v>0</v>
      </c>
      <c r="P450" s="55" cm="1">
        <f t="array" aca="1" ref="P450" ca="1">IF((L450-$C$16)&gt;0, IF($P$1+$C$16&gt;=L450,INDIRECT("M"&amp;(L450-$C$16)+5),0),0)</f>
        <v>0</v>
      </c>
      <c r="Q450" s="56" cm="1">
        <f t="array" aca="1" ref="Q450" ca="1">IF(L450&lt;=$C$16,0,IF($W$2&gt;=L450,IF(L450&lt;=($P$1+$C$16),INDIRECT("N"&amp;(L450-$C$16)+5),FV(SRate,L450-$P$1-$C$16,0,-$W$1,1)),0))</f>
        <v>0</v>
      </c>
      <c r="R450" s="56">
        <f t="shared" ca="1" si="48"/>
        <v>0</v>
      </c>
      <c r="S450" s="19">
        <f t="shared" si="50"/>
        <v>0</v>
      </c>
      <c r="T450" s="36" t="str" cm="1">
        <f t="array" aca="1" ref="T450" ca="1">IF(L450&lt;=$P$1,K450,IF(L450&lt;=($P$1+1),INDIRECT("K"&amp;5+$W$2),""))</f>
        <v/>
      </c>
      <c r="U450" s="38">
        <f t="shared" si="51"/>
        <v>38</v>
      </c>
    </row>
    <row r="451" spans="11:21" hidden="1" x14ac:dyDescent="0.25">
      <c r="K451" s="36">
        <f t="shared" ca="1" si="53"/>
        <v>59789</v>
      </c>
      <c r="L451" s="19">
        <v>446</v>
      </c>
      <c r="M451" s="19">
        <f t="shared" si="52"/>
        <v>0</v>
      </c>
      <c r="N451" s="37">
        <f t="shared" si="49"/>
        <v>0</v>
      </c>
      <c r="O451" s="37">
        <f t="shared" si="47"/>
        <v>0</v>
      </c>
      <c r="P451" s="55" cm="1">
        <f t="array" aca="1" ref="P451" ca="1">IF((L451-$C$16)&gt;0, IF($P$1+$C$16&gt;=L451,INDIRECT("M"&amp;(L451-$C$16)+5),0),0)</f>
        <v>0</v>
      </c>
      <c r="Q451" s="56" cm="1">
        <f t="array" aca="1" ref="Q451" ca="1">IF(L451&lt;=$C$16,0,IF($W$2&gt;=L451,IF(L451&lt;=($P$1+$C$16),INDIRECT("N"&amp;(L451-$C$16)+5),FV(SRate,L451-$P$1-$C$16,0,-$W$1,1)),0))</f>
        <v>0</v>
      </c>
      <c r="R451" s="56">
        <f t="shared" ca="1" si="48"/>
        <v>0</v>
      </c>
      <c r="S451" s="19">
        <f t="shared" si="50"/>
        <v>0</v>
      </c>
      <c r="T451" s="36" t="str" cm="1">
        <f t="array" aca="1" ref="T451" ca="1">IF(L451&lt;=$P$1,K451,IF(L451&lt;=($P$1+1),INDIRECT("K"&amp;5+$W$2),""))</f>
        <v/>
      </c>
      <c r="U451" s="38">
        <f t="shared" si="51"/>
        <v>38</v>
      </c>
    </row>
    <row r="452" spans="11:21" hidden="1" x14ac:dyDescent="0.25">
      <c r="K452" s="36">
        <f t="shared" ca="1" si="53"/>
        <v>59819</v>
      </c>
      <c r="L452" s="19">
        <v>447</v>
      </c>
      <c r="M452" s="19">
        <f t="shared" si="52"/>
        <v>0</v>
      </c>
      <c r="N452" s="37">
        <f t="shared" si="49"/>
        <v>0</v>
      </c>
      <c r="O452" s="37">
        <f t="shared" si="47"/>
        <v>0</v>
      </c>
      <c r="P452" s="55" cm="1">
        <f t="array" aca="1" ref="P452" ca="1">IF((L452-$C$16)&gt;0, IF($P$1+$C$16&gt;=L452,INDIRECT("M"&amp;(L452-$C$16)+5),0),0)</f>
        <v>0</v>
      </c>
      <c r="Q452" s="56" cm="1">
        <f t="array" aca="1" ref="Q452" ca="1">IF(L452&lt;=$C$16,0,IF($W$2&gt;=L452,IF(L452&lt;=($P$1+$C$16),INDIRECT("N"&amp;(L452-$C$16)+5),FV(SRate,L452-$P$1-$C$16,0,-$W$1,1)),0))</f>
        <v>0</v>
      </c>
      <c r="R452" s="56">
        <f t="shared" ca="1" si="48"/>
        <v>0</v>
      </c>
      <c r="S452" s="19">
        <f t="shared" si="50"/>
        <v>0</v>
      </c>
      <c r="T452" s="36" t="str" cm="1">
        <f t="array" aca="1" ref="T452" ca="1">IF(L452&lt;=$P$1,K452,IF(L452&lt;=($P$1+1),INDIRECT("K"&amp;5+$W$2),""))</f>
        <v/>
      </c>
      <c r="U452" s="38">
        <f t="shared" si="51"/>
        <v>38</v>
      </c>
    </row>
    <row r="453" spans="11:21" hidden="1" x14ac:dyDescent="0.25">
      <c r="K453" s="36">
        <f t="shared" ca="1" si="53"/>
        <v>59850</v>
      </c>
      <c r="L453" s="19">
        <v>448</v>
      </c>
      <c r="M453" s="19">
        <f t="shared" si="52"/>
        <v>0</v>
      </c>
      <c r="N453" s="37">
        <f t="shared" si="49"/>
        <v>0</v>
      </c>
      <c r="O453" s="37">
        <f t="shared" si="47"/>
        <v>0</v>
      </c>
      <c r="P453" s="55" cm="1">
        <f t="array" aca="1" ref="P453" ca="1">IF((L453-$C$16)&gt;0, IF($P$1+$C$16&gt;=L453,INDIRECT("M"&amp;(L453-$C$16)+5),0),0)</f>
        <v>0</v>
      </c>
      <c r="Q453" s="56" cm="1">
        <f t="array" aca="1" ref="Q453" ca="1">IF(L453&lt;=$C$16,0,IF($W$2&gt;=L453,IF(L453&lt;=($P$1+$C$16),INDIRECT("N"&amp;(L453-$C$16)+5),FV(SRate,L453-$P$1-$C$16,0,-$W$1,1)),0))</f>
        <v>0</v>
      </c>
      <c r="R453" s="56">
        <f t="shared" ca="1" si="48"/>
        <v>0</v>
      </c>
      <c r="S453" s="19">
        <f t="shared" si="50"/>
        <v>0</v>
      </c>
      <c r="T453" s="36" t="str" cm="1">
        <f t="array" aca="1" ref="T453" ca="1">IF(L453&lt;=$P$1,K453,IF(L453&lt;=($P$1+1),INDIRECT("K"&amp;5+$W$2),""))</f>
        <v/>
      </c>
      <c r="U453" s="38">
        <f t="shared" si="51"/>
        <v>38</v>
      </c>
    </row>
    <row r="454" spans="11:21" hidden="1" x14ac:dyDescent="0.25">
      <c r="K454" s="36">
        <f t="shared" ca="1" si="53"/>
        <v>59880</v>
      </c>
      <c r="L454" s="19">
        <v>449</v>
      </c>
      <c r="M454" s="19">
        <f t="shared" si="52"/>
        <v>0</v>
      </c>
      <c r="N454" s="37">
        <f t="shared" si="49"/>
        <v>0</v>
      </c>
      <c r="O454" s="37">
        <f t="shared" ref="O454:O485" si="54">N454/((1+SIPInflationRate)^(L454/12))</f>
        <v>0</v>
      </c>
      <c r="P454" s="55" cm="1">
        <f t="array" aca="1" ref="P454" ca="1">IF((L454-$C$16)&gt;0, IF($P$1+$C$16&gt;=L454,INDIRECT("M"&amp;(L454-$C$16)+5),0),0)</f>
        <v>0</v>
      </c>
      <c r="Q454" s="56" cm="1">
        <f t="array" aca="1" ref="Q454" ca="1">IF(L454&lt;=$C$16,0,IF($W$2&gt;=L454,IF(L454&lt;=($P$1+$C$16),INDIRECT("N"&amp;(L454-$C$16)+5),FV(SRate,L454-$P$1-$C$16,0,-$W$1,1)),0))</f>
        <v>0</v>
      </c>
      <c r="R454" s="56">
        <f t="shared" ref="R454:R517" ca="1" si="55">Q454/((1+SIPInflationRate)^((L454-$C$16)/12))</f>
        <v>0</v>
      </c>
      <c r="S454" s="19">
        <f t="shared" si="50"/>
        <v>0</v>
      </c>
      <c r="T454" s="36" t="str" cm="1">
        <f t="array" aca="1" ref="T454" ca="1">IF(L454&lt;=$P$1,K454,IF(L454&lt;=($P$1+1),INDIRECT("K"&amp;5+$W$2),""))</f>
        <v/>
      </c>
      <c r="U454" s="38">
        <f t="shared" si="51"/>
        <v>38</v>
      </c>
    </row>
    <row r="455" spans="11:21" hidden="1" x14ac:dyDescent="0.25">
      <c r="K455" s="36">
        <f t="shared" ca="1" si="53"/>
        <v>59911</v>
      </c>
      <c r="L455" s="19">
        <v>450</v>
      </c>
      <c r="M455" s="19">
        <f t="shared" si="52"/>
        <v>0</v>
      </c>
      <c r="N455" s="37">
        <f t="shared" ref="N455:N518" si="56">IF($W$2&gt;=L455,IF(L455&lt;=$P$1,(M455-M454+N454)*(1+SRate),FV(SRate,L455-$P$1,0,-$W$1,1)),0)</f>
        <v>0</v>
      </c>
      <c r="O455" s="37">
        <f t="shared" si="54"/>
        <v>0</v>
      </c>
      <c r="P455" s="55" cm="1">
        <f t="array" aca="1" ref="P455" ca="1">IF((L455-$C$16)&gt;0, IF($P$1+$C$16&gt;=L455,INDIRECT("M"&amp;(L455-$C$16)+5),0),0)</f>
        <v>0</v>
      </c>
      <c r="Q455" s="56" cm="1">
        <f t="array" aca="1" ref="Q455" ca="1">IF(L455&lt;=$C$16,0,IF($W$2&gt;=L455,IF(L455&lt;=($P$1+$C$16),INDIRECT("N"&amp;(L455-$C$16)+5),FV(SRate,L455-$P$1-$C$16,0,-$W$1,1)),0))</f>
        <v>0</v>
      </c>
      <c r="R455" s="56">
        <f t="shared" ca="1" si="55"/>
        <v>0</v>
      </c>
      <c r="S455" s="19">
        <f t="shared" ref="S455:S518" si="57">IF(L455&lt;=$P$1,-(_xlfn.XLOOKUP(U455,$Z$3:$Z$72,$AB$3:$AB$72,0)),IF(L455&lt;=($P$1+1),$W$4,0))</f>
        <v>0</v>
      </c>
      <c r="T455" s="36" t="str" cm="1">
        <f t="array" aca="1" ref="T455" ca="1">IF(L455&lt;=$P$1,K455,IF(L455&lt;=($P$1+1),INDIRECT("K"&amp;5+$W$2),""))</f>
        <v/>
      </c>
      <c r="U455" s="38">
        <f t="shared" ref="U455:U518" si="58">QUOTIENT(L455,12)+IF(MOD(L455,12)=0,-1,0)+1</f>
        <v>38</v>
      </c>
    </row>
    <row r="456" spans="11:21" hidden="1" x14ac:dyDescent="0.25">
      <c r="K456" s="36">
        <f t="shared" ca="1" si="53"/>
        <v>59942</v>
      </c>
      <c r="L456" s="19">
        <v>451</v>
      </c>
      <c r="M456" s="19">
        <f t="shared" ref="M456:M519" si="59">IF($P$1&gt;=L456,_xlfn.XLOOKUP(U456,$Z$3:$Z$72,$AB$3:$AB$72,0)+M455,0)</f>
        <v>0</v>
      </c>
      <c r="N456" s="37">
        <f t="shared" si="56"/>
        <v>0</v>
      </c>
      <c r="O456" s="37">
        <f t="shared" si="54"/>
        <v>0</v>
      </c>
      <c r="P456" s="55" cm="1">
        <f t="array" aca="1" ref="P456" ca="1">IF((L456-$C$16)&gt;0, IF($P$1+$C$16&gt;=L456,INDIRECT("M"&amp;(L456-$C$16)+5),0),0)</f>
        <v>0</v>
      </c>
      <c r="Q456" s="56" cm="1">
        <f t="array" aca="1" ref="Q456" ca="1">IF(L456&lt;=$C$16,0,IF($W$2&gt;=L456,IF(L456&lt;=($P$1+$C$16),INDIRECT("N"&amp;(L456-$C$16)+5),FV(SRate,L456-$P$1-$C$16,0,-$W$1,1)),0))</f>
        <v>0</v>
      </c>
      <c r="R456" s="56">
        <f t="shared" ca="1" si="55"/>
        <v>0</v>
      </c>
      <c r="S456" s="19">
        <f t="shared" si="57"/>
        <v>0</v>
      </c>
      <c r="T456" s="36" t="str" cm="1">
        <f t="array" aca="1" ref="T456" ca="1">IF(L456&lt;=$P$1,K456,IF(L456&lt;=($P$1+1),INDIRECT("K"&amp;5+$W$2),""))</f>
        <v/>
      </c>
      <c r="U456" s="38">
        <f t="shared" si="58"/>
        <v>38</v>
      </c>
    </row>
    <row r="457" spans="11:21" hidden="1" x14ac:dyDescent="0.25">
      <c r="K457" s="36">
        <f t="shared" ref="K457:K520" ca="1" si="60">EDATE(K456,1)</f>
        <v>59971</v>
      </c>
      <c r="L457" s="19">
        <v>452</v>
      </c>
      <c r="M457" s="19">
        <f t="shared" si="59"/>
        <v>0</v>
      </c>
      <c r="N457" s="37">
        <f t="shared" si="56"/>
        <v>0</v>
      </c>
      <c r="O457" s="37">
        <f t="shared" si="54"/>
        <v>0</v>
      </c>
      <c r="P457" s="55" cm="1">
        <f t="array" aca="1" ref="P457" ca="1">IF((L457-$C$16)&gt;0, IF($P$1+$C$16&gt;=L457,INDIRECT("M"&amp;(L457-$C$16)+5),0),0)</f>
        <v>0</v>
      </c>
      <c r="Q457" s="56" cm="1">
        <f t="array" aca="1" ref="Q457" ca="1">IF(L457&lt;=$C$16,0,IF($W$2&gt;=L457,IF(L457&lt;=($P$1+$C$16),INDIRECT("N"&amp;(L457-$C$16)+5),FV(SRate,L457-$P$1-$C$16,0,-$W$1,1)),0))</f>
        <v>0</v>
      </c>
      <c r="R457" s="56">
        <f t="shared" ca="1" si="55"/>
        <v>0</v>
      </c>
      <c r="S457" s="19">
        <f t="shared" si="57"/>
        <v>0</v>
      </c>
      <c r="T457" s="36" t="str" cm="1">
        <f t="array" aca="1" ref="T457" ca="1">IF(L457&lt;=$P$1,K457,IF(L457&lt;=($P$1+1),INDIRECT("K"&amp;5+$W$2),""))</f>
        <v/>
      </c>
      <c r="U457" s="38">
        <f t="shared" si="58"/>
        <v>38</v>
      </c>
    </row>
    <row r="458" spans="11:21" hidden="1" x14ac:dyDescent="0.25">
      <c r="K458" s="36">
        <f t="shared" ca="1" si="60"/>
        <v>60002</v>
      </c>
      <c r="L458" s="19">
        <v>453</v>
      </c>
      <c r="M458" s="19">
        <f t="shared" si="59"/>
        <v>0</v>
      </c>
      <c r="N458" s="37">
        <f t="shared" si="56"/>
        <v>0</v>
      </c>
      <c r="O458" s="37">
        <f t="shared" si="54"/>
        <v>0</v>
      </c>
      <c r="P458" s="55" cm="1">
        <f t="array" aca="1" ref="P458" ca="1">IF((L458-$C$16)&gt;0, IF($P$1+$C$16&gt;=L458,INDIRECT("M"&amp;(L458-$C$16)+5),0),0)</f>
        <v>0</v>
      </c>
      <c r="Q458" s="56" cm="1">
        <f t="array" aca="1" ref="Q458" ca="1">IF(L458&lt;=$C$16,0,IF($W$2&gt;=L458,IF(L458&lt;=($P$1+$C$16),INDIRECT("N"&amp;(L458-$C$16)+5),FV(SRate,L458-$P$1-$C$16,0,-$W$1,1)),0))</f>
        <v>0</v>
      </c>
      <c r="R458" s="56">
        <f t="shared" ca="1" si="55"/>
        <v>0</v>
      </c>
      <c r="S458" s="19">
        <f t="shared" si="57"/>
        <v>0</v>
      </c>
      <c r="T458" s="36" t="str" cm="1">
        <f t="array" aca="1" ref="T458" ca="1">IF(L458&lt;=$P$1,K458,IF(L458&lt;=($P$1+1),INDIRECT("K"&amp;5+$W$2),""))</f>
        <v/>
      </c>
      <c r="U458" s="38">
        <f t="shared" si="58"/>
        <v>38</v>
      </c>
    </row>
    <row r="459" spans="11:21" hidden="1" x14ac:dyDescent="0.25">
      <c r="K459" s="36">
        <f t="shared" ca="1" si="60"/>
        <v>60032</v>
      </c>
      <c r="L459" s="19">
        <v>454</v>
      </c>
      <c r="M459" s="19">
        <f t="shared" si="59"/>
        <v>0</v>
      </c>
      <c r="N459" s="37">
        <f t="shared" si="56"/>
        <v>0</v>
      </c>
      <c r="O459" s="37">
        <f t="shared" si="54"/>
        <v>0</v>
      </c>
      <c r="P459" s="55" cm="1">
        <f t="array" aca="1" ref="P459" ca="1">IF((L459-$C$16)&gt;0, IF($P$1+$C$16&gt;=L459,INDIRECT("M"&amp;(L459-$C$16)+5),0),0)</f>
        <v>0</v>
      </c>
      <c r="Q459" s="56" cm="1">
        <f t="array" aca="1" ref="Q459" ca="1">IF(L459&lt;=$C$16,0,IF($W$2&gt;=L459,IF(L459&lt;=($P$1+$C$16),INDIRECT("N"&amp;(L459-$C$16)+5),FV(SRate,L459-$P$1-$C$16,0,-$W$1,1)),0))</f>
        <v>0</v>
      </c>
      <c r="R459" s="56">
        <f t="shared" ca="1" si="55"/>
        <v>0</v>
      </c>
      <c r="S459" s="19">
        <f t="shared" si="57"/>
        <v>0</v>
      </c>
      <c r="T459" s="36" t="str" cm="1">
        <f t="array" aca="1" ref="T459" ca="1">IF(L459&lt;=$P$1,K459,IF(L459&lt;=($P$1+1),INDIRECT("K"&amp;5+$W$2),""))</f>
        <v/>
      </c>
      <c r="U459" s="38">
        <f t="shared" si="58"/>
        <v>38</v>
      </c>
    </row>
    <row r="460" spans="11:21" hidden="1" x14ac:dyDescent="0.25">
      <c r="K460" s="36">
        <f t="shared" ca="1" si="60"/>
        <v>60063</v>
      </c>
      <c r="L460" s="19">
        <v>455</v>
      </c>
      <c r="M460" s="19">
        <f t="shared" si="59"/>
        <v>0</v>
      </c>
      <c r="N460" s="37">
        <f t="shared" si="56"/>
        <v>0</v>
      </c>
      <c r="O460" s="37">
        <f t="shared" si="54"/>
        <v>0</v>
      </c>
      <c r="P460" s="55" cm="1">
        <f t="array" aca="1" ref="P460" ca="1">IF((L460-$C$16)&gt;0, IF($P$1+$C$16&gt;=L460,INDIRECT("M"&amp;(L460-$C$16)+5),0),0)</f>
        <v>0</v>
      </c>
      <c r="Q460" s="56" cm="1">
        <f t="array" aca="1" ref="Q460" ca="1">IF(L460&lt;=$C$16,0,IF($W$2&gt;=L460,IF(L460&lt;=($P$1+$C$16),INDIRECT("N"&amp;(L460-$C$16)+5),FV(SRate,L460-$P$1-$C$16,0,-$W$1,1)),0))</f>
        <v>0</v>
      </c>
      <c r="R460" s="56">
        <f t="shared" ca="1" si="55"/>
        <v>0</v>
      </c>
      <c r="S460" s="19">
        <f t="shared" si="57"/>
        <v>0</v>
      </c>
      <c r="T460" s="36" t="str" cm="1">
        <f t="array" aca="1" ref="T460" ca="1">IF(L460&lt;=$P$1,K460,IF(L460&lt;=($P$1+1),INDIRECT("K"&amp;5+$W$2),""))</f>
        <v/>
      </c>
      <c r="U460" s="38">
        <f t="shared" si="58"/>
        <v>38</v>
      </c>
    </row>
    <row r="461" spans="11:21" hidden="1" x14ac:dyDescent="0.25">
      <c r="K461" s="36">
        <f t="shared" ca="1" si="60"/>
        <v>60093</v>
      </c>
      <c r="L461" s="19">
        <v>456</v>
      </c>
      <c r="M461" s="19">
        <f t="shared" si="59"/>
        <v>0</v>
      </c>
      <c r="N461" s="37">
        <f t="shared" si="56"/>
        <v>0</v>
      </c>
      <c r="O461" s="37">
        <f t="shared" si="54"/>
        <v>0</v>
      </c>
      <c r="P461" s="55" cm="1">
        <f t="array" aca="1" ref="P461" ca="1">IF((L461-$C$16)&gt;0, IF($P$1+$C$16&gt;=L461,INDIRECT("M"&amp;(L461-$C$16)+5),0),0)</f>
        <v>0</v>
      </c>
      <c r="Q461" s="56" cm="1">
        <f t="array" aca="1" ref="Q461" ca="1">IF(L461&lt;=$C$16,0,IF($W$2&gt;=L461,IF(L461&lt;=($P$1+$C$16),INDIRECT("N"&amp;(L461-$C$16)+5),FV(SRate,L461-$P$1-$C$16,0,-$W$1,1)),0))</f>
        <v>0</v>
      </c>
      <c r="R461" s="56">
        <f t="shared" ca="1" si="55"/>
        <v>0</v>
      </c>
      <c r="S461" s="19">
        <f t="shared" si="57"/>
        <v>0</v>
      </c>
      <c r="T461" s="36" t="str" cm="1">
        <f t="array" aca="1" ref="T461" ca="1">IF(L461&lt;=$P$1,K461,IF(L461&lt;=($P$1+1),INDIRECT("K"&amp;5+$W$2),""))</f>
        <v/>
      </c>
      <c r="U461" s="38">
        <f t="shared" si="58"/>
        <v>38</v>
      </c>
    </row>
    <row r="462" spans="11:21" hidden="1" x14ac:dyDescent="0.25">
      <c r="K462" s="36">
        <f t="shared" ca="1" si="60"/>
        <v>60124</v>
      </c>
      <c r="L462" s="19">
        <v>457</v>
      </c>
      <c r="M462" s="19">
        <f t="shared" si="59"/>
        <v>0</v>
      </c>
      <c r="N462" s="37">
        <f t="shared" si="56"/>
        <v>0</v>
      </c>
      <c r="O462" s="37">
        <f t="shared" si="54"/>
        <v>0</v>
      </c>
      <c r="P462" s="55" cm="1">
        <f t="array" aca="1" ref="P462" ca="1">IF((L462-$C$16)&gt;0, IF($P$1+$C$16&gt;=L462,INDIRECT("M"&amp;(L462-$C$16)+5),0),0)</f>
        <v>0</v>
      </c>
      <c r="Q462" s="56" cm="1">
        <f t="array" aca="1" ref="Q462" ca="1">IF(L462&lt;=$C$16,0,IF($W$2&gt;=L462,IF(L462&lt;=($P$1+$C$16),INDIRECT("N"&amp;(L462-$C$16)+5),FV(SRate,L462-$P$1-$C$16,0,-$W$1,1)),0))</f>
        <v>0</v>
      </c>
      <c r="R462" s="56">
        <f t="shared" ca="1" si="55"/>
        <v>0</v>
      </c>
      <c r="S462" s="19">
        <f t="shared" si="57"/>
        <v>0</v>
      </c>
      <c r="T462" s="36" t="str" cm="1">
        <f t="array" aca="1" ref="T462" ca="1">IF(L462&lt;=$P$1,K462,IF(L462&lt;=($P$1+1),INDIRECT("K"&amp;5+$W$2),""))</f>
        <v/>
      </c>
      <c r="U462" s="38">
        <f t="shared" si="58"/>
        <v>39</v>
      </c>
    </row>
    <row r="463" spans="11:21" hidden="1" x14ac:dyDescent="0.25">
      <c r="K463" s="36">
        <f t="shared" ca="1" si="60"/>
        <v>60155</v>
      </c>
      <c r="L463" s="19">
        <v>458</v>
      </c>
      <c r="M463" s="19">
        <f t="shared" si="59"/>
        <v>0</v>
      </c>
      <c r="N463" s="37">
        <f t="shared" si="56"/>
        <v>0</v>
      </c>
      <c r="O463" s="37">
        <f t="shared" si="54"/>
        <v>0</v>
      </c>
      <c r="P463" s="55" cm="1">
        <f t="array" aca="1" ref="P463" ca="1">IF((L463-$C$16)&gt;0, IF($P$1+$C$16&gt;=L463,INDIRECT("M"&amp;(L463-$C$16)+5),0),0)</f>
        <v>0</v>
      </c>
      <c r="Q463" s="56" cm="1">
        <f t="array" aca="1" ref="Q463" ca="1">IF(L463&lt;=$C$16,0,IF($W$2&gt;=L463,IF(L463&lt;=($P$1+$C$16),INDIRECT("N"&amp;(L463-$C$16)+5),FV(SRate,L463-$P$1-$C$16,0,-$W$1,1)),0))</f>
        <v>0</v>
      </c>
      <c r="R463" s="56">
        <f t="shared" ca="1" si="55"/>
        <v>0</v>
      </c>
      <c r="S463" s="19">
        <f t="shared" si="57"/>
        <v>0</v>
      </c>
      <c r="T463" s="36" t="str" cm="1">
        <f t="array" aca="1" ref="T463" ca="1">IF(L463&lt;=$P$1,K463,IF(L463&lt;=($P$1+1),INDIRECT("K"&amp;5+$W$2),""))</f>
        <v/>
      </c>
      <c r="U463" s="38">
        <f t="shared" si="58"/>
        <v>39</v>
      </c>
    </row>
    <row r="464" spans="11:21" hidden="1" x14ac:dyDescent="0.25">
      <c r="K464" s="36">
        <f t="shared" ca="1" si="60"/>
        <v>60185</v>
      </c>
      <c r="L464" s="19">
        <v>459</v>
      </c>
      <c r="M464" s="19">
        <f t="shared" si="59"/>
        <v>0</v>
      </c>
      <c r="N464" s="37">
        <f t="shared" si="56"/>
        <v>0</v>
      </c>
      <c r="O464" s="37">
        <f t="shared" si="54"/>
        <v>0</v>
      </c>
      <c r="P464" s="55" cm="1">
        <f t="array" aca="1" ref="P464" ca="1">IF((L464-$C$16)&gt;0, IF($P$1+$C$16&gt;=L464,INDIRECT("M"&amp;(L464-$C$16)+5),0),0)</f>
        <v>0</v>
      </c>
      <c r="Q464" s="56" cm="1">
        <f t="array" aca="1" ref="Q464" ca="1">IF(L464&lt;=$C$16,0,IF($W$2&gt;=L464,IF(L464&lt;=($P$1+$C$16),INDIRECT("N"&amp;(L464-$C$16)+5),FV(SRate,L464-$P$1-$C$16,0,-$W$1,1)),0))</f>
        <v>0</v>
      </c>
      <c r="R464" s="56">
        <f t="shared" ca="1" si="55"/>
        <v>0</v>
      </c>
      <c r="S464" s="19">
        <f t="shared" si="57"/>
        <v>0</v>
      </c>
      <c r="T464" s="36" t="str" cm="1">
        <f t="array" aca="1" ref="T464" ca="1">IF(L464&lt;=$P$1,K464,IF(L464&lt;=($P$1+1),INDIRECT("K"&amp;5+$W$2),""))</f>
        <v/>
      </c>
      <c r="U464" s="38">
        <f t="shared" si="58"/>
        <v>39</v>
      </c>
    </row>
    <row r="465" spans="11:21" hidden="1" x14ac:dyDescent="0.25">
      <c r="K465" s="36">
        <f t="shared" ca="1" si="60"/>
        <v>60216</v>
      </c>
      <c r="L465" s="19">
        <v>460</v>
      </c>
      <c r="M465" s="19">
        <f t="shared" si="59"/>
        <v>0</v>
      </c>
      <c r="N465" s="37">
        <f t="shared" si="56"/>
        <v>0</v>
      </c>
      <c r="O465" s="37">
        <f t="shared" si="54"/>
        <v>0</v>
      </c>
      <c r="P465" s="55" cm="1">
        <f t="array" aca="1" ref="P465" ca="1">IF((L465-$C$16)&gt;0, IF($P$1+$C$16&gt;=L465,INDIRECT("M"&amp;(L465-$C$16)+5),0),0)</f>
        <v>0</v>
      </c>
      <c r="Q465" s="56" cm="1">
        <f t="array" aca="1" ref="Q465" ca="1">IF(L465&lt;=$C$16,0,IF($W$2&gt;=L465,IF(L465&lt;=($P$1+$C$16),INDIRECT("N"&amp;(L465-$C$16)+5),FV(SRate,L465-$P$1-$C$16,0,-$W$1,1)),0))</f>
        <v>0</v>
      </c>
      <c r="R465" s="56">
        <f t="shared" ca="1" si="55"/>
        <v>0</v>
      </c>
      <c r="S465" s="19">
        <f t="shared" si="57"/>
        <v>0</v>
      </c>
      <c r="T465" s="36" t="str" cm="1">
        <f t="array" aca="1" ref="T465" ca="1">IF(L465&lt;=$P$1,K465,IF(L465&lt;=($P$1+1),INDIRECT("K"&amp;5+$W$2),""))</f>
        <v/>
      </c>
      <c r="U465" s="38">
        <f t="shared" si="58"/>
        <v>39</v>
      </c>
    </row>
    <row r="466" spans="11:21" hidden="1" x14ac:dyDescent="0.25">
      <c r="K466" s="36">
        <f t="shared" ca="1" si="60"/>
        <v>60246</v>
      </c>
      <c r="L466" s="19">
        <v>461</v>
      </c>
      <c r="M466" s="19">
        <f t="shared" si="59"/>
        <v>0</v>
      </c>
      <c r="N466" s="37">
        <f t="shared" si="56"/>
        <v>0</v>
      </c>
      <c r="O466" s="37">
        <f t="shared" si="54"/>
        <v>0</v>
      </c>
      <c r="P466" s="55" cm="1">
        <f t="array" aca="1" ref="P466" ca="1">IF((L466-$C$16)&gt;0, IF($P$1+$C$16&gt;=L466,INDIRECT("M"&amp;(L466-$C$16)+5),0),0)</f>
        <v>0</v>
      </c>
      <c r="Q466" s="56" cm="1">
        <f t="array" aca="1" ref="Q466" ca="1">IF(L466&lt;=$C$16,0,IF($W$2&gt;=L466,IF(L466&lt;=($P$1+$C$16),INDIRECT("N"&amp;(L466-$C$16)+5),FV(SRate,L466-$P$1-$C$16,0,-$W$1,1)),0))</f>
        <v>0</v>
      </c>
      <c r="R466" s="56">
        <f t="shared" ca="1" si="55"/>
        <v>0</v>
      </c>
      <c r="S466" s="19">
        <f t="shared" si="57"/>
        <v>0</v>
      </c>
      <c r="T466" s="36" t="str" cm="1">
        <f t="array" aca="1" ref="T466" ca="1">IF(L466&lt;=$P$1,K466,IF(L466&lt;=($P$1+1),INDIRECT("K"&amp;5+$W$2),""))</f>
        <v/>
      </c>
      <c r="U466" s="38">
        <f t="shared" si="58"/>
        <v>39</v>
      </c>
    </row>
    <row r="467" spans="11:21" hidden="1" x14ac:dyDescent="0.25">
      <c r="K467" s="36">
        <f t="shared" ca="1" si="60"/>
        <v>60277</v>
      </c>
      <c r="L467" s="19">
        <v>462</v>
      </c>
      <c r="M467" s="19">
        <f t="shared" si="59"/>
        <v>0</v>
      </c>
      <c r="N467" s="37">
        <f t="shared" si="56"/>
        <v>0</v>
      </c>
      <c r="O467" s="37">
        <f t="shared" si="54"/>
        <v>0</v>
      </c>
      <c r="P467" s="55" cm="1">
        <f t="array" aca="1" ref="P467" ca="1">IF((L467-$C$16)&gt;0, IF($P$1+$C$16&gt;=L467,INDIRECT("M"&amp;(L467-$C$16)+5),0),0)</f>
        <v>0</v>
      </c>
      <c r="Q467" s="56" cm="1">
        <f t="array" aca="1" ref="Q467" ca="1">IF(L467&lt;=$C$16,0,IF($W$2&gt;=L467,IF(L467&lt;=($P$1+$C$16),INDIRECT("N"&amp;(L467-$C$16)+5),FV(SRate,L467-$P$1-$C$16,0,-$W$1,1)),0))</f>
        <v>0</v>
      </c>
      <c r="R467" s="56">
        <f t="shared" ca="1" si="55"/>
        <v>0</v>
      </c>
      <c r="S467" s="19">
        <f t="shared" si="57"/>
        <v>0</v>
      </c>
      <c r="T467" s="36" t="str" cm="1">
        <f t="array" aca="1" ref="T467" ca="1">IF(L467&lt;=$P$1,K467,IF(L467&lt;=($P$1+1),INDIRECT("K"&amp;5+$W$2),""))</f>
        <v/>
      </c>
      <c r="U467" s="38">
        <f t="shared" si="58"/>
        <v>39</v>
      </c>
    </row>
    <row r="468" spans="11:21" hidden="1" x14ac:dyDescent="0.25">
      <c r="K468" s="36">
        <f t="shared" ca="1" si="60"/>
        <v>60308</v>
      </c>
      <c r="L468" s="19">
        <v>463</v>
      </c>
      <c r="M468" s="19">
        <f t="shared" si="59"/>
        <v>0</v>
      </c>
      <c r="N468" s="37">
        <f t="shared" si="56"/>
        <v>0</v>
      </c>
      <c r="O468" s="37">
        <f t="shared" si="54"/>
        <v>0</v>
      </c>
      <c r="P468" s="55" cm="1">
        <f t="array" aca="1" ref="P468" ca="1">IF((L468-$C$16)&gt;0, IF($P$1+$C$16&gt;=L468,INDIRECT("M"&amp;(L468-$C$16)+5),0),0)</f>
        <v>0</v>
      </c>
      <c r="Q468" s="56" cm="1">
        <f t="array" aca="1" ref="Q468" ca="1">IF(L468&lt;=$C$16,0,IF($W$2&gt;=L468,IF(L468&lt;=($P$1+$C$16),INDIRECT("N"&amp;(L468-$C$16)+5),FV(SRate,L468-$P$1-$C$16,0,-$W$1,1)),0))</f>
        <v>0</v>
      </c>
      <c r="R468" s="56">
        <f t="shared" ca="1" si="55"/>
        <v>0</v>
      </c>
      <c r="S468" s="19">
        <f t="shared" si="57"/>
        <v>0</v>
      </c>
      <c r="T468" s="36" t="str" cm="1">
        <f t="array" aca="1" ref="T468" ca="1">IF(L468&lt;=$P$1,K468,IF(L468&lt;=($P$1+1),INDIRECT("K"&amp;5+$W$2),""))</f>
        <v/>
      </c>
      <c r="U468" s="38">
        <f t="shared" si="58"/>
        <v>39</v>
      </c>
    </row>
    <row r="469" spans="11:21" hidden="1" x14ac:dyDescent="0.25">
      <c r="K469" s="36">
        <f t="shared" ca="1" si="60"/>
        <v>60336</v>
      </c>
      <c r="L469" s="19">
        <v>464</v>
      </c>
      <c r="M469" s="19">
        <f t="shared" si="59"/>
        <v>0</v>
      </c>
      <c r="N469" s="37">
        <f t="shared" si="56"/>
        <v>0</v>
      </c>
      <c r="O469" s="37">
        <f t="shared" si="54"/>
        <v>0</v>
      </c>
      <c r="P469" s="55" cm="1">
        <f t="array" aca="1" ref="P469" ca="1">IF((L469-$C$16)&gt;0, IF($P$1+$C$16&gt;=L469,INDIRECT("M"&amp;(L469-$C$16)+5),0),0)</f>
        <v>0</v>
      </c>
      <c r="Q469" s="56" cm="1">
        <f t="array" aca="1" ref="Q469" ca="1">IF(L469&lt;=$C$16,0,IF($W$2&gt;=L469,IF(L469&lt;=($P$1+$C$16),INDIRECT("N"&amp;(L469-$C$16)+5),FV(SRate,L469-$P$1-$C$16,0,-$W$1,1)),0))</f>
        <v>0</v>
      </c>
      <c r="R469" s="56">
        <f t="shared" ca="1" si="55"/>
        <v>0</v>
      </c>
      <c r="S469" s="19">
        <f t="shared" si="57"/>
        <v>0</v>
      </c>
      <c r="T469" s="36" t="str" cm="1">
        <f t="array" aca="1" ref="T469" ca="1">IF(L469&lt;=$P$1,K469,IF(L469&lt;=($P$1+1),INDIRECT("K"&amp;5+$W$2),""))</f>
        <v/>
      </c>
      <c r="U469" s="38">
        <f t="shared" si="58"/>
        <v>39</v>
      </c>
    </row>
    <row r="470" spans="11:21" hidden="1" x14ac:dyDescent="0.25">
      <c r="K470" s="36">
        <f t="shared" ca="1" si="60"/>
        <v>60367</v>
      </c>
      <c r="L470" s="19">
        <v>465</v>
      </c>
      <c r="M470" s="19">
        <f t="shared" si="59"/>
        <v>0</v>
      </c>
      <c r="N470" s="37">
        <f t="shared" si="56"/>
        <v>0</v>
      </c>
      <c r="O470" s="37">
        <f t="shared" si="54"/>
        <v>0</v>
      </c>
      <c r="P470" s="55" cm="1">
        <f t="array" aca="1" ref="P470" ca="1">IF((L470-$C$16)&gt;0, IF($P$1+$C$16&gt;=L470,INDIRECT("M"&amp;(L470-$C$16)+5),0),0)</f>
        <v>0</v>
      </c>
      <c r="Q470" s="56" cm="1">
        <f t="array" aca="1" ref="Q470" ca="1">IF(L470&lt;=$C$16,0,IF($W$2&gt;=L470,IF(L470&lt;=($P$1+$C$16),INDIRECT("N"&amp;(L470-$C$16)+5),FV(SRate,L470-$P$1-$C$16,0,-$W$1,1)),0))</f>
        <v>0</v>
      </c>
      <c r="R470" s="56">
        <f t="shared" ca="1" si="55"/>
        <v>0</v>
      </c>
      <c r="S470" s="19">
        <f t="shared" si="57"/>
        <v>0</v>
      </c>
      <c r="T470" s="36" t="str" cm="1">
        <f t="array" aca="1" ref="T470" ca="1">IF(L470&lt;=$P$1,K470,IF(L470&lt;=($P$1+1),INDIRECT("K"&amp;5+$W$2),""))</f>
        <v/>
      </c>
      <c r="U470" s="38">
        <f t="shared" si="58"/>
        <v>39</v>
      </c>
    </row>
    <row r="471" spans="11:21" hidden="1" x14ac:dyDescent="0.25">
      <c r="K471" s="36">
        <f t="shared" ca="1" si="60"/>
        <v>60397</v>
      </c>
      <c r="L471" s="19">
        <v>466</v>
      </c>
      <c r="M471" s="19">
        <f t="shared" si="59"/>
        <v>0</v>
      </c>
      <c r="N471" s="37">
        <f t="shared" si="56"/>
        <v>0</v>
      </c>
      <c r="O471" s="37">
        <f t="shared" si="54"/>
        <v>0</v>
      </c>
      <c r="P471" s="55" cm="1">
        <f t="array" aca="1" ref="P471" ca="1">IF((L471-$C$16)&gt;0, IF($P$1+$C$16&gt;=L471,INDIRECT("M"&amp;(L471-$C$16)+5),0),0)</f>
        <v>0</v>
      </c>
      <c r="Q471" s="56" cm="1">
        <f t="array" aca="1" ref="Q471" ca="1">IF(L471&lt;=$C$16,0,IF($W$2&gt;=L471,IF(L471&lt;=($P$1+$C$16),INDIRECT("N"&amp;(L471-$C$16)+5),FV(SRate,L471-$P$1-$C$16,0,-$W$1,1)),0))</f>
        <v>0</v>
      </c>
      <c r="R471" s="56">
        <f t="shared" ca="1" si="55"/>
        <v>0</v>
      </c>
      <c r="S471" s="19">
        <f t="shared" si="57"/>
        <v>0</v>
      </c>
      <c r="T471" s="36" t="str" cm="1">
        <f t="array" aca="1" ref="T471" ca="1">IF(L471&lt;=$P$1,K471,IF(L471&lt;=($P$1+1),INDIRECT("K"&amp;5+$W$2),""))</f>
        <v/>
      </c>
      <c r="U471" s="38">
        <f t="shared" si="58"/>
        <v>39</v>
      </c>
    </row>
    <row r="472" spans="11:21" hidden="1" x14ac:dyDescent="0.25">
      <c r="K472" s="36">
        <f t="shared" ca="1" si="60"/>
        <v>60428</v>
      </c>
      <c r="L472" s="19">
        <v>467</v>
      </c>
      <c r="M472" s="19">
        <f t="shared" si="59"/>
        <v>0</v>
      </c>
      <c r="N472" s="37">
        <f t="shared" si="56"/>
        <v>0</v>
      </c>
      <c r="O472" s="37">
        <f t="shared" si="54"/>
        <v>0</v>
      </c>
      <c r="P472" s="55" cm="1">
        <f t="array" aca="1" ref="P472" ca="1">IF((L472-$C$16)&gt;0, IF($P$1+$C$16&gt;=L472,INDIRECT("M"&amp;(L472-$C$16)+5),0),0)</f>
        <v>0</v>
      </c>
      <c r="Q472" s="56" cm="1">
        <f t="array" aca="1" ref="Q472" ca="1">IF(L472&lt;=$C$16,0,IF($W$2&gt;=L472,IF(L472&lt;=($P$1+$C$16),INDIRECT("N"&amp;(L472-$C$16)+5),FV(SRate,L472-$P$1-$C$16,0,-$W$1,1)),0))</f>
        <v>0</v>
      </c>
      <c r="R472" s="56">
        <f t="shared" ca="1" si="55"/>
        <v>0</v>
      </c>
      <c r="S472" s="19">
        <f t="shared" si="57"/>
        <v>0</v>
      </c>
      <c r="T472" s="36" t="str" cm="1">
        <f t="array" aca="1" ref="T472" ca="1">IF(L472&lt;=$P$1,K472,IF(L472&lt;=($P$1+1),INDIRECT("K"&amp;5+$W$2),""))</f>
        <v/>
      </c>
      <c r="U472" s="38">
        <f t="shared" si="58"/>
        <v>39</v>
      </c>
    </row>
    <row r="473" spans="11:21" hidden="1" x14ac:dyDescent="0.25">
      <c r="K473" s="36">
        <f t="shared" ca="1" si="60"/>
        <v>60458</v>
      </c>
      <c r="L473" s="19">
        <v>468</v>
      </c>
      <c r="M473" s="19">
        <f t="shared" si="59"/>
        <v>0</v>
      </c>
      <c r="N473" s="37">
        <f t="shared" si="56"/>
        <v>0</v>
      </c>
      <c r="O473" s="37">
        <f t="shared" si="54"/>
        <v>0</v>
      </c>
      <c r="P473" s="55" cm="1">
        <f t="array" aca="1" ref="P473" ca="1">IF((L473-$C$16)&gt;0, IF($P$1+$C$16&gt;=L473,INDIRECT("M"&amp;(L473-$C$16)+5),0),0)</f>
        <v>0</v>
      </c>
      <c r="Q473" s="56" cm="1">
        <f t="array" aca="1" ref="Q473" ca="1">IF(L473&lt;=$C$16,0,IF($W$2&gt;=L473,IF(L473&lt;=($P$1+$C$16),INDIRECT("N"&amp;(L473-$C$16)+5),FV(SRate,L473-$P$1-$C$16,0,-$W$1,1)),0))</f>
        <v>0</v>
      </c>
      <c r="R473" s="56">
        <f t="shared" ca="1" si="55"/>
        <v>0</v>
      </c>
      <c r="S473" s="19">
        <f t="shared" si="57"/>
        <v>0</v>
      </c>
      <c r="T473" s="36" t="str" cm="1">
        <f t="array" aca="1" ref="T473" ca="1">IF(L473&lt;=$P$1,K473,IF(L473&lt;=($P$1+1),INDIRECT("K"&amp;5+$W$2),""))</f>
        <v/>
      </c>
      <c r="U473" s="38">
        <f t="shared" si="58"/>
        <v>39</v>
      </c>
    </row>
    <row r="474" spans="11:21" hidden="1" x14ac:dyDescent="0.25">
      <c r="K474" s="36">
        <f t="shared" ca="1" si="60"/>
        <v>60489</v>
      </c>
      <c r="L474" s="19">
        <v>469</v>
      </c>
      <c r="M474" s="19">
        <f t="shared" si="59"/>
        <v>0</v>
      </c>
      <c r="N474" s="37">
        <f t="shared" si="56"/>
        <v>0</v>
      </c>
      <c r="O474" s="37">
        <f t="shared" si="54"/>
        <v>0</v>
      </c>
      <c r="P474" s="55" cm="1">
        <f t="array" aca="1" ref="P474" ca="1">IF((L474-$C$16)&gt;0, IF($P$1+$C$16&gt;=L474,INDIRECT("M"&amp;(L474-$C$16)+5),0),0)</f>
        <v>0</v>
      </c>
      <c r="Q474" s="56" cm="1">
        <f t="array" aca="1" ref="Q474" ca="1">IF(L474&lt;=$C$16,0,IF($W$2&gt;=L474,IF(L474&lt;=($P$1+$C$16),INDIRECT("N"&amp;(L474-$C$16)+5),FV(SRate,L474-$P$1-$C$16,0,-$W$1,1)),0))</f>
        <v>0</v>
      </c>
      <c r="R474" s="56">
        <f t="shared" ca="1" si="55"/>
        <v>0</v>
      </c>
      <c r="S474" s="19">
        <f t="shared" si="57"/>
        <v>0</v>
      </c>
      <c r="T474" s="36" t="str" cm="1">
        <f t="array" aca="1" ref="T474" ca="1">IF(L474&lt;=$P$1,K474,IF(L474&lt;=($P$1+1),INDIRECT("K"&amp;5+$W$2),""))</f>
        <v/>
      </c>
      <c r="U474" s="38">
        <f t="shared" si="58"/>
        <v>40</v>
      </c>
    </row>
    <row r="475" spans="11:21" hidden="1" x14ac:dyDescent="0.25">
      <c r="K475" s="36">
        <f t="shared" ca="1" si="60"/>
        <v>60520</v>
      </c>
      <c r="L475" s="19">
        <v>470</v>
      </c>
      <c r="M475" s="19">
        <f t="shared" si="59"/>
        <v>0</v>
      </c>
      <c r="N475" s="37">
        <f t="shared" si="56"/>
        <v>0</v>
      </c>
      <c r="O475" s="37">
        <f t="shared" si="54"/>
        <v>0</v>
      </c>
      <c r="P475" s="55" cm="1">
        <f t="array" aca="1" ref="P475" ca="1">IF((L475-$C$16)&gt;0, IF($P$1+$C$16&gt;=L475,INDIRECT("M"&amp;(L475-$C$16)+5),0),0)</f>
        <v>0</v>
      </c>
      <c r="Q475" s="56" cm="1">
        <f t="array" aca="1" ref="Q475" ca="1">IF(L475&lt;=$C$16,0,IF($W$2&gt;=L475,IF(L475&lt;=($P$1+$C$16),INDIRECT("N"&amp;(L475-$C$16)+5),FV(SRate,L475-$P$1-$C$16,0,-$W$1,1)),0))</f>
        <v>0</v>
      </c>
      <c r="R475" s="56">
        <f t="shared" ca="1" si="55"/>
        <v>0</v>
      </c>
      <c r="S475" s="19">
        <f t="shared" si="57"/>
        <v>0</v>
      </c>
      <c r="T475" s="36" t="str" cm="1">
        <f t="array" aca="1" ref="T475" ca="1">IF(L475&lt;=$P$1,K475,IF(L475&lt;=($P$1+1),INDIRECT("K"&amp;5+$W$2),""))</f>
        <v/>
      </c>
      <c r="U475" s="38">
        <f t="shared" si="58"/>
        <v>40</v>
      </c>
    </row>
    <row r="476" spans="11:21" hidden="1" x14ac:dyDescent="0.25">
      <c r="K476" s="36">
        <f t="shared" ca="1" si="60"/>
        <v>60550</v>
      </c>
      <c r="L476" s="19">
        <v>471</v>
      </c>
      <c r="M476" s="19">
        <f t="shared" si="59"/>
        <v>0</v>
      </c>
      <c r="N476" s="37">
        <f t="shared" si="56"/>
        <v>0</v>
      </c>
      <c r="O476" s="37">
        <f t="shared" si="54"/>
        <v>0</v>
      </c>
      <c r="P476" s="55" cm="1">
        <f t="array" aca="1" ref="P476" ca="1">IF((L476-$C$16)&gt;0, IF($P$1+$C$16&gt;=L476,INDIRECT("M"&amp;(L476-$C$16)+5),0),0)</f>
        <v>0</v>
      </c>
      <c r="Q476" s="56" cm="1">
        <f t="array" aca="1" ref="Q476" ca="1">IF(L476&lt;=$C$16,0,IF($W$2&gt;=L476,IF(L476&lt;=($P$1+$C$16),INDIRECT("N"&amp;(L476-$C$16)+5),FV(SRate,L476-$P$1-$C$16,0,-$W$1,1)),0))</f>
        <v>0</v>
      </c>
      <c r="R476" s="56">
        <f t="shared" ca="1" si="55"/>
        <v>0</v>
      </c>
      <c r="S476" s="19">
        <f t="shared" si="57"/>
        <v>0</v>
      </c>
      <c r="T476" s="36" t="str" cm="1">
        <f t="array" aca="1" ref="T476" ca="1">IF(L476&lt;=$P$1,K476,IF(L476&lt;=($P$1+1),INDIRECT("K"&amp;5+$W$2),""))</f>
        <v/>
      </c>
      <c r="U476" s="38">
        <f t="shared" si="58"/>
        <v>40</v>
      </c>
    </row>
    <row r="477" spans="11:21" hidden="1" x14ac:dyDescent="0.25">
      <c r="K477" s="36">
        <f t="shared" ca="1" si="60"/>
        <v>60581</v>
      </c>
      <c r="L477" s="19">
        <v>472</v>
      </c>
      <c r="M477" s="19">
        <f t="shared" si="59"/>
        <v>0</v>
      </c>
      <c r="N477" s="37">
        <f t="shared" si="56"/>
        <v>0</v>
      </c>
      <c r="O477" s="37">
        <f t="shared" si="54"/>
        <v>0</v>
      </c>
      <c r="P477" s="55" cm="1">
        <f t="array" aca="1" ref="P477" ca="1">IF((L477-$C$16)&gt;0, IF($P$1+$C$16&gt;=L477,INDIRECT("M"&amp;(L477-$C$16)+5),0),0)</f>
        <v>0</v>
      </c>
      <c r="Q477" s="56" cm="1">
        <f t="array" aca="1" ref="Q477" ca="1">IF(L477&lt;=$C$16,0,IF($W$2&gt;=L477,IF(L477&lt;=($P$1+$C$16),INDIRECT("N"&amp;(L477-$C$16)+5),FV(SRate,L477-$P$1-$C$16,0,-$W$1,1)),0))</f>
        <v>0</v>
      </c>
      <c r="R477" s="56">
        <f t="shared" ca="1" si="55"/>
        <v>0</v>
      </c>
      <c r="S477" s="19">
        <f t="shared" si="57"/>
        <v>0</v>
      </c>
      <c r="T477" s="36" t="str" cm="1">
        <f t="array" aca="1" ref="T477" ca="1">IF(L477&lt;=$P$1,K477,IF(L477&lt;=($P$1+1),INDIRECT("K"&amp;5+$W$2),""))</f>
        <v/>
      </c>
      <c r="U477" s="38">
        <f t="shared" si="58"/>
        <v>40</v>
      </c>
    </row>
    <row r="478" spans="11:21" hidden="1" x14ac:dyDescent="0.25">
      <c r="K478" s="36">
        <f t="shared" ca="1" si="60"/>
        <v>60611</v>
      </c>
      <c r="L478" s="19">
        <v>473</v>
      </c>
      <c r="M478" s="19">
        <f t="shared" si="59"/>
        <v>0</v>
      </c>
      <c r="N478" s="37">
        <f t="shared" si="56"/>
        <v>0</v>
      </c>
      <c r="O478" s="37">
        <f t="shared" si="54"/>
        <v>0</v>
      </c>
      <c r="P478" s="55" cm="1">
        <f t="array" aca="1" ref="P478" ca="1">IF((L478-$C$16)&gt;0, IF($P$1+$C$16&gt;=L478,INDIRECT("M"&amp;(L478-$C$16)+5),0),0)</f>
        <v>0</v>
      </c>
      <c r="Q478" s="56" cm="1">
        <f t="array" aca="1" ref="Q478" ca="1">IF(L478&lt;=$C$16,0,IF($W$2&gt;=L478,IF(L478&lt;=($P$1+$C$16),INDIRECT("N"&amp;(L478-$C$16)+5),FV(SRate,L478-$P$1-$C$16,0,-$W$1,1)),0))</f>
        <v>0</v>
      </c>
      <c r="R478" s="56">
        <f t="shared" ca="1" si="55"/>
        <v>0</v>
      </c>
      <c r="S478" s="19">
        <f t="shared" si="57"/>
        <v>0</v>
      </c>
      <c r="T478" s="36" t="str" cm="1">
        <f t="array" aca="1" ref="T478" ca="1">IF(L478&lt;=$P$1,K478,IF(L478&lt;=($P$1+1),INDIRECT("K"&amp;5+$W$2),""))</f>
        <v/>
      </c>
      <c r="U478" s="38">
        <f t="shared" si="58"/>
        <v>40</v>
      </c>
    </row>
    <row r="479" spans="11:21" hidden="1" x14ac:dyDescent="0.25">
      <c r="K479" s="36">
        <f t="shared" ca="1" si="60"/>
        <v>60642</v>
      </c>
      <c r="L479" s="19">
        <v>474</v>
      </c>
      <c r="M479" s="19">
        <f t="shared" si="59"/>
        <v>0</v>
      </c>
      <c r="N479" s="37">
        <f t="shared" si="56"/>
        <v>0</v>
      </c>
      <c r="O479" s="37">
        <f t="shared" si="54"/>
        <v>0</v>
      </c>
      <c r="P479" s="55" cm="1">
        <f t="array" aca="1" ref="P479" ca="1">IF((L479-$C$16)&gt;0, IF($P$1+$C$16&gt;=L479,INDIRECT("M"&amp;(L479-$C$16)+5),0),0)</f>
        <v>0</v>
      </c>
      <c r="Q479" s="56" cm="1">
        <f t="array" aca="1" ref="Q479" ca="1">IF(L479&lt;=$C$16,0,IF($W$2&gt;=L479,IF(L479&lt;=($P$1+$C$16),INDIRECT("N"&amp;(L479-$C$16)+5),FV(SRate,L479-$P$1-$C$16,0,-$W$1,1)),0))</f>
        <v>0</v>
      </c>
      <c r="R479" s="56">
        <f t="shared" ca="1" si="55"/>
        <v>0</v>
      </c>
      <c r="S479" s="19">
        <f t="shared" si="57"/>
        <v>0</v>
      </c>
      <c r="T479" s="36" t="str" cm="1">
        <f t="array" aca="1" ref="T479" ca="1">IF(L479&lt;=$P$1,K479,IF(L479&lt;=($P$1+1),INDIRECT("K"&amp;5+$W$2),""))</f>
        <v/>
      </c>
      <c r="U479" s="38">
        <f t="shared" si="58"/>
        <v>40</v>
      </c>
    </row>
    <row r="480" spans="11:21" hidden="1" x14ac:dyDescent="0.25">
      <c r="K480" s="36">
        <f t="shared" ca="1" si="60"/>
        <v>60673</v>
      </c>
      <c r="L480" s="19">
        <v>475</v>
      </c>
      <c r="M480" s="19">
        <f t="shared" si="59"/>
        <v>0</v>
      </c>
      <c r="N480" s="37">
        <f t="shared" si="56"/>
        <v>0</v>
      </c>
      <c r="O480" s="37">
        <f t="shared" si="54"/>
        <v>0</v>
      </c>
      <c r="P480" s="55" cm="1">
        <f t="array" aca="1" ref="P480" ca="1">IF((L480-$C$16)&gt;0, IF($P$1+$C$16&gt;=L480,INDIRECT("M"&amp;(L480-$C$16)+5),0),0)</f>
        <v>0</v>
      </c>
      <c r="Q480" s="56" cm="1">
        <f t="array" aca="1" ref="Q480" ca="1">IF(L480&lt;=$C$16,0,IF($W$2&gt;=L480,IF(L480&lt;=($P$1+$C$16),INDIRECT("N"&amp;(L480-$C$16)+5),FV(SRate,L480-$P$1-$C$16,0,-$W$1,1)),0))</f>
        <v>0</v>
      </c>
      <c r="R480" s="56">
        <f t="shared" ca="1" si="55"/>
        <v>0</v>
      </c>
      <c r="S480" s="19">
        <f t="shared" si="57"/>
        <v>0</v>
      </c>
      <c r="T480" s="36" t="str" cm="1">
        <f t="array" aca="1" ref="T480" ca="1">IF(L480&lt;=$P$1,K480,IF(L480&lt;=($P$1+1),INDIRECT("K"&amp;5+$W$2),""))</f>
        <v/>
      </c>
      <c r="U480" s="38">
        <f t="shared" si="58"/>
        <v>40</v>
      </c>
    </row>
    <row r="481" spans="11:21" hidden="1" x14ac:dyDescent="0.25">
      <c r="K481" s="36">
        <f t="shared" ca="1" si="60"/>
        <v>60701</v>
      </c>
      <c r="L481" s="19">
        <v>476</v>
      </c>
      <c r="M481" s="19">
        <f t="shared" si="59"/>
        <v>0</v>
      </c>
      <c r="N481" s="37">
        <f t="shared" si="56"/>
        <v>0</v>
      </c>
      <c r="O481" s="37">
        <f t="shared" si="54"/>
        <v>0</v>
      </c>
      <c r="P481" s="55" cm="1">
        <f t="array" aca="1" ref="P481" ca="1">IF((L481-$C$16)&gt;0, IF($P$1+$C$16&gt;=L481,INDIRECT("M"&amp;(L481-$C$16)+5),0),0)</f>
        <v>0</v>
      </c>
      <c r="Q481" s="56" cm="1">
        <f t="array" aca="1" ref="Q481" ca="1">IF(L481&lt;=$C$16,0,IF($W$2&gt;=L481,IF(L481&lt;=($P$1+$C$16),INDIRECT("N"&amp;(L481-$C$16)+5),FV(SRate,L481-$P$1-$C$16,0,-$W$1,1)),0))</f>
        <v>0</v>
      </c>
      <c r="R481" s="56">
        <f t="shared" ca="1" si="55"/>
        <v>0</v>
      </c>
      <c r="S481" s="19">
        <f t="shared" si="57"/>
        <v>0</v>
      </c>
      <c r="T481" s="36" t="str" cm="1">
        <f t="array" aca="1" ref="T481" ca="1">IF(L481&lt;=$P$1,K481,IF(L481&lt;=($P$1+1),INDIRECT("K"&amp;5+$W$2),""))</f>
        <v/>
      </c>
      <c r="U481" s="38">
        <f t="shared" si="58"/>
        <v>40</v>
      </c>
    </row>
    <row r="482" spans="11:21" hidden="1" x14ac:dyDescent="0.25">
      <c r="K482" s="36">
        <f t="shared" ca="1" si="60"/>
        <v>60732</v>
      </c>
      <c r="L482" s="19">
        <v>477</v>
      </c>
      <c r="M482" s="19">
        <f t="shared" si="59"/>
        <v>0</v>
      </c>
      <c r="N482" s="37">
        <f t="shared" si="56"/>
        <v>0</v>
      </c>
      <c r="O482" s="37">
        <f t="shared" si="54"/>
        <v>0</v>
      </c>
      <c r="P482" s="55" cm="1">
        <f t="array" aca="1" ref="P482" ca="1">IF((L482-$C$16)&gt;0, IF($P$1+$C$16&gt;=L482,INDIRECT("M"&amp;(L482-$C$16)+5),0),0)</f>
        <v>0</v>
      </c>
      <c r="Q482" s="56" cm="1">
        <f t="array" aca="1" ref="Q482" ca="1">IF(L482&lt;=$C$16,0,IF($W$2&gt;=L482,IF(L482&lt;=($P$1+$C$16),INDIRECT("N"&amp;(L482-$C$16)+5),FV(SRate,L482-$P$1-$C$16,0,-$W$1,1)),0))</f>
        <v>0</v>
      </c>
      <c r="R482" s="56">
        <f t="shared" ca="1" si="55"/>
        <v>0</v>
      </c>
      <c r="S482" s="19">
        <f t="shared" si="57"/>
        <v>0</v>
      </c>
      <c r="T482" s="36" t="str" cm="1">
        <f t="array" aca="1" ref="T482" ca="1">IF(L482&lt;=$P$1,K482,IF(L482&lt;=($P$1+1),INDIRECT("K"&amp;5+$W$2),""))</f>
        <v/>
      </c>
      <c r="U482" s="38">
        <f t="shared" si="58"/>
        <v>40</v>
      </c>
    </row>
    <row r="483" spans="11:21" hidden="1" x14ac:dyDescent="0.25">
      <c r="K483" s="36">
        <f t="shared" ca="1" si="60"/>
        <v>60762</v>
      </c>
      <c r="L483" s="19">
        <v>478</v>
      </c>
      <c r="M483" s="19">
        <f t="shared" si="59"/>
        <v>0</v>
      </c>
      <c r="N483" s="37">
        <f t="shared" si="56"/>
        <v>0</v>
      </c>
      <c r="O483" s="37">
        <f t="shared" si="54"/>
        <v>0</v>
      </c>
      <c r="P483" s="55" cm="1">
        <f t="array" aca="1" ref="P483" ca="1">IF((L483-$C$16)&gt;0, IF($P$1+$C$16&gt;=L483,INDIRECT("M"&amp;(L483-$C$16)+5),0),0)</f>
        <v>0</v>
      </c>
      <c r="Q483" s="56" cm="1">
        <f t="array" aca="1" ref="Q483" ca="1">IF(L483&lt;=$C$16,0,IF($W$2&gt;=L483,IF(L483&lt;=($P$1+$C$16),INDIRECT("N"&amp;(L483-$C$16)+5),FV(SRate,L483-$P$1-$C$16,0,-$W$1,1)),0))</f>
        <v>0</v>
      </c>
      <c r="R483" s="56">
        <f t="shared" ca="1" si="55"/>
        <v>0</v>
      </c>
      <c r="S483" s="19">
        <f t="shared" si="57"/>
        <v>0</v>
      </c>
      <c r="T483" s="36" t="str" cm="1">
        <f t="array" aca="1" ref="T483" ca="1">IF(L483&lt;=$P$1,K483,IF(L483&lt;=($P$1+1),INDIRECT("K"&amp;5+$W$2),""))</f>
        <v/>
      </c>
      <c r="U483" s="38">
        <f t="shared" si="58"/>
        <v>40</v>
      </c>
    </row>
    <row r="484" spans="11:21" hidden="1" x14ac:dyDescent="0.25">
      <c r="K484" s="36">
        <f t="shared" ca="1" si="60"/>
        <v>60793</v>
      </c>
      <c r="L484" s="19">
        <v>479</v>
      </c>
      <c r="M484" s="19">
        <f t="shared" si="59"/>
        <v>0</v>
      </c>
      <c r="N484" s="37">
        <f t="shared" si="56"/>
        <v>0</v>
      </c>
      <c r="O484" s="37">
        <f t="shared" si="54"/>
        <v>0</v>
      </c>
      <c r="P484" s="55" cm="1">
        <f t="array" aca="1" ref="P484" ca="1">IF((L484-$C$16)&gt;0, IF($P$1+$C$16&gt;=L484,INDIRECT("M"&amp;(L484-$C$16)+5),0),0)</f>
        <v>0</v>
      </c>
      <c r="Q484" s="56" cm="1">
        <f t="array" aca="1" ref="Q484" ca="1">IF(L484&lt;=$C$16,0,IF($W$2&gt;=L484,IF(L484&lt;=($P$1+$C$16),INDIRECT("N"&amp;(L484-$C$16)+5),FV(SRate,L484-$P$1-$C$16,0,-$W$1,1)),0))</f>
        <v>0</v>
      </c>
      <c r="R484" s="56">
        <f t="shared" ca="1" si="55"/>
        <v>0</v>
      </c>
      <c r="S484" s="19">
        <f t="shared" si="57"/>
        <v>0</v>
      </c>
      <c r="T484" s="36" t="str" cm="1">
        <f t="array" aca="1" ref="T484" ca="1">IF(L484&lt;=$P$1,K484,IF(L484&lt;=($P$1+1),INDIRECT("K"&amp;5+$W$2),""))</f>
        <v/>
      </c>
      <c r="U484" s="38">
        <f t="shared" si="58"/>
        <v>40</v>
      </c>
    </row>
    <row r="485" spans="11:21" hidden="1" x14ac:dyDescent="0.25">
      <c r="K485" s="36">
        <f t="shared" ca="1" si="60"/>
        <v>60823</v>
      </c>
      <c r="L485" s="19">
        <v>480</v>
      </c>
      <c r="M485" s="19">
        <f t="shared" si="59"/>
        <v>0</v>
      </c>
      <c r="N485" s="37">
        <f t="shared" si="56"/>
        <v>0</v>
      </c>
      <c r="O485" s="37">
        <f t="shared" si="54"/>
        <v>0</v>
      </c>
      <c r="P485" s="55" cm="1">
        <f t="array" aca="1" ref="P485" ca="1">IF((L485-$C$16)&gt;0, IF($P$1+$C$16&gt;=L485,INDIRECT("M"&amp;(L485-$C$16)+5),0),0)</f>
        <v>0</v>
      </c>
      <c r="Q485" s="56" cm="1">
        <f t="array" aca="1" ref="Q485" ca="1">IF(L485&lt;=$C$16,0,IF($W$2&gt;=L485,IF(L485&lt;=($P$1+$C$16),INDIRECT("N"&amp;(L485-$C$16)+5),FV(SRate,L485-$P$1-$C$16,0,-$W$1,1)),0))</f>
        <v>0</v>
      </c>
      <c r="R485" s="56">
        <f t="shared" ca="1" si="55"/>
        <v>0</v>
      </c>
      <c r="S485" s="19">
        <f t="shared" si="57"/>
        <v>0</v>
      </c>
      <c r="T485" s="36" t="str" cm="1">
        <f t="array" aca="1" ref="T485" ca="1">IF(L485&lt;=$P$1,K485,IF(L485&lt;=($P$1+1),INDIRECT("K"&amp;5+$W$2),""))</f>
        <v/>
      </c>
      <c r="U485" s="38">
        <f t="shared" si="58"/>
        <v>40</v>
      </c>
    </row>
    <row r="486" spans="11:21" hidden="1" x14ac:dyDescent="0.25">
      <c r="K486" s="36">
        <f t="shared" ca="1" si="60"/>
        <v>60854</v>
      </c>
      <c r="L486" s="19">
        <v>481</v>
      </c>
      <c r="M486" s="19">
        <f t="shared" si="59"/>
        <v>0</v>
      </c>
      <c r="N486" s="37">
        <f t="shared" si="56"/>
        <v>0</v>
      </c>
      <c r="O486" s="37">
        <f t="shared" ref="O486:O549" si="61">N486/((1+SIPInflationRate)^(L486/12))</f>
        <v>0</v>
      </c>
      <c r="P486" s="55" cm="1">
        <f t="array" aca="1" ref="P486" ca="1">IF((L486-$C$16)&gt;0, IF($P$1+$C$16&gt;=L486,INDIRECT("M"&amp;(L486-$C$16)+5),0),0)</f>
        <v>0</v>
      </c>
      <c r="Q486" s="56" cm="1">
        <f t="array" aca="1" ref="Q486" ca="1">IF(L486&lt;=$C$16,0,IF($W$2&gt;=L486,IF(L486&lt;=($P$1+$C$16),INDIRECT("N"&amp;(L486-$C$16)+5),FV(SRate,L486-$P$1-$C$16,0,-$W$1,1)),0))</f>
        <v>0</v>
      </c>
      <c r="R486" s="56">
        <f t="shared" ca="1" si="55"/>
        <v>0</v>
      </c>
      <c r="S486" s="19">
        <f t="shared" si="57"/>
        <v>0</v>
      </c>
      <c r="T486" s="36" t="str" cm="1">
        <f t="array" aca="1" ref="T486" ca="1">IF(L486&lt;=$P$1,K486,IF(L486&lt;=($P$1+1),INDIRECT("K"&amp;5+$W$2),""))</f>
        <v/>
      </c>
      <c r="U486" s="38">
        <f t="shared" si="58"/>
        <v>41</v>
      </c>
    </row>
    <row r="487" spans="11:21" hidden="1" x14ac:dyDescent="0.25">
      <c r="K487" s="36">
        <f t="shared" ca="1" si="60"/>
        <v>60885</v>
      </c>
      <c r="L487" s="19">
        <v>482</v>
      </c>
      <c r="M487" s="19">
        <f t="shared" si="59"/>
        <v>0</v>
      </c>
      <c r="N487" s="37">
        <f t="shared" si="56"/>
        <v>0</v>
      </c>
      <c r="O487" s="37">
        <f t="shared" si="61"/>
        <v>0</v>
      </c>
      <c r="P487" s="55" cm="1">
        <f t="array" aca="1" ref="P487" ca="1">IF((L487-$C$16)&gt;0, IF($P$1+$C$16&gt;=L487,INDIRECT("M"&amp;(L487-$C$16)+5),0),0)</f>
        <v>0</v>
      </c>
      <c r="Q487" s="56" cm="1">
        <f t="array" aca="1" ref="Q487" ca="1">IF(L487&lt;=$C$16,0,IF($W$2&gt;=L487,IF(L487&lt;=($P$1+$C$16),INDIRECT("N"&amp;(L487-$C$16)+5),FV(SRate,L487-$P$1-$C$16,0,-$W$1,1)),0))</f>
        <v>0</v>
      </c>
      <c r="R487" s="56">
        <f t="shared" ca="1" si="55"/>
        <v>0</v>
      </c>
      <c r="S487" s="19">
        <f t="shared" si="57"/>
        <v>0</v>
      </c>
      <c r="T487" s="36" t="str" cm="1">
        <f t="array" aca="1" ref="T487" ca="1">IF(L487&lt;=$P$1,K487,IF(L487&lt;=($P$1+1),INDIRECT("K"&amp;5+$W$2),""))</f>
        <v/>
      </c>
      <c r="U487" s="38">
        <f t="shared" si="58"/>
        <v>41</v>
      </c>
    </row>
    <row r="488" spans="11:21" hidden="1" x14ac:dyDescent="0.25">
      <c r="K488" s="36">
        <f t="shared" ca="1" si="60"/>
        <v>60915</v>
      </c>
      <c r="L488" s="19">
        <v>483</v>
      </c>
      <c r="M488" s="19">
        <f t="shared" si="59"/>
        <v>0</v>
      </c>
      <c r="N488" s="37">
        <f t="shared" si="56"/>
        <v>0</v>
      </c>
      <c r="O488" s="37">
        <f t="shared" si="61"/>
        <v>0</v>
      </c>
      <c r="P488" s="55" cm="1">
        <f t="array" aca="1" ref="P488" ca="1">IF((L488-$C$16)&gt;0, IF($P$1+$C$16&gt;=L488,INDIRECT("M"&amp;(L488-$C$16)+5),0),0)</f>
        <v>0</v>
      </c>
      <c r="Q488" s="56" cm="1">
        <f t="array" aca="1" ref="Q488" ca="1">IF(L488&lt;=$C$16,0,IF($W$2&gt;=L488,IF(L488&lt;=($P$1+$C$16),INDIRECT("N"&amp;(L488-$C$16)+5),FV(SRate,L488-$P$1-$C$16,0,-$W$1,1)),0))</f>
        <v>0</v>
      </c>
      <c r="R488" s="56">
        <f t="shared" ca="1" si="55"/>
        <v>0</v>
      </c>
      <c r="S488" s="19">
        <f t="shared" si="57"/>
        <v>0</v>
      </c>
      <c r="T488" s="36" t="str" cm="1">
        <f t="array" aca="1" ref="T488" ca="1">IF(L488&lt;=$P$1,K488,IF(L488&lt;=($P$1+1),INDIRECT("K"&amp;5+$W$2),""))</f>
        <v/>
      </c>
      <c r="U488" s="38">
        <f t="shared" si="58"/>
        <v>41</v>
      </c>
    </row>
    <row r="489" spans="11:21" hidden="1" x14ac:dyDescent="0.25">
      <c r="K489" s="36">
        <f t="shared" ca="1" si="60"/>
        <v>60946</v>
      </c>
      <c r="L489" s="19">
        <v>484</v>
      </c>
      <c r="M489" s="19">
        <f t="shared" si="59"/>
        <v>0</v>
      </c>
      <c r="N489" s="37">
        <f t="shared" si="56"/>
        <v>0</v>
      </c>
      <c r="O489" s="37">
        <f t="shared" si="61"/>
        <v>0</v>
      </c>
      <c r="P489" s="55" cm="1">
        <f t="array" aca="1" ref="P489" ca="1">IF((L489-$C$16)&gt;0, IF($P$1+$C$16&gt;=L489,INDIRECT("M"&amp;(L489-$C$16)+5),0),0)</f>
        <v>0</v>
      </c>
      <c r="Q489" s="56" cm="1">
        <f t="array" aca="1" ref="Q489" ca="1">IF(L489&lt;=$C$16,0,IF($W$2&gt;=L489,IF(L489&lt;=($P$1+$C$16),INDIRECT("N"&amp;(L489-$C$16)+5),FV(SRate,L489-$P$1-$C$16,0,-$W$1,1)),0))</f>
        <v>0</v>
      </c>
      <c r="R489" s="56">
        <f t="shared" ca="1" si="55"/>
        <v>0</v>
      </c>
      <c r="S489" s="19">
        <f t="shared" si="57"/>
        <v>0</v>
      </c>
      <c r="T489" s="36" t="str" cm="1">
        <f t="array" aca="1" ref="T489" ca="1">IF(L489&lt;=$P$1,K489,IF(L489&lt;=($P$1+1),INDIRECT("K"&amp;5+$W$2),""))</f>
        <v/>
      </c>
      <c r="U489" s="38">
        <f t="shared" si="58"/>
        <v>41</v>
      </c>
    </row>
    <row r="490" spans="11:21" hidden="1" x14ac:dyDescent="0.25">
      <c r="K490" s="36">
        <f t="shared" ca="1" si="60"/>
        <v>60976</v>
      </c>
      <c r="L490" s="19">
        <v>485</v>
      </c>
      <c r="M490" s="19">
        <f t="shared" si="59"/>
        <v>0</v>
      </c>
      <c r="N490" s="37">
        <f t="shared" si="56"/>
        <v>0</v>
      </c>
      <c r="O490" s="37">
        <f t="shared" si="61"/>
        <v>0</v>
      </c>
      <c r="P490" s="55" cm="1">
        <f t="array" aca="1" ref="P490" ca="1">IF((L490-$C$16)&gt;0, IF($P$1+$C$16&gt;=L490,INDIRECT("M"&amp;(L490-$C$16)+5),0),0)</f>
        <v>0</v>
      </c>
      <c r="Q490" s="56" cm="1">
        <f t="array" aca="1" ref="Q490" ca="1">IF(L490&lt;=$C$16,0,IF($W$2&gt;=L490,IF(L490&lt;=($P$1+$C$16),INDIRECT("N"&amp;(L490-$C$16)+5),FV(SRate,L490-$P$1-$C$16,0,-$W$1,1)),0))</f>
        <v>0</v>
      </c>
      <c r="R490" s="56">
        <f t="shared" ca="1" si="55"/>
        <v>0</v>
      </c>
      <c r="S490" s="19">
        <f t="shared" si="57"/>
        <v>0</v>
      </c>
      <c r="T490" s="36" t="str" cm="1">
        <f t="array" aca="1" ref="T490" ca="1">IF(L490&lt;=$P$1,K490,IF(L490&lt;=($P$1+1),INDIRECT("K"&amp;5+$W$2),""))</f>
        <v/>
      </c>
      <c r="U490" s="38">
        <f t="shared" si="58"/>
        <v>41</v>
      </c>
    </row>
    <row r="491" spans="11:21" hidden="1" x14ac:dyDescent="0.25">
      <c r="K491" s="36">
        <f t="shared" ca="1" si="60"/>
        <v>61007</v>
      </c>
      <c r="L491" s="19">
        <v>486</v>
      </c>
      <c r="M491" s="19">
        <f t="shared" si="59"/>
        <v>0</v>
      </c>
      <c r="N491" s="37">
        <f t="shared" si="56"/>
        <v>0</v>
      </c>
      <c r="O491" s="37">
        <f t="shared" si="61"/>
        <v>0</v>
      </c>
      <c r="P491" s="55" cm="1">
        <f t="array" aca="1" ref="P491" ca="1">IF((L491-$C$16)&gt;0, IF($P$1+$C$16&gt;=L491,INDIRECT("M"&amp;(L491-$C$16)+5),0),0)</f>
        <v>0</v>
      </c>
      <c r="Q491" s="56" cm="1">
        <f t="array" aca="1" ref="Q491" ca="1">IF(L491&lt;=$C$16,0,IF($W$2&gt;=L491,IF(L491&lt;=($P$1+$C$16),INDIRECT("N"&amp;(L491-$C$16)+5),FV(SRate,L491-$P$1-$C$16,0,-$W$1,1)),0))</f>
        <v>0</v>
      </c>
      <c r="R491" s="56">
        <f t="shared" ca="1" si="55"/>
        <v>0</v>
      </c>
      <c r="S491" s="19">
        <f t="shared" si="57"/>
        <v>0</v>
      </c>
      <c r="T491" s="36" t="str" cm="1">
        <f t="array" aca="1" ref="T491" ca="1">IF(L491&lt;=$P$1,K491,IF(L491&lt;=($P$1+1),INDIRECT("K"&amp;5+$W$2),""))</f>
        <v/>
      </c>
      <c r="U491" s="38">
        <f t="shared" si="58"/>
        <v>41</v>
      </c>
    </row>
    <row r="492" spans="11:21" hidden="1" x14ac:dyDescent="0.25">
      <c r="K492" s="36">
        <f t="shared" ca="1" si="60"/>
        <v>61038</v>
      </c>
      <c r="L492" s="19">
        <v>487</v>
      </c>
      <c r="M492" s="19">
        <f t="shared" si="59"/>
        <v>0</v>
      </c>
      <c r="N492" s="37">
        <f t="shared" si="56"/>
        <v>0</v>
      </c>
      <c r="O492" s="37">
        <f t="shared" si="61"/>
        <v>0</v>
      </c>
      <c r="P492" s="55" cm="1">
        <f t="array" aca="1" ref="P492" ca="1">IF((L492-$C$16)&gt;0, IF($P$1+$C$16&gt;=L492,INDIRECT("M"&amp;(L492-$C$16)+5),0),0)</f>
        <v>0</v>
      </c>
      <c r="Q492" s="56" cm="1">
        <f t="array" aca="1" ref="Q492" ca="1">IF(L492&lt;=$C$16,0,IF($W$2&gt;=L492,IF(L492&lt;=($P$1+$C$16),INDIRECT("N"&amp;(L492-$C$16)+5),FV(SRate,L492-$P$1-$C$16,0,-$W$1,1)),0))</f>
        <v>0</v>
      </c>
      <c r="R492" s="56">
        <f t="shared" ca="1" si="55"/>
        <v>0</v>
      </c>
      <c r="S492" s="19">
        <f t="shared" si="57"/>
        <v>0</v>
      </c>
      <c r="T492" s="36" t="str" cm="1">
        <f t="array" aca="1" ref="T492" ca="1">IF(L492&lt;=$P$1,K492,IF(L492&lt;=($P$1+1),INDIRECT("K"&amp;5+$W$2),""))</f>
        <v/>
      </c>
      <c r="U492" s="38">
        <f t="shared" si="58"/>
        <v>41</v>
      </c>
    </row>
    <row r="493" spans="11:21" hidden="1" x14ac:dyDescent="0.25">
      <c r="K493" s="36">
        <f t="shared" ca="1" si="60"/>
        <v>61066</v>
      </c>
      <c r="L493" s="19">
        <v>488</v>
      </c>
      <c r="M493" s="19">
        <f t="shared" si="59"/>
        <v>0</v>
      </c>
      <c r="N493" s="37">
        <f t="shared" si="56"/>
        <v>0</v>
      </c>
      <c r="O493" s="37">
        <f t="shared" si="61"/>
        <v>0</v>
      </c>
      <c r="P493" s="55" cm="1">
        <f t="array" aca="1" ref="P493" ca="1">IF((L493-$C$16)&gt;0, IF($P$1+$C$16&gt;=L493,INDIRECT("M"&amp;(L493-$C$16)+5),0),0)</f>
        <v>0</v>
      </c>
      <c r="Q493" s="56" cm="1">
        <f t="array" aca="1" ref="Q493" ca="1">IF(L493&lt;=$C$16,0,IF($W$2&gt;=L493,IF(L493&lt;=($P$1+$C$16),INDIRECT("N"&amp;(L493-$C$16)+5),FV(SRate,L493-$P$1-$C$16,0,-$W$1,1)),0))</f>
        <v>0</v>
      </c>
      <c r="R493" s="56">
        <f t="shared" ca="1" si="55"/>
        <v>0</v>
      </c>
      <c r="S493" s="19">
        <f t="shared" si="57"/>
        <v>0</v>
      </c>
      <c r="T493" s="36" t="str" cm="1">
        <f t="array" aca="1" ref="T493" ca="1">IF(L493&lt;=$P$1,K493,IF(L493&lt;=($P$1+1),INDIRECT("K"&amp;5+$W$2),""))</f>
        <v/>
      </c>
      <c r="U493" s="38">
        <f t="shared" si="58"/>
        <v>41</v>
      </c>
    </row>
    <row r="494" spans="11:21" hidden="1" x14ac:dyDescent="0.25">
      <c r="K494" s="36">
        <f t="shared" ca="1" si="60"/>
        <v>61097</v>
      </c>
      <c r="L494" s="19">
        <v>489</v>
      </c>
      <c r="M494" s="19">
        <f t="shared" si="59"/>
        <v>0</v>
      </c>
      <c r="N494" s="37">
        <f t="shared" si="56"/>
        <v>0</v>
      </c>
      <c r="O494" s="37">
        <f t="shared" si="61"/>
        <v>0</v>
      </c>
      <c r="P494" s="55" cm="1">
        <f t="array" aca="1" ref="P494" ca="1">IF((L494-$C$16)&gt;0, IF($P$1+$C$16&gt;=L494,INDIRECT("M"&amp;(L494-$C$16)+5),0),0)</f>
        <v>0</v>
      </c>
      <c r="Q494" s="56" cm="1">
        <f t="array" aca="1" ref="Q494" ca="1">IF(L494&lt;=$C$16,0,IF($W$2&gt;=L494,IF(L494&lt;=($P$1+$C$16),INDIRECT("N"&amp;(L494-$C$16)+5),FV(SRate,L494-$P$1-$C$16,0,-$W$1,1)),0))</f>
        <v>0</v>
      </c>
      <c r="R494" s="56">
        <f t="shared" ca="1" si="55"/>
        <v>0</v>
      </c>
      <c r="S494" s="19">
        <f t="shared" si="57"/>
        <v>0</v>
      </c>
      <c r="T494" s="36" t="str" cm="1">
        <f t="array" aca="1" ref="T494" ca="1">IF(L494&lt;=$P$1,K494,IF(L494&lt;=($P$1+1),INDIRECT("K"&amp;5+$W$2),""))</f>
        <v/>
      </c>
      <c r="U494" s="38">
        <f t="shared" si="58"/>
        <v>41</v>
      </c>
    </row>
    <row r="495" spans="11:21" hidden="1" x14ac:dyDescent="0.25">
      <c r="K495" s="36">
        <f t="shared" ca="1" si="60"/>
        <v>61127</v>
      </c>
      <c r="L495" s="19">
        <v>490</v>
      </c>
      <c r="M495" s="19">
        <f t="shared" si="59"/>
        <v>0</v>
      </c>
      <c r="N495" s="37">
        <f t="shared" si="56"/>
        <v>0</v>
      </c>
      <c r="O495" s="37">
        <f t="shared" si="61"/>
        <v>0</v>
      </c>
      <c r="P495" s="55" cm="1">
        <f t="array" aca="1" ref="P495" ca="1">IF((L495-$C$16)&gt;0, IF($P$1+$C$16&gt;=L495,INDIRECT("M"&amp;(L495-$C$16)+5),0),0)</f>
        <v>0</v>
      </c>
      <c r="Q495" s="56" cm="1">
        <f t="array" aca="1" ref="Q495" ca="1">IF(L495&lt;=$C$16,0,IF($W$2&gt;=L495,IF(L495&lt;=($P$1+$C$16),INDIRECT("N"&amp;(L495-$C$16)+5),FV(SRate,L495-$P$1-$C$16,0,-$W$1,1)),0))</f>
        <v>0</v>
      </c>
      <c r="R495" s="56">
        <f t="shared" ca="1" si="55"/>
        <v>0</v>
      </c>
      <c r="S495" s="19">
        <f t="shared" si="57"/>
        <v>0</v>
      </c>
      <c r="T495" s="36" t="str" cm="1">
        <f t="array" aca="1" ref="T495" ca="1">IF(L495&lt;=$P$1,K495,IF(L495&lt;=($P$1+1),INDIRECT("K"&amp;5+$W$2),""))</f>
        <v/>
      </c>
      <c r="U495" s="38">
        <f t="shared" si="58"/>
        <v>41</v>
      </c>
    </row>
    <row r="496" spans="11:21" hidden="1" x14ac:dyDescent="0.25">
      <c r="K496" s="36">
        <f t="shared" ca="1" si="60"/>
        <v>61158</v>
      </c>
      <c r="L496" s="19">
        <v>491</v>
      </c>
      <c r="M496" s="19">
        <f t="shared" si="59"/>
        <v>0</v>
      </c>
      <c r="N496" s="37">
        <f t="shared" si="56"/>
        <v>0</v>
      </c>
      <c r="O496" s="37">
        <f t="shared" si="61"/>
        <v>0</v>
      </c>
      <c r="P496" s="55" cm="1">
        <f t="array" aca="1" ref="P496" ca="1">IF((L496-$C$16)&gt;0, IF($P$1+$C$16&gt;=L496,INDIRECT("M"&amp;(L496-$C$16)+5),0),0)</f>
        <v>0</v>
      </c>
      <c r="Q496" s="56" cm="1">
        <f t="array" aca="1" ref="Q496" ca="1">IF(L496&lt;=$C$16,0,IF($W$2&gt;=L496,IF(L496&lt;=($P$1+$C$16),INDIRECT("N"&amp;(L496-$C$16)+5),FV(SRate,L496-$P$1-$C$16,0,-$W$1,1)),0))</f>
        <v>0</v>
      </c>
      <c r="R496" s="56">
        <f t="shared" ca="1" si="55"/>
        <v>0</v>
      </c>
      <c r="S496" s="19">
        <f t="shared" si="57"/>
        <v>0</v>
      </c>
      <c r="T496" s="36" t="str" cm="1">
        <f t="array" aca="1" ref="T496" ca="1">IF(L496&lt;=$P$1,K496,IF(L496&lt;=($P$1+1),INDIRECT("K"&amp;5+$W$2),""))</f>
        <v/>
      </c>
      <c r="U496" s="38">
        <f t="shared" si="58"/>
        <v>41</v>
      </c>
    </row>
    <row r="497" spans="11:21" hidden="1" x14ac:dyDescent="0.25">
      <c r="K497" s="36">
        <f t="shared" ca="1" si="60"/>
        <v>61188</v>
      </c>
      <c r="L497" s="19">
        <v>492</v>
      </c>
      <c r="M497" s="19">
        <f t="shared" si="59"/>
        <v>0</v>
      </c>
      <c r="N497" s="37">
        <f t="shared" si="56"/>
        <v>0</v>
      </c>
      <c r="O497" s="37">
        <f t="shared" si="61"/>
        <v>0</v>
      </c>
      <c r="P497" s="55" cm="1">
        <f t="array" aca="1" ref="P497" ca="1">IF((L497-$C$16)&gt;0, IF($P$1+$C$16&gt;=L497,INDIRECT("M"&amp;(L497-$C$16)+5),0),0)</f>
        <v>0</v>
      </c>
      <c r="Q497" s="56" cm="1">
        <f t="array" aca="1" ref="Q497" ca="1">IF(L497&lt;=$C$16,0,IF($W$2&gt;=L497,IF(L497&lt;=($P$1+$C$16),INDIRECT("N"&amp;(L497-$C$16)+5),FV(SRate,L497-$P$1-$C$16,0,-$W$1,1)),0))</f>
        <v>0</v>
      </c>
      <c r="R497" s="56">
        <f t="shared" ca="1" si="55"/>
        <v>0</v>
      </c>
      <c r="S497" s="19">
        <f t="shared" si="57"/>
        <v>0</v>
      </c>
      <c r="T497" s="36" t="str" cm="1">
        <f t="array" aca="1" ref="T497" ca="1">IF(L497&lt;=$P$1,K497,IF(L497&lt;=($P$1+1),INDIRECT("K"&amp;5+$W$2),""))</f>
        <v/>
      </c>
      <c r="U497" s="38">
        <f t="shared" si="58"/>
        <v>41</v>
      </c>
    </row>
    <row r="498" spans="11:21" hidden="1" x14ac:dyDescent="0.25">
      <c r="K498" s="36">
        <f t="shared" ca="1" si="60"/>
        <v>61219</v>
      </c>
      <c r="L498" s="19">
        <v>493</v>
      </c>
      <c r="M498" s="19">
        <f t="shared" si="59"/>
        <v>0</v>
      </c>
      <c r="N498" s="37">
        <f t="shared" si="56"/>
        <v>0</v>
      </c>
      <c r="O498" s="37">
        <f t="shared" si="61"/>
        <v>0</v>
      </c>
      <c r="P498" s="55" cm="1">
        <f t="array" aca="1" ref="P498" ca="1">IF((L498-$C$16)&gt;0, IF($P$1+$C$16&gt;=L498,INDIRECT("M"&amp;(L498-$C$16)+5),0),0)</f>
        <v>0</v>
      </c>
      <c r="Q498" s="56" cm="1">
        <f t="array" aca="1" ref="Q498" ca="1">IF(L498&lt;=$C$16,0,IF($W$2&gt;=L498,IF(L498&lt;=($P$1+$C$16),INDIRECT("N"&amp;(L498-$C$16)+5),FV(SRate,L498-$P$1-$C$16,0,-$W$1,1)),0))</f>
        <v>0</v>
      </c>
      <c r="R498" s="56">
        <f t="shared" ca="1" si="55"/>
        <v>0</v>
      </c>
      <c r="S498" s="19">
        <f t="shared" si="57"/>
        <v>0</v>
      </c>
      <c r="T498" s="36" t="str" cm="1">
        <f t="array" aca="1" ref="T498" ca="1">IF(L498&lt;=$P$1,K498,IF(L498&lt;=($P$1+1),INDIRECT("K"&amp;5+$W$2),""))</f>
        <v/>
      </c>
      <c r="U498" s="38">
        <f t="shared" si="58"/>
        <v>42</v>
      </c>
    </row>
    <row r="499" spans="11:21" hidden="1" x14ac:dyDescent="0.25">
      <c r="K499" s="36">
        <f t="shared" ca="1" si="60"/>
        <v>61250</v>
      </c>
      <c r="L499" s="19">
        <v>494</v>
      </c>
      <c r="M499" s="19">
        <f t="shared" si="59"/>
        <v>0</v>
      </c>
      <c r="N499" s="37">
        <f t="shared" si="56"/>
        <v>0</v>
      </c>
      <c r="O499" s="37">
        <f t="shared" si="61"/>
        <v>0</v>
      </c>
      <c r="P499" s="55" cm="1">
        <f t="array" aca="1" ref="P499" ca="1">IF((L499-$C$16)&gt;0, IF($P$1+$C$16&gt;=L499,INDIRECT("M"&amp;(L499-$C$16)+5),0),0)</f>
        <v>0</v>
      </c>
      <c r="Q499" s="56" cm="1">
        <f t="array" aca="1" ref="Q499" ca="1">IF(L499&lt;=$C$16,0,IF($W$2&gt;=L499,IF(L499&lt;=($P$1+$C$16),INDIRECT("N"&amp;(L499-$C$16)+5),FV(SRate,L499-$P$1-$C$16,0,-$W$1,1)),0))</f>
        <v>0</v>
      </c>
      <c r="R499" s="56">
        <f t="shared" ca="1" si="55"/>
        <v>0</v>
      </c>
      <c r="S499" s="19">
        <f t="shared" si="57"/>
        <v>0</v>
      </c>
      <c r="T499" s="36" t="str" cm="1">
        <f t="array" aca="1" ref="T499" ca="1">IF(L499&lt;=$P$1,K499,IF(L499&lt;=($P$1+1),INDIRECT("K"&amp;5+$W$2),""))</f>
        <v/>
      </c>
      <c r="U499" s="38">
        <f t="shared" si="58"/>
        <v>42</v>
      </c>
    </row>
    <row r="500" spans="11:21" hidden="1" x14ac:dyDescent="0.25">
      <c r="K500" s="36">
        <f t="shared" ca="1" si="60"/>
        <v>61280</v>
      </c>
      <c r="L500" s="19">
        <v>495</v>
      </c>
      <c r="M500" s="19">
        <f t="shared" si="59"/>
        <v>0</v>
      </c>
      <c r="N500" s="37">
        <f t="shared" si="56"/>
        <v>0</v>
      </c>
      <c r="O500" s="37">
        <f t="shared" si="61"/>
        <v>0</v>
      </c>
      <c r="P500" s="55" cm="1">
        <f t="array" aca="1" ref="P500" ca="1">IF((L500-$C$16)&gt;0, IF($P$1+$C$16&gt;=L500,INDIRECT("M"&amp;(L500-$C$16)+5),0),0)</f>
        <v>0</v>
      </c>
      <c r="Q500" s="56" cm="1">
        <f t="array" aca="1" ref="Q500" ca="1">IF(L500&lt;=$C$16,0,IF($W$2&gt;=L500,IF(L500&lt;=($P$1+$C$16),INDIRECT("N"&amp;(L500-$C$16)+5),FV(SRate,L500-$P$1-$C$16,0,-$W$1,1)),0))</f>
        <v>0</v>
      </c>
      <c r="R500" s="56">
        <f t="shared" ca="1" si="55"/>
        <v>0</v>
      </c>
      <c r="S500" s="19">
        <f t="shared" si="57"/>
        <v>0</v>
      </c>
      <c r="T500" s="36" t="str" cm="1">
        <f t="array" aca="1" ref="T500" ca="1">IF(L500&lt;=$P$1,K500,IF(L500&lt;=($P$1+1),INDIRECT("K"&amp;5+$W$2),""))</f>
        <v/>
      </c>
      <c r="U500" s="38">
        <f t="shared" si="58"/>
        <v>42</v>
      </c>
    </row>
    <row r="501" spans="11:21" hidden="1" x14ac:dyDescent="0.25">
      <c r="K501" s="36">
        <f t="shared" ca="1" si="60"/>
        <v>61311</v>
      </c>
      <c r="L501" s="19">
        <v>496</v>
      </c>
      <c r="M501" s="19">
        <f t="shared" si="59"/>
        <v>0</v>
      </c>
      <c r="N501" s="37">
        <f t="shared" si="56"/>
        <v>0</v>
      </c>
      <c r="O501" s="37">
        <f t="shared" si="61"/>
        <v>0</v>
      </c>
      <c r="P501" s="55" cm="1">
        <f t="array" aca="1" ref="P501" ca="1">IF((L501-$C$16)&gt;0, IF($P$1+$C$16&gt;=L501,INDIRECT("M"&amp;(L501-$C$16)+5),0),0)</f>
        <v>0</v>
      </c>
      <c r="Q501" s="56" cm="1">
        <f t="array" aca="1" ref="Q501" ca="1">IF(L501&lt;=$C$16,0,IF($W$2&gt;=L501,IF(L501&lt;=($P$1+$C$16),INDIRECT("N"&amp;(L501-$C$16)+5),FV(SRate,L501-$P$1-$C$16,0,-$W$1,1)),0))</f>
        <v>0</v>
      </c>
      <c r="R501" s="56">
        <f t="shared" ca="1" si="55"/>
        <v>0</v>
      </c>
      <c r="S501" s="19">
        <f t="shared" si="57"/>
        <v>0</v>
      </c>
      <c r="T501" s="36" t="str" cm="1">
        <f t="array" aca="1" ref="T501" ca="1">IF(L501&lt;=$P$1,K501,IF(L501&lt;=($P$1+1),INDIRECT("K"&amp;5+$W$2),""))</f>
        <v/>
      </c>
      <c r="U501" s="38">
        <f t="shared" si="58"/>
        <v>42</v>
      </c>
    </row>
    <row r="502" spans="11:21" hidden="1" x14ac:dyDescent="0.25">
      <c r="K502" s="36">
        <f t="shared" ca="1" si="60"/>
        <v>61341</v>
      </c>
      <c r="L502" s="19">
        <v>497</v>
      </c>
      <c r="M502" s="19">
        <f t="shared" si="59"/>
        <v>0</v>
      </c>
      <c r="N502" s="37">
        <f t="shared" si="56"/>
        <v>0</v>
      </c>
      <c r="O502" s="37">
        <f t="shared" si="61"/>
        <v>0</v>
      </c>
      <c r="P502" s="55" cm="1">
        <f t="array" aca="1" ref="P502" ca="1">IF((L502-$C$16)&gt;0, IF($P$1+$C$16&gt;=L502,INDIRECT("M"&amp;(L502-$C$16)+5),0),0)</f>
        <v>0</v>
      </c>
      <c r="Q502" s="56" cm="1">
        <f t="array" aca="1" ref="Q502" ca="1">IF(L502&lt;=$C$16,0,IF($W$2&gt;=L502,IF(L502&lt;=($P$1+$C$16),INDIRECT("N"&amp;(L502-$C$16)+5),FV(SRate,L502-$P$1-$C$16,0,-$W$1,1)),0))</f>
        <v>0</v>
      </c>
      <c r="R502" s="56">
        <f t="shared" ca="1" si="55"/>
        <v>0</v>
      </c>
      <c r="S502" s="19">
        <f t="shared" si="57"/>
        <v>0</v>
      </c>
      <c r="T502" s="36" t="str" cm="1">
        <f t="array" aca="1" ref="T502" ca="1">IF(L502&lt;=$P$1,K502,IF(L502&lt;=($P$1+1),INDIRECT("K"&amp;5+$W$2),""))</f>
        <v/>
      </c>
      <c r="U502" s="38">
        <f t="shared" si="58"/>
        <v>42</v>
      </c>
    </row>
    <row r="503" spans="11:21" hidden="1" x14ac:dyDescent="0.25">
      <c r="K503" s="36">
        <f t="shared" ca="1" si="60"/>
        <v>61372</v>
      </c>
      <c r="L503" s="19">
        <v>498</v>
      </c>
      <c r="M503" s="19">
        <f t="shared" si="59"/>
        <v>0</v>
      </c>
      <c r="N503" s="37">
        <f t="shared" si="56"/>
        <v>0</v>
      </c>
      <c r="O503" s="37">
        <f t="shared" si="61"/>
        <v>0</v>
      </c>
      <c r="P503" s="55" cm="1">
        <f t="array" aca="1" ref="P503" ca="1">IF((L503-$C$16)&gt;0, IF($P$1+$C$16&gt;=L503,INDIRECT("M"&amp;(L503-$C$16)+5),0),0)</f>
        <v>0</v>
      </c>
      <c r="Q503" s="56" cm="1">
        <f t="array" aca="1" ref="Q503" ca="1">IF(L503&lt;=$C$16,0,IF($W$2&gt;=L503,IF(L503&lt;=($P$1+$C$16),INDIRECT("N"&amp;(L503-$C$16)+5),FV(SRate,L503-$P$1-$C$16,0,-$W$1,1)),0))</f>
        <v>0</v>
      </c>
      <c r="R503" s="56">
        <f t="shared" ca="1" si="55"/>
        <v>0</v>
      </c>
      <c r="S503" s="19">
        <f t="shared" si="57"/>
        <v>0</v>
      </c>
      <c r="T503" s="36" t="str" cm="1">
        <f t="array" aca="1" ref="T503" ca="1">IF(L503&lt;=$P$1,K503,IF(L503&lt;=($P$1+1),INDIRECT("K"&amp;5+$W$2),""))</f>
        <v/>
      </c>
      <c r="U503" s="38">
        <f t="shared" si="58"/>
        <v>42</v>
      </c>
    </row>
    <row r="504" spans="11:21" hidden="1" x14ac:dyDescent="0.25">
      <c r="K504" s="36">
        <f t="shared" ca="1" si="60"/>
        <v>61403</v>
      </c>
      <c r="L504" s="19">
        <v>499</v>
      </c>
      <c r="M504" s="19">
        <f t="shared" si="59"/>
        <v>0</v>
      </c>
      <c r="N504" s="37">
        <f t="shared" si="56"/>
        <v>0</v>
      </c>
      <c r="O504" s="37">
        <f t="shared" si="61"/>
        <v>0</v>
      </c>
      <c r="P504" s="55" cm="1">
        <f t="array" aca="1" ref="P504" ca="1">IF((L504-$C$16)&gt;0, IF($P$1+$C$16&gt;=L504,INDIRECT("M"&amp;(L504-$C$16)+5),0),0)</f>
        <v>0</v>
      </c>
      <c r="Q504" s="56" cm="1">
        <f t="array" aca="1" ref="Q504" ca="1">IF(L504&lt;=$C$16,0,IF($W$2&gt;=L504,IF(L504&lt;=($P$1+$C$16),INDIRECT("N"&amp;(L504-$C$16)+5),FV(SRate,L504-$P$1-$C$16,0,-$W$1,1)),0))</f>
        <v>0</v>
      </c>
      <c r="R504" s="56">
        <f t="shared" ca="1" si="55"/>
        <v>0</v>
      </c>
      <c r="S504" s="19">
        <f t="shared" si="57"/>
        <v>0</v>
      </c>
      <c r="T504" s="36" t="str" cm="1">
        <f t="array" aca="1" ref="T504" ca="1">IF(L504&lt;=$P$1,K504,IF(L504&lt;=($P$1+1),INDIRECT("K"&amp;5+$W$2),""))</f>
        <v/>
      </c>
      <c r="U504" s="38">
        <f t="shared" si="58"/>
        <v>42</v>
      </c>
    </row>
    <row r="505" spans="11:21" hidden="1" x14ac:dyDescent="0.25">
      <c r="K505" s="36">
        <f t="shared" ca="1" si="60"/>
        <v>61432</v>
      </c>
      <c r="L505" s="19">
        <v>500</v>
      </c>
      <c r="M505" s="19">
        <f t="shared" si="59"/>
        <v>0</v>
      </c>
      <c r="N505" s="37">
        <f t="shared" si="56"/>
        <v>0</v>
      </c>
      <c r="O505" s="37">
        <f t="shared" si="61"/>
        <v>0</v>
      </c>
      <c r="P505" s="55" cm="1">
        <f t="array" aca="1" ref="P505" ca="1">IF((L505-$C$16)&gt;0, IF($P$1+$C$16&gt;=L505,INDIRECT("M"&amp;(L505-$C$16)+5),0),0)</f>
        <v>0</v>
      </c>
      <c r="Q505" s="56" cm="1">
        <f t="array" aca="1" ref="Q505" ca="1">IF(L505&lt;=$C$16,0,IF($W$2&gt;=L505,IF(L505&lt;=($P$1+$C$16),INDIRECT("N"&amp;(L505-$C$16)+5),FV(SRate,L505-$P$1-$C$16,0,-$W$1,1)),0))</f>
        <v>0</v>
      </c>
      <c r="R505" s="56">
        <f t="shared" ca="1" si="55"/>
        <v>0</v>
      </c>
      <c r="S505" s="19">
        <f t="shared" si="57"/>
        <v>0</v>
      </c>
      <c r="T505" s="36" t="str" cm="1">
        <f t="array" aca="1" ref="T505" ca="1">IF(L505&lt;=$P$1,K505,IF(L505&lt;=($P$1+1),INDIRECT("K"&amp;5+$W$2),""))</f>
        <v/>
      </c>
      <c r="U505" s="38">
        <f t="shared" si="58"/>
        <v>42</v>
      </c>
    </row>
    <row r="506" spans="11:21" hidden="1" x14ac:dyDescent="0.25">
      <c r="K506" s="36">
        <f t="shared" ca="1" si="60"/>
        <v>61463</v>
      </c>
      <c r="L506" s="19">
        <v>501</v>
      </c>
      <c r="M506" s="19">
        <f t="shared" si="59"/>
        <v>0</v>
      </c>
      <c r="N506" s="37">
        <f t="shared" si="56"/>
        <v>0</v>
      </c>
      <c r="O506" s="37">
        <f t="shared" si="61"/>
        <v>0</v>
      </c>
      <c r="P506" s="55" cm="1">
        <f t="array" aca="1" ref="P506" ca="1">IF((L506-$C$16)&gt;0, IF($P$1+$C$16&gt;=L506,INDIRECT("M"&amp;(L506-$C$16)+5),0),0)</f>
        <v>0</v>
      </c>
      <c r="Q506" s="56" cm="1">
        <f t="array" aca="1" ref="Q506" ca="1">IF(L506&lt;=$C$16,0,IF($W$2&gt;=L506,IF(L506&lt;=($P$1+$C$16),INDIRECT("N"&amp;(L506-$C$16)+5),FV(SRate,L506-$P$1-$C$16,0,-$W$1,1)),0))</f>
        <v>0</v>
      </c>
      <c r="R506" s="56">
        <f t="shared" ca="1" si="55"/>
        <v>0</v>
      </c>
      <c r="S506" s="19">
        <f t="shared" si="57"/>
        <v>0</v>
      </c>
      <c r="T506" s="36" t="str" cm="1">
        <f t="array" aca="1" ref="T506" ca="1">IF(L506&lt;=$P$1,K506,IF(L506&lt;=($P$1+1),INDIRECT("K"&amp;5+$W$2),""))</f>
        <v/>
      </c>
      <c r="U506" s="38">
        <f t="shared" si="58"/>
        <v>42</v>
      </c>
    </row>
    <row r="507" spans="11:21" hidden="1" x14ac:dyDescent="0.25">
      <c r="K507" s="36">
        <f t="shared" ca="1" si="60"/>
        <v>61493</v>
      </c>
      <c r="L507" s="19">
        <v>502</v>
      </c>
      <c r="M507" s="19">
        <f t="shared" si="59"/>
        <v>0</v>
      </c>
      <c r="N507" s="37">
        <f t="shared" si="56"/>
        <v>0</v>
      </c>
      <c r="O507" s="37">
        <f t="shared" si="61"/>
        <v>0</v>
      </c>
      <c r="P507" s="55" cm="1">
        <f t="array" aca="1" ref="P507" ca="1">IF((L507-$C$16)&gt;0, IF($P$1+$C$16&gt;=L507,INDIRECT("M"&amp;(L507-$C$16)+5),0),0)</f>
        <v>0</v>
      </c>
      <c r="Q507" s="56" cm="1">
        <f t="array" aca="1" ref="Q507" ca="1">IF(L507&lt;=$C$16,0,IF($W$2&gt;=L507,IF(L507&lt;=($P$1+$C$16),INDIRECT("N"&amp;(L507-$C$16)+5),FV(SRate,L507-$P$1-$C$16,0,-$W$1,1)),0))</f>
        <v>0</v>
      </c>
      <c r="R507" s="56">
        <f t="shared" ca="1" si="55"/>
        <v>0</v>
      </c>
      <c r="S507" s="19">
        <f t="shared" si="57"/>
        <v>0</v>
      </c>
      <c r="T507" s="36" t="str" cm="1">
        <f t="array" aca="1" ref="T507" ca="1">IF(L507&lt;=$P$1,K507,IF(L507&lt;=($P$1+1),INDIRECT("K"&amp;5+$W$2),""))</f>
        <v/>
      </c>
      <c r="U507" s="38">
        <f t="shared" si="58"/>
        <v>42</v>
      </c>
    </row>
    <row r="508" spans="11:21" hidden="1" x14ac:dyDescent="0.25">
      <c r="K508" s="36">
        <f t="shared" ca="1" si="60"/>
        <v>61524</v>
      </c>
      <c r="L508" s="19">
        <v>503</v>
      </c>
      <c r="M508" s="19">
        <f t="shared" si="59"/>
        <v>0</v>
      </c>
      <c r="N508" s="37">
        <f t="shared" si="56"/>
        <v>0</v>
      </c>
      <c r="O508" s="37">
        <f t="shared" si="61"/>
        <v>0</v>
      </c>
      <c r="P508" s="55" cm="1">
        <f t="array" aca="1" ref="P508" ca="1">IF((L508-$C$16)&gt;0, IF($P$1+$C$16&gt;=L508,INDIRECT("M"&amp;(L508-$C$16)+5),0),0)</f>
        <v>0</v>
      </c>
      <c r="Q508" s="56" cm="1">
        <f t="array" aca="1" ref="Q508" ca="1">IF(L508&lt;=$C$16,0,IF($W$2&gt;=L508,IF(L508&lt;=($P$1+$C$16),INDIRECT("N"&amp;(L508-$C$16)+5),FV(SRate,L508-$P$1-$C$16,0,-$W$1,1)),0))</f>
        <v>0</v>
      </c>
      <c r="R508" s="56">
        <f t="shared" ca="1" si="55"/>
        <v>0</v>
      </c>
      <c r="S508" s="19">
        <f t="shared" si="57"/>
        <v>0</v>
      </c>
      <c r="T508" s="36" t="str" cm="1">
        <f t="array" aca="1" ref="T508" ca="1">IF(L508&lt;=$P$1,K508,IF(L508&lt;=($P$1+1),INDIRECT("K"&amp;5+$W$2),""))</f>
        <v/>
      </c>
      <c r="U508" s="38">
        <f t="shared" si="58"/>
        <v>42</v>
      </c>
    </row>
    <row r="509" spans="11:21" hidden="1" x14ac:dyDescent="0.25">
      <c r="K509" s="36">
        <f t="shared" ca="1" si="60"/>
        <v>61554</v>
      </c>
      <c r="L509" s="19">
        <v>504</v>
      </c>
      <c r="M509" s="19">
        <f t="shared" si="59"/>
        <v>0</v>
      </c>
      <c r="N509" s="37">
        <f t="shared" si="56"/>
        <v>0</v>
      </c>
      <c r="O509" s="37">
        <f t="shared" si="61"/>
        <v>0</v>
      </c>
      <c r="P509" s="55" cm="1">
        <f t="array" aca="1" ref="P509" ca="1">IF((L509-$C$16)&gt;0, IF($P$1+$C$16&gt;=L509,INDIRECT("M"&amp;(L509-$C$16)+5),0),0)</f>
        <v>0</v>
      </c>
      <c r="Q509" s="56" cm="1">
        <f t="array" aca="1" ref="Q509" ca="1">IF(L509&lt;=$C$16,0,IF($W$2&gt;=L509,IF(L509&lt;=($P$1+$C$16),INDIRECT("N"&amp;(L509-$C$16)+5),FV(SRate,L509-$P$1-$C$16,0,-$W$1,1)),0))</f>
        <v>0</v>
      </c>
      <c r="R509" s="56">
        <f t="shared" ca="1" si="55"/>
        <v>0</v>
      </c>
      <c r="S509" s="19">
        <f t="shared" si="57"/>
        <v>0</v>
      </c>
      <c r="T509" s="36" t="str" cm="1">
        <f t="array" aca="1" ref="T509" ca="1">IF(L509&lt;=$P$1,K509,IF(L509&lt;=($P$1+1),INDIRECT("K"&amp;5+$W$2),""))</f>
        <v/>
      </c>
      <c r="U509" s="38">
        <f t="shared" si="58"/>
        <v>42</v>
      </c>
    </row>
    <row r="510" spans="11:21" hidden="1" x14ac:dyDescent="0.25">
      <c r="K510" s="36">
        <f t="shared" ca="1" si="60"/>
        <v>61585</v>
      </c>
      <c r="L510" s="19">
        <v>505</v>
      </c>
      <c r="M510" s="19">
        <f t="shared" si="59"/>
        <v>0</v>
      </c>
      <c r="N510" s="37">
        <f t="shared" si="56"/>
        <v>0</v>
      </c>
      <c r="O510" s="37">
        <f t="shared" si="61"/>
        <v>0</v>
      </c>
      <c r="P510" s="55" cm="1">
        <f t="array" aca="1" ref="P510" ca="1">IF((L510-$C$16)&gt;0, IF($P$1+$C$16&gt;=L510,INDIRECT("M"&amp;(L510-$C$16)+5),0),0)</f>
        <v>0</v>
      </c>
      <c r="Q510" s="56" cm="1">
        <f t="array" aca="1" ref="Q510" ca="1">IF(L510&lt;=$C$16,0,IF($W$2&gt;=L510,IF(L510&lt;=($P$1+$C$16),INDIRECT("N"&amp;(L510-$C$16)+5),FV(SRate,L510-$P$1-$C$16,0,-$W$1,1)),0))</f>
        <v>0</v>
      </c>
      <c r="R510" s="56">
        <f t="shared" ca="1" si="55"/>
        <v>0</v>
      </c>
      <c r="S510" s="19">
        <f t="shared" si="57"/>
        <v>0</v>
      </c>
      <c r="T510" s="36" t="str" cm="1">
        <f t="array" aca="1" ref="T510" ca="1">IF(L510&lt;=$P$1,K510,IF(L510&lt;=($P$1+1),INDIRECT("K"&amp;5+$W$2),""))</f>
        <v/>
      </c>
      <c r="U510" s="38">
        <f t="shared" si="58"/>
        <v>43</v>
      </c>
    </row>
    <row r="511" spans="11:21" hidden="1" x14ac:dyDescent="0.25">
      <c r="K511" s="36">
        <f t="shared" ca="1" si="60"/>
        <v>61616</v>
      </c>
      <c r="L511" s="19">
        <v>506</v>
      </c>
      <c r="M511" s="19">
        <f t="shared" si="59"/>
        <v>0</v>
      </c>
      <c r="N511" s="37">
        <f t="shared" si="56"/>
        <v>0</v>
      </c>
      <c r="O511" s="37">
        <f t="shared" si="61"/>
        <v>0</v>
      </c>
      <c r="P511" s="55" cm="1">
        <f t="array" aca="1" ref="P511" ca="1">IF((L511-$C$16)&gt;0, IF($P$1+$C$16&gt;=L511,INDIRECT("M"&amp;(L511-$C$16)+5),0),0)</f>
        <v>0</v>
      </c>
      <c r="Q511" s="56" cm="1">
        <f t="array" aca="1" ref="Q511" ca="1">IF(L511&lt;=$C$16,0,IF($W$2&gt;=L511,IF(L511&lt;=($P$1+$C$16),INDIRECT("N"&amp;(L511-$C$16)+5),FV(SRate,L511-$P$1-$C$16,0,-$W$1,1)),0))</f>
        <v>0</v>
      </c>
      <c r="R511" s="56">
        <f t="shared" ca="1" si="55"/>
        <v>0</v>
      </c>
      <c r="S511" s="19">
        <f t="shared" si="57"/>
        <v>0</v>
      </c>
      <c r="T511" s="36" t="str" cm="1">
        <f t="array" aca="1" ref="T511" ca="1">IF(L511&lt;=$P$1,K511,IF(L511&lt;=($P$1+1),INDIRECT("K"&amp;5+$W$2),""))</f>
        <v/>
      </c>
      <c r="U511" s="38">
        <f t="shared" si="58"/>
        <v>43</v>
      </c>
    </row>
    <row r="512" spans="11:21" hidden="1" x14ac:dyDescent="0.25">
      <c r="K512" s="36">
        <f t="shared" ca="1" si="60"/>
        <v>61646</v>
      </c>
      <c r="L512" s="19">
        <v>507</v>
      </c>
      <c r="M512" s="19">
        <f t="shared" si="59"/>
        <v>0</v>
      </c>
      <c r="N512" s="37">
        <f t="shared" si="56"/>
        <v>0</v>
      </c>
      <c r="O512" s="37">
        <f t="shared" si="61"/>
        <v>0</v>
      </c>
      <c r="P512" s="55" cm="1">
        <f t="array" aca="1" ref="P512" ca="1">IF((L512-$C$16)&gt;0, IF($P$1+$C$16&gt;=L512,INDIRECT("M"&amp;(L512-$C$16)+5),0),0)</f>
        <v>0</v>
      </c>
      <c r="Q512" s="56" cm="1">
        <f t="array" aca="1" ref="Q512" ca="1">IF(L512&lt;=$C$16,0,IF($W$2&gt;=L512,IF(L512&lt;=($P$1+$C$16),INDIRECT("N"&amp;(L512-$C$16)+5),FV(SRate,L512-$P$1-$C$16,0,-$W$1,1)),0))</f>
        <v>0</v>
      </c>
      <c r="R512" s="56">
        <f t="shared" ca="1" si="55"/>
        <v>0</v>
      </c>
      <c r="S512" s="19">
        <f t="shared" si="57"/>
        <v>0</v>
      </c>
      <c r="T512" s="36" t="str" cm="1">
        <f t="array" aca="1" ref="T512" ca="1">IF(L512&lt;=$P$1,K512,IF(L512&lt;=($P$1+1),INDIRECT("K"&amp;5+$W$2),""))</f>
        <v/>
      </c>
      <c r="U512" s="38">
        <f t="shared" si="58"/>
        <v>43</v>
      </c>
    </row>
    <row r="513" spans="11:21" hidden="1" x14ac:dyDescent="0.25">
      <c r="K513" s="36">
        <f t="shared" ca="1" si="60"/>
        <v>61677</v>
      </c>
      <c r="L513" s="19">
        <v>508</v>
      </c>
      <c r="M513" s="19">
        <f t="shared" si="59"/>
        <v>0</v>
      </c>
      <c r="N513" s="37">
        <f t="shared" si="56"/>
        <v>0</v>
      </c>
      <c r="O513" s="37">
        <f t="shared" si="61"/>
        <v>0</v>
      </c>
      <c r="P513" s="55" cm="1">
        <f t="array" aca="1" ref="P513" ca="1">IF((L513-$C$16)&gt;0, IF($P$1+$C$16&gt;=L513,INDIRECT("M"&amp;(L513-$C$16)+5),0),0)</f>
        <v>0</v>
      </c>
      <c r="Q513" s="56" cm="1">
        <f t="array" aca="1" ref="Q513" ca="1">IF(L513&lt;=$C$16,0,IF($W$2&gt;=L513,IF(L513&lt;=($P$1+$C$16),INDIRECT("N"&amp;(L513-$C$16)+5),FV(SRate,L513-$P$1-$C$16,0,-$W$1,1)),0))</f>
        <v>0</v>
      </c>
      <c r="R513" s="56">
        <f t="shared" ca="1" si="55"/>
        <v>0</v>
      </c>
      <c r="S513" s="19">
        <f t="shared" si="57"/>
        <v>0</v>
      </c>
      <c r="T513" s="36" t="str" cm="1">
        <f t="array" aca="1" ref="T513" ca="1">IF(L513&lt;=$P$1,K513,IF(L513&lt;=($P$1+1),INDIRECT("K"&amp;5+$W$2),""))</f>
        <v/>
      </c>
      <c r="U513" s="38">
        <f t="shared" si="58"/>
        <v>43</v>
      </c>
    </row>
    <row r="514" spans="11:21" hidden="1" x14ac:dyDescent="0.25">
      <c r="K514" s="36">
        <f t="shared" ca="1" si="60"/>
        <v>61707</v>
      </c>
      <c r="L514" s="19">
        <v>509</v>
      </c>
      <c r="M514" s="19">
        <f t="shared" si="59"/>
        <v>0</v>
      </c>
      <c r="N514" s="37">
        <f t="shared" si="56"/>
        <v>0</v>
      </c>
      <c r="O514" s="37">
        <f t="shared" si="61"/>
        <v>0</v>
      </c>
      <c r="P514" s="55" cm="1">
        <f t="array" aca="1" ref="P514" ca="1">IF((L514-$C$16)&gt;0, IF($P$1+$C$16&gt;=L514,INDIRECT("M"&amp;(L514-$C$16)+5),0),0)</f>
        <v>0</v>
      </c>
      <c r="Q514" s="56" cm="1">
        <f t="array" aca="1" ref="Q514" ca="1">IF(L514&lt;=$C$16,0,IF($W$2&gt;=L514,IF(L514&lt;=($P$1+$C$16),INDIRECT("N"&amp;(L514-$C$16)+5),FV(SRate,L514-$P$1-$C$16,0,-$W$1,1)),0))</f>
        <v>0</v>
      </c>
      <c r="R514" s="56">
        <f t="shared" ca="1" si="55"/>
        <v>0</v>
      </c>
      <c r="S514" s="19">
        <f t="shared" si="57"/>
        <v>0</v>
      </c>
      <c r="T514" s="36" t="str" cm="1">
        <f t="array" aca="1" ref="T514" ca="1">IF(L514&lt;=$P$1,K514,IF(L514&lt;=($P$1+1),INDIRECT("K"&amp;5+$W$2),""))</f>
        <v/>
      </c>
      <c r="U514" s="38">
        <f t="shared" si="58"/>
        <v>43</v>
      </c>
    </row>
    <row r="515" spans="11:21" hidden="1" x14ac:dyDescent="0.25">
      <c r="K515" s="36">
        <f t="shared" ca="1" si="60"/>
        <v>61738</v>
      </c>
      <c r="L515" s="19">
        <v>510</v>
      </c>
      <c r="M515" s="19">
        <f t="shared" si="59"/>
        <v>0</v>
      </c>
      <c r="N515" s="37">
        <f t="shared" si="56"/>
        <v>0</v>
      </c>
      <c r="O515" s="37">
        <f t="shared" si="61"/>
        <v>0</v>
      </c>
      <c r="P515" s="55" cm="1">
        <f t="array" aca="1" ref="P515" ca="1">IF((L515-$C$16)&gt;0, IF($P$1+$C$16&gt;=L515,INDIRECT("M"&amp;(L515-$C$16)+5),0),0)</f>
        <v>0</v>
      </c>
      <c r="Q515" s="56" cm="1">
        <f t="array" aca="1" ref="Q515" ca="1">IF(L515&lt;=$C$16,0,IF($W$2&gt;=L515,IF(L515&lt;=($P$1+$C$16),INDIRECT("N"&amp;(L515-$C$16)+5),FV(SRate,L515-$P$1-$C$16,0,-$W$1,1)),0))</f>
        <v>0</v>
      </c>
      <c r="R515" s="56">
        <f t="shared" ca="1" si="55"/>
        <v>0</v>
      </c>
      <c r="S515" s="19">
        <f t="shared" si="57"/>
        <v>0</v>
      </c>
      <c r="T515" s="36" t="str" cm="1">
        <f t="array" aca="1" ref="T515" ca="1">IF(L515&lt;=$P$1,K515,IF(L515&lt;=($P$1+1),INDIRECT("K"&amp;5+$W$2),""))</f>
        <v/>
      </c>
      <c r="U515" s="38">
        <f t="shared" si="58"/>
        <v>43</v>
      </c>
    </row>
    <row r="516" spans="11:21" hidden="1" x14ac:dyDescent="0.25">
      <c r="K516" s="36">
        <f t="shared" ca="1" si="60"/>
        <v>61769</v>
      </c>
      <c r="L516" s="19">
        <v>511</v>
      </c>
      <c r="M516" s="19">
        <f t="shared" si="59"/>
        <v>0</v>
      </c>
      <c r="N516" s="37">
        <f t="shared" si="56"/>
        <v>0</v>
      </c>
      <c r="O516" s="37">
        <f t="shared" si="61"/>
        <v>0</v>
      </c>
      <c r="P516" s="55" cm="1">
        <f t="array" aca="1" ref="P516" ca="1">IF((L516-$C$16)&gt;0, IF($P$1+$C$16&gt;=L516,INDIRECT("M"&amp;(L516-$C$16)+5),0),0)</f>
        <v>0</v>
      </c>
      <c r="Q516" s="56" cm="1">
        <f t="array" aca="1" ref="Q516" ca="1">IF(L516&lt;=$C$16,0,IF($W$2&gt;=L516,IF(L516&lt;=($P$1+$C$16),INDIRECT("N"&amp;(L516-$C$16)+5),FV(SRate,L516-$P$1-$C$16,0,-$W$1,1)),0))</f>
        <v>0</v>
      </c>
      <c r="R516" s="56">
        <f t="shared" ca="1" si="55"/>
        <v>0</v>
      </c>
      <c r="S516" s="19">
        <f t="shared" si="57"/>
        <v>0</v>
      </c>
      <c r="T516" s="36" t="str" cm="1">
        <f t="array" aca="1" ref="T516" ca="1">IF(L516&lt;=$P$1,K516,IF(L516&lt;=($P$1+1),INDIRECT("K"&amp;5+$W$2),""))</f>
        <v/>
      </c>
      <c r="U516" s="38">
        <f t="shared" si="58"/>
        <v>43</v>
      </c>
    </row>
    <row r="517" spans="11:21" hidden="1" x14ac:dyDescent="0.25">
      <c r="K517" s="36">
        <f t="shared" ca="1" si="60"/>
        <v>61797</v>
      </c>
      <c r="L517" s="19">
        <v>512</v>
      </c>
      <c r="M517" s="19">
        <f t="shared" si="59"/>
        <v>0</v>
      </c>
      <c r="N517" s="37">
        <f t="shared" si="56"/>
        <v>0</v>
      </c>
      <c r="O517" s="37">
        <f t="shared" si="61"/>
        <v>0</v>
      </c>
      <c r="P517" s="55" cm="1">
        <f t="array" aca="1" ref="P517" ca="1">IF((L517-$C$16)&gt;0, IF($P$1+$C$16&gt;=L517,INDIRECT("M"&amp;(L517-$C$16)+5),0),0)</f>
        <v>0</v>
      </c>
      <c r="Q517" s="56" cm="1">
        <f t="array" aca="1" ref="Q517" ca="1">IF(L517&lt;=$C$16,0,IF($W$2&gt;=L517,IF(L517&lt;=($P$1+$C$16),INDIRECT("N"&amp;(L517-$C$16)+5),FV(SRate,L517-$P$1-$C$16,0,-$W$1,1)),0))</f>
        <v>0</v>
      </c>
      <c r="R517" s="56">
        <f t="shared" ca="1" si="55"/>
        <v>0</v>
      </c>
      <c r="S517" s="19">
        <f t="shared" si="57"/>
        <v>0</v>
      </c>
      <c r="T517" s="36" t="str" cm="1">
        <f t="array" aca="1" ref="T517" ca="1">IF(L517&lt;=$P$1,K517,IF(L517&lt;=($P$1+1),INDIRECT("K"&amp;5+$W$2),""))</f>
        <v/>
      </c>
      <c r="U517" s="38">
        <f t="shared" si="58"/>
        <v>43</v>
      </c>
    </row>
    <row r="518" spans="11:21" hidden="1" x14ac:dyDescent="0.25">
      <c r="K518" s="36">
        <f t="shared" ca="1" si="60"/>
        <v>61828</v>
      </c>
      <c r="L518" s="19">
        <v>513</v>
      </c>
      <c r="M518" s="19">
        <f t="shared" si="59"/>
        <v>0</v>
      </c>
      <c r="N518" s="37">
        <f t="shared" si="56"/>
        <v>0</v>
      </c>
      <c r="O518" s="37">
        <f t="shared" si="61"/>
        <v>0</v>
      </c>
      <c r="P518" s="55" cm="1">
        <f t="array" aca="1" ref="P518" ca="1">IF((L518-$C$16)&gt;0, IF($P$1+$C$16&gt;=L518,INDIRECT("M"&amp;(L518-$C$16)+5),0),0)</f>
        <v>0</v>
      </c>
      <c r="Q518" s="56" cm="1">
        <f t="array" aca="1" ref="Q518" ca="1">IF(L518&lt;=$C$16,0,IF($W$2&gt;=L518,IF(L518&lt;=($P$1+$C$16),INDIRECT("N"&amp;(L518-$C$16)+5),FV(SRate,L518-$P$1-$C$16,0,-$W$1,1)),0))</f>
        <v>0</v>
      </c>
      <c r="R518" s="56">
        <f t="shared" ref="R518:R581" ca="1" si="62">Q518/((1+SIPInflationRate)^((L518-$C$16)/12))</f>
        <v>0</v>
      </c>
      <c r="S518" s="19">
        <f t="shared" si="57"/>
        <v>0</v>
      </c>
      <c r="T518" s="36" t="str" cm="1">
        <f t="array" aca="1" ref="T518" ca="1">IF(L518&lt;=$P$1,K518,IF(L518&lt;=($P$1+1),INDIRECT("K"&amp;5+$W$2),""))</f>
        <v/>
      </c>
      <c r="U518" s="38">
        <f t="shared" si="58"/>
        <v>43</v>
      </c>
    </row>
    <row r="519" spans="11:21" hidden="1" x14ac:dyDescent="0.25">
      <c r="K519" s="36">
        <f t="shared" ca="1" si="60"/>
        <v>61858</v>
      </c>
      <c r="L519" s="19">
        <v>514</v>
      </c>
      <c r="M519" s="19">
        <f t="shared" si="59"/>
        <v>0</v>
      </c>
      <c r="N519" s="37">
        <f t="shared" ref="N519:N582" si="63">IF($W$2&gt;=L519,IF(L519&lt;=$P$1,(M519-M518+N518)*(1+SRate),FV(SRate,L519-$P$1,0,-$W$1,1)),0)</f>
        <v>0</v>
      </c>
      <c r="O519" s="37">
        <f t="shared" si="61"/>
        <v>0</v>
      </c>
      <c r="P519" s="55" cm="1">
        <f t="array" aca="1" ref="P519" ca="1">IF((L519-$C$16)&gt;0, IF($P$1+$C$16&gt;=L519,INDIRECT("M"&amp;(L519-$C$16)+5),0),0)</f>
        <v>0</v>
      </c>
      <c r="Q519" s="56" cm="1">
        <f t="array" aca="1" ref="Q519" ca="1">IF(L519&lt;=$C$16,0,IF($W$2&gt;=L519,IF(L519&lt;=($P$1+$C$16),INDIRECT("N"&amp;(L519-$C$16)+5),FV(SRate,L519-$P$1-$C$16,0,-$W$1,1)),0))</f>
        <v>0</v>
      </c>
      <c r="R519" s="56">
        <f t="shared" ca="1" si="62"/>
        <v>0</v>
      </c>
      <c r="S519" s="19">
        <f t="shared" ref="S519:S582" si="64">IF(L519&lt;=$P$1,-(_xlfn.XLOOKUP(U519,$Z$3:$Z$72,$AB$3:$AB$72,0)),IF(L519&lt;=($P$1+1),$W$4,0))</f>
        <v>0</v>
      </c>
      <c r="T519" s="36" t="str" cm="1">
        <f t="array" aca="1" ref="T519" ca="1">IF(L519&lt;=$P$1,K519,IF(L519&lt;=($P$1+1),INDIRECT("K"&amp;5+$W$2),""))</f>
        <v/>
      </c>
      <c r="U519" s="38">
        <f t="shared" ref="U519:U582" si="65">QUOTIENT(L519,12)+IF(MOD(L519,12)=0,-1,0)+1</f>
        <v>43</v>
      </c>
    </row>
    <row r="520" spans="11:21" hidden="1" x14ac:dyDescent="0.25">
      <c r="K520" s="36">
        <f t="shared" ca="1" si="60"/>
        <v>61889</v>
      </c>
      <c r="L520" s="19">
        <v>515</v>
      </c>
      <c r="M520" s="19">
        <f t="shared" ref="M520:M583" si="66">IF($P$1&gt;=L520,_xlfn.XLOOKUP(U520,$Z$3:$Z$72,$AB$3:$AB$72,0)+M519,0)</f>
        <v>0</v>
      </c>
      <c r="N520" s="37">
        <f t="shared" si="63"/>
        <v>0</v>
      </c>
      <c r="O520" s="37">
        <f t="shared" si="61"/>
        <v>0</v>
      </c>
      <c r="P520" s="55" cm="1">
        <f t="array" aca="1" ref="P520" ca="1">IF((L520-$C$16)&gt;0, IF($P$1+$C$16&gt;=L520,INDIRECT("M"&amp;(L520-$C$16)+5),0),0)</f>
        <v>0</v>
      </c>
      <c r="Q520" s="56" cm="1">
        <f t="array" aca="1" ref="Q520" ca="1">IF(L520&lt;=$C$16,0,IF($W$2&gt;=L520,IF(L520&lt;=($P$1+$C$16),INDIRECT("N"&amp;(L520-$C$16)+5),FV(SRate,L520-$P$1-$C$16,0,-$W$1,1)),0))</f>
        <v>0</v>
      </c>
      <c r="R520" s="56">
        <f t="shared" ca="1" si="62"/>
        <v>0</v>
      </c>
      <c r="S520" s="19">
        <f t="shared" si="64"/>
        <v>0</v>
      </c>
      <c r="T520" s="36" t="str" cm="1">
        <f t="array" aca="1" ref="T520" ca="1">IF(L520&lt;=$P$1,K520,IF(L520&lt;=($P$1+1),INDIRECT("K"&amp;5+$W$2),""))</f>
        <v/>
      </c>
      <c r="U520" s="38">
        <f t="shared" si="65"/>
        <v>43</v>
      </c>
    </row>
    <row r="521" spans="11:21" hidden="1" x14ac:dyDescent="0.25">
      <c r="K521" s="36">
        <f t="shared" ref="K521:K584" ca="1" si="67">EDATE(K520,1)</f>
        <v>61919</v>
      </c>
      <c r="L521" s="19">
        <v>516</v>
      </c>
      <c r="M521" s="19">
        <f t="shared" si="66"/>
        <v>0</v>
      </c>
      <c r="N521" s="37">
        <f t="shared" si="63"/>
        <v>0</v>
      </c>
      <c r="O521" s="37">
        <f t="shared" si="61"/>
        <v>0</v>
      </c>
      <c r="P521" s="55" cm="1">
        <f t="array" aca="1" ref="P521" ca="1">IF((L521-$C$16)&gt;0, IF($P$1+$C$16&gt;=L521,INDIRECT("M"&amp;(L521-$C$16)+5),0),0)</f>
        <v>0</v>
      </c>
      <c r="Q521" s="56" cm="1">
        <f t="array" aca="1" ref="Q521" ca="1">IF(L521&lt;=$C$16,0,IF($W$2&gt;=L521,IF(L521&lt;=($P$1+$C$16),INDIRECT("N"&amp;(L521-$C$16)+5),FV(SRate,L521-$P$1-$C$16,0,-$W$1,1)),0))</f>
        <v>0</v>
      </c>
      <c r="R521" s="56">
        <f t="shared" ca="1" si="62"/>
        <v>0</v>
      </c>
      <c r="S521" s="19">
        <f t="shared" si="64"/>
        <v>0</v>
      </c>
      <c r="T521" s="36" t="str" cm="1">
        <f t="array" aca="1" ref="T521" ca="1">IF(L521&lt;=$P$1,K521,IF(L521&lt;=($P$1+1),INDIRECT("K"&amp;5+$W$2),""))</f>
        <v/>
      </c>
      <c r="U521" s="38">
        <f t="shared" si="65"/>
        <v>43</v>
      </c>
    </row>
    <row r="522" spans="11:21" hidden="1" x14ac:dyDescent="0.25">
      <c r="K522" s="36">
        <f t="shared" ca="1" si="67"/>
        <v>61950</v>
      </c>
      <c r="L522" s="19">
        <v>517</v>
      </c>
      <c r="M522" s="19">
        <f t="shared" si="66"/>
        <v>0</v>
      </c>
      <c r="N522" s="37">
        <f t="shared" si="63"/>
        <v>0</v>
      </c>
      <c r="O522" s="37">
        <f t="shared" si="61"/>
        <v>0</v>
      </c>
      <c r="P522" s="55" cm="1">
        <f t="array" aca="1" ref="P522" ca="1">IF((L522-$C$16)&gt;0, IF($P$1+$C$16&gt;=L522,INDIRECT("M"&amp;(L522-$C$16)+5),0),0)</f>
        <v>0</v>
      </c>
      <c r="Q522" s="56" cm="1">
        <f t="array" aca="1" ref="Q522" ca="1">IF(L522&lt;=$C$16,0,IF($W$2&gt;=L522,IF(L522&lt;=($P$1+$C$16),INDIRECT("N"&amp;(L522-$C$16)+5),FV(SRate,L522-$P$1-$C$16,0,-$W$1,1)),0))</f>
        <v>0</v>
      </c>
      <c r="R522" s="56">
        <f t="shared" ca="1" si="62"/>
        <v>0</v>
      </c>
      <c r="S522" s="19">
        <f t="shared" si="64"/>
        <v>0</v>
      </c>
      <c r="T522" s="36" t="str" cm="1">
        <f t="array" aca="1" ref="T522" ca="1">IF(L522&lt;=$P$1,K522,IF(L522&lt;=($P$1+1),INDIRECT("K"&amp;5+$W$2),""))</f>
        <v/>
      </c>
      <c r="U522" s="38">
        <f t="shared" si="65"/>
        <v>44</v>
      </c>
    </row>
    <row r="523" spans="11:21" hidden="1" x14ac:dyDescent="0.25">
      <c r="K523" s="36">
        <f t="shared" ca="1" si="67"/>
        <v>61981</v>
      </c>
      <c r="L523" s="19">
        <v>518</v>
      </c>
      <c r="M523" s="19">
        <f t="shared" si="66"/>
        <v>0</v>
      </c>
      <c r="N523" s="37">
        <f t="shared" si="63"/>
        <v>0</v>
      </c>
      <c r="O523" s="37">
        <f t="shared" si="61"/>
        <v>0</v>
      </c>
      <c r="P523" s="55" cm="1">
        <f t="array" aca="1" ref="P523" ca="1">IF((L523-$C$16)&gt;0, IF($P$1+$C$16&gt;=L523,INDIRECT("M"&amp;(L523-$C$16)+5),0),0)</f>
        <v>0</v>
      </c>
      <c r="Q523" s="56" cm="1">
        <f t="array" aca="1" ref="Q523" ca="1">IF(L523&lt;=$C$16,0,IF($W$2&gt;=L523,IF(L523&lt;=($P$1+$C$16),INDIRECT("N"&amp;(L523-$C$16)+5),FV(SRate,L523-$P$1-$C$16,0,-$W$1,1)),0))</f>
        <v>0</v>
      </c>
      <c r="R523" s="56">
        <f t="shared" ca="1" si="62"/>
        <v>0</v>
      </c>
      <c r="S523" s="19">
        <f t="shared" si="64"/>
        <v>0</v>
      </c>
      <c r="T523" s="36" t="str" cm="1">
        <f t="array" aca="1" ref="T523" ca="1">IF(L523&lt;=$P$1,K523,IF(L523&lt;=($P$1+1),INDIRECT("K"&amp;5+$W$2),""))</f>
        <v/>
      </c>
      <c r="U523" s="38">
        <f t="shared" si="65"/>
        <v>44</v>
      </c>
    </row>
    <row r="524" spans="11:21" hidden="1" x14ac:dyDescent="0.25">
      <c r="K524" s="36">
        <f t="shared" ca="1" si="67"/>
        <v>62011</v>
      </c>
      <c r="L524" s="19">
        <v>519</v>
      </c>
      <c r="M524" s="19">
        <f t="shared" si="66"/>
        <v>0</v>
      </c>
      <c r="N524" s="37">
        <f t="shared" si="63"/>
        <v>0</v>
      </c>
      <c r="O524" s="37">
        <f t="shared" si="61"/>
        <v>0</v>
      </c>
      <c r="P524" s="55" cm="1">
        <f t="array" aca="1" ref="P524" ca="1">IF((L524-$C$16)&gt;0, IF($P$1+$C$16&gt;=L524,INDIRECT("M"&amp;(L524-$C$16)+5),0),0)</f>
        <v>0</v>
      </c>
      <c r="Q524" s="56" cm="1">
        <f t="array" aca="1" ref="Q524" ca="1">IF(L524&lt;=$C$16,0,IF($W$2&gt;=L524,IF(L524&lt;=($P$1+$C$16),INDIRECT("N"&amp;(L524-$C$16)+5),FV(SRate,L524-$P$1-$C$16,0,-$W$1,1)),0))</f>
        <v>0</v>
      </c>
      <c r="R524" s="56">
        <f t="shared" ca="1" si="62"/>
        <v>0</v>
      </c>
      <c r="S524" s="19">
        <f t="shared" si="64"/>
        <v>0</v>
      </c>
      <c r="T524" s="36" t="str" cm="1">
        <f t="array" aca="1" ref="T524" ca="1">IF(L524&lt;=$P$1,K524,IF(L524&lt;=($P$1+1),INDIRECT("K"&amp;5+$W$2),""))</f>
        <v/>
      </c>
      <c r="U524" s="38">
        <f t="shared" si="65"/>
        <v>44</v>
      </c>
    </row>
    <row r="525" spans="11:21" hidden="1" x14ac:dyDescent="0.25">
      <c r="K525" s="36">
        <f t="shared" ca="1" si="67"/>
        <v>62042</v>
      </c>
      <c r="L525" s="19">
        <v>520</v>
      </c>
      <c r="M525" s="19">
        <f t="shared" si="66"/>
        <v>0</v>
      </c>
      <c r="N525" s="37">
        <f t="shared" si="63"/>
        <v>0</v>
      </c>
      <c r="O525" s="37">
        <f t="shared" si="61"/>
        <v>0</v>
      </c>
      <c r="P525" s="55" cm="1">
        <f t="array" aca="1" ref="P525" ca="1">IF((L525-$C$16)&gt;0, IF($P$1+$C$16&gt;=L525,INDIRECT("M"&amp;(L525-$C$16)+5),0),0)</f>
        <v>0</v>
      </c>
      <c r="Q525" s="56" cm="1">
        <f t="array" aca="1" ref="Q525" ca="1">IF(L525&lt;=$C$16,0,IF($W$2&gt;=L525,IF(L525&lt;=($P$1+$C$16),INDIRECT("N"&amp;(L525-$C$16)+5),FV(SRate,L525-$P$1-$C$16,0,-$W$1,1)),0))</f>
        <v>0</v>
      </c>
      <c r="R525" s="56">
        <f t="shared" ca="1" si="62"/>
        <v>0</v>
      </c>
      <c r="S525" s="19">
        <f t="shared" si="64"/>
        <v>0</v>
      </c>
      <c r="T525" s="36" t="str" cm="1">
        <f t="array" aca="1" ref="T525" ca="1">IF(L525&lt;=$P$1,K525,IF(L525&lt;=($P$1+1),INDIRECT("K"&amp;5+$W$2),""))</f>
        <v/>
      </c>
      <c r="U525" s="38">
        <f t="shared" si="65"/>
        <v>44</v>
      </c>
    </row>
    <row r="526" spans="11:21" hidden="1" x14ac:dyDescent="0.25">
      <c r="K526" s="36">
        <f t="shared" ca="1" si="67"/>
        <v>62072</v>
      </c>
      <c r="L526" s="19">
        <v>521</v>
      </c>
      <c r="M526" s="19">
        <f t="shared" si="66"/>
        <v>0</v>
      </c>
      <c r="N526" s="37">
        <f t="shared" si="63"/>
        <v>0</v>
      </c>
      <c r="O526" s="37">
        <f t="shared" si="61"/>
        <v>0</v>
      </c>
      <c r="P526" s="55" cm="1">
        <f t="array" aca="1" ref="P526" ca="1">IF((L526-$C$16)&gt;0, IF($P$1+$C$16&gt;=L526,INDIRECT("M"&amp;(L526-$C$16)+5),0),0)</f>
        <v>0</v>
      </c>
      <c r="Q526" s="56" cm="1">
        <f t="array" aca="1" ref="Q526" ca="1">IF(L526&lt;=$C$16,0,IF($W$2&gt;=L526,IF(L526&lt;=($P$1+$C$16),INDIRECT("N"&amp;(L526-$C$16)+5),FV(SRate,L526-$P$1-$C$16,0,-$W$1,1)),0))</f>
        <v>0</v>
      </c>
      <c r="R526" s="56">
        <f t="shared" ca="1" si="62"/>
        <v>0</v>
      </c>
      <c r="S526" s="19">
        <f t="shared" si="64"/>
        <v>0</v>
      </c>
      <c r="T526" s="36" t="str" cm="1">
        <f t="array" aca="1" ref="T526" ca="1">IF(L526&lt;=$P$1,K526,IF(L526&lt;=($P$1+1),INDIRECT("K"&amp;5+$W$2),""))</f>
        <v/>
      </c>
      <c r="U526" s="38">
        <f t="shared" si="65"/>
        <v>44</v>
      </c>
    </row>
    <row r="527" spans="11:21" hidden="1" x14ac:dyDescent="0.25">
      <c r="K527" s="36">
        <f t="shared" ca="1" si="67"/>
        <v>62103</v>
      </c>
      <c r="L527" s="19">
        <v>522</v>
      </c>
      <c r="M527" s="19">
        <f t="shared" si="66"/>
        <v>0</v>
      </c>
      <c r="N527" s="37">
        <f t="shared" si="63"/>
        <v>0</v>
      </c>
      <c r="O527" s="37">
        <f t="shared" si="61"/>
        <v>0</v>
      </c>
      <c r="P527" s="55" cm="1">
        <f t="array" aca="1" ref="P527" ca="1">IF((L527-$C$16)&gt;0, IF($P$1+$C$16&gt;=L527,INDIRECT("M"&amp;(L527-$C$16)+5),0),0)</f>
        <v>0</v>
      </c>
      <c r="Q527" s="56" cm="1">
        <f t="array" aca="1" ref="Q527" ca="1">IF(L527&lt;=$C$16,0,IF($W$2&gt;=L527,IF(L527&lt;=($P$1+$C$16),INDIRECT("N"&amp;(L527-$C$16)+5),FV(SRate,L527-$P$1-$C$16,0,-$W$1,1)),0))</f>
        <v>0</v>
      </c>
      <c r="R527" s="56">
        <f t="shared" ca="1" si="62"/>
        <v>0</v>
      </c>
      <c r="S527" s="19">
        <f t="shared" si="64"/>
        <v>0</v>
      </c>
      <c r="T527" s="36" t="str" cm="1">
        <f t="array" aca="1" ref="T527" ca="1">IF(L527&lt;=$P$1,K527,IF(L527&lt;=($P$1+1),INDIRECT("K"&amp;5+$W$2),""))</f>
        <v/>
      </c>
      <c r="U527" s="38">
        <f t="shared" si="65"/>
        <v>44</v>
      </c>
    </row>
    <row r="528" spans="11:21" hidden="1" x14ac:dyDescent="0.25">
      <c r="K528" s="36">
        <f t="shared" ca="1" si="67"/>
        <v>62134</v>
      </c>
      <c r="L528" s="19">
        <v>523</v>
      </c>
      <c r="M528" s="19">
        <f t="shared" si="66"/>
        <v>0</v>
      </c>
      <c r="N528" s="37">
        <f t="shared" si="63"/>
        <v>0</v>
      </c>
      <c r="O528" s="37">
        <f t="shared" si="61"/>
        <v>0</v>
      </c>
      <c r="P528" s="55" cm="1">
        <f t="array" aca="1" ref="P528" ca="1">IF((L528-$C$16)&gt;0, IF($P$1+$C$16&gt;=L528,INDIRECT("M"&amp;(L528-$C$16)+5),0),0)</f>
        <v>0</v>
      </c>
      <c r="Q528" s="56" cm="1">
        <f t="array" aca="1" ref="Q528" ca="1">IF(L528&lt;=$C$16,0,IF($W$2&gt;=L528,IF(L528&lt;=($P$1+$C$16),INDIRECT("N"&amp;(L528-$C$16)+5),FV(SRate,L528-$P$1-$C$16,0,-$W$1,1)),0))</f>
        <v>0</v>
      </c>
      <c r="R528" s="56">
        <f t="shared" ca="1" si="62"/>
        <v>0</v>
      </c>
      <c r="S528" s="19">
        <f t="shared" si="64"/>
        <v>0</v>
      </c>
      <c r="T528" s="36" t="str" cm="1">
        <f t="array" aca="1" ref="T528" ca="1">IF(L528&lt;=$P$1,K528,IF(L528&lt;=($P$1+1),INDIRECT("K"&amp;5+$W$2),""))</f>
        <v/>
      </c>
      <c r="U528" s="38">
        <f t="shared" si="65"/>
        <v>44</v>
      </c>
    </row>
    <row r="529" spans="11:21" hidden="1" x14ac:dyDescent="0.25">
      <c r="K529" s="36">
        <f t="shared" ca="1" si="67"/>
        <v>62162</v>
      </c>
      <c r="L529" s="19">
        <v>524</v>
      </c>
      <c r="M529" s="19">
        <f t="shared" si="66"/>
        <v>0</v>
      </c>
      <c r="N529" s="37">
        <f t="shared" si="63"/>
        <v>0</v>
      </c>
      <c r="O529" s="37">
        <f t="shared" si="61"/>
        <v>0</v>
      </c>
      <c r="P529" s="55" cm="1">
        <f t="array" aca="1" ref="P529" ca="1">IF((L529-$C$16)&gt;0, IF($P$1+$C$16&gt;=L529,INDIRECT("M"&amp;(L529-$C$16)+5),0),0)</f>
        <v>0</v>
      </c>
      <c r="Q529" s="56" cm="1">
        <f t="array" aca="1" ref="Q529" ca="1">IF(L529&lt;=$C$16,0,IF($W$2&gt;=L529,IF(L529&lt;=($P$1+$C$16),INDIRECT("N"&amp;(L529-$C$16)+5),FV(SRate,L529-$P$1-$C$16,0,-$W$1,1)),0))</f>
        <v>0</v>
      </c>
      <c r="R529" s="56">
        <f t="shared" ca="1" si="62"/>
        <v>0</v>
      </c>
      <c r="S529" s="19">
        <f t="shared" si="64"/>
        <v>0</v>
      </c>
      <c r="T529" s="36" t="str" cm="1">
        <f t="array" aca="1" ref="T529" ca="1">IF(L529&lt;=$P$1,K529,IF(L529&lt;=($P$1+1),INDIRECT("K"&amp;5+$W$2),""))</f>
        <v/>
      </c>
      <c r="U529" s="38">
        <f t="shared" si="65"/>
        <v>44</v>
      </c>
    </row>
    <row r="530" spans="11:21" hidden="1" x14ac:dyDescent="0.25">
      <c r="K530" s="36">
        <f t="shared" ca="1" si="67"/>
        <v>62193</v>
      </c>
      <c r="L530" s="19">
        <v>525</v>
      </c>
      <c r="M530" s="19">
        <f t="shared" si="66"/>
        <v>0</v>
      </c>
      <c r="N530" s="37">
        <f t="shared" si="63"/>
        <v>0</v>
      </c>
      <c r="O530" s="37">
        <f t="shared" si="61"/>
        <v>0</v>
      </c>
      <c r="P530" s="55" cm="1">
        <f t="array" aca="1" ref="P530" ca="1">IF((L530-$C$16)&gt;0, IF($P$1+$C$16&gt;=L530,INDIRECT("M"&amp;(L530-$C$16)+5),0),0)</f>
        <v>0</v>
      </c>
      <c r="Q530" s="56" cm="1">
        <f t="array" aca="1" ref="Q530" ca="1">IF(L530&lt;=$C$16,0,IF($W$2&gt;=L530,IF(L530&lt;=($P$1+$C$16),INDIRECT("N"&amp;(L530-$C$16)+5),FV(SRate,L530-$P$1-$C$16,0,-$W$1,1)),0))</f>
        <v>0</v>
      </c>
      <c r="R530" s="56">
        <f t="shared" ca="1" si="62"/>
        <v>0</v>
      </c>
      <c r="S530" s="19">
        <f t="shared" si="64"/>
        <v>0</v>
      </c>
      <c r="T530" s="36" t="str" cm="1">
        <f t="array" aca="1" ref="T530" ca="1">IF(L530&lt;=$P$1,K530,IF(L530&lt;=($P$1+1),INDIRECT("K"&amp;5+$W$2),""))</f>
        <v/>
      </c>
      <c r="U530" s="38">
        <f t="shared" si="65"/>
        <v>44</v>
      </c>
    </row>
    <row r="531" spans="11:21" hidden="1" x14ac:dyDescent="0.25">
      <c r="K531" s="36">
        <f t="shared" ca="1" si="67"/>
        <v>62223</v>
      </c>
      <c r="L531" s="19">
        <v>526</v>
      </c>
      <c r="M531" s="19">
        <f t="shared" si="66"/>
        <v>0</v>
      </c>
      <c r="N531" s="37">
        <f t="shared" si="63"/>
        <v>0</v>
      </c>
      <c r="O531" s="37">
        <f t="shared" si="61"/>
        <v>0</v>
      </c>
      <c r="P531" s="55" cm="1">
        <f t="array" aca="1" ref="P531" ca="1">IF((L531-$C$16)&gt;0, IF($P$1+$C$16&gt;=L531,INDIRECT("M"&amp;(L531-$C$16)+5),0),0)</f>
        <v>0</v>
      </c>
      <c r="Q531" s="56" cm="1">
        <f t="array" aca="1" ref="Q531" ca="1">IF(L531&lt;=$C$16,0,IF($W$2&gt;=L531,IF(L531&lt;=($P$1+$C$16),INDIRECT("N"&amp;(L531-$C$16)+5),FV(SRate,L531-$P$1-$C$16,0,-$W$1,1)),0))</f>
        <v>0</v>
      </c>
      <c r="R531" s="56">
        <f t="shared" ca="1" si="62"/>
        <v>0</v>
      </c>
      <c r="S531" s="19">
        <f t="shared" si="64"/>
        <v>0</v>
      </c>
      <c r="T531" s="36" t="str" cm="1">
        <f t="array" aca="1" ref="T531" ca="1">IF(L531&lt;=$P$1,K531,IF(L531&lt;=($P$1+1),INDIRECT("K"&amp;5+$W$2),""))</f>
        <v/>
      </c>
      <c r="U531" s="38">
        <f t="shared" si="65"/>
        <v>44</v>
      </c>
    </row>
    <row r="532" spans="11:21" hidden="1" x14ac:dyDescent="0.25">
      <c r="K532" s="36">
        <f t="shared" ca="1" si="67"/>
        <v>62254</v>
      </c>
      <c r="L532" s="19">
        <v>527</v>
      </c>
      <c r="M532" s="19">
        <f t="shared" si="66"/>
        <v>0</v>
      </c>
      <c r="N532" s="37">
        <f t="shared" si="63"/>
        <v>0</v>
      </c>
      <c r="O532" s="37">
        <f t="shared" si="61"/>
        <v>0</v>
      </c>
      <c r="P532" s="55" cm="1">
        <f t="array" aca="1" ref="P532" ca="1">IF((L532-$C$16)&gt;0, IF($P$1+$C$16&gt;=L532,INDIRECT("M"&amp;(L532-$C$16)+5),0),0)</f>
        <v>0</v>
      </c>
      <c r="Q532" s="56" cm="1">
        <f t="array" aca="1" ref="Q532" ca="1">IF(L532&lt;=$C$16,0,IF($W$2&gt;=L532,IF(L532&lt;=($P$1+$C$16),INDIRECT("N"&amp;(L532-$C$16)+5),FV(SRate,L532-$P$1-$C$16,0,-$W$1,1)),0))</f>
        <v>0</v>
      </c>
      <c r="R532" s="56">
        <f t="shared" ca="1" si="62"/>
        <v>0</v>
      </c>
      <c r="S532" s="19">
        <f t="shared" si="64"/>
        <v>0</v>
      </c>
      <c r="T532" s="36" t="str" cm="1">
        <f t="array" aca="1" ref="T532" ca="1">IF(L532&lt;=$P$1,K532,IF(L532&lt;=($P$1+1),INDIRECT("K"&amp;5+$W$2),""))</f>
        <v/>
      </c>
      <c r="U532" s="38">
        <f t="shared" si="65"/>
        <v>44</v>
      </c>
    </row>
    <row r="533" spans="11:21" hidden="1" x14ac:dyDescent="0.25">
      <c r="K533" s="36">
        <f t="shared" ca="1" si="67"/>
        <v>62284</v>
      </c>
      <c r="L533" s="19">
        <v>528</v>
      </c>
      <c r="M533" s="19">
        <f t="shared" si="66"/>
        <v>0</v>
      </c>
      <c r="N533" s="37">
        <f t="shared" si="63"/>
        <v>0</v>
      </c>
      <c r="O533" s="37">
        <f t="shared" si="61"/>
        <v>0</v>
      </c>
      <c r="P533" s="55" cm="1">
        <f t="array" aca="1" ref="P533" ca="1">IF((L533-$C$16)&gt;0, IF($P$1+$C$16&gt;=L533,INDIRECT("M"&amp;(L533-$C$16)+5),0),0)</f>
        <v>0</v>
      </c>
      <c r="Q533" s="56" cm="1">
        <f t="array" aca="1" ref="Q533" ca="1">IF(L533&lt;=$C$16,0,IF($W$2&gt;=L533,IF(L533&lt;=($P$1+$C$16),INDIRECT("N"&amp;(L533-$C$16)+5),FV(SRate,L533-$P$1-$C$16,0,-$W$1,1)),0))</f>
        <v>0</v>
      </c>
      <c r="R533" s="56">
        <f t="shared" ca="1" si="62"/>
        <v>0</v>
      </c>
      <c r="S533" s="19">
        <f t="shared" si="64"/>
        <v>0</v>
      </c>
      <c r="T533" s="36" t="str" cm="1">
        <f t="array" aca="1" ref="T533" ca="1">IF(L533&lt;=$P$1,K533,IF(L533&lt;=($P$1+1),INDIRECT("K"&amp;5+$W$2),""))</f>
        <v/>
      </c>
      <c r="U533" s="38">
        <f t="shared" si="65"/>
        <v>44</v>
      </c>
    </row>
    <row r="534" spans="11:21" hidden="1" x14ac:dyDescent="0.25">
      <c r="K534" s="36">
        <f t="shared" ca="1" si="67"/>
        <v>62315</v>
      </c>
      <c r="L534" s="19">
        <v>529</v>
      </c>
      <c r="M534" s="19">
        <f t="shared" si="66"/>
        <v>0</v>
      </c>
      <c r="N534" s="37">
        <f t="shared" si="63"/>
        <v>0</v>
      </c>
      <c r="O534" s="37">
        <f t="shared" si="61"/>
        <v>0</v>
      </c>
      <c r="P534" s="55" cm="1">
        <f t="array" aca="1" ref="P534" ca="1">IF((L534-$C$16)&gt;0, IF($P$1+$C$16&gt;=L534,INDIRECT("M"&amp;(L534-$C$16)+5),0),0)</f>
        <v>0</v>
      </c>
      <c r="Q534" s="56" cm="1">
        <f t="array" aca="1" ref="Q534" ca="1">IF(L534&lt;=$C$16,0,IF($W$2&gt;=L534,IF(L534&lt;=($P$1+$C$16),INDIRECT("N"&amp;(L534-$C$16)+5),FV(SRate,L534-$P$1-$C$16,0,-$W$1,1)),0))</f>
        <v>0</v>
      </c>
      <c r="R534" s="56">
        <f t="shared" ca="1" si="62"/>
        <v>0</v>
      </c>
      <c r="S534" s="19">
        <f t="shared" si="64"/>
        <v>0</v>
      </c>
      <c r="T534" s="36" t="str" cm="1">
        <f t="array" aca="1" ref="T534" ca="1">IF(L534&lt;=$P$1,K534,IF(L534&lt;=($P$1+1),INDIRECT("K"&amp;5+$W$2),""))</f>
        <v/>
      </c>
      <c r="U534" s="38">
        <f t="shared" si="65"/>
        <v>45</v>
      </c>
    </row>
    <row r="535" spans="11:21" hidden="1" x14ac:dyDescent="0.25">
      <c r="K535" s="36">
        <f t="shared" ca="1" si="67"/>
        <v>62346</v>
      </c>
      <c r="L535" s="19">
        <v>530</v>
      </c>
      <c r="M535" s="19">
        <f t="shared" si="66"/>
        <v>0</v>
      </c>
      <c r="N535" s="37">
        <f t="shared" si="63"/>
        <v>0</v>
      </c>
      <c r="O535" s="37">
        <f t="shared" si="61"/>
        <v>0</v>
      </c>
      <c r="P535" s="55" cm="1">
        <f t="array" aca="1" ref="P535" ca="1">IF((L535-$C$16)&gt;0, IF($P$1+$C$16&gt;=L535,INDIRECT("M"&amp;(L535-$C$16)+5),0),0)</f>
        <v>0</v>
      </c>
      <c r="Q535" s="56" cm="1">
        <f t="array" aca="1" ref="Q535" ca="1">IF(L535&lt;=$C$16,0,IF($W$2&gt;=L535,IF(L535&lt;=($P$1+$C$16),INDIRECT("N"&amp;(L535-$C$16)+5),FV(SRate,L535-$P$1-$C$16,0,-$W$1,1)),0))</f>
        <v>0</v>
      </c>
      <c r="R535" s="56">
        <f t="shared" ca="1" si="62"/>
        <v>0</v>
      </c>
      <c r="S535" s="19">
        <f t="shared" si="64"/>
        <v>0</v>
      </c>
      <c r="T535" s="36" t="str" cm="1">
        <f t="array" aca="1" ref="T535" ca="1">IF(L535&lt;=$P$1,K535,IF(L535&lt;=($P$1+1),INDIRECT("K"&amp;5+$W$2),""))</f>
        <v/>
      </c>
      <c r="U535" s="38">
        <f t="shared" si="65"/>
        <v>45</v>
      </c>
    </row>
    <row r="536" spans="11:21" hidden="1" x14ac:dyDescent="0.25">
      <c r="K536" s="36">
        <f t="shared" ca="1" si="67"/>
        <v>62376</v>
      </c>
      <c r="L536" s="19">
        <v>531</v>
      </c>
      <c r="M536" s="19">
        <f t="shared" si="66"/>
        <v>0</v>
      </c>
      <c r="N536" s="37">
        <f t="shared" si="63"/>
        <v>0</v>
      </c>
      <c r="O536" s="37">
        <f t="shared" si="61"/>
        <v>0</v>
      </c>
      <c r="P536" s="55" cm="1">
        <f t="array" aca="1" ref="P536" ca="1">IF((L536-$C$16)&gt;0, IF($P$1+$C$16&gt;=L536,INDIRECT("M"&amp;(L536-$C$16)+5),0),0)</f>
        <v>0</v>
      </c>
      <c r="Q536" s="56" cm="1">
        <f t="array" aca="1" ref="Q536" ca="1">IF(L536&lt;=$C$16,0,IF($W$2&gt;=L536,IF(L536&lt;=($P$1+$C$16),INDIRECT("N"&amp;(L536-$C$16)+5),FV(SRate,L536-$P$1-$C$16,0,-$W$1,1)),0))</f>
        <v>0</v>
      </c>
      <c r="R536" s="56">
        <f t="shared" ca="1" si="62"/>
        <v>0</v>
      </c>
      <c r="S536" s="19">
        <f t="shared" si="64"/>
        <v>0</v>
      </c>
      <c r="T536" s="36" t="str" cm="1">
        <f t="array" aca="1" ref="T536" ca="1">IF(L536&lt;=$P$1,K536,IF(L536&lt;=($P$1+1),INDIRECT("K"&amp;5+$W$2),""))</f>
        <v/>
      </c>
      <c r="U536" s="38">
        <f t="shared" si="65"/>
        <v>45</v>
      </c>
    </row>
    <row r="537" spans="11:21" hidden="1" x14ac:dyDescent="0.25">
      <c r="K537" s="36">
        <f t="shared" ca="1" si="67"/>
        <v>62407</v>
      </c>
      <c r="L537" s="19">
        <v>532</v>
      </c>
      <c r="M537" s="19">
        <f t="shared" si="66"/>
        <v>0</v>
      </c>
      <c r="N537" s="37">
        <f t="shared" si="63"/>
        <v>0</v>
      </c>
      <c r="O537" s="37">
        <f t="shared" si="61"/>
        <v>0</v>
      </c>
      <c r="P537" s="55" cm="1">
        <f t="array" aca="1" ref="P537" ca="1">IF((L537-$C$16)&gt;0, IF($P$1+$C$16&gt;=L537,INDIRECT("M"&amp;(L537-$C$16)+5),0),0)</f>
        <v>0</v>
      </c>
      <c r="Q537" s="56" cm="1">
        <f t="array" aca="1" ref="Q537" ca="1">IF(L537&lt;=$C$16,0,IF($W$2&gt;=L537,IF(L537&lt;=($P$1+$C$16),INDIRECT("N"&amp;(L537-$C$16)+5),FV(SRate,L537-$P$1-$C$16,0,-$W$1,1)),0))</f>
        <v>0</v>
      </c>
      <c r="R537" s="56">
        <f t="shared" ca="1" si="62"/>
        <v>0</v>
      </c>
      <c r="S537" s="19">
        <f t="shared" si="64"/>
        <v>0</v>
      </c>
      <c r="T537" s="36" t="str" cm="1">
        <f t="array" aca="1" ref="T537" ca="1">IF(L537&lt;=$P$1,K537,IF(L537&lt;=($P$1+1),INDIRECT("K"&amp;5+$W$2),""))</f>
        <v/>
      </c>
      <c r="U537" s="38">
        <f t="shared" si="65"/>
        <v>45</v>
      </c>
    </row>
    <row r="538" spans="11:21" hidden="1" x14ac:dyDescent="0.25">
      <c r="K538" s="36">
        <f t="shared" ca="1" si="67"/>
        <v>62437</v>
      </c>
      <c r="L538" s="19">
        <v>533</v>
      </c>
      <c r="M538" s="19">
        <f t="shared" si="66"/>
        <v>0</v>
      </c>
      <c r="N538" s="37">
        <f t="shared" si="63"/>
        <v>0</v>
      </c>
      <c r="O538" s="37">
        <f t="shared" si="61"/>
        <v>0</v>
      </c>
      <c r="P538" s="55" cm="1">
        <f t="array" aca="1" ref="P538" ca="1">IF((L538-$C$16)&gt;0, IF($P$1+$C$16&gt;=L538,INDIRECT("M"&amp;(L538-$C$16)+5),0),0)</f>
        <v>0</v>
      </c>
      <c r="Q538" s="56" cm="1">
        <f t="array" aca="1" ref="Q538" ca="1">IF(L538&lt;=$C$16,0,IF($W$2&gt;=L538,IF(L538&lt;=($P$1+$C$16),INDIRECT("N"&amp;(L538-$C$16)+5),FV(SRate,L538-$P$1-$C$16,0,-$W$1,1)),0))</f>
        <v>0</v>
      </c>
      <c r="R538" s="56">
        <f t="shared" ca="1" si="62"/>
        <v>0</v>
      </c>
      <c r="S538" s="19">
        <f t="shared" si="64"/>
        <v>0</v>
      </c>
      <c r="T538" s="36" t="str" cm="1">
        <f t="array" aca="1" ref="T538" ca="1">IF(L538&lt;=$P$1,K538,IF(L538&lt;=($P$1+1),INDIRECT("K"&amp;5+$W$2),""))</f>
        <v/>
      </c>
      <c r="U538" s="38">
        <f t="shared" si="65"/>
        <v>45</v>
      </c>
    </row>
    <row r="539" spans="11:21" hidden="1" x14ac:dyDescent="0.25">
      <c r="K539" s="36">
        <f t="shared" ca="1" si="67"/>
        <v>62468</v>
      </c>
      <c r="L539" s="19">
        <v>534</v>
      </c>
      <c r="M539" s="19">
        <f t="shared" si="66"/>
        <v>0</v>
      </c>
      <c r="N539" s="37">
        <f t="shared" si="63"/>
        <v>0</v>
      </c>
      <c r="O539" s="37">
        <f t="shared" si="61"/>
        <v>0</v>
      </c>
      <c r="P539" s="55" cm="1">
        <f t="array" aca="1" ref="P539" ca="1">IF((L539-$C$16)&gt;0, IF($P$1+$C$16&gt;=L539,INDIRECT("M"&amp;(L539-$C$16)+5),0),0)</f>
        <v>0</v>
      </c>
      <c r="Q539" s="56" cm="1">
        <f t="array" aca="1" ref="Q539" ca="1">IF(L539&lt;=$C$16,0,IF($W$2&gt;=L539,IF(L539&lt;=($P$1+$C$16),INDIRECT("N"&amp;(L539-$C$16)+5),FV(SRate,L539-$P$1-$C$16,0,-$W$1,1)),0))</f>
        <v>0</v>
      </c>
      <c r="R539" s="56">
        <f t="shared" ca="1" si="62"/>
        <v>0</v>
      </c>
      <c r="S539" s="19">
        <f t="shared" si="64"/>
        <v>0</v>
      </c>
      <c r="T539" s="36" t="str" cm="1">
        <f t="array" aca="1" ref="T539" ca="1">IF(L539&lt;=$P$1,K539,IF(L539&lt;=($P$1+1),INDIRECT("K"&amp;5+$W$2),""))</f>
        <v/>
      </c>
      <c r="U539" s="38">
        <f t="shared" si="65"/>
        <v>45</v>
      </c>
    </row>
    <row r="540" spans="11:21" hidden="1" x14ac:dyDescent="0.25">
      <c r="K540" s="36">
        <f t="shared" ca="1" si="67"/>
        <v>62499</v>
      </c>
      <c r="L540" s="19">
        <v>535</v>
      </c>
      <c r="M540" s="19">
        <f t="shared" si="66"/>
        <v>0</v>
      </c>
      <c r="N540" s="37">
        <f t="shared" si="63"/>
        <v>0</v>
      </c>
      <c r="O540" s="37">
        <f t="shared" si="61"/>
        <v>0</v>
      </c>
      <c r="P540" s="55" cm="1">
        <f t="array" aca="1" ref="P540" ca="1">IF((L540-$C$16)&gt;0, IF($P$1+$C$16&gt;=L540,INDIRECT("M"&amp;(L540-$C$16)+5),0),0)</f>
        <v>0</v>
      </c>
      <c r="Q540" s="56" cm="1">
        <f t="array" aca="1" ref="Q540" ca="1">IF(L540&lt;=$C$16,0,IF($W$2&gt;=L540,IF(L540&lt;=($P$1+$C$16),INDIRECT("N"&amp;(L540-$C$16)+5),FV(SRate,L540-$P$1-$C$16,0,-$W$1,1)),0))</f>
        <v>0</v>
      </c>
      <c r="R540" s="56">
        <f t="shared" ca="1" si="62"/>
        <v>0</v>
      </c>
      <c r="S540" s="19">
        <f t="shared" si="64"/>
        <v>0</v>
      </c>
      <c r="T540" s="36" t="str" cm="1">
        <f t="array" aca="1" ref="T540" ca="1">IF(L540&lt;=$P$1,K540,IF(L540&lt;=($P$1+1),INDIRECT("K"&amp;5+$W$2),""))</f>
        <v/>
      </c>
      <c r="U540" s="38">
        <f t="shared" si="65"/>
        <v>45</v>
      </c>
    </row>
    <row r="541" spans="11:21" hidden="1" x14ac:dyDescent="0.25">
      <c r="K541" s="36">
        <f t="shared" ca="1" si="67"/>
        <v>62527</v>
      </c>
      <c r="L541" s="19">
        <v>536</v>
      </c>
      <c r="M541" s="19">
        <f t="shared" si="66"/>
        <v>0</v>
      </c>
      <c r="N541" s="37">
        <f t="shared" si="63"/>
        <v>0</v>
      </c>
      <c r="O541" s="37">
        <f t="shared" si="61"/>
        <v>0</v>
      </c>
      <c r="P541" s="55" cm="1">
        <f t="array" aca="1" ref="P541" ca="1">IF((L541-$C$16)&gt;0, IF($P$1+$C$16&gt;=L541,INDIRECT("M"&amp;(L541-$C$16)+5),0),0)</f>
        <v>0</v>
      </c>
      <c r="Q541" s="56" cm="1">
        <f t="array" aca="1" ref="Q541" ca="1">IF(L541&lt;=$C$16,0,IF($W$2&gt;=L541,IF(L541&lt;=($P$1+$C$16),INDIRECT("N"&amp;(L541-$C$16)+5),FV(SRate,L541-$P$1-$C$16,0,-$W$1,1)),0))</f>
        <v>0</v>
      </c>
      <c r="R541" s="56">
        <f t="shared" ca="1" si="62"/>
        <v>0</v>
      </c>
      <c r="S541" s="19">
        <f t="shared" si="64"/>
        <v>0</v>
      </c>
      <c r="T541" s="36" t="str" cm="1">
        <f t="array" aca="1" ref="T541" ca="1">IF(L541&lt;=$P$1,K541,IF(L541&lt;=($P$1+1),INDIRECT("K"&amp;5+$W$2),""))</f>
        <v/>
      </c>
      <c r="U541" s="38">
        <f t="shared" si="65"/>
        <v>45</v>
      </c>
    </row>
    <row r="542" spans="11:21" hidden="1" x14ac:dyDescent="0.25">
      <c r="K542" s="36">
        <f t="shared" ca="1" si="67"/>
        <v>62558</v>
      </c>
      <c r="L542" s="19">
        <v>537</v>
      </c>
      <c r="M542" s="19">
        <f t="shared" si="66"/>
        <v>0</v>
      </c>
      <c r="N542" s="37">
        <f t="shared" si="63"/>
        <v>0</v>
      </c>
      <c r="O542" s="37">
        <f t="shared" si="61"/>
        <v>0</v>
      </c>
      <c r="P542" s="55" cm="1">
        <f t="array" aca="1" ref="P542" ca="1">IF((L542-$C$16)&gt;0, IF($P$1+$C$16&gt;=L542,INDIRECT("M"&amp;(L542-$C$16)+5),0),0)</f>
        <v>0</v>
      </c>
      <c r="Q542" s="56" cm="1">
        <f t="array" aca="1" ref="Q542" ca="1">IF(L542&lt;=$C$16,0,IF($W$2&gt;=L542,IF(L542&lt;=($P$1+$C$16),INDIRECT("N"&amp;(L542-$C$16)+5),FV(SRate,L542-$P$1-$C$16,0,-$W$1,1)),0))</f>
        <v>0</v>
      </c>
      <c r="R542" s="56">
        <f t="shared" ca="1" si="62"/>
        <v>0</v>
      </c>
      <c r="S542" s="19">
        <f t="shared" si="64"/>
        <v>0</v>
      </c>
      <c r="T542" s="36" t="str" cm="1">
        <f t="array" aca="1" ref="T542" ca="1">IF(L542&lt;=$P$1,K542,IF(L542&lt;=($P$1+1),INDIRECT("K"&amp;5+$W$2),""))</f>
        <v/>
      </c>
      <c r="U542" s="38">
        <f t="shared" si="65"/>
        <v>45</v>
      </c>
    </row>
    <row r="543" spans="11:21" hidden="1" x14ac:dyDescent="0.25">
      <c r="K543" s="36">
        <f t="shared" ca="1" si="67"/>
        <v>62588</v>
      </c>
      <c r="L543" s="19">
        <v>538</v>
      </c>
      <c r="M543" s="19">
        <f t="shared" si="66"/>
        <v>0</v>
      </c>
      <c r="N543" s="37">
        <f t="shared" si="63"/>
        <v>0</v>
      </c>
      <c r="O543" s="37">
        <f t="shared" si="61"/>
        <v>0</v>
      </c>
      <c r="P543" s="55" cm="1">
        <f t="array" aca="1" ref="P543" ca="1">IF((L543-$C$16)&gt;0, IF($P$1+$C$16&gt;=L543,INDIRECT("M"&amp;(L543-$C$16)+5),0),0)</f>
        <v>0</v>
      </c>
      <c r="Q543" s="56" cm="1">
        <f t="array" aca="1" ref="Q543" ca="1">IF(L543&lt;=$C$16,0,IF($W$2&gt;=L543,IF(L543&lt;=($P$1+$C$16),INDIRECT("N"&amp;(L543-$C$16)+5),FV(SRate,L543-$P$1-$C$16,0,-$W$1,1)),0))</f>
        <v>0</v>
      </c>
      <c r="R543" s="56">
        <f t="shared" ca="1" si="62"/>
        <v>0</v>
      </c>
      <c r="S543" s="19">
        <f t="shared" si="64"/>
        <v>0</v>
      </c>
      <c r="T543" s="36" t="str" cm="1">
        <f t="array" aca="1" ref="T543" ca="1">IF(L543&lt;=$P$1,K543,IF(L543&lt;=($P$1+1),INDIRECT("K"&amp;5+$W$2),""))</f>
        <v/>
      </c>
      <c r="U543" s="38">
        <f t="shared" si="65"/>
        <v>45</v>
      </c>
    </row>
    <row r="544" spans="11:21" hidden="1" x14ac:dyDescent="0.25">
      <c r="K544" s="36">
        <f t="shared" ca="1" si="67"/>
        <v>62619</v>
      </c>
      <c r="L544" s="19">
        <v>539</v>
      </c>
      <c r="M544" s="19">
        <f t="shared" si="66"/>
        <v>0</v>
      </c>
      <c r="N544" s="37">
        <f t="shared" si="63"/>
        <v>0</v>
      </c>
      <c r="O544" s="37">
        <f t="shared" si="61"/>
        <v>0</v>
      </c>
      <c r="P544" s="55" cm="1">
        <f t="array" aca="1" ref="P544" ca="1">IF((L544-$C$16)&gt;0, IF($P$1+$C$16&gt;=L544,INDIRECT("M"&amp;(L544-$C$16)+5),0),0)</f>
        <v>0</v>
      </c>
      <c r="Q544" s="56" cm="1">
        <f t="array" aca="1" ref="Q544" ca="1">IF(L544&lt;=$C$16,0,IF($W$2&gt;=L544,IF(L544&lt;=($P$1+$C$16),INDIRECT("N"&amp;(L544-$C$16)+5),FV(SRate,L544-$P$1-$C$16,0,-$W$1,1)),0))</f>
        <v>0</v>
      </c>
      <c r="R544" s="56">
        <f t="shared" ca="1" si="62"/>
        <v>0</v>
      </c>
      <c r="S544" s="19">
        <f t="shared" si="64"/>
        <v>0</v>
      </c>
      <c r="T544" s="36" t="str" cm="1">
        <f t="array" aca="1" ref="T544" ca="1">IF(L544&lt;=$P$1,K544,IF(L544&lt;=($P$1+1),INDIRECT("K"&amp;5+$W$2),""))</f>
        <v/>
      </c>
      <c r="U544" s="38">
        <f t="shared" si="65"/>
        <v>45</v>
      </c>
    </row>
    <row r="545" spans="11:21" hidden="1" x14ac:dyDescent="0.25">
      <c r="K545" s="36">
        <f t="shared" ca="1" si="67"/>
        <v>62649</v>
      </c>
      <c r="L545" s="19">
        <v>540</v>
      </c>
      <c r="M545" s="19">
        <f t="shared" si="66"/>
        <v>0</v>
      </c>
      <c r="N545" s="37">
        <f t="shared" si="63"/>
        <v>0</v>
      </c>
      <c r="O545" s="37">
        <f t="shared" si="61"/>
        <v>0</v>
      </c>
      <c r="P545" s="55" cm="1">
        <f t="array" aca="1" ref="P545" ca="1">IF((L545-$C$16)&gt;0, IF($P$1+$C$16&gt;=L545,INDIRECT("M"&amp;(L545-$C$16)+5),0),0)</f>
        <v>0</v>
      </c>
      <c r="Q545" s="56" cm="1">
        <f t="array" aca="1" ref="Q545" ca="1">IF(L545&lt;=$C$16,0,IF($W$2&gt;=L545,IF(L545&lt;=($P$1+$C$16),INDIRECT("N"&amp;(L545-$C$16)+5),FV(SRate,L545-$P$1-$C$16,0,-$W$1,1)),0))</f>
        <v>0</v>
      </c>
      <c r="R545" s="56">
        <f t="shared" ca="1" si="62"/>
        <v>0</v>
      </c>
      <c r="S545" s="19">
        <f t="shared" si="64"/>
        <v>0</v>
      </c>
      <c r="T545" s="36" t="str" cm="1">
        <f t="array" aca="1" ref="T545" ca="1">IF(L545&lt;=$P$1,K545,IF(L545&lt;=($P$1+1),INDIRECT("K"&amp;5+$W$2),""))</f>
        <v/>
      </c>
      <c r="U545" s="38">
        <f t="shared" si="65"/>
        <v>45</v>
      </c>
    </row>
    <row r="546" spans="11:21" hidden="1" x14ac:dyDescent="0.25">
      <c r="K546" s="36">
        <f t="shared" ca="1" si="67"/>
        <v>62680</v>
      </c>
      <c r="L546" s="19">
        <v>541</v>
      </c>
      <c r="M546" s="19">
        <f t="shared" si="66"/>
        <v>0</v>
      </c>
      <c r="N546" s="37">
        <f t="shared" si="63"/>
        <v>0</v>
      </c>
      <c r="O546" s="37">
        <f t="shared" si="61"/>
        <v>0</v>
      </c>
      <c r="P546" s="55" cm="1">
        <f t="array" aca="1" ref="P546" ca="1">IF((L546-$C$16)&gt;0, IF($P$1+$C$16&gt;=L546,INDIRECT("M"&amp;(L546-$C$16)+5),0),0)</f>
        <v>0</v>
      </c>
      <c r="Q546" s="56" cm="1">
        <f t="array" aca="1" ref="Q546" ca="1">IF(L546&lt;=$C$16,0,IF($W$2&gt;=L546,IF(L546&lt;=($P$1+$C$16),INDIRECT("N"&amp;(L546-$C$16)+5),FV(SRate,L546-$P$1-$C$16,0,-$W$1,1)),0))</f>
        <v>0</v>
      </c>
      <c r="R546" s="56">
        <f t="shared" ca="1" si="62"/>
        <v>0</v>
      </c>
      <c r="S546" s="19">
        <f t="shared" si="64"/>
        <v>0</v>
      </c>
      <c r="T546" s="36" t="str" cm="1">
        <f t="array" aca="1" ref="T546" ca="1">IF(L546&lt;=$P$1,K546,IF(L546&lt;=($P$1+1),INDIRECT("K"&amp;5+$W$2),""))</f>
        <v/>
      </c>
      <c r="U546" s="38">
        <f t="shared" si="65"/>
        <v>46</v>
      </c>
    </row>
    <row r="547" spans="11:21" hidden="1" x14ac:dyDescent="0.25">
      <c r="K547" s="36">
        <f t="shared" ca="1" si="67"/>
        <v>62711</v>
      </c>
      <c r="L547" s="19">
        <v>542</v>
      </c>
      <c r="M547" s="19">
        <f t="shared" si="66"/>
        <v>0</v>
      </c>
      <c r="N547" s="37">
        <f t="shared" si="63"/>
        <v>0</v>
      </c>
      <c r="O547" s="37">
        <f t="shared" si="61"/>
        <v>0</v>
      </c>
      <c r="P547" s="55" cm="1">
        <f t="array" aca="1" ref="P547" ca="1">IF((L547-$C$16)&gt;0, IF($P$1+$C$16&gt;=L547,INDIRECT("M"&amp;(L547-$C$16)+5),0),0)</f>
        <v>0</v>
      </c>
      <c r="Q547" s="56" cm="1">
        <f t="array" aca="1" ref="Q547" ca="1">IF(L547&lt;=$C$16,0,IF($W$2&gt;=L547,IF(L547&lt;=($P$1+$C$16),INDIRECT("N"&amp;(L547-$C$16)+5),FV(SRate,L547-$P$1-$C$16,0,-$W$1,1)),0))</f>
        <v>0</v>
      </c>
      <c r="R547" s="56">
        <f t="shared" ca="1" si="62"/>
        <v>0</v>
      </c>
      <c r="S547" s="19">
        <f t="shared" si="64"/>
        <v>0</v>
      </c>
      <c r="T547" s="36" t="str" cm="1">
        <f t="array" aca="1" ref="T547" ca="1">IF(L547&lt;=$P$1,K547,IF(L547&lt;=($P$1+1),INDIRECT("K"&amp;5+$W$2),""))</f>
        <v/>
      </c>
      <c r="U547" s="38">
        <f t="shared" si="65"/>
        <v>46</v>
      </c>
    </row>
    <row r="548" spans="11:21" hidden="1" x14ac:dyDescent="0.25">
      <c r="K548" s="36">
        <f t="shared" ca="1" si="67"/>
        <v>62741</v>
      </c>
      <c r="L548" s="19">
        <v>543</v>
      </c>
      <c r="M548" s="19">
        <f t="shared" si="66"/>
        <v>0</v>
      </c>
      <c r="N548" s="37">
        <f t="shared" si="63"/>
        <v>0</v>
      </c>
      <c r="O548" s="37">
        <f t="shared" si="61"/>
        <v>0</v>
      </c>
      <c r="P548" s="55" cm="1">
        <f t="array" aca="1" ref="P548" ca="1">IF((L548-$C$16)&gt;0, IF($P$1+$C$16&gt;=L548,INDIRECT("M"&amp;(L548-$C$16)+5),0),0)</f>
        <v>0</v>
      </c>
      <c r="Q548" s="56" cm="1">
        <f t="array" aca="1" ref="Q548" ca="1">IF(L548&lt;=$C$16,0,IF($W$2&gt;=L548,IF(L548&lt;=($P$1+$C$16),INDIRECT("N"&amp;(L548-$C$16)+5),FV(SRate,L548-$P$1-$C$16,0,-$W$1,1)),0))</f>
        <v>0</v>
      </c>
      <c r="R548" s="56">
        <f t="shared" ca="1" si="62"/>
        <v>0</v>
      </c>
      <c r="S548" s="19">
        <f t="shared" si="64"/>
        <v>0</v>
      </c>
      <c r="T548" s="36" t="str" cm="1">
        <f t="array" aca="1" ref="T548" ca="1">IF(L548&lt;=$P$1,K548,IF(L548&lt;=($P$1+1),INDIRECT("K"&amp;5+$W$2),""))</f>
        <v/>
      </c>
      <c r="U548" s="38">
        <f t="shared" si="65"/>
        <v>46</v>
      </c>
    </row>
    <row r="549" spans="11:21" hidden="1" x14ac:dyDescent="0.25">
      <c r="K549" s="36">
        <f t="shared" ca="1" si="67"/>
        <v>62772</v>
      </c>
      <c r="L549" s="19">
        <v>544</v>
      </c>
      <c r="M549" s="19">
        <f t="shared" si="66"/>
        <v>0</v>
      </c>
      <c r="N549" s="37">
        <f t="shared" si="63"/>
        <v>0</v>
      </c>
      <c r="O549" s="37">
        <f t="shared" si="61"/>
        <v>0</v>
      </c>
      <c r="P549" s="55" cm="1">
        <f t="array" aca="1" ref="P549" ca="1">IF((L549-$C$16)&gt;0, IF($P$1+$C$16&gt;=L549,INDIRECT("M"&amp;(L549-$C$16)+5),0),0)</f>
        <v>0</v>
      </c>
      <c r="Q549" s="56" cm="1">
        <f t="array" aca="1" ref="Q549" ca="1">IF(L549&lt;=$C$16,0,IF($W$2&gt;=L549,IF(L549&lt;=($P$1+$C$16),INDIRECT("N"&amp;(L549-$C$16)+5),FV(SRate,L549-$P$1-$C$16,0,-$W$1,1)),0))</f>
        <v>0</v>
      </c>
      <c r="R549" s="56">
        <f t="shared" ca="1" si="62"/>
        <v>0</v>
      </c>
      <c r="S549" s="19">
        <f t="shared" si="64"/>
        <v>0</v>
      </c>
      <c r="T549" s="36" t="str" cm="1">
        <f t="array" aca="1" ref="T549" ca="1">IF(L549&lt;=$P$1,K549,IF(L549&lt;=($P$1+1),INDIRECT("K"&amp;5+$W$2),""))</f>
        <v/>
      </c>
      <c r="U549" s="38">
        <f t="shared" si="65"/>
        <v>46</v>
      </c>
    </row>
    <row r="550" spans="11:21" hidden="1" x14ac:dyDescent="0.25">
      <c r="K550" s="36">
        <f t="shared" ca="1" si="67"/>
        <v>62802</v>
      </c>
      <c r="L550" s="19">
        <v>545</v>
      </c>
      <c r="M550" s="19">
        <f t="shared" si="66"/>
        <v>0</v>
      </c>
      <c r="N550" s="37">
        <f t="shared" si="63"/>
        <v>0</v>
      </c>
      <c r="O550" s="37">
        <f t="shared" ref="O550:O613" si="68">N550/((1+SIPInflationRate)^(L550/12))</f>
        <v>0</v>
      </c>
      <c r="P550" s="55" cm="1">
        <f t="array" aca="1" ref="P550" ca="1">IF((L550-$C$16)&gt;0, IF($P$1+$C$16&gt;=L550,INDIRECT("M"&amp;(L550-$C$16)+5),0),0)</f>
        <v>0</v>
      </c>
      <c r="Q550" s="56" cm="1">
        <f t="array" aca="1" ref="Q550" ca="1">IF(L550&lt;=$C$16,0,IF($W$2&gt;=L550,IF(L550&lt;=($P$1+$C$16),INDIRECT("N"&amp;(L550-$C$16)+5),FV(SRate,L550-$P$1-$C$16,0,-$W$1,1)),0))</f>
        <v>0</v>
      </c>
      <c r="R550" s="56">
        <f t="shared" ca="1" si="62"/>
        <v>0</v>
      </c>
      <c r="S550" s="19">
        <f t="shared" si="64"/>
        <v>0</v>
      </c>
      <c r="T550" s="36" t="str" cm="1">
        <f t="array" aca="1" ref="T550" ca="1">IF(L550&lt;=$P$1,K550,IF(L550&lt;=($P$1+1),INDIRECT("K"&amp;5+$W$2),""))</f>
        <v/>
      </c>
      <c r="U550" s="38">
        <f t="shared" si="65"/>
        <v>46</v>
      </c>
    </row>
    <row r="551" spans="11:21" hidden="1" x14ac:dyDescent="0.25">
      <c r="K551" s="36">
        <f t="shared" ca="1" si="67"/>
        <v>62833</v>
      </c>
      <c r="L551" s="19">
        <v>546</v>
      </c>
      <c r="M551" s="19">
        <f t="shared" si="66"/>
        <v>0</v>
      </c>
      <c r="N551" s="37">
        <f t="shared" si="63"/>
        <v>0</v>
      </c>
      <c r="O551" s="37">
        <f t="shared" si="68"/>
        <v>0</v>
      </c>
      <c r="P551" s="55" cm="1">
        <f t="array" aca="1" ref="P551" ca="1">IF((L551-$C$16)&gt;0, IF($P$1+$C$16&gt;=L551,INDIRECT("M"&amp;(L551-$C$16)+5),0),0)</f>
        <v>0</v>
      </c>
      <c r="Q551" s="56" cm="1">
        <f t="array" aca="1" ref="Q551" ca="1">IF(L551&lt;=$C$16,0,IF($W$2&gt;=L551,IF(L551&lt;=($P$1+$C$16),INDIRECT("N"&amp;(L551-$C$16)+5),FV(SRate,L551-$P$1-$C$16,0,-$W$1,1)),0))</f>
        <v>0</v>
      </c>
      <c r="R551" s="56">
        <f t="shared" ca="1" si="62"/>
        <v>0</v>
      </c>
      <c r="S551" s="19">
        <f t="shared" si="64"/>
        <v>0</v>
      </c>
      <c r="T551" s="36" t="str" cm="1">
        <f t="array" aca="1" ref="T551" ca="1">IF(L551&lt;=$P$1,K551,IF(L551&lt;=($P$1+1),INDIRECT("K"&amp;5+$W$2),""))</f>
        <v/>
      </c>
      <c r="U551" s="38">
        <f t="shared" si="65"/>
        <v>46</v>
      </c>
    </row>
    <row r="552" spans="11:21" hidden="1" x14ac:dyDescent="0.25">
      <c r="K552" s="36">
        <f t="shared" ca="1" si="67"/>
        <v>62864</v>
      </c>
      <c r="L552" s="19">
        <v>547</v>
      </c>
      <c r="M552" s="19">
        <f t="shared" si="66"/>
        <v>0</v>
      </c>
      <c r="N552" s="37">
        <f t="shared" si="63"/>
        <v>0</v>
      </c>
      <c r="O552" s="37">
        <f t="shared" si="68"/>
        <v>0</v>
      </c>
      <c r="P552" s="55" cm="1">
        <f t="array" aca="1" ref="P552" ca="1">IF((L552-$C$16)&gt;0, IF($P$1+$C$16&gt;=L552,INDIRECT("M"&amp;(L552-$C$16)+5),0),0)</f>
        <v>0</v>
      </c>
      <c r="Q552" s="56" cm="1">
        <f t="array" aca="1" ref="Q552" ca="1">IF(L552&lt;=$C$16,0,IF($W$2&gt;=L552,IF(L552&lt;=($P$1+$C$16),INDIRECT("N"&amp;(L552-$C$16)+5),FV(SRate,L552-$P$1-$C$16,0,-$W$1,1)),0))</f>
        <v>0</v>
      </c>
      <c r="R552" s="56">
        <f t="shared" ca="1" si="62"/>
        <v>0</v>
      </c>
      <c r="S552" s="19">
        <f t="shared" si="64"/>
        <v>0</v>
      </c>
      <c r="T552" s="36" t="str" cm="1">
        <f t="array" aca="1" ref="T552" ca="1">IF(L552&lt;=$P$1,K552,IF(L552&lt;=($P$1+1),INDIRECT("K"&amp;5+$W$2),""))</f>
        <v/>
      </c>
      <c r="U552" s="38">
        <f t="shared" si="65"/>
        <v>46</v>
      </c>
    </row>
    <row r="553" spans="11:21" hidden="1" x14ac:dyDescent="0.25">
      <c r="K553" s="36">
        <f t="shared" ca="1" si="67"/>
        <v>62893</v>
      </c>
      <c r="L553" s="19">
        <v>548</v>
      </c>
      <c r="M553" s="19">
        <f t="shared" si="66"/>
        <v>0</v>
      </c>
      <c r="N553" s="37">
        <f t="shared" si="63"/>
        <v>0</v>
      </c>
      <c r="O553" s="37">
        <f t="shared" si="68"/>
        <v>0</v>
      </c>
      <c r="P553" s="55" cm="1">
        <f t="array" aca="1" ref="P553" ca="1">IF((L553-$C$16)&gt;0, IF($P$1+$C$16&gt;=L553,INDIRECT("M"&amp;(L553-$C$16)+5),0),0)</f>
        <v>0</v>
      </c>
      <c r="Q553" s="56" cm="1">
        <f t="array" aca="1" ref="Q553" ca="1">IF(L553&lt;=$C$16,0,IF($W$2&gt;=L553,IF(L553&lt;=($P$1+$C$16),INDIRECT("N"&amp;(L553-$C$16)+5),FV(SRate,L553-$P$1-$C$16,0,-$W$1,1)),0))</f>
        <v>0</v>
      </c>
      <c r="R553" s="56">
        <f t="shared" ca="1" si="62"/>
        <v>0</v>
      </c>
      <c r="S553" s="19">
        <f t="shared" si="64"/>
        <v>0</v>
      </c>
      <c r="T553" s="36" t="str" cm="1">
        <f t="array" aca="1" ref="T553" ca="1">IF(L553&lt;=$P$1,K553,IF(L553&lt;=($P$1+1),INDIRECT("K"&amp;5+$W$2),""))</f>
        <v/>
      </c>
      <c r="U553" s="38">
        <f t="shared" si="65"/>
        <v>46</v>
      </c>
    </row>
    <row r="554" spans="11:21" hidden="1" x14ac:dyDescent="0.25">
      <c r="K554" s="36">
        <f t="shared" ca="1" si="67"/>
        <v>62924</v>
      </c>
      <c r="L554" s="19">
        <v>549</v>
      </c>
      <c r="M554" s="19">
        <f t="shared" si="66"/>
        <v>0</v>
      </c>
      <c r="N554" s="37">
        <f t="shared" si="63"/>
        <v>0</v>
      </c>
      <c r="O554" s="37">
        <f t="shared" si="68"/>
        <v>0</v>
      </c>
      <c r="P554" s="55" cm="1">
        <f t="array" aca="1" ref="P554" ca="1">IF((L554-$C$16)&gt;0, IF($P$1+$C$16&gt;=L554,INDIRECT("M"&amp;(L554-$C$16)+5),0),0)</f>
        <v>0</v>
      </c>
      <c r="Q554" s="56" cm="1">
        <f t="array" aca="1" ref="Q554" ca="1">IF(L554&lt;=$C$16,0,IF($W$2&gt;=L554,IF(L554&lt;=($P$1+$C$16),INDIRECT("N"&amp;(L554-$C$16)+5),FV(SRate,L554-$P$1-$C$16,0,-$W$1,1)),0))</f>
        <v>0</v>
      </c>
      <c r="R554" s="56">
        <f t="shared" ca="1" si="62"/>
        <v>0</v>
      </c>
      <c r="S554" s="19">
        <f t="shared" si="64"/>
        <v>0</v>
      </c>
      <c r="T554" s="36" t="str" cm="1">
        <f t="array" aca="1" ref="T554" ca="1">IF(L554&lt;=$P$1,K554,IF(L554&lt;=($P$1+1),INDIRECT("K"&amp;5+$W$2),""))</f>
        <v/>
      </c>
      <c r="U554" s="38">
        <f t="shared" si="65"/>
        <v>46</v>
      </c>
    </row>
    <row r="555" spans="11:21" hidden="1" x14ac:dyDescent="0.25">
      <c r="K555" s="36">
        <f t="shared" ca="1" si="67"/>
        <v>62954</v>
      </c>
      <c r="L555" s="19">
        <v>550</v>
      </c>
      <c r="M555" s="19">
        <f t="shared" si="66"/>
        <v>0</v>
      </c>
      <c r="N555" s="37">
        <f t="shared" si="63"/>
        <v>0</v>
      </c>
      <c r="O555" s="37">
        <f t="shared" si="68"/>
        <v>0</v>
      </c>
      <c r="P555" s="55" cm="1">
        <f t="array" aca="1" ref="P555" ca="1">IF((L555-$C$16)&gt;0, IF($P$1+$C$16&gt;=L555,INDIRECT("M"&amp;(L555-$C$16)+5),0),0)</f>
        <v>0</v>
      </c>
      <c r="Q555" s="56" cm="1">
        <f t="array" aca="1" ref="Q555" ca="1">IF(L555&lt;=$C$16,0,IF($W$2&gt;=L555,IF(L555&lt;=($P$1+$C$16),INDIRECT("N"&amp;(L555-$C$16)+5),FV(SRate,L555-$P$1-$C$16,0,-$W$1,1)),0))</f>
        <v>0</v>
      </c>
      <c r="R555" s="56">
        <f t="shared" ca="1" si="62"/>
        <v>0</v>
      </c>
      <c r="S555" s="19">
        <f t="shared" si="64"/>
        <v>0</v>
      </c>
      <c r="T555" s="36" t="str" cm="1">
        <f t="array" aca="1" ref="T555" ca="1">IF(L555&lt;=$P$1,K555,IF(L555&lt;=($P$1+1),INDIRECT("K"&amp;5+$W$2),""))</f>
        <v/>
      </c>
      <c r="U555" s="38">
        <f t="shared" si="65"/>
        <v>46</v>
      </c>
    </row>
    <row r="556" spans="11:21" hidden="1" x14ac:dyDescent="0.25">
      <c r="K556" s="36">
        <f t="shared" ca="1" si="67"/>
        <v>62985</v>
      </c>
      <c r="L556" s="19">
        <v>551</v>
      </c>
      <c r="M556" s="19">
        <f t="shared" si="66"/>
        <v>0</v>
      </c>
      <c r="N556" s="37">
        <f t="shared" si="63"/>
        <v>0</v>
      </c>
      <c r="O556" s="37">
        <f t="shared" si="68"/>
        <v>0</v>
      </c>
      <c r="P556" s="55" cm="1">
        <f t="array" aca="1" ref="P556" ca="1">IF((L556-$C$16)&gt;0, IF($P$1+$C$16&gt;=L556,INDIRECT("M"&amp;(L556-$C$16)+5),0),0)</f>
        <v>0</v>
      </c>
      <c r="Q556" s="56" cm="1">
        <f t="array" aca="1" ref="Q556" ca="1">IF(L556&lt;=$C$16,0,IF($W$2&gt;=L556,IF(L556&lt;=($P$1+$C$16),INDIRECT("N"&amp;(L556-$C$16)+5),FV(SRate,L556-$P$1-$C$16,0,-$W$1,1)),0))</f>
        <v>0</v>
      </c>
      <c r="R556" s="56">
        <f t="shared" ca="1" si="62"/>
        <v>0</v>
      </c>
      <c r="S556" s="19">
        <f t="shared" si="64"/>
        <v>0</v>
      </c>
      <c r="T556" s="36" t="str" cm="1">
        <f t="array" aca="1" ref="T556" ca="1">IF(L556&lt;=$P$1,K556,IF(L556&lt;=($P$1+1),INDIRECT("K"&amp;5+$W$2),""))</f>
        <v/>
      </c>
      <c r="U556" s="38">
        <f t="shared" si="65"/>
        <v>46</v>
      </c>
    </row>
    <row r="557" spans="11:21" hidden="1" x14ac:dyDescent="0.25">
      <c r="K557" s="36">
        <f t="shared" ca="1" si="67"/>
        <v>63015</v>
      </c>
      <c r="L557" s="19">
        <v>552</v>
      </c>
      <c r="M557" s="19">
        <f t="shared" si="66"/>
        <v>0</v>
      </c>
      <c r="N557" s="37">
        <f t="shared" si="63"/>
        <v>0</v>
      </c>
      <c r="O557" s="37">
        <f t="shared" si="68"/>
        <v>0</v>
      </c>
      <c r="P557" s="55" cm="1">
        <f t="array" aca="1" ref="P557" ca="1">IF((L557-$C$16)&gt;0, IF($P$1+$C$16&gt;=L557,INDIRECT("M"&amp;(L557-$C$16)+5),0),0)</f>
        <v>0</v>
      </c>
      <c r="Q557" s="56" cm="1">
        <f t="array" aca="1" ref="Q557" ca="1">IF(L557&lt;=$C$16,0,IF($W$2&gt;=L557,IF(L557&lt;=($P$1+$C$16),INDIRECT("N"&amp;(L557-$C$16)+5),FV(SRate,L557-$P$1-$C$16,0,-$W$1,1)),0))</f>
        <v>0</v>
      </c>
      <c r="R557" s="56">
        <f t="shared" ca="1" si="62"/>
        <v>0</v>
      </c>
      <c r="S557" s="19">
        <f t="shared" si="64"/>
        <v>0</v>
      </c>
      <c r="T557" s="36" t="str" cm="1">
        <f t="array" aca="1" ref="T557" ca="1">IF(L557&lt;=$P$1,K557,IF(L557&lt;=($P$1+1),INDIRECT("K"&amp;5+$W$2),""))</f>
        <v/>
      </c>
      <c r="U557" s="38">
        <f t="shared" si="65"/>
        <v>46</v>
      </c>
    </row>
    <row r="558" spans="11:21" hidden="1" x14ac:dyDescent="0.25">
      <c r="K558" s="36">
        <f t="shared" ca="1" si="67"/>
        <v>63046</v>
      </c>
      <c r="L558" s="19">
        <v>553</v>
      </c>
      <c r="M558" s="19">
        <f t="shared" si="66"/>
        <v>0</v>
      </c>
      <c r="N558" s="37">
        <f t="shared" si="63"/>
        <v>0</v>
      </c>
      <c r="O558" s="37">
        <f t="shared" si="68"/>
        <v>0</v>
      </c>
      <c r="P558" s="55" cm="1">
        <f t="array" aca="1" ref="P558" ca="1">IF((L558-$C$16)&gt;0, IF($P$1+$C$16&gt;=L558,INDIRECT("M"&amp;(L558-$C$16)+5),0),0)</f>
        <v>0</v>
      </c>
      <c r="Q558" s="56" cm="1">
        <f t="array" aca="1" ref="Q558" ca="1">IF(L558&lt;=$C$16,0,IF($W$2&gt;=L558,IF(L558&lt;=($P$1+$C$16),INDIRECT("N"&amp;(L558-$C$16)+5),FV(SRate,L558-$P$1-$C$16,0,-$W$1,1)),0))</f>
        <v>0</v>
      </c>
      <c r="R558" s="56">
        <f t="shared" ca="1" si="62"/>
        <v>0</v>
      </c>
      <c r="S558" s="19">
        <f t="shared" si="64"/>
        <v>0</v>
      </c>
      <c r="T558" s="36" t="str" cm="1">
        <f t="array" aca="1" ref="T558" ca="1">IF(L558&lt;=$P$1,K558,IF(L558&lt;=($P$1+1),INDIRECT("K"&amp;5+$W$2),""))</f>
        <v/>
      </c>
      <c r="U558" s="38">
        <f t="shared" si="65"/>
        <v>47</v>
      </c>
    </row>
    <row r="559" spans="11:21" hidden="1" x14ac:dyDescent="0.25">
      <c r="K559" s="36">
        <f t="shared" ca="1" si="67"/>
        <v>63077</v>
      </c>
      <c r="L559" s="19">
        <v>554</v>
      </c>
      <c r="M559" s="19">
        <f t="shared" si="66"/>
        <v>0</v>
      </c>
      <c r="N559" s="37">
        <f t="shared" si="63"/>
        <v>0</v>
      </c>
      <c r="O559" s="37">
        <f t="shared" si="68"/>
        <v>0</v>
      </c>
      <c r="P559" s="55" cm="1">
        <f t="array" aca="1" ref="P559" ca="1">IF((L559-$C$16)&gt;0, IF($P$1+$C$16&gt;=L559,INDIRECT("M"&amp;(L559-$C$16)+5),0),0)</f>
        <v>0</v>
      </c>
      <c r="Q559" s="56" cm="1">
        <f t="array" aca="1" ref="Q559" ca="1">IF(L559&lt;=$C$16,0,IF($W$2&gt;=L559,IF(L559&lt;=($P$1+$C$16),INDIRECT("N"&amp;(L559-$C$16)+5),FV(SRate,L559-$P$1-$C$16,0,-$W$1,1)),0))</f>
        <v>0</v>
      </c>
      <c r="R559" s="56">
        <f t="shared" ca="1" si="62"/>
        <v>0</v>
      </c>
      <c r="S559" s="19">
        <f t="shared" si="64"/>
        <v>0</v>
      </c>
      <c r="T559" s="36" t="str" cm="1">
        <f t="array" aca="1" ref="T559" ca="1">IF(L559&lt;=$P$1,K559,IF(L559&lt;=($P$1+1),INDIRECT("K"&amp;5+$W$2),""))</f>
        <v/>
      </c>
      <c r="U559" s="38">
        <f t="shared" si="65"/>
        <v>47</v>
      </c>
    </row>
    <row r="560" spans="11:21" hidden="1" x14ac:dyDescent="0.25">
      <c r="K560" s="36">
        <f t="shared" ca="1" si="67"/>
        <v>63107</v>
      </c>
      <c r="L560" s="19">
        <v>555</v>
      </c>
      <c r="M560" s="19">
        <f t="shared" si="66"/>
        <v>0</v>
      </c>
      <c r="N560" s="37">
        <f t="shared" si="63"/>
        <v>0</v>
      </c>
      <c r="O560" s="37">
        <f t="shared" si="68"/>
        <v>0</v>
      </c>
      <c r="P560" s="55" cm="1">
        <f t="array" aca="1" ref="P560" ca="1">IF((L560-$C$16)&gt;0, IF($P$1+$C$16&gt;=L560,INDIRECT("M"&amp;(L560-$C$16)+5),0),0)</f>
        <v>0</v>
      </c>
      <c r="Q560" s="56" cm="1">
        <f t="array" aca="1" ref="Q560" ca="1">IF(L560&lt;=$C$16,0,IF($W$2&gt;=L560,IF(L560&lt;=($P$1+$C$16),INDIRECT("N"&amp;(L560-$C$16)+5),FV(SRate,L560-$P$1-$C$16,0,-$W$1,1)),0))</f>
        <v>0</v>
      </c>
      <c r="R560" s="56">
        <f t="shared" ca="1" si="62"/>
        <v>0</v>
      </c>
      <c r="S560" s="19">
        <f t="shared" si="64"/>
        <v>0</v>
      </c>
      <c r="T560" s="36" t="str" cm="1">
        <f t="array" aca="1" ref="T560" ca="1">IF(L560&lt;=$P$1,K560,IF(L560&lt;=($P$1+1),INDIRECT("K"&amp;5+$W$2),""))</f>
        <v/>
      </c>
      <c r="U560" s="38">
        <f t="shared" si="65"/>
        <v>47</v>
      </c>
    </row>
    <row r="561" spans="11:21" hidden="1" x14ac:dyDescent="0.25">
      <c r="K561" s="36">
        <f t="shared" ca="1" si="67"/>
        <v>63138</v>
      </c>
      <c r="L561" s="19">
        <v>556</v>
      </c>
      <c r="M561" s="19">
        <f t="shared" si="66"/>
        <v>0</v>
      </c>
      <c r="N561" s="37">
        <f t="shared" si="63"/>
        <v>0</v>
      </c>
      <c r="O561" s="37">
        <f t="shared" si="68"/>
        <v>0</v>
      </c>
      <c r="P561" s="55" cm="1">
        <f t="array" aca="1" ref="P561" ca="1">IF((L561-$C$16)&gt;0, IF($P$1+$C$16&gt;=L561,INDIRECT("M"&amp;(L561-$C$16)+5),0),0)</f>
        <v>0</v>
      </c>
      <c r="Q561" s="56" cm="1">
        <f t="array" aca="1" ref="Q561" ca="1">IF(L561&lt;=$C$16,0,IF($W$2&gt;=L561,IF(L561&lt;=($P$1+$C$16),INDIRECT("N"&amp;(L561-$C$16)+5),FV(SRate,L561-$P$1-$C$16,0,-$W$1,1)),0))</f>
        <v>0</v>
      </c>
      <c r="R561" s="56">
        <f t="shared" ca="1" si="62"/>
        <v>0</v>
      </c>
      <c r="S561" s="19">
        <f t="shared" si="64"/>
        <v>0</v>
      </c>
      <c r="T561" s="36" t="str" cm="1">
        <f t="array" aca="1" ref="T561" ca="1">IF(L561&lt;=$P$1,K561,IF(L561&lt;=($P$1+1),INDIRECT("K"&amp;5+$W$2),""))</f>
        <v/>
      </c>
      <c r="U561" s="38">
        <f t="shared" si="65"/>
        <v>47</v>
      </c>
    </row>
    <row r="562" spans="11:21" hidden="1" x14ac:dyDescent="0.25">
      <c r="K562" s="36">
        <f t="shared" ca="1" si="67"/>
        <v>63168</v>
      </c>
      <c r="L562" s="19">
        <v>557</v>
      </c>
      <c r="M562" s="19">
        <f t="shared" si="66"/>
        <v>0</v>
      </c>
      <c r="N562" s="37">
        <f t="shared" si="63"/>
        <v>0</v>
      </c>
      <c r="O562" s="37">
        <f t="shared" si="68"/>
        <v>0</v>
      </c>
      <c r="P562" s="55" cm="1">
        <f t="array" aca="1" ref="P562" ca="1">IF((L562-$C$16)&gt;0, IF($P$1+$C$16&gt;=L562,INDIRECT("M"&amp;(L562-$C$16)+5),0),0)</f>
        <v>0</v>
      </c>
      <c r="Q562" s="56" cm="1">
        <f t="array" aca="1" ref="Q562" ca="1">IF(L562&lt;=$C$16,0,IF($W$2&gt;=L562,IF(L562&lt;=($P$1+$C$16),INDIRECT("N"&amp;(L562-$C$16)+5),FV(SRate,L562-$P$1-$C$16,0,-$W$1,1)),0))</f>
        <v>0</v>
      </c>
      <c r="R562" s="56">
        <f t="shared" ca="1" si="62"/>
        <v>0</v>
      </c>
      <c r="S562" s="19">
        <f t="shared" si="64"/>
        <v>0</v>
      </c>
      <c r="T562" s="36" t="str" cm="1">
        <f t="array" aca="1" ref="T562" ca="1">IF(L562&lt;=$P$1,K562,IF(L562&lt;=($P$1+1),INDIRECT("K"&amp;5+$W$2),""))</f>
        <v/>
      </c>
      <c r="U562" s="38">
        <f t="shared" si="65"/>
        <v>47</v>
      </c>
    </row>
    <row r="563" spans="11:21" hidden="1" x14ac:dyDescent="0.25">
      <c r="K563" s="36">
        <f t="shared" ca="1" si="67"/>
        <v>63199</v>
      </c>
      <c r="L563" s="19">
        <v>558</v>
      </c>
      <c r="M563" s="19">
        <f t="shared" si="66"/>
        <v>0</v>
      </c>
      <c r="N563" s="37">
        <f t="shared" si="63"/>
        <v>0</v>
      </c>
      <c r="O563" s="37">
        <f t="shared" si="68"/>
        <v>0</v>
      </c>
      <c r="P563" s="55" cm="1">
        <f t="array" aca="1" ref="P563" ca="1">IF((L563-$C$16)&gt;0, IF($P$1+$C$16&gt;=L563,INDIRECT("M"&amp;(L563-$C$16)+5),0),0)</f>
        <v>0</v>
      </c>
      <c r="Q563" s="56" cm="1">
        <f t="array" aca="1" ref="Q563" ca="1">IF(L563&lt;=$C$16,0,IF($W$2&gt;=L563,IF(L563&lt;=($P$1+$C$16),INDIRECT("N"&amp;(L563-$C$16)+5),FV(SRate,L563-$P$1-$C$16,0,-$W$1,1)),0))</f>
        <v>0</v>
      </c>
      <c r="R563" s="56">
        <f t="shared" ca="1" si="62"/>
        <v>0</v>
      </c>
      <c r="S563" s="19">
        <f t="shared" si="64"/>
        <v>0</v>
      </c>
      <c r="T563" s="36" t="str" cm="1">
        <f t="array" aca="1" ref="T563" ca="1">IF(L563&lt;=$P$1,K563,IF(L563&lt;=($P$1+1),INDIRECT("K"&amp;5+$W$2),""))</f>
        <v/>
      </c>
      <c r="U563" s="38">
        <f t="shared" si="65"/>
        <v>47</v>
      </c>
    </row>
    <row r="564" spans="11:21" hidden="1" x14ac:dyDescent="0.25">
      <c r="K564" s="36">
        <f t="shared" ca="1" si="67"/>
        <v>63230</v>
      </c>
      <c r="L564" s="19">
        <v>559</v>
      </c>
      <c r="M564" s="19">
        <f t="shared" si="66"/>
        <v>0</v>
      </c>
      <c r="N564" s="37">
        <f t="shared" si="63"/>
        <v>0</v>
      </c>
      <c r="O564" s="37">
        <f t="shared" si="68"/>
        <v>0</v>
      </c>
      <c r="P564" s="55" cm="1">
        <f t="array" aca="1" ref="P564" ca="1">IF((L564-$C$16)&gt;0, IF($P$1+$C$16&gt;=L564,INDIRECT("M"&amp;(L564-$C$16)+5),0),0)</f>
        <v>0</v>
      </c>
      <c r="Q564" s="56" cm="1">
        <f t="array" aca="1" ref="Q564" ca="1">IF(L564&lt;=$C$16,0,IF($W$2&gt;=L564,IF(L564&lt;=($P$1+$C$16),INDIRECT("N"&amp;(L564-$C$16)+5),FV(SRate,L564-$P$1-$C$16,0,-$W$1,1)),0))</f>
        <v>0</v>
      </c>
      <c r="R564" s="56">
        <f t="shared" ca="1" si="62"/>
        <v>0</v>
      </c>
      <c r="S564" s="19">
        <f t="shared" si="64"/>
        <v>0</v>
      </c>
      <c r="T564" s="36" t="str" cm="1">
        <f t="array" aca="1" ref="T564" ca="1">IF(L564&lt;=$P$1,K564,IF(L564&lt;=($P$1+1),INDIRECT("K"&amp;5+$W$2),""))</f>
        <v/>
      </c>
      <c r="U564" s="38">
        <f t="shared" si="65"/>
        <v>47</v>
      </c>
    </row>
    <row r="565" spans="11:21" hidden="1" x14ac:dyDescent="0.25">
      <c r="K565" s="36">
        <f t="shared" ca="1" si="67"/>
        <v>63258</v>
      </c>
      <c r="L565" s="19">
        <v>560</v>
      </c>
      <c r="M565" s="19">
        <f t="shared" si="66"/>
        <v>0</v>
      </c>
      <c r="N565" s="37">
        <f t="shared" si="63"/>
        <v>0</v>
      </c>
      <c r="O565" s="37">
        <f t="shared" si="68"/>
        <v>0</v>
      </c>
      <c r="P565" s="55" cm="1">
        <f t="array" aca="1" ref="P565" ca="1">IF((L565-$C$16)&gt;0, IF($P$1+$C$16&gt;=L565,INDIRECT("M"&amp;(L565-$C$16)+5),0),0)</f>
        <v>0</v>
      </c>
      <c r="Q565" s="56" cm="1">
        <f t="array" aca="1" ref="Q565" ca="1">IF(L565&lt;=$C$16,0,IF($W$2&gt;=L565,IF(L565&lt;=($P$1+$C$16),INDIRECT("N"&amp;(L565-$C$16)+5),FV(SRate,L565-$P$1-$C$16,0,-$W$1,1)),0))</f>
        <v>0</v>
      </c>
      <c r="R565" s="56">
        <f t="shared" ca="1" si="62"/>
        <v>0</v>
      </c>
      <c r="S565" s="19">
        <f t="shared" si="64"/>
        <v>0</v>
      </c>
      <c r="T565" s="36" t="str" cm="1">
        <f t="array" aca="1" ref="T565" ca="1">IF(L565&lt;=$P$1,K565,IF(L565&lt;=($P$1+1),INDIRECT("K"&amp;5+$W$2),""))</f>
        <v/>
      </c>
      <c r="U565" s="38">
        <f t="shared" si="65"/>
        <v>47</v>
      </c>
    </row>
    <row r="566" spans="11:21" hidden="1" x14ac:dyDescent="0.25">
      <c r="K566" s="36">
        <f t="shared" ca="1" si="67"/>
        <v>63289</v>
      </c>
      <c r="L566" s="19">
        <v>561</v>
      </c>
      <c r="M566" s="19">
        <f t="shared" si="66"/>
        <v>0</v>
      </c>
      <c r="N566" s="37">
        <f t="shared" si="63"/>
        <v>0</v>
      </c>
      <c r="O566" s="37">
        <f t="shared" si="68"/>
        <v>0</v>
      </c>
      <c r="P566" s="55" cm="1">
        <f t="array" aca="1" ref="P566" ca="1">IF((L566-$C$16)&gt;0, IF($P$1+$C$16&gt;=L566,INDIRECT("M"&amp;(L566-$C$16)+5),0),0)</f>
        <v>0</v>
      </c>
      <c r="Q566" s="56" cm="1">
        <f t="array" aca="1" ref="Q566" ca="1">IF(L566&lt;=$C$16,0,IF($W$2&gt;=L566,IF(L566&lt;=($P$1+$C$16),INDIRECT("N"&amp;(L566-$C$16)+5),FV(SRate,L566-$P$1-$C$16,0,-$W$1,1)),0))</f>
        <v>0</v>
      </c>
      <c r="R566" s="56">
        <f t="shared" ca="1" si="62"/>
        <v>0</v>
      </c>
      <c r="S566" s="19">
        <f t="shared" si="64"/>
        <v>0</v>
      </c>
      <c r="T566" s="36" t="str" cm="1">
        <f t="array" aca="1" ref="T566" ca="1">IF(L566&lt;=$P$1,K566,IF(L566&lt;=($P$1+1),INDIRECT("K"&amp;5+$W$2),""))</f>
        <v/>
      </c>
      <c r="U566" s="38">
        <f t="shared" si="65"/>
        <v>47</v>
      </c>
    </row>
    <row r="567" spans="11:21" hidden="1" x14ac:dyDescent="0.25">
      <c r="K567" s="36">
        <f t="shared" ca="1" si="67"/>
        <v>63319</v>
      </c>
      <c r="L567" s="19">
        <v>562</v>
      </c>
      <c r="M567" s="19">
        <f t="shared" si="66"/>
        <v>0</v>
      </c>
      <c r="N567" s="37">
        <f t="shared" si="63"/>
        <v>0</v>
      </c>
      <c r="O567" s="37">
        <f t="shared" si="68"/>
        <v>0</v>
      </c>
      <c r="P567" s="55" cm="1">
        <f t="array" aca="1" ref="P567" ca="1">IF((L567-$C$16)&gt;0, IF($P$1+$C$16&gt;=L567,INDIRECT("M"&amp;(L567-$C$16)+5),0),0)</f>
        <v>0</v>
      </c>
      <c r="Q567" s="56" cm="1">
        <f t="array" aca="1" ref="Q567" ca="1">IF(L567&lt;=$C$16,0,IF($W$2&gt;=L567,IF(L567&lt;=($P$1+$C$16),INDIRECT("N"&amp;(L567-$C$16)+5),FV(SRate,L567-$P$1-$C$16,0,-$W$1,1)),0))</f>
        <v>0</v>
      </c>
      <c r="R567" s="56">
        <f t="shared" ca="1" si="62"/>
        <v>0</v>
      </c>
      <c r="S567" s="19">
        <f t="shared" si="64"/>
        <v>0</v>
      </c>
      <c r="T567" s="36" t="str" cm="1">
        <f t="array" aca="1" ref="T567" ca="1">IF(L567&lt;=$P$1,K567,IF(L567&lt;=($P$1+1),INDIRECT("K"&amp;5+$W$2),""))</f>
        <v/>
      </c>
      <c r="U567" s="38">
        <f t="shared" si="65"/>
        <v>47</v>
      </c>
    </row>
    <row r="568" spans="11:21" hidden="1" x14ac:dyDescent="0.25">
      <c r="K568" s="36">
        <f t="shared" ca="1" si="67"/>
        <v>63350</v>
      </c>
      <c r="L568" s="19">
        <v>563</v>
      </c>
      <c r="M568" s="19">
        <f t="shared" si="66"/>
        <v>0</v>
      </c>
      <c r="N568" s="37">
        <f t="shared" si="63"/>
        <v>0</v>
      </c>
      <c r="O568" s="37">
        <f t="shared" si="68"/>
        <v>0</v>
      </c>
      <c r="P568" s="55" cm="1">
        <f t="array" aca="1" ref="P568" ca="1">IF((L568-$C$16)&gt;0, IF($P$1+$C$16&gt;=L568,INDIRECT("M"&amp;(L568-$C$16)+5),0),0)</f>
        <v>0</v>
      </c>
      <c r="Q568" s="56" cm="1">
        <f t="array" aca="1" ref="Q568" ca="1">IF(L568&lt;=$C$16,0,IF($W$2&gt;=L568,IF(L568&lt;=($P$1+$C$16),INDIRECT("N"&amp;(L568-$C$16)+5),FV(SRate,L568-$P$1-$C$16,0,-$W$1,1)),0))</f>
        <v>0</v>
      </c>
      <c r="R568" s="56">
        <f t="shared" ca="1" si="62"/>
        <v>0</v>
      </c>
      <c r="S568" s="19">
        <f t="shared" si="64"/>
        <v>0</v>
      </c>
      <c r="T568" s="36" t="str" cm="1">
        <f t="array" aca="1" ref="T568" ca="1">IF(L568&lt;=$P$1,K568,IF(L568&lt;=($P$1+1),INDIRECT("K"&amp;5+$W$2),""))</f>
        <v/>
      </c>
      <c r="U568" s="38">
        <f t="shared" si="65"/>
        <v>47</v>
      </c>
    </row>
    <row r="569" spans="11:21" hidden="1" x14ac:dyDescent="0.25">
      <c r="K569" s="36">
        <f t="shared" ca="1" si="67"/>
        <v>63380</v>
      </c>
      <c r="L569" s="19">
        <v>564</v>
      </c>
      <c r="M569" s="19">
        <f t="shared" si="66"/>
        <v>0</v>
      </c>
      <c r="N569" s="37">
        <f t="shared" si="63"/>
        <v>0</v>
      </c>
      <c r="O569" s="37">
        <f t="shared" si="68"/>
        <v>0</v>
      </c>
      <c r="P569" s="55" cm="1">
        <f t="array" aca="1" ref="P569" ca="1">IF((L569-$C$16)&gt;0, IF($P$1+$C$16&gt;=L569,INDIRECT("M"&amp;(L569-$C$16)+5),0),0)</f>
        <v>0</v>
      </c>
      <c r="Q569" s="56" cm="1">
        <f t="array" aca="1" ref="Q569" ca="1">IF(L569&lt;=$C$16,0,IF($W$2&gt;=L569,IF(L569&lt;=($P$1+$C$16),INDIRECT("N"&amp;(L569-$C$16)+5),FV(SRate,L569-$P$1-$C$16,0,-$W$1,1)),0))</f>
        <v>0</v>
      </c>
      <c r="R569" s="56">
        <f t="shared" ca="1" si="62"/>
        <v>0</v>
      </c>
      <c r="S569" s="19">
        <f t="shared" si="64"/>
        <v>0</v>
      </c>
      <c r="T569" s="36" t="str" cm="1">
        <f t="array" aca="1" ref="T569" ca="1">IF(L569&lt;=$P$1,K569,IF(L569&lt;=($P$1+1),INDIRECT("K"&amp;5+$W$2),""))</f>
        <v/>
      </c>
      <c r="U569" s="38">
        <f t="shared" si="65"/>
        <v>47</v>
      </c>
    </row>
    <row r="570" spans="11:21" hidden="1" x14ac:dyDescent="0.25">
      <c r="K570" s="36">
        <f t="shared" ca="1" si="67"/>
        <v>63411</v>
      </c>
      <c r="L570" s="19">
        <v>565</v>
      </c>
      <c r="M570" s="19">
        <f t="shared" si="66"/>
        <v>0</v>
      </c>
      <c r="N570" s="37">
        <f t="shared" si="63"/>
        <v>0</v>
      </c>
      <c r="O570" s="37">
        <f t="shared" si="68"/>
        <v>0</v>
      </c>
      <c r="P570" s="55" cm="1">
        <f t="array" aca="1" ref="P570" ca="1">IF((L570-$C$16)&gt;0, IF($P$1+$C$16&gt;=L570,INDIRECT("M"&amp;(L570-$C$16)+5),0),0)</f>
        <v>0</v>
      </c>
      <c r="Q570" s="56" cm="1">
        <f t="array" aca="1" ref="Q570" ca="1">IF(L570&lt;=$C$16,0,IF($W$2&gt;=L570,IF(L570&lt;=($P$1+$C$16),INDIRECT("N"&amp;(L570-$C$16)+5),FV(SRate,L570-$P$1-$C$16,0,-$W$1,1)),0))</f>
        <v>0</v>
      </c>
      <c r="R570" s="56">
        <f t="shared" ca="1" si="62"/>
        <v>0</v>
      </c>
      <c r="S570" s="19">
        <f t="shared" si="64"/>
        <v>0</v>
      </c>
      <c r="T570" s="36" t="str" cm="1">
        <f t="array" aca="1" ref="T570" ca="1">IF(L570&lt;=$P$1,K570,IF(L570&lt;=($P$1+1),INDIRECT("K"&amp;5+$W$2),""))</f>
        <v/>
      </c>
      <c r="U570" s="38">
        <f t="shared" si="65"/>
        <v>48</v>
      </c>
    </row>
    <row r="571" spans="11:21" hidden="1" x14ac:dyDescent="0.25">
      <c r="K571" s="36">
        <f t="shared" ca="1" si="67"/>
        <v>63442</v>
      </c>
      <c r="L571" s="19">
        <v>566</v>
      </c>
      <c r="M571" s="19">
        <f t="shared" si="66"/>
        <v>0</v>
      </c>
      <c r="N571" s="37">
        <f t="shared" si="63"/>
        <v>0</v>
      </c>
      <c r="O571" s="37">
        <f t="shared" si="68"/>
        <v>0</v>
      </c>
      <c r="P571" s="55" cm="1">
        <f t="array" aca="1" ref="P571" ca="1">IF((L571-$C$16)&gt;0, IF($P$1+$C$16&gt;=L571,INDIRECT("M"&amp;(L571-$C$16)+5),0),0)</f>
        <v>0</v>
      </c>
      <c r="Q571" s="56" cm="1">
        <f t="array" aca="1" ref="Q571" ca="1">IF(L571&lt;=$C$16,0,IF($W$2&gt;=L571,IF(L571&lt;=($P$1+$C$16),INDIRECT("N"&amp;(L571-$C$16)+5),FV(SRate,L571-$P$1-$C$16,0,-$W$1,1)),0))</f>
        <v>0</v>
      </c>
      <c r="R571" s="56">
        <f t="shared" ca="1" si="62"/>
        <v>0</v>
      </c>
      <c r="S571" s="19">
        <f t="shared" si="64"/>
        <v>0</v>
      </c>
      <c r="T571" s="36" t="str" cm="1">
        <f t="array" aca="1" ref="T571" ca="1">IF(L571&lt;=$P$1,K571,IF(L571&lt;=($P$1+1),INDIRECT("K"&amp;5+$W$2),""))</f>
        <v/>
      </c>
      <c r="U571" s="38">
        <f t="shared" si="65"/>
        <v>48</v>
      </c>
    </row>
    <row r="572" spans="11:21" hidden="1" x14ac:dyDescent="0.25">
      <c r="K572" s="36">
        <f t="shared" ca="1" si="67"/>
        <v>63472</v>
      </c>
      <c r="L572" s="19">
        <v>567</v>
      </c>
      <c r="M572" s="19">
        <f t="shared" si="66"/>
        <v>0</v>
      </c>
      <c r="N572" s="37">
        <f t="shared" si="63"/>
        <v>0</v>
      </c>
      <c r="O572" s="37">
        <f t="shared" si="68"/>
        <v>0</v>
      </c>
      <c r="P572" s="55" cm="1">
        <f t="array" aca="1" ref="P572" ca="1">IF((L572-$C$16)&gt;0, IF($P$1+$C$16&gt;=L572,INDIRECT("M"&amp;(L572-$C$16)+5),0),0)</f>
        <v>0</v>
      </c>
      <c r="Q572" s="56" cm="1">
        <f t="array" aca="1" ref="Q572" ca="1">IF(L572&lt;=$C$16,0,IF($W$2&gt;=L572,IF(L572&lt;=($P$1+$C$16),INDIRECT("N"&amp;(L572-$C$16)+5),FV(SRate,L572-$P$1-$C$16,0,-$W$1,1)),0))</f>
        <v>0</v>
      </c>
      <c r="R572" s="56">
        <f t="shared" ca="1" si="62"/>
        <v>0</v>
      </c>
      <c r="S572" s="19">
        <f t="shared" si="64"/>
        <v>0</v>
      </c>
      <c r="T572" s="36" t="str" cm="1">
        <f t="array" aca="1" ref="T572" ca="1">IF(L572&lt;=$P$1,K572,IF(L572&lt;=($P$1+1),INDIRECT("K"&amp;5+$W$2),""))</f>
        <v/>
      </c>
      <c r="U572" s="38">
        <f t="shared" si="65"/>
        <v>48</v>
      </c>
    </row>
    <row r="573" spans="11:21" hidden="1" x14ac:dyDescent="0.25">
      <c r="K573" s="36">
        <f t="shared" ca="1" si="67"/>
        <v>63503</v>
      </c>
      <c r="L573" s="19">
        <v>568</v>
      </c>
      <c r="M573" s="19">
        <f t="shared" si="66"/>
        <v>0</v>
      </c>
      <c r="N573" s="37">
        <f t="shared" si="63"/>
        <v>0</v>
      </c>
      <c r="O573" s="37">
        <f t="shared" si="68"/>
        <v>0</v>
      </c>
      <c r="P573" s="55" cm="1">
        <f t="array" aca="1" ref="P573" ca="1">IF((L573-$C$16)&gt;0, IF($P$1+$C$16&gt;=L573,INDIRECT("M"&amp;(L573-$C$16)+5),0),0)</f>
        <v>0</v>
      </c>
      <c r="Q573" s="56" cm="1">
        <f t="array" aca="1" ref="Q573" ca="1">IF(L573&lt;=$C$16,0,IF($W$2&gt;=L573,IF(L573&lt;=($P$1+$C$16),INDIRECT("N"&amp;(L573-$C$16)+5),FV(SRate,L573-$P$1-$C$16,0,-$W$1,1)),0))</f>
        <v>0</v>
      </c>
      <c r="R573" s="56">
        <f t="shared" ca="1" si="62"/>
        <v>0</v>
      </c>
      <c r="S573" s="19">
        <f t="shared" si="64"/>
        <v>0</v>
      </c>
      <c r="T573" s="36" t="str" cm="1">
        <f t="array" aca="1" ref="T573" ca="1">IF(L573&lt;=$P$1,K573,IF(L573&lt;=($P$1+1),INDIRECT("K"&amp;5+$W$2),""))</f>
        <v/>
      </c>
      <c r="U573" s="38">
        <f t="shared" si="65"/>
        <v>48</v>
      </c>
    </row>
    <row r="574" spans="11:21" hidden="1" x14ac:dyDescent="0.25">
      <c r="K574" s="36">
        <f t="shared" ca="1" si="67"/>
        <v>63533</v>
      </c>
      <c r="L574" s="19">
        <v>569</v>
      </c>
      <c r="M574" s="19">
        <f t="shared" si="66"/>
        <v>0</v>
      </c>
      <c r="N574" s="37">
        <f t="shared" si="63"/>
        <v>0</v>
      </c>
      <c r="O574" s="37">
        <f t="shared" si="68"/>
        <v>0</v>
      </c>
      <c r="P574" s="55" cm="1">
        <f t="array" aca="1" ref="P574" ca="1">IF((L574-$C$16)&gt;0, IF($P$1+$C$16&gt;=L574,INDIRECT("M"&amp;(L574-$C$16)+5),0),0)</f>
        <v>0</v>
      </c>
      <c r="Q574" s="56" cm="1">
        <f t="array" aca="1" ref="Q574" ca="1">IF(L574&lt;=$C$16,0,IF($W$2&gt;=L574,IF(L574&lt;=($P$1+$C$16),INDIRECT("N"&amp;(L574-$C$16)+5),FV(SRate,L574-$P$1-$C$16,0,-$W$1,1)),0))</f>
        <v>0</v>
      </c>
      <c r="R574" s="56">
        <f t="shared" ca="1" si="62"/>
        <v>0</v>
      </c>
      <c r="S574" s="19">
        <f t="shared" si="64"/>
        <v>0</v>
      </c>
      <c r="T574" s="36" t="str" cm="1">
        <f t="array" aca="1" ref="T574" ca="1">IF(L574&lt;=$P$1,K574,IF(L574&lt;=($P$1+1),INDIRECT("K"&amp;5+$W$2),""))</f>
        <v/>
      </c>
      <c r="U574" s="38">
        <f t="shared" si="65"/>
        <v>48</v>
      </c>
    </row>
    <row r="575" spans="11:21" hidden="1" x14ac:dyDescent="0.25">
      <c r="K575" s="36">
        <f t="shared" ca="1" si="67"/>
        <v>63564</v>
      </c>
      <c r="L575" s="19">
        <v>570</v>
      </c>
      <c r="M575" s="19">
        <f t="shared" si="66"/>
        <v>0</v>
      </c>
      <c r="N575" s="37">
        <f t="shared" si="63"/>
        <v>0</v>
      </c>
      <c r="O575" s="37">
        <f t="shared" si="68"/>
        <v>0</v>
      </c>
      <c r="P575" s="55" cm="1">
        <f t="array" aca="1" ref="P575" ca="1">IF((L575-$C$16)&gt;0, IF($P$1+$C$16&gt;=L575,INDIRECT("M"&amp;(L575-$C$16)+5),0),0)</f>
        <v>0</v>
      </c>
      <c r="Q575" s="56" cm="1">
        <f t="array" aca="1" ref="Q575" ca="1">IF(L575&lt;=$C$16,0,IF($W$2&gt;=L575,IF(L575&lt;=($P$1+$C$16),INDIRECT("N"&amp;(L575-$C$16)+5),FV(SRate,L575-$P$1-$C$16,0,-$W$1,1)),0))</f>
        <v>0</v>
      </c>
      <c r="R575" s="56">
        <f t="shared" ca="1" si="62"/>
        <v>0</v>
      </c>
      <c r="S575" s="19">
        <f t="shared" si="64"/>
        <v>0</v>
      </c>
      <c r="T575" s="36" t="str" cm="1">
        <f t="array" aca="1" ref="T575" ca="1">IF(L575&lt;=$P$1,K575,IF(L575&lt;=($P$1+1),INDIRECT("K"&amp;5+$W$2),""))</f>
        <v/>
      </c>
      <c r="U575" s="38">
        <f t="shared" si="65"/>
        <v>48</v>
      </c>
    </row>
    <row r="576" spans="11:21" hidden="1" x14ac:dyDescent="0.25">
      <c r="K576" s="36">
        <f t="shared" ca="1" si="67"/>
        <v>63595</v>
      </c>
      <c r="L576" s="19">
        <v>571</v>
      </c>
      <c r="M576" s="19">
        <f t="shared" si="66"/>
        <v>0</v>
      </c>
      <c r="N576" s="37">
        <f t="shared" si="63"/>
        <v>0</v>
      </c>
      <c r="O576" s="37">
        <f t="shared" si="68"/>
        <v>0</v>
      </c>
      <c r="P576" s="55" cm="1">
        <f t="array" aca="1" ref="P576" ca="1">IF((L576-$C$16)&gt;0, IF($P$1+$C$16&gt;=L576,INDIRECT("M"&amp;(L576-$C$16)+5),0),0)</f>
        <v>0</v>
      </c>
      <c r="Q576" s="56" cm="1">
        <f t="array" aca="1" ref="Q576" ca="1">IF(L576&lt;=$C$16,0,IF($W$2&gt;=L576,IF(L576&lt;=($P$1+$C$16),INDIRECT("N"&amp;(L576-$C$16)+5),FV(SRate,L576-$P$1-$C$16,0,-$W$1,1)),0))</f>
        <v>0</v>
      </c>
      <c r="R576" s="56">
        <f t="shared" ca="1" si="62"/>
        <v>0</v>
      </c>
      <c r="S576" s="19">
        <f t="shared" si="64"/>
        <v>0</v>
      </c>
      <c r="T576" s="36" t="str" cm="1">
        <f t="array" aca="1" ref="T576" ca="1">IF(L576&lt;=$P$1,K576,IF(L576&lt;=($P$1+1),INDIRECT("K"&amp;5+$W$2),""))</f>
        <v/>
      </c>
      <c r="U576" s="38">
        <f t="shared" si="65"/>
        <v>48</v>
      </c>
    </row>
    <row r="577" spans="11:21" hidden="1" x14ac:dyDescent="0.25">
      <c r="K577" s="36">
        <f t="shared" ca="1" si="67"/>
        <v>63623</v>
      </c>
      <c r="L577" s="19">
        <v>572</v>
      </c>
      <c r="M577" s="19">
        <f t="shared" si="66"/>
        <v>0</v>
      </c>
      <c r="N577" s="37">
        <f t="shared" si="63"/>
        <v>0</v>
      </c>
      <c r="O577" s="37">
        <f t="shared" si="68"/>
        <v>0</v>
      </c>
      <c r="P577" s="55" cm="1">
        <f t="array" aca="1" ref="P577" ca="1">IF((L577-$C$16)&gt;0, IF($P$1+$C$16&gt;=L577,INDIRECT("M"&amp;(L577-$C$16)+5),0),0)</f>
        <v>0</v>
      </c>
      <c r="Q577" s="56" cm="1">
        <f t="array" aca="1" ref="Q577" ca="1">IF(L577&lt;=$C$16,0,IF($W$2&gt;=L577,IF(L577&lt;=($P$1+$C$16),INDIRECT("N"&amp;(L577-$C$16)+5),FV(SRate,L577-$P$1-$C$16,0,-$W$1,1)),0))</f>
        <v>0</v>
      </c>
      <c r="R577" s="56">
        <f t="shared" ca="1" si="62"/>
        <v>0</v>
      </c>
      <c r="S577" s="19">
        <f t="shared" si="64"/>
        <v>0</v>
      </c>
      <c r="T577" s="36" t="str" cm="1">
        <f t="array" aca="1" ref="T577" ca="1">IF(L577&lt;=$P$1,K577,IF(L577&lt;=($P$1+1),INDIRECT("K"&amp;5+$W$2),""))</f>
        <v/>
      </c>
      <c r="U577" s="38">
        <f t="shared" si="65"/>
        <v>48</v>
      </c>
    </row>
    <row r="578" spans="11:21" hidden="1" x14ac:dyDescent="0.25">
      <c r="K578" s="36">
        <f t="shared" ca="1" si="67"/>
        <v>63654</v>
      </c>
      <c r="L578" s="19">
        <v>573</v>
      </c>
      <c r="M578" s="19">
        <f t="shared" si="66"/>
        <v>0</v>
      </c>
      <c r="N578" s="37">
        <f t="shared" si="63"/>
        <v>0</v>
      </c>
      <c r="O578" s="37">
        <f t="shared" si="68"/>
        <v>0</v>
      </c>
      <c r="P578" s="55" cm="1">
        <f t="array" aca="1" ref="P578" ca="1">IF((L578-$C$16)&gt;0, IF($P$1+$C$16&gt;=L578,INDIRECT("M"&amp;(L578-$C$16)+5),0),0)</f>
        <v>0</v>
      </c>
      <c r="Q578" s="56" cm="1">
        <f t="array" aca="1" ref="Q578" ca="1">IF(L578&lt;=$C$16,0,IF($W$2&gt;=L578,IF(L578&lt;=($P$1+$C$16),INDIRECT("N"&amp;(L578-$C$16)+5),FV(SRate,L578-$P$1-$C$16,0,-$W$1,1)),0))</f>
        <v>0</v>
      </c>
      <c r="R578" s="56">
        <f t="shared" ca="1" si="62"/>
        <v>0</v>
      </c>
      <c r="S578" s="19">
        <f t="shared" si="64"/>
        <v>0</v>
      </c>
      <c r="T578" s="36" t="str" cm="1">
        <f t="array" aca="1" ref="T578" ca="1">IF(L578&lt;=$P$1,K578,IF(L578&lt;=($P$1+1),INDIRECT("K"&amp;5+$W$2),""))</f>
        <v/>
      </c>
      <c r="U578" s="38">
        <f t="shared" si="65"/>
        <v>48</v>
      </c>
    </row>
    <row r="579" spans="11:21" hidden="1" x14ac:dyDescent="0.25">
      <c r="K579" s="36">
        <f t="shared" ca="1" si="67"/>
        <v>63684</v>
      </c>
      <c r="L579" s="19">
        <v>574</v>
      </c>
      <c r="M579" s="19">
        <f t="shared" si="66"/>
        <v>0</v>
      </c>
      <c r="N579" s="37">
        <f t="shared" si="63"/>
        <v>0</v>
      </c>
      <c r="O579" s="37">
        <f t="shared" si="68"/>
        <v>0</v>
      </c>
      <c r="P579" s="55" cm="1">
        <f t="array" aca="1" ref="P579" ca="1">IF((L579-$C$16)&gt;0, IF($P$1+$C$16&gt;=L579,INDIRECT("M"&amp;(L579-$C$16)+5),0),0)</f>
        <v>0</v>
      </c>
      <c r="Q579" s="56" cm="1">
        <f t="array" aca="1" ref="Q579" ca="1">IF(L579&lt;=$C$16,0,IF($W$2&gt;=L579,IF(L579&lt;=($P$1+$C$16),INDIRECT("N"&amp;(L579-$C$16)+5),FV(SRate,L579-$P$1-$C$16,0,-$W$1,1)),0))</f>
        <v>0</v>
      </c>
      <c r="R579" s="56">
        <f t="shared" ca="1" si="62"/>
        <v>0</v>
      </c>
      <c r="S579" s="19">
        <f t="shared" si="64"/>
        <v>0</v>
      </c>
      <c r="T579" s="36" t="str" cm="1">
        <f t="array" aca="1" ref="T579" ca="1">IF(L579&lt;=$P$1,K579,IF(L579&lt;=($P$1+1),INDIRECT("K"&amp;5+$W$2),""))</f>
        <v/>
      </c>
      <c r="U579" s="38">
        <f t="shared" si="65"/>
        <v>48</v>
      </c>
    </row>
    <row r="580" spans="11:21" hidden="1" x14ac:dyDescent="0.25">
      <c r="K580" s="36">
        <f t="shared" ca="1" si="67"/>
        <v>63715</v>
      </c>
      <c r="L580" s="19">
        <v>575</v>
      </c>
      <c r="M580" s="19">
        <f t="shared" si="66"/>
        <v>0</v>
      </c>
      <c r="N580" s="37">
        <f t="shared" si="63"/>
        <v>0</v>
      </c>
      <c r="O580" s="37">
        <f t="shared" si="68"/>
        <v>0</v>
      </c>
      <c r="P580" s="55" cm="1">
        <f t="array" aca="1" ref="P580" ca="1">IF((L580-$C$16)&gt;0, IF($P$1+$C$16&gt;=L580,INDIRECT("M"&amp;(L580-$C$16)+5),0),0)</f>
        <v>0</v>
      </c>
      <c r="Q580" s="56" cm="1">
        <f t="array" aca="1" ref="Q580" ca="1">IF(L580&lt;=$C$16,0,IF($W$2&gt;=L580,IF(L580&lt;=($P$1+$C$16),INDIRECT("N"&amp;(L580-$C$16)+5),FV(SRate,L580-$P$1-$C$16,0,-$W$1,1)),0))</f>
        <v>0</v>
      </c>
      <c r="R580" s="56">
        <f t="shared" ca="1" si="62"/>
        <v>0</v>
      </c>
      <c r="S580" s="19">
        <f t="shared" si="64"/>
        <v>0</v>
      </c>
      <c r="T580" s="36" t="str" cm="1">
        <f t="array" aca="1" ref="T580" ca="1">IF(L580&lt;=$P$1,K580,IF(L580&lt;=($P$1+1),INDIRECT("K"&amp;5+$W$2),""))</f>
        <v/>
      </c>
      <c r="U580" s="38">
        <f t="shared" si="65"/>
        <v>48</v>
      </c>
    </row>
    <row r="581" spans="11:21" hidden="1" x14ac:dyDescent="0.25">
      <c r="K581" s="36">
        <f t="shared" ca="1" si="67"/>
        <v>63745</v>
      </c>
      <c r="L581" s="19">
        <v>576</v>
      </c>
      <c r="M581" s="19">
        <f t="shared" si="66"/>
        <v>0</v>
      </c>
      <c r="N581" s="37">
        <f t="shared" si="63"/>
        <v>0</v>
      </c>
      <c r="O581" s="37">
        <f t="shared" si="68"/>
        <v>0</v>
      </c>
      <c r="P581" s="55" cm="1">
        <f t="array" aca="1" ref="P581" ca="1">IF((L581-$C$16)&gt;0, IF($P$1+$C$16&gt;=L581,INDIRECT("M"&amp;(L581-$C$16)+5),0),0)</f>
        <v>0</v>
      </c>
      <c r="Q581" s="56" cm="1">
        <f t="array" aca="1" ref="Q581" ca="1">IF(L581&lt;=$C$16,0,IF($W$2&gt;=L581,IF(L581&lt;=($P$1+$C$16),INDIRECT("N"&amp;(L581-$C$16)+5),FV(SRate,L581-$P$1-$C$16,0,-$W$1,1)),0))</f>
        <v>0</v>
      </c>
      <c r="R581" s="56">
        <f t="shared" ca="1" si="62"/>
        <v>0</v>
      </c>
      <c r="S581" s="19">
        <f t="shared" si="64"/>
        <v>0</v>
      </c>
      <c r="T581" s="36" t="str" cm="1">
        <f t="array" aca="1" ref="T581" ca="1">IF(L581&lt;=$P$1,K581,IF(L581&lt;=($P$1+1),INDIRECT("K"&amp;5+$W$2),""))</f>
        <v/>
      </c>
      <c r="U581" s="38">
        <f t="shared" si="65"/>
        <v>48</v>
      </c>
    </row>
    <row r="582" spans="11:21" hidden="1" x14ac:dyDescent="0.25">
      <c r="K582" s="36">
        <f t="shared" ca="1" si="67"/>
        <v>63776</v>
      </c>
      <c r="L582" s="19">
        <v>577</v>
      </c>
      <c r="M582" s="19">
        <f t="shared" si="66"/>
        <v>0</v>
      </c>
      <c r="N582" s="37">
        <f t="shared" si="63"/>
        <v>0</v>
      </c>
      <c r="O582" s="37">
        <f t="shared" si="68"/>
        <v>0</v>
      </c>
      <c r="P582" s="55" cm="1">
        <f t="array" aca="1" ref="P582" ca="1">IF((L582-$C$16)&gt;0, IF($P$1+$C$16&gt;=L582,INDIRECT("M"&amp;(L582-$C$16)+5),0),0)</f>
        <v>0</v>
      </c>
      <c r="Q582" s="56" cm="1">
        <f t="array" aca="1" ref="Q582" ca="1">IF(L582&lt;=$C$16,0,IF($W$2&gt;=L582,IF(L582&lt;=($P$1+$C$16),INDIRECT("N"&amp;(L582-$C$16)+5),FV(SRate,L582-$P$1-$C$16,0,-$W$1,1)),0))</f>
        <v>0</v>
      </c>
      <c r="R582" s="56">
        <f t="shared" ref="R582:R645" ca="1" si="69">Q582/((1+SIPInflationRate)^((L582-$C$16)/12))</f>
        <v>0</v>
      </c>
      <c r="S582" s="19">
        <f t="shared" si="64"/>
        <v>0</v>
      </c>
      <c r="T582" s="36" t="str" cm="1">
        <f t="array" aca="1" ref="T582" ca="1">IF(L582&lt;=$P$1,K582,IF(L582&lt;=($P$1+1),INDIRECT("K"&amp;5+$W$2),""))</f>
        <v/>
      </c>
      <c r="U582" s="38">
        <f t="shared" si="65"/>
        <v>49</v>
      </c>
    </row>
    <row r="583" spans="11:21" hidden="1" x14ac:dyDescent="0.25">
      <c r="K583" s="36">
        <f t="shared" ca="1" si="67"/>
        <v>63807</v>
      </c>
      <c r="L583" s="19">
        <v>578</v>
      </c>
      <c r="M583" s="19">
        <f t="shared" si="66"/>
        <v>0</v>
      </c>
      <c r="N583" s="37">
        <f t="shared" ref="N583:N646" si="70">IF($W$2&gt;=L583,IF(L583&lt;=$P$1,(M583-M582+N582)*(1+SRate),FV(SRate,L583-$P$1,0,-$W$1,1)),0)</f>
        <v>0</v>
      </c>
      <c r="O583" s="37">
        <f t="shared" si="68"/>
        <v>0</v>
      </c>
      <c r="P583" s="55" cm="1">
        <f t="array" aca="1" ref="P583" ca="1">IF((L583-$C$16)&gt;0, IF($P$1+$C$16&gt;=L583,INDIRECT("M"&amp;(L583-$C$16)+5),0),0)</f>
        <v>0</v>
      </c>
      <c r="Q583" s="56" cm="1">
        <f t="array" aca="1" ref="Q583" ca="1">IF(L583&lt;=$C$16,0,IF($W$2&gt;=L583,IF(L583&lt;=($P$1+$C$16),INDIRECT("N"&amp;(L583-$C$16)+5),FV(SRate,L583-$P$1-$C$16,0,-$W$1,1)),0))</f>
        <v>0</v>
      </c>
      <c r="R583" s="56">
        <f t="shared" ca="1" si="69"/>
        <v>0</v>
      </c>
      <c r="S583" s="19">
        <f t="shared" ref="S583:S646" si="71">IF(L583&lt;=$P$1,-(_xlfn.XLOOKUP(U583,$Z$3:$Z$72,$AB$3:$AB$72,0)),IF(L583&lt;=($P$1+1),$W$4,0))</f>
        <v>0</v>
      </c>
      <c r="T583" s="36" t="str" cm="1">
        <f t="array" aca="1" ref="T583" ca="1">IF(L583&lt;=$P$1,K583,IF(L583&lt;=($P$1+1),INDIRECT("K"&amp;5+$W$2),""))</f>
        <v/>
      </c>
      <c r="U583" s="38">
        <f t="shared" ref="U583:U646" si="72">QUOTIENT(L583,12)+IF(MOD(L583,12)=0,-1,0)+1</f>
        <v>49</v>
      </c>
    </row>
    <row r="584" spans="11:21" hidden="1" x14ac:dyDescent="0.25">
      <c r="K584" s="36">
        <f t="shared" ca="1" si="67"/>
        <v>63837</v>
      </c>
      <c r="L584" s="19">
        <v>579</v>
      </c>
      <c r="M584" s="19">
        <f t="shared" ref="M584:M647" si="73">IF($P$1&gt;=L584,_xlfn.XLOOKUP(U584,$Z$3:$Z$72,$AB$3:$AB$72,0)+M583,0)</f>
        <v>0</v>
      </c>
      <c r="N584" s="37">
        <f t="shared" si="70"/>
        <v>0</v>
      </c>
      <c r="O584" s="37">
        <f t="shared" si="68"/>
        <v>0</v>
      </c>
      <c r="P584" s="55" cm="1">
        <f t="array" aca="1" ref="P584" ca="1">IF((L584-$C$16)&gt;0, IF($P$1+$C$16&gt;=L584,INDIRECT("M"&amp;(L584-$C$16)+5),0),0)</f>
        <v>0</v>
      </c>
      <c r="Q584" s="56" cm="1">
        <f t="array" aca="1" ref="Q584" ca="1">IF(L584&lt;=$C$16,0,IF($W$2&gt;=L584,IF(L584&lt;=($P$1+$C$16),INDIRECT("N"&amp;(L584-$C$16)+5),FV(SRate,L584-$P$1-$C$16,0,-$W$1,1)),0))</f>
        <v>0</v>
      </c>
      <c r="R584" s="56">
        <f t="shared" ca="1" si="69"/>
        <v>0</v>
      </c>
      <c r="S584" s="19">
        <f t="shared" si="71"/>
        <v>0</v>
      </c>
      <c r="T584" s="36" t="str" cm="1">
        <f t="array" aca="1" ref="T584" ca="1">IF(L584&lt;=$P$1,K584,IF(L584&lt;=($P$1+1),INDIRECT("K"&amp;5+$W$2),""))</f>
        <v/>
      </c>
      <c r="U584" s="38">
        <f t="shared" si="72"/>
        <v>49</v>
      </c>
    </row>
    <row r="585" spans="11:21" hidden="1" x14ac:dyDescent="0.25">
      <c r="K585" s="36">
        <f t="shared" ref="K585:K648" ca="1" si="74">EDATE(K584,1)</f>
        <v>63868</v>
      </c>
      <c r="L585" s="19">
        <v>580</v>
      </c>
      <c r="M585" s="19">
        <f t="shared" si="73"/>
        <v>0</v>
      </c>
      <c r="N585" s="37">
        <f t="shared" si="70"/>
        <v>0</v>
      </c>
      <c r="O585" s="37">
        <f t="shared" si="68"/>
        <v>0</v>
      </c>
      <c r="P585" s="55" cm="1">
        <f t="array" aca="1" ref="P585" ca="1">IF((L585-$C$16)&gt;0, IF($P$1+$C$16&gt;=L585,INDIRECT("M"&amp;(L585-$C$16)+5),0),0)</f>
        <v>0</v>
      </c>
      <c r="Q585" s="56" cm="1">
        <f t="array" aca="1" ref="Q585" ca="1">IF(L585&lt;=$C$16,0,IF($W$2&gt;=L585,IF(L585&lt;=($P$1+$C$16),INDIRECT("N"&amp;(L585-$C$16)+5),FV(SRate,L585-$P$1-$C$16,0,-$W$1,1)),0))</f>
        <v>0</v>
      </c>
      <c r="R585" s="56">
        <f t="shared" ca="1" si="69"/>
        <v>0</v>
      </c>
      <c r="S585" s="19">
        <f t="shared" si="71"/>
        <v>0</v>
      </c>
      <c r="T585" s="36" t="str" cm="1">
        <f t="array" aca="1" ref="T585" ca="1">IF(L585&lt;=$P$1,K585,IF(L585&lt;=($P$1+1),INDIRECT("K"&amp;5+$W$2),""))</f>
        <v/>
      </c>
      <c r="U585" s="38">
        <f t="shared" si="72"/>
        <v>49</v>
      </c>
    </row>
    <row r="586" spans="11:21" hidden="1" x14ac:dyDescent="0.25">
      <c r="K586" s="36">
        <f t="shared" ca="1" si="74"/>
        <v>63898</v>
      </c>
      <c r="L586" s="19">
        <v>581</v>
      </c>
      <c r="M586" s="19">
        <f t="shared" si="73"/>
        <v>0</v>
      </c>
      <c r="N586" s="37">
        <f t="shared" si="70"/>
        <v>0</v>
      </c>
      <c r="O586" s="37">
        <f t="shared" si="68"/>
        <v>0</v>
      </c>
      <c r="P586" s="55" cm="1">
        <f t="array" aca="1" ref="P586" ca="1">IF((L586-$C$16)&gt;0, IF($P$1+$C$16&gt;=L586,INDIRECT("M"&amp;(L586-$C$16)+5),0),0)</f>
        <v>0</v>
      </c>
      <c r="Q586" s="56" cm="1">
        <f t="array" aca="1" ref="Q586" ca="1">IF(L586&lt;=$C$16,0,IF($W$2&gt;=L586,IF(L586&lt;=($P$1+$C$16),INDIRECT("N"&amp;(L586-$C$16)+5),FV(SRate,L586-$P$1-$C$16,0,-$W$1,1)),0))</f>
        <v>0</v>
      </c>
      <c r="R586" s="56">
        <f t="shared" ca="1" si="69"/>
        <v>0</v>
      </c>
      <c r="S586" s="19">
        <f t="shared" si="71"/>
        <v>0</v>
      </c>
      <c r="T586" s="36" t="str" cm="1">
        <f t="array" aca="1" ref="T586" ca="1">IF(L586&lt;=$P$1,K586,IF(L586&lt;=($P$1+1),INDIRECT("K"&amp;5+$W$2),""))</f>
        <v/>
      </c>
      <c r="U586" s="38">
        <f t="shared" si="72"/>
        <v>49</v>
      </c>
    </row>
    <row r="587" spans="11:21" hidden="1" x14ac:dyDescent="0.25">
      <c r="K587" s="36">
        <f t="shared" ca="1" si="74"/>
        <v>63929</v>
      </c>
      <c r="L587" s="19">
        <v>582</v>
      </c>
      <c r="M587" s="19">
        <f t="shared" si="73"/>
        <v>0</v>
      </c>
      <c r="N587" s="37">
        <f t="shared" si="70"/>
        <v>0</v>
      </c>
      <c r="O587" s="37">
        <f t="shared" si="68"/>
        <v>0</v>
      </c>
      <c r="P587" s="55" cm="1">
        <f t="array" aca="1" ref="P587" ca="1">IF((L587-$C$16)&gt;0, IF($P$1+$C$16&gt;=L587,INDIRECT("M"&amp;(L587-$C$16)+5),0),0)</f>
        <v>0</v>
      </c>
      <c r="Q587" s="56" cm="1">
        <f t="array" aca="1" ref="Q587" ca="1">IF(L587&lt;=$C$16,0,IF($W$2&gt;=L587,IF(L587&lt;=($P$1+$C$16),INDIRECT("N"&amp;(L587-$C$16)+5),FV(SRate,L587-$P$1-$C$16,0,-$W$1,1)),0))</f>
        <v>0</v>
      </c>
      <c r="R587" s="56">
        <f t="shared" ca="1" si="69"/>
        <v>0</v>
      </c>
      <c r="S587" s="19">
        <f t="shared" si="71"/>
        <v>0</v>
      </c>
      <c r="T587" s="36" t="str" cm="1">
        <f t="array" aca="1" ref="T587" ca="1">IF(L587&lt;=$P$1,K587,IF(L587&lt;=($P$1+1),INDIRECT("K"&amp;5+$W$2),""))</f>
        <v/>
      </c>
      <c r="U587" s="38">
        <f t="shared" si="72"/>
        <v>49</v>
      </c>
    </row>
    <row r="588" spans="11:21" hidden="1" x14ac:dyDescent="0.25">
      <c r="K588" s="36">
        <f t="shared" ca="1" si="74"/>
        <v>63960</v>
      </c>
      <c r="L588" s="19">
        <v>583</v>
      </c>
      <c r="M588" s="19">
        <f t="shared" si="73"/>
        <v>0</v>
      </c>
      <c r="N588" s="37">
        <f t="shared" si="70"/>
        <v>0</v>
      </c>
      <c r="O588" s="37">
        <f t="shared" si="68"/>
        <v>0</v>
      </c>
      <c r="P588" s="55" cm="1">
        <f t="array" aca="1" ref="P588" ca="1">IF((L588-$C$16)&gt;0, IF($P$1+$C$16&gt;=L588,INDIRECT("M"&amp;(L588-$C$16)+5),0),0)</f>
        <v>0</v>
      </c>
      <c r="Q588" s="56" cm="1">
        <f t="array" aca="1" ref="Q588" ca="1">IF(L588&lt;=$C$16,0,IF($W$2&gt;=L588,IF(L588&lt;=($P$1+$C$16),INDIRECT("N"&amp;(L588-$C$16)+5),FV(SRate,L588-$P$1-$C$16,0,-$W$1,1)),0))</f>
        <v>0</v>
      </c>
      <c r="R588" s="56">
        <f t="shared" ca="1" si="69"/>
        <v>0</v>
      </c>
      <c r="S588" s="19">
        <f t="shared" si="71"/>
        <v>0</v>
      </c>
      <c r="T588" s="36" t="str" cm="1">
        <f t="array" aca="1" ref="T588" ca="1">IF(L588&lt;=$P$1,K588,IF(L588&lt;=($P$1+1),INDIRECT("K"&amp;5+$W$2),""))</f>
        <v/>
      </c>
      <c r="U588" s="38">
        <f t="shared" si="72"/>
        <v>49</v>
      </c>
    </row>
    <row r="589" spans="11:21" hidden="1" x14ac:dyDescent="0.25">
      <c r="K589" s="36">
        <f t="shared" ca="1" si="74"/>
        <v>63988</v>
      </c>
      <c r="L589" s="19">
        <v>584</v>
      </c>
      <c r="M589" s="19">
        <f t="shared" si="73"/>
        <v>0</v>
      </c>
      <c r="N589" s="37">
        <f t="shared" si="70"/>
        <v>0</v>
      </c>
      <c r="O589" s="37">
        <f t="shared" si="68"/>
        <v>0</v>
      </c>
      <c r="P589" s="55" cm="1">
        <f t="array" aca="1" ref="P589" ca="1">IF((L589-$C$16)&gt;0, IF($P$1+$C$16&gt;=L589,INDIRECT("M"&amp;(L589-$C$16)+5),0),0)</f>
        <v>0</v>
      </c>
      <c r="Q589" s="56" cm="1">
        <f t="array" aca="1" ref="Q589" ca="1">IF(L589&lt;=$C$16,0,IF($W$2&gt;=L589,IF(L589&lt;=($P$1+$C$16),INDIRECT("N"&amp;(L589-$C$16)+5),FV(SRate,L589-$P$1-$C$16,0,-$W$1,1)),0))</f>
        <v>0</v>
      </c>
      <c r="R589" s="56">
        <f t="shared" ca="1" si="69"/>
        <v>0</v>
      </c>
      <c r="S589" s="19">
        <f t="shared" si="71"/>
        <v>0</v>
      </c>
      <c r="T589" s="36" t="str" cm="1">
        <f t="array" aca="1" ref="T589" ca="1">IF(L589&lt;=$P$1,K589,IF(L589&lt;=($P$1+1),INDIRECT("K"&amp;5+$W$2),""))</f>
        <v/>
      </c>
      <c r="U589" s="38">
        <f t="shared" si="72"/>
        <v>49</v>
      </c>
    </row>
    <row r="590" spans="11:21" hidden="1" x14ac:dyDescent="0.25">
      <c r="K590" s="36">
        <f t="shared" ca="1" si="74"/>
        <v>64019</v>
      </c>
      <c r="L590" s="19">
        <v>585</v>
      </c>
      <c r="M590" s="19">
        <f t="shared" si="73"/>
        <v>0</v>
      </c>
      <c r="N590" s="37">
        <f t="shared" si="70"/>
        <v>0</v>
      </c>
      <c r="O590" s="37">
        <f t="shared" si="68"/>
        <v>0</v>
      </c>
      <c r="P590" s="55" cm="1">
        <f t="array" aca="1" ref="P590" ca="1">IF((L590-$C$16)&gt;0, IF($P$1+$C$16&gt;=L590,INDIRECT("M"&amp;(L590-$C$16)+5),0),0)</f>
        <v>0</v>
      </c>
      <c r="Q590" s="56" cm="1">
        <f t="array" aca="1" ref="Q590" ca="1">IF(L590&lt;=$C$16,0,IF($W$2&gt;=L590,IF(L590&lt;=($P$1+$C$16),INDIRECT("N"&amp;(L590-$C$16)+5),FV(SRate,L590-$P$1-$C$16,0,-$W$1,1)),0))</f>
        <v>0</v>
      </c>
      <c r="R590" s="56">
        <f t="shared" ca="1" si="69"/>
        <v>0</v>
      </c>
      <c r="S590" s="19">
        <f t="shared" si="71"/>
        <v>0</v>
      </c>
      <c r="T590" s="36" t="str" cm="1">
        <f t="array" aca="1" ref="T590" ca="1">IF(L590&lt;=$P$1,K590,IF(L590&lt;=($P$1+1),INDIRECT("K"&amp;5+$W$2),""))</f>
        <v/>
      </c>
      <c r="U590" s="38">
        <f t="shared" si="72"/>
        <v>49</v>
      </c>
    </row>
    <row r="591" spans="11:21" hidden="1" x14ac:dyDescent="0.25">
      <c r="K591" s="36">
        <f t="shared" ca="1" si="74"/>
        <v>64049</v>
      </c>
      <c r="L591" s="19">
        <v>586</v>
      </c>
      <c r="M591" s="19">
        <f t="shared" si="73"/>
        <v>0</v>
      </c>
      <c r="N591" s="37">
        <f t="shared" si="70"/>
        <v>0</v>
      </c>
      <c r="O591" s="37">
        <f t="shared" si="68"/>
        <v>0</v>
      </c>
      <c r="P591" s="55" cm="1">
        <f t="array" aca="1" ref="P591" ca="1">IF((L591-$C$16)&gt;0, IF($P$1+$C$16&gt;=L591,INDIRECT("M"&amp;(L591-$C$16)+5),0),0)</f>
        <v>0</v>
      </c>
      <c r="Q591" s="56" cm="1">
        <f t="array" aca="1" ref="Q591" ca="1">IF(L591&lt;=$C$16,0,IF($W$2&gt;=L591,IF(L591&lt;=($P$1+$C$16),INDIRECT("N"&amp;(L591-$C$16)+5),FV(SRate,L591-$P$1-$C$16,0,-$W$1,1)),0))</f>
        <v>0</v>
      </c>
      <c r="R591" s="56">
        <f t="shared" ca="1" si="69"/>
        <v>0</v>
      </c>
      <c r="S591" s="19">
        <f t="shared" si="71"/>
        <v>0</v>
      </c>
      <c r="T591" s="36" t="str" cm="1">
        <f t="array" aca="1" ref="T591" ca="1">IF(L591&lt;=$P$1,K591,IF(L591&lt;=($P$1+1),INDIRECT("K"&amp;5+$W$2),""))</f>
        <v/>
      </c>
      <c r="U591" s="38">
        <f t="shared" si="72"/>
        <v>49</v>
      </c>
    </row>
    <row r="592" spans="11:21" hidden="1" x14ac:dyDescent="0.25">
      <c r="K592" s="36">
        <f t="shared" ca="1" si="74"/>
        <v>64080</v>
      </c>
      <c r="L592" s="19">
        <v>587</v>
      </c>
      <c r="M592" s="19">
        <f t="shared" si="73"/>
        <v>0</v>
      </c>
      <c r="N592" s="37">
        <f t="shared" si="70"/>
        <v>0</v>
      </c>
      <c r="O592" s="37">
        <f t="shared" si="68"/>
        <v>0</v>
      </c>
      <c r="P592" s="55" cm="1">
        <f t="array" aca="1" ref="P592" ca="1">IF((L592-$C$16)&gt;0, IF($P$1+$C$16&gt;=L592,INDIRECT("M"&amp;(L592-$C$16)+5),0),0)</f>
        <v>0</v>
      </c>
      <c r="Q592" s="56" cm="1">
        <f t="array" aca="1" ref="Q592" ca="1">IF(L592&lt;=$C$16,0,IF($W$2&gt;=L592,IF(L592&lt;=($P$1+$C$16),INDIRECT("N"&amp;(L592-$C$16)+5),FV(SRate,L592-$P$1-$C$16,0,-$W$1,1)),0))</f>
        <v>0</v>
      </c>
      <c r="R592" s="56">
        <f t="shared" ca="1" si="69"/>
        <v>0</v>
      </c>
      <c r="S592" s="19">
        <f t="shared" si="71"/>
        <v>0</v>
      </c>
      <c r="T592" s="36" t="str" cm="1">
        <f t="array" aca="1" ref="T592" ca="1">IF(L592&lt;=$P$1,K592,IF(L592&lt;=($P$1+1),INDIRECT("K"&amp;5+$W$2),""))</f>
        <v/>
      </c>
      <c r="U592" s="38">
        <f t="shared" si="72"/>
        <v>49</v>
      </c>
    </row>
    <row r="593" spans="11:21" hidden="1" x14ac:dyDescent="0.25">
      <c r="K593" s="36">
        <f t="shared" ca="1" si="74"/>
        <v>64110</v>
      </c>
      <c r="L593" s="19">
        <v>588</v>
      </c>
      <c r="M593" s="19">
        <f t="shared" si="73"/>
        <v>0</v>
      </c>
      <c r="N593" s="37">
        <f t="shared" si="70"/>
        <v>0</v>
      </c>
      <c r="O593" s="37">
        <f t="shared" si="68"/>
        <v>0</v>
      </c>
      <c r="P593" s="55" cm="1">
        <f t="array" aca="1" ref="P593" ca="1">IF((L593-$C$16)&gt;0, IF($P$1+$C$16&gt;=L593,INDIRECT("M"&amp;(L593-$C$16)+5),0),0)</f>
        <v>0</v>
      </c>
      <c r="Q593" s="56" cm="1">
        <f t="array" aca="1" ref="Q593" ca="1">IF(L593&lt;=$C$16,0,IF($W$2&gt;=L593,IF(L593&lt;=($P$1+$C$16),INDIRECT("N"&amp;(L593-$C$16)+5),FV(SRate,L593-$P$1-$C$16,0,-$W$1,1)),0))</f>
        <v>0</v>
      </c>
      <c r="R593" s="56">
        <f t="shared" ca="1" si="69"/>
        <v>0</v>
      </c>
      <c r="S593" s="19">
        <f t="shared" si="71"/>
        <v>0</v>
      </c>
      <c r="T593" s="36" t="str" cm="1">
        <f t="array" aca="1" ref="T593" ca="1">IF(L593&lt;=$P$1,K593,IF(L593&lt;=($P$1+1),INDIRECT("K"&amp;5+$W$2),""))</f>
        <v/>
      </c>
      <c r="U593" s="38">
        <f t="shared" si="72"/>
        <v>49</v>
      </c>
    </row>
    <row r="594" spans="11:21" hidden="1" x14ac:dyDescent="0.25">
      <c r="K594" s="36">
        <f t="shared" ca="1" si="74"/>
        <v>64141</v>
      </c>
      <c r="L594" s="19">
        <v>589</v>
      </c>
      <c r="M594" s="19">
        <f t="shared" si="73"/>
        <v>0</v>
      </c>
      <c r="N594" s="37">
        <f t="shared" si="70"/>
        <v>0</v>
      </c>
      <c r="O594" s="37">
        <f t="shared" si="68"/>
        <v>0</v>
      </c>
      <c r="P594" s="55" cm="1">
        <f t="array" aca="1" ref="P594" ca="1">IF((L594-$C$16)&gt;0, IF($P$1+$C$16&gt;=L594,INDIRECT("M"&amp;(L594-$C$16)+5),0),0)</f>
        <v>0</v>
      </c>
      <c r="Q594" s="56" cm="1">
        <f t="array" aca="1" ref="Q594" ca="1">IF(L594&lt;=$C$16,0,IF($W$2&gt;=L594,IF(L594&lt;=($P$1+$C$16),INDIRECT("N"&amp;(L594-$C$16)+5),FV(SRate,L594-$P$1-$C$16,0,-$W$1,1)),0))</f>
        <v>0</v>
      </c>
      <c r="R594" s="56">
        <f t="shared" ca="1" si="69"/>
        <v>0</v>
      </c>
      <c r="S594" s="19">
        <f t="shared" si="71"/>
        <v>0</v>
      </c>
      <c r="T594" s="36" t="str" cm="1">
        <f t="array" aca="1" ref="T594" ca="1">IF(L594&lt;=$P$1,K594,IF(L594&lt;=($P$1+1),INDIRECT("K"&amp;5+$W$2),""))</f>
        <v/>
      </c>
      <c r="U594" s="38">
        <f t="shared" si="72"/>
        <v>50</v>
      </c>
    </row>
    <row r="595" spans="11:21" hidden="1" x14ac:dyDescent="0.25">
      <c r="K595" s="36">
        <f t="shared" ca="1" si="74"/>
        <v>64172</v>
      </c>
      <c r="L595" s="19">
        <v>590</v>
      </c>
      <c r="M595" s="19">
        <f t="shared" si="73"/>
        <v>0</v>
      </c>
      <c r="N595" s="37">
        <f t="shared" si="70"/>
        <v>0</v>
      </c>
      <c r="O595" s="37">
        <f t="shared" si="68"/>
        <v>0</v>
      </c>
      <c r="P595" s="55" cm="1">
        <f t="array" aca="1" ref="P595" ca="1">IF((L595-$C$16)&gt;0, IF($P$1+$C$16&gt;=L595,INDIRECT("M"&amp;(L595-$C$16)+5),0),0)</f>
        <v>0</v>
      </c>
      <c r="Q595" s="56" cm="1">
        <f t="array" aca="1" ref="Q595" ca="1">IF(L595&lt;=$C$16,0,IF($W$2&gt;=L595,IF(L595&lt;=($P$1+$C$16),INDIRECT("N"&amp;(L595-$C$16)+5),FV(SRate,L595-$P$1-$C$16,0,-$W$1,1)),0))</f>
        <v>0</v>
      </c>
      <c r="R595" s="56">
        <f t="shared" ca="1" si="69"/>
        <v>0</v>
      </c>
      <c r="S595" s="19">
        <f t="shared" si="71"/>
        <v>0</v>
      </c>
      <c r="T595" s="36" t="str" cm="1">
        <f t="array" aca="1" ref="T595" ca="1">IF(L595&lt;=$P$1,K595,IF(L595&lt;=($P$1+1),INDIRECT("K"&amp;5+$W$2),""))</f>
        <v/>
      </c>
      <c r="U595" s="38">
        <f t="shared" si="72"/>
        <v>50</v>
      </c>
    </row>
    <row r="596" spans="11:21" hidden="1" x14ac:dyDescent="0.25">
      <c r="K596" s="36">
        <f t="shared" ca="1" si="74"/>
        <v>64202</v>
      </c>
      <c r="L596" s="19">
        <v>591</v>
      </c>
      <c r="M596" s="19">
        <f t="shared" si="73"/>
        <v>0</v>
      </c>
      <c r="N596" s="37">
        <f t="shared" si="70"/>
        <v>0</v>
      </c>
      <c r="O596" s="37">
        <f t="shared" si="68"/>
        <v>0</v>
      </c>
      <c r="P596" s="55" cm="1">
        <f t="array" aca="1" ref="P596" ca="1">IF((L596-$C$16)&gt;0, IF($P$1+$C$16&gt;=L596,INDIRECT("M"&amp;(L596-$C$16)+5),0),0)</f>
        <v>0</v>
      </c>
      <c r="Q596" s="56" cm="1">
        <f t="array" aca="1" ref="Q596" ca="1">IF(L596&lt;=$C$16,0,IF($W$2&gt;=L596,IF(L596&lt;=($P$1+$C$16),INDIRECT("N"&amp;(L596-$C$16)+5),FV(SRate,L596-$P$1-$C$16,0,-$W$1,1)),0))</f>
        <v>0</v>
      </c>
      <c r="R596" s="56">
        <f t="shared" ca="1" si="69"/>
        <v>0</v>
      </c>
      <c r="S596" s="19">
        <f t="shared" si="71"/>
        <v>0</v>
      </c>
      <c r="T596" s="36" t="str" cm="1">
        <f t="array" aca="1" ref="T596" ca="1">IF(L596&lt;=$P$1,K596,IF(L596&lt;=($P$1+1),INDIRECT("K"&amp;5+$W$2),""))</f>
        <v/>
      </c>
      <c r="U596" s="38">
        <f t="shared" si="72"/>
        <v>50</v>
      </c>
    </row>
    <row r="597" spans="11:21" hidden="1" x14ac:dyDescent="0.25">
      <c r="K597" s="36">
        <f t="shared" ca="1" si="74"/>
        <v>64233</v>
      </c>
      <c r="L597" s="19">
        <v>592</v>
      </c>
      <c r="M597" s="19">
        <f t="shared" si="73"/>
        <v>0</v>
      </c>
      <c r="N597" s="37">
        <f t="shared" si="70"/>
        <v>0</v>
      </c>
      <c r="O597" s="37">
        <f t="shared" si="68"/>
        <v>0</v>
      </c>
      <c r="P597" s="55" cm="1">
        <f t="array" aca="1" ref="P597" ca="1">IF((L597-$C$16)&gt;0, IF($P$1+$C$16&gt;=L597,INDIRECT("M"&amp;(L597-$C$16)+5),0),0)</f>
        <v>0</v>
      </c>
      <c r="Q597" s="56" cm="1">
        <f t="array" aca="1" ref="Q597" ca="1">IF(L597&lt;=$C$16,0,IF($W$2&gt;=L597,IF(L597&lt;=($P$1+$C$16),INDIRECT("N"&amp;(L597-$C$16)+5),FV(SRate,L597-$P$1-$C$16,0,-$W$1,1)),0))</f>
        <v>0</v>
      </c>
      <c r="R597" s="56">
        <f t="shared" ca="1" si="69"/>
        <v>0</v>
      </c>
      <c r="S597" s="19">
        <f t="shared" si="71"/>
        <v>0</v>
      </c>
      <c r="T597" s="36" t="str" cm="1">
        <f t="array" aca="1" ref="T597" ca="1">IF(L597&lt;=$P$1,K597,IF(L597&lt;=($P$1+1),INDIRECT("K"&amp;5+$W$2),""))</f>
        <v/>
      </c>
      <c r="U597" s="38">
        <f t="shared" si="72"/>
        <v>50</v>
      </c>
    </row>
    <row r="598" spans="11:21" hidden="1" x14ac:dyDescent="0.25">
      <c r="K598" s="36">
        <f t="shared" ca="1" si="74"/>
        <v>64263</v>
      </c>
      <c r="L598" s="19">
        <v>593</v>
      </c>
      <c r="M598" s="19">
        <f t="shared" si="73"/>
        <v>0</v>
      </c>
      <c r="N598" s="37">
        <f t="shared" si="70"/>
        <v>0</v>
      </c>
      <c r="O598" s="37">
        <f t="shared" si="68"/>
        <v>0</v>
      </c>
      <c r="P598" s="55" cm="1">
        <f t="array" aca="1" ref="P598" ca="1">IF((L598-$C$16)&gt;0, IF($P$1+$C$16&gt;=L598,INDIRECT("M"&amp;(L598-$C$16)+5),0),0)</f>
        <v>0</v>
      </c>
      <c r="Q598" s="56" cm="1">
        <f t="array" aca="1" ref="Q598" ca="1">IF(L598&lt;=$C$16,0,IF($W$2&gt;=L598,IF(L598&lt;=($P$1+$C$16),INDIRECT("N"&amp;(L598-$C$16)+5),FV(SRate,L598-$P$1-$C$16,0,-$W$1,1)),0))</f>
        <v>0</v>
      </c>
      <c r="R598" s="56">
        <f t="shared" ca="1" si="69"/>
        <v>0</v>
      </c>
      <c r="S598" s="19">
        <f t="shared" si="71"/>
        <v>0</v>
      </c>
      <c r="T598" s="36" t="str" cm="1">
        <f t="array" aca="1" ref="T598" ca="1">IF(L598&lt;=$P$1,K598,IF(L598&lt;=($P$1+1),INDIRECT("K"&amp;5+$W$2),""))</f>
        <v/>
      </c>
      <c r="U598" s="38">
        <f t="shared" si="72"/>
        <v>50</v>
      </c>
    </row>
    <row r="599" spans="11:21" hidden="1" x14ac:dyDescent="0.25">
      <c r="K599" s="36">
        <f t="shared" ca="1" si="74"/>
        <v>64294</v>
      </c>
      <c r="L599" s="19">
        <v>594</v>
      </c>
      <c r="M599" s="19">
        <f t="shared" si="73"/>
        <v>0</v>
      </c>
      <c r="N599" s="37">
        <f t="shared" si="70"/>
        <v>0</v>
      </c>
      <c r="O599" s="37">
        <f t="shared" si="68"/>
        <v>0</v>
      </c>
      <c r="P599" s="55" cm="1">
        <f t="array" aca="1" ref="P599" ca="1">IF((L599-$C$16)&gt;0, IF($P$1+$C$16&gt;=L599,INDIRECT("M"&amp;(L599-$C$16)+5),0),0)</f>
        <v>0</v>
      </c>
      <c r="Q599" s="56" cm="1">
        <f t="array" aca="1" ref="Q599" ca="1">IF(L599&lt;=$C$16,0,IF($W$2&gt;=L599,IF(L599&lt;=($P$1+$C$16),INDIRECT("N"&amp;(L599-$C$16)+5),FV(SRate,L599-$P$1-$C$16,0,-$W$1,1)),0))</f>
        <v>0</v>
      </c>
      <c r="R599" s="56">
        <f t="shared" ca="1" si="69"/>
        <v>0</v>
      </c>
      <c r="S599" s="19">
        <f t="shared" si="71"/>
        <v>0</v>
      </c>
      <c r="T599" s="36" t="str" cm="1">
        <f t="array" aca="1" ref="T599" ca="1">IF(L599&lt;=$P$1,K599,IF(L599&lt;=($P$1+1),INDIRECT("K"&amp;5+$W$2),""))</f>
        <v/>
      </c>
      <c r="U599" s="38">
        <f t="shared" si="72"/>
        <v>50</v>
      </c>
    </row>
    <row r="600" spans="11:21" hidden="1" x14ac:dyDescent="0.25">
      <c r="K600" s="36">
        <f t="shared" ca="1" si="74"/>
        <v>64325</v>
      </c>
      <c r="L600" s="19">
        <v>595</v>
      </c>
      <c r="M600" s="19">
        <f t="shared" si="73"/>
        <v>0</v>
      </c>
      <c r="N600" s="37">
        <f t="shared" si="70"/>
        <v>0</v>
      </c>
      <c r="O600" s="37">
        <f t="shared" si="68"/>
        <v>0</v>
      </c>
      <c r="P600" s="55" cm="1">
        <f t="array" aca="1" ref="P600" ca="1">IF((L600-$C$16)&gt;0, IF($P$1+$C$16&gt;=L600,INDIRECT("M"&amp;(L600-$C$16)+5),0),0)</f>
        <v>0</v>
      </c>
      <c r="Q600" s="56" cm="1">
        <f t="array" aca="1" ref="Q600" ca="1">IF(L600&lt;=$C$16,0,IF($W$2&gt;=L600,IF(L600&lt;=($P$1+$C$16),INDIRECT("N"&amp;(L600-$C$16)+5),FV(SRate,L600-$P$1-$C$16,0,-$W$1,1)),0))</f>
        <v>0</v>
      </c>
      <c r="R600" s="56">
        <f t="shared" ca="1" si="69"/>
        <v>0</v>
      </c>
      <c r="S600" s="19">
        <f t="shared" si="71"/>
        <v>0</v>
      </c>
      <c r="T600" s="36" t="str" cm="1">
        <f t="array" aca="1" ref="T600" ca="1">IF(L600&lt;=$P$1,K600,IF(L600&lt;=($P$1+1),INDIRECT("K"&amp;5+$W$2),""))</f>
        <v/>
      </c>
      <c r="U600" s="38">
        <f t="shared" si="72"/>
        <v>50</v>
      </c>
    </row>
    <row r="601" spans="11:21" hidden="1" x14ac:dyDescent="0.25">
      <c r="K601" s="36">
        <f t="shared" ca="1" si="74"/>
        <v>64354</v>
      </c>
      <c r="L601" s="19">
        <v>596</v>
      </c>
      <c r="M601" s="19">
        <f t="shared" si="73"/>
        <v>0</v>
      </c>
      <c r="N601" s="37">
        <f t="shared" si="70"/>
        <v>0</v>
      </c>
      <c r="O601" s="37">
        <f t="shared" si="68"/>
        <v>0</v>
      </c>
      <c r="P601" s="55" cm="1">
        <f t="array" aca="1" ref="P601" ca="1">IF((L601-$C$16)&gt;0, IF($P$1+$C$16&gt;=L601,INDIRECT("M"&amp;(L601-$C$16)+5),0),0)</f>
        <v>0</v>
      </c>
      <c r="Q601" s="56" cm="1">
        <f t="array" aca="1" ref="Q601" ca="1">IF(L601&lt;=$C$16,0,IF($W$2&gt;=L601,IF(L601&lt;=($P$1+$C$16),INDIRECT("N"&amp;(L601-$C$16)+5),FV(SRate,L601-$P$1-$C$16,0,-$W$1,1)),0))</f>
        <v>0</v>
      </c>
      <c r="R601" s="56">
        <f t="shared" ca="1" si="69"/>
        <v>0</v>
      </c>
      <c r="S601" s="19">
        <f t="shared" si="71"/>
        <v>0</v>
      </c>
      <c r="T601" s="36" t="str" cm="1">
        <f t="array" aca="1" ref="T601" ca="1">IF(L601&lt;=$P$1,K601,IF(L601&lt;=($P$1+1),INDIRECT("K"&amp;5+$W$2),""))</f>
        <v/>
      </c>
      <c r="U601" s="38">
        <f t="shared" si="72"/>
        <v>50</v>
      </c>
    </row>
    <row r="602" spans="11:21" hidden="1" x14ac:dyDescent="0.25">
      <c r="K602" s="36">
        <f t="shared" ca="1" si="74"/>
        <v>64385</v>
      </c>
      <c r="L602" s="19">
        <v>597</v>
      </c>
      <c r="M602" s="19">
        <f t="shared" si="73"/>
        <v>0</v>
      </c>
      <c r="N602" s="37">
        <f t="shared" si="70"/>
        <v>0</v>
      </c>
      <c r="O602" s="37">
        <f t="shared" si="68"/>
        <v>0</v>
      </c>
      <c r="P602" s="55" cm="1">
        <f t="array" aca="1" ref="P602" ca="1">IF((L602-$C$16)&gt;0, IF($P$1+$C$16&gt;=L602,INDIRECT("M"&amp;(L602-$C$16)+5),0),0)</f>
        <v>0</v>
      </c>
      <c r="Q602" s="56" cm="1">
        <f t="array" aca="1" ref="Q602" ca="1">IF(L602&lt;=$C$16,0,IF($W$2&gt;=L602,IF(L602&lt;=($P$1+$C$16),INDIRECT("N"&amp;(L602-$C$16)+5),FV(SRate,L602-$P$1-$C$16,0,-$W$1,1)),0))</f>
        <v>0</v>
      </c>
      <c r="R602" s="56">
        <f t="shared" ca="1" si="69"/>
        <v>0</v>
      </c>
      <c r="S602" s="19">
        <f t="shared" si="71"/>
        <v>0</v>
      </c>
      <c r="T602" s="36" t="str" cm="1">
        <f t="array" aca="1" ref="T602" ca="1">IF(L602&lt;=$P$1,K602,IF(L602&lt;=($P$1+1),INDIRECT("K"&amp;5+$W$2),""))</f>
        <v/>
      </c>
      <c r="U602" s="38">
        <f t="shared" si="72"/>
        <v>50</v>
      </c>
    </row>
    <row r="603" spans="11:21" hidden="1" x14ac:dyDescent="0.25">
      <c r="K603" s="36">
        <f t="shared" ca="1" si="74"/>
        <v>64415</v>
      </c>
      <c r="L603" s="19">
        <v>598</v>
      </c>
      <c r="M603" s="19">
        <f t="shared" si="73"/>
        <v>0</v>
      </c>
      <c r="N603" s="37">
        <f t="shared" si="70"/>
        <v>0</v>
      </c>
      <c r="O603" s="37">
        <f t="shared" si="68"/>
        <v>0</v>
      </c>
      <c r="P603" s="55" cm="1">
        <f t="array" aca="1" ref="P603" ca="1">IF((L603-$C$16)&gt;0, IF($P$1+$C$16&gt;=L603,INDIRECT("M"&amp;(L603-$C$16)+5),0),0)</f>
        <v>0</v>
      </c>
      <c r="Q603" s="56" cm="1">
        <f t="array" aca="1" ref="Q603" ca="1">IF(L603&lt;=$C$16,0,IF($W$2&gt;=L603,IF(L603&lt;=($P$1+$C$16),INDIRECT("N"&amp;(L603-$C$16)+5),FV(SRate,L603-$P$1-$C$16,0,-$W$1,1)),0))</f>
        <v>0</v>
      </c>
      <c r="R603" s="56">
        <f t="shared" ca="1" si="69"/>
        <v>0</v>
      </c>
      <c r="S603" s="19">
        <f t="shared" si="71"/>
        <v>0</v>
      </c>
      <c r="T603" s="36" t="str" cm="1">
        <f t="array" aca="1" ref="T603" ca="1">IF(L603&lt;=$P$1,K603,IF(L603&lt;=($P$1+1),INDIRECT("K"&amp;5+$W$2),""))</f>
        <v/>
      </c>
      <c r="U603" s="38">
        <f t="shared" si="72"/>
        <v>50</v>
      </c>
    </row>
    <row r="604" spans="11:21" hidden="1" x14ac:dyDescent="0.25">
      <c r="K604" s="36">
        <f t="shared" ca="1" si="74"/>
        <v>64446</v>
      </c>
      <c r="L604" s="19">
        <v>599</v>
      </c>
      <c r="M604" s="19">
        <f t="shared" si="73"/>
        <v>0</v>
      </c>
      <c r="N604" s="37">
        <f t="shared" si="70"/>
        <v>0</v>
      </c>
      <c r="O604" s="37">
        <f t="shared" si="68"/>
        <v>0</v>
      </c>
      <c r="P604" s="55" cm="1">
        <f t="array" aca="1" ref="P604" ca="1">IF((L604-$C$16)&gt;0, IF($P$1+$C$16&gt;=L604,INDIRECT("M"&amp;(L604-$C$16)+5),0),0)</f>
        <v>0</v>
      </c>
      <c r="Q604" s="56" cm="1">
        <f t="array" aca="1" ref="Q604" ca="1">IF(L604&lt;=$C$16,0,IF($W$2&gt;=L604,IF(L604&lt;=($P$1+$C$16),INDIRECT("N"&amp;(L604-$C$16)+5),FV(SRate,L604-$P$1-$C$16,0,-$W$1,1)),0))</f>
        <v>0</v>
      </c>
      <c r="R604" s="56">
        <f t="shared" ca="1" si="69"/>
        <v>0</v>
      </c>
      <c r="S604" s="19">
        <f t="shared" si="71"/>
        <v>0</v>
      </c>
      <c r="T604" s="36" t="str" cm="1">
        <f t="array" aca="1" ref="T604" ca="1">IF(L604&lt;=$P$1,K604,IF(L604&lt;=($P$1+1),INDIRECT("K"&amp;5+$W$2),""))</f>
        <v/>
      </c>
      <c r="U604" s="38">
        <f t="shared" si="72"/>
        <v>50</v>
      </c>
    </row>
    <row r="605" spans="11:21" hidden="1" x14ac:dyDescent="0.25">
      <c r="K605" s="36">
        <f t="shared" ca="1" si="74"/>
        <v>64476</v>
      </c>
      <c r="L605" s="19">
        <v>600</v>
      </c>
      <c r="M605" s="19">
        <f t="shared" si="73"/>
        <v>0</v>
      </c>
      <c r="N605" s="37">
        <f t="shared" si="70"/>
        <v>0</v>
      </c>
      <c r="O605" s="37">
        <f t="shared" si="68"/>
        <v>0</v>
      </c>
      <c r="P605" s="55" cm="1">
        <f t="array" aca="1" ref="P605" ca="1">IF((L605-$C$16)&gt;0, IF($P$1+$C$16&gt;=L605,INDIRECT("M"&amp;(L605-$C$16)+5),0),0)</f>
        <v>0</v>
      </c>
      <c r="Q605" s="56" cm="1">
        <f t="array" aca="1" ref="Q605" ca="1">IF(L605&lt;=$C$16,0,IF($W$2&gt;=L605,IF(L605&lt;=($P$1+$C$16),INDIRECT("N"&amp;(L605-$C$16)+5),FV(SRate,L605-$P$1-$C$16,0,-$W$1,1)),0))</f>
        <v>0</v>
      </c>
      <c r="R605" s="56">
        <f t="shared" ca="1" si="69"/>
        <v>0</v>
      </c>
      <c r="S605" s="19">
        <f t="shared" si="71"/>
        <v>0</v>
      </c>
      <c r="T605" s="36" t="str" cm="1">
        <f t="array" aca="1" ref="T605" ca="1">IF(L605&lt;=$P$1,K605,IF(L605&lt;=($P$1+1),INDIRECT("K"&amp;5+$W$2),""))</f>
        <v/>
      </c>
      <c r="U605" s="38">
        <f t="shared" si="72"/>
        <v>50</v>
      </c>
    </row>
    <row r="606" spans="11:21" hidden="1" x14ac:dyDescent="0.25">
      <c r="K606" s="36">
        <f t="shared" ca="1" si="74"/>
        <v>64507</v>
      </c>
      <c r="L606" s="19">
        <v>601</v>
      </c>
      <c r="M606" s="19">
        <f t="shared" si="73"/>
        <v>0</v>
      </c>
      <c r="N606" s="37">
        <f t="shared" si="70"/>
        <v>0</v>
      </c>
      <c r="O606" s="37">
        <f t="shared" si="68"/>
        <v>0</v>
      </c>
      <c r="P606" s="55" cm="1">
        <f t="array" aca="1" ref="P606" ca="1">IF((L606-$C$16)&gt;0, IF($P$1+$C$16&gt;=L606,INDIRECT("M"&amp;(L606-$C$16)+5),0),0)</f>
        <v>0</v>
      </c>
      <c r="Q606" s="56" cm="1">
        <f t="array" aca="1" ref="Q606" ca="1">IF(L606&lt;=$C$16,0,IF($W$2&gt;=L606,IF(L606&lt;=($P$1+$C$16),INDIRECT("N"&amp;(L606-$C$16)+5),FV(SRate,L606-$P$1-$C$16,0,-$W$1,1)),0))</f>
        <v>0</v>
      </c>
      <c r="R606" s="56">
        <f t="shared" ca="1" si="69"/>
        <v>0</v>
      </c>
      <c r="S606" s="19">
        <f t="shared" si="71"/>
        <v>0</v>
      </c>
      <c r="T606" s="36" t="str" cm="1">
        <f t="array" aca="1" ref="T606" ca="1">IF(L606&lt;=$P$1,K606,IF(L606&lt;=($P$1+1),INDIRECT("K"&amp;5+$W$2),""))</f>
        <v/>
      </c>
      <c r="U606" s="38">
        <f t="shared" si="72"/>
        <v>51</v>
      </c>
    </row>
    <row r="607" spans="11:21" hidden="1" x14ac:dyDescent="0.25">
      <c r="K607" s="36">
        <f t="shared" ca="1" si="74"/>
        <v>64538</v>
      </c>
      <c r="L607" s="19">
        <v>602</v>
      </c>
      <c r="M607" s="19">
        <f t="shared" si="73"/>
        <v>0</v>
      </c>
      <c r="N607" s="37">
        <f t="shared" si="70"/>
        <v>0</v>
      </c>
      <c r="O607" s="37">
        <f t="shared" si="68"/>
        <v>0</v>
      </c>
      <c r="P607" s="55" cm="1">
        <f t="array" aca="1" ref="P607" ca="1">IF((L607-$C$16)&gt;0, IF($P$1+$C$16&gt;=L607,INDIRECT("M"&amp;(L607-$C$16)+5),0),0)</f>
        <v>0</v>
      </c>
      <c r="Q607" s="56" cm="1">
        <f t="array" aca="1" ref="Q607" ca="1">IF(L607&lt;=$C$16,0,IF($W$2&gt;=L607,IF(L607&lt;=($P$1+$C$16),INDIRECT("N"&amp;(L607-$C$16)+5),FV(SRate,L607-$P$1-$C$16,0,-$W$1,1)),0))</f>
        <v>0</v>
      </c>
      <c r="R607" s="56">
        <f t="shared" ca="1" si="69"/>
        <v>0</v>
      </c>
      <c r="S607" s="19">
        <f t="shared" si="71"/>
        <v>0</v>
      </c>
      <c r="T607" s="36" t="str" cm="1">
        <f t="array" aca="1" ref="T607" ca="1">IF(L607&lt;=$P$1,K607,IF(L607&lt;=($P$1+1),INDIRECT("K"&amp;5+$W$2),""))</f>
        <v/>
      </c>
      <c r="U607" s="38">
        <f t="shared" si="72"/>
        <v>51</v>
      </c>
    </row>
    <row r="608" spans="11:21" hidden="1" x14ac:dyDescent="0.25">
      <c r="K608" s="36">
        <f t="shared" ca="1" si="74"/>
        <v>64568</v>
      </c>
      <c r="L608" s="19">
        <v>603</v>
      </c>
      <c r="M608" s="19">
        <f t="shared" si="73"/>
        <v>0</v>
      </c>
      <c r="N608" s="37">
        <f t="shared" si="70"/>
        <v>0</v>
      </c>
      <c r="O608" s="37">
        <f t="shared" si="68"/>
        <v>0</v>
      </c>
      <c r="P608" s="55" cm="1">
        <f t="array" aca="1" ref="P608" ca="1">IF((L608-$C$16)&gt;0, IF($P$1+$C$16&gt;=L608,INDIRECT("M"&amp;(L608-$C$16)+5),0),0)</f>
        <v>0</v>
      </c>
      <c r="Q608" s="56" cm="1">
        <f t="array" aca="1" ref="Q608" ca="1">IF(L608&lt;=$C$16,0,IF($W$2&gt;=L608,IF(L608&lt;=($P$1+$C$16),INDIRECT("N"&amp;(L608-$C$16)+5),FV(SRate,L608-$P$1-$C$16,0,-$W$1,1)),0))</f>
        <v>0</v>
      </c>
      <c r="R608" s="56">
        <f t="shared" ca="1" si="69"/>
        <v>0</v>
      </c>
      <c r="S608" s="19">
        <f t="shared" si="71"/>
        <v>0</v>
      </c>
      <c r="T608" s="36" t="str" cm="1">
        <f t="array" aca="1" ref="T608" ca="1">IF(L608&lt;=$P$1,K608,IF(L608&lt;=($P$1+1),INDIRECT("K"&amp;5+$W$2),""))</f>
        <v/>
      </c>
      <c r="U608" s="38">
        <f t="shared" si="72"/>
        <v>51</v>
      </c>
    </row>
    <row r="609" spans="11:21" hidden="1" x14ac:dyDescent="0.25">
      <c r="K609" s="36">
        <f t="shared" ca="1" si="74"/>
        <v>64599</v>
      </c>
      <c r="L609" s="19">
        <v>604</v>
      </c>
      <c r="M609" s="19">
        <f t="shared" si="73"/>
        <v>0</v>
      </c>
      <c r="N609" s="37">
        <f t="shared" si="70"/>
        <v>0</v>
      </c>
      <c r="O609" s="37">
        <f t="shared" si="68"/>
        <v>0</v>
      </c>
      <c r="P609" s="55" cm="1">
        <f t="array" aca="1" ref="P609" ca="1">IF((L609-$C$16)&gt;0, IF($P$1+$C$16&gt;=L609,INDIRECT("M"&amp;(L609-$C$16)+5),0),0)</f>
        <v>0</v>
      </c>
      <c r="Q609" s="56" cm="1">
        <f t="array" aca="1" ref="Q609" ca="1">IF(L609&lt;=$C$16,0,IF($W$2&gt;=L609,IF(L609&lt;=($P$1+$C$16),INDIRECT("N"&amp;(L609-$C$16)+5),FV(SRate,L609-$P$1-$C$16,0,-$W$1,1)),0))</f>
        <v>0</v>
      </c>
      <c r="R609" s="56">
        <f t="shared" ca="1" si="69"/>
        <v>0</v>
      </c>
      <c r="S609" s="19">
        <f t="shared" si="71"/>
        <v>0</v>
      </c>
      <c r="T609" s="36" t="str" cm="1">
        <f t="array" aca="1" ref="T609" ca="1">IF(L609&lt;=$P$1,K609,IF(L609&lt;=($P$1+1),INDIRECT("K"&amp;5+$W$2),""))</f>
        <v/>
      </c>
      <c r="U609" s="38">
        <f t="shared" si="72"/>
        <v>51</v>
      </c>
    </row>
    <row r="610" spans="11:21" hidden="1" x14ac:dyDescent="0.25">
      <c r="K610" s="36">
        <f t="shared" ca="1" si="74"/>
        <v>64629</v>
      </c>
      <c r="L610" s="19">
        <v>605</v>
      </c>
      <c r="M610" s="19">
        <f t="shared" si="73"/>
        <v>0</v>
      </c>
      <c r="N610" s="37">
        <f t="shared" si="70"/>
        <v>0</v>
      </c>
      <c r="O610" s="37">
        <f t="shared" si="68"/>
        <v>0</v>
      </c>
      <c r="P610" s="55" cm="1">
        <f t="array" aca="1" ref="P610" ca="1">IF((L610-$C$16)&gt;0, IF($P$1+$C$16&gt;=L610,INDIRECT("M"&amp;(L610-$C$16)+5),0),0)</f>
        <v>0</v>
      </c>
      <c r="Q610" s="56" cm="1">
        <f t="array" aca="1" ref="Q610" ca="1">IF(L610&lt;=$C$16,0,IF($W$2&gt;=L610,IF(L610&lt;=($P$1+$C$16),INDIRECT("N"&amp;(L610-$C$16)+5),FV(SRate,L610-$P$1-$C$16,0,-$W$1,1)),0))</f>
        <v>0</v>
      </c>
      <c r="R610" s="56">
        <f t="shared" ca="1" si="69"/>
        <v>0</v>
      </c>
      <c r="S610" s="19">
        <f t="shared" si="71"/>
        <v>0</v>
      </c>
      <c r="T610" s="36" t="str" cm="1">
        <f t="array" aca="1" ref="T610" ca="1">IF(L610&lt;=$P$1,K610,IF(L610&lt;=($P$1+1),INDIRECT("K"&amp;5+$W$2),""))</f>
        <v/>
      </c>
      <c r="U610" s="38">
        <f t="shared" si="72"/>
        <v>51</v>
      </c>
    </row>
    <row r="611" spans="11:21" hidden="1" x14ac:dyDescent="0.25">
      <c r="K611" s="36">
        <f t="shared" ca="1" si="74"/>
        <v>64660</v>
      </c>
      <c r="L611" s="19">
        <v>606</v>
      </c>
      <c r="M611" s="19">
        <f t="shared" si="73"/>
        <v>0</v>
      </c>
      <c r="N611" s="37">
        <f t="shared" si="70"/>
        <v>0</v>
      </c>
      <c r="O611" s="37">
        <f t="shared" si="68"/>
        <v>0</v>
      </c>
      <c r="P611" s="55" cm="1">
        <f t="array" aca="1" ref="P611" ca="1">IF((L611-$C$16)&gt;0, IF($P$1+$C$16&gt;=L611,INDIRECT("M"&amp;(L611-$C$16)+5),0),0)</f>
        <v>0</v>
      </c>
      <c r="Q611" s="56" cm="1">
        <f t="array" aca="1" ref="Q611" ca="1">IF(L611&lt;=$C$16,0,IF($W$2&gt;=L611,IF(L611&lt;=($P$1+$C$16),INDIRECT("N"&amp;(L611-$C$16)+5),FV(SRate,L611-$P$1-$C$16,0,-$W$1,1)),0))</f>
        <v>0</v>
      </c>
      <c r="R611" s="56">
        <f t="shared" ca="1" si="69"/>
        <v>0</v>
      </c>
      <c r="S611" s="19">
        <f t="shared" si="71"/>
        <v>0</v>
      </c>
      <c r="T611" s="36" t="str" cm="1">
        <f t="array" aca="1" ref="T611" ca="1">IF(L611&lt;=$P$1,K611,IF(L611&lt;=($P$1+1),INDIRECT("K"&amp;5+$W$2),""))</f>
        <v/>
      </c>
      <c r="U611" s="38">
        <f t="shared" si="72"/>
        <v>51</v>
      </c>
    </row>
    <row r="612" spans="11:21" hidden="1" x14ac:dyDescent="0.25">
      <c r="K612" s="36">
        <f t="shared" ca="1" si="74"/>
        <v>64691</v>
      </c>
      <c r="L612" s="19">
        <v>607</v>
      </c>
      <c r="M612" s="19">
        <f t="shared" si="73"/>
        <v>0</v>
      </c>
      <c r="N612" s="37">
        <f t="shared" si="70"/>
        <v>0</v>
      </c>
      <c r="O612" s="37">
        <f t="shared" si="68"/>
        <v>0</v>
      </c>
      <c r="P612" s="55" cm="1">
        <f t="array" aca="1" ref="P612" ca="1">IF((L612-$C$16)&gt;0, IF($P$1+$C$16&gt;=L612,INDIRECT("M"&amp;(L612-$C$16)+5),0),0)</f>
        <v>0</v>
      </c>
      <c r="Q612" s="56" cm="1">
        <f t="array" aca="1" ref="Q612" ca="1">IF(L612&lt;=$C$16,0,IF($W$2&gt;=L612,IF(L612&lt;=($P$1+$C$16),INDIRECT("N"&amp;(L612-$C$16)+5),FV(SRate,L612-$P$1-$C$16,0,-$W$1,1)),0))</f>
        <v>0</v>
      </c>
      <c r="R612" s="56">
        <f t="shared" ca="1" si="69"/>
        <v>0</v>
      </c>
      <c r="S612" s="19">
        <f t="shared" si="71"/>
        <v>0</v>
      </c>
      <c r="T612" s="36" t="str" cm="1">
        <f t="array" aca="1" ref="T612" ca="1">IF(L612&lt;=$P$1,K612,IF(L612&lt;=($P$1+1),INDIRECT("K"&amp;5+$W$2),""))</f>
        <v/>
      </c>
      <c r="U612" s="38">
        <f t="shared" si="72"/>
        <v>51</v>
      </c>
    </row>
    <row r="613" spans="11:21" hidden="1" x14ac:dyDescent="0.25">
      <c r="K613" s="36">
        <f t="shared" ca="1" si="74"/>
        <v>64719</v>
      </c>
      <c r="L613" s="19">
        <v>608</v>
      </c>
      <c r="M613" s="19">
        <f t="shared" si="73"/>
        <v>0</v>
      </c>
      <c r="N613" s="37">
        <f t="shared" si="70"/>
        <v>0</v>
      </c>
      <c r="O613" s="37">
        <f t="shared" si="68"/>
        <v>0</v>
      </c>
      <c r="P613" s="55" cm="1">
        <f t="array" aca="1" ref="P613" ca="1">IF((L613-$C$16)&gt;0, IF($P$1+$C$16&gt;=L613,INDIRECT("M"&amp;(L613-$C$16)+5),0),0)</f>
        <v>0</v>
      </c>
      <c r="Q613" s="56" cm="1">
        <f t="array" aca="1" ref="Q613" ca="1">IF(L613&lt;=$C$16,0,IF($W$2&gt;=L613,IF(L613&lt;=($P$1+$C$16),INDIRECT("N"&amp;(L613-$C$16)+5),FV(SRate,L613-$P$1-$C$16,0,-$W$1,1)),0))</f>
        <v>0</v>
      </c>
      <c r="R613" s="56">
        <f t="shared" ca="1" si="69"/>
        <v>0</v>
      </c>
      <c r="S613" s="19">
        <f t="shared" si="71"/>
        <v>0</v>
      </c>
      <c r="T613" s="36" t="str" cm="1">
        <f t="array" aca="1" ref="T613" ca="1">IF(L613&lt;=$P$1,K613,IF(L613&lt;=($P$1+1),INDIRECT("K"&amp;5+$W$2),""))</f>
        <v/>
      </c>
      <c r="U613" s="38">
        <f t="shared" si="72"/>
        <v>51</v>
      </c>
    </row>
    <row r="614" spans="11:21" hidden="1" x14ac:dyDescent="0.25">
      <c r="K614" s="36">
        <f t="shared" ca="1" si="74"/>
        <v>64750</v>
      </c>
      <c r="L614" s="19">
        <v>609</v>
      </c>
      <c r="M614" s="19">
        <f t="shared" si="73"/>
        <v>0</v>
      </c>
      <c r="N614" s="37">
        <f t="shared" si="70"/>
        <v>0</v>
      </c>
      <c r="O614" s="37">
        <f t="shared" ref="O614:O677" si="75">N614/((1+SIPInflationRate)^(L614/12))</f>
        <v>0</v>
      </c>
      <c r="P614" s="55" cm="1">
        <f t="array" aca="1" ref="P614" ca="1">IF((L614-$C$16)&gt;0, IF($P$1+$C$16&gt;=L614,INDIRECT("M"&amp;(L614-$C$16)+5),0),0)</f>
        <v>0</v>
      </c>
      <c r="Q614" s="56" cm="1">
        <f t="array" aca="1" ref="Q614" ca="1">IF(L614&lt;=$C$16,0,IF($W$2&gt;=L614,IF(L614&lt;=($P$1+$C$16),INDIRECT("N"&amp;(L614-$C$16)+5),FV(SRate,L614-$P$1-$C$16,0,-$W$1,1)),0))</f>
        <v>0</v>
      </c>
      <c r="R614" s="56">
        <f t="shared" ca="1" si="69"/>
        <v>0</v>
      </c>
      <c r="S614" s="19">
        <f t="shared" si="71"/>
        <v>0</v>
      </c>
      <c r="T614" s="36" t="str" cm="1">
        <f t="array" aca="1" ref="T614" ca="1">IF(L614&lt;=$P$1,K614,IF(L614&lt;=($P$1+1),INDIRECT("K"&amp;5+$W$2),""))</f>
        <v/>
      </c>
      <c r="U614" s="38">
        <f t="shared" si="72"/>
        <v>51</v>
      </c>
    </row>
    <row r="615" spans="11:21" hidden="1" x14ac:dyDescent="0.25">
      <c r="K615" s="36">
        <f t="shared" ca="1" si="74"/>
        <v>64780</v>
      </c>
      <c r="L615" s="19">
        <v>610</v>
      </c>
      <c r="M615" s="19">
        <f t="shared" si="73"/>
        <v>0</v>
      </c>
      <c r="N615" s="37">
        <f t="shared" si="70"/>
        <v>0</v>
      </c>
      <c r="O615" s="37">
        <f t="shared" si="75"/>
        <v>0</v>
      </c>
      <c r="P615" s="55" cm="1">
        <f t="array" aca="1" ref="P615" ca="1">IF((L615-$C$16)&gt;0, IF($P$1+$C$16&gt;=L615,INDIRECT("M"&amp;(L615-$C$16)+5),0),0)</f>
        <v>0</v>
      </c>
      <c r="Q615" s="56" cm="1">
        <f t="array" aca="1" ref="Q615" ca="1">IF(L615&lt;=$C$16,0,IF($W$2&gt;=L615,IF(L615&lt;=($P$1+$C$16),INDIRECT("N"&amp;(L615-$C$16)+5),FV(SRate,L615-$P$1-$C$16,0,-$W$1,1)),0))</f>
        <v>0</v>
      </c>
      <c r="R615" s="56">
        <f t="shared" ca="1" si="69"/>
        <v>0</v>
      </c>
      <c r="S615" s="19">
        <f t="shared" si="71"/>
        <v>0</v>
      </c>
      <c r="T615" s="36" t="str" cm="1">
        <f t="array" aca="1" ref="T615" ca="1">IF(L615&lt;=$P$1,K615,IF(L615&lt;=($P$1+1),INDIRECT("K"&amp;5+$W$2),""))</f>
        <v/>
      </c>
      <c r="U615" s="38">
        <f t="shared" si="72"/>
        <v>51</v>
      </c>
    </row>
    <row r="616" spans="11:21" hidden="1" x14ac:dyDescent="0.25">
      <c r="K616" s="36">
        <f t="shared" ca="1" si="74"/>
        <v>64811</v>
      </c>
      <c r="L616" s="19">
        <v>611</v>
      </c>
      <c r="M616" s="19">
        <f t="shared" si="73"/>
        <v>0</v>
      </c>
      <c r="N616" s="37">
        <f t="shared" si="70"/>
        <v>0</v>
      </c>
      <c r="O616" s="37">
        <f t="shared" si="75"/>
        <v>0</v>
      </c>
      <c r="P616" s="55" cm="1">
        <f t="array" aca="1" ref="P616" ca="1">IF((L616-$C$16)&gt;0, IF($P$1+$C$16&gt;=L616,INDIRECT("M"&amp;(L616-$C$16)+5),0),0)</f>
        <v>0</v>
      </c>
      <c r="Q616" s="56" cm="1">
        <f t="array" aca="1" ref="Q616" ca="1">IF(L616&lt;=$C$16,0,IF($W$2&gt;=L616,IF(L616&lt;=($P$1+$C$16),INDIRECT("N"&amp;(L616-$C$16)+5),FV(SRate,L616-$P$1-$C$16,0,-$W$1,1)),0))</f>
        <v>0</v>
      </c>
      <c r="R616" s="56">
        <f t="shared" ca="1" si="69"/>
        <v>0</v>
      </c>
      <c r="S616" s="19">
        <f t="shared" si="71"/>
        <v>0</v>
      </c>
      <c r="T616" s="36" t="str" cm="1">
        <f t="array" aca="1" ref="T616" ca="1">IF(L616&lt;=$P$1,K616,IF(L616&lt;=($P$1+1),INDIRECT("K"&amp;5+$W$2),""))</f>
        <v/>
      </c>
      <c r="U616" s="38">
        <f t="shared" si="72"/>
        <v>51</v>
      </c>
    </row>
    <row r="617" spans="11:21" hidden="1" x14ac:dyDescent="0.25">
      <c r="K617" s="36">
        <f t="shared" ca="1" si="74"/>
        <v>64841</v>
      </c>
      <c r="L617" s="19">
        <v>612</v>
      </c>
      <c r="M617" s="19">
        <f t="shared" si="73"/>
        <v>0</v>
      </c>
      <c r="N617" s="37">
        <f t="shared" si="70"/>
        <v>0</v>
      </c>
      <c r="O617" s="37">
        <f t="shared" si="75"/>
        <v>0</v>
      </c>
      <c r="P617" s="55" cm="1">
        <f t="array" aca="1" ref="P617" ca="1">IF((L617-$C$16)&gt;0, IF($P$1+$C$16&gt;=L617,INDIRECT("M"&amp;(L617-$C$16)+5),0),0)</f>
        <v>0</v>
      </c>
      <c r="Q617" s="56" cm="1">
        <f t="array" aca="1" ref="Q617" ca="1">IF(L617&lt;=$C$16,0,IF($W$2&gt;=L617,IF(L617&lt;=($P$1+$C$16),INDIRECT("N"&amp;(L617-$C$16)+5),FV(SRate,L617-$P$1-$C$16,0,-$W$1,1)),0))</f>
        <v>0</v>
      </c>
      <c r="R617" s="56">
        <f t="shared" ca="1" si="69"/>
        <v>0</v>
      </c>
      <c r="S617" s="19">
        <f t="shared" si="71"/>
        <v>0</v>
      </c>
      <c r="T617" s="36" t="str" cm="1">
        <f t="array" aca="1" ref="T617" ca="1">IF(L617&lt;=$P$1,K617,IF(L617&lt;=($P$1+1),INDIRECT("K"&amp;5+$W$2),""))</f>
        <v/>
      </c>
      <c r="U617" s="38">
        <f t="shared" si="72"/>
        <v>51</v>
      </c>
    </row>
    <row r="618" spans="11:21" hidden="1" x14ac:dyDescent="0.25">
      <c r="K618" s="36">
        <f t="shared" ca="1" si="74"/>
        <v>64872</v>
      </c>
      <c r="L618" s="19">
        <v>613</v>
      </c>
      <c r="M618" s="19">
        <f t="shared" si="73"/>
        <v>0</v>
      </c>
      <c r="N618" s="37">
        <f t="shared" si="70"/>
        <v>0</v>
      </c>
      <c r="O618" s="37">
        <f t="shared" si="75"/>
        <v>0</v>
      </c>
      <c r="P618" s="55" cm="1">
        <f t="array" aca="1" ref="P618" ca="1">IF((L618-$C$16)&gt;0, IF($P$1+$C$16&gt;=L618,INDIRECT("M"&amp;(L618-$C$16)+5),0),0)</f>
        <v>0</v>
      </c>
      <c r="Q618" s="56" cm="1">
        <f t="array" aca="1" ref="Q618" ca="1">IF(L618&lt;=$C$16,0,IF($W$2&gt;=L618,IF(L618&lt;=($P$1+$C$16),INDIRECT("N"&amp;(L618-$C$16)+5),FV(SRate,L618-$P$1-$C$16,0,-$W$1,1)),0))</f>
        <v>0</v>
      </c>
      <c r="R618" s="56">
        <f t="shared" ca="1" si="69"/>
        <v>0</v>
      </c>
      <c r="S618" s="19">
        <f t="shared" si="71"/>
        <v>0</v>
      </c>
      <c r="T618" s="36" t="str" cm="1">
        <f t="array" aca="1" ref="T618" ca="1">IF(L618&lt;=$P$1,K618,IF(L618&lt;=($P$1+1),INDIRECT("K"&amp;5+$W$2),""))</f>
        <v/>
      </c>
      <c r="U618" s="38">
        <f t="shared" si="72"/>
        <v>52</v>
      </c>
    </row>
    <row r="619" spans="11:21" hidden="1" x14ac:dyDescent="0.25">
      <c r="K619" s="36">
        <f t="shared" ca="1" si="74"/>
        <v>64903</v>
      </c>
      <c r="L619" s="19">
        <v>614</v>
      </c>
      <c r="M619" s="19">
        <f t="shared" si="73"/>
        <v>0</v>
      </c>
      <c r="N619" s="37">
        <f t="shared" si="70"/>
        <v>0</v>
      </c>
      <c r="O619" s="37">
        <f t="shared" si="75"/>
        <v>0</v>
      </c>
      <c r="P619" s="55" cm="1">
        <f t="array" aca="1" ref="P619" ca="1">IF((L619-$C$16)&gt;0, IF($P$1+$C$16&gt;=L619,INDIRECT("M"&amp;(L619-$C$16)+5),0),0)</f>
        <v>0</v>
      </c>
      <c r="Q619" s="56" cm="1">
        <f t="array" aca="1" ref="Q619" ca="1">IF(L619&lt;=$C$16,0,IF($W$2&gt;=L619,IF(L619&lt;=($P$1+$C$16),INDIRECT("N"&amp;(L619-$C$16)+5),FV(SRate,L619-$P$1-$C$16,0,-$W$1,1)),0))</f>
        <v>0</v>
      </c>
      <c r="R619" s="56">
        <f t="shared" ca="1" si="69"/>
        <v>0</v>
      </c>
      <c r="S619" s="19">
        <f t="shared" si="71"/>
        <v>0</v>
      </c>
      <c r="T619" s="36" t="str" cm="1">
        <f t="array" aca="1" ref="T619" ca="1">IF(L619&lt;=$P$1,K619,IF(L619&lt;=($P$1+1),INDIRECT("K"&amp;5+$W$2),""))</f>
        <v/>
      </c>
      <c r="U619" s="38">
        <f t="shared" si="72"/>
        <v>52</v>
      </c>
    </row>
    <row r="620" spans="11:21" hidden="1" x14ac:dyDescent="0.25">
      <c r="K620" s="36">
        <f t="shared" ca="1" si="74"/>
        <v>64933</v>
      </c>
      <c r="L620" s="19">
        <v>615</v>
      </c>
      <c r="M620" s="19">
        <f t="shared" si="73"/>
        <v>0</v>
      </c>
      <c r="N620" s="37">
        <f t="shared" si="70"/>
        <v>0</v>
      </c>
      <c r="O620" s="37">
        <f t="shared" si="75"/>
        <v>0</v>
      </c>
      <c r="P620" s="55" cm="1">
        <f t="array" aca="1" ref="P620" ca="1">IF((L620-$C$16)&gt;0, IF($P$1+$C$16&gt;=L620,INDIRECT("M"&amp;(L620-$C$16)+5),0),0)</f>
        <v>0</v>
      </c>
      <c r="Q620" s="56" cm="1">
        <f t="array" aca="1" ref="Q620" ca="1">IF(L620&lt;=$C$16,0,IF($W$2&gt;=L620,IF(L620&lt;=($P$1+$C$16),INDIRECT("N"&amp;(L620-$C$16)+5),FV(SRate,L620-$P$1-$C$16,0,-$W$1,1)),0))</f>
        <v>0</v>
      </c>
      <c r="R620" s="56">
        <f t="shared" ca="1" si="69"/>
        <v>0</v>
      </c>
      <c r="S620" s="19">
        <f t="shared" si="71"/>
        <v>0</v>
      </c>
      <c r="T620" s="36" t="str" cm="1">
        <f t="array" aca="1" ref="T620" ca="1">IF(L620&lt;=$P$1,K620,IF(L620&lt;=($P$1+1),INDIRECT("K"&amp;5+$W$2),""))</f>
        <v/>
      </c>
      <c r="U620" s="38">
        <f t="shared" si="72"/>
        <v>52</v>
      </c>
    </row>
    <row r="621" spans="11:21" hidden="1" x14ac:dyDescent="0.25">
      <c r="K621" s="36">
        <f t="shared" ca="1" si="74"/>
        <v>64964</v>
      </c>
      <c r="L621" s="19">
        <v>616</v>
      </c>
      <c r="M621" s="19">
        <f t="shared" si="73"/>
        <v>0</v>
      </c>
      <c r="N621" s="37">
        <f t="shared" si="70"/>
        <v>0</v>
      </c>
      <c r="O621" s="37">
        <f t="shared" si="75"/>
        <v>0</v>
      </c>
      <c r="P621" s="55" cm="1">
        <f t="array" aca="1" ref="P621" ca="1">IF((L621-$C$16)&gt;0, IF($P$1+$C$16&gt;=L621,INDIRECT("M"&amp;(L621-$C$16)+5),0),0)</f>
        <v>0</v>
      </c>
      <c r="Q621" s="56" cm="1">
        <f t="array" aca="1" ref="Q621" ca="1">IF(L621&lt;=$C$16,0,IF($W$2&gt;=L621,IF(L621&lt;=($P$1+$C$16),INDIRECT("N"&amp;(L621-$C$16)+5),FV(SRate,L621-$P$1-$C$16,0,-$W$1,1)),0))</f>
        <v>0</v>
      </c>
      <c r="R621" s="56">
        <f t="shared" ca="1" si="69"/>
        <v>0</v>
      </c>
      <c r="S621" s="19">
        <f t="shared" si="71"/>
        <v>0</v>
      </c>
      <c r="T621" s="36" t="str" cm="1">
        <f t="array" aca="1" ref="T621" ca="1">IF(L621&lt;=$P$1,K621,IF(L621&lt;=($P$1+1),INDIRECT("K"&amp;5+$W$2),""))</f>
        <v/>
      </c>
      <c r="U621" s="38">
        <f t="shared" si="72"/>
        <v>52</v>
      </c>
    </row>
    <row r="622" spans="11:21" hidden="1" x14ac:dyDescent="0.25">
      <c r="K622" s="36">
        <f t="shared" ca="1" si="74"/>
        <v>64994</v>
      </c>
      <c r="L622" s="19">
        <v>617</v>
      </c>
      <c r="M622" s="19">
        <f t="shared" si="73"/>
        <v>0</v>
      </c>
      <c r="N622" s="37">
        <f t="shared" si="70"/>
        <v>0</v>
      </c>
      <c r="O622" s="37">
        <f t="shared" si="75"/>
        <v>0</v>
      </c>
      <c r="P622" s="55" cm="1">
        <f t="array" aca="1" ref="P622" ca="1">IF((L622-$C$16)&gt;0, IF($P$1+$C$16&gt;=L622,INDIRECT("M"&amp;(L622-$C$16)+5),0),0)</f>
        <v>0</v>
      </c>
      <c r="Q622" s="56" cm="1">
        <f t="array" aca="1" ref="Q622" ca="1">IF(L622&lt;=$C$16,0,IF($W$2&gt;=L622,IF(L622&lt;=($P$1+$C$16),INDIRECT("N"&amp;(L622-$C$16)+5),FV(SRate,L622-$P$1-$C$16,0,-$W$1,1)),0))</f>
        <v>0</v>
      </c>
      <c r="R622" s="56">
        <f t="shared" ca="1" si="69"/>
        <v>0</v>
      </c>
      <c r="S622" s="19">
        <f t="shared" si="71"/>
        <v>0</v>
      </c>
      <c r="T622" s="36" t="str" cm="1">
        <f t="array" aca="1" ref="T622" ca="1">IF(L622&lt;=$P$1,K622,IF(L622&lt;=($P$1+1),INDIRECT("K"&amp;5+$W$2),""))</f>
        <v/>
      </c>
      <c r="U622" s="38">
        <f t="shared" si="72"/>
        <v>52</v>
      </c>
    </row>
    <row r="623" spans="11:21" hidden="1" x14ac:dyDescent="0.25">
      <c r="K623" s="36">
        <f t="shared" ca="1" si="74"/>
        <v>65025</v>
      </c>
      <c r="L623" s="19">
        <v>618</v>
      </c>
      <c r="M623" s="19">
        <f t="shared" si="73"/>
        <v>0</v>
      </c>
      <c r="N623" s="37">
        <f t="shared" si="70"/>
        <v>0</v>
      </c>
      <c r="O623" s="37">
        <f t="shared" si="75"/>
        <v>0</v>
      </c>
      <c r="P623" s="55" cm="1">
        <f t="array" aca="1" ref="P623" ca="1">IF((L623-$C$16)&gt;0, IF($P$1+$C$16&gt;=L623,INDIRECT("M"&amp;(L623-$C$16)+5),0),0)</f>
        <v>0</v>
      </c>
      <c r="Q623" s="56" cm="1">
        <f t="array" aca="1" ref="Q623" ca="1">IF(L623&lt;=$C$16,0,IF($W$2&gt;=L623,IF(L623&lt;=($P$1+$C$16),INDIRECT("N"&amp;(L623-$C$16)+5),FV(SRate,L623-$P$1-$C$16,0,-$W$1,1)),0))</f>
        <v>0</v>
      </c>
      <c r="R623" s="56">
        <f t="shared" ca="1" si="69"/>
        <v>0</v>
      </c>
      <c r="S623" s="19">
        <f t="shared" si="71"/>
        <v>0</v>
      </c>
      <c r="T623" s="36" t="str" cm="1">
        <f t="array" aca="1" ref="T623" ca="1">IF(L623&lt;=$P$1,K623,IF(L623&lt;=($P$1+1),INDIRECT("K"&amp;5+$W$2),""))</f>
        <v/>
      </c>
      <c r="U623" s="38">
        <f t="shared" si="72"/>
        <v>52</v>
      </c>
    </row>
    <row r="624" spans="11:21" hidden="1" x14ac:dyDescent="0.25">
      <c r="K624" s="36">
        <f t="shared" ca="1" si="74"/>
        <v>65056</v>
      </c>
      <c r="L624" s="19">
        <v>619</v>
      </c>
      <c r="M624" s="19">
        <f t="shared" si="73"/>
        <v>0</v>
      </c>
      <c r="N624" s="37">
        <f t="shared" si="70"/>
        <v>0</v>
      </c>
      <c r="O624" s="37">
        <f t="shared" si="75"/>
        <v>0</v>
      </c>
      <c r="P624" s="55" cm="1">
        <f t="array" aca="1" ref="P624" ca="1">IF((L624-$C$16)&gt;0, IF($P$1+$C$16&gt;=L624,INDIRECT("M"&amp;(L624-$C$16)+5),0),0)</f>
        <v>0</v>
      </c>
      <c r="Q624" s="56" cm="1">
        <f t="array" aca="1" ref="Q624" ca="1">IF(L624&lt;=$C$16,0,IF($W$2&gt;=L624,IF(L624&lt;=($P$1+$C$16),INDIRECT("N"&amp;(L624-$C$16)+5),FV(SRate,L624-$P$1-$C$16,0,-$W$1,1)),0))</f>
        <v>0</v>
      </c>
      <c r="R624" s="56">
        <f t="shared" ca="1" si="69"/>
        <v>0</v>
      </c>
      <c r="S624" s="19">
        <f t="shared" si="71"/>
        <v>0</v>
      </c>
      <c r="T624" s="36" t="str" cm="1">
        <f t="array" aca="1" ref="T624" ca="1">IF(L624&lt;=$P$1,K624,IF(L624&lt;=($P$1+1),INDIRECT("K"&amp;5+$W$2),""))</f>
        <v/>
      </c>
      <c r="U624" s="38">
        <f t="shared" si="72"/>
        <v>52</v>
      </c>
    </row>
    <row r="625" spans="11:21" hidden="1" x14ac:dyDescent="0.25">
      <c r="K625" s="36">
        <f t="shared" ca="1" si="74"/>
        <v>65084</v>
      </c>
      <c r="L625" s="19">
        <v>620</v>
      </c>
      <c r="M625" s="19">
        <f t="shared" si="73"/>
        <v>0</v>
      </c>
      <c r="N625" s="37">
        <f t="shared" si="70"/>
        <v>0</v>
      </c>
      <c r="O625" s="37">
        <f t="shared" si="75"/>
        <v>0</v>
      </c>
      <c r="P625" s="55" cm="1">
        <f t="array" aca="1" ref="P625" ca="1">IF((L625-$C$16)&gt;0, IF($P$1+$C$16&gt;=L625,INDIRECT("M"&amp;(L625-$C$16)+5),0),0)</f>
        <v>0</v>
      </c>
      <c r="Q625" s="56" cm="1">
        <f t="array" aca="1" ref="Q625" ca="1">IF(L625&lt;=$C$16,0,IF($W$2&gt;=L625,IF(L625&lt;=($P$1+$C$16),INDIRECT("N"&amp;(L625-$C$16)+5),FV(SRate,L625-$P$1-$C$16,0,-$W$1,1)),0))</f>
        <v>0</v>
      </c>
      <c r="R625" s="56">
        <f t="shared" ca="1" si="69"/>
        <v>0</v>
      </c>
      <c r="S625" s="19">
        <f t="shared" si="71"/>
        <v>0</v>
      </c>
      <c r="T625" s="36" t="str" cm="1">
        <f t="array" aca="1" ref="T625" ca="1">IF(L625&lt;=$P$1,K625,IF(L625&lt;=($P$1+1),INDIRECT("K"&amp;5+$W$2),""))</f>
        <v/>
      </c>
      <c r="U625" s="38">
        <f t="shared" si="72"/>
        <v>52</v>
      </c>
    </row>
    <row r="626" spans="11:21" hidden="1" x14ac:dyDescent="0.25">
      <c r="K626" s="36">
        <f t="shared" ca="1" si="74"/>
        <v>65115</v>
      </c>
      <c r="L626" s="19">
        <v>621</v>
      </c>
      <c r="M626" s="19">
        <f t="shared" si="73"/>
        <v>0</v>
      </c>
      <c r="N626" s="37">
        <f t="shared" si="70"/>
        <v>0</v>
      </c>
      <c r="O626" s="37">
        <f t="shared" si="75"/>
        <v>0</v>
      </c>
      <c r="P626" s="55" cm="1">
        <f t="array" aca="1" ref="P626" ca="1">IF((L626-$C$16)&gt;0, IF($P$1+$C$16&gt;=L626,INDIRECT("M"&amp;(L626-$C$16)+5),0),0)</f>
        <v>0</v>
      </c>
      <c r="Q626" s="56" cm="1">
        <f t="array" aca="1" ref="Q626" ca="1">IF(L626&lt;=$C$16,0,IF($W$2&gt;=L626,IF(L626&lt;=($P$1+$C$16),INDIRECT("N"&amp;(L626-$C$16)+5),FV(SRate,L626-$P$1-$C$16,0,-$W$1,1)),0))</f>
        <v>0</v>
      </c>
      <c r="R626" s="56">
        <f t="shared" ca="1" si="69"/>
        <v>0</v>
      </c>
      <c r="S626" s="19">
        <f t="shared" si="71"/>
        <v>0</v>
      </c>
      <c r="T626" s="36" t="str" cm="1">
        <f t="array" aca="1" ref="T626" ca="1">IF(L626&lt;=$P$1,K626,IF(L626&lt;=($P$1+1),INDIRECT("K"&amp;5+$W$2),""))</f>
        <v/>
      </c>
      <c r="U626" s="38">
        <f t="shared" si="72"/>
        <v>52</v>
      </c>
    </row>
    <row r="627" spans="11:21" hidden="1" x14ac:dyDescent="0.25">
      <c r="K627" s="36">
        <f t="shared" ca="1" si="74"/>
        <v>65145</v>
      </c>
      <c r="L627" s="19">
        <v>622</v>
      </c>
      <c r="M627" s="19">
        <f t="shared" si="73"/>
        <v>0</v>
      </c>
      <c r="N627" s="37">
        <f t="shared" si="70"/>
        <v>0</v>
      </c>
      <c r="O627" s="37">
        <f t="shared" si="75"/>
        <v>0</v>
      </c>
      <c r="P627" s="55" cm="1">
        <f t="array" aca="1" ref="P627" ca="1">IF((L627-$C$16)&gt;0, IF($P$1+$C$16&gt;=L627,INDIRECT("M"&amp;(L627-$C$16)+5),0),0)</f>
        <v>0</v>
      </c>
      <c r="Q627" s="56" cm="1">
        <f t="array" aca="1" ref="Q627" ca="1">IF(L627&lt;=$C$16,0,IF($W$2&gt;=L627,IF(L627&lt;=($P$1+$C$16),INDIRECT("N"&amp;(L627-$C$16)+5),FV(SRate,L627-$P$1-$C$16,0,-$W$1,1)),0))</f>
        <v>0</v>
      </c>
      <c r="R627" s="56">
        <f t="shared" ca="1" si="69"/>
        <v>0</v>
      </c>
      <c r="S627" s="19">
        <f t="shared" si="71"/>
        <v>0</v>
      </c>
      <c r="T627" s="36" t="str" cm="1">
        <f t="array" aca="1" ref="T627" ca="1">IF(L627&lt;=$P$1,K627,IF(L627&lt;=($P$1+1),INDIRECT("K"&amp;5+$W$2),""))</f>
        <v/>
      </c>
      <c r="U627" s="38">
        <f t="shared" si="72"/>
        <v>52</v>
      </c>
    </row>
    <row r="628" spans="11:21" hidden="1" x14ac:dyDescent="0.25">
      <c r="K628" s="36">
        <f t="shared" ca="1" si="74"/>
        <v>65176</v>
      </c>
      <c r="L628" s="19">
        <v>623</v>
      </c>
      <c r="M628" s="19">
        <f t="shared" si="73"/>
        <v>0</v>
      </c>
      <c r="N628" s="37">
        <f t="shared" si="70"/>
        <v>0</v>
      </c>
      <c r="O628" s="37">
        <f t="shared" si="75"/>
        <v>0</v>
      </c>
      <c r="P628" s="55" cm="1">
        <f t="array" aca="1" ref="P628" ca="1">IF((L628-$C$16)&gt;0, IF($P$1+$C$16&gt;=L628,INDIRECT("M"&amp;(L628-$C$16)+5),0),0)</f>
        <v>0</v>
      </c>
      <c r="Q628" s="56" cm="1">
        <f t="array" aca="1" ref="Q628" ca="1">IF(L628&lt;=$C$16,0,IF($W$2&gt;=L628,IF(L628&lt;=($P$1+$C$16),INDIRECT("N"&amp;(L628-$C$16)+5),FV(SRate,L628-$P$1-$C$16,0,-$W$1,1)),0))</f>
        <v>0</v>
      </c>
      <c r="R628" s="56">
        <f t="shared" ca="1" si="69"/>
        <v>0</v>
      </c>
      <c r="S628" s="19">
        <f t="shared" si="71"/>
        <v>0</v>
      </c>
      <c r="T628" s="36" t="str" cm="1">
        <f t="array" aca="1" ref="T628" ca="1">IF(L628&lt;=$P$1,K628,IF(L628&lt;=($P$1+1),INDIRECT("K"&amp;5+$W$2),""))</f>
        <v/>
      </c>
      <c r="U628" s="38">
        <f t="shared" si="72"/>
        <v>52</v>
      </c>
    </row>
    <row r="629" spans="11:21" hidden="1" x14ac:dyDescent="0.25">
      <c r="K629" s="36">
        <f t="shared" ca="1" si="74"/>
        <v>65206</v>
      </c>
      <c r="L629" s="19">
        <v>624</v>
      </c>
      <c r="M629" s="19">
        <f t="shared" si="73"/>
        <v>0</v>
      </c>
      <c r="N629" s="37">
        <f t="shared" si="70"/>
        <v>0</v>
      </c>
      <c r="O629" s="37">
        <f t="shared" si="75"/>
        <v>0</v>
      </c>
      <c r="P629" s="55" cm="1">
        <f t="array" aca="1" ref="P629" ca="1">IF((L629-$C$16)&gt;0, IF($P$1+$C$16&gt;=L629,INDIRECT("M"&amp;(L629-$C$16)+5),0),0)</f>
        <v>0</v>
      </c>
      <c r="Q629" s="56" cm="1">
        <f t="array" aca="1" ref="Q629" ca="1">IF(L629&lt;=$C$16,0,IF($W$2&gt;=L629,IF(L629&lt;=($P$1+$C$16),INDIRECT("N"&amp;(L629-$C$16)+5),FV(SRate,L629-$P$1-$C$16,0,-$W$1,1)),0))</f>
        <v>0</v>
      </c>
      <c r="R629" s="56">
        <f t="shared" ca="1" si="69"/>
        <v>0</v>
      </c>
      <c r="S629" s="19">
        <f t="shared" si="71"/>
        <v>0</v>
      </c>
      <c r="T629" s="36" t="str" cm="1">
        <f t="array" aca="1" ref="T629" ca="1">IF(L629&lt;=$P$1,K629,IF(L629&lt;=($P$1+1),INDIRECT("K"&amp;5+$W$2),""))</f>
        <v/>
      </c>
      <c r="U629" s="38">
        <f t="shared" si="72"/>
        <v>52</v>
      </c>
    </row>
    <row r="630" spans="11:21" hidden="1" x14ac:dyDescent="0.25">
      <c r="K630" s="36">
        <f t="shared" ca="1" si="74"/>
        <v>65237</v>
      </c>
      <c r="L630" s="19">
        <v>625</v>
      </c>
      <c r="M630" s="19">
        <f t="shared" si="73"/>
        <v>0</v>
      </c>
      <c r="N630" s="37">
        <f t="shared" si="70"/>
        <v>0</v>
      </c>
      <c r="O630" s="37">
        <f t="shared" si="75"/>
        <v>0</v>
      </c>
      <c r="P630" s="55" cm="1">
        <f t="array" aca="1" ref="P630" ca="1">IF((L630-$C$16)&gt;0, IF($P$1+$C$16&gt;=L630,INDIRECT("M"&amp;(L630-$C$16)+5),0),0)</f>
        <v>0</v>
      </c>
      <c r="Q630" s="56" cm="1">
        <f t="array" aca="1" ref="Q630" ca="1">IF(L630&lt;=$C$16,0,IF($W$2&gt;=L630,IF(L630&lt;=($P$1+$C$16),INDIRECT("N"&amp;(L630-$C$16)+5),FV(SRate,L630-$P$1-$C$16,0,-$W$1,1)),0))</f>
        <v>0</v>
      </c>
      <c r="R630" s="56">
        <f t="shared" ca="1" si="69"/>
        <v>0</v>
      </c>
      <c r="S630" s="19">
        <f t="shared" si="71"/>
        <v>0</v>
      </c>
      <c r="T630" s="36" t="str" cm="1">
        <f t="array" aca="1" ref="T630" ca="1">IF(L630&lt;=$P$1,K630,IF(L630&lt;=($P$1+1),INDIRECT("K"&amp;5+$W$2),""))</f>
        <v/>
      </c>
      <c r="U630" s="38">
        <f t="shared" si="72"/>
        <v>53</v>
      </c>
    </row>
    <row r="631" spans="11:21" hidden="1" x14ac:dyDescent="0.25">
      <c r="K631" s="36">
        <f t="shared" ca="1" si="74"/>
        <v>65268</v>
      </c>
      <c r="L631" s="19">
        <v>626</v>
      </c>
      <c r="M631" s="19">
        <f t="shared" si="73"/>
        <v>0</v>
      </c>
      <c r="N631" s="37">
        <f t="shared" si="70"/>
        <v>0</v>
      </c>
      <c r="O631" s="37">
        <f t="shared" si="75"/>
        <v>0</v>
      </c>
      <c r="P631" s="55" cm="1">
        <f t="array" aca="1" ref="P631" ca="1">IF((L631-$C$16)&gt;0, IF($P$1+$C$16&gt;=L631,INDIRECT("M"&amp;(L631-$C$16)+5),0),0)</f>
        <v>0</v>
      </c>
      <c r="Q631" s="56" cm="1">
        <f t="array" aca="1" ref="Q631" ca="1">IF(L631&lt;=$C$16,0,IF($W$2&gt;=L631,IF(L631&lt;=($P$1+$C$16),INDIRECT("N"&amp;(L631-$C$16)+5),FV(SRate,L631-$P$1-$C$16,0,-$W$1,1)),0))</f>
        <v>0</v>
      </c>
      <c r="R631" s="56">
        <f t="shared" ca="1" si="69"/>
        <v>0</v>
      </c>
      <c r="S631" s="19">
        <f t="shared" si="71"/>
        <v>0</v>
      </c>
      <c r="T631" s="36" t="str" cm="1">
        <f t="array" aca="1" ref="T631" ca="1">IF(L631&lt;=$P$1,K631,IF(L631&lt;=($P$1+1),INDIRECT("K"&amp;5+$W$2),""))</f>
        <v/>
      </c>
      <c r="U631" s="38">
        <f t="shared" si="72"/>
        <v>53</v>
      </c>
    </row>
    <row r="632" spans="11:21" hidden="1" x14ac:dyDescent="0.25">
      <c r="K632" s="36">
        <f t="shared" ca="1" si="74"/>
        <v>65298</v>
      </c>
      <c r="L632" s="19">
        <v>627</v>
      </c>
      <c r="M632" s="19">
        <f t="shared" si="73"/>
        <v>0</v>
      </c>
      <c r="N632" s="37">
        <f t="shared" si="70"/>
        <v>0</v>
      </c>
      <c r="O632" s="37">
        <f t="shared" si="75"/>
        <v>0</v>
      </c>
      <c r="P632" s="55" cm="1">
        <f t="array" aca="1" ref="P632" ca="1">IF((L632-$C$16)&gt;0, IF($P$1+$C$16&gt;=L632,INDIRECT("M"&amp;(L632-$C$16)+5),0),0)</f>
        <v>0</v>
      </c>
      <c r="Q632" s="56" cm="1">
        <f t="array" aca="1" ref="Q632" ca="1">IF(L632&lt;=$C$16,0,IF($W$2&gt;=L632,IF(L632&lt;=($P$1+$C$16),INDIRECT("N"&amp;(L632-$C$16)+5),FV(SRate,L632-$P$1-$C$16,0,-$W$1,1)),0))</f>
        <v>0</v>
      </c>
      <c r="R632" s="56">
        <f t="shared" ca="1" si="69"/>
        <v>0</v>
      </c>
      <c r="S632" s="19">
        <f t="shared" si="71"/>
        <v>0</v>
      </c>
      <c r="T632" s="36" t="str" cm="1">
        <f t="array" aca="1" ref="T632" ca="1">IF(L632&lt;=$P$1,K632,IF(L632&lt;=($P$1+1),INDIRECT("K"&amp;5+$W$2),""))</f>
        <v/>
      </c>
      <c r="U632" s="38">
        <f t="shared" si="72"/>
        <v>53</v>
      </c>
    </row>
    <row r="633" spans="11:21" hidden="1" x14ac:dyDescent="0.25">
      <c r="K633" s="36">
        <f t="shared" ca="1" si="74"/>
        <v>65329</v>
      </c>
      <c r="L633" s="19">
        <v>628</v>
      </c>
      <c r="M633" s="19">
        <f t="shared" si="73"/>
        <v>0</v>
      </c>
      <c r="N633" s="37">
        <f t="shared" si="70"/>
        <v>0</v>
      </c>
      <c r="O633" s="37">
        <f t="shared" si="75"/>
        <v>0</v>
      </c>
      <c r="P633" s="55" cm="1">
        <f t="array" aca="1" ref="P633" ca="1">IF((L633-$C$16)&gt;0, IF($P$1+$C$16&gt;=L633,INDIRECT("M"&amp;(L633-$C$16)+5),0),0)</f>
        <v>0</v>
      </c>
      <c r="Q633" s="56" cm="1">
        <f t="array" aca="1" ref="Q633" ca="1">IF(L633&lt;=$C$16,0,IF($W$2&gt;=L633,IF(L633&lt;=($P$1+$C$16),INDIRECT("N"&amp;(L633-$C$16)+5),FV(SRate,L633-$P$1-$C$16,0,-$W$1,1)),0))</f>
        <v>0</v>
      </c>
      <c r="R633" s="56">
        <f t="shared" ca="1" si="69"/>
        <v>0</v>
      </c>
      <c r="S633" s="19">
        <f t="shared" si="71"/>
        <v>0</v>
      </c>
      <c r="T633" s="36" t="str" cm="1">
        <f t="array" aca="1" ref="T633" ca="1">IF(L633&lt;=$P$1,K633,IF(L633&lt;=($P$1+1),INDIRECT("K"&amp;5+$W$2),""))</f>
        <v/>
      </c>
      <c r="U633" s="38">
        <f t="shared" si="72"/>
        <v>53</v>
      </c>
    </row>
    <row r="634" spans="11:21" hidden="1" x14ac:dyDescent="0.25">
      <c r="K634" s="36">
        <f t="shared" ca="1" si="74"/>
        <v>65359</v>
      </c>
      <c r="L634" s="19">
        <v>629</v>
      </c>
      <c r="M634" s="19">
        <f t="shared" si="73"/>
        <v>0</v>
      </c>
      <c r="N634" s="37">
        <f t="shared" si="70"/>
        <v>0</v>
      </c>
      <c r="O634" s="37">
        <f t="shared" si="75"/>
        <v>0</v>
      </c>
      <c r="P634" s="55" cm="1">
        <f t="array" aca="1" ref="P634" ca="1">IF((L634-$C$16)&gt;0, IF($P$1+$C$16&gt;=L634,INDIRECT("M"&amp;(L634-$C$16)+5),0),0)</f>
        <v>0</v>
      </c>
      <c r="Q634" s="56" cm="1">
        <f t="array" aca="1" ref="Q634" ca="1">IF(L634&lt;=$C$16,0,IF($W$2&gt;=L634,IF(L634&lt;=($P$1+$C$16),INDIRECT("N"&amp;(L634-$C$16)+5),FV(SRate,L634-$P$1-$C$16,0,-$W$1,1)),0))</f>
        <v>0</v>
      </c>
      <c r="R634" s="56">
        <f t="shared" ca="1" si="69"/>
        <v>0</v>
      </c>
      <c r="S634" s="19">
        <f t="shared" si="71"/>
        <v>0</v>
      </c>
      <c r="T634" s="36" t="str" cm="1">
        <f t="array" aca="1" ref="T634" ca="1">IF(L634&lt;=$P$1,K634,IF(L634&lt;=($P$1+1),INDIRECT("K"&amp;5+$W$2),""))</f>
        <v/>
      </c>
      <c r="U634" s="38">
        <f t="shared" si="72"/>
        <v>53</v>
      </c>
    </row>
    <row r="635" spans="11:21" hidden="1" x14ac:dyDescent="0.25">
      <c r="K635" s="36">
        <f t="shared" ca="1" si="74"/>
        <v>65390</v>
      </c>
      <c r="L635" s="19">
        <v>630</v>
      </c>
      <c r="M635" s="19">
        <f t="shared" si="73"/>
        <v>0</v>
      </c>
      <c r="N635" s="37">
        <f t="shared" si="70"/>
        <v>0</v>
      </c>
      <c r="O635" s="37">
        <f t="shared" si="75"/>
        <v>0</v>
      </c>
      <c r="P635" s="55" cm="1">
        <f t="array" aca="1" ref="P635" ca="1">IF((L635-$C$16)&gt;0, IF($P$1+$C$16&gt;=L635,INDIRECT("M"&amp;(L635-$C$16)+5),0),0)</f>
        <v>0</v>
      </c>
      <c r="Q635" s="56" cm="1">
        <f t="array" aca="1" ref="Q635" ca="1">IF(L635&lt;=$C$16,0,IF($W$2&gt;=L635,IF(L635&lt;=($P$1+$C$16),INDIRECT("N"&amp;(L635-$C$16)+5),FV(SRate,L635-$P$1-$C$16,0,-$W$1,1)),0))</f>
        <v>0</v>
      </c>
      <c r="R635" s="56">
        <f t="shared" ca="1" si="69"/>
        <v>0</v>
      </c>
      <c r="S635" s="19">
        <f t="shared" si="71"/>
        <v>0</v>
      </c>
      <c r="T635" s="36" t="str" cm="1">
        <f t="array" aca="1" ref="T635" ca="1">IF(L635&lt;=$P$1,K635,IF(L635&lt;=($P$1+1),INDIRECT("K"&amp;5+$W$2),""))</f>
        <v/>
      </c>
      <c r="U635" s="38">
        <f t="shared" si="72"/>
        <v>53</v>
      </c>
    </row>
    <row r="636" spans="11:21" hidden="1" x14ac:dyDescent="0.25">
      <c r="K636" s="36">
        <f t="shared" ca="1" si="74"/>
        <v>65421</v>
      </c>
      <c r="L636" s="19">
        <v>631</v>
      </c>
      <c r="M636" s="19">
        <f t="shared" si="73"/>
        <v>0</v>
      </c>
      <c r="N636" s="37">
        <f t="shared" si="70"/>
        <v>0</v>
      </c>
      <c r="O636" s="37">
        <f t="shared" si="75"/>
        <v>0</v>
      </c>
      <c r="P636" s="55" cm="1">
        <f t="array" aca="1" ref="P636" ca="1">IF((L636-$C$16)&gt;0, IF($P$1+$C$16&gt;=L636,INDIRECT("M"&amp;(L636-$C$16)+5),0),0)</f>
        <v>0</v>
      </c>
      <c r="Q636" s="56" cm="1">
        <f t="array" aca="1" ref="Q636" ca="1">IF(L636&lt;=$C$16,0,IF($W$2&gt;=L636,IF(L636&lt;=($P$1+$C$16),INDIRECT("N"&amp;(L636-$C$16)+5),FV(SRate,L636-$P$1-$C$16,0,-$W$1,1)),0))</f>
        <v>0</v>
      </c>
      <c r="R636" s="56">
        <f t="shared" ca="1" si="69"/>
        <v>0</v>
      </c>
      <c r="S636" s="19">
        <f t="shared" si="71"/>
        <v>0</v>
      </c>
      <c r="T636" s="36" t="str" cm="1">
        <f t="array" aca="1" ref="T636" ca="1">IF(L636&lt;=$P$1,K636,IF(L636&lt;=($P$1+1),INDIRECT("K"&amp;5+$W$2),""))</f>
        <v/>
      </c>
      <c r="U636" s="38">
        <f t="shared" si="72"/>
        <v>53</v>
      </c>
    </row>
    <row r="637" spans="11:21" hidden="1" x14ac:dyDescent="0.25">
      <c r="K637" s="36">
        <f t="shared" ca="1" si="74"/>
        <v>65449</v>
      </c>
      <c r="L637" s="19">
        <v>632</v>
      </c>
      <c r="M637" s="19">
        <f t="shared" si="73"/>
        <v>0</v>
      </c>
      <c r="N637" s="37">
        <f t="shared" si="70"/>
        <v>0</v>
      </c>
      <c r="O637" s="37">
        <f t="shared" si="75"/>
        <v>0</v>
      </c>
      <c r="P637" s="55" cm="1">
        <f t="array" aca="1" ref="P637" ca="1">IF((L637-$C$16)&gt;0, IF($P$1+$C$16&gt;=L637,INDIRECT("M"&amp;(L637-$C$16)+5),0),0)</f>
        <v>0</v>
      </c>
      <c r="Q637" s="56" cm="1">
        <f t="array" aca="1" ref="Q637" ca="1">IF(L637&lt;=$C$16,0,IF($W$2&gt;=L637,IF(L637&lt;=($P$1+$C$16),INDIRECT("N"&amp;(L637-$C$16)+5),FV(SRate,L637-$P$1-$C$16,0,-$W$1,1)),0))</f>
        <v>0</v>
      </c>
      <c r="R637" s="56">
        <f t="shared" ca="1" si="69"/>
        <v>0</v>
      </c>
      <c r="S637" s="19">
        <f t="shared" si="71"/>
        <v>0</v>
      </c>
      <c r="T637" s="36" t="str" cm="1">
        <f t="array" aca="1" ref="T637" ca="1">IF(L637&lt;=$P$1,K637,IF(L637&lt;=($P$1+1),INDIRECT("K"&amp;5+$W$2),""))</f>
        <v/>
      </c>
      <c r="U637" s="38">
        <f t="shared" si="72"/>
        <v>53</v>
      </c>
    </row>
    <row r="638" spans="11:21" hidden="1" x14ac:dyDescent="0.25">
      <c r="K638" s="36">
        <f t="shared" ca="1" si="74"/>
        <v>65480</v>
      </c>
      <c r="L638" s="19">
        <v>633</v>
      </c>
      <c r="M638" s="19">
        <f t="shared" si="73"/>
        <v>0</v>
      </c>
      <c r="N638" s="37">
        <f t="shared" si="70"/>
        <v>0</v>
      </c>
      <c r="O638" s="37">
        <f t="shared" si="75"/>
        <v>0</v>
      </c>
      <c r="P638" s="55" cm="1">
        <f t="array" aca="1" ref="P638" ca="1">IF((L638-$C$16)&gt;0, IF($P$1+$C$16&gt;=L638,INDIRECT("M"&amp;(L638-$C$16)+5),0),0)</f>
        <v>0</v>
      </c>
      <c r="Q638" s="56" cm="1">
        <f t="array" aca="1" ref="Q638" ca="1">IF(L638&lt;=$C$16,0,IF($W$2&gt;=L638,IF(L638&lt;=($P$1+$C$16),INDIRECT("N"&amp;(L638-$C$16)+5),FV(SRate,L638-$P$1-$C$16,0,-$W$1,1)),0))</f>
        <v>0</v>
      </c>
      <c r="R638" s="56">
        <f t="shared" ca="1" si="69"/>
        <v>0</v>
      </c>
      <c r="S638" s="19">
        <f t="shared" si="71"/>
        <v>0</v>
      </c>
      <c r="T638" s="36" t="str" cm="1">
        <f t="array" aca="1" ref="T638" ca="1">IF(L638&lt;=$P$1,K638,IF(L638&lt;=($P$1+1),INDIRECT("K"&amp;5+$W$2),""))</f>
        <v/>
      </c>
      <c r="U638" s="38">
        <f t="shared" si="72"/>
        <v>53</v>
      </c>
    </row>
    <row r="639" spans="11:21" hidden="1" x14ac:dyDescent="0.25">
      <c r="K639" s="36">
        <f t="shared" ca="1" si="74"/>
        <v>65510</v>
      </c>
      <c r="L639" s="19">
        <v>634</v>
      </c>
      <c r="M639" s="19">
        <f t="shared" si="73"/>
        <v>0</v>
      </c>
      <c r="N639" s="37">
        <f t="shared" si="70"/>
        <v>0</v>
      </c>
      <c r="O639" s="37">
        <f t="shared" si="75"/>
        <v>0</v>
      </c>
      <c r="P639" s="55" cm="1">
        <f t="array" aca="1" ref="P639" ca="1">IF((L639-$C$16)&gt;0, IF($P$1+$C$16&gt;=L639,INDIRECT("M"&amp;(L639-$C$16)+5),0),0)</f>
        <v>0</v>
      </c>
      <c r="Q639" s="56" cm="1">
        <f t="array" aca="1" ref="Q639" ca="1">IF(L639&lt;=$C$16,0,IF($W$2&gt;=L639,IF(L639&lt;=($P$1+$C$16),INDIRECT("N"&amp;(L639-$C$16)+5),FV(SRate,L639-$P$1-$C$16,0,-$W$1,1)),0))</f>
        <v>0</v>
      </c>
      <c r="R639" s="56">
        <f t="shared" ca="1" si="69"/>
        <v>0</v>
      </c>
      <c r="S639" s="19">
        <f t="shared" si="71"/>
        <v>0</v>
      </c>
      <c r="T639" s="36" t="str" cm="1">
        <f t="array" aca="1" ref="T639" ca="1">IF(L639&lt;=$P$1,K639,IF(L639&lt;=($P$1+1),INDIRECT("K"&amp;5+$W$2),""))</f>
        <v/>
      </c>
      <c r="U639" s="38">
        <f t="shared" si="72"/>
        <v>53</v>
      </c>
    </row>
    <row r="640" spans="11:21" hidden="1" x14ac:dyDescent="0.25">
      <c r="K640" s="36">
        <f t="shared" ca="1" si="74"/>
        <v>65541</v>
      </c>
      <c r="L640" s="19">
        <v>635</v>
      </c>
      <c r="M640" s="19">
        <f t="shared" si="73"/>
        <v>0</v>
      </c>
      <c r="N640" s="37">
        <f t="shared" si="70"/>
        <v>0</v>
      </c>
      <c r="O640" s="37">
        <f t="shared" si="75"/>
        <v>0</v>
      </c>
      <c r="P640" s="55" cm="1">
        <f t="array" aca="1" ref="P640" ca="1">IF((L640-$C$16)&gt;0, IF($P$1+$C$16&gt;=L640,INDIRECT("M"&amp;(L640-$C$16)+5),0),0)</f>
        <v>0</v>
      </c>
      <c r="Q640" s="56" cm="1">
        <f t="array" aca="1" ref="Q640" ca="1">IF(L640&lt;=$C$16,0,IF($W$2&gt;=L640,IF(L640&lt;=($P$1+$C$16),INDIRECT("N"&amp;(L640-$C$16)+5),FV(SRate,L640-$P$1-$C$16,0,-$W$1,1)),0))</f>
        <v>0</v>
      </c>
      <c r="R640" s="56">
        <f t="shared" ca="1" si="69"/>
        <v>0</v>
      </c>
      <c r="S640" s="19">
        <f t="shared" si="71"/>
        <v>0</v>
      </c>
      <c r="T640" s="36" t="str" cm="1">
        <f t="array" aca="1" ref="T640" ca="1">IF(L640&lt;=$P$1,K640,IF(L640&lt;=($P$1+1),INDIRECT("K"&amp;5+$W$2),""))</f>
        <v/>
      </c>
      <c r="U640" s="38">
        <f t="shared" si="72"/>
        <v>53</v>
      </c>
    </row>
    <row r="641" spans="11:21" hidden="1" x14ac:dyDescent="0.25">
      <c r="K641" s="36">
        <f t="shared" ca="1" si="74"/>
        <v>65571</v>
      </c>
      <c r="L641" s="19">
        <v>636</v>
      </c>
      <c r="M641" s="19">
        <f t="shared" si="73"/>
        <v>0</v>
      </c>
      <c r="N641" s="37">
        <f t="shared" si="70"/>
        <v>0</v>
      </c>
      <c r="O641" s="37">
        <f t="shared" si="75"/>
        <v>0</v>
      </c>
      <c r="P641" s="55" cm="1">
        <f t="array" aca="1" ref="P641" ca="1">IF((L641-$C$16)&gt;0, IF($P$1+$C$16&gt;=L641,INDIRECT("M"&amp;(L641-$C$16)+5),0),0)</f>
        <v>0</v>
      </c>
      <c r="Q641" s="56" cm="1">
        <f t="array" aca="1" ref="Q641" ca="1">IF(L641&lt;=$C$16,0,IF($W$2&gt;=L641,IF(L641&lt;=($P$1+$C$16),INDIRECT("N"&amp;(L641-$C$16)+5),FV(SRate,L641-$P$1-$C$16,0,-$W$1,1)),0))</f>
        <v>0</v>
      </c>
      <c r="R641" s="56">
        <f t="shared" ca="1" si="69"/>
        <v>0</v>
      </c>
      <c r="S641" s="19">
        <f t="shared" si="71"/>
        <v>0</v>
      </c>
      <c r="T641" s="36" t="str" cm="1">
        <f t="array" aca="1" ref="T641" ca="1">IF(L641&lt;=$P$1,K641,IF(L641&lt;=($P$1+1),INDIRECT("K"&amp;5+$W$2),""))</f>
        <v/>
      </c>
      <c r="U641" s="38">
        <f t="shared" si="72"/>
        <v>53</v>
      </c>
    </row>
    <row r="642" spans="11:21" hidden="1" x14ac:dyDescent="0.25">
      <c r="K642" s="36">
        <f t="shared" ca="1" si="74"/>
        <v>65602</v>
      </c>
      <c r="L642" s="19">
        <v>637</v>
      </c>
      <c r="M642" s="19">
        <f t="shared" si="73"/>
        <v>0</v>
      </c>
      <c r="N642" s="37">
        <f t="shared" si="70"/>
        <v>0</v>
      </c>
      <c r="O642" s="37">
        <f t="shared" si="75"/>
        <v>0</v>
      </c>
      <c r="P642" s="55" cm="1">
        <f t="array" aca="1" ref="P642" ca="1">IF((L642-$C$16)&gt;0, IF($P$1+$C$16&gt;=L642,INDIRECT("M"&amp;(L642-$C$16)+5),0),0)</f>
        <v>0</v>
      </c>
      <c r="Q642" s="56" cm="1">
        <f t="array" aca="1" ref="Q642" ca="1">IF(L642&lt;=$C$16,0,IF($W$2&gt;=L642,IF(L642&lt;=($P$1+$C$16),INDIRECT("N"&amp;(L642-$C$16)+5),FV(SRate,L642-$P$1-$C$16,0,-$W$1,1)),0))</f>
        <v>0</v>
      </c>
      <c r="R642" s="56">
        <f t="shared" ca="1" si="69"/>
        <v>0</v>
      </c>
      <c r="S642" s="19">
        <f t="shared" si="71"/>
        <v>0</v>
      </c>
      <c r="T642" s="36" t="str" cm="1">
        <f t="array" aca="1" ref="T642" ca="1">IF(L642&lt;=$P$1,K642,IF(L642&lt;=($P$1+1),INDIRECT("K"&amp;5+$W$2),""))</f>
        <v/>
      </c>
      <c r="U642" s="38">
        <f t="shared" si="72"/>
        <v>54</v>
      </c>
    </row>
    <row r="643" spans="11:21" hidden="1" x14ac:dyDescent="0.25">
      <c r="K643" s="36">
        <f t="shared" ca="1" si="74"/>
        <v>65633</v>
      </c>
      <c r="L643" s="19">
        <v>638</v>
      </c>
      <c r="M643" s="19">
        <f t="shared" si="73"/>
        <v>0</v>
      </c>
      <c r="N643" s="37">
        <f t="shared" si="70"/>
        <v>0</v>
      </c>
      <c r="O643" s="37">
        <f t="shared" si="75"/>
        <v>0</v>
      </c>
      <c r="P643" s="55" cm="1">
        <f t="array" aca="1" ref="P643" ca="1">IF((L643-$C$16)&gt;0, IF($P$1+$C$16&gt;=L643,INDIRECT("M"&amp;(L643-$C$16)+5),0),0)</f>
        <v>0</v>
      </c>
      <c r="Q643" s="56" cm="1">
        <f t="array" aca="1" ref="Q643" ca="1">IF(L643&lt;=$C$16,0,IF($W$2&gt;=L643,IF(L643&lt;=($P$1+$C$16),INDIRECT("N"&amp;(L643-$C$16)+5),FV(SRate,L643-$P$1-$C$16,0,-$W$1,1)),0))</f>
        <v>0</v>
      </c>
      <c r="R643" s="56">
        <f t="shared" ca="1" si="69"/>
        <v>0</v>
      </c>
      <c r="S643" s="19">
        <f t="shared" si="71"/>
        <v>0</v>
      </c>
      <c r="T643" s="36" t="str" cm="1">
        <f t="array" aca="1" ref="T643" ca="1">IF(L643&lt;=$P$1,K643,IF(L643&lt;=($P$1+1),INDIRECT("K"&amp;5+$W$2),""))</f>
        <v/>
      </c>
      <c r="U643" s="38">
        <f t="shared" si="72"/>
        <v>54</v>
      </c>
    </row>
    <row r="644" spans="11:21" hidden="1" x14ac:dyDescent="0.25">
      <c r="K644" s="36">
        <f t="shared" ca="1" si="74"/>
        <v>65663</v>
      </c>
      <c r="L644" s="19">
        <v>639</v>
      </c>
      <c r="M644" s="19">
        <f t="shared" si="73"/>
        <v>0</v>
      </c>
      <c r="N644" s="37">
        <f t="shared" si="70"/>
        <v>0</v>
      </c>
      <c r="O644" s="37">
        <f t="shared" si="75"/>
        <v>0</v>
      </c>
      <c r="P644" s="55" cm="1">
        <f t="array" aca="1" ref="P644" ca="1">IF((L644-$C$16)&gt;0, IF($P$1+$C$16&gt;=L644,INDIRECT("M"&amp;(L644-$C$16)+5),0),0)</f>
        <v>0</v>
      </c>
      <c r="Q644" s="56" cm="1">
        <f t="array" aca="1" ref="Q644" ca="1">IF(L644&lt;=$C$16,0,IF($W$2&gt;=L644,IF(L644&lt;=($P$1+$C$16),INDIRECT("N"&amp;(L644-$C$16)+5),FV(SRate,L644-$P$1-$C$16,0,-$W$1,1)),0))</f>
        <v>0</v>
      </c>
      <c r="R644" s="56">
        <f t="shared" ca="1" si="69"/>
        <v>0</v>
      </c>
      <c r="S644" s="19">
        <f t="shared" si="71"/>
        <v>0</v>
      </c>
      <c r="T644" s="36" t="str" cm="1">
        <f t="array" aca="1" ref="T644" ca="1">IF(L644&lt;=$P$1,K644,IF(L644&lt;=($P$1+1),INDIRECT("K"&amp;5+$W$2),""))</f>
        <v/>
      </c>
      <c r="U644" s="38">
        <f t="shared" si="72"/>
        <v>54</v>
      </c>
    </row>
    <row r="645" spans="11:21" hidden="1" x14ac:dyDescent="0.25">
      <c r="K645" s="36">
        <f t="shared" ca="1" si="74"/>
        <v>65694</v>
      </c>
      <c r="L645" s="19">
        <v>640</v>
      </c>
      <c r="M645" s="19">
        <f t="shared" si="73"/>
        <v>0</v>
      </c>
      <c r="N645" s="37">
        <f t="shared" si="70"/>
        <v>0</v>
      </c>
      <c r="O645" s="37">
        <f t="shared" si="75"/>
        <v>0</v>
      </c>
      <c r="P645" s="55" cm="1">
        <f t="array" aca="1" ref="P645" ca="1">IF((L645-$C$16)&gt;0, IF($P$1+$C$16&gt;=L645,INDIRECT("M"&amp;(L645-$C$16)+5),0),0)</f>
        <v>0</v>
      </c>
      <c r="Q645" s="56" cm="1">
        <f t="array" aca="1" ref="Q645" ca="1">IF(L645&lt;=$C$16,0,IF($W$2&gt;=L645,IF(L645&lt;=($P$1+$C$16),INDIRECT("N"&amp;(L645-$C$16)+5),FV(SRate,L645-$P$1-$C$16,0,-$W$1,1)),0))</f>
        <v>0</v>
      </c>
      <c r="R645" s="56">
        <f t="shared" ca="1" si="69"/>
        <v>0</v>
      </c>
      <c r="S645" s="19">
        <f t="shared" si="71"/>
        <v>0</v>
      </c>
      <c r="T645" s="36" t="str" cm="1">
        <f t="array" aca="1" ref="T645" ca="1">IF(L645&lt;=$P$1,K645,IF(L645&lt;=($P$1+1),INDIRECT("K"&amp;5+$W$2),""))</f>
        <v/>
      </c>
      <c r="U645" s="38">
        <f t="shared" si="72"/>
        <v>54</v>
      </c>
    </row>
    <row r="646" spans="11:21" hidden="1" x14ac:dyDescent="0.25">
      <c r="K646" s="36">
        <f t="shared" ca="1" si="74"/>
        <v>65724</v>
      </c>
      <c r="L646" s="19">
        <v>641</v>
      </c>
      <c r="M646" s="19">
        <f t="shared" si="73"/>
        <v>0</v>
      </c>
      <c r="N646" s="37">
        <f t="shared" si="70"/>
        <v>0</v>
      </c>
      <c r="O646" s="37">
        <f t="shared" si="75"/>
        <v>0</v>
      </c>
      <c r="P646" s="55" cm="1">
        <f t="array" aca="1" ref="P646" ca="1">IF((L646-$C$16)&gt;0, IF($P$1+$C$16&gt;=L646,INDIRECT("M"&amp;(L646-$C$16)+5),0),0)</f>
        <v>0</v>
      </c>
      <c r="Q646" s="56" cm="1">
        <f t="array" aca="1" ref="Q646" ca="1">IF(L646&lt;=$C$16,0,IF($W$2&gt;=L646,IF(L646&lt;=($P$1+$C$16),INDIRECT("N"&amp;(L646-$C$16)+5),FV(SRate,L646-$P$1-$C$16,0,-$W$1,1)),0))</f>
        <v>0</v>
      </c>
      <c r="R646" s="56">
        <f t="shared" ref="R646:R709" ca="1" si="76">Q646/((1+SIPInflationRate)^((L646-$C$16)/12))</f>
        <v>0</v>
      </c>
      <c r="S646" s="19">
        <f t="shared" si="71"/>
        <v>0</v>
      </c>
      <c r="T646" s="36" t="str" cm="1">
        <f t="array" aca="1" ref="T646" ca="1">IF(L646&lt;=$P$1,K646,IF(L646&lt;=($P$1+1),INDIRECT("K"&amp;5+$W$2),""))</f>
        <v/>
      </c>
      <c r="U646" s="38">
        <f t="shared" si="72"/>
        <v>54</v>
      </c>
    </row>
    <row r="647" spans="11:21" hidden="1" x14ac:dyDescent="0.25">
      <c r="K647" s="36">
        <f t="shared" ca="1" si="74"/>
        <v>65755</v>
      </c>
      <c r="L647" s="19">
        <v>642</v>
      </c>
      <c r="M647" s="19">
        <f t="shared" si="73"/>
        <v>0</v>
      </c>
      <c r="N647" s="37">
        <f t="shared" ref="N647:N710" si="77">IF($W$2&gt;=L647,IF(L647&lt;=$P$1,(M647-M646+N646)*(1+SRate),FV(SRate,L647-$P$1,0,-$W$1,1)),0)</f>
        <v>0</v>
      </c>
      <c r="O647" s="37">
        <f t="shared" si="75"/>
        <v>0</v>
      </c>
      <c r="P647" s="55" cm="1">
        <f t="array" aca="1" ref="P647" ca="1">IF((L647-$C$16)&gt;0, IF($P$1+$C$16&gt;=L647,INDIRECT("M"&amp;(L647-$C$16)+5),0),0)</f>
        <v>0</v>
      </c>
      <c r="Q647" s="56" cm="1">
        <f t="array" aca="1" ref="Q647" ca="1">IF(L647&lt;=$C$16,0,IF($W$2&gt;=L647,IF(L647&lt;=($P$1+$C$16),INDIRECT("N"&amp;(L647-$C$16)+5),FV(SRate,L647-$P$1-$C$16,0,-$W$1,1)),0))</f>
        <v>0</v>
      </c>
      <c r="R647" s="56">
        <f t="shared" ca="1" si="76"/>
        <v>0</v>
      </c>
      <c r="S647" s="19">
        <f t="shared" ref="S647:S710" si="78">IF(L647&lt;=$P$1,-(_xlfn.XLOOKUP(U647,$Z$3:$Z$72,$AB$3:$AB$72,0)),IF(L647&lt;=($P$1+1),$W$4,0))</f>
        <v>0</v>
      </c>
      <c r="T647" s="36" t="str" cm="1">
        <f t="array" aca="1" ref="T647" ca="1">IF(L647&lt;=$P$1,K647,IF(L647&lt;=($P$1+1),INDIRECT("K"&amp;5+$W$2),""))</f>
        <v/>
      </c>
      <c r="U647" s="38">
        <f t="shared" ref="U647:U710" si="79">QUOTIENT(L647,12)+IF(MOD(L647,12)=0,-1,0)+1</f>
        <v>54</v>
      </c>
    </row>
    <row r="648" spans="11:21" hidden="1" x14ac:dyDescent="0.25">
      <c r="K648" s="36">
        <f t="shared" ca="1" si="74"/>
        <v>65786</v>
      </c>
      <c r="L648" s="19">
        <v>643</v>
      </c>
      <c r="M648" s="19">
        <f t="shared" ref="M648:M711" si="80">IF($P$1&gt;=L648,_xlfn.XLOOKUP(U648,$Z$3:$Z$72,$AB$3:$AB$72,0)+M647,0)</f>
        <v>0</v>
      </c>
      <c r="N648" s="37">
        <f t="shared" si="77"/>
        <v>0</v>
      </c>
      <c r="O648" s="37">
        <f t="shared" si="75"/>
        <v>0</v>
      </c>
      <c r="P648" s="55" cm="1">
        <f t="array" aca="1" ref="P648" ca="1">IF((L648-$C$16)&gt;0, IF($P$1+$C$16&gt;=L648,INDIRECT("M"&amp;(L648-$C$16)+5),0),0)</f>
        <v>0</v>
      </c>
      <c r="Q648" s="56" cm="1">
        <f t="array" aca="1" ref="Q648" ca="1">IF(L648&lt;=$C$16,0,IF($W$2&gt;=L648,IF(L648&lt;=($P$1+$C$16),INDIRECT("N"&amp;(L648-$C$16)+5),FV(SRate,L648-$P$1-$C$16,0,-$W$1,1)),0))</f>
        <v>0</v>
      </c>
      <c r="R648" s="56">
        <f t="shared" ca="1" si="76"/>
        <v>0</v>
      </c>
      <c r="S648" s="19">
        <f t="shared" si="78"/>
        <v>0</v>
      </c>
      <c r="T648" s="36" t="str" cm="1">
        <f t="array" aca="1" ref="T648" ca="1">IF(L648&lt;=$P$1,K648,IF(L648&lt;=($P$1+1),INDIRECT("K"&amp;5+$W$2),""))</f>
        <v/>
      </c>
      <c r="U648" s="38">
        <f t="shared" si="79"/>
        <v>54</v>
      </c>
    </row>
    <row r="649" spans="11:21" hidden="1" x14ac:dyDescent="0.25">
      <c r="K649" s="36">
        <f t="shared" ref="K649:K712" ca="1" si="81">EDATE(K648,1)</f>
        <v>65815</v>
      </c>
      <c r="L649" s="19">
        <v>644</v>
      </c>
      <c r="M649" s="19">
        <f t="shared" si="80"/>
        <v>0</v>
      </c>
      <c r="N649" s="37">
        <f t="shared" si="77"/>
        <v>0</v>
      </c>
      <c r="O649" s="37">
        <f t="shared" si="75"/>
        <v>0</v>
      </c>
      <c r="P649" s="55" cm="1">
        <f t="array" aca="1" ref="P649" ca="1">IF((L649-$C$16)&gt;0, IF($P$1+$C$16&gt;=L649,INDIRECT("M"&amp;(L649-$C$16)+5),0),0)</f>
        <v>0</v>
      </c>
      <c r="Q649" s="56" cm="1">
        <f t="array" aca="1" ref="Q649" ca="1">IF(L649&lt;=$C$16,0,IF($W$2&gt;=L649,IF(L649&lt;=($P$1+$C$16),INDIRECT("N"&amp;(L649-$C$16)+5),FV(SRate,L649-$P$1-$C$16,0,-$W$1,1)),0))</f>
        <v>0</v>
      </c>
      <c r="R649" s="56">
        <f t="shared" ca="1" si="76"/>
        <v>0</v>
      </c>
      <c r="S649" s="19">
        <f t="shared" si="78"/>
        <v>0</v>
      </c>
      <c r="T649" s="36" t="str" cm="1">
        <f t="array" aca="1" ref="T649" ca="1">IF(L649&lt;=$P$1,K649,IF(L649&lt;=($P$1+1),INDIRECT("K"&amp;5+$W$2),""))</f>
        <v/>
      </c>
      <c r="U649" s="38">
        <f t="shared" si="79"/>
        <v>54</v>
      </c>
    </row>
    <row r="650" spans="11:21" hidden="1" x14ac:dyDescent="0.25">
      <c r="K650" s="36">
        <f t="shared" ca="1" si="81"/>
        <v>65846</v>
      </c>
      <c r="L650" s="19">
        <v>645</v>
      </c>
      <c r="M650" s="19">
        <f t="shared" si="80"/>
        <v>0</v>
      </c>
      <c r="N650" s="37">
        <f t="shared" si="77"/>
        <v>0</v>
      </c>
      <c r="O650" s="37">
        <f t="shared" si="75"/>
        <v>0</v>
      </c>
      <c r="P650" s="55" cm="1">
        <f t="array" aca="1" ref="P650" ca="1">IF((L650-$C$16)&gt;0, IF($P$1+$C$16&gt;=L650,INDIRECT("M"&amp;(L650-$C$16)+5),0),0)</f>
        <v>0</v>
      </c>
      <c r="Q650" s="56" cm="1">
        <f t="array" aca="1" ref="Q650" ca="1">IF(L650&lt;=$C$16,0,IF($W$2&gt;=L650,IF(L650&lt;=($P$1+$C$16),INDIRECT("N"&amp;(L650-$C$16)+5),FV(SRate,L650-$P$1-$C$16,0,-$W$1,1)),0))</f>
        <v>0</v>
      </c>
      <c r="R650" s="56">
        <f t="shared" ca="1" si="76"/>
        <v>0</v>
      </c>
      <c r="S650" s="19">
        <f t="shared" si="78"/>
        <v>0</v>
      </c>
      <c r="T650" s="36" t="str" cm="1">
        <f t="array" aca="1" ref="T650" ca="1">IF(L650&lt;=$P$1,K650,IF(L650&lt;=($P$1+1),INDIRECT("K"&amp;5+$W$2),""))</f>
        <v/>
      </c>
      <c r="U650" s="38">
        <f t="shared" si="79"/>
        <v>54</v>
      </c>
    </row>
    <row r="651" spans="11:21" hidden="1" x14ac:dyDescent="0.25">
      <c r="K651" s="36">
        <f t="shared" ca="1" si="81"/>
        <v>65876</v>
      </c>
      <c r="L651" s="19">
        <v>646</v>
      </c>
      <c r="M651" s="19">
        <f t="shared" si="80"/>
        <v>0</v>
      </c>
      <c r="N651" s="37">
        <f t="shared" si="77"/>
        <v>0</v>
      </c>
      <c r="O651" s="37">
        <f t="shared" si="75"/>
        <v>0</v>
      </c>
      <c r="P651" s="55" cm="1">
        <f t="array" aca="1" ref="P651" ca="1">IF((L651-$C$16)&gt;0, IF($P$1+$C$16&gt;=L651,INDIRECT("M"&amp;(L651-$C$16)+5),0),0)</f>
        <v>0</v>
      </c>
      <c r="Q651" s="56" cm="1">
        <f t="array" aca="1" ref="Q651" ca="1">IF(L651&lt;=$C$16,0,IF($W$2&gt;=L651,IF(L651&lt;=($P$1+$C$16),INDIRECT("N"&amp;(L651-$C$16)+5),FV(SRate,L651-$P$1-$C$16,0,-$W$1,1)),0))</f>
        <v>0</v>
      </c>
      <c r="R651" s="56">
        <f t="shared" ca="1" si="76"/>
        <v>0</v>
      </c>
      <c r="S651" s="19">
        <f t="shared" si="78"/>
        <v>0</v>
      </c>
      <c r="T651" s="36" t="str" cm="1">
        <f t="array" aca="1" ref="T651" ca="1">IF(L651&lt;=$P$1,K651,IF(L651&lt;=($P$1+1),INDIRECT("K"&amp;5+$W$2),""))</f>
        <v/>
      </c>
      <c r="U651" s="38">
        <f t="shared" si="79"/>
        <v>54</v>
      </c>
    </row>
    <row r="652" spans="11:21" hidden="1" x14ac:dyDescent="0.25">
      <c r="K652" s="36">
        <f t="shared" ca="1" si="81"/>
        <v>65907</v>
      </c>
      <c r="L652" s="19">
        <v>647</v>
      </c>
      <c r="M652" s="19">
        <f t="shared" si="80"/>
        <v>0</v>
      </c>
      <c r="N652" s="37">
        <f t="shared" si="77"/>
        <v>0</v>
      </c>
      <c r="O652" s="37">
        <f t="shared" si="75"/>
        <v>0</v>
      </c>
      <c r="P652" s="55" cm="1">
        <f t="array" aca="1" ref="P652" ca="1">IF((L652-$C$16)&gt;0, IF($P$1+$C$16&gt;=L652,INDIRECT("M"&amp;(L652-$C$16)+5),0),0)</f>
        <v>0</v>
      </c>
      <c r="Q652" s="56" cm="1">
        <f t="array" aca="1" ref="Q652" ca="1">IF(L652&lt;=$C$16,0,IF($W$2&gt;=L652,IF(L652&lt;=($P$1+$C$16),INDIRECT("N"&amp;(L652-$C$16)+5),FV(SRate,L652-$P$1-$C$16,0,-$W$1,1)),0))</f>
        <v>0</v>
      </c>
      <c r="R652" s="56">
        <f t="shared" ca="1" si="76"/>
        <v>0</v>
      </c>
      <c r="S652" s="19">
        <f t="shared" si="78"/>
        <v>0</v>
      </c>
      <c r="T652" s="36" t="str" cm="1">
        <f t="array" aca="1" ref="T652" ca="1">IF(L652&lt;=$P$1,K652,IF(L652&lt;=($P$1+1),INDIRECT("K"&amp;5+$W$2),""))</f>
        <v/>
      </c>
      <c r="U652" s="38">
        <f t="shared" si="79"/>
        <v>54</v>
      </c>
    </row>
    <row r="653" spans="11:21" hidden="1" x14ac:dyDescent="0.25">
      <c r="K653" s="36">
        <f t="shared" ca="1" si="81"/>
        <v>65937</v>
      </c>
      <c r="L653" s="19">
        <v>648</v>
      </c>
      <c r="M653" s="19">
        <f t="shared" si="80"/>
        <v>0</v>
      </c>
      <c r="N653" s="37">
        <f t="shared" si="77"/>
        <v>0</v>
      </c>
      <c r="O653" s="37">
        <f t="shared" si="75"/>
        <v>0</v>
      </c>
      <c r="P653" s="55" cm="1">
        <f t="array" aca="1" ref="P653" ca="1">IF((L653-$C$16)&gt;0, IF($P$1+$C$16&gt;=L653,INDIRECT("M"&amp;(L653-$C$16)+5),0),0)</f>
        <v>0</v>
      </c>
      <c r="Q653" s="56" cm="1">
        <f t="array" aca="1" ref="Q653" ca="1">IF(L653&lt;=$C$16,0,IF($W$2&gt;=L653,IF(L653&lt;=($P$1+$C$16),INDIRECT("N"&amp;(L653-$C$16)+5),FV(SRate,L653-$P$1-$C$16,0,-$W$1,1)),0))</f>
        <v>0</v>
      </c>
      <c r="R653" s="56">
        <f t="shared" ca="1" si="76"/>
        <v>0</v>
      </c>
      <c r="S653" s="19">
        <f t="shared" si="78"/>
        <v>0</v>
      </c>
      <c r="T653" s="36" t="str" cm="1">
        <f t="array" aca="1" ref="T653" ca="1">IF(L653&lt;=$P$1,K653,IF(L653&lt;=($P$1+1),INDIRECT("K"&amp;5+$W$2),""))</f>
        <v/>
      </c>
      <c r="U653" s="38">
        <f t="shared" si="79"/>
        <v>54</v>
      </c>
    </row>
    <row r="654" spans="11:21" hidden="1" x14ac:dyDescent="0.25">
      <c r="K654" s="36">
        <f t="shared" ca="1" si="81"/>
        <v>65968</v>
      </c>
      <c r="L654" s="19">
        <v>649</v>
      </c>
      <c r="M654" s="19">
        <f t="shared" si="80"/>
        <v>0</v>
      </c>
      <c r="N654" s="37">
        <f t="shared" si="77"/>
        <v>0</v>
      </c>
      <c r="O654" s="37">
        <f t="shared" si="75"/>
        <v>0</v>
      </c>
      <c r="P654" s="55" cm="1">
        <f t="array" aca="1" ref="P654" ca="1">IF((L654-$C$16)&gt;0, IF($P$1+$C$16&gt;=L654,INDIRECT("M"&amp;(L654-$C$16)+5),0),0)</f>
        <v>0</v>
      </c>
      <c r="Q654" s="56" cm="1">
        <f t="array" aca="1" ref="Q654" ca="1">IF(L654&lt;=$C$16,0,IF($W$2&gt;=L654,IF(L654&lt;=($P$1+$C$16),INDIRECT("N"&amp;(L654-$C$16)+5),FV(SRate,L654-$P$1-$C$16,0,-$W$1,1)),0))</f>
        <v>0</v>
      </c>
      <c r="R654" s="56">
        <f t="shared" ca="1" si="76"/>
        <v>0</v>
      </c>
      <c r="S654" s="19">
        <f t="shared" si="78"/>
        <v>0</v>
      </c>
      <c r="T654" s="36" t="str" cm="1">
        <f t="array" aca="1" ref="T654" ca="1">IF(L654&lt;=$P$1,K654,IF(L654&lt;=($P$1+1),INDIRECT("K"&amp;5+$W$2),""))</f>
        <v/>
      </c>
      <c r="U654" s="38">
        <f t="shared" si="79"/>
        <v>55</v>
      </c>
    </row>
    <row r="655" spans="11:21" hidden="1" x14ac:dyDescent="0.25">
      <c r="K655" s="36">
        <f t="shared" ca="1" si="81"/>
        <v>65999</v>
      </c>
      <c r="L655" s="19">
        <v>650</v>
      </c>
      <c r="M655" s="19">
        <f t="shared" si="80"/>
        <v>0</v>
      </c>
      <c r="N655" s="37">
        <f t="shared" si="77"/>
        <v>0</v>
      </c>
      <c r="O655" s="37">
        <f t="shared" si="75"/>
        <v>0</v>
      </c>
      <c r="P655" s="55" cm="1">
        <f t="array" aca="1" ref="P655" ca="1">IF((L655-$C$16)&gt;0, IF($P$1+$C$16&gt;=L655,INDIRECT("M"&amp;(L655-$C$16)+5),0),0)</f>
        <v>0</v>
      </c>
      <c r="Q655" s="56" cm="1">
        <f t="array" aca="1" ref="Q655" ca="1">IF(L655&lt;=$C$16,0,IF($W$2&gt;=L655,IF(L655&lt;=($P$1+$C$16),INDIRECT("N"&amp;(L655-$C$16)+5),FV(SRate,L655-$P$1-$C$16,0,-$W$1,1)),0))</f>
        <v>0</v>
      </c>
      <c r="R655" s="56">
        <f t="shared" ca="1" si="76"/>
        <v>0</v>
      </c>
      <c r="S655" s="19">
        <f t="shared" si="78"/>
        <v>0</v>
      </c>
      <c r="T655" s="36" t="str" cm="1">
        <f t="array" aca="1" ref="T655" ca="1">IF(L655&lt;=$P$1,K655,IF(L655&lt;=($P$1+1),INDIRECT("K"&amp;5+$W$2),""))</f>
        <v/>
      </c>
      <c r="U655" s="38">
        <f t="shared" si="79"/>
        <v>55</v>
      </c>
    </row>
    <row r="656" spans="11:21" hidden="1" x14ac:dyDescent="0.25">
      <c r="K656" s="36">
        <f t="shared" ca="1" si="81"/>
        <v>66029</v>
      </c>
      <c r="L656" s="19">
        <v>651</v>
      </c>
      <c r="M656" s="19">
        <f t="shared" si="80"/>
        <v>0</v>
      </c>
      <c r="N656" s="37">
        <f t="shared" si="77"/>
        <v>0</v>
      </c>
      <c r="O656" s="37">
        <f t="shared" si="75"/>
        <v>0</v>
      </c>
      <c r="P656" s="55" cm="1">
        <f t="array" aca="1" ref="P656" ca="1">IF((L656-$C$16)&gt;0, IF($P$1+$C$16&gt;=L656,INDIRECT("M"&amp;(L656-$C$16)+5),0),0)</f>
        <v>0</v>
      </c>
      <c r="Q656" s="56" cm="1">
        <f t="array" aca="1" ref="Q656" ca="1">IF(L656&lt;=$C$16,0,IF($W$2&gt;=L656,IF(L656&lt;=($P$1+$C$16),INDIRECT("N"&amp;(L656-$C$16)+5),FV(SRate,L656-$P$1-$C$16,0,-$W$1,1)),0))</f>
        <v>0</v>
      </c>
      <c r="R656" s="56">
        <f t="shared" ca="1" si="76"/>
        <v>0</v>
      </c>
      <c r="S656" s="19">
        <f t="shared" si="78"/>
        <v>0</v>
      </c>
      <c r="T656" s="36" t="str" cm="1">
        <f t="array" aca="1" ref="T656" ca="1">IF(L656&lt;=$P$1,K656,IF(L656&lt;=($P$1+1),INDIRECT("K"&amp;5+$W$2),""))</f>
        <v/>
      </c>
      <c r="U656" s="38">
        <f t="shared" si="79"/>
        <v>55</v>
      </c>
    </row>
    <row r="657" spans="11:21" hidden="1" x14ac:dyDescent="0.25">
      <c r="K657" s="36">
        <f t="shared" ca="1" si="81"/>
        <v>66060</v>
      </c>
      <c r="L657" s="19">
        <v>652</v>
      </c>
      <c r="M657" s="19">
        <f t="shared" si="80"/>
        <v>0</v>
      </c>
      <c r="N657" s="37">
        <f t="shared" si="77"/>
        <v>0</v>
      </c>
      <c r="O657" s="37">
        <f t="shared" si="75"/>
        <v>0</v>
      </c>
      <c r="P657" s="55" cm="1">
        <f t="array" aca="1" ref="P657" ca="1">IF((L657-$C$16)&gt;0, IF($P$1+$C$16&gt;=L657,INDIRECT("M"&amp;(L657-$C$16)+5),0),0)</f>
        <v>0</v>
      </c>
      <c r="Q657" s="56" cm="1">
        <f t="array" aca="1" ref="Q657" ca="1">IF(L657&lt;=$C$16,0,IF($W$2&gt;=L657,IF(L657&lt;=($P$1+$C$16),INDIRECT("N"&amp;(L657-$C$16)+5),FV(SRate,L657-$P$1-$C$16,0,-$W$1,1)),0))</f>
        <v>0</v>
      </c>
      <c r="R657" s="56">
        <f t="shared" ca="1" si="76"/>
        <v>0</v>
      </c>
      <c r="S657" s="19">
        <f t="shared" si="78"/>
        <v>0</v>
      </c>
      <c r="T657" s="36" t="str" cm="1">
        <f t="array" aca="1" ref="T657" ca="1">IF(L657&lt;=$P$1,K657,IF(L657&lt;=($P$1+1),INDIRECT("K"&amp;5+$W$2),""))</f>
        <v/>
      </c>
      <c r="U657" s="38">
        <f t="shared" si="79"/>
        <v>55</v>
      </c>
    </row>
    <row r="658" spans="11:21" hidden="1" x14ac:dyDescent="0.25">
      <c r="K658" s="36">
        <f t="shared" ca="1" si="81"/>
        <v>66090</v>
      </c>
      <c r="L658" s="19">
        <v>653</v>
      </c>
      <c r="M658" s="19">
        <f t="shared" si="80"/>
        <v>0</v>
      </c>
      <c r="N658" s="37">
        <f t="shared" si="77"/>
        <v>0</v>
      </c>
      <c r="O658" s="37">
        <f t="shared" si="75"/>
        <v>0</v>
      </c>
      <c r="P658" s="55" cm="1">
        <f t="array" aca="1" ref="P658" ca="1">IF((L658-$C$16)&gt;0, IF($P$1+$C$16&gt;=L658,INDIRECT("M"&amp;(L658-$C$16)+5),0),0)</f>
        <v>0</v>
      </c>
      <c r="Q658" s="56" cm="1">
        <f t="array" aca="1" ref="Q658" ca="1">IF(L658&lt;=$C$16,0,IF($W$2&gt;=L658,IF(L658&lt;=($P$1+$C$16),INDIRECT("N"&amp;(L658-$C$16)+5),FV(SRate,L658-$P$1-$C$16,0,-$W$1,1)),0))</f>
        <v>0</v>
      </c>
      <c r="R658" s="56">
        <f t="shared" ca="1" si="76"/>
        <v>0</v>
      </c>
      <c r="S658" s="19">
        <f t="shared" si="78"/>
        <v>0</v>
      </c>
      <c r="T658" s="36" t="str" cm="1">
        <f t="array" aca="1" ref="T658" ca="1">IF(L658&lt;=$P$1,K658,IF(L658&lt;=($P$1+1),INDIRECT("K"&amp;5+$W$2),""))</f>
        <v/>
      </c>
      <c r="U658" s="38">
        <f t="shared" si="79"/>
        <v>55</v>
      </c>
    </row>
    <row r="659" spans="11:21" hidden="1" x14ac:dyDescent="0.25">
      <c r="K659" s="36">
        <f t="shared" ca="1" si="81"/>
        <v>66121</v>
      </c>
      <c r="L659" s="19">
        <v>654</v>
      </c>
      <c r="M659" s="19">
        <f t="shared" si="80"/>
        <v>0</v>
      </c>
      <c r="N659" s="37">
        <f t="shared" si="77"/>
        <v>0</v>
      </c>
      <c r="O659" s="37">
        <f t="shared" si="75"/>
        <v>0</v>
      </c>
      <c r="P659" s="55" cm="1">
        <f t="array" aca="1" ref="P659" ca="1">IF((L659-$C$16)&gt;0, IF($P$1+$C$16&gt;=L659,INDIRECT("M"&amp;(L659-$C$16)+5),0),0)</f>
        <v>0</v>
      </c>
      <c r="Q659" s="56" cm="1">
        <f t="array" aca="1" ref="Q659" ca="1">IF(L659&lt;=$C$16,0,IF($W$2&gt;=L659,IF(L659&lt;=($P$1+$C$16),INDIRECT("N"&amp;(L659-$C$16)+5),FV(SRate,L659-$P$1-$C$16,0,-$W$1,1)),0))</f>
        <v>0</v>
      </c>
      <c r="R659" s="56">
        <f t="shared" ca="1" si="76"/>
        <v>0</v>
      </c>
      <c r="S659" s="19">
        <f t="shared" si="78"/>
        <v>0</v>
      </c>
      <c r="T659" s="36" t="str" cm="1">
        <f t="array" aca="1" ref="T659" ca="1">IF(L659&lt;=$P$1,K659,IF(L659&lt;=($P$1+1),INDIRECT("K"&amp;5+$W$2),""))</f>
        <v/>
      </c>
      <c r="U659" s="38">
        <f t="shared" si="79"/>
        <v>55</v>
      </c>
    </row>
    <row r="660" spans="11:21" hidden="1" x14ac:dyDescent="0.25">
      <c r="K660" s="36">
        <f t="shared" ca="1" si="81"/>
        <v>66152</v>
      </c>
      <c r="L660" s="19">
        <v>655</v>
      </c>
      <c r="M660" s="19">
        <f t="shared" si="80"/>
        <v>0</v>
      </c>
      <c r="N660" s="37">
        <f t="shared" si="77"/>
        <v>0</v>
      </c>
      <c r="O660" s="37">
        <f t="shared" si="75"/>
        <v>0</v>
      </c>
      <c r="P660" s="55" cm="1">
        <f t="array" aca="1" ref="P660" ca="1">IF((L660-$C$16)&gt;0, IF($P$1+$C$16&gt;=L660,INDIRECT("M"&amp;(L660-$C$16)+5),0),0)</f>
        <v>0</v>
      </c>
      <c r="Q660" s="56" cm="1">
        <f t="array" aca="1" ref="Q660" ca="1">IF(L660&lt;=$C$16,0,IF($W$2&gt;=L660,IF(L660&lt;=($P$1+$C$16),INDIRECT("N"&amp;(L660-$C$16)+5),FV(SRate,L660-$P$1-$C$16,0,-$W$1,1)),0))</f>
        <v>0</v>
      </c>
      <c r="R660" s="56">
        <f t="shared" ca="1" si="76"/>
        <v>0</v>
      </c>
      <c r="S660" s="19">
        <f t="shared" si="78"/>
        <v>0</v>
      </c>
      <c r="T660" s="36" t="str" cm="1">
        <f t="array" aca="1" ref="T660" ca="1">IF(L660&lt;=$P$1,K660,IF(L660&lt;=($P$1+1),INDIRECT("K"&amp;5+$W$2),""))</f>
        <v/>
      </c>
      <c r="U660" s="38">
        <f t="shared" si="79"/>
        <v>55</v>
      </c>
    </row>
    <row r="661" spans="11:21" hidden="1" x14ac:dyDescent="0.25">
      <c r="K661" s="36">
        <f t="shared" ca="1" si="81"/>
        <v>66180</v>
      </c>
      <c r="L661" s="19">
        <v>656</v>
      </c>
      <c r="M661" s="19">
        <f t="shared" si="80"/>
        <v>0</v>
      </c>
      <c r="N661" s="37">
        <f t="shared" si="77"/>
        <v>0</v>
      </c>
      <c r="O661" s="37">
        <f t="shared" si="75"/>
        <v>0</v>
      </c>
      <c r="P661" s="55" cm="1">
        <f t="array" aca="1" ref="P661" ca="1">IF((L661-$C$16)&gt;0, IF($P$1+$C$16&gt;=L661,INDIRECT("M"&amp;(L661-$C$16)+5),0),0)</f>
        <v>0</v>
      </c>
      <c r="Q661" s="56" cm="1">
        <f t="array" aca="1" ref="Q661" ca="1">IF(L661&lt;=$C$16,0,IF($W$2&gt;=L661,IF(L661&lt;=($P$1+$C$16),INDIRECT("N"&amp;(L661-$C$16)+5),FV(SRate,L661-$P$1-$C$16,0,-$W$1,1)),0))</f>
        <v>0</v>
      </c>
      <c r="R661" s="56">
        <f t="shared" ca="1" si="76"/>
        <v>0</v>
      </c>
      <c r="S661" s="19">
        <f t="shared" si="78"/>
        <v>0</v>
      </c>
      <c r="T661" s="36" t="str" cm="1">
        <f t="array" aca="1" ref="T661" ca="1">IF(L661&lt;=$P$1,K661,IF(L661&lt;=($P$1+1),INDIRECT("K"&amp;5+$W$2),""))</f>
        <v/>
      </c>
      <c r="U661" s="38">
        <f t="shared" si="79"/>
        <v>55</v>
      </c>
    </row>
    <row r="662" spans="11:21" hidden="1" x14ac:dyDescent="0.25">
      <c r="K662" s="36">
        <f t="shared" ca="1" si="81"/>
        <v>66211</v>
      </c>
      <c r="L662" s="19">
        <v>657</v>
      </c>
      <c r="M662" s="19">
        <f t="shared" si="80"/>
        <v>0</v>
      </c>
      <c r="N662" s="37">
        <f t="shared" si="77"/>
        <v>0</v>
      </c>
      <c r="O662" s="37">
        <f t="shared" si="75"/>
        <v>0</v>
      </c>
      <c r="P662" s="55" cm="1">
        <f t="array" aca="1" ref="P662" ca="1">IF((L662-$C$16)&gt;0, IF($P$1+$C$16&gt;=L662,INDIRECT("M"&amp;(L662-$C$16)+5),0),0)</f>
        <v>0</v>
      </c>
      <c r="Q662" s="56" cm="1">
        <f t="array" aca="1" ref="Q662" ca="1">IF(L662&lt;=$C$16,0,IF($W$2&gt;=L662,IF(L662&lt;=($P$1+$C$16),INDIRECT("N"&amp;(L662-$C$16)+5),FV(SRate,L662-$P$1-$C$16,0,-$W$1,1)),0))</f>
        <v>0</v>
      </c>
      <c r="R662" s="56">
        <f t="shared" ca="1" si="76"/>
        <v>0</v>
      </c>
      <c r="S662" s="19">
        <f t="shared" si="78"/>
        <v>0</v>
      </c>
      <c r="T662" s="36" t="str" cm="1">
        <f t="array" aca="1" ref="T662" ca="1">IF(L662&lt;=$P$1,K662,IF(L662&lt;=($P$1+1),INDIRECT("K"&amp;5+$W$2),""))</f>
        <v/>
      </c>
      <c r="U662" s="38">
        <f t="shared" si="79"/>
        <v>55</v>
      </c>
    </row>
    <row r="663" spans="11:21" hidden="1" x14ac:dyDescent="0.25">
      <c r="K663" s="36">
        <f t="shared" ca="1" si="81"/>
        <v>66241</v>
      </c>
      <c r="L663" s="19">
        <v>658</v>
      </c>
      <c r="M663" s="19">
        <f t="shared" si="80"/>
        <v>0</v>
      </c>
      <c r="N663" s="37">
        <f t="shared" si="77"/>
        <v>0</v>
      </c>
      <c r="O663" s="37">
        <f t="shared" si="75"/>
        <v>0</v>
      </c>
      <c r="P663" s="55" cm="1">
        <f t="array" aca="1" ref="P663" ca="1">IF((L663-$C$16)&gt;0, IF($P$1+$C$16&gt;=L663,INDIRECT("M"&amp;(L663-$C$16)+5),0),0)</f>
        <v>0</v>
      </c>
      <c r="Q663" s="56" cm="1">
        <f t="array" aca="1" ref="Q663" ca="1">IF(L663&lt;=$C$16,0,IF($W$2&gt;=L663,IF(L663&lt;=($P$1+$C$16),INDIRECT("N"&amp;(L663-$C$16)+5),FV(SRate,L663-$P$1-$C$16,0,-$W$1,1)),0))</f>
        <v>0</v>
      </c>
      <c r="R663" s="56">
        <f t="shared" ca="1" si="76"/>
        <v>0</v>
      </c>
      <c r="S663" s="19">
        <f t="shared" si="78"/>
        <v>0</v>
      </c>
      <c r="T663" s="36" t="str" cm="1">
        <f t="array" aca="1" ref="T663" ca="1">IF(L663&lt;=$P$1,K663,IF(L663&lt;=($P$1+1),INDIRECT("K"&amp;5+$W$2),""))</f>
        <v/>
      </c>
      <c r="U663" s="38">
        <f t="shared" si="79"/>
        <v>55</v>
      </c>
    </row>
    <row r="664" spans="11:21" hidden="1" x14ac:dyDescent="0.25">
      <c r="K664" s="36">
        <f t="shared" ca="1" si="81"/>
        <v>66272</v>
      </c>
      <c r="L664" s="19">
        <v>659</v>
      </c>
      <c r="M664" s="19">
        <f t="shared" si="80"/>
        <v>0</v>
      </c>
      <c r="N664" s="37">
        <f t="shared" si="77"/>
        <v>0</v>
      </c>
      <c r="O664" s="37">
        <f t="shared" si="75"/>
        <v>0</v>
      </c>
      <c r="P664" s="55" cm="1">
        <f t="array" aca="1" ref="P664" ca="1">IF((L664-$C$16)&gt;0, IF($P$1+$C$16&gt;=L664,INDIRECT("M"&amp;(L664-$C$16)+5),0),0)</f>
        <v>0</v>
      </c>
      <c r="Q664" s="56" cm="1">
        <f t="array" aca="1" ref="Q664" ca="1">IF(L664&lt;=$C$16,0,IF($W$2&gt;=L664,IF(L664&lt;=($P$1+$C$16),INDIRECT("N"&amp;(L664-$C$16)+5),FV(SRate,L664-$P$1-$C$16,0,-$W$1,1)),0))</f>
        <v>0</v>
      </c>
      <c r="R664" s="56">
        <f t="shared" ca="1" si="76"/>
        <v>0</v>
      </c>
      <c r="S664" s="19">
        <f t="shared" si="78"/>
        <v>0</v>
      </c>
      <c r="T664" s="36" t="str" cm="1">
        <f t="array" aca="1" ref="T664" ca="1">IF(L664&lt;=$P$1,K664,IF(L664&lt;=($P$1+1),INDIRECT("K"&amp;5+$W$2),""))</f>
        <v/>
      </c>
      <c r="U664" s="38">
        <f t="shared" si="79"/>
        <v>55</v>
      </c>
    </row>
    <row r="665" spans="11:21" hidden="1" x14ac:dyDescent="0.25">
      <c r="K665" s="36">
        <f t="shared" ca="1" si="81"/>
        <v>66302</v>
      </c>
      <c r="L665" s="19">
        <v>660</v>
      </c>
      <c r="M665" s="19">
        <f t="shared" si="80"/>
        <v>0</v>
      </c>
      <c r="N665" s="37">
        <f t="shared" si="77"/>
        <v>0</v>
      </c>
      <c r="O665" s="37">
        <f t="shared" si="75"/>
        <v>0</v>
      </c>
      <c r="P665" s="55" cm="1">
        <f t="array" aca="1" ref="P665" ca="1">IF((L665-$C$16)&gt;0, IF($P$1+$C$16&gt;=L665,INDIRECT("M"&amp;(L665-$C$16)+5),0),0)</f>
        <v>0</v>
      </c>
      <c r="Q665" s="56" cm="1">
        <f t="array" aca="1" ref="Q665" ca="1">IF(L665&lt;=$C$16,0,IF($W$2&gt;=L665,IF(L665&lt;=($P$1+$C$16),INDIRECT("N"&amp;(L665-$C$16)+5),FV(SRate,L665-$P$1-$C$16,0,-$W$1,1)),0))</f>
        <v>0</v>
      </c>
      <c r="R665" s="56">
        <f t="shared" ca="1" si="76"/>
        <v>0</v>
      </c>
      <c r="S665" s="19">
        <f t="shared" si="78"/>
        <v>0</v>
      </c>
      <c r="T665" s="36" t="str" cm="1">
        <f t="array" aca="1" ref="T665" ca="1">IF(L665&lt;=$P$1,K665,IF(L665&lt;=($P$1+1),INDIRECT("K"&amp;5+$W$2),""))</f>
        <v/>
      </c>
      <c r="U665" s="38">
        <f t="shared" si="79"/>
        <v>55</v>
      </c>
    </row>
    <row r="666" spans="11:21" hidden="1" x14ac:dyDescent="0.25">
      <c r="K666" s="36">
        <f t="shared" ca="1" si="81"/>
        <v>66333</v>
      </c>
      <c r="L666" s="19">
        <v>661</v>
      </c>
      <c r="M666" s="19">
        <f t="shared" si="80"/>
        <v>0</v>
      </c>
      <c r="N666" s="37">
        <f t="shared" si="77"/>
        <v>0</v>
      </c>
      <c r="O666" s="37">
        <f t="shared" si="75"/>
        <v>0</v>
      </c>
      <c r="P666" s="55" cm="1">
        <f t="array" aca="1" ref="P666" ca="1">IF((L666-$C$16)&gt;0, IF($P$1+$C$16&gt;=L666,INDIRECT("M"&amp;(L666-$C$16)+5),0),0)</f>
        <v>0</v>
      </c>
      <c r="Q666" s="56" cm="1">
        <f t="array" aca="1" ref="Q666" ca="1">IF(L666&lt;=$C$16,0,IF($W$2&gt;=L666,IF(L666&lt;=($P$1+$C$16),INDIRECT("N"&amp;(L666-$C$16)+5),FV(SRate,L666-$P$1-$C$16,0,-$W$1,1)),0))</f>
        <v>0</v>
      </c>
      <c r="R666" s="56">
        <f t="shared" ca="1" si="76"/>
        <v>0</v>
      </c>
      <c r="S666" s="19">
        <f t="shared" si="78"/>
        <v>0</v>
      </c>
      <c r="T666" s="36" t="str" cm="1">
        <f t="array" aca="1" ref="T666" ca="1">IF(L666&lt;=$P$1,K666,IF(L666&lt;=($P$1+1),INDIRECT("K"&amp;5+$W$2),""))</f>
        <v/>
      </c>
      <c r="U666" s="38">
        <f t="shared" si="79"/>
        <v>56</v>
      </c>
    </row>
    <row r="667" spans="11:21" hidden="1" x14ac:dyDescent="0.25">
      <c r="K667" s="36">
        <f t="shared" ca="1" si="81"/>
        <v>66364</v>
      </c>
      <c r="L667" s="19">
        <v>662</v>
      </c>
      <c r="M667" s="19">
        <f t="shared" si="80"/>
        <v>0</v>
      </c>
      <c r="N667" s="37">
        <f t="shared" si="77"/>
        <v>0</v>
      </c>
      <c r="O667" s="37">
        <f t="shared" si="75"/>
        <v>0</v>
      </c>
      <c r="P667" s="55" cm="1">
        <f t="array" aca="1" ref="P667" ca="1">IF((L667-$C$16)&gt;0, IF($P$1+$C$16&gt;=L667,INDIRECT("M"&amp;(L667-$C$16)+5),0),0)</f>
        <v>0</v>
      </c>
      <c r="Q667" s="56" cm="1">
        <f t="array" aca="1" ref="Q667" ca="1">IF(L667&lt;=$C$16,0,IF($W$2&gt;=L667,IF(L667&lt;=($P$1+$C$16),INDIRECT("N"&amp;(L667-$C$16)+5),FV(SRate,L667-$P$1-$C$16,0,-$W$1,1)),0))</f>
        <v>0</v>
      </c>
      <c r="R667" s="56">
        <f t="shared" ca="1" si="76"/>
        <v>0</v>
      </c>
      <c r="S667" s="19">
        <f t="shared" si="78"/>
        <v>0</v>
      </c>
      <c r="T667" s="36" t="str" cm="1">
        <f t="array" aca="1" ref="T667" ca="1">IF(L667&lt;=$P$1,K667,IF(L667&lt;=($P$1+1),INDIRECT("K"&amp;5+$W$2),""))</f>
        <v/>
      </c>
      <c r="U667" s="38">
        <f t="shared" si="79"/>
        <v>56</v>
      </c>
    </row>
    <row r="668" spans="11:21" hidden="1" x14ac:dyDescent="0.25">
      <c r="K668" s="36">
        <f t="shared" ca="1" si="81"/>
        <v>66394</v>
      </c>
      <c r="L668" s="19">
        <v>663</v>
      </c>
      <c r="M668" s="19">
        <f t="shared" si="80"/>
        <v>0</v>
      </c>
      <c r="N668" s="37">
        <f t="shared" si="77"/>
        <v>0</v>
      </c>
      <c r="O668" s="37">
        <f t="shared" si="75"/>
        <v>0</v>
      </c>
      <c r="P668" s="55" cm="1">
        <f t="array" aca="1" ref="P668" ca="1">IF((L668-$C$16)&gt;0, IF($P$1+$C$16&gt;=L668,INDIRECT("M"&amp;(L668-$C$16)+5),0),0)</f>
        <v>0</v>
      </c>
      <c r="Q668" s="56" cm="1">
        <f t="array" aca="1" ref="Q668" ca="1">IF(L668&lt;=$C$16,0,IF($W$2&gt;=L668,IF(L668&lt;=($P$1+$C$16),INDIRECT("N"&amp;(L668-$C$16)+5),FV(SRate,L668-$P$1-$C$16,0,-$W$1,1)),0))</f>
        <v>0</v>
      </c>
      <c r="R668" s="56">
        <f t="shared" ca="1" si="76"/>
        <v>0</v>
      </c>
      <c r="S668" s="19">
        <f t="shared" si="78"/>
        <v>0</v>
      </c>
      <c r="T668" s="36" t="str" cm="1">
        <f t="array" aca="1" ref="T668" ca="1">IF(L668&lt;=$P$1,K668,IF(L668&lt;=($P$1+1),INDIRECT("K"&amp;5+$W$2),""))</f>
        <v/>
      </c>
      <c r="U668" s="38">
        <f t="shared" si="79"/>
        <v>56</v>
      </c>
    </row>
    <row r="669" spans="11:21" hidden="1" x14ac:dyDescent="0.25">
      <c r="K669" s="36">
        <f t="shared" ca="1" si="81"/>
        <v>66425</v>
      </c>
      <c r="L669" s="19">
        <v>664</v>
      </c>
      <c r="M669" s="19">
        <f t="shared" si="80"/>
        <v>0</v>
      </c>
      <c r="N669" s="37">
        <f t="shared" si="77"/>
        <v>0</v>
      </c>
      <c r="O669" s="37">
        <f t="shared" si="75"/>
        <v>0</v>
      </c>
      <c r="P669" s="55" cm="1">
        <f t="array" aca="1" ref="P669" ca="1">IF((L669-$C$16)&gt;0, IF($P$1+$C$16&gt;=L669,INDIRECT("M"&amp;(L669-$C$16)+5),0),0)</f>
        <v>0</v>
      </c>
      <c r="Q669" s="56" cm="1">
        <f t="array" aca="1" ref="Q669" ca="1">IF(L669&lt;=$C$16,0,IF($W$2&gt;=L669,IF(L669&lt;=($P$1+$C$16),INDIRECT("N"&amp;(L669-$C$16)+5),FV(SRate,L669-$P$1-$C$16,0,-$W$1,1)),0))</f>
        <v>0</v>
      </c>
      <c r="R669" s="56">
        <f t="shared" ca="1" si="76"/>
        <v>0</v>
      </c>
      <c r="S669" s="19">
        <f t="shared" si="78"/>
        <v>0</v>
      </c>
      <c r="T669" s="36" t="str" cm="1">
        <f t="array" aca="1" ref="T669" ca="1">IF(L669&lt;=$P$1,K669,IF(L669&lt;=($P$1+1),INDIRECT("K"&amp;5+$W$2),""))</f>
        <v/>
      </c>
      <c r="U669" s="38">
        <f t="shared" si="79"/>
        <v>56</v>
      </c>
    </row>
    <row r="670" spans="11:21" hidden="1" x14ac:dyDescent="0.25">
      <c r="K670" s="36">
        <f t="shared" ca="1" si="81"/>
        <v>66455</v>
      </c>
      <c r="L670" s="19">
        <v>665</v>
      </c>
      <c r="M670" s="19">
        <f t="shared" si="80"/>
        <v>0</v>
      </c>
      <c r="N670" s="37">
        <f t="shared" si="77"/>
        <v>0</v>
      </c>
      <c r="O670" s="37">
        <f t="shared" si="75"/>
        <v>0</v>
      </c>
      <c r="P670" s="55" cm="1">
        <f t="array" aca="1" ref="P670" ca="1">IF((L670-$C$16)&gt;0, IF($P$1+$C$16&gt;=L670,INDIRECT("M"&amp;(L670-$C$16)+5),0),0)</f>
        <v>0</v>
      </c>
      <c r="Q670" s="56" cm="1">
        <f t="array" aca="1" ref="Q670" ca="1">IF(L670&lt;=$C$16,0,IF($W$2&gt;=L670,IF(L670&lt;=($P$1+$C$16),INDIRECT("N"&amp;(L670-$C$16)+5),FV(SRate,L670-$P$1-$C$16,0,-$W$1,1)),0))</f>
        <v>0</v>
      </c>
      <c r="R670" s="56">
        <f t="shared" ca="1" si="76"/>
        <v>0</v>
      </c>
      <c r="S670" s="19">
        <f t="shared" si="78"/>
        <v>0</v>
      </c>
      <c r="T670" s="36" t="str" cm="1">
        <f t="array" aca="1" ref="T670" ca="1">IF(L670&lt;=$P$1,K670,IF(L670&lt;=($P$1+1),INDIRECT("K"&amp;5+$W$2),""))</f>
        <v/>
      </c>
      <c r="U670" s="38">
        <f t="shared" si="79"/>
        <v>56</v>
      </c>
    </row>
    <row r="671" spans="11:21" hidden="1" x14ac:dyDescent="0.25">
      <c r="K671" s="36">
        <f t="shared" ca="1" si="81"/>
        <v>66486</v>
      </c>
      <c r="L671" s="19">
        <v>666</v>
      </c>
      <c r="M671" s="19">
        <f t="shared" si="80"/>
        <v>0</v>
      </c>
      <c r="N671" s="37">
        <f t="shared" si="77"/>
        <v>0</v>
      </c>
      <c r="O671" s="37">
        <f t="shared" si="75"/>
        <v>0</v>
      </c>
      <c r="P671" s="55" cm="1">
        <f t="array" aca="1" ref="P671" ca="1">IF((L671-$C$16)&gt;0, IF($P$1+$C$16&gt;=L671,INDIRECT("M"&amp;(L671-$C$16)+5),0),0)</f>
        <v>0</v>
      </c>
      <c r="Q671" s="56" cm="1">
        <f t="array" aca="1" ref="Q671" ca="1">IF(L671&lt;=$C$16,0,IF($W$2&gt;=L671,IF(L671&lt;=($P$1+$C$16),INDIRECT("N"&amp;(L671-$C$16)+5),FV(SRate,L671-$P$1-$C$16,0,-$W$1,1)),0))</f>
        <v>0</v>
      </c>
      <c r="R671" s="56">
        <f t="shared" ca="1" si="76"/>
        <v>0</v>
      </c>
      <c r="S671" s="19">
        <f t="shared" si="78"/>
        <v>0</v>
      </c>
      <c r="T671" s="36" t="str" cm="1">
        <f t="array" aca="1" ref="T671" ca="1">IF(L671&lt;=$P$1,K671,IF(L671&lt;=($P$1+1),INDIRECT("K"&amp;5+$W$2),""))</f>
        <v/>
      </c>
      <c r="U671" s="38">
        <f t="shared" si="79"/>
        <v>56</v>
      </c>
    </row>
    <row r="672" spans="11:21" hidden="1" x14ac:dyDescent="0.25">
      <c r="K672" s="36">
        <f t="shared" ca="1" si="81"/>
        <v>66517</v>
      </c>
      <c r="L672" s="19">
        <v>667</v>
      </c>
      <c r="M672" s="19">
        <f t="shared" si="80"/>
        <v>0</v>
      </c>
      <c r="N672" s="37">
        <f t="shared" si="77"/>
        <v>0</v>
      </c>
      <c r="O672" s="37">
        <f t="shared" si="75"/>
        <v>0</v>
      </c>
      <c r="P672" s="55" cm="1">
        <f t="array" aca="1" ref="P672" ca="1">IF((L672-$C$16)&gt;0, IF($P$1+$C$16&gt;=L672,INDIRECT("M"&amp;(L672-$C$16)+5),0),0)</f>
        <v>0</v>
      </c>
      <c r="Q672" s="56" cm="1">
        <f t="array" aca="1" ref="Q672" ca="1">IF(L672&lt;=$C$16,0,IF($W$2&gt;=L672,IF(L672&lt;=($P$1+$C$16),INDIRECT("N"&amp;(L672-$C$16)+5),FV(SRate,L672-$P$1-$C$16,0,-$W$1,1)),0))</f>
        <v>0</v>
      </c>
      <c r="R672" s="56">
        <f t="shared" ca="1" si="76"/>
        <v>0</v>
      </c>
      <c r="S672" s="19">
        <f t="shared" si="78"/>
        <v>0</v>
      </c>
      <c r="T672" s="36" t="str" cm="1">
        <f t="array" aca="1" ref="T672" ca="1">IF(L672&lt;=$P$1,K672,IF(L672&lt;=($P$1+1),INDIRECT("K"&amp;5+$W$2),""))</f>
        <v/>
      </c>
      <c r="U672" s="38">
        <f t="shared" si="79"/>
        <v>56</v>
      </c>
    </row>
    <row r="673" spans="11:21" hidden="1" x14ac:dyDescent="0.25">
      <c r="K673" s="36">
        <f t="shared" ca="1" si="81"/>
        <v>66545</v>
      </c>
      <c r="L673" s="19">
        <v>668</v>
      </c>
      <c r="M673" s="19">
        <f t="shared" si="80"/>
        <v>0</v>
      </c>
      <c r="N673" s="37">
        <f t="shared" si="77"/>
        <v>0</v>
      </c>
      <c r="O673" s="37">
        <f t="shared" si="75"/>
        <v>0</v>
      </c>
      <c r="P673" s="55" cm="1">
        <f t="array" aca="1" ref="P673" ca="1">IF((L673-$C$16)&gt;0, IF($P$1+$C$16&gt;=L673,INDIRECT("M"&amp;(L673-$C$16)+5),0),0)</f>
        <v>0</v>
      </c>
      <c r="Q673" s="56" cm="1">
        <f t="array" aca="1" ref="Q673" ca="1">IF(L673&lt;=$C$16,0,IF($W$2&gt;=L673,IF(L673&lt;=($P$1+$C$16),INDIRECT("N"&amp;(L673-$C$16)+5),FV(SRate,L673-$P$1-$C$16,0,-$W$1,1)),0))</f>
        <v>0</v>
      </c>
      <c r="R673" s="56">
        <f t="shared" ca="1" si="76"/>
        <v>0</v>
      </c>
      <c r="S673" s="19">
        <f t="shared" si="78"/>
        <v>0</v>
      </c>
      <c r="T673" s="36" t="str" cm="1">
        <f t="array" aca="1" ref="T673" ca="1">IF(L673&lt;=$P$1,K673,IF(L673&lt;=($P$1+1),INDIRECT("K"&amp;5+$W$2),""))</f>
        <v/>
      </c>
      <c r="U673" s="38">
        <f t="shared" si="79"/>
        <v>56</v>
      </c>
    </row>
    <row r="674" spans="11:21" hidden="1" x14ac:dyDescent="0.25">
      <c r="K674" s="36">
        <f t="shared" ca="1" si="81"/>
        <v>66576</v>
      </c>
      <c r="L674" s="19">
        <v>669</v>
      </c>
      <c r="M674" s="19">
        <f t="shared" si="80"/>
        <v>0</v>
      </c>
      <c r="N674" s="37">
        <f t="shared" si="77"/>
        <v>0</v>
      </c>
      <c r="O674" s="37">
        <f t="shared" si="75"/>
        <v>0</v>
      </c>
      <c r="P674" s="55" cm="1">
        <f t="array" aca="1" ref="P674" ca="1">IF((L674-$C$16)&gt;0, IF($P$1+$C$16&gt;=L674,INDIRECT("M"&amp;(L674-$C$16)+5),0),0)</f>
        <v>0</v>
      </c>
      <c r="Q674" s="56" cm="1">
        <f t="array" aca="1" ref="Q674" ca="1">IF(L674&lt;=$C$16,0,IF($W$2&gt;=L674,IF(L674&lt;=($P$1+$C$16),INDIRECT("N"&amp;(L674-$C$16)+5),FV(SRate,L674-$P$1-$C$16,0,-$W$1,1)),0))</f>
        <v>0</v>
      </c>
      <c r="R674" s="56">
        <f t="shared" ca="1" si="76"/>
        <v>0</v>
      </c>
      <c r="S674" s="19">
        <f t="shared" si="78"/>
        <v>0</v>
      </c>
      <c r="T674" s="36" t="str" cm="1">
        <f t="array" aca="1" ref="T674" ca="1">IF(L674&lt;=$P$1,K674,IF(L674&lt;=($P$1+1),INDIRECT("K"&amp;5+$W$2),""))</f>
        <v/>
      </c>
      <c r="U674" s="38">
        <f t="shared" si="79"/>
        <v>56</v>
      </c>
    </row>
    <row r="675" spans="11:21" hidden="1" x14ac:dyDescent="0.25">
      <c r="K675" s="36">
        <f t="shared" ca="1" si="81"/>
        <v>66606</v>
      </c>
      <c r="L675" s="19">
        <v>670</v>
      </c>
      <c r="M675" s="19">
        <f t="shared" si="80"/>
        <v>0</v>
      </c>
      <c r="N675" s="37">
        <f t="shared" si="77"/>
        <v>0</v>
      </c>
      <c r="O675" s="37">
        <f t="shared" si="75"/>
        <v>0</v>
      </c>
      <c r="P675" s="55" cm="1">
        <f t="array" aca="1" ref="P675" ca="1">IF((L675-$C$16)&gt;0, IF($P$1+$C$16&gt;=L675,INDIRECT("M"&amp;(L675-$C$16)+5),0),0)</f>
        <v>0</v>
      </c>
      <c r="Q675" s="56" cm="1">
        <f t="array" aca="1" ref="Q675" ca="1">IF(L675&lt;=$C$16,0,IF($W$2&gt;=L675,IF(L675&lt;=($P$1+$C$16),INDIRECT("N"&amp;(L675-$C$16)+5),FV(SRate,L675-$P$1-$C$16,0,-$W$1,1)),0))</f>
        <v>0</v>
      </c>
      <c r="R675" s="56">
        <f t="shared" ca="1" si="76"/>
        <v>0</v>
      </c>
      <c r="S675" s="19">
        <f t="shared" si="78"/>
        <v>0</v>
      </c>
      <c r="T675" s="36" t="str" cm="1">
        <f t="array" aca="1" ref="T675" ca="1">IF(L675&lt;=$P$1,K675,IF(L675&lt;=($P$1+1),INDIRECT("K"&amp;5+$W$2),""))</f>
        <v/>
      </c>
      <c r="U675" s="38">
        <f t="shared" si="79"/>
        <v>56</v>
      </c>
    </row>
    <row r="676" spans="11:21" hidden="1" x14ac:dyDescent="0.25">
      <c r="K676" s="36">
        <f t="shared" ca="1" si="81"/>
        <v>66637</v>
      </c>
      <c r="L676" s="19">
        <v>671</v>
      </c>
      <c r="M676" s="19">
        <f t="shared" si="80"/>
        <v>0</v>
      </c>
      <c r="N676" s="37">
        <f t="shared" si="77"/>
        <v>0</v>
      </c>
      <c r="O676" s="37">
        <f t="shared" si="75"/>
        <v>0</v>
      </c>
      <c r="P676" s="55" cm="1">
        <f t="array" aca="1" ref="P676" ca="1">IF((L676-$C$16)&gt;0, IF($P$1+$C$16&gt;=L676,INDIRECT("M"&amp;(L676-$C$16)+5),0),0)</f>
        <v>0</v>
      </c>
      <c r="Q676" s="56" cm="1">
        <f t="array" aca="1" ref="Q676" ca="1">IF(L676&lt;=$C$16,0,IF($W$2&gt;=L676,IF(L676&lt;=($P$1+$C$16),INDIRECT("N"&amp;(L676-$C$16)+5),FV(SRate,L676-$P$1-$C$16,0,-$W$1,1)),0))</f>
        <v>0</v>
      </c>
      <c r="R676" s="56">
        <f t="shared" ca="1" si="76"/>
        <v>0</v>
      </c>
      <c r="S676" s="19">
        <f t="shared" si="78"/>
        <v>0</v>
      </c>
      <c r="T676" s="36" t="str" cm="1">
        <f t="array" aca="1" ref="T676" ca="1">IF(L676&lt;=$P$1,K676,IF(L676&lt;=($P$1+1),INDIRECT("K"&amp;5+$W$2),""))</f>
        <v/>
      </c>
      <c r="U676" s="38">
        <f t="shared" si="79"/>
        <v>56</v>
      </c>
    </row>
    <row r="677" spans="11:21" hidden="1" x14ac:dyDescent="0.25">
      <c r="K677" s="36">
        <f t="shared" ca="1" si="81"/>
        <v>66667</v>
      </c>
      <c r="L677" s="19">
        <v>672</v>
      </c>
      <c r="M677" s="19">
        <f t="shared" si="80"/>
        <v>0</v>
      </c>
      <c r="N677" s="37">
        <f t="shared" si="77"/>
        <v>0</v>
      </c>
      <c r="O677" s="37">
        <f t="shared" si="75"/>
        <v>0</v>
      </c>
      <c r="P677" s="55" cm="1">
        <f t="array" aca="1" ref="P677" ca="1">IF((L677-$C$16)&gt;0, IF($P$1+$C$16&gt;=L677,INDIRECT("M"&amp;(L677-$C$16)+5),0),0)</f>
        <v>0</v>
      </c>
      <c r="Q677" s="56" cm="1">
        <f t="array" aca="1" ref="Q677" ca="1">IF(L677&lt;=$C$16,0,IF($W$2&gt;=L677,IF(L677&lt;=($P$1+$C$16),INDIRECT("N"&amp;(L677-$C$16)+5),FV(SRate,L677-$P$1-$C$16,0,-$W$1,1)),0))</f>
        <v>0</v>
      </c>
      <c r="R677" s="56">
        <f t="shared" ca="1" si="76"/>
        <v>0</v>
      </c>
      <c r="S677" s="19">
        <f t="shared" si="78"/>
        <v>0</v>
      </c>
      <c r="T677" s="36" t="str" cm="1">
        <f t="array" aca="1" ref="T677" ca="1">IF(L677&lt;=$P$1,K677,IF(L677&lt;=($P$1+1),INDIRECT("K"&amp;5+$W$2),""))</f>
        <v/>
      </c>
      <c r="U677" s="38">
        <f t="shared" si="79"/>
        <v>56</v>
      </c>
    </row>
    <row r="678" spans="11:21" hidden="1" x14ac:dyDescent="0.25">
      <c r="K678" s="36">
        <f t="shared" ca="1" si="81"/>
        <v>66698</v>
      </c>
      <c r="L678" s="19">
        <v>673</v>
      </c>
      <c r="M678" s="19">
        <f t="shared" si="80"/>
        <v>0</v>
      </c>
      <c r="N678" s="37">
        <f t="shared" si="77"/>
        <v>0</v>
      </c>
      <c r="O678" s="37">
        <f t="shared" ref="O678:O741" si="82">N678/((1+SIPInflationRate)^(L678/12))</f>
        <v>0</v>
      </c>
      <c r="P678" s="55" cm="1">
        <f t="array" aca="1" ref="P678" ca="1">IF((L678-$C$16)&gt;0, IF($P$1+$C$16&gt;=L678,INDIRECT("M"&amp;(L678-$C$16)+5),0),0)</f>
        <v>0</v>
      </c>
      <c r="Q678" s="56" cm="1">
        <f t="array" aca="1" ref="Q678" ca="1">IF(L678&lt;=$C$16,0,IF($W$2&gt;=L678,IF(L678&lt;=($P$1+$C$16),INDIRECT("N"&amp;(L678-$C$16)+5),FV(SRate,L678-$P$1-$C$16,0,-$W$1,1)),0))</f>
        <v>0</v>
      </c>
      <c r="R678" s="56">
        <f t="shared" ca="1" si="76"/>
        <v>0</v>
      </c>
      <c r="S678" s="19">
        <f t="shared" si="78"/>
        <v>0</v>
      </c>
      <c r="T678" s="36" t="str" cm="1">
        <f t="array" aca="1" ref="T678" ca="1">IF(L678&lt;=$P$1,K678,IF(L678&lt;=($P$1+1),INDIRECT("K"&amp;5+$W$2),""))</f>
        <v/>
      </c>
      <c r="U678" s="38">
        <f t="shared" si="79"/>
        <v>57</v>
      </c>
    </row>
    <row r="679" spans="11:21" hidden="1" x14ac:dyDescent="0.25">
      <c r="K679" s="36">
        <f t="shared" ca="1" si="81"/>
        <v>66729</v>
      </c>
      <c r="L679" s="19">
        <v>674</v>
      </c>
      <c r="M679" s="19">
        <f t="shared" si="80"/>
        <v>0</v>
      </c>
      <c r="N679" s="37">
        <f t="shared" si="77"/>
        <v>0</v>
      </c>
      <c r="O679" s="37">
        <f t="shared" si="82"/>
        <v>0</v>
      </c>
      <c r="P679" s="55" cm="1">
        <f t="array" aca="1" ref="P679" ca="1">IF((L679-$C$16)&gt;0, IF($P$1+$C$16&gt;=L679,INDIRECT("M"&amp;(L679-$C$16)+5),0),0)</f>
        <v>0</v>
      </c>
      <c r="Q679" s="56" cm="1">
        <f t="array" aca="1" ref="Q679" ca="1">IF(L679&lt;=$C$16,0,IF($W$2&gt;=L679,IF(L679&lt;=($P$1+$C$16),INDIRECT("N"&amp;(L679-$C$16)+5),FV(SRate,L679-$P$1-$C$16,0,-$W$1,1)),0))</f>
        <v>0</v>
      </c>
      <c r="R679" s="56">
        <f t="shared" ca="1" si="76"/>
        <v>0</v>
      </c>
      <c r="S679" s="19">
        <f t="shared" si="78"/>
        <v>0</v>
      </c>
      <c r="T679" s="36" t="str" cm="1">
        <f t="array" aca="1" ref="T679" ca="1">IF(L679&lt;=$P$1,K679,IF(L679&lt;=($P$1+1),INDIRECT("K"&amp;5+$W$2),""))</f>
        <v/>
      </c>
      <c r="U679" s="38">
        <f t="shared" si="79"/>
        <v>57</v>
      </c>
    </row>
    <row r="680" spans="11:21" hidden="1" x14ac:dyDescent="0.25">
      <c r="K680" s="36">
        <f t="shared" ca="1" si="81"/>
        <v>66759</v>
      </c>
      <c r="L680" s="19">
        <v>675</v>
      </c>
      <c r="M680" s="19">
        <f t="shared" si="80"/>
        <v>0</v>
      </c>
      <c r="N680" s="37">
        <f t="shared" si="77"/>
        <v>0</v>
      </c>
      <c r="O680" s="37">
        <f t="shared" si="82"/>
        <v>0</v>
      </c>
      <c r="P680" s="55" cm="1">
        <f t="array" aca="1" ref="P680" ca="1">IF((L680-$C$16)&gt;0, IF($P$1+$C$16&gt;=L680,INDIRECT("M"&amp;(L680-$C$16)+5),0),0)</f>
        <v>0</v>
      </c>
      <c r="Q680" s="56" cm="1">
        <f t="array" aca="1" ref="Q680" ca="1">IF(L680&lt;=$C$16,0,IF($W$2&gt;=L680,IF(L680&lt;=($P$1+$C$16),INDIRECT("N"&amp;(L680-$C$16)+5),FV(SRate,L680-$P$1-$C$16,0,-$W$1,1)),0))</f>
        <v>0</v>
      </c>
      <c r="R680" s="56">
        <f t="shared" ca="1" si="76"/>
        <v>0</v>
      </c>
      <c r="S680" s="19">
        <f t="shared" si="78"/>
        <v>0</v>
      </c>
      <c r="T680" s="36" t="str" cm="1">
        <f t="array" aca="1" ref="T680" ca="1">IF(L680&lt;=$P$1,K680,IF(L680&lt;=($P$1+1),INDIRECT("K"&amp;5+$W$2),""))</f>
        <v/>
      </c>
      <c r="U680" s="38">
        <f t="shared" si="79"/>
        <v>57</v>
      </c>
    </row>
    <row r="681" spans="11:21" hidden="1" x14ac:dyDescent="0.25">
      <c r="K681" s="36">
        <f t="shared" ca="1" si="81"/>
        <v>66790</v>
      </c>
      <c r="L681" s="19">
        <v>676</v>
      </c>
      <c r="M681" s="19">
        <f t="shared" si="80"/>
        <v>0</v>
      </c>
      <c r="N681" s="37">
        <f t="shared" si="77"/>
        <v>0</v>
      </c>
      <c r="O681" s="37">
        <f t="shared" si="82"/>
        <v>0</v>
      </c>
      <c r="P681" s="55" cm="1">
        <f t="array" aca="1" ref="P681" ca="1">IF((L681-$C$16)&gt;0, IF($P$1+$C$16&gt;=L681,INDIRECT("M"&amp;(L681-$C$16)+5),0),0)</f>
        <v>0</v>
      </c>
      <c r="Q681" s="56" cm="1">
        <f t="array" aca="1" ref="Q681" ca="1">IF(L681&lt;=$C$16,0,IF($W$2&gt;=L681,IF(L681&lt;=($P$1+$C$16),INDIRECT("N"&amp;(L681-$C$16)+5),FV(SRate,L681-$P$1-$C$16,0,-$W$1,1)),0))</f>
        <v>0</v>
      </c>
      <c r="R681" s="56">
        <f t="shared" ca="1" si="76"/>
        <v>0</v>
      </c>
      <c r="S681" s="19">
        <f t="shared" si="78"/>
        <v>0</v>
      </c>
      <c r="T681" s="36" t="str" cm="1">
        <f t="array" aca="1" ref="T681" ca="1">IF(L681&lt;=$P$1,K681,IF(L681&lt;=($P$1+1),INDIRECT("K"&amp;5+$W$2),""))</f>
        <v/>
      </c>
      <c r="U681" s="38">
        <f t="shared" si="79"/>
        <v>57</v>
      </c>
    </row>
    <row r="682" spans="11:21" hidden="1" x14ac:dyDescent="0.25">
      <c r="K682" s="36">
        <f t="shared" ca="1" si="81"/>
        <v>66820</v>
      </c>
      <c r="L682" s="19">
        <v>677</v>
      </c>
      <c r="M682" s="19">
        <f t="shared" si="80"/>
        <v>0</v>
      </c>
      <c r="N682" s="37">
        <f t="shared" si="77"/>
        <v>0</v>
      </c>
      <c r="O682" s="37">
        <f t="shared" si="82"/>
        <v>0</v>
      </c>
      <c r="P682" s="55" cm="1">
        <f t="array" aca="1" ref="P682" ca="1">IF((L682-$C$16)&gt;0, IF($P$1+$C$16&gt;=L682,INDIRECT("M"&amp;(L682-$C$16)+5),0),0)</f>
        <v>0</v>
      </c>
      <c r="Q682" s="56" cm="1">
        <f t="array" aca="1" ref="Q682" ca="1">IF(L682&lt;=$C$16,0,IF($W$2&gt;=L682,IF(L682&lt;=($P$1+$C$16),INDIRECT("N"&amp;(L682-$C$16)+5),FV(SRate,L682-$P$1-$C$16,0,-$W$1,1)),0))</f>
        <v>0</v>
      </c>
      <c r="R682" s="56">
        <f t="shared" ca="1" si="76"/>
        <v>0</v>
      </c>
      <c r="S682" s="19">
        <f t="shared" si="78"/>
        <v>0</v>
      </c>
      <c r="T682" s="36" t="str" cm="1">
        <f t="array" aca="1" ref="T682" ca="1">IF(L682&lt;=$P$1,K682,IF(L682&lt;=($P$1+1),INDIRECT("K"&amp;5+$W$2),""))</f>
        <v/>
      </c>
      <c r="U682" s="38">
        <f t="shared" si="79"/>
        <v>57</v>
      </c>
    </row>
    <row r="683" spans="11:21" hidden="1" x14ac:dyDescent="0.25">
      <c r="K683" s="36">
        <f t="shared" ca="1" si="81"/>
        <v>66851</v>
      </c>
      <c r="L683" s="19">
        <v>678</v>
      </c>
      <c r="M683" s="19">
        <f t="shared" si="80"/>
        <v>0</v>
      </c>
      <c r="N683" s="37">
        <f t="shared" si="77"/>
        <v>0</v>
      </c>
      <c r="O683" s="37">
        <f t="shared" si="82"/>
        <v>0</v>
      </c>
      <c r="P683" s="55" cm="1">
        <f t="array" aca="1" ref="P683" ca="1">IF((L683-$C$16)&gt;0, IF($P$1+$C$16&gt;=L683,INDIRECT("M"&amp;(L683-$C$16)+5),0),0)</f>
        <v>0</v>
      </c>
      <c r="Q683" s="56" cm="1">
        <f t="array" aca="1" ref="Q683" ca="1">IF(L683&lt;=$C$16,0,IF($W$2&gt;=L683,IF(L683&lt;=($P$1+$C$16),INDIRECT("N"&amp;(L683-$C$16)+5),FV(SRate,L683-$P$1-$C$16,0,-$W$1,1)),0))</f>
        <v>0</v>
      </c>
      <c r="R683" s="56">
        <f t="shared" ca="1" si="76"/>
        <v>0</v>
      </c>
      <c r="S683" s="19">
        <f t="shared" si="78"/>
        <v>0</v>
      </c>
      <c r="T683" s="36" t="str" cm="1">
        <f t="array" aca="1" ref="T683" ca="1">IF(L683&lt;=$P$1,K683,IF(L683&lt;=($P$1+1),INDIRECT("K"&amp;5+$W$2),""))</f>
        <v/>
      </c>
      <c r="U683" s="38">
        <f t="shared" si="79"/>
        <v>57</v>
      </c>
    </row>
    <row r="684" spans="11:21" hidden="1" x14ac:dyDescent="0.25">
      <c r="K684" s="36">
        <f t="shared" ca="1" si="81"/>
        <v>66882</v>
      </c>
      <c r="L684" s="19">
        <v>679</v>
      </c>
      <c r="M684" s="19">
        <f t="shared" si="80"/>
        <v>0</v>
      </c>
      <c r="N684" s="37">
        <f t="shared" si="77"/>
        <v>0</v>
      </c>
      <c r="O684" s="37">
        <f t="shared" si="82"/>
        <v>0</v>
      </c>
      <c r="P684" s="55" cm="1">
        <f t="array" aca="1" ref="P684" ca="1">IF((L684-$C$16)&gt;0, IF($P$1+$C$16&gt;=L684,INDIRECT("M"&amp;(L684-$C$16)+5),0),0)</f>
        <v>0</v>
      </c>
      <c r="Q684" s="56" cm="1">
        <f t="array" aca="1" ref="Q684" ca="1">IF(L684&lt;=$C$16,0,IF($W$2&gt;=L684,IF(L684&lt;=($P$1+$C$16),INDIRECT("N"&amp;(L684-$C$16)+5),FV(SRate,L684-$P$1-$C$16,0,-$W$1,1)),0))</f>
        <v>0</v>
      </c>
      <c r="R684" s="56">
        <f t="shared" ca="1" si="76"/>
        <v>0</v>
      </c>
      <c r="S684" s="19">
        <f t="shared" si="78"/>
        <v>0</v>
      </c>
      <c r="T684" s="36" t="str" cm="1">
        <f t="array" aca="1" ref="T684" ca="1">IF(L684&lt;=$P$1,K684,IF(L684&lt;=($P$1+1),INDIRECT("K"&amp;5+$W$2),""))</f>
        <v/>
      </c>
      <c r="U684" s="38">
        <f t="shared" si="79"/>
        <v>57</v>
      </c>
    </row>
    <row r="685" spans="11:21" hidden="1" x14ac:dyDescent="0.25">
      <c r="K685" s="36">
        <f t="shared" ca="1" si="81"/>
        <v>66910</v>
      </c>
      <c r="L685" s="19">
        <v>680</v>
      </c>
      <c r="M685" s="19">
        <f t="shared" si="80"/>
        <v>0</v>
      </c>
      <c r="N685" s="37">
        <f t="shared" si="77"/>
        <v>0</v>
      </c>
      <c r="O685" s="37">
        <f t="shared" si="82"/>
        <v>0</v>
      </c>
      <c r="P685" s="55" cm="1">
        <f t="array" aca="1" ref="P685" ca="1">IF((L685-$C$16)&gt;0, IF($P$1+$C$16&gt;=L685,INDIRECT("M"&amp;(L685-$C$16)+5),0),0)</f>
        <v>0</v>
      </c>
      <c r="Q685" s="56" cm="1">
        <f t="array" aca="1" ref="Q685" ca="1">IF(L685&lt;=$C$16,0,IF($W$2&gt;=L685,IF(L685&lt;=($P$1+$C$16),INDIRECT("N"&amp;(L685-$C$16)+5),FV(SRate,L685-$P$1-$C$16,0,-$W$1,1)),0))</f>
        <v>0</v>
      </c>
      <c r="R685" s="56">
        <f t="shared" ca="1" si="76"/>
        <v>0</v>
      </c>
      <c r="S685" s="19">
        <f t="shared" si="78"/>
        <v>0</v>
      </c>
      <c r="T685" s="36" t="str" cm="1">
        <f t="array" aca="1" ref="T685" ca="1">IF(L685&lt;=$P$1,K685,IF(L685&lt;=($P$1+1),INDIRECT("K"&amp;5+$W$2),""))</f>
        <v/>
      </c>
      <c r="U685" s="38">
        <f t="shared" si="79"/>
        <v>57</v>
      </c>
    </row>
    <row r="686" spans="11:21" hidden="1" x14ac:dyDescent="0.25">
      <c r="K686" s="36">
        <f t="shared" ca="1" si="81"/>
        <v>66941</v>
      </c>
      <c r="L686" s="19">
        <v>681</v>
      </c>
      <c r="M686" s="19">
        <f t="shared" si="80"/>
        <v>0</v>
      </c>
      <c r="N686" s="37">
        <f t="shared" si="77"/>
        <v>0</v>
      </c>
      <c r="O686" s="37">
        <f t="shared" si="82"/>
        <v>0</v>
      </c>
      <c r="P686" s="55" cm="1">
        <f t="array" aca="1" ref="P686" ca="1">IF((L686-$C$16)&gt;0, IF($P$1+$C$16&gt;=L686,INDIRECT("M"&amp;(L686-$C$16)+5),0),0)</f>
        <v>0</v>
      </c>
      <c r="Q686" s="56" cm="1">
        <f t="array" aca="1" ref="Q686" ca="1">IF(L686&lt;=$C$16,0,IF($W$2&gt;=L686,IF(L686&lt;=($P$1+$C$16),INDIRECT("N"&amp;(L686-$C$16)+5),FV(SRate,L686-$P$1-$C$16,0,-$W$1,1)),0))</f>
        <v>0</v>
      </c>
      <c r="R686" s="56">
        <f t="shared" ca="1" si="76"/>
        <v>0</v>
      </c>
      <c r="S686" s="19">
        <f t="shared" si="78"/>
        <v>0</v>
      </c>
      <c r="T686" s="36" t="str" cm="1">
        <f t="array" aca="1" ref="T686" ca="1">IF(L686&lt;=$P$1,K686,IF(L686&lt;=($P$1+1),INDIRECT("K"&amp;5+$W$2),""))</f>
        <v/>
      </c>
      <c r="U686" s="38">
        <f t="shared" si="79"/>
        <v>57</v>
      </c>
    </row>
    <row r="687" spans="11:21" hidden="1" x14ac:dyDescent="0.25">
      <c r="K687" s="36">
        <f t="shared" ca="1" si="81"/>
        <v>66971</v>
      </c>
      <c r="L687" s="19">
        <v>682</v>
      </c>
      <c r="M687" s="19">
        <f t="shared" si="80"/>
        <v>0</v>
      </c>
      <c r="N687" s="37">
        <f t="shared" si="77"/>
        <v>0</v>
      </c>
      <c r="O687" s="37">
        <f t="shared" si="82"/>
        <v>0</v>
      </c>
      <c r="P687" s="55" cm="1">
        <f t="array" aca="1" ref="P687" ca="1">IF((L687-$C$16)&gt;0, IF($P$1+$C$16&gt;=L687,INDIRECT("M"&amp;(L687-$C$16)+5),0),0)</f>
        <v>0</v>
      </c>
      <c r="Q687" s="56" cm="1">
        <f t="array" aca="1" ref="Q687" ca="1">IF(L687&lt;=$C$16,0,IF($W$2&gt;=L687,IF(L687&lt;=($P$1+$C$16),INDIRECT("N"&amp;(L687-$C$16)+5),FV(SRate,L687-$P$1-$C$16,0,-$W$1,1)),0))</f>
        <v>0</v>
      </c>
      <c r="R687" s="56">
        <f t="shared" ca="1" si="76"/>
        <v>0</v>
      </c>
      <c r="S687" s="19">
        <f t="shared" si="78"/>
        <v>0</v>
      </c>
      <c r="T687" s="36" t="str" cm="1">
        <f t="array" aca="1" ref="T687" ca="1">IF(L687&lt;=$P$1,K687,IF(L687&lt;=($P$1+1),INDIRECT("K"&amp;5+$W$2),""))</f>
        <v/>
      </c>
      <c r="U687" s="38">
        <f t="shared" si="79"/>
        <v>57</v>
      </c>
    </row>
    <row r="688" spans="11:21" hidden="1" x14ac:dyDescent="0.25">
      <c r="K688" s="36">
        <f t="shared" ca="1" si="81"/>
        <v>67002</v>
      </c>
      <c r="L688" s="19">
        <v>683</v>
      </c>
      <c r="M688" s="19">
        <f t="shared" si="80"/>
        <v>0</v>
      </c>
      <c r="N688" s="37">
        <f t="shared" si="77"/>
        <v>0</v>
      </c>
      <c r="O688" s="37">
        <f t="shared" si="82"/>
        <v>0</v>
      </c>
      <c r="P688" s="55" cm="1">
        <f t="array" aca="1" ref="P688" ca="1">IF((L688-$C$16)&gt;0, IF($P$1+$C$16&gt;=L688,INDIRECT("M"&amp;(L688-$C$16)+5),0),0)</f>
        <v>0</v>
      </c>
      <c r="Q688" s="56" cm="1">
        <f t="array" aca="1" ref="Q688" ca="1">IF(L688&lt;=$C$16,0,IF($W$2&gt;=L688,IF(L688&lt;=($P$1+$C$16),INDIRECT("N"&amp;(L688-$C$16)+5),FV(SRate,L688-$P$1-$C$16,0,-$W$1,1)),0))</f>
        <v>0</v>
      </c>
      <c r="R688" s="56">
        <f t="shared" ca="1" si="76"/>
        <v>0</v>
      </c>
      <c r="S688" s="19">
        <f t="shared" si="78"/>
        <v>0</v>
      </c>
      <c r="T688" s="36" t="str" cm="1">
        <f t="array" aca="1" ref="T688" ca="1">IF(L688&lt;=$P$1,K688,IF(L688&lt;=($P$1+1),INDIRECT("K"&amp;5+$W$2),""))</f>
        <v/>
      </c>
      <c r="U688" s="38">
        <f t="shared" si="79"/>
        <v>57</v>
      </c>
    </row>
    <row r="689" spans="11:21" hidden="1" x14ac:dyDescent="0.25">
      <c r="K689" s="36">
        <f t="shared" ca="1" si="81"/>
        <v>67032</v>
      </c>
      <c r="L689" s="19">
        <v>684</v>
      </c>
      <c r="M689" s="19">
        <f t="shared" si="80"/>
        <v>0</v>
      </c>
      <c r="N689" s="37">
        <f t="shared" si="77"/>
        <v>0</v>
      </c>
      <c r="O689" s="37">
        <f t="shared" si="82"/>
        <v>0</v>
      </c>
      <c r="P689" s="55" cm="1">
        <f t="array" aca="1" ref="P689" ca="1">IF((L689-$C$16)&gt;0, IF($P$1+$C$16&gt;=L689,INDIRECT("M"&amp;(L689-$C$16)+5),0),0)</f>
        <v>0</v>
      </c>
      <c r="Q689" s="56" cm="1">
        <f t="array" aca="1" ref="Q689" ca="1">IF(L689&lt;=$C$16,0,IF($W$2&gt;=L689,IF(L689&lt;=($P$1+$C$16),INDIRECT("N"&amp;(L689-$C$16)+5),FV(SRate,L689-$P$1-$C$16,0,-$W$1,1)),0))</f>
        <v>0</v>
      </c>
      <c r="R689" s="56">
        <f t="shared" ca="1" si="76"/>
        <v>0</v>
      </c>
      <c r="S689" s="19">
        <f t="shared" si="78"/>
        <v>0</v>
      </c>
      <c r="T689" s="36" t="str" cm="1">
        <f t="array" aca="1" ref="T689" ca="1">IF(L689&lt;=$P$1,K689,IF(L689&lt;=($P$1+1),INDIRECT("K"&amp;5+$W$2),""))</f>
        <v/>
      </c>
      <c r="U689" s="38">
        <f t="shared" si="79"/>
        <v>57</v>
      </c>
    </row>
    <row r="690" spans="11:21" hidden="1" x14ac:dyDescent="0.25">
      <c r="K690" s="36">
        <f t="shared" ca="1" si="81"/>
        <v>67063</v>
      </c>
      <c r="L690" s="19">
        <v>685</v>
      </c>
      <c r="M690" s="19">
        <f t="shared" si="80"/>
        <v>0</v>
      </c>
      <c r="N690" s="37">
        <f t="shared" si="77"/>
        <v>0</v>
      </c>
      <c r="O690" s="37">
        <f t="shared" si="82"/>
        <v>0</v>
      </c>
      <c r="P690" s="55" cm="1">
        <f t="array" aca="1" ref="P690" ca="1">IF((L690-$C$16)&gt;0, IF($P$1+$C$16&gt;=L690,INDIRECT("M"&amp;(L690-$C$16)+5),0),0)</f>
        <v>0</v>
      </c>
      <c r="Q690" s="56" cm="1">
        <f t="array" aca="1" ref="Q690" ca="1">IF(L690&lt;=$C$16,0,IF($W$2&gt;=L690,IF(L690&lt;=($P$1+$C$16),INDIRECT("N"&amp;(L690-$C$16)+5),FV(SRate,L690-$P$1-$C$16,0,-$W$1,1)),0))</f>
        <v>0</v>
      </c>
      <c r="R690" s="56">
        <f t="shared" ca="1" si="76"/>
        <v>0</v>
      </c>
      <c r="S690" s="19">
        <f t="shared" si="78"/>
        <v>0</v>
      </c>
      <c r="T690" s="36" t="str" cm="1">
        <f t="array" aca="1" ref="T690" ca="1">IF(L690&lt;=$P$1,K690,IF(L690&lt;=($P$1+1),INDIRECT("K"&amp;5+$W$2),""))</f>
        <v/>
      </c>
      <c r="U690" s="38">
        <f t="shared" si="79"/>
        <v>58</v>
      </c>
    </row>
    <row r="691" spans="11:21" hidden="1" x14ac:dyDescent="0.25">
      <c r="K691" s="36">
        <f t="shared" ca="1" si="81"/>
        <v>67094</v>
      </c>
      <c r="L691" s="19">
        <v>686</v>
      </c>
      <c r="M691" s="19">
        <f t="shared" si="80"/>
        <v>0</v>
      </c>
      <c r="N691" s="37">
        <f t="shared" si="77"/>
        <v>0</v>
      </c>
      <c r="O691" s="37">
        <f t="shared" si="82"/>
        <v>0</v>
      </c>
      <c r="P691" s="55" cm="1">
        <f t="array" aca="1" ref="P691" ca="1">IF((L691-$C$16)&gt;0, IF($P$1+$C$16&gt;=L691,INDIRECT("M"&amp;(L691-$C$16)+5),0),0)</f>
        <v>0</v>
      </c>
      <c r="Q691" s="56" cm="1">
        <f t="array" aca="1" ref="Q691" ca="1">IF(L691&lt;=$C$16,0,IF($W$2&gt;=L691,IF(L691&lt;=($P$1+$C$16),INDIRECT("N"&amp;(L691-$C$16)+5),FV(SRate,L691-$P$1-$C$16,0,-$W$1,1)),0))</f>
        <v>0</v>
      </c>
      <c r="R691" s="56">
        <f t="shared" ca="1" si="76"/>
        <v>0</v>
      </c>
      <c r="S691" s="19">
        <f t="shared" si="78"/>
        <v>0</v>
      </c>
      <c r="T691" s="36" t="str" cm="1">
        <f t="array" aca="1" ref="T691" ca="1">IF(L691&lt;=$P$1,K691,IF(L691&lt;=($P$1+1),INDIRECT("K"&amp;5+$W$2),""))</f>
        <v/>
      </c>
      <c r="U691" s="38">
        <f t="shared" si="79"/>
        <v>58</v>
      </c>
    </row>
    <row r="692" spans="11:21" hidden="1" x14ac:dyDescent="0.25">
      <c r="K692" s="36">
        <f t="shared" ca="1" si="81"/>
        <v>67124</v>
      </c>
      <c r="L692" s="19">
        <v>687</v>
      </c>
      <c r="M692" s="19">
        <f t="shared" si="80"/>
        <v>0</v>
      </c>
      <c r="N692" s="37">
        <f t="shared" si="77"/>
        <v>0</v>
      </c>
      <c r="O692" s="37">
        <f t="shared" si="82"/>
        <v>0</v>
      </c>
      <c r="P692" s="55" cm="1">
        <f t="array" aca="1" ref="P692" ca="1">IF((L692-$C$16)&gt;0, IF($P$1+$C$16&gt;=L692,INDIRECT("M"&amp;(L692-$C$16)+5),0),0)</f>
        <v>0</v>
      </c>
      <c r="Q692" s="56" cm="1">
        <f t="array" aca="1" ref="Q692" ca="1">IF(L692&lt;=$C$16,0,IF($W$2&gt;=L692,IF(L692&lt;=($P$1+$C$16),INDIRECT("N"&amp;(L692-$C$16)+5),FV(SRate,L692-$P$1-$C$16,0,-$W$1,1)),0))</f>
        <v>0</v>
      </c>
      <c r="R692" s="56">
        <f t="shared" ca="1" si="76"/>
        <v>0</v>
      </c>
      <c r="S692" s="19">
        <f t="shared" si="78"/>
        <v>0</v>
      </c>
      <c r="T692" s="36" t="str" cm="1">
        <f t="array" aca="1" ref="T692" ca="1">IF(L692&lt;=$P$1,K692,IF(L692&lt;=($P$1+1),INDIRECT("K"&amp;5+$W$2),""))</f>
        <v/>
      </c>
      <c r="U692" s="38">
        <f t="shared" si="79"/>
        <v>58</v>
      </c>
    </row>
    <row r="693" spans="11:21" hidden="1" x14ac:dyDescent="0.25">
      <c r="K693" s="36">
        <f t="shared" ca="1" si="81"/>
        <v>67155</v>
      </c>
      <c r="L693" s="19">
        <v>688</v>
      </c>
      <c r="M693" s="19">
        <f t="shared" si="80"/>
        <v>0</v>
      </c>
      <c r="N693" s="37">
        <f t="shared" si="77"/>
        <v>0</v>
      </c>
      <c r="O693" s="37">
        <f t="shared" si="82"/>
        <v>0</v>
      </c>
      <c r="P693" s="55" cm="1">
        <f t="array" aca="1" ref="P693" ca="1">IF((L693-$C$16)&gt;0, IF($P$1+$C$16&gt;=L693,INDIRECT("M"&amp;(L693-$C$16)+5),0),0)</f>
        <v>0</v>
      </c>
      <c r="Q693" s="56" cm="1">
        <f t="array" aca="1" ref="Q693" ca="1">IF(L693&lt;=$C$16,0,IF($W$2&gt;=L693,IF(L693&lt;=($P$1+$C$16),INDIRECT("N"&amp;(L693-$C$16)+5),FV(SRate,L693-$P$1-$C$16,0,-$W$1,1)),0))</f>
        <v>0</v>
      </c>
      <c r="R693" s="56">
        <f t="shared" ca="1" si="76"/>
        <v>0</v>
      </c>
      <c r="S693" s="19">
        <f t="shared" si="78"/>
        <v>0</v>
      </c>
      <c r="T693" s="36" t="str" cm="1">
        <f t="array" aca="1" ref="T693" ca="1">IF(L693&lt;=$P$1,K693,IF(L693&lt;=($P$1+1),INDIRECT("K"&amp;5+$W$2),""))</f>
        <v/>
      </c>
      <c r="U693" s="38">
        <f t="shared" si="79"/>
        <v>58</v>
      </c>
    </row>
    <row r="694" spans="11:21" hidden="1" x14ac:dyDescent="0.25">
      <c r="K694" s="36">
        <f t="shared" ca="1" si="81"/>
        <v>67185</v>
      </c>
      <c r="L694" s="19">
        <v>689</v>
      </c>
      <c r="M694" s="19">
        <f t="shared" si="80"/>
        <v>0</v>
      </c>
      <c r="N694" s="37">
        <f t="shared" si="77"/>
        <v>0</v>
      </c>
      <c r="O694" s="37">
        <f t="shared" si="82"/>
        <v>0</v>
      </c>
      <c r="P694" s="55" cm="1">
        <f t="array" aca="1" ref="P694" ca="1">IF((L694-$C$16)&gt;0, IF($P$1+$C$16&gt;=L694,INDIRECT("M"&amp;(L694-$C$16)+5),0),0)</f>
        <v>0</v>
      </c>
      <c r="Q694" s="56" cm="1">
        <f t="array" aca="1" ref="Q694" ca="1">IF(L694&lt;=$C$16,0,IF($W$2&gt;=L694,IF(L694&lt;=($P$1+$C$16),INDIRECT("N"&amp;(L694-$C$16)+5),FV(SRate,L694-$P$1-$C$16,0,-$W$1,1)),0))</f>
        <v>0</v>
      </c>
      <c r="R694" s="56">
        <f t="shared" ca="1" si="76"/>
        <v>0</v>
      </c>
      <c r="S694" s="19">
        <f t="shared" si="78"/>
        <v>0</v>
      </c>
      <c r="T694" s="36" t="str" cm="1">
        <f t="array" aca="1" ref="T694" ca="1">IF(L694&lt;=$P$1,K694,IF(L694&lt;=($P$1+1),INDIRECT("K"&amp;5+$W$2),""))</f>
        <v/>
      </c>
      <c r="U694" s="38">
        <f t="shared" si="79"/>
        <v>58</v>
      </c>
    </row>
    <row r="695" spans="11:21" hidden="1" x14ac:dyDescent="0.25">
      <c r="K695" s="36">
        <f t="shared" ca="1" si="81"/>
        <v>67216</v>
      </c>
      <c r="L695" s="19">
        <v>690</v>
      </c>
      <c r="M695" s="19">
        <f t="shared" si="80"/>
        <v>0</v>
      </c>
      <c r="N695" s="37">
        <f t="shared" si="77"/>
        <v>0</v>
      </c>
      <c r="O695" s="37">
        <f t="shared" si="82"/>
        <v>0</v>
      </c>
      <c r="P695" s="55" cm="1">
        <f t="array" aca="1" ref="P695" ca="1">IF((L695-$C$16)&gt;0, IF($P$1+$C$16&gt;=L695,INDIRECT("M"&amp;(L695-$C$16)+5),0),0)</f>
        <v>0</v>
      </c>
      <c r="Q695" s="56" cm="1">
        <f t="array" aca="1" ref="Q695" ca="1">IF(L695&lt;=$C$16,0,IF($W$2&gt;=L695,IF(L695&lt;=($P$1+$C$16),INDIRECT("N"&amp;(L695-$C$16)+5),FV(SRate,L695-$P$1-$C$16,0,-$W$1,1)),0))</f>
        <v>0</v>
      </c>
      <c r="R695" s="56">
        <f t="shared" ca="1" si="76"/>
        <v>0</v>
      </c>
      <c r="S695" s="19">
        <f t="shared" si="78"/>
        <v>0</v>
      </c>
      <c r="T695" s="36" t="str" cm="1">
        <f t="array" aca="1" ref="T695" ca="1">IF(L695&lt;=$P$1,K695,IF(L695&lt;=($P$1+1),INDIRECT("K"&amp;5+$W$2),""))</f>
        <v/>
      </c>
      <c r="U695" s="38">
        <f t="shared" si="79"/>
        <v>58</v>
      </c>
    </row>
    <row r="696" spans="11:21" hidden="1" x14ac:dyDescent="0.25">
      <c r="K696" s="36">
        <f t="shared" ca="1" si="81"/>
        <v>67247</v>
      </c>
      <c r="L696" s="19">
        <v>691</v>
      </c>
      <c r="M696" s="19">
        <f t="shared" si="80"/>
        <v>0</v>
      </c>
      <c r="N696" s="37">
        <f t="shared" si="77"/>
        <v>0</v>
      </c>
      <c r="O696" s="37">
        <f t="shared" si="82"/>
        <v>0</v>
      </c>
      <c r="P696" s="55" cm="1">
        <f t="array" aca="1" ref="P696" ca="1">IF((L696-$C$16)&gt;0, IF($P$1+$C$16&gt;=L696,INDIRECT("M"&amp;(L696-$C$16)+5),0),0)</f>
        <v>0</v>
      </c>
      <c r="Q696" s="56" cm="1">
        <f t="array" aca="1" ref="Q696" ca="1">IF(L696&lt;=$C$16,0,IF($W$2&gt;=L696,IF(L696&lt;=($P$1+$C$16),INDIRECT("N"&amp;(L696-$C$16)+5),FV(SRate,L696-$P$1-$C$16,0,-$W$1,1)),0))</f>
        <v>0</v>
      </c>
      <c r="R696" s="56">
        <f t="shared" ca="1" si="76"/>
        <v>0</v>
      </c>
      <c r="S696" s="19">
        <f t="shared" si="78"/>
        <v>0</v>
      </c>
      <c r="T696" s="36" t="str" cm="1">
        <f t="array" aca="1" ref="T696" ca="1">IF(L696&lt;=$P$1,K696,IF(L696&lt;=($P$1+1),INDIRECT("K"&amp;5+$W$2),""))</f>
        <v/>
      </c>
      <c r="U696" s="38">
        <f t="shared" si="79"/>
        <v>58</v>
      </c>
    </row>
    <row r="697" spans="11:21" hidden="1" x14ac:dyDescent="0.25">
      <c r="K697" s="36">
        <f t="shared" ca="1" si="81"/>
        <v>67276</v>
      </c>
      <c r="L697" s="19">
        <v>692</v>
      </c>
      <c r="M697" s="19">
        <f t="shared" si="80"/>
        <v>0</v>
      </c>
      <c r="N697" s="37">
        <f t="shared" si="77"/>
        <v>0</v>
      </c>
      <c r="O697" s="37">
        <f t="shared" si="82"/>
        <v>0</v>
      </c>
      <c r="P697" s="55" cm="1">
        <f t="array" aca="1" ref="P697" ca="1">IF((L697-$C$16)&gt;0, IF($P$1+$C$16&gt;=L697,INDIRECT("M"&amp;(L697-$C$16)+5),0),0)</f>
        <v>0</v>
      </c>
      <c r="Q697" s="56" cm="1">
        <f t="array" aca="1" ref="Q697" ca="1">IF(L697&lt;=$C$16,0,IF($W$2&gt;=L697,IF(L697&lt;=($P$1+$C$16),INDIRECT("N"&amp;(L697-$C$16)+5),FV(SRate,L697-$P$1-$C$16,0,-$W$1,1)),0))</f>
        <v>0</v>
      </c>
      <c r="R697" s="56">
        <f t="shared" ca="1" si="76"/>
        <v>0</v>
      </c>
      <c r="S697" s="19">
        <f t="shared" si="78"/>
        <v>0</v>
      </c>
      <c r="T697" s="36" t="str" cm="1">
        <f t="array" aca="1" ref="T697" ca="1">IF(L697&lt;=$P$1,K697,IF(L697&lt;=($P$1+1),INDIRECT("K"&amp;5+$W$2),""))</f>
        <v/>
      </c>
      <c r="U697" s="38">
        <f t="shared" si="79"/>
        <v>58</v>
      </c>
    </row>
    <row r="698" spans="11:21" hidden="1" x14ac:dyDescent="0.25">
      <c r="K698" s="36">
        <f t="shared" ca="1" si="81"/>
        <v>67307</v>
      </c>
      <c r="L698" s="19">
        <v>693</v>
      </c>
      <c r="M698" s="19">
        <f t="shared" si="80"/>
        <v>0</v>
      </c>
      <c r="N698" s="37">
        <f t="shared" si="77"/>
        <v>0</v>
      </c>
      <c r="O698" s="37">
        <f t="shared" si="82"/>
        <v>0</v>
      </c>
      <c r="P698" s="55" cm="1">
        <f t="array" aca="1" ref="P698" ca="1">IF((L698-$C$16)&gt;0, IF($P$1+$C$16&gt;=L698,INDIRECT("M"&amp;(L698-$C$16)+5),0),0)</f>
        <v>0</v>
      </c>
      <c r="Q698" s="56" cm="1">
        <f t="array" aca="1" ref="Q698" ca="1">IF(L698&lt;=$C$16,0,IF($W$2&gt;=L698,IF(L698&lt;=($P$1+$C$16),INDIRECT("N"&amp;(L698-$C$16)+5),FV(SRate,L698-$P$1-$C$16,0,-$W$1,1)),0))</f>
        <v>0</v>
      </c>
      <c r="R698" s="56">
        <f t="shared" ca="1" si="76"/>
        <v>0</v>
      </c>
      <c r="S698" s="19">
        <f t="shared" si="78"/>
        <v>0</v>
      </c>
      <c r="T698" s="36" t="str" cm="1">
        <f t="array" aca="1" ref="T698" ca="1">IF(L698&lt;=$P$1,K698,IF(L698&lt;=($P$1+1),INDIRECT("K"&amp;5+$W$2),""))</f>
        <v/>
      </c>
      <c r="U698" s="38">
        <f t="shared" si="79"/>
        <v>58</v>
      </c>
    </row>
    <row r="699" spans="11:21" hidden="1" x14ac:dyDescent="0.25">
      <c r="K699" s="36">
        <f t="shared" ca="1" si="81"/>
        <v>67337</v>
      </c>
      <c r="L699" s="19">
        <v>694</v>
      </c>
      <c r="M699" s="19">
        <f t="shared" si="80"/>
        <v>0</v>
      </c>
      <c r="N699" s="37">
        <f t="shared" si="77"/>
        <v>0</v>
      </c>
      <c r="O699" s="37">
        <f t="shared" si="82"/>
        <v>0</v>
      </c>
      <c r="P699" s="55" cm="1">
        <f t="array" aca="1" ref="P699" ca="1">IF((L699-$C$16)&gt;0, IF($P$1+$C$16&gt;=L699,INDIRECT("M"&amp;(L699-$C$16)+5),0),0)</f>
        <v>0</v>
      </c>
      <c r="Q699" s="56" cm="1">
        <f t="array" aca="1" ref="Q699" ca="1">IF(L699&lt;=$C$16,0,IF($W$2&gt;=L699,IF(L699&lt;=($P$1+$C$16),INDIRECT("N"&amp;(L699-$C$16)+5),FV(SRate,L699-$P$1-$C$16,0,-$W$1,1)),0))</f>
        <v>0</v>
      </c>
      <c r="R699" s="56">
        <f t="shared" ca="1" si="76"/>
        <v>0</v>
      </c>
      <c r="S699" s="19">
        <f t="shared" si="78"/>
        <v>0</v>
      </c>
      <c r="T699" s="36" t="str" cm="1">
        <f t="array" aca="1" ref="T699" ca="1">IF(L699&lt;=$P$1,K699,IF(L699&lt;=($P$1+1),INDIRECT("K"&amp;5+$W$2),""))</f>
        <v/>
      </c>
      <c r="U699" s="38">
        <f t="shared" si="79"/>
        <v>58</v>
      </c>
    </row>
    <row r="700" spans="11:21" hidden="1" x14ac:dyDescent="0.25">
      <c r="K700" s="36">
        <f t="shared" ca="1" si="81"/>
        <v>67368</v>
      </c>
      <c r="L700" s="19">
        <v>695</v>
      </c>
      <c r="M700" s="19">
        <f t="shared" si="80"/>
        <v>0</v>
      </c>
      <c r="N700" s="37">
        <f t="shared" si="77"/>
        <v>0</v>
      </c>
      <c r="O700" s="37">
        <f t="shared" si="82"/>
        <v>0</v>
      </c>
      <c r="P700" s="55" cm="1">
        <f t="array" aca="1" ref="P700" ca="1">IF((L700-$C$16)&gt;0, IF($P$1+$C$16&gt;=L700,INDIRECT("M"&amp;(L700-$C$16)+5),0),0)</f>
        <v>0</v>
      </c>
      <c r="Q700" s="56" cm="1">
        <f t="array" aca="1" ref="Q700" ca="1">IF(L700&lt;=$C$16,0,IF($W$2&gt;=L700,IF(L700&lt;=($P$1+$C$16),INDIRECT("N"&amp;(L700-$C$16)+5),FV(SRate,L700-$P$1-$C$16,0,-$W$1,1)),0))</f>
        <v>0</v>
      </c>
      <c r="R700" s="56">
        <f t="shared" ca="1" si="76"/>
        <v>0</v>
      </c>
      <c r="S700" s="19">
        <f t="shared" si="78"/>
        <v>0</v>
      </c>
      <c r="T700" s="36" t="str" cm="1">
        <f t="array" aca="1" ref="T700" ca="1">IF(L700&lt;=$P$1,K700,IF(L700&lt;=($P$1+1),INDIRECT("K"&amp;5+$W$2),""))</f>
        <v/>
      </c>
      <c r="U700" s="38">
        <f t="shared" si="79"/>
        <v>58</v>
      </c>
    </row>
    <row r="701" spans="11:21" hidden="1" x14ac:dyDescent="0.25">
      <c r="K701" s="36">
        <f t="shared" ca="1" si="81"/>
        <v>67398</v>
      </c>
      <c r="L701" s="19">
        <v>696</v>
      </c>
      <c r="M701" s="19">
        <f t="shared" si="80"/>
        <v>0</v>
      </c>
      <c r="N701" s="37">
        <f t="shared" si="77"/>
        <v>0</v>
      </c>
      <c r="O701" s="37">
        <f t="shared" si="82"/>
        <v>0</v>
      </c>
      <c r="P701" s="55" cm="1">
        <f t="array" aca="1" ref="P701" ca="1">IF((L701-$C$16)&gt;0, IF($P$1+$C$16&gt;=L701,INDIRECT("M"&amp;(L701-$C$16)+5),0),0)</f>
        <v>0</v>
      </c>
      <c r="Q701" s="56" cm="1">
        <f t="array" aca="1" ref="Q701" ca="1">IF(L701&lt;=$C$16,0,IF($W$2&gt;=L701,IF(L701&lt;=($P$1+$C$16),INDIRECT("N"&amp;(L701-$C$16)+5),FV(SRate,L701-$P$1-$C$16,0,-$W$1,1)),0))</f>
        <v>0</v>
      </c>
      <c r="R701" s="56">
        <f t="shared" ca="1" si="76"/>
        <v>0</v>
      </c>
      <c r="S701" s="19">
        <f t="shared" si="78"/>
        <v>0</v>
      </c>
      <c r="T701" s="36" t="str" cm="1">
        <f t="array" aca="1" ref="T701" ca="1">IF(L701&lt;=$P$1,K701,IF(L701&lt;=($P$1+1),INDIRECT("K"&amp;5+$W$2),""))</f>
        <v/>
      </c>
      <c r="U701" s="38">
        <f t="shared" si="79"/>
        <v>58</v>
      </c>
    </row>
    <row r="702" spans="11:21" hidden="1" x14ac:dyDescent="0.25">
      <c r="K702" s="36">
        <f t="shared" ca="1" si="81"/>
        <v>67429</v>
      </c>
      <c r="L702" s="19">
        <v>697</v>
      </c>
      <c r="M702" s="19">
        <f t="shared" si="80"/>
        <v>0</v>
      </c>
      <c r="N702" s="37">
        <f t="shared" si="77"/>
        <v>0</v>
      </c>
      <c r="O702" s="37">
        <f t="shared" si="82"/>
        <v>0</v>
      </c>
      <c r="P702" s="55" cm="1">
        <f t="array" aca="1" ref="P702" ca="1">IF((L702-$C$16)&gt;0, IF($P$1+$C$16&gt;=L702,INDIRECT("M"&amp;(L702-$C$16)+5),0),0)</f>
        <v>0</v>
      </c>
      <c r="Q702" s="56" cm="1">
        <f t="array" aca="1" ref="Q702" ca="1">IF(L702&lt;=$C$16,0,IF($W$2&gt;=L702,IF(L702&lt;=($P$1+$C$16),INDIRECT("N"&amp;(L702-$C$16)+5),FV(SRate,L702-$P$1-$C$16,0,-$W$1,1)),0))</f>
        <v>0</v>
      </c>
      <c r="R702" s="56">
        <f t="shared" ca="1" si="76"/>
        <v>0</v>
      </c>
      <c r="S702" s="19">
        <f t="shared" si="78"/>
        <v>0</v>
      </c>
      <c r="T702" s="36" t="str" cm="1">
        <f t="array" aca="1" ref="T702" ca="1">IF(L702&lt;=$P$1,K702,IF(L702&lt;=($P$1+1),INDIRECT("K"&amp;5+$W$2),""))</f>
        <v/>
      </c>
      <c r="U702" s="38">
        <f t="shared" si="79"/>
        <v>59</v>
      </c>
    </row>
    <row r="703" spans="11:21" hidden="1" x14ac:dyDescent="0.25">
      <c r="K703" s="36">
        <f t="shared" ca="1" si="81"/>
        <v>67460</v>
      </c>
      <c r="L703" s="19">
        <v>698</v>
      </c>
      <c r="M703" s="19">
        <f t="shared" si="80"/>
        <v>0</v>
      </c>
      <c r="N703" s="37">
        <f t="shared" si="77"/>
        <v>0</v>
      </c>
      <c r="O703" s="37">
        <f t="shared" si="82"/>
        <v>0</v>
      </c>
      <c r="P703" s="55" cm="1">
        <f t="array" aca="1" ref="P703" ca="1">IF((L703-$C$16)&gt;0, IF($P$1+$C$16&gt;=L703,INDIRECT("M"&amp;(L703-$C$16)+5),0),0)</f>
        <v>0</v>
      </c>
      <c r="Q703" s="56" cm="1">
        <f t="array" aca="1" ref="Q703" ca="1">IF(L703&lt;=$C$16,0,IF($W$2&gt;=L703,IF(L703&lt;=($P$1+$C$16),INDIRECT("N"&amp;(L703-$C$16)+5),FV(SRate,L703-$P$1-$C$16,0,-$W$1,1)),0))</f>
        <v>0</v>
      </c>
      <c r="R703" s="56">
        <f t="shared" ca="1" si="76"/>
        <v>0</v>
      </c>
      <c r="S703" s="19">
        <f t="shared" si="78"/>
        <v>0</v>
      </c>
      <c r="T703" s="36" t="str" cm="1">
        <f t="array" aca="1" ref="T703" ca="1">IF(L703&lt;=$P$1,K703,IF(L703&lt;=($P$1+1),INDIRECT("K"&amp;5+$W$2),""))</f>
        <v/>
      </c>
      <c r="U703" s="38">
        <f t="shared" si="79"/>
        <v>59</v>
      </c>
    </row>
    <row r="704" spans="11:21" hidden="1" x14ac:dyDescent="0.25">
      <c r="K704" s="36">
        <f t="shared" ca="1" si="81"/>
        <v>67490</v>
      </c>
      <c r="L704" s="19">
        <v>699</v>
      </c>
      <c r="M704" s="19">
        <f t="shared" si="80"/>
        <v>0</v>
      </c>
      <c r="N704" s="37">
        <f t="shared" si="77"/>
        <v>0</v>
      </c>
      <c r="O704" s="37">
        <f t="shared" si="82"/>
        <v>0</v>
      </c>
      <c r="P704" s="55" cm="1">
        <f t="array" aca="1" ref="P704" ca="1">IF((L704-$C$16)&gt;0, IF($P$1+$C$16&gt;=L704,INDIRECT("M"&amp;(L704-$C$16)+5),0),0)</f>
        <v>0</v>
      </c>
      <c r="Q704" s="56" cm="1">
        <f t="array" aca="1" ref="Q704" ca="1">IF(L704&lt;=$C$16,0,IF($W$2&gt;=L704,IF(L704&lt;=($P$1+$C$16),INDIRECT("N"&amp;(L704-$C$16)+5),FV(SRate,L704-$P$1-$C$16,0,-$W$1,1)),0))</f>
        <v>0</v>
      </c>
      <c r="R704" s="56">
        <f t="shared" ca="1" si="76"/>
        <v>0</v>
      </c>
      <c r="S704" s="19">
        <f t="shared" si="78"/>
        <v>0</v>
      </c>
      <c r="T704" s="36" t="str" cm="1">
        <f t="array" aca="1" ref="T704" ca="1">IF(L704&lt;=$P$1,K704,IF(L704&lt;=($P$1+1),INDIRECT("K"&amp;5+$W$2),""))</f>
        <v/>
      </c>
      <c r="U704" s="38">
        <f t="shared" si="79"/>
        <v>59</v>
      </c>
    </row>
    <row r="705" spans="11:21" hidden="1" x14ac:dyDescent="0.25">
      <c r="K705" s="36">
        <f t="shared" ca="1" si="81"/>
        <v>67521</v>
      </c>
      <c r="L705" s="19">
        <v>700</v>
      </c>
      <c r="M705" s="19">
        <f t="shared" si="80"/>
        <v>0</v>
      </c>
      <c r="N705" s="37">
        <f t="shared" si="77"/>
        <v>0</v>
      </c>
      <c r="O705" s="37">
        <f t="shared" si="82"/>
        <v>0</v>
      </c>
      <c r="P705" s="55" cm="1">
        <f t="array" aca="1" ref="P705" ca="1">IF((L705-$C$16)&gt;0, IF($P$1+$C$16&gt;=L705,INDIRECT("M"&amp;(L705-$C$16)+5),0),0)</f>
        <v>0</v>
      </c>
      <c r="Q705" s="56" cm="1">
        <f t="array" aca="1" ref="Q705" ca="1">IF(L705&lt;=$C$16,0,IF($W$2&gt;=L705,IF(L705&lt;=($P$1+$C$16),INDIRECT("N"&amp;(L705-$C$16)+5),FV(SRate,L705-$P$1-$C$16,0,-$W$1,1)),0))</f>
        <v>0</v>
      </c>
      <c r="R705" s="56">
        <f t="shared" ca="1" si="76"/>
        <v>0</v>
      </c>
      <c r="S705" s="19">
        <f t="shared" si="78"/>
        <v>0</v>
      </c>
      <c r="T705" s="36" t="str" cm="1">
        <f t="array" aca="1" ref="T705" ca="1">IF(L705&lt;=$P$1,K705,IF(L705&lt;=($P$1+1),INDIRECT("K"&amp;5+$W$2),""))</f>
        <v/>
      </c>
      <c r="U705" s="38">
        <f t="shared" si="79"/>
        <v>59</v>
      </c>
    </row>
    <row r="706" spans="11:21" hidden="1" x14ac:dyDescent="0.25">
      <c r="K706" s="36">
        <f t="shared" ca="1" si="81"/>
        <v>67551</v>
      </c>
      <c r="L706" s="19">
        <v>701</v>
      </c>
      <c r="M706" s="19">
        <f t="shared" si="80"/>
        <v>0</v>
      </c>
      <c r="N706" s="37">
        <f t="shared" si="77"/>
        <v>0</v>
      </c>
      <c r="O706" s="37">
        <f t="shared" si="82"/>
        <v>0</v>
      </c>
      <c r="P706" s="55" cm="1">
        <f t="array" aca="1" ref="P706" ca="1">IF((L706-$C$16)&gt;0, IF($P$1+$C$16&gt;=L706,INDIRECT("M"&amp;(L706-$C$16)+5),0),0)</f>
        <v>0</v>
      </c>
      <c r="Q706" s="56" cm="1">
        <f t="array" aca="1" ref="Q706" ca="1">IF(L706&lt;=$C$16,0,IF($W$2&gt;=L706,IF(L706&lt;=($P$1+$C$16),INDIRECT("N"&amp;(L706-$C$16)+5),FV(SRate,L706-$P$1-$C$16,0,-$W$1,1)),0))</f>
        <v>0</v>
      </c>
      <c r="R706" s="56">
        <f t="shared" ca="1" si="76"/>
        <v>0</v>
      </c>
      <c r="S706" s="19">
        <f t="shared" si="78"/>
        <v>0</v>
      </c>
      <c r="T706" s="36" t="str" cm="1">
        <f t="array" aca="1" ref="T706" ca="1">IF(L706&lt;=$P$1,K706,IF(L706&lt;=($P$1+1),INDIRECT("K"&amp;5+$W$2),""))</f>
        <v/>
      </c>
      <c r="U706" s="38">
        <f t="shared" si="79"/>
        <v>59</v>
      </c>
    </row>
    <row r="707" spans="11:21" hidden="1" x14ac:dyDescent="0.25">
      <c r="K707" s="36">
        <f t="shared" ca="1" si="81"/>
        <v>67582</v>
      </c>
      <c r="L707" s="19">
        <v>702</v>
      </c>
      <c r="M707" s="19">
        <f t="shared" si="80"/>
        <v>0</v>
      </c>
      <c r="N707" s="37">
        <f t="shared" si="77"/>
        <v>0</v>
      </c>
      <c r="O707" s="37">
        <f t="shared" si="82"/>
        <v>0</v>
      </c>
      <c r="P707" s="55" cm="1">
        <f t="array" aca="1" ref="P707" ca="1">IF((L707-$C$16)&gt;0, IF($P$1+$C$16&gt;=L707,INDIRECT("M"&amp;(L707-$C$16)+5),0),0)</f>
        <v>0</v>
      </c>
      <c r="Q707" s="56" cm="1">
        <f t="array" aca="1" ref="Q707" ca="1">IF(L707&lt;=$C$16,0,IF($W$2&gt;=L707,IF(L707&lt;=($P$1+$C$16),INDIRECT("N"&amp;(L707-$C$16)+5),FV(SRate,L707-$P$1-$C$16,0,-$W$1,1)),0))</f>
        <v>0</v>
      </c>
      <c r="R707" s="56">
        <f t="shared" ca="1" si="76"/>
        <v>0</v>
      </c>
      <c r="S707" s="19">
        <f t="shared" si="78"/>
        <v>0</v>
      </c>
      <c r="T707" s="36" t="str" cm="1">
        <f t="array" aca="1" ref="T707" ca="1">IF(L707&lt;=$P$1,K707,IF(L707&lt;=($P$1+1),INDIRECT("K"&amp;5+$W$2),""))</f>
        <v/>
      </c>
      <c r="U707" s="38">
        <f t="shared" si="79"/>
        <v>59</v>
      </c>
    </row>
    <row r="708" spans="11:21" hidden="1" x14ac:dyDescent="0.25">
      <c r="K708" s="36">
        <f t="shared" ca="1" si="81"/>
        <v>67613</v>
      </c>
      <c r="L708" s="19">
        <v>703</v>
      </c>
      <c r="M708" s="19">
        <f t="shared" si="80"/>
        <v>0</v>
      </c>
      <c r="N708" s="37">
        <f t="shared" si="77"/>
        <v>0</v>
      </c>
      <c r="O708" s="37">
        <f t="shared" si="82"/>
        <v>0</v>
      </c>
      <c r="P708" s="55" cm="1">
        <f t="array" aca="1" ref="P708" ca="1">IF((L708-$C$16)&gt;0, IF($P$1+$C$16&gt;=L708,INDIRECT("M"&amp;(L708-$C$16)+5),0),0)</f>
        <v>0</v>
      </c>
      <c r="Q708" s="56" cm="1">
        <f t="array" aca="1" ref="Q708" ca="1">IF(L708&lt;=$C$16,0,IF($W$2&gt;=L708,IF(L708&lt;=($P$1+$C$16),INDIRECT("N"&amp;(L708-$C$16)+5),FV(SRate,L708-$P$1-$C$16,0,-$W$1,1)),0))</f>
        <v>0</v>
      </c>
      <c r="R708" s="56">
        <f t="shared" ca="1" si="76"/>
        <v>0</v>
      </c>
      <c r="S708" s="19">
        <f t="shared" si="78"/>
        <v>0</v>
      </c>
      <c r="T708" s="36" t="str" cm="1">
        <f t="array" aca="1" ref="T708" ca="1">IF(L708&lt;=$P$1,K708,IF(L708&lt;=($P$1+1),INDIRECT("K"&amp;5+$W$2),""))</f>
        <v/>
      </c>
      <c r="U708" s="38">
        <f t="shared" si="79"/>
        <v>59</v>
      </c>
    </row>
    <row r="709" spans="11:21" hidden="1" x14ac:dyDescent="0.25">
      <c r="K709" s="36">
        <f t="shared" ca="1" si="81"/>
        <v>67641</v>
      </c>
      <c r="L709" s="19">
        <v>704</v>
      </c>
      <c r="M709" s="19">
        <f t="shared" si="80"/>
        <v>0</v>
      </c>
      <c r="N709" s="37">
        <f t="shared" si="77"/>
        <v>0</v>
      </c>
      <c r="O709" s="37">
        <f t="shared" si="82"/>
        <v>0</v>
      </c>
      <c r="P709" s="55" cm="1">
        <f t="array" aca="1" ref="P709" ca="1">IF((L709-$C$16)&gt;0, IF($P$1+$C$16&gt;=L709,INDIRECT("M"&amp;(L709-$C$16)+5),0),0)</f>
        <v>0</v>
      </c>
      <c r="Q709" s="56" cm="1">
        <f t="array" aca="1" ref="Q709" ca="1">IF(L709&lt;=$C$16,0,IF($W$2&gt;=L709,IF(L709&lt;=($P$1+$C$16),INDIRECT("N"&amp;(L709-$C$16)+5),FV(SRate,L709-$P$1-$C$16,0,-$W$1,1)),0))</f>
        <v>0</v>
      </c>
      <c r="R709" s="56">
        <f t="shared" ca="1" si="76"/>
        <v>0</v>
      </c>
      <c r="S709" s="19">
        <f t="shared" si="78"/>
        <v>0</v>
      </c>
      <c r="T709" s="36" t="str" cm="1">
        <f t="array" aca="1" ref="T709" ca="1">IF(L709&lt;=$P$1,K709,IF(L709&lt;=($P$1+1),INDIRECT("K"&amp;5+$W$2),""))</f>
        <v/>
      </c>
      <c r="U709" s="38">
        <f t="shared" si="79"/>
        <v>59</v>
      </c>
    </row>
    <row r="710" spans="11:21" hidden="1" x14ac:dyDescent="0.25">
      <c r="K710" s="36">
        <f t="shared" ca="1" si="81"/>
        <v>67672</v>
      </c>
      <c r="L710" s="19">
        <v>705</v>
      </c>
      <c r="M710" s="19">
        <f t="shared" si="80"/>
        <v>0</v>
      </c>
      <c r="N710" s="37">
        <f t="shared" si="77"/>
        <v>0</v>
      </c>
      <c r="O710" s="37">
        <f t="shared" si="82"/>
        <v>0</v>
      </c>
      <c r="P710" s="55" cm="1">
        <f t="array" aca="1" ref="P710" ca="1">IF((L710-$C$16)&gt;0, IF($P$1+$C$16&gt;=L710,INDIRECT("M"&amp;(L710-$C$16)+5),0),0)</f>
        <v>0</v>
      </c>
      <c r="Q710" s="56" cm="1">
        <f t="array" aca="1" ref="Q710" ca="1">IF(L710&lt;=$C$16,0,IF($W$2&gt;=L710,IF(L710&lt;=($P$1+$C$16),INDIRECT("N"&amp;(L710-$C$16)+5),FV(SRate,L710-$P$1-$C$16,0,-$W$1,1)),0))</f>
        <v>0</v>
      </c>
      <c r="R710" s="56">
        <f t="shared" ref="R710:R773" ca="1" si="83">Q710/((1+SIPInflationRate)^((L710-$C$16)/12))</f>
        <v>0</v>
      </c>
      <c r="S710" s="19">
        <f t="shared" si="78"/>
        <v>0</v>
      </c>
      <c r="T710" s="36" t="str" cm="1">
        <f t="array" aca="1" ref="T710" ca="1">IF(L710&lt;=$P$1,K710,IF(L710&lt;=($P$1+1),INDIRECT("K"&amp;5+$W$2),""))</f>
        <v/>
      </c>
      <c r="U710" s="38">
        <f t="shared" si="79"/>
        <v>59</v>
      </c>
    </row>
    <row r="711" spans="11:21" hidden="1" x14ac:dyDescent="0.25">
      <c r="K711" s="36">
        <f t="shared" ca="1" si="81"/>
        <v>67702</v>
      </c>
      <c r="L711" s="19">
        <v>706</v>
      </c>
      <c r="M711" s="19">
        <f t="shared" si="80"/>
        <v>0</v>
      </c>
      <c r="N711" s="37">
        <f t="shared" ref="N711:N774" si="84">IF($W$2&gt;=L711,IF(L711&lt;=$P$1,(M711-M710+N710)*(1+SRate),FV(SRate,L711-$P$1,0,-$W$1,1)),0)</f>
        <v>0</v>
      </c>
      <c r="O711" s="37">
        <f t="shared" si="82"/>
        <v>0</v>
      </c>
      <c r="P711" s="55" cm="1">
        <f t="array" aca="1" ref="P711" ca="1">IF((L711-$C$16)&gt;0, IF($P$1+$C$16&gt;=L711,INDIRECT("M"&amp;(L711-$C$16)+5),0),0)</f>
        <v>0</v>
      </c>
      <c r="Q711" s="56" cm="1">
        <f t="array" aca="1" ref="Q711" ca="1">IF(L711&lt;=$C$16,0,IF($W$2&gt;=L711,IF(L711&lt;=($P$1+$C$16),INDIRECT("N"&amp;(L711-$C$16)+5),FV(SRate,L711-$P$1-$C$16,0,-$W$1,1)),0))</f>
        <v>0</v>
      </c>
      <c r="R711" s="56">
        <f t="shared" ca="1" si="83"/>
        <v>0</v>
      </c>
      <c r="S711" s="19">
        <f t="shared" ref="S711:S774" si="85">IF(L711&lt;=$P$1,-(_xlfn.XLOOKUP(U711,$Z$3:$Z$72,$AB$3:$AB$72,0)),IF(L711&lt;=($P$1+1),$W$4,0))</f>
        <v>0</v>
      </c>
      <c r="T711" s="36" t="str" cm="1">
        <f t="array" aca="1" ref="T711" ca="1">IF(L711&lt;=$P$1,K711,IF(L711&lt;=($P$1+1),INDIRECT("K"&amp;5+$W$2),""))</f>
        <v/>
      </c>
      <c r="U711" s="38">
        <f t="shared" ref="U711:U774" si="86">QUOTIENT(L711,12)+IF(MOD(L711,12)=0,-1,0)+1</f>
        <v>59</v>
      </c>
    </row>
    <row r="712" spans="11:21" hidden="1" x14ac:dyDescent="0.25">
      <c r="K712" s="36">
        <f t="shared" ca="1" si="81"/>
        <v>67733</v>
      </c>
      <c r="L712" s="19">
        <v>707</v>
      </c>
      <c r="M712" s="19">
        <f t="shared" ref="M712:M775" si="87">IF($P$1&gt;=L712,_xlfn.XLOOKUP(U712,$Z$3:$Z$72,$AB$3:$AB$72,0)+M711,0)</f>
        <v>0</v>
      </c>
      <c r="N712" s="37">
        <f t="shared" si="84"/>
        <v>0</v>
      </c>
      <c r="O712" s="37">
        <f t="shared" si="82"/>
        <v>0</v>
      </c>
      <c r="P712" s="55" cm="1">
        <f t="array" aca="1" ref="P712" ca="1">IF((L712-$C$16)&gt;0, IF($P$1+$C$16&gt;=L712,INDIRECT("M"&amp;(L712-$C$16)+5),0),0)</f>
        <v>0</v>
      </c>
      <c r="Q712" s="56" cm="1">
        <f t="array" aca="1" ref="Q712" ca="1">IF(L712&lt;=$C$16,0,IF($W$2&gt;=L712,IF(L712&lt;=($P$1+$C$16),INDIRECT("N"&amp;(L712-$C$16)+5),FV(SRate,L712-$P$1-$C$16,0,-$W$1,1)),0))</f>
        <v>0</v>
      </c>
      <c r="R712" s="56">
        <f t="shared" ca="1" si="83"/>
        <v>0</v>
      </c>
      <c r="S712" s="19">
        <f t="shared" si="85"/>
        <v>0</v>
      </c>
      <c r="T712" s="36" t="str" cm="1">
        <f t="array" aca="1" ref="T712" ca="1">IF(L712&lt;=$P$1,K712,IF(L712&lt;=($P$1+1),INDIRECT("K"&amp;5+$W$2),""))</f>
        <v/>
      </c>
      <c r="U712" s="38">
        <f t="shared" si="86"/>
        <v>59</v>
      </c>
    </row>
    <row r="713" spans="11:21" hidden="1" x14ac:dyDescent="0.25">
      <c r="K713" s="36">
        <f t="shared" ref="K713:K776" ca="1" si="88">EDATE(K712,1)</f>
        <v>67763</v>
      </c>
      <c r="L713" s="19">
        <v>708</v>
      </c>
      <c r="M713" s="19">
        <f t="shared" si="87"/>
        <v>0</v>
      </c>
      <c r="N713" s="37">
        <f t="shared" si="84"/>
        <v>0</v>
      </c>
      <c r="O713" s="37">
        <f t="shared" si="82"/>
        <v>0</v>
      </c>
      <c r="P713" s="55" cm="1">
        <f t="array" aca="1" ref="P713" ca="1">IF((L713-$C$16)&gt;0, IF($P$1+$C$16&gt;=L713,INDIRECT("M"&amp;(L713-$C$16)+5),0),0)</f>
        <v>0</v>
      </c>
      <c r="Q713" s="56" cm="1">
        <f t="array" aca="1" ref="Q713" ca="1">IF(L713&lt;=$C$16,0,IF($W$2&gt;=L713,IF(L713&lt;=($P$1+$C$16),INDIRECT("N"&amp;(L713-$C$16)+5),FV(SRate,L713-$P$1-$C$16,0,-$W$1,1)),0))</f>
        <v>0</v>
      </c>
      <c r="R713" s="56">
        <f t="shared" ca="1" si="83"/>
        <v>0</v>
      </c>
      <c r="S713" s="19">
        <f t="shared" si="85"/>
        <v>0</v>
      </c>
      <c r="T713" s="36" t="str" cm="1">
        <f t="array" aca="1" ref="T713" ca="1">IF(L713&lt;=$P$1,K713,IF(L713&lt;=($P$1+1),INDIRECT("K"&amp;5+$W$2),""))</f>
        <v/>
      </c>
      <c r="U713" s="38">
        <f t="shared" si="86"/>
        <v>59</v>
      </c>
    </row>
    <row r="714" spans="11:21" hidden="1" x14ac:dyDescent="0.25">
      <c r="K714" s="36">
        <f t="shared" ca="1" si="88"/>
        <v>67794</v>
      </c>
      <c r="L714" s="19">
        <v>709</v>
      </c>
      <c r="M714" s="19">
        <f t="shared" si="87"/>
        <v>0</v>
      </c>
      <c r="N714" s="37">
        <f t="shared" si="84"/>
        <v>0</v>
      </c>
      <c r="O714" s="37">
        <f t="shared" si="82"/>
        <v>0</v>
      </c>
      <c r="P714" s="55" cm="1">
        <f t="array" aca="1" ref="P714" ca="1">IF((L714-$C$16)&gt;0, IF($P$1+$C$16&gt;=L714,INDIRECT("M"&amp;(L714-$C$16)+5),0),0)</f>
        <v>0</v>
      </c>
      <c r="Q714" s="56" cm="1">
        <f t="array" aca="1" ref="Q714" ca="1">IF(L714&lt;=$C$16,0,IF($W$2&gt;=L714,IF(L714&lt;=($P$1+$C$16),INDIRECT("N"&amp;(L714-$C$16)+5),FV(SRate,L714-$P$1-$C$16,0,-$W$1,1)),0))</f>
        <v>0</v>
      </c>
      <c r="R714" s="56">
        <f t="shared" ca="1" si="83"/>
        <v>0</v>
      </c>
      <c r="S714" s="19">
        <f t="shared" si="85"/>
        <v>0</v>
      </c>
      <c r="T714" s="36" t="str" cm="1">
        <f t="array" aca="1" ref="T714" ca="1">IF(L714&lt;=$P$1,K714,IF(L714&lt;=($P$1+1),INDIRECT("K"&amp;5+$W$2),""))</f>
        <v/>
      </c>
      <c r="U714" s="38">
        <f t="shared" si="86"/>
        <v>60</v>
      </c>
    </row>
    <row r="715" spans="11:21" hidden="1" x14ac:dyDescent="0.25">
      <c r="K715" s="36">
        <f t="shared" ca="1" si="88"/>
        <v>67825</v>
      </c>
      <c r="L715" s="19">
        <v>710</v>
      </c>
      <c r="M715" s="19">
        <f t="shared" si="87"/>
        <v>0</v>
      </c>
      <c r="N715" s="37">
        <f t="shared" si="84"/>
        <v>0</v>
      </c>
      <c r="O715" s="37">
        <f t="shared" si="82"/>
        <v>0</v>
      </c>
      <c r="P715" s="55" cm="1">
        <f t="array" aca="1" ref="P715" ca="1">IF((L715-$C$16)&gt;0, IF($P$1+$C$16&gt;=L715,INDIRECT("M"&amp;(L715-$C$16)+5),0),0)</f>
        <v>0</v>
      </c>
      <c r="Q715" s="56" cm="1">
        <f t="array" aca="1" ref="Q715" ca="1">IF(L715&lt;=$C$16,0,IF($W$2&gt;=L715,IF(L715&lt;=($P$1+$C$16),INDIRECT("N"&amp;(L715-$C$16)+5),FV(SRate,L715-$P$1-$C$16,0,-$W$1,1)),0))</f>
        <v>0</v>
      </c>
      <c r="R715" s="56">
        <f t="shared" ca="1" si="83"/>
        <v>0</v>
      </c>
      <c r="S715" s="19">
        <f t="shared" si="85"/>
        <v>0</v>
      </c>
      <c r="T715" s="36" t="str" cm="1">
        <f t="array" aca="1" ref="T715" ca="1">IF(L715&lt;=$P$1,K715,IF(L715&lt;=($P$1+1),INDIRECT("K"&amp;5+$W$2),""))</f>
        <v/>
      </c>
      <c r="U715" s="38">
        <f t="shared" si="86"/>
        <v>60</v>
      </c>
    </row>
    <row r="716" spans="11:21" hidden="1" x14ac:dyDescent="0.25">
      <c r="K716" s="36">
        <f t="shared" ca="1" si="88"/>
        <v>67855</v>
      </c>
      <c r="L716" s="19">
        <v>711</v>
      </c>
      <c r="M716" s="19">
        <f t="shared" si="87"/>
        <v>0</v>
      </c>
      <c r="N716" s="37">
        <f t="shared" si="84"/>
        <v>0</v>
      </c>
      <c r="O716" s="37">
        <f t="shared" si="82"/>
        <v>0</v>
      </c>
      <c r="P716" s="55" cm="1">
        <f t="array" aca="1" ref="P716" ca="1">IF((L716-$C$16)&gt;0, IF($P$1+$C$16&gt;=L716,INDIRECT("M"&amp;(L716-$C$16)+5),0),0)</f>
        <v>0</v>
      </c>
      <c r="Q716" s="56" cm="1">
        <f t="array" aca="1" ref="Q716" ca="1">IF(L716&lt;=$C$16,0,IF($W$2&gt;=L716,IF(L716&lt;=($P$1+$C$16),INDIRECT("N"&amp;(L716-$C$16)+5),FV(SRate,L716-$P$1-$C$16,0,-$W$1,1)),0))</f>
        <v>0</v>
      </c>
      <c r="R716" s="56">
        <f t="shared" ca="1" si="83"/>
        <v>0</v>
      </c>
      <c r="S716" s="19">
        <f t="shared" si="85"/>
        <v>0</v>
      </c>
      <c r="T716" s="36" t="str" cm="1">
        <f t="array" aca="1" ref="T716" ca="1">IF(L716&lt;=$P$1,K716,IF(L716&lt;=($P$1+1),INDIRECT("K"&amp;5+$W$2),""))</f>
        <v/>
      </c>
      <c r="U716" s="38">
        <f t="shared" si="86"/>
        <v>60</v>
      </c>
    </row>
    <row r="717" spans="11:21" hidden="1" x14ac:dyDescent="0.25">
      <c r="K717" s="36">
        <f t="shared" ca="1" si="88"/>
        <v>67886</v>
      </c>
      <c r="L717" s="19">
        <v>712</v>
      </c>
      <c r="M717" s="19">
        <f t="shared" si="87"/>
        <v>0</v>
      </c>
      <c r="N717" s="37">
        <f t="shared" si="84"/>
        <v>0</v>
      </c>
      <c r="O717" s="37">
        <f t="shared" si="82"/>
        <v>0</v>
      </c>
      <c r="P717" s="55" cm="1">
        <f t="array" aca="1" ref="P717" ca="1">IF((L717-$C$16)&gt;0, IF($P$1+$C$16&gt;=L717,INDIRECT("M"&amp;(L717-$C$16)+5),0),0)</f>
        <v>0</v>
      </c>
      <c r="Q717" s="56" cm="1">
        <f t="array" aca="1" ref="Q717" ca="1">IF(L717&lt;=$C$16,0,IF($W$2&gt;=L717,IF(L717&lt;=($P$1+$C$16),INDIRECT("N"&amp;(L717-$C$16)+5),FV(SRate,L717-$P$1-$C$16,0,-$W$1,1)),0))</f>
        <v>0</v>
      </c>
      <c r="R717" s="56">
        <f t="shared" ca="1" si="83"/>
        <v>0</v>
      </c>
      <c r="S717" s="19">
        <f t="shared" si="85"/>
        <v>0</v>
      </c>
      <c r="T717" s="36" t="str" cm="1">
        <f t="array" aca="1" ref="T717" ca="1">IF(L717&lt;=$P$1,K717,IF(L717&lt;=($P$1+1),INDIRECT("K"&amp;5+$W$2),""))</f>
        <v/>
      </c>
      <c r="U717" s="38">
        <f t="shared" si="86"/>
        <v>60</v>
      </c>
    </row>
    <row r="718" spans="11:21" hidden="1" x14ac:dyDescent="0.25">
      <c r="K718" s="36">
        <f t="shared" ca="1" si="88"/>
        <v>67916</v>
      </c>
      <c r="L718" s="19">
        <v>713</v>
      </c>
      <c r="M718" s="19">
        <f t="shared" si="87"/>
        <v>0</v>
      </c>
      <c r="N718" s="37">
        <f t="shared" si="84"/>
        <v>0</v>
      </c>
      <c r="O718" s="37">
        <f t="shared" si="82"/>
        <v>0</v>
      </c>
      <c r="P718" s="55" cm="1">
        <f t="array" aca="1" ref="P718" ca="1">IF((L718-$C$16)&gt;0, IF($P$1+$C$16&gt;=L718,INDIRECT("M"&amp;(L718-$C$16)+5),0),0)</f>
        <v>0</v>
      </c>
      <c r="Q718" s="56" cm="1">
        <f t="array" aca="1" ref="Q718" ca="1">IF(L718&lt;=$C$16,0,IF($W$2&gt;=L718,IF(L718&lt;=($P$1+$C$16),INDIRECT("N"&amp;(L718-$C$16)+5),FV(SRate,L718-$P$1-$C$16,0,-$W$1,1)),0))</f>
        <v>0</v>
      </c>
      <c r="R718" s="56">
        <f t="shared" ca="1" si="83"/>
        <v>0</v>
      </c>
      <c r="S718" s="19">
        <f t="shared" si="85"/>
        <v>0</v>
      </c>
      <c r="T718" s="36" t="str" cm="1">
        <f t="array" aca="1" ref="T718" ca="1">IF(L718&lt;=$P$1,K718,IF(L718&lt;=($P$1+1),INDIRECT("K"&amp;5+$W$2),""))</f>
        <v/>
      </c>
      <c r="U718" s="38">
        <f t="shared" si="86"/>
        <v>60</v>
      </c>
    </row>
    <row r="719" spans="11:21" hidden="1" x14ac:dyDescent="0.25">
      <c r="K719" s="36">
        <f t="shared" ca="1" si="88"/>
        <v>67947</v>
      </c>
      <c r="L719" s="19">
        <v>714</v>
      </c>
      <c r="M719" s="19">
        <f t="shared" si="87"/>
        <v>0</v>
      </c>
      <c r="N719" s="37">
        <f t="shared" si="84"/>
        <v>0</v>
      </c>
      <c r="O719" s="37">
        <f t="shared" si="82"/>
        <v>0</v>
      </c>
      <c r="P719" s="55" cm="1">
        <f t="array" aca="1" ref="P719" ca="1">IF((L719-$C$16)&gt;0, IF($P$1+$C$16&gt;=L719,INDIRECT("M"&amp;(L719-$C$16)+5),0),0)</f>
        <v>0</v>
      </c>
      <c r="Q719" s="56" cm="1">
        <f t="array" aca="1" ref="Q719" ca="1">IF(L719&lt;=$C$16,0,IF($W$2&gt;=L719,IF(L719&lt;=($P$1+$C$16),INDIRECT("N"&amp;(L719-$C$16)+5),FV(SRate,L719-$P$1-$C$16,0,-$W$1,1)),0))</f>
        <v>0</v>
      </c>
      <c r="R719" s="56">
        <f t="shared" ca="1" si="83"/>
        <v>0</v>
      </c>
      <c r="S719" s="19">
        <f t="shared" si="85"/>
        <v>0</v>
      </c>
      <c r="T719" s="36" t="str" cm="1">
        <f t="array" aca="1" ref="T719" ca="1">IF(L719&lt;=$P$1,K719,IF(L719&lt;=($P$1+1),INDIRECT("K"&amp;5+$W$2),""))</f>
        <v/>
      </c>
      <c r="U719" s="38">
        <f t="shared" si="86"/>
        <v>60</v>
      </c>
    </row>
    <row r="720" spans="11:21" hidden="1" x14ac:dyDescent="0.25">
      <c r="K720" s="36">
        <f t="shared" ca="1" si="88"/>
        <v>67978</v>
      </c>
      <c r="L720" s="19">
        <v>715</v>
      </c>
      <c r="M720" s="19">
        <f t="shared" si="87"/>
        <v>0</v>
      </c>
      <c r="N720" s="37">
        <f t="shared" si="84"/>
        <v>0</v>
      </c>
      <c r="O720" s="37">
        <f t="shared" si="82"/>
        <v>0</v>
      </c>
      <c r="P720" s="55" cm="1">
        <f t="array" aca="1" ref="P720" ca="1">IF((L720-$C$16)&gt;0, IF($P$1+$C$16&gt;=L720,INDIRECT("M"&amp;(L720-$C$16)+5),0),0)</f>
        <v>0</v>
      </c>
      <c r="Q720" s="56" cm="1">
        <f t="array" aca="1" ref="Q720" ca="1">IF(L720&lt;=$C$16,0,IF($W$2&gt;=L720,IF(L720&lt;=($P$1+$C$16),INDIRECT("N"&amp;(L720-$C$16)+5),FV(SRate,L720-$P$1-$C$16,0,-$W$1,1)),0))</f>
        <v>0</v>
      </c>
      <c r="R720" s="56">
        <f t="shared" ca="1" si="83"/>
        <v>0</v>
      </c>
      <c r="S720" s="19">
        <f t="shared" si="85"/>
        <v>0</v>
      </c>
      <c r="T720" s="36" t="str" cm="1">
        <f t="array" aca="1" ref="T720" ca="1">IF(L720&lt;=$P$1,K720,IF(L720&lt;=($P$1+1),INDIRECT("K"&amp;5+$W$2),""))</f>
        <v/>
      </c>
      <c r="U720" s="38">
        <f t="shared" si="86"/>
        <v>60</v>
      </c>
    </row>
    <row r="721" spans="11:21" hidden="1" x14ac:dyDescent="0.25">
      <c r="K721" s="36">
        <f t="shared" ca="1" si="88"/>
        <v>68006</v>
      </c>
      <c r="L721" s="19">
        <v>716</v>
      </c>
      <c r="M721" s="19">
        <f t="shared" si="87"/>
        <v>0</v>
      </c>
      <c r="N721" s="37">
        <f t="shared" si="84"/>
        <v>0</v>
      </c>
      <c r="O721" s="37">
        <f t="shared" si="82"/>
        <v>0</v>
      </c>
      <c r="P721" s="55" cm="1">
        <f t="array" aca="1" ref="P721" ca="1">IF((L721-$C$16)&gt;0, IF($P$1+$C$16&gt;=L721,INDIRECT("M"&amp;(L721-$C$16)+5),0),0)</f>
        <v>0</v>
      </c>
      <c r="Q721" s="56" cm="1">
        <f t="array" aca="1" ref="Q721" ca="1">IF(L721&lt;=$C$16,0,IF($W$2&gt;=L721,IF(L721&lt;=($P$1+$C$16),INDIRECT("N"&amp;(L721-$C$16)+5),FV(SRate,L721-$P$1-$C$16,0,-$W$1,1)),0))</f>
        <v>0</v>
      </c>
      <c r="R721" s="56">
        <f t="shared" ca="1" si="83"/>
        <v>0</v>
      </c>
      <c r="S721" s="19">
        <f t="shared" si="85"/>
        <v>0</v>
      </c>
      <c r="T721" s="36" t="str" cm="1">
        <f t="array" aca="1" ref="T721" ca="1">IF(L721&lt;=$P$1,K721,IF(L721&lt;=($P$1+1),INDIRECT("K"&amp;5+$W$2),""))</f>
        <v/>
      </c>
      <c r="U721" s="38">
        <f t="shared" si="86"/>
        <v>60</v>
      </c>
    </row>
    <row r="722" spans="11:21" hidden="1" x14ac:dyDescent="0.25">
      <c r="K722" s="36">
        <f t="shared" ca="1" si="88"/>
        <v>68037</v>
      </c>
      <c r="L722" s="19">
        <v>717</v>
      </c>
      <c r="M722" s="19">
        <f t="shared" si="87"/>
        <v>0</v>
      </c>
      <c r="N722" s="37">
        <f t="shared" si="84"/>
        <v>0</v>
      </c>
      <c r="O722" s="37">
        <f t="shared" si="82"/>
        <v>0</v>
      </c>
      <c r="P722" s="55" cm="1">
        <f t="array" aca="1" ref="P722" ca="1">IF((L722-$C$16)&gt;0, IF($P$1+$C$16&gt;=L722,INDIRECT("M"&amp;(L722-$C$16)+5),0),0)</f>
        <v>0</v>
      </c>
      <c r="Q722" s="56" cm="1">
        <f t="array" aca="1" ref="Q722" ca="1">IF(L722&lt;=$C$16,0,IF($W$2&gt;=L722,IF(L722&lt;=($P$1+$C$16),INDIRECT("N"&amp;(L722-$C$16)+5),FV(SRate,L722-$P$1-$C$16,0,-$W$1,1)),0))</f>
        <v>0</v>
      </c>
      <c r="R722" s="56">
        <f t="shared" ca="1" si="83"/>
        <v>0</v>
      </c>
      <c r="S722" s="19">
        <f t="shared" si="85"/>
        <v>0</v>
      </c>
      <c r="T722" s="36" t="str" cm="1">
        <f t="array" aca="1" ref="T722" ca="1">IF(L722&lt;=$P$1,K722,IF(L722&lt;=($P$1+1),INDIRECT("K"&amp;5+$W$2),""))</f>
        <v/>
      </c>
      <c r="U722" s="38">
        <f t="shared" si="86"/>
        <v>60</v>
      </c>
    </row>
    <row r="723" spans="11:21" hidden="1" x14ac:dyDescent="0.25">
      <c r="K723" s="36">
        <f t="shared" ca="1" si="88"/>
        <v>68067</v>
      </c>
      <c r="L723" s="19">
        <v>718</v>
      </c>
      <c r="M723" s="19">
        <f t="shared" si="87"/>
        <v>0</v>
      </c>
      <c r="N723" s="37">
        <f t="shared" si="84"/>
        <v>0</v>
      </c>
      <c r="O723" s="37">
        <f t="shared" si="82"/>
        <v>0</v>
      </c>
      <c r="P723" s="55" cm="1">
        <f t="array" aca="1" ref="P723" ca="1">IF((L723-$C$16)&gt;0, IF($P$1+$C$16&gt;=L723,INDIRECT("M"&amp;(L723-$C$16)+5),0),0)</f>
        <v>0</v>
      </c>
      <c r="Q723" s="56" cm="1">
        <f t="array" aca="1" ref="Q723" ca="1">IF(L723&lt;=$C$16,0,IF($W$2&gt;=L723,IF(L723&lt;=($P$1+$C$16),INDIRECT("N"&amp;(L723-$C$16)+5),FV(SRate,L723-$P$1-$C$16,0,-$W$1,1)),0))</f>
        <v>0</v>
      </c>
      <c r="R723" s="56">
        <f t="shared" ca="1" si="83"/>
        <v>0</v>
      </c>
      <c r="S723" s="19">
        <f t="shared" si="85"/>
        <v>0</v>
      </c>
      <c r="T723" s="36" t="str" cm="1">
        <f t="array" aca="1" ref="T723" ca="1">IF(L723&lt;=$P$1,K723,IF(L723&lt;=($P$1+1),INDIRECT("K"&amp;5+$W$2),""))</f>
        <v/>
      </c>
      <c r="U723" s="38">
        <f t="shared" si="86"/>
        <v>60</v>
      </c>
    </row>
    <row r="724" spans="11:21" hidden="1" x14ac:dyDescent="0.25">
      <c r="K724" s="36">
        <f t="shared" ca="1" si="88"/>
        <v>68098</v>
      </c>
      <c r="L724" s="19">
        <v>719</v>
      </c>
      <c r="M724" s="19">
        <f t="shared" si="87"/>
        <v>0</v>
      </c>
      <c r="N724" s="37">
        <f t="shared" si="84"/>
        <v>0</v>
      </c>
      <c r="O724" s="37">
        <f t="shared" si="82"/>
        <v>0</v>
      </c>
      <c r="P724" s="55" cm="1">
        <f t="array" aca="1" ref="P724" ca="1">IF((L724-$C$16)&gt;0, IF($P$1+$C$16&gt;=L724,INDIRECT("M"&amp;(L724-$C$16)+5),0),0)</f>
        <v>0</v>
      </c>
      <c r="Q724" s="56" cm="1">
        <f t="array" aca="1" ref="Q724" ca="1">IF(L724&lt;=$C$16,0,IF($W$2&gt;=L724,IF(L724&lt;=($P$1+$C$16),INDIRECT("N"&amp;(L724-$C$16)+5),FV(SRate,L724-$P$1-$C$16,0,-$W$1,1)),0))</f>
        <v>0</v>
      </c>
      <c r="R724" s="56">
        <f t="shared" ca="1" si="83"/>
        <v>0</v>
      </c>
      <c r="S724" s="19">
        <f t="shared" si="85"/>
        <v>0</v>
      </c>
      <c r="T724" s="36" t="str" cm="1">
        <f t="array" aca="1" ref="T724" ca="1">IF(L724&lt;=$P$1,K724,IF(L724&lt;=($P$1+1),INDIRECT("K"&amp;5+$W$2),""))</f>
        <v/>
      </c>
      <c r="U724" s="38">
        <f t="shared" si="86"/>
        <v>60</v>
      </c>
    </row>
    <row r="725" spans="11:21" hidden="1" x14ac:dyDescent="0.25">
      <c r="K725" s="36">
        <f t="shared" ca="1" si="88"/>
        <v>68128</v>
      </c>
      <c r="L725" s="19">
        <v>720</v>
      </c>
      <c r="M725" s="19">
        <f t="shared" si="87"/>
        <v>0</v>
      </c>
      <c r="N725" s="37">
        <f t="shared" si="84"/>
        <v>0</v>
      </c>
      <c r="O725" s="37">
        <f t="shared" si="82"/>
        <v>0</v>
      </c>
      <c r="P725" s="55" cm="1">
        <f t="array" aca="1" ref="P725" ca="1">IF((L725-$C$16)&gt;0, IF($P$1+$C$16&gt;=L725,INDIRECT("M"&amp;(L725-$C$16)+5),0),0)</f>
        <v>0</v>
      </c>
      <c r="Q725" s="56" cm="1">
        <f t="array" aca="1" ref="Q725" ca="1">IF(L725&lt;=$C$16,0,IF($W$2&gt;=L725,IF(L725&lt;=($P$1+$C$16),INDIRECT("N"&amp;(L725-$C$16)+5),FV(SRate,L725-$P$1-$C$16,0,-$W$1,1)),0))</f>
        <v>0</v>
      </c>
      <c r="R725" s="56">
        <f t="shared" ca="1" si="83"/>
        <v>0</v>
      </c>
      <c r="S725" s="19">
        <f t="shared" si="85"/>
        <v>0</v>
      </c>
      <c r="T725" s="36" t="str" cm="1">
        <f t="array" aca="1" ref="T725" ca="1">IF(L725&lt;=$P$1,K725,IF(L725&lt;=($P$1+1),INDIRECT("K"&amp;5+$W$2),""))</f>
        <v/>
      </c>
      <c r="U725" s="38">
        <f t="shared" si="86"/>
        <v>60</v>
      </c>
    </row>
    <row r="726" spans="11:21" hidden="1" x14ac:dyDescent="0.25">
      <c r="K726" s="36">
        <f t="shared" ca="1" si="88"/>
        <v>68159</v>
      </c>
      <c r="L726" s="19">
        <v>721</v>
      </c>
      <c r="M726" s="19">
        <f t="shared" si="87"/>
        <v>0</v>
      </c>
      <c r="N726" s="37">
        <f t="shared" si="84"/>
        <v>0</v>
      </c>
      <c r="O726" s="37">
        <f t="shared" si="82"/>
        <v>0</v>
      </c>
      <c r="P726" s="55" cm="1">
        <f t="array" aca="1" ref="P726" ca="1">IF((L726-$C$16)&gt;0, IF($P$1+$C$16&gt;=L726,INDIRECT("M"&amp;(L726-$C$16)+5),0),0)</f>
        <v>0</v>
      </c>
      <c r="Q726" s="56" cm="1">
        <f t="array" aca="1" ref="Q726" ca="1">IF(L726&lt;=$C$16,0,IF($W$2&gt;=L726,IF(L726&lt;=($P$1+$C$16),INDIRECT("N"&amp;(L726-$C$16)+5),FV(SRate,L726-$P$1-$C$16,0,-$W$1,1)),0))</f>
        <v>0</v>
      </c>
      <c r="R726" s="56">
        <f t="shared" ca="1" si="83"/>
        <v>0</v>
      </c>
      <c r="S726" s="19">
        <f t="shared" si="85"/>
        <v>0</v>
      </c>
      <c r="T726" s="36" t="str" cm="1">
        <f t="array" aca="1" ref="T726" ca="1">IF(L726&lt;=$P$1,K726,IF(L726&lt;=($P$1+1),INDIRECT("K"&amp;5+$W$2),""))</f>
        <v/>
      </c>
      <c r="U726" s="38">
        <f t="shared" si="86"/>
        <v>61</v>
      </c>
    </row>
    <row r="727" spans="11:21" hidden="1" x14ac:dyDescent="0.25">
      <c r="K727" s="36">
        <f t="shared" ca="1" si="88"/>
        <v>68190</v>
      </c>
      <c r="L727" s="19">
        <v>722</v>
      </c>
      <c r="M727" s="19">
        <f t="shared" si="87"/>
        <v>0</v>
      </c>
      <c r="N727" s="37">
        <f t="shared" si="84"/>
        <v>0</v>
      </c>
      <c r="O727" s="37">
        <f t="shared" si="82"/>
        <v>0</v>
      </c>
      <c r="P727" s="55" cm="1">
        <f t="array" aca="1" ref="P727" ca="1">IF((L727-$C$16)&gt;0, IF($P$1+$C$16&gt;=L727,INDIRECT("M"&amp;(L727-$C$16)+5),0),0)</f>
        <v>0</v>
      </c>
      <c r="Q727" s="56" cm="1">
        <f t="array" aca="1" ref="Q727" ca="1">IF(L727&lt;=$C$16,0,IF($W$2&gt;=L727,IF(L727&lt;=($P$1+$C$16),INDIRECT("N"&amp;(L727-$C$16)+5),FV(SRate,L727-$P$1-$C$16,0,-$W$1,1)),0))</f>
        <v>0</v>
      </c>
      <c r="R727" s="56">
        <f t="shared" ca="1" si="83"/>
        <v>0</v>
      </c>
      <c r="S727" s="19">
        <f t="shared" si="85"/>
        <v>0</v>
      </c>
      <c r="T727" s="36" t="str" cm="1">
        <f t="array" aca="1" ref="T727" ca="1">IF(L727&lt;=$P$1,K727,IF(L727&lt;=($P$1+1),INDIRECT("K"&amp;5+$W$2),""))</f>
        <v/>
      </c>
      <c r="U727" s="38">
        <f t="shared" si="86"/>
        <v>61</v>
      </c>
    </row>
    <row r="728" spans="11:21" hidden="1" x14ac:dyDescent="0.25">
      <c r="K728" s="36">
        <f t="shared" ca="1" si="88"/>
        <v>68220</v>
      </c>
      <c r="L728" s="19">
        <v>723</v>
      </c>
      <c r="M728" s="19">
        <f t="shared" si="87"/>
        <v>0</v>
      </c>
      <c r="N728" s="37">
        <f t="shared" si="84"/>
        <v>0</v>
      </c>
      <c r="O728" s="37">
        <f t="shared" si="82"/>
        <v>0</v>
      </c>
      <c r="P728" s="55" cm="1">
        <f t="array" aca="1" ref="P728" ca="1">IF((L728-$C$16)&gt;0, IF($P$1+$C$16&gt;=L728,INDIRECT("M"&amp;(L728-$C$16)+5),0),0)</f>
        <v>0</v>
      </c>
      <c r="Q728" s="56" cm="1">
        <f t="array" aca="1" ref="Q728" ca="1">IF(L728&lt;=$C$16,0,IF($W$2&gt;=L728,IF(L728&lt;=($P$1+$C$16),INDIRECT("N"&amp;(L728-$C$16)+5),FV(SRate,L728-$P$1-$C$16,0,-$W$1,1)),0))</f>
        <v>0</v>
      </c>
      <c r="R728" s="56">
        <f t="shared" ca="1" si="83"/>
        <v>0</v>
      </c>
      <c r="S728" s="19">
        <f t="shared" si="85"/>
        <v>0</v>
      </c>
      <c r="T728" s="36" t="str" cm="1">
        <f t="array" aca="1" ref="T728" ca="1">IF(L728&lt;=$P$1,K728,IF(L728&lt;=($P$1+1),INDIRECT("K"&amp;5+$W$2),""))</f>
        <v/>
      </c>
      <c r="U728" s="38">
        <f t="shared" si="86"/>
        <v>61</v>
      </c>
    </row>
    <row r="729" spans="11:21" hidden="1" x14ac:dyDescent="0.25">
      <c r="K729" s="36">
        <f t="shared" ca="1" si="88"/>
        <v>68251</v>
      </c>
      <c r="L729" s="19">
        <v>724</v>
      </c>
      <c r="M729" s="19">
        <f t="shared" si="87"/>
        <v>0</v>
      </c>
      <c r="N729" s="37">
        <f t="shared" si="84"/>
        <v>0</v>
      </c>
      <c r="O729" s="37">
        <f t="shared" si="82"/>
        <v>0</v>
      </c>
      <c r="P729" s="55" cm="1">
        <f t="array" aca="1" ref="P729" ca="1">IF((L729-$C$16)&gt;0, IF($P$1+$C$16&gt;=L729,INDIRECT("M"&amp;(L729-$C$16)+5),0),0)</f>
        <v>0</v>
      </c>
      <c r="Q729" s="56" cm="1">
        <f t="array" aca="1" ref="Q729" ca="1">IF(L729&lt;=$C$16,0,IF($W$2&gt;=L729,IF(L729&lt;=($P$1+$C$16),INDIRECT("N"&amp;(L729-$C$16)+5),FV(SRate,L729-$P$1-$C$16,0,-$W$1,1)),0))</f>
        <v>0</v>
      </c>
      <c r="R729" s="56">
        <f t="shared" ca="1" si="83"/>
        <v>0</v>
      </c>
      <c r="S729" s="19">
        <f t="shared" si="85"/>
        <v>0</v>
      </c>
      <c r="T729" s="36" t="str" cm="1">
        <f t="array" aca="1" ref="T729" ca="1">IF(L729&lt;=$P$1,K729,IF(L729&lt;=($P$1+1),INDIRECT("K"&amp;5+$W$2),""))</f>
        <v/>
      </c>
      <c r="U729" s="38">
        <f t="shared" si="86"/>
        <v>61</v>
      </c>
    </row>
    <row r="730" spans="11:21" hidden="1" x14ac:dyDescent="0.25">
      <c r="K730" s="36">
        <f t="shared" ca="1" si="88"/>
        <v>68281</v>
      </c>
      <c r="L730" s="19">
        <v>725</v>
      </c>
      <c r="M730" s="19">
        <f t="shared" si="87"/>
        <v>0</v>
      </c>
      <c r="N730" s="37">
        <f t="shared" si="84"/>
        <v>0</v>
      </c>
      <c r="O730" s="37">
        <f t="shared" si="82"/>
        <v>0</v>
      </c>
      <c r="P730" s="55" cm="1">
        <f t="array" aca="1" ref="P730" ca="1">IF((L730-$C$16)&gt;0, IF($P$1+$C$16&gt;=L730,INDIRECT("M"&amp;(L730-$C$16)+5),0),0)</f>
        <v>0</v>
      </c>
      <c r="Q730" s="56" cm="1">
        <f t="array" aca="1" ref="Q730" ca="1">IF(L730&lt;=$C$16,0,IF($W$2&gt;=L730,IF(L730&lt;=($P$1+$C$16),INDIRECT("N"&amp;(L730-$C$16)+5),FV(SRate,L730-$P$1-$C$16,0,-$W$1,1)),0))</f>
        <v>0</v>
      </c>
      <c r="R730" s="56">
        <f t="shared" ca="1" si="83"/>
        <v>0</v>
      </c>
      <c r="S730" s="19">
        <f t="shared" si="85"/>
        <v>0</v>
      </c>
      <c r="T730" s="36" t="str" cm="1">
        <f t="array" aca="1" ref="T730" ca="1">IF(L730&lt;=$P$1,K730,IF(L730&lt;=($P$1+1),INDIRECT("K"&amp;5+$W$2),""))</f>
        <v/>
      </c>
      <c r="U730" s="38">
        <f t="shared" si="86"/>
        <v>61</v>
      </c>
    </row>
    <row r="731" spans="11:21" hidden="1" x14ac:dyDescent="0.25">
      <c r="K731" s="36">
        <f t="shared" ca="1" si="88"/>
        <v>68312</v>
      </c>
      <c r="L731" s="19">
        <v>726</v>
      </c>
      <c r="M731" s="19">
        <f t="shared" si="87"/>
        <v>0</v>
      </c>
      <c r="N731" s="37">
        <f t="shared" si="84"/>
        <v>0</v>
      </c>
      <c r="O731" s="37">
        <f t="shared" si="82"/>
        <v>0</v>
      </c>
      <c r="P731" s="55" cm="1">
        <f t="array" aca="1" ref="P731" ca="1">IF((L731-$C$16)&gt;0, IF($P$1+$C$16&gt;=L731,INDIRECT("M"&amp;(L731-$C$16)+5),0),0)</f>
        <v>0</v>
      </c>
      <c r="Q731" s="56" cm="1">
        <f t="array" aca="1" ref="Q731" ca="1">IF(L731&lt;=$C$16,0,IF($W$2&gt;=L731,IF(L731&lt;=($P$1+$C$16),INDIRECT("N"&amp;(L731-$C$16)+5),FV(SRate,L731-$P$1-$C$16,0,-$W$1,1)),0))</f>
        <v>0</v>
      </c>
      <c r="R731" s="56">
        <f t="shared" ca="1" si="83"/>
        <v>0</v>
      </c>
      <c r="S731" s="19">
        <f t="shared" si="85"/>
        <v>0</v>
      </c>
      <c r="T731" s="36" t="str" cm="1">
        <f t="array" aca="1" ref="T731" ca="1">IF(L731&lt;=$P$1,K731,IF(L731&lt;=($P$1+1),INDIRECT("K"&amp;5+$W$2),""))</f>
        <v/>
      </c>
      <c r="U731" s="38">
        <f t="shared" si="86"/>
        <v>61</v>
      </c>
    </row>
    <row r="732" spans="11:21" hidden="1" x14ac:dyDescent="0.25">
      <c r="K732" s="36">
        <f t="shared" ca="1" si="88"/>
        <v>68343</v>
      </c>
      <c r="L732" s="19">
        <v>727</v>
      </c>
      <c r="M732" s="19">
        <f t="shared" si="87"/>
        <v>0</v>
      </c>
      <c r="N732" s="37">
        <f t="shared" si="84"/>
        <v>0</v>
      </c>
      <c r="O732" s="37">
        <f t="shared" si="82"/>
        <v>0</v>
      </c>
      <c r="P732" s="55" cm="1">
        <f t="array" aca="1" ref="P732" ca="1">IF((L732-$C$16)&gt;0, IF($P$1+$C$16&gt;=L732,INDIRECT("M"&amp;(L732-$C$16)+5),0),0)</f>
        <v>0</v>
      </c>
      <c r="Q732" s="56" cm="1">
        <f t="array" aca="1" ref="Q732" ca="1">IF(L732&lt;=$C$16,0,IF($W$2&gt;=L732,IF(L732&lt;=($P$1+$C$16),INDIRECT("N"&amp;(L732-$C$16)+5),FV(SRate,L732-$P$1-$C$16,0,-$W$1,1)),0))</f>
        <v>0</v>
      </c>
      <c r="R732" s="56">
        <f t="shared" ca="1" si="83"/>
        <v>0</v>
      </c>
      <c r="S732" s="19">
        <f t="shared" si="85"/>
        <v>0</v>
      </c>
      <c r="T732" s="36" t="str" cm="1">
        <f t="array" aca="1" ref="T732" ca="1">IF(L732&lt;=$P$1,K732,IF(L732&lt;=($P$1+1),INDIRECT("K"&amp;5+$W$2),""))</f>
        <v/>
      </c>
      <c r="U732" s="38">
        <f t="shared" si="86"/>
        <v>61</v>
      </c>
    </row>
    <row r="733" spans="11:21" hidden="1" x14ac:dyDescent="0.25">
      <c r="K733" s="36">
        <f t="shared" ca="1" si="88"/>
        <v>68371</v>
      </c>
      <c r="L733" s="19">
        <v>728</v>
      </c>
      <c r="M733" s="19">
        <f t="shared" si="87"/>
        <v>0</v>
      </c>
      <c r="N733" s="37">
        <f t="shared" si="84"/>
        <v>0</v>
      </c>
      <c r="O733" s="37">
        <f t="shared" si="82"/>
        <v>0</v>
      </c>
      <c r="P733" s="55" cm="1">
        <f t="array" aca="1" ref="P733" ca="1">IF((L733-$C$16)&gt;0, IF($P$1+$C$16&gt;=L733,INDIRECT("M"&amp;(L733-$C$16)+5),0),0)</f>
        <v>0</v>
      </c>
      <c r="Q733" s="56" cm="1">
        <f t="array" aca="1" ref="Q733" ca="1">IF(L733&lt;=$C$16,0,IF($W$2&gt;=L733,IF(L733&lt;=($P$1+$C$16),INDIRECT("N"&amp;(L733-$C$16)+5),FV(SRate,L733-$P$1-$C$16,0,-$W$1,1)),0))</f>
        <v>0</v>
      </c>
      <c r="R733" s="56">
        <f t="shared" ca="1" si="83"/>
        <v>0</v>
      </c>
      <c r="S733" s="19">
        <f t="shared" si="85"/>
        <v>0</v>
      </c>
      <c r="T733" s="36" t="str" cm="1">
        <f t="array" aca="1" ref="T733" ca="1">IF(L733&lt;=$P$1,K733,IF(L733&lt;=($P$1+1),INDIRECT("K"&amp;5+$W$2),""))</f>
        <v/>
      </c>
      <c r="U733" s="38">
        <f t="shared" si="86"/>
        <v>61</v>
      </c>
    </row>
    <row r="734" spans="11:21" hidden="1" x14ac:dyDescent="0.25">
      <c r="K734" s="36">
        <f t="shared" ca="1" si="88"/>
        <v>68402</v>
      </c>
      <c r="L734" s="19">
        <v>729</v>
      </c>
      <c r="M734" s="19">
        <f t="shared" si="87"/>
        <v>0</v>
      </c>
      <c r="N734" s="37">
        <f t="shared" si="84"/>
        <v>0</v>
      </c>
      <c r="O734" s="37">
        <f t="shared" si="82"/>
        <v>0</v>
      </c>
      <c r="P734" s="55" cm="1">
        <f t="array" aca="1" ref="P734" ca="1">IF((L734-$C$16)&gt;0, IF($P$1+$C$16&gt;=L734,INDIRECT("M"&amp;(L734-$C$16)+5),0),0)</f>
        <v>0</v>
      </c>
      <c r="Q734" s="56" cm="1">
        <f t="array" aca="1" ref="Q734" ca="1">IF(L734&lt;=$C$16,0,IF($W$2&gt;=L734,IF(L734&lt;=($P$1+$C$16),INDIRECT("N"&amp;(L734-$C$16)+5),FV(SRate,L734-$P$1-$C$16,0,-$W$1,1)),0))</f>
        <v>0</v>
      </c>
      <c r="R734" s="56">
        <f t="shared" ca="1" si="83"/>
        <v>0</v>
      </c>
      <c r="S734" s="19">
        <f t="shared" si="85"/>
        <v>0</v>
      </c>
      <c r="T734" s="36" t="str" cm="1">
        <f t="array" aca="1" ref="T734" ca="1">IF(L734&lt;=$P$1,K734,IF(L734&lt;=($P$1+1),INDIRECT("K"&amp;5+$W$2),""))</f>
        <v/>
      </c>
      <c r="U734" s="38">
        <f t="shared" si="86"/>
        <v>61</v>
      </c>
    </row>
    <row r="735" spans="11:21" hidden="1" x14ac:dyDescent="0.25">
      <c r="K735" s="36">
        <f t="shared" ca="1" si="88"/>
        <v>68432</v>
      </c>
      <c r="L735" s="19">
        <v>730</v>
      </c>
      <c r="M735" s="19">
        <f t="shared" si="87"/>
        <v>0</v>
      </c>
      <c r="N735" s="37">
        <f t="shared" si="84"/>
        <v>0</v>
      </c>
      <c r="O735" s="37">
        <f t="shared" si="82"/>
        <v>0</v>
      </c>
      <c r="P735" s="55" cm="1">
        <f t="array" aca="1" ref="P735" ca="1">IF((L735-$C$16)&gt;0, IF($P$1+$C$16&gt;=L735,INDIRECT("M"&amp;(L735-$C$16)+5),0),0)</f>
        <v>0</v>
      </c>
      <c r="Q735" s="56" cm="1">
        <f t="array" aca="1" ref="Q735" ca="1">IF(L735&lt;=$C$16,0,IF($W$2&gt;=L735,IF(L735&lt;=($P$1+$C$16),INDIRECT("N"&amp;(L735-$C$16)+5),FV(SRate,L735-$P$1-$C$16,0,-$W$1,1)),0))</f>
        <v>0</v>
      </c>
      <c r="R735" s="56">
        <f t="shared" ca="1" si="83"/>
        <v>0</v>
      </c>
      <c r="S735" s="19">
        <f t="shared" si="85"/>
        <v>0</v>
      </c>
      <c r="T735" s="36" t="str" cm="1">
        <f t="array" aca="1" ref="T735" ca="1">IF(L735&lt;=$P$1,K735,IF(L735&lt;=($P$1+1),INDIRECT("K"&amp;5+$W$2),""))</f>
        <v/>
      </c>
      <c r="U735" s="38">
        <f t="shared" si="86"/>
        <v>61</v>
      </c>
    </row>
    <row r="736" spans="11:21" hidden="1" x14ac:dyDescent="0.25">
      <c r="K736" s="36">
        <f t="shared" ca="1" si="88"/>
        <v>68463</v>
      </c>
      <c r="L736" s="19">
        <v>731</v>
      </c>
      <c r="M736" s="19">
        <f t="shared" si="87"/>
        <v>0</v>
      </c>
      <c r="N736" s="37">
        <f t="shared" si="84"/>
        <v>0</v>
      </c>
      <c r="O736" s="37">
        <f t="shared" si="82"/>
        <v>0</v>
      </c>
      <c r="P736" s="55" cm="1">
        <f t="array" aca="1" ref="P736" ca="1">IF((L736-$C$16)&gt;0, IF($P$1+$C$16&gt;=L736,INDIRECT("M"&amp;(L736-$C$16)+5),0),0)</f>
        <v>0</v>
      </c>
      <c r="Q736" s="56" cm="1">
        <f t="array" aca="1" ref="Q736" ca="1">IF(L736&lt;=$C$16,0,IF($W$2&gt;=L736,IF(L736&lt;=($P$1+$C$16),INDIRECT("N"&amp;(L736-$C$16)+5),FV(SRate,L736-$P$1-$C$16,0,-$W$1,1)),0))</f>
        <v>0</v>
      </c>
      <c r="R736" s="56">
        <f t="shared" ca="1" si="83"/>
        <v>0</v>
      </c>
      <c r="S736" s="19">
        <f t="shared" si="85"/>
        <v>0</v>
      </c>
      <c r="T736" s="36" t="str" cm="1">
        <f t="array" aca="1" ref="T736" ca="1">IF(L736&lt;=$P$1,K736,IF(L736&lt;=($P$1+1),INDIRECT("K"&amp;5+$W$2),""))</f>
        <v/>
      </c>
      <c r="U736" s="38">
        <f t="shared" si="86"/>
        <v>61</v>
      </c>
    </row>
    <row r="737" spans="11:21" hidden="1" x14ac:dyDescent="0.25">
      <c r="K737" s="36">
        <f t="shared" ca="1" si="88"/>
        <v>68493</v>
      </c>
      <c r="L737" s="19">
        <v>732</v>
      </c>
      <c r="M737" s="19">
        <f t="shared" si="87"/>
        <v>0</v>
      </c>
      <c r="N737" s="37">
        <f t="shared" si="84"/>
        <v>0</v>
      </c>
      <c r="O737" s="37">
        <f t="shared" si="82"/>
        <v>0</v>
      </c>
      <c r="P737" s="55" cm="1">
        <f t="array" aca="1" ref="P737" ca="1">IF((L737-$C$16)&gt;0, IF($P$1+$C$16&gt;=L737,INDIRECT("M"&amp;(L737-$C$16)+5),0),0)</f>
        <v>0</v>
      </c>
      <c r="Q737" s="56" cm="1">
        <f t="array" aca="1" ref="Q737" ca="1">IF(L737&lt;=$C$16,0,IF($W$2&gt;=L737,IF(L737&lt;=($P$1+$C$16),INDIRECT("N"&amp;(L737-$C$16)+5),FV(SRate,L737-$P$1-$C$16,0,-$W$1,1)),0))</f>
        <v>0</v>
      </c>
      <c r="R737" s="56">
        <f t="shared" ca="1" si="83"/>
        <v>0</v>
      </c>
      <c r="S737" s="19">
        <f t="shared" si="85"/>
        <v>0</v>
      </c>
      <c r="T737" s="36" t="str" cm="1">
        <f t="array" aca="1" ref="T737" ca="1">IF(L737&lt;=$P$1,K737,IF(L737&lt;=($P$1+1),INDIRECT("K"&amp;5+$W$2),""))</f>
        <v/>
      </c>
      <c r="U737" s="38">
        <f t="shared" si="86"/>
        <v>61</v>
      </c>
    </row>
    <row r="738" spans="11:21" hidden="1" x14ac:dyDescent="0.25">
      <c r="K738" s="36">
        <f t="shared" ca="1" si="88"/>
        <v>68524</v>
      </c>
      <c r="L738" s="19">
        <v>733</v>
      </c>
      <c r="M738" s="19">
        <f t="shared" si="87"/>
        <v>0</v>
      </c>
      <c r="N738" s="37">
        <f t="shared" si="84"/>
        <v>0</v>
      </c>
      <c r="O738" s="37">
        <f t="shared" si="82"/>
        <v>0</v>
      </c>
      <c r="P738" s="55" cm="1">
        <f t="array" aca="1" ref="P738" ca="1">IF((L738-$C$16)&gt;0, IF($P$1+$C$16&gt;=L738,INDIRECT("M"&amp;(L738-$C$16)+5),0),0)</f>
        <v>0</v>
      </c>
      <c r="Q738" s="56" cm="1">
        <f t="array" aca="1" ref="Q738" ca="1">IF(L738&lt;=$C$16,0,IF($W$2&gt;=L738,IF(L738&lt;=($P$1+$C$16),INDIRECT("N"&amp;(L738-$C$16)+5),FV(SRate,L738-$P$1-$C$16,0,-$W$1,1)),0))</f>
        <v>0</v>
      </c>
      <c r="R738" s="56">
        <f t="shared" ca="1" si="83"/>
        <v>0</v>
      </c>
      <c r="S738" s="19">
        <f t="shared" si="85"/>
        <v>0</v>
      </c>
      <c r="T738" s="36" t="str" cm="1">
        <f t="array" aca="1" ref="T738" ca="1">IF(L738&lt;=$P$1,K738,IF(L738&lt;=($P$1+1),INDIRECT("K"&amp;5+$W$2),""))</f>
        <v/>
      </c>
      <c r="U738" s="38">
        <f t="shared" si="86"/>
        <v>62</v>
      </c>
    </row>
    <row r="739" spans="11:21" hidden="1" x14ac:dyDescent="0.25">
      <c r="K739" s="36">
        <f t="shared" ca="1" si="88"/>
        <v>68555</v>
      </c>
      <c r="L739" s="19">
        <v>734</v>
      </c>
      <c r="M739" s="19">
        <f t="shared" si="87"/>
        <v>0</v>
      </c>
      <c r="N739" s="37">
        <f t="shared" si="84"/>
        <v>0</v>
      </c>
      <c r="O739" s="37">
        <f t="shared" si="82"/>
        <v>0</v>
      </c>
      <c r="P739" s="55" cm="1">
        <f t="array" aca="1" ref="P739" ca="1">IF((L739-$C$16)&gt;0, IF($P$1+$C$16&gt;=L739,INDIRECT("M"&amp;(L739-$C$16)+5),0),0)</f>
        <v>0</v>
      </c>
      <c r="Q739" s="56" cm="1">
        <f t="array" aca="1" ref="Q739" ca="1">IF(L739&lt;=$C$16,0,IF($W$2&gt;=L739,IF(L739&lt;=($P$1+$C$16),INDIRECT("N"&amp;(L739-$C$16)+5),FV(SRate,L739-$P$1-$C$16,0,-$W$1,1)),0))</f>
        <v>0</v>
      </c>
      <c r="R739" s="56">
        <f t="shared" ca="1" si="83"/>
        <v>0</v>
      </c>
      <c r="S739" s="19">
        <f t="shared" si="85"/>
        <v>0</v>
      </c>
      <c r="T739" s="36" t="str" cm="1">
        <f t="array" aca="1" ref="T739" ca="1">IF(L739&lt;=$P$1,K739,IF(L739&lt;=($P$1+1),INDIRECT("K"&amp;5+$W$2),""))</f>
        <v/>
      </c>
      <c r="U739" s="38">
        <f t="shared" si="86"/>
        <v>62</v>
      </c>
    </row>
    <row r="740" spans="11:21" hidden="1" x14ac:dyDescent="0.25">
      <c r="K740" s="36">
        <f t="shared" ca="1" si="88"/>
        <v>68585</v>
      </c>
      <c r="L740" s="19">
        <v>735</v>
      </c>
      <c r="M740" s="19">
        <f t="shared" si="87"/>
        <v>0</v>
      </c>
      <c r="N740" s="37">
        <f t="shared" si="84"/>
        <v>0</v>
      </c>
      <c r="O740" s="37">
        <f t="shared" si="82"/>
        <v>0</v>
      </c>
      <c r="P740" s="55" cm="1">
        <f t="array" aca="1" ref="P740" ca="1">IF((L740-$C$16)&gt;0, IF($P$1+$C$16&gt;=L740,INDIRECT("M"&amp;(L740-$C$16)+5),0),0)</f>
        <v>0</v>
      </c>
      <c r="Q740" s="56" cm="1">
        <f t="array" aca="1" ref="Q740" ca="1">IF(L740&lt;=$C$16,0,IF($W$2&gt;=L740,IF(L740&lt;=($P$1+$C$16),INDIRECT("N"&amp;(L740-$C$16)+5),FV(SRate,L740-$P$1-$C$16,0,-$W$1,1)),0))</f>
        <v>0</v>
      </c>
      <c r="R740" s="56">
        <f t="shared" ca="1" si="83"/>
        <v>0</v>
      </c>
      <c r="S740" s="19">
        <f t="shared" si="85"/>
        <v>0</v>
      </c>
      <c r="T740" s="36" t="str" cm="1">
        <f t="array" aca="1" ref="T740" ca="1">IF(L740&lt;=$P$1,K740,IF(L740&lt;=($P$1+1),INDIRECT("K"&amp;5+$W$2),""))</f>
        <v/>
      </c>
      <c r="U740" s="38">
        <f t="shared" si="86"/>
        <v>62</v>
      </c>
    </row>
    <row r="741" spans="11:21" hidden="1" x14ac:dyDescent="0.25">
      <c r="K741" s="36">
        <f t="shared" ca="1" si="88"/>
        <v>68616</v>
      </c>
      <c r="L741" s="19">
        <v>736</v>
      </c>
      <c r="M741" s="19">
        <f t="shared" si="87"/>
        <v>0</v>
      </c>
      <c r="N741" s="37">
        <f t="shared" si="84"/>
        <v>0</v>
      </c>
      <c r="O741" s="37">
        <f t="shared" si="82"/>
        <v>0</v>
      </c>
      <c r="P741" s="55" cm="1">
        <f t="array" aca="1" ref="P741" ca="1">IF((L741-$C$16)&gt;0, IF($P$1+$C$16&gt;=L741,INDIRECT("M"&amp;(L741-$C$16)+5),0),0)</f>
        <v>0</v>
      </c>
      <c r="Q741" s="56" cm="1">
        <f t="array" aca="1" ref="Q741" ca="1">IF(L741&lt;=$C$16,0,IF($W$2&gt;=L741,IF(L741&lt;=($P$1+$C$16),INDIRECT("N"&amp;(L741-$C$16)+5),FV(SRate,L741-$P$1-$C$16,0,-$W$1,1)),0))</f>
        <v>0</v>
      </c>
      <c r="R741" s="56">
        <f t="shared" ca="1" si="83"/>
        <v>0</v>
      </c>
      <c r="S741" s="19">
        <f t="shared" si="85"/>
        <v>0</v>
      </c>
      <c r="T741" s="36" t="str" cm="1">
        <f t="array" aca="1" ref="T741" ca="1">IF(L741&lt;=$P$1,K741,IF(L741&lt;=($P$1+1),INDIRECT("K"&amp;5+$W$2),""))</f>
        <v/>
      </c>
      <c r="U741" s="38">
        <f t="shared" si="86"/>
        <v>62</v>
      </c>
    </row>
    <row r="742" spans="11:21" hidden="1" x14ac:dyDescent="0.25">
      <c r="K742" s="36">
        <f t="shared" ca="1" si="88"/>
        <v>68646</v>
      </c>
      <c r="L742" s="19">
        <v>737</v>
      </c>
      <c r="M742" s="19">
        <f t="shared" si="87"/>
        <v>0</v>
      </c>
      <c r="N742" s="37">
        <f t="shared" si="84"/>
        <v>0</v>
      </c>
      <c r="O742" s="37">
        <f t="shared" ref="O742:O805" si="89">N742/((1+SIPInflationRate)^(L742/12))</f>
        <v>0</v>
      </c>
      <c r="P742" s="55" cm="1">
        <f t="array" aca="1" ref="P742" ca="1">IF((L742-$C$16)&gt;0, IF($P$1+$C$16&gt;=L742,INDIRECT("M"&amp;(L742-$C$16)+5),0),0)</f>
        <v>0</v>
      </c>
      <c r="Q742" s="56" cm="1">
        <f t="array" aca="1" ref="Q742" ca="1">IF(L742&lt;=$C$16,0,IF($W$2&gt;=L742,IF(L742&lt;=($P$1+$C$16),INDIRECT("N"&amp;(L742-$C$16)+5),FV(SRate,L742-$P$1-$C$16,0,-$W$1,1)),0))</f>
        <v>0</v>
      </c>
      <c r="R742" s="56">
        <f t="shared" ca="1" si="83"/>
        <v>0</v>
      </c>
      <c r="S742" s="19">
        <f t="shared" si="85"/>
        <v>0</v>
      </c>
      <c r="T742" s="36" t="str" cm="1">
        <f t="array" aca="1" ref="T742" ca="1">IF(L742&lt;=$P$1,K742,IF(L742&lt;=($P$1+1),INDIRECT("K"&amp;5+$W$2),""))</f>
        <v/>
      </c>
      <c r="U742" s="38">
        <f t="shared" si="86"/>
        <v>62</v>
      </c>
    </row>
    <row r="743" spans="11:21" hidden="1" x14ac:dyDescent="0.25">
      <c r="K743" s="36">
        <f t="shared" ca="1" si="88"/>
        <v>68677</v>
      </c>
      <c r="L743" s="19">
        <v>738</v>
      </c>
      <c r="M743" s="19">
        <f t="shared" si="87"/>
        <v>0</v>
      </c>
      <c r="N743" s="37">
        <f t="shared" si="84"/>
        <v>0</v>
      </c>
      <c r="O743" s="37">
        <f t="shared" si="89"/>
        <v>0</v>
      </c>
      <c r="P743" s="55" cm="1">
        <f t="array" aca="1" ref="P743" ca="1">IF((L743-$C$16)&gt;0, IF($P$1+$C$16&gt;=L743,INDIRECT("M"&amp;(L743-$C$16)+5),0),0)</f>
        <v>0</v>
      </c>
      <c r="Q743" s="56" cm="1">
        <f t="array" aca="1" ref="Q743" ca="1">IF(L743&lt;=$C$16,0,IF($W$2&gt;=L743,IF(L743&lt;=($P$1+$C$16),INDIRECT("N"&amp;(L743-$C$16)+5),FV(SRate,L743-$P$1-$C$16,0,-$W$1,1)),0))</f>
        <v>0</v>
      </c>
      <c r="R743" s="56">
        <f t="shared" ca="1" si="83"/>
        <v>0</v>
      </c>
      <c r="S743" s="19">
        <f t="shared" si="85"/>
        <v>0</v>
      </c>
      <c r="T743" s="36" t="str" cm="1">
        <f t="array" aca="1" ref="T743" ca="1">IF(L743&lt;=$P$1,K743,IF(L743&lt;=($P$1+1),INDIRECT("K"&amp;5+$W$2),""))</f>
        <v/>
      </c>
      <c r="U743" s="38">
        <f t="shared" si="86"/>
        <v>62</v>
      </c>
    </row>
    <row r="744" spans="11:21" hidden="1" x14ac:dyDescent="0.25">
      <c r="K744" s="36">
        <f t="shared" ca="1" si="88"/>
        <v>68708</v>
      </c>
      <c r="L744" s="19">
        <v>739</v>
      </c>
      <c r="M744" s="19">
        <f t="shared" si="87"/>
        <v>0</v>
      </c>
      <c r="N744" s="37">
        <f t="shared" si="84"/>
        <v>0</v>
      </c>
      <c r="O744" s="37">
        <f t="shared" si="89"/>
        <v>0</v>
      </c>
      <c r="P744" s="55" cm="1">
        <f t="array" aca="1" ref="P744" ca="1">IF((L744-$C$16)&gt;0, IF($P$1+$C$16&gt;=L744,INDIRECT("M"&amp;(L744-$C$16)+5),0),0)</f>
        <v>0</v>
      </c>
      <c r="Q744" s="56" cm="1">
        <f t="array" aca="1" ref="Q744" ca="1">IF(L744&lt;=$C$16,0,IF($W$2&gt;=L744,IF(L744&lt;=($P$1+$C$16),INDIRECT("N"&amp;(L744-$C$16)+5),FV(SRate,L744-$P$1-$C$16,0,-$W$1,1)),0))</f>
        <v>0</v>
      </c>
      <c r="R744" s="56">
        <f t="shared" ca="1" si="83"/>
        <v>0</v>
      </c>
      <c r="S744" s="19">
        <f t="shared" si="85"/>
        <v>0</v>
      </c>
      <c r="T744" s="36" t="str" cm="1">
        <f t="array" aca="1" ref="T744" ca="1">IF(L744&lt;=$P$1,K744,IF(L744&lt;=($P$1+1),INDIRECT("K"&amp;5+$W$2),""))</f>
        <v/>
      </c>
      <c r="U744" s="38">
        <f t="shared" si="86"/>
        <v>62</v>
      </c>
    </row>
    <row r="745" spans="11:21" hidden="1" x14ac:dyDescent="0.25">
      <c r="K745" s="36">
        <f t="shared" ca="1" si="88"/>
        <v>68737</v>
      </c>
      <c r="L745" s="19">
        <v>740</v>
      </c>
      <c r="M745" s="19">
        <f t="shared" si="87"/>
        <v>0</v>
      </c>
      <c r="N745" s="37">
        <f t="shared" si="84"/>
        <v>0</v>
      </c>
      <c r="O745" s="37">
        <f t="shared" si="89"/>
        <v>0</v>
      </c>
      <c r="P745" s="55" cm="1">
        <f t="array" aca="1" ref="P745" ca="1">IF((L745-$C$16)&gt;0, IF($P$1+$C$16&gt;=L745,INDIRECT("M"&amp;(L745-$C$16)+5),0),0)</f>
        <v>0</v>
      </c>
      <c r="Q745" s="56" cm="1">
        <f t="array" aca="1" ref="Q745" ca="1">IF(L745&lt;=$C$16,0,IF($W$2&gt;=L745,IF(L745&lt;=($P$1+$C$16),INDIRECT("N"&amp;(L745-$C$16)+5),FV(SRate,L745-$P$1-$C$16,0,-$W$1,1)),0))</f>
        <v>0</v>
      </c>
      <c r="R745" s="56">
        <f t="shared" ca="1" si="83"/>
        <v>0</v>
      </c>
      <c r="S745" s="19">
        <f t="shared" si="85"/>
        <v>0</v>
      </c>
      <c r="T745" s="36" t="str" cm="1">
        <f t="array" aca="1" ref="T745" ca="1">IF(L745&lt;=$P$1,K745,IF(L745&lt;=($P$1+1),INDIRECT("K"&amp;5+$W$2),""))</f>
        <v/>
      </c>
      <c r="U745" s="38">
        <f t="shared" si="86"/>
        <v>62</v>
      </c>
    </row>
    <row r="746" spans="11:21" hidden="1" x14ac:dyDescent="0.25">
      <c r="K746" s="36">
        <f t="shared" ca="1" si="88"/>
        <v>68768</v>
      </c>
      <c r="L746" s="19">
        <v>741</v>
      </c>
      <c r="M746" s="19">
        <f t="shared" si="87"/>
        <v>0</v>
      </c>
      <c r="N746" s="37">
        <f t="shared" si="84"/>
        <v>0</v>
      </c>
      <c r="O746" s="37">
        <f t="shared" si="89"/>
        <v>0</v>
      </c>
      <c r="P746" s="55" cm="1">
        <f t="array" aca="1" ref="P746" ca="1">IF((L746-$C$16)&gt;0, IF($P$1+$C$16&gt;=L746,INDIRECT("M"&amp;(L746-$C$16)+5),0),0)</f>
        <v>0</v>
      </c>
      <c r="Q746" s="56" cm="1">
        <f t="array" aca="1" ref="Q746" ca="1">IF(L746&lt;=$C$16,0,IF($W$2&gt;=L746,IF(L746&lt;=($P$1+$C$16),INDIRECT("N"&amp;(L746-$C$16)+5),FV(SRate,L746-$P$1-$C$16,0,-$W$1,1)),0))</f>
        <v>0</v>
      </c>
      <c r="R746" s="56">
        <f t="shared" ca="1" si="83"/>
        <v>0</v>
      </c>
      <c r="S746" s="19">
        <f t="shared" si="85"/>
        <v>0</v>
      </c>
      <c r="T746" s="36" t="str" cm="1">
        <f t="array" aca="1" ref="T746" ca="1">IF(L746&lt;=$P$1,K746,IF(L746&lt;=($P$1+1),INDIRECT("K"&amp;5+$W$2),""))</f>
        <v/>
      </c>
      <c r="U746" s="38">
        <f t="shared" si="86"/>
        <v>62</v>
      </c>
    </row>
    <row r="747" spans="11:21" hidden="1" x14ac:dyDescent="0.25">
      <c r="K747" s="36">
        <f t="shared" ca="1" si="88"/>
        <v>68798</v>
      </c>
      <c r="L747" s="19">
        <v>742</v>
      </c>
      <c r="M747" s="19">
        <f t="shared" si="87"/>
        <v>0</v>
      </c>
      <c r="N747" s="37">
        <f t="shared" si="84"/>
        <v>0</v>
      </c>
      <c r="O747" s="37">
        <f t="shared" si="89"/>
        <v>0</v>
      </c>
      <c r="P747" s="55" cm="1">
        <f t="array" aca="1" ref="P747" ca="1">IF((L747-$C$16)&gt;0, IF($P$1+$C$16&gt;=L747,INDIRECT("M"&amp;(L747-$C$16)+5),0),0)</f>
        <v>0</v>
      </c>
      <c r="Q747" s="56" cm="1">
        <f t="array" aca="1" ref="Q747" ca="1">IF(L747&lt;=$C$16,0,IF($W$2&gt;=L747,IF(L747&lt;=($P$1+$C$16),INDIRECT("N"&amp;(L747-$C$16)+5),FV(SRate,L747-$P$1-$C$16,0,-$W$1,1)),0))</f>
        <v>0</v>
      </c>
      <c r="R747" s="56">
        <f t="shared" ca="1" si="83"/>
        <v>0</v>
      </c>
      <c r="S747" s="19">
        <f t="shared" si="85"/>
        <v>0</v>
      </c>
      <c r="T747" s="36" t="str" cm="1">
        <f t="array" aca="1" ref="T747" ca="1">IF(L747&lt;=$P$1,K747,IF(L747&lt;=($P$1+1),INDIRECT("K"&amp;5+$W$2),""))</f>
        <v/>
      </c>
      <c r="U747" s="38">
        <f t="shared" si="86"/>
        <v>62</v>
      </c>
    </row>
    <row r="748" spans="11:21" hidden="1" x14ac:dyDescent="0.25">
      <c r="K748" s="36">
        <f t="shared" ca="1" si="88"/>
        <v>68829</v>
      </c>
      <c r="L748" s="19">
        <v>743</v>
      </c>
      <c r="M748" s="19">
        <f t="shared" si="87"/>
        <v>0</v>
      </c>
      <c r="N748" s="37">
        <f t="shared" si="84"/>
        <v>0</v>
      </c>
      <c r="O748" s="37">
        <f t="shared" si="89"/>
        <v>0</v>
      </c>
      <c r="P748" s="55" cm="1">
        <f t="array" aca="1" ref="P748" ca="1">IF((L748-$C$16)&gt;0, IF($P$1+$C$16&gt;=L748,INDIRECT("M"&amp;(L748-$C$16)+5),0),0)</f>
        <v>0</v>
      </c>
      <c r="Q748" s="56" cm="1">
        <f t="array" aca="1" ref="Q748" ca="1">IF(L748&lt;=$C$16,0,IF($W$2&gt;=L748,IF(L748&lt;=($P$1+$C$16),INDIRECT("N"&amp;(L748-$C$16)+5),FV(SRate,L748-$P$1-$C$16,0,-$W$1,1)),0))</f>
        <v>0</v>
      </c>
      <c r="R748" s="56">
        <f t="shared" ca="1" si="83"/>
        <v>0</v>
      </c>
      <c r="S748" s="19">
        <f t="shared" si="85"/>
        <v>0</v>
      </c>
      <c r="T748" s="36" t="str" cm="1">
        <f t="array" aca="1" ref="T748" ca="1">IF(L748&lt;=$P$1,K748,IF(L748&lt;=($P$1+1),INDIRECT("K"&amp;5+$W$2),""))</f>
        <v/>
      </c>
      <c r="U748" s="38">
        <f t="shared" si="86"/>
        <v>62</v>
      </c>
    </row>
    <row r="749" spans="11:21" hidden="1" x14ac:dyDescent="0.25">
      <c r="K749" s="36">
        <f t="shared" ca="1" si="88"/>
        <v>68859</v>
      </c>
      <c r="L749" s="19">
        <v>744</v>
      </c>
      <c r="M749" s="19">
        <f t="shared" si="87"/>
        <v>0</v>
      </c>
      <c r="N749" s="37">
        <f t="shared" si="84"/>
        <v>0</v>
      </c>
      <c r="O749" s="37">
        <f t="shared" si="89"/>
        <v>0</v>
      </c>
      <c r="P749" s="55" cm="1">
        <f t="array" aca="1" ref="P749" ca="1">IF((L749-$C$16)&gt;0, IF($P$1+$C$16&gt;=L749,INDIRECT("M"&amp;(L749-$C$16)+5),0),0)</f>
        <v>0</v>
      </c>
      <c r="Q749" s="56" cm="1">
        <f t="array" aca="1" ref="Q749" ca="1">IF(L749&lt;=$C$16,0,IF($W$2&gt;=L749,IF(L749&lt;=($P$1+$C$16),INDIRECT("N"&amp;(L749-$C$16)+5),FV(SRate,L749-$P$1-$C$16,0,-$W$1,1)),0))</f>
        <v>0</v>
      </c>
      <c r="R749" s="56">
        <f t="shared" ca="1" si="83"/>
        <v>0</v>
      </c>
      <c r="S749" s="19">
        <f t="shared" si="85"/>
        <v>0</v>
      </c>
      <c r="T749" s="36" t="str" cm="1">
        <f t="array" aca="1" ref="T749" ca="1">IF(L749&lt;=$P$1,K749,IF(L749&lt;=($P$1+1),INDIRECT("K"&amp;5+$W$2),""))</f>
        <v/>
      </c>
      <c r="U749" s="38">
        <f t="shared" si="86"/>
        <v>62</v>
      </c>
    </row>
    <row r="750" spans="11:21" hidden="1" x14ac:dyDescent="0.25">
      <c r="K750" s="36">
        <f t="shared" ca="1" si="88"/>
        <v>68890</v>
      </c>
      <c r="L750" s="19">
        <v>745</v>
      </c>
      <c r="M750" s="19">
        <f t="shared" si="87"/>
        <v>0</v>
      </c>
      <c r="N750" s="37">
        <f t="shared" si="84"/>
        <v>0</v>
      </c>
      <c r="O750" s="37">
        <f t="shared" si="89"/>
        <v>0</v>
      </c>
      <c r="P750" s="55" cm="1">
        <f t="array" aca="1" ref="P750" ca="1">IF((L750-$C$16)&gt;0, IF($P$1+$C$16&gt;=L750,INDIRECT("M"&amp;(L750-$C$16)+5),0),0)</f>
        <v>0</v>
      </c>
      <c r="Q750" s="56" cm="1">
        <f t="array" aca="1" ref="Q750" ca="1">IF(L750&lt;=$C$16,0,IF($W$2&gt;=L750,IF(L750&lt;=($P$1+$C$16),INDIRECT("N"&amp;(L750-$C$16)+5),FV(SRate,L750-$P$1-$C$16,0,-$W$1,1)),0))</f>
        <v>0</v>
      </c>
      <c r="R750" s="56">
        <f t="shared" ca="1" si="83"/>
        <v>0</v>
      </c>
      <c r="S750" s="19">
        <f t="shared" si="85"/>
        <v>0</v>
      </c>
      <c r="T750" s="36" t="str" cm="1">
        <f t="array" aca="1" ref="T750" ca="1">IF(L750&lt;=$P$1,K750,IF(L750&lt;=($P$1+1),INDIRECT("K"&amp;5+$W$2),""))</f>
        <v/>
      </c>
      <c r="U750" s="38">
        <f t="shared" si="86"/>
        <v>63</v>
      </c>
    </row>
    <row r="751" spans="11:21" hidden="1" x14ac:dyDescent="0.25">
      <c r="K751" s="36">
        <f t="shared" ca="1" si="88"/>
        <v>68921</v>
      </c>
      <c r="L751" s="19">
        <v>746</v>
      </c>
      <c r="M751" s="19">
        <f t="shared" si="87"/>
        <v>0</v>
      </c>
      <c r="N751" s="37">
        <f t="shared" si="84"/>
        <v>0</v>
      </c>
      <c r="O751" s="37">
        <f t="shared" si="89"/>
        <v>0</v>
      </c>
      <c r="P751" s="55" cm="1">
        <f t="array" aca="1" ref="P751" ca="1">IF((L751-$C$16)&gt;0, IF($P$1+$C$16&gt;=L751,INDIRECT("M"&amp;(L751-$C$16)+5),0),0)</f>
        <v>0</v>
      </c>
      <c r="Q751" s="56" cm="1">
        <f t="array" aca="1" ref="Q751" ca="1">IF(L751&lt;=$C$16,0,IF($W$2&gt;=L751,IF(L751&lt;=($P$1+$C$16),INDIRECT("N"&amp;(L751-$C$16)+5),FV(SRate,L751-$P$1-$C$16,0,-$W$1,1)),0))</f>
        <v>0</v>
      </c>
      <c r="R751" s="56">
        <f t="shared" ca="1" si="83"/>
        <v>0</v>
      </c>
      <c r="S751" s="19">
        <f t="shared" si="85"/>
        <v>0</v>
      </c>
      <c r="T751" s="36" t="str" cm="1">
        <f t="array" aca="1" ref="T751" ca="1">IF(L751&lt;=$P$1,K751,IF(L751&lt;=($P$1+1),INDIRECT("K"&amp;5+$W$2),""))</f>
        <v/>
      </c>
      <c r="U751" s="38">
        <f t="shared" si="86"/>
        <v>63</v>
      </c>
    </row>
    <row r="752" spans="11:21" hidden="1" x14ac:dyDescent="0.25">
      <c r="K752" s="36">
        <f t="shared" ca="1" si="88"/>
        <v>68951</v>
      </c>
      <c r="L752" s="19">
        <v>747</v>
      </c>
      <c r="M752" s="19">
        <f t="shared" si="87"/>
        <v>0</v>
      </c>
      <c r="N752" s="37">
        <f t="shared" si="84"/>
        <v>0</v>
      </c>
      <c r="O752" s="37">
        <f t="shared" si="89"/>
        <v>0</v>
      </c>
      <c r="P752" s="55" cm="1">
        <f t="array" aca="1" ref="P752" ca="1">IF((L752-$C$16)&gt;0, IF($P$1+$C$16&gt;=L752,INDIRECT("M"&amp;(L752-$C$16)+5),0),0)</f>
        <v>0</v>
      </c>
      <c r="Q752" s="56" cm="1">
        <f t="array" aca="1" ref="Q752" ca="1">IF(L752&lt;=$C$16,0,IF($W$2&gt;=L752,IF(L752&lt;=($P$1+$C$16),INDIRECT("N"&amp;(L752-$C$16)+5),FV(SRate,L752-$P$1-$C$16,0,-$W$1,1)),0))</f>
        <v>0</v>
      </c>
      <c r="R752" s="56">
        <f t="shared" ca="1" si="83"/>
        <v>0</v>
      </c>
      <c r="S752" s="19">
        <f t="shared" si="85"/>
        <v>0</v>
      </c>
      <c r="T752" s="36" t="str" cm="1">
        <f t="array" aca="1" ref="T752" ca="1">IF(L752&lt;=$P$1,K752,IF(L752&lt;=($P$1+1),INDIRECT("K"&amp;5+$W$2),""))</f>
        <v/>
      </c>
      <c r="U752" s="38">
        <f t="shared" si="86"/>
        <v>63</v>
      </c>
    </row>
    <row r="753" spans="11:21" hidden="1" x14ac:dyDescent="0.25">
      <c r="K753" s="36">
        <f t="shared" ca="1" si="88"/>
        <v>68982</v>
      </c>
      <c r="L753" s="19">
        <v>748</v>
      </c>
      <c r="M753" s="19">
        <f t="shared" si="87"/>
        <v>0</v>
      </c>
      <c r="N753" s="37">
        <f t="shared" si="84"/>
        <v>0</v>
      </c>
      <c r="O753" s="37">
        <f t="shared" si="89"/>
        <v>0</v>
      </c>
      <c r="P753" s="55" cm="1">
        <f t="array" aca="1" ref="P753" ca="1">IF((L753-$C$16)&gt;0, IF($P$1+$C$16&gt;=L753,INDIRECT("M"&amp;(L753-$C$16)+5),0),0)</f>
        <v>0</v>
      </c>
      <c r="Q753" s="56" cm="1">
        <f t="array" aca="1" ref="Q753" ca="1">IF(L753&lt;=$C$16,0,IF($W$2&gt;=L753,IF(L753&lt;=($P$1+$C$16),INDIRECT("N"&amp;(L753-$C$16)+5),FV(SRate,L753-$P$1-$C$16,0,-$W$1,1)),0))</f>
        <v>0</v>
      </c>
      <c r="R753" s="56">
        <f t="shared" ca="1" si="83"/>
        <v>0</v>
      </c>
      <c r="S753" s="19">
        <f t="shared" si="85"/>
        <v>0</v>
      </c>
      <c r="T753" s="36" t="str" cm="1">
        <f t="array" aca="1" ref="T753" ca="1">IF(L753&lt;=$P$1,K753,IF(L753&lt;=($P$1+1),INDIRECT("K"&amp;5+$W$2),""))</f>
        <v/>
      </c>
      <c r="U753" s="38">
        <f t="shared" si="86"/>
        <v>63</v>
      </c>
    </row>
    <row r="754" spans="11:21" hidden="1" x14ac:dyDescent="0.25">
      <c r="K754" s="36">
        <f t="shared" ca="1" si="88"/>
        <v>69012</v>
      </c>
      <c r="L754" s="19">
        <v>749</v>
      </c>
      <c r="M754" s="19">
        <f t="shared" si="87"/>
        <v>0</v>
      </c>
      <c r="N754" s="37">
        <f t="shared" si="84"/>
        <v>0</v>
      </c>
      <c r="O754" s="37">
        <f t="shared" si="89"/>
        <v>0</v>
      </c>
      <c r="P754" s="55" cm="1">
        <f t="array" aca="1" ref="P754" ca="1">IF((L754-$C$16)&gt;0, IF($P$1+$C$16&gt;=L754,INDIRECT("M"&amp;(L754-$C$16)+5),0),0)</f>
        <v>0</v>
      </c>
      <c r="Q754" s="56" cm="1">
        <f t="array" aca="1" ref="Q754" ca="1">IF(L754&lt;=$C$16,0,IF($W$2&gt;=L754,IF(L754&lt;=($P$1+$C$16),INDIRECT("N"&amp;(L754-$C$16)+5),FV(SRate,L754-$P$1-$C$16,0,-$W$1,1)),0))</f>
        <v>0</v>
      </c>
      <c r="R754" s="56">
        <f t="shared" ca="1" si="83"/>
        <v>0</v>
      </c>
      <c r="S754" s="19">
        <f t="shared" si="85"/>
        <v>0</v>
      </c>
      <c r="T754" s="36" t="str" cm="1">
        <f t="array" aca="1" ref="T754" ca="1">IF(L754&lt;=$P$1,K754,IF(L754&lt;=($P$1+1),INDIRECT("K"&amp;5+$W$2),""))</f>
        <v/>
      </c>
      <c r="U754" s="38">
        <f t="shared" si="86"/>
        <v>63</v>
      </c>
    </row>
    <row r="755" spans="11:21" hidden="1" x14ac:dyDescent="0.25">
      <c r="K755" s="36">
        <f t="shared" ca="1" si="88"/>
        <v>69043</v>
      </c>
      <c r="L755" s="19">
        <v>750</v>
      </c>
      <c r="M755" s="19">
        <f t="shared" si="87"/>
        <v>0</v>
      </c>
      <c r="N755" s="37">
        <f t="shared" si="84"/>
        <v>0</v>
      </c>
      <c r="O755" s="37">
        <f t="shared" si="89"/>
        <v>0</v>
      </c>
      <c r="P755" s="55" cm="1">
        <f t="array" aca="1" ref="P755" ca="1">IF((L755-$C$16)&gt;0, IF($P$1+$C$16&gt;=L755,INDIRECT("M"&amp;(L755-$C$16)+5),0),0)</f>
        <v>0</v>
      </c>
      <c r="Q755" s="56" cm="1">
        <f t="array" aca="1" ref="Q755" ca="1">IF(L755&lt;=$C$16,0,IF($W$2&gt;=L755,IF(L755&lt;=($P$1+$C$16),INDIRECT("N"&amp;(L755-$C$16)+5),FV(SRate,L755-$P$1-$C$16,0,-$W$1,1)),0))</f>
        <v>0</v>
      </c>
      <c r="R755" s="56">
        <f t="shared" ca="1" si="83"/>
        <v>0</v>
      </c>
      <c r="S755" s="19">
        <f t="shared" si="85"/>
        <v>0</v>
      </c>
      <c r="T755" s="36" t="str" cm="1">
        <f t="array" aca="1" ref="T755" ca="1">IF(L755&lt;=$P$1,K755,IF(L755&lt;=($P$1+1),INDIRECT("K"&amp;5+$W$2),""))</f>
        <v/>
      </c>
      <c r="U755" s="38">
        <f t="shared" si="86"/>
        <v>63</v>
      </c>
    </row>
    <row r="756" spans="11:21" hidden="1" x14ac:dyDescent="0.25">
      <c r="K756" s="36">
        <f t="shared" ca="1" si="88"/>
        <v>69074</v>
      </c>
      <c r="L756" s="19">
        <v>751</v>
      </c>
      <c r="M756" s="19">
        <f t="shared" si="87"/>
        <v>0</v>
      </c>
      <c r="N756" s="37">
        <f t="shared" si="84"/>
        <v>0</v>
      </c>
      <c r="O756" s="37">
        <f t="shared" si="89"/>
        <v>0</v>
      </c>
      <c r="P756" s="55" cm="1">
        <f t="array" aca="1" ref="P756" ca="1">IF((L756-$C$16)&gt;0, IF($P$1+$C$16&gt;=L756,INDIRECT("M"&amp;(L756-$C$16)+5),0),0)</f>
        <v>0</v>
      </c>
      <c r="Q756" s="56" cm="1">
        <f t="array" aca="1" ref="Q756" ca="1">IF(L756&lt;=$C$16,0,IF($W$2&gt;=L756,IF(L756&lt;=($P$1+$C$16),INDIRECT("N"&amp;(L756-$C$16)+5),FV(SRate,L756-$P$1-$C$16,0,-$W$1,1)),0))</f>
        <v>0</v>
      </c>
      <c r="R756" s="56">
        <f t="shared" ca="1" si="83"/>
        <v>0</v>
      </c>
      <c r="S756" s="19">
        <f t="shared" si="85"/>
        <v>0</v>
      </c>
      <c r="T756" s="36" t="str" cm="1">
        <f t="array" aca="1" ref="T756" ca="1">IF(L756&lt;=$P$1,K756,IF(L756&lt;=($P$1+1),INDIRECT("K"&amp;5+$W$2),""))</f>
        <v/>
      </c>
      <c r="U756" s="38">
        <f t="shared" si="86"/>
        <v>63</v>
      </c>
    </row>
    <row r="757" spans="11:21" hidden="1" x14ac:dyDescent="0.25">
      <c r="K757" s="36">
        <f t="shared" ca="1" si="88"/>
        <v>69102</v>
      </c>
      <c r="L757" s="19">
        <v>752</v>
      </c>
      <c r="M757" s="19">
        <f t="shared" si="87"/>
        <v>0</v>
      </c>
      <c r="N757" s="37">
        <f t="shared" si="84"/>
        <v>0</v>
      </c>
      <c r="O757" s="37">
        <f t="shared" si="89"/>
        <v>0</v>
      </c>
      <c r="P757" s="55" cm="1">
        <f t="array" aca="1" ref="P757" ca="1">IF((L757-$C$16)&gt;0, IF($P$1+$C$16&gt;=L757,INDIRECT("M"&amp;(L757-$C$16)+5),0),0)</f>
        <v>0</v>
      </c>
      <c r="Q757" s="56" cm="1">
        <f t="array" aca="1" ref="Q757" ca="1">IF(L757&lt;=$C$16,0,IF($W$2&gt;=L757,IF(L757&lt;=($P$1+$C$16),INDIRECT("N"&amp;(L757-$C$16)+5),FV(SRate,L757-$P$1-$C$16,0,-$W$1,1)),0))</f>
        <v>0</v>
      </c>
      <c r="R757" s="56">
        <f t="shared" ca="1" si="83"/>
        <v>0</v>
      </c>
      <c r="S757" s="19">
        <f t="shared" si="85"/>
        <v>0</v>
      </c>
      <c r="T757" s="36" t="str" cm="1">
        <f t="array" aca="1" ref="T757" ca="1">IF(L757&lt;=$P$1,K757,IF(L757&lt;=($P$1+1),INDIRECT("K"&amp;5+$W$2),""))</f>
        <v/>
      </c>
      <c r="U757" s="38">
        <f t="shared" si="86"/>
        <v>63</v>
      </c>
    </row>
    <row r="758" spans="11:21" hidden="1" x14ac:dyDescent="0.25">
      <c r="K758" s="36">
        <f t="shared" ca="1" si="88"/>
        <v>69133</v>
      </c>
      <c r="L758" s="19">
        <v>753</v>
      </c>
      <c r="M758" s="19">
        <f t="shared" si="87"/>
        <v>0</v>
      </c>
      <c r="N758" s="37">
        <f t="shared" si="84"/>
        <v>0</v>
      </c>
      <c r="O758" s="37">
        <f t="shared" si="89"/>
        <v>0</v>
      </c>
      <c r="P758" s="55" cm="1">
        <f t="array" aca="1" ref="P758" ca="1">IF((L758-$C$16)&gt;0, IF($P$1+$C$16&gt;=L758,INDIRECT("M"&amp;(L758-$C$16)+5),0),0)</f>
        <v>0</v>
      </c>
      <c r="Q758" s="56" cm="1">
        <f t="array" aca="1" ref="Q758" ca="1">IF(L758&lt;=$C$16,0,IF($W$2&gt;=L758,IF(L758&lt;=($P$1+$C$16),INDIRECT("N"&amp;(L758-$C$16)+5),FV(SRate,L758-$P$1-$C$16,0,-$W$1,1)),0))</f>
        <v>0</v>
      </c>
      <c r="R758" s="56">
        <f t="shared" ca="1" si="83"/>
        <v>0</v>
      </c>
      <c r="S758" s="19">
        <f t="shared" si="85"/>
        <v>0</v>
      </c>
      <c r="T758" s="36" t="str" cm="1">
        <f t="array" aca="1" ref="T758" ca="1">IF(L758&lt;=$P$1,K758,IF(L758&lt;=($P$1+1),INDIRECT("K"&amp;5+$W$2),""))</f>
        <v/>
      </c>
      <c r="U758" s="38">
        <f t="shared" si="86"/>
        <v>63</v>
      </c>
    </row>
    <row r="759" spans="11:21" hidden="1" x14ac:dyDescent="0.25">
      <c r="K759" s="36">
        <f t="shared" ca="1" si="88"/>
        <v>69163</v>
      </c>
      <c r="L759" s="19">
        <v>754</v>
      </c>
      <c r="M759" s="19">
        <f t="shared" si="87"/>
        <v>0</v>
      </c>
      <c r="N759" s="37">
        <f t="shared" si="84"/>
        <v>0</v>
      </c>
      <c r="O759" s="37">
        <f t="shared" si="89"/>
        <v>0</v>
      </c>
      <c r="P759" s="55" cm="1">
        <f t="array" aca="1" ref="P759" ca="1">IF((L759-$C$16)&gt;0, IF($P$1+$C$16&gt;=L759,INDIRECT("M"&amp;(L759-$C$16)+5),0),0)</f>
        <v>0</v>
      </c>
      <c r="Q759" s="56" cm="1">
        <f t="array" aca="1" ref="Q759" ca="1">IF(L759&lt;=$C$16,0,IF($W$2&gt;=L759,IF(L759&lt;=($P$1+$C$16),INDIRECT("N"&amp;(L759-$C$16)+5),FV(SRate,L759-$P$1-$C$16,0,-$W$1,1)),0))</f>
        <v>0</v>
      </c>
      <c r="R759" s="56">
        <f t="shared" ca="1" si="83"/>
        <v>0</v>
      </c>
      <c r="S759" s="19">
        <f t="shared" si="85"/>
        <v>0</v>
      </c>
      <c r="T759" s="36" t="str" cm="1">
        <f t="array" aca="1" ref="T759" ca="1">IF(L759&lt;=$P$1,K759,IF(L759&lt;=($P$1+1),INDIRECT("K"&amp;5+$W$2),""))</f>
        <v/>
      </c>
      <c r="U759" s="38">
        <f t="shared" si="86"/>
        <v>63</v>
      </c>
    </row>
    <row r="760" spans="11:21" hidden="1" x14ac:dyDescent="0.25">
      <c r="K760" s="36">
        <f t="shared" ca="1" si="88"/>
        <v>69194</v>
      </c>
      <c r="L760" s="19">
        <v>755</v>
      </c>
      <c r="M760" s="19">
        <f t="shared" si="87"/>
        <v>0</v>
      </c>
      <c r="N760" s="37">
        <f t="shared" si="84"/>
        <v>0</v>
      </c>
      <c r="O760" s="37">
        <f t="shared" si="89"/>
        <v>0</v>
      </c>
      <c r="P760" s="55" cm="1">
        <f t="array" aca="1" ref="P760" ca="1">IF((L760-$C$16)&gt;0, IF($P$1+$C$16&gt;=L760,INDIRECT("M"&amp;(L760-$C$16)+5),0),0)</f>
        <v>0</v>
      </c>
      <c r="Q760" s="56" cm="1">
        <f t="array" aca="1" ref="Q760" ca="1">IF(L760&lt;=$C$16,0,IF($W$2&gt;=L760,IF(L760&lt;=($P$1+$C$16),INDIRECT("N"&amp;(L760-$C$16)+5),FV(SRate,L760-$P$1-$C$16,0,-$W$1,1)),0))</f>
        <v>0</v>
      </c>
      <c r="R760" s="56">
        <f t="shared" ca="1" si="83"/>
        <v>0</v>
      </c>
      <c r="S760" s="19">
        <f t="shared" si="85"/>
        <v>0</v>
      </c>
      <c r="T760" s="36" t="str" cm="1">
        <f t="array" aca="1" ref="T760" ca="1">IF(L760&lt;=$P$1,K760,IF(L760&lt;=($P$1+1),INDIRECT("K"&amp;5+$W$2),""))</f>
        <v/>
      </c>
      <c r="U760" s="38">
        <f t="shared" si="86"/>
        <v>63</v>
      </c>
    </row>
    <row r="761" spans="11:21" hidden="1" x14ac:dyDescent="0.25">
      <c r="K761" s="36">
        <f t="shared" ca="1" si="88"/>
        <v>69224</v>
      </c>
      <c r="L761" s="19">
        <v>756</v>
      </c>
      <c r="M761" s="19">
        <f t="shared" si="87"/>
        <v>0</v>
      </c>
      <c r="N761" s="37">
        <f t="shared" si="84"/>
        <v>0</v>
      </c>
      <c r="O761" s="37">
        <f t="shared" si="89"/>
        <v>0</v>
      </c>
      <c r="P761" s="55" cm="1">
        <f t="array" aca="1" ref="P761" ca="1">IF((L761-$C$16)&gt;0, IF($P$1+$C$16&gt;=L761,INDIRECT("M"&amp;(L761-$C$16)+5),0),0)</f>
        <v>0</v>
      </c>
      <c r="Q761" s="56" cm="1">
        <f t="array" aca="1" ref="Q761" ca="1">IF(L761&lt;=$C$16,0,IF($W$2&gt;=L761,IF(L761&lt;=($P$1+$C$16),INDIRECT("N"&amp;(L761-$C$16)+5),FV(SRate,L761-$P$1-$C$16,0,-$W$1,1)),0))</f>
        <v>0</v>
      </c>
      <c r="R761" s="56">
        <f t="shared" ca="1" si="83"/>
        <v>0</v>
      </c>
      <c r="S761" s="19">
        <f t="shared" si="85"/>
        <v>0</v>
      </c>
      <c r="T761" s="36" t="str" cm="1">
        <f t="array" aca="1" ref="T761" ca="1">IF(L761&lt;=$P$1,K761,IF(L761&lt;=($P$1+1),INDIRECT("K"&amp;5+$W$2),""))</f>
        <v/>
      </c>
      <c r="U761" s="38">
        <f t="shared" si="86"/>
        <v>63</v>
      </c>
    </row>
    <row r="762" spans="11:21" hidden="1" x14ac:dyDescent="0.25">
      <c r="K762" s="36">
        <f t="shared" ca="1" si="88"/>
        <v>69255</v>
      </c>
      <c r="L762" s="19">
        <v>757</v>
      </c>
      <c r="M762" s="19">
        <f t="shared" si="87"/>
        <v>0</v>
      </c>
      <c r="N762" s="37">
        <f t="shared" si="84"/>
        <v>0</v>
      </c>
      <c r="O762" s="37">
        <f t="shared" si="89"/>
        <v>0</v>
      </c>
      <c r="P762" s="55" cm="1">
        <f t="array" aca="1" ref="P762" ca="1">IF((L762-$C$16)&gt;0, IF($P$1+$C$16&gt;=L762,INDIRECT("M"&amp;(L762-$C$16)+5),0),0)</f>
        <v>0</v>
      </c>
      <c r="Q762" s="56" cm="1">
        <f t="array" aca="1" ref="Q762" ca="1">IF(L762&lt;=$C$16,0,IF($W$2&gt;=L762,IF(L762&lt;=($P$1+$C$16),INDIRECT("N"&amp;(L762-$C$16)+5),FV(SRate,L762-$P$1-$C$16,0,-$W$1,1)),0))</f>
        <v>0</v>
      </c>
      <c r="R762" s="56">
        <f t="shared" ca="1" si="83"/>
        <v>0</v>
      </c>
      <c r="S762" s="19">
        <f t="shared" si="85"/>
        <v>0</v>
      </c>
      <c r="T762" s="36" t="str" cm="1">
        <f t="array" aca="1" ref="T762" ca="1">IF(L762&lt;=$P$1,K762,IF(L762&lt;=($P$1+1),INDIRECT("K"&amp;5+$W$2),""))</f>
        <v/>
      </c>
      <c r="U762" s="38">
        <f t="shared" si="86"/>
        <v>64</v>
      </c>
    </row>
    <row r="763" spans="11:21" hidden="1" x14ac:dyDescent="0.25">
      <c r="K763" s="36">
        <f t="shared" ca="1" si="88"/>
        <v>69286</v>
      </c>
      <c r="L763" s="19">
        <v>758</v>
      </c>
      <c r="M763" s="19">
        <f t="shared" si="87"/>
        <v>0</v>
      </c>
      <c r="N763" s="37">
        <f t="shared" si="84"/>
        <v>0</v>
      </c>
      <c r="O763" s="37">
        <f t="shared" si="89"/>
        <v>0</v>
      </c>
      <c r="P763" s="55" cm="1">
        <f t="array" aca="1" ref="P763" ca="1">IF((L763-$C$16)&gt;0, IF($P$1+$C$16&gt;=L763,INDIRECT("M"&amp;(L763-$C$16)+5),0),0)</f>
        <v>0</v>
      </c>
      <c r="Q763" s="56" cm="1">
        <f t="array" aca="1" ref="Q763" ca="1">IF(L763&lt;=$C$16,0,IF($W$2&gt;=L763,IF(L763&lt;=($P$1+$C$16),INDIRECT("N"&amp;(L763-$C$16)+5),FV(SRate,L763-$P$1-$C$16,0,-$W$1,1)),0))</f>
        <v>0</v>
      </c>
      <c r="R763" s="56">
        <f t="shared" ca="1" si="83"/>
        <v>0</v>
      </c>
      <c r="S763" s="19">
        <f t="shared" si="85"/>
        <v>0</v>
      </c>
      <c r="T763" s="36" t="str" cm="1">
        <f t="array" aca="1" ref="T763" ca="1">IF(L763&lt;=$P$1,K763,IF(L763&lt;=($P$1+1),INDIRECT("K"&amp;5+$W$2),""))</f>
        <v/>
      </c>
      <c r="U763" s="38">
        <f t="shared" si="86"/>
        <v>64</v>
      </c>
    </row>
    <row r="764" spans="11:21" hidden="1" x14ac:dyDescent="0.25">
      <c r="K764" s="36">
        <f t="shared" ca="1" si="88"/>
        <v>69316</v>
      </c>
      <c r="L764" s="19">
        <v>759</v>
      </c>
      <c r="M764" s="19">
        <f t="shared" si="87"/>
        <v>0</v>
      </c>
      <c r="N764" s="37">
        <f t="shared" si="84"/>
        <v>0</v>
      </c>
      <c r="O764" s="37">
        <f t="shared" si="89"/>
        <v>0</v>
      </c>
      <c r="P764" s="55" cm="1">
        <f t="array" aca="1" ref="P764" ca="1">IF((L764-$C$16)&gt;0, IF($P$1+$C$16&gt;=L764,INDIRECT("M"&amp;(L764-$C$16)+5),0),0)</f>
        <v>0</v>
      </c>
      <c r="Q764" s="56" cm="1">
        <f t="array" aca="1" ref="Q764" ca="1">IF(L764&lt;=$C$16,0,IF($W$2&gt;=L764,IF(L764&lt;=($P$1+$C$16),INDIRECT("N"&amp;(L764-$C$16)+5),FV(SRate,L764-$P$1-$C$16,0,-$W$1,1)),0))</f>
        <v>0</v>
      </c>
      <c r="R764" s="56">
        <f t="shared" ca="1" si="83"/>
        <v>0</v>
      </c>
      <c r="S764" s="19">
        <f t="shared" si="85"/>
        <v>0</v>
      </c>
      <c r="T764" s="36" t="str" cm="1">
        <f t="array" aca="1" ref="T764" ca="1">IF(L764&lt;=$P$1,K764,IF(L764&lt;=($P$1+1),INDIRECT("K"&amp;5+$W$2),""))</f>
        <v/>
      </c>
      <c r="U764" s="38">
        <f t="shared" si="86"/>
        <v>64</v>
      </c>
    </row>
    <row r="765" spans="11:21" hidden="1" x14ac:dyDescent="0.25">
      <c r="K765" s="36">
        <f t="shared" ca="1" si="88"/>
        <v>69347</v>
      </c>
      <c r="L765" s="19">
        <v>760</v>
      </c>
      <c r="M765" s="19">
        <f t="shared" si="87"/>
        <v>0</v>
      </c>
      <c r="N765" s="37">
        <f t="shared" si="84"/>
        <v>0</v>
      </c>
      <c r="O765" s="37">
        <f t="shared" si="89"/>
        <v>0</v>
      </c>
      <c r="P765" s="55" cm="1">
        <f t="array" aca="1" ref="P765" ca="1">IF((L765-$C$16)&gt;0, IF($P$1+$C$16&gt;=L765,INDIRECT("M"&amp;(L765-$C$16)+5),0),0)</f>
        <v>0</v>
      </c>
      <c r="Q765" s="56" cm="1">
        <f t="array" aca="1" ref="Q765" ca="1">IF(L765&lt;=$C$16,0,IF($W$2&gt;=L765,IF(L765&lt;=($P$1+$C$16),INDIRECT("N"&amp;(L765-$C$16)+5),FV(SRate,L765-$P$1-$C$16,0,-$W$1,1)),0))</f>
        <v>0</v>
      </c>
      <c r="R765" s="56">
        <f t="shared" ca="1" si="83"/>
        <v>0</v>
      </c>
      <c r="S765" s="19">
        <f t="shared" si="85"/>
        <v>0</v>
      </c>
      <c r="T765" s="36" t="str" cm="1">
        <f t="array" aca="1" ref="T765" ca="1">IF(L765&lt;=$P$1,K765,IF(L765&lt;=($P$1+1),INDIRECT("K"&amp;5+$W$2),""))</f>
        <v/>
      </c>
      <c r="U765" s="38">
        <f t="shared" si="86"/>
        <v>64</v>
      </c>
    </row>
    <row r="766" spans="11:21" hidden="1" x14ac:dyDescent="0.25">
      <c r="K766" s="36">
        <f t="shared" ca="1" si="88"/>
        <v>69377</v>
      </c>
      <c r="L766" s="19">
        <v>761</v>
      </c>
      <c r="M766" s="19">
        <f t="shared" si="87"/>
        <v>0</v>
      </c>
      <c r="N766" s="37">
        <f t="shared" si="84"/>
        <v>0</v>
      </c>
      <c r="O766" s="37">
        <f t="shared" si="89"/>
        <v>0</v>
      </c>
      <c r="P766" s="55" cm="1">
        <f t="array" aca="1" ref="P766" ca="1">IF((L766-$C$16)&gt;0, IF($P$1+$C$16&gt;=L766,INDIRECT("M"&amp;(L766-$C$16)+5),0),0)</f>
        <v>0</v>
      </c>
      <c r="Q766" s="56" cm="1">
        <f t="array" aca="1" ref="Q766" ca="1">IF(L766&lt;=$C$16,0,IF($W$2&gt;=L766,IF(L766&lt;=($P$1+$C$16),INDIRECT("N"&amp;(L766-$C$16)+5),FV(SRate,L766-$P$1-$C$16,0,-$W$1,1)),0))</f>
        <v>0</v>
      </c>
      <c r="R766" s="56">
        <f t="shared" ca="1" si="83"/>
        <v>0</v>
      </c>
      <c r="S766" s="19">
        <f t="shared" si="85"/>
        <v>0</v>
      </c>
      <c r="T766" s="36" t="str" cm="1">
        <f t="array" aca="1" ref="T766" ca="1">IF(L766&lt;=$P$1,K766,IF(L766&lt;=($P$1+1),INDIRECT("K"&amp;5+$W$2),""))</f>
        <v/>
      </c>
      <c r="U766" s="38">
        <f t="shared" si="86"/>
        <v>64</v>
      </c>
    </row>
    <row r="767" spans="11:21" hidden="1" x14ac:dyDescent="0.25">
      <c r="K767" s="36">
        <f t="shared" ca="1" si="88"/>
        <v>69408</v>
      </c>
      <c r="L767" s="19">
        <v>762</v>
      </c>
      <c r="M767" s="19">
        <f t="shared" si="87"/>
        <v>0</v>
      </c>
      <c r="N767" s="37">
        <f t="shared" si="84"/>
        <v>0</v>
      </c>
      <c r="O767" s="37">
        <f t="shared" si="89"/>
        <v>0</v>
      </c>
      <c r="P767" s="55" cm="1">
        <f t="array" aca="1" ref="P767" ca="1">IF((L767-$C$16)&gt;0, IF($P$1+$C$16&gt;=L767,INDIRECT("M"&amp;(L767-$C$16)+5),0),0)</f>
        <v>0</v>
      </c>
      <c r="Q767" s="56" cm="1">
        <f t="array" aca="1" ref="Q767" ca="1">IF(L767&lt;=$C$16,0,IF($W$2&gt;=L767,IF(L767&lt;=($P$1+$C$16),INDIRECT("N"&amp;(L767-$C$16)+5),FV(SRate,L767-$P$1-$C$16,0,-$W$1,1)),0))</f>
        <v>0</v>
      </c>
      <c r="R767" s="56">
        <f t="shared" ca="1" si="83"/>
        <v>0</v>
      </c>
      <c r="S767" s="19">
        <f t="shared" si="85"/>
        <v>0</v>
      </c>
      <c r="T767" s="36" t="str" cm="1">
        <f t="array" aca="1" ref="T767" ca="1">IF(L767&lt;=$P$1,K767,IF(L767&lt;=($P$1+1),INDIRECT("K"&amp;5+$W$2),""))</f>
        <v/>
      </c>
      <c r="U767" s="38">
        <f t="shared" si="86"/>
        <v>64</v>
      </c>
    </row>
    <row r="768" spans="11:21" hidden="1" x14ac:dyDescent="0.25">
      <c r="K768" s="36">
        <f t="shared" ca="1" si="88"/>
        <v>69439</v>
      </c>
      <c r="L768" s="19">
        <v>763</v>
      </c>
      <c r="M768" s="19">
        <f t="shared" si="87"/>
        <v>0</v>
      </c>
      <c r="N768" s="37">
        <f t="shared" si="84"/>
        <v>0</v>
      </c>
      <c r="O768" s="37">
        <f t="shared" si="89"/>
        <v>0</v>
      </c>
      <c r="P768" s="55" cm="1">
        <f t="array" aca="1" ref="P768" ca="1">IF((L768-$C$16)&gt;0, IF($P$1+$C$16&gt;=L768,INDIRECT("M"&amp;(L768-$C$16)+5),0),0)</f>
        <v>0</v>
      </c>
      <c r="Q768" s="56" cm="1">
        <f t="array" aca="1" ref="Q768" ca="1">IF(L768&lt;=$C$16,0,IF($W$2&gt;=L768,IF(L768&lt;=($P$1+$C$16),INDIRECT("N"&amp;(L768-$C$16)+5),FV(SRate,L768-$P$1-$C$16,0,-$W$1,1)),0))</f>
        <v>0</v>
      </c>
      <c r="R768" s="56">
        <f t="shared" ca="1" si="83"/>
        <v>0</v>
      </c>
      <c r="S768" s="19">
        <f t="shared" si="85"/>
        <v>0</v>
      </c>
      <c r="T768" s="36" t="str" cm="1">
        <f t="array" aca="1" ref="T768" ca="1">IF(L768&lt;=$P$1,K768,IF(L768&lt;=($P$1+1),INDIRECT("K"&amp;5+$W$2),""))</f>
        <v/>
      </c>
      <c r="U768" s="38">
        <f t="shared" si="86"/>
        <v>64</v>
      </c>
    </row>
    <row r="769" spans="11:21" hidden="1" x14ac:dyDescent="0.25">
      <c r="K769" s="36">
        <f t="shared" ca="1" si="88"/>
        <v>69467</v>
      </c>
      <c r="L769" s="19">
        <v>764</v>
      </c>
      <c r="M769" s="19">
        <f t="shared" si="87"/>
        <v>0</v>
      </c>
      <c r="N769" s="37">
        <f t="shared" si="84"/>
        <v>0</v>
      </c>
      <c r="O769" s="37">
        <f t="shared" si="89"/>
        <v>0</v>
      </c>
      <c r="P769" s="55" cm="1">
        <f t="array" aca="1" ref="P769" ca="1">IF((L769-$C$16)&gt;0, IF($P$1+$C$16&gt;=L769,INDIRECT("M"&amp;(L769-$C$16)+5),0),0)</f>
        <v>0</v>
      </c>
      <c r="Q769" s="56" cm="1">
        <f t="array" aca="1" ref="Q769" ca="1">IF(L769&lt;=$C$16,0,IF($W$2&gt;=L769,IF(L769&lt;=($P$1+$C$16),INDIRECT("N"&amp;(L769-$C$16)+5),FV(SRate,L769-$P$1-$C$16,0,-$W$1,1)),0))</f>
        <v>0</v>
      </c>
      <c r="R769" s="56">
        <f t="shared" ca="1" si="83"/>
        <v>0</v>
      </c>
      <c r="S769" s="19">
        <f t="shared" si="85"/>
        <v>0</v>
      </c>
      <c r="T769" s="36" t="str" cm="1">
        <f t="array" aca="1" ref="T769" ca="1">IF(L769&lt;=$P$1,K769,IF(L769&lt;=($P$1+1),INDIRECT("K"&amp;5+$W$2),""))</f>
        <v/>
      </c>
      <c r="U769" s="38">
        <f t="shared" si="86"/>
        <v>64</v>
      </c>
    </row>
    <row r="770" spans="11:21" hidden="1" x14ac:dyDescent="0.25">
      <c r="K770" s="36">
        <f t="shared" ca="1" si="88"/>
        <v>69498</v>
      </c>
      <c r="L770" s="19">
        <v>765</v>
      </c>
      <c r="M770" s="19">
        <f t="shared" si="87"/>
        <v>0</v>
      </c>
      <c r="N770" s="37">
        <f t="shared" si="84"/>
        <v>0</v>
      </c>
      <c r="O770" s="37">
        <f t="shared" si="89"/>
        <v>0</v>
      </c>
      <c r="P770" s="55" cm="1">
        <f t="array" aca="1" ref="P770" ca="1">IF((L770-$C$16)&gt;0, IF($P$1+$C$16&gt;=L770,INDIRECT("M"&amp;(L770-$C$16)+5),0),0)</f>
        <v>0</v>
      </c>
      <c r="Q770" s="56" cm="1">
        <f t="array" aca="1" ref="Q770" ca="1">IF(L770&lt;=$C$16,0,IF($W$2&gt;=L770,IF(L770&lt;=($P$1+$C$16),INDIRECT("N"&amp;(L770-$C$16)+5),FV(SRate,L770-$P$1-$C$16,0,-$W$1,1)),0))</f>
        <v>0</v>
      </c>
      <c r="R770" s="56">
        <f t="shared" ca="1" si="83"/>
        <v>0</v>
      </c>
      <c r="S770" s="19">
        <f t="shared" si="85"/>
        <v>0</v>
      </c>
      <c r="T770" s="36" t="str" cm="1">
        <f t="array" aca="1" ref="T770" ca="1">IF(L770&lt;=$P$1,K770,IF(L770&lt;=($P$1+1),INDIRECT("K"&amp;5+$W$2),""))</f>
        <v/>
      </c>
      <c r="U770" s="38">
        <f t="shared" si="86"/>
        <v>64</v>
      </c>
    </row>
    <row r="771" spans="11:21" hidden="1" x14ac:dyDescent="0.25">
      <c r="K771" s="36">
        <f t="shared" ca="1" si="88"/>
        <v>69528</v>
      </c>
      <c r="L771" s="19">
        <v>766</v>
      </c>
      <c r="M771" s="19">
        <f t="shared" si="87"/>
        <v>0</v>
      </c>
      <c r="N771" s="37">
        <f t="shared" si="84"/>
        <v>0</v>
      </c>
      <c r="O771" s="37">
        <f t="shared" si="89"/>
        <v>0</v>
      </c>
      <c r="P771" s="55" cm="1">
        <f t="array" aca="1" ref="P771" ca="1">IF((L771-$C$16)&gt;0, IF($P$1+$C$16&gt;=L771,INDIRECT("M"&amp;(L771-$C$16)+5),0),0)</f>
        <v>0</v>
      </c>
      <c r="Q771" s="56" cm="1">
        <f t="array" aca="1" ref="Q771" ca="1">IF(L771&lt;=$C$16,0,IF($W$2&gt;=L771,IF(L771&lt;=($P$1+$C$16),INDIRECT("N"&amp;(L771-$C$16)+5),FV(SRate,L771-$P$1-$C$16,0,-$W$1,1)),0))</f>
        <v>0</v>
      </c>
      <c r="R771" s="56">
        <f t="shared" ca="1" si="83"/>
        <v>0</v>
      </c>
      <c r="S771" s="19">
        <f t="shared" si="85"/>
        <v>0</v>
      </c>
      <c r="T771" s="36" t="str" cm="1">
        <f t="array" aca="1" ref="T771" ca="1">IF(L771&lt;=$P$1,K771,IF(L771&lt;=($P$1+1),INDIRECT("K"&amp;5+$W$2),""))</f>
        <v/>
      </c>
      <c r="U771" s="38">
        <f t="shared" si="86"/>
        <v>64</v>
      </c>
    </row>
    <row r="772" spans="11:21" hidden="1" x14ac:dyDescent="0.25">
      <c r="K772" s="36">
        <f t="shared" ca="1" si="88"/>
        <v>69559</v>
      </c>
      <c r="L772" s="19">
        <v>767</v>
      </c>
      <c r="M772" s="19">
        <f t="shared" si="87"/>
        <v>0</v>
      </c>
      <c r="N772" s="37">
        <f t="shared" si="84"/>
        <v>0</v>
      </c>
      <c r="O772" s="37">
        <f t="shared" si="89"/>
        <v>0</v>
      </c>
      <c r="P772" s="55" cm="1">
        <f t="array" aca="1" ref="P772" ca="1">IF((L772-$C$16)&gt;0, IF($P$1+$C$16&gt;=L772,INDIRECT("M"&amp;(L772-$C$16)+5),0),0)</f>
        <v>0</v>
      </c>
      <c r="Q772" s="56" cm="1">
        <f t="array" aca="1" ref="Q772" ca="1">IF(L772&lt;=$C$16,0,IF($W$2&gt;=L772,IF(L772&lt;=($P$1+$C$16),INDIRECT("N"&amp;(L772-$C$16)+5),FV(SRate,L772-$P$1-$C$16,0,-$W$1,1)),0))</f>
        <v>0</v>
      </c>
      <c r="R772" s="56">
        <f t="shared" ca="1" si="83"/>
        <v>0</v>
      </c>
      <c r="S772" s="19">
        <f t="shared" si="85"/>
        <v>0</v>
      </c>
      <c r="T772" s="36" t="str" cm="1">
        <f t="array" aca="1" ref="T772" ca="1">IF(L772&lt;=$P$1,K772,IF(L772&lt;=($P$1+1),INDIRECT("K"&amp;5+$W$2),""))</f>
        <v/>
      </c>
      <c r="U772" s="38">
        <f t="shared" si="86"/>
        <v>64</v>
      </c>
    </row>
    <row r="773" spans="11:21" hidden="1" x14ac:dyDescent="0.25">
      <c r="K773" s="36">
        <f t="shared" ca="1" si="88"/>
        <v>69589</v>
      </c>
      <c r="L773" s="19">
        <v>768</v>
      </c>
      <c r="M773" s="19">
        <f t="shared" si="87"/>
        <v>0</v>
      </c>
      <c r="N773" s="37">
        <f t="shared" si="84"/>
        <v>0</v>
      </c>
      <c r="O773" s="37">
        <f t="shared" si="89"/>
        <v>0</v>
      </c>
      <c r="P773" s="55" cm="1">
        <f t="array" aca="1" ref="P773" ca="1">IF((L773-$C$16)&gt;0, IF($P$1+$C$16&gt;=L773,INDIRECT("M"&amp;(L773-$C$16)+5),0),0)</f>
        <v>0</v>
      </c>
      <c r="Q773" s="56" cm="1">
        <f t="array" aca="1" ref="Q773" ca="1">IF(L773&lt;=$C$16,0,IF($W$2&gt;=L773,IF(L773&lt;=($P$1+$C$16),INDIRECT("N"&amp;(L773-$C$16)+5),FV(SRate,L773-$P$1-$C$16,0,-$W$1,1)),0))</f>
        <v>0</v>
      </c>
      <c r="R773" s="56">
        <f t="shared" ca="1" si="83"/>
        <v>0</v>
      </c>
      <c r="S773" s="19">
        <f t="shared" si="85"/>
        <v>0</v>
      </c>
      <c r="T773" s="36" t="str" cm="1">
        <f t="array" aca="1" ref="T773" ca="1">IF(L773&lt;=$P$1,K773,IF(L773&lt;=($P$1+1),INDIRECT("K"&amp;5+$W$2),""))</f>
        <v/>
      </c>
      <c r="U773" s="38">
        <f t="shared" si="86"/>
        <v>64</v>
      </c>
    </row>
    <row r="774" spans="11:21" hidden="1" x14ac:dyDescent="0.25">
      <c r="K774" s="36">
        <f t="shared" ca="1" si="88"/>
        <v>69620</v>
      </c>
      <c r="L774" s="19">
        <v>769</v>
      </c>
      <c r="M774" s="19">
        <f t="shared" si="87"/>
        <v>0</v>
      </c>
      <c r="N774" s="37">
        <f t="shared" si="84"/>
        <v>0</v>
      </c>
      <c r="O774" s="37">
        <f t="shared" si="89"/>
        <v>0</v>
      </c>
      <c r="P774" s="55" cm="1">
        <f t="array" aca="1" ref="P774" ca="1">IF((L774-$C$16)&gt;0, IF($P$1+$C$16&gt;=L774,INDIRECT("M"&amp;(L774-$C$16)+5),0),0)</f>
        <v>0</v>
      </c>
      <c r="Q774" s="56" cm="1">
        <f t="array" aca="1" ref="Q774" ca="1">IF(L774&lt;=$C$16,0,IF($W$2&gt;=L774,IF(L774&lt;=($P$1+$C$16),INDIRECT("N"&amp;(L774-$C$16)+5),FV(SRate,L774-$P$1-$C$16,0,-$W$1,1)),0))</f>
        <v>0</v>
      </c>
      <c r="R774" s="56">
        <f t="shared" ref="R774:R837" ca="1" si="90">Q774/((1+SIPInflationRate)^((L774-$C$16)/12))</f>
        <v>0</v>
      </c>
      <c r="S774" s="19">
        <f t="shared" si="85"/>
        <v>0</v>
      </c>
      <c r="T774" s="36" t="str" cm="1">
        <f t="array" aca="1" ref="T774" ca="1">IF(L774&lt;=$P$1,K774,IF(L774&lt;=($P$1+1),INDIRECT("K"&amp;5+$W$2),""))</f>
        <v/>
      </c>
      <c r="U774" s="38">
        <f t="shared" si="86"/>
        <v>65</v>
      </c>
    </row>
    <row r="775" spans="11:21" hidden="1" x14ac:dyDescent="0.25">
      <c r="K775" s="36">
        <f t="shared" ca="1" si="88"/>
        <v>69651</v>
      </c>
      <c r="L775" s="19">
        <v>770</v>
      </c>
      <c r="M775" s="19">
        <f t="shared" si="87"/>
        <v>0</v>
      </c>
      <c r="N775" s="37">
        <f t="shared" ref="N775:N838" si="91">IF($W$2&gt;=L775,IF(L775&lt;=$P$1,(M775-M774+N774)*(1+SRate),FV(SRate,L775-$P$1,0,-$W$1,1)),0)</f>
        <v>0</v>
      </c>
      <c r="O775" s="37">
        <f t="shared" si="89"/>
        <v>0</v>
      </c>
      <c r="P775" s="55" cm="1">
        <f t="array" aca="1" ref="P775" ca="1">IF((L775-$C$16)&gt;0, IF($P$1+$C$16&gt;=L775,INDIRECT("M"&amp;(L775-$C$16)+5),0),0)</f>
        <v>0</v>
      </c>
      <c r="Q775" s="56" cm="1">
        <f t="array" aca="1" ref="Q775" ca="1">IF(L775&lt;=$C$16,0,IF($W$2&gt;=L775,IF(L775&lt;=($P$1+$C$16),INDIRECT("N"&amp;(L775-$C$16)+5),FV(SRate,L775-$P$1-$C$16,0,-$W$1,1)),0))</f>
        <v>0</v>
      </c>
      <c r="R775" s="56">
        <f t="shared" ca="1" si="90"/>
        <v>0</v>
      </c>
      <c r="S775" s="19">
        <f t="shared" ref="S775:S838" si="92">IF(L775&lt;=$P$1,-(_xlfn.XLOOKUP(U775,$Z$3:$Z$72,$AB$3:$AB$72,0)),IF(L775&lt;=($P$1+1),$W$4,0))</f>
        <v>0</v>
      </c>
      <c r="T775" s="36" t="str" cm="1">
        <f t="array" aca="1" ref="T775" ca="1">IF(L775&lt;=$P$1,K775,IF(L775&lt;=($P$1+1),INDIRECT("K"&amp;5+$W$2),""))</f>
        <v/>
      </c>
      <c r="U775" s="38">
        <f t="shared" ref="U775:U838" si="93">QUOTIENT(L775,12)+IF(MOD(L775,12)=0,-1,0)+1</f>
        <v>65</v>
      </c>
    </row>
    <row r="776" spans="11:21" hidden="1" x14ac:dyDescent="0.25">
      <c r="K776" s="36">
        <f t="shared" ca="1" si="88"/>
        <v>69681</v>
      </c>
      <c r="L776" s="19">
        <v>771</v>
      </c>
      <c r="M776" s="19">
        <f t="shared" ref="M776:M839" si="94">IF($P$1&gt;=L776,_xlfn.XLOOKUP(U776,$Z$3:$Z$72,$AB$3:$AB$72,0)+M775,0)</f>
        <v>0</v>
      </c>
      <c r="N776" s="37">
        <f t="shared" si="91"/>
        <v>0</v>
      </c>
      <c r="O776" s="37">
        <f t="shared" si="89"/>
        <v>0</v>
      </c>
      <c r="P776" s="55" cm="1">
        <f t="array" aca="1" ref="P776" ca="1">IF((L776-$C$16)&gt;0, IF($P$1+$C$16&gt;=L776,INDIRECT("M"&amp;(L776-$C$16)+5),0),0)</f>
        <v>0</v>
      </c>
      <c r="Q776" s="56" cm="1">
        <f t="array" aca="1" ref="Q776" ca="1">IF(L776&lt;=$C$16,0,IF($W$2&gt;=L776,IF(L776&lt;=($P$1+$C$16),INDIRECT("N"&amp;(L776-$C$16)+5),FV(SRate,L776-$P$1-$C$16,0,-$W$1,1)),0))</f>
        <v>0</v>
      </c>
      <c r="R776" s="56">
        <f t="shared" ca="1" si="90"/>
        <v>0</v>
      </c>
      <c r="S776" s="19">
        <f t="shared" si="92"/>
        <v>0</v>
      </c>
      <c r="T776" s="36" t="str" cm="1">
        <f t="array" aca="1" ref="T776" ca="1">IF(L776&lt;=$P$1,K776,IF(L776&lt;=($P$1+1),INDIRECT("K"&amp;5+$W$2),""))</f>
        <v/>
      </c>
      <c r="U776" s="38">
        <f t="shared" si="93"/>
        <v>65</v>
      </c>
    </row>
    <row r="777" spans="11:21" hidden="1" x14ac:dyDescent="0.25">
      <c r="K777" s="36">
        <f t="shared" ref="K777:K840" ca="1" si="95">EDATE(K776,1)</f>
        <v>69712</v>
      </c>
      <c r="L777" s="19">
        <v>772</v>
      </c>
      <c r="M777" s="19">
        <f t="shared" si="94"/>
        <v>0</v>
      </c>
      <c r="N777" s="37">
        <f t="shared" si="91"/>
        <v>0</v>
      </c>
      <c r="O777" s="37">
        <f t="shared" si="89"/>
        <v>0</v>
      </c>
      <c r="P777" s="55" cm="1">
        <f t="array" aca="1" ref="P777" ca="1">IF((L777-$C$16)&gt;0, IF($P$1+$C$16&gt;=L777,INDIRECT("M"&amp;(L777-$C$16)+5),0),0)</f>
        <v>0</v>
      </c>
      <c r="Q777" s="56" cm="1">
        <f t="array" aca="1" ref="Q777" ca="1">IF(L777&lt;=$C$16,0,IF($W$2&gt;=L777,IF(L777&lt;=($P$1+$C$16),INDIRECT("N"&amp;(L777-$C$16)+5),FV(SRate,L777-$P$1-$C$16,0,-$W$1,1)),0))</f>
        <v>0</v>
      </c>
      <c r="R777" s="56">
        <f t="shared" ca="1" si="90"/>
        <v>0</v>
      </c>
      <c r="S777" s="19">
        <f t="shared" si="92"/>
        <v>0</v>
      </c>
      <c r="T777" s="36" t="str" cm="1">
        <f t="array" aca="1" ref="T777" ca="1">IF(L777&lt;=$P$1,K777,IF(L777&lt;=($P$1+1),INDIRECT("K"&amp;5+$W$2),""))</f>
        <v/>
      </c>
      <c r="U777" s="38">
        <f t="shared" si="93"/>
        <v>65</v>
      </c>
    </row>
    <row r="778" spans="11:21" hidden="1" x14ac:dyDescent="0.25">
      <c r="K778" s="36">
        <f t="shared" ca="1" si="95"/>
        <v>69742</v>
      </c>
      <c r="L778" s="19">
        <v>773</v>
      </c>
      <c r="M778" s="19">
        <f t="shared" si="94"/>
        <v>0</v>
      </c>
      <c r="N778" s="37">
        <f t="shared" si="91"/>
        <v>0</v>
      </c>
      <c r="O778" s="37">
        <f t="shared" si="89"/>
        <v>0</v>
      </c>
      <c r="P778" s="55" cm="1">
        <f t="array" aca="1" ref="P778" ca="1">IF((L778-$C$16)&gt;0, IF($P$1+$C$16&gt;=L778,INDIRECT("M"&amp;(L778-$C$16)+5),0),0)</f>
        <v>0</v>
      </c>
      <c r="Q778" s="56" cm="1">
        <f t="array" aca="1" ref="Q778" ca="1">IF(L778&lt;=$C$16,0,IF($W$2&gt;=L778,IF(L778&lt;=($P$1+$C$16),INDIRECT("N"&amp;(L778-$C$16)+5),FV(SRate,L778-$P$1-$C$16,0,-$W$1,1)),0))</f>
        <v>0</v>
      </c>
      <c r="R778" s="56">
        <f t="shared" ca="1" si="90"/>
        <v>0</v>
      </c>
      <c r="S778" s="19">
        <f t="shared" si="92"/>
        <v>0</v>
      </c>
      <c r="T778" s="36" t="str" cm="1">
        <f t="array" aca="1" ref="T778" ca="1">IF(L778&lt;=$P$1,K778,IF(L778&lt;=($P$1+1),INDIRECT("K"&amp;5+$W$2),""))</f>
        <v/>
      </c>
      <c r="U778" s="38">
        <f t="shared" si="93"/>
        <v>65</v>
      </c>
    </row>
    <row r="779" spans="11:21" hidden="1" x14ac:dyDescent="0.25">
      <c r="K779" s="36">
        <f t="shared" ca="1" si="95"/>
        <v>69773</v>
      </c>
      <c r="L779" s="19">
        <v>774</v>
      </c>
      <c r="M779" s="19">
        <f t="shared" si="94"/>
        <v>0</v>
      </c>
      <c r="N779" s="37">
        <f t="shared" si="91"/>
        <v>0</v>
      </c>
      <c r="O779" s="37">
        <f t="shared" si="89"/>
        <v>0</v>
      </c>
      <c r="P779" s="55" cm="1">
        <f t="array" aca="1" ref="P779" ca="1">IF((L779-$C$16)&gt;0, IF($P$1+$C$16&gt;=L779,INDIRECT("M"&amp;(L779-$C$16)+5),0),0)</f>
        <v>0</v>
      </c>
      <c r="Q779" s="56" cm="1">
        <f t="array" aca="1" ref="Q779" ca="1">IF(L779&lt;=$C$16,0,IF($W$2&gt;=L779,IF(L779&lt;=($P$1+$C$16),INDIRECT("N"&amp;(L779-$C$16)+5),FV(SRate,L779-$P$1-$C$16,0,-$W$1,1)),0))</f>
        <v>0</v>
      </c>
      <c r="R779" s="56">
        <f t="shared" ca="1" si="90"/>
        <v>0</v>
      </c>
      <c r="S779" s="19">
        <f t="shared" si="92"/>
        <v>0</v>
      </c>
      <c r="T779" s="36" t="str" cm="1">
        <f t="array" aca="1" ref="T779" ca="1">IF(L779&lt;=$P$1,K779,IF(L779&lt;=($P$1+1),INDIRECT("K"&amp;5+$W$2),""))</f>
        <v/>
      </c>
      <c r="U779" s="38">
        <f t="shared" si="93"/>
        <v>65</v>
      </c>
    </row>
    <row r="780" spans="11:21" hidden="1" x14ac:dyDescent="0.25">
      <c r="K780" s="36">
        <f t="shared" ca="1" si="95"/>
        <v>69804</v>
      </c>
      <c r="L780" s="19">
        <v>775</v>
      </c>
      <c r="M780" s="19">
        <f t="shared" si="94"/>
        <v>0</v>
      </c>
      <c r="N780" s="37">
        <f t="shared" si="91"/>
        <v>0</v>
      </c>
      <c r="O780" s="37">
        <f t="shared" si="89"/>
        <v>0</v>
      </c>
      <c r="P780" s="55" cm="1">
        <f t="array" aca="1" ref="P780" ca="1">IF((L780-$C$16)&gt;0, IF($P$1+$C$16&gt;=L780,INDIRECT("M"&amp;(L780-$C$16)+5),0),0)</f>
        <v>0</v>
      </c>
      <c r="Q780" s="56" cm="1">
        <f t="array" aca="1" ref="Q780" ca="1">IF(L780&lt;=$C$16,0,IF($W$2&gt;=L780,IF(L780&lt;=($P$1+$C$16),INDIRECT("N"&amp;(L780-$C$16)+5),FV(SRate,L780-$P$1-$C$16,0,-$W$1,1)),0))</f>
        <v>0</v>
      </c>
      <c r="R780" s="56">
        <f t="shared" ca="1" si="90"/>
        <v>0</v>
      </c>
      <c r="S780" s="19">
        <f t="shared" si="92"/>
        <v>0</v>
      </c>
      <c r="T780" s="36" t="str" cm="1">
        <f t="array" aca="1" ref="T780" ca="1">IF(L780&lt;=$P$1,K780,IF(L780&lt;=($P$1+1),INDIRECT("K"&amp;5+$W$2),""))</f>
        <v/>
      </c>
      <c r="U780" s="38">
        <f t="shared" si="93"/>
        <v>65</v>
      </c>
    </row>
    <row r="781" spans="11:21" hidden="1" x14ac:dyDescent="0.25">
      <c r="K781" s="36">
        <f t="shared" ca="1" si="95"/>
        <v>69832</v>
      </c>
      <c r="L781" s="19">
        <v>776</v>
      </c>
      <c r="M781" s="19">
        <f t="shared" si="94"/>
        <v>0</v>
      </c>
      <c r="N781" s="37">
        <f t="shared" si="91"/>
        <v>0</v>
      </c>
      <c r="O781" s="37">
        <f t="shared" si="89"/>
        <v>0</v>
      </c>
      <c r="P781" s="55" cm="1">
        <f t="array" aca="1" ref="P781" ca="1">IF((L781-$C$16)&gt;0, IF($P$1+$C$16&gt;=L781,INDIRECT("M"&amp;(L781-$C$16)+5),0),0)</f>
        <v>0</v>
      </c>
      <c r="Q781" s="56" cm="1">
        <f t="array" aca="1" ref="Q781" ca="1">IF(L781&lt;=$C$16,0,IF($W$2&gt;=L781,IF(L781&lt;=($P$1+$C$16),INDIRECT("N"&amp;(L781-$C$16)+5),FV(SRate,L781-$P$1-$C$16,0,-$W$1,1)),0))</f>
        <v>0</v>
      </c>
      <c r="R781" s="56">
        <f t="shared" ca="1" si="90"/>
        <v>0</v>
      </c>
      <c r="S781" s="19">
        <f t="shared" si="92"/>
        <v>0</v>
      </c>
      <c r="T781" s="36" t="str" cm="1">
        <f t="array" aca="1" ref="T781" ca="1">IF(L781&lt;=$P$1,K781,IF(L781&lt;=($P$1+1),INDIRECT("K"&amp;5+$W$2),""))</f>
        <v/>
      </c>
      <c r="U781" s="38">
        <f t="shared" si="93"/>
        <v>65</v>
      </c>
    </row>
    <row r="782" spans="11:21" hidden="1" x14ac:dyDescent="0.25">
      <c r="K782" s="36">
        <f t="shared" ca="1" si="95"/>
        <v>69863</v>
      </c>
      <c r="L782" s="19">
        <v>777</v>
      </c>
      <c r="M782" s="19">
        <f t="shared" si="94"/>
        <v>0</v>
      </c>
      <c r="N782" s="37">
        <f t="shared" si="91"/>
        <v>0</v>
      </c>
      <c r="O782" s="37">
        <f t="shared" si="89"/>
        <v>0</v>
      </c>
      <c r="P782" s="55" cm="1">
        <f t="array" aca="1" ref="P782" ca="1">IF((L782-$C$16)&gt;0, IF($P$1+$C$16&gt;=L782,INDIRECT("M"&amp;(L782-$C$16)+5),0),0)</f>
        <v>0</v>
      </c>
      <c r="Q782" s="56" cm="1">
        <f t="array" aca="1" ref="Q782" ca="1">IF(L782&lt;=$C$16,0,IF($W$2&gt;=L782,IF(L782&lt;=($P$1+$C$16),INDIRECT("N"&amp;(L782-$C$16)+5),FV(SRate,L782-$P$1-$C$16,0,-$W$1,1)),0))</f>
        <v>0</v>
      </c>
      <c r="R782" s="56">
        <f t="shared" ca="1" si="90"/>
        <v>0</v>
      </c>
      <c r="S782" s="19">
        <f t="shared" si="92"/>
        <v>0</v>
      </c>
      <c r="T782" s="36" t="str" cm="1">
        <f t="array" aca="1" ref="T782" ca="1">IF(L782&lt;=$P$1,K782,IF(L782&lt;=($P$1+1),INDIRECT("K"&amp;5+$W$2),""))</f>
        <v/>
      </c>
      <c r="U782" s="38">
        <f t="shared" si="93"/>
        <v>65</v>
      </c>
    </row>
    <row r="783" spans="11:21" hidden="1" x14ac:dyDescent="0.25">
      <c r="K783" s="36">
        <f t="shared" ca="1" si="95"/>
        <v>69893</v>
      </c>
      <c r="L783" s="19">
        <v>778</v>
      </c>
      <c r="M783" s="19">
        <f t="shared" si="94"/>
        <v>0</v>
      </c>
      <c r="N783" s="37">
        <f t="shared" si="91"/>
        <v>0</v>
      </c>
      <c r="O783" s="37">
        <f t="shared" si="89"/>
        <v>0</v>
      </c>
      <c r="P783" s="55" cm="1">
        <f t="array" aca="1" ref="P783" ca="1">IF((L783-$C$16)&gt;0, IF($P$1+$C$16&gt;=L783,INDIRECT("M"&amp;(L783-$C$16)+5),0),0)</f>
        <v>0</v>
      </c>
      <c r="Q783" s="56" cm="1">
        <f t="array" aca="1" ref="Q783" ca="1">IF(L783&lt;=$C$16,0,IF($W$2&gt;=L783,IF(L783&lt;=($P$1+$C$16),INDIRECT("N"&amp;(L783-$C$16)+5),FV(SRate,L783-$P$1-$C$16,0,-$W$1,1)),0))</f>
        <v>0</v>
      </c>
      <c r="R783" s="56">
        <f t="shared" ca="1" si="90"/>
        <v>0</v>
      </c>
      <c r="S783" s="19">
        <f t="shared" si="92"/>
        <v>0</v>
      </c>
      <c r="T783" s="36" t="str" cm="1">
        <f t="array" aca="1" ref="T783" ca="1">IF(L783&lt;=$P$1,K783,IF(L783&lt;=($P$1+1),INDIRECT("K"&amp;5+$W$2),""))</f>
        <v/>
      </c>
      <c r="U783" s="38">
        <f t="shared" si="93"/>
        <v>65</v>
      </c>
    </row>
    <row r="784" spans="11:21" hidden="1" x14ac:dyDescent="0.25">
      <c r="K784" s="36">
        <f t="shared" ca="1" si="95"/>
        <v>69924</v>
      </c>
      <c r="L784" s="19">
        <v>779</v>
      </c>
      <c r="M784" s="19">
        <f t="shared" si="94"/>
        <v>0</v>
      </c>
      <c r="N784" s="37">
        <f t="shared" si="91"/>
        <v>0</v>
      </c>
      <c r="O784" s="37">
        <f t="shared" si="89"/>
        <v>0</v>
      </c>
      <c r="P784" s="55" cm="1">
        <f t="array" aca="1" ref="P784" ca="1">IF((L784-$C$16)&gt;0, IF($P$1+$C$16&gt;=L784,INDIRECT("M"&amp;(L784-$C$16)+5),0),0)</f>
        <v>0</v>
      </c>
      <c r="Q784" s="56" cm="1">
        <f t="array" aca="1" ref="Q784" ca="1">IF(L784&lt;=$C$16,0,IF($W$2&gt;=L784,IF(L784&lt;=($P$1+$C$16),INDIRECT("N"&amp;(L784-$C$16)+5),FV(SRate,L784-$P$1-$C$16,0,-$W$1,1)),0))</f>
        <v>0</v>
      </c>
      <c r="R784" s="56">
        <f t="shared" ca="1" si="90"/>
        <v>0</v>
      </c>
      <c r="S784" s="19">
        <f t="shared" si="92"/>
        <v>0</v>
      </c>
      <c r="T784" s="36" t="str" cm="1">
        <f t="array" aca="1" ref="T784" ca="1">IF(L784&lt;=$P$1,K784,IF(L784&lt;=($P$1+1),INDIRECT("K"&amp;5+$W$2),""))</f>
        <v/>
      </c>
      <c r="U784" s="38">
        <f t="shared" si="93"/>
        <v>65</v>
      </c>
    </row>
    <row r="785" spans="11:21" hidden="1" x14ac:dyDescent="0.25">
      <c r="K785" s="36">
        <f t="shared" ca="1" si="95"/>
        <v>69954</v>
      </c>
      <c r="L785" s="19">
        <v>780</v>
      </c>
      <c r="M785" s="19">
        <f t="shared" si="94"/>
        <v>0</v>
      </c>
      <c r="N785" s="37">
        <f t="shared" si="91"/>
        <v>0</v>
      </c>
      <c r="O785" s="37">
        <f t="shared" si="89"/>
        <v>0</v>
      </c>
      <c r="P785" s="55" cm="1">
        <f t="array" aca="1" ref="P785" ca="1">IF((L785-$C$16)&gt;0, IF($P$1+$C$16&gt;=L785,INDIRECT("M"&amp;(L785-$C$16)+5),0),0)</f>
        <v>0</v>
      </c>
      <c r="Q785" s="56" cm="1">
        <f t="array" aca="1" ref="Q785" ca="1">IF(L785&lt;=$C$16,0,IF($W$2&gt;=L785,IF(L785&lt;=($P$1+$C$16),INDIRECT("N"&amp;(L785-$C$16)+5),FV(SRate,L785-$P$1-$C$16,0,-$W$1,1)),0))</f>
        <v>0</v>
      </c>
      <c r="R785" s="56">
        <f t="shared" ca="1" si="90"/>
        <v>0</v>
      </c>
      <c r="S785" s="19">
        <f t="shared" si="92"/>
        <v>0</v>
      </c>
      <c r="T785" s="36" t="str" cm="1">
        <f t="array" aca="1" ref="T785" ca="1">IF(L785&lt;=$P$1,K785,IF(L785&lt;=($P$1+1),INDIRECT("K"&amp;5+$W$2),""))</f>
        <v/>
      </c>
      <c r="U785" s="38">
        <f t="shared" si="93"/>
        <v>65</v>
      </c>
    </row>
    <row r="786" spans="11:21" hidden="1" x14ac:dyDescent="0.25">
      <c r="K786" s="36">
        <f t="shared" ca="1" si="95"/>
        <v>69985</v>
      </c>
      <c r="L786" s="19">
        <v>781</v>
      </c>
      <c r="M786" s="19">
        <f t="shared" si="94"/>
        <v>0</v>
      </c>
      <c r="N786" s="37">
        <f t="shared" si="91"/>
        <v>0</v>
      </c>
      <c r="O786" s="37">
        <f t="shared" si="89"/>
        <v>0</v>
      </c>
      <c r="P786" s="55" cm="1">
        <f t="array" aca="1" ref="P786" ca="1">IF((L786-$C$16)&gt;0, IF($P$1+$C$16&gt;=L786,INDIRECT("M"&amp;(L786-$C$16)+5),0),0)</f>
        <v>0</v>
      </c>
      <c r="Q786" s="56" cm="1">
        <f t="array" aca="1" ref="Q786" ca="1">IF(L786&lt;=$C$16,0,IF($W$2&gt;=L786,IF(L786&lt;=($P$1+$C$16),INDIRECT("N"&amp;(L786-$C$16)+5),FV(SRate,L786-$P$1-$C$16,0,-$W$1,1)),0))</f>
        <v>0</v>
      </c>
      <c r="R786" s="56">
        <f t="shared" ca="1" si="90"/>
        <v>0</v>
      </c>
      <c r="S786" s="19">
        <f t="shared" si="92"/>
        <v>0</v>
      </c>
      <c r="T786" s="36" t="str" cm="1">
        <f t="array" aca="1" ref="T786" ca="1">IF(L786&lt;=$P$1,K786,IF(L786&lt;=($P$1+1),INDIRECT("K"&amp;5+$W$2),""))</f>
        <v/>
      </c>
      <c r="U786" s="38">
        <f t="shared" si="93"/>
        <v>66</v>
      </c>
    </row>
    <row r="787" spans="11:21" hidden="1" x14ac:dyDescent="0.25">
      <c r="K787" s="36">
        <f t="shared" ca="1" si="95"/>
        <v>70016</v>
      </c>
      <c r="L787" s="19">
        <v>782</v>
      </c>
      <c r="M787" s="19">
        <f t="shared" si="94"/>
        <v>0</v>
      </c>
      <c r="N787" s="37">
        <f t="shared" si="91"/>
        <v>0</v>
      </c>
      <c r="O787" s="37">
        <f t="shared" si="89"/>
        <v>0</v>
      </c>
      <c r="P787" s="55" cm="1">
        <f t="array" aca="1" ref="P787" ca="1">IF((L787-$C$16)&gt;0, IF($P$1+$C$16&gt;=L787,INDIRECT("M"&amp;(L787-$C$16)+5),0),0)</f>
        <v>0</v>
      </c>
      <c r="Q787" s="56" cm="1">
        <f t="array" aca="1" ref="Q787" ca="1">IF(L787&lt;=$C$16,0,IF($W$2&gt;=L787,IF(L787&lt;=($P$1+$C$16),INDIRECT("N"&amp;(L787-$C$16)+5),FV(SRate,L787-$P$1-$C$16,0,-$W$1,1)),0))</f>
        <v>0</v>
      </c>
      <c r="R787" s="56">
        <f t="shared" ca="1" si="90"/>
        <v>0</v>
      </c>
      <c r="S787" s="19">
        <f t="shared" si="92"/>
        <v>0</v>
      </c>
      <c r="T787" s="36" t="str" cm="1">
        <f t="array" aca="1" ref="T787" ca="1">IF(L787&lt;=$P$1,K787,IF(L787&lt;=($P$1+1),INDIRECT("K"&amp;5+$W$2),""))</f>
        <v/>
      </c>
      <c r="U787" s="38">
        <f t="shared" si="93"/>
        <v>66</v>
      </c>
    </row>
    <row r="788" spans="11:21" hidden="1" x14ac:dyDescent="0.25">
      <c r="K788" s="36">
        <f t="shared" ca="1" si="95"/>
        <v>70046</v>
      </c>
      <c r="L788" s="19">
        <v>783</v>
      </c>
      <c r="M788" s="19">
        <f t="shared" si="94"/>
        <v>0</v>
      </c>
      <c r="N788" s="37">
        <f t="shared" si="91"/>
        <v>0</v>
      </c>
      <c r="O788" s="37">
        <f t="shared" si="89"/>
        <v>0</v>
      </c>
      <c r="P788" s="55" cm="1">
        <f t="array" aca="1" ref="P788" ca="1">IF((L788-$C$16)&gt;0, IF($P$1+$C$16&gt;=L788,INDIRECT("M"&amp;(L788-$C$16)+5),0),0)</f>
        <v>0</v>
      </c>
      <c r="Q788" s="56" cm="1">
        <f t="array" aca="1" ref="Q788" ca="1">IF(L788&lt;=$C$16,0,IF($W$2&gt;=L788,IF(L788&lt;=($P$1+$C$16),INDIRECT("N"&amp;(L788-$C$16)+5),FV(SRate,L788-$P$1-$C$16,0,-$W$1,1)),0))</f>
        <v>0</v>
      </c>
      <c r="R788" s="56">
        <f t="shared" ca="1" si="90"/>
        <v>0</v>
      </c>
      <c r="S788" s="19">
        <f t="shared" si="92"/>
        <v>0</v>
      </c>
      <c r="T788" s="36" t="str" cm="1">
        <f t="array" aca="1" ref="T788" ca="1">IF(L788&lt;=$P$1,K788,IF(L788&lt;=($P$1+1),INDIRECT("K"&amp;5+$W$2),""))</f>
        <v/>
      </c>
      <c r="U788" s="38">
        <f t="shared" si="93"/>
        <v>66</v>
      </c>
    </row>
    <row r="789" spans="11:21" hidden="1" x14ac:dyDescent="0.25">
      <c r="K789" s="36">
        <f t="shared" ca="1" si="95"/>
        <v>70077</v>
      </c>
      <c r="L789" s="19">
        <v>784</v>
      </c>
      <c r="M789" s="19">
        <f t="shared" si="94"/>
        <v>0</v>
      </c>
      <c r="N789" s="37">
        <f t="shared" si="91"/>
        <v>0</v>
      </c>
      <c r="O789" s="37">
        <f t="shared" si="89"/>
        <v>0</v>
      </c>
      <c r="P789" s="55" cm="1">
        <f t="array" aca="1" ref="P789" ca="1">IF((L789-$C$16)&gt;0, IF($P$1+$C$16&gt;=L789,INDIRECT("M"&amp;(L789-$C$16)+5),0),0)</f>
        <v>0</v>
      </c>
      <c r="Q789" s="56" cm="1">
        <f t="array" aca="1" ref="Q789" ca="1">IF(L789&lt;=$C$16,0,IF($W$2&gt;=L789,IF(L789&lt;=($P$1+$C$16),INDIRECT("N"&amp;(L789-$C$16)+5),FV(SRate,L789-$P$1-$C$16,0,-$W$1,1)),0))</f>
        <v>0</v>
      </c>
      <c r="R789" s="56">
        <f t="shared" ca="1" si="90"/>
        <v>0</v>
      </c>
      <c r="S789" s="19">
        <f t="shared" si="92"/>
        <v>0</v>
      </c>
      <c r="T789" s="36" t="str" cm="1">
        <f t="array" aca="1" ref="T789" ca="1">IF(L789&lt;=$P$1,K789,IF(L789&lt;=($P$1+1),INDIRECT("K"&amp;5+$W$2),""))</f>
        <v/>
      </c>
      <c r="U789" s="38">
        <f t="shared" si="93"/>
        <v>66</v>
      </c>
    </row>
    <row r="790" spans="11:21" hidden="1" x14ac:dyDescent="0.25">
      <c r="K790" s="36">
        <f t="shared" ca="1" si="95"/>
        <v>70107</v>
      </c>
      <c r="L790" s="19">
        <v>785</v>
      </c>
      <c r="M790" s="19">
        <f t="shared" si="94"/>
        <v>0</v>
      </c>
      <c r="N790" s="37">
        <f t="shared" si="91"/>
        <v>0</v>
      </c>
      <c r="O790" s="37">
        <f t="shared" si="89"/>
        <v>0</v>
      </c>
      <c r="P790" s="55" cm="1">
        <f t="array" aca="1" ref="P790" ca="1">IF((L790-$C$16)&gt;0, IF($P$1+$C$16&gt;=L790,INDIRECT("M"&amp;(L790-$C$16)+5),0),0)</f>
        <v>0</v>
      </c>
      <c r="Q790" s="56" cm="1">
        <f t="array" aca="1" ref="Q790" ca="1">IF(L790&lt;=$C$16,0,IF($W$2&gt;=L790,IF(L790&lt;=($P$1+$C$16),INDIRECT("N"&amp;(L790-$C$16)+5),FV(SRate,L790-$P$1-$C$16,0,-$W$1,1)),0))</f>
        <v>0</v>
      </c>
      <c r="R790" s="56">
        <f t="shared" ca="1" si="90"/>
        <v>0</v>
      </c>
      <c r="S790" s="19">
        <f t="shared" si="92"/>
        <v>0</v>
      </c>
      <c r="T790" s="36" t="str" cm="1">
        <f t="array" aca="1" ref="T790" ca="1">IF(L790&lt;=$P$1,K790,IF(L790&lt;=($P$1+1),INDIRECT("K"&amp;5+$W$2),""))</f>
        <v/>
      </c>
      <c r="U790" s="38">
        <f t="shared" si="93"/>
        <v>66</v>
      </c>
    </row>
    <row r="791" spans="11:21" hidden="1" x14ac:dyDescent="0.25">
      <c r="K791" s="36">
        <f t="shared" ca="1" si="95"/>
        <v>70138</v>
      </c>
      <c r="L791" s="19">
        <v>786</v>
      </c>
      <c r="M791" s="19">
        <f t="shared" si="94"/>
        <v>0</v>
      </c>
      <c r="N791" s="37">
        <f t="shared" si="91"/>
        <v>0</v>
      </c>
      <c r="O791" s="37">
        <f t="shared" si="89"/>
        <v>0</v>
      </c>
      <c r="P791" s="55" cm="1">
        <f t="array" aca="1" ref="P791" ca="1">IF((L791-$C$16)&gt;0, IF($P$1+$C$16&gt;=L791,INDIRECT("M"&amp;(L791-$C$16)+5),0),0)</f>
        <v>0</v>
      </c>
      <c r="Q791" s="56" cm="1">
        <f t="array" aca="1" ref="Q791" ca="1">IF(L791&lt;=$C$16,0,IF($W$2&gt;=L791,IF(L791&lt;=($P$1+$C$16),INDIRECT("N"&amp;(L791-$C$16)+5),FV(SRate,L791-$P$1-$C$16,0,-$W$1,1)),0))</f>
        <v>0</v>
      </c>
      <c r="R791" s="56">
        <f t="shared" ca="1" si="90"/>
        <v>0</v>
      </c>
      <c r="S791" s="19">
        <f t="shared" si="92"/>
        <v>0</v>
      </c>
      <c r="T791" s="36" t="str" cm="1">
        <f t="array" aca="1" ref="T791" ca="1">IF(L791&lt;=$P$1,K791,IF(L791&lt;=($P$1+1),INDIRECT("K"&amp;5+$W$2),""))</f>
        <v/>
      </c>
      <c r="U791" s="38">
        <f t="shared" si="93"/>
        <v>66</v>
      </c>
    </row>
    <row r="792" spans="11:21" hidden="1" x14ac:dyDescent="0.25">
      <c r="K792" s="36">
        <f t="shared" ca="1" si="95"/>
        <v>70169</v>
      </c>
      <c r="L792" s="19">
        <v>787</v>
      </c>
      <c r="M792" s="19">
        <f t="shared" si="94"/>
        <v>0</v>
      </c>
      <c r="N792" s="37">
        <f t="shared" si="91"/>
        <v>0</v>
      </c>
      <c r="O792" s="37">
        <f t="shared" si="89"/>
        <v>0</v>
      </c>
      <c r="P792" s="55" cm="1">
        <f t="array" aca="1" ref="P792" ca="1">IF((L792-$C$16)&gt;0, IF($P$1+$C$16&gt;=L792,INDIRECT("M"&amp;(L792-$C$16)+5),0),0)</f>
        <v>0</v>
      </c>
      <c r="Q792" s="56" cm="1">
        <f t="array" aca="1" ref="Q792" ca="1">IF(L792&lt;=$C$16,0,IF($W$2&gt;=L792,IF(L792&lt;=($P$1+$C$16),INDIRECT("N"&amp;(L792-$C$16)+5),FV(SRate,L792-$P$1-$C$16,0,-$W$1,1)),0))</f>
        <v>0</v>
      </c>
      <c r="R792" s="56">
        <f t="shared" ca="1" si="90"/>
        <v>0</v>
      </c>
      <c r="S792" s="19">
        <f t="shared" si="92"/>
        <v>0</v>
      </c>
      <c r="T792" s="36" t="str" cm="1">
        <f t="array" aca="1" ref="T792" ca="1">IF(L792&lt;=$P$1,K792,IF(L792&lt;=($P$1+1),INDIRECT("K"&amp;5+$W$2),""))</f>
        <v/>
      </c>
      <c r="U792" s="38">
        <f t="shared" si="93"/>
        <v>66</v>
      </c>
    </row>
    <row r="793" spans="11:21" hidden="1" x14ac:dyDescent="0.25">
      <c r="K793" s="36">
        <f t="shared" ca="1" si="95"/>
        <v>70198</v>
      </c>
      <c r="L793" s="19">
        <v>788</v>
      </c>
      <c r="M793" s="19">
        <f t="shared" si="94"/>
        <v>0</v>
      </c>
      <c r="N793" s="37">
        <f t="shared" si="91"/>
        <v>0</v>
      </c>
      <c r="O793" s="37">
        <f t="shared" si="89"/>
        <v>0</v>
      </c>
      <c r="P793" s="55" cm="1">
        <f t="array" aca="1" ref="P793" ca="1">IF((L793-$C$16)&gt;0, IF($P$1+$C$16&gt;=L793,INDIRECT("M"&amp;(L793-$C$16)+5),0),0)</f>
        <v>0</v>
      </c>
      <c r="Q793" s="56" cm="1">
        <f t="array" aca="1" ref="Q793" ca="1">IF(L793&lt;=$C$16,0,IF($W$2&gt;=L793,IF(L793&lt;=($P$1+$C$16),INDIRECT("N"&amp;(L793-$C$16)+5),FV(SRate,L793-$P$1-$C$16,0,-$W$1,1)),0))</f>
        <v>0</v>
      </c>
      <c r="R793" s="56">
        <f t="shared" ca="1" si="90"/>
        <v>0</v>
      </c>
      <c r="S793" s="19">
        <f t="shared" si="92"/>
        <v>0</v>
      </c>
      <c r="T793" s="36" t="str" cm="1">
        <f t="array" aca="1" ref="T793" ca="1">IF(L793&lt;=$P$1,K793,IF(L793&lt;=($P$1+1),INDIRECT("K"&amp;5+$W$2),""))</f>
        <v/>
      </c>
      <c r="U793" s="38">
        <f t="shared" si="93"/>
        <v>66</v>
      </c>
    </row>
    <row r="794" spans="11:21" hidden="1" x14ac:dyDescent="0.25">
      <c r="K794" s="36">
        <f t="shared" ca="1" si="95"/>
        <v>70229</v>
      </c>
      <c r="L794" s="19">
        <v>789</v>
      </c>
      <c r="M794" s="19">
        <f t="shared" si="94"/>
        <v>0</v>
      </c>
      <c r="N794" s="37">
        <f t="shared" si="91"/>
        <v>0</v>
      </c>
      <c r="O794" s="37">
        <f t="shared" si="89"/>
        <v>0</v>
      </c>
      <c r="P794" s="55" cm="1">
        <f t="array" aca="1" ref="P794" ca="1">IF((L794-$C$16)&gt;0, IF($P$1+$C$16&gt;=L794,INDIRECT("M"&amp;(L794-$C$16)+5),0),0)</f>
        <v>0</v>
      </c>
      <c r="Q794" s="56" cm="1">
        <f t="array" aca="1" ref="Q794" ca="1">IF(L794&lt;=$C$16,0,IF($W$2&gt;=L794,IF(L794&lt;=($P$1+$C$16),INDIRECT("N"&amp;(L794-$C$16)+5),FV(SRate,L794-$P$1-$C$16,0,-$W$1,1)),0))</f>
        <v>0</v>
      </c>
      <c r="R794" s="56">
        <f t="shared" ca="1" si="90"/>
        <v>0</v>
      </c>
      <c r="S794" s="19">
        <f t="shared" si="92"/>
        <v>0</v>
      </c>
      <c r="T794" s="36" t="str" cm="1">
        <f t="array" aca="1" ref="T794" ca="1">IF(L794&lt;=$P$1,K794,IF(L794&lt;=($P$1+1),INDIRECT("K"&amp;5+$W$2),""))</f>
        <v/>
      </c>
      <c r="U794" s="38">
        <f t="shared" si="93"/>
        <v>66</v>
      </c>
    </row>
    <row r="795" spans="11:21" hidden="1" x14ac:dyDescent="0.25">
      <c r="K795" s="36">
        <f t="shared" ca="1" si="95"/>
        <v>70259</v>
      </c>
      <c r="L795" s="19">
        <v>790</v>
      </c>
      <c r="M795" s="19">
        <f t="shared" si="94"/>
        <v>0</v>
      </c>
      <c r="N795" s="37">
        <f t="shared" si="91"/>
        <v>0</v>
      </c>
      <c r="O795" s="37">
        <f t="shared" si="89"/>
        <v>0</v>
      </c>
      <c r="P795" s="55" cm="1">
        <f t="array" aca="1" ref="P795" ca="1">IF((L795-$C$16)&gt;0, IF($P$1+$C$16&gt;=L795,INDIRECT("M"&amp;(L795-$C$16)+5),0),0)</f>
        <v>0</v>
      </c>
      <c r="Q795" s="56" cm="1">
        <f t="array" aca="1" ref="Q795" ca="1">IF(L795&lt;=$C$16,0,IF($W$2&gt;=L795,IF(L795&lt;=($P$1+$C$16),INDIRECT("N"&amp;(L795-$C$16)+5),FV(SRate,L795-$P$1-$C$16,0,-$W$1,1)),0))</f>
        <v>0</v>
      </c>
      <c r="R795" s="56">
        <f t="shared" ca="1" si="90"/>
        <v>0</v>
      </c>
      <c r="S795" s="19">
        <f t="shared" si="92"/>
        <v>0</v>
      </c>
      <c r="T795" s="36" t="str" cm="1">
        <f t="array" aca="1" ref="T795" ca="1">IF(L795&lt;=$P$1,K795,IF(L795&lt;=($P$1+1),INDIRECT("K"&amp;5+$W$2),""))</f>
        <v/>
      </c>
      <c r="U795" s="38">
        <f t="shared" si="93"/>
        <v>66</v>
      </c>
    </row>
    <row r="796" spans="11:21" hidden="1" x14ac:dyDescent="0.25">
      <c r="K796" s="36">
        <f t="shared" ca="1" si="95"/>
        <v>70290</v>
      </c>
      <c r="L796" s="19">
        <v>791</v>
      </c>
      <c r="M796" s="19">
        <f t="shared" si="94"/>
        <v>0</v>
      </c>
      <c r="N796" s="37">
        <f t="shared" si="91"/>
        <v>0</v>
      </c>
      <c r="O796" s="37">
        <f t="shared" si="89"/>
        <v>0</v>
      </c>
      <c r="P796" s="55" cm="1">
        <f t="array" aca="1" ref="P796" ca="1">IF((L796-$C$16)&gt;0, IF($P$1+$C$16&gt;=L796,INDIRECT("M"&amp;(L796-$C$16)+5),0),0)</f>
        <v>0</v>
      </c>
      <c r="Q796" s="56" cm="1">
        <f t="array" aca="1" ref="Q796" ca="1">IF(L796&lt;=$C$16,0,IF($W$2&gt;=L796,IF(L796&lt;=($P$1+$C$16),INDIRECT("N"&amp;(L796-$C$16)+5),FV(SRate,L796-$P$1-$C$16,0,-$W$1,1)),0))</f>
        <v>0</v>
      </c>
      <c r="R796" s="56">
        <f t="shared" ca="1" si="90"/>
        <v>0</v>
      </c>
      <c r="S796" s="19">
        <f t="shared" si="92"/>
        <v>0</v>
      </c>
      <c r="T796" s="36" t="str" cm="1">
        <f t="array" aca="1" ref="T796" ca="1">IF(L796&lt;=$P$1,K796,IF(L796&lt;=($P$1+1),INDIRECT("K"&amp;5+$W$2),""))</f>
        <v/>
      </c>
      <c r="U796" s="38">
        <f t="shared" si="93"/>
        <v>66</v>
      </c>
    </row>
    <row r="797" spans="11:21" hidden="1" x14ac:dyDescent="0.25">
      <c r="K797" s="36">
        <f t="shared" ca="1" si="95"/>
        <v>70320</v>
      </c>
      <c r="L797" s="19">
        <v>792</v>
      </c>
      <c r="M797" s="19">
        <f t="shared" si="94"/>
        <v>0</v>
      </c>
      <c r="N797" s="37">
        <f t="shared" si="91"/>
        <v>0</v>
      </c>
      <c r="O797" s="37">
        <f t="shared" si="89"/>
        <v>0</v>
      </c>
      <c r="P797" s="55" cm="1">
        <f t="array" aca="1" ref="P797" ca="1">IF((L797-$C$16)&gt;0, IF($P$1+$C$16&gt;=L797,INDIRECT("M"&amp;(L797-$C$16)+5),0),0)</f>
        <v>0</v>
      </c>
      <c r="Q797" s="56" cm="1">
        <f t="array" aca="1" ref="Q797" ca="1">IF(L797&lt;=$C$16,0,IF($W$2&gt;=L797,IF(L797&lt;=($P$1+$C$16),INDIRECT("N"&amp;(L797-$C$16)+5),FV(SRate,L797-$P$1-$C$16,0,-$W$1,1)),0))</f>
        <v>0</v>
      </c>
      <c r="R797" s="56">
        <f t="shared" ca="1" si="90"/>
        <v>0</v>
      </c>
      <c r="S797" s="19">
        <f t="shared" si="92"/>
        <v>0</v>
      </c>
      <c r="T797" s="36" t="str" cm="1">
        <f t="array" aca="1" ref="T797" ca="1">IF(L797&lt;=$P$1,K797,IF(L797&lt;=($P$1+1),INDIRECT("K"&amp;5+$W$2),""))</f>
        <v/>
      </c>
      <c r="U797" s="38">
        <f t="shared" si="93"/>
        <v>66</v>
      </c>
    </row>
    <row r="798" spans="11:21" hidden="1" x14ac:dyDescent="0.25">
      <c r="K798" s="36">
        <f t="shared" ca="1" si="95"/>
        <v>70351</v>
      </c>
      <c r="L798" s="19">
        <v>793</v>
      </c>
      <c r="M798" s="19">
        <f t="shared" si="94"/>
        <v>0</v>
      </c>
      <c r="N798" s="37">
        <f t="shared" si="91"/>
        <v>0</v>
      </c>
      <c r="O798" s="37">
        <f t="shared" si="89"/>
        <v>0</v>
      </c>
      <c r="P798" s="55" cm="1">
        <f t="array" aca="1" ref="P798" ca="1">IF((L798-$C$16)&gt;0, IF($P$1+$C$16&gt;=L798,INDIRECT("M"&amp;(L798-$C$16)+5),0),0)</f>
        <v>0</v>
      </c>
      <c r="Q798" s="56" cm="1">
        <f t="array" aca="1" ref="Q798" ca="1">IF(L798&lt;=$C$16,0,IF($W$2&gt;=L798,IF(L798&lt;=($P$1+$C$16),INDIRECT("N"&amp;(L798-$C$16)+5),FV(SRate,L798-$P$1-$C$16,0,-$W$1,1)),0))</f>
        <v>0</v>
      </c>
      <c r="R798" s="56">
        <f t="shared" ca="1" si="90"/>
        <v>0</v>
      </c>
      <c r="S798" s="19">
        <f t="shared" si="92"/>
        <v>0</v>
      </c>
      <c r="T798" s="36" t="str" cm="1">
        <f t="array" aca="1" ref="T798" ca="1">IF(L798&lt;=$P$1,K798,IF(L798&lt;=($P$1+1),INDIRECT("K"&amp;5+$W$2),""))</f>
        <v/>
      </c>
      <c r="U798" s="38">
        <f t="shared" si="93"/>
        <v>67</v>
      </c>
    </row>
    <row r="799" spans="11:21" hidden="1" x14ac:dyDescent="0.25">
      <c r="K799" s="36">
        <f t="shared" ca="1" si="95"/>
        <v>70382</v>
      </c>
      <c r="L799" s="19">
        <v>794</v>
      </c>
      <c r="M799" s="19">
        <f t="shared" si="94"/>
        <v>0</v>
      </c>
      <c r="N799" s="37">
        <f t="shared" si="91"/>
        <v>0</v>
      </c>
      <c r="O799" s="37">
        <f t="shared" si="89"/>
        <v>0</v>
      </c>
      <c r="P799" s="55" cm="1">
        <f t="array" aca="1" ref="P799" ca="1">IF((L799-$C$16)&gt;0, IF($P$1+$C$16&gt;=L799,INDIRECT("M"&amp;(L799-$C$16)+5),0),0)</f>
        <v>0</v>
      </c>
      <c r="Q799" s="56" cm="1">
        <f t="array" aca="1" ref="Q799" ca="1">IF(L799&lt;=$C$16,0,IF($W$2&gt;=L799,IF(L799&lt;=($P$1+$C$16),INDIRECT("N"&amp;(L799-$C$16)+5),FV(SRate,L799-$P$1-$C$16,0,-$W$1,1)),0))</f>
        <v>0</v>
      </c>
      <c r="R799" s="56">
        <f t="shared" ca="1" si="90"/>
        <v>0</v>
      </c>
      <c r="S799" s="19">
        <f t="shared" si="92"/>
        <v>0</v>
      </c>
      <c r="T799" s="36" t="str" cm="1">
        <f t="array" aca="1" ref="T799" ca="1">IF(L799&lt;=$P$1,K799,IF(L799&lt;=($P$1+1),INDIRECT("K"&amp;5+$W$2),""))</f>
        <v/>
      </c>
      <c r="U799" s="38">
        <f t="shared" si="93"/>
        <v>67</v>
      </c>
    </row>
    <row r="800" spans="11:21" hidden="1" x14ac:dyDescent="0.25">
      <c r="K800" s="36">
        <f t="shared" ca="1" si="95"/>
        <v>70412</v>
      </c>
      <c r="L800" s="19">
        <v>795</v>
      </c>
      <c r="M800" s="19">
        <f t="shared" si="94"/>
        <v>0</v>
      </c>
      <c r="N800" s="37">
        <f t="shared" si="91"/>
        <v>0</v>
      </c>
      <c r="O800" s="37">
        <f t="shared" si="89"/>
        <v>0</v>
      </c>
      <c r="P800" s="55" cm="1">
        <f t="array" aca="1" ref="P800" ca="1">IF((L800-$C$16)&gt;0, IF($P$1+$C$16&gt;=L800,INDIRECT("M"&amp;(L800-$C$16)+5),0),0)</f>
        <v>0</v>
      </c>
      <c r="Q800" s="56" cm="1">
        <f t="array" aca="1" ref="Q800" ca="1">IF(L800&lt;=$C$16,0,IF($W$2&gt;=L800,IF(L800&lt;=($P$1+$C$16),INDIRECT("N"&amp;(L800-$C$16)+5),FV(SRate,L800-$P$1-$C$16,0,-$W$1,1)),0))</f>
        <v>0</v>
      </c>
      <c r="R800" s="56">
        <f t="shared" ca="1" si="90"/>
        <v>0</v>
      </c>
      <c r="S800" s="19">
        <f t="shared" si="92"/>
        <v>0</v>
      </c>
      <c r="T800" s="36" t="str" cm="1">
        <f t="array" aca="1" ref="T800" ca="1">IF(L800&lt;=$P$1,K800,IF(L800&lt;=($P$1+1),INDIRECT("K"&amp;5+$W$2),""))</f>
        <v/>
      </c>
      <c r="U800" s="38">
        <f t="shared" si="93"/>
        <v>67</v>
      </c>
    </row>
    <row r="801" spans="11:21" hidden="1" x14ac:dyDescent="0.25">
      <c r="K801" s="36">
        <f t="shared" ca="1" si="95"/>
        <v>70443</v>
      </c>
      <c r="L801" s="19">
        <v>796</v>
      </c>
      <c r="M801" s="19">
        <f t="shared" si="94"/>
        <v>0</v>
      </c>
      <c r="N801" s="37">
        <f t="shared" si="91"/>
        <v>0</v>
      </c>
      <c r="O801" s="37">
        <f t="shared" si="89"/>
        <v>0</v>
      </c>
      <c r="P801" s="55" cm="1">
        <f t="array" aca="1" ref="P801" ca="1">IF((L801-$C$16)&gt;0, IF($P$1+$C$16&gt;=L801,INDIRECT("M"&amp;(L801-$C$16)+5),0),0)</f>
        <v>0</v>
      </c>
      <c r="Q801" s="56" cm="1">
        <f t="array" aca="1" ref="Q801" ca="1">IF(L801&lt;=$C$16,0,IF($W$2&gt;=L801,IF(L801&lt;=($P$1+$C$16),INDIRECT("N"&amp;(L801-$C$16)+5),FV(SRate,L801-$P$1-$C$16,0,-$W$1,1)),0))</f>
        <v>0</v>
      </c>
      <c r="R801" s="56">
        <f t="shared" ca="1" si="90"/>
        <v>0</v>
      </c>
      <c r="S801" s="19">
        <f t="shared" si="92"/>
        <v>0</v>
      </c>
      <c r="T801" s="36" t="str" cm="1">
        <f t="array" aca="1" ref="T801" ca="1">IF(L801&lt;=$P$1,K801,IF(L801&lt;=($P$1+1),INDIRECT("K"&amp;5+$W$2),""))</f>
        <v/>
      </c>
      <c r="U801" s="38">
        <f t="shared" si="93"/>
        <v>67</v>
      </c>
    </row>
    <row r="802" spans="11:21" hidden="1" x14ac:dyDescent="0.25">
      <c r="K802" s="36">
        <f t="shared" ca="1" si="95"/>
        <v>70473</v>
      </c>
      <c r="L802" s="19">
        <v>797</v>
      </c>
      <c r="M802" s="19">
        <f t="shared" si="94"/>
        <v>0</v>
      </c>
      <c r="N802" s="37">
        <f t="shared" si="91"/>
        <v>0</v>
      </c>
      <c r="O802" s="37">
        <f t="shared" si="89"/>
        <v>0</v>
      </c>
      <c r="P802" s="55" cm="1">
        <f t="array" aca="1" ref="P802" ca="1">IF((L802-$C$16)&gt;0, IF($P$1+$C$16&gt;=L802,INDIRECT("M"&amp;(L802-$C$16)+5),0),0)</f>
        <v>0</v>
      </c>
      <c r="Q802" s="56" cm="1">
        <f t="array" aca="1" ref="Q802" ca="1">IF(L802&lt;=$C$16,0,IF($W$2&gt;=L802,IF(L802&lt;=($P$1+$C$16),INDIRECT("N"&amp;(L802-$C$16)+5),FV(SRate,L802-$P$1-$C$16,0,-$W$1,1)),0))</f>
        <v>0</v>
      </c>
      <c r="R802" s="56">
        <f t="shared" ca="1" si="90"/>
        <v>0</v>
      </c>
      <c r="S802" s="19">
        <f t="shared" si="92"/>
        <v>0</v>
      </c>
      <c r="T802" s="36" t="str" cm="1">
        <f t="array" aca="1" ref="T802" ca="1">IF(L802&lt;=$P$1,K802,IF(L802&lt;=($P$1+1),INDIRECT("K"&amp;5+$W$2),""))</f>
        <v/>
      </c>
      <c r="U802" s="38">
        <f t="shared" si="93"/>
        <v>67</v>
      </c>
    </row>
    <row r="803" spans="11:21" hidden="1" x14ac:dyDescent="0.25">
      <c r="K803" s="36">
        <f t="shared" ca="1" si="95"/>
        <v>70504</v>
      </c>
      <c r="L803" s="19">
        <v>798</v>
      </c>
      <c r="M803" s="19">
        <f t="shared" si="94"/>
        <v>0</v>
      </c>
      <c r="N803" s="37">
        <f t="shared" si="91"/>
        <v>0</v>
      </c>
      <c r="O803" s="37">
        <f t="shared" si="89"/>
        <v>0</v>
      </c>
      <c r="P803" s="55" cm="1">
        <f t="array" aca="1" ref="P803" ca="1">IF((L803-$C$16)&gt;0, IF($P$1+$C$16&gt;=L803,INDIRECT("M"&amp;(L803-$C$16)+5),0),0)</f>
        <v>0</v>
      </c>
      <c r="Q803" s="56" cm="1">
        <f t="array" aca="1" ref="Q803" ca="1">IF(L803&lt;=$C$16,0,IF($W$2&gt;=L803,IF(L803&lt;=($P$1+$C$16),INDIRECT("N"&amp;(L803-$C$16)+5),FV(SRate,L803-$P$1-$C$16,0,-$W$1,1)),0))</f>
        <v>0</v>
      </c>
      <c r="R803" s="56">
        <f t="shared" ca="1" si="90"/>
        <v>0</v>
      </c>
      <c r="S803" s="19">
        <f t="shared" si="92"/>
        <v>0</v>
      </c>
      <c r="T803" s="36" t="str" cm="1">
        <f t="array" aca="1" ref="T803" ca="1">IF(L803&lt;=$P$1,K803,IF(L803&lt;=($P$1+1),INDIRECT("K"&amp;5+$W$2),""))</f>
        <v/>
      </c>
      <c r="U803" s="38">
        <f t="shared" si="93"/>
        <v>67</v>
      </c>
    </row>
    <row r="804" spans="11:21" hidden="1" x14ac:dyDescent="0.25">
      <c r="K804" s="36">
        <f t="shared" ca="1" si="95"/>
        <v>70535</v>
      </c>
      <c r="L804" s="19">
        <v>799</v>
      </c>
      <c r="M804" s="19">
        <f t="shared" si="94"/>
        <v>0</v>
      </c>
      <c r="N804" s="37">
        <f t="shared" si="91"/>
        <v>0</v>
      </c>
      <c r="O804" s="37">
        <f t="shared" si="89"/>
        <v>0</v>
      </c>
      <c r="P804" s="55" cm="1">
        <f t="array" aca="1" ref="P804" ca="1">IF((L804-$C$16)&gt;0, IF($P$1+$C$16&gt;=L804,INDIRECT("M"&amp;(L804-$C$16)+5),0),0)</f>
        <v>0</v>
      </c>
      <c r="Q804" s="56" cm="1">
        <f t="array" aca="1" ref="Q804" ca="1">IF(L804&lt;=$C$16,0,IF($W$2&gt;=L804,IF(L804&lt;=($P$1+$C$16),INDIRECT("N"&amp;(L804-$C$16)+5),FV(SRate,L804-$P$1-$C$16,0,-$W$1,1)),0))</f>
        <v>0</v>
      </c>
      <c r="R804" s="56">
        <f t="shared" ca="1" si="90"/>
        <v>0</v>
      </c>
      <c r="S804" s="19">
        <f t="shared" si="92"/>
        <v>0</v>
      </c>
      <c r="T804" s="36" t="str" cm="1">
        <f t="array" aca="1" ref="T804" ca="1">IF(L804&lt;=$P$1,K804,IF(L804&lt;=($P$1+1),INDIRECT("K"&amp;5+$W$2),""))</f>
        <v/>
      </c>
      <c r="U804" s="38">
        <f t="shared" si="93"/>
        <v>67</v>
      </c>
    </row>
    <row r="805" spans="11:21" hidden="1" x14ac:dyDescent="0.25">
      <c r="K805" s="36">
        <f t="shared" ca="1" si="95"/>
        <v>70563</v>
      </c>
      <c r="L805" s="19">
        <v>800</v>
      </c>
      <c r="M805" s="19">
        <f t="shared" si="94"/>
        <v>0</v>
      </c>
      <c r="N805" s="37">
        <f t="shared" si="91"/>
        <v>0</v>
      </c>
      <c r="O805" s="37">
        <f t="shared" si="89"/>
        <v>0</v>
      </c>
      <c r="P805" s="55" cm="1">
        <f t="array" aca="1" ref="P805" ca="1">IF((L805-$C$16)&gt;0, IF($P$1+$C$16&gt;=L805,INDIRECT("M"&amp;(L805-$C$16)+5),0),0)</f>
        <v>0</v>
      </c>
      <c r="Q805" s="56" cm="1">
        <f t="array" aca="1" ref="Q805" ca="1">IF(L805&lt;=$C$16,0,IF($W$2&gt;=L805,IF(L805&lt;=($P$1+$C$16),INDIRECT("N"&amp;(L805-$C$16)+5),FV(SRate,L805-$P$1-$C$16,0,-$W$1,1)),0))</f>
        <v>0</v>
      </c>
      <c r="R805" s="56">
        <f t="shared" ca="1" si="90"/>
        <v>0</v>
      </c>
      <c r="S805" s="19">
        <f t="shared" si="92"/>
        <v>0</v>
      </c>
      <c r="T805" s="36" t="str" cm="1">
        <f t="array" aca="1" ref="T805" ca="1">IF(L805&lt;=$P$1,K805,IF(L805&lt;=($P$1+1),INDIRECT("K"&amp;5+$W$2),""))</f>
        <v/>
      </c>
      <c r="U805" s="38">
        <f t="shared" si="93"/>
        <v>67</v>
      </c>
    </row>
    <row r="806" spans="11:21" hidden="1" x14ac:dyDescent="0.25">
      <c r="K806" s="36">
        <f t="shared" ca="1" si="95"/>
        <v>70594</v>
      </c>
      <c r="L806" s="19">
        <v>801</v>
      </c>
      <c r="M806" s="19">
        <f t="shared" si="94"/>
        <v>0</v>
      </c>
      <c r="N806" s="37">
        <f t="shared" si="91"/>
        <v>0</v>
      </c>
      <c r="O806" s="37">
        <f t="shared" ref="O806:O869" si="96">N806/((1+SIPInflationRate)^(L806/12))</f>
        <v>0</v>
      </c>
      <c r="P806" s="55" cm="1">
        <f t="array" aca="1" ref="P806" ca="1">IF((L806-$C$16)&gt;0, IF($P$1+$C$16&gt;=L806,INDIRECT("M"&amp;(L806-$C$16)+5),0),0)</f>
        <v>0</v>
      </c>
      <c r="Q806" s="56" cm="1">
        <f t="array" aca="1" ref="Q806" ca="1">IF(L806&lt;=$C$16,0,IF($W$2&gt;=L806,IF(L806&lt;=($P$1+$C$16),INDIRECT("N"&amp;(L806-$C$16)+5),FV(SRate,L806-$P$1-$C$16,0,-$W$1,1)),0))</f>
        <v>0</v>
      </c>
      <c r="R806" s="56">
        <f t="shared" ca="1" si="90"/>
        <v>0</v>
      </c>
      <c r="S806" s="19">
        <f t="shared" si="92"/>
        <v>0</v>
      </c>
      <c r="T806" s="36" t="str" cm="1">
        <f t="array" aca="1" ref="T806" ca="1">IF(L806&lt;=$P$1,K806,IF(L806&lt;=($P$1+1),INDIRECT("K"&amp;5+$W$2),""))</f>
        <v/>
      </c>
      <c r="U806" s="38">
        <f t="shared" si="93"/>
        <v>67</v>
      </c>
    </row>
    <row r="807" spans="11:21" hidden="1" x14ac:dyDescent="0.25">
      <c r="K807" s="36">
        <f t="shared" ca="1" si="95"/>
        <v>70624</v>
      </c>
      <c r="L807" s="19">
        <v>802</v>
      </c>
      <c r="M807" s="19">
        <f t="shared" si="94"/>
        <v>0</v>
      </c>
      <c r="N807" s="37">
        <f t="shared" si="91"/>
        <v>0</v>
      </c>
      <c r="O807" s="37">
        <f t="shared" si="96"/>
        <v>0</v>
      </c>
      <c r="P807" s="55" cm="1">
        <f t="array" aca="1" ref="P807" ca="1">IF((L807-$C$16)&gt;0, IF($P$1+$C$16&gt;=L807,INDIRECT("M"&amp;(L807-$C$16)+5),0),0)</f>
        <v>0</v>
      </c>
      <c r="Q807" s="56" cm="1">
        <f t="array" aca="1" ref="Q807" ca="1">IF(L807&lt;=$C$16,0,IF($W$2&gt;=L807,IF(L807&lt;=($P$1+$C$16),INDIRECT("N"&amp;(L807-$C$16)+5),FV(SRate,L807-$P$1-$C$16,0,-$W$1,1)),0))</f>
        <v>0</v>
      </c>
      <c r="R807" s="56">
        <f t="shared" ca="1" si="90"/>
        <v>0</v>
      </c>
      <c r="S807" s="19">
        <f t="shared" si="92"/>
        <v>0</v>
      </c>
      <c r="T807" s="36" t="str" cm="1">
        <f t="array" aca="1" ref="T807" ca="1">IF(L807&lt;=$P$1,K807,IF(L807&lt;=($P$1+1),INDIRECT("K"&amp;5+$W$2),""))</f>
        <v/>
      </c>
      <c r="U807" s="38">
        <f t="shared" si="93"/>
        <v>67</v>
      </c>
    </row>
    <row r="808" spans="11:21" hidden="1" x14ac:dyDescent="0.25">
      <c r="K808" s="36">
        <f t="shared" ca="1" si="95"/>
        <v>70655</v>
      </c>
      <c r="L808" s="19">
        <v>803</v>
      </c>
      <c r="M808" s="19">
        <f t="shared" si="94"/>
        <v>0</v>
      </c>
      <c r="N808" s="37">
        <f t="shared" si="91"/>
        <v>0</v>
      </c>
      <c r="O808" s="37">
        <f t="shared" si="96"/>
        <v>0</v>
      </c>
      <c r="P808" s="55" cm="1">
        <f t="array" aca="1" ref="P808" ca="1">IF((L808-$C$16)&gt;0, IF($P$1+$C$16&gt;=L808,INDIRECT("M"&amp;(L808-$C$16)+5),0),0)</f>
        <v>0</v>
      </c>
      <c r="Q808" s="56" cm="1">
        <f t="array" aca="1" ref="Q808" ca="1">IF(L808&lt;=$C$16,0,IF($W$2&gt;=L808,IF(L808&lt;=($P$1+$C$16),INDIRECT("N"&amp;(L808-$C$16)+5),FV(SRate,L808-$P$1-$C$16,0,-$W$1,1)),0))</f>
        <v>0</v>
      </c>
      <c r="R808" s="56">
        <f t="shared" ca="1" si="90"/>
        <v>0</v>
      </c>
      <c r="S808" s="19">
        <f t="shared" si="92"/>
        <v>0</v>
      </c>
      <c r="T808" s="36" t="str" cm="1">
        <f t="array" aca="1" ref="T808" ca="1">IF(L808&lt;=$P$1,K808,IF(L808&lt;=($P$1+1),INDIRECT("K"&amp;5+$W$2),""))</f>
        <v/>
      </c>
      <c r="U808" s="38">
        <f t="shared" si="93"/>
        <v>67</v>
      </c>
    </row>
    <row r="809" spans="11:21" hidden="1" x14ac:dyDescent="0.25">
      <c r="K809" s="36">
        <f t="shared" ca="1" si="95"/>
        <v>70685</v>
      </c>
      <c r="L809" s="19">
        <v>804</v>
      </c>
      <c r="M809" s="19">
        <f t="shared" si="94"/>
        <v>0</v>
      </c>
      <c r="N809" s="37">
        <f t="shared" si="91"/>
        <v>0</v>
      </c>
      <c r="O809" s="37">
        <f t="shared" si="96"/>
        <v>0</v>
      </c>
      <c r="P809" s="55" cm="1">
        <f t="array" aca="1" ref="P809" ca="1">IF((L809-$C$16)&gt;0, IF($P$1+$C$16&gt;=L809,INDIRECT("M"&amp;(L809-$C$16)+5),0),0)</f>
        <v>0</v>
      </c>
      <c r="Q809" s="56" cm="1">
        <f t="array" aca="1" ref="Q809" ca="1">IF(L809&lt;=$C$16,0,IF($W$2&gt;=L809,IF(L809&lt;=($P$1+$C$16),INDIRECT("N"&amp;(L809-$C$16)+5),FV(SRate,L809-$P$1-$C$16,0,-$W$1,1)),0))</f>
        <v>0</v>
      </c>
      <c r="R809" s="56">
        <f t="shared" ca="1" si="90"/>
        <v>0</v>
      </c>
      <c r="S809" s="19">
        <f t="shared" si="92"/>
        <v>0</v>
      </c>
      <c r="T809" s="36" t="str" cm="1">
        <f t="array" aca="1" ref="T809" ca="1">IF(L809&lt;=$P$1,K809,IF(L809&lt;=($P$1+1),INDIRECT("K"&amp;5+$W$2),""))</f>
        <v/>
      </c>
      <c r="U809" s="38">
        <f t="shared" si="93"/>
        <v>67</v>
      </c>
    </row>
    <row r="810" spans="11:21" hidden="1" x14ac:dyDescent="0.25">
      <c r="K810" s="36">
        <f t="shared" ca="1" si="95"/>
        <v>70716</v>
      </c>
      <c r="L810" s="19">
        <v>805</v>
      </c>
      <c r="M810" s="19">
        <f t="shared" si="94"/>
        <v>0</v>
      </c>
      <c r="N810" s="37">
        <f t="shared" si="91"/>
        <v>0</v>
      </c>
      <c r="O810" s="37">
        <f t="shared" si="96"/>
        <v>0</v>
      </c>
      <c r="P810" s="55" cm="1">
        <f t="array" aca="1" ref="P810" ca="1">IF((L810-$C$16)&gt;0, IF($P$1+$C$16&gt;=L810,INDIRECT("M"&amp;(L810-$C$16)+5),0),0)</f>
        <v>0</v>
      </c>
      <c r="Q810" s="56" cm="1">
        <f t="array" aca="1" ref="Q810" ca="1">IF(L810&lt;=$C$16,0,IF($W$2&gt;=L810,IF(L810&lt;=($P$1+$C$16),INDIRECT("N"&amp;(L810-$C$16)+5),FV(SRate,L810-$P$1-$C$16,0,-$W$1,1)),0))</f>
        <v>0</v>
      </c>
      <c r="R810" s="56">
        <f t="shared" ca="1" si="90"/>
        <v>0</v>
      </c>
      <c r="S810" s="19">
        <f t="shared" si="92"/>
        <v>0</v>
      </c>
      <c r="T810" s="36" t="str" cm="1">
        <f t="array" aca="1" ref="T810" ca="1">IF(L810&lt;=$P$1,K810,IF(L810&lt;=($P$1+1),INDIRECT("K"&amp;5+$W$2),""))</f>
        <v/>
      </c>
      <c r="U810" s="38">
        <f t="shared" si="93"/>
        <v>68</v>
      </c>
    </row>
    <row r="811" spans="11:21" hidden="1" x14ac:dyDescent="0.25">
      <c r="K811" s="36">
        <f t="shared" ca="1" si="95"/>
        <v>70747</v>
      </c>
      <c r="L811" s="19">
        <v>806</v>
      </c>
      <c r="M811" s="19">
        <f t="shared" si="94"/>
        <v>0</v>
      </c>
      <c r="N811" s="37">
        <f t="shared" si="91"/>
        <v>0</v>
      </c>
      <c r="O811" s="37">
        <f t="shared" si="96"/>
        <v>0</v>
      </c>
      <c r="P811" s="55" cm="1">
        <f t="array" aca="1" ref="P811" ca="1">IF((L811-$C$16)&gt;0, IF($P$1+$C$16&gt;=L811,INDIRECT("M"&amp;(L811-$C$16)+5),0),0)</f>
        <v>0</v>
      </c>
      <c r="Q811" s="56" cm="1">
        <f t="array" aca="1" ref="Q811" ca="1">IF(L811&lt;=$C$16,0,IF($W$2&gt;=L811,IF(L811&lt;=($P$1+$C$16),INDIRECT("N"&amp;(L811-$C$16)+5),FV(SRate,L811-$P$1-$C$16,0,-$W$1,1)),0))</f>
        <v>0</v>
      </c>
      <c r="R811" s="56">
        <f t="shared" ca="1" si="90"/>
        <v>0</v>
      </c>
      <c r="S811" s="19">
        <f t="shared" si="92"/>
        <v>0</v>
      </c>
      <c r="T811" s="36" t="str" cm="1">
        <f t="array" aca="1" ref="T811" ca="1">IF(L811&lt;=$P$1,K811,IF(L811&lt;=($P$1+1),INDIRECT("K"&amp;5+$W$2),""))</f>
        <v/>
      </c>
      <c r="U811" s="38">
        <f t="shared" si="93"/>
        <v>68</v>
      </c>
    </row>
    <row r="812" spans="11:21" hidden="1" x14ac:dyDescent="0.25">
      <c r="K812" s="36">
        <f t="shared" ca="1" si="95"/>
        <v>70777</v>
      </c>
      <c r="L812" s="19">
        <v>807</v>
      </c>
      <c r="M812" s="19">
        <f t="shared" si="94"/>
        <v>0</v>
      </c>
      <c r="N812" s="37">
        <f t="shared" si="91"/>
        <v>0</v>
      </c>
      <c r="O812" s="37">
        <f t="shared" si="96"/>
        <v>0</v>
      </c>
      <c r="P812" s="55" cm="1">
        <f t="array" aca="1" ref="P812" ca="1">IF((L812-$C$16)&gt;0, IF($P$1+$C$16&gt;=L812,INDIRECT("M"&amp;(L812-$C$16)+5),0),0)</f>
        <v>0</v>
      </c>
      <c r="Q812" s="56" cm="1">
        <f t="array" aca="1" ref="Q812" ca="1">IF(L812&lt;=$C$16,0,IF($W$2&gt;=L812,IF(L812&lt;=($P$1+$C$16),INDIRECT("N"&amp;(L812-$C$16)+5),FV(SRate,L812-$P$1-$C$16,0,-$W$1,1)),0))</f>
        <v>0</v>
      </c>
      <c r="R812" s="56">
        <f t="shared" ca="1" si="90"/>
        <v>0</v>
      </c>
      <c r="S812" s="19">
        <f t="shared" si="92"/>
        <v>0</v>
      </c>
      <c r="T812" s="36" t="str" cm="1">
        <f t="array" aca="1" ref="T812" ca="1">IF(L812&lt;=$P$1,K812,IF(L812&lt;=($P$1+1),INDIRECT("K"&amp;5+$W$2),""))</f>
        <v/>
      </c>
      <c r="U812" s="38">
        <f t="shared" si="93"/>
        <v>68</v>
      </c>
    </row>
    <row r="813" spans="11:21" hidden="1" x14ac:dyDescent="0.25">
      <c r="K813" s="36">
        <f t="shared" ca="1" si="95"/>
        <v>70808</v>
      </c>
      <c r="L813" s="19">
        <v>808</v>
      </c>
      <c r="M813" s="19">
        <f t="shared" si="94"/>
        <v>0</v>
      </c>
      <c r="N813" s="37">
        <f t="shared" si="91"/>
        <v>0</v>
      </c>
      <c r="O813" s="37">
        <f t="shared" si="96"/>
        <v>0</v>
      </c>
      <c r="P813" s="55" cm="1">
        <f t="array" aca="1" ref="P813" ca="1">IF((L813-$C$16)&gt;0, IF($P$1+$C$16&gt;=L813,INDIRECT("M"&amp;(L813-$C$16)+5),0),0)</f>
        <v>0</v>
      </c>
      <c r="Q813" s="56" cm="1">
        <f t="array" aca="1" ref="Q813" ca="1">IF(L813&lt;=$C$16,0,IF($W$2&gt;=L813,IF(L813&lt;=($P$1+$C$16),INDIRECT("N"&amp;(L813-$C$16)+5),FV(SRate,L813-$P$1-$C$16,0,-$W$1,1)),0))</f>
        <v>0</v>
      </c>
      <c r="R813" s="56">
        <f t="shared" ca="1" si="90"/>
        <v>0</v>
      </c>
      <c r="S813" s="19">
        <f t="shared" si="92"/>
        <v>0</v>
      </c>
      <c r="T813" s="36" t="str" cm="1">
        <f t="array" aca="1" ref="T813" ca="1">IF(L813&lt;=$P$1,K813,IF(L813&lt;=($P$1+1),INDIRECT("K"&amp;5+$W$2),""))</f>
        <v/>
      </c>
      <c r="U813" s="38">
        <f t="shared" si="93"/>
        <v>68</v>
      </c>
    </row>
    <row r="814" spans="11:21" hidden="1" x14ac:dyDescent="0.25">
      <c r="K814" s="36">
        <f t="shared" ca="1" si="95"/>
        <v>70838</v>
      </c>
      <c r="L814" s="19">
        <v>809</v>
      </c>
      <c r="M814" s="19">
        <f t="shared" si="94"/>
        <v>0</v>
      </c>
      <c r="N814" s="37">
        <f t="shared" si="91"/>
        <v>0</v>
      </c>
      <c r="O814" s="37">
        <f t="shared" si="96"/>
        <v>0</v>
      </c>
      <c r="P814" s="55" cm="1">
        <f t="array" aca="1" ref="P814" ca="1">IF((L814-$C$16)&gt;0, IF($P$1+$C$16&gt;=L814,INDIRECT("M"&amp;(L814-$C$16)+5),0),0)</f>
        <v>0</v>
      </c>
      <c r="Q814" s="56" cm="1">
        <f t="array" aca="1" ref="Q814" ca="1">IF(L814&lt;=$C$16,0,IF($W$2&gt;=L814,IF(L814&lt;=($P$1+$C$16),INDIRECT("N"&amp;(L814-$C$16)+5),FV(SRate,L814-$P$1-$C$16,0,-$W$1,1)),0))</f>
        <v>0</v>
      </c>
      <c r="R814" s="56">
        <f t="shared" ca="1" si="90"/>
        <v>0</v>
      </c>
      <c r="S814" s="19">
        <f t="shared" si="92"/>
        <v>0</v>
      </c>
      <c r="T814" s="36" t="str" cm="1">
        <f t="array" aca="1" ref="T814" ca="1">IF(L814&lt;=$P$1,K814,IF(L814&lt;=($P$1+1),INDIRECT("K"&amp;5+$W$2),""))</f>
        <v/>
      </c>
      <c r="U814" s="38">
        <f t="shared" si="93"/>
        <v>68</v>
      </c>
    </row>
    <row r="815" spans="11:21" hidden="1" x14ac:dyDescent="0.25">
      <c r="K815" s="36">
        <f t="shared" ca="1" si="95"/>
        <v>70869</v>
      </c>
      <c r="L815" s="19">
        <v>810</v>
      </c>
      <c r="M815" s="19">
        <f t="shared" si="94"/>
        <v>0</v>
      </c>
      <c r="N815" s="37">
        <f t="shared" si="91"/>
        <v>0</v>
      </c>
      <c r="O815" s="37">
        <f t="shared" si="96"/>
        <v>0</v>
      </c>
      <c r="P815" s="55" cm="1">
        <f t="array" aca="1" ref="P815" ca="1">IF((L815-$C$16)&gt;0, IF($P$1+$C$16&gt;=L815,INDIRECT("M"&amp;(L815-$C$16)+5),0),0)</f>
        <v>0</v>
      </c>
      <c r="Q815" s="56" cm="1">
        <f t="array" aca="1" ref="Q815" ca="1">IF(L815&lt;=$C$16,0,IF($W$2&gt;=L815,IF(L815&lt;=($P$1+$C$16),INDIRECT("N"&amp;(L815-$C$16)+5),FV(SRate,L815-$P$1-$C$16,0,-$W$1,1)),0))</f>
        <v>0</v>
      </c>
      <c r="R815" s="56">
        <f t="shared" ca="1" si="90"/>
        <v>0</v>
      </c>
      <c r="S815" s="19">
        <f t="shared" si="92"/>
        <v>0</v>
      </c>
      <c r="T815" s="36" t="str" cm="1">
        <f t="array" aca="1" ref="T815" ca="1">IF(L815&lt;=$P$1,K815,IF(L815&lt;=($P$1+1),INDIRECT("K"&amp;5+$W$2),""))</f>
        <v/>
      </c>
      <c r="U815" s="38">
        <f t="shared" si="93"/>
        <v>68</v>
      </c>
    </row>
    <row r="816" spans="11:21" hidden="1" x14ac:dyDescent="0.25">
      <c r="K816" s="36">
        <f t="shared" ca="1" si="95"/>
        <v>70900</v>
      </c>
      <c r="L816" s="19">
        <v>811</v>
      </c>
      <c r="M816" s="19">
        <f t="shared" si="94"/>
        <v>0</v>
      </c>
      <c r="N816" s="37">
        <f t="shared" si="91"/>
        <v>0</v>
      </c>
      <c r="O816" s="37">
        <f t="shared" si="96"/>
        <v>0</v>
      </c>
      <c r="P816" s="55" cm="1">
        <f t="array" aca="1" ref="P816" ca="1">IF((L816-$C$16)&gt;0, IF($P$1+$C$16&gt;=L816,INDIRECT("M"&amp;(L816-$C$16)+5),0),0)</f>
        <v>0</v>
      </c>
      <c r="Q816" s="56" cm="1">
        <f t="array" aca="1" ref="Q816" ca="1">IF(L816&lt;=$C$16,0,IF($W$2&gt;=L816,IF(L816&lt;=($P$1+$C$16),INDIRECT("N"&amp;(L816-$C$16)+5),FV(SRate,L816-$P$1-$C$16,0,-$W$1,1)),0))</f>
        <v>0</v>
      </c>
      <c r="R816" s="56">
        <f t="shared" ca="1" si="90"/>
        <v>0</v>
      </c>
      <c r="S816" s="19">
        <f t="shared" si="92"/>
        <v>0</v>
      </c>
      <c r="T816" s="36" t="str" cm="1">
        <f t="array" aca="1" ref="T816" ca="1">IF(L816&lt;=$P$1,K816,IF(L816&lt;=($P$1+1),INDIRECT("K"&amp;5+$W$2),""))</f>
        <v/>
      </c>
      <c r="U816" s="38">
        <f t="shared" si="93"/>
        <v>68</v>
      </c>
    </row>
    <row r="817" spans="11:21" hidden="1" x14ac:dyDescent="0.25">
      <c r="K817" s="36">
        <f t="shared" ca="1" si="95"/>
        <v>70928</v>
      </c>
      <c r="L817" s="19">
        <v>812</v>
      </c>
      <c r="M817" s="19">
        <f t="shared" si="94"/>
        <v>0</v>
      </c>
      <c r="N817" s="37">
        <f t="shared" si="91"/>
        <v>0</v>
      </c>
      <c r="O817" s="37">
        <f t="shared" si="96"/>
        <v>0</v>
      </c>
      <c r="P817" s="55" cm="1">
        <f t="array" aca="1" ref="P817" ca="1">IF((L817-$C$16)&gt;0, IF($P$1+$C$16&gt;=L817,INDIRECT("M"&amp;(L817-$C$16)+5),0),0)</f>
        <v>0</v>
      </c>
      <c r="Q817" s="56" cm="1">
        <f t="array" aca="1" ref="Q817" ca="1">IF(L817&lt;=$C$16,0,IF($W$2&gt;=L817,IF(L817&lt;=($P$1+$C$16),INDIRECT("N"&amp;(L817-$C$16)+5),FV(SRate,L817-$P$1-$C$16,0,-$W$1,1)),0))</f>
        <v>0</v>
      </c>
      <c r="R817" s="56">
        <f t="shared" ca="1" si="90"/>
        <v>0</v>
      </c>
      <c r="S817" s="19">
        <f t="shared" si="92"/>
        <v>0</v>
      </c>
      <c r="T817" s="36" t="str" cm="1">
        <f t="array" aca="1" ref="T817" ca="1">IF(L817&lt;=$P$1,K817,IF(L817&lt;=($P$1+1),INDIRECT("K"&amp;5+$W$2),""))</f>
        <v/>
      </c>
      <c r="U817" s="38">
        <f t="shared" si="93"/>
        <v>68</v>
      </c>
    </row>
    <row r="818" spans="11:21" hidden="1" x14ac:dyDescent="0.25">
      <c r="K818" s="36">
        <f t="shared" ca="1" si="95"/>
        <v>70959</v>
      </c>
      <c r="L818" s="19">
        <v>813</v>
      </c>
      <c r="M818" s="19">
        <f t="shared" si="94"/>
        <v>0</v>
      </c>
      <c r="N818" s="37">
        <f t="shared" si="91"/>
        <v>0</v>
      </c>
      <c r="O818" s="37">
        <f t="shared" si="96"/>
        <v>0</v>
      </c>
      <c r="P818" s="55" cm="1">
        <f t="array" aca="1" ref="P818" ca="1">IF((L818-$C$16)&gt;0, IF($P$1+$C$16&gt;=L818,INDIRECT("M"&amp;(L818-$C$16)+5),0),0)</f>
        <v>0</v>
      </c>
      <c r="Q818" s="56" cm="1">
        <f t="array" aca="1" ref="Q818" ca="1">IF(L818&lt;=$C$16,0,IF($W$2&gt;=L818,IF(L818&lt;=($P$1+$C$16),INDIRECT("N"&amp;(L818-$C$16)+5),FV(SRate,L818-$P$1-$C$16,0,-$W$1,1)),0))</f>
        <v>0</v>
      </c>
      <c r="R818" s="56">
        <f t="shared" ca="1" si="90"/>
        <v>0</v>
      </c>
      <c r="S818" s="19">
        <f t="shared" si="92"/>
        <v>0</v>
      </c>
      <c r="T818" s="36" t="str" cm="1">
        <f t="array" aca="1" ref="T818" ca="1">IF(L818&lt;=$P$1,K818,IF(L818&lt;=($P$1+1),INDIRECT("K"&amp;5+$W$2),""))</f>
        <v/>
      </c>
      <c r="U818" s="38">
        <f t="shared" si="93"/>
        <v>68</v>
      </c>
    </row>
    <row r="819" spans="11:21" hidden="1" x14ac:dyDescent="0.25">
      <c r="K819" s="36">
        <f t="shared" ca="1" si="95"/>
        <v>70989</v>
      </c>
      <c r="L819" s="19">
        <v>814</v>
      </c>
      <c r="M819" s="19">
        <f t="shared" si="94"/>
        <v>0</v>
      </c>
      <c r="N819" s="37">
        <f t="shared" si="91"/>
        <v>0</v>
      </c>
      <c r="O819" s="37">
        <f t="shared" si="96"/>
        <v>0</v>
      </c>
      <c r="P819" s="55" cm="1">
        <f t="array" aca="1" ref="P819" ca="1">IF((L819-$C$16)&gt;0, IF($P$1+$C$16&gt;=L819,INDIRECT("M"&amp;(L819-$C$16)+5),0),0)</f>
        <v>0</v>
      </c>
      <c r="Q819" s="56" cm="1">
        <f t="array" aca="1" ref="Q819" ca="1">IF(L819&lt;=$C$16,0,IF($W$2&gt;=L819,IF(L819&lt;=($P$1+$C$16),INDIRECT("N"&amp;(L819-$C$16)+5),FV(SRate,L819-$P$1-$C$16,0,-$W$1,1)),0))</f>
        <v>0</v>
      </c>
      <c r="R819" s="56">
        <f t="shared" ca="1" si="90"/>
        <v>0</v>
      </c>
      <c r="S819" s="19">
        <f t="shared" si="92"/>
        <v>0</v>
      </c>
      <c r="T819" s="36" t="str" cm="1">
        <f t="array" aca="1" ref="T819" ca="1">IF(L819&lt;=$P$1,K819,IF(L819&lt;=($P$1+1),INDIRECT("K"&amp;5+$W$2),""))</f>
        <v/>
      </c>
      <c r="U819" s="38">
        <f t="shared" si="93"/>
        <v>68</v>
      </c>
    </row>
    <row r="820" spans="11:21" hidden="1" x14ac:dyDescent="0.25">
      <c r="K820" s="36">
        <f t="shared" ca="1" si="95"/>
        <v>71020</v>
      </c>
      <c r="L820" s="19">
        <v>815</v>
      </c>
      <c r="M820" s="19">
        <f t="shared" si="94"/>
        <v>0</v>
      </c>
      <c r="N820" s="37">
        <f t="shared" si="91"/>
        <v>0</v>
      </c>
      <c r="O820" s="37">
        <f t="shared" si="96"/>
        <v>0</v>
      </c>
      <c r="P820" s="55" cm="1">
        <f t="array" aca="1" ref="P820" ca="1">IF((L820-$C$16)&gt;0, IF($P$1+$C$16&gt;=L820,INDIRECT("M"&amp;(L820-$C$16)+5),0),0)</f>
        <v>0</v>
      </c>
      <c r="Q820" s="56" cm="1">
        <f t="array" aca="1" ref="Q820" ca="1">IF(L820&lt;=$C$16,0,IF($W$2&gt;=L820,IF(L820&lt;=($P$1+$C$16),INDIRECT("N"&amp;(L820-$C$16)+5),FV(SRate,L820-$P$1-$C$16,0,-$W$1,1)),0))</f>
        <v>0</v>
      </c>
      <c r="R820" s="56">
        <f t="shared" ca="1" si="90"/>
        <v>0</v>
      </c>
      <c r="S820" s="19">
        <f t="shared" si="92"/>
        <v>0</v>
      </c>
      <c r="T820" s="36" t="str" cm="1">
        <f t="array" aca="1" ref="T820" ca="1">IF(L820&lt;=$P$1,K820,IF(L820&lt;=($P$1+1),INDIRECT("K"&amp;5+$W$2),""))</f>
        <v/>
      </c>
      <c r="U820" s="38">
        <f t="shared" si="93"/>
        <v>68</v>
      </c>
    </row>
    <row r="821" spans="11:21" hidden="1" x14ac:dyDescent="0.25">
      <c r="K821" s="36">
        <f t="shared" ca="1" si="95"/>
        <v>71050</v>
      </c>
      <c r="L821" s="19">
        <v>816</v>
      </c>
      <c r="M821" s="19">
        <f t="shared" si="94"/>
        <v>0</v>
      </c>
      <c r="N821" s="37">
        <f t="shared" si="91"/>
        <v>0</v>
      </c>
      <c r="O821" s="37">
        <f t="shared" si="96"/>
        <v>0</v>
      </c>
      <c r="P821" s="55" cm="1">
        <f t="array" aca="1" ref="P821" ca="1">IF((L821-$C$16)&gt;0, IF($P$1+$C$16&gt;=L821,INDIRECT("M"&amp;(L821-$C$16)+5),0),0)</f>
        <v>0</v>
      </c>
      <c r="Q821" s="56" cm="1">
        <f t="array" aca="1" ref="Q821" ca="1">IF(L821&lt;=$C$16,0,IF($W$2&gt;=L821,IF(L821&lt;=($P$1+$C$16),INDIRECT("N"&amp;(L821-$C$16)+5),FV(SRate,L821-$P$1-$C$16,0,-$W$1,1)),0))</f>
        <v>0</v>
      </c>
      <c r="R821" s="56">
        <f t="shared" ca="1" si="90"/>
        <v>0</v>
      </c>
      <c r="S821" s="19">
        <f t="shared" si="92"/>
        <v>0</v>
      </c>
      <c r="T821" s="36" t="str" cm="1">
        <f t="array" aca="1" ref="T821" ca="1">IF(L821&lt;=$P$1,K821,IF(L821&lt;=($P$1+1),INDIRECT("K"&amp;5+$W$2),""))</f>
        <v/>
      </c>
      <c r="U821" s="38">
        <f t="shared" si="93"/>
        <v>68</v>
      </c>
    </row>
    <row r="822" spans="11:21" hidden="1" x14ac:dyDescent="0.25">
      <c r="K822" s="36">
        <f t="shared" ca="1" si="95"/>
        <v>71081</v>
      </c>
      <c r="L822" s="19">
        <v>817</v>
      </c>
      <c r="M822" s="19">
        <f t="shared" si="94"/>
        <v>0</v>
      </c>
      <c r="N822" s="37">
        <f t="shared" si="91"/>
        <v>0</v>
      </c>
      <c r="O822" s="37">
        <f t="shared" si="96"/>
        <v>0</v>
      </c>
      <c r="P822" s="55" cm="1">
        <f t="array" aca="1" ref="P822" ca="1">IF((L822-$C$16)&gt;0, IF($P$1+$C$16&gt;=L822,INDIRECT("M"&amp;(L822-$C$16)+5),0),0)</f>
        <v>0</v>
      </c>
      <c r="Q822" s="56" cm="1">
        <f t="array" aca="1" ref="Q822" ca="1">IF(L822&lt;=$C$16,0,IF($W$2&gt;=L822,IF(L822&lt;=($P$1+$C$16),INDIRECT("N"&amp;(L822-$C$16)+5),FV(SRate,L822-$P$1-$C$16,0,-$W$1,1)),0))</f>
        <v>0</v>
      </c>
      <c r="R822" s="56">
        <f t="shared" ca="1" si="90"/>
        <v>0</v>
      </c>
      <c r="S822" s="19">
        <f t="shared" si="92"/>
        <v>0</v>
      </c>
      <c r="T822" s="36" t="str" cm="1">
        <f t="array" aca="1" ref="T822" ca="1">IF(L822&lt;=$P$1,K822,IF(L822&lt;=($P$1+1),INDIRECT("K"&amp;5+$W$2),""))</f>
        <v/>
      </c>
      <c r="U822" s="38">
        <f t="shared" si="93"/>
        <v>69</v>
      </c>
    </row>
    <row r="823" spans="11:21" hidden="1" x14ac:dyDescent="0.25">
      <c r="K823" s="36">
        <f t="shared" ca="1" si="95"/>
        <v>71112</v>
      </c>
      <c r="L823" s="19">
        <v>818</v>
      </c>
      <c r="M823" s="19">
        <f t="shared" si="94"/>
        <v>0</v>
      </c>
      <c r="N823" s="37">
        <f t="shared" si="91"/>
        <v>0</v>
      </c>
      <c r="O823" s="37">
        <f t="shared" si="96"/>
        <v>0</v>
      </c>
      <c r="P823" s="55" cm="1">
        <f t="array" aca="1" ref="P823" ca="1">IF((L823-$C$16)&gt;0, IF($P$1+$C$16&gt;=L823,INDIRECT("M"&amp;(L823-$C$16)+5),0),0)</f>
        <v>0</v>
      </c>
      <c r="Q823" s="56" cm="1">
        <f t="array" aca="1" ref="Q823" ca="1">IF(L823&lt;=$C$16,0,IF($W$2&gt;=L823,IF(L823&lt;=($P$1+$C$16),INDIRECT("N"&amp;(L823-$C$16)+5),FV(SRate,L823-$P$1-$C$16,0,-$W$1,1)),0))</f>
        <v>0</v>
      </c>
      <c r="R823" s="56">
        <f t="shared" ca="1" si="90"/>
        <v>0</v>
      </c>
      <c r="S823" s="19">
        <f t="shared" si="92"/>
        <v>0</v>
      </c>
      <c r="T823" s="36" t="str" cm="1">
        <f t="array" aca="1" ref="T823" ca="1">IF(L823&lt;=$P$1,K823,IF(L823&lt;=($P$1+1),INDIRECT("K"&amp;5+$W$2),""))</f>
        <v/>
      </c>
      <c r="U823" s="38">
        <f t="shared" si="93"/>
        <v>69</v>
      </c>
    </row>
    <row r="824" spans="11:21" hidden="1" x14ac:dyDescent="0.25">
      <c r="K824" s="36">
        <f t="shared" ca="1" si="95"/>
        <v>71142</v>
      </c>
      <c r="L824" s="19">
        <v>819</v>
      </c>
      <c r="M824" s="19">
        <f t="shared" si="94"/>
        <v>0</v>
      </c>
      <c r="N824" s="37">
        <f t="shared" si="91"/>
        <v>0</v>
      </c>
      <c r="O824" s="37">
        <f t="shared" si="96"/>
        <v>0</v>
      </c>
      <c r="P824" s="55" cm="1">
        <f t="array" aca="1" ref="P824" ca="1">IF((L824-$C$16)&gt;0, IF($P$1+$C$16&gt;=L824,INDIRECT("M"&amp;(L824-$C$16)+5),0),0)</f>
        <v>0</v>
      </c>
      <c r="Q824" s="56" cm="1">
        <f t="array" aca="1" ref="Q824" ca="1">IF(L824&lt;=$C$16,0,IF($W$2&gt;=L824,IF(L824&lt;=($P$1+$C$16),INDIRECT("N"&amp;(L824-$C$16)+5),FV(SRate,L824-$P$1-$C$16,0,-$W$1,1)),0))</f>
        <v>0</v>
      </c>
      <c r="R824" s="56">
        <f t="shared" ca="1" si="90"/>
        <v>0</v>
      </c>
      <c r="S824" s="19">
        <f t="shared" si="92"/>
        <v>0</v>
      </c>
      <c r="T824" s="36" t="str" cm="1">
        <f t="array" aca="1" ref="T824" ca="1">IF(L824&lt;=$P$1,K824,IF(L824&lt;=($P$1+1),INDIRECT("K"&amp;5+$W$2),""))</f>
        <v/>
      </c>
      <c r="U824" s="38">
        <f t="shared" si="93"/>
        <v>69</v>
      </c>
    </row>
    <row r="825" spans="11:21" hidden="1" x14ac:dyDescent="0.25">
      <c r="K825" s="36">
        <f t="shared" ca="1" si="95"/>
        <v>71173</v>
      </c>
      <c r="L825" s="19">
        <v>820</v>
      </c>
      <c r="M825" s="19">
        <f t="shared" si="94"/>
        <v>0</v>
      </c>
      <c r="N825" s="37">
        <f t="shared" si="91"/>
        <v>0</v>
      </c>
      <c r="O825" s="37">
        <f t="shared" si="96"/>
        <v>0</v>
      </c>
      <c r="P825" s="55" cm="1">
        <f t="array" aca="1" ref="P825" ca="1">IF((L825-$C$16)&gt;0, IF($P$1+$C$16&gt;=L825,INDIRECT("M"&amp;(L825-$C$16)+5),0),0)</f>
        <v>0</v>
      </c>
      <c r="Q825" s="56" cm="1">
        <f t="array" aca="1" ref="Q825" ca="1">IF(L825&lt;=$C$16,0,IF($W$2&gt;=L825,IF(L825&lt;=($P$1+$C$16),INDIRECT("N"&amp;(L825-$C$16)+5),FV(SRate,L825-$P$1-$C$16,0,-$W$1,1)),0))</f>
        <v>0</v>
      </c>
      <c r="R825" s="56">
        <f t="shared" ca="1" si="90"/>
        <v>0</v>
      </c>
      <c r="S825" s="19">
        <f t="shared" si="92"/>
        <v>0</v>
      </c>
      <c r="T825" s="36" t="str" cm="1">
        <f t="array" aca="1" ref="T825" ca="1">IF(L825&lt;=$P$1,K825,IF(L825&lt;=($P$1+1),INDIRECT("K"&amp;5+$W$2),""))</f>
        <v/>
      </c>
      <c r="U825" s="38">
        <f t="shared" si="93"/>
        <v>69</v>
      </c>
    </row>
    <row r="826" spans="11:21" hidden="1" x14ac:dyDescent="0.25">
      <c r="K826" s="36">
        <f t="shared" ca="1" si="95"/>
        <v>71203</v>
      </c>
      <c r="L826" s="19">
        <v>821</v>
      </c>
      <c r="M826" s="19">
        <f t="shared" si="94"/>
        <v>0</v>
      </c>
      <c r="N826" s="37">
        <f t="shared" si="91"/>
        <v>0</v>
      </c>
      <c r="O826" s="37">
        <f t="shared" si="96"/>
        <v>0</v>
      </c>
      <c r="P826" s="55" cm="1">
        <f t="array" aca="1" ref="P826" ca="1">IF((L826-$C$16)&gt;0, IF($P$1+$C$16&gt;=L826,INDIRECT("M"&amp;(L826-$C$16)+5),0),0)</f>
        <v>0</v>
      </c>
      <c r="Q826" s="56" cm="1">
        <f t="array" aca="1" ref="Q826" ca="1">IF(L826&lt;=$C$16,0,IF($W$2&gt;=L826,IF(L826&lt;=($P$1+$C$16),INDIRECT("N"&amp;(L826-$C$16)+5),FV(SRate,L826-$P$1-$C$16,0,-$W$1,1)),0))</f>
        <v>0</v>
      </c>
      <c r="R826" s="56">
        <f t="shared" ca="1" si="90"/>
        <v>0</v>
      </c>
      <c r="S826" s="19">
        <f t="shared" si="92"/>
        <v>0</v>
      </c>
      <c r="T826" s="36" t="str" cm="1">
        <f t="array" aca="1" ref="T826" ca="1">IF(L826&lt;=$P$1,K826,IF(L826&lt;=($P$1+1),INDIRECT("K"&amp;5+$W$2),""))</f>
        <v/>
      </c>
      <c r="U826" s="38">
        <f t="shared" si="93"/>
        <v>69</v>
      </c>
    </row>
    <row r="827" spans="11:21" hidden="1" x14ac:dyDescent="0.25">
      <c r="K827" s="36">
        <f t="shared" ca="1" si="95"/>
        <v>71234</v>
      </c>
      <c r="L827" s="19">
        <v>822</v>
      </c>
      <c r="M827" s="19">
        <f t="shared" si="94"/>
        <v>0</v>
      </c>
      <c r="N827" s="37">
        <f t="shared" si="91"/>
        <v>0</v>
      </c>
      <c r="O827" s="37">
        <f t="shared" si="96"/>
        <v>0</v>
      </c>
      <c r="P827" s="55" cm="1">
        <f t="array" aca="1" ref="P827" ca="1">IF((L827-$C$16)&gt;0, IF($P$1+$C$16&gt;=L827,INDIRECT("M"&amp;(L827-$C$16)+5),0),0)</f>
        <v>0</v>
      </c>
      <c r="Q827" s="56" cm="1">
        <f t="array" aca="1" ref="Q827" ca="1">IF(L827&lt;=$C$16,0,IF($W$2&gt;=L827,IF(L827&lt;=($P$1+$C$16),INDIRECT("N"&amp;(L827-$C$16)+5),FV(SRate,L827-$P$1-$C$16,0,-$W$1,1)),0))</f>
        <v>0</v>
      </c>
      <c r="R827" s="56">
        <f t="shared" ca="1" si="90"/>
        <v>0</v>
      </c>
      <c r="S827" s="19">
        <f t="shared" si="92"/>
        <v>0</v>
      </c>
      <c r="T827" s="36" t="str" cm="1">
        <f t="array" aca="1" ref="T827" ca="1">IF(L827&lt;=$P$1,K827,IF(L827&lt;=($P$1+1),INDIRECT("K"&amp;5+$W$2),""))</f>
        <v/>
      </c>
      <c r="U827" s="38">
        <f t="shared" si="93"/>
        <v>69</v>
      </c>
    </row>
    <row r="828" spans="11:21" hidden="1" x14ac:dyDescent="0.25">
      <c r="K828" s="36">
        <f t="shared" ca="1" si="95"/>
        <v>71265</v>
      </c>
      <c r="L828" s="19">
        <v>823</v>
      </c>
      <c r="M828" s="19">
        <f t="shared" si="94"/>
        <v>0</v>
      </c>
      <c r="N828" s="37">
        <f t="shared" si="91"/>
        <v>0</v>
      </c>
      <c r="O828" s="37">
        <f t="shared" si="96"/>
        <v>0</v>
      </c>
      <c r="P828" s="55" cm="1">
        <f t="array" aca="1" ref="P828" ca="1">IF((L828-$C$16)&gt;0, IF($P$1+$C$16&gt;=L828,INDIRECT("M"&amp;(L828-$C$16)+5),0),0)</f>
        <v>0</v>
      </c>
      <c r="Q828" s="56" cm="1">
        <f t="array" aca="1" ref="Q828" ca="1">IF(L828&lt;=$C$16,0,IF($W$2&gt;=L828,IF(L828&lt;=($P$1+$C$16),INDIRECT("N"&amp;(L828-$C$16)+5),FV(SRate,L828-$P$1-$C$16,0,-$W$1,1)),0))</f>
        <v>0</v>
      </c>
      <c r="R828" s="56">
        <f t="shared" ca="1" si="90"/>
        <v>0</v>
      </c>
      <c r="S828" s="19">
        <f t="shared" si="92"/>
        <v>0</v>
      </c>
      <c r="T828" s="36" t="str" cm="1">
        <f t="array" aca="1" ref="T828" ca="1">IF(L828&lt;=$P$1,K828,IF(L828&lt;=($P$1+1),INDIRECT("K"&amp;5+$W$2),""))</f>
        <v/>
      </c>
      <c r="U828" s="38">
        <f t="shared" si="93"/>
        <v>69</v>
      </c>
    </row>
    <row r="829" spans="11:21" hidden="1" x14ac:dyDescent="0.25">
      <c r="K829" s="36">
        <f t="shared" ca="1" si="95"/>
        <v>71293</v>
      </c>
      <c r="L829" s="19">
        <v>824</v>
      </c>
      <c r="M829" s="19">
        <f t="shared" si="94"/>
        <v>0</v>
      </c>
      <c r="N829" s="37">
        <f t="shared" si="91"/>
        <v>0</v>
      </c>
      <c r="O829" s="37">
        <f t="shared" si="96"/>
        <v>0</v>
      </c>
      <c r="P829" s="55" cm="1">
        <f t="array" aca="1" ref="P829" ca="1">IF((L829-$C$16)&gt;0, IF($P$1+$C$16&gt;=L829,INDIRECT("M"&amp;(L829-$C$16)+5),0),0)</f>
        <v>0</v>
      </c>
      <c r="Q829" s="56" cm="1">
        <f t="array" aca="1" ref="Q829" ca="1">IF(L829&lt;=$C$16,0,IF($W$2&gt;=L829,IF(L829&lt;=($P$1+$C$16),INDIRECT("N"&amp;(L829-$C$16)+5),FV(SRate,L829-$P$1-$C$16,0,-$W$1,1)),0))</f>
        <v>0</v>
      </c>
      <c r="R829" s="56">
        <f t="shared" ca="1" si="90"/>
        <v>0</v>
      </c>
      <c r="S829" s="19">
        <f t="shared" si="92"/>
        <v>0</v>
      </c>
      <c r="T829" s="36" t="str" cm="1">
        <f t="array" aca="1" ref="T829" ca="1">IF(L829&lt;=$P$1,K829,IF(L829&lt;=($P$1+1),INDIRECT("K"&amp;5+$W$2),""))</f>
        <v/>
      </c>
      <c r="U829" s="38">
        <f t="shared" si="93"/>
        <v>69</v>
      </c>
    </row>
    <row r="830" spans="11:21" hidden="1" x14ac:dyDescent="0.25">
      <c r="K830" s="36">
        <f t="shared" ca="1" si="95"/>
        <v>71324</v>
      </c>
      <c r="L830" s="19">
        <v>825</v>
      </c>
      <c r="M830" s="19">
        <f t="shared" si="94"/>
        <v>0</v>
      </c>
      <c r="N830" s="37">
        <f t="shared" si="91"/>
        <v>0</v>
      </c>
      <c r="O830" s="37">
        <f t="shared" si="96"/>
        <v>0</v>
      </c>
      <c r="P830" s="55" cm="1">
        <f t="array" aca="1" ref="P830" ca="1">IF((L830-$C$16)&gt;0, IF($P$1+$C$16&gt;=L830,INDIRECT("M"&amp;(L830-$C$16)+5),0),0)</f>
        <v>0</v>
      </c>
      <c r="Q830" s="56" cm="1">
        <f t="array" aca="1" ref="Q830" ca="1">IF(L830&lt;=$C$16,0,IF($W$2&gt;=L830,IF(L830&lt;=($P$1+$C$16),INDIRECT("N"&amp;(L830-$C$16)+5),FV(SRate,L830-$P$1-$C$16,0,-$W$1,1)),0))</f>
        <v>0</v>
      </c>
      <c r="R830" s="56">
        <f t="shared" ca="1" si="90"/>
        <v>0</v>
      </c>
      <c r="S830" s="19">
        <f t="shared" si="92"/>
        <v>0</v>
      </c>
      <c r="T830" s="36" t="str" cm="1">
        <f t="array" aca="1" ref="T830" ca="1">IF(L830&lt;=$P$1,K830,IF(L830&lt;=($P$1+1),INDIRECT("K"&amp;5+$W$2),""))</f>
        <v/>
      </c>
      <c r="U830" s="38">
        <f t="shared" si="93"/>
        <v>69</v>
      </c>
    </row>
    <row r="831" spans="11:21" hidden="1" x14ac:dyDescent="0.25">
      <c r="K831" s="36">
        <f t="shared" ca="1" si="95"/>
        <v>71354</v>
      </c>
      <c r="L831" s="19">
        <v>826</v>
      </c>
      <c r="M831" s="19">
        <f t="shared" si="94"/>
        <v>0</v>
      </c>
      <c r="N831" s="37">
        <f t="shared" si="91"/>
        <v>0</v>
      </c>
      <c r="O831" s="37">
        <f t="shared" si="96"/>
        <v>0</v>
      </c>
      <c r="P831" s="55" cm="1">
        <f t="array" aca="1" ref="P831" ca="1">IF((L831-$C$16)&gt;0, IF($P$1+$C$16&gt;=L831,INDIRECT("M"&amp;(L831-$C$16)+5),0),0)</f>
        <v>0</v>
      </c>
      <c r="Q831" s="56" cm="1">
        <f t="array" aca="1" ref="Q831" ca="1">IF(L831&lt;=$C$16,0,IF($W$2&gt;=L831,IF(L831&lt;=($P$1+$C$16),INDIRECT("N"&amp;(L831-$C$16)+5),FV(SRate,L831-$P$1-$C$16,0,-$W$1,1)),0))</f>
        <v>0</v>
      </c>
      <c r="R831" s="56">
        <f t="shared" ca="1" si="90"/>
        <v>0</v>
      </c>
      <c r="S831" s="19">
        <f t="shared" si="92"/>
        <v>0</v>
      </c>
      <c r="T831" s="36" t="str" cm="1">
        <f t="array" aca="1" ref="T831" ca="1">IF(L831&lt;=$P$1,K831,IF(L831&lt;=($P$1+1),INDIRECT("K"&amp;5+$W$2),""))</f>
        <v/>
      </c>
      <c r="U831" s="38">
        <f t="shared" si="93"/>
        <v>69</v>
      </c>
    </row>
    <row r="832" spans="11:21" hidden="1" x14ac:dyDescent="0.25">
      <c r="K832" s="36">
        <f t="shared" ca="1" si="95"/>
        <v>71385</v>
      </c>
      <c r="L832" s="19">
        <v>827</v>
      </c>
      <c r="M832" s="19">
        <f t="shared" si="94"/>
        <v>0</v>
      </c>
      <c r="N832" s="37">
        <f t="shared" si="91"/>
        <v>0</v>
      </c>
      <c r="O832" s="37">
        <f t="shared" si="96"/>
        <v>0</v>
      </c>
      <c r="P832" s="55" cm="1">
        <f t="array" aca="1" ref="P832" ca="1">IF((L832-$C$16)&gt;0, IF($P$1+$C$16&gt;=L832,INDIRECT("M"&amp;(L832-$C$16)+5),0),0)</f>
        <v>0</v>
      </c>
      <c r="Q832" s="56" cm="1">
        <f t="array" aca="1" ref="Q832" ca="1">IF(L832&lt;=$C$16,0,IF($W$2&gt;=L832,IF(L832&lt;=($P$1+$C$16),INDIRECT("N"&amp;(L832-$C$16)+5),FV(SRate,L832-$P$1-$C$16,0,-$W$1,1)),0))</f>
        <v>0</v>
      </c>
      <c r="R832" s="56">
        <f t="shared" ca="1" si="90"/>
        <v>0</v>
      </c>
      <c r="S832" s="19">
        <f t="shared" si="92"/>
        <v>0</v>
      </c>
      <c r="T832" s="36" t="str" cm="1">
        <f t="array" aca="1" ref="T832" ca="1">IF(L832&lt;=$P$1,K832,IF(L832&lt;=($P$1+1),INDIRECT("K"&amp;5+$W$2),""))</f>
        <v/>
      </c>
      <c r="U832" s="38">
        <f t="shared" si="93"/>
        <v>69</v>
      </c>
    </row>
    <row r="833" spans="11:21" hidden="1" x14ac:dyDescent="0.25">
      <c r="K833" s="36">
        <f t="shared" ca="1" si="95"/>
        <v>71415</v>
      </c>
      <c r="L833" s="19">
        <v>828</v>
      </c>
      <c r="M833" s="19">
        <f t="shared" si="94"/>
        <v>0</v>
      </c>
      <c r="N833" s="37">
        <f t="shared" si="91"/>
        <v>0</v>
      </c>
      <c r="O833" s="37">
        <f t="shared" si="96"/>
        <v>0</v>
      </c>
      <c r="P833" s="55" cm="1">
        <f t="array" aca="1" ref="P833" ca="1">IF((L833-$C$16)&gt;0, IF($P$1+$C$16&gt;=L833,INDIRECT("M"&amp;(L833-$C$16)+5),0),0)</f>
        <v>0</v>
      </c>
      <c r="Q833" s="56" cm="1">
        <f t="array" aca="1" ref="Q833" ca="1">IF(L833&lt;=$C$16,0,IF($W$2&gt;=L833,IF(L833&lt;=($P$1+$C$16),INDIRECT("N"&amp;(L833-$C$16)+5),FV(SRate,L833-$P$1-$C$16,0,-$W$1,1)),0))</f>
        <v>0</v>
      </c>
      <c r="R833" s="56">
        <f t="shared" ca="1" si="90"/>
        <v>0</v>
      </c>
      <c r="S833" s="19">
        <f t="shared" si="92"/>
        <v>0</v>
      </c>
      <c r="T833" s="36" t="str" cm="1">
        <f t="array" aca="1" ref="T833" ca="1">IF(L833&lt;=$P$1,K833,IF(L833&lt;=($P$1+1),INDIRECT("K"&amp;5+$W$2),""))</f>
        <v/>
      </c>
      <c r="U833" s="38">
        <f t="shared" si="93"/>
        <v>69</v>
      </c>
    </row>
    <row r="834" spans="11:21" hidden="1" x14ac:dyDescent="0.25">
      <c r="K834" s="36">
        <f t="shared" ca="1" si="95"/>
        <v>71446</v>
      </c>
      <c r="L834" s="19">
        <v>829</v>
      </c>
      <c r="M834" s="19">
        <f t="shared" si="94"/>
        <v>0</v>
      </c>
      <c r="N834" s="37">
        <f t="shared" si="91"/>
        <v>0</v>
      </c>
      <c r="O834" s="37">
        <f t="shared" si="96"/>
        <v>0</v>
      </c>
      <c r="P834" s="55" cm="1">
        <f t="array" aca="1" ref="P834" ca="1">IF((L834-$C$16)&gt;0, IF($P$1+$C$16&gt;=L834,INDIRECT("M"&amp;(L834-$C$16)+5),0),0)</f>
        <v>0</v>
      </c>
      <c r="Q834" s="56" cm="1">
        <f t="array" aca="1" ref="Q834" ca="1">IF(L834&lt;=$C$16,0,IF($W$2&gt;=L834,IF(L834&lt;=($P$1+$C$16),INDIRECT("N"&amp;(L834-$C$16)+5),FV(SRate,L834-$P$1-$C$16,0,-$W$1,1)),0))</f>
        <v>0</v>
      </c>
      <c r="R834" s="56">
        <f t="shared" ca="1" si="90"/>
        <v>0</v>
      </c>
      <c r="S834" s="19">
        <f t="shared" si="92"/>
        <v>0</v>
      </c>
      <c r="T834" s="36" t="str" cm="1">
        <f t="array" aca="1" ref="T834" ca="1">IF(L834&lt;=$P$1,K834,IF(L834&lt;=($P$1+1),INDIRECT("K"&amp;5+$W$2),""))</f>
        <v/>
      </c>
      <c r="U834" s="38">
        <f t="shared" si="93"/>
        <v>70</v>
      </c>
    </row>
    <row r="835" spans="11:21" hidden="1" x14ac:dyDescent="0.25">
      <c r="K835" s="36">
        <f t="shared" ca="1" si="95"/>
        <v>71477</v>
      </c>
      <c r="L835" s="19">
        <v>830</v>
      </c>
      <c r="M835" s="19">
        <f t="shared" si="94"/>
        <v>0</v>
      </c>
      <c r="N835" s="37">
        <f t="shared" si="91"/>
        <v>0</v>
      </c>
      <c r="O835" s="37">
        <f t="shared" si="96"/>
        <v>0</v>
      </c>
      <c r="P835" s="55" cm="1">
        <f t="array" aca="1" ref="P835" ca="1">IF((L835-$C$16)&gt;0, IF($P$1+$C$16&gt;=L835,INDIRECT("M"&amp;(L835-$C$16)+5),0),0)</f>
        <v>0</v>
      </c>
      <c r="Q835" s="56" cm="1">
        <f t="array" aca="1" ref="Q835" ca="1">IF(L835&lt;=$C$16,0,IF($W$2&gt;=L835,IF(L835&lt;=($P$1+$C$16),INDIRECT("N"&amp;(L835-$C$16)+5),FV(SRate,L835-$P$1-$C$16,0,-$W$1,1)),0))</f>
        <v>0</v>
      </c>
      <c r="R835" s="56">
        <f t="shared" ca="1" si="90"/>
        <v>0</v>
      </c>
      <c r="S835" s="19">
        <f t="shared" si="92"/>
        <v>0</v>
      </c>
      <c r="T835" s="36" t="str" cm="1">
        <f t="array" aca="1" ref="T835" ca="1">IF(L835&lt;=$P$1,K835,IF(L835&lt;=($P$1+1),INDIRECT("K"&amp;5+$W$2),""))</f>
        <v/>
      </c>
      <c r="U835" s="38">
        <f t="shared" si="93"/>
        <v>70</v>
      </c>
    </row>
    <row r="836" spans="11:21" hidden="1" x14ac:dyDescent="0.25">
      <c r="K836" s="36">
        <f t="shared" ca="1" si="95"/>
        <v>71507</v>
      </c>
      <c r="L836" s="19">
        <v>831</v>
      </c>
      <c r="M836" s="19">
        <f t="shared" si="94"/>
        <v>0</v>
      </c>
      <c r="N836" s="37">
        <f t="shared" si="91"/>
        <v>0</v>
      </c>
      <c r="O836" s="37">
        <f t="shared" si="96"/>
        <v>0</v>
      </c>
      <c r="P836" s="55" cm="1">
        <f t="array" aca="1" ref="P836" ca="1">IF((L836-$C$16)&gt;0, IF($P$1+$C$16&gt;=L836,INDIRECT("M"&amp;(L836-$C$16)+5),0),0)</f>
        <v>0</v>
      </c>
      <c r="Q836" s="56" cm="1">
        <f t="array" aca="1" ref="Q836" ca="1">IF(L836&lt;=$C$16,0,IF($W$2&gt;=L836,IF(L836&lt;=($P$1+$C$16),INDIRECT("N"&amp;(L836-$C$16)+5),FV(SRate,L836-$P$1-$C$16,0,-$W$1,1)),0))</f>
        <v>0</v>
      </c>
      <c r="R836" s="56">
        <f t="shared" ca="1" si="90"/>
        <v>0</v>
      </c>
      <c r="S836" s="19">
        <f t="shared" si="92"/>
        <v>0</v>
      </c>
      <c r="T836" s="36" t="str" cm="1">
        <f t="array" aca="1" ref="T836" ca="1">IF(L836&lt;=$P$1,K836,IF(L836&lt;=($P$1+1),INDIRECT("K"&amp;5+$W$2),""))</f>
        <v/>
      </c>
      <c r="U836" s="38">
        <f t="shared" si="93"/>
        <v>70</v>
      </c>
    </row>
    <row r="837" spans="11:21" hidden="1" x14ac:dyDescent="0.25">
      <c r="K837" s="36">
        <f t="shared" ca="1" si="95"/>
        <v>71538</v>
      </c>
      <c r="L837" s="19">
        <v>832</v>
      </c>
      <c r="M837" s="19">
        <f t="shared" si="94"/>
        <v>0</v>
      </c>
      <c r="N837" s="37">
        <f t="shared" si="91"/>
        <v>0</v>
      </c>
      <c r="O837" s="37">
        <f t="shared" si="96"/>
        <v>0</v>
      </c>
      <c r="P837" s="55" cm="1">
        <f t="array" aca="1" ref="P837" ca="1">IF((L837-$C$16)&gt;0, IF($P$1+$C$16&gt;=L837,INDIRECT("M"&amp;(L837-$C$16)+5),0),0)</f>
        <v>0</v>
      </c>
      <c r="Q837" s="56" cm="1">
        <f t="array" aca="1" ref="Q837" ca="1">IF(L837&lt;=$C$16,0,IF($W$2&gt;=L837,IF(L837&lt;=($P$1+$C$16),INDIRECT("N"&amp;(L837-$C$16)+5),FV(SRate,L837-$P$1-$C$16,0,-$W$1,1)),0))</f>
        <v>0</v>
      </c>
      <c r="R837" s="56">
        <f t="shared" ca="1" si="90"/>
        <v>0</v>
      </c>
      <c r="S837" s="19">
        <f t="shared" si="92"/>
        <v>0</v>
      </c>
      <c r="T837" s="36" t="str" cm="1">
        <f t="array" aca="1" ref="T837" ca="1">IF(L837&lt;=$P$1,K837,IF(L837&lt;=($P$1+1),INDIRECT("K"&amp;5+$W$2),""))</f>
        <v/>
      </c>
      <c r="U837" s="38">
        <f t="shared" si="93"/>
        <v>70</v>
      </c>
    </row>
    <row r="838" spans="11:21" hidden="1" x14ac:dyDescent="0.25">
      <c r="K838" s="36">
        <f t="shared" ca="1" si="95"/>
        <v>71568</v>
      </c>
      <c r="L838" s="19">
        <v>833</v>
      </c>
      <c r="M838" s="19">
        <f t="shared" si="94"/>
        <v>0</v>
      </c>
      <c r="N838" s="37">
        <f t="shared" si="91"/>
        <v>0</v>
      </c>
      <c r="O838" s="37">
        <f t="shared" si="96"/>
        <v>0</v>
      </c>
      <c r="P838" s="55" cm="1">
        <f t="array" aca="1" ref="P838" ca="1">IF((L838-$C$16)&gt;0, IF($P$1+$C$16&gt;=L838,INDIRECT("M"&amp;(L838-$C$16)+5),0),0)</f>
        <v>0</v>
      </c>
      <c r="Q838" s="56" cm="1">
        <f t="array" aca="1" ref="Q838" ca="1">IF(L838&lt;=$C$16,0,IF($W$2&gt;=L838,IF(L838&lt;=($P$1+$C$16),INDIRECT("N"&amp;(L838-$C$16)+5),FV(SRate,L838-$P$1-$C$16,0,-$W$1,1)),0))</f>
        <v>0</v>
      </c>
      <c r="R838" s="56">
        <f t="shared" ref="R838:R901" ca="1" si="97">Q838/((1+SIPInflationRate)^((L838-$C$16)/12))</f>
        <v>0</v>
      </c>
      <c r="S838" s="19">
        <f t="shared" si="92"/>
        <v>0</v>
      </c>
      <c r="T838" s="36" t="str" cm="1">
        <f t="array" aca="1" ref="T838" ca="1">IF(L838&lt;=$P$1,K838,IF(L838&lt;=($P$1+1),INDIRECT("K"&amp;5+$W$2),""))</f>
        <v/>
      </c>
      <c r="U838" s="38">
        <f t="shared" si="93"/>
        <v>70</v>
      </c>
    </row>
    <row r="839" spans="11:21" hidden="1" x14ac:dyDescent="0.25">
      <c r="K839" s="36">
        <f t="shared" ca="1" si="95"/>
        <v>71599</v>
      </c>
      <c r="L839" s="19">
        <v>834</v>
      </c>
      <c r="M839" s="19">
        <f t="shared" si="94"/>
        <v>0</v>
      </c>
      <c r="N839" s="37">
        <f t="shared" ref="N839:N902" si="98">IF($W$2&gt;=L839,IF(L839&lt;=$P$1,(M839-M838+N838)*(1+SRate),FV(SRate,L839-$P$1,0,-$W$1,1)),0)</f>
        <v>0</v>
      </c>
      <c r="O839" s="37">
        <f t="shared" si="96"/>
        <v>0</v>
      </c>
      <c r="P839" s="55" cm="1">
        <f t="array" aca="1" ref="P839" ca="1">IF((L839-$C$16)&gt;0, IF($P$1+$C$16&gt;=L839,INDIRECT("M"&amp;(L839-$C$16)+5),0),0)</f>
        <v>0</v>
      </c>
      <c r="Q839" s="56" cm="1">
        <f t="array" aca="1" ref="Q839" ca="1">IF(L839&lt;=$C$16,0,IF($W$2&gt;=L839,IF(L839&lt;=($P$1+$C$16),INDIRECT("N"&amp;(L839-$C$16)+5),FV(SRate,L839-$P$1-$C$16,0,-$W$1,1)),0))</f>
        <v>0</v>
      </c>
      <c r="R839" s="56">
        <f t="shared" ca="1" si="97"/>
        <v>0</v>
      </c>
      <c r="S839" s="19">
        <f t="shared" ref="S839:S902" si="99">IF(L839&lt;=$P$1,-(_xlfn.XLOOKUP(U839,$Z$3:$Z$72,$AB$3:$AB$72,0)),IF(L839&lt;=($P$1+1),$W$4,0))</f>
        <v>0</v>
      </c>
      <c r="T839" s="36" t="str" cm="1">
        <f t="array" aca="1" ref="T839" ca="1">IF(L839&lt;=$P$1,K839,IF(L839&lt;=($P$1+1),INDIRECT("K"&amp;5+$W$2),""))</f>
        <v/>
      </c>
      <c r="U839" s="38">
        <f t="shared" ref="U839:U902" si="100">QUOTIENT(L839,12)+IF(MOD(L839,12)=0,-1,0)+1</f>
        <v>70</v>
      </c>
    </row>
    <row r="840" spans="11:21" hidden="1" x14ac:dyDescent="0.25">
      <c r="K840" s="36">
        <f t="shared" ca="1" si="95"/>
        <v>71630</v>
      </c>
      <c r="L840" s="19">
        <v>835</v>
      </c>
      <c r="M840" s="19">
        <f t="shared" ref="M840:M903" si="101">IF($P$1&gt;=L840,_xlfn.XLOOKUP(U840,$Z$3:$Z$72,$AB$3:$AB$72,0)+M839,0)</f>
        <v>0</v>
      </c>
      <c r="N840" s="37">
        <f t="shared" si="98"/>
        <v>0</v>
      </c>
      <c r="O840" s="37">
        <f t="shared" si="96"/>
        <v>0</v>
      </c>
      <c r="P840" s="55" cm="1">
        <f t="array" aca="1" ref="P840" ca="1">IF((L840-$C$16)&gt;0, IF($P$1+$C$16&gt;=L840,INDIRECT("M"&amp;(L840-$C$16)+5),0),0)</f>
        <v>0</v>
      </c>
      <c r="Q840" s="56" cm="1">
        <f t="array" aca="1" ref="Q840" ca="1">IF(L840&lt;=$C$16,0,IF($W$2&gt;=L840,IF(L840&lt;=($P$1+$C$16),INDIRECT("N"&amp;(L840-$C$16)+5),FV(SRate,L840-$P$1-$C$16,0,-$W$1,1)),0))</f>
        <v>0</v>
      </c>
      <c r="R840" s="56">
        <f t="shared" ca="1" si="97"/>
        <v>0</v>
      </c>
      <c r="S840" s="19">
        <f t="shared" si="99"/>
        <v>0</v>
      </c>
      <c r="T840" s="36" t="str" cm="1">
        <f t="array" aca="1" ref="T840" ca="1">IF(L840&lt;=$P$1,K840,IF(L840&lt;=($P$1+1),INDIRECT("K"&amp;5+$W$2),""))</f>
        <v/>
      </c>
      <c r="U840" s="38">
        <f t="shared" si="100"/>
        <v>70</v>
      </c>
    </row>
    <row r="841" spans="11:21" hidden="1" x14ac:dyDescent="0.25">
      <c r="K841" s="36">
        <f t="shared" ref="K841:K904" ca="1" si="102">EDATE(K840,1)</f>
        <v>71659</v>
      </c>
      <c r="L841" s="19">
        <v>836</v>
      </c>
      <c r="M841" s="19">
        <f t="shared" si="101"/>
        <v>0</v>
      </c>
      <c r="N841" s="37">
        <f t="shared" si="98"/>
        <v>0</v>
      </c>
      <c r="O841" s="37">
        <f t="shared" si="96"/>
        <v>0</v>
      </c>
      <c r="P841" s="55" cm="1">
        <f t="array" aca="1" ref="P841" ca="1">IF((L841-$C$16)&gt;0, IF($P$1+$C$16&gt;=L841,INDIRECT("M"&amp;(L841-$C$16)+5),0),0)</f>
        <v>0</v>
      </c>
      <c r="Q841" s="56" cm="1">
        <f t="array" aca="1" ref="Q841" ca="1">IF(L841&lt;=$C$16,0,IF($W$2&gt;=L841,IF(L841&lt;=($P$1+$C$16),INDIRECT("N"&amp;(L841-$C$16)+5),FV(SRate,L841-$P$1-$C$16,0,-$W$1,1)),0))</f>
        <v>0</v>
      </c>
      <c r="R841" s="56">
        <f t="shared" ca="1" si="97"/>
        <v>0</v>
      </c>
      <c r="S841" s="19">
        <f t="shared" si="99"/>
        <v>0</v>
      </c>
      <c r="T841" s="36" t="str" cm="1">
        <f t="array" aca="1" ref="T841" ca="1">IF(L841&lt;=$P$1,K841,IF(L841&lt;=($P$1+1),INDIRECT("K"&amp;5+$W$2),""))</f>
        <v/>
      </c>
      <c r="U841" s="38">
        <f t="shared" si="100"/>
        <v>70</v>
      </c>
    </row>
    <row r="842" spans="11:21" hidden="1" x14ac:dyDescent="0.25">
      <c r="K842" s="36">
        <f t="shared" ca="1" si="102"/>
        <v>71690</v>
      </c>
      <c r="L842" s="19">
        <v>837</v>
      </c>
      <c r="M842" s="19">
        <f t="shared" si="101"/>
        <v>0</v>
      </c>
      <c r="N842" s="37">
        <f t="shared" si="98"/>
        <v>0</v>
      </c>
      <c r="O842" s="37">
        <f t="shared" si="96"/>
        <v>0</v>
      </c>
      <c r="P842" s="55" cm="1">
        <f t="array" aca="1" ref="P842" ca="1">IF((L842-$C$16)&gt;0, IF($P$1+$C$16&gt;=L842,INDIRECT("M"&amp;(L842-$C$16)+5),0),0)</f>
        <v>0</v>
      </c>
      <c r="Q842" s="56" cm="1">
        <f t="array" aca="1" ref="Q842" ca="1">IF(L842&lt;=$C$16,0,IF($W$2&gt;=L842,IF(L842&lt;=($P$1+$C$16),INDIRECT("N"&amp;(L842-$C$16)+5),FV(SRate,L842-$P$1-$C$16,0,-$W$1,1)),0))</f>
        <v>0</v>
      </c>
      <c r="R842" s="56">
        <f t="shared" ca="1" si="97"/>
        <v>0</v>
      </c>
      <c r="S842" s="19">
        <f t="shared" si="99"/>
        <v>0</v>
      </c>
      <c r="T842" s="36" t="str" cm="1">
        <f t="array" aca="1" ref="T842" ca="1">IF(L842&lt;=$P$1,K842,IF(L842&lt;=($P$1+1),INDIRECT("K"&amp;5+$W$2),""))</f>
        <v/>
      </c>
      <c r="U842" s="38">
        <f t="shared" si="100"/>
        <v>70</v>
      </c>
    </row>
    <row r="843" spans="11:21" hidden="1" x14ac:dyDescent="0.25">
      <c r="K843" s="36">
        <f t="shared" ca="1" si="102"/>
        <v>71720</v>
      </c>
      <c r="L843" s="19">
        <v>838</v>
      </c>
      <c r="M843" s="19">
        <f t="shared" si="101"/>
        <v>0</v>
      </c>
      <c r="N843" s="37">
        <f t="shared" si="98"/>
        <v>0</v>
      </c>
      <c r="O843" s="37">
        <f t="shared" si="96"/>
        <v>0</v>
      </c>
      <c r="P843" s="55" cm="1">
        <f t="array" aca="1" ref="P843" ca="1">IF((L843-$C$16)&gt;0, IF($P$1+$C$16&gt;=L843,INDIRECT("M"&amp;(L843-$C$16)+5),0),0)</f>
        <v>0</v>
      </c>
      <c r="Q843" s="56" cm="1">
        <f t="array" aca="1" ref="Q843" ca="1">IF(L843&lt;=$C$16,0,IF($W$2&gt;=L843,IF(L843&lt;=($P$1+$C$16),INDIRECT("N"&amp;(L843-$C$16)+5),FV(SRate,L843-$P$1-$C$16,0,-$W$1,1)),0))</f>
        <v>0</v>
      </c>
      <c r="R843" s="56">
        <f t="shared" ca="1" si="97"/>
        <v>0</v>
      </c>
      <c r="S843" s="19">
        <f t="shared" si="99"/>
        <v>0</v>
      </c>
      <c r="T843" s="36" t="str" cm="1">
        <f t="array" aca="1" ref="T843" ca="1">IF(L843&lt;=$P$1,K843,IF(L843&lt;=($P$1+1),INDIRECT("K"&amp;5+$W$2),""))</f>
        <v/>
      </c>
      <c r="U843" s="38">
        <f t="shared" si="100"/>
        <v>70</v>
      </c>
    </row>
    <row r="844" spans="11:21" hidden="1" x14ac:dyDescent="0.25">
      <c r="K844" s="36">
        <f t="shared" ca="1" si="102"/>
        <v>71751</v>
      </c>
      <c r="L844" s="19">
        <v>839</v>
      </c>
      <c r="M844" s="19">
        <f t="shared" si="101"/>
        <v>0</v>
      </c>
      <c r="N844" s="37">
        <f t="shared" si="98"/>
        <v>0</v>
      </c>
      <c r="O844" s="37">
        <f t="shared" si="96"/>
        <v>0</v>
      </c>
      <c r="P844" s="55" cm="1">
        <f t="array" aca="1" ref="P844" ca="1">IF((L844-$C$16)&gt;0, IF($P$1+$C$16&gt;=L844,INDIRECT("M"&amp;(L844-$C$16)+5),0),0)</f>
        <v>0</v>
      </c>
      <c r="Q844" s="56" cm="1">
        <f t="array" aca="1" ref="Q844" ca="1">IF(L844&lt;=$C$16,0,IF($W$2&gt;=L844,IF(L844&lt;=($P$1+$C$16),INDIRECT("N"&amp;(L844-$C$16)+5),FV(SRate,L844-$P$1-$C$16,0,-$W$1,1)),0))</f>
        <v>0</v>
      </c>
      <c r="R844" s="56">
        <f t="shared" ca="1" si="97"/>
        <v>0</v>
      </c>
      <c r="S844" s="19">
        <f t="shared" si="99"/>
        <v>0</v>
      </c>
      <c r="T844" s="36" t="str" cm="1">
        <f t="array" aca="1" ref="T844" ca="1">IF(L844&lt;=$P$1,K844,IF(L844&lt;=($P$1+1),INDIRECT("K"&amp;5+$W$2),""))</f>
        <v/>
      </c>
      <c r="U844" s="38">
        <f t="shared" si="100"/>
        <v>70</v>
      </c>
    </row>
    <row r="845" spans="11:21" hidden="1" x14ac:dyDescent="0.25">
      <c r="K845" s="36">
        <f t="shared" ca="1" si="102"/>
        <v>71781</v>
      </c>
      <c r="L845" s="19">
        <v>840</v>
      </c>
      <c r="M845" s="19">
        <f t="shared" si="101"/>
        <v>0</v>
      </c>
      <c r="N845" s="37">
        <f t="shared" si="98"/>
        <v>0</v>
      </c>
      <c r="O845" s="37">
        <f t="shared" si="96"/>
        <v>0</v>
      </c>
      <c r="P845" s="55" cm="1">
        <f t="array" aca="1" ref="P845" ca="1">IF((L845-$C$16)&gt;0, IF($P$1+$C$16&gt;=L845,INDIRECT("M"&amp;(L845-$C$16)+5),0),0)</f>
        <v>0</v>
      </c>
      <c r="Q845" s="56" cm="1">
        <f t="array" aca="1" ref="Q845" ca="1">IF(L845&lt;=$C$16,0,IF($W$2&gt;=L845,IF(L845&lt;=($P$1+$C$16),INDIRECT("N"&amp;(L845-$C$16)+5),FV(SRate,L845-$P$1-$C$16,0,-$W$1,1)),0))</f>
        <v>0</v>
      </c>
      <c r="R845" s="56">
        <f t="shared" ca="1" si="97"/>
        <v>0</v>
      </c>
      <c r="S845" s="19">
        <f t="shared" si="99"/>
        <v>0</v>
      </c>
      <c r="T845" s="36" t="str" cm="1">
        <f t="array" aca="1" ref="T845" ca="1">IF(L845&lt;=$P$1,K845,IF(L845&lt;=($P$1+1),INDIRECT("K"&amp;5+$W$2),""))</f>
        <v/>
      </c>
      <c r="U845" s="38">
        <f t="shared" si="100"/>
        <v>70</v>
      </c>
    </row>
    <row r="846" spans="11:21" hidden="1" x14ac:dyDescent="0.25">
      <c r="K846" s="36">
        <f t="shared" ca="1" si="102"/>
        <v>71812</v>
      </c>
      <c r="L846" s="19">
        <v>841</v>
      </c>
      <c r="M846" s="19">
        <f t="shared" si="101"/>
        <v>0</v>
      </c>
      <c r="N846" s="37">
        <f t="shared" si="98"/>
        <v>0</v>
      </c>
      <c r="O846" s="37">
        <f t="shared" si="96"/>
        <v>0</v>
      </c>
      <c r="P846" s="55" cm="1">
        <f t="array" aca="1" ref="P846" ca="1">IF((L846-$C$16)&gt;0, IF($P$1+$C$16&gt;=L846,INDIRECT("M"&amp;(L846-$C$16)+5),0),0)</f>
        <v>0</v>
      </c>
      <c r="Q846" s="56" cm="1">
        <f t="array" aca="1" ref="Q846" ca="1">IF(L846&lt;=$C$16,0,IF($W$2&gt;=L846,IF(L846&lt;=($P$1+$C$16),INDIRECT("N"&amp;(L846-$C$16)+5),FV(SRate,L846-$P$1-$C$16,0,-$W$1,1)),0))</f>
        <v>0</v>
      </c>
      <c r="R846" s="56">
        <f t="shared" ca="1" si="97"/>
        <v>0</v>
      </c>
      <c r="S846" s="19">
        <f t="shared" si="99"/>
        <v>0</v>
      </c>
      <c r="T846" s="36" t="str" cm="1">
        <f t="array" aca="1" ref="T846" ca="1">IF(L846&lt;=$P$1,K846,IF(L846&lt;=($P$1+1),INDIRECT("K"&amp;5+$W$2),""))</f>
        <v/>
      </c>
      <c r="U846" s="38">
        <f t="shared" si="100"/>
        <v>71</v>
      </c>
    </row>
    <row r="847" spans="11:21" hidden="1" x14ac:dyDescent="0.25">
      <c r="K847" s="36">
        <f t="shared" ca="1" si="102"/>
        <v>71843</v>
      </c>
      <c r="L847" s="19">
        <v>842</v>
      </c>
      <c r="M847" s="19">
        <f t="shared" si="101"/>
        <v>0</v>
      </c>
      <c r="N847" s="37">
        <f t="shared" si="98"/>
        <v>0</v>
      </c>
      <c r="O847" s="37">
        <f t="shared" si="96"/>
        <v>0</v>
      </c>
      <c r="P847" s="55" cm="1">
        <f t="array" aca="1" ref="P847" ca="1">IF((L847-$C$16)&gt;0, IF($P$1+$C$16&gt;=L847,INDIRECT("M"&amp;(L847-$C$16)+5),0),0)</f>
        <v>0</v>
      </c>
      <c r="Q847" s="56" cm="1">
        <f t="array" aca="1" ref="Q847" ca="1">IF(L847&lt;=$C$16,0,IF($W$2&gt;=L847,IF(L847&lt;=($P$1+$C$16),INDIRECT("N"&amp;(L847-$C$16)+5),FV(SRate,L847-$P$1-$C$16,0,-$W$1,1)),0))</f>
        <v>0</v>
      </c>
      <c r="R847" s="56">
        <f t="shared" ca="1" si="97"/>
        <v>0</v>
      </c>
      <c r="S847" s="19">
        <f t="shared" si="99"/>
        <v>0</v>
      </c>
      <c r="T847" s="36" t="str" cm="1">
        <f t="array" aca="1" ref="T847" ca="1">IF(L847&lt;=$P$1,K847,IF(L847&lt;=($P$1+1),INDIRECT("K"&amp;5+$W$2),""))</f>
        <v/>
      </c>
      <c r="U847" s="38">
        <f t="shared" si="100"/>
        <v>71</v>
      </c>
    </row>
    <row r="848" spans="11:21" hidden="1" x14ac:dyDescent="0.25">
      <c r="K848" s="36">
        <f t="shared" ca="1" si="102"/>
        <v>71873</v>
      </c>
      <c r="L848" s="19">
        <v>843</v>
      </c>
      <c r="M848" s="19">
        <f t="shared" si="101"/>
        <v>0</v>
      </c>
      <c r="N848" s="37">
        <f t="shared" si="98"/>
        <v>0</v>
      </c>
      <c r="O848" s="37">
        <f t="shared" si="96"/>
        <v>0</v>
      </c>
      <c r="P848" s="55" cm="1">
        <f t="array" aca="1" ref="P848" ca="1">IF((L848-$C$16)&gt;0, IF($P$1+$C$16&gt;=L848,INDIRECT("M"&amp;(L848-$C$16)+5),0),0)</f>
        <v>0</v>
      </c>
      <c r="Q848" s="56" cm="1">
        <f t="array" aca="1" ref="Q848" ca="1">IF(L848&lt;=$C$16,0,IF($W$2&gt;=L848,IF(L848&lt;=($P$1+$C$16),INDIRECT("N"&amp;(L848-$C$16)+5),FV(SRate,L848-$P$1-$C$16,0,-$W$1,1)),0))</f>
        <v>0</v>
      </c>
      <c r="R848" s="56">
        <f t="shared" ca="1" si="97"/>
        <v>0</v>
      </c>
      <c r="S848" s="19">
        <f t="shared" si="99"/>
        <v>0</v>
      </c>
      <c r="T848" s="36" t="str" cm="1">
        <f t="array" aca="1" ref="T848" ca="1">IF(L848&lt;=$P$1,K848,IF(L848&lt;=($P$1+1),INDIRECT("K"&amp;5+$W$2),""))</f>
        <v/>
      </c>
      <c r="U848" s="38">
        <f t="shared" si="100"/>
        <v>71</v>
      </c>
    </row>
    <row r="849" spans="11:21" hidden="1" x14ac:dyDescent="0.25">
      <c r="K849" s="36">
        <f t="shared" ca="1" si="102"/>
        <v>71904</v>
      </c>
      <c r="L849" s="19">
        <v>844</v>
      </c>
      <c r="M849" s="19">
        <f t="shared" si="101"/>
        <v>0</v>
      </c>
      <c r="N849" s="37">
        <f t="shared" si="98"/>
        <v>0</v>
      </c>
      <c r="O849" s="37">
        <f t="shared" si="96"/>
        <v>0</v>
      </c>
      <c r="P849" s="55" cm="1">
        <f t="array" aca="1" ref="P849" ca="1">IF((L849-$C$16)&gt;0, IF($P$1+$C$16&gt;=L849,INDIRECT("M"&amp;(L849-$C$16)+5),0),0)</f>
        <v>0</v>
      </c>
      <c r="Q849" s="56" cm="1">
        <f t="array" aca="1" ref="Q849" ca="1">IF(L849&lt;=$C$16,0,IF($W$2&gt;=L849,IF(L849&lt;=($P$1+$C$16),INDIRECT("N"&amp;(L849-$C$16)+5),FV(SRate,L849-$P$1-$C$16,0,-$W$1,1)),0))</f>
        <v>0</v>
      </c>
      <c r="R849" s="56">
        <f t="shared" ca="1" si="97"/>
        <v>0</v>
      </c>
      <c r="S849" s="19">
        <f t="shared" si="99"/>
        <v>0</v>
      </c>
      <c r="T849" s="36" t="str" cm="1">
        <f t="array" aca="1" ref="T849" ca="1">IF(L849&lt;=$P$1,K849,IF(L849&lt;=($P$1+1),INDIRECT("K"&amp;5+$W$2),""))</f>
        <v/>
      </c>
      <c r="U849" s="38">
        <f t="shared" si="100"/>
        <v>71</v>
      </c>
    </row>
    <row r="850" spans="11:21" hidden="1" x14ac:dyDescent="0.25">
      <c r="K850" s="36">
        <f t="shared" ca="1" si="102"/>
        <v>71934</v>
      </c>
      <c r="L850" s="19">
        <v>845</v>
      </c>
      <c r="M850" s="19">
        <f t="shared" si="101"/>
        <v>0</v>
      </c>
      <c r="N850" s="37">
        <f t="shared" si="98"/>
        <v>0</v>
      </c>
      <c r="O850" s="37">
        <f t="shared" si="96"/>
        <v>0</v>
      </c>
      <c r="P850" s="55" cm="1">
        <f t="array" aca="1" ref="P850" ca="1">IF((L850-$C$16)&gt;0, IF($P$1+$C$16&gt;=L850,INDIRECT("M"&amp;(L850-$C$16)+5),0),0)</f>
        <v>0</v>
      </c>
      <c r="Q850" s="56" cm="1">
        <f t="array" aca="1" ref="Q850" ca="1">IF(L850&lt;=$C$16,0,IF($W$2&gt;=L850,IF(L850&lt;=($P$1+$C$16),INDIRECT("N"&amp;(L850-$C$16)+5),FV(SRate,L850-$P$1-$C$16,0,-$W$1,1)),0))</f>
        <v>0</v>
      </c>
      <c r="R850" s="56">
        <f t="shared" ca="1" si="97"/>
        <v>0</v>
      </c>
      <c r="S850" s="19">
        <f t="shared" si="99"/>
        <v>0</v>
      </c>
      <c r="T850" s="36" t="str" cm="1">
        <f t="array" aca="1" ref="T850" ca="1">IF(L850&lt;=$P$1,K850,IF(L850&lt;=($P$1+1),INDIRECT("K"&amp;5+$W$2),""))</f>
        <v/>
      </c>
      <c r="U850" s="38">
        <f t="shared" si="100"/>
        <v>71</v>
      </c>
    </row>
    <row r="851" spans="11:21" hidden="1" x14ac:dyDescent="0.25">
      <c r="K851" s="36">
        <f t="shared" ca="1" si="102"/>
        <v>71965</v>
      </c>
      <c r="L851" s="19">
        <v>846</v>
      </c>
      <c r="M851" s="19">
        <f t="shared" si="101"/>
        <v>0</v>
      </c>
      <c r="N851" s="37">
        <f t="shared" si="98"/>
        <v>0</v>
      </c>
      <c r="O851" s="37">
        <f t="shared" si="96"/>
        <v>0</v>
      </c>
      <c r="P851" s="55" cm="1">
        <f t="array" aca="1" ref="P851" ca="1">IF((L851-$C$16)&gt;0, IF($P$1+$C$16&gt;=L851,INDIRECT("M"&amp;(L851-$C$16)+5),0),0)</f>
        <v>0</v>
      </c>
      <c r="Q851" s="56" cm="1">
        <f t="array" aca="1" ref="Q851" ca="1">IF(L851&lt;=$C$16,0,IF($W$2&gt;=L851,IF(L851&lt;=($P$1+$C$16),INDIRECT("N"&amp;(L851-$C$16)+5),FV(SRate,L851-$P$1-$C$16,0,-$W$1,1)),0))</f>
        <v>0</v>
      </c>
      <c r="R851" s="56">
        <f t="shared" ca="1" si="97"/>
        <v>0</v>
      </c>
      <c r="S851" s="19">
        <f t="shared" si="99"/>
        <v>0</v>
      </c>
      <c r="T851" s="36" t="str" cm="1">
        <f t="array" aca="1" ref="T851" ca="1">IF(L851&lt;=$P$1,K851,IF(L851&lt;=($P$1+1),INDIRECT("K"&amp;5+$W$2),""))</f>
        <v/>
      </c>
      <c r="U851" s="38">
        <f t="shared" si="100"/>
        <v>71</v>
      </c>
    </row>
    <row r="852" spans="11:21" hidden="1" x14ac:dyDescent="0.25">
      <c r="K852" s="36">
        <f t="shared" ca="1" si="102"/>
        <v>71996</v>
      </c>
      <c r="L852" s="19">
        <v>847</v>
      </c>
      <c r="M852" s="19">
        <f t="shared" si="101"/>
        <v>0</v>
      </c>
      <c r="N852" s="37">
        <f t="shared" si="98"/>
        <v>0</v>
      </c>
      <c r="O852" s="37">
        <f t="shared" si="96"/>
        <v>0</v>
      </c>
      <c r="P852" s="55" cm="1">
        <f t="array" aca="1" ref="P852" ca="1">IF((L852-$C$16)&gt;0, IF($P$1+$C$16&gt;=L852,INDIRECT("M"&amp;(L852-$C$16)+5),0),0)</f>
        <v>0</v>
      </c>
      <c r="Q852" s="56" cm="1">
        <f t="array" aca="1" ref="Q852" ca="1">IF(L852&lt;=$C$16,0,IF($W$2&gt;=L852,IF(L852&lt;=($P$1+$C$16),INDIRECT("N"&amp;(L852-$C$16)+5),FV(SRate,L852-$P$1-$C$16,0,-$W$1,1)),0))</f>
        <v>0</v>
      </c>
      <c r="R852" s="56">
        <f t="shared" ca="1" si="97"/>
        <v>0</v>
      </c>
      <c r="S852" s="19">
        <f t="shared" si="99"/>
        <v>0</v>
      </c>
      <c r="T852" s="36" t="str" cm="1">
        <f t="array" aca="1" ref="T852" ca="1">IF(L852&lt;=$P$1,K852,IF(L852&lt;=($P$1+1),INDIRECT("K"&amp;5+$W$2),""))</f>
        <v/>
      </c>
      <c r="U852" s="38">
        <f t="shared" si="100"/>
        <v>71</v>
      </c>
    </row>
    <row r="853" spans="11:21" hidden="1" x14ac:dyDescent="0.25">
      <c r="K853" s="36">
        <f t="shared" ca="1" si="102"/>
        <v>72024</v>
      </c>
      <c r="L853" s="19">
        <v>848</v>
      </c>
      <c r="M853" s="19">
        <f t="shared" si="101"/>
        <v>0</v>
      </c>
      <c r="N853" s="37">
        <f t="shared" si="98"/>
        <v>0</v>
      </c>
      <c r="O853" s="37">
        <f t="shared" si="96"/>
        <v>0</v>
      </c>
      <c r="P853" s="55" cm="1">
        <f t="array" aca="1" ref="P853" ca="1">IF((L853-$C$16)&gt;0, IF($P$1+$C$16&gt;=L853,INDIRECT("M"&amp;(L853-$C$16)+5),0),0)</f>
        <v>0</v>
      </c>
      <c r="Q853" s="56" cm="1">
        <f t="array" aca="1" ref="Q853" ca="1">IF(L853&lt;=$C$16,0,IF($W$2&gt;=L853,IF(L853&lt;=($P$1+$C$16),INDIRECT("N"&amp;(L853-$C$16)+5),FV(SRate,L853-$P$1-$C$16,0,-$W$1,1)),0))</f>
        <v>0</v>
      </c>
      <c r="R853" s="56">
        <f t="shared" ca="1" si="97"/>
        <v>0</v>
      </c>
      <c r="S853" s="19">
        <f t="shared" si="99"/>
        <v>0</v>
      </c>
      <c r="T853" s="36" t="str" cm="1">
        <f t="array" aca="1" ref="T853" ca="1">IF(L853&lt;=$P$1,K853,IF(L853&lt;=($P$1+1),INDIRECT("K"&amp;5+$W$2),""))</f>
        <v/>
      </c>
      <c r="U853" s="38">
        <f t="shared" si="100"/>
        <v>71</v>
      </c>
    </row>
    <row r="854" spans="11:21" hidden="1" x14ac:dyDescent="0.25">
      <c r="K854" s="36">
        <f t="shared" ca="1" si="102"/>
        <v>72055</v>
      </c>
      <c r="L854" s="19">
        <v>849</v>
      </c>
      <c r="M854" s="19">
        <f t="shared" si="101"/>
        <v>0</v>
      </c>
      <c r="N854" s="37">
        <f t="shared" si="98"/>
        <v>0</v>
      </c>
      <c r="O854" s="37">
        <f t="shared" si="96"/>
        <v>0</v>
      </c>
      <c r="P854" s="55" cm="1">
        <f t="array" aca="1" ref="P854" ca="1">IF((L854-$C$16)&gt;0, IF($P$1+$C$16&gt;=L854,INDIRECT("M"&amp;(L854-$C$16)+5),0),0)</f>
        <v>0</v>
      </c>
      <c r="Q854" s="56" cm="1">
        <f t="array" aca="1" ref="Q854" ca="1">IF(L854&lt;=$C$16,0,IF($W$2&gt;=L854,IF(L854&lt;=($P$1+$C$16),INDIRECT("N"&amp;(L854-$C$16)+5),FV(SRate,L854-$P$1-$C$16,0,-$W$1,1)),0))</f>
        <v>0</v>
      </c>
      <c r="R854" s="56">
        <f t="shared" ca="1" si="97"/>
        <v>0</v>
      </c>
      <c r="S854" s="19">
        <f t="shared" si="99"/>
        <v>0</v>
      </c>
      <c r="T854" s="36" t="str" cm="1">
        <f t="array" aca="1" ref="T854" ca="1">IF(L854&lt;=$P$1,K854,IF(L854&lt;=($P$1+1),INDIRECT("K"&amp;5+$W$2),""))</f>
        <v/>
      </c>
      <c r="U854" s="38">
        <f t="shared" si="100"/>
        <v>71</v>
      </c>
    </row>
    <row r="855" spans="11:21" hidden="1" x14ac:dyDescent="0.25">
      <c r="K855" s="36">
        <f t="shared" ca="1" si="102"/>
        <v>72085</v>
      </c>
      <c r="L855" s="19">
        <v>850</v>
      </c>
      <c r="M855" s="19">
        <f t="shared" si="101"/>
        <v>0</v>
      </c>
      <c r="N855" s="37">
        <f t="shared" si="98"/>
        <v>0</v>
      </c>
      <c r="O855" s="37">
        <f t="shared" si="96"/>
        <v>0</v>
      </c>
      <c r="P855" s="55" cm="1">
        <f t="array" aca="1" ref="P855" ca="1">IF((L855-$C$16)&gt;0, IF($P$1+$C$16&gt;=L855,INDIRECT("M"&amp;(L855-$C$16)+5),0),0)</f>
        <v>0</v>
      </c>
      <c r="Q855" s="56" cm="1">
        <f t="array" aca="1" ref="Q855" ca="1">IF(L855&lt;=$C$16,0,IF($W$2&gt;=L855,IF(L855&lt;=($P$1+$C$16),INDIRECT("N"&amp;(L855-$C$16)+5),FV(SRate,L855-$P$1-$C$16,0,-$W$1,1)),0))</f>
        <v>0</v>
      </c>
      <c r="R855" s="56">
        <f t="shared" ca="1" si="97"/>
        <v>0</v>
      </c>
      <c r="S855" s="19">
        <f t="shared" si="99"/>
        <v>0</v>
      </c>
      <c r="T855" s="36" t="str" cm="1">
        <f t="array" aca="1" ref="T855" ca="1">IF(L855&lt;=$P$1,K855,IF(L855&lt;=($P$1+1),INDIRECT("K"&amp;5+$W$2),""))</f>
        <v/>
      </c>
      <c r="U855" s="38">
        <f t="shared" si="100"/>
        <v>71</v>
      </c>
    </row>
    <row r="856" spans="11:21" hidden="1" x14ac:dyDescent="0.25">
      <c r="K856" s="36">
        <f t="shared" ca="1" si="102"/>
        <v>72116</v>
      </c>
      <c r="L856" s="19">
        <v>851</v>
      </c>
      <c r="M856" s="19">
        <f t="shared" si="101"/>
        <v>0</v>
      </c>
      <c r="N856" s="37">
        <f t="shared" si="98"/>
        <v>0</v>
      </c>
      <c r="O856" s="37">
        <f t="shared" si="96"/>
        <v>0</v>
      </c>
      <c r="P856" s="55" cm="1">
        <f t="array" aca="1" ref="P856" ca="1">IF((L856-$C$16)&gt;0, IF($P$1+$C$16&gt;=L856,INDIRECT("M"&amp;(L856-$C$16)+5),0),0)</f>
        <v>0</v>
      </c>
      <c r="Q856" s="56" cm="1">
        <f t="array" aca="1" ref="Q856" ca="1">IF(L856&lt;=$C$16,0,IF($W$2&gt;=L856,IF(L856&lt;=($P$1+$C$16),INDIRECT("N"&amp;(L856-$C$16)+5),FV(SRate,L856-$P$1-$C$16,0,-$W$1,1)),0))</f>
        <v>0</v>
      </c>
      <c r="R856" s="56">
        <f t="shared" ca="1" si="97"/>
        <v>0</v>
      </c>
      <c r="S856" s="19">
        <f t="shared" si="99"/>
        <v>0</v>
      </c>
      <c r="T856" s="36" t="str" cm="1">
        <f t="array" aca="1" ref="T856" ca="1">IF(L856&lt;=$P$1,K856,IF(L856&lt;=($P$1+1),INDIRECT("K"&amp;5+$W$2),""))</f>
        <v/>
      </c>
      <c r="U856" s="38">
        <f t="shared" si="100"/>
        <v>71</v>
      </c>
    </row>
    <row r="857" spans="11:21" hidden="1" x14ac:dyDescent="0.25">
      <c r="K857" s="36">
        <f t="shared" ca="1" si="102"/>
        <v>72146</v>
      </c>
      <c r="L857" s="19">
        <v>852</v>
      </c>
      <c r="M857" s="19">
        <f t="shared" si="101"/>
        <v>0</v>
      </c>
      <c r="N857" s="37">
        <f t="shared" si="98"/>
        <v>0</v>
      </c>
      <c r="O857" s="37">
        <f t="shared" si="96"/>
        <v>0</v>
      </c>
      <c r="P857" s="55" cm="1">
        <f t="array" aca="1" ref="P857" ca="1">IF((L857-$C$16)&gt;0, IF($P$1+$C$16&gt;=L857,INDIRECT("M"&amp;(L857-$C$16)+5),0),0)</f>
        <v>0</v>
      </c>
      <c r="Q857" s="56" cm="1">
        <f t="array" aca="1" ref="Q857" ca="1">IF(L857&lt;=$C$16,0,IF($W$2&gt;=L857,IF(L857&lt;=($P$1+$C$16),INDIRECT("N"&amp;(L857-$C$16)+5),FV(SRate,L857-$P$1-$C$16,0,-$W$1,1)),0))</f>
        <v>0</v>
      </c>
      <c r="R857" s="56">
        <f t="shared" ca="1" si="97"/>
        <v>0</v>
      </c>
      <c r="S857" s="19">
        <f t="shared" si="99"/>
        <v>0</v>
      </c>
      <c r="T857" s="36" t="str" cm="1">
        <f t="array" aca="1" ref="T857" ca="1">IF(L857&lt;=$P$1,K857,IF(L857&lt;=($P$1+1),INDIRECT("K"&amp;5+$W$2),""))</f>
        <v/>
      </c>
      <c r="U857" s="38">
        <f t="shared" si="100"/>
        <v>71</v>
      </c>
    </row>
    <row r="858" spans="11:21" hidden="1" x14ac:dyDescent="0.25">
      <c r="K858" s="36">
        <f t="shared" ca="1" si="102"/>
        <v>72177</v>
      </c>
      <c r="L858" s="19">
        <v>853</v>
      </c>
      <c r="M858" s="19">
        <f t="shared" si="101"/>
        <v>0</v>
      </c>
      <c r="N858" s="37">
        <f t="shared" si="98"/>
        <v>0</v>
      </c>
      <c r="O858" s="37">
        <f t="shared" si="96"/>
        <v>0</v>
      </c>
      <c r="P858" s="55" cm="1">
        <f t="array" aca="1" ref="P858" ca="1">IF((L858-$C$16)&gt;0, IF($P$1+$C$16&gt;=L858,INDIRECT("M"&amp;(L858-$C$16)+5),0),0)</f>
        <v>0</v>
      </c>
      <c r="Q858" s="56" cm="1">
        <f t="array" aca="1" ref="Q858" ca="1">IF(L858&lt;=$C$16,0,IF($W$2&gt;=L858,IF(L858&lt;=($P$1+$C$16),INDIRECT("N"&amp;(L858-$C$16)+5),FV(SRate,L858-$P$1-$C$16,0,-$W$1,1)),0))</f>
        <v>0</v>
      </c>
      <c r="R858" s="56">
        <f t="shared" ca="1" si="97"/>
        <v>0</v>
      </c>
      <c r="S858" s="19">
        <f t="shared" si="99"/>
        <v>0</v>
      </c>
      <c r="T858" s="36" t="str" cm="1">
        <f t="array" aca="1" ref="T858" ca="1">IF(L858&lt;=$P$1,K858,IF(L858&lt;=($P$1+1),INDIRECT("K"&amp;5+$W$2),""))</f>
        <v/>
      </c>
      <c r="U858" s="38">
        <f t="shared" si="100"/>
        <v>72</v>
      </c>
    </row>
    <row r="859" spans="11:21" hidden="1" x14ac:dyDescent="0.25">
      <c r="K859" s="36">
        <f t="shared" ca="1" si="102"/>
        <v>72208</v>
      </c>
      <c r="L859" s="19">
        <v>854</v>
      </c>
      <c r="M859" s="19">
        <f t="shared" si="101"/>
        <v>0</v>
      </c>
      <c r="N859" s="37">
        <f t="shared" si="98"/>
        <v>0</v>
      </c>
      <c r="O859" s="37">
        <f t="shared" si="96"/>
        <v>0</v>
      </c>
      <c r="P859" s="55" cm="1">
        <f t="array" aca="1" ref="P859" ca="1">IF((L859-$C$16)&gt;0, IF($P$1+$C$16&gt;=L859,INDIRECT("M"&amp;(L859-$C$16)+5),0),0)</f>
        <v>0</v>
      </c>
      <c r="Q859" s="56" cm="1">
        <f t="array" aca="1" ref="Q859" ca="1">IF(L859&lt;=$C$16,0,IF($W$2&gt;=L859,IF(L859&lt;=($P$1+$C$16),INDIRECT("N"&amp;(L859-$C$16)+5),FV(SRate,L859-$P$1-$C$16,0,-$W$1,1)),0))</f>
        <v>0</v>
      </c>
      <c r="R859" s="56">
        <f t="shared" ca="1" si="97"/>
        <v>0</v>
      </c>
      <c r="S859" s="19">
        <f t="shared" si="99"/>
        <v>0</v>
      </c>
      <c r="T859" s="36" t="str" cm="1">
        <f t="array" aca="1" ref="T859" ca="1">IF(L859&lt;=$P$1,K859,IF(L859&lt;=($P$1+1),INDIRECT("K"&amp;5+$W$2),""))</f>
        <v/>
      </c>
      <c r="U859" s="38">
        <f t="shared" si="100"/>
        <v>72</v>
      </c>
    </row>
    <row r="860" spans="11:21" hidden="1" x14ac:dyDescent="0.25">
      <c r="K860" s="36">
        <f t="shared" ca="1" si="102"/>
        <v>72238</v>
      </c>
      <c r="L860" s="19">
        <v>855</v>
      </c>
      <c r="M860" s="19">
        <f t="shared" si="101"/>
        <v>0</v>
      </c>
      <c r="N860" s="37">
        <f t="shared" si="98"/>
        <v>0</v>
      </c>
      <c r="O860" s="37">
        <f t="shared" si="96"/>
        <v>0</v>
      </c>
      <c r="P860" s="55" cm="1">
        <f t="array" aca="1" ref="P860" ca="1">IF((L860-$C$16)&gt;0, IF($P$1+$C$16&gt;=L860,INDIRECT("M"&amp;(L860-$C$16)+5),0),0)</f>
        <v>0</v>
      </c>
      <c r="Q860" s="56" cm="1">
        <f t="array" aca="1" ref="Q860" ca="1">IF(L860&lt;=$C$16,0,IF($W$2&gt;=L860,IF(L860&lt;=($P$1+$C$16),INDIRECT("N"&amp;(L860-$C$16)+5),FV(SRate,L860-$P$1-$C$16,0,-$W$1,1)),0))</f>
        <v>0</v>
      </c>
      <c r="R860" s="56">
        <f t="shared" ca="1" si="97"/>
        <v>0</v>
      </c>
      <c r="S860" s="19">
        <f t="shared" si="99"/>
        <v>0</v>
      </c>
      <c r="T860" s="36" t="str" cm="1">
        <f t="array" aca="1" ref="T860" ca="1">IF(L860&lt;=$P$1,K860,IF(L860&lt;=($P$1+1),INDIRECT("K"&amp;5+$W$2),""))</f>
        <v/>
      </c>
      <c r="U860" s="38">
        <f t="shared" si="100"/>
        <v>72</v>
      </c>
    </row>
    <row r="861" spans="11:21" hidden="1" x14ac:dyDescent="0.25">
      <c r="K861" s="36">
        <f t="shared" ca="1" si="102"/>
        <v>72269</v>
      </c>
      <c r="L861" s="19">
        <v>856</v>
      </c>
      <c r="M861" s="19">
        <f t="shared" si="101"/>
        <v>0</v>
      </c>
      <c r="N861" s="37">
        <f t="shared" si="98"/>
        <v>0</v>
      </c>
      <c r="O861" s="37">
        <f t="shared" si="96"/>
        <v>0</v>
      </c>
      <c r="P861" s="55" cm="1">
        <f t="array" aca="1" ref="P861" ca="1">IF((L861-$C$16)&gt;0, IF($P$1+$C$16&gt;=L861,INDIRECT("M"&amp;(L861-$C$16)+5),0),0)</f>
        <v>0</v>
      </c>
      <c r="Q861" s="56" cm="1">
        <f t="array" aca="1" ref="Q861" ca="1">IF(L861&lt;=$C$16,0,IF($W$2&gt;=L861,IF(L861&lt;=($P$1+$C$16),INDIRECT("N"&amp;(L861-$C$16)+5),FV(SRate,L861-$P$1-$C$16,0,-$W$1,1)),0))</f>
        <v>0</v>
      </c>
      <c r="R861" s="56">
        <f t="shared" ca="1" si="97"/>
        <v>0</v>
      </c>
      <c r="S861" s="19">
        <f t="shared" si="99"/>
        <v>0</v>
      </c>
      <c r="T861" s="36" t="str" cm="1">
        <f t="array" aca="1" ref="T861" ca="1">IF(L861&lt;=$P$1,K861,IF(L861&lt;=($P$1+1),INDIRECT("K"&amp;5+$W$2),""))</f>
        <v/>
      </c>
      <c r="U861" s="38">
        <f t="shared" si="100"/>
        <v>72</v>
      </c>
    </row>
    <row r="862" spans="11:21" hidden="1" x14ac:dyDescent="0.25">
      <c r="K862" s="36">
        <f t="shared" ca="1" si="102"/>
        <v>72299</v>
      </c>
      <c r="L862" s="19">
        <v>857</v>
      </c>
      <c r="M862" s="19">
        <f t="shared" si="101"/>
        <v>0</v>
      </c>
      <c r="N862" s="37">
        <f t="shared" si="98"/>
        <v>0</v>
      </c>
      <c r="O862" s="37">
        <f t="shared" si="96"/>
        <v>0</v>
      </c>
      <c r="P862" s="55" cm="1">
        <f t="array" aca="1" ref="P862" ca="1">IF((L862-$C$16)&gt;0, IF($P$1+$C$16&gt;=L862,INDIRECT("M"&amp;(L862-$C$16)+5),0),0)</f>
        <v>0</v>
      </c>
      <c r="Q862" s="56" cm="1">
        <f t="array" aca="1" ref="Q862" ca="1">IF(L862&lt;=$C$16,0,IF($W$2&gt;=L862,IF(L862&lt;=($P$1+$C$16),INDIRECT("N"&amp;(L862-$C$16)+5),FV(SRate,L862-$P$1-$C$16,0,-$W$1,1)),0))</f>
        <v>0</v>
      </c>
      <c r="R862" s="56">
        <f t="shared" ca="1" si="97"/>
        <v>0</v>
      </c>
      <c r="S862" s="19">
        <f t="shared" si="99"/>
        <v>0</v>
      </c>
      <c r="T862" s="36" t="str" cm="1">
        <f t="array" aca="1" ref="T862" ca="1">IF(L862&lt;=$P$1,K862,IF(L862&lt;=($P$1+1),INDIRECT("K"&amp;5+$W$2),""))</f>
        <v/>
      </c>
      <c r="U862" s="38">
        <f t="shared" si="100"/>
        <v>72</v>
      </c>
    </row>
    <row r="863" spans="11:21" hidden="1" x14ac:dyDescent="0.25">
      <c r="K863" s="36">
        <f t="shared" ca="1" si="102"/>
        <v>72330</v>
      </c>
      <c r="L863" s="19">
        <v>858</v>
      </c>
      <c r="M863" s="19">
        <f t="shared" si="101"/>
        <v>0</v>
      </c>
      <c r="N863" s="37">
        <f t="shared" si="98"/>
        <v>0</v>
      </c>
      <c r="O863" s="37">
        <f t="shared" si="96"/>
        <v>0</v>
      </c>
      <c r="P863" s="55" cm="1">
        <f t="array" aca="1" ref="P863" ca="1">IF((L863-$C$16)&gt;0, IF($P$1+$C$16&gt;=L863,INDIRECT("M"&amp;(L863-$C$16)+5),0),0)</f>
        <v>0</v>
      </c>
      <c r="Q863" s="56" cm="1">
        <f t="array" aca="1" ref="Q863" ca="1">IF(L863&lt;=$C$16,0,IF($W$2&gt;=L863,IF(L863&lt;=($P$1+$C$16),INDIRECT("N"&amp;(L863-$C$16)+5),FV(SRate,L863-$P$1-$C$16,0,-$W$1,1)),0))</f>
        <v>0</v>
      </c>
      <c r="R863" s="56">
        <f t="shared" ca="1" si="97"/>
        <v>0</v>
      </c>
      <c r="S863" s="19">
        <f t="shared" si="99"/>
        <v>0</v>
      </c>
      <c r="T863" s="36" t="str" cm="1">
        <f t="array" aca="1" ref="T863" ca="1">IF(L863&lt;=$P$1,K863,IF(L863&lt;=($P$1+1),INDIRECT("K"&amp;5+$W$2),""))</f>
        <v/>
      </c>
      <c r="U863" s="38">
        <f t="shared" si="100"/>
        <v>72</v>
      </c>
    </row>
    <row r="864" spans="11:21" hidden="1" x14ac:dyDescent="0.25">
      <c r="K864" s="36">
        <f t="shared" ca="1" si="102"/>
        <v>72361</v>
      </c>
      <c r="L864" s="19">
        <v>859</v>
      </c>
      <c r="M864" s="19">
        <f t="shared" si="101"/>
        <v>0</v>
      </c>
      <c r="N864" s="37">
        <f t="shared" si="98"/>
        <v>0</v>
      </c>
      <c r="O864" s="37">
        <f t="shared" si="96"/>
        <v>0</v>
      </c>
      <c r="P864" s="55" cm="1">
        <f t="array" aca="1" ref="P864" ca="1">IF((L864-$C$16)&gt;0, IF($P$1+$C$16&gt;=L864,INDIRECT("M"&amp;(L864-$C$16)+5),0),0)</f>
        <v>0</v>
      </c>
      <c r="Q864" s="56" cm="1">
        <f t="array" aca="1" ref="Q864" ca="1">IF(L864&lt;=$C$16,0,IF($W$2&gt;=L864,IF(L864&lt;=($P$1+$C$16),INDIRECT("N"&amp;(L864-$C$16)+5),FV(SRate,L864-$P$1-$C$16,0,-$W$1,1)),0))</f>
        <v>0</v>
      </c>
      <c r="R864" s="56">
        <f t="shared" ca="1" si="97"/>
        <v>0</v>
      </c>
      <c r="S864" s="19">
        <f t="shared" si="99"/>
        <v>0</v>
      </c>
      <c r="T864" s="36" t="str" cm="1">
        <f t="array" aca="1" ref="T864" ca="1">IF(L864&lt;=$P$1,K864,IF(L864&lt;=($P$1+1),INDIRECT("K"&amp;5+$W$2),""))</f>
        <v/>
      </c>
      <c r="U864" s="38">
        <f t="shared" si="100"/>
        <v>72</v>
      </c>
    </row>
    <row r="865" spans="11:21" hidden="1" x14ac:dyDescent="0.25">
      <c r="K865" s="36">
        <f t="shared" ca="1" si="102"/>
        <v>72389</v>
      </c>
      <c r="L865" s="19">
        <v>860</v>
      </c>
      <c r="M865" s="19">
        <f t="shared" si="101"/>
        <v>0</v>
      </c>
      <c r="N865" s="37">
        <f t="shared" si="98"/>
        <v>0</v>
      </c>
      <c r="O865" s="37">
        <f t="shared" si="96"/>
        <v>0</v>
      </c>
      <c r="P865" s="55" cm="1">
        <f t="array" aca="1" ref="P865" ca="1">IF((L865-$C$16)&gt;0, IF($P$1+$C$16&gt;=L865,INDIRECT("M"&amp;(L865-$C$16)+5),0),0)</f>
        <v>0</v>
      </c>
      <c r="Q865" s="56" cm="1">
        <f t="array" aca="1" ref="Q865" ca="1">IF(L865&lt;=$C$16,0,IF($W$2&gt;=L865,IF(L865&lt;=($P$1+$C$16),INDIRECT("N"&amp;(L865-$C$16)+5),FV(SRate,L865-$P$1-$C$16,0,-$W$1,1)),0))</f>
        <v>0</v>
      </c>
      <c r="R865" s="56">
        <f t="shared" ca="1" si="97"/>
        <v>0</v>
      </c>
      <c r="S865" s="19">
        <f t="shared" si="99"/>
        <v>0</v>
      </c>
      <c r="T865" s="36" t="str" cm="1">
        <f t="array" aca="1" ref="T865" ca="1">IF(L865&lt;=$P$1,K865,IF(L865&lt;=($P$1+1),INDIRECT("K"&amp;5+$W$2),""))</f>
        <v/>
      </c>
      <c r="U865" s="38">
        <f t="shared" si="100"/>
        <v>72</v>
      </c>
    </row>
    <row r="866" spans="11:21" hidden="1" x14ac:dyDescent="0.25">
      <c r="K866" s="36">
        <f t="shared" ca="1" si="102"/>
        <v>72420</v>
      </c>
      <c r="L866" s="19">
        <v>861</v>
      </c>
      <c r="M866" s="19">
        <f t="shared" si="101"/>
        <v>0</v>
      </c>
      <c r="N866" s="37">
        <f t="shared" si="98"/>
        <v>0</v>
      </c>
      <c r="O866" s="37">
        <f t="shared" si="96"/>
        <v>0</v>
      </c>
      <c r="P866" s="55" cm="1">
        <f t="array" aca="1" ref="P866" ca="1">IF((L866-$C$16)&gt;0, IF($P$1+$C$16&gt;=L866,INDIRECT("M"&amp;(L866-$C$16)+5),0),0)</f>
        <v>0</v>
      </c>
      <c r="Q866" s="56" cm="1">
        <f t="array" aca="1" ref="Q866" ca="1">IF(L866&lt;=$C$16,0,IF($W$2&gt;=L866,IF(L866&lt;=($P$1+$C$16),INDIRECT("N"&amp;(L866-$C$16)+5),FV(SRate,L866-$P$1-$C$16,0,-$W$1,1)),0))</f>
        <v>0</v>
      </c>
      <c r="R866" s="56">
        <f t="shared" ca="1" si="97"/>
        <v>0</v>
      </c>
      <c r="S866" s="19">
        <f t="shared" si="99"/>
        <v>0</v>
      </c>
      <c r="T866" s="36" t="str" cm="1">
        <f t="array" aca="1" ref="T866" ca="1">IF(L866&lt;=$P$1,K866,IF(L866&lt;=($P$1+1),INDIRECT("K"&amp;5+$W$2),""))</f>
        <v/>
      </c>
      <c r="U866" s="38">
        <f t="shared" si="100"/>
        <v>72</v>
      </c>
    </row>
    <row r="867" spans="11:21" hidden="1" x14ac:dyDescent="0.25">
      <c r="K867" s="36">
        <f t="shared" ca="1" si="102"/>
        <v>72450</v>
      </c>
      <c r="L867" s="19">
        <v>862</v>
      </c>
      <c r="M867" s="19">
        <f t="shared" si="101"/>
        <v>0</v>
      </c>
      <c r="N867" s="37">
        <f t="shared" si="98"/>
        <v>0</v>
      </c>
      <c r="O867" s="37">
        <f t="shared" si="96"/>
        <v>0</v>
      </c>
      <c r="P867" s="55" cm="1">
        <f t="array" aca="1" ref="P867" ca="1">IF((L867-$C$16)&gt;0, IF($P$1+$C$16&gt;=L867,INDIRECT("M"&amp;(L867-$C$16)+5),0),0)</f>
        <v>0</v>
      </c>
      <c r="Q867" s="56" cm="1">
        <f t="array" aca="1" ref="Q867" ca="1">IF(L867&lt;=$C$16,0,IF($W$2&gt;=L867,IF(L867&lt;=($P$1+$C$16),INDIRECT("N"&amp;(L867-$C$16)+5),FV(SRate,L867-$P$1-$C$16,0,-$W$1,1)),0))</f>
        <v>0</v>
      </c>
      <c r="R867" s="56">
        <f t="shared" ca="1" si="97"/>
        <v>0</v>
      </c>
      <c r="S867" s="19">
        <f t="shared" si="99"/>
        <v>0</v>
      </c>
      <c r="T867" s="36" t="str" cm="1">
        <f t="array" aca="1" ref="T867" ca="1">IF(L867&lt;=$P$1,K867,IF(L867&lt;=($P$1+1),INDIRECT("K"&amp;5+$W$2),""))</f>
        <v/>
      </c>
      <c r="U867" s="38">
        <f t="shared" si="100"/>
        <v>72</v>
      </c>
    </row>
    <row r="868" spans="11:21" hidden="1" x14ac:dyDescent="0.25">
      <c r="K868" s="36">
        <f t="shared" ca="1" si="102"/>
        <v>72481</v>
      </c>
      <c r="L868" s="19">
        <v>863</v>
      </c>
      <c r="M868" s="19">
        <f t="shared" si="101"/>
        <v>0</v>
      </c>
      <c r="N868" s="37">
        <f t="shared" si="98"/>
        <v>0</v>
      </c>
      <c r="O868" s="37">
        <f t="shared" si="96"/>
        <v>0</v>
      </c>
      <c r="P868" s="55" cm="1">
        <f t="array" aca="1" ref="P868" ca="1">IF((L868-$C$16)&gt;0, IF($P$1+$C$16&gt;=L868,INDIRECT("M"&amp;(L868-$C$16)+5),0),0)</f>
        <v>0</v>
      </c>
      <c r="Q868" s="56" cm="1">
        <f t="array" aca="1" ref="Q868" ca="1">IF(L868&lt;=$C$16,0,IF($W$2&gt;=L868,IF(L868&lt;=($P$1+$C$16),INDIRECT("N"&amp;(L868-$C$16)+5),FV(SRate,L868-$P$1-$C$16,0,-$W$1,1)),0))</f>
        <v>0</v>
      </c>
      <c r="R868" s="56">
        <f t="shared" ca="1" si="97"/>
        <v>0</v>
      </c>
      <c r="S868" s="19">
        <f t="shared" si="99"/>
        <v>0</v>
      </c>
      <c r="T868" s="36" t="str" cm="1">
        <f t="array" aca="1" ref="T868" ca="1">IF(L868&lt;=$P$1,K868,IF(L868&lt;=($P$1+1),INDIRECT("K"&amp;5+$W$2),""))</f>
        <v/>
      </c>
      <c r="U868" s="38">
        <f t="shared" si="100"/>
        <v>72</v>
      </c>
    </row>
    <row r="869" spans="11:21" hidden="1" x14ac:dyDescent="0.25">
      <c r="K869" s="36">
        <f t="shared" ca="1" si="102"/>
        <v>72511</v>
      </c>
      <c r="L869" s="19">
        <v>864</v>
      </c>
      <c r="M869" s="19">
        <f t="shared" si="101"/>
        <v>0</v>
      </c>
      <c r="N869" s="37">
        <f t="shared" si="98"/>
        <v>0</v>
      </c>
      <c r="O869" s="37">
        <f t="shared" si="96"/>
        <v>0</v>
      </c>
      <c r="P869" s="55" cm="1">
        <f t="array" aca="1" ref="P869" ca="1">IF((L869-$C$16)&gt;0, IF($P$1+$C$16&gt;=L869,INDIRECT("M"&amp;(L869-$C$16)+5),0),0)</f>
        <v>0</v>
      </c>
      <c r="Q869" s="56" cm="1">
        <f t="array" aca="1" ref="Q869" ca="1">IF(L869&lt;=$C$16,0,IF($W$2&gt;=L869,IF(L869&lt;=($P$1+$C$16),INDIRECT("N"&amp;(L869-$C$16)+5),FV(SRate,L869-$P$1-$C$16,0,-$W$1,1)),0))</f>
        <v>0</v>
      </c>
      <c r="R869" s="56">
        <f t="shared" ca="1" si="97"/>
        <v>0</v>
      </c>
      <c r="S869" s="19">
        <f t="shared" si="99"/>
        <v>0</v>
      </c>
      <c r="T869" s="36" t="str" cm="1">
        <f t="array" aca="1" ref="T869" ca="1">IF(L869&lt;=$P$1,K869,IF(L869&lt;=($P$1+1),INDIRECT("K"&amp;5+$W$2),""))</f>
        <v/>
      </c>
      <c r="U869" s="38">
        <f t="shared" si="100"/>
        <v>72</v>
      </c>
    </row>
    <row r="870" spans="11:21" hidden="1" x14ac:dyDescent="0.25">
      <c r="K870" s="36">
        <f t="shared" ca="1" si="102"/>
        <v>72542</v>
      </c>
      <c r="L870" s="19">
        <v>865</v>
      </c>
      <c r="M870" s="19">
        <f t="shared" si="101"/>
        <v>0</v>
      </c>
      <c r="N870" s="37">
        <f t="shared" si="98"/>
        <v>0</v>
      </c>
      <c r="O870" s="37">
        <f t="shared" ref="O870:O933" si="103">N870/((1+SIPInflationRate)^(L870/12))</f>
        <v>0</v>
      </c>
      <c r="P870" s="55" cm="1">
        <f t="array" aca="1" ref="P870" ca="1">IF((L870-$C$16)&gt;0, IF($P$1+$C$16&gt;=L870,INDIRECT("M"&amp;(L870-$C$16)+5),0),0)</f>
        <v>0</v>
      </c>
      <c r="Q870" s="56" cm="1">
        <f t="array" aca="1" ref="Q870" ca="1">IF(L870&lt;=$C$16,0,IF($W$2&gt;=L870,IF(L870&lt;=($P$1+$C$16),INDIRECT("N"&amp;(L870-$C$16)+5),FV(SRate,L870-$P$1-$C$16,0,-$W$1,1)),0))</f>
        <v>0</v>
      </c>
      <c r="R870" s="56">
        <f t="shared" ca="1" si="97"/>
        <v>0</v>
      </c>
      <c r="S870" s="19">
        <f t="shared" si="99"/>
        <v>0</v>
      </c>
      <c r="T870" s="36" t="str" cm="1">
        <f t="array" aca="1" ref="T870" ca="1">IF(L870&lt;=$P$1,K870,IF(L870&lt;=($P$1+1),INDIRECT("K"&amp;5+$W$2),""))</f>
        <v/>
      </c>
      <c r="U870" s="38">
        <f t="shared" si="100"/>
        <v>73</v>
      </c>
    </row>
    <row r="871" spans="11:21" hidden="1" x14ac:dyDescent="0.25">
      <c r="K871" s="36">
        <f t="shared" ca="1" si="102"/>
        <v>72573</v>
      </c>
      <c r="L871" s="19">
        <v>866</v>
      </c>
      <c r="M871" s="19">
        <f t="shared" si="101"/>
        <v>0</v>
      </c>
      <c r="N871" s="37">
        <f t="shared" si="98"/>
        <v>0</v>
      </c>
      <c r="O871" s="37">
        <f t="shared" si="103"/>
        <v>0</v>
      </c>
      <c r="P871" s="55" cm="1">
        <f t="array" aca="1" ref="P871" ca="1">IF((L871-$C$16)&gt;0, IF($P$1+$C$16&gt;=L871,INDIRECT("M"&amp;(L871-$C$16)+5),0),0)</f>
        <v>0</v>
      </c>
      <c r="Q871" s="56" cm="1">
        <f t="array" aca="1" ref="Q871" ca="1">IF(L871&lt;=$C$16,0,IF($W$2&gt;=L871,IF(L871&lt;=($P$1+$C$16),INDIRECT("N"&amp;(L871-$C$16)+5),FV(SRate,L871-$P$1-$C$16,0,-$W$1,1)),0))</f>
        <v>0</v>
      </c>
      <c r="R871" s="56">
        <f t="shared" ca="1" si="97"/>
        <v>0</v>
      </c>
      <c r="S871" s="19">
        <f t="shared" si="99"/>
        <v>0</v>
      </c>
      <c r="T871" s="36" t="str" cm="1">
        <f t="array" aca="1" ref="T871" ca="1">IF(L871&lt;=$P$1,K871,IF(L871&lt;=($P$1+1),INDIRECT("K"&amp;5+$W$2),""))</f>
        <v/>
      </c>
      <c r="U871" s="38">
        <f t="shared" si="100"/>
        <v>73</v>
      </c>
    </row>
    <row r="872" spans="11:21" hidden="1" x14ac:dyDescent="0.25">
      <c r="K872" s="36">
        <f t="shared" ca="1" si="102"/>
        <v>72603</v>
      </c>
      <c r="L872" s="19">
        <v>867</v>
      </c>
      <c r="M872" s="19">
        <f t="shared" si="101"/>
        <v>0</v>
      </c>
      <c r="N872" s="37">
        <f t="shared" si="98"/>
        <v>0</v>
      </c>
      <c r="O872" s="37">
        <f t="shared" si="103"/>
        <v>0</v>
      </c>
      <c r="P872" s="55" cm="1">
        <f t="array" aca="1" ref="P872" ca="1">IF((L872-$C$16)&gt;0, IF($P$1+$C$16&gt;=L872,INDIRECT("M"&amp;(L872-$C$16)+5),0),0)</f>
        <v>0</v>
      </c>
      <c r="Q872" s="56" cm="1">
        <f t="array" aca="1" ref="Q872" ca="1">IF(L872&lt;=$C$16,0,IF($W$2&gt;=L872,IF(L872&lt;=($P$1+$C$16),INDIRECT("N"&amp;(L872-$C$16)+5),FV(SRate,L872-$P$1-$C$16,0,-$W$1,1)),0))</f>
        <v>0</v>
      </c>
      <c r="R872" s="56">
        <f t="shared" ca="1" si="97"/>
        <v>0</v>
      </c>
      <c r="S872" s="19">
        <f t="shared" si="99"/>
        <v>0</v>
      </c>
      <c r="T872" s="36" t="str" cm="1">
        <f t="array" aca="1" ref="T872" ca="1">IF(L872&lt;=$P$1,K872,IF(L872&lt;=($P$1+1),INDIRECT("K"&amp;5+$W$2),""))</f>
        <v/>
      </c>
      <c r="U872" s="38">
        <f t="shared" si="100"/>
        <v>73</v>
      </c>
    </row>
    <row r="873" spans="11:21" hidden="1" x14ac:dyDescent="0.25">
      <c r="K873" s="36">
        <f t="shared" ca="1" si="102"/>
        <v>72634</v>
      </c>
      <c r="L873" s="19">
        <v>868</v>
      </c>
      <c r="M873" s="19">
        <f t="shared" si="101"/>
        <v>0</v>
      </c>
      <c r="N873" s="37">
        <f t="shared" si="98"/>
        <v>0</v>
      </c>
      <c r="O873" s="37">
        <f t="shared" si="103"/>
        <v>0</v>
      </c>
      <c r="P873" s="55" cm="1">
        <f t="array" aca="1" ref="P873" ca="1">IF((L873-$C$16)&gt;0, IF($P$1+$C$16&gt;=L873,INDIRECT("M"&amp;(L873-$C$16)+5),0),0)</f>
        <v>0</v>
      </c>
      <c r="Q873" s="56" cm="1">
        <f t="array" aca="1" ref="Q873" ca="1">IF(L873&lt;=$C$16,0,IF($W$2&gt;=L873,IF(L873&lt;=($P$1+$C$16),INDIRECT("N"&amp;(L873-$C$16)+5),FV(SRate,L873-$P$1-$C$16,0,-$W$1,1)),0))</f>
        <v>0</v>
      </c>
      <c r="R873" s="56">
        <f t="shared" ca="1" si="97"/>
        <v>0</v>
      </c>
      <c r="S873" s="19">
        <f t="shared" si="99"/>
        <v>0</v>
      </c>
      <c r="T873" s="36" t="str" cm="1">
        <f t="array" aca="1" ref="T873" ca="1">IF(L873&lt;=$P$1,K873,IF(L873&lt;=($P$1+1),INDIRECT("K"&amp;5+$W$2),""))</f>
        <v/>
      </c>
      <c r="U873" s="38">
        <f t="shared" si="100"/>
        <v>73</v>
      </c>
    </row>
    <row r="874" spans="11:21" hidden="1" x14ac:dyDescent="0.25">
      <c r="K874" s="36">
        <f t="shared" ca="1" si="102"/>
        <v>72664</v>
      </c>
      <c r="L874" s="19">
        <v>869</v>
      </c>
      <c r="M874" s="19">
        <f t="shared" si="101"/>
        <v>0</v>
      </c>
      <c r="N874" s="37">
        <f t="shared" si="98"/>
        <v>0</v>
      </c>
      <c r="O874" s="37">
        <f t="shared" si="103"/>
        <v>0</v>
      </c>
      <c r="P874" s="55" cm="1">
        <f t="array" aca="1" ref="P874" ca="1">IF((L874-$C$16)&gt;0, IF($P$1+$C$16&gt;=L874,INDIRECT("M"&amp;(L874-$C$16)+5),0),0)</f>
        <v>0</v>
      </c>
      <c r="Q874" s="56" cm="1">
        <f t="array" aca="1" ref="Q874" ca="1">IF(L874&lt;=$C$16,0,IF($W$2&gt;=L874,IF(L874&lt;=($P$1+$C$16),INDIRECT("N"&amp;(L874-$C$16)+5),FV(SRate,L874-$P$1-$C$16,0,-$W$1,1)),0))</f>
        <v>0</v>
      </c>
      <c r="R874" s="56">
        <f t="shared" ca="1" si="97"/>
        <v>0</v>
      </c>
      <c r="S874" s="19">
        <f t="shared" si="99"/>
        <v>0</v>
      </c>
      <c r="T874" s="36" t="str" cm="1">
        <f t="array" aca="1" ref="T874" ca="1">IF(L874&lt;=$P$1,K874,IF(L874&lt;=($P$1+1),INDIRECT("K"&amp;5+$W$2),""))</f>
        <v/>
      </c>
      <c r="U874" s="38">
        <f t="shared" si="100"/>
        <v>73</v>
      </c>
    </row>
    <row r="875" spans="11:21" hidden="1" x14ac:dyDescent="0.25">
      <c r="K875" s="36">
        <f t="shared" ca="1" si="102"/>
        <v>72695</v>
      </c>
      <c r="L875" s="19">
        <v>870</v>
      </c>
      <c r="M875" s="19">
        <f t="shared" si="101"/>
        <v>0</v>
      </c>
      <c r="N875" s="37">
        <f t="shared" si="98"/>
        <v>0</v>
      </c>
      <c r="O875" s="37">
        <f t="shared" si="103"/>
        <v>0</v>
      </c>
      <c r="P875" s="55" cm="1">
        <f t="array" aca="1" ref="P875" ca="1">IF((L875-$C$16)&gt;0, IF($P$1+$C$16&gt;=L875,INDIRECT("M"&amp;(L875-$C$16)+5),0),0)</f>
        <v>0</v>
      </c>
      <c r="Q875" s="56" cm="1">
        <f t="array" aca="1" ref="Q875" ca="1">IF(L875&lt;=$C$16,0,IF($W$2&gt;=L875,IF(L875&lt;=($P$1+$C$16),INDIRECT("N"&amp;(L875-$C$16)+5),FV(SRate,L875-$P$1-$C$16,0,-$W$1,1)),0))</f>
        <v>0</v>
      </c>
      <c r="R875" s="56">
        <f t="shared" ca="1" si="97"/>
        <v>0</v>
      </c>
      <c r="S875" s="19">
        <f t="shared" si="99"/>
        <v>0</v>
      </c>
      <c r="T875" s="36" t="str" cm="1">
        <f t="array" aca="1" ref="T875" ca="1">IF(L875&lt;=$P$1,K875,IF(L875&lt;=($P$1+1),INDIRECT("K"&amp;5+$W$2),""))</f>
        <v/>
      </c>
      <c r="U875" s="38">
        <f t="shared" si="100"/>
        <v>73</v>
      </c>
    </row>
    <row r="876" spans="11:21" hidden="1" x14ac:dyDescent="0.25">
      <c r="K876" s="36">
        <f t="shared" ca="1" si="102"/>
        <v>72726</v>
      </c>
      <c r="L876" s="19">
        <v>871</v>
      </c>
      <c r="M876" s="19">
        <f t="shared" si="101"/>
        <v>0</v>
      </c>
      <c r="N876" s="37">
        <f t="shared" si="98"/>
        <v>0</v>
      </c>
      <c r="O876" s="37">
        <f t="shared" si="103"/>
        <v>0</v>
      </c>
      <c r="P876" s="55" cm="1">
        <f t="array" aca="1" ref="P876" ca="1">IF((L876-$C$16)&gt;0, IF($P$1+$C$16&gt;=L876,INDIRECT("M"&amp;(L876-$C$16)+5),0),0)</f>
        <v>0</v>
      </c>
      <c r="Q876" s="56" cm="1">
        <f t="array" aca="1" ref="Q876" ca="1">IF(L876&lt;=$C$16,0,IF($W$2&gt;=L876,IF(L876&lt;=($P$1+$C$16),INDIRECT("N"&amp;(L876-$C$16)+5),FV(SRate,L876-$P$1-$C$16,0,-$W$1,1)),0))</f>
        <v>0</v>
      </c>
      <c r="R876" s="56">
        <f t="shared" ca="1" si="97"/>
        <v>0</v>
      </c>
      <c r="S876" s="19">
        <f t="shared" si="99"/>
        <v>0</v>
      </c>
      <c r="T876" s="36" t="str" cm="1">
        <f t="array" aca="1" ref="T876" ca="1">IF(L876&lt;=$P$1,K876,IF(L876&lt;=($P$1+1),INDIRECT("K"&amp;5+$W$2),""))</f>
        <v/>
      </c>
      <c r="U876" s="38">
        <f t="shared" si="100"/>
        <v>73</v>
      </c>
    </row>
    <row r="877" spans="11:21" hidden="1" x14ac:dyDescent="0.25">
      <c r="K877" s="36">
        <f t="shared" ca="1" si="102"/>
        <v>72754</v>
      </c>
      <c r="L877" s="19">
        <v>872</v>
      </c>
      <c r="M877" s="19">
        <f t="shared" si="101"/>
        <v>0</v>
      </c>
      <c r="N877" s="37">
        <f t="shared" si="98"/>
        <v>0</v>
      </c>
      <c r="O877" s="37">
        <f t="shared" si="103"/>
        <v>0</v>
      </c>
      <c r="P877" s="55" cm="1">
        <f t="array" aca="1" ref="P877" ca="1">IF((L877-$C$16)&gt;0, IF($P$1+$C$16&gt;=L877,INDIRECT("M"&amp;(L877-$C$16)+5),0),0)</f>
        <v>0</v>
      </c>
      <c r="Q877" s="56" cm="1">
        <f t="array" aca="1" ref="Q877" ca="1">IF(L877&lt;=$C$16,0,IF($W$2&gt;=L877,IF(L877&lt;=($P$1+$C$16),INDIRECT("N"&amp;(L877-$C$16)+5),FV(SRate,L877-$P$1-$C$16,0,-$W$1,1)),0))</f>
        <v>0</v>
      </c>
      <c r="R877" s="56">
        <f t="shared" ca="1" si="97"/>
        <v>0</v>
      </c>
      <c r="S877" s="19">
        <f t="shared" si="99"/>
        <v>0</v>
      </c>
      <c r="T877" s="36" t="str" cm="1">
        <f t="array" aca="1" ref="T877" ca="1">IF(L877&lt;=$P$1,K877,IF(L877&lt;=($P$1+1),INDIRECT("K"&amp;5+$W$2),""))</f>
        <v/>
      </c>
      <c r="U877" s="38">
        <f t="shared" si="100"/>
        <v>73</v>
      </c>
    </row>
    <row r="878" spans="11:21" hidden="1" x14ac:dyDescent="0.25">
      <c r="K878" s="36">
        <f t="shared" ca="1" si="102"/>
        <v>72785</v>
      </c>
      <c r="L878" s="19">
        <v>873</v>
      </c>
      <c r="M878" s="19">
        <f t="shared" si="101"/>
        <v>0</v>
      </c>
      <c r="N878" s="37">
        <f t="shared" si="98"/>
        <v>0</v>
      </c>
      <c r="O878" s="37">
        <f t="shared" si="103"/>
        <v>0</v>
      </c>
      <c r="P878" s="55" cm="1">
        <f t="array" aca="1" ref="P878" ca="1">IF((L878-$C$16)&gt;0, IF($P$1+$C$16&gt;=L878,INDIRECT("M"&amp;(L878-$C$16)+5),0),0)</f>
        <v>0</v>
      </c>
      <c r="Q878" s="56" cm="1">
        <f t="array" aca="1" ref="Q878" ca="1">IF(L878&lt;=$C$16,0,IF($W$2&gt;=L878,IF(L878&lt;=($P$1+$C$16),INDIRECT("N"&amp;(L878-$C$16)+5),FV(SRate,L878-$P$1-$C$16,0,-$W$1,1)),0))</f>
        <v>0</v>
      </c>
      <c r="R878" s="56">
        <f t="shared" ca="1" si="97"/>
        <v>0</v>
      </c>
      <c r="S878" s="19">
        <f t="shared" si="99"/>
        <v>0</v>
      </c>
      <c r="T878" s="36" t="str" cm="1">
        <f t="array" aca="1" ref="T878" ca="1">IF(L878&lt;=$P$1,K878,IF(L878&lt;=($P$1+1),INDIRECT("K"&amp;5+$W$2),""))</f>
        <v/>
      </c>
      <c r="U878" s="38">
        <f t="shared" si="100"/>
        <v>73</v>
      </c>
    </row>
    <row r="879" spans="11:21" hidden="1" x14ac:dyDescent="0.25">
      <c r="K879" s="36">
        <f t="shared" ca="1" si="102"/>
        <v>72815</v>
      </c>
      <c r="L879" s="19">
        <v>874</v>
      </c>
      <c r="M879" s="19">
        <f t="shared" si="101"/>
        <v>0</v>
      </c>
      <c r="N879" s="37">
        <f t="shared" si="98"/>
        <v>0</v>
      </c>
      <c r="O879" s="37">
        <f t="shared" si="103"/>
        <v>0</v>
      </c>
      <c r="P879" s="55" cm="1">
        <f t="array" aca="1" ref="P879" ca="1">IF((L879-$C$16)&gt;0, IF($P$1+$C$16&gt;=L879,INDIRECT("M"&amp;(L879-$C$16)+5),0),0)</f>
        <v>0</v>
      </c>
      <c r="Q879" s="56" cm="1">
        <f t="array" aca="1" ref="Q879" ca="1">IF(L879&lt;=$C$16,0,IF($W$2&gt;=L879,IF(L879&lt;=($P$1+$C$16),INDIRECT("N"&amp;(L879-$C$16)+5),FV(SRate,L879-$P$1-$C$16,0,-$W$1,1)),0))</f>
        <v>0</v>
      </c>
      <c r="R879" s="56">
        <f t="shared" ca="1" si="97"/>
        <v>0</v>
      </c>
      <c r="S879" s="19">
        <f t="shared" si="99"/>
        <v>0</v>
      </c>
      <c r="T879" s="36" t="str" cm="1">
        <f t="array" aca="1" ref="T879" ca="1">IF(L879&lt;=$P$1,K879,IF(L879&lt;=($P$1+1),INDIRECT("K"&amp;5+$W$2),""))</f>
        <v/>
      </c>
      <c r="U879" s="38">
        <f t="shared" si="100"/>
        <v>73</v>
      </c>
    </row>
    <row r="880" spans="11:21" hidden="1" x14ac:dyDescent="0.25">
      <c r="K880" s="36">
        <f t="shared" ca="1" si="102"/>
        <v>72846</v>
      </c>
      <c r="L880" s="19">
        <v>875</v>
      </c>
      <c r="M880" s="19">
        <f t="shared" si="101"/>
        <v>0</v>
      </c>
      <c r="N880" s="37">
        <f t="shared" si="98"/>
        <v>0</v>
      </c>
      <c r="O880" s="37">
        <f t="shared" si="103"/>
        <v>0</v>
      </c>
      <c r="P880" s="55" cm="1">
        <f t="array" aca="1" ref="P880" ca="1">IF((L880-$C$16)&gt;0, IF($P$1+$C$16&gt;=L880,INDIRECT("M"&amp;(L880-$C$16)+5),0),0)</f>
        <v>0</v>
      </c>
      <c r="Q880" s="56" cm="1">
        <f t="array" aca="1" ref="Q880" ca="1">IF(L880&lt;=$C$16,0,IF($W$2&gt;=L880,IF(L880&lt;=($P$1+$C$16),INDIRECT("N"&amp;(L880-$C$16)+5),FV(SRate,L880-$P$1-$C$16,0,-$W$1,1)),0))</f>
        <v>0</v>
      </c>
      <c r="R880" s="56">
        <f t="shared" ca="1" si="97"/>
        <v>0</v>
      </c>
      <c r="S880" s="19">
        <f t="shared" si="99"/>
        <v>0</v>
      </c>
      <c r="T880" s="36" t="str" cm="1">
        <f t="array" aca="1" ref="T880" ca="1">IF(L880&lt;=$P$1,K880,IF(L880&lt;=($P$1+1),INDIRECT("K"&amp;5+$W$2),""))</f>
        <v/>
      </c>
      <c r="U880" s="38">
        <f t="shared" si="100"/>
        <v>73</v>
      </c>
    </row>
    <row r="881" spans="11:21" hidden="1" x14ac:dyDescent="0.25">
      <c r="K881" s="36">
        <f t="shared" ca="1" si="102"/>
        <v>72876</v>
      </c>
      <c r="L881" s="19">
        <v>876</v>
      </c>
      <c r="M881" s="19">
        <f t="shared" si="101"/>
        <v>0</v>
      </c>
      <c r="N881" s="37">
        <f t="shared" si="98"/>
        <v>0</v>
      </c>
      <c r="O881" s="37">
        <f t="shared" si="103"/>
        <v>0</v>
      </c>
      <c r="P881" s="55" cm="1">
        <f t="array" aca="1" ref="P881" ca="1">IF((L881-$C$16)&gt;0, IF($P$1+$C$16&gt;=L881,INDIRECT("M"&amp;(L881-$C$16)+5),0),0)</f>
        <v>0</v>
      </c>
      <c r="Q881" s="56" cm="1">
        <f t="array" aca="1" ref="Q881" ca="1">IF(L881&lt;=$C$16,0,IF($W$2&gt;=L881,IF(L881&lt;=($P$1+$C$16),INDIRECT("N"&amp;(L881-$C$16)+5),FV(SRate,L881-$P$1-$C$16,0,-$W$1,1)),0))</f>
        <v>0</v>
      </c>
      <c r="R881" s="56">
        <f t="shared" ca="1" si="97"/>
        <v>0</v>
      </c>
      <c r="S881" s="19">
        <f t="shared" si="99"/>
        <v>0</v>
      </c>
      <c r="T881" s="36" t="str" cm="1">
        <f t="array" aca="1" ref="T881" ca="1">IF(L881&lt;=$P$1,K881,IF(L881&lt;=($P$1+1),INDIRECT("K"&amp;5+$W$2),""))</f>
        <v/>
      </c>
      <c r="U881" s="38">
        <f t="shared" si="100"/>
        <v>73</v>
      </c>
    </row>
    <row r="882" spans="11:21" hidden="1" x14ac:dyDescent="0.25">
      <c r="K882" s="36">
        <f t="shared" ca="1" si="102"/>
        <v>72907</v>
      </c>
      <c r="L882" s="19">
        <v>877</v>
      </c>
      <c r="M882" s="19">
        <f t="shared" si="101"/>
        <v>0</v>
      </c>
      <c r="N882" s="37">
        <f t="shared" si="98"/>
        <v>0</v>
      </c>
      <c r="O882" s="37">
        <f t="shared" si="103"/>
        <v>0</v>
      </c>
      <c r="P882" s="55" cm="1">
        <f t="array" aca="1" ref="P882" ca="1">IF((L882-$C$16)&gt;0, IF($P$1+$C$16&gt;=L882,INDIRECT("M"&amp;(L882-$C$16)+5),0),0)</f>
        <v>0</v>
      </c>
      <c r="Q882" s="56" cm="1">
        <f t="array" aca="1" ref="Q882" ca="1">IF(L882&lt;=$C$16,0,IF($W$2&gt;=L882,IF(L882&lt;=($P$1+$C$16),INDIRECT("N"&amp;(L882-$C$16)+5),FV(SRate,L882-$P$1-$C$16,0,-$W$1,1)),0))</f>
        <v>0</v>
      </c>
      <c r="R882" s="56">
        <f t="shared" ca="1" si="97"/>
        <v>0</v>
      </c>
      <c r="S882" s="19">
        <f t="shared" si="99"/>
        <v>0</v>
      </c>
      <c r="T882" s="36" t="str" cm="1">
        <f t="array" aca="1" ref="T882" ca="1">IF(L882&lt;=$P$1,K882,IF(L882&lt;=($P$1+1),INDIRECT("K"&amp;5+$W$2),""))</f>
        <v/>
      </c>
      <c r="U882" s="38">
        <f t="shared" si="100"/>
        <v>74</v>
      </c>
    </row>
    <row r="883" spans="11:21" hidden="1" x14ac:dyDescent="0.25">
      <c r="K883" s="36">
        <f t="shared" ca="1" si="102"/>
        <v>72938</v>
      </c>
      <c r="L883" s="19">
        <v>878</v>
      </c>
      <c r="M883" s="19">
        <f t="shared" si="101"/>
        <v>0</v>
      </c>
      <c r="N883" s="37">
        <f t="shared" si="98"/>
        <v>0</v>
      </c>
      <c r="O883" s="37">
        <f t="shared" si="103"/>
        <v>0</v>
      </c>
      <c r="P883" s="55" cm="1">
        <f t="array" aca="1" ref="P883" ca="1">IF((L883-$C$16)&gt;0, IF($P$1+$C$16&gt;=L883,INDIRECT("M"&amp;(L883-$C$16)+5),0),0)</f>
        <v>0</v>
      </c>
      <c r="Q883" s="56" cm="1">
        <f t="array" aca="1" ref="Q883" ca="1">IF(L883&lt;=$C$16,0,IF($W$2&gt;=L883,IF(L883&lt;=($P$1+$C$16),INDIRECT("N"&amp;(L883-$C$16)+5),FV(SRate,L883-$P$1-$C$16,0,-$W$1,1)),0))</f>
        <v>0</v>
      </c>
      <c r="R883" s="56">
        <f t="shared" ca="1" si="97"/>
        <v>0</v>
      </c>
      <c r="S883" s="19">
        <f t="shared" si="99"/>
        <v>0</v>
      </c>
      <c r="T883" s="36" t="str" cm="1">
        <f t="array" aca="1" ref="T883" ca="1">IF(L883&lt;=$P$1,K883,IF(L883&lt;=($P$1+1),INDIRECT("K"&amp;5+$W$2),""))</f>
        <v/>
      </c>
      <c r="U883" s="38">
        <f t="shared" si="100"/>
        <v>74</v>
      </c>
    </row>
    <row r="884" spans="11:21" hidden="1" x14ac:dyDescent="0.25">
      <c r="K884" s="36">
        <f t="shared" ca="1" si="102"/>
        <v>72968</v>
      </c>
      <c r="L884" s="19">
        <v>879</v>
      </c>
      <c r="M884" s="19">
        <f t="shared" si="101"/>
        <v>0</v>
      </c>
      <c r="N884" s="37">
        <f t="shared" si="98"/>
        <v>0</v>
      </c>
      <c r="O884" s="37">
        <f t="shared" si="103"/>
        <v>0</v>
      </c>
      <c r="P884" s="55" cm="1">
        <f t="array" aca="1" ref="P884" ca="1">IF((L884-$C$16)&gt;0, IF($P$1+$C$16&gt;=L884,INDIRECT("M"&amp;(L884-$C$16)+5),0),0)</f>
        <v>0</v>
      </c>
      <c r="Q884" s="56" cm="1">
        <f t="array" aca="1" ref="Q884" ca="1">IF(L884&lt;=$C$16,0,IF($W$2&gt;=L884,IF(L884&lt;=($P$1+$C$16),INDIRECT("N"&amp;(L884-$C$16)+5),FV(SRate,L884-$P$1-$C$16,0,-$W$1,1)),0))</f>
        <v>0</v>
      </c>
      <c r="R884" s="56">
        <f t="shared" ca="1" si="97"/>
        <v>0</v>
      </c>
      <c r="S884" s="19">
        <f t="shared" si="99"/>
        <v>0</v>
      </c>
      <c r="T884" s="36" t="str" cm="1">
        <f t="array" aca="1" ref="T884" ca="1">IF(L884&lt;=$P$1,K884,IF(L884&lt;=($P$1+1),INDIRECT("K"&amp;5+$W$2),""))</f>
        <v/>
      </c>
      <c r="U884" s="38">
        <f t="shared" si="100"/>
        <v>74</v>
      </c>
    </row>
    <row r="885" spans="11:21" hidden="1" x14ac:dyDescent="0.25">
      <c r="K885" s="36">
        <f t="shared" ca="1" si="102"/>
        <v>72999</v>
      </c>
      <c r="L885" s="19">
        <v>880</v>
      </c>
      <c r="M885" s="19">
        <f t="shared" si="101"/>
        <v>0</v>
      </c>
      <c r="N885" s="37">
        <f t="shared" si="98"/>
        <v>0</v>
      </c>
      <c r="O885" s="37">
        <f t="shared" si="103"/>
        <v>0</v>
      </c>
      <c r="P885" s="55" cm="1">
        <f t="array" aca="1" ref="P885" ca="1">IF((L885-$C$16)&gt;0, IF($P$1+$C$16&gt;=L885,INDIRECT("M"&amp;(L885-$C$16)+5),0),0)</f>
        <v>0</v>
      </c>
      <c r="Q885" s="56" cm="1">
        <f t="array" aca="1" ref="Q885" ca="1">IF(L885&lt;=$C$16,0,IF($W$2&gt;=L885,IF(L885&lt;=($P$1+$C$16),INDIRECT("N"&amp;(L885-$C$16)+5),FV(SRate,L885-$P$1-$C$16,0,-$W$1,1)),0))</f>
        <v>0</v>
      </c>
      <c r="R885" s="56">
        <f t="shared" ca="1" si="97"/>
        <v>0</v>
      </c>
      <c r="S885" s="19">
        <f t="shared" si="99"/>
        <v>0</v>
      </c>
      <c r="T885" s="36" t="str" cm="1">
        <f t="array" aca="1" ref="T885" ca="1">IF(L885&lt;=$P$1,K885,IF(L885&lt;=($P$1+1),INDIRECT("K"&amp;5+$W$2),""))</f>
        <v/>
      </c>
      <c r="U885" s="38">
        <f t="shared" si="100"/>
        <v>74</v>
      </c>
    </row>
    <row r="886" spans="11:21" hidden="1" x14ac:dyDescent="0.25">
      <c r="K886" s="36">
        <f t="shared" ca="1" si="102"/>
        <v>73029</v>
      </c>
      <c r="L886" s="19">
        <v>881</v>
      </c>
      <c r="M886" s="19">
        <f t="shared" si="101"/>
        <v>0</v>
      </c>
      <c r="N886" s="37">
        <f t="shared" si="98"/>
        <v>0</v>
      </c>
      <c r="O886" s="37">
        <f t="shared" si="103"/>
        <v>0</v>
      </c>
      <c r="P886" s="55" cm="1">
        <f t="array" aca="1" ref="P886" ca="1">IF((L886-$C$16)&gt;0, IF($P$1+$C$16&gt;=L886,INDIRECT("M"&amp;(L886-$C$16)+5),0),0)</f>
        <v>0</v>
      </c>
      <c r="Q886" s="56" cm="1">
        <f t="array" aca="1" ref="Q886" ca="1">IF(L886&lt;=$C$16,0,IF($W$2&gt;=L886,IF(L886&lt;=($P$1+$C$16),INDIRECT("N"&amp;(L886-$C$16)+5),FV(SRate,L886-$P$1-$C$16,0,-$W$1,1)),0))</f>
        <v>0</v>
      </c>
      <c r="R886" s="56">
        <f t="shared" ca="1" si="97"/>
        <v>0</v>
      </c>
      <c r="S886" s="19">
        <f t="shared" si="99"/>
        <v>0</v>
      </c>
      <c r="T886" s="36" t="str" cm="1">
        <f t="array" aca="1" ref="T886" ca="1">IF(L886&lt;=$P$1,K886,IF(L886&lt;=($P$1+1),INDIRECT("K"&amp;5+$W$2),""))</f>
        <v/>
      </c>
      <c r="U886" s="38">
        <f t="shared" si="100"/>
        <v>74</v>
      </c>
    </row>
    <row r="887" spans="11:21" hidden="1" x14ac:dyDescent="0.25">
      <c r="K887" s="36">
        <f t="shared" ca="1" si="102"/>
        <v>73060</v>
      </c>
      <c r="L887" s="19">
        <v>882</v>
      </c>
      <c r="M887" s="19">
        <f t="shared" si="101"/>
        <v>0</v>
      </c>
      <c r="N887" s="37">
        <f t="shared" si="98"/>
        <v>0</v>
      </c>
      <c r="O887" s="37">
        <f t="shared" si="103"/>
        <v>0</v>
      </c>
      <c r="P887" s="55" cm="1">
        <f t="array" aca="1" ref="P887" ca="1">IF((L887-$C$16)&gt;0, IF($P$1+$C$16&gt;=L887,INDIRECT("M"&amp;(L887-$C$16)+5),0),0)</f>
        <v>0</v>
      </c>
      <c r="Q887" s="56" cm="1">
        <f t="array" aca="1" ref="Q887" ca="1">IF(L887&lt;=$C$16,0,IF($W$2&gt;=L887,IF(L887&lt;=($P$1+$C$16),INDIRECT("N"&amp;(L887-$C$16)+5),FV(SRate,L887-$P$1-$C$16,0,-$W$1,1)),0))</f>
        <v>0</v>
      </c>
      <c r="R887" s="56">
        <f t="shared" ca="1" si="97"/>
        <v>0</v>
      </c>
      <c r="S887" s="19">
        <f t="shared" si="99"/>
        <v>0</v>
      </c>
      <c r="T887" s="36" t="str" cm="1">
        <f t="array" aca="1" ref="T887" ca="1">IF(L887&lt;=$P$1,K887,IF(L887&lt;=($P$1+1),INDIRECT("K"&amp;5+$W$2),""))</f>
        <v/>
      </c>
      <c r="U887" s="38">
        <f t="shared" si="100"/>
        <v>74</v>
      </c>
    </row>
    <row r="888" spans="11:21" hidden="1" x14ac:dyDescent="0.25">
      <c r="K888" s="36">
        <f t="shared" ca="1" si="102"/>
        <v>73091</v>
      </c>
      <c r="L888" s="19">
        <v>883</v>
      </c>
      <c r="M888" s="19">
        <f t="shared" si="101"/>
        <v>0</v>
      </c>
      <c r="N888" s="37">
        <f t="shared" si="98"/>
        <v>0</v>
      </c>
      <c r="O888" s="37">
        <f t="shared" si="103"/>
        <v>0</v>
      </c>
      <c r="P888" s="55" cm="1">
        <f t="array" aca="1" ref="P888" ca="1">IF((L888-$C$16)&gt;0, IF($P$1+$C$16&gt;=L888,INDIRECT("M"&amp;(L888-$C$16)+5),0),0)</f>
        <v>0</v>
      </c>
      <c r="Q888" s="56" cm="1">
        <f t="array" aca="1" ref="Q888" ca="1">IF(L888&lt;=$C$16,0,IF($W$2&gt;=L888,IF(L888&lt;=($P$1+$C$16),INDIRECT("N"&amp;(L888-$C$16)+5),FV(SRate,L888-$P$1-$C$16,0,-$W$1,1)),0))</f>
        <v>0</v>
      </c>
      <c r="R888" s="56">
        <f t="shared" ca="1" si="97"/>
        <v>0</v>
      </c>
      <c r="S888" s="19">
        <f t="shared" si="99"/>
        <v>0</v>
      </c>
      <c r="T888" s="36" t="str" cm="1">
        <f t="array" aca="1" ref="T888" ca="1">IF(L888&lt;=$P$1,K888,IF(L888&lt;=($P$1+1),INDIRECT("K"&amp;5+$W$2),""))</f>
        <v/>
      </c>
      <c r="U888" s="38">
        <f t="shared" si="100"/>
        <v>74</v>
      </c>
    </row>
    <row r="889" spans="11:21" hidden="1" x14ac:dyDescent="0.25">
      <c r="K889" s="36">
        <f t="shared" ca="1" si="102"/>
        <v>73119</v>
      </c>
      <c r="L889" s="19">
        <v>884</v>
      </c>
      <c r="M889" s="19">
        <f t="shared" si="101"/>
        <v>0</v>
      </c>
      <c r="N889" s="37">
        <f t="shared" si="98"/>
        <v>0</v>
      </c>
      <c r="O889" s="37">
        <f t="shared" si="103"/>
        <v>0</v>
      </c>
      <c r="P889" s="55" cm="1">
        <f t="array" aca="1" ref="P889" ca="1">IF((L889-$C$16)&gt;0, IF($P$1+$C$16&gt;=L889,INDIRECT("M"&amp;(L889-$C$16)+5),0),0)</f>
        <v>0</v>
      </c>
      <c r="Q889" s="56" cm="1">
        <f t="array" aca="1" ref="Q889" ca="1">IF(L889&lt;=$C$16,0,IF($W$2&gt;=L889,IF(L889&lt;=($P$1+$C$16),INDIRECT("N"&amp;(L889-$C$16)+5),FV(SRate,L889-$P$1-$C$16,0,-$W$1,1)),0))</f>
        <v>0</v>
      </c>
      <c r="R889" s="56">
        <f t="shared" ca="1" si="97"/>
        <v>0</v>
      </c>
      <c r="S889" s="19">
        <f t="shared" si="99"/>
        <v>0</v>
      </c>
      <c r="T889" s="36" t="str" cm="1">
        <f t="array" aca="1" ref="T889" ca="1">IF(L889&lt;=$P$1,K889,IF(L889&lt;=($P$1+1),INDIRECT("K"&amp;5+$W$2),""))</f>
        <v/>
      </c>
      <c r="U889" s="38">
        <f t="shared" si="100"/>
        <v>74</v>
      </c>
    </row>
    <row r="890" spans="11:21" hidden="1" x14ac:dyDescent="0.25">
      <c r="K890" s="36">
        <f t="shared" ca="1" si="102"/>
        <v>73150</v>
      </c>
      <c r="L890" s="19">
        <v>885</v>
      </c>
      <c r="M890" s="19">
        <f t="shared" si="101"/>
        <v>0</v>
      </c>
      <c r="N890" s="37">
        <f t="shared" si="98"/>
        <v>0</v>
      </c>
      <c r="O890" s="37">
        <f t="shared" si="103"/>
        <v>0</v>
      </c>
      <c r="P890" s="55" cm="1">
        <f t="array" aca="1" ref="P890" ca="1">IF((L890-$C$16)&gt;0, IF($P$1+$C$16&gt;=L890,INDIRECT("M"&amp;(L890-$C$16)+5),0),0)</f>
        <v>0</v>
      </c>
      <c r="Q890" s="56" cm="1">
        <f t="array" aca="1" ref="Q890" ca="1">IF(L890&lt;=$C$16,0,IF($W$2&gt;=L890,IF(L890&lt;=($P$1+$C$16),INDIRECT("N"&amp;(L890-$C$16)+5),FV(SRate,L890-$P$1-$C$16,0,-$W$1,1)),0))</f>
        <v>0</v>
      </c>
      <c r="R890" s="56">
        <f t="shared" ca="1" si="97"/>
        <v>0</v>
      </c>
      <c r="S890" s="19">
        <f t="shared" si="99"/>
        <v>0</v>
      </c>
      <c r="T890" s="36" t="str" cm="1">
        <f t="array" aca="1" ref="T890" ca="1">IF(L890&lt;=$P$1,K890,IF(L890&lt;=($P$1+1),INDIRECT("K"&amp;5+$W$2),""))</f>
        <v/>
      </c>
      <c r="U890" s="38">
        <f t="shared" si="100"/>
        <v>74</v>
      </c>
    </row>
    <row r="891" spans="11:21" hidden="1" x14ac:dyDescent="0.25">
      <c r="K891" s="36">
        <f t="shared" ca="1" si="102"/>
        <v>73180</v>
      </c>
      <c r="L891" s="19">
        <v>886</v>
      </c>
      <c r="M891" s="19">
        <f t="shared" si="101"/>
        <v>0</v>
      </c>
      <c r="N891" s="37">
        <f t="shared" si="98"/>
        <v>0</v>
      </c>
      <c r="O891" s="37">
        <f t="shared" si="103"/>
        <v>0</v>
      </c>
      <c r="P891" s="55" cm="1">
        <f t="array" aca="1" ref="P891" ca="1">IF((L891-$C$16)&gt;0, IF($P$1+$C$16&gt;=L891,INDIRECT("M"&amp;(L891-$C$16)+5),0),0)</f>
        <v>0</v>
      </c>
      <c r="Q891" s="56" cm="1">
        <f t="array" aca="1" ref="Q891" ca="1">IF(L891&lt;=$C$16,0,IF($W$2&gt;=L891,IF(L891&lt;=($P$1+$C$16),INDIRECT("N"&amp;(L891-$C$16)+5),FV(SRate,L891-$P$1-$C$16,0,-$W$1,1)),0))</f>
        <v>0</v>
      </c>
      <c r="R891" s="56">
        <f t="shared" ca="1" si="97"/>
        <v>0</v>
      </c>
      <c r="S891" s="19">
        <f t="shared" si="99"/>
        <v>0</v>
      </c>
      <c r="T891" s="36" t="str" cm="1">
        <f t="array" aca="1" ref="T891" ca="1">IF(L891&lt;=$P$1,K891,IF(L891&lt;=($P$1+1),INDIRECT("K"&amp;5+$W$2),""))</f>
        <v/>
      </c>
      <c r="U891" s="38">
        <f t="shared" si="100"/>
        <v>74</v>
      </c>
    </row>
    <row r="892" spans="11:21" hidden="1" x14ac:dyDescent="0.25">
      <c r="K892" s="36">
        <f t="shared" ca="1" si="102"/>
        <v>73211</v>
      </c>
      <c r="L892" s="19">
        <v>887</v>
      </c>
      <c r="M892" s="19">
        <f t="shared" si="101"/>
        <v>0</v>
      </c>
      <c r="N892" s="37">
        <f t="shared" si="98"/>
        <v>0</v>
      </c>
      <c r="O892" s="37">
        <f t="shared" si="103"/>
        <v>0</v>
      </c>
      <c r="P892" s="55" cm="1">
        <f t="array" aca="1" ref="P892" ca="1">IF((L892-$C$16)&gt;0, IF($P$1+$C$16&gt;=L892,INDIRECT("M"&amp;(L892-$C$16)+5),0),0)</f>
        <v>0</v>
      </c>
      <c r="Q892" s="56" cm="1">
        <f t="array" aca="1" ref="Q892" ca="1">IF(L892&lt;=$C$16,0,IF($W$2&gt;=L892,IF(L892&lt;=($P$1+$C$16),INDIRECT("N"&amp;(L892-$C$16)+5),FV(SRate,L892-$P$1-$C$16,0,-$W$1,1)),0))</f>
        <v>0</v>
      </c>
      <c r="R892" s="56">
        <f t="shared" ca="1" si="97"/>
        <v>0</v>
      </c>
      <c r="S892" s="19">
        <f t="shared" si="99"/>
        <v>0</v>
      </c>
      <c r="T892" s="36" t="str" cm="1">
        <f t="array" aca="1" ref="T892" ca="1">IF(L892&lt;=$P$1,K892,IF(L892&lt;=($P$1+1),INDIRECT("K"&amp;5+$W$2),""))</f>
        <v/>
      </c>
      <c r="U892" s="38">
        <f t="shared" si="100"/>
        <v>74</v>
      </c>
    </row>
    <row r="893" spans="11:21" hidden="1" x14ac:dyDescent="0.25">
      <c r="K893" s="36">
        <f t="shared" ca="1" si="102"/>
        <v>73241</v>
      </c>
      <c r="L893" s="19">
        <v>888</v>
      </c>
      <c r="M893" s="19">
        <f t="shared" si="101"/>
        <v>0</v>
      </c>
      <c r="N893" s="37">
        <f t="shared" si="98"/>
        <v>0</v>
      </c>
      <c r="O893" s="37">
        <f t="shared" si="103"/>
        <v>0</v>
      </c>
      <c r="P893" s="55" cm="1">
        <f t="array" aca="1" ref="P893" ca="1">IF((L893-$C$16)&gt;0, IF($P$1+$C$16&gt;=L893,INDIRECT("M"&amp;(L893-$C$16)+5),0),0)</f>
        <v>0</v>
      </c>
      <c r="Q893" s="56" cm="1">
        <f t="array" aca="1" ref="Q893" ca="1">IF(L893&lt;=$C$16,0,IF($W$2&gt;=L893,IF(L893&lt;=($P$1+$C$16),INDIRECT("N"&amp;(L893-$C$16)+5),FV(SRate,L893-$P$1-$C$16,0,-$W$1,1)),0))</f>
        <v>0</v>
      </c>
      <c r="R893" s="56">
        <f t="shared" ca="1" si="97"/>
        <v>0</v>
      </c>
      <c r="S893" s="19">
        <f t="shared" si="99"/>
        <v>0</v>
      </c>
      <c r="T893" s="36" t="str" cm="1">
        <f t="array" aca="1" ref="T893" ca="1">IF(L893&lt;=$P$1,K893,IF(L893&lt;=($P$1+1),INDIRECT("K"&amp;5+$W$2),""))</f>
        <v/>
      </c>
      <c r="U893" s="38">
        <f t="shared" si="100"/>
        <v>74</v>
      </c>
    </row>
    <row r="894" spans="11:21" hidden="1" x14ac:dyDescent="0.25">
      <c r="K894" s="36">
        <f t="shared" ca="1" si="102"/>
        <v>73272</v>
      </c>
      <c r="L894" s="19">
        <v>889</v>
      </c>
      <c r="M894" s="19">
        <f t="shared" si="101"/>
        <v>0</v>
      </c>
      <c r="N894" s="37">
        <f t="shared" si="98"/>
        <v>0</v>
      </c>
      <c r="O894" s="37">
        <f t="shared" si="103"/>
        <v>0</v>
      </c>
      <c r="P894" s="55" cm="1">
        <f t="array" aca="1" ref="P894" ca="1">IF((L894-$C$16)&gt;0, IF($P$1+$C$16&gt;=L894,INDIRECT("M"&amp;(L894-$C$16)+5),0),0)</f>
        <v>0</v>
      </c>
      <c r="Q894" s="56" cm="1">
        <f t="array" aca="1" ref="Q894" ca="1">IF(L894&lt;=$C$16,0,IF($W$2&gt;=L894,IF(L894&lt;=($P$1+$C$16),INDIRECT("N"&amp;(L894-$C$16)+5),FV(SRate,L894-$P$1-$C$16,0,-$W$1,1)),0))</f>
        <v>0</v>
      </c>
      <c r="R894" s="56">
        <f t="shared" ca="1" si="97"/>
        <v>0</v>
      </c>
      <c r="S894" s="19">
        <f t="shared" si="99"/>
        <v>0</v>
      </c>
      <c r="T894" s="36" t="str" cm="1">
        <f t="array" aca="1" ref="T894" ca="1">IF(L894&lt;=$P$1,K894,IF(L894&lt;=($P$1+1),INDIRECT("K"&amp;5+$W$2),""))</f>
        <v/>
      </c>
      <c r="U894" s="38">
        <f t="shared" si="100"/>
        <v>75</v>
      </c>
    </row>
    <row r="895" spans="11:21" hidden="1" x14ac:dyDescent="0.25">
      <c r="K895" s="36">
        <f t="shared" ca="1" si="102"/>
        <v>73303</v>
      </c>
      <c r="L895" s="19">
        <v>890</v>
      </c>
      <c r="M895" s="19">
        <f t="shared" si="101"/>
        <v>0</v>
      </c>
      <c r="N895" s="37">
        <f t="shared" si="98"/>
        <v>0</v>
      </c>
      <c r="O895" s="37">
        <f t="shared" si="103"/>
        <v>0</v>
      </c>
      <c r="P895" s="55" cm="1">
        <f t="array" aca="1" ref="P895" ca="1">IF((L895-$C$16)&gt;0, IF($P$1+$C$16&gt;=L895,INDIRECT("M"&amp;(L895-$C$16)+5),0),0)</f>
        <v>0</v>
      </c>
      <c r="Q895" s="56" cm="1">
        <f t="array" aca="1" ref="Q895" ca="1">IF(L895&lt;=$C$16,0,IF($W$2&gt;=L895,IF(L895&lt;=($P$1+$C$16),INDIRECT("N"&amp;(L895-$C$16)+5),FV(SRate,L895-$P$1-$C$16,0,-$W$1,1)),0))</f>
        <v>0</v>
      </c>
      <c r="R895" s="56">
        <f t="shared" ca="1" si="97"/>
        <v>0</v>
      </c>
      <c r="S895" s="19">
        <f t="shared" si="99"/>
        <v>0</v>
      </c>
      <c r="T895" s="36" t="str" cm="1">
        <f t="array" aca="1" ref="T895" ca="1">IF(L895&lt;=$P$1,K895,IF(L895&lt;=($P$1+1),INDIRECT("K"&amp;5+$W$2),""))</f>
        <v/>
      </c>
      <c r="U895" s="38">
        <f t="shared" si="100"/>
        <v>75</v>
      </c>
    </row>
    <row r="896" spans="11:21" hidden="1" x14ac:dyDescent="0.25">
      <c r="K896" s="36">
        <f t="shared" ca="1" si="102"/>
        <v>73333</v>
      </c>
      <c r="L896" s="19">
        <v>891</v>
      </c>
      <c r="M896" s="19">
        <f t="shared" si="101"/>
        <v>0</v>
      </c>
      <c r="N896" s="37">
        <f t="shared" si="98"/>
        <v>0</v>
      </c>
      <c r="O896" s="37">
        <f t="shared" si="103"/>
        <v>0</v>
      </c>
      <c r="P896" s="55" cm="1">
        <f t="array" aca="1" ref="P896" ca="1">IF((L896-$C$16)&gt;0, IF($P$1+$C$16&gt;=L896,INDIRECT("M"&amp;(L896-$C$16)+5),0),0)</f>
        <v>0</v>
      </c>
      <c r="Q896" s="56" cm="1">
        <f t="array" aca="1" ref="Q896" ca="1">IF(L896&lt;=$C$16,0,IF($W$2&gt;=L896,IF(L896&lt;=($P$1+$C$16),INDIRECT("N"&amp;(L896-$C$16)+5),FV(SRate,L896-$P$1-$C$16,0,-$W$1,1)),0))</f>
        <v>0</v>
      </c>
      <c r="R896" s="56">
        <f t="shared" ca="1" si="97"/>
        <v>0</v>
      </c>
      <c r="S896" s="19">
        <f t="shared" si="99"/>
        <v>0</v>
      </c>
      <c r="T896" s="36" t="str" cm="1">
        <f t="array" aca="1" ref="T896" ca="1">IF(L896&lt;=$P$1,K896,IF(L896&lt;=($P$1+1),INDIRECT("K"&amp;5+$W$2),""))</f>
        <v/>
      </c>
      <c r="U896" s="38">
        <f t="shared" si="100"/>
        <v>75</v>
      </c>
    </row>
    <row r="897" spans="11:21" hidden="1" x14ac:dyDescent="0.25">
      <c r="K897" s="36">
        <f t="shared" ca="1" si="102"/>
        <v>73364</v>
      </c>
      <c r="L897" s="19">
        <v>892</v>
      </c>
      <c r="M897" s="19">
        <f t="shared" si="101"/>
        <v>0</v>
      </c>
      <c r="N897" s="37">
        <f t="shared" si="98"/>
        <v>0</v>
      </c>
      <c r="O897" s="37">
        <f t="shared" si="103"/>
        <v>0</v>
      </c>
      <c r="P897" s="55" cm="1">
        <f t="array" aca="1" ref="P897" ca="1">IF((L897-$C$16)&gt;0, IF($P$1+$C$16&gt;=L897,INDIRECT("M"&amp;(L897-$C$16)+5),0),0)</f>
        <v>0</v>
      </c>
      <c r="Q897" s="56" cm="1">
        <f t="array" aca="1" ref="Q897" ca="1">IF(L897&lt;=$C$16,0,IF($W$2&gt;=L897,IF(L897&lt;=($P$1+$C$16),INDIRECT("N"&amp;(L897-$C$16)+5),FV(SRate,L897-$P$1-$C$16,0,-$W$1,1)),0))</f>
        <v>0</v>
      </c>
      <c r="R897" s="56">
        <f t="shared" ca="1" si="97"/>
        <v>0</v>
      </c>
      <c r="S897" s="19">
        <f t="shared" si="99"/>
        <v>0</v>
      </c>
      <c r="T897" s="36" t="str" cm="1">
        <f t="array" aca="1" ref="T897" ca="1">IF(L897&lt;=$P$1,K897,IF(L897&lt;=($P$1+1),INDIRECT("K"&amp;5+$W$2),""))</f>
        <v/>
      </c>
      <c r="U897" s="38">
        <f t="shared" si="100"/>
        <v>75</v>
      </c>
    </row>
    <row r="898" spans="11:21" hidden="1" x14ac:dyDescent="0.25">
      <c r="K898" s="36">
        <f t="shared" ca="1" si="102"/>
        <v>73394</v>
      </c>
      <c r="L898" s="19">
        <v>893</v>
      </c>
      <c r="M898" s="19">
        <f t="shared" si="101"/>
        <v>0</v>
      </c>
      <c r="N898" s="37">
        <f t="shared" si="98"/>
        <v>0</v>
      </c>
      <c r="O898" s="37">
        <f t="shared" si="103"/>
        <v>0</v>
      </c>
      <c r="P898" s="55" cm="1">
        <f t="array" aca="1" ref="P898" ca="1">IF((L898-$C$16)&gt;0, IF($P$1+$C$16&gt;=L898,INDIRECT("M"&amp;(L898-$C$16)+5),0),0)</f>
        <v>0</v>
      </c>
      <c r="Q898" s="56" cm="1">
        <f t="array" aca="1" ref="Q898" ca="1">IF(L898&lt;=$C$16,0,IF($W$2&gt;=L898,IF(L898&lt;=($P$1+$C$16),INDIRECT("N"&amp;(L898-$C$16)+5),FV(SRate,L898-$P$1-$C$16,0,-$W$1,1)),0))</f>
        <v>0</v>
      </c>
      <c r="R898" s="56">
        <f t="shared" ca="1" si="97"/>
        <v>0</v>
      </c>
      <c r="S898" s="19">
        <f t="shared" si="99"/>
        <v>0</v>
      </c>
      <c r="T898" s="36" t="str" cm="1">
        <f t="array" aca="1" ref="T898" ca="1">IF(L898&lt;=$P$1,K898,IF(L898&lt;=($P$1+1),INDIRECT("K"&amp;5+$W$2),""))</f>
        <v/>
      </c>
      <c r="U898" s="38">
        <f t="shared" si="100"/>
        <v>75</v>
      </c>
    </row>
    <row r="899" spans="11:21" hidden="1" x14ac:dyDescent="0.25">
      <c r="K899" s="36">
        <f t="shared" ca="1" si="102"/>
        <v>73425</v>
      </c>
      <c r="L899" s="19">
        <v>894</v>
      </c>
      <c r="M899" s="19">
        <f t="shared" si="101"/>
        <v>0</v>
      </c>
      <c r="N899" s="37">
        <f t="shared" si="98"/>
        <v>0</v>
      </c>
      <c r="O899" s="37">
        <f t="shared" si="103"/>
        <v>0</v>
      </c>
      <c r="P899" s="55" cm="1">
        <f t="array" aca="1" ref="P899" ca="1">IF((L899-$C$16)&gt;0, IF($P$1+$C$16&gt;=L899,INDIRECT("M"&amp;(L899-$C$16)+5),0),0)</f>
        <v>0</v>
      </c>
      <c r="Q899" s="56" cm="1">
        <f t="array" aca="1" ref="Q899" ca="1">IF(L899&lt;=$C$16,0,IF($W$2&gt;=L899,IF(L899&lt;=($P$1+$C$16),INDIRECT("N"&amp;(L899-$C$16)+5),FV(SRate,L899-$P$1-$C$16,0,-$W$1,1)),0))</f>
        <v>0</v>
      </c>
      <c r="R899" s="56">
        <f t="shared" ca="1" si="97"/>
        <v>0</v>
      </c>
      <c r="S899" s="19">
        <f t="shared" si="99"/>
        <v>0</v>
      </c>
      <c r="T899" s="36" t="str" cm="1">
        <f t="array" aca="1" ref="T899" ca="1">IF(L899&lt;=$P$1,K899,IF(L899&lt;=($P$1+1),INDIRECT("K"&amp;5+$W$2),""))</f>
        <v/>
      </c>
      <c r="U899" s="38">
        <f t="shared" si="100"/>
        <v>75</v>
      </c>
    </row>
    <row r="900" spans="11:21" hidden="1" x14ac:dyDescent="0.25">
      <c r="K900" s="36">
        <f t="shared" ca="1" si="102"/>
        <v>73456</v>
      </c>
      <c r="L900" s="19">
        <v>895</v>
      </c>
      <c r="M900" s="19">
        <f t="shared" si="101"/>
        <v>0</v>
      </c>
      <c r="N900" s="37">
        <f t="shared" si="98"/>
        <v>0</v>
      </c>
      <c r="O900" s="37">
        <f t="shared" si="103"/>
        <v>0</v>
      </c>
      <c r="P900" s="55" cm="1">
        <f t="array" aca="1" ref="P900" ca="1">IF((L900-$C$16)&gt;0, IF($P$1+$C$16&gt;=L900,INDIRECT("M"&amp;(L900-$C$16)+5),0),0)</f>
        <v>0</v>
      </c>
      <c r="Q900" s="56" cm="1">
        <f t="array" aca="1" ref="Q900" ca="1">IF(L900&lt;=$C$16,0,IF($W$2&gt;=L900,IF(L900&lt;=($P$1+$C$16),INDIRECT("N"&amp;(L900-$C$16)+5),FV(SRate,L900-$P$1-$C$16,0,-$W$1,1)),0))</f>
        <v>0</v>
      </c>
      <c r="R900" s="56">
        <f t="shared" ca="1" si="97"/>
        <v>0</v>
      </c>
      <c r="S900" s="19">
        <f t="shared" si="99"/>
        <v>0</v>
      </c>
      <c r="T900" s="36" t="str" cm="1">
        <f t="array" aca="1" ref="T900" ca="1">IF(L900&lt;=$P$1,K900,IF(L900&lt;=($P$1+1),INDIRECT("K"&amp;5+$W$2),""))</f>
        <v/>
      </c>
      <c r="U900" s="38">
        <f t="shared" si="100"/>
        <v>75</v>
      </c>
    </row>
    <row r="901" spans="11:21" hidden="1" x14ac:dyDescent="0.25">
      <c r="K901" s="36">
        <f t="shared" ca="1" si="102"/>
        <v>73484</v>
      </c>
      <c r="L901" s="19">
        <v>896</v>
      </c>
      <c r="M901" s="19">
        <f t="shared" si="101"/>
        <v>0</v>
      </c>
      <c r="N901" s="37">
        <f t="shared" si="98"/>
        <v>0</v>
      </c>
      <c r="O901" s="37">
        <f t="shared" si="103"/>
        <v>0</v>
      </c>
      <c r="P901" s="55" cm="1">
        <f t="array" aca="1" ref="P901" ca="1">IF((L901-$C$16)&gt;0, IF($P$1+$C$16&gt;=L901,INDIRECT("M"&amp;(L901-$C$16)+5),0),0)</f>
        <v>0</v>
      </c>
      <c r="Q901" s="56" cm="1">
        <f t="array" aca="1" ref="Q901" ca="1">IF(L901&lt;=$C$16,0,IF($W$2&gt;=L901,IF(L901&lt;=($P$1+$C$16),INDIRECT("N"&amp;(L901-$C$16)+5),FV(SRate,L901-$P$1-$C$16,0,-$W$1,1)),0))</f>
        <v>0</v>
      </c>
      <c r="R901" s="56">
        <f t="shared" ca="1" si="97"/>
        <v>0</v>
      </c>
      <c r="S901" s="19">
        <f t="shared" si="99"/>
        <v>0</v>
      </c>
      <c r="T901" s="36" t="str" cm="1">
        <f t="array" aca="1" ref="T901" ca="1">IF(L901&lt;=$P$1,K901,IF(L901&lt;=($P$1+1),INDIRECT("K"&amp;5+$W$2),""))</f>
        <v/>
      </c>
      <c r="U901" s="38">
        <f t="shared" si="100"/>
        <v>75</v>
      </c>
    </row>
    <row r="902" spans="11:21" hidden="1" x14ac:dyDescent="0.25">
      <c r="K902" s="36">
        <f t="shared" ca="1" si="102"/>
        <v>73515</v>
      </c>
      <c r="L902" s="19">
        <v>897</v>
      </c>
      <c r="M902" s="19">
        <f t="shared" si="101"/>
        <v>0</v>
      </c>
      <c r="N902" s="37">
        <f t="shared" si="98"/>
        <v>0</v>
      </c>
      <c r="O902" s="37">
        <f t="shared" si="103"/>
        <v>0</v>
      </c>
      <c r="P902" s="55" cm="1">
        <f t="array" aca="1" ref="P902" ca="1">IF((L902-$C$16)&gt;0, IF($P$1+$C$16&gt;=L902,INDIRECT("M"&amp;(L902-$C$16)+5),0),0)</f>
        <v>0</v>
      </c>
      <c r="Q902" s="56" cm="1">
        <f t="array" aca="1" ref="Q902" ca="1">IF(L902&lt;=$C$16,0,IF($W$2&gt;=L902,IF(L902&lt;=($P$1+$C$16),INDIRECT("N"&amp;(L902-$C$16)+5),FV(SRate,L902-$P$1-$C$16,0,-$W$1,1)),0))</f>
        <v>0</v>
      </c>
      <c r="R902" s="56">
        <f t="shared" ref="R902:R965" ca="1" si="104">Q902/((1+SIPInflationRate)^((L902-$C$16)/12))</f>
        <v>0</v>
      </c>
      <c r="S902" s="19">
        <f t="shared" si="99"/>
        <v>0</v>
      </c>
      <c r="T902" s="36" t="str" cm="1">
        <f t="array" aca="1" ref="T902" ca="1">IF(L902&lt;=$P$1,K902,IF(L902&lt;=($P$1+1),INDIRECT("K"&amp;5+$W$2),""))</f>
        <v/>
      </c>
      <c r="U902" s="38">
        <f t="shared" si="100"/>
        <v>75</v>
      </c>
    </row>
    <row r="903" spans="11:21" hidden="1" x14ac:dyDescent="0.25">
      <c r="K903" s="36">
        <f t="shared" ca="1" si="102"/>
        <v>73545</v>
      </c>
      <c r="L903" s="19">
        <v>898</v>
      </c>
      <c r="M903" s="19">
        <f t="shared" si="101"/>
        <v>0</v>
      </c>
      <c r="N903" s="37">
        <f t="shared" ref="N903:N966" si="105">IF($W$2&gt;=L903,IF(L903&lt;=$P$1,(M903-M902+N902)*(1+SRate),FV(SRate,L903-$P$1,0,-$W$1,1)),0)</f>
        <v>0</v>
      </c>
      <c r="O903" s="37">
        <f t="shared" si="103"/>
        <v>0</v>
      </c>
      <c r="P903" s="55" cm="1">
        <f t="array" aca="1" ref="P903" ca="1">IF((L903-$C$16)&gt;0, IF($P$1+$C$16&gt;=L903,INDIRECT("M"&amp;(L903-$C$16)+5),0),0)</f>
        <v>0</v>
      </c>
      <c r="Q903" s="56" cm="1">
        <f t="array" aca="1" ref="Q903" ca="1">IF(L903&lt;=$C$16,0,IF($W$2&gt;=L903,IF(L903&lt;=($P$1+$C$16),INDIRECT("N"&amp;(L903-$C$16)+5),FV(SRate,L903-$P$1-$C$16,0,-$W$1,1)),0))</f>
        <v>0</v>
      </c>
      <c r="R903" s="56">
        <f t="shared" ca="1" si="104"/>
        <v>0</v>
      </c>
      <c r="S903" s="19">
        <f t="shared" ref="S903:S966" si="106">IF(L903&lt;=$P$1,-(_xlfn.XLOOKUP(U903,$Z$3:$Z$72,$AB$3:$AB$72,0)),IF(L903&lt;=($P$1+1),$W$4,0))</f>
        <v>0</v>
      </c>
      <c r="T903" s="36" t="str" cm="1">
        <f t="array" aca="1" ref="T903" ca="1">IF(L903&lt;=$P$1,K903,IF(L903&lt;=($P$1+1),INDIRECT("K"&amp;5+$W$2),""))</f>
        <v/>
      </c>
      <c r="U903" s="38">
        <f t="shared" ref="U903:U966" si="107">QUOTIENT(L903,12)+IF(MOD(L903,12)=0,-1,0)+1</f>
        <v>75</v>
      </c>
    </row>
    <row r="904" spans="11:21" hidden="1" x14ac:dyDescent="0.25">
      <c r="K904" s="36">
        <f t="shared" ca="1" si="102"/>
        <v>73576</v>
      </c>
      <c r="L904" s="19">
        <v>899</v>
      </c>
      <c r="M904" s="19">
        <f t="shared" ref="M904:M967" si="108">IF($P$1&gt;=L904,_xlfn.XLOOKUP(U904,$Z$3:$Z$72,$AB$3:$AB$72,0)+M903,0)</f>
        <v>0</v>
      </c>
      <c r="N904" s="37">
        <f t="shared" si="105"/>
        <v>0</v>
      </c>
      <c r="O904" s="37">
        <f t="shared" si="103"/>
        <v>0</v>
      </c>
      <c r="P904" s="55" cm="1">
        <f t="array" aca="1" ref="P904" ca="1">IF((L904-$C$16)&gt;0, IF($P$1+$C$16&gt;=L904,INDIRECT("M"&amp;(L904-$C$16)+5),0),0)</f>
        <v>0</v>
      </c>
      <c r="Q904" s="56" cm="1">
        <f t="array" aca="1" ref="Q904" ca="1">IF(L904&lt;=$C$16,0,IF($W$2&gt;=L904,IF(L904&lt;=($P$1+$C$16),INDIRECT("N"&amp;(L904-$C$16)+5),FV(SRate,L904-$P$1-$C$16,0,-$W$1,1)),0))</f>
        <v>0</v>
      </c>
      <c r="R904" s="56">
        <f t="shared" ca="1" si="104"/>
        <v>0</v>
      </c>
      <c r="S904" s="19">
        <f t="shared" si="106"/>
        <v>0</v>
      </c>
      <c r="T904" s="36" t="str" cm="1">
        <f t="array" aca="1" ref="T904" ca="1">IF(L904&lt;=$P$1,K904,IF(L904&lt;=($P$1+1),INDIRECT("K"&amp;5+$W$2),""))</f>
        <v/>
      </c>
      <c r="U904" s="38">
        <f t="shared" si="107"/>
        <v>75</v>
      </c>
    </row>
    <row r="905" spans="11:21" hidden="1" x14ac:dyDescent="0.25">
      <c r="K905" s="36">
        <f t="shared" ref="K905:K968" ca="1" si="109">EDATE(K904,1)</f>
        <v>73606</v>
      </c>
      <c r="L905" s="19">
        <v>900</v>
      </c>
      <c r="M905" s="19">
        <f t="shared" si="108"/>
        <v>0</v>
      </c>
      <c r="N905" s="37">
        <f t="shared" si="105"/>
        <v>0</v>
      </c>
      <c r="O905" s="37">
        <f t="shared" si="103"/>
        <v>0</v>
      </c>
      <c r="P905" s="55" cm="1">
        <f t="array" aca="1" ref="P905" ca="1">IF((L905-$C$16)&gt;0, IF($P$1+$C$16&gt;=L905,INDIRECT("M"&amp;(L905-$C$16)+5),0),0)</f>
        <v>0</v>
      </c>
      <c r="Q905" s="56" cm="1">
        <f t="array" aca="1" ref="Q905" ca="1">IF(L905&lt;=$C$16,0,IF($W$2&gt;=L905,IF(L905&lt;=($P$1+$C$16),INDIRECT("N"&amp;(L905-$C$16)+5),FV(SRate,L905-$P$1-$C$16,0,-$W$1,1)),0))</f>
        <v>0</v>
      </c>
      <c r="R905" s="56">
        <f t="shared" ca="1" si="104"/>
        <v>0</v>
      </c>
      <c r="S905" s="19">
        <f t="shared" si="106"/>
        <v>0</v>
      </c>
      <c r="T905" s="36" t="str" cm="1">
        <f t="array" aca="1" ref="T905" ca="1">IF(L905&lt;=$P$1,K905,IF(L905&lt;=($P$1+1),INDIRECT("K"&amp;5+$W$2),""))</f>
        <v/>
      </c>
      <c r="U905" s="38">
        <f t="shared" si="107"/>
        <v>75</v>
      </c>
    </row>
    <row r="906" spans="11:21" hidden="1" x14ac:dyDescent="0.25">
      <c r="K906" s="36">
        <f t="shared" ca="1" si="109"/>
        <v>73637</v>
      </c>
      <c r="L906" s="19">
        <v>901</v>
      </c>
      <c r="M906" s="19">
        <f t="shared" si="108"/>
        <v>0</v>
      </c>
      <c r="N906" s="37">
        <f t="shared" si="105"/>
        <v>0</v>
      </c>
      <c r="O906" s="37">
        <f t="shared" si="103"/>
        <v>0</v>
      </c>
      <c r="P906" s="55" cm="1">
        <f t="array" aca="1" ref="P906" ca="1">IF((L906-$C$16)&gt;0, IF($P$1+$C$16&gt;=L906,INDIRECT("M"&amp;(L906-$C$16)+5),0),0)</f>
        <v>0</v>
      </c>
      <c r="Q906" s="56" cm="1">
        <f t="array" aca="1" ref="Q906" ca="1">IF(L906&lt;=$C$16,0,IF($W$2&gt;=L906,IF(L906&lt;=($P$1+$C$16),INDIRECT("N"&amp;(L906-$C$16)+5),FV(SRate,L906-$P$1-$C$16,0,-$W$1,1)),0))</f>
        <v>0</v>
      </c>
      <c r="R906" s="56">
        <f t="shared" ca="1" si="104"/>
        <v>0</v>
      </c>
      <c r="S906" s="19">
        <f t="shared" si="106"/>
        <v>0</v>
      </c>
      <c r="T906" s="36" t="str" cm="1">
        <f t="array" aca="1" ref="T906" ca="1">IF(L906&lt;=$P$1,K906,IF(L906&lt;=($P$1+1),INDIRECT("K"&amp;5+$W$2),""))</f>
        <v/>
      </c>
      <c r="U906" s="38">
        <f t="shared" si="107"/>
        <v>76</v>
      </c>
    </row>
    <row r="907" spans="11:21" hidden="1" x14ac:dyDescent="0.25">
      <c r="K907" s="36">
        <f t="shared" ca="1" si="109"/>
        <v>73668</v>
      </c>
      <c r="L907" s="19">
        <v>902</v>
      </c>
      <c r="M907" s="19">
        <f t="shared" si="108"/>
        <v>0</v>
      </c>
      <c r="N907" s="37">
        <f t="shared" si="105"/>
        <v>0</v>
      </c>
      <c r="O907" s="37">
        <f t="shared" si="103"/>
        <v>0</v>
      </c>
      <c r="P907" s="55" cm="1">
        <f t="array" aca="1" ref="P907" ca="1">IF((L907-$C$16)&gt;0, IF($P$1+$C$16&gt;=L907,INDIRECT("M"&amp;(L907-$C$16)+5),0),0)</f>
        <v>0</v>
      </c>
      <c r="Q907" s="56" cm="1">
        <f t="array" aca="1" ref="Q907" ca="1">IF(L907&lt;=$C$16,0,IF($W$2&gt;=L907,IF(L907&lt;=($P$1+$C$16),INDIRECT("N"&amp;(L907-$C$16)+5),FV(SRate,L907-$P$1-$C$16,0,-$W$1,1)),0))</f>
        <v>0</v>
      </c>
      <c r="R907" s="56">
        <f t="shared" ca="1" si="104"/>
        <v>0</v>
      </c>
      <c r="S907" s="19">
        <f t="shared" si="106"/>
        <v>0</v>
      </c>
      <c r="T907" s="36" t="str" cm="1">
        <f t="array" aca="1" ref="T907" ca="1">IF(L907&lt;=$P$1,K907,IF(L907&lt;=($P$1+1),INDIRECT("K"&amp;5+$W$2),""))</f>
        <v/>
      </c>
      <c r="U907" s="38">
        <f t="shared" si="107"/>
        <v>76</v>
      </c>
    </row>
    <row r="908" spans="11:21" hidden="1" x14ac:dyDescent="0.25">
      <c r="K908" s="36">
        <f t="shared" ca="1" si="109"/>
        <v>73698</v>
      </c>
      <c r="L908" s="19">
        <v>903</v>
      </c>
      <c r="M908" s="19">
        <f t="shared" si="108"/>
        <v>0</v>
      </c>
      <c r="N908" s="37">
        <f t="shared" si="105"/>
        <v>0</v>
      </c>
      <c r="O908" s="37">
        <f t="shared" si="103"/>
        <v>0</v>
      </c>
      <c r="P908" s="55" cm="1">
        <f t="array" aca="1" ref="P908" ca="1">IF((L908-$C$16)&gt;0, IF($P$1+$C$16&gt;=L908,INDIRECT("M"&amp;(L908-$C$16)+5),0),0)</f>
        <v>0</v>
      </c>
      <c r="Q908" s="56" cm="1">
        <f t="array" aca="1" ref="Q908" ca="1">IF(L908&lt;=$C$16,0,IF($W$2&gt;=L908,IF(L908&lt;=($P$1+$C$16),INDIRECT("N"&amp;(L908-$C$16)+5),FV(SRate,L908-$P$1-$C$16,0,-$W$1,1)),0))</f>
        <v>0</v>
      </c>
      <c r="R908" s="56">
        <f t="shared" ca="1" si="104"/>
        <v>0</v>
      </c>
      <c r="S908" s="19">
        <f t="shared" si="106"/>
        <v>0</v>
      </c>
      <c r="T908" s="36" t="str" cm="1">
        <f t="array" aca="1" ref="T908" ca="1">IF(L908&lt;=$P$1,K908,IF(L908&lt;=($P$1+1),INDIRECT("K"&amp;5+$W$2),""))</f>
        <v/>
      </c>
      <c r="U908" s="38">
        <f t="shared" si="107"/>
        <v>76</v>
      </c>
    </row>
    <row r="909" spans="11:21" hidden="1" x14ac:dyDescent="0.25">
      <c r="K909" s="36">
        <f t="shared" ca="1" si="109"/>
        <v>73729</v>
      </c>
      <c r="L909" s="19">
        <v>904</v>
      </c>
      <c r="M909" s="19">
        <f t="shared" si="108"/>
        <v>0</v>
      </c>
      <c r="N909" s="37">
        <f t="shared" si="105"/>
        <v>0</v>
      </c>
      <c r="O909" s="37">
        <f t="shared" si="103"/>
        <v>0</v>
      </c>
      <c r="P909" s="55" cm="1">
        <f t="array" aca="1" ref="P909" ca="1">IF((L909-$C$16)&gt;0, IF($P$1+$C$16&gt;=L909,INDIRECT("M"&amp;(L909-$C$16)+5),0),0)</f>
        <v>0</v>
      </c>
      <c r="Q909" s="56" cm="1">
        <f t="array" aca="1" ref="Q909" ca="1">IF(L909&lt;=$C$16,0,IF($W$2&gt;=L909,IF(L909&lt;=($P$1+$C$16),INDIRECT("N"&amp;(L909-$C$16)+5),FV(SRate,L909-$P$1-$C$16,0,-$W$1,1)),0))</f>
        <v>0</v>
      </c>
      <c r="R909" s="56">
        <f t="shared" ca="1" si="104"/>
        <v>0</v>
      </c>
      <c r="S909" s="19">
        <f t="shared" si="106"/>
        <v>0</v>
      </c>
      <c r="T909" s="36" t="str" cm="1">
        <f t="array" aca="1" ref="T909" ca="1">IF(L909&lt;=$P$1,K909,IF(L909&lt;=($P$1+1),INDIRECT("K"&amp;5+$W$2),""))</f>
        <v/>
      </c>
      <c r="U909" s="38">
        <f t="shared" si="107"/>
        <v>76</v>
      </c>
    </row>
    <row r="910" spans="11:21" hidden="1" x14ac:dyDescent="0.25">
      <c r="K910" s="36">
        <f t="shared" ca="1" si="109"/>
        <v>73759</v>
      </c>
      <c r="L910" s="19">
        <v>905</v>
      </c>
      <c r="M910" s="19">
        <f t="shared" si="108"/>
        <v>0</v>
      </c>
      <c r="N910" s="37">
        <f t="shared" si="105"/>
        <v>0</v>
      </c>
      <c r="O910" s="37">
        <f t="shared" si="103"/>
        <v>0</v>
      </c>
      <c r="P910" s="55" cm="1">
        <f t="array" aca="1" ref="P910" ca="1">IF((L910-$C$16)&gt;0, IF($P$1+$C$16&gt;=L910,INDIRECT("M"&amp;(L910-$C$16)+5),0),0)</f>
        <v>0</v>
      </c>
      <c r="Q910" s="56" cm="1">
        <f t="array" aca="1" ref="Q910" ca="1">IF(L910&lt;=$C$16,0,IF($W$2&gt;=L910,IF(L910&lt;=($P$1+$C$16),INDIRECT("N"&amp;(L910-$C$16)+5),FV(SRate,L910-$P$1-$C$16,0,-$W$1,1)),0))</f>
        <v>0</v>
      </c>
      <c r="R910" s="56">
        <f t="shared" ca="1" si="104"/>
        <v>0</v>
      </c>
      <c r="S910" s="19">
        <f t="shared" si="106"/>
        <v>0</v>
      </c>
      <c r="T910" s="36" t="str" cm="1">
        <f t="array" aca="1" ref="T910" ca="1">IF(L910&lt;=$P$1,K910,IF(L910&lt;=($P$1+1),INDIRECT("K"&amp;5+$W$2),""))</f>
        <v/>
      </c>
      <c r="U910" s="38">
        <f t="shared" si="107"/>
        <v>76</v>
      </c>
    </row>
    <row r="911" spans="11:21" hidden="1" x14ac:dyDescent="0.25">
      <c r="K911" s="36">
        <f t="shared" ca="1" si="109"/>
        <v>73790</v>
      </c>
      <c r="L911" s="19">
        <v>906</v>
      </c>
      <c r="M911" s="19">
        <f t="shared" si="108"/>
        <v>0</v>
      </c>
      <c r="N911" s="37">
        <f t="shared" si="105"/>
        <v>0</v>
      </c>
      <c r="O911" s="37">
        <f t="shared" si="103"/>
        <v>0</v>
      </c>
      <c r="P911" s="55" cm="1">
        <f t="array" aca="1" ref="P911" ca="1">IF((L911-$C$16)&gt;0, IF($P$1+$C$16&gt;=L911,INDIRECT("M"&amp;(L911-$C$16)+5),0),0)</f>
        <v>0</v>
      </c>
      <c r="Q911" s="56" cm="1">
        <f t="array" aca="1" ref="Q911" ca="1">IF(L911&lt;=$C$16,0,IF($W$2&gt;=L911,IF(L911&lt;=($P$1+$C$16),INDIRECT("N"&amp;(L911-$C$16)+5),FV(SRate,L911-$P$1-$C$16,0,-$W$1,1)),0))</f>
        <v>0</v>
      </c>
      <c r="R911" s="56">
        <f t="shared" ca="1" si="104"/>
        <v>0</v>
      </c>
      <c r="S911" s="19">
        <f t="shared" si="106"/>
        <v>0</v>
      </c>
      <c r="T911" s="36" t="str" cm="1">
        <f t="array" aca="1" ref="T911" ca="1">IF(L911&lt;=$P$1,K911,IF(L911&lt;=($P$1+1),INDIRECT("K"&amp;5+$W$2),""))</f>
        <v/>
      </c>
      <c r="U911" s="38">
        <f t="shared" si="107"/>
        <v>76</v>
      </c>
    </row>
    <row r="912" spans="11:21" hidden="1" x14ac:dyDescent="0.25">
      <c r="K912" s="36">
        <f t="shared" ca="1" si="109"/>
        <v>73821</v>
      </c>
      <c r="L912" s="19">
        <v>907</v>
      </c>
      <c r="M912" s="19">
        <f t="shared" si="108"/>
        <v>0</v>
      </c>
      <c r="N912" s="37">
        <f t="shared" si="105"/>
        <v>0</v>
      </c>
      <c r="O912" s="37">
        <f t="shared" si="103"/>
        <v>0</v>
      </c>
      <c r="P912" s="55" cm="1">
        <f t="array" aca="1" ref="P912" ca="1">IF((L912-$C$16)&gt;0, IF($P$1+$C$16&gt;=L912,INDIRECT("M"&amp;(L912-$C$16)+5),0),0)</f>
        <v>0</v>
      </c>
      <c r="Q912" s="56" cm="1">
        <f t="array" aca="1" ref="Q912" ca="1">IF(L912&lt;=$C$16,0,IF($W$2&gt;=L912,IF(L912&lt;=($P$1+$C$16),INDIRECT("N"&amp;(L912-$C$16)+5),FV(SRate,L912-$P$1-$C$16,0,-$W$1,1)),0))</f>
        <v>0</v>
      </c>
      <c r="R912" s="56">
        <f t="shared" ca="1" si="104"/>
        <v>0</v>
      </c>
      <c r="S912" s="19">
        <f t="shared" si="106"/>
        <v>0</v>
      </c>
      <c r="T912" s="36" t="str" cm="1">
        <f t="array" aca="1" ref="T912" ca="1">IF(L912&lt;=$P$1,K912,IF(L912&lt;=($P$1+1),INDIRECT("K"&amp;5+$W$2),""))</f>
        <v/>
      </c>
      <c r="U912" s="38">
        <f t="shared" si="107"/>
        <v>76</v>
      </c>
    </row>
    <row r="913" spans="11:21" hidden="1" x14ac:dyDescent="0.25">
      <c r="K913" s="36">
        <f t="shared" ca="1" si="109"/>
        <v>73849</v>
      </c>
      <c r="L913" s="19">
        <v>908</v>
      </c>
      <c r="M913" s="19">
        <f t="shared" si="108"/>
        <v>0</v>
      </c>
      <c r="N913" s="37">
        <f t="shared" si="105"/>
        <v>0</v>
      </c>
      <c r="O913" s="37">
        <f t="shared" si="103"/>
        <v>0</v>
      </c>
      <c r="P913" s="55" cm="1">
        <f t="array" aca="1" ref="P913" ca="1">IF((L913-$C$16)&gt;0, IF($P$1+$C$16&gt;=L913,INDIRECT("M"&amp;(L913-$C$16)+5),0),0)</f>
        <v>0</v>
      </c>
      <c r="Q913" s="56" cm="1">
        <f t="array" aca="1" ref="Q913" ca="1">IF(L913&lt;=$C$16,0,IF($W$2&gt;=L913,IF(L913&lt;=($P$1+$C$16),INDIRECT("N"&amp;(L913-$C$16)+5),FV(SRate,L913-$P$1-$C$16,0,-$W$1,1)),0))</f>
        <v>0</v>
      </c>
      <c r="R913" s="56">
        <f t="shared" ca="1" si="104"/>
        <v>0</v>
      </c>
      <c r="S913" s="19">
        <f t="shared" si="106"/>
        <v>0</v>
      </c>
      <c r="T913" s="36" t="str" cm="1">
        <f t="array" aca="1" ref="T913" ca="1">IF(L913&lt;=$P$1,K913,IF(L913&lt;=($P$1+1),INDIRECT("K"&amp;5+$W$2),""))</f>
        <v/>
      </c>
      <c r="U913" s="38">
        <f t="shared" si="107"/>
        <v>76</v>
      </c>
    </row>
    <row r="914" spans="11:21" hidden="1" x14ac:dyDescent="0.25">
      <c r="K914" s="36">
        <f t="shared" ca="1" si="109"/>
        <v>73880</v>
      </c>
      <c r="L914" s="19">
        <v>909</v>
      </c>
      <c r="M914" s="19">
        <f t="shared" si="108"/>
        <v>0</v>
      </c>
      <c r="N914" s="37">
        <f t="shared" si="105"/>
        <v>0</v>
      </c>
      <c r="O914" s="37">
        <f t="shared" si="103"/>
        <v>0</v>
      </c>
      <c r="P914" s="55" cm="1">
        <f t="array" aca="1" ref="P914" ca="1">IF((L914-$C$16)&gt;0, IF($P$1+$C$16&gt;=L914,INDIRECT("M"&amp;(L914-$C$16)+5),0),0)</f>
        <v>0</v>
      </c>
      <c r="Q914" s="56" cm="1">
        <f t="array" aca="1" ref="Q914" ca="1">IF(L914&lt;=$C$16,0,IF($W$2&gt;=L914,IF(L914&lt;=($P$1+$C$16),INDIRECT("N"&amp;(L914-$C$16)+5),FV(SRate,L914-$P$1-$C$16,0,-$W$1,1)),0))</f>
        <v>0</v>
      </c>
      <c r="R914" s="56">
        <f t="shared" ca="1" si="104"/>
        <v>0</v>
      </c>
      <c r="S914" s="19">
        <f t="shared" si="106"/>
        <v>0</v>
      </c>
      <c r="T914" s="36" t="str" cm="1">
        <f t="array" aca="1" ref="T914" ca="1">IF(L914&lt;=$P$1,K914,IF(L914&lt;=($P$1+1),INDIRECT("K"&amp;5+$W$2),""))</f>
        <v/>
      </c>
      <c r="U914" s="38">
        <f t="shared" si="107"/>
        <v>76</v>
      </c>
    </row>
    <row r="915" spans="11:21" hidden="1" x14ac:dyDescent="0.25">
      <c r="K915" s="36">
        <f t="shared" ca="1" si="109"/>
        <v>73910</v>
      </c>
      <c r="L915" s="19">
        <v>910</v>
      </c>
      <c r="M915" s="19">
        <f t="shared" si="108"/>
        <v>0</v>
      </c>
      <c r="N915" s="37">
        <f t="shared" si="105"/>
        <v>0</v>
      </c>
      <c r="O915" s="37">
        <f t="shared" si="103"/>
        <v>0</v>
      </c>
      <c r="P915" s="55" cm="1">
        <f t="array" aca="1" ref="P915" ca="1">IF((L915-$C$16)&gt;0, IF($P$1+$C$16&gt;=L915,INDIRECT("M"&amp;(L915-$C$16)+5),0),0)</f>
        <v>0</v>
      </c>
      <c r="Q915" s="56" cm="1">
        <f t="array" aca="1" ref="Q915" ca="1">IF(L915&lt;=$C$16,0,IF($W$2&gt;=L915,IF(L915&lt;=($P$1+$C$16),INDIRECT("N"&amp;(L915-$C$16)+5),FV(SRate,L915-$P$1-$C$16,0,-$W$1,1)),0))</f>
        <v>0</v>
      </c>
      <c r="R915" s="56">
        <f t="shared" ca="1" si="104"/>
        <v>0</v>
      </c>
      <c r="S915" s="19">
        <f t="shared" si="106"/>
        <v>0</v>
      </c>
      <c r="T915" s="36" t="str" cm="1">
        <f t="array" aca="1" ref="T915" ca="1">IF(L915&lt;=$P$1,K915,IF(L915&lt;=($P$1+1),INDIRECT("K"&amp;5+$W$2),""))</f>
        <v/>
      </c>
      <c r="U915" s="38">
        <f t="shared" si="107"/>
        <v>76</v>
      </c>
    </row>
    <row r="916" spans="11:21" hidden="1" x14ac:dyDescent="0.25">
      <c r="K916" s="36">
        <f t="shared" ca="1" si="109"/>
        <v>73941</v>
      </c>
      <c r="L916" s="19">
        <v>911</v>
      </c>
      <c r="M916" s="19">
        <f t="shared" si="108"/>
        <v>0</v>
      </c>
      <c r="N916" s="37">
        <f t="shared" si="105"/>
        <v>0</v>
      </c>
      <c r="O916" s="37">
        <f t="shared" si="103"/>
        <v>0</v>
      </c>
      <c r="P916" s="55" cm="1">
        <f t="array" aca="1" ref="P916" ca="1">IF((L916-$C$16)&gt;0, IF($P$1+$C$16&gt;=L916,INDIRECT("M"&amp;(L916-$C$16)+5),0),0)</f>
        <v>0</v>
      </c>
      <c r="Q916" s="56" cm="1">
        <f t="array" aca="1" ref="Q916" ca="1">IF(L916&lt;=$C$16,0,IF($W$2&gt;=L916,IF(L916&lt;=($P$1+$C$16),INDIRECT("N"&amp;(L916-$C$16)+5),FV(SRate,L916-$P$1-$C$16,0,-$W$1,1)),0))</f>
        <v>0</v>
      </c>
      <c r="R916" s="56">
        <f t="shared" ca="1" si="104"/>
        <v>0</v>
      </c>
      <c r="S916" s="19">
        <f t="shared" si="106"/>
        <v>0</v>
      </c>
      <c r="T916" s="36" t="str" cm="1">
        <f t="array" aca="1" ref="T916" ca="1">IF(L916&lt;=$P$1,K916,IF(L916&lt;=($P$1+1),INDIRECT("K"&amp;5+$W$2),""))</f>
        <v/>
      </c>
      <c r="U916" s="38">
        <f t="shared" si="107"/>
        <v>76</v>
      </c>
    </row>
    <row r="917" spans="11:21" hidden="1" x14ac:dyDescent="0.25">
      <c r="K917" s="36">
        <f t="shared" ca="1" si="109"/>
        <v>73971</v>
      </c>
      <c r="L917" s="19">
        <v>912</v>
      </c>
      <c r="M917" s="19">
        <f t="shared" si="108"/>
        <v>0</v>
      </c>
      <c r="N917" s="37">
        <f t="shared" si="105"/>
        <v>0</v>
      </c>
      <c r="O917" s="37">
        <f t="shared" si="103"/>
        <v>0</v>
      </c>
      <c r="P917" s="55" cm="1">
        <f t="array" aca="1" ref="P917" ca="1">IF((L917-$C$16)&gt;0, IF($P$1+$C$16&gt;=L917,INDIRECT("M"&amp;(L917-$C$16)+5),0),0)</f>
        <v>0</v>
      </c>
      <c r="Q917" s="56" cm="1">
        <f t="array" aca="1" ref="Q917" ca="1">IF(L917&lt;=$C$16,0,IF($W$2&gt;=L917,IF(L917&lt;=($P$1+$C$16),INDIRECT("N"&amp;(L917-$C$16)+5),FV(SRate,L917-$P$1-$C$16,0,-$W$1,1)),0))</f>
        <v>0</v>
      </c>
      <c r="R917" s="56">
        <f t="shared" ca="1" si="104"/>
        <v>0</v>
      </c>
      <c r="S917" s="19">
        <f t="shared" si="106"/>
        <v>0</v>
      </c>
      <c r="T917" s="36" t="str" cm="1">
        <f t="array" aca="1" ref="T917" ca="1">IF(L917&lt;=$P$1,K917,IF(L917&lt;=($P$1+1),INDIRECT("K"&amp;5+$W$2),""))</f>
        <v/>
      </c>
      <c r="U917" s="38">
        <f t="shared" si="107"/>
        <v>76</v>
      </c>
    </row>
    <row r="918" spans="11:21" hidden="1" x14ac:dyDescent="0.25">
      <c r="K918" s="36">
        <f t="shared" ca="1" si="109"/>
        <v>74002</v>
      </c>
      <c r="L918" s="19">
        <v>913</v>
      </c>
      <c r="M918" s="19">
        <f t="shared" si="108"/>
        <v>0</v>
      </c>
      <c r="N918" s="37">
        <f t="shared" si="105"/>
        <v>0</v>
      </c>
      <c r="O918" s="37">
        <f t="shared" si="103"/>
        <v>0</v>
      </c>
      <c r="P918" s="55" cm="1">
        <f t="array" aca="1" ref="P918" ca="1">IF((L918-$C$16)&gt;0, IF($P$1+$C$16&gt;=L918,INDIRECT("M"&amp;(L918-$C$16)+5),0),0)</f>
        <v>0</v>
      </c>
      <c r="Q918" s="56" cm="1">
        <f t="array" aca="1" ref="Q918" ca="1">IF(L918&lt;=$C$16,0,IF($W$2&gt;=L918,IF(L918&lt;=($P$1+$C$16),INDIRECT("N"&amp;(L918-$C$16)+5),FV(SRate,L918-$P$1-$C$16,0,-$W$1,1)),0))</f>
        <v>0</v>
      </c>
      <c r="R918" s="56">
        <f t="shared" ca="1" si="104"/>
        <v>0</v>
      </c>
      <c r="S918" s="19">
        <f t="shared" si="106"/>
        <v>0</v>
      </c>
      <c r="T918" s="36" t="str" cm="1">
        <f t="array" aca="1" ref="T918" ca="1">IF(L918&lt;=$P$1,K918,IF(L918&lt;=($P$1+1),INDIRECT("K"&amp;5+$W$2),""))</f>
        <v/>
      </c>
      <c r="U918" s="38">
        <f t="shared" si="107"/>
        <v>77</v>
      </c>
    </row>
    <row r="919" spans="11:21" hidden="1" x14ac:dyDescent="0.25">
      <c r="K919" s="36">
        <f t="shared" ca="1" si="109"/>
        <v>74033</v>
      </c>
      <c r="L919" s="19">
        <v>914</v>
      </c>
      <c r="M919" s="19">
        <f t="shared" si="108"/>
        <v>0</v>
      </c>
      <c r="N919" s="37">
        <f t="shared" si="105"/>
        <v>0</v>
      </c>
      <c r="O919" s="37">
        <f t="shared" si="103"/>
        <v>0</v>
      </c>
      <c r="P919" s="55" cm="1">
        <f t="array" aca="1" ref="P919" ca="1">IF((L919-$C$16)&gt;0, IF($P$1+$C$16&gt;=L919,INDIRECT("M"&amp;(L919-$C$16)+5),0),0)</f>
        <v>0</v>
      </c>
      <c r="Q919" s="56" cm="1">
        <f t="array" aca="1" ref="Q919" ca="1">IF(L919&lt;=$C$16,0,IF($W$2&gt;=L919,IF(L919&lt;=($P$1+$C$16),INDIRECT("N"&amp;(L919-$C$16)+5),FV(SRate,L919-$P$1-$C$16,0,-$W$1,1)),0))</f>
        <v>0</v>
      </c>
      <c r="R919" s="56">
        <f t="shared" ca="1" si="104"/>
        <v>0</v>
      </c>
      <c r="S919" s="19">
        <f t="shared" si="106"/>
        <v>0</v>
      </c>
      <c r="T919" s="36" t="str" cm="1">
        <f t="array" aca="1" ref="T919" ca="1">IF(L919&lt;=$P$1,K919,IF(L919&lt;=($P$1+1),INDIRECT("K"&amp;5+$W$2),""))</f>
        <v/>
      </c>
      <c r="U919" s="38">
        <f t="shared" si="107"/>
        <v>77</v>
      </c>
    </row>
    <row r="920" spans="11:21" hidden="1" x14ac:dyDescent="0.25">
      <c r="K920" s="36">
        <f t="shared" ca="1" si="109"/>
        <v>74063</v>
      </c>
      <c r="L920" s="19">
        <v>915</v>
      </c>
      <c r="M920" s="19">
        <f t="shared" si="108"/>
        <v>0</v>
      </c>
      <c r="N920" s="37">
        <f t="shared" si="105"/>
        <v>0</v>
      </c>
      <c r="O920" s="37">
        <f t="shared" si="103"/>
        <v>0</v>
      </c>
      <c r="P920" s="55" cm="1">
        <f t="array" aca="1" ref="P920" ca="1">IF((L920-$C$16)&gt;0, IF($P$1+$C$16&gt;=L920,INDIRECT("M"&amp;(L920-$C$16)+5),0),0)</f>
        <v>0</v>
      </c>
      <c r="Q920" s="56" cm="1">
        <f t="array" aca="1" ref="Q920" ca="1">IF(L920&lt;=$C$16,0,IF($W$2&gt;=L920,IF(L920&lt;=($P$1+$C$16),INDIRECT("N"&amp;(L920-$C$16)+5),FV(SRate,L920-$P$1-$C$16,0,-$W$1,1)),0))</f>
        <v>0</v>
      </c>
      <c r="R920" s="56">
        <f t="shared" ca="1" si="104"/>
        <v>0</v>
      </c>
      <c r="S920" s="19">
        <f t="shared" si="106"/>
        <v>0</v>
      </c>
      <c r="T920" s="36" t="str" cm="1">
        <f t="array" aca="1" ref="T920" ca="1">IF(L920&lt;=$P$1,K920,IF(L920&lt;=($P$1+1),INDIRECT("K"&amp;5+$W$2),""))</f>
        <v/>
      </c>
      <c r="U920" s="38">
        <f t="shared" si="107"/>
        <v>77</v>
      </c>
    </row>
    <row r="921" spans="11:21" hidden="1" x14ac:dyDescent="0.25">
      <c r="K921" s="36">
        <f t="shared" ca="1" si="109"/>
        <v>74094</v>
      </c>
      <c r="L921" s="19">
        <v>916</v>
      </c>
      <c r="M921" s="19">
        <f t="shared" si="108"/>
        <v>0</v>
      </c>
      <c r="N921" s="37">
        <f t="shared" si="105"/>
        <v>0</v>
      </c>
      <c r="O921" s="37">
        <f t="shared" si="103"/>
        <v>0</v>
      </c>
      <c r="P921" s="55" cm="1">
        <f t="array" aca="1" ref="P921" ca="1">IF((L921-$C$16)&gt;0, IF($P$1+$C$16&gt;=L921,INDIRECT("M"&amp;(L921-$C$16)+5),0),0)</f>
        <v>0</v>
      </c>
      <c r="Q921" s="56" cm="1">
        <f t="array" aca="1" ref="Q921" ca="1">IF(L921&lt;=$C$16,0,IF($W$2&gt;=L921,IF(L921&lt;=($P$1+$C$16),INDIRECT("N"&amp;(L921-$C$16)+5),FV(SRate,L921-$P$1-$C$16,0,-$W$1,1)),0))</f>
        <v>0</v>
      </c>
      <c r="R921" s="56">
        <f t="shared" ca="1" si="104"/>
        <v>0</v>
      </c>
      <c r="S921" s="19">
        <f t="shared" si="106"/>
        <v>0</v>
      </c>
      <c r="T921" s="36" t="str" cm="1">
        <f t="array" aca="1" ref="T921" ca="1">IF(L921&lt;=$P$1,K921,IF(L921&lt;=($P$1+1),INDIRECT("K"&amp;5+$W$2),""))</f>
        <v/>
      </c>
      <c r="U921" s="38">
        <f t="shared" si="107"/>
        <v>77</v>
      </c>
    </row>
    <row r="922" spans="11:21" hidden="1" x14ac:dyDescent="0.25">
      <c r="K922" s="36">
        <f t="shared" ca="1" si="109"/>
        <v>74124</v>
      </c>
      <c r="L922" s="19">
        <v>917</v>
      </c>
      <c r="M922" s="19">
        <f t="shared" si="108"/>
        <v>0</v>
      </c>
      <c r="N922" s="37">
        <f t="shared" si="105"/>
        <v>0</v>
      </c>
      <c r="O922" s="37">
        <f t="shared" si="103"/>
        <v>0</v>
      </c>
      <c r="P922" s="55" cm="1">
        <f t="array" aca="1" ref="P922" ca="1">IF((L922-$C$16)&gt;0, IF($P$1+$C$16&gt;=L922,INDIRECT("M"&amp;(L922-$C$16)+5),0),0)</f>
        <v>0</v>
      </c>
      <c r="Q922" s="56" cm="1">
        <f t="array" aca="1" ref="Q922" ca="1">IF(L922&lt;=$C$16,0,IF($W$2&gt;=L922,IF(L922&lt;=($P$1+$C$16),INDIRECT("N"&amp;(L922-$C$16)+5),FV(SRate,L922-$P$1-$C$16,0,-$W$1,1)),0))</f>
        <v>0</v>
      </c>
      <c r="R922" s="56">
        <f t="shared" ca="1" si="104"/>
        <v>0</v>
      </c>
      <c r="S922" s="19">
        <f t="shared" si="106"/>
        <v>0</v>
      </c>
      <c r="T922" s="36" t="str" cm="1">
        <f t="array" aca="1" ref="T922" ca="1">IF(L922&lt;=$P$1,K922,IF(L922&lt;=($P$1+1),INDIRECT("K"&amp;5+$W$2),""))</f>
        <v/>
      </c>
      <c r="U922" s="38">
        <f t="shared" si="107"/>
        <v>77</v>
      </c>
    </row>
    <row r="923" spans="11:21" hidden="1" x14ac:dyDescent="0.25">
      <c r="K923" s="36">
        <f t="shared" ca="1" si="109"/>
        <v>74155</v>
      </c>
      <c r="L923" s="19">
        <v>918</v>
      </c>
      <c r="M923" s="19">
        <f t="shared" si="108"/>
        <v>0</v>
      </c>
      <c r="N923" s="37">
        <f t="shared" si="105"/>
        <v>0</v>
      </c>
      <c r="O923" s="37">
        <f t="shared" si="103"/>
        <v>0</v>
      </c>
      <c r="P923" s="55" cm="1">
        <f t="array" aca="1" ref="P923" ca="1">IF((L923-$C$16)&gt;0, IF($P$1+$C$16&gt;=L923,INDIRECT("M"&amp;(L923-$C$16)+5),0),0)</f>
        <v>0</v>
      </c>
      <c r="Q923" s="56" cm="1">
        <f t="array" aca="1" ref="Q923" ca="1">IF(L923&lt;=$C$16,0,IF($W$2&gt;=L923,IF(L923&lt;=($P$1+$C$16),INDIRECT("N"&amp;(L923-$C$16)+5),FV(SRate,L923-$P$1-$C$16,0,-$W$1,1)),0))</f>
        <v>0</v>
      </c>
      <c r="R923" s="56">
        <f t="shared" ca="1" si="104"/>
        <v>0</v>
      </c>
      <c r="S923" s="19">
        <f t="shared" si="106"/>
        <v>0</v>
      </c>
      <c r="T923" s="36" t="str" cm="1">
        <f t="array" aca="1" ref="T923" ca="1">IF(L923&lt;=$P$1,K923,IF(L923&lt;=($P$1+1),INDIRECT("K"&amp;5+$W$2),""))</f>
        <v/>
      </c>
      <c r="U923" s="38">
        <f t="shared" si="107"/>
        <v>77</v>
      </c>
    </row>
    <row r="924" spans="11:21" hidden="1" x14ac:dyDescent="0.25">
      <c r="K924" s="36">
        <f t="shared" ca="1" si="109"/>
        <v>74186</v>
      </c>
      <c r="L924" s="19">
        <v>919</v>
      </c>
      <c r="M924" s="19">
        <f t="shared" si="108"/>
        <v>0</v>
      </c>
      <c r="N924" s="37">
        <f t="shared" si="105"/>
        <v>0</v>
      </c>
      <c r="O924" s="37">
        <f t="shared" si="103"/>
        <v>0</v>
      </c>
      <c r="P924" s="55" cm="1">
        <f t="array" aca="1" ref="P924" ca="1">IF((L924-$C$16)&gt;0, IF($P$1+$C$16&gt;=L924,INDIRECT("M"&amp;(L924-$C$16)+5),0),0)</f>
        <v>0</v>
      </c>
      <c r="Q924" s="56" cm="1">
        <f t="array" aca="1" ref="Q924" ca="1">IF(L924&lt;=$C$16,0,IF($W$2&gt;=L924,IF(L924&lt;=($P$1+$C$16),INDIRECT("N"&amp;(L924-$C$16)+5),FV(SRate,L924-$P$1-$C$16,0,-$W$1,1)),0))</f>
        <v>0</v>
      </c>
      <c r="R924" s="56">
        <f t="shared" ca="1" si="104"/>
        <v>0</v>
      </c>
      <c r="S924" s="19">
        <f t="shared" si="106"/>
        <v>0</v>
      </c>
      <c r="T924" s="36" t="str" cm="1">
        <f t="array" aca="1" ref="T924" ca="1">IF(L924&lt;=$P$1,K924,IF(L924&lt;=($P$1+1),INDIRECT("K"&amp;5+$W$2),""))</f>
        <v/>
      </c>
      <c r="U924" s="38">
        <f t="shared" si="107"/>
        <v>77</v>
      </c>
    </row>
    <row r="925" spans="11:21" hidden="1" x14ac:dyDescent="0.25">
      <c r="K925" s="36">
        <f t="shared" ca="1" si="109"/>
        <v>74214</v>
      </c>
      <c r="L925" s="19">
        <v>920</v>
      </c>
      <c r="M925" s="19">
        <f t="shared" si="108"/>
        <v>0</v>
      </c>
      <c r="N925" s="37">
        <f t="shared" si="105"/>
        <v>0</v>
      </c>
      <c r="O925" s="37">
        <f t="shared" si="103"/>
        <v>0</v>
      </c>
      <c r="P925" s="55" cm="1">
        <f t="array" aca="1" ref="P925" ca="1">IF((L925-$C$16)&gt;0, IF($P$1+$C$16&gt;=L925,INDIRECT("M"&amp;(L925-$C$16)+5),0),0)</f>
        <v>0</v>
      </c>
      <c r="Q925" s="56" cm="1">
        <f t="array" aca="1" ref="Q925" ca="1">IF(L925&lt;=$C$16,0,IF($W$2&gt;=L925,IF(L925&lt;=($P$1+$C$16),INDIRECT("N"&amp;(L925-$C$16)+5),FV(SRate,L925-$P$1-$C$16,0,-$W$1,1)),0))</f>
        <v>0</v>
      </c>
      <c r="R925" s="56">
        <f t="shared" ca="1" si="104"/>
        <v>0</v>
      </c>
      <c r="S925" s="19">
        <f t="shared" si="106"/>
        <v>0</v>
      </c>
      <c r="T925" s="36" t="str" cm="1">
        <f t="array" aca="1" ref="T925" ca="1">IF(L925&lt;=$P$1,K925,IF(L925&lt;=($P$1+1),INDIRECT("K"&amp;5+$W$2),""))</f>
        <v/>
      </c>
      <c r="U925" s="38">
        <f t="shared" si="107"/>
        <v>77</v>
      </c>
    </row>
    <row r="926" spans="11:21" hidden="1" x14ac:dyDescent="0.25">
      <c r="K926" s="36">
        <f t="shared" ca="1" si="109"/>
        <v>74245</v>
      </c>
      <c r="L926" s="19">
        <v>921</v>
      </c>
      <c r="M926" s="19">
        <f t="shared" si="108"/>
        <v>0</v>
      </c>
      <c r="N926" s="37">
        <f t="shared" si="105"/>
        <v>0</v>
      </c>
      <c r="O926" s="37">
        <f t="shared" si="103"/>
        <v>0</v>
      </c>
      <c r="P926" s="55" cm="1">
        <f t="array" aca="1" ref="P926" ca="1">IF((L926-$C$16)&gt;0, IF($P$1+$C$16&gt;=L926,INDIRECT("M"&amp;(L926-$C$16)+5),0),0)</f>
        <v>0</v>
      </c>
      <c r="Q926" s="56" cm="1">
        <f t="array" aca="1" ref="Q926" ca="1">IF(L926&lt;=$C$16,0,IF($W$2&gt;=L926,IF(L926&lt;=($P$1+$C$16),INDIRECT("N"&amp;(L926-$C$16)+5),FV(SRate,L926-$P$1-$C$16,0,-$W$1,1)),0))</f>
        <v>0</v>
      </c>
      <c r="R926" s="56">
        <f t="shared" ca="1" si="104"/>
        <v>0</v>
      </c>
      <c r="S926" s="19">
        <f t="shared" si="106"/>
        <v>0</v>
      </c>
      <c r="T926" s="36" t="str" cm="1">
        <f t="array" aca="1" ref="T926" ca="1">IF(L926&lt;=$P$1,K926,IF(L926&lt;=($P$1+1),INDIRECT("K"&amp;5+$W$2),""))</f>
        <v/>
      </c>
      <c r="U926" s="38">
        <f t="shared" si="107"/>
        <v>77</v>
      </c>
    </row>
    <row r="927" spans="11:21" hidden="1" x14ac:dyDescent="0.25">
      <c r="K927" s="36">
        <f t="shared" ca="1" si="109"/>
        <v>74275</v>
      </c>
      <c r="L927" s="19">
        <v>922</v>
      </c>
      <c r="M927" s="19">
        <f t="shared" si="108"/>
        <v>0</v>
      </c>
      <c r="N927" s="37">
        <f t="shared" si="105"/>
        <v>0</v>
      </c>
      <c r="O927" s="37">
        <f t="shared" si="103"/>
        <v>0</v>
      </c>
      <c r="P927" s="55" cm="1">
        <f t="array" aca="1" ref="P927" ca="1">IF((L927-$C$16)&gt;0, IF($P$1+$C$16&gt;=L927,INDIRECT("M"&amp;(L927-$C$16)+5),0),0)</f>
        <v>0</v>
      </c>
      <c r="Q927" s="56" cm="1">
        <f t="array" aca="1" ref="Q927" ca="1">IF(L927&lt;=$C$16,0,IF($W$2&gt;=L927,IF(L927&lt;=($P$1+$C$16),INDIRECT("N"&amp;(L927-$C$16)+5),FV(SRate,L927-$P$1-$C$16,0,-$W$1,1)),0))</f>
        <v>0</v>
      </c>
      <c r="R927" s="56">
        <f t="shared" ca="1" si="104"/>
        <v>0</v>
      </c>
      <c r="S927" s="19">
        <f t="shared" si="106"/>
        <v>0</v>
      </c>
      <c r="T927" s="36" t="str" cm="1">
        <f t="array" aca="1" ref="T927" ca="1">IF(L927&lt;=$P$1,K927,IF(L927&lt;=($P$1+1),INDIRECT("K"&amp;5+$W$2),""))</f>
        <v/>
      </c>
      <c r="U927" s="38">
        <f t="shared" si="107"/>
        <v>77</v>
      </c>
    </row>
    <row r="928" spans="11:21" hidden="1" x14ac:dyDescent="0.25">
      <c r="K928" s="36">
        <f t="shared" ca="1" si="109"/>
        <v>74306</v>
      </c>
      <c r="L928" s="19">
        <v>923</v>
      </c>
      <c r="M928" s="19">
        <f t="shared" si="108"/>
        <v>0</v>
      </c>
      <c r="N928" s="37">
        <f t="shared" si="105"/>
        <v>0</v>
      </c>
      <c r="O928" s="37">
        <f t="shared" si="103"/>
        <v>0</v>
      </c>
      <c r="P928" s="55" cm="1">
        <f t="array" aca="1" ref="P928" ca="1">IF((L928-$C$16)&gt;0, IF($P$1+$C$16&gt;=L928,INDIRECT("M"&amp;(L928-$C$16)+5),0),0)</f>
        <v>0</v>
      </c>
      <c r="Q928" s="56" cm="1">
        <f t="array" aca="1" ref="Q928" ca="1">IF(L928&lt;=$C$16,0,IF($W$2&gt;=L928,IF(L928&lt;=($P$1+$C$16),INDIRECT("N"&amp;(L928-$C$16)+5),FV(SRate,L928-$P$1-$C$16,0,-$W$1,1)),0))</f>
        <v>0</v>
      </c>
      <c r="R928" s="56">
        <f t="shared" ca="1" si="104"/>
        <v>0</v>
      </c>
      <c r="S928" s="19">
        <f t="shared" si="106"/>
        <v>0</v>
      </c>
      <c r="T928" s="36" t="str" cm="1">
        <f t="array" aca="1" ref="T928" ca="1">IF(L928&lt;=$P$1,K928,IF(L928&lt;=($P$1+1),INDIRECT("K"&amp;5+$W$2),""))</f>
        <v/>
      </c>
      <c r="U928" s="38">
        <f t="shared" si="107"/>
        <v>77</v>
      </c>
    </row>
    <row r="929" spans="11:21" hidden="1" x14ac:dyDescent="0.25">
      <c r="K929" s="36">
        <f t="shared" ca="1" si="109"/>
        <v>74336</v>
      </c>
      <c r="L929" s="19">
        <v>924</v>
      </c>
      <c r="M929" s="19">
        <f t="shared" si="108"/>
        <v>0</v>
      </c>
      <c r="N929" s="37">
        <f t="shared" si="105"/>
        <v>0</v>
      </c>
      <c r="O929" s="37">
        <f t="shared" si="103"/>
        <v>0</v>
      </c>
      <c r="P929" s="55" cm="1">
        <f t="array" aca="1" ref="P929" ca="1">IF((L929-$C$16)&gt;0, IF($P$1+$C$16&gt;=L929,INDIRECT("M"&amp;(L929-$C$16)+5),0),0)</f>
        <v>0</v>
      </c>
      <c r="Q929" s="56" cm="1">
        <f t="array" aca="1" ref="Q929" ca="1">IF(L929&lt;=$C$16,0,IF($W$2&gt;=L929,IF(L929&lt;=($P$1+$C$16),INDIRECT("N"&amp;(L929-$C$16)+5),FV(SRate,L929-$P$1-$C$16,0,-$W$1,1)),0))</f>
        <v>0</v>
      </c>
      <c r="R929" s="56">
        <f t="shared" ca="1" si="104"/>
        <v>0</v>
      </c>
      <c r="S929" s="19">
        <f t="shared" si="106"/>
        <v>0</v>
      </c>
      <c r="T929" s="36" t="str" cm="1">
        <f t="array" aca="1" ref="T929" ca="1">IF(L929&lt;=$P$1,K929,IF(L929&lt;=($P$1+1),INDIRECT("K"&amp;5+$W$2),""))</f>
        <v/>
      </c>
      <c r="U929" s="38">
        <f t="shared" si="107"/>
        <v>77</v>
      </c>
    </row>
    <row r="930" spans="11:21" hidden="1" x14ac:dyDescent="0.25">
      <c r="K930" s="36">
        <f t="shared" ca="1" si="109"/>
        <v>74367</v>
      </c>
      <c r="L930" s="19">
        <v>925</v>
      </c>
      <c r="M930" s="19">
        <f t="shared" si="108"/>
        <v>0</v>
      </c>
      <c r="N930" s="37">
        <f t="shared" si="105"/>
        <v>0</v>
      </c>
      <c r="O930" s="37">
        <f t="shared" si="103"/>
        <v>0</v>
      </c>
      <c r="P930" s="55" cm="1">
        <f t="array" aca="1" ref="P930" ca="1">IF((L930-$C$16)&gt;0, IF($P$1+$C$16&gt;=L930,INDIRECT("M"&amp;(L930-$C$16)+5),0),0)</f>
        <v>0</v>
      </c>
      <c r="Q930" s="56" cm="1">
        <f t="array" aca="1" ref="Q930" ca="1">IF(L930&lt;=$C$16,0,IF($W$2&gt;=L930,IF(L930&lt;=($P$1+$C$16),INDIRECT("N"&amp;(L930-$C$16)+5),FV(SRate,L930-$P$1-$C$16,0,-$W$1,1)),0))</f>
        <v>0</v>
      </c>
      <c r="R930" s="56">
        <f t="shared" ca="1" si="104"/>
        <v>0</v>
      </c>
      <c r="S930" s="19">
        <f t="shared" si="106"/>
        <v>0</v>
      </c>
      <c r="T930" s="36" t="str" cm="1">
        <f t="array" aca="1" ref="T930" ca="1">IF(L930&lt;=$P$1,K930,IF(L930&lt;=($P$1+1),INDIRECT("K"&amp;5+$W$2),""))</f>
        <v/>
      </c>
      <c r="U930" s="38">
        <f t="shared" si="107"/>
        <v>78</v>
      </c>
    </row>
    <row r="931" spans="11:21" hidden="1" x14ac:dyDescent="0.25">
      <c r="K931" s="36">
        <f t="shared" ca="1" si="109"/>
        <v>74398</v>
      </c>
      <c r="L931" s="19">
        <v>926</v>
      </c>
      <c r="M931" s="19">
        <f t="shared" si="108"/>
        <v>0</v>
      </c>
      <c r="N931" s="37">
        <f t="shared" si="105"/>
        <v>0</v>
      </c>
      <c r="O931" s="37">
        <f t="shared" si="103"/>
        <v>0</v>
      </c>
      <c r="P931" s="55" cm="1">
        <f t="array" aca="1" ref="P931" ca="1">IF((L931-$C$16)&gt;0, IF($P$1+$C$16&gt;=L931,INDIRECT("M"&amp;(L931-$C$16)+5),0),0)</f>
        <v>0</v>
      </c>
      <c r="Q931" s="56" cm="1">
        <f t="array" aca="1" ref="Q931" ca="1">IF(L931&lt;=$C$16,0,IF($W$2&gt;=L931,IF(L931&lt;=($P$1+$C$16),INDIRECT("N"&amp;(L931-$C$16)+5),FV(SRate,L931-$P$1-$C$16,0,-$W$1,1)),0))</f>
        <v>0</v>
      </c>
      <c r="R931" s="56">
        <f t="shared" ca="1" si="104"/>
        <v>0</v>
      </c>
      <c r="S931" s="19">
        <f t="shared" si="106"/>
        <v>0</v>
      </c>
      <c r="T931" s="36" t="str" cm="1">
        <f t="array" aca="1" ref="T931" ca="1">IF(L931&lt;=$P$1,K931,IF(L931&lt;=($P$1+1),INDIRECT("K"&amp;5+$W$2),""))</f>
        <v/>
      </c>
      <c r="U931" s="38">
        <f t="shared" si="107"/>
        <v>78</v>
      </c>
    </row>
    <row r="932" spans="11:21" hidden="1" x14ac:dyDescent="0.25">
      <c r="K932" s="36">
        <f t="shared" ca="1" si="109"/>
        <v>74428</v>
      </c>
      <c r="L932" s="19">
        <v>927</v>
      </c>
      <c r="M932" s="19">
        <f t="shared" si="108"/>
        <v>0</v>
      </c>
      <c r="N932" s="37">
        <f t="shared" si="105"/>
        <v>0</v>
      </c>
      <c r="O932" s="37">
        <f t="shared" si="103"/>
        <v>0</v>
      </c>
      <c r="P932" s="55" cm="1">
        <f t="array" aca="1" ref="P932" ca="1">IF((L932-$C$16)&gt;0, IF($P$1+$C$16&gt;=L932,INDIRECT("M"&amp;(L932-$C$16)+5),0),0)</f>
        <v>0</v>
      </c>
      <c r="Q932" s="56" cm="1">
        <f t="array" aca="1" ref="Q932" ca="1">IF(L932&lt;=$C$16,0,IF($W$2&gt;=L932,IF(L932&lt;=($P$1+$C$16),INDIRECT("N"&amp;(L932-$C$16)+5),FV(SRate,L932-$P$1-$C$16,0,-$W$1,1)),0))</f>
        <v>0</v>
      </c>
      <c r="R932" s="56">
        <f t="shared" ca="1" si="104"/>
        <v>0</v>
      </c>
      <c r="S932" s="19">
        <f t="shared" si="106"/>
        <v>0</v>
      </c>
      <c r="T932" s="36" t="str" cm="1">
        <f t="array" aca="1" ref="T932" ca="1">IF(L932&lt;=$P$1,K932,IF(L932&lt;=($P$1+1),INDIRECT("K"&amp;5+$W$2),""))</f>
        <v/>
      </c>
      <c r="U932" s="38">
        <f t="shared" si="107"/>
        <v>78</v>
      </c>
    </row>
    <row r="933" spans="11:21" hidden="1" x14ac:dyDescent="0.25">
      <c r="K933" s="36">
        <f t="shared" ca="1" si="109"/>
        <v>74459</v>
      </c>
      <c r="L933" s="19">
        <v>928</v>
      </c>
      <c r="M933" s="19">
        <f t="shared" si="108"/>
        <v>0</v>
      </c>
      <c r="N933" s="37">
        <f t="shared" si="105"/>
        <v>0</v>
      </c>
      <c r="O933" s="37">
        <f t="shared" si="103"/>
        <v>0</v>
      </c>
      <c r="P933" s="55" cm="1">
        <f t="array" aca="1" ref="P933" ca="1">IF((L933-$C$16)&gt;0, IF($P$1+$C$16&gt;=L933,INDIRECT("M"&amp;(L933-$C$16)+5),0),0)</f>
        <v>0</v>
      </c>
      <c r="Q933" s="56" cm="1">
        <f t="array" aca="1" ref="Q933" ca="1">IF(L933&lt;=$C$16,0,IF($W$2&gt;=L933,IF(L933&lt;=($P$1+$C$16),INDIRECT("N"&amp;(L933-$C$16)+5),FV(SRate,L933-$P$1-$C$16,0,-$W$1,1)),0))</f>
        <v>0</v>
      </c>
      <c r="R933" s="56">
        <f t="shared" ca="1" si="104"/>
        <v>0</v>
      </c>
      <c r="S933" s="19">
        <f t="shared" si="106"/>
        <v>0</v>
      </c>
      <c r="T933" s="36" t="str" cm="1">
        <f t="array" aca="1" ref="T933" ca="1">IF(L933&lt;=$P$1,K933,IF(L933&lt;=($P$1+1),INDIRECT("K"&amp;5+$W$2),""))</f>
        <v/>
      </c>
      <c r="U933" s="38">
        <f t="shared" si="107"/>
        <v>78</v>
      </c>
    </row>
    <row r="934" spans="11:21" hidden="1" x14ac:dyDescent="0.25">
      <c r="K934" s="36">
        <f t="shared" ca="1" si="109"/>
        <v>74489</v>
      </c>
      <c r="L934" s="19">
        <v>929</v>
      </c>
      <c r="M934" s="19">
        <f t="shared" si="108"/>
        <v>0</v>
      </c>
      <c r="N934" s="37">
        <f t="shared" si="105"/>
        <v>0</v>
      </c>
      <c r="O934" s="37">
        <f t="shared" ref="O934:O997" si="110">N934/((1+SIPInflationRate)^(L934/12))</f>
        <v>0</v>
      </c>
      <c r="P934" s="55" cm="1">
        <f t="array" aca="1" ref="P934" ca="1">IF((L934-$C$16)&gt;0, IF($P$1+$C$16&gt;=L934,INDIRECT("M"&amp;(L934-$C$16)+5),0),0)</f>
        <v>0</v>
      </c>
      <c r="Q934" s="56" cm="1">
        <f t="array" aca="1" ref="Q934" ca="1">IF(L934&lt;=$C$16,0,IF($W$2&gt;=L934,IF(L934&lt;=($P$1+$C$16),INDIRECT("N"&amp;(L934-$C$16)+5),FV(SRate,L934-$P$1-$C$16,0,-$W$1,1)),0))</f>
        <v>0</v>
      </c>
      <c r="R934" s="56">
        <f t="shared" ca="1" si="104"/>
        <v>0</v>
      </c>
      <c r="S934" s="19">
        <f t="shared" si="106"/>
        <v>0</v>
      </c>
      <c r="T934" s="36" t="str" cm="1">
        <f t="array" aca="1" ref="T934" ca="1">IF(L934&lt;=$P$1,K934,IF(L934&lt;=($P$1+1),INDIRECT("K"&amp;5+$W$2),""))</f>
        <v/>
      </c>
      <c r="U934" s="38">
        <f t="shared" si="107"/>
        <v>78</v>
      </c>
    </row>
    <row r="935" spans="11:21" hidden="1" x14ac:dyDescent="0.25">
      <c r="K935" s="36">
        <f t="shared" ca="1" si="109"/>
        <v>74520</v>
      </c>
      <c r="L935" s="19">
        <v>930</v>
      </c>
      <c r="M935" s="19">
        <f t="shared" si="108"/>
        <v>0</v>
      </c>
      <c r="N935" s="37">
        <f t="shared" si="105"/>
        <v>0</v>
      </c>
      <c r="O935" s="37">
        <f t="shared" si="110"/>
        <v>0</v>
      </c>
      <c r="P935" s="55" cm="1">
        <f t="array" aca="1" ref="P935" ca="1">IF((L935-$C$16)&gt;0, IF($P$1+$C$16&gt;=L935,INDIRECT("M"&amp;(L935-$C$16)+5),0),0)</f>
        <v>0</v>
      </c>
      <c r="Q935" s="56" cm="1">
        <f t="array" aca="1" ref="Q935" ca="1">IF(L935&lt;=$C$16,0,IF($W$2&gt;=L935,IF(L935&lt;=($P$1+$C$16),INDIRECT("N"&amp;(L935-$C$16)+5),FV(SRate,L935-$P$1-$C$16,0,-$W$1,1)),0))</f>
        <v>0</v>
      </c>
      <c r="R935" s="56">
        <f t="shared" ca="1" si="104"/>
        <v>0</v>
      </c>
      <c r="S935" s="19">
        <f t="shared" si="106"/>
        <v>0</v>
      </c>
      <c r="T935" s="36" t="str" cm="1">
        <f t="array" aca="1" ref="T935" ca="1">IF(L935&lt;=$P$1,K935,IF(L935&lt;=($P$1+1),INDIRECT("K"&amp;5+$W$2),""))</f>
        <v/>
      </c>
      <c r="U935" s="38">
        <f t="shared" si="107"/>
        <v>78</v>
      </c>
    </row>
    <row r="936" spans="11:21" hidden="1" x14ac:dyDescent="0.25">
      <c r="K936" s="36">
        <f t="shared" ca="1" si="109"/>
        <v>74551</v>
      </c>
      <c r="L936" s="19">
        <v>931</v>
      </c>
      <c r="M936" s="19">
        <f t="shared" si="108"/>
        <v>0</v>
      </c>
      <c r="N936" s="37">
        <f t="shared" si="105"/>
        <v>0</v>
      </c>
      <c r="O936" s="37">
        <f t="shared" si="110"/>
        <v>0</v>
      </c>
      <c r="P936" s="55" cm="1">
        <f t="array" aca="1" ref="P936" ca="1">IF((L936-$C$16)&gt;0, IF($P$1+$C$16&gt;=L936,INDIRECT("M"&amp;(L936-$C$16)+5),0),0)</f>
        <v>0</v>
      </c>
      <c r="Q936" s="56" cm="1">
        <f t="array" aca="1" ref="Q936" ca="1">IF(L936&lt;=$C$16,0,IF($W$2&gt;=L936,IF(L936&lt;=($P$1+$C$16),INDIRECT("N"&amp;(L936-$C$16)+5),FV(SRate,L936-$P$1-$C$16,0,-$W$1,1)),0))</f>
        <v>0</v>
      </c>
      <c r="R936" s="56">
        <f t="shared" ca="1" si="104"/>
        <v>0</v>
      </c>
      <c r="S936" s="19">
        <f t="shared" si="106"/>
        <v>0</v>
      </c>
      <c r="T936" s="36" t="str" cm="1">
        <f t="array" aca="1" ref="T936" ca="1">IF(L936&lt;=$P$1,K936,IF(L936&lt;=($P$1+1),INDIRECT("K"&amp;5+$W$2),""))</f>
        <v/>
      </c>
      <c r="U936" s="38">
        <f t="shared" si="107"/>
        <v>78</v>
      </c>
    </row>
    <row r="937" spans="11:21" hidden="1" x14ac:dyDescent="0.25">
      <c r="K937" s="36">
        <f t="shared" ca="1" si="109"/>
        <v>74580</v>
      </c>
      <c r="L937" s="19">
        <v>932</v>
      </c>
      <c r="M937" s="19">
        <f t="shared" si="108"/>
        <v>0</v>
      </c>
      <c r="N937" s="37">
        <f t="shared" si="105"/>
        <v>0</v>
      </c>
      <c r="O937" s="37">
        <f t="shared" si="110"/>
        <v>0</v>
      </c>
      <c r="P937" s="55" cm="1">
        <f t="array" aca="1" ref="P937" ca="1">IF((L937-$C$16)&gt;0, IF($P$1+$C$16&gt;=L937,INDIRECT("M"&amp;(L937-$C$16)+5),0),0)</f>
        <v>0</v>
      </c>
      <c r="Q937" s="56" cm="1">
        <f t="array" aca="1" ref="Q937" ca="1">IF(L937&lt;=$C$16,0,IF($W$2&gt;=L937,IF(L937&lt;=($P$1+$C$16),INDIRECT("N"&amp;(L937-$C$16)+5),FV(SRate,L937-$P$1-$C$16,0,-$W$1,1)),0))</f>
        <v>0</v>
      </c>
      <c r="R937" s="56">
        <f t="shared" ca="1" si="104"/>
        <v>0</v>
      </c>
      <c r="S937" s="19">
        <f t="shared" si="106"/>
        <v>0</v>
      </c>
      <c r="T937" s="36" t="str" cm="1">
        <f t="array" aca="1" ref="T937" ca="1">IF(L937&lt;=$P$1,K937,IF(L937&lt;=($P$1+1),INDIRECT("K"&amp;5+$W$2),""))</f>
        <v/>
      </c>
      <c r="U937" s="38">
        <f t="shared" si="107"/>
        <v>78</v>
      </c>
    </row>
    <row r="938" spans="11:21" hidden="1" x14ac:dyDescent="0.25">
      <c r="K938" s="36">
        <f t="shared" ca="1" si="109"/>
        <v>74611</v>
      </c>
      <c r="L938" s="19">
        <v>933</v>
      </c>
      <c r="M938" s="19">
        <f t="shared" si="108"/>
        <v>0</v>
      </c>
      <c r="N938" s="37">
        <f t="shared" si="105"/>
        <v>0</v>
      </c>
      <c r="O938" s="37">
        <f t="shared" si="110"/>
        <v>0</v>
      </c>
      <c r="P938" s="55" cm="1">
        <f t="array" aca="1" ref="P938" ca="1">IF((L938-$C$16)&gt;0, IF($P$1+$C$16&gt;=L938,INDIRECT("M"&amp;(L938-$C$16)+5),0),0)</f>
        <v>0</v>
      </c>
      <c r="Q938" s="56" cm="1">
        <f t="array" aca="1" ref="Q938" ca="1">IF(L938&lt;=$C$16,0,IF($W$2&gt;=L938,IF(L938&lt;=($P$1+$C$16),INDIRECT("N"&amp;(L938-$C$16)+5),FV(SRate,L938-$P$1-$C$16,0,-$W$1,1)),0))</f>
        <v>0</v>
      </c>
      <c r="R938" s="56">
        <f t="shared" ca="1" si="104"/>
        <v>0</v>
      </c>
      <c r="S938" s="19">
        <f t="shared" si="106"/>
        <v>0</v>
      </c>
      <c r="T938" s="36" t="str" cm="1">
        <f t="array" aca="1" ref="T938" ca="1">IF(L938&lt;=$P$1,K938,IF(L938&lt;=($P$1+1),INDIRECT("K"&amp;5+$W$2),""))</f>
        <v/>
      </c>
      <c r="U938" s="38">
        <f t="shared" si="107"/>
        <v>78</v>
      </c>
    </row>
    <row r="939" spans="11:21" hidden="1" x14ac:dyDescent="0.25">
      <c r="K939" s="36">
        <f t="shared" ca="1" si="109"/>
        <v>74641</v>
      </c>
      <c r="L939" s="19">
        <v>934</v>
      </c>
      <c r="M939" s="19">
        <f t="shared" si="108"/>
        <v>0</v>
      </c>
      <c r="N939" s="37">
        <f t="shared" si="105"/>
        <v>0</v>
      </c>
      <c r="O939" s="37">
        <f t="shared" si="110"/>
        <v>0</v>
      </c>
      <c r="P939" s="55" cm="1">
        <f t="array" aca="1" ref="P939" ca="1">IF((L939-$C$16)&gt;0, IF($P$1+$C$16&gt;=L939,INDIRECT("M"&amp;(L939-$C$16)+5),0),0)</f>
        <v>0</v>
      </c>
      <c r="Q939" s="56" cm="1">
        <f t="array" aca="1" ref="Q939" ca="1">IF(L939&lt;=$C$16,0,IF($W$2&gt;=L939,IF(L939&lt;=($P$1+$C$16),INDIRECT("N"&amp;(L939-$C$16)+5),FV(SRate,L939-$P$1-$C$16,0,-$W$1,1)),0))</f>
        <v>0</v>
      </c>
      <c r="R939" s="56">
        <f t="shared" ca="1" si="104"/>
        <v>0</v>
      </c>
      <c r="S939" s="19">
        <f t="shared" si="106"/>
        <v>0</v>
      </c>
      <c r="T939" s="36" t="str" cm="1">
        <f t="array" aca="1" ref="T939" ca="1">IF(L939&lt;=$P$1,K939,IF(L939&lt;=($P$1+1),INDIRECT("K"&amp;5+$W$2),""))</f>
        <v/>
      </c>
      <c r="U939" s="38">
        <f t="shared" si="107"/>
        <v>78</v>
      </c>
    </row>
    <row r="940" spans="11:21" hidden="1" x14ac:dyDescent="0.25">
      <c r="K940" s="36">
        <f t="shared" ca="1" si="109"/>
        <v>74672</v>
      </c>
      <c r="L940" s="19">
        <v>935</v>
      </c>
      <c r="M940" s="19">
        <f t="shared" si="108"/>
        <v>0</v>
      </c>
      <c r="N940" s="37">
        <f t="shared" si="105"/>
        <v>0</v>
      </c>
      <c r="O940" s="37">
        <f t="shared" si="110"/>
        <v>0</v>
      </c>
      <c r="P940" s="55" cm="1">
        <f t="array" aca="1" ref="P940" ca="1">IF((L940-$C$16)&gt;0, IF($P$1+$C$16&gt;=L940,INDIRECT("M"&amp;(L940-$C$16)+5),0),0)</f>
        <v>0</v>
      </c>
      <c r="Q940" s="56" cm="1">
        <f t="array" aca="1" ref="Q940" ca="1">IF(L940&lt;=$C$16,0,IF($W$2&gt;=L940,IF(L940&lt;=($P$1+$C$16),INDIRECT("N"&amp;(L940-$C$16)+5),FV(SRate,L940-$P$1-$C$16,0,-$W$1,1)),0))</f>
        <v>0</v>
      </c>
      <c r="R940" s="56">
        <f t="shared" ca="1" si="104"/>
        <v>0</v>
      </c>
      <c r="S940" s="19">
        <f t="shared" si="106"/>
        <v>0</v>
      </c>
      <c r="T940" s="36" t="str" cm="1">
        <f t="array" aca="1" ref="T940" ca="1">IF(L940&lt;=$P$1,K940,IF(L940&lt;=($P$1+1),INDIRECT("K"&amp;5+$W$2),""))</f>
        <v/>
      </c>
      <c r="U940" s="38">
        <f t="shared" si="107"/>
        <v>78</v>
      </c>
    </row>
    <row r="941" spans="11:21" hidden="1" x14ac:dyDescent="0.25">
      <c r="K941" s="36">
        <f t="shared" ca="1" si="109"/>
        <v>74702</v>
      </c>
      <c r="L941" s="19">
        <v>936</v>
      </c>
      <c r="M941" s="19">
        <f t="shared" si="108"/>
        <v>0</v>
      </c>
      <c r="N941" s="37">
        <f t="shared" si="105"/>
        <v>0</v>
      </c>
      <c r="O941" s="37">
        <f t="shared" si="110"/>
        <v>0</v>
      </c>
      <c r="P941" s="55" cm="1">
        <f t="array" aca="1" ref="P941" ca="1">IF((L941-$C$16)&gt;0, IF($P$1+$C$16&gt;=L941,INDIRECT("M"&amp;(L941-$C$16)+5),0),0)</f>
        <v>0</v>
      </c>
      <c r="Q941" s="56" cm="1">
        <f t="array" aca="1" ref="Q941" ca="1">IF(L941&lt;=$C$16,0,IF($W$2&gt;=L941,IF(L941&lt;=($P$1+$C$16),INDIRECT("N"&amp;(L941-$C$16)+5),FV(SRate,L941-$P$1-$C$16,0,-$W$1,1)),0))</f>
        <v>0</v>
      </c>
      <c r="R941" s="56">
        <f t="shared" ca="1" si="104"/>
        <v>0</v>
      </c>
      <c r="S941" s="19">
        <f t="shared" si="106"/>
        <v>0</v>
      </c>
      <c r="T941" s="36" t="str" cm="1">
        <f t="array" aca="1" ref="T941" ca="1">IF(L941&lt;=$P$1,K941,IF(L941&lt;=($P$1+1),INDIRECT("K"&amp;5+$W$2),""))</f>
        <v/>
      </c>
      <c r="U941" s="38">
        <f t="shared" si="107"/>
        <v>78</v>
      </c>
    </row>
    <row r="942" spans="11:21" hidden="1" x14ac:dyDescent="0.25">
      <c r="K942" s="36">
        <f t="shared" ca="1" si="109"/>
        <v>74733</v>
      </c>
      <c r="L942" s="19">
        <v>937</v>
      </c>
      <c r="M942" s="19">
        <f t="shared" si="108"/>
        <v>0</v>
      </c>
      <c r="N942" s="37">
        <f t="shared" si="105"/>
        <v>0</v>
      </c>
      <c r="O942" s="37">
        <f t="shared" si="110"/>
        <v>0</v>
      </c>
      <c r="P942" s="55" cm="1">
        <f t="array" aca="1" ref="P942" ca="1">IF((L942-$C$16)&gt;0, IF($P$1+$C$16&gt;=L942,INDIRECT("M"&amp;(L942-$C$16)+5),0),0)</f>
        <v>0</v>
      </c>
      <c r="Q942" s="56" cm="1">
        <f t="array" aca="1" ref="Q942" ca="1">IF(L942&lt;=$C$16,0,IF($W$2&gt;=L942,IF(L942&lt;=($P$1+$C$16),INDIRECT("N"&amp;(L942-$C$16)+5),FV(SRate,L942-$P$1-$C$16,0,-$W$1,1)),0))</f>
        <v>0</v>
      </c>
      <c r="R942" s="56">
        <f t="shared" ca="1" si="104"/>
        <v>0</v>
      </c>
      <c r="S942" s="19">
        <f t="shared" si="106"/>
        <v>0</v>
      </c>
      <c r="T942" s="36" t="str" cm="1">
        <f t="array" aca="1" ref="T942" ca="1">IF(L942&lt;=$P$1,K942,IF(L942&lt;=($P$1+1),INDIRECT("K"&amp;5+$W$2),""))</f>
        <v/>
      </c>
      <c r="U942" s="38">
        <f t="shared" si="107"/>
        <v>79</v>
      </c>
    </row>
    <row r="943" spans="11:21" hidden="1" x14ac:dyDescent="0.25">
      <c r="K943" s="36">
        <f t="shared" ca="1" si="109"/>
        <v>74764</v>
      </c>
      <c r="L943" s="19">
        <v>938</v>
      </c>
      <c r="M943" s="19">
        <f t="shared" si="108"/>
        <v>0</v>
      </c>
      <c r="N943" s="37">
        <f t="shared" si="105"/>
        <v>0</v>
      </c>
      <c r="O943" s="37">
        <f t="shared" si="110"/>
        <v>0</v>
      </c>
      <c r="P943" s="55" cm="1">
        <f t="array" aca="1" ref="P943" ca="1">IF((L943-$C$16)&gt;0, IF($P$1+$C$16&gt;=L943,INDIRECT("M"&amp;(L943-$C$16)+5),0),0)</f>
        <v>0</v>
      </c>
      <c r="Q943" s="56" cm="1">
        <f t="array" aca="1" ref="Q943" ca="1">IF(L943&lt;=$C$16,0,IF($W$2&gt;=L943,IF(L943&lt;=($P$1+$C$16),INDIRECT("N"&amp;(L943-$C$16)+5),FV(SRate,L943-$P$1-$C$16,0,-$W$1,1)),0))</f>
        <v>0</v>
      </c>
      <c r="R943" s="56">
        <f t="shared" ca="1" si="104"/>
        <v>0</v>
      </c>
      <c r="S943" s="19">
        <f t="shared" si="106"/>
        <v>0</v>
      </c>
      <c r="T943" s="36" t="str" cm="1">
        <f t="array" aca="1" ref="T943" ca="1">IF(L943&lt;=$P$1,K943,IF(L943&lt;=($P$1+1),INDIRECT("K"&amp;5+$W$2),""))</f>
        <v/>
      </c>
      <c r="U943" s="38">
        <f t="shared" si="107"/>
        <v>79</v>
      </c>
    </row>
    <row r="944" spans="11:21" hidden="1" x14ac:dyDescent="0.25">
      <c r="K944" s="36">
        <f t="shared" ca="1" si="109"/>
        <v>74794</v>
      </c>
      <c r="L944" s="19">
        <v>939</v>
      </c>
      <c r="M944" s="19">
        <f t="shared" si="108"/>
        <v>0</v>
      </c>
      <c r="N944" s="37">
        <f t="shared" si="105"/>
        <v>0</v>
      </c>
      <c r="O944" s="37">
        <f t="shared" si="110"/>
        <v>0</v>
      </c>
      <c r="P944" s="55" cm="1">
        <f t="array" aca="1" ref="P944" ca="1">IF((L944-$C$16)&gt;0, IF($P$1+$C$16&gt;=L944,INDIRECT("M"&amp;(L944-$C$16)+5),0),0)</f>
        <v>0</v>
      </c>
      <c r="Q944" s="56" cm="1">
        <f t="array" aca="1" ref="Q944" ca="1">IF(L944&lt;=$C$16,0,IF($W$2&gt;=L944,IF(L944&lt;=($P$1+$C$16),INDIRECT("N"&amp;(L944-$C$16)+5),FV(SRate,L944-$P$1-$C$16,0,-$W$1,1)),0))</f>
        <v>0</v>
      </c>
      <c r="R944" s="56">
        <f t="shared" ca="1" si="104"/>
        <v>0</v>
      </c>
      <c r="S944" s="19">
        <f t="shared" si="106"/>
        <v>0</v>
      </c>
      <c r="T944" s="36" t="str" cm="1">
        <f t="array" aca="1" ref="T944" ca="1">IF(L944&lt;=$P$1,K944,IF(L944&lt;=($P$1+1),INDIRECT("K"&amp;5+$W$2),""))</f>
        <v/>
      </c>
      <c r="U944" s="38">
        <f t="shared" si="107"/>
        <v>79</v>
      </c>
    </row>
    <row r="945" spans="11:21" hidden="1" x14ac:dyDescent="0.25">
      <c r="K945" s="36">
        <f t="shared" ca="1" si="109"/>
        <v>74825</v>
      </c>
      <c r="L945" s="19">
        <v>940</v>
      </c>
      <c r="M945" s="19">
        <f t="shared" si="108"/>
        <v>0</v>
      </c>
      <c r="N945" s="37">
        <f t="shared" si="105"/>
        <v>0</v>
      </c>
      <c r="O945" s="37">
        <f t="shared" si="110"/>
        <v>0</v>
      </c>
      <c r="P945" s="55" cm="1">
        <f t="array" aca="1" ref="P945" ca="1">IF((L945-$C$16)&gt;0, IF($P$1+$C$16&gt;=L945,INDIRECT("M"&amp;(L945-$C$16)+5),0),0)</f>
        <v>0</v>
      </c>
      <c r="Q945" s="56" cm="1">
        <f t="array" aca="1" ref="Q945" ca="1">IF(L945&lt;=$C$16,0,IF($W$2&gt;=L945,IF(L945&lt;=($P$1+$C$16),INDIRECT("N"&amp;(L945-$C$16)+5),FV(SRate,L945-$P$1-$C$16,0,-$W$1,1)),0))</f>
        <v>0</v>
      </c>
      <c r="R945" s="56">
        <f t="shared" ca="1" si="104"/>
        <v>0</v>
      </c>
      <c r="S945" s="19">
        <f t="shared" si="106"/>
        <v>0</v>
      </c>
      <c r="T945" s="36" t="str" cm="1">
        <f t="array" aca="1" ref="T945" ca="1">IF(L945&lt;=$P$1,K945,IF(L945&lt;=($P$1+1),INDIRECT("K"&amp;5+$W$2),""))</f>
        <v/>
      </c>
      <c r="U945" s="38">
        <f t="shared" si="107"/>
        <v>79</v>
      </c>
    </row>
    <row r="946" spans="11:21" hidden="1" x14ac:dyDescent="0.25">
      <c r="K946" s="36">
        <f t="shared" ca="1" si="109"/>
        <v>74855</v>
      </c>
      <c r="L946" s="19">
        <v>941</v>
      </c>
      <c r="M946" s="19">
        <f t="shared" si="108"/>
        <v>0</v>
      </c>
      <c r="N946" s="37">
        <f t="shared" si="105"/>
        <v>0</v>
      </c>
      <c r="O946" s="37">
        <f t="shared" si="110"/>
        <v>0</v>
      </c>
      <c r="P946" s="55" cm="1">
        <f t="array" aca="1" ref="P946" ca="1">IF((L946-$C$16)&gt;0, IF($P$1+$C$16&gt;=L946,INDIRECT("M"&amp;(L946-$C$16)+5),0),0)</f>
        <v>0</v>
      </c>
      <c r="Q946" s="56" cm="1">
        <f t="array" aca="1" ref="Q946" ca="1">IF(L946&lt;=$C$16,0,IF($W$2&gt;=L946,IF(L946&lt;=($P$1+$C$16),INDIRECT("N"&amp;(L946-$C$16)+5),FV(SRate,L946-$P$1-$C$16,0,-$W$1,1)),0))</f>
        <v>0</v>
      </c>
      <c r="R946" s="56">
        <f t="shared" ca="1" si="104"/>
        <v>0</v>
      </c>
      <c r="S946" s="19">
        <f t="shared" si="106"/>
        <v>0</v>
      </c>
      <c r="T946" s="36" t="str" cm="1">
        <f t="array" aca="1" ref="T946" ca="1">IF(L946&lt;=$P$1,K946,IF(L946&lt;=($P$1+1),INDIRECT("K"&amp;5+$W$2),""))</f>
        <v/>
      </c>
      <c r="U946" s="38">
        <f t="shared" si="107"/>
        <v>79</v>
      </c>
    </row>
    <row r="947" spans="11:21" hidden="1" x14ac:dyDescent="0.25">
      <c r="K947" s="36">
        <f t="shared" ca="1" si="109"/>
        <v>74886</v>
      </c>
      <c r="L947" s="19">
        <v>942</v>
      </c>
      <c r="M947" s="19">
        <f t="shared" si="108"/>
        <v>0</v>
      </c>
      <c r="N947" s="37">
        <f t="shared" si="105"/>
        <v>0</v>
      </c>
      <c r="O947" s="37">
        <f t="shared" si="110"/>
        <v>0</v>
      </c>
      <c r="P947" s="55" cm="1">
        <f t="array" aca="1" ref="P947" ca="1">IF((L947-$C$16)&gt;0, IF($P$1+$C$16&gt;=L947,INDIRECT("M"&amp;(L947-$C$16)+5),0),0)</f>
        <v>0</v>
      </c>
      <c r="Q947" s="56" cm="1">
        <f t="array" aca="1" ref="Q947" ca="1">IF(L947&lt;=$C$16,0,IF($W$2&gt;=L947,IF(L947&lt;=($P$1+$C$16),INDIRECT("N"&amp;(L947-$C$16)+5),FV(SRate,L947-$P$1-$C$16,0,-$W$1,1)),0))</f>
        <v>0</v>
      </c>
      <c r="R947" s="56">
        <f t="shared" ca="1" si="104"/>
        <v>0</v>
      </c>
      <c r="S947" s="19">
        <f t="shared" si="106"/>
        <v>0</v>
      </c>
      <c r="T947" s="36" t="str" cm="1">
        <f t="array" aca="1" ref="T947" ca="1">IF(L947&lt;=$P$1,K947,IF(L947&lt;=($P$1+1),INDIRECT("K"&amp;5+$W$2),""))</f>
        <v/>
      </c>
      <c r="U947" s="38">
        <f t="shared" si="107"/>
        <v>79</v>
      </c>
    </row>
    <row r="948" spans="11:21" hidden="1" x14ac:dyDescent="0.25">
      <c r="K948" s="36">
        <f t="shared" ca="1" si="109"/>
        <v>74917</v>
      </c>
      <c r="L948" s="19">
        <v>943</v>
      </c>
      <c r="M948" s="19">
        <f t="shared" si="108"/>
        <v>0</v>
      </c>
      <c r="N948" s="37">
        <f t="shared" si="105"/>
        <v>0</v>
      </c>
      <c r="O948" s="37">
        <f t="shared" si="110"/>
        <v>0</v>
      </c>
      <c r="P948" s="55" cm="1">
        <f t="array" aca="1" ref="P948" ca="1">IF((L948-$C$16)&gt;0, IF($P$1+$C$16&gt;=L948,INDIRECT("M"&amp;(L948-$C$16)+5),0),0)</f>
        <v>0</v>
      </c>
      <c r="Q948" s="56" cm="1">
        <f t="array" aca="1" ref="Q948" ca="1">IF(L948&lt;=$C$16,0,IF($W$2&gt;=L948,IF(L948&lt;=($P$1+$C$16),INDIRECT("N"&amp;(L948-$C$16)+5),FV(SRate,L948-$P$1-$C$16,0,-$W$1,1)),0))</f>
        <v>0</v>
      </c>
      <c r="R948" s="56">
        <f t="shared" ca="1" si="104"/>
        <v>0</v>
      </c>
      <c r="S948" s="19">
        <f t="shared" si="106"/>
        <v>0</v>
      </c>
      <c r="T948" s="36" t="str" cm="1">
        <f t="array" aca="1" ref="T948" ca="1">IF(L948&lt;=$P$1,K948,IF(L948&lt;=($P$1+1),INDIRECT("K"&amp;5+$W$2),""))</f>
        <v/>
      </c>
      <c r="U948" s="38">
        <f t="shared" si="107"/>
        <v>79</v>
      </c>
    </row>
    <row r="949" spans="11:21" hidden="1" x14ac:dyDescent="0.25">
      <c r="K949" s="36">
        <f t="shared" ca="1" si="109"/>
        <v>74945</v>
      </c>
      <c r="L949" s="19">
        <v>944</v>
      </c>
      <c r="M949" s="19">
        <f t="shared" si="108"/>
        <v>0</v>
      </c>
      <c r="N949" s="37">
        <f t="shared" si="105"/>
        <v>0</v>
      </c>
      <c r="O949" s="37">
        <f t="shared" si="110"/>
        <v>0</v>
      </c>
      <c r="P949" s="55" cm="1">
        <f t="array" aca="1" ref="P949" ca="1">IF((L949-$C$16)&gt;0, IF($P$1+$C$16&gt;=L949,INDIRECT("M"&amp;(L949-$C$16)+5),0),0)</f>
        <v>0</v>
      </c>
      <c r="Q949" s="56" cm="1">
        <f t="array" aca="1" ref="Q949" ca="1">IF(L949&lt;=$C$16,0,IF($W$2&gt;=L949,IF(L949&lt;=($P$1+$C$16),INDIRECT("N"&amp;(L949-$C$16)+5),FV(SRate,L949-$P$1-$C$16,0,-$W$1,1)),0))</f>
        <v>0</v>
      </c>
      <c r="R949" s="56">
        <f t="shared" ca="1" si="104"/>
        <v>0</v>
      </c>
      <c r="S949" s="19">
        <f t="shared" si="106"/>
        <v>0</v>
      </c>
      <c r="T949" s="36" t="str" cm="1">
        <f t="array" aca="1" ref="T949" ca="1">IF(L949&lt;=$P$1,K949,IF(L949&lt;=($P$1+1),INDIRECT("K"&amp;5+$W$2),""))</f>
        <v/>
      </c>
      <c r="U949" s="38">
        <f t="shared" si="107"/>
        <v>79</v>
      </c>
    </row>
    <row r="950" spans="11:21" hidden="1" x14ac:dyDescent="0.25">
      <c r="K950" s="36">
        <f t="shared" ca="1" si="109"/>
        <v>74976</v>
      </c>
      <c r="L950" s="19">
        <v>945</v>
      </c>
      <c r="M950" s="19">
        <f t="shared" si="108"/>
        <v>0</v>
      </c>
      <c r="N950" s="37">
        <f t="shared" si="105"/>
        <v>0</v>
      </c>
      <c r="O950" s="37">
        <f t="shared" si="110"/>
        <v>0</v>
      </c>
      <c r="P950" s="55" cm="1">
        <f t="array" aca="1" ref="P950" ca="1">IF((L950-$C$16)&gt;0, IF($P$1+$C$16&gt;=L950,INDIRECT("M"&amp;(L950-$C$16)+5),0),0)</f>
        <v>0</v>
      </c>
      <c r="Q950" s="56" cm="1">
        <f t="array" aca="1" ref="Q950" ca="1">IF(L950&lt;=$C$16,0,IF($W$2&gt;=L950,IF(L950&lt;=($P$1+$C$16),INDIRECT("N"&amp;(L950-$C$16)+5),FV(SRate,L950-$P$1-$C$16,0,-$W$1,1)),0))</f>
        <v>0</v>
      </c>
      <c r="R950" s="56">
        <f t="shared" ca="1" si="104"/>
        <v>0</v>
      </c>
      <c r="S950" s="19">
        <f t="shared" si="106"/>
        <v>0</v>
      </c>
      <c r="T950" s="36" t="str" cm="1">
        <f t="array" aca="1" ref="T950" ca="1">IF(L950&lt;=$P$1,K950,IF(L950&lt;=($P$1+1),INDIRECT("K"&amp;5+$W$2),""))</f>
        <v/>
      </c>
      <c r="U950" s="38">
        <f t="shared" si="107"/>
        <v>79</v>
      </c>
    </row>
    <row r="951" spans="11:21" hidden="1" x14ac:dyDescent="0.25">
      <c r="K951" s="36">
        <f t="shared" ca="1" si="109"/>
        <v>75006</v>
      </c>
      <c r="L951" s="19">
        <v>946</v>
      </c>
      <c r="M951" s="19">
        <f t="shared" si="108"/>
        <v>0</v>
      </c>
      <c r="N951" s="37">
        <f t="shared" si="105"/>
        <v>0</v>
      </c>
      <c r="O951" s="37">
        <f t="shared" si="110"/>
        <v>0</v>
      </c>
      <c r="P951" s="55" cm="1">
        <f t="array" aca="1" ref="P951" ca="1">IF((L951-$C$16)&gt;0, IF($P$1+$C$16&gt;=L951,INDIRECT("M"&amp;(L951-$C$16)+5),0),0)</f>
        <v>0</v>
      </c>
      <c r="Q951" s="56" cm="1">
        <f t="array" aca="1" ref="Q951" ca="1">IF(L951&lt;=$C$16,0,IF($W$2&gt;=L951,IF(L951&lt;=($P$1+$C$16),INDIRECT("N"&amp;(L951-$C$16)+5),FV(SRate,L951-$P$1-$C$16,0,-$W$1,1)),0))</f>
        <v>0</v>
      </c>
      <c r="R951" s="56">
        <f t="shared" ca="1" si="104"/>
        <v>0</v>
      </c>
      <c r="S951" s="19">
        <f t="shared" si="106"/>
        <v>0</v>
      </c>
      <c r="T951" s="36" t="str" cm="1">
        <f t="array" aca="1" ref="T951" ca="1">IF(L951&lt;=$P$1,K951,IF(L951&lt;=($P$1+1),INDIRECT("K"&amp;5+$W$2),""))</f>
        <v/>
      </c>
      <c r="U951" s="38">
        <f t="shared" si="107"/>
        <v>79</v>
      </c>
    </row>
    <row r="952" spans="11:21" hidden="1" x14ac:dyDescent="0.25">
      <c r="K952" s="36">
        <f t="shared" ca="1" si="109"/>
        <v>75037</v>
      </c>
      <c r="L952" s="19">
        <v>947</v>
      </c>
      <c r="M952" s="19">
        <f t="shared" si="108"/>
        <v>0</v>
      </c>
      <c r="N952" s="37">
        <f t="shared" si="105"/>
        <v>0</v>
      </c>
      <c r="O952" s="37">
        <f t="shared" si="110"/>
        <v>0</v>
      </c>
      <c r="P952" s="55" cm="1">
        <f t="array" aca="1" ref="P952" ca="1">IF((L952-$C$16)&gt;0, IF($P$1+$C$16&gt;=L952,INDIRECT("M"&amp;(L952-$C$16)+5),0),0)</f>
        <v>0</v>
      </c>
      <c r="Q952" s="56" cm="1">
        <f t="array" aca="1" ref="Q952" ca="1">IF(L952&lt;=$C$16,0,IF($W$2&gt;=L952,IF(L952&lt;=($P$1+$C$16),INDIRECT("N"&amp;(L952-$C$16)+5),FV(SRate,L952-$P$1-$C$16,0,-$W$1,1)),0))</f>
        <v>0</v>
      </c>
      <c r="R952" s="56">
        <f t="shared" ca="1" si="104"/>
        <v>0</v>
      </c>
      <c r="S952" s="19">
        <f t="shared" si="106"/>
        <v>0</v>
      </c>
      <c r="T952" s="36" t="str" cm="1">
        <f t="array" aca="1" ref="T952" ca="1">IF(L952&lt;=$P$1,K952,IF(L952&lt;=($P$1+1),INDIRECT("K"&amp;5+$W$2),""))</f>
        <v/>
      </c>
      <c r="U952" s="38">
        <f t="shared" si="107"/>
        <v>79</v>
      </c>
    </row>
    <row r="953" spans="11:21" hidden="1" x14ac:dyDescent="0.25">
      <c r="K953" s="36">
        <f t="shared" ca="1" si="109"/>
        <v>75067</v>
      </c>
      <c r="L953" s="19">
        <v>948</v>
      </c>
      <c r="M953" s="19">
        <f t="shared" si="108"/>
        <v>0</v>
      </c>
      <c r="N953" s="37">
        <f t="shared" si="105"/>
        <v>0</v>
      </c>
      <c r="O953" s="37">
        <f t="shared" si="110"/>
        <v>0</v>
      </c>
      <c r="P953" s="55" cm="1">
        <f t="array" aca="1" ref="P953" ca="1">IF((L953-$C$16)&gt;0, IF($P$1+$C$16&gt;=L953,INDIRECT("M"&amp;(L953-$C$16)+5),0),0)</f>
        <v>0</v>
      </c>
      <c r="Q953" s="56" cm="1">
        <f t="array" aca="1" ref="Q953" ca="1">IF(L953&lt;=$C$16,0,IF($W$2&gt;=L953,IF(L953&lt;=($P$1+$C$16),INDIRECT("N"&amp;(L953-$C$16)+5),FV(SRate,L953-$P$1-$C$16,0,-$W$1,1)),0))</f>
        <v>0</v>
      </c>
      <c r="R953" s="56">
        <f t="shared" ca="1" si="104"/>
        <v>0</v>
      </c>
      <c r="S953" s="19">
        <f t="shared" si="106"/>
        <v>0</v>
      </c>
      <c r="T953" s="36" t="str" cm="1">
        <f t="array" aca="1" ref="T953" ca="1">IF(L953&lt;=$P$1,K953,IF(L953&lt;=($P$1+1),INDIRECT("K"&amp;5+$W$2),""))</f>
        <v/>
      </c>
      <c r="U953" s="38">
        <f t="shared" si="107"/>
        <v>79</v>
      </c>
    </row>
    <row r="954" spans="11:21" hidden="1" x14ac:dyDescent="0.25">
      <c r="K954" s="36">
        <f t="shared" ca="1" si="109"/>
        <v>75098</v>
      </c>
      <c r="L954" s="19">
        <v>949</v>
      </c>
      <c r="M954" s="19">
        <f t="shared" si="108"/>
        <v>0</v>
      </c>
      <c r="N954" s="37">
        <f t="shared" si="105"/>
        <v>0</v>
      </c>
      <c r="O954" s="37">
        <f t="shared" si="110"/>
        <v>0</v>
      </c>
      <c r="P954" s="55" cm="1">
        <f t="array" aca="1" ref="P954" ca="1">IF((L954-$C$16)&gt;0, IF($P$1+$C$16&gt;=L954,INDIRECT("M"&amp;(L954-$C$16)+5),0),0)</f>
        <v>0</v>
      </c>
      <c r="Q954" s="56" cm="1">
        <f t="array" aca="1" ref="Q954" ca="1">IF(L954&lt;=$C$16,0,IF($W$2&gt;=L954,IF(L954&lt;=($P$1+$C$16),INDIRECT("N"&amp;(L954-$C$16)+5),FV(SRate,L954-$P$1-$C$16,0,-$W$1,1)),0))</f>
        <v>0</v>
      </c>
      <c r="R954" s="56">
        <f t="shared" ca="1" si="104"/>
        <v>0</v>
      </c>
      <c r="S954" s="19">
        <f t="shared" si="106"/>
        <v>0</v>
      </c>
      <c r="T954" s="36" t="str" cm="1">
        <f t="array" aca="1" ref="T954" ca="1">IF(L954&lt;=$P$1,K954,IF(L954&lt;=($P$1+1),INDIRECT("K"&amp;5+$W$2),""))</f>
        <v/>
      </c>
      <c r="U954" s="38">
        <f t="shared" si="107"/>
        <v>80</v>
      </c>
    </row>
    <row r="955" spans="11:21" hidden="1" x14ac:dyDescent="0.25">
      <c r="K955" s="36">
        <f t="shared" ca="1" si="109"/>
        <v>75129</v>
      </c>
      <c r="L955" s="19">
        <v>950</v>
      </c>
      <c r="M955" s="19">
        <f t="shared" si="108"/>
        <v>0</v>
      </c>
      <c r="N955" s="37">
        <f t="shared" si="105"/>
        <v>0</v>
      </c>
      <c r="O955" s="37">
        <f t="shared" si="110"/>
        <v>0</v>
      </c>
      <c r="P955" s="55" cm="1">
        <f t="array" aca="1" ref="P955" ca="1">IF((L955-$C$16)&gt;0, IF($P$1+$C$16&gt;=L955,INDIRECT("M"&amp;(L955-$C$16)+5),0),0)</f>
        <v>0</v>
      </c>
      <c r="Q955" s="56" cm="1">
        <f t="array" aca="1" ref="Q955" ca="1">IF(L955&lt;=$C$16,0,IF($W$2&gt;=L955,IF(L955&lt;=($P$1+$C$16),INDIRECT("N"&amp;(L955-$C$16)+5),FV(SRate,L955-$P$1-$C$16,0,-$W$1,1)),0))</f>
        <v>0</v>
      </c>
      <c r="R955" s="56">
        <f t="shared" ca="1" si="104"/>
        <v>0</v>
      </c>
      <c r="S955" s="19">
        <f t="shared" si="106"/>
        <v>0</v>
      </c>
      <c r="T955" s="36" t="str" cm="1">
        <f t="array" aca="1" ref="T955" ca="1">IF(L955&lt;=$P$1,K955,IF(L955&lt;=($P$1+1),INDIRECT("K"&amp;5+$W$2),""))</f>
        <v/>
      </c>
      <c r="U955" s="38">
        <f t="shared" si="107"/>
        <v>80</v>
      </c>
    </row>
    <row r="956" spans="11:21" hidden="1" x14ac:dyDescent="0.25">
      <c r="K956" s="36">
        <f t="shared" ca="1" si="109"/>
        <v>75159</v>
      </c>
      <c r="L956" s="19">
        <v>951</v>
      </c>
      <c r="M956" s="19">
        <f t="shared" si="108"/>
        <v>0</v>
      </c>
      <c r="N956" s="37">
        <f t="shared" si="105"/>
        <v>0</v>
      </c>
      <c r="O956" s="37">
        <f t="shared" si="110"/>
        <v>0</v>
      </c>
      <c r="P956" s="55" cm="1">
        <f t="array" aca="1" ref="P956" ca="1">IF((L956-$C$16)&gt;0, IF($P$1+$C$16&gt;=L956,INDIRECT("M"&amp;(L956-$C$16)+5),0),0)</f>
        <v>0</v>
      </c>
      <c r="Q956" s="56" cm="1">
        <f t="array" aca="1" ref="Q956" ca="1">IF(L956&lt;=$C$16,0,IF($W$2&gt;=L956,IF(L956&lt;=($P$1+$C$16),INDIRECT("N"&amp;(L956-$C$16)+5),FV(SRate,L956-$P$1-$C$16,0,-$W$1,1)),0))</f>
        <v>0</v>
      </c>
      <c r="R956" s="56">
        <f t="shared" ca="1" si="104"/>
        <v>0</v>
      </c>
      <c r="S956" s="19">
        <f t="shared" si="106"/>
        <v>0</v>
      </c>
      <c r="T956" s="36" t="str" cm="1">
        <f t="array" aca="1" ref="T956" ca="1">IF(L956&lt;=$P$1,K956,IF(L956&lt;=($P$1+1),INDIRECT("K"&amp;5+$W$2),""))</f>
        <v/>
      </c>
      <c r="U956" s="38">
        <f t="shared" si="107"/>
        <v>80</v>
      </c>
    </row>
    <row r="957" spans="11:21" hidden="1" x14ac:dyDescent="0.25">
      <c r="K957" s="36">
        <f t="shared" ca="1" si="109"/>
        <v>75190</v>
      </c>
      <c r="L957" s="19">
        <v>952</v>
      </c>
      <c r="M957" s="19">
        <f t="shared" si="108"/>
        <v>0</v>
      </c>
      <c r="N957" s="37">
        <f t="shared" si="105"/>
        <v>0</v>
      </c>
      <c r="O957" s="37">
        <f t="shared" si="110"/>
        <v>0</v>
      </c>
      <c r="P957" s="55" cm="1">
        <f t="array" aca="1" ref="P957" ca="1">IF((L957-$C$16)&gt;0, IF($P$1+$C$16&gt;=L957,INDIRECT("M"&amp;(L957-$C$16)+5),0),0)</f>
        <v>0</v>
      </c>
      <c r="Q957" s="56" cm="1">
        <f t="array" aca="1" ref="Q957" ca="1">IF(L957&lt;=$C$16,0,IF($W$2&gt;=L957,IF(L957&lt;=($P$1+$C$16),INDIRECT("N"&amp;(L957-$C$16)+5),FV(SRate,L957-$P$1-$C$16,0,-$W$1,1)),0))</f>
        <v>0</v>
      </c>
      <c r="R957" s="56">
        <f t="shared" ca="1" si="104"/>
        <v>0</v>
      </c>
      <c r="S957" s="19">
        <f t="shared" si="106"/>
        <v>0</v>
      </c>
      <c r="T957" s="36" t="str" cm="1">
        <f t="array" aca="1" ref="T957" ca="1">IF(L957&lt;=$P$1,K957,IF(L957&lt;=($P$1+1),INDIRECT("K"&amp;5+$W$2),""))</f>
        <v/>
      </c>
      <c r="U957" s="38">
        <f t="shared" si="107"/>
        <v>80</v>
      </c>
    </row>
    <row r="958" spans="11:21" hidden="1" x14ac:dyDescent="0.25">
      <c r="K958" s="36">
        <f t="shared" ca="1" si="109"/>
        <v>75220</v>
      </c>
      <c r="L958" s="19">
        <v>953</v>
      </c>
      <c r="M958" s="19">
        <f t="shared" si="108"/>
        <v>0</v>
      </c>
      <c r="N958" s="37">
        <f t="shared" si="105"/>
        <v>0</v>
      </c>
      <c r="O958" s="37">
        <f t="shared" si="110"/>
        <v>0</v>
      </c>
      <c r="P958" s="55" cm="1">
        <f t="array" aca="1" ref="P958" ca="1">IF((L958-$C$16)&gt;0, IF($P$1+$C$16&gt;=L958,INDIRECT("M"&amp;(L958-$C$16)+5),0),0)</f>
        <v>0</v>
      </c>
      <c r="Q958" s="56" cm="1">
        <f t="array" aca="1" ref="Q958" ca="1">IF(L958&lt;=$C$16,0,IF($W$2&gt;=L958,IF(L958&lt;=($P$1+$C$16),INDIRECT("N"&amp;(L958-$C$16)+5),FV(SRate,L958-$P$1-$C$16,0,-$W$1,1)),0))</f>
        <v>0</v>
      </c>
      <c r="R958" s="56">
        <f t="shared" ca="1" si="104"/>
        <v>0</v>
      </c>
      <c r="S958" s="19">
        <f t="shared" si="106"/>
        <v>0</v>
      </c>
      <c r="T958" s="36" t="str" cm="1">
        <f t="array" aca="1" ref="T958" ca="1">IF(L958&lt;=$P$1,K958,IF(L958&lt;=($P$1+1),INDIRECT("K"&amp;5+$W$2),""))</f>
        <v/>
      </c>
      <c r="U958" s="38">
        <f t="shared" si="107"/>
        <v>80</v>
      </c>
    </row>
    <row r="959" spans="11:21" hidden="1" x14ac:dyDescent="0.25">
      <c r="K959" s="36">
        <f t="shared" ca="1" si="109"/>
        <v>75251</v>
      </c>
      <c r="L959" s="19">
        <v>954</v>
      </c>
      <c r="M959" s="19">
        <f t="shared" si="108"/>
        <v>0</v>
      </c>
      <c r="N959" s="37">
        <f t="shared" si="105"/>
        <v>0</v>
      </c>
      <c r="O959" s="37">
        <f t="shared" si="110"/>
        <v>0</v>
      </c>
      <c r="P959" s="55" cm="1">
        <f t="array" aca="1" ref="P959" ca="1">IF((L959-$C$16)&gt;0, IF($P$1+$C$16&gt;=L959,INDIRECT("M"&amp;(L959-$C$16)+5),0),0)</f>
        <v>0</v>
      </c>
      <c r="Q959" s="56" cm="1">
        <f t="array" aca="1" ref="Q959" ca="1">IF(L959&lt;=$C$16,0,IF($W$2&gt;=L959,IF(L959&lt;=($P$1+$C$16),INDIRECT("N"&amp;(L959-$C$16)+5),FV(SRate,L959-$P$1-$C$16,0,-$W$1,1)),0))</f>
        <v>0</v>
      </c>
      <c r="R959" s="56">
        <f t="shared" ca="1" si="104"/>
        <v>0</v>
      </c>
      <c r="S959" s="19">
        <f t="shared" si="106"/>
        <v>0</v>
      </c>
      <c r="T959" s="36" t="str" cm="1">
        <f t="array" aca="1" ref="T959" ca="1">IF(L959&lt;=$P$1,K959,IF(L959&lt;=($P$1+1),INDIRECT("K"&amp;5+$W$2),""))</f>
        <v/>
      </c>
      <c r="U959" s="38">
        <f t="shared" si="107"/>
        <v>80</v>
      </c>
    </row>
    <row r="960" spans="11:21" hidden="1" x14ac:dyDescent="0.25">
      <c r="K960" s="36">
        <f t="shared" ca="1" si="109"/>
        <v>75282</v>
      </c>
      <c r="L960" s="19">
        <v>955</v>
      </c>
      <c r="M960" s="19">
        <f t="shared" si="108"/>
        <v>0</v>
      </c>
      <c r="N960" s="37">
        <f t="shared" si="105"/>
        <v>0</v>
      </c>
      <c r="O960" s="37">
        <f t="shared" si="110"/>
        <v>0</v>
      </c>
      <c r="P960" s="55" cm="1">
        <f t="array" aca="1" ref="P960" ca="1">IF((L960-$C$16)&gt;0, IF($P$1+$C$16&gt;=L960,INDIRECT("M"&amp;(L960-$C$16)+5),0),0)</f>
        <v>0</v>
      </c>
      <c r="Q960" s="56" cm="1">
        <f t="array" aca="1" ref="Q960" ca="1">IF(L960&lt;=$C$16,0,IF($W$2&gt;=L960,IF(L960&lt;=($P$1+$C$16),INDIRECT("N"&amp;(L960-$C$16)+5),FV(SRate,L960-$P$1-$C$16,0,-$W$1,1)),0))</f>
        <v>0</v>
      </c>
      <c r="R960" s="56">
        <f t="shared" ca="1" si="104"/>
        <v>0</v>
      </c>
      <c r="S960" s="19">
        <f t="shared" si="106"/>
        <v>0</v>
      </c>
      <c r="T960" s="36" t="str" cm="1">
        <f t="array" aca="1" ref="T960" ca="1">IF(L960&lt;=$P$1,K960,IF(L960&lt;=($P$1+1),INDIRECT("K"&amp;5+$W$2),""))</f>
        <v/>
      </c>
      <c r="U960" s="38">
        <f t="shared" si="107"/>
        <v>80</v>
      </c>
    </row>
    <row r="961" spans="11:21" hidden="1" x14ac:dyDescent="0.25">
      <c r="K961" s="36">
        <f t="shared" ca="1" si="109"/>
        <v>75310</v>
      </c>
      <c r="L961" s="19">
        <v>956</v>
      </c>
      <c r="M961" s="19">
        <f t="shared" si="108"/>
        <v>0</v>
      </c>
      <c r="N961" s="37">
        <f t="shared" si="105"/>
        <v>0</v>
      </c>
      <c r="O961" s="37">
        <f t="shared" si="110"/>
        <v>0</v>
      </c>
      <c r="P961" s="55" cm="1">
        <f t="array" aca="1" ref="P961" ca="1">IF((L961-$C$16)&gt;0, IF($P$1+$C$16&gt;=L961,INDIRECT("M"&amp;(L961-$C$16)+5),0),0)</f>
        <v>0</v>
      </c>
      <c r="Q961" s="56" cm="1">
        <f t="array" aca="1" ref="Q961" ca="1">IF(L961&lt;=$C$16,0,IF($W$2&gt;=L961,IF(L961&lt;=($P$1+$C$16),INDIRECT("N"&amp;(L961-$C$16)+5),FV(SRate,L961-$P$1-$C$16,0,-$W$1,1)),0))</f>
        <v>0</v>
      </c>
      <c r="R961" s="56">
        <f t="shared" ca="1" si="104"/>
        <v>0</v>
      </c>
      <c r="S961" s="19">
        <f t="shared" si="106"/>
        <v>0</v>
      </c>
      <c r="T961" s="36" t="str" cm="1">
        <f t="array" aca="1" ref="T961" ca="1">IF(L961&lt;=$P$1,K961,IF(L961&lt;=($P$1+1),INDIRECT("K"&amp;5+$W$2),""))</f>
        <v/>
      </c>
      <c r="U961" s="38">
        <f t="shared" si="107"/>
        <v>80</v>
      </c>
    </row>
    <row r="962" spans="11:21" hidden="1" x14ac:dyDescent="0.25">
      <c r="K962" s="36">
        <f t="shared" ca="1" si="109"/>
        <v>75341</v>
      </c>
      <c r="L962" s="19">
        <v>957</v>
      </c>
      <c r="M962" s="19">
        <f t="shared" si="108"/>
        <v>0</v>
      </c>
      <c r="N962" s="37">
        <f t="shared" si="105"/>
        <v>0</v>
      </c>
      <c r="O962" s="37">
        <f t="shared" si="110"/>
        <v>0</v>
      </c>
      <c r="P962" s="55" cm="1">
        <f t="array" aca="1" ref="P962" ca="1">IF((L962-$C$16)&gt;0, IF($P$1+$C$16&gt;=L962,INDIRECT("M"&amp;(L962-$C$16)+5),0),0)</f>
        <v>0</v>
      </c>
      <c r="Q962" s="56" cm="1">
        <f t="array" aca="1" ref="Q962" ca="1">IF(L962&lt;=$C$16,0,IF($W$2&gt;=L962,IF(L962&lt;=($P$1+$C$16),INDIRECT("N"&amp;(L962-$C$16)+5),FV(SRate,L962-$P$1-$C$16,0,-$W$1,1)),0))</f>
        <v>0</v>
      </c>
      <c r="R962" s="56">
        <f t="shared" ca="1" si="104"/>
        <v>0</v>
      </c>
      <c r="S962" s="19">
        <f t="shared" si="106"/>
        <v>0</v>
      </c>
      <c r="T962" s="36" t="str" cm="1">
        <f t="array" aca="1" ref="T962" ca="1">IF(L962&lt;=$P$1,K962,IF(L962&lt;=($P$1+1),INDIRECT("K"&amp;5+$W$2),""))</f>
        <v/>
      </c>
      <c r="U962" s="38">
        <f t="shared" si="107"/>
        <v>80</v>
      </c>
    </row>
    <row r="963" spans="11:21" hidden="1" x14ac:dyDescent="0.25">
      <c r="K963" s="36">
        <f t="shared" ca="1" si="109"/>
        <v>75371</v>
      </c>
      <c r="L963" s="19">
        <v>958</v>
      </c>
      <c r="M963" s="19">
        <f t="shared" si="108"/>
        <v>0</v>
      </c>
      <c r="N963" s="37">
        <f t="shared" si="105"/>
        <v>0</v>
      </c>
      <c r="O963" s="37">
        <f t="shared" si="110"/>
        <v>0</v>
      </c>
      <c r="P963" s="55" cm="1">
        <f t="array" aca="1" ref="P963" ca="1">IF((L963-$C$16)&gt;0, IF($P$1+$C$16&gt;=L963,INDIRECT("M"&amp;(L963-$C$16)+5),0),0)</f>
        <v>0</v>
      </c>
      <c r="Q963" s="56" cm="1">
        <f t="array" aca="1" ref="Q963" ca="1">IF(L963&lt;=$C$16,0,IF($W$2&gt;=L963,IF(L963&lt;=($P$1+$C$16),INDIRECT("N"&amp;(L963-$C$16)+5),FV(SRate,L963-$P$1-$C$16,0,-$W$1,1)),0))</f>
        <v>0</v>
      </c>
      <c r="R963" s="56">
        <f t="shared" ca="1" si="104"/>
        <v>0</v>
      </c>
      <c r="S963" s="19">
        <f t="shared" si="106"/>
        <v>0</v>
      </c>
      <c r="T963" s="36" t="str" cm="1">
        <f t="array" aca="1" ref="T963" ca="1">IF(L963&lt;=$P$1,K963,IF(L963&lt;=($P$1+1),INDIRECT("K"&amp;5+$W$2),""))</f>
        <v/>
      </c>
      <c r="U963" s="38">
        <f t="shared" si="107"/>
        <v>80</v>
      </c>
    </row>
    <row r="964" spans="11:21" hidden="1" x14ac:dyDescent="0.25">
      <c r="K964" s="36">
        <f t="shared" ca="1" si="109"/>
        <v>75402</v>
      </c>
      <c r="L964" s="19">
        <v>959</v>
      </c>
      <c r="M964" s="19">
        <f t="shared" si="108"/>
        <v>0</v>
      </c>
      <c r="N964" s="37">
        <f t="shared" si="105"/>
        <v>0</v>
      </c>
      <c r="O964" s="37">
        <f t="shared" si="110"/>
        <v>0</v>
      </c>
      <c r="P964" s="55" cm="1">
        <f t="array" aca="1" ref="P964" ca="1">IF((L964-$C$16)&gt;0, IF($P$1+$C$16&gt;=L964,INDIRECT("M"&amp;(L964-$C$16)+5),0),0)</f>
        <v>0</v>
      </c>
      <c r="Q964" s="56" cm="1">
        <f t="array" aca="1" ref="Q964" ca="1">IF(L964&lt;=$C$16,0,IF($W$2&gt;=L964,IF(L964&lt;=($P$1+$C$16),INDIRECT("N"&amp;(L964-$C$16)+5),FV(SRate,L964-$P$1-$C$16,0,-$W$1,1)),0))</f>
        <v>0</v>
      </c>
      <c r="R964" s="56">
        <f t="shared" ca="1" si="104"/>
        <v>0</v>
      </c>
      <c r="S964" s="19">
        <f t="shared" si="106"/>
        <v>0</v>
      </c>
      <c r="T964" s="36" t="str" cm="1">
        <f t="array" aca="1" ref="T964" ca="1">IF(L964&lt;=$P$1,K964,IF(L964&lt;=($P$1+1),INDIRECT("K"&amp;5+$W$2),""))</f>
        <v/>
      </c>
      <c r="U964" s="38">
        <f t="shared" si="107"/>
        <v>80</v>
      </c>
    </row>
    <row r="965" spans="11:21" hidden="1" x14ac:dyDescent="0.25">
      <c r="K965" s="36">
        <f t="shared" ca="1" si="109"/>
        <v>75432</v>
      </c>
      <c r="L965" s="19">
        <v>960</v>
      </c>
      <c r="M965" s="19">
        <f t="shared" si="108"/>
        <v>0</v>
      </c>
      <c r="N965" s="37">
        <f t="shared" si="105"/>
        <v>0</v>
      </c>
      <c r="O965" s="37">
        <f t="shared" si="110"/>
        <v>0</v>
      </c>
      <c r="P965" s="55" cm="1">
        <f t="array" aca="1" ref="P965" ca="1">IF((L965-$C$16)&gt;0, IF($P$1+$C$16&gt;=L965,INDIRECT("M"&amp;(L965-$C$16)+5),0),0)</f>
        <v>0</v>
      </c>
      <c r="Q965" s="56" cm="1">
        <f t="array" aca="1" ref="Q965" ca="1">IF(L965&lt;=$C$16,0,IF($W$2&gt;=L965,IF(L965&lt;=($P$1+$C$16),INDIRECT("N"&amp;(L965-$C$16)+5),FV(SRate,L965-$P$1-$C$16,0,-$W$1,1)),0))</f>
        <v>0</v>
      </c>
      <c r="R965" s="56">
        <f t="shared" ca="1" si="104"/>
        <v>0</v>
      </c>
      <c r="S965" s="19">
        <f t="shared" si="106"/>
        <v>0</v>
      </c>
      <c r="T965" s="36" t="str" cm="1">
        <f t="array" aca="1" ref="T965" ca="1">IF(L965&lt;=$P$1,K965,IF(L965&lt;=($P$1+1),INDIRECT("K"&amp;5+$W$2),""))</f>
        <v/>
      </c>
      <c r="U965" s="38">
        <f t="shared" si="107"/>
        <v>80</v>
      </c>
    </row>
    <row r="966" spans="11:21" hidden="1" x14ac:dyDescent="0.25">
      <c r="K966" s="36">
        <f t="shared" ca="1" si="109"/>
        <v>75463</v>
      </c>
      <c r="L966" s="19">
        <v>961</v>
      </c>
      <c r="M966" s="19">
        <f t="shared" si="108"/>
        <v>0</v>
      </c>
      <c r="N966" s="37">
        <f t="shared" si="105"/>
        <v>0</v>
      </c>
      <c r="O966" s="37">
        <f t="shared" si="110"/>
        <v>0</v>
      </c>
      <c r="P966" s="55" cm="1">
        <f t="array" aca="1" ref="P966" ca="1">IF((L966-$C$16)&gt;0, IF($P$1+$C$16&gt;=L966,INDIRECT("M"&amp;(L966-$C$16)+5),0),0)</f>
        <v>0</v>
      </c>
      <c r="Q966" s="56" cm="1">
        <f t="array" aca="1" ref="Q966" ca="1">IF(L966&lt;=$C$16,0,IF($W$2&gt;=L966,IF(L966&lt;=($P$1+$C$16),INDIRECT("N"&amp;(L966-$C$16)+5),FV(SRate,L966-$P$1-$C$16,0,-$W$1,1)),0))</f>
        <v>0</v>
      </c>
      <c r="R966" s="56">
        <f t="shared" ref="R966:R1029" ca="1" si="111">Q966/((1+SIPInflationRate)^((L966-$C$16)/12))</f>
        <v>0</v>
      </c>
      <c r="S966" s="19">
        <f t="shared" si="106"/>
        <v>0</v>
      </c>
      <c r="T966" s="36" t="str" cm="1">
        <f t="array" aca="1" ref="T966" ca="1">IF(L966&lt;=$P$1,K966,IF(L966&lt;=($P$1+1),INDIRECT("K"&amp;5+$W$2),""))</f>
        <v/>
      </c>
      <c r="U966" s="38">
        <f t="shared" si="107"/>
        <v>81</v>
      </c>
    </row>
    <row r="967" spans="11:21" hidden="1" x14ac:dyDescent="0.25">
      <c r="K967" s="36">
        <f t="shared" ca="1" si="109"/>
        <v>75494</v>
      </c>
      <c r="L967" s="19">
        <v>962</v>
      </c>
      <c r="M967" s="19">
        <f t="shared" si="108"/>
        <v>0</v>
      </c>
      <c r="N967" s="37">
        <f t="shared" ref="N967:N1030" si="112">IF($W$2&gt;=L967,IF(L967&lt;=$P$1,(M967-M966+N966)*(1+SRate),FV(SRate,L967-$P$1,0,-$W$1,1)),0)</f>
        <v>0</v>
      </c>
      <c r="O967" s="37">
        <f t="shared" si="110"/>
        <v>0</v>
      </c>
      <c r="P967" s="55" cm="1">
        <f t="array" aca="1" ref="P967" ca="1">IF((L967-$C$16)&gt;0, IF($P$1+$C$16&gt;=L967,INDIRECT("M"&amp;(L967-$C$16)+5),0),0)</f>
        <v>0</v>
      </c>
      <c r="Q967" s="56" cm="1">
        <f t="array" aca="1" ref="Q967" ca="1">IF(L967&lt;=$C$16,0,IF($W$2&gt;=L967,IF(L967&lt;=($P$1+$C$16),INDIRECT("N"&amp;(L967-$C$16)+5),FV(SRate,L967-$P$1-$C$16,0,-$W$1,1)),0))</f>
        <v>0</v>
      </c>
      <c r="R967" s="56">
        <f t="shared" ca="1" si="111"/>
        <v>0</v>
      </c>
      <c r="S967" s="19">
        <f t="shared" ref="S967:S1030" si="113">IF(L967&lt;=$P$1,-(_xlfn.XLOOKUP(U967,$Z$3:$Z$72,$AB$3:$AB$72,0)),IF(L967&lt;=($P$1+1),$W$4,0))</f>
        <v>0</v>
      </c>
      <c r="T967" s="36" t="str" cm="1">
        <f t="array" aca="1" ref="T967" ca="1">IF(L967&lt;=$P$1,K967,IF(L967&lt;=($P$1+1),INDIRECT("K"&amp;5+$W$2),""))</f>
        <v/>
      </c>
      <c r="U967" s="38">
        <f t="shared" ref="U967:U1030" si="114">QUOTIENT(L967,12)+IF(MOD(L967,12)=0,-1,0)+1</f>
        <v>81</v>
      </c>
    </row>
    <row r="968" spans="11:21" hidden="1" x14ac:dyDescent="0.25">
      <c r="K968" s="36">
        <f t="shared" ca="1" si="109"/>
        <v>75524</v>
      </c>
      <c r="L968" s="19">
        <v>963</v>
      </c>
      <c r="M968" s="19">
        <f t="shared" ref="M968:M1031" si="115">IF($P$1&gt;=L968,_xlfn.XLOOKUP(U968,$Z$3:$Z$72,$AB$3:$AB$72,0)+M967,0)</f>
        <v>0</v>
      </c>
      <c r="N968" s="37">
        <f t="shared" si="112"/>
        <v>0</v>
      </c>
      <c r="O968" s="37">
        <f t="shared" si="110"/>
        <v>0</v>
      </c>
      <c r="P968" s="55" cm="1">
        <f t="array" aca="1" ref="P968" ca="1">IF((L968-$C$16)&gt;0, IF($P$1+$C$16&gt;=L968,INDIRECT("M"&amp;(L968-$C$16)+5),0),0)</f>
        <v>0</v>
      </c>
      <c r="Q968" s="56" cm="1">
        <f t="array" aca="1" ref="Q968" ca="1">IF(L968&lt;=$C$16,0,IF($W$2&gt;=L968,IF(L968&lt;=($P$1+$C$16),INDIRECT("N"&amp;(L968-$C$16)+5),FV(SRate,L968-$P$1-$C$16,0,-$W$1,1)),0))</f>
        <v>0</v>
      </c>
      <c r="R968" s="56">
        <f t="shared" ca="1" si="111"/>
        <v>0</v>
      </c>
      <c r="S968" s="19">
        <f t="shared" si="113"/>
        <v>0</v>
      </c>
      <c r="T968" s="36" t="str" cm="1">
        <f t="array" aca="1" ref="T968" ca="1">IF(L968&lt;=$P$1,K968,IF(L968&lt;=($P$1+1),INDIRECT("K"&amp;5+$W$2),""))</f>
        <v/>
      </c>
      <c r="U968" s="38">
        <f t="shared" si="114"/>
        <v>81</v>
      </c>
    </row>
    <row r="969" spans="11:21" hidden="1" x14ac:dyDescent="0.25">
      <c r="K969" s="36">
        <f t="shared" ref="K969:K1032" ca="1" si="116">EDATE(K968,1)</f>
        <v>75555</v>
      </c>
      <c r="L969" s="19">
        <v>964</v>
      </c>
      <c r="M969" s="19">
        <f t="shared" si="115"/>
        <v>0</v>
      </c>
      <c r="N969" s="37">
        <f t="shared" si="112"/>
        <v>0</v>
      </c>
      <c r="O969" s="37">
        <f t="shared" si="110"/>
        <v>0</v>
      </c>
      <c r="P969" s="55" cm="1">
        <f t="array" aca="1" ref="P969" ca="1">IF((L969-$C$16)&gt;0, IF($P$1+$C$16&gt;=L969,INDIRECT("M"&amp;(L969-$C$16)+5),0),0)</f>
        <v>0</v>
      </c>
      <c r="Q969" s="56" cm="1">
        <f t="array" aca="1" ref="Q969" ca="1">IF(L969&lt;=$C$16,0,IF($W$2&gt;=L969,IF(L969&lt;=($P$1+$C$16),INDIRECT("N"&amp;(L969-$C$16)+5),FV(SRate,L969-$P$1-$C$16,0,-$W$1,1)),0))</f>
        <v>0</v>
      </c>
      <c r="R969" s="56">
        <f t="shared" ca="1" si="111"/>
        <v>0</v>
      </c>
      <c r="S969" s="19">
        <f t="shared" si="113"/>
        <v>0</v>
      </c>
      <c r="T969" s="36" t="str" cm="1">
        <f t="array" aca="1" ref="T969" ca="1">IF(L969&lt;=$P$1,K969,IF(L969&lt;=($P$1+1),INDIRECT("K"&amp;5+$W$2),""))</f>
        <v/>
      </c>
      <c r="U969" s="38">
        <f t="shared" si="114"/>
        <v>81</v>
      </c>
    </row>
    <row r="970" spans="11:21" hidden="1" x14ac:dyDescent="0.25">
      <c r="K970" s="36">
        <f t="shared" ca="1" si="116"/>
        <v>75585</v>
      </c>
      <c r="L970" s="19">
        <v>965</v>
      </c>
      <c r="M970" s="19">
        <f t="shared" si="115"/>
        <v>0</v>
      </c>
      <c r="N970" s="37">
        <f t="shared" si="112"/>
        <v>0</v>
      </c>
      <c r="O970" s="37">
        <f t="shared" si="110"/>
        <v>0</v>
      </c>
      <c r="P970" s="55" cm="1">
        <f t="array" aca="1" ref="P970" ca="1">IF((L970-$C$16)&gt;0, IF($P$1+$C$16&gt;=L970,INDIRECT("M"&amp;(L970-$C$16)+5),0),0)</f>
        <v>0</v>
      </c>
      <c r="Q970" s="56" cm="1">
        <f t="array" aca="1" ref="Q970" ca="1">IF(L970&lt;=$C$16,0,IF($W$2&gt;=L970,IF(L970&lt;=($P$1+$C$16),INDIRECT("N"&amp;(L970-$C$16)+5),FV(SRate,L970-$P$1-$C$16,0,-$W$1,1)),0))</f>
        <v>0</v>
      </c>
      <c r="R970" s="56">
        <f t="shared" ca="1" si="111"/>
        <v>0</v>
      </c>
      <c r="S970" s="19">
        <f t="shared" si="113"/>
        <v>0</v>
      </c>
      <c r="T970" s="36" t="str" cm="1">
        <f t="array" aca="1" ref="T970" ca="1">IF(L970&lt;=$P$1,K970,IF(L970&lt;=($P$1+1),INDIRECT("K"&amp;5+$W$2),""))</f>
        <v/>
      </c>
      <c r="U970" s="38">
        <f t="shared" si="114"/>
        <v>81</v>
      </c>
    </row>
    <row r="971" spans="11:21" hidden="1" x14ac:dyDescent="0.25">
      <c r="K971" s="36">
        <f t="shared" ca="1" si="116"/>
        <v>75616</v>
      </c>
      <c r="L971" s="19">
        <v>966</v>
      </c>
      <c r="M971" s="19">
        <f t="shared" si="115"/>
        <v>0</v>
      </c>
      <c r="N971" s="37">
        <f t="shared" si="112"/>
        <v>0</v>
      </c>
      <c r="O971" s="37">
        <f t="shared" si="110"/>
        <v>0</v>
      </c>
      <c r="P971" s="55" cm="1">
        <f t="array" aca="1" ref="P971" ca="1">IF((L971-$C$16)&gt;0, IF($P$1+$C$16&gt;=L971,INDIRECT("M"&amp;(L971-$C$16)+5),0),0)</f>
        <v>0</v>
      </c>
      <c r="Q971" s="56" cm="1">
        <f t="array" aca="1" ref="Q971" ca="1">IF(L971&lt;=$C$16,0,IF($W$2&gt;=L971,IF(L971&lt;=($P$1+$C$16),INDIRECT("N"&amp;(L971-$C$16)+5),FV(SRate,L971-$P$1-$C$16,0,-$W$1,1)),0))</f>
        <v>0</v>
      </c>
      <c r="R971" s="56">
        <f t="shared" ca="1" si="111"/>
        <v>0</v>
      </c>
      <c r="S971" s="19">
        <f t="shared" si="113"/>
        <v>0</v>
      </c>
      <c r="T971" s="36" t="str" cm="1">
        <f t="array" aca="1" ref="T971" ca="1">IF(L971&lt;=$P$1,K971,IF(L971&lt;=($P$1+1),INDIRECT("K"&amp;5+$W$2),""))</f>
        <v/>
      </c>
      <c r="U971" s="38">
        <f t="shared" si="114"/>
        <v>81</v>
      </c>
    </row>
    <row r="972" spans="11:21" hidden="1" x14ac:dyDescent="0.25">
      <c r="K972" s="36">
        <f t="shared" ca="1" si="116"/>
        <v>75647</v>
      </c>
      <c r="L972" s="19">
        <v>967</v>
      </c>
      <c r="M972" s="19">
        <f t="shared" si="115"/>
        <v>0</v>
      </c>
      <c r="N972" s="37">
        <f t="shared" si="112"/>
        <v>0</v>
      </c>
      <c r="O972" s="37">
        <f t="shared" si="110"/>
        <v>0</v>
      </c>
      <c r="P972" s="55" cm="1">
        <f t="array" aca="1" ref="P972" ca="1">IF((L972-$C$16)&gt;0, IF($P$1+$C$16&gt;=L972,INDIRECT("M"&amp;(L972-$C$16)+5),0),0)</f>
        <v>0</v>
      </c>
      <c r="Q972" s="56" cm="1">
        <f t="array" aca="1" ref="Q972" ca="1">IF(L972&lt;=$C$16,0,IF($W$2&gt;=L972,IF(L972&lt;=($P$1+$C$16),INDIRECT("N"&amp;(L972-$C$16)+5),FV(SRate,L972-$P$1-$C$16,0,-$W$1,1)),0))</f>
        <v>0</v>
      </c>
      <c r="R972" s="56">
        <f t="shared" ca="1" si="111"/>
        <v>0</v>
      </c>
      <c r="S972" s="19">
        <f t="shared" si="113"/>
        <v>0</v>
      </c>
      <c r="T972" s="36" t="str" cm="1">
        <f t="array" aca="1" ref="T972" ca="1">IF(L972&lt;=$P$1,K972,IF(L972&lt;=($P$1+1),INDIRECT("K"&amp;5+$W$2),""))</f>
        <v/>
      </c>
      <c r="U972" s="38">
        <f t="shared" si="114"/>
        <v>81</v>
      </c>
    </row>
    <row r="973" spans="11:21" hidden="1" x14ac:dyDescent="0.25">
      <c r="K973" s="36">
        <f t="shared" ca="1" si="116"/>
        <v>75675</v>
      </c>
      <c r="L973" s="19">
        <v>968</v>
      </c>
      <c r="M973" s="19">
        <f t="shared" si="115"/>
        <v>0</v>
      </c>
      <c r="N973" s="37">
        <f t="shared" si="112"/>
        <v>0</v>
      </c>
      <c r="O973" s="37">
        <f t="shared" si="110"/>
        <v>0</v>
      </c>
      <c r="P973" s="55" cm="1">
        <f t="array" aca="1" ref="P973" ca="1">IF((L973-$C$16)&gt;0, IF($P$1+$C$16&gt;=L973,INDIRECT("M"&amp;(L973-$C$16)+5),0),0)</f>
        <v>0</v>
      </c>
      <c r="Q973" s="56" cm="1">
        <f t="array" aca="1" ref="Q973" ca="1">IF(L973&lt;=$C$16,0,IF($W$2&gt;=L973,IF(L973&lt;=($P$1+$C$16),INDIRECT("N"&amp;(L973-$C$16)+5),FV(SRate,L973-$P$1-$C$16,0,-$W$1,1)),0))</f>
        <v>0</v>
      </c>
      <c r="R973" s="56">
        <f t="shared" ca="1" si="111"/>
        <v>0</v>
      </c>
      <c r="S973" s="19">
        <f t="shared" si="113"/>
        <v>0</v>
      </c>
      <c r="T973" s="36" t="str" cm="1">
        <f t="array" aca="1" ref="T973" ca="1">IF(L973&lt;=$P$1,K973,IF(L973&lt;=($P$1+1),INDIRECT("K"&amp;5+$W$2),""))</f>
        <v/>
      </c>
      <c r="U973" s="38">
        <f t="shared" si="114"/>
        <v>81</v>
      </c>
    </row>
    <row r="974" spans="11:21" hidden="1" x14ac:dyDescent="0.25">
      <c r="K974" s="36">
        <f t="shared" ca="1" si="116"/>
        <v>75706</v>
      </c>
      <c r="L974" s="19">
        <v>969</v>
      </c>
      <c r="M974" s="19">
        <f t="shared" si="115"/>
        <v>0</v>
      </c>
      <c r="N974" s="37">
        <f t="shared" si="112"/>
        <v>0</v>
      </c>
      <c r="O974" s="37">
        <f t="shared" si="110"/>
        <v>0</v>
      </c>
      <c r="P974" s="55" cm="1">
        <f t="array" aca="1" ref="P974" ca="1">IF((L974-$C$16)&gt;0, IF($P$1+$C$16&gt;=L974,INDIRECT("M"&amp;(L974-$C$16)+5),0),0)</f>
        <v>0</v>
      </c>
      <c r="Q974" s="56" cm="1">
        <f t="array" aca="1" ref="Q974" ca="1">IF(L974&lt;=$C$16,0,IF($W$2&gt;=L974,IF(L974&lt;=($P$1+$C$16),INDIRECT("N"&amp;(L974-$C$16)+5),FV(SRate,L974-$P$1-$C$16,0,-$W$1,1)),0))</f>
        <v>0</v>
      </c>
      <c r="R974" s="56">
        <f t="shared" ca="1" si="111"/>
        <v>0</v>
      </c>
      <c r="S974" s="19">
        <f t="shared" si="113"/>
        <v>0</v>
      </c>
      <c r="T974" s="36" t="str" cm="1">
        <f t="array" aca="1" ref="T974" ca="1">IF(L974&lt;=$P$1,K974,IF(L974&lt;=($P$1+1),INDIRECT("K"&amp;5+$W$2),""))</f>
        <v/>
      </c>
      <c r="U974" s="38">
        <f t="shared" si="114"/>
        <v>81</v>
      </c>
    </row>
    <row r="975" spans="11:21" hidden="1" x14ac:dyDescent="0.25">
      <c r="K975" s="36">
        <f t="shared" ca="1" si="116"/>
        <v>75736</v>
      </c>
      <c r="L975" s="19">
        <v>970</v>
      </c>
      <c r="M975" s="19">
        <f t="shared" si="115"/>
        <v>0</v>
      </c>
      <c r="N975" s="37">
        <f t="shared" si="112"/>
        <v>0</v>
      </c>
      <c r="O975" s="37">
        <f t="shared" si="110"/>
        <v>0</v>
      </c>
      <c r="P975" s="55" cm="1">
        <f t="array" aca="1" ref="P975" ca="1">IF((L975-$C$16)&gt;0, IF($P$1+$C$16&gt;=L975,INDIRECT("M"&amp;(L975-$C$16)+5),0),0)</f>
        <v>0</v>
      </c>
      <c r="Q975" s="56" cm="1">
        <f t="array" aca="1" ref="Q975" ca="1">IF(L975&lt;=$C$16,0,IF($W$2&gt;=L975,IF(L975&lt;=($P$1+$C$16),INDIRECT("N"&amp;(L975-$C$16)+5),FV(SRate,L975-$P$1-$C$16,0,-$W$1,1)),0))</f>
        <v>0</v>
      </c>
      <c r="R975" s="56">
        <f t="shared" ca="1" si="111"/>
        <v>0</v>
      </c>
      <c r="S975" s="19">
        <f t="shared" si="113"/>
        <v>0</v>
      </c>
      <c r="T975" s="36" t="str" cm="1">
        <f t="array" aca="1" ref="T975" ca="1">IF(L975&lt;=$P$1,K975,IF(L975&lt;=($P$1+1),INDIRECT("K"&amp;5+$W$2),""))</f>
        <v/>
      </c>
      <c r="U975" s="38">
        <f t="shared" si="114"/>
        <v>81</v>
      </c>
    </row>
    <row r="976" spans="11:21" hidden="1" x14ac:dyDescent="0.25">
      <c r="K976" s="36">
        <f t="shared" ca="1" si="116"/>
        <v>75767</v>
      </c>
      <c r="L976" s="19">
        <v>971</v>
      </c>
      <c r="M976" s="19">
        <f t="shared" si="115"/>
        <v>0</v>
      </c>
      <c r="N976" s="37">
        <f t="shared" si="112"/>
        <v>0</v>
      </c>
      <c r="O976" s="37">
        <f t="shared" si="110"/>
        <v>0</v>
      </c>
      <c r="P976" s="55" cm="1">
        <f t="array" aca="1" ref="P976" ca="1">IF((L976-$C$16)&gt;0, IF($P$1+$C$16&gt;=L976,INDIRECT("M"&amp;(L976-$C$16)+5),0),0)</f>
        <v>0</v>
      </c>
      <c r="Q976" s="56" cm="1">
        <f t="array" aca="1" ref="Q976" ca="1">IF(L976&lt;=$C$16,0,IF($W$2&gt;=L976,IF(L976&lt;=($P$1+$C$16),INDIRECT("N"&amp;(L976-$C$16)+5),FV(SRate,L976-$P$1-$C$16,0,-$W$1,1)),0))</f>
        <v>0</v>
      </c>
      <c r="R976" s="56">
        <f t="shared" ca="1" si="111"/>
        <v>0</v>
      </c>
      <c r="S976" s="19">
        <f t="shared" si="113"/>
        <v>0</v>
      </c>
      <c r="T976" s="36" t="str" cm="1">
        <f t="array" aca="1" ref="T976" ca="1">IF(L976&lt;=$P$1,K976,IF(L976&lt;=($P$1+1),INDIRECT("K"&amp;5+$W$2),""))</f>
        <v/>
      </c>
      <c r="U976" s="38">
        <f t="shared" si="114"/>
        <v>81</v>
      </c>
    </row>
    <row r="977" spans="11:21" hidden="1" x14ac:dyDescent="0.25">
      <c r="K977" s="36">
        <f t="shared" ca="1" si="116"/>
        <v>75797</v>
      </c>
      <c r="L977" s="19">
        <v>972</v>
      </c>
      <c r="M977" s="19">
        <f t="shared" si="115"/>
        <v>0</v>
      </c>
      <c r="N977" s="37">
        <f t="shared" si="112"/>
        <v>0</v>
      </c>
      <c r="O977" s="37">
        <f t="shared" si="110"/>
        <v>0</v>
      </c>
      <c r="P977" s="55" cm="1">
        <f t="array" aca="1" ref="P977" ca="1">IF((L977-$C$16)&gt;0, IF($P$1+$C$16&gt;=L977,INDIRECT("M"&amp;(L977-$C$16)+5),0),0)</f>
        <v>0</v>
      </c>
      <c r="Q977" s="56" cm="1">
        <f t="array" aca="1" ref="Q977" ca="1">IF(L977&lt;=$C$16,0,IF($W$2&gt;=L977,IF(L977&lt;=($P$1+$C$16),INDIRECT("N"&amp;(L977-$C$16)+5),FV(SRate,L977-$P$1-$C$16,0,-$W$1,1)),0))</f>
        <v>0</v>
      </c>
      <c r="R977" s="56">
        <f t="shared" ca="1" si="111"/>
        <v>0</v>
      </c>
      <c r="S977" s="19">
        <f t="shared" si="113"/>
        <v>0</v>
      </c>
      <c r="T977" s="36" t="str" cm="1">
        <f t="array" aca="1" ref="T977" ca="1">IF(L977&lt;=$P$1,K977,IF(L977&lt;=($P$1+1),INDIRECT("K"&amp;5+$W$2),""))</f>
        <v/>
      </c>
      <c r="U977" s="38">
        <f t="shared" si="114"/>
        <v>81</v>
      </c>
    </row>
    <row r="978" spans="11:21" hidden="1" x14ac:dyDescent="0.25">
      <c r="K978" s="36">
        <f t="shared" ca="1" si="116"/>
        <v>75828</v>
      </c>
      <c r="L978" s="19">
        <v>973</v>
      </c>
      <c r="M978" s="19">
        <f t="shared" si="115"/>
        <v>0</v>
      </c>
      <c r="N978" s="37">
        <f t="shared" si="112"/>
        <v>0</v>
      </c>
      <c r="O978" s="37">
        <f t="shared" si="110"/>
        <v>0</v>
      </c>
      <c r="P978" s="55" cm="1">
        <f t="array" aca="1" ref="P978" ca="1">IF((L978-$C$16)&gt;0, IF($P$1+$C$16&gt;=L978,INDIRECT("M"&amp;(L978-$C$16)+5),0),0)</f>
        <v>0</v>
      </c>
      <c r="Q978" s="56" cm="1">
        <f t="array" aca="1" ref="Q978" ca="1">IF(L978&lt;=$C$16,0,IF($W$2&gt;=L978,IF(L978&lt;=($P$1+$C$16),INDIRECT("N"&amp;(L978-$C$16)+5),FV(SRate,L978-$P$1-$C$16,0,-$W$1,1)),0))</f>
        <v>0</v>
      </c>
      <c r="R978" s="56">
        <f t="shared" ca="1" si="111"/>
        <v>0</v>
      </c>
      <c r="S978" s="19">
        <f t="shared" si="113"/>
        <v>0</v>
      </c>
      <c r="T978" s="36" t="str" cm="1">
        <f t="array" aca="1" ref="T978" ca="1">IF(L978&lt;=$P$1,K978,IF(L978&lt;=($P$1+1),INDIRECT("K"&amp;5+$W$2),""))</f>
        <v/>
      </c>
      <c r="U978" s="38">
        <f t="shared" si="114"/>
        <v>82</v>
      </c>
    </row>
    <row r="979" spans="11:21" hidden="1" x14ac:dyDescent="0.25">
      <c r="K979" s="36">
        <f t="shared" ca="1" si="116"/>
        <v>75859</v>
      </c>
      <c r="L979" s="19">
        <v>974</v>
      </c>
      <c r="M979" s="19">
        <f t="shared" si="115"/>
        <v>0</v>
      </c>
      <c r="N979" s="37">
        <f t="shared" si="112"/>
        <v>0</v>
      </c>
      <c r="O979" s="37">
        <f t="shared" si="110"/>
        <v>0</v>
      </c>
      <c r="P979" s="55" cm="1">
        <f t="array" aca="1" ref="P979" ca="1">IF((L979-$C$16)&gt;0, IF($P$1+$C$16&gt;=L979,INDIRECT("M"&amp;(L979-$C$16)+5),0),0)</f>
        <v>0</v>
      </c>
      <c r="Q979" s="56" cm="1">
        <f t="array" aca="1" ref="Q979" ca="1">IF(L979&lt;=$C$16,0,IF($W$2&gt;=L979,IF(L979&lt;=($P$1+$C$16),INDIRECT("N"&amp;(L979-$C$16)+5),FV(SRate,L979-$P$1-$C$16,0,-$W$1,1)),0))</f>
        <v>0</v>
      </c>
      <c r="R979" s="56">
        <f t="shared" ca="1" si="111"/>
        <v>0</v>
      </c>
      <c r="S979" s="19">
        <f t="shared" si="113"/>
        <v>0</v>
      </c>
      <c r="T979" s="36" t="str" cm="1">
        <f t="array" aca="1" ref="T979" ca="1">IF(L979&lt;=$P$1,K979,IF(L979&lt;=($P$1+1),INDIRECT("K"&amp;5+$W$2),""))</f>
        <v/>
      </c>
      <c r="U979" s="38">
        <f t="shared" si="114"/>
        <v>82</v>
      </c>
    </row>
    <row r="980" spans="11:21" hidden="1" x14ac:dyDescent="0.25">
      <c r="K980" s="36">
        <f t="shared" ca="1" si="116"/>
        <v>75889</v>
      </c>
      <c r="L980" s="19">
        <v>975</v>
      </c>
      <c r="M980" s="19">
        <f t="shared" si="115"/>
        <v>0</v>
      </c>
      <c r="N980" s="37">
        <f t="shared" si="112"/>
        <v>0</v>
      </c>
      <c r="O980" s="37">
        <f t="shared" si="110"/>
        <v>0</v>
      </c>
      <c r="P980" s="55" cm="1">
        <f t="array" aca="1" ref="P980" ca="1">IF((L980-$C$16)&gt;0, IF($P$1+$C$16&gt;=L980,INDIRECT("M"&amp;(L980-$C$16)+5),0),0)</f>
        <v>0</v>
      </c>
      <c r="Q980" s="56" cm="1">
        <f t="array" aca="1" ref="Q980" ca="1">IF(L980&lt;=$C$16,0,IF($W$2&gt;=L980,IF(L980&lt;=($P$1+$C$16),INDIRECT("N"&amp;(L980-$C$16)+5),FV(SRate,L980-$P$1-$C$16,0,-$W$1,1)),0))</f>
        <v>0</v>
      </c>
      <c r="R980" s="56">
        <f t="shared" ca="1" si="111"/>
        <v>0</v>
      </c>
      <c r="S980" s="19">
        <f t="shared" si="113"/>
        <v>0</v>
      </c>
      <c r="T980" s="36" t="str" cm="1">
        <f t="array" aca="1" ref="T980" ca="1">IF(L980&lt;=$P$1,K980,IF(L980&lt;=($P$1+1),INDIRECT("K"&amp;5+$W$2),""))</f>
        <v/>
      </c>
      <c r="U980" s="38">
        <f t="shared" si="114"/>
        <v>82</v>
      </c>
    </row>
    <row r="981" spans="11:21" hidden="1" x14ac:dyDescent="0.25">
      <c r="K981" s="36">
        <f t="shared" ca="1" si="116"/>
        <v>75920</v>
      </c>
      <c r="L981" s="19">
        <v>976</v>
      </c>
      <c r="M981" s="19">
        <f t="shared" si="115"/>
        <v>0</v>
      </c>
      <c r="N981" s="37">
        <f t="shared" si="112"/>
        <v>0</v>
      </c>
      <c r="O981" s="37">
        <f t="shared" si="110"/>
        <v>0</v>
      </c>
      <c r="P981" s="55" cm="1">
        <f t="array" aca="1" ref="P981" ca="1">IF((L981-$C$16)&gt;0, IF($P$1+$C$16&gt;=L981,INDIRECT("M"&amp;(L981-$C$16)+5),0),0)</f>
        <v>0</v>
      </c>
      <c r="Q981" s="56" cm="1">
        <f t="array" aca="1" ref="Q981" ca="1">IF(L981&lt;=$C$16,0,IF($W$2&gt;=L981,IF(L981&lt;=($P$1+$C$16),INDIRECT("N"&amp;(L981-$C$16)+5),FV(SRate,L981-$P$1-$C$16,0,-$W$1,1)),0))</f>
        <v>0</v>
      </c>
      <c r="R981" s="56">
        <f t="shared" ca="1" si="111"/>
        <v>0</v>
      </c>
      <c r="S981" s="19">
        <f t="shared" si="113"/>
        <v>0</v>
      </c>
      <c r="T981" s="36" t="str" cm="1">
        <f t="array" aca="1" ref="T981" ca="1">IF(L981&lt;=$P$1,K981,IF(L981&lt;=($P$1+1),INDIRECT("K"&amp;5+$W$2),""))</f>
        <v/>
      </c>
      <c r="U981" s="38">
        <f t="shared" si="114"/>
        <v>82</v>
      </c>
    </row>
    <row r="982" spans="11:21" hidden="1" x14ac:dyDescent="0.25">
      <c r="K982" s="36">
        <f t="shared" ca="1" si="116"/>
        <v>75950</v>
      </c>
      <c r="L982" s="19">
        <v>977</v>
      </c>
      <c r="M982" s="19">
        <f t="shared" si="115"/>
        <v>0</v>
      </c>
      <c r="N982" s="37">
        <f t="shared" si="112"/>
        <v>0</v>
      </c>
      <c r="O982" s="37">
        <f t="shared" si="110"/>
        <v>0</v>
      </c>
      <c r="P982" s="55" cm="1">
        <f t="array" aca="1" ref="P982" ca="1">IF((L982-$C$16)&gt;0, IF($P$1+$C$16&gt;=L982,INDIRECT("M"&amp;(L982-$C$16)+5),0),0)</f>
        <v>0</v>
      </c>
      <c r="Q982" s="56" cm="1">
        <f t="array" aca="1" ref="Q982" ca="1">IF(L982&lt;=$C$16,0,IF($W$2&gt;=L982,IF(L982&lt;=($P$1+$C$16),INDIRECT("N"&amp;(L982-$C$16)+5),FV(SRate,L982-$P$1-$C$16,0,-$W$1,1)),0))</f>
        <v>0</v>
      </c>
      <c r="R982" s="56">
        <f t="shared" ca="1" si="111"/>
        <v>0</v>
      </c>
      <c r="S982" s="19">
        <f t="shared" si="113"/>
        <v>0</v>
      </c>
      <c r="T982" s="36" t="str" cm="1">
        <f t="array" aca="1" ref="T982" ca="1">IF(L982&lt;=$P$1,K982,IF(L982&lt;=($P$1+1),INDIRECT("K"&amp;5+$W$2),""))</f>
        <v/>
      </c>
      <c r="U982" s="38">
        <f t="shared" si="114"/>
        <v>82</v>
      </c>
    </row>
    <row r="983" spans="11:21" hidden="1" x14ac:dyDescent="0.25">
      <c r="K983" s="36">
        <f t="shared" ca="1" si="116"/>
        <v>75981</v>
      </c>
      <c r="L983" s="19">
        <v>978</v>
      </c>
      <c r="M983" s="19">
        <f t="shared" si="115"/>
        <v>0</v>
      </c>
      <c r="N983" s="37">
        <f t="shared" si="112"/>
        <v>0</v>
      </c>
      <c r="O983" s="37">
        <f t="shared" si="110"/>
        <v>0</v>
      </c>
      <c r="P983" s="55" cm="1">
        <f t="array" aca="1" ref="P983" ca="1">IF((L983-$C$16)&gt;0, IF($P$1+$C$16&gt;=L983,INDIRECT("M"&amp;(L983-$C$16)+5),0),0)</f>
        <v>0</v>
      </c>
      <c r="Q983" s="56" cm="1">
        <f t="array" aca="1" ref="Q983" ca="1">IF(L983&lt;=$C$16,0,IF($W$2&gt;=L983,IF(L983&lt;=($P$1+$C$16),INDIRECT("N"&amp;(L983-$C$16)+5),FV(SRate,L983-$P$1-$C$16,0,-$W$1,1)),0))</f>
        <v>0</v>
      </c>
      <c r="R983" s="56">
        <f t="shared" ca="1" si="111"/>
        <v>0</v>
      </c>
      <c r="S983" s="19">
        <f t="shared" si="113"/>
        <v>0</v>
      </c>
      <c r="T983" s="36" t="str" cm="1">
        <f t="array" aca="1" ref="T983" ca="1">IF(L983&lt;=$P$1,K983,IF(L983&lt;=($P$1+1),INDIRECT("K"&amp;5+$W$2),""))</f>
        <v/>
      </c>
      <c r="U983" s="38">
        <f t="shared" si="114"/>
        <v>82</v>
      </c>
    </row>
    <row r="984" spans="11:21" hidden="1" x14ac:dyDescent="0.25">
      <c r="K984" s="36">
        <f t="shared" ca="1" si="116"/>
        <v>76012</v>
      </c>
      <c r="L984" s="19">
        <v>979</v>
      </c>
      <c r="M984" s="19">
        <f t="shared" si="115"/>
        <v>0</v>
      </c>
      <c r="N984" s="37">
        <f t="shared" si="112"/>
        <v>0</v>
      </c>
      <c r="O984" s="37">
        <f t="shared" si="110"/>
        <v>0</v>
      </c>
      <c r="P984" s="55" cm="1">
        <f t="array" aca="1" ref="P984" ca="1">IF((L984-$C$16)&gt;0, IF($P$1+$C$16&gt;=L984,INDIRECT("M"&amp;(L984-$C$16)+5),0),0)</f>
        <v>0</v>
      </c>
      <c r="Q984" s="56" cm="1">
        <f t="array" aca="1" ref="Q984" ca="1">IF(L984&lt;=$C$16,0,IF($W$2&gt;=L984,IF(L984&lt;=($P$1+$C$16),INDIRECT("N"&amp;(L984-$C$16)+5),FV(SRate,L984-$P$1-$C$16,0,-$W$1,1)),0))</f>
        <v>0</v>
      </c>
      <c r="R984" s="56">
        <f t="shared" ca="1" si="111"/>
        <v>0</v>
      </c>
      <c r="S984" s="19">
        <f t="shared" si="113"/>
        <v>0</v>
      </c>
      <c r="T984" s="36" t="str" cm="1">
        <f t="array" aca="1" ref="T984" ca="1">IF(L984&lt;=$P$1,K984,IF(L984&lt;=($P$1+1),INDIRECT("K"&amp;5+$W$2),""))</f>
        <v/>
      </c>
      <c r="U984" s="38">
        <f t="shared" si="114"/>
        <v>82</v>
      </c>
    </row>
    <row r="985" spans="11:21" hidden="1" x14ac:dyDescent="0.25">
      <c r="K985" s="36">
        <f t="shared" ca="1" si="116"/>
        <v>76041</v>
      </c>
      <c r="L985" s="19">
        <v>980</v>
      </c>
      <c r="M985" s="19">
        <f t="shared" si="115"/>
        <v>0</v>
      </c>
      <c r="N985" s="37">
        <f t="shared" si="112"/>
        <v>0</v>
      </c>
      <c r="O985" s="37">
        <f t="shared" si="110"/>
        <v>0</v>
      </c>
      <c r="P985" s="55" cm="1">
        <f t="array" aca="1" ref="P985" ca="1">IF((L985-$C$16)&gt;0, IF($P$1+$C$16&gt;=L985,INDIRECT("M"&amp;(L985-$C$16)+5),0),0)</f>
        <v>0</v>
      </c>
      <c r="Q985" s="56" cm="1">
        <f t="array" aca="1" ref="Q985" ca="1">IF(L985&lt;=$C$16,0,IF($W$2&gt;=L985,IF(L985&lt;=($P$1+$C$16),INDIRECT("N"&amp;(L985-$C$16)+5),FV(SRate,L985-$P$1-$C$16,0,-$W$1,1)),0))</f>
        <v>0</v>
      </c>
      <c r="R985" s="56">
        <f t="shared" ca="1" si="111"/>
        <v>0</v>
      </c>
      <c r="S985" s="19">
        <f t="shared" si="113"/>
        <v>0</v>
      </c>
      <c r="T985" s="36" t="str" cm="1">
        <f t="array" aca="1" ref="T985" ca="1">IF(L985&lt;=$P$1,K985,IF(L985&lt;=($P$1+1),INDIRECT("K"&amp;5+$W$2),""))</f>
        <v/>
      </c>
      <c r="U985" s="38">
        <f t="shared" si="114"/>
        <v>82</v>
      </c>
    </row>
    <row r="986" spans="11:21" hidden="1" x14ac:dyDescent="0.25">
      <c r="K986" s="36">
        <f t="shared" ca="1" si="116"/>
        <v>76072</v>
      </c>
      <c r="L986" s="19">
        <v>981</v>
      </c>
      <c r="M986" s="19">
        <f t="shared" si="115"/>
        <v>0</v>
      </c>
      <c r="N986" s="37">
        <f t="shared" si="112"/>
        <v>0</v>
      </c>
      <c r="O986" s="37">
        <f t="shared" si="110"/>
        <v>0</v>
      </c>
      <c r="P986" s="55" cm="1">
        <f t="array" aca="1" ref="P986" ca="1">IF((L986-$C$16)&gt;0, IF($P$1+$C$16&gt;=L986,INDIRECT("M"&amp;(L986-$C$16)+5),0),0)</f>
        <v>0</v>
      </c>
      <c r="Q986" s="56" cm="1">
        <f t="array" aca="1" ref="Q986" ca="1">IF(L986&lt;=$C$16,0,IF($W$2&gt;=L986,IF(L986&lt;=($P$1+$C$16),INDIRECT("N"&amp;(L986-$C$16)+5),FV(SRate,L986-$P$1-$C$16,0,-$W$1,1)),0))</f>
        <v>0</v>
      </c>
      <c r="R986" s="56">
        <f t="shared" ca="1" si="111"/>
        <v>0</v>
      </c>
      <c r="S986" s="19">
        <f t="shared" si="113"/>
        <v>0</v>
      </c>
      <c r="T986" s="36" t="str" cm="1">
        <f t="array" aca="1" ref="T986" ca="1">IF(L986&lt;=$P$1,K986,IF(L986&lt;=($P$1+1),INDIRECT("K"&amp;5+$W$2),""))</f>
        <v/>
      </c>
      <c r="U986" s="38">
        <f t="shared" si="114"/>
        <v>82</v>
      </c>
    </row>
    <row r="987" spans="11:21" hidden="1" x14ac:dyDescent="0.25">
      <c r="K987" s="36">
        <f t="shared" ca="1" si="116"/>
        <v>76102</v>
      </c>
      <c r="L987" s="19">
        <v>982</v>
      </c>
      <c r="M987" s="19">
        <f t="shared" si="115"/>
        <v>0</v>
      </c>
      <c r="N987" s="37">
        <f t="shared" si="112"/>
        <v>0</v>
      </c>
      <c r="O987" s="37">
        <f t="shared" si="110"/>
        <v>0</v>
      </c>
      <c r="P987" s="55" cm="1">
        <f t="array" aca="1" ref="P987" ca="1">IF((L987-$C$16)&gt;0, IF($P$1+$C$16&gt;=L987,INDIRECT("M"&amp;(L987-$C$16)+5),0),0)</f>
        <v>0</v>
      </c>
      <c r="Q987" s="56" cm="1">
        <f t="array" aca="1" ref="Q987" ca="1">IF(L987&lt;=$C$16,0,IF($W$2&gt;=L987,IF(L987&lt;=($P$1+$C$16),INDIRECT("N"&amp;(L987-$C$16)+5),FV(SRate,L987-$P$1-$C$16,0,-$W$1,1)),0))</f>
        <v>0</v>
      </c>
      <c r="R987" s="56">
        <f t="shared" ca="1" si="111"/>
        <v>0</v>
      </c>
      <c r="S987" s="19">
        <f t="shared" si="113"/>
        <v>0</v>
      </c>
      <c r="T987" s="36" t="str" cm="1">
        <f t="array" aca="1" ref="T987" ca="1">IF(L987&lt;=$P$1,K987,IF(L987&lt;=($P$1+1),INDIRECT("K"&amp;5+$W$2),""))</f>
        <v/>
      </c>
      <c r="U987" s="38">
        <f t="shared" si="114"/>
        <v>82</v>
      </c>
    </row>
    <row r="988" spans="11:21" hidden="1" x14ac:dyDescent="0.25">
      <c r="K988" s="36">
        <f t="shared" ca="1" si="116"/>
        <v>76133</v>
      </c>
      <c r="L988" s="19">
        <v>983</v>
      </c>
      <c r="M988" s="19">
        <f t="shared" si="115"/>
        <v>0</v>
      </c>
      <c r="N988" s="37">
        <f t="shared" si="112"/>
        <v>0</v>
      </c>
      <c r="O988" s="37">
        <f t="shared" si="110"/>
        <v>0</v>
      </c>
      <c r="P988" s="55" cm="1">
        <f t="array" aca="1" ref="P988" ca="1">IF((L988-$C$16)&gt;0, IF($P$1+$C$16&gt;=L988,INDIRECT("M"&amp;(L988-$C$16)+5),0),0)</f>
        <v>0</v>
      </c>
      <c r="Q988" s="56" cm="1">
        <f t="array" aca="1" ref="Q988" ca="1">IF(L988&lt;=$C$16,0,IF($W$2&gt;=L988,IF(L988&lt;=($P$1+$C$16),INDIRECT("N"&amp;(L988-$C$16)+5),FV(SRate,L988-$P$1-$C$16,0,-$W$1,1)),0))</f>
        <v>0</v>
      </c>
      <c r="R988" s="56">
        <f t="shared" ca="1" si="111"/>
        <v>0</v>
      </c>
      <c r="S988" s="19">
        <f t="shared" si="113"/>
        <v>0</v>
      </c>
      <c r="T988" s="36" t="str" cm="1">
        <f t="array" aca="1" ref="T988" ca="1">IF(L988&lt;=$P$1,K988,IF(L988&lt;=($P$1+1),INDIRECT("K"&amp;5+$W$2),""))</f>
        <v/>
      </c>
      <c r="U988" s="38">
        <f t="shared" si="114"/>
        <v>82</v>
      </c>
    </row>
    <row r="989" spans="11:21" hidden="1" x14ac:dyDescent="0.25">
      <c r="K989" s="36">
        <f t="shared" ca="1" si="116"/>
        <v>76163</v>
      </c>
      <c r="L989" s="19">
        <v>984</v>
      </c>
      <c r="M989" s="19">
        <f t="shared" si="115"/>
        <v>0</v>
      </c>
      <c r="N989" s="37">
        <f t="shared" si="112"/>
        <v>0</v>
      </c>
      <c r="O989" s="37">
        <f t="shared" si="110"/>
        <v>0</v>
      </c>
      <c r="P989" s="55" cm="1">
        <f t="array" aca="1" ref="P989" ca="1">IF((L989-$C$16)&gt;0, IF($P$1+$C$16&gt;=L989,INDIRECT("M"&amp;(L989-$C$16)+5),0),0)</f>
        <v>0</v>
      </c>
      <c r="Q989" s="56" cm="1">
        <f t="array" aca="1" ref="Q989" ca="1">IF(L989&lt;=$C$16,0,IF($W$2&gt;=L989,IF(L989&lt;=($P$1+$C$16),INDIRECT("N"&amp;(L989-$C$16)+5),FV(SRate,L989-$P$1-$C$16,0,-$W$1,1)),0))</f>
        <v>0</v>
      </c>
      <c r="R989" s="56">
        <f t="shared" ca="1" si="111"/>
        <v>0</v>
      </c>
      <c r="S989" s="19">
        <f t="shared" si="113"/>
        <v>0</v>
      </c>
      <c r="T989" s="36" t="str" cm="1">
        <f t="array" aca="1" ref="T989" ca="1">IF(L989&lt;=$P$1,K989,IF(L989&lt;=($P$1+1),INDIRECT("K"&amp;5+$W$2),""))</f>
        <v/>
      </c>
      <c r="U989" s="38">
        <f t="shared" si="114"/>
        <v>82</v>
      </c>
    </row>
    <row r="990" spans="11:21" hidden="1" x14ac:dyDescent="0.25">
      <c r="K990" s="36">
        <f t="shared" ca="1" si="116"/>
        <v>76194</v>
      </c>
      <c r="L990" s="19">
        <v>985</v>
      </c>
      <c r="M990" s="19">
        <f t="shared" si="115"/>
        <v>0</v>
      </c>
      <c r="N990" s="37">
        <f t="shared" si="112"/>
        <v>0</v>
      </c>
      <c r="O990" s="37">
        <f t="shared" si="110"/>
        <v>0</v>
      </c>
      <c r="P990" s="55" cm="1">
        <f t="array" aca="1" ref="P990" ca="1">IF((L990-$C$16)&gt;0, IF($P$1+$C$16&gt;=L990,INDIRECT("M"&amp;(L990-$C$16)+5),0),0)</f>
        <v>0</v>
      </c>
      <c r="Q990" s="56" cm="1">
        <f t="array" aca="1" ref="Q990" ca="1">IF(L990&lt;=$C$16,0,IF($W$2&gt;=L990,IF(L990&lt;=($P$1+$C$16),INDIRECT("N"&amp;(L990-$C$16)+5),FV(SRate,L990-$P$1-$C$16,0,-$W$1,1)),0))</f>
        <v>0</v>
      </c>
      <c r="R990" s="56">
        <f t="shared" ca="1" si="111"/>
        <v>0</v>
      </c>
      <c r="S990" s="19">
        <f t="shared" si="113"/>
        <v>0</v>
      </c>
      <c r="T990" s="36" t="str" cm="1">
        <f t="array" aca="1" ref="T990" ca="1">IF(L990&lt;=$P$1,K990,IF(L990&lt;=($P$1+1),INDIRECT("K"&amp;5+$W$2),""))</f>
        <v/>
      </c>
      <c r="U990" s="38">
        <f t="shared" si="114"/>
        <v>83</v>
      </c>
    </row>
    <row r="991" spans="11:21" hidden="1" x14ac:dyDescent="0.25">
      <c r="K991" s="36">
        <f t="shared" ca="1" si="116"/>
        <v>76225</v>
      </c>
      <c r="L991" s="19">
        <v>986</v>
      </c>
      <c r="M991" s="19">
        <f t="shared" si="115"/>
        <v>0</v>
      </c>
      <c r="N991" s="37">
        <f t="shared" si="112"/>
        <v>0</v>
      </c>
      <c r="O991" s="37">
        <f t="shared" si="110"/>
        <v>0</v>
      </c>
      <c r="P991" s="55" cm="1">
        <f t="array" aca="1" ref="P991" ca="1">IF((L991-$C$16)&gt;0, IF($P$1+$C$16&gt;=L991,INDIRECT("M"&amp;(L991-$C$16)+5),0),0)</f>
        <v>0</v>
      </c>
      <c r="Q991" s="56" cm="1">
        <f t="array" aca="1" ref="Q991" ca="1">IF(L991&lt;=$C$16,0,IF($W$2&gt;=L991,IF(L991&lt;=($P$1+$C$16),INDIRECT("N"&amp;(L991-$C$16)+5),FV(SRate,L991-$P$1-$C$16,0,-$W$1,1)),0))</f>
        <v>0</v>
      </c>
      <c r="R991" s="56">
        <f t="shared" ca="1" si="111"/>
        <v>0</v>
      </c>
      <c r="S991" s="19">
        <f t="shared" si="113"/>
        <v>0</v>
      </c>
      <c r="T991" s="36" t="str" cm="1">
        <f t="array" aca="1" ref="T991" ca="1">IF(L991&lt;=$P$1,K991,IF(L991&lt;=($P$1+1),INDIRECT("K"&amp;5+$W$2),""))</f>
        <v/>
      </c>
      <c r="U991" s="38">
        <f t="shared" si="114"/>
        <v>83</v>
      </c>
    </row>
    <row r="992" spans="11:21" hidden="1" x14ac:dyDescent="0.25">
      <c r="K992" s="36">
        <f t="shared" ca="1" si="116"/>
        <v>76255</v>
      </c>
      <c r="L992" s="19">
        <v>987</v>
      </c>
      <c r="M992" s="19">
        <f t="shared" si="115"/>
        <v>0</v>
      </c>
      <c r="N992" s="37">
        <f t="shared" si="112"/>
        <v>0</v>
      </c>
      <c r="O992" s="37">
        <f t="shared" si="110"/>
        <v>0</v>
      </c>
      <c r="P992" s="55" cm="1">
        <f t="array" aca="1" ref="P992" ca="1">IF((L992-$C$16)&gt;0, IF($P$1+$C$16&gt;=L992,INDIRECT("M"&amp;(L992-$C$16)+5),0),0)</f>
        <v>0</v>
      </c>
      <c r="Q992" s="56" cm="1">
        <f t="array" aca="1" ref="Q992" ca="1">IF(L992&lt;=$C$16,0,IF($W$2&gt;=L992,IF(L992&lt;=($P$1+$C$16),INDIRECT("N"&amp;(L992-$C$16)+5),FV(SRate,L992-$P$1-$C$16,0,-$W$1,1)),0))</f>
        <v>0</v>
      </c>
      <c r="R992" s="56">
        <f t="shared" ca="1" si="111"/>
        <v>0</v>
      </c>
      <c r="S992" s="19">
        <f t="shared" si="113"/>
        <v>0</v>
      </c>
      <c r="T992" s="36" t="str" cm="1">
        <f t="array" aca="1" ref="T992" ca="1">IF(L992&lt;=$P$1,K992,IF(L992&lt;=($P$1+1),INDIRECT("K"&amp;5+$W$2),""))</f>
        <v/>
      </c>
      <c r="U992" s="38">
        <f t="shared" si="114"/>
        <v>83</v>
      </c>
    </row>
    <row r="993" spans="11:21" hidden="1" x14ac:dyDescent="0.25">
      <c r="K993" s="36">
        <f t="shared" ca="1" si="116"/>
        <v>76286</v>
      </c>
      <c r="L993" s="19">
        <v>988</v>
      </c>
      <c r="M993" s="19">
        <f t="shared" si="115"/>
        <v>0</v>
      </c>
      <c r="N993" s="37">
        <f t="shared" si="112"/>
        <v>0</v>
      </c>
      <c r="O993" s="37">
        <f t="shared" si="110"/>
        <v>0</v>
      </c>
      <c r="P993" s="55" cm="1">
        <f t="array" aca="1" ref="P993" ca="1">IF((L993-$C$16)&gt;0, IF($P$1+$C$16&gt;=L993,INDIRECT("M"&amp;(L993-$C$16)+5),0),0)</f>
        <v>0</v>
      </c>
      <c r="Q993" s="56" cm="1">
        <f t="array" aca="1" ref="Q993" ca="1">IF(L993&lt;=$C$16,0,IF($W$2&gt;=L993,IF(L993&lt;=($P$1+$C$16),INDIRECT("N"&amp;(L993-$C$16)+5),FV(SRate,L993-$P$1-$C$16,0,-$W$1,1)),0))</f>
        <v>0</v>
      </c>
      <c r="R993" s="56">
        <f t="shared" ca="1" si="111"/>
        <v>0</v>
      </c>
      <c r="S993" s="19">
        <f t="shared" si="113"/>
        <v>0</v>
      </c>
      <c r="T993" s="36" t="str" cm="1">
        <f t="array" aca="1" ref="T993" ca="1">IF(L993&lt;=$P$1,K993,IF(L993&lt;=($P$1+1),INDIRECT("K"&amp;5+$W$2),""))</f>
        <v/>
      </c>
      <c r="U993" s="38">
        <f t="shared" si="114"/>
        <v>83</v>
      </c>
    </row>
    <row r="994" spans="11:21" hidden="1" x14ac:dyDescent="0.25">
      <c r="K994" s="36">
        <f t="shared" ca="1" si="116"/>
        <v>76316</v>
      </c>
      <c r="L994" s="19">
        <v>989</v>
      </c>
      <c r="M994" s="19">
        <f t="shared" si="115"/>
        <v>0</v>
      </c>
      <c r="N994" s="37">
        <f t="shared" si="112"/>
        <v>0</v>
      </c>
      <c r="O994" s="37">
        <f t="shared" si="110"/>
        <v>0</v>
      </c>
      <c r="P994" s="55" cm="1">
        <f t="array" aca="1" ref="P994" ca="1">IF((L994-$C$16)&gt;0, IF($P$1+$C$16&gt;=L994,INDIRECT("M"&amp;(L994-$C$16)+5),0),0)</f>
        <v>0</v>
      </c>
      <c r="Q994" s="56" cm="1">
        <f t="array" aca="1" ref="Q994" ca="1">IF(L994&lt;=$C$16,0,IF($W$2&gt;=L994,IF(L994&lt;=($P$1+$C$16),INDIRECT("N"&amp;(L994-$C$16)+5),FV(SRate,L994-$P$1-$C$16,0,-$W$1,1)),0))</f>
        <v>0</v>
      </c>
      <c r="R994" s="56">
        <f t="shared" ca="1" si="111"/>
        <v>0</v>
      </c>
      <c r="S994" s="19">
        <f t="shared" si="113"/>
        <v>0</v>
      </c>
      <c r="T994" s="36" t="str" cm="1">
        <f t="array" aca="1" ref="T994" ca="1">IF(L994&lt;=$P$1,K994,IF(L994&lt;=($P$1+1),INDIRECT("K"&amp;5+$W$2),""))</f>
        <v/>
      </c>
      <c r="U994" s="38">
        <f t="shared" si="114"/>
        <v>83</v>
      </c>
    </row>
    <row r="995" spans="11:21" hidden="1" x14ac:dyDescent="0.25">
      <c r="K995" s="36">
        <f t="shared" ca="1" si="116"/>
        <v>76347</v>
      </c>
      <c r="L995" s="19">
        <v>990</v>
      </c>
      <c r="M995" s="19">
        <f t="shared" si="115"/>
        <v>0</v>
      </c>
      <c r="N995" s="37">
        <f t="shared" si="112"/>
        <v>0</v>
      </c>
      <c r="O995" s="37">
        <f t="shared" si="110"/>
        <v>0</v>
      </c>
      <c r="P995" s="55" cm="1">
        <f t="array" aca="1" ref="P995" ca="1">IF((L995-$C$16)&gt;0, IF($P$1+$C$16&gt;=L995,INDIRECT("M"&amp;(L995-$C$16)+5),0),0)</f>
        <v>0</v>
      </c>
      <c r="Q995" s="56" cm="1">
        <f t="array" aca="1" ref="Q995" ca="1">IF(L995&lt;=$C$16,0,IF($W$2&gt;=L995,IF(L995&lt;=($P$1+$C$16),INDIRECT("N"&amp;(L995-$C$16)+5),FV(SRate,L995-$P$1-$C$16,0,-$W$1,1)),0))</f>
        <v>0</v>
      </c>
      <c r="R995" s="56">
        <f t="shared" ca="1" si="111"/>
        <v>0</v>
      </c>
      <c r="S995" s="19">
        <f t="shared" si="113"/>
        <v>0</v>
      </c>
      <c r="T995" s="36" t="str" cm="1">
        <f t="array" aca="1" ref="T995" ca="1">IF(L995&lt;=$P$1,K995,IF(L995&lt;=($P$1+1),INDIRECT("K"&amp;5+$W$2),""))</f>
        <v/>
      </c>
      <c r="U995" s="38">
        <f t="shared" si="114"/>
        <v>83</v>
      </c>
    </row>
    <row r="996" spans="11:21" hidden="1" x14ac:dyDescent="0.25">
      <c r="K996" s="36">
        <f t="shared" ca="1" si="116"/>
        <v>76378</v>
      </c>
      <c r="L996" s="19">
        <v>991</v>
      </c>
      <c r="M996" s="19">
        <f t="shared" si="115"/>
        <v>0</v>
      </c>
      <c r="N996" s="37">
        <f t="shared" si="112"/>
        <v>0</v>
      </c>
      <c r="O996" s="37">
        <f t="shared" si="110"/>
        <v>0</v>
      </c>
      <c r="P996" s="55" cm="1">
        <f t="array" aca="1" ref="P996" ca="1">IF((L996-$C$16)&gt;0, IF($P$1+$C$16&gt;=L996,INDIRECT("M"&amp;(L996-$C$16)+5),0),0)</f>
        <v>0</v>
      </c>
      <c r="Q996" s="56" cm="1">
        <f t="array" aca="1" ref="Q996" ca="1">IF(L996&lt;=$C$16,0,IF($W$2&gt;=L996,IF(L996&lt;=($P$1+$C$16),INDIRECT("N"&amp;(L996-$C$16)+5),FV(SRate,L996-$P$1-$C$16,0,-$W$1,1)),0))</f>
        <v>0</v>
      </c>
      <c r="R996" s="56">
        <f t="shared" ca="1" si="111"/>
        <v>0</v>
      </c>
      <c r="S996" s="19">
        <f t="shared" si="113"/>
        <v>0</v>
      </c>
      <c r="T996" s="36" t="str" cm="1">
        <f t="array" aca="1" ref="T996" ca="1">IF(L996&lt;=$P$1,K996,IF(L996&lt;=($P$1+1),INDIRECT("K"&amp;5+$W$2),""))</f>
        <v/>
      </c>
      <c r="U996" s="38">
        <f t="shared" si="114"/>
        <v>83</v>
      </c>
    </row>
    <row r="997" spans="11:21" hidden="1" x14ac:dyDescent="0.25">
      <c r="K997" s="36">
        <f t="shared" ca="1" si="116"/>
        <v>76406</v>
      </c>
      <c r="L997" s="19">
        <v>992</v>
      </c>
      <c r="M997" s="19">
        <f t="shared" si="115"/>
        <v>0</v>
      </c>
      <c r="N997" s="37">
        <f t="shared" si="112"/>
        <v>0</v>
      </c>
      <c r="O997" s="37">
        <f t="shared" si="110"/>
        <v>0</v>
      </c>
      <c r="P997" s="55" cm="1">
        <f t="array" aca="1" ref="P997" ca="1">IF((L997-$C$16)&gt;0, IF($P$1+$C$16&gt;=L997,INDIRECT("M"&amp;(L997-$C$16)+5),0),0)</f>
        <v>0</v>
      </c>
      <c r="Q997" s="56" cm="1">
        <f t="array" aca="1" ref="Q997" ca="1">IF(L997&lt;=$C$16,0,IF($W$2&gt;=L997,IF(L997&lt;=($P$1+$C$16),INDIRECT("N"&amp;(L997-$C$16)+5),FV(SRate,L997-$P$1-$C$16,0,-$W$1,1)),0))</f>
        <v>0</v>
      </c>
      <c r="R997" s="56">
        <f t="shared" ca="1" si="111"/>
        <v>0</v>
      </c>
      <c r="S997" s="19">
        <f t="shared" si="113"/>
        <v>0</v>
      </c>
      <c r="T997" s="36" t="str" cm="1">
        <f t="array" aca="1" ref="T997" ca="1">IF(L997&lt;=$P$1,K997,IF(L997&lt;=($P$1+1),INDIRECT("K"&amp;5+$W$2),""))</f>
        <v/>
      </c>
      <c r="U997" s="38">
        <f t="shared" si="114"/>
        <v>83</v>
      </c>
    </row>
    <row r="998" spans="11:21" hidden="1" x14ac:dyDescent="0.25">
      <c r="K998" s="36">
        <f t="shared" ca="1" si="116"/>
        <v>76437</v>
      </c>
      <c r="L998" s="19">
        <v>993</v>
      </c>
      <c r="M998" s="19">
        <f t="shared" si="115"/>
        <v>0</v>
      </c>
      <c r="N998" s="37">
        <f t="shared" si="112"/>
        <v>0</v>
      </c>
      <c r="O998" s="37">
        <f t="shared" ref="O998:O1061" si="117">N998/((1+SIPInflationRate)^(L998/12))</f>
        <v>0</v>
      </c>
      <c r="P998" s="55" cm="1">
        <f t="array" aca="1" ref="P998" ca="1">IF((L998-$C$16)&gt;0, IF($P$1+$C$16&gt;=L998,INDIRECT("M"&amp;(L998-$C$16)+5),0),0)</f>
        <v>0</v>
      </c>
      <c r="Q998" s="56" cm="1">
        <f t="array" aca="1" ref="Q998" ca="1">IF(L998&lt;=$C$16,0,IF($W$2&gt;=L998,IF(L998&lt;=($P$1+$C$16),INDIRECT("N"&amp;(L998-$C$16)+5),FV(SRate,L998-$P$1-$C$16,0,-$W$1,1)),0))</f>
        <v>0</v>
      </c>
      <c r="R998" s="56">
        <f t="shared" ca="1" si="111"/>
        <v>0</v>
      </c>
      <c r="S998" s="19">
        <f t="shared" si="113"/>
        <v>0</v>
      </c>
      <c r="T998" s="36" t="str" cm="1">
        <f t="array" aca="1" ref="T998" ca="1">IF(L998&lt;=$P$1,K998,IF(L998&lt;=($P$1+1),INDIRECT("K"&amp;5+$W$2),""))</f>
        <v/>
      </c>
      <c r="U998" s="38">
        <f t="shared" si="114"/>
        <v>83</v>
      </c>
    </row>
    <row r="999" spans="11:21" hidden="1" x14ac:dyDescent="0.25">
      <c r="K999" s="36">
        <f t="shared" ca="1" si="116"/>
        <v>76467</v>
      </c>
      <c r="L999" s="19">
        <v>994</v>
      </c>
      <c r="M999" s="19">
        <f t="shared" si="115"/>
        <v>0</v>
      </c>
      <c r="N999" s="37">
        <f t="shared" si="112"/>
        <v>0</v>
      </c>
      <c r="O999" s="37">
        <f t="shared" si="117"/>
        <v>0</v>
      </c>
      <c r="P999" s="55" cm="1">
        <f t="array" aca="1" ref="P999" ca="1">IF((L999-$C$16)&gt;0, IF($P$1+$C$16&gt;=L999,INDIRECT("M"&amp;(L999-$C$16)+5),0),0)</f>
        <v>0</v>
      </c>
      <c r="Q999" s="56" cm="1">
        <f t="array" aca="1" ref="Q999" ca="1">IF(L999&lt;=$C$16,0,IF($W$2&gt;=L999,IF(L999&lt;=($P$1+$C$16),INDIRECT("N"&amp;(L999-$C$16)+5),FV(SRate,L999-$P$1-$C$16,0,-$W$1,1)),0))</f>
        <v>0</v>
      </c>
      <c r="R999" s="56">
        <f t="shared" ca="1" si="111"/>
        <v>0</v>
      </c>
      <c r="S999" s="19">
        <f t="shared" si="113"/>
        <v>0</v>
      </c>
      <c r="T999" s="36" t="str" cm="1">
        <f t="array" aca="1" ref="T999" ca="1">IF(L999&lt;=$P$1,K999,IF(L999&lt;=($P$1+1),INDIRECT("K"&amp;5+$W$2),""))</f>
        <v/>
      </c>
      <c r="U999" s="38">
        <f t="shared" si="114"/>
        <v>83</v>
      </c>
    </row>
    <row r="1000" spans="11:21" hidden="1" x14ac:dyDescent="0.25">
      <c r="K1000" s="36">
        <f t="shared" ca="1" si="116"/>
        <v>76498</v>
      </c>
      <c r="L1000" s="19">
        <v>995</v>
      </c>
      <c r="M1000" s="19">
        <f t="shared" si="115"/>
        <v>0</v>
      </c>
      <c r="N1000" s="37">
        <f t="shared" si="112"/>
        <v>0</v>
      </c>
      <c r="O1000" s="37">
        <f t="shared" si="117"/>
        <v>0</v>
      </c>
      <c r="P1000" s="55" cm="1">
        <f t="array" aca="1" ref="P1000" ca="1">IF((L1000-$C$16)&gt;0, IF($P$1+$C$16&gt;=L1000,INDIRECT("M"&amp;(L1000-$C$16)+5),0),0)</f>
        <v>0</v>
      </c>
      <c r="Q1000" s="56" cm="1">
        <f t="array" aca="1" ref="Q1000" ca="1">IF(L1000&lt;=$C$16,0,IF($W$2&gt;=L1000,IF(L1000&lt;=($P$1+$C$16),INDIRECT("N"&amp;(L1000-$C$16)+5),FV(SRate,L1000-$P$1-$C$16,0,-$W$1,1)),0))</f>
        <v>0</v>
      </c>
      <c r="R1000" s="56">
        <f t="shared" ca="1" si="111"/>
        <v>0</v>
      </c>
      <c r="S1000" s="19">
        <f t="shared" si="113"/>
        <v>0</v>
      </c>
      <c r="T1000" s="36" t="str" cm="1">
        <f t="array" aca="1" ref="T1000" ca="1">IF(L1000&lt;=$P$1,K1000,IF(L1000&lt;=($P$1+1),INDIRECT("K"&amp;5+$W$2),""))</f>
        <v/>
      </c>
      <c r="U1000" s="38">
        <f t="shared" si="114"/>
        <v>83</v>
      </c>
    </row>
    <row r="1001" spans="11:21" hidden="1" x14ac:dyDescent="0.25">
      <c r="K1001" s="36">
        <f t="shared" ca="1" si="116"/>
        <v>76528</v>
      </c>
      <c r="L1001" s="19">
        <v>996</v>
      </c>
      <c r="M1001" s="19">
        <f t="shared" si="115"/>
        <v>0</v>
      </c>
      <c r="N1001" s="37">
        <f t="shared" si="112"/>
        <v>0</v>
      </c>
      <c r="O1001" s="37">
        <f t="shared" si="117"/>
        <v>0</v>
      </c>
      <c r="P1001" s="55" cm="1">
        <f t="array" aca="1" ref="P1001" ca="1">IF((L1001-$C$16)&gt;0, IF($P$1+$C$16&gt;=L1001,INDIRECT("M"&amp;(L1001-$C$16)+5),0),0)</f>
        <v>0</v>
      </c>
      <c r="Q1001" s="56" cm="1">
        <f t="array" aca="1" ref="Q1001" ca="1">IF(L1001&lt;=$C$16,0,IF($W$2&gt;=L1001,IF(L1001&lt;=($P$1+$C$16),INDIRECT("N"&amp;(L1001-$C$16)+5),FV(SRate,L1001-$P$1-$C$16,0,-$W$1,1)),0))</f>
        <v>0</v>
      </c>
      <c r="R1001" s="56">
        <f t="shared" ca="1" si="111"/>
        <v>0</v>
      </c>
      <c r="S1001" s="19">
        <f t="shared" si="113"/>
        <v>0</v>
      </c>
      <c r="T1001" s="36" t="str" cm="1">
        <f t="array" aca="1" ref="T1001" ca="1">IF(L1001&lt;=$P$1,K1001,IF(L1001&lt;=($P$1+1),INDIRECT("K"&amp;5+$W$2),""))</f>
        <v/>
      </c>
      <c r="U1001" s="38">
        <f t="shared" si="114"/>
        <v>83</v>
      </c>
    </row>
    <row r="1002" spans="11:21" hidden="1" x14ac:dyDescent="0.25">
      <c r="K1002" s="36">
        <f t="shared" ca="1" si="116"/>
        <v>76559</v>
      </c>
      <c r="L1002" s="19">
        <v>997</v>
      </c>
      <c r="M1002" s="19">
        <f t="shared" si="115"/>
        <v>0</v>
      </c>
      <c r="N1002" s="37">
        <f t="shared" si="112"/>
        <v>0</v>
      </c>
      <c r="O1002" s="37">
        <f t="shared" si="117"/>
        <v>0</v>
      </c>
      <c r="P1002" s="55" cm="1">
        <f t="array" aca="1" ref="P1002" ca="1">IF((L1002-$C$16)&gt;0, IF($P$1+$C$16&gt;=L1002,INDIRECT("M"&amp;(L1002-$C$16)+5),0),0)</f>
        <v>0</v>
      </c>
      <c r="Q1002" s="56" cm="1">
        <f t="array" aca="1" ref="Q1002" ca="1">IF(L1002&lt;=$C$16,0,IF($W$2&gt;=L1002,IF(L1002&lt;=($P$1+$C$16),INDIRECT("N"&amp;(L1002-$C$16)+5),FV(SRate,L1002-$P$1-$C$16,0,-$W$1,1)),0))</f>
        <v>0</v>
      </c>
      <c r="R1002" s="56">
        <f t="shared" ca="1" si="111"/>
        <v>0</v>
      </c>
      <c r="S1002" s="19">
        <f t="shared" si="113"/>
        <v>0</v>
      </c>
      <c r="T1002" s="36" t="str" cm="1">
        <f t="array" aca="1" ref="T1002" ca="1">IF(L1002&lt;=$P$1,K1002,IF(L1002&lt;=($P$1+1),INDIRECT("K"&amp;5+$W$2),""))</f>
        <v/>
      </c>
      <c r="U1002" s="38">
        <f t="shared" si="114"/>
        <v>84</v>
      </c>
    </row>
    <row r="1003" spans="11:21" hidden="1" x14ac:dyDescent="0.25">
      <c r="K1003" s="36">
        <f t="shared" ca="1" si="116"/>
        <v>76590</v>
      </c>
      <c r="L1003" s="19">
        <v>998</v>
      </c>
      <c r="M1003" s="19">
        <f t="shared" si="115"/>
        <v>0</v>
      </c>
      <c r="N1003" s="37">
        <f t="shared" si="112"/>
        <v>0</v>
      </c>
      <c r="O1003" s="37">
        <f t="shared" si="117"/>
        <v>0</v>
      </c>
      <c r="P1003" s="55" cm="1">
        <f t="array" aca="1" ref="P1003" ca="1">IF((L1003-$C$16)&gt;0, IF($P$1+$C$16&gt;=L1003,INDIRECT("M"&amp;(L1003-$C$16)+5),0),0)</f>
        <v>0</v>
      </c>
      <c r="Q1003" s="56" cm="1">
        <f t="array" aca="1" ref="Q1003" ca="1">IF(L1003&lt;=$C$16,0,IF($W$2&gt;=L1003,IF(L1003&lt;=($P$1+$C$16),INDIRECT("N"&amp;(L1003-$C$16)+5),FV(SRate,L1003-$P$1-$C$16,0,-$W$1,1)),0))</f>
        <v>0</v>
      </c>
      <c r="R1003" s="56">
        <f t="shared" ca="1" si="111"/>
        <v>0</v>
      </c>
      <c r="S1003" s="19">
        <f t="shared" si="113"/>
        <v>0</v>
      </c>
      <c r="T1003" s="36" t="str" cm="1">
        <f t="array" aca="1" ref="T1003" ca="1">IF(L1003&lt;=$P$1,K1003,IF(L1003&lt;=($P$1+1),INDIRECT("K"&amp;5+$W$2),""))</f>
        <v/>
      </c>
      <c r="U1003" s="38">
        <f t="shared" si="114"/>
        <v>84</v>
      </c>
    </row>
    <row r="1004" spans="11:21" hidden="1" x14ac:dyDescent="0.25">
      <c r="K1004" s="36">
        <f t="shared" ca="1" si="116"/>
        <v>76620</v>
      </c>
      <c r="L1004" s="19">
        <v>999</v>
      </c>
      <c r="M1004" s="19">
        <f t="shared" si="115"/>
        <v>0</v>
      </c>
      <c r="N1004" s="37">
        <f t="shared" si="112"/>
        <v>0</v>
      </c>
      <c r="O1004" s="37">
        <f t="shared" si="117"/>
        <v>0</v>
      </c>
      <c r="P1004" s="55" cm="1">
        <f t="array" aca="1" ref="P1004" ca="1">IF((L1004-$C$16)&gt;0, IF($P$1+$C$16&gt;=L1004,INDIRECT("M"&amp;(L1004-$C$16)+5),0),0)</f>
        <v>0</v>
      </c>
      <c r="Q1004" s="56" cm="1">
        <f t="array" aca="1" ref="Q1004" ca="1">IF(L1004&lt;=$C$16,0,IF($W$2&gt;=L1004,IF(L1004&lt;=($P$1+$C$16),INDIRECT("N"&amp;(L1004-$C$16)+5),FV(SRate,L1004-$P$1-$C$16,0,-$W$1,1)),0))</f>
        <v>0</v>
      </c>
      <c r="R1004" s="56">
        <f t="shared" ca="1" si="111"/>
        <v>0</v>
      </c>
      <c r="S1004" s="19">
        <f t="shared" si="113"/>
        <v>0</v>
      </c>
      <c r="T1004" s="36" t="str" cm="1">
        <f t="array" aca="1" ref="T1004" ca="1">IF(L1004&lt;=$P$1,K1004,IF(L1004&lt;=($P$1+1),INDIRECT("K"&amp;5+$W$2),""))</f>
        <v/>
      </c>
      <c r="U1004" s="38">
        <f t="shared" si="114"/>
        <v>84</v>
      </c>
    </row>
    <row r="1005" spans="11:21" hidden="1" x14ac:dyDescent="0.25">
      <c r="K1005" s="36">
        <f t="shared" ca="1" si="116"/>
        <v>76651</v>
      </c>
      <c r="L1005" s="19">
        <v>1000</v>
      </c>
      <c r="M1005" s="19">
        <f t="shared" si="115"/>
        <v>0</v>
      </c>
      <c r="N1005" s="37">
        <f t="shared" si="112"/>
        <v>0</v>
      </c>
      <c r="O1005" s="37">
        <f t="shared" si="117"/>
        <v>0</v>
      </c>
      <c r="P1005" s="55" cm="1">
        <f t="array" aca="1" ref="P1005" ca="1">IF((L1005-$C$16)&gt;0, IF($P$1+$C$16&gt;=L1005,INDIRECT("M"&amp;(L1005-$C$16)+5),0),0)</f>
        <v>0</v>
      </c>
      <c r="Q1005" s="56" cm="1">
        <f t="array" aca="1" ref="Q1005" ca="1">IF(L1005&lt;=$C$16,0,IF($W$2&gt;=L1005,IF(L1005&lt;=($P$1+$C$16),INDIRECT("N"&amp;(L1005-$C$16)+5),FV(SRate,L1005-$P$1-$C$16,0,-$W$1,1)),0))</f>
        <v>0</v>
      </c>
      <c r="R1005" s="56">
        <f t="shared" ca="1" si="111"/>
        <v>0</v>
      </c>
      <c r="S1005" s="19">
        <f t="shared" si="113"/>
        <v>0</v>
      </c>
      <c r="T1005" s="36" t="str" cm="1">
        <f t="array" aca="1" ref="T1005" ca="1">IF(L1005&lt;=$P$1,K1005,IF(L1005&lt;=($P$1+1),INDIRECT("K"&amp;5+$W$2),""))</f>
        <v/>
      </c>
      <c r="U1005" s="38">
        <f t="shared" si="114"/>
        <v>84</v>
      </c>
    </row>
    <row r="1006" spans="11:21" hidden="1" x14ac:dyDescent="0.25">
      <c r="K1006" s="36">
        <f t="shared" ca="1" si="116"/>
        <v>76681</v>
      </c>
      <c r="L1006" s="19">
        <v>1001</v>
      </c>
      <c r="M1006" s="19">
        <f t="shared" si="115"/>
        <v>0</v>
      </c>
      <c r="N1006" s="37">
        <f t="shared" si="112"/>
        <v>0</v>
      </c>
      <c r="O1006" s="37">
        <f t="shared" si="117"/>
        <v>0</v>
      </c>
      <c r="P1006" s="55" cm="1">
        <f t="array" aca="1" ref="P1006" ca="1">IF((L1006-$C$16)&gt;0, IF($P$1+$C$16&gt;=L1006,INDIRECT("M"&amp;(L1006-$C$16)+5),0),0)</f>
        <v>0</v>
      </c>
      <c r="Q1006" s="56" cm="1">
        <f t="array" aca="1" ref="Q1006" ca="1">IF(L1006&lt;=$C$16,0,IF($W$2&gt;=L1006,IF(L1006&lt;=($P$1+$C$16),INDIRECT("N"&amp;(L1006-$C$16)+5),FV(SRate,L1006-$P$1-$C$16,0,-$W$1,1)),0))</f>
        <v>0</v>
      </c>
      <c r="R1006" s="56">
        <f t="shared" ca="1" si="111"/>
        <v>0</v>
      </c>
      <c r="S1006" s="19">
        <f t="shared" si="113"/>
        <v>0</v>
      </c>
      <c r="T1006" s="36" t="str" cm="1">
        <f t="array" aca="1" ref="T1006" ca="1">IF(L1006&lt;=$P$1,K1006,IF(L1006&lt;=($P$1+1),INDIRECT("K"&amp;5+$W$2),""))</f>
        <v/>
      </c>
      <c r="U1006" s="38">
        <f t="shared" si="114"/>
        <v>84</v>
      </c>
    </row>
    <row r="1007" spans="11:21" hidden="1" x14ac:dyDescent="0.25">
      <c r="K1007" s="36">
        <f t="shared" ca="1" si="116"/>
        <v>76712</v>
      </c>
      <c r="L1007" s="19">
        <v>1002</v>
      </c>
      <c r="M1007" s="19">
        <f t="shared" si="115"/>
        <v>0</v>
      </c>
      <c r="N1007" s="37">
        <f t="shared" si="112"/>
        <v>0</v>
      </c>
      <c r="O1007" s="37">
        <f t="shared" si="117"/>
        <v>0</v>
      </c>
      <c r="P1007" s="55" cm="1">
        <f t="array" aca="1" ref="P1007" ca="1">IF((L1007-$C$16)&gt;0, IF($P$1+$C$16&gt;=L1007,INDIRECT("M"&amp;(L1007-$C$16)+5),0),0)</f>
        <v>0</v>
      </c>
      <c r="Q1007" s="56" cm="1">
        <f t="array" aca="1" ref="Q1007" ca="1">IF(L1007&lt;=$C$16,0,IF($W$2&gt;=L1007,IF(L1007&lt;=($P$1+$C$16),INDIRECT("N"&amp;(L1007-$C$16)+5),FV(SRate,L1007-$P$1-$C$16,0,-$W$1,1)),0))</f>
        <v>0</v>
      </c>
      <c r="R1007" s="56">
        <f t="shared" ca="1" si="111"/>
        <v>0</v>
      </c>
      <c r="S1007" s="19">
        <f t="shared" si="113"/>
        <v>0</v>
      </c>
      <c r="T1007" s="36" t="str" cm="1">
        <f t="array" aca="1" ref="T1007" ca="1">IF(L1007&lt;=$P$1,K1007,IF(L1007&lt;=($P$1+1),INDIRECT("K"&amp;5+$W$2),""))</f>
        <v/>
      </c>
      <c r="U1007" s="38">
        <f t="shared" si="114"/>
        <v>84</v>
      </c>
    </row>
    <row r="1008" spans="11:21" hidden="1" x14ac:dyDescent="0.25">
      <c r="K1008" s="36">
        <f t="shared" ca="1" si="116"/>
        <v>76743</v>
      </c>
      <c r="L1008" s="19">
        <v>1003</v>
      </c>
      <c r="M1008" s="19">
        <f t="shared" si="115"/>
        <v>0</v>
      </c>
      <c r="N1008" s="37">
        <f t="shared" si="112"/>
        <v>0</v>
      </c>
      <c r="O1008" s="37">
        <f t="shared" si="117"/>
        <v>0</v>
      </c>
      <c r="P1008" s="55" cm="1">
        <f t="array" aca="1" ref="P1008" ca="1">IF((L1008-$C$16)&gt;0, IF($P$1+$C$16&gt;=L1008,INDIRECT("M"&amp;(L1008-$C$16)+5),0),0)</f>
        <v>0</v>
      </c>
      <c r="Q1008" s="56" cm="1">
        <f t="array" aca="1" ref="Q1008" ca="1">IF(L1008&lt;=$C$16,0,IF($W$2&gt;=L1008,IF(L1008&lt;=($P$1+$C$16),INDIRECT("N"&amp;(L1008-$C$16)+5),FV(SRate,L1008-$P$1-$C$16,0,-$W$1,1)),0))</f>
        <v>0</v>
      </c>
      <c r="R1008" s="56">
        <f t="shared" ca="1" si="111"/>
        <v>0</v>
      </c>
      <c r="S1008" s="19">
        <f t="shared" si="113"/>
        <v>0</v>
      </c>
      <c r="T1008" s="36" t="str" cm="1">
        <f t="array" aca="1" ref="T1008" ca="1">IF(L1008&lt;=$P$1,K1008,IF(L1008&lt;=($P$1+1),INDIRECT("K"&amp;5+$W$2),""))</f>
        <v/>
      </c>
      <c r="U1008" s="38">
        <f t="shared" si="114"/>
        <v>84</v>
      </c>
    </row>
    <row r="1009" spans="11:21" hidden="1" x14ac:dyDescent="0.25">
      <c r="K1009" s="36">
        <f t="shared" ca="1" si="116"/>
        <v>76771</v>
      </c>
      <c r="L1009" s="19">
        <v>1004</v>
      </c>
      <c r="M1009" s="19">
        <f t="shared" si="115"/>
        <v>0</v>
      </c>
      <c r="N1009" s="37">
        <f t="shared" si="112"/>
        <v>0</v>
      </c>
      <c r="O1009" s="37">
        <f t="shared" si="117"/>
        <v>0</v>
      </c>
      <c r="P1009" s="55" cm="1">
        <f t="array" aca="1" ref="P1009" ca="1">IF((L1009-$C$16)&gt;0, IF($P$1+$C$16&gt;=L1009,INDIRECT("M"&amp;(L1009-$C$16)+5),0),0)</f>
        <v>0</v>
      </c>
      <c r="Q1009" s="56" cm="1">
        <f t="array" aca="1" ref="Q1009" ca="1">IF(L1009&lt;=$C$16,0,IF($W$2&gt;=L1009,IF(L1009&lt;=($P$1+$C$16),INDIRECT("N"&amp;(L1009-$C$16)+5),FV(SRate,L1009-$P$1-$C$16,0,-$W$1,1)),0))</f>
        <v>0</v>
      </c>
      <c r="R1009" s="56">
        <f t="shared" ca="1" si="111"/>
        <v>0</v>
      </c>
      <c r="S1009" s="19">
        <f t="shared" si="113"/>
        <v>0</v>
      </c>
      <c r="T1009" s="36" t="str" cm="1">
        <f t="array" aca="1" ref="T1009" ca="1">IF(L1009&lt;=$P$1,K1009,IF(L1009&lt;=($P$1+1),INDIRECT("K"&amp;5+$W$2),""))</f>
        <v/>
      </c>
      <c r="U1009" s="38">
        <f t="shared" si="114"/>
        <v>84</v>
      </c>
    </row>
    <row r="1010" spans="11:21" hidden="1" x14ac:dyDescent="0.25">
      <c r="K1010" s="36">
        <f t="shared" ca="1" si="116"/>
        <v>76802</v>
      </c>
      <c r="L1010" s="19">
        <v>1005</v>
      </c>
      <c r="M1010" s="19">
        <f t="shared" si="115"/>
        <v>0</v>
      </c>
      <c r="N1010" s="37">
        <f t="shared" si="112"/>
        <v>0</v>
      </c>
      <c r="O1010" s="37">
        <f t="shared" si="117"/>
        <v>0</v>
      </c>
      <c r="P1010" s="55" cm="1">
        <f t="array" aca="1" ref="P1010" ca="1">IF((L1010-$C$16)&gt;0, IF($P$1+$C$16&gt;=L1010,INDIRECT("M"&amp;(L1010-$C$16)+5),0),0)</f>
        <v>0</v>
      </c>
      <c r="Q1010" s="56" cm="1">
        <f t="array" aca="1" ref="Q1010" ca="1">IF(L1010&lt;=$C$16,0,IF($W$2&gt;=L1010,IF(L1010&lt;=($P$1+$C$16),INDIRECT("N"&amp;(L1010-$C$16)+5),FV(SRate,L1010-$P$1-$C$16,0,-$W$1,1)),0))</f>
        <v>0</v>
      </c>
      <c r="R1010" s="56">
        <f t="shared" ca="1" si="111"/>
        <v>0</v>
      </c>
      <c r="S1010" s="19">
        <f t="shared" si="113"/>
        <v>0</v>
      </c>
      <c r="T1010" s="36" t="str" cm="1">
        <f t="array" aca="1" ref="T1010" ca="1">IF(L1010&lt;=$P$1,K1010,IF(L1010&lt;=($P$1+1),INDIRECT("K"&amp;5+$W$2),""))</f>
        <v/>
      </c>
      <c r="U1010" s="38">
        <f t="shared" si="114"/>
        <v>84</v>
      </c>
    </row>
    <row r="1011" spans="11:21" hidden="1" x14ac:dyDescent="0.25">
      <c r="K1011" s="36">
        <f t="shared" ca="1" si="116"/>
        <v>76832</v>
      </c>
      <c r="L1011" s="19">
        <v>1006</v>
      </c>
      <c r="M1011" s="19">
        <f t="shared" si="115"/>
        <v>0</v>
      </c>
      <c r="N1011" s="37">
        <f t="shared" si="112"/>
        <v>0</v>
      </c>
      <c r="O1011" s="37">
        <f t="shared" si="117"/>
        <v>0</v>
      </c>
      <c r="P1011" s="55" cm="1">
        <f t="array" aca="1" ref="P1011" ca="1">IF((L1011-$C$16)&gt;0, IF($P$1+$C$16&gt;=L1011,INDIRECT("M"&amp;(L1011-$C$16)+5),0),0)</f>
        <v>0</v>
      </c>
      <c r="Q1011" s="56" cm="1">
        <f t="array" aca="1" ref="Q1011" ca="1">IF(L1011&lt;=$C$16,0,IF($W$2&gt;=L1011,IF(L1011&lt;=($P$1+$C$16),INDIRECT("N"&amp;(L1011-$C$16)+5),FV(SRate,L1011-$P$1-$C$16,0,-$W$1,1)),0))</f>
        <v>0</v>
      </c>
      <c r="R1011" s="56">
        <f t="shared" ca="1" si="111"/>
        <v>0</v>
      </c>
      <c r="S1011" s="19">
        <f t="shared" si="113"/>
        <v>0</v>
      </c>
      <c r="T1011" s="36" t="str" cm="1">
        <f t="array" aca="1" ref="T1011" ca="1">IF(L1011&lt;=$P$1,K1011,IF(L1011&lt;=($P$1+1),INDIRECT("K"&amp;5+$W$2),""))</f>
        <v/>
      </c>
      <c r="U1011" s="38">
        <f t="shared" si="114"/>
        <v>84</v>
      </c>
    </row>
    <row r="1012" spans="11:21" hidden="1" x14ac:dyDescent="0.25">
      <c r="K1012" s="36">
        <f t="shared" ca="1" si="116"/>
        <v>76863</v>
      </c>
      <c r="L1012" s="19">
        <v>1007</v>
      </c>
      <c r="M1012" s="19">
        <f t="shared" si="115"/>
        <v>0</v>
      </c>
      <c r="N1012" s="37">
        <f t="shared" si="112"/>
        <v>0</v>
      </c>
      <c r="O1012" s="37">
        <f t="shared" si="117"/>
        <v>0</v>
      </c>
      <c r="P1012" s="55" cm="1">
        <f t="array" aca="1" ref="P1012" ca="1">IF((L1012-$C$16)&gt;0, IF($P$1+$C$16&gt;=L1012,INDIRECT("M"&amp;(L1012-$C$16)+5),0),0)</f>
        <v>0</v>
      </c>
      <c r="Q1012" s="56" cm="1">
        <f t="array" aca="1" ref="Q1012" ca="1">IF(L1012&lt;=$C$16,0,IF($W$2&gt;=L1012,IF(L1012&lt;=($P$1+$C$16),INDIRECT("N"&amp;(L1012-$C$16)+5),FV(SRate,L1012-$P$1-$C$16,0,-$W$1,1)),0))</f>
        <v>0</v>
      </c>
      <c r="R1012" s="56">
        <f t="shared" ca="1" si="111"/>
        <v>0</v>
      </c>
      <c r="S1012" s="19">
        <f t="shared" si="113"/>
        <v>0</v>
      </c>
      <c r="T1012" s="36" t="str" cm="1">
        <f t="array" aca="1" ref="T1012" ca="1">IF(L1012&lt;=$P$1,K1012,IF(L1012&lt;=($P$1+1),INDIRECT("K"&amp;5+$W$2),""))</f>
        <v/>
      </c>
      <c r="U1012" s="38">
        <f t="shared" si="114"/>
        <v>84</v>
      </c>
    </row>
    <row r="1013" spans="11:21" hidden="1" x14ac:dyDescent="0.25">
      <c r="K1013" s="36">
        <f t="shared" ca="1" si="116"/>
        <v>76893</v>
      </c>
      <c r="L1013" s="19">
        <v>1008</v>
      </c>
      <c r="M1013" s="19">
        <f t="shared" si="115"/>
        <v>0</v>
      </c>
      <c r="N1013" s="37">
        <f t="shared" si="112"/>
        <v>0</v>
      </c>
      <c r="O1013" s="37">
        <f t="shared" si="117"/>
        <v>0</v>
      </c>
      <c r="P1013" s="55" cm="1">
        <f t="array" aca="1" ref="P1013" ca="1">IF((L1013-$C$16)&gt;0, IF($P$1+$C$16&gt;=L1013,INDIRECT("M"&amp;(L1013-$C$16)+5),0),0)</f>
        <v>0</v>
      </c>
      <c r="Q1013" s="56" cm="1">
        <f t="array" aca="1" ref="Q1013" ca="1">IF(L1013&lt;=$C$16,0,IF($W$2&gt;=L1013,IF(L1013&lt;=($P$1+$C$16),INDIRECT("N"&amp;(L1013-$C$16)+5),FV(SRate,L1013-$P$1-$C$16,0,-$W$1,1)),0))</f>
        <v>0</v>
      </c>
      <c r="R1013" s="56">
        <f t="shared" ca="1" si="111"/>
        <v>0</v>
      </c>
      <c r="S1013" s="19">
        <f t="shared" si="113"/>
        <v>0</v>
      </c>
      <c r="T1013" s="36" t="str" cm="1">
        <f t="array" aca="1" ref="T1013" ca="1">IF(L1013&lt;=$P$1,K1013,IF(L1013&lt;=($P$1+1),INDIRECT("K"&amp;5+$W$2),""))</f>
        <v/>
      </c>
      <c r="U1013" s="38">
        <f t="shared" si="114"/>
        <v>84</v>
      </c>
    </row>
    <row r="1014" spans="11:21" hidden="1" x14ac:dyDescent="0.25">
      <c r="K1014" s="36">
        <f t="shared" ca="1" si="116"/>
        <v>76924</v>
      </c>
      <c r="L1014" s="19">
        <v>1009</v>
      </c>
      <c r="M1014" s="19">
        <f t="shared" si="115"/>
        <v>0</v>
      </c>
      <c r="N1014" s="37">
        <f t="shared" si="112"/>
        <v>0</v>
      </c>
      <c r="O1014" s="37">
        <f t="shared" si="117"/>
        <v>0</v>
      </c>
      <c r="P1014" s="55" cm="1">
        <f t="array" aca="1" ref="P1014" ca="1">IF((L1014-$C$16)&gt;0, IF($P$1+$C$16&gt;=L1014,INDIRECT("M"&amp;(L1014-$C$16)+5),0),0)</f>
        <v>0</v>
      </c>
      <c r="Q1014" s="56" cm="1">
        <f t="array" aca="1" ref="Q1014" ca="1">IF(L1014&lt;=$C$16,0,IF($W$2&gt;=L1014,IF(L1014&lt;=($P$1+$C$16),INDIRECT("N"&amp;(L1014-$C$16)+5),FV(SRate,L1014-$P$1-$C$16,0,-$W$1,1)),0))</f>
        <v>0</v>
      </c>
      <c r="R1014" s="56">
        <f t="shared" ca="1" si="111"/>
        <v>0</v>
      </c>
      <c r="S1014" s="19">
        <f t="shared" si="113"/>
        <v>0</v>
      </c>
      <c r="T1014" s="36" t="str" cm="1">
        <f t="array" aca="1" ref="T1014" ca="1">IF(L1014&lt;=$P$1,K1014,IF(L1014&lt;=($P$1+1),INDIRECT("K"&amp;5+$W$2),""))</f>
        <v/>
      </c>
      <c r="U1014" s="38">
        <f t="shared" si="114"/>
        <v>85</v>
      </c>
    </row>
    <row r="1015" spans="11:21" hidden="1" x14ac:dyDescent="0.25">
      <c r="K1015" s="36">
        <f t="shared" ca="1" si="116"/>
        <v>76955</v>
      </c>
      <c r="L1015" s="19">
        <v>1010</v>
      </c>
      <c r="M1015" s="19">
        <f t="shared" si="115"/>
        <v>0</v>
      </c>
      <c r="N1015" s="37">
        <f t="shared" si="112"/>
        <v>0</v>
      </c>
      <c r="O1015" s="37">
        <f t="shared" si="117"/>
        <v>0</v>
      </c>
      <c r="P1015" s="55" cm="1">
        <f t="array" aca="1" ref="P1015" ca="1">IF((L1015-$C$16)&gt;0, IF($P$1+$C$16&gt;=L1015,INDIRECT("M"&amp;(L1015-$C$16)+5),0),0)</f>
        <v>0</v>
      </c>
      <c r="Q1015" s="56" cm="1">
        <f t="array" aca="1" ref="Q1015" ca="1">IF(L1015&lt;=$C$16,0,IF($W$2&gt;=L1015,IF(L1015&lt;=($P$1+$C$16),INDIRECT("N"&amp;(L1015-$C$16)+5),FV(SRate,L1015-$P$1-$C$16,0,-$W$1,1)),0))</f>
        <v>0</v>
      </c>
      <c r="R1015" s="56">
        <f t="shared" ca="1" si="111"/>
        <v>0</v>
      </c>
      <c r="S1015" s="19">
        <f t="shared" si="113"/>
        <v>0</v>
      </c>
      <c r="T1015" s="36" t="str" cm="1">
        <f t="array" aca="1" ref="T1015" ca="1">IF(L1015&lt;=$P$1,K1015,IF(L1015&lt;=($P$1+1),INDIRECT("K"&amp;5+$W$2),""))</f>
        <v/>
      </c>
      <c r="U1015" s="38">
        <f t="shared" si="114"/>
        <v>85</v>
      </c>
    </row>
    <row r="1016" spans="11:21" hidden="1" x14ac:dyDescent="0.25">
      <c r="K1016" s="36">
        <f t="shared" ca="1" si="116"/>
        <v>76985</v>
      </c>
      <c r="L1016" s="19">
        <v>1011</v>
      </c>
      <c r="M1016" s="19">
        <f t="shared" si="115"/>
        <v>0</v>
      </c>
      <c r="N1016" s="37">
        <f t="shared" si="112"/>
        <v>0</v>
      </c>
      <c r="O1016" s="37">
        <f t="shared" si="117"/>
        <v>0</v>
      </c>
      <c r="P1016" s="55" cm="1">
        <f t="array" aca="1" ref="P1016" ca="1">IF((L1016-$C$16)&gt;0, IF($P$1+$C$16&gt;=L1016,INDIRECT("M"&amp;(L1016-$C$16)+5),0),0)</f>
        <v>0</v>
      </c>
      <c r="Q1016" s="56" cm="1">
        <f t="array" aca="1" ref="Q1016" ca="1">IF(L1016&lt;=$C$16,0,IF($W$2&gt;=L1016,IF(L1016&lt;=($P$1+$C$16),INDIRECT("N"&amp;(L1016-$C$16)+5),FV(SRate,L1016-$P$1-$C$16,0,-$W$1,1)),0))</f>
        <v>0</v>
      </c>
      <c r="R1016" s="56">
        <f t="shared" ca="1" si="111"/>
        <v>0</v>
      </c>
      <c r="S1016" s="19">
        <f t="shared" si="113"/>
        <v>0</v>
      </c>
      <c r="T1016" s="36" t="str" cm="1">
        <f t="array" aca="1" ref="T1016" ca="1">IF(L1016&lt;=$P$1,K1016,IF(L1016&lt;=($P$1+1),INDIRECT("K"&amp;5+$W$2),""))</f>
        <v/>
      </c>
      <c r="U1016" s="38">
        <f t="shared" si="114"/>
        <v>85</v>
      </c>
    </row>
    <row r="1017" spans="11:21" hidden="1" x14ac:dyDescent="0.25">
      <c r="K1017" s="36">
        <f t="shared" ca="1" si="116"/>
        <v>77016</v>
      </c>
      <c r="L1017" s="19">
        <v>1012</v>
      </c>
      <c r="M1017" s="19">
        <f t="shared" si="115"/>
        <v>0</v>
      </c>
      <c r="N1017" s="37">
        <f t="shared" si="112"/>
        <v>0</v>
      </c>
      <c r="O1017" s="37">
        <f t="shared" si="117"/>
        <v>0</v>
      </c>
      <c r="P1017" s="55" cm="1">
        <f t="array" aca="1" ref="P1017" ca="1">IF((L1017-$C$16)&gt;0, IF($P$1+$C$16&gt;=L1017,INDIRECT("M"&amp;(L1017-$C$16)+5),0),0)</f>
        <v>0</v>
      </c>
      <c r="Q1017" s="56" cm="1">
        <f t="array" aca="1" ref="Q1017" ca="1">IF(L1017&lt;=$C$16,0,IF($W$2&gt;=L1017,IF(L1017&lt;=($P$1+$C$16),INDIRECT("N"&amp;(L1017-$C$16)+5),FV(SRate,L1017-$P$1-$C$16,0,-$W$1,1)),0))</f>
        <v>0</v>
      </c>
      <c r="R1017" s="56">
        <f t="shared" ca="1" si="111"/>
        <v>0</v>
      </c>
      <c r="S1017" s="19">
        <f t="shared" si="113"/>
        <v>0</v>
      </c>
      <c r="T1017" s="36" t="str" cm="1">
        <f t="array" aca="1" ref="T1017" ca="1">IF(L1017&lt;=$P$1,K1017,IF(L1017&lt;=($P$1+1),INDIRECT("K"&amp;5+$W$2),""))</f>
        <v/>
      </c>
      <c r="U1017" s="38">
        <f t="shared" si="114"/>
        <v>85</v>
      </c>
    </row>
    <row r="1018" spans="11:21" hidden="1" x14ac:dyDescent="0.25">
      <c r="K1018" s="36">
        <f t="shared" ca="1" si="116"/>
        <v>77046</v>
      </c>
      <c r="L1018" s="19">
        <v>1013</v>
      </c>
      <c r="M1018" s="19">
        <f t="shared" si="115"/>
        <v>0</v>
      </c>
      <c r="N1018" s="37">
        <f t="shared" si="112"/>
        <v>0</v>
      </c>
      <c r="O1018" s="37">
        <f t="shared" si="117"/>
        <v>0</v>
      </c>
      <c r="P1018" s="55" cm="1">
        <f t="array" aca="1" ref="P1018" ca="1">IF((L1018-$C$16)&gt;0, IF($P$1+$C$16&gt;=L1018,INDIRECT("M"&amp;(L1018-$C$16)+5),0),0)</f>
        <v>0</v>
      </c>
      <c r="Q1018" s="56" cm="1">
        <f t="array" aca="1" ref="Q1018" ca="1">IF(L1018&lt;=$C$16,0,IF($W$2&gt;=L1018,IF(L1018&lt;=($P$1+$C$16),INDIRECT("N"&amp;(L1018-$C$16)+5),FV(SRate,L1018-$P$1-$C$16,0,-$W$1,1)),0))</f>
        <v>0</v>
      </c>
      <c r="R1018" s="56">
        <f t="shared" ca="1" si="111"/>
        <v>0</v>
      </c>
      <c r="S1018" s="19">
        <f t="shared" si="113"/>
        <v>0</v>
      </c>
      <c r="T1018" s="36" t="str" cm="1">
        <f t="array" aca="1" ref="T1018" ca="1">IF(L1018&lt;=$P$1,K1018,IF(L1018&lt;=($P$1+1),INDIRECT("K"&amp;5+$W$2),""))</f>
        <v/>
      </c>
      <c r="U1018" s="38">
        <f t="shared" si="114"/>
        <v>85</v>
      </c>
    </row>
    <row r="1019" spans="11:21" hidden="1" x14ac:dyDescent="0.25">
      <c r="K1019" s="36">
        <f t="shared" ca="1" si="116"/>
        <v>77077</v>
      </c>
      <c r="L1019" s="19">
        <v>1014</v>
      </c>
      <c r="M1019" s="19">
        <f t="shared" si="115"/>
        <v>0</v>
      </c>
      <c r="N1019" s="37">
        <f t="shared" si="112"/>
        <v>0</v>
      </c>
      <c r="O1019" s="37">
        <f t="shared" si="117"/>
        <v>0</v>
      </c>
      <c r="P1019" s="55" cm="1">
        <f t="array" aca="1" ref="P1019" ca="1">IF((L1019-$C$16)&gt;0, IF($P$1+$C$16&gt;=L1019,INDIRECT("M"&amp;(L1019-$C$16)+5),0),0)</f>
        <v>0</v>
      </c>
      <c r="Q1019" s="56" cm="1">
        <f t="array" aca="1" ref="Q1019" ca="1">IF(L1019&lt;=$C$16,0,IF($W$2&gt;=L1019,IF(L1019&lt;=($P$1+$C$16),INDIRECT("N"&amp;(L1019-$C$16)+5),FV(SRate,L1019-$P$1-$C$16,0,-$W$1,1)),0))</f>
        <v>0</v>
      </c>
      <c r="R1019" s="56">
        <f t="shared" ca="1" si="111"/>
        <v>0</v>
      </c>
      <c r="S1019" s="19">
        <f t="shared" si="113"/>
        <v>0</v>
      </c>
      <c r="T1019" s="36" t="str" cm="1">
        <f t="array" aca="1" ref="T1019" ca="1">IF(L1019&lt;=$P$1,K1019,IF(L1019&lt;=($P$1+1),INDIRECT("K"&amp;5+$W$2),""))</f>
        <v/>
      </c>
      <c r="U1019" s="38">
        <f t="shared" si="114"/>
        <v>85</v>
      </c>
    </row>
    <row r="1020" spans="11:21" hidden="1" x14ac:dyDescent="0.25">
      <c r="K1020" s="36">
        <f t="shared" ca="1" si="116"/>
        <v>77108</v>
      </c>
      <c r="L1020" s="19">
        <v>1015</v>
      </c>
      <c r="M1020" s="19">
        <f t="shared" si="115"/>
        <v>0</v>
      </c>
      <c r="N1020" s="37">
        <f t="shared" si="112"/>
        <v>0</v>
      </c>
      <c r="O1020" s="37">
        <f t="shared" si="117"/>
        <v>0</v>
      </c>
      <c r="P1020" s="55" cm="1">
        <f t="array" aca="1" ref="P1020" ca="1">IF((L1020-$C$16)&gt;0, IF($P$1+$C$16&gt;=L1020,INDIRECT("M"&amp;(L1020-$C$16)+5),0),0)</f>
        <v>0</v>
      </c>
      <c r="Q1020" s="56" cm="1">
        <f t="array" aca="1" ref="Q1020" ca="1">IF(L1020&lt;=$C$16,0,IF($W$2&gt;=L1020,IF(L1020&lt;=($P$1+$C$16),INDIRECT("N"&amp;(L1020-$C$16)+5),FV(SRate,L1020-$P$1-$C$16,0,-$W$1,1)),0))</f>
        <v>0</v>
      </c>
      <c r="R1020" s="56">
        <f t="shared" ca="1" si="111"/>
        <v>0</v>
      </c>
      <c r="S1020" s="19">
        <f t="shared" si="113"/>
        <v>0</v>
      </c>
      <c r="T1020" s="36" t="str" cm="1">
        <f t="array" aca="1" ref="T1020" ca="1">IF(L1020&lt;=$P$1,K1020,IF(L1020&lt;=($P$1+1),INDIRECT("K"&amp;5+$W$2),""))</f>
        <v/>
      </c>
      <c r="U1020" s="38">
        <f t="shared" si="114"/>
        <v>85</v>
      </c>
    </row>
    <row r="1021" spans="11:21" hidden="1" x14ac:dyDescent="0.25">
      <c r="K1021" s="36">
        <f t="shared" ca="1" si="116"/>
        <v>77136</v>
      </c>
      <c r="L1021" s="19">
        <v>1016</v>
      </c>
      <c r="M1021" s="19">
        <f t="shared" si="115"/>
        <v>0</v>
      </c>
      <c r="N1021" s="37">
        <f t="shared" si="112"/>
        <v>0</v>
      </c>
      <c r="O1021" s="37">
        <f t="shared" si="117"/>
        <v>0</v>
      </c>
      <c r="P1021" s="55" cm="1">
        <f t="array" aca="1" ref="P1021" ca="1">IF((L1021-$C$16)&gt;0, IF($P$1+$C$16&gt;=L1021,INDIRECT("M"&amp;(L1021-$C$16)+5),0),0)</f>
        <v>0</v>
      </c>
      <c r="Q1021" s="56" cm="1">
        <f t="array" aca="1" ref="Q1021" ca="1">IF(L1021&lt;=$C$16,0,IF($W$2&gt;=L1021,IF(L1021&lt;=($P$1+$C$16),INDIRECT("N"&amp;(L1021-$C$16)+5),FV(SRate,L1021-$P$1-$C$16,0,-$W$1,1)),0))</f>
        <v>0</v>
      </c>
      <c r="R1021" s="56">
        <f t="shared" ca="1" si="111"/>
        <v>0</v>
      </c>
      <c r="S1021" s="19">
        <f t="shared" si="113"/>
        <v>0</v>
      </c>
      <c r="T1021" s="36" t="str" cm="1">
        <f t="array" aca="1" ref="T1021" ca="1">IF(L1021&lt;=$P$1,K1021,IF(L1021&lt;=($P$1+1),INDIRECT("K"&amp;5+$W$2),""))</f>
        <v/>
      </c>
      <c r="U1021" s="38">
        <f t="shared" si="114"/>
        <v>85</v>
      </c>
    </row>
    <row r="1022" spans="11:21" hidden="1" x14ac:dyDescent="0.25">
      <c r="K1022" s="36">
        <f t="shared" ca="1" si="116"/>
        <v>77167</v>
      </c>
      <c r="L1022" s="19">
        <v>1017</v>
      </c>
      <c r="M1022" s="19">
        <f t="shared" si="115"/>
        <v>0</v>
      </c>
      <c r="N1022" s="37">
        <f t="shared" si="112"/>
        <v>0</v>
      </c>
      <c r="O1022" s="37">
        <f t="shared" si="117"/>
        <v>0</v>
      </c>
      <c r="P1022" s="55" cm="1">
        <f t="array" aca="1" ref="P1022" ca="1">IF((L1022-$C$16)&gt;0, IF($P$1+$C$16&gt;=L1022,INDIRECT("M"&amp;(L1022-$C$16)+5),0),0)</f>
        <v>0</v>
      </c>
      <c r="Q1022" s="56" cm="1">
        <f t="array" aca="1" ref="Q1022" ca="1">IF(L1022&lt;=$C$16,0,IF($W$2&gt;=L1022,IF(L1022&lt;=($P$1+$C$16),INDIRECT("N"&amp;(L1022-$C$16)+5),FV(SRate,L1022-$P$1-$C$16,0,-$W$1,1)),0))</f>
        <v>0</v>
      </c>
      <c r="R1022" s="56">
        <f t="shared" ca="1" si="111"/>
        <v>0</v>
      </c>
      <c r="S1022" s="19">
        <f t="shared" si="113"/>
        <v>0</v>
      </c>
      <c r="T1022" s="36" t="str" cm="1">
        <f t="array" aca="1" ref="T1022" ca="1">IF(L1022&lt;=$P$1,K1022,IF(L1022&lt;=($P$1+1),INDIRECT("K"&amp;5+$W$2),""))</f>
        <v/>
      </c>
      <c r="U1022" s="38">
        <f t="shared" si="114"/>
        <v>85</v>
      </c>
    </row>
    <row r="1023" spans="11:21" hidden="1" x14ac:dyDescent="0.25">
      <c r="K1023" s="36">
        <f t="shared" ca="1" si="116"/>
        <v>77197</v>
      </c>
      <c r="L1023" s="19">
        <v>1018</v>
      </c>
      <c r="M1023" s="19">
        <f t="shared" si="115"/>
        <v>0</v>
      </c>
      <c r="N1023" s="37">
        <f t="shared" si="112"/>
        <v>0</v>
      </c>
      <c r="O1023" s="37">
        <f t="shared" si="117"/>
        <v>0</v>
      </c>
      <c r="P1023" s="55" cm="1">
        <f t="array" aca="1" ref="P1023" ca="1">IF((L1023-$C$16)&gt;0, IF($P$1+$C$16&gt;=L1023,INDIRECT("M"&amp;(L1023-$C$16)+5),0),0)</f>
        <v>0</v>
      </c>
      <c r="Q1023" s="56" cm="1">
        <f t="array" aca="1" ref="Q1023" ca="1">IF(L1023&lt;=$C$16,0,IF($W$2&gt;=L1023,IF(L1023&lt;=($P$1+$C$16),INDIRECT("N"&amp;(L1023-$C$16)+5),FV(SRate,L1023-$P$1-$C$16,0,-$W$1,1)),0))</f>
        <v>0</v>
      </c>
      <c r="R1023" s="56">
        <f t="shared" ca="1" si="111"/>
        <v>0</v>
      </c>
      <c r="S1023" s="19">
        <f t="shared" si="113"/>
        <v>0</v>
      </c>
      <c r="T1023" s="36" t="str" cm="1">
        <f t="array" aca="1" ref="T1023" ca="1">IF(L1023&lt;=$P$1,K1023,IF(L1023&lt;=($P$1+1),INDIRECT("K"&amp;5+$W$2),""))</f>
        <v/>
      </c>
      <c r="U1023" s="38">
        <f t="shared" si="114"/>
        <v>85</v>
      </c>
    </row>
    <row r="1024" spans="11:21" hidden="1" x14ac:dyDescent="0.25">
      <c r="K1024" s="36">
        <f t="shared" ca="1" si="116"/>
        <v>77228</v>
      </c>
      <c r="L1024" s="19">
        <v>1019</v>
      </c>
      <c r="M1024" s="19">
        <f t="shared" si="115"/>
        <v>0</v>
      </c>
      <c r="N1024" s="37">
        <f t="shared" si="112"/>
        <v>0</v>
      </c>
      <c r="O1024" s="37">
        <f t="shared" si="117"/>
        <v>0</v>
      </c>
      <c r="P1024" s="55" cm="1">
        <f t="array" aca="1" ref="P1024" ca="1">IF((L1024-$C$16)&gt;0, IF($P$1+$C$16&gt;=L1024,INDIRECT("M"&amp;(L1024-$C$16)+5),0),0)</f>
        <v>0</v>
      </c>
      <c r="Q1024" s="56" cm="1">
        <f t="array" aca="1" ref="Q1024" ca="1">IF(L1024&lt;=$C$16,0,IF($W$2&gt;=L1024,IF(L1024&lt;=($P$1+$C$16),INDIRECT("N"&amp;(L1024-$C$16)+5),FV(SRate,L1024-$P$1-$C$16,0,-$W$1,1)),0))</f>
        <v>0</v>
      </c>
      <c r="R1024" s="56">
        <f t="shared" ca="1" si="111"/>
        <v>0</v>
      </c>
      <c r="S1024" s="19">
        <f t="shared" si="113"/>
        <v>0</v>
      </c>
      <c r="T1024" s="36" t="str" cm="1">
        <f t="array" aca="1" ref="T1024" ca="1">IF(L1024&lt;=$P$1,K1024,IF(L1024&lt;=($P$1+1),INDIRECT("K"&amp;5+$W$2),""))</f>
        <v/>
      </c>
      <c r="U1024" s="38">
        <f t="shared" si="114"/>
        <v>85</v>
      </c>
    </row>
    <row r="1025" spans="11:21" hidden="1" x14ac:dyDescent="0.25">
      <c r="K1025" s="36">
        <f t="shared" ca="1" si="116"/>
        <v>77258</v>
      </c>
      <c r="L1025" s="19">
        <v>1020</v>
      </c>
      <c r="M1025" s="19">
        <f t="shared" si="115"/>
        <v>0</v>
      </c>
      <c r="N1025" s="37">
        <f t="shared" si="112"/>
        <v>0</v>
      </c>
      <c r="O1025" s="37">
        <f t="shared" si="117"/>
        <v>0</v>
      </c>
      <c r="P1025" s="55" cm="1">
        <f t="array" aca="1" ref="P1025" ca="1">IF((L1025-$C$16)&gt;0, IF($P$1+$C$16&gt;=L1025,INDIRECT("M"&amp;(L1025-$C$16)+5),0),0)</f>
        <v>0</v>
      </c>
      <c r="Q1025" s="56" cm="1">
        <f t="array" aca="1" ref="Q1025" ca="1">IF(L1025&lt;=$C$16,0,IF($W$2&gt;=L1025,IF(L1025&lt;=($P$1+$C$16),INDIRECT("N"&amp;(L1025-$C$16)+5),FV(SRate,L1025-$P$1-$C$16,0,-$W$1,1)),0))</f>
        <v>0</v>
      </c>
      <c r="R1025" s="56">
        <f t="shared" ca="1" si="111"/>
        <v>0</v>
      </c>
      <c r="S1025" s="19">
        <f t="shared" si="113"/>
        <v>0</v>
      </c>
      <c r="T1025" s="36" t="str" cm="1">
        <f t="array" aca="1" ref="T1025" ca="1">IF(L1025&lt;=$P$1,K1025,IF(L1025&lt;=($P$1+1),INDIRECT("K"&amp;5+$W$2),""))</f>
        <v/>
      </c>
      <c r="U1025" s="38">
        <f t="shared" si="114"/>
        <v>85</v>
      </c>
    </row>
    <row r="1026" spans="11:21" hidden="1" x14ac:dyDescent="0.25">
      <c r="K1026" s="36">
        <f t="shared" ca="1" si="116"/>
        <v>77289</v>
      </c>
      <c r="L1026" s="19">
        <v>1021</v>
      </c>
      <c r="M1026" s="19">
        <f t="shared" si="115"/>
        <v>0</v>
      </c>
      <c r="N1026" s="37">
        <f t="shared" si="112"/>
        <v>0</v>
      </c>
      <c r="O1026" s="37">
        <f t="shared" si="117"/>
        <v>0</v>
      </c>
      <c r="P1026" s="55" cm="1">
        <f t="array" aca="1" ref="P1026" ca="1">IF((L1026-$C$16)&gt;0, IF($P$1+$C$16&gt;=L1026,INDIRECT("M"&amp;(L1026-$C$16)+5),0),0)</f>
        <v>0</v>
      </c>
      <c r="Q1026" s="56" cm="1">
        <f t="array" aca="1" ref="Q1026" ca="1">IF(L1026&lt;=$C$16,0,IF($W$2&gt;=L1026,IF(L1026&lt;=($P$1+$C$16),INDIRECT("N"&amp;(L1026-$C$16)+5),FV(SRate,L1026-$P$1-$C$16,0,-$W$1,1)),0))</f>
        <v>0</v>
      </c>
      <c r="R1026" s="56">
        <f t="shared" ca="1" si="111"/>
        <v>0</v>
      </c>
      <c r="S1026" s="19">
        <f t="shared" si="113"/>
        <v>0</v>
      </c>
      <c r="T1026" s="36" t="str" cm="1">
        <f t="array" aca="1" ref="T1026" ca="1">IF(L1026&lt;=$P$1,K1026,IF(L1026&lt;=($P$1+1),INDIRECT("K"&amp;5+$W$2),""))</f>
        <v/>
      </c>
      <c r="U1026" s="38">
        <f t="shared" si="114"/>
        <v>86</v>
      </c>
    </row>
    <row r="1027" spans="11:21" hidden="1" x14ac:dyDescent="0.25">
      <c r="K1027" s="36">
        <f t="shared" ca="1" si="116"/>
        <v>77320</v>
      </c>
      <c r="L1027" s="19">
        <v>1022</v>
      </c>
      <c r="M1027" s="19">
        <f t="shared" si="115"/>
        <v>0</v>
      </c>
      <c r="N1027" s="37">
        <f t="shared" si="112"/>
        <v>0</v>
      </c>
      <c r="O1027" s="37">
        <f t="shared" si="117"/>
        <v>0</v>
      </c>
      <c r="P1027" s="55" cm="1">
        <f t="array" aca="1" ref="P1027" ca="1">IF((L1027-$C$16)&gt;0, IF($P$1+$C$16&gt;=L1027,INDIRECT("M"&amp;(L1027-$C$16)+5),0),0)</f>
        <v>0</v>
      </c>
      <c r="Q1027" s="56" cm="1">
        <f t="array" aca="1" ref="Q1027" ca="1">IF(L1027&lt;=$C$16,0,IF($W$2&gt;=L1027,IF(L1027&lt;=($P$1+$C$16),INDIRECT("N"&amp;(L1027-$C$16)+5),FV(SRate,L1027-$P$1-$C$16,0,-$W$1,1)),0))</f>
        <v>0</v>
      </c>
      <c r="R1027" s="56">
        <f t="shared" ca="1" si="111"/>
        <v>0</v>
      </c>
      <c r="S1027" s="19">
        <f t="shared" si="113"/>
        <v>0</v>
      </c>
      <c r="T1027" s="36" t="str" cm="1">
        <f t="array" aca="1" ref="T1027" ca="1">IF(L1027&lt;=$P$1,K1027,IF(L1027&lt;=($P$1+1),INDIRECT("K"&amp;5+$W$2),""))</f>
        <v/>
      </c>
      <c r="U1027" s="38">
        <f t="shared" si="114"/>
        <v>86</v>
      </c>
    </row>
    <row r="1028" spans="11:21" hidden="1" x14ac:dyDescent="0.25">
      <c r="K1028" s="36">
        <f t="shared" ca="1" si="116"/>
        <v>77350</v>
      </c>
      <c r="L1028" s="19">
        <v>1023</v>
      </c>
      <c r="M1028" s="19">
        <f t="shared" si="115"/>
        <v>0</v>
      </c>
      <c r="N1028" s="37">
        <f t="shared" si="112"/>
        <v>0</v>
      </c>
      <c r="O1028" s="37">
        <f t="shared" si="117"/>
        <v>0</v>
      </c>
      <c r="P1028" s="55" cm="1">
        <f t="array" aca="1" ref="P1028" ca="1">IF((L1028-$C$16)&gt;0, IF($P$1+$C$16&gt;=L1028,INDIRECT("M"&amp;(L1028-$C$16)+5),0),0)</f>
        <v>0</v>
      </c>
      <c r="Q1028" s="56" cm="1">
        <f t="array" aca="1" ref="Q1028" ca="1">IF(L1028&lt;=$C$16,0,IF($W$2&gt;=L1028,IF(L1028&lt;=($P$1+$C$16),INDIRECT("N"&amp;(L1028-$C$16)+5),FV(SRate,L1028-$P$1-$C$16,0,-$W$1,1)),0))</f>
        <v>0</v>
      </c>
      <c r="R1028" s="56">
        <f t="shared" ca="1" si="111"/>
        <v>0</v>
      </c>
      <c r="S1028" s="19">
        <f t="shared" si="113"/>
        <v>0</v>
      </c>
      <c r="T1028" s="36" t="str" cm="1">
        <f t="array" aca="1" ref="T1028" ca="1">IF(L1028&lt;=$P$1,K1028,IF(L1028&lt;=($P$1+1),INDIRECT("K"&amp;5+$W$2),""))</f>
        <v/>
      </c>
      <c r="U1028" s="38">
        <f t="shared" si="114"/>
        <v>86</v>
      </c>
    </row>
    <row r="1029" spans="11:21" hidden="1" x14ac:dyDescent="0.25">
      <c r="K1029" s="36">
        <f t="shared" ca="1" si="116"/>
        <v>77381</v>
      </c>
      <c r="L1029" s="19">
        <v>1024</v>
      </c>
      <c r="M1029" s="19">
        <f t="shared" si="115"/>
        <v>0</v>
      </c>
      <c r="N1029" s="37">
        <f t="shared" si="112"/>
        <v>0</v>
      </c>
      <c r="O1029" s="37">
        <f t="shared" si="117"/>
        <v>0</v>
      </c>
      <c r="P1029" s="55" cm="1">
        <f t="array" aca="1" ref="P1029" ca="1">IF((L1029-$C$16)&gt;0, IF($P$1+$C$16&gt;=L1029,INDIRECT("M"&amp;(L1029-$C$16)+5),0),0)</f>
        <v>0</v>
      </c>
      <c r="Q1029" s="56" cm="1">
        <f t="array" aca="1" ref="Q1029" ca="1">IF(L1029&lt;=$C$16,0,IF($W$2&gt;=L1029,IF(L1029&lt;=($P$1+$C$16),INDIRECT("N"&amp;(L1029-$C$16)+5),FV(SRate,L1029-$P$1-$C$16,0,-$W$1,1)),0))</f>
        <v>0</v>
      </c>
      <c r="R1029" s="56">
        <f t="shared" ca="1" si="111"/>
        <v>0</v>
      </c>
      <c r="S1029" s="19">
        <f t="shared" si="113"/>
        <v>0</v>
      </c>
      <c r="T1029" s="36" t="str" cm="1">
        <f t="array" aca="1" ref="T1029" ca="1">IF(L1029&lt;=$P$1,K1029,IF(L1029&lt;=($P$1+1),INDIRECT("K"&amp;5+$W$2),""))</f>
        <v/>
      </c>
      <c r="U1029" s="38">
        <f t="shared" si="114"/>
        <v>86</v>
      </c>
    </row>
    <row r="1030" spans="11:21" hidden="1" x14ac:dyDescent="0.25">
      <c r="K1030" s="36">
        <f t="shared" ca="1" si="116"/>
        <v>77411</v>
      </c>
      <c r="L1030" s="19">
        <v>1025</v>
      </c>
      <c r="M1030" s="19">
        <f t="shared" si="115"/>
        <v>0</v>
      </c>
      <c r="N1030" s="37">
        <f t="shared" si="112"/>
        <v>0</v>
      </c>
      <c r="O1030" s="37">
        <f t="shared" si="117"/>
        <v>0</v>
      </c>
      <c r="P1030" s="55" cm="1">
        <f t="array" aca="1" ref="P1030" ca="1">IF((L1030-$C$16)&gt;0, IF($P$1+$C$16&gt;=L1030,INDIRECT("M"&amp;(L1030-$C$16)+5),0),0)</f>
        <v>0</v>
      </c>
      <c r="Q1030" s="56" cm="1">
        <f t="array" aca="1" ref="Q1030" ca="1">IF(L1030&lt;=$C$16,0,IF($W$2&gt;=L1030,IF(L1030&lt;=($P$1+$C$16),INDIRECT("N"&amp;(L1030-$C$16)+5),FV(SRate,L1030-$P$1-$C$16,0,-$W$1,1)),0))</f>
        <v>0</v>
      </c>
      <c r="R1030" s="56">
        <f t="shared" ref="R1030:R1093" ca="1" si="118">Q1030/((1+SIPInflationRate)^((L1030-$C$16)/12))</f>
        <v>0</v>
      </c>
      <c r="S1030" s="19">
        <f t="shared" si="113"/>
        <v>0</v>
      </c>
      <c r="T1030" s="36" t="str" cm="1">
        <f t="array" aca="1" ref="T1030" ca="1">IF(L1030&lt;=$P$1,K1030,IF(L1030&lt;=($P$1+1),INDIRECT("K"&amp;5+$W$2),""))</f>
        <v/>
      </c>
      <c r="U1030" s="38">
        <f t="shared" si="114"/>
        <v>86</v>
      </c>
    </row>
    <row r="1031" spans="11:21" hidden="1" x14ac:dyDescent="0.25">
      <c r="K1031" s="36">
        <f t="shared" ca="1" si="116"/>
        <v>77442</v>
      </c>
      <c r="L1031" s="19">
        <v>1026</v>
      </c>
      <c r="M1031" s="19">
        <f t="shared" si="115"/>
        <v>0</v>
      </c>
      <c r="N1031" s="37">
        <f t="shared" ref="N1031:N1094" si="119">IF($W$2&gt;=L1031,IF(L1031&lt;=$P$1,(M1031-M1030+N1030)*(1+SRate),FV(SRate,L1031-$P$1,0,-$W$1,1)),0)</f>
        <v>0</v>
      </c>
      <c r="O1031" s="37">
        <f t="shared" si="117"/>
        <v>0</v>
      </c>
      <c r="P1031" s="55" cm="1">
        <f t="array" aca="1" ref="P1031" ca="1">IF((L1031-$C$16)&gt;0, IF($P$1+$C$16&gt;=L1031,INDIRECT("M"&amp;(L1031-$C$16)+5),0),0)</f>
        <v>0</v>
      </c>
      <c r="Q1031" s="56" cm="1">
        <f t="array" aca="1" ref="Q1031" ca="1">IF(L1031&lt;=$C$16,0,IF($W$2&gt;=L1031,IF(L1031&lt;=($P$1+$C$16),INDIRECT("N"&amp;(L1031-$C$16)+5),FV(SRate,L1031-$P$1-$C$16,0,-$W$1,1)),0))</f>
        <v>0</v>
      </c>
      <c r="R1031" s="56">
        <f t="shared" ca="1" si="118"/>
        <v>0</v>
      </c>
      <c r="S1031" s="19">
        <f t="shared" ref="S1031:S1094" si="120">IF(L1031&lt;=$P$1,-(_xlfn.XLOOKUP(U1031,$Z$3:$Z$72,$AB$3:$AB$72,0)),IF(L1031&lt;=($P$1+1),$W$4,0))</f>
        <v>0</v>
      </c>
      <c r="T1031" s="36" t="str" cm="1">
        <f t="array" aca="1" ref="T1031" ca="1">IF(L1031&lt;=$P$1,K1031,IF(L1031&lt;=($P$1+1),INDIRECT("K"&amp;5+$W$2),""))</f>
        <v/>
      </c>
      <c r="U1031" s="38">
        <f t="shared" ref="U1031:U1094" si="121">QUOTIENT(L1031,12)+IF(MOD(L1031,12)=0,-1,0)+1</f>
        <v>86</v>
      </c>
    </row>
    <row r="1032" spans="11:21" hidden="1" x14ac:dyDescent="0.25">
      <c r="K1032" s="36">
        <f t="shared" ca="1" si="116"/>
        <v>77473</v>
      </c>
      <c r="L1032" s="19">
        <v>1027</v>
      </c>
      <c r="M1032" s="19">
        <f t="shared" ref="M1032:M1095" si="122">IF($P$1&gt;=L1032,_xlfn.XLOOKUP(U1032,$Z$3:$Z$72,$AB$3:$AB$72,0)+M1031,0)</f>
        <v>0</v>
      </c>
      <c r="N1032" s="37">
        <f t="shared" si="119"/>
        <v>0</v>
      </c>
      <c r="O1032" s="37">
        <f t="shared" si="117"/>
        <v>0</v>
      </c>
      <c r="P1032" s="55" cm="1">
        <f t="array" aca="1" ref="P1032" ca="1">IF((L1032-$C$16)&gt;0, IF($P$1+$C$16&gt;=L1032,INDIRECT("M"&amp;(L1032-$C$16)+5),0),0)</f>
        <v>0</v>
      </c>
      <c r="Q1032" s="56" cm="1">
        <f t="array" aca="1" ref="Q1032" ca="1">IF(L1032&lt;=$C$16,0,IF($W$2&gt;=L1032,IF(L1032&lt;=($P$1+$C$16),INDIRECT("N"&amp;(L1032-$C$16)+5),FV(SRate,L1032-$P$1-$C$16,0,-$W$1,1)),0))</f>
        <v>0</v>
      </c>
      <c r="R1032" s="56">
        <f t="shared" ca="1" si="118"/>
        <v>0</v>
      </c>
      <c r="S1032" s="19">
        <f t="shared" si="120"/>
        <v>0</v>
      </c>
      <c r="T1032" s="36" t="str" cm="1">
        <f t="array" aca="1" ref="T1032" ca="1">IF(L1032&lt;=$P$1,K1032,IF(L1032&lt;=($P$1+1),INDIRECT("K"&amp;5+$W$2),""))</f>
        <v/>
      </c>
      <c r="U1032" s="38">
        <f t="shared" si="121"/>
        <v>86</v>
      </c>
    </row>
    <row r="1033" spans="11:21" hidden="1" x14ac:dyDescent="0.25">
      <c r="K1033" s="36">
        <f t="shared" ref="K1033:K1096" ca="1" si="123">EDATE(K1032,1)</f>
        <v>77502</v>
      </c>
      <c r="L1033" s="19">
        <v>1028</v>
      </c>
      <c r="M1033" s="19">
        <f t="shared" si="122"/>
        <v>0</v>
      </c>
      <c r="N1033" s="37">
        <f t="shared" si="119"/>
        <v>0</v>
      </c>
      <c r="O1033" s="37">
        <f t="shared" si="117"/>
        <v>0</v>
      </c>
      <c r="P1033" s="55" cm="1">
        <f t="array" aca="1" ref="P1033" ca="1">IF((L1033-$C$16)&gt;0, IF($P$1+$C$16&gt;=L1033,INDIRECT("M"&amp;(L1033-$C$16)+5),0),0)</f>
        <v>0</v>
      </c>
      <c r="Q1033" s="56" cm="1">
        <f t="array" aca="1" ref="Q1033" ca="1">IF(L1033&lt;=$C$16,0,IF($W$2&gt;=L1033,IF(L1033&lt;=($P$1+$C$16),INDIRECT("N"&amp;(L1033-$C$16)+5),FV(SRate,L1033-$P$1-$C$16,0,-$W$1,1)),0))</f>
        <v>0</v>
      </c>
      <c r="R1033" s="56">
        <f t="shared" ca="1" si="118"/>
        <v>0</v>
      </c>
      <c r="S1033" s="19">
        <f t="shared" si="120"/>
        <v>0</v>
      </c>
      <c r="T1033" s="36" t="str" cm="1">
        <f t="array" aca="1" ref="T1033" ca="1">IF(L1033&lt;=$P$1,K1033,IF(L1033&lt;=($P$1+1),INDIRECT("K"&amp;5+$W$2),""))</f>
        <v/>
      </c>
      <c r="U1033" s="38">
        <f t="shared" si="121"/>
        <v>86</v>
      </c>
    </row>
    <row r="1034" spans="11:21" hidden="1" x14ac:dyDescent="0.25">
      <c r="K1034" s="36">
        <f t="shared" ca="1" si="123"/>
        <v>77533</v>
      </c>
      <c r="L1034" s="19">
        <v>1029</v>
      </c>
      <c r="M1034" s="19">
        <f t="shared" si="122"/>
        <v>0</v>
      </c>
      <c r="N1034" s="37">
        <f t="shared" si="119"/>
        <v>0</v>
      </c>
      <c r="O1034" s="37">
        <f t="shared" si="117"/>
        <v>0</v>
      </c>
      <c r="P1034" s="55" cm="1">
        <f t="array" aca="1" ref="P1034" ca="1">IF((L1034-$C$16)&gt;0, IF($P$1+$C$16&gt;=L1034,INDIRECT("M"&amp;(L1034-$C$16)+5),0),0)</f>
        <v>0</v>
      </c>
      <c r="Q1034" s="56" cm="1">
        <f t="array" aca="1" ref="Q1034" ca="1">IF(L1034&lt;=$C$16,0,IF($W$2&gt;=L1034,IF(L1034&lt;=($P$1+$C$16),INDIRECT("N"&amp;(L1034-$C$16)+5),FV(SRate,L1034-$P$1-$C$16,0,-$W$1,1)),0))</f>
        <v>0</v>
      </c>
      <c r="R1034" s="56">
        <f t="shared" ca="1" si="118"/>
        <v>0</v>
      </c>
      <c r="S1034" s="19">
        <f t="shared" si="120"/>
        <v>0</v>
      </c>
      <c r="T1034" s="36" t="str" cm="1">
        <f t="array" aca="1" ref="T1034" ca="1">IF(L1034&lt;=$P$1,K1034,IF(L1034&lt;=($P$1+1),INDIRECT("K"&amp;5+$W$2),""))</f>
        <v/>
      </c>
      <c r="U1034" s="38">
        <f t="shared" si="121"/>
        <v>86</v>
      </c>
    </row>
    <row r="1035" spans="11:21" hidden="1" x14ac:dyDescent="0.25">
      <c r="K1035" s="36">
        <f t="shared" ca="1" si="123"/>
        <v>77563</v>
      </c>
      <c r="L1035" s="19">
        <v>1030</v>
      </c>
      <c r="M1035" s="19">
        <f t="shared" si="122"/>
        <v>0</v>
      </c>
      <c r="N1035" s="37">
        <f t="shared" si="119"/>
        <v>0</v>
      </c>
      <c r="O1035" s="37">
        <f t="shared" si="117"/>
        <v>0</v>
      </c>
      <c r="P1035" s="55" cm="1">
        <f t="array" aca="1" ref="P1035" ca="1">IF((L1035-$C$16)&gt;0, IF($P$1+$C$16&gt;=L1035,INDIRECT("M"&amp;(L1035-$C$16)+5),0),0)</f>
        <v>0</v>
      </c>
      <c r="Q1035" s="56" cm="1">
        <f t="array" aca="1" ref="Q1035" ca="1">IF(L1035&lt;=$C$16,0,IF($W$2&gt;=L1035,IF(L1035&lt;=($P$1+$C$16),INDIRECT("N"&amp;(L1035-$C$16)+5),FV(SRate,L1035-$P$1-$C$16,0,-$W$1,1)),0))</f>
        <v>0</v>
      </c>
      <c r="R1035" s="56">
        <f t="shared" ca="1" si="118"/>
        <v>0</v>
      </c>
      <c r="S1035" s="19">
        <f t="shared" si="120"/>
        <v>0</v>
      </c>
      <c r="T1035" s="36" t="str" cm="1">
        <f t="array" aca="1" ref="T1035" ca="1">IF(L1035&lt;=$P$1,K1035,IF(L1035&lt;=($P$1+1),INDIRECT("K"&amp;5+$W$2),""))</f>
        <v/>
      </c>
      <c r="U1035" s="38">
        <f t="shared" si="121"/>
        <v>86</v>
      </c>
    </row>
    <row r="1036" spans="11:21" hidden="1" x14ac:dyDescent="0.25">
      <c r="K1036" s="36">
        <f t="shared" ca="1" si="123"/>
        <v>77594</v>
      </c>
      <c r="L1036" s="19">
        <v>1031</v>
      </c>
      <c r="M1036" s="19">
        <f t="shared" si="122"/>
        <v>0</v>
      </c>
      <c r="N1036" s="37">
        <f t="shared" si="119"/>
        <v>0</v>
      </c>
      <c r="O1036" s="37">
        <f t="shared" si="117"/>
        <v>0</v>
      </c>
      <c r="P1036" s="55" cm="1">
        <f t="array" aca="1" ref="P1036" ca="1">IF((L1036-$C$16)&gt;0, IF($P$1+$C$16&gt;=L1036,INDIRECT("M"&amp;(L1036-$C$16)+5),0),0)</f>
        <v>0</v>
      </c>
      <c r="Q1036" s="56" cm="1">
        <f t="array" aca="1" ref="Q1036" ca="1">IF(L1036&lt;=$C$16,0,IF($W$2&gt;=L1036,IF(L1036&lt;=($P$1+$C$16),INDIRECT("N"&amp;(L1036-$C$16)+5),FV(SRate,L1036-$P$1-$C$16,0,-$W$1,1)),0))</f>
        <v>0</v>
      </c>
      <c r="R1036" s="56">
        <f t="shared" ca="1" si="118"/>
        <v>0</v>
      </c>
      <c r="S1036" s="19">
        <f t="shared" si="120"/>
        <v>0</v>
      </c>
      <c r="T1036" s="36" t="str" cm="1">
        <f t="array" aca="1" ref="T1036" ca="1">IF(L1036&lt;=$P$1,K1036,IF(L1036&lt;=($P$1+1),INDIRECT("K"&amp;5+$W$2),""))</f>
        <v/>
      </c>
      <c r="U1036" s="38">
        <f t="shared" si="121"/>
        <v>86</v>
      </c>
    </row>
    <row r="1037" spans="11:21" hidden="1" x14ac:dyDescent="0.25">
      <c r="K1037" s="36">
        <f t="shared" ca="1" si="123"/>
        <v>77624</v>
      </c>
      <c r="L1037" s="19">
        <v>1032</v>
      </c>
      <c r="M1037" s="19">
        <f t="shared" si="122"/>
        <v>0</v>
      </c>
      <c r="N1037" s="37">
        <f t="shared" si="119"/>
        <v>0</v>
      </c>
      <c r="O1037" s="37">
        <f t="shared" si="117"/>
        <v>0</v>
      </c>
      <c r="P1037" s="55" cm="1">
        <f t="array" aca="1" ref="P1037" ca="1">IF((L1037-$C$16)&gt;0, IF($P$1+$C$16&gt;=L1037,INDIRECT("M"&amp;(L1037-$C$16)+5),0),0)</f>
        <v>0</v>
      </c>
      <c r="Q1037" s="56" cm="1">
        <f t="array" aca="1" ref="Q1037" ca="1">IF(L1037&lt;=$C$16,0,IF($W$2&gt;=L1037,IF(L1037&lt;=($P$1+$C$16),INDIRECT("N"&amp;(L1037-$C$16)+5),FV(SRate,L1037-$P$1-$C$16,0,-$W$1,1)),0))</f>
        <v>0</v>
      </c>
      <c r="R1037" s="56">
        <f t="shared" ca="1" si="118"/>
        <v>0</v>
      </c>
      <c r="S1037" s="19">
        <f t="shared" si="120"/>
        <v>0</v>
      </c>
      <c r="T1037" s="36" t="str" cm="1">
        <f t="array" aca="1" ref="T1037" ca="1">IF(L1037&lt;=$P$1,K1037,IF(L1037&lt;=($P$1+1),INDIRECT("K"&amp;5+$W$2),""))</f>
        <v/>
      </c>
      <c r="U1037" s="38">
        <f t="shared" si="121"/>
        <v>86</v>
      </c>
    </row>
    <row r="1038" spans="11:21" hidden="1" x14ac:dyDescent="0.25">
      <c r="K1038" s="36">
        <f t="shared" ca="1" si="123"/>
        <v>77655</v>
      </c>
      <c r="L1038" s="19">
        <v>1033</v>
      </c>
      <c r="M1038" s="19">
        <f t="shared" si="122"/>
        <v>0</v>
      </c>
      <c r="N1038" s="37">
        <f t="shared" si="119"/>
        <v>0</v>
      </c>
      <c r="O1038" s="37">
        <f t="shared" si="117"/>
        <v>0</v>
      </c>
      <c r="P1038" s="55" cm="1">
        <f t="array" aca="1" ref="P1038" ca="1">IF((L1038-$C$16)&gt;0, IF($P$1+$C$16&gt;=L1038,INDIRECT("M"&amp;(L1038-$C$16)+5),0),0)</f>
        <v>0</v>
      </c>
      <c r="Q1038" s="56" cm="1">
        <f t="array" aca="1" ref="Q1038" ca="1">IF(L1038&lt;=$C$16,0,IF($W$2&gt;=L1038,IF(L1038&lt;=($P$1+$C$16),INDIRECT("N"&amp;(L1038-$C$16)+5),FV(SRate,L1038-$P$1-$C$16,0,-$W$1,1)),0))</f>
        <v>0</v>
      </c>
      <c r="R1038" s="56">
        <f t="shared" ca="1" si="118"/>
        <v>0</v>
      </c>
      <c r="S1038" s="19">
        <f t="shared" si="120"/>
        <v>0</v>
      </c>
      <c r="T1038" s="36" t="str" cm="1">
        <f t="array" aca="1" ref="T1038" ca="1">IF(L1038&lt;=$P$1,K1038,IF(L1038&lt;=($P$1+1),INDIRECT("K"&amp;5+$W$2),""))</f>
        <v/>
      </c>
      <c r="U1038" s="38">
        <f t="shared" si="121"/>
        <v>87</v>
      </c>
    </row>
    <row r="1039" spans="11:21" hidden="1" x14ac:dyDescent="0.25">
      <c r="K1039" s="36">
        <f t="shared" ca="1" si="123"/>
        <v>77686</v>
      </c>
      <c r="L1039" s="19">
        <v>1034</v>
      </c>
      <c r="M1039" s="19">
        <f t="shared" si="122"/>
        <v>0</v>
      </c>
      <c r="N1039" s="37">
        <f t="shared" si="119"/>
        <v>0</v>
      </c>
      <c r="O1039" s="37">
        <f t="shared" si="117"/>
        <v>0</v>
      </c>
      <c r="P1039" s="55" cm="1">
        <f t="array" aca="1" ref="P1039" ca="1">IF((L1039-$C$16)&gt;0, IF($P$1+$C$16&gt;=L1039,INDIRECT("M"&amp;(L1039-$C$16)+5),0),0)</f>
        <v>0</v>
      </c>
      <c r="Q1039" s="56" cm="1">
        <f t="array" aca="1" ref="Q1039" ca="1">IF(L1039&lt;=$C$16,0,IF($W$2&gt;=L1039,IF(L1039&lt;=($P$1+$C$16),INDIRECT("N"&amp;(L1039-$C$16)+5),FV(SRate,L1039-$P$1-$C$16,0,-$W$1,1)),0))</f>
        <v>0</v>
      </c>
      <c r="R1039" s="56">
        <f t="shared" ca="1" si="118"/>
        <v>0</v>
      </c>
      <c r="S1039" s="19">
        <f t="shared" si="120"/>
        <v>0</v>
      </c>
      <c r="T1039" s="36" t="str" cm="1">
        <f t="array" aca="1" ref="T1039" ca="1">IF(L1039&lt;=$P$1,K1039,IF(L1039&lt;=($P$1+1),INDIRECT("K"&amp;5+$W$2),""))</f>
        <v/>
      </c>
      <c r="U1039" s="38">
        <f t="shared" si="121"/>
        <v>87</v>
      </c>
    </row>
    <row r="1040" spans="11:21" hidden="1" x14ac:dyDescent="0.25">
      <c r="K1040" s="36">
        <f t="shared" ca="1" si="123"/>
        <v>77716</v>
      </c>
      <c r="L1040" s="19">
        <v>1035</v>
      </c>
      <c r="M1040" s="19">
        <f t="shared" si="122"/>
        <v>0</v>
      </c>
      <c r="N1040" s="37">
        <f t="shared" si="119"/>
        <v>0</v>
      </c>
      <c r="O1040" s="37">
        <f t="shared" si="117"/>
        <v>0</v>
      </c>
      <c r="P1040" s="55" cm="1">
        <f t="array" aca="1" ref="P1040" ca="1">IF((L1040-$C$16)&gt;0, IF($P$1+$C$16&gt;=L1040,INDIRECT("M"&amp;(L1040-$C$16)+5),0),0)</f>
        <v>0</v>
      </c>
      <c r="Q1040" s="56" cm="1">
        <f t="array" aca="1" ref="Q1040" ca="1">IF(L1040&lt;=$C$16,0,IF($W$2&gt;=L1040,IF(L1040&lt;=($P$1+$C$16),INDIRECT("N"&amp;(L1040-$C$16)+5),FV(SRate,L1040-$P$1-$C$16,0,-$W$1,1)),0))</f>
        <v>0</v>
      </c>
      <c r="R1040" s="56">
        <f t="shared" ca="1" si="118"/>
        <v>0</v>
      </c>
      <c r="S1040" s="19">
        <f t="shared" si="120"/>
        <v>0</v>
      </c>
      <c r="T1040" s="36" t="str" cm="1">
        <f t="array" aca="1" ref="T1040" ca="1">IF(L1040&lt;=$P$1,K1040,IF(L1040&lt;=($P$1+1),INDIRECT("K"&amp;5+$W$2),""))</f>
        <v/>
      </c>
      <c r="U1040" s="38">
        <f t="shared" si="121"/>
        <v>87</v>
      </c>
    </row>
    <row r="1041" spans="11:21" hidden="1" x14ac:dyDescent="0.25">
      <c r="K1041" s="36">
        <f t="shared" ca="1" si="123"/>
        <v>77747</v>
      </c>
      <c r="L1041" s="19">
        <v>1036</v>
      </c>
      <c r="M1041" s="19">
        <f t="shared" si="122"/>
        <v>0</v>
      </c>
      <c r="N1041" s="37">
        <f t="shared" si="119"/>
        <v>0</v>
      </c>
      <c r="O1041" s="37">
        <f t="shared" si="117"/>
        <v>0</v>
      </c>
      <c r="P1041" s="55" cm="1">
        <f t="array" aca="1" ref="P1041" ca="1">IF((L1041-$C$16)&gt;0, IF($P$1+$C$16&gt;=L1041,INDIRECT("M"&amp;(L1041-$C$16)+5),0),0)</f>
        <v>0</v>
      </c>
      <c r="Q1041" s="56" cm="1">
        <f t="array" aca="1" ref="Q1041" ca="1">IF(L1041&lt;=$C$16,0,IF($W$2&gt;=L1041,IF(L1041&lt;=($P$1+$C$16),INDIRECT("N"&amp;(L1041-$C$16)+5),FV(SRate,L1041-$P$1-$C$16,0,-$W$1,1)),0))</f>
        <v>0</v>
      </c>
      <c r="R1041" s="56">
        <f t="shared" ca="1" si="118"/>
        <v>0</v>
      </c>
      <c r="S1041" s="19">
        <f t="shared" si="120"/>
        <v>0</v>
      </c>
      <c r="T1041" s="36" t="str" cm="1">
        <f t="array" aca="1" ref="T1041" ca="1">IF(L1041&lt;=$P$1,K1041,IF(L1041&lt;=($P$1+1),INDIRECT("K"&amp;5+$W$2),""))</f>
        <v/>
      </c>
      <c r="U1041" s="38">
        <f t="shared" si="121"/>
        <v>87</v>
      </c>
    </row>
    <row r="1042" spans="11:21" hidden="1" x14ac:dyDescent="0.25">
      <c r="K1042" s="36">
        <f t="shared" ca="1" si="123"/>
        <v>77777</v>
      </c>
      <c r="L1042" s="19">
        <v>1037</v>
      </c>
      <c r="M1042" s="19">
        <f t="shared" si="122"/>
        <v>0</v>
      </c>
      <c r="N1042" s="37">
        <f t="shared" si="119"/>
        <v>0</v>
      </c>
      <c r="O1042" s="37">
        <f t="shared" si="117"/>
        <v>0</v>
      </c>
      <c r="P1042" s="55" cm="1">
        <f t="array" aca="1" ref="P1042" ca="1">IF((L1042-$C$16)&gt;0, IF($P$1+$C$16&gt;=L1042,INDIRECT("M"&amp;(L1042-$C$16)+5),0),0)</f>
        <v>0</v>
      </c>
      <c r="Q1042" s="56" cm="1">
        <f t="array" aca="1" ref="Q1042" ca="1">IF(L1042&lt;=$C$16,0,IF($W$2&gt;=L1042,IF(L1042&lt;=($P$1+$C$16),INDIRECT("N"&amp;(L1042-$C$16)+5),FV(SRate,L1042-$P$1-$C$16,0,-$W$1,1)),0))</f>
        <v>0</v>
      </c>
      <c r="R1042" s="56">
        <f t="shared" ca="1" si="118"/>
        <v>0</v>
      </c>
      <c r="S1042" s="19">
        <f t="shared" si="120"/>
        <v>0</v>
      </c>
      <c r="T1042" s="36" t="str" cm="1">
        <f t="array" aca="1" ref="T1042" ca="1">IF(L1042&lt;=$P$1,K1042,IF(L1042&lt;=($P$1+1),INDIRECT("K"&amp;5+$W$2),""))</f>
        <v/>
      </c>
      <c r="U1042" s="38">
        <f t="shared" si="121"/>
        <v>87</v>
      </c>
    </row>
    <row r="1043" spans="11:21" hidden="1" x14ac:dyDescent="0.25">
      <c r="K1043" s="36">
        <f t="shared" ca="1" si="123"/>
        <v>77808</v>
      </c>
      <c r="L1043" s="19">
        <v>1038</v>
      </c>
      <c r="M1043" s="19">
        <f t="shared" si="122"/>
        <v>0</v>
      </c>
      <c r="N1043" s="37">
        <f t="shared" si="119"/>
        <v>0</v>
      </c>
      <c r="O1043" s="37">
        <f t="shared" si="117"/>
        <v>0</v>
      </c>
      <c r="P1043" s="55" cm="1">
        <f t="array" aca="1" ref="P1043" ca="1">IF((L1043-$C$16)&gt;0, IF($P$1+$C$16&gt;=L1043,INDIRECT("M"&amp;(L1043-$C$16)+5),0),0)</f>
        <v>0</v>
      </c>
      <c r="Q1043" s="56" cm="1">
        <f t="array" aca="1" ref="Q1043" ca="1">IF(L1043&lt;=$C$16,0,IF($W$2&gt;=L1043,IF(L1043&lt;=($P$1+$C$16),INDIRECT("N"&amp;(L1043-$C$16)+5),FV(SRate,L1043-$P$1-$C$16,0,-$W$1,1)),0))</f>
        <v>0</v>
      </c>
      <c r="R1043" s="56">
        <f t="shared" ca="1" si="118"/>
        <v>0</v>
      </c>
      <c r="S1043" s="19">
        <f t="shared" si="120"/>
        <v>0</v>
      </c>
      <c r="T1043" s="36" t="str" cm="1">
        <f t="array" aca="1" ref="T1043" ca="1">IF(L1043&lt;=$P$1,K1043,IF(L1043&lt;=($P$1+1),INDIRECT("K"&amp;5+$W$2),""))</f>
        <v/>
      </c>
      <c r="U1043" s="38">
        <f t="shared" si="121"/>
        <v>87</v>
      </c>
    </row>
    <row r="1044" spans="11:21" hidden="1" x14ac:dyDescent="0.25">
      <c r="K1044" s="36">
        <f t="shared" ca="1" si="123"/>
        <v>77839</v>
      </c>
      <c r="L1044" s="19">
        <v>1039</v>
      </c>
      <c r="M1044" s="19">
        <f t="shared" si="122"/>
        <v>0</v>
      </c>
      <c r="N1044" s="37">
        <f t="shared" si="119"/>
        <v>0</v>
      </c>
      <c r="O1044" s="37">
        <f t="shared" si="117"/>
        <v>0</v>
      </c>
      <c r="P1044" s="55" cm="1">
        <f t="array" aca="1" ref="P1044" ca="1">IF((L1044-$C$16)&gt;0, IF($P$1+$C$16&gt;=L1044,INDIRECT("M"&amp;(L1044-$C$16)+5),0),0)</f>
        <v>0</v>
      </c>
      <c r="Q1044" s="56" cm="1">
        <f t="array" aca="1" ref="Q1044" ca="1">IF(L1044&lt;=$C$16,0,IF($W$2&gt;=L1044,IF(L1044&lt;=($P$1+$C$16),INDIRECT("N"&amp;(L1044-$C$16)+5),FV(SRate,L1044-$P$1-$C$16,0,-$W$1,1)),0))</f>
        <v>0</v>
      </c>
      <c r="R1044" s="56">
        <f t="shared" ca="1" si="118"/>
        <v>0</v>
      </c>
      <c r="S1044" s="19">
        <f t="shared" si="120"/>
        <v>0</v>
      </c>
      <c r="T1044" s="36" t="str" cm="1">
        <f t="array" aca="1" ref="T1044" ca="1">IF(L1044&lt;=$P$1,K1044,IF(L1044&lt;=($P$1+1),INDIRECT("K"&amp;5+$W$2),""))</f>
        <v/>
      </c>
      <c r="U1044" s="38">
        <f t="shared" si="121"/>
        <v>87</v>
      </c>
    </row>
    <row r="1045" spans="11:21" hidden="1" x14ac:dyDescent="0.25">
      <c r="K1045" s="36">
        <f t="shared" ca="1" si="123"/>
        <v>77867</v>
      </c>
      <c r="L1045" s="19">
        <v>1040</v>
      </c>
      <c r="M1045" s="19">
        <f t="shared" si="122"/>
        <v>0</v>
      </c>
      <c r="N1045" s="37">
        <f t="shared" si="119"/>
        <v>0</v>
      </c>
      <c r="O1045" s="37">
        <f t="shared" si="117"/>
        <v>0</v>
      </c>
      <c r="P1045" s="55" cm="1">
        <f t="array" aca="1" ref="P1045" ca="1">IF((L1045-$C$16)&gt;0, IF($P$1+$C$16&gt;=L1045,INDIRECT("M"&amp;(L1045-$C$16)+5),0),0)</f>
        <v>0</v>
      </c>
      <c r="Q1045" s="56" cm="1">
        <f t="array" aca="1" ref="Q1045" ca="1">IF(L1045&lt;=$C$16,0,IF($W$2&gt;=L1045,IF(L1045&lt;=($P$1+$C$16),INDIRECT("N"&amp;(L1045-$C$16)+5),FV(SRate,L1045-$P$1-$C$16,0,-$W$1,1)),0))</f>
        <v>0</v>
      </c>
      <c r="R1045" s="56">
        <f t="shared" ca="1" si="118"/>
        <v>0</v>
      </c>
      <c r="S1045" s="19">
        <f t="shared" si="120"/>
        <v>0</v>
      </c>
      <c r="T1045" s="36" t="str" cm="1">
        <f t="array" aca="1" ref="T1045" ca="1">IF(L1045&lt;=$P$1,K1045,IF(L1045&lt;=($P$1+1),INDIRECT("K"&amp;5+$W$2),""))</f>
        <v/>
      </c>
      <c r="U1045" s="38">
        <f t="shared" si="121"/>
        <v>87</v>
      </c>
    </row>
    <row r="1046" spans="11:21" hidden="1" x14ac:dyDescent="0.25">
      <c r="K1046" s="36">
        <f t="shared" ca="1" si="123"/>
        <v>77898</v>
      </c>
      <c r="L1046" s="19">
        <v>1041</v>
      </c>
      <c r="M1046" s="19">
        <f t="shared" si="122"/>
        <v>0</v>
      </c>
      <c r="N1046" s="37">
        <f t="shared" si="119"/>
        <v>0</v>
      </c>
      <c r="O1046" s="37">
        <f t="shared" si="117"/>
        <v>0</v>
      </c>
      <c r="P1046" s="55" cm="1">
        <f t="array" aca="1" ref="P1046" ca="1">IF((L1046-$C$16)&gt;0, IF($P$1+$C$16&gt;=L1046,INDIRECT("M"&amp;(L1046-$C$16)+5),0),0)</f>
        <v>0</v>
      </c>
      <c r="Q1046" s="56" cm="1">
        <f t="array" aca="1" ref="Q1046" ca="1">IF(L1046&lt;=$C$16,0,IF($W$2&gt;=L1046,IF(L1046&lt;=($P$1+$C$16),INDIRECT("N"&amp;(L1046-$C$16)+5),FV(SRate,L1046-$P$1-$C$16,0,-$W$1,1)),0))</f>
        <v>0</v>
      </c>
      <c r="R1046" s="56">
        <f t="shared" ca="1" si="118"/>
        <v>0</v>
      </c>
      <c r="S1046" s="19">
        <f t="shared" si="120"/>
        <v>0</v>
      </c>
      <c r="T1046" s="36" t="str" cm="1">
        <f t="array" aca="1" ref="T1046" ca="1">IF(L1046&lt;=$P$1,K1046,IF(L1046&lt;=($P$1+1),INDIRECT("K"&amp;5+$W$2),""))</f>
        <v/>
      </c>
      <c r="U1046" s="38">
        <f t="shared" si="121"/>
        <v>87</v>
      </c>
    </row>
    <row r="1047" spans="11:21" hidden="1" x14ac:dyDescent="0.25">
      <c r="K1047" s="36">
        <f t="shared" ca="1" si="123"/>
        <v>77928</v>
      </c>
      <c r="L1047" s="19">
        <v>1042</v>
      </c>
      <c r="M1047" s="19">
        <f t="shared" si="122"/>
        <v>0</v>
      </c>
      <c r="N1047" s="37">
        <f t="shared" si="119"/>
        <v>0</v>
      </c>
      <c r="O1047" s="37">
        <f t="shared" si="117"/>
        <v>0</v>
      </c>
      <c r="P1047" s="55" cm="1">
        <f t="array" aca="1" ref="P1047" ca="1">IF((L1047-$C$16)&gt;0, IF($P$1+$C$16&gt;=L1047,INDIRECT("M"&amp;(L1047-$C$16)+5),0),0)</f>
        <v>0</v>
      </c>
      <c r="Q1047" s="56" cm="1">
        <f t="array" aca="1" ref="Q1047" ca="1">IF(L1047&lt;=$C$16,0,IF($W$2&gt;=L1047,IF(L1047&lt;=($P$1+$C$16),INDIRECT("N"&amp;(L1047-$C$16)+5),FV(SRate,L1047-$P$1-$C$16,0,-$W$1,1)),0))</f>
        <v>0</v>
      </c>
      <c r="R1047" s="56">
        <f t="shared" ca="1" si="118"/>
        <v>0</v>
      </c>
      <c r="S1047" s="19">
        <f t="shared" si="120"/>
        <v>0</v>
      </c>
      <c r="T1047" s="36" t="str" cm="1">
        <f t="array" aca="1" ref="T1047" ca="1">IF(L1047&lt;=$P$1,K1047,IF(L1047&lt;=($P$1+1),INDIRECT("K"&amp;5+$W$2),""))</f>
        <v/>
      </c>
      <c r="U1047" s="38">
        <f t="shared" si="121"/>
        <v>87</v>
      </c>
    </row>
    <row r="1048" spans="11:21" hidden="1" x14ac:dyDescent="0.25">
      <c r="K1048" s="36">
        <f t="shared" ca="1" si="123"/>
        <v>77959</v>
      </c>
      <c r="L1048" s="19">
        <v>1043</v>
      </c>
      <c r="M1048" s="19">
        <f t="shared" si="122"/>
        <v>0</v>
      </c>
      <c r="N1048" s="37">
        <f t="shared" si="119"/>
        <v>0</v>
      </c>
      <c r="O1048" s="37">
        <f t="shared" si="117"/>
        <v>0</v>
      </c>
      <c r="P1048" s="55" cm="1">
        <f t="array" aca="1" ref="P1048" ca="1">IF((L1048-$C$16)&gt;0, IF($P$1+$C$16&gt;=L1048,INDIRECT("M"&amp;(L1048-$C$16)+5),0),0)</f>
        <v>0</v>
      </c>
      <c r="Q1048" s="56" cm="1">
        <f t="array" aca="1" ref="Q1048" ca="1">IF(L1048&lt;=$C$16,0,IF($W$2&gt;=L1048,IF(L1048&lt;=($P$1+$C$16),INDIRECT("N"&amp;(L1048-$C$16)+5),FV(SRate,L1048-$P$1-$C$16,0,-$W$1,1)),0))</f>
        <v>0</v>
      </c>
      <c r="R1048" s="56">
        <f t="shared" ca="1" si="118"/>
        <v>0</v>
      </c>
      <c r="S1048" s="19">
        <f t="shared" si="120"/>
        <v>0</v>
      </c>
      <c r="T1048" s="36" t="str" cm="1">
        <f t="array" aca="1" ref="T1048" ca="1">IF(L1048&lt;=$P$1,K1048,IF(L1048&lt;=($P$1+1),INDIRECT("K"&amp;5+$W$2),""))</f>
        <v/>
      </c>
      <c r="U1048" s="38">
        <f t="shared" si="121"/>
        <v>87</v>
      </c>
    </row>
    <row r="1049" spans="11:21" hidden="1" x14ac:dyDescent="0.25">
      <c r="K1049" s="36">
        <f t="shared" ca="1" si="123"/>
        <v>77989</v>
      </c>
      <c r="L1049" s="19">
        <v>1044</v>
      </c>
      <c r="M1049" s="19">
        <f t="shared" si="122"/>
        <v>0</v>
      </c>
      <c r="N1049" s="37">
        <f t="shared" si="119"/>
        <v>0</v>
      </c>
      <c r="O1049" s="37">
        <f t="shared" si="117"/>
        <v>0</v>
      </c>
      <c r="P1049" s="55" cm="1">
        <f t="array" aca="1" ref="P1049" ca="1">IF((L1049-$C$16)&gt;0, IF($P$1+$C$16&gt;=L1049,INDIRECT("M"&amp;(L1049-$C$16)+5),0),0)</f>
        <v>0</v>
      </c>
      <c r="Q1049" s="56" cm="1">
        <f t="array" aca="1" ref="Q1049" ca="1">IF(L1049&lt;=$C$16,0,IF($W$2&gt;=L1049,IF(L1049&lt;=($P$1+$C$16),INDIRECT("N"&amp;(L1049-$C$16)+5),FV(SRate,L1049-$P$1-$C$16,0,-$W$1,1)),0))</f>
        <v>0</v>
      </c>
      <c r="R1049" s="56">
        <f t="shared" ca="1" si="118"/>
        <v>0</v>
      </c>
      <c r="S1049" s="19">
        <f t="shared" si="120"/>
        <v>0</v>
      </c>
      <c r="T1049" s="36" t="str" cm="1">
        <f t="array" aca="1" ref="T1049" ca="1">IF(L1049&lt;=$P$1,K1049,IF(L1049&lt;=($P$1+1),INDIRECT("K"&amp;5+$W$2),""))</f>
        <v/>
      </c>
      <c r="U1049" s="38">
        <f t="shared" si="121"/>
        <v>87</v>
      </c>
    </row>
    <row r="1050" spans="11:21" hidden="1" x14ac:dyDescent="0.25">
      <c r="K1050" s="36">
        <f t="shared" ca="1" si="123"/>
        <v>78020</v>
      </c>
      <c r="L1050" s="19">
        <v>1045</v>
      </c>
      <c r="M1050" s="19">
        <f t="shared" si="122"/>
        <v>0</v>
      </c>
      <c r="N1050" s="37">
        <f t="shared" si="119"/>
        <v>0</v>
      </c>
      <c r="O1050" s="37">
        <f t="shared" si="117"/>
        <v>0</v>
      </c>
      <c r="P1050" s="55" cm="1">
        <f t="array" aca="1" ref="P1050" ca="1">IF((L1050-$C$16)&gt;0, IF($P$1+$C$16&gt;=L1050,INDIRECT("M"&amp;(L1050-$C$16)+5),0),0)</f>
        <v>0</v>
      </c>
      <c r="Q1050" s="56" cm="1">
        <f t="array" aca="1" ref="Q1050" ca="1">IF(L1050&lt;=$C$16,0,IF($W$2&gt;=L1050,IF(L1050&lt;=($P$1+$C$16),INDIRECT("N"&amp;(L1050-$C$16)+5),FV(SRate,L1050-$P$1-$C$16,0,-$W$1,1)),0))</f>
        <v>0</v>
      </c>
      <c r="R1050" s="56">
        <f t="shared" ca="1" si="118"/>
        <v>0</v>
      </c>
      <c r="S1050" s="19">
        <f t="shared" si="120"/>
        <v>0</v>
      </c>
      <c r="T1050" s="36" t="str" cm="1">
        <f t="array" aca="1" ref="T1050" ca="1">IF(L1050&lt;=$P$1,K1050,IF(L1050&lt;=($P$1+1),INDIRECT("K"&amp;5+$W$2),""))</f>
        <v/>
      </c>
      <c r="U1050" s="38">
        <f t="shared" si="121"/>
        <v>88</v>
      </c>
    </row>
    <row r="1051" spans="11:21" hidden="1" x14ac:dyDescent="0.25">
      <c r="K1051" s="36">
        <f t="shared" ca="1" si="123"/>
        <v>78051</v>
      </c>
      <c r="L1051" s="19">
        <v>1046</v>
      </c>
      <c r="M1051" s="19">
        <f t="shared" si="122"/>
        <v>0</v>
      </c>
      <c r="N1051" s="37">
        <f t="shared" si="119"/>
        <v>0</v>
      </c>
      <c r="O1051" s="37">
        <f t="shared" si="117"/>
        <v>0</v>
      </c>
      <c r="P1051" s="55" cm="1">
        <f t="array" aca="1" ref="P1051" ca="1">IF((L1051-$C$16)&gt;0, IF($P$1+$C$16&gt;=L1051,INDIRECT("M"&amp;(L1051-$C$16)+5),0),0)</f>
        <v>0</v>
      </c>
      <c r="Q1051" s="56" cm="1">
        <f t="array" aca="1" ref="Q1051" ca="1">IF(L1051&lt;=$C$16,0,IF($W$2&gt;=L1051,IF(L1051&lt;=($P$1+$C$16),INDIRECT("N"&amp;(L1051-$C$16)+5),FV(SRate,L1051-$P$1-$C$16,0,-$W$1,1)),0))</f>
        <v>0</v>
      </c>
      <c r="R1051" s="56">
        <f t="shared" ca="1" si="118"/>
        <v>0</v>
      </c>
      <c r="S1051" s="19">
        <f t="shared" si="120"/>
        <v>0</v>
      </c>
      <c r="T1051" s="36" t="str" cm="1">
        <f t="array" aca="1" ref="T1051" ca="1">IF(L1051&lt;=$P$1,K1051,IF(L1051&lt;=($P$1+1),INDIRECT("K"&amp;5+$W$2),""))</f>
        <v/>
      </c>
      <c r="U1051" s="38">
        <f t="shared" si="121"/>
        <v>88</v>
      </c>
    </row>
    <row r="1052" spans="11:21" hidden="1" x14ac:dyDescent="0.25">
      <c r="K1052" s="36">
        <f t="shared" ca="1" si="123"/>
        <v>78081</v>
      </c>
      <c r="L1052" s="19">
        <v>1047</v>
      </c>
      <c r="M1052" s="19">
        <f t="shared" si="122"/>
        <v>0</v>
      </c>
      <c r="N1052" s="37">
        <f t="shared" si="119"/>
        <v>0</v>
      </c>
      <c r="O1052" s="37">
        <f t="shared" si="117"/>
        <v>0</v>
      </c>
      <c r="P1052" s="55" cm="1">
        <f t="array" aca="1" ref="P1052" ca="1">IF((L1052-$C$16)&gt;0, IF($P$1+$C$16&gt;=L1052,INDIRECT("M"&amp;(L1052-$C$16)+5),0),0)</f>
        <v>0</v>
      </c>
      <c r="Q1052" s="56" cm="1">
        <f t="array" aca="1" ref="Q1052" ca="1">IF(L1052&lt;=$C$16,0,IF($W$2&gt;=L1052,IF(L1052&lt;=($P$1+$C$16),INDIRECT("N"&amp;(L1052-$C$16)+5),FV(SRate,L1052-$P$1-$C$16,0,-$W$1,1)),0))</f>
        <v>0</v>
      </c>
      <c r="R1052" s="56">
        <f t="shared" ca="1" si="118"/>
        <v>0</v>
      </c>
      <c r="S1052" s="19">
        <f t="shared" si="120"/>
        <v>0</v>
      </c>
      <c r="T1052" s="36" t="str" cm="1">
        <f t="array" aca="1" ref="T1052" ca="1">IF(L1052&lt;=$P$1,K1052,IF(L1052&lt;=($P$1+1),INDIRECT("K"&amp;5+$W$2),""))</f>
        <v/>
      </c>
      <c r="U1052" s="38">
        <f t="shared" si="121"/>
        <v>88</v>
      </c>
    </row>
    <row r="1053" spans="11:21" hidden="1" x14ac:dyDescent="0.25">
      <c r="K1053" s="36">
        <f t="shared" ca="1" si="123"/>
        <v>78112</v>
      </c>
      <c r="L1053" s="19">
        <v>1048</v>
      </c>
      <c r="M1053" s="19">
        <f t="shared" si="122"/>
        <v>0</v>
      </c>
      <c r="N1053" s="37">
        <f t="shared" si="119"/>
        <v>0</v>
      </c>
      <c r="O1053" s="37">
        <f t="shared" si="117"/>
        <v>0</v>
      </c>
      <c r="P1053" s="55" cm="1">
        <f t="array" aca="1" ref="P1053" ca="1">IF((L1053-$C$16)&gt;0, IF($P$1+$C$16&gt;=L1053,INDIRECT("M"&amp;(L1053-$C$16)+5),0),0)</f>
        <v>0</v>
      </c>
      <c r="Q1053" s="56" cm="1">
        <f t="array" aca="1" ref="Q1053" ca="1">IF(L1053&lt;=$C$16,0,IF($W$2&gt;=L1053,IF(L1053&lt;=($P$1+$C$16),INDIRECT("N"&amp;(L1053-$C$16)+5),FV(SRate,L1053-$P$1-$C$16,0,-$W$1,1)),0))</f>
        <v>0</v>
      </c>
      <c r="R1053" s="56">
        <f t="shared" ca="1" si="118"/>
        <v>0</v>
      </c>
      <c r="S1053" s="19">
        <f t="shared" si="120"/>
        <v>0</v>
      </c>
      <c r="T1053" s="36" t="str" cm="1">
        <f t="array" aca="1" ref="T1053" ca="1">IF(L1053&lt;=$P$1,K1053,IF(L1053&lt;=($P$1+1),INDIRECT("K"&amp;5+$W$2),""))</f>
        <v/>
      </c>
      <c r="U1053" s="38">
        <f t="shared" si="121"/>
        <v>88</v>
      </c>
    </row>
    <row r="1054" spans="11:21" hidden="1" x14ac:dyDescent="0.25">
      <c r="K1054" s="36">
        <f t="shared" ca="1" si="123"/>
        <v>78142</v>
      </c>
      <c r="L1054" s="19">
        <v>1049</v>
      </c>
      <c r="M1054" s="19">
        <f t="shared" si="122"/>
        <v>0</v>
      </c>
      <c r="N1054" s="37">
        <f t="shared" si="119"/>
        <v>0</v>
      </c>
      <c r="O1054" s="37">
        <f t="shared" si="117"/>
        <v>0</v>
      </c>
      <c r="P1054" s="55" cm="1">
        <f t="array" aca="1" ref="P1054" ca="1">IF((L1054-$C$16)&gt;0, IF($P$1+$C$16&gt;=L1054,INDIRECT("M"&amp;(L1054-$C$16)+5),0),0)</f>
        <v>0</v>
      </c>
      <c r="Q1054" s="56" cm="1">
        <f t="array" aca="1" ref="Q1054" ca="1">IF(L1054&lt;=$C$16,0,IF($W$2&gt;=L1054,IF(L1054&lt;=($P$1+$C$16),INDIRECT("N"&amp;(L1054-$C$16)+5),FV(SRate,L1054-$P$1-$C$16,0,-$W$1,1)),0))</f>
        <v>0</v>
      </c>
      <c r="R1054" s="56">
        <f t="shared" ca="1" si="118"/>
        <v>0</v>
      </c>
      <c r="S1054" s="19">
        <f t="shared" si="120"/>
        <v>0</v>
      </c>
      <c r="T1054" s="36" t="str" cm="1">
        <f t="array" aca="1" ref="T1054" ca="1">IF(L1054&lt;=$P$1,K1054,IF(L1054&lt;=($P$1+1),INDIRECT("K"&amp;5+$W$2),""))</f>
        <v/>
      </c>
      <c r="U1054" s="38">
        <f t="shared" si="121"/>
        <v>88</v>
      </c>
    </row>
    <row r="1055" spans="11:21" hidden="1" x14ac:dyDescent="0.25">
      <c r="K1055" s="36">
        <f t="shared" ca="1" si="123"/>
        <v>78173</v>
      </c>
      <c r="L1055" s="19">
        <v>1050</v>
      </c>
      <c r="M1055" s="19">
        <f t="shared" si="122"/>
        <v>0</v>
      </c>
      <c r="N1055" s="37">
        <f t="shared" si="119"/>
        <v>0</v>
      </c>
      <c r="O1055" s="37">
        <f t="shared" si="117"/>
        <v>0</v>
      </c>
      <c r="P1055" s="55" cm="1">
        <f t="array" aca="1" ref="P1055" ca="1">IF((L1055-$C$16)&gt;0, IF($P$1+$C$16&gt;=L1055,INDIRECT("M"&amp;(L1055-$C$16)+5),0),0)</f>
        <v>0</v>
      </c>
      <c r="Q1055" s="56" cm="1">
        <f t="array" aca="1" ref="Q1055" ca="1">IF(L1055&lt;=$C$16,0,IF($W$2&gt;=L1055,IF(L1055&lt;=($P$1+$C$16),INDIRECT("N"&amp;(L1055-$C$16)+5),FV(SRate,L1055-$P$1-$C$16,0,-$W$1,1)),0))</f>
        <v>0</v>
      </c>
      <c r="R1055" s="56">
        <f t="shared" ca="1" si="118"/>
        <v>0</v>
      </c>
      <c r="S1055" s="19">
        <f t="shared" si="120"/>
        <v>0</v>
      </c>
      <c r="T1055" s="36" t="str" cm="1">
        <f t="array" aca="1" ref="T1055" ca="1">IF(L1055&lt;=$P$1,K1055,IF(L1055&lt;=($P$1+1),INDIRECT("K"&amp;5+$W$2),""))</f>
        <v/>
      </c>
      <c r="U1055" s="38">
        <f t="shared" si="121"/>
        <v>88</v>
      </c>
    </row>
    <row r="1056" spans="11:21" hidden="1" x14ac:dyDescent="0.25">
      <c r="K1056" s="36">
        <f t="shared" ca="1" si="123"/>
        <v>78204</v>
      </c>
      <c r="L1056" s="19">
        <v>1051</v>
      </c>
      <c r="M1056" s="19">
        <f t="shared" si="122"/>
        <v>0</v>
      </c>
      <c r="N1056" s="37">
        <f t="shared" si="119"/>
        <v>0</v>
      </c>
      <c r="O1056" s="37">
        <f t="shared" si="117"/>
        <v>0</v>
      </c>
      <c r="P1056" s="55" cm="1">
        <f t="array" aca="1" ref="P1056" ca="1">IF((L1056-$C$16)&gt;0, IF($P$1+$C$16&gt;=L1056,INDIRECT("M"&amp;(L1056-$C$16)+5),0),0)</f>
        <v>0</v>
      </c>
      <c r="Q1056" s="56" cm="1">
        <f t="array" aca="1" ref="Q1056" ca="1">IF(L1056&lt;=$C$16,0,IF($W$2&gt;=L1056,IF(L1056&lt;=($P$1+$C$16),INDIRECT("N"&amp;(L1056-$C$16)+5),FV(SRate,L1056-$P$1-$C$16,0,-$W$1,1)),0))</f>
        <v>0</v>
      </c>
      <c r="R1056" s="56">
        <f t="shared" ca="1" si="118"/>
        <v>0</v>
      </c>
      <c r="S1056" s="19">
        <f t="shared" si="120"/>
        <v>0</v>
      </c>
      <c r="T1056" s="36" t="str" cm="1">
        <f t="array" aca="1" ref="T1056" ca="1">IF(L1056&lt;=$P$1,K1056,IF(L1056&lt;=($P$1+1),INDIRECT("K"&amp;5+$W$2),""))</f>
        <v/>
      </c>
      <c r="U1056" s="38">
        <f t="shared" si="121"/>
        <v>88</v>
      </c>
    </row>
    <row r="1057" spans="11:21" hidden="1" x14ac:dyDescent="0.25">
      <c r="K1057" s="36">
        <f t="shared" ca="1" si="123"/>
        <v>78232</v>
      </c>
      <c r="L1057" s="19">
        <v>1052</v>
      </c>
      <c r="M1057" s="19">
        <f t="shared" si="122"/>
        <v>0</v>
      </c>
      <c r="N1057" s="37">
        <f t="shared" si="119"/>
        <v>0</v>
      </c>
      <c r="O1057" s="37">
        <f t="shared" si="117"/>
        <v>0</v>
      </c>
      <c r="P1057" s="55" cm="1">
        <f t="array" aca="1" ref="P1057" ca="1">IF((L1057-$C$16)&gt;0, IF($P$1+$C$16&gt;=L1057,INDIRECT("M"&amp;(L1057-$C$16)+5),0),0)</f>
        <v>0</v>
      </c>
      <c r="Q1057" s="56" cm="1">
        <f t="array" aca="1" ref="Q1057" ca="1">IF(L1057&lt;=$C$16,0,IF($W$2&gt;=L1057,IF(L1057&lt;=($P$1+$C$16),INDIRECT("N"&amp;(L1057-$C$16)+5),FV(SRate,L1057-$P$1-$C$16,0,-$W$1,1)),0))</f>
        <v>0</v>
      </c>
      <c r="R1057" s="56">
        <f t="shared" ca="1" si="118"/>
        <v>0</v>
      </c>
      <c r="S1057" s="19">
        <f t="shared" si="120"/>
        <v>0</v>
      </c>
      <c r="T1057" s="36" t="str" cm="1">
        <f t="array" aca="1" ref="T1057" ca="1">IF(L1057&lt;=$P$1,K1057,IF(L1057&lt;=($P$1+1),INDIRECT("K"&amp;5+$W$2),""))</f>
        <v/>
      </c>
      <c r="U1057" s="38">
        <f t="shared" si="121"/>
        <v>88</v>
      </c>
    </row>
    <row r="1058" spans="11:21" hidden="1" x14ac:dyDescent="0.25">
      <c r="K1058" s="36">
        <f t="shared" ca="1" si="123"/>
        <v>78263</v>
      </c>
      <c r="L1058" s="19">
        <v>1053</v>
      </c>
      <c r="M1058" s="19">
        <f t="shared" si="122"/>
        <v>0</v>
      </c>
      <c r="N1058" s="37">
        <f t="shared" si="119"/>
        <v>0</v>
      </c>
      <c r="O1058" s="37">
        <f t="shared" si="117"/>
        <v>0</v>
      </c>
      <c r="P1058" s="55" cm="1">
        <f t="array" aca="1" ref="P1058" ca="1">IF((L1058-$C$16)&gt;0, IF($P$1+$C$16&gt;=L1058,INDIRECT("M"&amp;(L1058-$C$16)+5),0),0)</f>
        <v>0</v>
      </c>
      <c r="Q1058" s="56" cm="1">
        <f t="array" aca="1" ref="Q1058" ca="1">IF(L1058&lt;=$C$16,0,IF($W$2&gt;=L1058,IF(L1058&lt;=($P$1+$C$16),INDIRECT("N"&amp;(L1058-$C$16)+5),FV(SRate,L1058-$P$1-$C$16,0,-$W$1,1)),0))</f>
        <v>0</v>
      </c>
      <c r="R1058" s="56">
        <f t="shared" ca="1" si="118"/>
        <v>0</v>
      </c>
      <c r="S1058" s="19">
        <f t="shared" si="120"/>
        <v>0</v>
      </c>
      <c r="T1058" s="36" t="str" cm="1">
        <f t="array" aca="1" ref="T1058" ca="1">IF(L1058&lt;=$P$1,K1058,IF(L1058&lt;=($P$1+1),INDIRECT("K"&amp;5+$W$2),""))</f>
        <v/>
      </c>
      <c r="U1058" s="38">
        <f t="shared" si="121"/>
        <v>88</v>
      </c>
    </row>
    <row r="1059" spans="11:21" hidden="1" x14ac:dyDescent="0.25">
      <c r="K1059" s="36">
        <f t="shared" ca="1" si="123"/>
        <v>78293</v>
      </c>
      <c r="L1059" s="19">
        <v>1054</v>
      </c>
      <c r="M1059" s="19">
        <f t="shared" si="122"/>
        <v>0</v>
      </c>
      <c r="N1059" s="37">
        <f t="shared" si="119"/>
        <v>0</v>
      </c>
      <c r="O1059" s="37">
        <f t="shared" si="117"/>
        <v>0</v>
      </c>
      <c r="P1059" s="55" cm="1">
        <f t="array" aca="1" ref="P1059" ca="1">IF((L1059-$C$16)&gt;0, IF($P$1+$C$16&gt;=L1059,INDIRECT("M"&amp;(L1059-$C$16)+5),0),0)</f>
        <v>0</v>
      </c>
      <c r="Q1059" s="56" cm="1">
        <f t="array" aca="1" ref="Q1059" ca="1">IF(L1059&lt;=$C$16,0,IF($W$2&gt;=L1059,IF(L1059&lt;=($P$1+$C$16),INDIRECT("N"&amp;(L1059-$C$16)+5),FV(SRate,L1059-$P$1-$C$16,0,-$W$1,1)),0))</f>
        <v>0</v>
      </c>
      <c r="R1059" s="56">
        <f t="shared" ca="1" si="118"/>
        <v>0</v>
      </c>
      <c r="S1059" s="19">
        <f t="shared" si="120"/>
        <v>0</v>
      </c>
      <c r="T1059" s="36" t="str" cm="1">
        <f t="array" aca="1" ref="T1059" ca="1">IF(L1059&lt;=$P$1,K1059,IF(L1059&lt;=($P$1+1),INDIRECT("K"&amp;5+$W$2),""))</f>
        <v/>
      </c>
      <c r="U1059" s="38">
        <f t="shared" si="121"/>
        <v>88</v>
      </c>
    </row>
    <row r="1060" spans="11:21" hidden="1" x14ac:dyDescent="0.25">
      <c r="K1060" s="36">
        <f t="shared" ca="1" si="123"/>
        <v>78324</v>
      </c>
      <c r="L1060" s="19">
        <v>1055</v>
      </c>
      <c r="M1060" s="19">
        <f t="shared" si="122"/>
        <v>0</v>
      </c>
      <c r="N1060" s="37">
        <f t="shared" si="119"/>
        <v>0</v>
      </c>
      <c r="O1060" s="37">
        <f t="shared" si="117"/>
        <v>0</v>
      </c>
      <c r="P1060" s="55" cm="1">
        <f t="array" aca="1" ref="P1060" ca="1">IF((L1060-$C$16)&gt;0, IF($P$1+$C$16&gt;=L1060,INDIRECT("M"&amp;(L1060-$C$16)+5),0),0)</f>
        <v>0</v>
      </c>
      <c r="Q1060" s="56" cm="1">
        <f t="array" aca="1" ref="Q1060" ca="1">IF(L1060&lt;=$C$16,0,IF($W$2&gt;=L1060,IF(L1060&lt;=($P$1+$C$16),INDIRECT("N"&amp;(L1060-$C$16)+5),FV(SRate,L1060-$P$1-$C$16,0,-$W$1,1)),0))</f>
        <v>0</v>
      </c>
      <c r="R1060" s="56">
        <f t="shared" ca="1" si="118"/>
        <v>0</v>
      </c>
      <c r="S1060" s="19">
        <f t="shared" si="120"/>
        <v>0</v>
      </c>
      <c r="T1060" s="36" t="str" cm="1">
        <f t="array" aca="1" ref="T1060" ca="1">IF(L1060&lt;=$P$1,K1060,IF(L1060&lt;=($P$1+1),INDIRECT("K"&amp;5+$W$2),""))</f>
        <v/>
      </c>
      <c r="U1060" s="38">
        <f t="shared" si="121"/>
        <v>88</v>
      </c>
    </row>
    <row r="1061" spans="11:21" hidden="1" x14ac:dyDescent="0.25">
      <c r="K1061" s="36">
        <f t="shared" ca="1" si="123"/>
        <v>78354</v>
      </c>
      <c r="L1061" s="19">
        <v>1056</v>
      </c>
      <c r="M1061" s="19">
        <f t="shared" si="122"/>
        <v>0</v>
      </c>
      <c r="N1061" s="37">
        <f t="shared" si="119"/>
        <v>0</v>
      </c>
      <c r="O1061" s="37">
        <f t="shared" si="117"/>
        <v>0</v>
      </c>
      <c r="P1061" s="55" cm="1">
        <f t="array" aca="1" ref="P1061" ca="1">IF((L1061-$C$16)&gt;0, IF($P$1+$C$16&gt;=L1061,INDIRECT("M"&amp;(L1061-$C$16)+5),0),0)</f>
        <v>0</v>
      </c>
      <c r="Q1061" s="56" cm="1">
        <f t="array" aca="1" ref="Q1061" ca="1">IF(L1061&lt;=$C$16,0,IF($W$2&gt;=L1061,IF(L1061&lt;=($P$1+$C$16),INDIRECT("N"&amp;(L1061-$C$16)+5),FV(SRate,L1061-$P$1-$C$16,0,-$W$1,1)),0))</f>
        <v>0</v>
      </c>
      <c r="R1061" s="56">
        <f t="shared" ca="1" si="118"/>
        <v>0</v>
      </c>
      <c r="S1061" s="19">
        <f t="shared" si="120"/>
        <v>0</v>
      </c>
      <c r="T1061" s="36" t="str" cm="1">
        <f t="array" aca="1" ref="T1061" ca="1">IF(L1061&lt;=$P$1,K1061,IF(L1061&lt;=($P$1+1),INDIRECT("K"&amp;5+$W$2),""))</f>
        <v/>
      </c>
      <c r="U1061" s="38">
        <f t="shared" si="121"/>
        <v>88</v>
      </c>
    </row>
    <row r="1062" spans="11:21" hidden="1" x14ac:dyDescent="0.25">
      <c r="K1062" s="36">
        <f t="shared" ca="1" si="123"/>
        <v>78385</v>
      </c>
      <c r="L1062" s="19">
        <v>1057</v>
      </c>
      <c r="M1062" s="19">
        <f t="shared" si="122"/>
        <v>0</v>
      </c>
      <c r="N1062" s="37">
        <f t="shared" si="119"/>
        <v>0</v>
      </c>
      <c r="O1062" s="37">
        <f t="shared" ref="O1062:O1125" si="124">N1062/((1+SIPInflationRate)^(L1062/12))</f>
        <v>0</v>
      </c>
      <c r="P1062" s="55" cm="1">
        <f t="array" aca="1" ref="P1062" ca="1">IF((L1062-$C$16)&gt;0, IF($P$1+$C$16&gt;=L1062,INDIRECT("M"&amp;(L1062-$C$16)+5),0),0)</f>
        <v>0</v>
      </c>
      <c r="Q1062" s="56" cm="1">
        <f t="array" aca="1" ref="Q1062" ca="1">IF(L1062&lt;=$C$16,0,IF($W$2&gt;=L1062,IF(L1062&lt;=($P$1+$C$16),INDIRECT("N"&amp;(L1062-$C$16)+5),FV(SRate,L1062-$P$1-$C$16,0,-$W$1,1)),0))</f>
        <v>0</v>
      </c>
      <c r="R1062" s="56">
        <f t="shared" ca="1" si="118"/>
        <v>0</v>
      </c>
      <c r="S1062" s="19">
        <f t="shared" si="120"/>
        <v>0</v>
      </c>
      <c r="T1062" s="36" t="str" cm="1">
        <f t="array" aca="1" ref="T1062" ca="1">IF(L1062&lt;=$P$1,K1062,IF(L1062&lt;=($P$1+1),INDIRECT("K"&amp;5+$W$2),""))</f>
        <v/>
      </c>
      <c r="U1062" s="38">
        <f t="shared" si="121"/>
        <v>89</v>
      </c>
    </row>
    <row r="1063" spans="11:21" hidden="1" x14ac:dyDescent="0.25">
      <c r="K1063" s="36">
        <f t="shared" ca="1" si="123"/>
        <v>78416</v>
      </c>
      <c r="L1063" s="19">
        <v>1058</v>
      </c>
      <c r="M1063" s="19">
        <f t="shared" si="122"/>
        <v>0</v>
      </c>
      <c r="N1063" s="37">
        <f t="shared" si="119"/>
        <v>0</v>
      </c>
      <c r="O1063" s="37">
        <f t="shared" si="124"/>
        <v>0</v>
      </c>
      <c r="P1063" s="55" cm="1">
        <f t="array" aca="1" ref="P1063" ca="1">IF((L1063-$C$16)&gt;0, IF($P$1+$C$16&gt;=L1063,INDIRECT("M"&amp;(L1063-$C$16)+5),0),0)</f>
        <v>0</v>
      </c>
      <c r="Q1063" s="56" cm="1">
        <f t="array" aca="1" ref="Q1063" ca="1">IF(L1063&lt;=$C$16,0,IF($W$2&gt;=L1063,IF(L1063&lt;=($P$1+$C$16),INDIRECT("N"&amp;(L1063-$C$16)+5),FV(SRate,L1063-$P$1-$C$16,0,-$W$1,1)),0))</f>
        <v>0</v>
      </c>
      <c r="R1063" s="56">
        <f t="shared" ca="1" si="118"/>
        <v>0</v>
      </c>
      <c r="S1063" s="19">
        <f t="shared" si="120"/>
        <v>0</v>
      </c>
      <c r="T1063" s="36" t="str" cm="1">
        <f t="array" aca="1" ref="T1063" ca="1">IF(L1063&lt;=$P$1,K1063,IF(L1063&lt;=($P$1+1),INDIRECT("K"&amp;5+$W$2),""))</f>
        <v/>
      </c>
      <c r="U1063" s="38">
        <f t="shared" si="121"/>
        <v>89</v>
      </c>
    </row>
    <row r="1064" spans="11:21" hidden="1" x14ac:dyDescent="0.25">
      <c r="K1064" s="36">
        <f t="shared" ca="1" si="123"/>
        <v>78446</v>
      </c>
      <c r="L1064" s="19">
        <v>1059</v>
      </c>
      <c r="M1064" s="19">
        <f t="shared" si="122"/>
        <v>0</v>
      </c>
      <c r="N1064" s="37">
        <f t="shared" si="119"/>
        <v>0</v>
      </c>
      <c r="O1064" s="37">
        <f t="shared" si="124"/>
        <v>0</v>
      </c>
      <c r="P1064" s="55" cm="1">
        <f t="array" aca="1" ref="P1064" ca="1">IF((L1064-$C$16)&gt;0, IF($P$1+$C$16&gt;=L1064,INDIRECT("M"&amp;(L1064-$C$16)+5),0),0)</f>
        <v>0</v>
      </c>
      <c r="Q1064" s="56" cm="1">
        <f t="array" aca="1" ref="Q1064" ca="1">IF(L1064&lt;=$C$16,0,IF($W$2&gt;=L1064,IF(L1064&lt;=($P$1+$C$16),INDIRECT("N"&amp;(L1064-$C$16)+5),FV(SRate,L1064-$P$1-$C$16,0,-$W$1,1)),0))</f>
        <v>0</v>
      </c>
      <c r="R1064" s="56">
        <f t="shared" ca="1" si="118"/>
        <v>0</v>
      </c>
      <c r="S1064" s="19">
        <f t="shared" si="120"/>
        <v>0</v>
      </c>
      <c r="T1064" s="36" t="str" cm="1">
        <f t="array" aca="1" ref="T1064" ca="1">IF(L1064&lt;=$P$1,K1064,IF(L1064&lt;=($P$1+1),INDIRECT("K"&amp;5+$W$2),""))</f>
        <v/>
      </c>
      <c r="U1064" s="38">
        <f t="shared" si="121"/>
        <v>89</v>
      </c>
    </row>
    <row r="1065" spans="11:21" hidden="1" x14ac:dyDescent="0.25">
      <c r="K1065" s="36">
        <f t="shared" ca="1" si="123"/>
        <v>78477</v>
      </c>
      <c r="L1065" s="19">
        <v>1060</v>
      </c>
      <c r="M1065" s="19">
        <f t="shared" si="122"/>
        <v>0</v>
      </c>
      <c r="N1065" s="37">
        <f t="shared" si="119"/>
        <v>0</v>
      </c>
      <c r="O1065" s="37">
        <f t="shared" si="124"/>
        <v>0</v>
      </c>
      <c r="P1065" s="55" cm="1">
        <f t="array" aca="1" ref="P1065" ca="1">IF((L1065-$C$16)&gt;0, IF($P$1+$C$16&gt;=L1065,INDIRECT("M"&amp;(L1065-$C$16)+5),0),0)</f>
        <v>0</v>
      </c>
      <c r="Q1065" s="56" cm="1">
        <f t="array" aca="1" ref="Q1065" ca="1">IF(L1065&lt;=$C$16,0,IF($W$2&gt;=L1065,IF(L1065&lt;=($P$1+$C$16),INDIRECT("N"&amp;(L1065-$C$16)+5),FV(SRate,L1065-$P$1-$C$16,0,-$W$1,1)),0))</f>
        <v>0</v>
      </c>
      <c r="R1065" s="56">
        <f t="shared" ca="1" si="118"/>
        <v>0</v>
      </c>
      <c r="S1065" s="19">
        <f t="shared" si="120"/>
        <v>0</v>
      </c>
      <c r="T1065" s="36" t="str" cm="1">
        <f t="array" aca="1" ref="T1065" ca="1">IF(L1065&lt;=$P$1,K1065,IF(L1065&lt;=($P$1+1),INDIRECT("K"&amp;5+$W$2),""))</f>
        <v/>
      </c>
      <c r="U1065" s="38">
        <f t="shared" si="121"/>
        <v>89</v>
      </c>
    </row>
    <row r="1066" spans="11:21" hidden="1" x14ac:dyDescent="0.25">
      <c r="K1066" s="36">
        <f t="shared" ca="1" si="123"/>
        <v>78507</v>
      </c>
      <c r="L1066" s="19">
        <v>1061</v>
      </c>
      <c r="M1066" s="19">
        <f t="shared" si="122"/>
        <v>0</v>
      </c>
      <c r="N1066" s="37">
        <f t="shared" si="119"/>
        <v>0</v>
      </c>
      <c r="O1066" s="37">
        <f t="shared" si="124"/>
        <v>0</v>
      </c>
      <c r="P1066" s="55" cm="1">
        <f t="array" aca="1" ref="P1066" ca="1">IF((L1066-$C$16)&gt;0, IF($P$1+$C$16&gt;=L1066,INDIRECT("M"&amp;(L1066-$C$16)+5),0),0)</f>
        <v>0</v>
      </c>
      <c r="Q1066" s="56" cm="1">
        <f t="array" aca="1" ref="Q1066" ca="1">IF(L1066&lt;=$C$16,0,IF($W$2&gt;=L1066,IF(L1066&lt;=($P$1+$C$16),INDIRECT("N"&amp;(L1066-$C$16)+5),FV(SRate,L1066-$P$1-$C$16,0,-$W$1,1)),0))</f>
        <v>0</v>
      </c>
      <c r="R1066" s="56">
        <f t="shared" ca="1" si="118"/>
        <v>0</v>
      </c>
      <c r="S1066" s="19">
        <f t="shared" si="120"/>
        <v>0</v>
      </c>
      <c r="T1066" s="36" t="str" cm="1">
        <f t="array" aca="1" ref="T1066" ca="1">IF(L1066&lt;=$P$1,K1066,IF(L1066&lt;=($P$1+1),INDIRECT("K"&amp;5+$W$2),""))</f>
        <v/>
      </c>
      <c r="U1066" s="38">
        <f t="shared" si="121"/>
        <v>89</v>
      </c>
    </row>
    <row r="1067" spans="11:21" hidden="1" x14ac:dyDescent="0.25">
      <c r="K1067" s="36">
        <f t="shared" ca="1" si="123"/>
        <v>78538</v>
      </c>
      <c r="L1067" s="19">
        <v>1062</v>
      </c>
      <c r="M1067" s="19">
        <f t="shared" si="122"/>
        <v>0</v>
      </c>
      <c r="N1067" s="37">
        <f t="shared" si="119"/>
        <v>0</v>
      </c>
      <c r="O1067" s="37">
        <f t="shared" si="124"/>
        <v>0</v>
      </c>
      <c r="P1067" s="55" cm="1">
        <f t="array" aca="1" ref="P1067" ca="1">IF((L1067-$C$16)&gt;0, IF($P$1+$C$16&gt;=L1067,INDIRECT("M"&amp;(L1067-$C$16)+5),0),0)</f>
        <v>0</v>
      </c>
      <c r="Q1067" s="56" cm="1">
        <f t="array" aca="1" ref="Q1067" ca="1">IF(L1067&lt;=$C$16,0,IF($W$2&gt;=L1067,IF(L1067&lt;=($P$1+$C$16),INDIRECT("N"&amp;(L1067-$C$16)+5),FV(SRate,L1067-$P$1-$C$16,0,-$W$1,1)),0))</f>
        <v>0</v>
      </c>
      <c r="R1067" s="56">
        <f t="shared" ca="1" si="118"/>
        <v>0</v>
      </c>
      <c r="S1067" s="19">
        <f t="shared" si="120"/>
        <v>0</v>
      </c>
      <c r="T1067" s="36" t="str" cm="1">
        <f t="array" aca="1" ref="T1067" ca="1">IF(L1067&lt;=$P$1,K1067,IF(L1067&lt;=($P$1+1),INDIRECT("K"&amp;5+$W$2),""))</f>
        <v/>
      </c>
      <c r="U1067" s="38">
        <f t="shared" si="121"/>
        <v>89</v>
      </c>
    </row>
    <row r="1068" spans="11:21" hidden="1" x14ac:dyDescent="0.25">
      <c r="K1068" s="36">
        <f t="shared" ca="1" si="123"/>
        <v>78569</v>
      </c>
      <c r="L1068" s="19">
        <v>1063</v>
      </c>
      <c r="M1068" s="19">
        <f t="shared" si="122"/>
        <v>0</v>
      </c>
      <c r="N1068" s="37">
        <f t="shared" si="119"/>
        <v>0</v>
      </c>
      <c r="O1068" s="37">
        <f t="shared" si="124"/>
        <v>0</v>
      </c>
      <c r="P1068" s="55" cm="1">
        <f t="array" aca="1" ref="P1068" ca="1">IF((L1068-$C$16)&gt;0, IF($P$1+$C$16&gt;=L1068,INDIRECT("M"&amp;(L1068-$C$16)+5),0),0)</f>
        <v>0</v>
      </c>
      <c r="Q1068" s="56" cm="1">
        <f t="array" aca="1" ref="Q1068" ca="1">IF(L1068&lt;=$C$16,0,IF($W$2&gt;=L1068,IF(L1068&lt;=($P$1+$C$16),INDIRECT("N"&amp;(L1068-$C$16)+5),FV(SRate,L1068-$P$1-$C$16,0,-$W$1,1)),0))</f>
        <v>0</v>
      </c>
      <c r="R1068" s="56">
        <f t="shared" ca="1" si="118"/>
        <v>0</v>
      </c>
      <c r="S1068" s="19">
        <f t="shared" si="120"/>
        <v>0</v>
      </c>
      <c r="T1068" s="36" t="str" cm="1">
        <f t="array" aca="1" ref="T1068" ca="1">IF(L1068&lt;=$P$1,K1068,IF(L1068&lt;=($P$1+1),INDIRECT("K"&amp;5+$W$2),""))</f>
        <v/>
      </c>
      <c r="U1068" s="38">
        <f t="shared" si="121"/>
        <v>89</v>
      </c>
    </row>
    <row r="1069" spans="11:21" hidden="1" x14ac:dyDescent="0.25">
      <c r="K1069" s="36">
        <f t="shared" ca="1" si="123"/>
        <v>78597</v>
      </c>
      <c r="L1069" s="19">
        <v>1064</v>
      </c>
      <c r="M1069" s="19">
        <f t="shared" si="122"/>
        <v>0</v>
      </c>
      <c r="N1069" s="37">
        <f t="shared" si="119"/>
        <v>0</v>
      </c>
      <c r="O1069" s="37">
        <f t="shared" si="124"/>
        <v>0</v>
      </c>
      <c r="P1069" s="55" cm="1">
        <f t="array" aca="1" ref="P1069" ca="1">IF((L1069-$C$16)&gt;0, IF($P$1+$C$16&gt;=L1069,INDIRECT("M"&amp;(L1069-$C$16)+5),0),0)</f>
        <v>0</v>
      </c>
      <c r="Q1069" s="56" cm="1">
        <f t="array" aca="1" ref="Q1069" ca="1">IF(L1069&lt;=$C$16,0,IF($W$2&gt;=L1069,IF(L1069&lt;=($P$1+$C$16),INDIRECT("N"&amp;(L1069-$C$16)+5),FV(SRate,L1069-$P$1-$C$16,0,-$W$1,1)),0))</f>
        <v>0</v>
      </c>
      <c r="R1069" s="56">
        <f t="shared" ca="1" si="118"/>
        <v>0</v>
      </c>
      <c r="S1069" s="19">
        <f t="shared" si="120"/>
        <v>0</v>
      </c>
      <c r="T1069" s="36" t="str" cm="1">
        <f t="array" aca="1" ref="T1069" ca="1">IF(L1069&lt;=$P$1,K1069,IF(L1069&lt;=($P$1+1),INDIRECT("K"&amp;5+$W$2),""))</f>
        <v/>
      </c>
      <c r="U1069" s="38">
        <f t="shared" si="121"/>
        <v>89</v>
      </c>
    </row>
    <row r="1070" spans="11:21" hidden="1" x14ac:dyDescent="0.25">
      <c r="K1070" s="36">
        <f t="shared" ca="1" si="123"/>
        <v>78628</v>
      </c>
      <c r="L1070" s="19">
        <v>1065</v>
      </c>
      <c r="M1070" s="19">
        <f t="shared" si="122"/>
        <v>0</v>
      </c>
      <c r="N1070" s="37">
        <f t="shared" si="119"/>
        <v>0</v>
      </c>
      <c r="O1070" s="37">
        <f t="shared" si="124"/>
        <v>0</v>
      </c>
      <c r="P1070" s="55" cm="1">
        <f t="array" aca="1" ref="P1070" ca="1">IF((L1070-$C$16)&gt;0, IF($P$1+$C$16&gt;=L1070,INDIRECT("M"&amp;(L1070-$C$16)+5),0),0)</f>
        <v>0</v>
      </c>
      <c r="Q1070" s="56" cm="1">
        <f t="array" aca="1" ref="Q1070" ca="1">IF(L1070&lt;=$C$16,0,IF($W$2&gt;=L1070,IF(L1070&lt;=($P$1+$C$16),INDIRECT("N"&amp;(L1070-$C$16)+5),FV(SRate,L1070-$P$1-$C$16,0,-$W$1,1)),0))</f>
        <v>0</v>
      </c>
      <c r="R1070" s="56">
        <f t="shared" ca="1" si="118"/>
        <v>0</v>
      </c>
      <c r="S1070" s="19">
        <f t="shared" si="120"/>
        <v>0</v>
      </c>
      <c r="T1070" s="36" t="str" cm="1">
        <f t="array" aca="1" ref="T1070" ca="1">IF(L1070&lt;=$P$1,K1070,IF(L1070&lt;=($P$1+1),INDIRECT("K"&amp;5+$W$2),""))</f>
        <v/>
      </c>
      <c r="U1070" s="38">
        <f t="shared" si="121"/>
        <v>89</v>
      </c>
    </row>
    <row r="1071" spans="11:21" hidden="1" x14ac:dyDescent="0.25">
      <c r="K1071" s="36">
        <f t="shared" ca="1" si="123"/>
        <v>78658</v>
      </c>
      <c r="L1071" s="19">
        <v>1066</v>
      </c>
      <c r="M1071" s="19">
        <f t="shared" si="122"/>
        <v>0</v>
      </c>
      <c r="N1071" s="37">
        <f t="shared" si="119"/>
        <v>0</v>
      </c>
      <c r="O1071" s="37">
        <f t="shared" si="124"/>
        <v>0</v>
      </c>
      <c r="P1071" s="55" cm="1">
        <f t="array" aca="1" ref="P1071" ca="1">IF((L1071-$C$16)&gt;0, IF($P$1+$C$16&gt;=L1071,INDIRECT("M"&amp;(L1071-$C$16)+5),0),0)</f>
        <v>0</v>
      </c>
      <c r="Q1071" s="56" cm="1">
        <f t="array" aca="1" ref="Q1071" ca="1">IF(L1071&lt;=$C$16,0,IF($W$2&gt;=L1071,IF(L1071&lt;=($P$1+$C$16),INDIRECT("N"&amp;(L1071-$C$16)+5),FV(SRate,L1071-$P$1-$C$16,0,-$W$1,1)),0))</f>
        <v>0</v>
      </c>
      <c r="R1071" s="56">
        <f t="shared" ca="1" si="118"/>
        <v>0</v>
      </c>
      <c r="S1071" s="19">
        <f t="shared" si="120"/>
        <v>0</v>
      </c>
      <c r="T1071" s="36" t="str" cm="1">
        <f t="array" aca="1" ref="T1071" ca="1">IF(L1071&lt;=$P$1,K1071,IF(L1071&lt;=($P$1+1),INDIRECT("K"&amp;5+$W$2),""))</f>
        <v/>
      </c>
      <c r="U1071" s="38">
        <f t="shared" si="121"/>
        <v>89</v>
      </c>
    </row>
    <row r="1072" spans="11:21" hidden="1" x14ac:dyDescent="0.25">
      <c r="K1072" s="36">
        <f t="shared" ca="1" si="123"/>
        <v>78689</v>
      </c>
      <c r="L1072" s="19">
        <v>1067</v>
      </c>
      <c r="M1072" s="19">
        <f t="shared" si="122"/>
        <v>0</v>
      </c>
      <c r="N1072" s="37">
        <f t="shared" si="119"/>
        <v>0</v>
      </c>
      <c r="O1072" s="37">
        <f t="shared" si="124"/>
        <v>0</v>
      </c>
      <c r="P1072" s="55" cm="1">
        <f t="array" aca="1" ref="P1072" ca="1">IF((L1072-$C$16)&gt;0, IF($P$1+$C$16&gt;=L1072,INDIRECT("M"&amp;(L1072-$C$16)+5),0),0)</f>
        <v>0</v>
      </c>
      <c r="Q1072" s="56" cm="1">
        <f t="array" aca="1" ref="Q1072" ca="1">IF(L1072&lt;=$C$16,0,IF($W$2&gt;=L1072,IF(L1072&lt;=($P$1+$C$16),INDIRECT("N"&amp;(L1072-$C$16)+5),FV(SRate,L1072-$P$1-$C$16,0,-$W$1,1)),0))</f>
        <v>0</v>
      </c>
      <c r="R1072" s="56">
        <f t="shared" ca="1" si="118"/>
        <v>0</v>
      </c>
      <c r="S1072" s="19">
        <f t="shared" si="120"/>
        <v>0</v>
      </c>
      <c r="T1072" s="36" t="str" cm="1">
        <f t="array" aca="1" ref="T1072" ca="1">IF(L1072&lt;=$P$1,K1072,IF(L1072&lt;=($P$1+1),INDIRECT("K"&amp;5+$W$2),""))</f>
        <v/>
      </c>
      <c r="U1072" s="38">
        <f t="shared" si="121"/>
        <v>89</v>
      </c>
    </row>
    <row r="1073" spans="11:21" hidden="1" x14ac:dyDescent="0.25">
      <c r="K1073" s="36">
        <f t="shared" ca="1" si="123"/>
        <v>78719</v>
      </c>
      <c r="L1073" s="19">
        <v>1068</v>
      </c>
      <c r="M1073" s="19">
        <f t="shared" si="122"/>
        <v>0</v>
      </c>
      <c r="N1073" s="37">
        <f t="shared" si="119"/>
        <v>0</v>
      </c>
      <c r="O1073" s="37">
        <f t="shared" si="124"/>
        <v>0</v>
      </c>
      <c r="P1073" s="55" cm="1">
        <f t="array" aca="1" ref="P1073" ca="1">IF((L1073-$C$16)&gt;0, IF($P$1+$C$16&gt;=L1073,INDIRECT("M"&amp;(L1073-$C$16)+5),0),0)</f>
        <v>0</v>
      </c>
      <c r="Q1073" s="56" cm="1">
        <f t="array" aca="1" ref="Q1073" ca="1">IF(L1073&lt;=$C$16,0,IF($W$2&gt;=L1073,IF(L1073&lt;=($P$1+$C$16),INDIRECT("N"&amp;(L1073-$C$16)+5),FV(SRate,L1073-$P$1-$C$16,0,-$W$1,1)),0))</f>
        <v>0</v>
      </c>
      <c r="R1073" s="56">
        <f t="shared" ca="1" si="118"/>
        <v>0</v>
      </c>
      <c r="S1073" s="19">
        <f t="shared" si="120"/>
        <v>0</v>
      </c>
      <c r="T1073" s="36" t="str" cm="1">
        <f t="array" aca="1" ref="T1073" ca="1">IF(L1073&lt;=$P$1,K1073,IF(L1073&lt;=($P$1+1),INDIRECT("K"&amp;5+$W$2),""))</f>
        <v/>
      </c>
      <c r="U1073" s="38">
        <f t="shared" si="121"/>
        <v>89</v>
      </c>
    </row>
    <row r="1074" spans="11:21" hidden="1" x14ac:dyDescent="0.25">
      <c r="K1074" s="36">
        <f t="shared" ca="1" si="123"/>
        <v>78750</v>
      </c>
      <c r="L1074" s="19">
        <v>1069</v>
      </c>
      <c r="M1074" s="19">
        <f t="shared" si="122"/>
        <v>0</v>
      </c>
      <c r="N1074" s="37">
        <f t="shared" si="119"/>
        <v>0</v>
      </c>
      <c r="O1074" s="37">
        <f t="shared" si="124"/>
        <v>0</v>
      </c>
      <c r="P1074" s="55" cm="1">
        <f t="array" aca="1" ref="P1074" ca="1">IF((L1074-$C$16)&gt;0, IF($P$1+$C$16&gt;=L1074,INDIRECT("M"&amp;(L1074-$C$16)+5),0),0)</f>
        <v>0</v>
      </c>
      <c r="Q1074" s="56" cm="1">
        <f t="array" aca="1" ref="Q1074" ca="1">IF(L1074&lt;=$C$16,0,IF($W$2&gt;=L1074,IF(L1074&lt;=($P$1+$C$16),INDIRECT("N"&amp;(L1074-$C$16)+5),FV(SRate,L1074-$P$1-$C$16,0,-$W$1,1)),0))</f>
        <v>0</v>
      </c>
      <c r="R1074" s="56">
        <f t="shared" ca="1" si="118"/>
        <v>0</v>
      </c>
      <c r="S1074" s="19">
        <f t="shared" si="120"/>
        <v>0</v>
      </c>
      <c r="T1074" s="36" t="str" cm="1">
        <f t="array" aca="1" ref="T1074" ca="1">IF(L1074&lt;=$P$1,K1074,IF(L1074&lt;=($P$1+1),INDIRECT("K"&amp;5+$W$2),""))</f>
        <v/>
      </c>
      <c r="U1074" s="38">
        <f t="shared" si="121"/>
        <v>90</v>
      </c>
    </row>
    <row r="1075" spans="11:21" hidden="1" x14ac:dyDescent="0.25">
      <c r="K1075" s="36">
        <f t="shared" ca="1" si="123"/>
        <v>78781</v>
      </c>
      <c r="L1075" s="19">
        <v>1070</v>
      </c>
      <c r="M1075" s="19">
        <f t="shared" si="122"/>
        <v>0</v>
      </c>
      <c r="N1075" s="37">
        <f t="shared" si="119"/>
        <v>0</v>
      </c>
      <c r="O1075" s="37">
        <f t="shared" si="124"/>
        <v>0</v>
      </c>
      <c r="P1075" s="55" cm="1">
        <f t="array" aca="1" ref="P1075" ca="1">IF((L1075-$C$16)&gt;0, IF($P$1+$C$16&gt;=L1075,INDIRECT("M"&amp;(L1075-$C$16)+5),0),0)</f>
        <v>0</v>
      </c>
      <c r="Q1075" s="56" cm="1">
        <f t="array" aca="1" ref="Q1075" ca="1">IF(L1075&lt;=$C$16,0,IF($W$2&gt;=L1075,IF(L1075&lt;=($P$1+$C$16),INDIRECT("N"&amp;(L1075-$C$16)+5),FV(SRate,L1075-$P$1-$C$16,0,-$W$1,1)),0))</f>
        <v>0</v>
      </c>
      <c r="R1075" s="56">
        <f t="shared" ca="1" si="118"/>
        <v>0</v>
      </c>
      <c r="S1075" s="19">
        <f t="shared" si="120"/>
        <v>0</v>
      </c>
      <c r="T1075" s="36" t="str" cm="1">
        <f t="array" aca="1" ref="T1075" ca="1">IF(L1075&lt;=$P$1,K1075,IF(L1075&lt;=($P$1+1),INDIRECT("K"&amp;5+$W$2),""))</f>
        <v/>
      </c>
      <c r="U1075" s="38">
        <f t="shared" si="121"/>
        <v>90</v>
      </c>
    </row>
    <row r="1076" spans="11:21" hidden="1" x14ac:dyDescent="0.25">
      <c r="K1076" s="36">
        <f t="shared" ca="1" si="123"/>
        <v>78811</v>
      </c>
      <c r="L1076" s="19">
        <v>1071</v>
      </c>
      <c r="M1076" s="19">
        <f t="shared" si="122"/>
        <v>0</v>
      </c>
      <c r="N1076" s="37">
        <f t="shared" si="119"/>
        <v>0</v>
      </c>
      <c r="O1076" s="37">
        <f t="shared" si="124"/>
        <v>0</v>
      </c>
      <c r="P1076" s="55" cm="1">
        <f t="array" aca="1" ref="P1076" ca="1">IF((L1076-$C$16)&gt;0, IF($P$1+$C$16&gt;=L1076,INDIRECT("M"&amp;(L1076-$C$16)+5),0),0)</f>
        <v>0</v>
      </c>
      <c r="Q1076" s="56" cm="1">
        <f t="array" aca="1" ref="Q1076" ca="1">IF(L1076&lt;=$C$16,0,IF($W$2&gt;=L1076,IF(L1076&lt;=($P$1+$C$16),INDIRECT("N"&amp;(L1076-$C$16)+5),FV(SRate,L1076-$P$1-$C$16,0,-$W$1,1)),0))</f>
        <v>0</v>
      </c>
      <c r="R1076" s="56">
        <f t="shared" ca="1" si="118"/>
        <v>0</v>
      </c>
      <c r="S1076" s="19">
        <f t="shared" si="120"/>
        <v>0</v>
      </c>
      <c r="T1076" s="36" t="str" cm="1">
        <f t="array" aca="1" ref="T1076" ca="1">IF(L1076&lt;=$P$1,K1076,IF(L1076&lt;=($P$1+1),INDIRECT("K"&amp;5+$W$2),""))</f>
        <v/>
      </c>
      <c r="U1076" s="38">
        <f t="shared" si="121"/>
        <v>90</v>
      </c>
    </row>
    <row r="1077" spans="11:21" hidden="1" x14ac:dyDescent="0.25">
      <c r="K1077" s="36">
        <f t="shared" ca="1" si="123"/>
        <v>78842</v>
      </c>
      <c r="L1077" s="19">
        <v>1072</v>
      </c>
      <c r="M1077" s="19">
        <f t="shared" si="122"/>
        <v>0</v>
      </c>
      <c r="N1077" s="37">
        <f t="shared" si="119"/>
        <v>0</v>
      </c>
      <c r="O1077" s="37">
        <f t="shared" si="124"/>
        <v>0</v>
      </c>
      <c r="P1077" s="55" cm="1">
        <f t="array" aca="1" ref="P1077" ca="1">IF((L1077-$C$16)&gt;0, IF($P$1+$C$16&gt;=L1077,INDIRECT("M"&amp;(L1077-$C$16)+5),0),0)</f>
        <v>0</v>
      </c>
      <c r="Q1077" s="56" cm="1">
        <f t="array" aca="1" ref="Q1077" ca="1">IF(L1077&lt;=$C$16,0,IF($W$2&gt;=L1077,IF(L1077&lt;=($P$1+$C$16),INDIRECT("N"&amp;(L1077-$C$16)+5),FV(SRate,L1077-$P$1-$C$16,0,-$W$1,1)),0))</f>
        <v>0</v>
      </c>
      <c r="R1077" s="56">
        <f t="shared" ca="1" si="118"/>
        <v>0</v>
      </c>
      <c r="S1077" s="19">
        <f t="shared" si="120"/>
        <v>0</v>
      </c>
      <c r="T1077" s="36" t="str" cm="1">
        <f t="array" aca="1" ref="T1077" ca="1">IF(L1077&lt;=$P$1,K1077,IF(L1077&lt;=($P$1+1),INDIRECT("K"&amp;5+$W$2),""))</f>
        <v/>
      </c>
      <c r="U1077" s="38">
        <f t="shared" si="121"/>
        <v>90</v>
      </c>
    </row>
    <row r="1078" spans="11:21" hidden="1" x14ac:dyDescent="0.25">
      <c r="K1078" s="36">
        <f t="shared" ca="1" si="123"/>
        <v>78872</v>
      </c>
      <c r="L1078" s="19">
        <v>1073</v>
      </c>
      <c r="M1078" s="19">
        <f t="shared" si="122"/>
        <v>0</v>
      </c>
      <c r="N1078" s="37">
        <f t="shared" si="119"/>
        <v>0</v>
      </c>
      <c r="O1078" s="37">
        <f t="shared" si="124"/>
        <v>0</v>
      </c>
      <c r="P1078" s="55" cm="1">
        <f t="array" aca="1" ref="P1078" ca="1">IF((L1078-$C$16)&gt;0, IF($P$1+$C$16&gt;=L1078,INDIRECT("M"&amp;(L1078-$C$16)+5),0),0)</f>
        <v>0</v>
      </c>
      <c r="Q1078" s="56" cm="1">
        <f t="array" aca="1" ref="Q1078" ca="1">IF(L1078&lt;=$C$16,0,IF($W$2&gt;=L1078,IF(L1078&lt;=($P$1+$C$16),INDIRECT("N"&amp;(L1078-$C$16)+5),FV(SRate,L1078-$P$1-$C$16,0,-$W$1,1)),0))</f>
        <v>0</v>
      </c>
      <c r="R1078" s="56">
        <f t="shared" ca="1" si="118"/>
        <v>0</v>
      </c>
      <c r="S1078" s="19">
        <f t="shared" si="120"/>
        <v>0</v>
      </c>
      <c r="T1078" s="36" t="str" cm="1">
        <f t="array" aca="1" ref="T1078" ca="1">IF(L1078&lt;=$P$1,K1078,IF(L1078&lt;=($P$1+1),INDIRECT("K"&amp;5+$W$2),""))</f>
        <v/>
      </c>
      <c r="U1078" s="38">
        <f t="shared" si="121"/>
        <v>90</v>
      </c>
    </row>
    <row r="1079" spans="11:21" hidden="1" x14ac:dyDescent="0.25">
      <c r="K1079" s="36">
        <f t="shared" ca="1" si="123"/>
        <v>78903</v>
      </c>
      <c r="L1079" s="19">
        <v>1074</v>
      </c>
      <c r="M1079" s="19">
        <f t="shared" si="122"/>
        <v>0</v>
      </c>
      <c r="N1079" s="37">
        <f t="shared" si="119"/>
        <v>0</v>
      </c>
      <c r="O1079" s="37">
        <f t="shared" si="124"/>
        <v>0</v>
      </c>
      <c r="P1079" s="55" cm="1">
        <f t="array" aca="1" ref="P1079" ca="1">IF((L1079-$C$16)&gt;0, IF($P$1+$C$16&gt;=L1079,INDIRECT("M"&amp;(L1079-$C$16)+5),0),0)</f>
        <v>0</v>
      </c>
      <c r="Q1079" s="56" cm="1">
        <f t="array" aca="1" ref="Q1079" ca="1">IF(L1079&lt;=$C$16,0,IF($W$2&gt;=L1079,IF(L1079&lt;=($P$1+$C$16),INDIRECT("N"&amp;(L1079-$C$16)+5),FV(SRate,L1079-$P$1-$C$16,0,-$W$1,1)),0))</f>
        <v>0</v>
      </c>
      <c r="R1079" s="56">
        <f t="shared" ca="1" si="118"/>
        <v>0</v>
      </c>
      <c r="S1079" s="19">
        <f t="shared" si="120"/>
        <v>0</v>
      </c>
      <c r="T1079" s="36" t="str" cm="1">
        <f t="array" aca="1" ref="T1079" ca="1">IF(L1079&lt;=$P$1,K1079,IF(L1079&lt;=($P$1+1),INDIRECT("K"&amp;5+$W$2),""))</f>
        <v/>
      </c>
      <c r="U1079" s="38">
        <f t="shared" si="121"/>
        <v>90</v>
      </c>
    </row>
    <row r="1080" spans="11:21" hidden="1" x14ac:dyDescent="0.25">
      <c r="K1080" s="36">
        <f t="shared" ca="1" si="123"/>
        <v>78934</v>
      </c>
      <c r="L1080" s="19">
        <v>1075</v>
      </c>
      <c r="M1080" s="19">
        <f t="shared" si="122"/>
        <v>0</v>
      </c>
      <c r="N1080" s="37">
        <f t="shared" si="119"/>
        <v>0</v>
      </c>
      <c r="O1080" s="37">
        <f t="shared" si="124"/>
        <v>0</v>
      </c>
      <c r="P1080" s="55" cm="1">
        <f t="array" aca="1" ref="P1080" ca="1">IF((L1080-$C$16)&gt;0, IF($P$1+$C$16&gt;=L1080,INDIRECT("M"&amp;(L1080-$C$16)+5),0),0)</f>
        <v>0</v>
      </c>
      <c r="Q1080" s="56" cm="1">
        <f t="array" aca="1" ref="Q1080" ca="1">IF(L1080&lt;=$C$16,0,IF($W$2&gt;=L1080,IF(L1080&lt;=($P$1+$C$16),INDIRECT("N"&amp;(L1080-$C$16)+5),FV(SRate,L1080-$P$1-$C$16,0,-$W$1,1)),0))</f>
        <v>0</v>
      </c>
      <c r="R1080" s="56">
        <f t="shared" ca="1" si="118"/>
        <v>0</v>
      </c>
      <c r="S1080" s="19">
        <f t="shared" si="120"/>
        <v>0</v>
      </c>
      <c r="T1080" s="36" t="str" cm="1">
        <f t="array" aca="1" ref="T1080" ca="1">IF(L1080&lt;=$P$1,K1080,IF(L1080&lt;=($P$1+1),INDIRECT("K"&amp;5+$W$2),""))</f>
        <v/>
      </c>
      <c r="U1080" s="38">
        <f t="shared" si="121"/>
        <v>90</v>
      </c>
    </row>
    <row r="1081" spans="11:21" hidden="1" x14ac:dyDescent="0.25">
      <c r="K1081" s="36">
        <f t="shared" ca="1" si="123"/>
        <v>78963</v>
      </c>
      <c r="L1081" s="19">
        <v>1076</v>
      </c>
      <c r="M1081" s="19">
        <f t="shared" si="122"/>
        <v>0</v>
      </c>
      <c r="N1081" s="37">
        <f t="shared" si="119"/>
        <v>0</v>
      </c>
      <c r="O1081" s="37">
        <f t="shared" si="124"/>
        <v>0</v>
      </c>
      <c r="P1081" s="55" cm="1">
        <f t="array" aca="1" ref="P1081" ca="1">IF((L1081-$C$16)&gt;0, IF($P$1+$C$16&gt;=L1081,INDIRECT("M"&amp;(L1081-$C$16)+5),0),0)</f>
        <v>0</v>
      </c>
      <c r="Q1081" s="56" cm="1">
        <f t="array" aca="1" ref="Q1081" ca="1">IF(L1081&lt;=$C$16,0,IF($W$2&gt;=L1081,IF(L1081&lt;=($P$1+$C$16),INDIRECT("N"&amp;(L1081-$C$16)+5),FV(SRate,L1081-$P$1-$C$16,0,-$W$1,1)),0))</f>
        <v>0</v>
      </c>
      <c r="R1081" s="56">
        <f t="shared" ca="1" si="118"/>
        <v>0</v>
      </c>
      <c r="S1081" s="19">
        <f t="shared" si="120"/>
        <v>0</v>
      </c>
      <c r="T1081" s="36" t="str" cm="1">
        <f t="array" aca="1" ref="T1081" ca="1">IF(L1081&lt;=$P$1,K1081,IF(L1081&lt;=($P$1+1),INDIRECT("K"&amp;5+$W$2),""))</f>
        <v/>
      </c>
      <c r="U1081" s="38">
        <f t="shared" si="121"/>
        <v>90</v>
      </c>
    </row>
    <row r="1082" spans="11:21" hidden="1" x14ac:dyDescent="0.25">
      <c r="K1082" s="36">
        <f t="shared" ca="1" si="123"/>
        <v>78994</v>
      </c>
      <c r="L1082" s="19">
        <v>1077</v>
      </c>
      <c r="M1082" s="19">
        <f t="shared" si="122"/>
        <v>0</v>
      </c>
      <c r="N1082" s="37">
        <f t="shared" si="119"/>
        <v>0</v>
      </c>
      <c r="O1082" s="37">
        <f t="shared" si="124"/>
        <v>0</v>
      </c>
      <c r="P1082" s="55" cm="1">
        <f t="array" aca="1" ref="P1082" ca="1">IF((L1082-$C$16)&gt;0, IF($P$1+$C$16&gt;=L1082,INDIRECT("M"&amp;(L1082-$C$16)+5),0),0)</f>
        <v>0</v>
      </c>
      <c r="Q1082" s="56" cm="1">
        <f t="array" aca="1" ref="Q1082" ca="1">IF(L1082&lt;=$C$16,0,IF($W$2&gt;=L1082,IF(L1082&lt;=($P$1+$C$16),INDIRECT("N"&amp;(L1082-$C$16)+5),FV(SRate,L1082-$P$1-$C$16,0,-$W$1,1)),0))</f>
        <v>0</v>
      </c>
      <c r="R1082" s="56">
        <f t="shared" ca="1" si="118"/>
        <v>0</v>
      </c>
      <c r="S1082" s="19">
        <f t="shared" si="120"/>
        <v>0</v>
      </c>
      <c r="T1082" s="36" t="str" cm="1">
        <f t="array" aca="1" ref="T1082" ca="1">IF(L1082&lt;=$P$1,K1082,IF(L1082&lt;=($P$1+1),INDIRECT("K"&amp;5+$W$2),""))</f>
        <v/>
      </c>
      <c r="U1082" s="38">
        <f t="shared" si="121"/>
        <v>90</v>
      </c>
    </row>
    <row r="1083" spans="11:21" hidden="1" x14ac:dyDescent="0.25">
      <c r="K1083" s="36">
        <f t="shared" ca="1" si="123"/>
        <v>79024</v>
      </c>
      <c r="L1083" s="19">
        <v>1078</v>
      </c>
      <c r="M1083" s="19">
        <f t="shared" si="122"/>
        <v>0</v>
      </c>
      <c r="N1083" s="37">
        <f t="shared" si="119"/>
        <v>0</v>
      </c>
      <c r="O1083" s="37">
        <f t="shared" si="124"/>
        <v>0</v>
      </c>
      <c r="P1083" s="55" cm="1">
        <f t="array" aca="1" ref="P1083" ca="1">IF((L1083-$C$16)&gt;0, IF($P$1+$C$16&gt;=L1083,INDIRECT("M"&amp;(L1083-$C$16)+5),0),0)</f>
        <v>0</v>
      </c>
      <c r="Q1083" s="56" cm="1">
        <f t="array" aca="1" ref="Q1083" ca="1">IF(L1083&lt;=$C$16,0,IF($W$2&gt;=L1083,IF(L1083&lt;=($P$1+$C$16),INDIRECT("N"&amp;(L1083-$C$16)+5),FV(SRate,L1083-$P$1-$C$16,0,-$W$1,1)),0))</f>
        <v>0</v>
      </c>
      <c r="R1083" s="56">
        <f t="shared" ca="1" si="118"/>
        <v>0</v>
      </c>
      <c r="S1083" s="19">
        <f t="shared" si="120"/>
        <v>0</v>
      </c>
      <c r="T1083" s="36" t="str" cm="1">
        <f t="array" aca="1" ref="T1083" ca="1">IF(L1083&lt;=$P$1,K1083,IF(L1083&lt;=($P$1+1),INDIRECT("K"&amp;5+$W$2),""))</f>
        <v/>
      </c>
      <c r="U1083" s="38">
        <f t="shared" si="121"/>
        <v>90</v>
      </c>
    </row>
    <row r="1084" spans="11:21" hidden="1" x14ac:dyDescent="0.25">
      <c r="K1084" s="36">
        <f t="shared" ca="1" si="123"/>
        <v>79055</v>
      </c>
      <c r="L1084" s="19">
        <v>1079</v>
      </c>
      <c r="M1084" s="19">
        <f t="shared" si="122"/>
        <v>0</v>
      </c>
      <c r="N1084" s="37">
        <f t="shared" si="119"/>
        <v>0</v>
      </c>
      <c r="O1084" s="37">
        <f t="shared" si="124"/>
        <v>0</v>
      </c>
      <c r="P1084" s="55" cm="1">
        <f t="array" aca="1" ref="P1084" ca="1">IF((L1084-$C$16)&gt;0, IF($P$1+$C$16&gt;=L1084,INDIRECT("M"&amp;(L1084-$C$16)+5),0),0)</f>
        <v>0</v>
      </c>
      <c r="Q1084" s="56" cm="1">
        <f t="array" aca="1" ref="Q1084" ca="1">IF(L1084&lt;=$C$16,0,IF($W$2&gt;=L1084,IF(L1084&lt;=($P$1+$C$16),INDIRECT("N"&amp;(L1084-$C$16)+5),FV(SRate,L1084-$P$1-$C$16,0,-$W$1,1)),0))</f>
        <v>0</v>
      </c>
      <c r="R1084" s="56">
        <f t="shared" ca="1" si="118"/>
        <v>0</v>
      </c>
      <c r="S1084" s="19">
        <f t="shared" si="120"/>
        <v>0</v>
      </c>
      <c r="T1084" s="36" t="str" cm="1">
        <f t="array" aca="1" ref="T1084" ca="1">IF(L1084&lt;=$P$1,K1084,IF(L1084&lt;=($P$1+1),INDIRECT("K"&amp;5+$W$2),""))</f>
        <v/>
      </c>
      <c r="U1084" s="38">
        <f t="shared" si="121"/>
        <v>90</v>
      </c>
    </row>
    <row r="1085" spans="11:21" hidden="1" x14ac:dyDescent="0.25">
      <c r="K1085" s="36">
        <f t="shared" ca="1" si="123"/>
        <v>79085</v>
      </c>
      <c r="L1085" s="19">
        <v>1080</v>
      </c>
      <c r="M1085" s="19">
        <f t="shared" si="122"/>
        <v>0</v>
      </c>
      <c r="N1085" s="37">
        <f t="shared" si="119"/>
        <v>0</v>
      </c>
      <c r="O1085" s="37">
        <f t="shared" si="124"/>
        <v>0</v>
      </c>
      <c r="P1085" s="55" cm="1">
        <f t="array" aca="1" ref="P1085" ca="1">IF((L1085-$C$16)&gt;0, IF($P$1+$C$16&gt;=L1085,INDIRECT("M"&amp;(L1085-$C$16)+5),0),0)</f>
        <v>0</v>
      </c>
      <c r="Q1085" s="56" cm="1">
        <f t="array" aca="1" ref="Q1085" ca="1">IF(L1085&lt;=$C$16,0,IF($W$2&gt;=L1085,IF(L1085&lt;=($P$1+$C$16),INDIRECT("N"&amp;(L1085-$C$16)+5),FV(SRate,L1085-$P$1-$C$16,0,-$W$1,1)),0))</f>
        <v>0</v>
      </c>
      <c r="R1085" s="56">
        <f t="shared" ca="1" si="118"/>
        <v>0</v>
      </c>
      <c r="S1085" s="19">
        <f t="shared" si="120"/>
        <v>0</v>
      </c>
      <c r="T1085" s="36" t="str" cm="1">
        <f t="array" aca="1" ref="T1085" ca="1">IF(L1085&lt;=$P$1,K1085,IF(L1085&lt;=($P$1+1),INDIRECT("K"&amp;5+$W$2),""))</f>
        <v/>
      </c>
      <c r="U1085" s="38">
        <f t="shared" si="121"/>
        <v>90</v>
      </c>
    </row>
    <row r="1086" spans="11:21" hidden="1" x14ac:dyDescent="0.25">
      <c r="K1086" s="36">
        <f t="shared" ca="1" si="123"/>
        <v>79116</v>
      </c>
      <c r="L1086" s="19">
        <v>1081</v>
      </c>
      <c r="M1086" s="19">
        <f t="shared" si="122"/>
        <v>0</v>
      </c>
      <c r="N1086" s="37">
        <f t="shared" si="119"/>
        <v>0</v>
      </c>
      <c r="O1086" s="37">
        <f t="shared" si="124"/>
        <v>0</v>
      </c>
      <c r="P1086" s="55" cm="1">
        <f t="array" aca="1" ref="P1086" ca="1">IF((L1086-$C$16)&gt;0, IF($P$1+$C$16&gt;=L1086,INDIRECT("M"&amp;(L1086-$C$16)+5),0),0)</f>
        <v>0</v>
      </c>
      <c r="Q1086" s="56" cm="1">
        <f t="array" aca="1" ref="Q1086" ca="1">IF(L1086&lt;=$C$16,0,IF($W$2&gt;=L1086,IF(L1086&lt;=($P$1+$C$16),INDIRECT("N"&amp;(L1086-$C$16)+5),FV(SRate,L1086-$P$1-$C$16,0,-$W$1,1)),0))</f>
        <v>0</v>
      </c>
      <c r="R1086" s="56">
        <f t="shared" ca="1" si="118"/>
        <v>0</v>
      </c>
      <c r="S1086" s="19">
        <f t="shared" si="120"/>
        <v>0</v>
      </c>
      <c r="T1086" s="36" t="str" cm="1">
        <f t="array" aca="1" ref="T1086" ca="1">IF(L1086&lt;=$P$1,K1086,IF(L1086&lt;=($P$1+1),INDIRECT("K"&amp;5+$W$2),""))</f>
        <v/>
      </c>
      <c r="U1086" s="38">
        <f t="shared" si="121"/>
        <v>91</v>
      </c>
    </row>
    <row r="1087" spans="11:21" hidden="1" x14ac:dyDescent="0.25">
      <c r="K1087" s="36">
        <f t="shared" ca="1" si="123"/>
        <v>79147</v>
      </c>
      <c r="L1087" s="19">
        <v>1082</v>
      </c>
      <c r="M1087" s="19">
        <f t="shared" si="122"/>
        <v>0</v>
      </c>
      <c r="N1087" s="37">
        <f t="shared" si="119"/>
        <v>0</v>
      </c>
      <c r="O1087" s="37">
        <f t="shared" si="124"/>
        <v>0</v>
      </c>
      <c r="P1087" s="55" cm="1">
        <f t="array" aca="1" ref="P1087" ca="1">IF((L1087-$C$16)&gt;0, IF($P$1+$C$16&gt;=L1087,INDIRECT("M"&amp;(L1087-$C$16)+5),0),0)</f>
        <v>0</v>
      </c>
      <c r="Q1087" s="56" cm="1">
        <f t="array" aca="1" ref="Q1087" ca="1">IF(L1087&lt;=$C$16,0,IF($W$2&gt;=L1087,IF(L1087&lt;=($P$1+$C$16),INDIRECT("N"&amp;(L1087-$C$16)+5),FV(SRate,L1087-$P$1-$C$16,0,-$W$1,1)),0))</f>
        <v>0</v>
      </c>
      <c r="R1087" s="56">
        <f t="shared" ca="1" si="118"/>
        <v>0</v>
      </c>
      <c r="S1087" s="19">
        <f t="shared" si="120"/>
        <v>0</v>
      </c>
      <c r="T1087" s="36" t="str" cm="1">
        <f t="array" aca="1" ref="T1087" ca="1">IF(L1087&lt;=$P$1,K1087,IF(L1087&lt;=($P$1+1),INDIRECT("K"&amp;5+$W$2),""))</f>
        <v/>
      </c>
      <c r="U1087" s="38">
        <f t="shared" si="121"/>
        <v>91</v>
      </c>
    </row>
    <row r="1088" spans="11:21" hidden="1" x14ac:dyDescent="0.25">
      <c r="K1088" s="36">
        <f t="shared" ca="1" si="123"/>
        <v>79177</v>
      </c>
      <c r="L1088" s="19">
        <v>1083</v>
      </c>
      <c r="M1088" s="19">
        <f t="shared" si="122"/>
        <v>0</v>
      </c>
      <c r="N1088" s="37">
        <f t="shared" si="119"/>
        <v>0</v>
      </c>
      <c r="O1088" s="37">
        <f t="shared" si="124"/>
        <v>0</v>
      </c>
      <c r="P1088" s="55" cm="1">
        <f t="array" aca="1" ref="P1088" ca="1">IF((L1088-$C$16)&gt;0, IF($P$1+$C$16&gt;=L1088,INDIRECT("M"&amp;(L1088-$C$16)+5),0),0)</f>
        <v>0</v>
      </c>
      <c r="Q1088" s="56" cm="1">
        <f t="array" aca="1" ref="Q1088" ca="1">IF(L1088&lt;=$C$16,0,IF($W$2&gt;=L1088,IF(L1088&lt;=($P$1+$C$16),INDIRECT("N"&amp;(L1088-$C$16)+5),FV(SRate,L1088-$P$1-$C$16,0,-$W$1,1)),0))</f>
        <v>0</v>
      </c>
      <c r="R1088" s="56">
        <f t="shared" ca="1" si="118"/>
        <v>0</v>
      </c>
      <c r="S1088" s="19">
        <f t="shared" si="120"/>
        <v>0</v>
      </c>
      <c r="T1088" s="36" t="str" cm="1">
        <f t="array" aca="1" ref="T1088" ca="1">IF(L1088&lt;=$P$1,K1088,IF(L1088&lt;=($P$1+1),INDIRECT("K"&amp;5+$W$2),""))</f>
        <v/>
      </c>
      <c r="U1088" s="38">
        <f t="shared" si="121"/>
        <v>91</v>
      </c>
    </row>
    <row r="1089" spans="11:21" hidden="1" x14ac:dyDescent="0.25">
      <c r="K1089" s="36">
        <f t="shared" ca="1" si="123"/>
        <v>79208</v>
      </c>
      <c r="L1089" s="19">
        <v>1084</v>
      </c>
      <c r="M1089" s="19">
        <f t="shared" si="122"/>
        <v>0</v>
      </c>
      <c r="N1089" s="37">
        <f t="shared" si="119"/>
        <v>0</v>
      </c>
      <c r="O1089" s="37">
        <f t="shared" si="124"/>
        <v>0</v>
      </c>
      <c r="P1089" s="55" cm="1">
        <f t="array" aca="1" ref="P1089" ca="1">IF((L1089-$C$16)&gt;0, IF($P$1+$C$16&gt;=L1089,INDIRECT("M"&amp;(L1089-$C$16)+5),0),0)</f>
        <v>0</v>
      </c>
      <c r="Q1089" s="56" cm="1">
        <f t="array" aca="1" ref="Q1089" ca="1">IF(L1089&lt;=$C$16,0,IF($W$2&gt;=L1089,IF(L1089&lt;=($P$1+$C$16),INDIRECT("N"&amp;(L1089-$C$16)+5),FV(SRate,L1089-$P$1-$C$16,0,-$W$1,1)),0))</f>
        <v>0</v>
      </c>
      <c r="R1089" s="56">
        <f t="shared" ca="1" si="118"/>
        <v>0</v>
      </c>
      <c r="S1089" s="19">
        <f t="shared" si="120"/>
        <v>0</v>
      </c>
      <c r="T1089" s="36" t="str" cm="1">
        <f t="array" aca="1" ref="T1089" ca="1">IF(L1089&lt;=$P$1,K1089,IF(L1089&lt;=($P$1+1),INDIRECT("K"&amp;5+$W$2),""))</f>
        <v/>
      </c>
      <c r="U1089" s="38">
        <f t="shared" si="121"/>
        <v>91</v>
      </c>
    </row>
    <row r="1090" spans="11:21" hidden="1" x14ac:dyDescent="0.25">
      <c r="K1090" s="36">
        <f t="shared" ca="1" si="123"/>
        <v>79238</v>
      </c>
      <c r="L1090" s="19">
        <v>1085</v>
      </c>
      <c r="M1090" s="19">
        <f t="shared" si="122"/>
        <v>0</v>
      </c>
      <c r="N1090" s="37">
        <f t="shared" si="119"/>
        <v>0</v>
      </c>
      <c r="O1090" s="37">
        <f t="shared" si="124"/>
        <v>0</v>
      </c>
      <c r="P1090" s="55" cm="1">
        <f t="array" aca="1" ref="P1090" ca="1">IF((L1090-$C$16)&gt;0, IF($P$1+$C$16&gt;=L1090,INDIRECT("M"&amp;(L1090-$C$16)+5),0),0)</f>
        <v>0</v>
      </c>
      <c r="Q1090" s="56" cm="1">
        <f t="array" aca="1" ref="Q1090" ca="1">IF(L1090&lt;=$C$16,0,IF($W$2&gt;=L1090,IF(L1090&lt;=($P$1+$C$16),INDIRECT("N"&amp;(L1090-$C$16)+5),FV(SRate,L1090-$P$1-$C$16,0,-$W$1,1)),0))</f>
        <v>0</v>
      </c>
      <c r="R1090" s="56">
        <f t="shared" ca="1" si="118"/>
        <v>0</v>
      </c>
      <c r="S1090" s="19">
        <f t="shared" si="120"/>
        <v>0</v>
      </c>
      <c r="T1090" s="36" t="str" cm="1">
        <f t="array" aca="1" ref="T1090" ca="1">IF(L1090&lt;=$P$1,K1090,IF(L1090&lt;=($P$1+1),INDIRECT("K"&amp;5+$W$2),""))</f>
        <v/>
      </c>
      <c r="U1090" s="38">
        <f t="shared" si="121"/>
        <v>91</v>
      </c>
    </row>
    <row r="1091" spans="11:21" hidden="1" x14ac:dyDescent="0.25">
      <c r="K1091" s="36">
        <f t="shared" ca="1" si="123"/>
        <v>79269</v>
      </c>
      <c r="L1091" s="19">
        <v>1086</v>
      </c>
      <c r="M1091" s="19">
        <f t="shared" si="122"/>
        <v>0</v>
      </c>
      <c r="N1091" s="37">
        <f t="shared" si="119"/>
        <v>0</v>
      </c>
      <c r="O1091" s="37">
        <f t="shared" si="124"/>
        <v>0</v>
      </c>
      <c r="P1091" s="55" cm="1">
        <f t="array" aca="1" ref="P1091" ca="1">IF((L1091-$C$16)&gt;0, IF($P$1+$C$16&gt;=L1091,INDIRECT("M"&amp;(L1091-$C$16)+5),0),0)</f>
        <v>0</v>
      </c>
      <c r="Q1091" s="56" cm="1">
        <f t="array" aca="1" ref="Q1091" ca="1">IF(L1091&lt;=$C$16,0,IF($W$2&gt;=L1091,IF(L1091&lt;=($P$1+$C$16),INDIRECT("N"&amp;(L1091-$C$16)+5),FV(SRate,L1091-$P$1-$C$16,0,-$W$1,1)),0))</f>
        <v>0</v>
      </c>
      <c r="R1091" s="56">
        <f t="shared" ca="1" si="118"/>
        <v>0</v>
      </c>
      <c r="S1091" s="19">
        <f t="shared" si="120"/>
        <v>0</v>
      </c>
      <c r="T1091" s="36" t="str" cm="1">
        <f t="array" aca="1" ref="T1091" ca="1">IF(L1091&lt;=$P$1,K1091,IF(L1091&lt;=($P$1+1),INDIRECT("K"&amp;5+$W$2),""))</f>
        <v/>
      </c>
      <c r="U1091" s="38">
        <f t="shared" si="121"/>
        <v>91</v>
      </c>
    </row>
    <row r="1092" spans="11:21" hidden="1" x14ac:dyDescent="0.25">
      <c r="K1092" s="36">
        <f t="shared" ca="1" si="123"/>
        <v>79300</v>
      </c>
      <c r="L1092" s="19">
        <v>1087</v>
      </c>
      <c r="M1092" s="19">
        <f t="shared" si="122"/>
        <v>0</v>
      </c>
      <c r="N1092" s="37">
        <f t="shared" si="119"/>
        <v>0</v>
      </c>
      <c r="O1092" s="37">
        <f t="shared" si="124"/>
        <v>0</v>
      </c>
      <c r="P1092" s="55" cm="1">
        <f t="array" aca="1" ref="P1092" ca="1">IF((L1092-$C$16)&gt;0, IF($P$1+$C$16&gt;=L1092,INDIRECT("M"&amp;(L1092-$C$16)+5),0),0)</f>
        <v>0</v>
      </c>
      <c r="Q1092" s="56" cm="1">
        <f t="array" aca="1" ref="Q1092" ca="1">IF(L1092&lt;=$C$16,0,IF($W$2&gt;=L1092,IF(L1092&lt;=($P$1+$C$16),INDIRECT("N"&amp;(L1092-$C$16)+5),FV(SRate,L1092-$P$1-$C$16,0,-$W$1,1)),0))</f>
        <v>0</v>
      </c>
      <c r="R1092" s="56">
        <f t="shared" ca="1" si="118"/>
        <v>0</v>
      </c>
      <c r="S1092" s="19">
        <f t="shared" si="120"/>
        <v>0</v>
      </c>
      <c r="T1092" s="36" t="str" cm="1">
        <f t="array" aca="1" ref="T1092" ca="1">IF(L1092&lt;=$P$1,K1092,IF(L1092&lt;=($P$1+1),INDIRECT("K"&amp;5+$W$2),""))</f>
        <v/>
      </c>
      <c r="U1092" s="38">
        <f t="shared" si="121"/>
        <v>91</v>
      </c>
    </row>
    <row r="1093" spans="11:21" hidden="1" x14ac:dyDescent="0.25">
      <c r="K1093" s="36">
        <f t="shared" ca="1" si="123"/>
        <v>79328</v>
      </c>
      <c r="L1093" s="19">
        <v>1088</v>
      </c>
      <c r="M1093" s="19">
        <f t="shared" si="122"/>
        <v>0</v>
      </c>
      <c r="N1093" s="37">
        <f t="shared" si="119"/>
        <v>0</v>
      </c>
      <c r="O1093" s="37">
        <f t="shared" si="124"/>
        <v>0</v>
      </c>
      <c r="P1093" s="55" cm="1">
        <f t="array" aca="1" ref="P1093" ca="1">IF((L1093-$C$16)&gt;0, IF($P$1+$C$16&gt;=L1093,INDIRECT("M"&amp;(L1093-$C$16)+5),0),0)</f>
        <v>0</v>
      </c>
      <c r="Q1093" s="56" cm="1">
        <f t="array" aca="1" ref="Q1093" ca="1">IF(L1093&lt;=$C$16,0,IF($W$2&gt;=L1093,IF(L1093&lt;=($P$1+$C$16),INDIRECT("N"&amp;(L1093-$C$16)+5),FV(SRate,L1093-$P$1-$C$16,0,-$W$1,1)),0))</f>
        <v>0</v>
      </c>
      <c r="R1093" s="56">
        <f t="shared" ca="1" si="118"/>
        <v>0</v>
      </c>
      <c r="S1093" s="19">
        <f t="shared" si="120"/>
        <v>0</v>
      </c>
      <c r="T1093" s="36" t="str" cm="1">
        <f t="array" aca="1" ref="T1093" ca="1">IF(L1093&lt;=$P$1,K1093,IF(L1093&lt;=($P$1+1),INDIRECT("K"&amp;5+$W$2),""))</f>
        <v/>
      </c>
      <c r="U1093" s="38">
        <f t="shared" si="121"/>
        <v>91</v>
      </c>
    </row>
    <row r="1094" spans="11:21" hidden="1" x14ac:dyDescent="0.25">
      <c r="K1094" s="36">
        <f t="shared" ca="1" si="123"/>
        <v>79359</v>
      </c>
      <c r="L1094" s="19">
        <v>1089</v>
      </c>
      <c r="M1094" s="19">
        <f t="shared" si="122"/>
        <v>0</v>
      </c>
      <c r="N1094" s="37">
        <f t="shared" si="119"/>
        <v>0</v>
      </c>
      <c r="O1094" s="37">
        <f t="shared" si="124"/>
        <v>0</v>
      </c>
      <c r="P1094" s="55" cm="1">
        <f t="array" aca="1" ref="P1094" ca="1">IF((L1094-$C$16)&gt;0, IF($P$1+$C$16&gt;=L1094,INDIRECT("M"&amp;(L1094-$C$16)+5),0),0)</f>
        <v>0</v>
      </c>
      <c r="Q1094" s="56" cm="1">
        <f t="array" aca="1" ref="Q1094" ca="1">IF(L1094&lt;=$C$16,0,IF($W$2&gt;=L1094,IF(L1094&lt;=($P$1+$C$16),INDIRECT("N"&amp;(L1094-$C$16)+5),FV(SRate,L1094-$P$1-$C$16,0,-$W$1,1)),0))</f>
        <v>0</v>
      </c>
      <c r="R1094" s="56">
        <f t="shared" ref="R1094:R1157" ca="1" si="125">Q1094/((1+SIPInflationRate)^((L1094-$C$16)/12))</f>
        <v>0</v>
      </c>
      <c r="S1094" s="19">
        <f t="shared" si="120"/>
        <v>0</v>
      </c>
      <c r="T1094" s="36" t="str" cm="1">
        <f t="array" aca="1" ref="T1094" ca="1">IF(L1094&lt;=$P$1,K1094,IF(L1094&lt;=($P$1+1),INDIRECT("K"&amp;5+$W$2),""))</f>
        <v/>
      </c>
      <c r="U1094" s="38">
        <f t="shared" si="121"/>
        <v>91</v>
      </c>
    </row>
    <row r="1095" spans="11:21" hidden="1" x14ac:dyDescent="0.25">
      <c r="K1095" s="36">
        <f t="shared" ca="1" si="123"/>
        <v>79389</v>
      </c>
      <c r="L1095" s="19">
        <v>1090</v>
      </c>
      <c r="M1095" s="19">
        <f t="shared" si="122"/>
        <v>0</v>
      </c>
      <c r="N1095" s="37">
        <f t="shared" ref="N1095:N1158" si="126">IF($W$2&gt;=L1095,IF(L1095&lt;=$P$1,(M1095-M1094+N1094)*(1+SRate),FV(SRate,L1095-$P$1,0,-$W$1,1)),0)</f>
        <v>0</v>
      </c>
      <c r="O1095" s="37">
        <f t="shared" si="124"/>
        <v>0</v>
      </c>
      <c r="P1095" s="55" cm="1">
        <f t="array" aca="1" ref="P1095" ca="1">IF((L1095-$C$16)&gt;0, IF($P$1+$C$16&gt;=L1095,INDIRECT("M"&amp;(L1095-$C$16)+5),0),0)</f>
        <v>0</v>
      </c>
      <c r="Q1095" s="56" cm="1">
        <f t="array" aca="1" ref="Q1095" ca="1">IF(L1095&lt;=$C$16,0,IF($W$2&gt;=L1095,IF(L1095&lt;=($P$1+$C$16),INDIRECT("N"&amp;(L1095-$C$16)+5),FV(SRate,L1095-$P$1-$C$16,0,-$W$1,1)),0))</f>
        <v>0</v>
      </c>
      <c r="R1095" s="56">
        <f t="shared" ca="1" si="125"/>
        <v>0</v>
      </c>
      <c r="S1095" s="19">
        <f t="shared" ref="S1095:S1158" si="127">IF(L1095&lt;=$P$1,-(_xlfn.XLOOKUP(U1095,$Z$3:$Z$72,$AB$3:$AB$72,0)),IF(L1095&lt;=($P$1+1),$W$4,0))</f>
        <v>0</v>
      </c>
      <c r="T1095" s="36" t="str" cm="1">
        <f t="array" aca="1" ref="T1095" ca="1">IF(L1095&lt;=$P$1,K1095,IF(L1095&lt;=($P$1+1),INDIRECT("K"&amp;5+$W$2),""))</f>
        <v/>
      </c>
      <c r="U1095" s="38">
        <f t="shared" ref="U1095:U1158" si="128">QUOTIENT(L1095,12)+IF(MOD(L1095,12)=0,-1,0)+1</f>
        <v>91</v>
      </c>
    </row>
    <row r="1096" spans="11:21" hidden="1" x14ac:dyDescent="0.25">
      <c r="K1096" s="36">
        <f t="shared" ca="1" si="123"/>
        <v>79420</v>
      </c>
      <c r="L1096" s="19">
        <v>1091</v>
      </c>
      <c r="M1096" s="19">
        <f t="shared" ref="M1096:M1159" si="129">IF($P$1&gt;=L1096,_xlfn.XLOOKUP(U1096,$Z$3:$Z$72,$AB$3:$AB$72,0)+M1095,0)</f>
        <v>0</v>
      </c>
      <c r="N1096" s="37">
        <f t="shared" si="126"/>
        <v>0</v>
      </c>
      <c r="O1096" s="37">
        <f t="shared" si="124"/>
        <v>0</v>
      </c>
      <c r="P1096" s="55" cm="1">
        <f t="array" aca="1" ref="P1096" ca="1">IF((L1096-$C$16)&gt;0, IF($P$1+$C$16&gt;=L1096,INDIRECT("M"&amp;(L1096-$C$16)+5),0),0)</f>
        <v>0</v>
      </c>
      <c r="Q1096" s="56" cm="1">
        <f t="array" aca="1" ref="Q1096" ca="1">IF(L1096&lt;=$C$16,0,IF($W$2&gt;=L1096,IF(L1096&lt;=($P$1+$C$16),INDIRECT("N"&amp;(L1096-$C$16)+5),FV(SRate,L1096-$P$1-$C$16,0,-$W$1,1)),0))</f>
        <v>0</v>
      </c>
      <c r="R1096" s="56">
        <f t="shared" ca="1" si="125"/>
        <v>0</v>
      </c>
      <c r="S1096" s="19">
        <f t="shared" si="127"/>
        <v>0</v>
      </c>
      <c r="T1096" s="36" t="str" cm="1">
        <f t="array" aca="1" ref="T1096" ca="1">IF(L1096&lt;=$P$1,K1096,IF(L1096&lt;=($P$1+1),INDIRECT("K"&amp;5+$W$2),""))</f>
        <v/>
      </c>
      <c r="U1096" s="38">
        <f t="shared" si="128"/>
        <v>91</v>
      </c>
    </row>
    <row r="1097" spans="11:21" hidden="1" x14ac:dyDescent="0.25">
      <c r="K1097" s="36">
        <f t="shared" ref="K1097:K1160" ca="1" si="130">EDATE(K1096,1)</f>
        <v>79450</v>
      </c>
      <c r="L1097" s="19">
        <v>1092</v>
      </c>
      <c r="M1097" s="19">
        <f t="shared" si="129"/>
        <v>0</v>
      </c>
      <c r="N1097" s="37">
        <f t="shared" si="126"/>
        <v>0</v>
      </c>
      <c r="O1097" s="37">
        <f t="shared" si="124"/>
        <v>0</v>
      </c>
      <c r="P1097" s="55" cm="1">
        <f t="array" aca="1" ref="P1097" ca="1">IF((L1097-$C$16)&gt;0, IF($P$1+$C$16&gt;=L1097,INDIRECT("M"&amp;(L1097-$C$16)+5),0),0)</f>
        <v>0</v>
      </c>
      <c r="Q1097" s="56" cm="1">
        <f t="array" aca="1" ref="Q1097" ca="1">IF(L1097&lt;=$C$16,0,IF($W$2&gt;=L1097,IF(L1097&lt;=($P$1+$C$16),INDIRECT("N"&amp;(L1097-$C$16)+5),FV(SRate,L1097-$P$1-$C$16,0,-$W$1,1)),0))</f>
        <v>0</v>
      </c>
      <c r="R1097" s="56">
        <f t="shared" ca="1" si="125"/>
        <v>0</v>
      </c>
      <c r="S1097" s="19">
        <f t="shared" si="127"/>
        <v>0</v>
      </c>
      <c r="T1097" s="36" t="str" cm="1">
        <f t="array" aca="1" ref="T1097" ca="1">IF(L1097&lt;=$P$1,K1097,IF(L1097&lt;=($P$1+1),INDIRECT("K"&amp;5+$W$2),""))</f>
        <v/>
      </c>
      <c r="U1097" s="38">
        <f t="shared" si="128"/>
        <v>91</v>
      </c>
    </row>
    <row r="1098" spans="11:21" hidden="1" x14ac:dyDescent="0.25">
      <c r="K1098" s="36">
        <f t="shared" ca="1" si="130"/>
        <v>79481</v>
      </c>
      <c r="L1098" s="19">
        <v>1093</v>
      </c>
      <c r="M1098" s="19">
        <f t="shared" si="129"/>
        <v>0</v>
      </c>
      <c r="N1098" s="37">
        <f t="shared" si="126"/>
        <v>0</v>
      </c>
      <c r="O1098" s="37">
        <f t="shared" si="124"/>
        <v>0</v>
      </c>
      <c r="P1098" s="55" cm="1">
        <f t="array" aca="1" ref="P1098" ca="1">IF((L1098-$C$16)&gt;0, IF($P$1+$C$16&gt;=L1098,INDIRECT("M"&amp;(L1098-$C$16)+5),0),0)</f>
        <v>0</v>
      </c>
      <c r="Q1098" s="56" cm="1">
        <f t="array" aca="1" ref="Q1098" ca="1">IF(L1098&lt;=$C$16,0,IF($W$2&gt;=L1098,IF(L1098&lt;=($P$1+$C$16),INDIRECT("N"&amp;(L1098-$C$16)+5),FV(SRate,L1098-$P$1-$C$16,0,-$W$1,1)),0))</f>
        <v>0</v>
      </c>
      <c r="R1098" s="56">
        <f t="shared" ca="1" si="125"/>
        <v>0</v>
      </c>
      <c r="S1098" s="19">
        <f t="shared" si="127"/>
        <v>0</v>
      </c>
      <c r="T1098" s="36" t="str" cm="1">
        <f t="array" aca="1" ref="T1098" ca="1">IF(L1098&lt;=$P$1,K1098,IF(L1098&lt;=($P$1+1),INDIRECT("K"&amp;5+$W$2),""))</f>
        <v/>
      </c>
      <c r="U1098" s="38">
        <f t="shared" si="128"/>
        <v>92</v>
      </c>
    </row>
    <row r="1099" spans="11:21" hidden="1" x14ac:dyDescent="0.25">
      <c r="K1099" s="36">
        <f t="shared" ca="1" si="130"/>
        <v>79512</v>
      </c>
      <c r="L1099" s="19">
        <v>1094</v>
      </c>
      <c r="M1099" s="19">
        <f t="shared" si="129"/>
        <v>0</v>
      </c>
      <c r="N1099" s="37">
        <f t="shared" si="126"/>
        <v>0</v>
      </c>
      <c r="O1099" s="37">
        <f t="shared" si="124"/>
        <v>0</v>
      </c>
      <c r="P1099" s="55" cm="1">
        <f t="array" aca="1" ref="P1099" ca="1">IF((L1099-$C$16)&gt;0, IF($P$1+$C$16&gt;=L1099,INDIRECT("M"&amp;(L1099-$C$16)+5),0),0)</f>
        <v>0</v>
      </c>
      <c r="Q1099" s="56" cm="1">
        <f t="array" aca="1" ref="Q1099" ca="1">IF(L1099&lt;=$C$16,0,IF($W$2&gt;=L1099,IF(L1099&lt;=($P$1+$C$16),INDIRECT("N"&amp;(L1099-$C$16)+5),FV(SRate,L1099-$P$1-$C$16,0,-$W$1,1)),0))</f>
        <v>0</v>
      </c>
      <c r="R1099" s="56">
        <f t="shared" ca="1" si="125"/>
        <v>0</v>
      </c>
      <c r="S1099" s="19">
        <f t="shared" si="127"/>
        <v>0</v>
      </c>
      <c r="T1099" s="36" t="str" cm="1">
        <f t="array" aca="1" ref="T1099" ca="1">IF(L1099&lt;=$P$1,K1099,IF(L1099&lt;=($P$1+1),INDIRECT("K"&amp;5+$W$2),""))</f>
        <v/>
      </c>
      <c r="U1099" s="38">
        <f t="shared" si="128"/>
        <v>92</v>
      </c>
    </row>
    <row r="1100" spans="11:21" hidden="1" x14ac:dyDescent="0.25">
      <c r="K1100" s="36">
        <f t="shared" ca="1" si="130"/>
        <v>79542</v>
      </c>
      <c r="L1100" s="19">
        <v>1095</v>
      </c>
      <c r="M1100" s="19">
        <f t="shared" si="129"/>
        <v>0</v>
      </c>
      <c r="N1100" s="37">
        <f t="shared" si="126"/>
        <v>0</v>
      </c>
      <c r="O1100" s="37">
        <f t="shared" si="124"/>
        <v>0</v>
      </c>
      <c r="P1100" s="55" cm="1">
        <f t="array" aca="1" ref="P1100" ca="1">IF((L1100-$C$16)&gt;0, IF($P$1+$C$16&gt;=L1100,INDIRECT("M"&amp;(L1100-$C$16)+5),0),0)</f>
        <v>0</v>
      </c>
      <c r="Q1100" s="56" cm="1">
        <f t="array" aca="1" ref="Q1100" ca="1">IF(L1100&lt;=$C$16,0,IF($W$2&gt;=L1100,IF(L1100&lt;=($P$1+$C$16),INDIRECT("N"&amp;(L1100-$C$16)+5),FV(SRate,L1100-$P$1-$C$16,0,-$W$1,1)),0))</f>
        <v>0</v>
      </c>
      <c r="R1100" s="56">
        <f t="shared" ca="1" si="125"/>
        <v>0</v>
      </c>
      <c r="S1100" s="19">
        <f t="shared" si="127"/>
        <v>0</v>
      </c>
      <c r="T1100" s="36" t="str" cm="1">
        <f t="array" aca="1" ref="T1100" ca="1">IF(L1100&lt;=$P$1,K1100,IF(L1100&lt;=($P$1+1),INDIRECT("K"&amp;5+$W$2),""))</f>
        <v/>
      </c>
      <c r="U1100" s="38">
        <f t="shared" si="128"/>
        <v>92</v>
      </c>
    </row>
    <row r="1101" spans="11:21" hidden="1" x14ac:dyDescent="0.25">
      <c r="K1101" s="36">
        <f t="shared" ca="1" si="130"/>
        <v>79573</v>
      </c>
      <c r="L1101" s="19">
        <v>1096</v>
      </c>
      <c r="M1101" s="19">
        <f t="shared" si="129"/>
        <v>0</v>
      </c>
      <c r="N1101" s="37">
        <f t="shared" si="126"/>
        <v>0</v>
      </c>
      <c r="O1101" s="37">
        <f t="shared" si="124"/>
        <v>0</v>
      </c>
      <c r="P1101" s="55" cm="1">
        <f t="array" aca="1" ref="P1101" ca="1">IF((L1101-$C$16)&gt;0, IF($P$1+$C$16&gt;=L1101,INDIRECT("M"&amp;(L1101-$C$16)+5),0),0)</f>
        <v>0</v>
      </c>
      <c r="Q1101" s="56" cm="1">
        <f t="array" aca="1" ref="Q1101" ca="1">IF(L1101&lt;=$C$16,0,IF($W$2&gt;=L1101,IF(L1101&lt;=($P$1+$C$16),INDIRECT("N"&amp;(L1101-$C$16)+5),FV(SRate,L1101-$P$1-$C$16,0,-$W$1,1)),0))</f>
        <v>0</v>
      </c>
      <c r="R1101" s="56">
        <f t="shared" ca="1" si="125"/>
        <v>0</v>
      </c>
      <c r="S1101" s="19">
        <f t="shared" si="127"/>
        <v>0</v>
      </c>
      <c r="T1101" s="36" t="str" cm="1">
        <f t="array" aca="1" ref="T1101" ca="1">IF(L1101&lt;=$P$1,K1101,IF(L1101&lt;=($P$1+1),INDIRECT("K"&amp;5+$W$2),""))</f>
        <v/>
      </c>
      <c r="U1101" s="38">
        <f t="shared" si="128"/>
        <v>92</v>
      </c>
    </row>
    <row r="1102" spans="11:21" hidden="1" x14ac:dyDescent="0.25">
      <c r="K1102" s="36">
        <f t="shared" ca="1" si="130"/>
        <v>79603</v>
      </c>
      <c r="L1102" s="19">
        <v>1097</v>
      </c>
      <c r="M1102" s="19">
        <f t="shared" si="129"/>
        <v>0</v>
      </c>
      <c r="N1102" s="37">
        <f t="shared" si="126"/>
        <v>0</v>
      </c>
      <c r="O1102" s="37">
        <f t="shared" si="124"/>
        <v>0</v>
      </c>
      <c r="P1102" s="55" cm="1">
        <f t="array" aca="1" ref="P1102" ca="1">IF((L1102-$C$16)&gt;0, IF($P$1+$C$16&gt;=L1102,INDIRECT("M"&amp;(L1102-$C$16)+5),0),0)</f>
        <v>0</v>
      </c>
      <c r="Q1102" s="56" cm="1">
        <f t="array" aca="1" ref="Q1102" ca="1">IF(L1102&lt;=$C$16,0,IF($W$2&gt;=L1102,IF(L1102&lt;=($P$1+$C$16),INDIRECT("N"&amp;(L1102-$C$16)+5),FV(SRate,L1102-$P$1-$C$16,0,-$W$1,1)),0))</f>
        <v>0</v>
      </c>
      <c r="R1102" s="56">
        <f t="shared" ca="1" si="125"/>
        <v>0</v>
      </c>
      <c r="S1102" s="19">
        <f t="shared" si="127"/>
        <v>0</v>
      </c>
      <c r="T1102" s="36" t="str" cm="1">
        <f t="array" aca="1" ref="T1102" ca="1">IF(L1102&lt;=$P$1,K1102,IF(L1102&lt;=($P$1+1),INDIRECT("K"&amp;5+$W$2),""))</f>
        <v/>
      </c>
      <c r="U1102" s="38">
        <f t="shared" si="128"/>
        <v>92</v>
      </c>
    </row>
    <row r="1103" spans="11:21" hidden="1" x14ac:dyDescent="0.25">
      <c r="K1103" s="36">
        <f t="shared" ca="1" si="130"/>
        <v>79634</v>
      </c>
      <c r="L1103" s="19">
        <v>1098</v>
      </c>
      <c r="M1103" s="19">
        <f t="shared" si="129"/>
        <v>0</v>
      </c>
      <c r="N1103" s="37">
        <f t="shared" si="126"/>
        <v>0</v>
      </c>
      <c r="O1103" s="37">
        <f t="shared" si="124"/>
        <v>0</v>
      </c>
      <c r="P1103" s="55" cm="1">
        <f t="array" aca="1" ref="P1103" ca="1">IF((L1103-$C$16)&gt;0, IF($P$1+$C$16&gt;=L1103,INDIRECT("M"&amp;(L1103-$C$16)+5),0),0)</f>
        <v>0</v>
      </c>
      <c r="Q1103" s="56" cm="1">
        <f t="array" aca="1" ref="Q1103" ca="1">IF(L1103&lt;=$C$16,0,IF($W$2&gt;=L1103,IF(L1103&lt;=($P$1+$C$16),INDIRECT("N"&amp;(L1103-$C$16)+5),FV(SRate,L1103-$P$1-$C$16,0,-$W$1,1)),0))</f>
        <v>0</v>
      </c>
      <c r="R1103" s="56">
        <f t="shared" ca="1" si="125"/>
        <v>0</v>
      </c>
      <c r="S1103" s="19">
        <f t="shared" si="127"/>
        <v>0</v>
      </c>
      <c r="T1103" s="36" t="str" cm="1">
        <f t="array" aca="1" ref="T1103" ca="1">IF(L1103&lt;=$P$1,K1103,IF(L1103&lt;=($P$1+1),INDIRECT("K"&amp;5+$W$2),""))</f>
        <v/>
      </c>
      <c r="U1103" s="38">
        <f t="shared" si="128"/>
        <v>92</v>
      </c>
    </row>
    <row r="1104" spans="11:21" hidden="1" x14ac:dyDescent="0.25">
      <c r="K1104" s="36">
        <f t="shared" ca="1" si="130"/>
        <v>79665</v>
      </c>
      <c r="L1104" s="19">
        <v>1099</v>
      </c>
      <c r="M1104" s="19">
        <f t="shared" si="129"/>
        <v>0</v>
      </c>
      <c r="N1104" s="37">
        <f t="shared" si="126"/>
        <v>0</v>
      </c>
      <c r="O1104" s="37">
        <f t="shared" si="124"/>
        <v>0</v>
      </c>
      <c r="P1104" s="55" cm="1">
        <f t="array" aca="1" ref="P1104" ca="1">IF((L1104-$C$16)&gt;0, IF($P$1+$C$16&gt;=L1104,INDIRECT("M"&amp;(L1104-$C$16)+5),0),0)</f>
        <v>0</v>
      </c>
      <c r="Q1104" s="56" cm="1">
        <f t="array" aca="1" ref="Q1104" ca="1">IF(L1104&lt;=$C$16,0,IF($W$2&gt;=L1104,IF(L1104&lt;=($P$1+$C$16),INDIRECT("N"&amp;(L1104-$C$16)+5),FV(SRate,L1104-$P$1-$C$16,0,-$W$1,1)),0))</f>
        <v>0</v>
      </c>
      <c r="R1104" s="56">
        <f t="shared" ca="1" si="125"/>
        <v>0</v>
      </c>
      <c r="S1104" s="19">
        <f t="shared" si="127"/>
        <v>0</v>
      </c>
      <c r="T1104" s="36" t="str" cm="1">
        <f t="array" aca="1" ref="T1104" ca="1">IF(L1104&lt;=$P$1,K1104,IF(L1104&lt;=($P$1+1),INDIRECT("K"&amp;5+$W$2),""))</f>
        <v/>
      </c>
      <c r="U1104" s="38">
        <f t="shared" si="128"/>
        <v>92</v>
      </c>
    </row>
    <row r="1105" spans="11:21" hidden="1" x14ac:dyDescent="0.25">
      <c r="K1105" s="36">
        <f t="shared" ca="1" si="130"/>
        <v>79693</v>
      </c>
      <c r="L1105" s="19">
        <v>1100</v>
      </c>
      <c r="M1105" s="19">
        <f t="shared" si="129"/>
        <v>0</v>
      </c>
      <c r="N1105" s="37">
        <f t="shared" si="126"/>
        <v>0</v>
      </c>
      <c r="O1105" s="37">
        <f t="shared" si="124"/>
        <v>0</v>
      </c>
      <c r="P1105" s="55" cm="1">
        <f t="array" aca="1" ref="P1105" ca="1">IF((L1105-$C$16)&gt;0, IF($P$1+$C$16&gt;=L1105,INDIRECT("M"&amp;(L1105-$C$16)+5),0),0)</f>
        <v>0</v>
      </c>
      <c r="Q1105" s="56" cm="1">
        <f t="array" aca="1" ref="Q1105" ca="1">IF(L1105&lt;=$C$16,0,IF($W$2&gt;=L1105,IF(L1105&lt;=($P$1+$C$16),INDIRECT("N"&amp;(L1105-$C$16)+5),FV(SRate,L1105-$P$1-$C$16,0,-$W$1,1)),0))</f>
        <v>0</v>
      </c>
      <c r="R1105" s="56">
        <f t="shared" ca="1" si="125"/>
        <v>0</v>
      </c>
      <c r="S1105" s="19">
        <f t="shared" si="127"/>
        <v>0</v>
      </c>
      <c r="T1105" s="36" t="str" cm="1">
        <f t="array" aca="1" ref="T1105" ca="1">IF(L1105&lt;=$P$1,K1105,IF(L1105&lt;=($P$1+1),INDIRECT("K"&amp;5+$W$2),""))</f>
        <v/>
      </c>
      <c r="U1105" s="38">
        <f t="shared" si="128"/>
        <v>92</v>
      </c>
    </row>
    <row r="1106" spans="11:21" hidden="1" x14ac:dyDescent="0.25">
      <c r="K1106" s="36">
        <f t="shared" ca="1" si="130"/>
        <v>79724</v>
      </c>
      <c r="L1106" s="19">
        <v>1101</v>
      </c>
      <c r="M1106" s="19">
        <f t="shared" si="129"/>
        <v>0</v>
      </c>
      <c r="N1106" s="37">
        <f t="shared" si="126"/>
        <v>0</v>
      </c>
      <c r="O1106" s="37">
        <f t="shared" si="124"/>
        <v>0</v>
      </c>
      <c r="P1106" s="55" cm="1">
        <f t="array" aca="1" ref="P1106" ca="1">IF((L1106-$C$16)&gt;0, IF($P$1+$C$16&gt;=L1106,INDIRECT("M"&amp;(L1106-$C$16)+5),0),0)</f>
        <v>0</v>
      </c>
      <c r="Q1106" s="56" cm="1">
        <f t="array" aca="1" ref="Q1106" ca="1">IF(L1106&lt;=$C$16,0,IF($W$2&gt;=L1106,IF(L1106&lt;=($P$1+$C$16),INDIRECT("N"&amp;(L1106-$C$16)+5),FV(SRate,L1106-$P$1-$C$16,0,-$W$1,1)),0))</f>
        <v>0</v>
      </c>
      <c r="R1106" s="56">
        <f t="shared" ca="1" si="125"/>
        <v>0</v>
      </c>
      <c r="S1106" s="19">
        <f t="shared" si="127"/>
        <v>0</v>
      </c>
      <c r="T1106" s="36" t="str" cm="1">
        <f t="array" aca="1" ref="T1106" ca="1">IF(L1106&lt;=$P$1,K1106,IF(L1106&lt;=($P$1+1),INDIRECT("K"&amp;5+$W$2),""))</f>
        <v/>
      </c>
      <c r="U1106" s="38">
        <f t="shared" si="128"/>
        <v>92</v>
      </c>
    </row>
    <row r="1107" spans="11:21" hidden="1" x14ac:dyDescent="0.25">
      <c r="K1107" s="36">
        <f t="shared" ca="1" si="130"/>
        <v>79754</v>
      </c>
      <c r="L1107" s="19">
        <v>1102</v>
      </c>
      <c r="M1107" s="19">
        <f t="shared" si="129"/>
        <v>0</v>
      </c>
      <c r="N1107" s="37">
        <f t="shared" si="126"/>
        <v>0</v>
      </c>
      <c r="O1107" s="37">
        <f t="shared" si="124"/>
        <v>0</v>
      </c>
      <c r="P1107" s="55" cm="1">
        <f t="array" aca="1" ref="P1107" ca="1">IF((L1107-$C$16)&gt;0, IF($P$1+$C$16&gt;=L1107,INDIRECT("M"&amp;(L1107-$C$16)+5),0),0)</f>
        <v>0</v>
      </c>
      <c r="Q1107" s="56" cm="1">
        <f t="array" aca="1" ref="Q1107" ca="1">IF(L1107&lt;=$C$16,0,IF($W$2&gt;=L1107,IF(L1107&lt;=($P$1+$C$16),INDIRECT("N"&amp;(L1107-$C$16)+5),FV(SRate,L1107-$P$1-$C$16,0,-$W$1,1)),0))</f>
        <v>0</v>
      </c>
      <c r="R1107" s="56">
        <f t="shared" ca="1" si="125"/>
        <v>0</v>
      </c>
      <c r="S1107" s="19">
        <f t="shared" si="127"/>
        <v>0</v>
      </c>
      <c r="T1107" s="36" t="str" cm="1">
        <f t="array" aca="1" ref="T1107" ca="1">IF(L1107&lt;=$P$1,K1107,IF(L1107&lt;=($P$1+1),INDIRECT("K"&amp;5+$W$2),""))</f>
        <v/>
      </c>
      <c r="U1107" s="38">
        <f t="shared" si="128"/>
        <v>92</v>
      </c>
    </row>
    <row r="1108" spans="11:21" hidden="1" x14ac:dyDescent="0.25">
      <c r="K1108" s="36">
        <f t="shared" ca="1" si="130"/>
        <v>79785</v>
      </c>
      <c r="L1108" s="19">
        <v>1103</v>
      </c>
      <c r="M1108" s="19">
        <f t="shared" si="129"/>
        <v>0</v>
      </c>
      <c r="N1108" s="37">
        <f t="shared" si="126"/>
        <v>0</v>
      </c>
      <c r="O1108" s="37">
        <f t="shared" si="124"/>
        <v>0</v>
      </c>
      <c r="P1108" s="55" cm="1">
        <f t="array" aca="1" ref="P1108" ca="1">IF((L1108-$C$16)&gt;0, IF($P$1+$C$16&gt;=L1108,INDIRECT("M"&amp;(L1108-$C$16)+5),0),0)</f>
        <v>0</v>
      </c>
      <c r="Q1108" s="56" cm="1">
        <f t="array" aca="1" ref="Q1108" ca="1">IF(L1108&lt;=$C$16,0,IF($W$2&gt;=L1108,IF(L1108&lt;=($P$1+$C$16),INDIRECT("N"&amp;(L1108-$C$16)+5),FV(SRate,L1108-$P$1-$C$16,0,-$W$1,1)),0))</f>
        <v>0</v>
      </c>
      <c r="R1108" s="56">
        <f t="shared" ca="1" si="125"/>
        <v>0</v>
      </c>
      <c r="S1108" s="19">
        <f t="shared" si="127"/>
        <v>0</v>
      </c>
      <c r="T1108" s="36" t="str" cm="1">
        <f t="array" aca="1" ref="T1108" ca="1">IF(L1108&lt;=$P$1,K1108,IF(L1108&lt;=($P$1+1),INDIRECT("K"&amp;5+$W$2),""))</f>
        <v/>
      </c>
      <c r="U1108" s="38">
        <f t="shared" si="128"/>
        <v>92</v>
      </c>
    </row>
    <row r="1109" spans="11:21" hidden="1" x14ac:dyDescent="0.25">
      <c r="K1109" s="36">
        <f t="shared" ca="1" si="130"/>
        <v>79815</v>
      </c>
      <c r="L1109" s="19">
        <v>1104</v>
      </c>
      <c r="M1109" s="19">
        <f t="shared" si="129"/>
        <v>0</v>
      </c>
      <c r="N1109" s="37">
        <f t="shared" si="126"/>
        <v>0</v>
      </c>
      <c r="O1109" s="37">
        <f t="shared" si="124"/>
        <v>0</v>
      </c>
      <c r="P1109" s="55" cm="1">
        <f t="array" aca="1" ref="P1109" ca="1">IF((L1109-$C$16)&gt;0, IF($P$1+$C$16&gt;=L1109,INDIRECT("M"&amp;(L1109-$C$16)+5),0),0)</f>
        <v>0</v>
      </c>
      <c r="Q1109" s="56" cm="1">
        <f t="array" aca="1" ref="Q1109" ca="1">IF(L1109&lt;=$C$16,0,IF($W$2&gt;=L1109,IF(L1109&lt;=($P$1+$C$16),INDIRECT("N"&amp;(L1109-$C$16)+5),FV(SRate,L1109-$P$1-$C$16,0,-$W$1,1)),0))</f>
        <v>0</v>
      </c>
      <c r="R1109" s="56">
        <f t="shared" ca="1" si="125"/>
        <v>0</v>
      </c>
      <c r="S1109" s="19">
        <f t="shared" si="127"/>
        <v>0</v>
      </c>
      <c r="T1109" s="36" t="str" cm="1">
        <f t="array" aca="1" ref="T1109" ca="1">IF(L1109&lt;=$P$1,K1109,IF(L1109&lt;=($P$1+1),INDIRECT("K"&amp;5+$W$2),""))</f>
        <v/>
      </c>
      <c r="U1109" s="38">
        <f t="shared" si="128"/>
        <v>92</v>
      </c>
    </row>
    <row r="1110" spans="11:21" hidden="1" x14ac:dyDescent="0.25">
      <c r="K1110" s="36">
        <f t="shared" ca="1" si="130"/>
        <v>79846</v>
      </c>
      <c r="L1110" s="19">
        <v>1105</v>
      </c>
      <c r="M1110" s="19">
        <f t="shared" si="129"/>
        <v>0</v>
      </c>
      <c r="N1110" s="37">
        <f t="shared" si="126"/>
        <v>0</v>
      </c>
      <c r="O1110" s="37">
        <f t="shared" si="124"/>
        <v>0</v>
      </c>
      <c r="P1110" s="55" cm="1">
        <f t="array" aca="1" ref="P1110" ca="1">IF((L1110-$C$16)&gt;0, IF($P$1+$C$16&gt;=L1110,INDIRECT("M"&amp;(L1110-$C$16)+5),0),0)</f>
        <v>0</v>
      </c>
      <c r="Q1110" s="56" cm="1">
        <f t="array" aca="1" ref="Q1110" ca="1">IF(L1110&lt;=$C$16,0,IF($W$2&gt;=L1110,IF(L1110&lt;=($P$1+$C$16),INDIRECT("N"&amp;(L1110-$C$16)+5),FV(SRate,L1110-$P$1-$C$16,0,-$W$1,1)),0))</f>
        <v>0</v>
      </c>
      <c r="R1110" s="56">
        <f t="shared" ca="1" si="125"/>
        <v>0</v>
      </c>
      <c r="S1110" s="19">
        <f t="shared" si="127"/>
        <v>0</v>
      </c>
      <c r="T1110" s="36" t="str" cm="1">
        <f t="array" aca="1" ref="T1110" ca="1">IF(L1110&lt;=$P$1,K1110,IF(L1110&lt;=($P$1+1),INDIRECT("K"&amp;5+$W$2),""))</f>
        <v/>
      </c>
      <c r="U1110" s="38">
        <f t="shared" si="128"/>
        <v>93</v>
      </c>
    </row>
    <row r="1111" spans="11:21" hidden="1" x14ac:dyDescent="0.25">
      <c r="K1111" s="36">
        <f t="shared" ca="1" si="130"/>
        <v>79877</v>
      </c>
      <c r="L1111" s="19">
        <v>1106</v>
      </c>
      <c r="M1111" s="19">
        <f t="shared" si="129"/>
        <v>0</v>
      </c>
      <c r="N1111" s="37">
        <f t="shared" si="126"/>
        <v>0</v>
      </c>
      <c r="O1111" s="37">
        <f t="shared" si="124"/>
        <v>0</v>
      </c>
      <c r="P1111" s="55" cm="1">
        <f t="array" aca="1" ref="P1111" ca="1">IF((L1111-$C$16)&gt;0, IF($P$1+$C$16&gt;=L1111,INDIRECT("M"&amp;(L1111-$C$16)+5),0),0)</f>
        <v>0</v>
      </c>
      <c r="Q1111" s="56" cm="1">
        <f t="array" aca="1" ref="Q1111" ca="1">IF(L1111&lt;=$C$16,0,IF($W$2&gt;=L1111,IF(L1111&lt;=($P$1+$C$16),INDIRECT("N"&amp;(L1111-$C$16)+5),FV(SRate,L1111-$P$1-$C$16,0,-$W$1,1)),0))</f>
        <v>0</v>
      </c>
      <c r="R1111" s="56">
        <f t="shared" ca="1" si="125"/>
        <v>0</v>
      </c>
      <c r="S1111" s="19">
        <f t="shared" si="127"/>
        <v>0</v>
      </c>
      <c r="T1111" s="36" t="str" cm="1">
        <f t="array" aca="1" ref="T1111" ca="1">IF(L1111&lt;=$P$1,K1111,IF(L1111&lt;=($P$1+1),INDIRECT("K"&amp;5+$W$2),""))</f>
        <v/>
      </c>
      <c r="U1111" s="38">
        <f t="shared" si="128"/>
        <v>93</v>
      </c>
    </row>
    <row r="1112" spans="11:21" hidden="1" x14ac:dyDescent="0.25">
      <c r="K1112" s="36">
        <f t="shared" ca="1" si="130"/>
        <v>79907</v>
      </c>
      <c r="L1112" s="19">
        <v>1107</v>
      </c>
      <c r="M1112" s="19">
        <f t="shared" si="129"/>
        <v>0</v>
      </c>
      <c r="N1112" s="37">
        <f t="shared" si="126"/>
        <v>0</v>
      </c>
      <c r="O1112" s="37">
        <f t="shared" si="124"/>
        <v>0</v>
      </c>
      <c r="P1112" s="55" cm="1">
        <f t="array" aca="1" ref="P1112" ca="1">IF((L1112-$C$16)&gt;0, IF($P$1+$C$16&gt;=L1112,INDIRECT("M"&amp;(L1112-$C$16)+5),0),0)</f>
        <v>0</v>
      </c>
      <c r="Q1112" s="56" cm="1">
        <f t="array" aca="1" ref="Q1112" ca="1">IF(L1112&lt;=$C$16,0,IF($W$2&gt;=L1112,IF(L1112&lt;=($P$1+$C$16),INDIRECT("N"&amp;(L1112-$C$16)+5),FV(SRate,L1112-$P$1-$C$16,0,-$W$1,1)),0))</f>
        <v>0</v>
      </c>
      <c r="R1112" s="56">
        <f t="shared" ca="1" si="125"/>
        <v>0</v>
      </c>
      <c r="S1112" s="19">
        <f t="shared" si="127"/>
        <v>0</v>
      </c>
      <c r="T1112" s="36" t="str" cm="1">
        <f t="array" aca="1" ref="T1112" ca="1">IF(L1112&lt;=$P$1,K1112,IF(L1112&lt;=($P$1+1),INDIRECT("K"&amp;5+$W$2),""))</f>
        <v/>
      </c>
      <c r="U1112" s="38">
        <f t="shared" si="128"/>
        <v>93</v>
      </c>
    </row>
    <row r="1113" spans="11:21" hidden="1" x14ac:dyDescent="0.25">
      <c r="K1113" s="36">
        <f t="shared" ca="1" si="130"/>
        <v>79938</v>
      </c>
      <c r="L1113" s="19">
        <v>1108</v>
      </c>
      <c r="M1113" s="19">
        <f t="shared" si="129"/>
        <v>0</v>
      </c>
      <c r="N1113" s="37">
        <f t="shared" si="126"/>
        <v>0</v>
      </c>
      <c r="O1113" s="37">
        <f t="shared" si="124"/>
        <v>0</v>
      </c>
      <c r="P1113" s="55" cm="1">
        <f t="array" aca="1" ref="P1113" ca="1">IF((L1113-$C$16)&gt;0, IF($P$1+$C$16&gt;=L1113,INDIRECT("M"&amp;(L1113-$C$16)+5),0),0)</f>
        <v>0</v>
      </c>
      <c r="Q1113" s="56" cm="1">
        <f t="array" aca="1" ref="Q1113" ca="1">IF(L1113&lt;=$C$16,0,IF($W$2&gt;=L1113,IF(L1113&lt;=($P$1+$C$16),INDIRECT("N"&amp;(L1113-$C$16)+5),FV(SRate,L1113-$P$1-$C$16,0,-$W$1,1)),0))</f>
        <v>0</v>
      </c>
      <c r="R1113" s="56">
        <f t="shared" ca="1" si="125"/>
        <v>0</v>
      </c>
      <c r="S1113" s="19">
        <f t="shared" si="127"/>
        <v>0</v>
      </c>
      <c r="T1113" s="36" t="str" cm="1">
        <f t="array" aca="1" ref="T1113" ca="1">IF(L1113&lt;=$P$1,K1113,IF(L1113&lt;=($P$1+1),INDIRECT("K"&amp;5+$W$2),""))</f>
        <v/>
      </c>
      <c r="U1113" s="38">
        <f t="shared" si="128"/>
        <v>93</v>
      </c>
    </row>
    <row r="1114" spans="11:21" hidden="1" x14ac:dyDescent="0.25">
      <c r="K1114" s="36">
        <f t="shared" ca="1" si="130"/>
        <v>79968</v>
      </c>
      <c r="L1114" s="19">
        <v>1109</v>
      </c>
      <c r="M1114" s="19">
        <f t="shared" si="129"/>
        <v>0</v>
      </c>
      <c r="N1114" s="37">
        <f t="shared" si="126"/>
        <v>0</v>
      </c>
      <c r="O1114" s="37">
        <f t="shared" si="124"/>
        <v>0</v>
      </c>
      <c r="P1114" s="55" cm="1">
        <f t="array" aca="1" ref="P1114" ca="1">IF((L1114-$C$16)&gt;0, IF($P$1+$C$16&gt;=L1114,INDIRECT("M"&amp;(L1114-$C$16)+5),0),0)</f>
        <v>0</v>
      </c>
      <c r="Q1114" s="56" cm="1">
        <f t="array" aca="1" ref="Q1114" ca="1">IF(L1114&lt;=$C$16,0,IF($W$2&gt;=L1114,IF(L1114&lt;=($P$1+$C$16),INDIRECT("N"&amp;(L1114-$C$16)+5),FV(SRate,L1114-$P$1-$C$16,0,-$W$1,1)),0))</f>
        <v>0</v>
      </c>
      <c r="R1114" s="56">
        <f t="shared" ca="1" si="125"/>
        <v>0</v>
      </c>
      <c r="S1114" s="19">
        <f t="shared" si="127"/>
        <v>0</v>
      </c>
      <c r="T1114" s="36" t="str" cm="1">
        <f t="array" aca="1" ref="T1114" ca="1">IF(L1114&lt;=$P$1,K1114,IF(L1114&lt;=($P$1+1),INDIRECT("K"&amp;5+$W$2),""))</f>
        <v/>
      </c>
      <c r="U1114" s="38">
        <f t="shared" si="128"/>
        <v>93</v>
      </c>
    </row>
    <row r="1115" spans="11:21" hidden="1" x14ac:dyDescent="0.25">
      <c r="K1115" s="36">
        <f t="shared" ca="1" si="130"/>
        <v>79999</v>
      </c>
      <c r="L1115" s="19">
        <v>1110</v>
      </c>
      <c r="M1115" s="19">
        <f t="shared" si="129"/>
        <v>0</v>
      </c>
      <c r="N1115" s="37">
        <f t="shared" si="126"/>
        <v>0</v>
      </c>
      <c r="O1115" s="37">
        <f t="shared" si="124"/>
        <v>0</v>
      </c>
      <c r="P1115" s="55" cm="1">
        <f t="array" aca="1" ref="P1115" ca="1">IF((L1115-$C$16)&gt;0, IF($P$1+$C$16&gt;=L1115,INDIRECT("M"&amp;(L1115-$C$16)+5),0),0)</f>
        <v>0</v>
      </c>
      <c r="Q1115" s="56" cm="1">
        <f t="array" aca="1" ref="Q1115" ca="1">IF(L1115&lt;=$C$16,0,IF($W$2&gt;=L1115,IF(L1115&lt;=($P$1+$C$16),INDIRECT("N"&amp;(L1115-$C$16)+5),FV(SRate,L1115-$P$1-$C$16,0,-$W$1,1)),0))</f>
        <v>0</v>
      </c>
      <c r="R1115" s="56">
        <f t="shared" ca="1" si="125"/>
        <v>0</v>
      </c>
      <c r="S1115" s="19">
        <f t="shared" si="127"/>
        <v>0</v>
      </c>
      <c r="T1115" s="36" t="str" cm="1">
        <f t="array" aca="1" ref="T1115" ca="1">IF(L1115&lt;=$P$1,K1115,IF(L1115&lt;=($P$1+1),INDIRECT("K"&amp;5+$W$2),""))</f>
        <v/>
      </c>
      <c r="U1115" s="38">
        <f t="shared" si="128"/>
        <v>93</v>
      </c>
    </row>
    <row r="1116" spans="11:21" hidden="1" x14ac:dyDescent="0.25">
      <c r="K1116" s="36">
        <f t="shared" ca="1" si="130"/>
        <v>80030</v>
      </c>
      <c r="L1116" s="19">
        <v>1111</v>
      </c>
      <c r="M1116" s="19">
        <f t="shared" si="129"/>
        <v>0</v>
      </c>
      <c r="N1116" s="37">
        <f t="shared" si="126"/>
        <v>0</v>
      </c>
      <c r="O1116" s="37">
        <f t="shared" si="124"/>
        <v>0</v>
      </c>
      <c r="P1116" s="55" cm="1">
        <f t="array" aca="1" ref="P1116" ca="1">IF((L1116-$C$16)&gt;0, IF($P$1+$C$16&gt;=L1116,INDIRECT("M"&amp;(L1116-$C$16)+5),0),0)</f>
        <v>0</v>
      </c>
      <c r="Q1116" s="56" cm="1">
        <f t="array" aca="1" ref="Q1116" ca="1">IF(L1116&lt;=$C$16,0,IF($W$2&gt;=L1116,IF(L1116&lt;=($P$1+$C$16),INDIRECT("N"&amp;(L1116-$C$16)+5),FV(SRate,L1116-$P$1-$C$16,0,-$W$1,1)),0))</f>
        <v>0</v>
      </c>
      <c r="R1116" s="56">
        <f t="shared" ca="1" si="125"/>
        <v>0</v>
      </c>
      <c r="S1116" s="19">
        <f t="shared" si="127"/>
        <v>0</v>
      </c>
      <c r="T1116" s="36" t="str" cm="1">
        <f t="array" aca="1" ref="T1116" ca="1">IF(L1116&lt;=$P$1,K1116,IF(L1116&lt;=($P$1+1),INDIRECT("K"&amp;5+$W$2),""))</f>
        <v/>
      </c>
      <c r="U1116" s="38">
        <f t="shared" si="128"/>
        <v>93</v>
      </c>
    </row>
    <row r="1117" spans="11:21" hidden="1" x14ac:dyDescent="0.25">
      <c r="K1117" s="36">
        <f t="shared" ca="1" si="130"/>
        <v>80058</v>
      </c>
      <c r="L1117" s="19">
        <v>1112</v>
      </c>
      <c r="M1117" s="19">
        <f t="shared" si="129"/>
        <v>0</v>
      </c>
      <c r="N1117" s="37">
        <f t="shared" si="126"/>
        <v>0</v>
      </c>
      <c r="O1117" s="37">
        <f t="shared" si="124"/>
        <v>0</v>
      </c>
      <c r="P1117" s="55" cm="1">
        <f t="array" aca="1" ref="P1117" ca="1">IF((L1117-$C$16)&gt;0, IF($P$1+$C$16&gt;=L1117,INDIRECT("M"&amp;(L1117-$C$16)+5),0),0)</f>
        <v>0</v>
      </c>
      <c r="Q1117" s="56" cm="1">
        <f t="array" aca="1" ref="Q1117" ca="1">IF(L1117&lt;=$C$16,0,IF($W$2&gt;=L1117,IF(L1117&lt;=($P$1+$C$16),INDIRECT("N"&amp;(L1117-$C$16)+5),FV(SRate,L1117-$P$1-$C$16,0,-$W$1,1)),0))</f>
        <v>0</v>
      </c>
      <c r="R1117" s="56">
        <f t="shared" ca="1" si="125"/>
        <v>0</v>
      </c>
      <c r="S1117" s="19">
        <f t="shared" si="127"/>
        <v>0</v>
      </c>
      <c r="T1117" s="36" t="str" cm="1">
        <f t="array" aca="1" ref="T1117" ca="1">IF(L1117&lt;=$P$1,K1117,IF(L1117&lt;=($P$1+1),INDIRECT("K"&amp;5+$W$2),""))</f>
        <v/>
      </c>
      <c r="U1117" s="38">
        <f t="shared" si="128"/>
        <v>93</v>
      </c>
    </row>
    <row r="1118" spans="11:21" hidden="1" x14ac:dyDescent="0.25">
      <c r="K1118" s="36">
        <f t="shared" ca="1" si="130"/>
        <v>80089</v>
      </c>
      <c r="L1118" s="19">
        <v>1113</v>
      </c>
      <c r="M1118" s="19">
        <f t="shared" si="129"/>
        <v>0</v>
      </c>
      <c r="N1118" s="37">
        <f t="shared" si="126"/>
        <v>0</v>
      </c>
      <c r="O1118" s="37">
        <f t="shared" si="124"/>
        <v>0</v>
      </c>
      <c r="P1118" s="55" cm="1">
        <f t="array" aca="1" ref="P1118" ca="1">IF((L1118-$C$16)&gt;0, IF($P$1+$C$16&gt;=L1118,INDIRECT("M"&amp;(L1118-$C$16)+5),0),0)</f>
        <v>0</v>
      </c>
      <c r="Q1118" s="56" cm="1">
        <f t="array" aca="1" ref="Q1118" ca="1">IF(L1118&lt;=$C$16,0,IF($W$2&gt;=L1118,IF(L1118&lt;=($P$1+$C$16),INDIRECT("N"&amp;(L1118-$C$16)+5),FV(SRate,L1118-$P$1-$C$16,0,-$W$1,1)),0))</f>
        <v>0</v>
      </c>
      <c r="R1118" s="56">
        <f t="shared" ca="1" si="125"/>
        <v>0</v>
      </c>
      <c r="S1118" s="19">
        <f t="shared" si="127"/>
        <v>0</v>
      </c>
      <c r="T1118" s="36" t="str" cm="1">
        <f t="array" aca="1" ref="T1118" ca="1">IF(L1118&lt;=$P$1,K1118,IF(L1118&lt;=($P$1+1),INDIRECT("K"&amp;5+$W$2),""))</f>
        <v/>
      </c>
      <c r="U1118" s="38">
        <f t="shared" si="128"/>
        <v>93</v>
      </c>
    </row>
    <row r="1119" spans="11:21" hidden="1" x14ac:dyDescent="0.25">
      <c r="K1119" s="36">
        <f t="shared" ca="1" si="130"/>
        <v>80119</v>
      </c>
      <c r="L1119" s="19">
        <v>1114</v>
      </c>
      <c r="M1119" s="19">
        <f t="shared" si="129"/>
        <v>0</v>
      </c>
      <c r="N1119" s="37">
        <f t="shared" si="126"/>
        <v>0</v>
      </c>
      <c r="O1119" s="37">
        <f t="shared" si="124"/>
        <v>0</v>
      </c>
      <c r="P1119" s="55" cm="1">
        <f t="array" aca="1" ref="P1119" ca="1">IF((L1119-$C$16)&gt;0, IF($P$1+$C$16&gt;=L1119,INDIRECT("M"&amp;(L1119-$C$16)+5),0),0)</f>
        <v>0</v>
      </c>
      <c r="Q1119" s="56" cm="1">
        <f t="array" aca="1" ref="Q1119" ca="1">IF(L1119&lt;=$C$16,0,IF($W$2&gt;=L1119,IF(L1119&lt;=($P$1+$C$16),INDIRECT("N"&amp;(L1119-$C$16)+5),FV(SRate,L1119-$P$1-$C$16,0,-$W$1,1)),0))</f>
        <v>0</v>
      </c>
      <c r="R1119" s="56">
        <f t="shared" ca="1" si="125"/>
        <v>0</v>
      </c>
      <c r="S1119" s="19">
        <f t="shared" si="127"/>
        <v>0</v>
      </c>
      <c r="T1119" s="36" t="str" cm="1">
        <f t="array" aca="1" ref="T1119" ca="1">IF(L1119&lt;=$P$1,K1119,IF(L1119&lt;=($P$1+1),INDIRECT("K"&amp;5+$W$2),""))</f>
        <v/>
      </c>
      <c r="U1119" s="38">
        <f t="shared" si="128"/>
        <v>93</v>
      </c>
    </row>
    <row r="1120" spans="11:21" hidden="1" x14ac:dyDescent="0.25">
      <c r="K1120" s="36">
        <f t="shared" ca="1" si="130"/>
        <v>80150</v>
      </c>
      <c r="L1120" s="19">
        <v>1115</v>
      </c>
      <c r="M1120" s="19">
        <f t="shared" si="129"/>
        <v>0</v>
      </c>
      <c r="N1120" s="37">
        <f t="shared" si="126"/>
        <v>0</v>
      </c>
      <c r="O1120" s="37">
        <f t="shared" si="124"/>
        <v>0</v>
      </c>
      <c r="P1120" s="55" cm="1">
        <f t="array" aca="1" ref="P1120" ca="1">IF((L1120-$C$16)&gt;0, IF($P$1+$C$16&gt;=L1120,INDIRECT("M"&amp;(L1120-$C$16)+5),0),0)</f>
        <v>0</v>
      </c>
      <c r="Q1120" s="56" cm="1">
        <f t="array" aca="1" ref="Q1120" ca="1">IF(L1120&lt;=$C$16,0,IF($W$2&gt;=L1120,IF(L1120&lt;=($P$1+$C$16),INDIRECT("N"&amp;(L1120-$C$16)+5),FV(SRate,L1120-$P$1-$C$16,0,-$W$1,1)),0))</f>
        <v>0</v>
      </c>
      <c r="R1120" s="56">
        <f t="shared" ca="1" si="125"/>
        <v>0</v>
      </c>
      <c r="S1120" s="19">
        <f t="shared" si="127"/>
        <v>0</v>
      </c>
      <c r="T1120" s="36" t="str" cm="1">
        <f t="array" aca="1" ref="T1120" ca="1">IF(L1120&lt;=$P$1,K1120,IF(L1120&lt;=($P$1+1),INDIRECT("K"&amp;5+$W$2),""))</f>
        <v/>
      </c>
      <c r="U1120" s="38">
        <f t="shared" si="128"/>
        <v>93</v>
      </c>
    </row>
    <row r="1121" spans="11:21" hidden="1" x14ac:dyDescent="0.25">
      <c r="K1121" s="36">
        <f t="shared" ca="1" si="130"/>
        <v>80180</v>
      </c>
      <c r="L1121" s="19">
        <v>1116</v>
      </c>
      <c r="M1121" s="19">
        <f t="shared" si="129"/>
        <v>0</v>
      </c>
      <c r="N1121" s="37">
        <f t="shared" si="126"/>
        <v>0</v>
      </c>
      <c r="O1121" s="37">
        <f t="shared" si="124"/>
        <v>0</v>
      </c>
      <c r="P1121" s="55" cm="1">
        <f t="array" aca="1" ref="P1121" ca="1">IF((L1121-$C$16)&gt;0, IF($P$1+$C$16&gt;=L1121,INDIRECT("M"&amp;(L1121-$C$16)+5),0),0)</f>
        <v>0</v>
      </c>
      <c r="Q1121" s="56" cm="1">
        <f t="array" aca="1" ref="Q1121" ca="1">IF(L1121&lt;=$C$16,0,IF($W$2&gt;=L1121,IF(L1121&lt;=($P$1+$C$16),INDIRECT("N"&amp;(L1121-$C$16)+5),FV(SRate,L1121-$P$1-$C$16,0,-$W$1,1)),0))</f>
        <v>0</v>
      </c>
      <c r="R1121" s="56">
        <f t="shared" ca="1" si="125"/>
        <v>0</v>
      </c>
      <c r="S1121" s="19">
        <f t="shared" si="127"/>
        <v>0</v>
      </c>
      <c r="T1121" s="36" t="str" cm="1">
        <f t="array" aca="1" ref="T1121" ca="1">IF(L1121&lt;=$P$1,K1121,IF(L1121&lt;=($P$1+1),INDIRECT("K"&amp;5+$W$2),""))</f>
        <v/>
      </c>
      <c r="U1121" s="38">
        <f t="shared" si="128"/>
        <v>93</v>
      </c>
    </row>
    <row r="1122" spans="11:21" hidden="1" x14ac:dyDescent="0.25">
      <c r="K1122" s="36">
        <f t="shared" ca="1" si="130"/>
        <v>80211</v>
      </c>
      <c r="L1122" s="19">
        <v>1117</v>
      </c>
      <c r="M1122" s="19">
        <f t="shared" si="129"/>
        <v>0</v>
      </c>
      <c r="N1122" s="37">
        <f t="shared" si="126"/>
        <v>0</v>
      </c>
      <c r="O1122" s="37">
        <f t="shared" si="124"/>
        <v>0</v>
      </c>
      <c r="P1122" s="55" cm="1">
        <f t="array" aca="1" ref="P1122" ca="1">IF((L1122-$C$16)&gt;0, IF($P$1+$C$16&gt;=L1122,INDIRECT("M"&amp;(L1122-$C$16)+5),0),0)</f>
        <v>0</v>
      </c>
      <c r="Q1122" s="56" cm="1">
        <f t="array" aca="1" ref="Q1122" ca="1">IF(L1122&lt;=$C$16,0,IF($W$2&gt;=L1122,IF(L1122&lt;=($P$1+$C$16),INDIRECT("N"&amp;(L1122-$C$16)+5),FV(SRate,L1122-$P$1-$C$16,0,-$W$1,1)),0))</f>
        <v>0</v>
      </c>
      <c r="R1122" s="56">
        <f t="shared" ca="1" si="125"/>
        <v>0</v>
      </c>
      <c r="S1122" s="19">
        <f t="shared" si="127"/>
        <v>0</v>
      </c>
      <c r="T1122" s="36" t="str" cm="1">
        <f t="array" aca="1" ref="T1122" ca="1">IF(L1122&lt;=$P$1,K1122,IF(L1122&lt;=($P$1+1),INDIRECT("K"&amp;5+$W$2),""))</f>
        <v/>
      </c>
      <c r="U1122" s="38">
        <f t="shared" si="128"/>
        <v>94</v>
      </c>
    </row>
    <row r="1123" spans="11:21" hidden="1" x14ac:dyDescent="0.25">
      <c r="K1123" s="36">
        <f t="shared" ca="1" si="130"/>
        <v>80242</v>
      </c>
      <c r="L1123" s="19">
        <v>1118</v>
      </c>
      <c r="M1123" s="19">
        <f t="shared" si="129"/>
        <v>0</v>
      </c>
      <c r="N1123" s="37">
        <f t="shared" si="126"/>
        <v>0</v>
      </c>
      <c r="O1123" s="37">
        <f t="shared" si="124"/>
        <v>0</v>
      </c>
      <c r="P1123" s="55" cm="1">
        <f t="array" aca="1" ref="P1123" ca="1">IF((L1123-$C$16)&gt;0, IF($P$1+$C$16&gt;=L1123,INDIRECT("M"&amp;(L1123-$C$16)+5),0),0)</f>
        <v>0</v>
      </c>
      <c r="Q1123" s="56" cm="1">
        <f t="array" aca="1" ref="Q1123" ca="1">IF(L1123&lt;=$C$16,0,IF($W$2&gt;=L1123,IF(L1123&lt;=($P$1+$C$16),INDIRECT("N"&amp;(L1123-$C$16)+5),FV(SRate,L1123-$P$1-$C$16,0,-$W$1,1)),0))</f>
        <v>0</v>
      </c>
      <c r="R1123" s="56">
        <f t="shared" ca="1" si="125"/>
        <v>0</v>
      </c>
      <c r="S1123" s="19">
        <f t="shared" si="127"/>
        <v>0</v>
      </c>
      <c r="T1123" s="36" t="str" cm="1">
        <f t="array" aca="1" ref="T1123" ca="1">IF(L1123&lt;=$P$1,K1123,IF(L1123&lt;=($P$1+1),INDIRECT("K"&amp;5+$W$2),""))</f>
        <v/>
      </c>
      <c r="U1123" s="38">
        <f t="shared" si="128"/>
        <v>94</v>
      </c>
    </row>
    <row r="1124" spans="11:21" hidden="1" x14ac:dyDescent="0.25">
      <c r="K1124" s="36">
        <f t="shared" ca="1" si="130"/>
        <v>80272</v>
      </c>
      <c r="L1124" s="19">
        <v>1119</v>
      </c>
      <c r="M1124" s="19">
        <f t="shared" si="129"/>
        <v>0</v>
      </c>
      <c r="N1124" s="37">
        <f t="shared" si="126"/>
        <v>0</v>
      </c>
      <c r="O1124" s="37">
        <f t="shared" si="124"/>
        <v>0</v>
      </c>
      <c r="P1124" s="55" cm="1">
        <f t="array" aca="1" ref="P1124" ca="1">IF((L1124-$C$16)&gt;0, IF($P$1+$C$16&gt;=L1124,INDIRECT("M"&amp;(L1124-$C$16)+5),0),0)</f>
        <v>0</v>
      </c>
      <c r="Q1124" s="56" cm="1">
        <f t="array" aca="1" ref="Q1124" ca="1">IF(L1124&lt;=$C$16,0,IF($W$2&gt;=L1124,IF(L1124&lt;=($P$1+$C$16),INDIRECT("N"&amp;(L1124-$C$16)+5),FV(SRate,L1124-$P$1-$C$16,0,-$W$1,1)),0))</f>
        <v>0</v>
      </c>
      <c r="R1124" s="56">
        <f t="shared" ca="1" si="125"/>
        <v>0</v>
      </c>
      <c r="S1124" s="19">
        <f t="shared" si="127"/>
        <v>0</v>
      </c>
      <c r="T1124" s="36" t="str" cm="1">
        <f t="array" aca="1" ref="T1124" ca="1">IF(L1124&lt;=$P$1,K1124,IF(L1124&lt;=($P$1+1),INDIRECT("K"&amp;5+$W$2),""))</f>
        <v/>
      </c>
      <c r="U1124" s="38">
        <f t="shared" si="128"/>
        <v>94</v>
      </c>
    </row>
    <row r="1125" spans="11:21" hidden="1" x14ac:dyDescent="0.25">
      <c r="K1125" s="36">
        <f t="shared" ca="1" si="130"/>
        <v>80303</v>
      </c>
      <c r="L1125" s="19">
        <v>1120</v>
      </c>
      <c r="M1125" s="19">
        <f t="shared" si="129"/>
        <v>0</v>
      </c>
      <c r="N1125" s="37">
        <f t="shared" si="126"/>
        <v>0</v>
      </c>
      <c r="O1125" s="37">
        <f t="shared" si="124"/>
        <v>0</v>
      </c>
      <c r="P1125" s="55" cm="1">
        <f t="array" aca="1" ref="P1125" ca="1">IF((L1125-$C$16)&gt;0, IF($P$1+$C$16&gt;=L1125,INDIRECT("M"&amp;(L1125-$C$16)+5),0),0)</f>
        <v>0</v>
      </c>
      <c r="Q1125" s="56" cm="1">
        <f t="array" aca="1" ref="Q1125" ca="1">IF(L1125&lt;=$C$16,0,IF($W$2&gt;=L1125,IF(L1125&lt;=($P$1+$C$16),INDIRECT("N"&amp;(L1125-$C$16)+5),FV(SRate,L1125-$P$1-$C$16,0,-$W$1,1)),0))</f>
        <v>0</v>
      </c>
      <c r="R1125" s="56">
        <f t="shared" ca="1" si="125"/>
        <v>0</v>
      </c>
      <c r="S1125" s="19">
        <f t="shared" si="127"/>
        <v>0</v>
      </c>
      <c r="T1125" s="36" t="str" cm="1">
        <f t="array" aca="1" ref="T1125" ca="1">IF(L1125&lt;=$P$1,K1125,IF(L1125&lt;=($P$1+1),INDIRECT("K"&amp;5+$W$2),""))</f>
        <v/>
      </c>
      <c r="U1125" s="38">
        <f t="shared" si="128"/>
        <v>94</v>
      </c>
    </row>
    <row r="1126" spans="11:21" hidden="1" x14ac:dyDescent="0.25">
      <c r="K1126" s="36">
        <f t="shared" ca="1" si="130"/>
        <v>80333</v>
      </c>
      <c r="L1126" s="19">
        <v>1121</v>
      </c>
      <c r="M1126" s="19">
        <f t="shared" si="129"/>
        <v>0</v>
      </c>
      <c r="N1126" s="37">
        <f t="shared" si="126"/>
        <v>0</v>
      </c>
      <c r="O1126" s="37">
        <f t="shared" ref="O1126:O1162" si="131">N1126/((1+SIPInflationRate)^(L1126/12))</f>
        <v>0</v>
      </c>
      <c r="P1126" s="55" cm="1">
        <f t="array" aca="1" ref="P1126" ca="1">IF((L1126-$C$16)&gt;0, IF($P$1+$C$16&gt;=L1126,INDIRECT("M"&amp;(L1126-$C$16)+5),0),0)</f>
        <v>0</v>
      </c>
      <c r="Q1126" s="56" cm="1">
        <f t="array" aca="1" ref="Q1126" ca="1">IF(L1126&lt;=$C$16,0,IF($W$2&gt;=L1126,IF(L1126&lt;=($P$1+$C$16),INDIRECT("N"&amp;(L1126-$C$16)+5),FV(SRate,L1126-$P$1-$C$16,0,-$W$1,1)),0))</f>
        <v>0</v>
      </c>
      <c r="R1126" s="56">
        <f t="shared" ca="1" si="125"/>
        <v>0</v>
      </c>
      <c r="S1126" s="19">
        <f t="shared" si="127"/>
        <v>0</v>
      </c>
      <c r="T1126" s="36" t="str" cm="1">
        <f t="array" aca="1" ref="T1126" ca="1">IF(L1126&lt;=$P$1,K1126,IF(L1126&lt;=($P$1+1),INDIRECT("K"&amp;5+$W$2),""))</f>
        <v/>
      </c>
      <c r="U1126" s="38">
        <f t="shared" si="128"/>
        <v>94</v>
      </c>
    </row>
    <row r="1127" spans="11:21" hidden="1" x14ac:dyDescent="0.25">
      <c r="K1127" s="36">
        <f t="shared" ca="1" si="130"/>
        <v>80364</v>
      </c>
      <c r="L1127" s="19">
        <v>1122</v>
      </c>
      <c r="M1127" s="19">
        <f t="shared" si="129"/>
        <v>0</v>
      </c>
      <c r="N1127" s="37">
        <f t="shared" si="126"/>
        <v>0</v>
      </c>
      <c r="O1127" s="37">
        <f t="shared" si="131"/>
        <v>0</v>
      </c>
      <c r="P1127" s="55" cm="1">
        <f t="array" aca="1" ref="P1127" ca="1">IF((L1127-$C$16)&gt;0, IF($P$1+$C$16&gt;=L1127,INDIRECT("M"&amp;(L1127-$C$16)+5),0),0)</f>
        <v>0</v>
      </c>
      <c r="Q1127" s="56" cm="1">
        <f t="array" aca="1" ref="Q1127" ca="1">IF(L1127&lt;=$C$16,0,IF($W$2&gt;=L1127,IF(L1127&lt;=($P$1+$C$16),INDIRECT("N"&amp;(L1127-$C$16)+5),FV(SRate,L1127-$P$1-$C$16,0,-$W$1,1)),0))</f>
        <v>0</v>
      </c>
      <c r="R1127" s="56">
        <f t="shared" ca="1" si="125"/>
        <v>0</v>
      </c>
      <c r="S1127" s="19">
        <f t="shared" si="127"/>
        <v>0</v>
      </c>
      <c r="T1127" s="36" t="str" cm="1">
        <f t="array" aca="1" ref="T1127" ca="1">IF(L1127&lt;=$P$1,K1127,IF(L1127&lt;=($P$1+1),INDIRECT("K"&amp;5+$W$2),""))</f>
        <v/>
      </c>
      <c r="U1127" s="38">
        <f t="shared" si="128"/>
        <v>94</v>
      </c>
    </row>
    <row r="1128" spans="11:21" hidden="1" x14ac:dyDescent="0.25">
      <c r="K1128" s="36">
        <f t="shared" ca="1" si="130"/>
        <v>80395</v>
      </c>
      <c r="L1128" s="19">
        <v>1123</v>
      </c>
      <c r="M1128" s="19">
        <f t="shared" si="129"/>
        <v>0</v>
      </c>
      <c r="N1128" s="37">
        <f t="shared" si="126"/>
        <v>0</v>
      </c>
      <c r="O1128" s="37">
        <f t="shared" si="131"/>
        <v>0</v>
      </c>
      <c r="P1128" s="55" cm="1">
        <f t="array" aca="1" ref="P1128" ca="1">IF((L1128-$C$16)&gt;0, IF($P$1+$C$16&gt;=L1128,INDIRECT("M"&amp;(L1128-$C$16)+5),0),0)</f>
        <v>0</v>
      </c>
      <c r="Q1128" s="56" cm="1">
        <f t="array" aca="1" ref="Q1128" ca="1">IF(L1128&lt;=$C$16,0,IF($W$2&gt;=L1128,IF(L1128&lt;=($P$1+$C$16),INDIRECT("N"&amp;(L1128-$C$16)+5),FV(SRate,L1128-$P$1-$C$16,0,-$W$1,1)),0))</f>
        <v>0</v>
      </c>
      <c r="R1128" s="56">
        <f t="shared" ca="1" si="125"/>
        <v>0</v>
      </c>
      <c r="S1128" s="19">
        <f t="shared" si="127"/>
        <v>0</v>
      </c>
      <c r="T1128" s="36" t="str" cm="1">
        <f t="array" aca="1" ref="T1128" ca="1">IF(L1128&lt;=$P$1,K1128,IF(L1128&lt;=($P$1+1),INDIRECT("K"&amp;5+$W$2),""))</f>
        <v/>
      </c>
      <c r="U1128" s="38">
        <f t="shared" si="128"/>
        <v>94</v>
      </c>
    </row>
    <row r="1129" spans="11:21" hidden="1" x14ac:dyDescent="0.25">
      <c r="K1129" s="36">
        <f t="shared" ca="1" si="130"/>
        <v>80424</v>
      </c>
      <c r="L1129" s="19">
        <v>1124</v>
      </c>
      <c r="M1129" s="19">
        <f t="shared" si="129"/>
        <v>0</v>
      </c>
      <c r="N1129" s="37">
        <f t="shared" si="126"/>
        <v>0</v>
      </c>
      <c r="O1129" s="37">
        <f t="shared" si="131"/>
        <v>0</v>
      </c>
      <c r="P1129" s="55" cm="1">
        <f t="array" aca="1" ref="P1129" ca="1">IF((L1129-$C$16)&gt;0, IF($P$1+$C$16&gt;=L1129,INDIRECT("M"&amp;(L1129-$C$16)+5),0),0)</f>
        <v>0</v>
      </c>
      <c r="Q1129" s="56" cm="1">
        <f t="array" aca="1" ref="Q1129" ca="1">IF(L1129&lt;=$C$16,0,IF($W$2&gt;=L1129,IF(L1129&lt;=($P$1+$C$16),INDIRECT("N"&amp;(L1129-$C$16)+5),FV(SRate,L1129-$P$1-$C$16,0,-$W$1,1)),0))</f>
        <v>0</v>
      </c>
      <c r="R1129" s="56">
        <f t="shared" ca="1" si="125"/>
        <v>0</v>
      </c>
      <c r="S1129" s="19">
        <f t="shared" si="127"/>
        <v>0</v>
      </c>
      <c r="T1129" s="36" t="str" cm="1">
        <f t="array" aca="1" ref="T1129" ca="1">IF(L1129&lt;=$P$1,K1129,IF(L1129&lt;=($P$1+1),INDIRECT("K"&amp;5+$W$2),""))</f>
        <v/>
      </c>
      <c r="U1129" s="38">
        <f t="shared" si="128"/>
        <v>94</v>
      </c>
    </row>
    <row r="1130" spans="11:21" hidden="1" x14ac:dyDescent="0.25">
      <c r="K1130" s="36">
        <f t="shared" ca="1" si="130"/>
        <v>80455</v>
      </c>
      <c r="L1130" s="19">
        <v>1125</v>
      </c>
      <c r="M1130" s="19">
        <f t="shared" si="129"/>
        <v>0</v>
      </c>
      <c r="N1130" s="37">
        <f t="shared" si="126"/>
        <v>0</v>
      </c>
      <c r="O1130" s="37">
        <f t="shared" si="131"/>
        <v>0</v>
      </c>
      <c r="P1130" s="55" cm="1">
        <f t="array" aca="1" ref="P1130" ca="1">IF((L1130-$C$16)&gt;0, IF($P$1+$C$16&gt;=L1130,INDIRECT("M"&amp;(L1130-$C$16)+5),0),0)</f>
        <v>0</v>
      </c>
      <c r="Q1130" s="56" cm="1">
        <f t="array" aca="1" ref="Q1130" ca="1">IF(L1130&lt;=$C$16,0,IF($W$2&gt;=L1130,IF(L1130&lt;=($P$1+$C$16),INDIRECT("N"&amp;(L1130-$C$16)+5),FV(SRate,L1130-$P$1-$C$16,0,-$W$1,1)),0))</f>
        <v>0</v>
      </c>
      <c r="R1130" s="56">
        <f t="shared" ca="1" si="125"/>
        <v>0</v>
      </c>
      <c r="S1130" s="19">
        <f t="shared" si="127"/>
        <v>0</v>
      </c>
      <c r="T1130" s="36" t="str" cm="1">
        <f t="array" aca="1" ref="T1130" ca="1">IF(L1130&lt;=$P$1,K1130,IF(L1130&lt;=($P$1+1),INDIRECT("K"&amp;5+$W$2),""))</f>
        <v/>
      </c>
      <c r="U1130" s="38">
        <f t="shared" si="128"/>
        <v>94</v>
      </c>
    </row>
    <row r="1131" spans="11:21" hidden="1" x14ac:dyDescent="0.25">
      <c r="K1131" s="36">
        <f t="shared" ca="1" si="130"/>
        <v>80485</v>
      </c>
      <c r="L1131" s="19">
        <v>1126</v>
      </c>
      <c r="M1131" s="19">
        <f t="shared" si="129"/>
        <v>0</v>
      </c>
      <c r="N1131" s="37">
        <f t="shared" si="126"/>
        <v>0</v>
      </c>
      <c r="O1131" s="37">
        <f t="shared" si="131"/>
        <v>0</v>
      </c>
      <c r="P1131" s="55" cm="1">
        <f t="array" aca="1" ref="P1131" ca="1">IF((L1131-$C$16)&gt;0, IF($P$1+$C$16&gt;=L1131,INDIRECT("M"&amp;(L1131-$C$16)+5),0),0)</f>
        <v>0</v>
      </c>
      <c r="Q1131" s="56" cm="1">
        <f t="array" aca="1" ref="Q1131" ca="1">IF(L1131&lt;=$C$16,0,IF($W$2&gt;=L1131,IF(L1131&lt;=($P$1+$C$16),INDIRECT("N"&amp;(L1131-$C$16)+5),FV(SRate,L1131-$P$1-$C$16,0,-$W$1,1)),0))</f>
        <v>0</v>
      </c>
      <c r="R1131" s="56">
        <f t="shared" ca="1" si="125"/>
        <v>0</v>
      </c>
      <c r="S1131" s="19">
        <f t="shared" si="127"/>
        <v>0</v>
      </c>
      <c r="T1131" s="36" t="str" cm="1">
        <f t="array" aca="1" ref="T1131" ca="1">IF(L1131&lt;=$P$1,K1131,IF(L1131&lt;=($P$1+1),INDIRECT("K"&amp;5+$W$2),""))</f>
        <v/>
      </c>
      <c r="U1131" s="38">
        <f t="shared" si="128"/>
        <v>94</v>
      </c>
    </row>
    <row r="1132" spans="11:21" hidden="1" x14ac:dyDescent="0.25">
      <c r="K1132" s="36">
        <f t="shared" ca="1" si="130"/>
        <v>80516</v>
      </c>
      <c r="L1132" s="19">
        <v>1127</v>
      </c>
      <c r="M1132" s="19">
        <f t="shared" si="129"/>
        <v>0</v>
      </c>
      <c r="N1132" s="37">
        <f t="shared" si="126"/>
        <v>0</v>
      </c>
      <c r="O1132" s="37">
        <f t="shared" si="131"/>
        <v>0</v>
      </c>
      <c r="P1132" s="55" cm="1">
        <f t="array" aca="1" ref="P1132" ca="1">IF((L1132-$C$16)&gt;0, IF($P$1+$C$16&gt;=L1132,INDIRECT("M"&amp;(L1132-$C$16)+5),0),0)</f>
        <v>0</v>
      </c>
      <c r="Q1132" s="56" cm="1">
        <f t="array" aca="1" ref="Q1132" ca="1">IF(L1132&lt;=$C$16,0,IF($W$2&gt;=L1132,IF(L1132&lt;=($P$1+$C$16),INDIRECT("N"&amp;(L1132-$C$16)+5),FV(SRate,L1132-$P$1-$C$16,0,-$W$1,1)),0))</f>
        <v>0</v>
      </c>
      <c r="R1132" s="56">
        <f t="shared" ca="1" si="125"/>
        <v>0</v>
      </c>
      <c r="S1132" s="19">
        <f t="shared" si="127"/>
        <v>0</v>
      </c>
      <c r="T1132" s="36" t="str" cm="1">
        <f t="array" aca="1" ref="T1132" ca="1">IF(L1132&lt;=$P$1,K1132,IF(L1132&lt;=($P$1+1),INDIRECT("K"&amp;5+$W$2),""))</f>
        <v/>
      </c>
      <c r="U1132" s="38">
        <f t="shared" si="128"/>
        <v>94</v>
      </c>
    </row>
    <row r="1133" spans="11:21" hidden="1" x14ac:dyDescent="0.25">
      <c r="K1133" s="36">
        <f t="shared" ca="1" si="130"/>
        <v>80546</v>
      </c>
      <c r="L1133" s="19">
        <v>1128</v>
      </c>
      <c r="M1133" s="19">
        <f t="shared" si="129"/>
        <v>0</v>
      </c>
      <c r="N1133" s="37">
        <f t="shared" si="126"/>
        <v>0</v>
      </c>
      <c r="O1133" s="37">
        <f t="shared" si="131"/>
        <v>0</v>
      </c>
      <c r="P1133" s="55" cm="1">
        <f t="array" aca="1" ref="P1133" ca="1">IF((L1133-$C$16)&gt;0, IF($P$1+$C$16&gt;=L1133,INDIRECT("M"&amp;(L1133-$C$16)+5),0),0)</f>
        <v>0</v>
      </c>
      <c r="Q1133" s="56" cm="1">
        <f t="array" aca="1" ref="Q1133" ca="1">IF(L1133&lt;=$C$16,0,IF($W$2&gt;=L1133,IF(L1133&lt;=($P$1+$C$16),INDIRECT("N"&amp;(L1133-$C$16)+5),FV(SRate,L1133-$P$1-$C$16,0,-$W$1,1)),0))</f>
        <v>0</v>
      </c>
      <c r="R1133" s="56">
        <f t="shared" ca="1" si="125"/>
        <v>0</v>
      </c>
      <c r="S1133" s="19">
        <f t="shared" si="127"/>
        <v>0</v>
      </c>
      <c r="T1133" s="36" t="str" cm="1">
        <f t="array" aca="1" ref="T1133" ca="1">IF(L1133&lt;=$P$1,K1133,IF(L1133&lt;=($P$1+1),INDIRECT("K"&amp;5+$W$2),""))</f>
        <v/>
      </c>
      <c r="U1133" s="38">
        <f t="shared" si="128"/>
        <v>94</v>
      </c>
    </row>
    <row r="1134" spans="11:21" hidden="1" x14ac:dyDescent="0.25">
      <c r="K1134" s="36">
        <f t="shared" ca="1" si="130"/>
        <v>80577</v>
      </c>
      <c r="L1134" s="19">
        <v>1129</v>
      </c>
      <c r="M1134" s="19">
        <f t="shared" si="129"/>
        <v>0</v>
      </c>
      <c r="N1134" s="37">
        <f t="shared" si="126"/>
        <v>0</v>
      </c>
      <c r="O1134" s="37">
        <f t="shared" si="131"/>
        <v>0</v>
      </c>
      <c r="P1134" s="55" cm="1">
        <f t="array" aca="1" ref="P1134" ca="1">IF((L1134-$C$16)&gt;0, IF($P$1+$C$16&gt;=L1134,INDIRECT("M"&amp;(L1134-$C$16)+5),0),0)</f>
        <v>0</v>
      </c>
      <c r="Q1134" s="56" cm="1">
        <f t="array" aca="1" ref="Q1134" ca="1">IF(L1134&lt;=$C$16,0,IF($W$2&gt;=L1134,IF(L1134&lt;=($P$1+$C$16),INDIRECT("N"&amp;(L1134-$C$16)+5),FV(SRate,L1134-$P$1-$C$16,0,-$W$1,1)),0))</f>
        <v>0</v>
      </c>
      <c r="R1134" s="56">
        <f t="shared" ca="1" si="125"/>
        <v>0</v>
      </c>
      <c r="S1134" s="19">
        <f t="shared" si="127"/>
        <v>0</v>
      </c>
      <c r="T1134" s="36" t="str" cm="1">
        <f t="array" aca="1" ref="T1134" ca="1">IF(L1134&lt;=$P$1,K1134,IF(L1134&lt;=($P$1+1),INDIRECT("K"&amp;5+$W$2),""))</f>
        <v/>
      </c>
      <c r="U1134" s="38">
        <f t="shared" si="128"/>
        <v>95</v>
      </c>
    </row>
    <row r="1135" spans="11:21" hidden="1" x14ac:dyDescent="0.25">
      <c r="K1135" s="36">
        <f t="shared" ca="1" si="130"/>
        <v>80608</v>
      </c>
      <c r="L1135" s="19">
        <v>1130</v>
      </c>
      <c r="M1135" s="19">
        <f t="shared" si="129"/>
        <v>0</v>
      </c>
      <c r="N1135" s="37">
        <f t="shared" si="126"/>
        <v>0</v>
      </c>
      <c r="O1135" s="37">
        <f t="shared" si="131"/>
        <v>0</v>
      </c>
      <c r="P1135" s="55" cm="1">
        <f t="array" aca="1" ref="P1135" ca="1">IF((L1135-$C$16)&gt;0, IF($P$1+$C$16&gt;=L1135,INDIRECT("M"&amp;(L1135-$C$16)+5),0),0)</f>
        <v>0</v>
      </c>
      <c r="Q1135" s="56" cm="1">
        <f t="array" aca="1" ref="Q1135" ca="1">IF(L1135&lt;=$C$16,0,IF($W$2&gt;=L1135,IF(L1135&lt;=($P$1+$C$16),INDIRECT("N"&amp;(L1135-$C$16)+5),FV(SRate,L1135-$P$1-$C$16,0,-$W$1,1)),0))</f>
        <v>0</v>
      </c>
      <c r="R1135" s="56">
        <f t="shared" ca="1" si="125"/>
        <v>0</v>
      </c>
      <c r="S1135" s="19">
        <f t="shared" si="127"/>
        <v>0</v>
      </c>
      <c r="T1135" s="36" t="str" cm="1">
        <f t="array" aca="1" ref="T1135" ca="1">IF(L1135&lt;=$P$1,K1135,IF(L1135&lt;=($P$1+1),INDIRECT("K"&amp;5+$W$2),""))</f>
        <v/>
      </c>
      <c r="U1135" s="38">
        <f t="shared" si="128"/>
        <v>95</v>
      </c>
    </row>
    <row r="1136" spans="11:21" hidden="1" x14ac:dyDescent="0.25">
      <c r="K1136" s="36">
        <f t="shared" ca="1" si="130"/>
        <v>80638</v>
      </c>
      <c r="L1136" s="19">
        <v>1131</v>
      </c>
      <c r="M1136" s="19">
        <f t="shared" si="129"/>
        <v>0</v>
      </c>
      <c r="N1136" s="37">
        <f t="shared" si="126"/>
        <v>0</v>
      </c>
      <c r="O1136" s="37">
        <f t="shared" si="131"/>
        <v>0</v>
      </c>
      <c r="P1136" s="55" cm="1">
        <f t="array" aca="1" ref="P1136" ca="1">IF((L1136-$C$16)&gt;0, IF($P$1+$C$16&gt;=L1136,INDIRECT("M"&amp;(L1136-$C$16)+5),0),0)</f>
        <v>0</v>
      </c>
      <c r="Q1136" s="56" cm="1">
        <f t="array" aca="1" ref="Q1136" ca="1">IF(L1136&lt;=$C$16,0,IF($W$2&gt;=L1136,IF(L1136&lt;=($P$1+$C$16),INDIRECT("N"&amp;(L1136-$C$16)+5),FV(SRate,L1136-$P$1-$C$16,0,-$W$1,1)),0))</f>
        <v>0</v>
      </c>
      <c r="R1136" s="56">
        <f t="shared" ca="1" si="125"/>
        <v>0</v>
      </c>
      <c r="S1136" s="19">
        <f t="shared" si="127"/>
        <v>0</v>
      </c>
      <c r="T1136" s="36" t="str" cm="1">
        <f t="array" aca="1" ref="T1136" ca="1">IF(L1136&lt;=$P$1,K1136,IF(L1136&lt;=($P$1+1),INDIRECT("K"&amp;5+$W$2),""))</f>
        <v/>
      </c>
      <c r="U1136" s="38">
        <f t="shared" si="128"/>
        <v>95</v>
      </c>
    </row>
    <row r="1137" spans="11:21" hidden="1" x14ac:dyDescent="0.25">
      <c r="K1137" s="36">
        <f t="shared" ca="1" si="130"/>
        <v>80669</v>
      </c>
      <c r="L1137" s="19">
        <v>1132</v>
      </c>
      <c r="M1137" s="19">
        <f t="shared" si="129"/>
        <v>0</v>
      </c>
      <c r="N1137" s="37">
        <f t="shared" si="126"/>
        <v>0</v>
      </c>
      <c r="O1137" s="37">
        <f t="shared" si="131"/>
        <v>0</v>
      </c>
      <c r="P1137" s="55" cm="1">
        <f t="array" aca="1" ref="P1137" ca="1">IF((L1137-$C$16)&gt;0, IF($P$1+$C$16&gt;=L1137,INDIRECT("M"&amp;(L1137-$C$16)+5),0),0)</f>
        <v>0</v>
      </c>
      <c r="Q1137" s="56" cm="1">
        <f t="array" aca="1" ref="Q1137" ca="1">IF(L1137&lt;=$C$16,0,IF($W$2&gt;=L1137,IF(L1137&lt;=($P$1+$C$16),INDIRECT("N"&amp;(L1137-$C$16)+5),FV(SRate,L1137-$P$1-$C$16,0,-$W$1,1)),0))</f>
        <v>0</v>
      </c>
      <c r="R1137" s="56">
        <f t="shared" ca="1" si="125"/>
        <v>0</v>
      </c>
      <c r="S1137" s="19">
        <f t="shared" si="127"/>
        <v>0</v>
      </c>
      <c r="T1137" s="36" t="str" cm="1">
        <f t="array" aca="1" ref="T1137" ca="1">IF(L1137&lt;=$P$1,K1137,IF(L1137&lt;=($P$1+1),INDIRECT("K"&amp;5+$W$2),""))</f>
        <v/>
      </c>
      <c r="U1137" s="38">
        <f t="shared" si="128"/>
        <v>95</v>
      </c>
    </row>
    <row r="1138" spans="11:21" hidden="1" x14ac:dyDescent="0.25">
      <c r="K1138" s="36">
        <f t="shared" ca="1" si="130"/>
        <v>80699</v>
      </c>
      <c r="L1138" s="19">
        <v>1133</v>
      </c>
      <c r="M1138" s="19">
        <f t="shared" si="129"/>
        <v>0</v>
      </c>
      <c r="N1138" s="37">
        <f t="shared" si="126"/>
        <v>0</v>
      </c>
      <c r="O1138" s="37">
        <f t="shared" si="131"/>
        <v>0</v>
      </c>
      <c r="P1138" s="55" cm="1">
        <f t="array" aca="1" ref="P1138" ca="1">IF((L1138-$C$16)&gt;0, IF($P$1+$C$16&gt;=L1138,INDIRECT("M"&amp;(L1138-$C$16)+5),0),0)</f>
        <v>0</v>
      </c>
      <c r="Q1138" s="56" cm="1">
        <f t="array" aca="1" ref="Q1138" ca="1">IF(L1138&lt;=$C$16,0,IF($W$2&gt;=L1138,IF(L1138&lt;=($P$1+$C$16),INDIRECT("N"&amp;(L1138-$C$16)+5),FV(SRate,L1138-$P$1-$C$16,0,-$W$1,1)),0))</f>
        <v>0</v>
      </c>
      <c r="R1138" s="56">
        <f t="shared" ca="1" si="125"/>
        <v>0</v>
      </c>
      <c r="S1138" s="19">
        <f t="shared" si="127"/>
        <v>0</v>
      </c>
      <c r="T1138" s="36" t="str" cm="1">
        <f t="array" aca="1" ref="T1138" ca="1">IF(L1138&lt;=$P$1,K1138,IF(L1138&lt;=($P$1+1),INDIRECT("K"&amp;5+$W$2),""))</f>
        <v/>
      </c>
      <c r="U1138" s="38">
        <f t="shared" si="128"/>
        <v>95</v>
      </c>
    </row>
    <row r="1139" spans="11:21" hidden="1" x14ac:dyDescent="0.25">
      <c r="K1139" s="36">
        <f t="shared" ca="1" si="130"/>
        <v>80730</v>
      </c>
      <c r="L1139" s="19">
        <v>1134</v>
      </c>
      <c r="M1139" s="19">
        <f t="shared" si="129"/>
        <v>0</v>
      </c>
      <c r="N1139" s="37">
        <f t="shared" si="126"/>
        <v>0</v>
      </c>
      <c r="O1139" s="37">
        <f t="shared" si="131"/>
        <v>0</v>
      </c>
      <c r="P1139" s="55" cm="1">
        <f t="array" aca="1" ref="P1139" ca="1">IF((L1139-$C$16)&gt;0, IF($P$1+$C$16&gt;=L1139,INDIRECT("M"&amp;(L1139-$C$16)+5),0),0)</f>
        <v>0</v>
      </c>
      <c r="Q1139" s="56" cm="1">
        <f t="array" aca="1" ref="Q1139" ca="1">IF(L1139&lt;=$C$16,0,IF($W$2&gt;=L1139,IF(L1139&lt;=($P$1+$C$16),INDIRECT("N"&amp;(L1139-$C$16)+5),FV(SRate,L1139-$P$1-$C$16,0,-$W$1,1)),0))</f>
        <v>0</v>
      </c>
      <c r="R1139" s="56">
        <f t="shared" ca="1" si="125"/>
        <v>0</v>
      </c>
      <c r="S1139" s="19">
        <f t="shared" si="127"/>
        <v>0</v>
      </c>
      <c r="T1139" s="36" t="str" cm="1">
        <f t="array" aca="1" ref="T1139" ca="1">IF(L1139&lt;=$P$1,K1139,IF(L1139&lt;=($P$1+1),INDIRECT("K"&amp;5+$W$2),""))</f>
        <v/>
      </c>
      <c r="U1139" s="38">
        <f t="shared" si="128"/>
        <v>95</v>
      </c>
    </row>
    <row r="1140" spans="11:21" hidden="1" x14ac:dyDescent="0.25">
      <c r="K1140" s="36">
        <f t="shared" ca="1" si="130"/>
        <v>80761</v>
      </c>
      <c r="L1140" s="19">
        <v>1135</v>
      </c>
      <c r="M1140" s="19">
        <f t="shared" si="129"/>
        <v>0</v>
      </c>
      <c r="N1140" s="37">
        <f t="shared" si="126"/>
        <v>0</v>
      </c>
      <c r="O1140" s="37">
        <f t="shared" si="131"/>
        <v>0</v>
      </c>
      <c r="P1140" s="55" cm="1">
        <f t="array" aca="1" ref="P1140" ca="1">IF((L1140-$C$16)&gt;0, IF($P$1+$C$16&gt;=L1140,INDIRECT("M"&amp;(L1140-$C$16)+5),0),0)</f>
        <v>0</v>
      </c>
      <c r="Q1140" s="56" cm="1">
        <f t="array" aca="1" ref="Q1140" ca="1">IF(L1140&lt;=$C$16,0,IF($W$2&gt;=L1140,IF(L1140&lt;=($P$1+$C$16),INDIRECT("N"&amp;(L1140-$C$16)+5),FV(SRate,L1140-$P$1-$C$16,0,-$W$1,1)),0))</f>
        <v>0</v>
      </c>
      <c r="R1140" s="56">
        <f t="shared" ca="1" si="125"/>
        <v>0</v>
      </c>
      <c r="S1140" s="19">
        <f t="shared" si="127"/>
        <v>0</v>
      </c>
      <c r="T1140" s="36" t="str" cm="1">
        <f t="array" aca="1" ref="T1140" ca="1">IF(L1140&lt;=$P$1,K1140,IF(L1140&lt;=($P$1+1),INDIRECT("K"&amp;5+$W$2),""))</f>
        <v/>
      </c>
      <c r="U1140" s="38">
        <f t="shared" si="128"/>
        <v>95</v>
      </c>
    </row>
    <row r="1141" spans="11:21" hidden="1" x14ac:dyDescent="0.25">
      <c r="K1141" s="36">
        <f t="shared" ca="1" si="130"/>
        <v>80789</v>
      </c>
      <c r="L1141" s="19">
        <v>1136</v>
      </c>
      <c r="M1141" s="19">
        <f t="shared" si="129"/>
        <v>0</v>
      </c>
      <c r="N1141" s="37">
        <f t="shared" si="126"/>
        <v>0</v>
      </c>
      <c r="O1141" s="37">
        <f t="shared" si="131"/>
        <v>0</v>
      </c>
      <c r="P1141" s="55" cm="1">
        <f t="array" aca="1" ref="P1141" ca="1">IF((L1141-$C$16)&gt;0, IF($P$1+$C$16&gt;=L1141,INDIRECT("M"&amp;(L1141-$C$16)+5),0),0)</f>
        <v>0</v>
      </c>
      <c r="Q1141" s="56" cm="1">
        <f t="array" aca="1" ref="Q1141" ca="1">IF(L1141&lt;=$C$16,0,IF($W$2&gt;=L1141,IF(L1141&lt;=($P$1+$C$16),INDIRECT("N"&amp;(L1141-$C$16)+5),FV(SRate,L1141-$P$1-$C$16,0,-$W$1,1)),0))</f>
        <v>0</v>
      </c>
      <c r="R1141" s="56">
        <f t="shared" ca="1" si="125"/>
        <v>0</v>
      </c>
      <c r="S1141" s="19">
        <f t="shared" si="127"/>
        <v>0</v>
      </c>
      <c r="T1141" s="36" t="str" cm="1">
        <f t="array" aca="1" ref="T1141" ca="1">IF(L1141&lt;=$P$1,K1141,IF(L1141&lt;=($P$1+1),INDIRECT("K"&amp;5+$W$2),""))</f>
        <v/>
      </c>
      <c r="U1141" s="38">
        <f t="shared" si="128"/>
        <v>95</v>
      </c>
    </row>
    <row r="1142" spans="11:21" hidden="1" x14ac:dyDescent="0.25">
      <c r="K1142" s="36">
        <f t="shared" ca="1" si="130"/>
        <v>80820</v>
      </c>
      <c r="L1142" s="19">
        <v>1137</v>
      </c>
      <c r="M1142" s="19">
        <f t="shared" si="129"/>
        <v>0</v>
      </c>
      <c r="N1142" s="37">
        <f t="shared" si="126"/>
        <v>0</v>
      </c>
      <c r="O1142" s="37">
        <f t="shared" si="131"/>
        <v>0</v>
      </c>
      <c r="P1142" s="55" cm="1">
        <f t="array" aca="1" ref="P1142" ca="1">IF((L1142-$C$16)&gt;0, IF($P$1+$C$16&gt;=L1142,INDIRECT("M"&amp;(L1142-$C$16)+5),0),0)</f>
        <v>0</v>
      </c>
      <c r="Q1142" s="56" cm="1">
        <f t="array" aca="1" ref="Q1142" ca="1">IF(L1142&lt;=$C$16,0,IF($W$2&gt;=L1142,IF(L1142&lt;=($P$1+$C$16),INDIRECT("N"&amp;(L1142-$C$16)+5),FV(SRate,L1142-$P$1-$C$16,0,-$W$1,1)),0))</f>
        <v>0</v>
      </c>
      <c r="R1142" s="56">
        <f t="shared" ca="1" si="125"/>
        <v>0</v>
      </c>
      <c r="S1142" s="19">
        <f t="shared" si="127"/>
        <v>0</v>
      </c>
      <c r="T1142" s="36" t="str" cm="1">
        <f t="array" aca="1" ref="T1142" ca="1">IF(L1142&lt;=$P$1,K1142,IF(L1142&lt;=($P$1+1),INDIRECT("K"&amp;5+$W$2),""))</f>
        <v/>
      </c>
      <c r="U1142" s="38">
        <f t="shared" si="128"/>
        <v>95</v>
      </c>
    </row>
    <row r="1143" spans="11:21" hidden="1" x14ac:dyDescent="0.25">
      <c r="K1143" s="36">
        <f t="shared" ca="1" si="130"/>
        <v>80850</v>
      </c>
      <c r="L1143" s="19">
        <v>1138</v>
      </c>
      <c r="M1143" s="19">
        <f t="shared" si="129"/>
        <v>0</v>
      </c>
      <c r="N1143" s="37">
        <f t="shared" si="126"/>
        <v>0</v>
      </c>
      <c r="O1143" s="37">
        <f t="shared" si="131"/>
        <v>0</v>
      </c>
      <c r="P1143" s="55" cm="1">
        <f t="array" aca="1" ref="P1143" ca="1">IF((L1143-$C$16)&gt;0, IF($P$1+$C$16&gt;=L1143,INDIRECT("M"&amp;(L1143-$C$16)+5),0),0)</f>
        <v>0</v>
      </c>
      <c r="Q1143" s="56" cm="1">
        <f t="array" aca="1" ref="Q1143" ca="1">IF(L1143&lt;=$C$16,0,IF($W$2&gt;=L1143,IF(L1143&lt;=($P$1+$C$16),INDIRECT("N"&amp;(L1143-$C$16)+5),FV(SRate,L1143-$P$1-$C$16,0,-$W$1,1)),0))</f>
        <v>0</v>
      </c>
      <c r="R1143" s="56">
        <f t="shared" ca="1" si="125"/>
        <v>0</v>
      </c>
      <c r="S1143" s="19">
        <f t="shared" si="127"/>
        <v>0</v>
      </c>
      <c r="T1143" s="36" t="str" cm="1">
        <f t="array" aca="1" ref="T1143" ca="1">IF(L1143&lt;=$P$1,K1143,IF(L1143&lt;=($P$1+1),INDIRECT("K"&amp;5+$W$2),""))</f>
        <v/>
      </c>
      <c r="U1143" s="38">
        <f t="shared" si="128"/>
        <v>95</v>
      </c>
    </row>
    <row r="1144" spans="11:21" hidden="1" x14ac:dyDescent="0.25">
      <c r="K1144" s="36">
        <f t="shared" ca="1" si="130"/>
        <v>80881</v>
      </c>
      <c r="L1144" s="19">
        <v>1139</v>
      </c>
      <c r="M1144" s="19">
        <f t="shared" si="129"/>
        <v>0</v>
      </c>
      <c r="N1144" s="37">
        <f t="shared" si="126"/>
        <v>0</v>
      </c>
      <c r="O1144" s="37">
        <f t="shared" si="131"/>
        <v>0</v>
      </c>
      <c r="P1144" s="55" cm="1">
        <f t="array" aca="1" ref="P1144" ca="1">IF((L1144-$C$16)&gt;0, IF($P$1+$C$16&gt;=L1144,INDIRECT("M"&amp;(L1144-$C$16)+5),0),0)</f>
        <v>0</v>
      </c>
      <c r="Q1144" s="56" cm="1">
        <f t="array" aca="1" ref="Q1144" ca="1">IF(L1144&lt;=$C$16,0,IF($W$2&gt;=L1144,IF(L1144&lt;=($P$1+$C$16),INDIRECT("N"&amp;(L1144-$C$16)+5),FV(SRate,L1144-$P$1-$C$16,0,-$W$1,1)),0))</f>
        <v>0</v>
      </c>
      <c r="R1144" s="56">
        <f t="shared" ca="1" si="125"/>
        <v>0</v>
      </c>
      <c r="S1144" s="19">
        <f t="shared" si="127"/>
        <v>0</v>
      </c>
      <c r="T1144" s="36" t="str" cm="1">
        <f t="array" aca="1" ref="T1144" ca="1">IF(L1144&lt;=$P$1,K1144,IF(L1144&lt;=($P$1+1),INDIRECT("K"&amp;5+$W$2),""))</f>
        <v/>
      </c>
      <c r="U1144" s="38">
        <f t="shared" si="128"/>
        <v>95</v>
      </c>
    </row>
    <row r="1145" spans="11:21" hidden="1" x14ac:dyDescent="0.25">
      <c r="K1145" s="36">
        <f t="shared" ca="1" si="130"/>
        <v>80911</v>
      </c>
      <c r="L1145" s="19">
        <v>1140</v>
      </c>
      <c r="M1145" s="19">
        <f t="shared" si="129"/>
        <v>0</v>
      </c>
      <c r="N1145" s="37">
        <f t="shared" si="126"/>
        <v>0</v>
      </c>
      <c r="O1145" s="37">
        <f t="shared" si="131"/>
        <v>0</v>
      </c>
      <c r="P1145" s="55" cm="1">
        <f t="array" aca="1" ref="P1145" ca="1">IF((L1145-$C$16)&gt;0, IF($P$1+$C$16&gt;=L1145,INDIRECT("M"&amp;(L1145-$C$16)+5),0),0)</f>
        <v>0</v>
      </c>
      <c r="Q1145" s="56" cm="1">
        <f t="array" aca="1" ref="Q1145" ca="1">IF(L1145&lt;=$C$16,0,IF($W$2&gt;=L1145,IF(L1145&lt;=($P$1+$C$16),INDIRECT("N"&amp;(L1145-$C$16)+5),FV(SRate,L1145-$P$1-$C$16,0,-$W$1,1)),0))</f>
        <v>0</v>
      </c>
      <c r="R1145" s="56">
        <f t="shared" ca="1" si="125"/>
        <v>0</v>
      </c>
      <c r="S1145" s="19">
        <f t="shared" si="127"/>
        <v>0</v>
      </c>
      <c r="T1145" s="36" t="str" cm="1">
        <f t="array" aca="1" ref="T1145" ca="1">IF(L1145&lt;=$P$1,K1145,IF(L1145&lt;=($P$1+1),INDIRECT("K"&amp;5+$W$2),""))</f>
        <v/>
      </c>
      <c r="U1145" s="38">
        <f t="shared" si="128"/>
        <v>95</v>
      </c>
    </row>
    <row r="1146" spans="11:21" hidden="1" x14ac:dyDescent="0.25">
      <c r="K1146" s="36">
        <f t="shared" ca="1" si="130"/>
        <v>80942</v>
      </c>
      <c r="L1146" s="19">
        <v>1141</v>
      </c>
      <c r="M1146" s="19">
        <f t="shared" si="129"/>
        <v>0</v>
      </c>
      <c r="N1146" s="37">
        <f t="shared" si="126"/>
        <v>0</v>
      </c>
      <c r="O1146" s="37">
        <f t="shared" si="131"/>
        <v>0</v>
      </c>
      <c r="P1146" s="55" cm="1">
        <f t="array" aca="1" ref="P1146" ca="1">IF((L1146-$C$16)&gt;0, IF($P$1+$C$16&gt;=L1146,INDIRECT("M"&amp;(L1146-$C$16)+5),0),0)</f>
        <v>0</v>
      </c>
      <c r="Q1146" s="56" cm="1">
        <f t="array" aca="1" ref="Q1146" ca="1">IF(L1146&lt;=$C$16,0,IF($W$2&gt;=L1146,IF(L1146&lt;=($P$1+$C$16),INDIRECT("N"&amp;(L1146-$C$16)+5),FV(SRate,L1146-$P$1-$C$16,0,-$W$1,1)),0))</f>
        <v>0</v>
      </c>
      <c r="R1146" s="56">
        <f t="shared" ca="1" si="125"/>
        <v>0</v>
      </c>
      <c r="S1146" s="19">
        <f t="shared" si="127"/>
        <v>0</v>
      </c>
      <c r="T1146" s="36" t="str" cm="1">
        <f t="array" aca="1" ref="T1146" ca="1">IF(L1146&lt;=$P$1,K1146,IF(L1146&lt;=($P$1+1),INDIRECT("K"&amp;5+$W$2),""))</f>
        <v/>
      </c>
      <c r="U1146" s="38">
        <f t="shared" si="128"/>
        <v>96</v>
      </c>
    </row>
    <row r="1147" spans="11:21" hidden="1" x14ac:dyDescent="0.25">
      <c r="K1147" s="36">
        <f t="shared" ca="1" si="130"/>
        <v>80973</v>
      </c>
      <c r="L1147" s="19">
        <v>1142</v>
      </c>
      <c r="M1147" s="19">
        <f t="shared" si="129"/>
        <v>0</v>
      </c>
      <c r="N1147" s="37">
        <f t="shared" si="126"/>
        <v>0</v>
      </c>
      <c r="O1147" s="37">
        <f t="shared" si="131"/>
        <v>0</v>
      </c>
      <c r="P1147" s="55" cm="1">
        <f t="array" aca="1" ref="P1147" ca="1">IF((L1147-$C$16)&gt;0, IF($P$1+$C$16&gt;=L1147,INDIRECT("M"&amp;(L1147-$C$16)+5),0),0)</f>
        <v>0</v>
      </c>
      <c r="Q1147" s="56" cm="1">
        <f t="array" aca="1" ref="Q1147" ca="1">IF(L1147&lt;=$C$16,0,IF($W$2&gt;=L1147,IF(L1147&lt;=($P$1+$C$16),INDIRECT("N"&amp;(L1147-$C$16)+5),FV(SRate,L1147-$P$1-$C$16,0,-$W$1,1)),0))</f>
        <v>0</v>
      </c>
      <c r="R1147" s="56">
        <f t="shared" ca="1" si="125"/>
        <v>0</v>
      </c>
      <c r="S1147" s="19">
        <f t="shared" si="127"/>
        <v>0</v>
      </c>
      <c r="T1147" s="36" t="str" cm="1">
        <f t="array" aca="1" ref="T1147" ca="1">IF(L1147&lt;=$P$1,K1147,IF(L1147&lt;=($P$1+1),INDIRECT("K"&amp;5+$W$2),""))</f>
        <v/>
      </c>
      <c r="U1147" s="38">
        <f t="shared" si="128"/>
        <v>96</v>
      </c>
    </row>
    <row r="1148" spans="11:21" hidden="1" x14ac:dyDescent="0.25">
      <c r="K1148" s="36">
        <f t="shared" ca="1" si="130"/>
        <v>81003</v>
      </c>
      <c r="L1148" s="19">
        <v>1143</v>
      </c>
      <c r="M1148" s="19">
        <f t="shared" si="129"/>
        <v>0</v>
      </c>
      <c r="N1148" s="37">
        <f t="shared" si="126"/>
        <v>0</v>
      </c>
      <c r="O1148" s="37">
        <f t="shared" si="131"/>
        <v>0</v>
      </c>
      <c r="P1148" s="55" cm="1">
        <f t="array" aca="1" ref="P1148" ca="1">IF((L1148-$C$16)&gt;0, IF($P$1+$C$16&gt;=L1148,INDIRECT("M"&amp;(L1148-$C$16)+5),0),0)</f>
        <v>0</v>
      </c>
      <c r="Q1148" s="56" cm="1">
        <f t="array" aca="1" ref="Q1148" ca="1">IF(L1148&lt;=$C$16,0,IF($W$2&gt;=L1148,IF(L1148&lt;=($P$1+$C$16),INDIRECT("N"&amp;(L1148-$C$16)+5),FV(SRate,L1148-$P$1-$C$16,0,-$W$1,1)),0))</f>
        <v>0</v>
      </c>
      <c r="R1148" s="56">
        <f t="shared" ca="1" si="125"/>
        <v>0</v>
      </c>
      <c r="S1148" s="19">
        <f t="shared" si="127"/>
        <v>0</v>
      </c>
      <c r="T1148" s="36" t="str" cm="1">
        <f t="array" aca="1" ref="T1148" ca="1">IF(L1148&lt;=$P$1,K1148,IF(L1148&lt;=($P$1+1),INDIRECT("K"&amp;5+$W$2),""))</f>
        <v/>
      </c>
      <c r="U1148" s="38">
        <f t="shared" si="128"/>
        <v>96</v>
      </c>
    </row>
    <row r="1149" spans="11:21" hidden="1" x14ac:dyDescent="0.25">
      <c r="K1149" s="36">
        <f t="shared" ca="1" si="130"/>
        <v>81034</v>
      </c>
      <c r="L1149" s="19">
        <v>1144</v>
      </c>
      <c r="M1149" s="19">
        <f t="shared" si="129"/>
        <v>0</v>
      </c>
      <c r="N1149" s="37">
        <f t="shared" si="126"/>
        <v>0</v>
      </c>
      <c r="O1149" s="37">
        <f t="shared" si="131"/>
        <v>0</v>
      </c>
      <c r="P1149" s="55" cm="1">
        <f t="array" aca="1" ref="P1149" ca="1">IF((L1149-$C$16)&gt;0, IF($P$1+$C$16&gt;=L1149,INDIRECT("M"&amp;(L1149-$C$16)+5),0),0)</f>
        <v>0</v>
      </c>
      <c r="Q1149" s="56" cm="1">
        <f t="array" aca="1" ref="Q1149" ca="1">IF(L1149&lt;=$C$16,0,IF($W$2&gt;=L1149,IF(L1149&lt;=($P$1+$C$16),INDIRECT("N"&amp;(L1149-$C$16)+5),FV(SRate,L1149-$P$1-$C$16,0,-$W$1,1)),0))</f>
        <v>0</v>
      </c>
      <c r="R1149" s="56">
        <f t="shared" ca="1" si="125"/>
        <v>0</v>
      </c>
      <c r="S1149" s="19">
        <f t="shared" si="127"/>
        <v>0</v>
      </c>
      <c r="T1149" s="36" t="str" cm="1">
        <f t="array" aca="1" ref="T1149" ca="1">IF(L1149&lt;=$P$1,K1149,IF(L1149&lt;=($P$1+1),INDIRECT("K"&amp;5+$W$2),""))</f>
        <v/>
      </c>
      <c r="U1149" s="38">
        <f t="shared" si="128"/>
        <v>96</v>
      </c>
    </row>
    <row r="1150" spans="11:21" hidden="1" x14ac:dyDescent="0.25">
      <c r="K1150" s="36">
        <f t="shared" ca="1" si="130"/>
        <v>81064</v>
      </c>
      <c r="L1150" s="19">
        <v>1145</v>
      </c>
      <c r="M1150" s="19">
        <f t="shared" si="129"/>
        <v>0</v>
      </c>
      <c r="N1150" s="37">
        <f t="shared" si="126"/>
        <v>0</v>
      </c>
      <c r="O1150" s="37">
        <f t="shared" si="131"/>
        <v>0</v>
      </c>
      <c r="P1150" s="55" cm="1">
        <f t="array" aca="1" ref="P1150" ca="1">IF((L1150-$C$16)&gt;0, IF($P$1+$C$16&gt;=L1150,INDIRECT("M"&amp;(L1150-$C$16)+5),0),0)</f>
        <v>0</v>
      </c>
      <c r="Q1150" s="56" cm="1">
        <f t="array" aca="1" ref="Q1150" ca="1">IF(L1150&lt;=$C$16,0,IF($W$2&gt;=L1150,IF(L1150&lt;=($P$1+$C$16),INDIRECT("N"&amp;(L1150-$C$16)+5),FV(SRate,L1150-$P$1-$C$16,0,-$W$1,1)),0))</f>
        <v>0</v>
      </c>
      <c r="R1150" s="56">
        <f t="shared" ca="1" si="125"/>
        <v>0</v>
      </c>
      <c r="S1150" s="19">
        <f t="shared" si="127"/>
        <v>0</v>
      </c>
      <c r="T1150" s="36" t="str" cm="1">
        <f t="array" aca="1" ref="T1150" ca="1">IF(L1150&lt;=$P$1,K1150,IF(L1150&lt;=($P$1+1),INDIRECT("K"&amp;5+$W$2),""))</f>
        <v/>
      </c>
      <c r="U1150" s="38">
        <f t="shared" si="128"/>
        <v>96</v>
      </c>
    </row>
    <row r="1151" spans="11:21" hidden="1" x14ac:dyDescent="0.25">
      <c r="K1151" s="36">
        <f t="shared" ca="1" si="130"/>
        <v>81095</v>
      </c>
      <c r="L1151" s="19">
        <v>1146</v>
      </c>
      <c r="M1151" s="19">
        <f t="shared" si="129"/>
        <v>0</v>
      </c>
      <c r="N1151" s="37">
        <f t="shared" si="126"/>
        <v>0</v>
      </c>
      <c r="O1151" s="37">
        <f t="shared" si="131"/>
        <v>0</v>
      </c>
      <c r="P1151" s="55" cm="1">
        <f t="array" aca="1" ref="P1151" ca="1">IF((L1151-$C$16)&gt;0, IF($P$1+$C$16&gt;=L1151,INDIRECT("M"&amp;(L1151-$C$16)+5),0),0)</f>
        <v>0</v>
      </c>
      <c r="Q1151" s="56" cm="1">
        <f t="array" aca="1" ref="Q1151" ca="1">IF(L1151&lt;=$C$16,0,IF($W$2&gt;=L1151,IF(L1151&lt;=($P$1+$C$16),INDIRECT("N"&amp;(L1151-$C$16)+5),FV(SRate,L1151-$P$1-$C$16,0,-$W$1,1)),0))</f>
        <v>0</v>
      </c>
      <c r="R1151" s="56">
        <f t="shared" ca="1" si="125"/>
        <v>0</v>
      </c>
      <c r="S1151" s="19">
        <f t="shared" si="127"/>
        <v>0</v>
      </c>
      <c r="T1151" s="36" t="str" cm="1">
        <f t="array" aca="1" ref="T1151" ca="1">IF(L1151&lt;=$P$1,K1151,IF(L1151&lt;=($P$1+1),INDIRECT("K"&amp;5+$W$2),""))</f>
        <v/>
      </c>
      <c r="U1151" s="38">
        <f t="shared" si="128"/>
        <v>96</v>
      </c>
    </row>
    <row r="1152" spans="11:21" hidden="1" x14ac:dyDescent="0.25">
      <c r="K1152" s="36">
        <f t="shared" ca="1" si="130"/>
        <v>81126</v>
      </c>
      <c r="L1152" s="19">
        <v>1147</v>
      </c>
      <c r="M1152" s="19">
        <f t="shared" si="129"/>
        <v>0</v>
      </c>
      <c r="N1152" s="37">
        <f t="shared" si="126"/>
        <v>0</v>
      </c>
      <c r="O1152" s="37">
        <f t="shared" si="131"/>
        <v>0</v>
      </c>
      <c r="P1152" s="55" cm="1">
        <f t="array" aca="1" ref="P1152" ca="1">IF((L1152-$C$16)&gt;0, IF($P$1+$C$16&gt;=L1152,INDIRECT("M"&amp;(L1152-$C$16)+5),0),0)</f>
        <v>0</v>
      </c>
      <c r="Q1152" s="56" cm="1">
        <f t="array" aca="1" ref="Q1152" ca="1">IF(L1152&lt;=$C$16,0,IF($W$2&gt;=L1152,IF(L1152&lt;=($P$1+$C$16),INDIRECT("N"&amp;(L1152-$C$16)+5),FV(SRate,L1152-$P$1-$C$16,0,-$W$1,1)),0))</f>
        <v>0</v>
      </c>
      <c r="R1152" s="56">
        <f t="shared" ca="1" si="125"/>
        <v>0</v>
      </c>
      <c r="S1152" s="19">
        <f t="shared" si="127"/>
        <v>0</v>
      </c>
      <c r="T1152" s="36" t="str" cm="1">
        <f t="array" aca="1" ref="T1152" ca="1">IF(L1152&lt;=$P$1,K1152,IF(L1152&lt;=($P$1+1),INDIRECT("K"&amp;5+$W$2),""))</f>
        <v/>
      </c>
      <c r="U1152" s="38">
        <f t="shared" si="128"/>
        <v>96</v>
      </c>
    </row>
    <row r="1153" spans="11:21" hidden="1" x14ac:dyDescent="0.25">
      <c r="K1153" s="36">
        <f t="shared" ca="1" si="130"/>
        <v>81154</v>
      </c>
      <c r="L1153" s="19">
        <v>1148</v>
      </c>
      <c r="M1153" s="19">
        <f t="shared" si="129"/>
        <v>0</v>
      </c>
      <c r="N1153" s="37">
        <f t="shared" si="126"/>
        <v>0</v>
      </c>
      <c r="O1153" s="37">
        <f t="shared" si="131"/>
        <v>0</v>
      </c>
      <c r="P1153" s="55" cm="1">
        <f t="array" aca="1" ref="P1153" ca="1">IF((L1153-$C$16)&gt;0, IF($P$1+$C$16&gt;=L1153,INDIRECT("M"&amp;(L1153-$C$16)+5),0),0)</f>
        <v>0</v>
      </c>
      <c r="Q1153" s="56" cm="1">
        <f t="array" aca="1" ref="Q1153" ca="1">IF(L1153&lt;=$C$16,0,IF($W$2&gt;=L1153,IF(L1153&lt;=($P$1+$C$16),INDIRECT("N"&amp;(L1153-$C$16)+5),FV(SRate,L1153-$P$1-$C$16,0,-$W$1,1)),0))</f>
        <v>0</v>
      </c>
      <c r="R1153" s="56">
        <f t="shared" ca="1" si="125"/>
        <v>0</v>
      </c>
      <c r="S1153" s="19">
        <f t="shared" si="127"/>
        <v>0</v>
      </c>
      <c r="T1153" s="36" t="str" cm="1">
        <f t="array" aca="1" ref="T1153" ca="1">IF(L1153&lt;=$P$1,K1153,IF(L1153&lt;=($P$1+1),INDIRECT("K"&amp;5+$W$2),""))</f>
        <v/>
      </c>
      <c r="U1153" s="38">
        <f t="shared" si="128"/>
        <v>96</v>
      </c>
    </row>
    <row r="1154" spans="11:21" hidden="1" x14ac:dyDescent="0.25">
      <c r="K1154" s="36">
        <f t="shared" ca="1" si="130"/>
        <v>81185</v>
      </c>
      <c r="L1154" s="19">
        <v>1149</v>
      </c>
      <c r="M1154" s="19">
        <f t="shared" si="129"/>
        <v>0</v>
      </c>
      <c r="N1154" s="37">
        <f t="shared" si="126"/>
        <v>0</v>
      </c>
      <c r="O1154" s="37">
        <f t="shared" si="131"/>
        <v>0</v>
      </c>
      <c r="P1154" s="55" cm="1">
        <f t="array" aca="1" ref="P1154" ca="1">IF((L1154-$C$16)&gt;0, IF($P$1+$C$16&gt;=L1154,INDIRECT("M"&amp;(L1154-$C$16)+5),0),0)</f>
        <v>0</v>
      </c>
      <c r="Q1154" s="56" cm="1">
        <f t="array" aca="1" ref="Q1154" ca="1">IF(L1154&lt;=$C$16,0,IF($W$2&gt;=L1154,IF(L1154&lt;=($P$1+$C$16),INDIRECT("N"&amp;(L1154-$C$16)+5),FV(SRate,L1154-$P$1-$C$16,0,-$W$1,1)),0))</f>
        <v>0</v>
      </c>
      <c r="R1154" s="56">
        <f t="shared" ca="1" si="125"/>
        <v>0</v>
      </c>
      <c r="S1154" s="19">
        <f t="shared" si="127"/>
        <v>0</v>
      </c>
      <c r="T1154" s="36" t="str" cm="1">
        <f t="array" aca="1" ref="T1154" ca="1">IF(L1154&lt;=$P$1,K1154,IF(L1154&lt;=($P$1+1),INDIRECT("K"&amp;5+$W$2),""))</f>
        <v/>
      </c>
      <c r="U1154" s="38">
        <f t="shared" si="128"/>
        <v>96</v>
      </c>
    </row>
    <row r="1155" spans="11:21" hidden="1" x14ac:dyDescent="0.25">
      <c r="K1155" s="36">
        <f t="shared" ca="1" si="130"/>
        <v>81215</v>
      </c>
      <c r="L1155" s="19">
        <v>1150</v>
      </c>
      <c r="M1155" s="19">
        <f t="shared" si="129"/>
        <v>0</v>
      </c>
      <c r="N1155" s="37">
        <f t="shared" si="126"/>
        <v>0</v>
      </c>
      <c r="O1155" s="37">
        <f t="shared" si="131"/>
        <v>0</v>
      </c>
      <c r="P1155" s="55" cm="1">
        <f t="array" aca="1" ref="P1155" ca="1">IF((L1155-$C$16)&gt;0, IF($P$1+$C$16&gt;=L1155,INDIRECT("M"&amp;(L1155-$C$16)+5),0),0)</f>
        <v>0</v>
      </c>
      <c r="Q1155" s="56" cm="1">
        <f t="array" aca="1" ref="Q1155" ca="1">IF(L1155&lt;=$C$16,0,IF($W$2&gt;=L1155,IF(L1155&lt;=($P$1+$C$16),INDIRECT("N"&amp;(L1155-$C$16)+5),FV(SRate,L1155-$P$1-$C$16,0,-$W$1,1)),0))</f>
        <v>0</v>
      </c>
      <c r="R1155" s="56">
        <f t="shared" ca="1" si="125"/>
        <v>0</v>
      </c>
      <c r="S1155" s="19">
        <f t="shared" si="127"/>
        <v>0</v>
      </c>
      <c r="T1155" s="36" t="str" cm="1">
        <f t="array" aca="1" ref="T1155" ca="1">IF(L1155&lt;=$P$1,K1155,IF(L1155&lt;=($P$1+1),INDIRECT("K"&amp;5+$W$2),""))</f>
        <v/>
      </c>
      <c r="U1155" s="38">
        <f t="shared" si="128"/>
        <v>96</v>
      </c>
    </row>
    <row r="1156" spans="11:21" hidden="1" x14ac:dyDescent="0.25">
      <c r="K1156" s="36">
        <f t="shared" ca="1" si="130"/>
        <v>81246</v>
      </c>
      <c r="L1156" s="19">
        <v>1151</v>
      </c>
      <c r="M1156" s="19">
        <f t="shared" si="129"/>
        <v>0</v>
      </c>
      <c r="N1156" s="37">
        <f t="shared" si="126"/>
        <v>0</v>
      </c>
      <c r="O1156" s="37">
        <f t="shared" si="131"/>
        <v>0</v>
      </c>
      <c r="P1156" s="55" cm="1">
        <f t="array" aca="1" ref="P1156" ca="1">IF((L1156-$C$16)&gt;0, IF($P$1+$C$16&gt;=L1156,INDIRECT("M"&amp;(L1156-$C$16)+5),0),0)</f>
        <v>0</v>
      </c>
      <c r="Q1156" s="56" cm="1">
        <f t="array" aca="1" ref="Q1156" ca="1">IF(L1156&lt;=$C$16,0,IF($W$2&gt;=L1156,IF(L1156&lt;=($P$1+$C$16),INDIRECT("N"&amp;(L1156-$C$16)+5),FV(SRate,L1156-$P$1-$C$16,0,-$W$1,1)),0))</f>
        <v>0</v>
      </c>
      <c r="R1156" s="56">
        <f t="shared" ca="1" si="125"/>
        <v>0</v>
      </c>
      <c r="S1156" s="19">
        <f t="shared" si="127"/>
        <v>0</v>
      </c>
      <c r="T1156" s="36" t="str" cm="1">
        <f t="array" aca="1" ref="T1156" ca="1">IF(L1156&lt;=$P$1,K1156,IF(L1156&lt;=($P$1+1),INDIRECT("K"&amp;5+$W$2),""))</f>
        <v/>
      </c>
      <c r="U1156" s="38">
        <f t="shared" si="128"/>
        <v>96</v>
      </c>
    </row>
    <row r="1157" spans="11:21" hidden="1" x14ac:dyDescent="0.25">
      <c r="K1157" s="36">
        <f t="shared" ca="1" si="130"/>
        <v>81276</v>
      </c>
      <c r="L1157" s="19">
        <v>1152</v>
      </c>
      <c r="M1157" s="19">
        <f t="shared" si="129"/>
        <v>0</v>
      </c>
      <c r="N1157" s="37">
        <f t="shared" si="126"/>
        <v>0</v>
      </c>
      <c r="O1157" s="37">
        <f t="shared" si="131"/>
        <v>0</v>
      </c>
      <c r="P1157" s="55" cm="1">
        <f t="array" aca="1" ref="P1157" ca="1">IF((L1157-$C$16)&gt;0, IF($P$1+$C$16&gt;=L1157,INDIRECT("M"&amp;(L1157-$C$16)+5),0),0)</f>
        <v>0</v>
      </c>
      <c r="Q1157" s="56" cm="1">
        <f t="array" aca="1" ref="Q1157" ca="1">IF(L1157&lt;=$C$16,0,IF($W$2&gt;=L1157,IF(L1157&lt;=($P$1+$C$16),INDIRECT("N"&amp;(L1157-$C$16)+5),FV(SRate,L1157-$P$1-$C$16,0,-$W$1,1)),0))</f>
        <v>0</v>
      </c>
      <c r="R1157" s="56">
        <f t="shared" ca="1" si="125"/>
        <v>0</v>
      </c>
      <c r="S1157" s="19">
        <f t="shared" si="127"/>
        <v>0</v>
      </c>
      <c r="T1157" s="36" t="str" cm="1">
        <f t="array" aca="1" ref="T1157" ca="1">IF(L1157&lt;=$P$1,K1157,IF(L1157&lt;=($P$1+1),INDIRECT("K"&amp;5+$W$2),""))</f>
        <v/>
      </c>
      <c r="U1157" s="38">
        <f t="shared" si="128"/>
        <v>96</v>
      </c>
    </row>
    <row r="1158" spans="11:21" hidden="1" x14ac:dyDescent="0.25">
      <c r="K1158" s="36">
        <f t="shared" ca="1" si="130"/>
        <v>81307</v>
      </c>
      <c r="L1158" s="19">
        <v>1153</v>
      </c>
      <c r="M1158" s="19">
        <f t="shared" si="129"/>
        <v>0</v>
      </c>
      <c r="N1158" s="37">
        <f t="shared" si="126"/>
        <v>0</v>
      </c>
      <c r="O1158" s="37">
        <f t="shared" si="131"/>
        <v>0</v>
      </c>
      <c r="P1158" s="55" cm="1">
        <f t="array" aca="1" ref="P1158" ca="1">IF((L1158-$C$16)&gt;0, IF($P$1+$C$16&gt;=L1158,INDIRECT("M"&amp;(L1158-$C$16)+5),0),0)</f>
        <v>0</v>
      </c>
      <c r="Q1158" s="56" cm="1">
        <f t="array" aca="1" ref="Q1158" ca="1">IF(L1158&lt;=$C$16,0,IF($W$2&gt;=L1158,IF(L1158&lt;=($P$1+$C$16),INDIRECT("N"&amp;(L1158-$C$16)+5),FV(SRate,L1158-$P$1-$C$16,0,-$W$1,1)),0))</f>
        <v>0</v>
      </c>
      <c r="R1158" s="56">
        <f t="shared" ref="R1158:R1205" ca="1" si="132">Q1158/((1+SIPInflationRate)^((L1158-$C$16)/12))</f>
        <v>0</v>
      </c>
      <c r="S1158" s="19">
        <f t="shared" si="127"/>
        <v>0</v>
      </c>
      <c r="T1158" s="36" t="str" cm="1">
        <f t="array" aca="1" ref="T1158" ca="1">IF(L1158&lt;=$P$1,K1158,IF(L1158&lt;=($P$1+1),INDIRECT("K"&amp;5+$W$2),""))</f>
        <v/>
      </c>
      <c r="U1158" s="38">
        <f t="shared" si="128"/>
        <v>97</v>
      </c>
    </row>
    <row r="1159" spans="11:21" hidden="1" x14ac:dyDescent="0.25">
      <c r="K1159" s="36">
        <f t="shared" ca="1" si="130"/>
        <v>81338</v>
      </c>
      <c r="L1159" s="19">
        <v>1154</v>
      </c>
      <c r="M1159" s="19">
        <f t="shared" si="129"/>
        <v>0</v>
      </c>
      <c r="N1159" s="37">
        <f t="shared" ref="N1159:N1205" si="133">IF($W$2&gt;=L1159,IF(L1159&lt;=$P$1,(M1159-M1158+N1158)*(1+SRate),FV(SRate,L1159-$P$1,0,-$W$1,1)),0)</f>
        <v>0</v>
      </c>
      <c r="O1159" s="37">
        <f t="shared" si="131"/>
        <v>0</v>
      </c>
      <c r="P1159" s="55" cm="1">
        <f t="array" aca="1" ref="P1159" ca="1">IF((L1159-$C$16)&gt;0, IF($P$1+$C$16&gt;=L1159,INDIRECT("M"&amp;(L1159-$C$16)+5),0),0)</f>
        <v>0</v>
      </c>
      <c r="Q1159" s="56" cm="1">
        <f t="array" aca="1" ref="Q1159" ca="1">IF(L1159&lt;=$C$16,0,IF($W$2&gt;=L1159,IF(L1159&lt;=($P$1+$C$16),INDIRECT("N"&amp;(L1159-$C$16)+5),FV(SRate,L1159-$P$1-$C$16,0,-$W$1,1)),0))</f>
        <v>0</v>
      </c>
      <c r="R1159" s="56">
        <f t="shared" ca="1" si="132"/>
        <v>0</v>
      </c>
      <c r="S1159" s="19">
        <f t="shared" ref="S1159:S1205" si="134">IF(L1159&lt;=$P$1,-(_xlfn.XLOOKUP(U1159,$Z$3:$Z$72,$AB$3:$AB$72,0)),IF(L1159&lt;=($P$1+1),$W$4,0))</f>
        <v>0</v>
      </c>
      <c r="T1159" s="36" t="str" cm="1">
        <f t="array" aca="1" ref="T1159" ca="1">IF(L1159&lt;=$P$1,K1159,IF(L1159&lt;=($P$1+1),INDIRECT("K"&amp;5+$W$2),""))</f>
        <v/>
      </c>
      <c r="U1159" s="38">
        <f t="shared" ref="U1159:U1205" si="135">QUOTIENT(L1159,12)+IF(MOD(L1159,12)=0,-1,0)+1</f>
        <v>97</v>
      </c>
    </row>
    <row r="1160" spans="11:21" hidden="1" x14ac:dyDescent="0.25">
      <c r="K1160" s="36">
        <f t="shared" ca="1" si="130"/>
        <v>81368</v>
      </c>
      <c r="L1160" s="19">
        <v>1155</v>
      </c>
      <c r="M1160" s="19">
        <f t="shared" ref="M1160:M1205" si="136">IF($P$1&gt;=L1160,_xlfn.XLOOKUP(U1160,$Z$3:$Z$72,$AB$3:$AB$72,0)+M1159,0)</f>
        <v>0</v>
      </c>
      <c r="N1160" s="37">
        <f t="shared" si="133"/>
        <v>0</v>
      </c>
      <c r="O1160" s="37">
        <f t="shared" si="131"/>
        <v>0</v>
      </c>
      <c r="P1160" s="55" cm="1">
        <f t="array" aca="1" ref="P1160" ca="1">IF((L1160-$C$16)&gt;0, IF($P$1+$C$16&gt;=L1160,INDIRECT("M"&amp;(L1160-$C$16)+5),0),0)</f>
        <v>0</v>
      </c>
      <c r="Q1160" s="56" cm="1">
        <f t="array" aca="1" ref="Q1160" ca="1">IF(L1160&lt;=$C$16,0,IF($W$2&gt;=L1160,IF(L1160&lt;=($P$1+$C$16),INDIRECT("N"&amp;(L1160-$C$16)+5),FV(SRate,L1160-$P$1-$C$16,0,-$W$1,1)),0))</f>
        <v>0</v>
      </c>
      <c r="R1160" s="56">
        <f t="shared" ca="1" si="132"/>
        <v>0</v>
      </c>
      <c r="S1160" s="19">
        <f t="shared" si="134"/>
        <v>0</v>
      </c>
      <c r="T1160" s="36" t="str" cm="1">
        <f t="array" aca="1" ref="T1160" ca="1">IF(L1160&lt;=$P$1,K1160,IF(L1160&lt;=($P$1+1),INDIRECT("K"&amp;5+$W$2),""))</f>
        <v/>
      </c>
      <c r="U1160" s="38">
        <f t="shared" si="135"/>
        <v>97</v>
      </c>
    </row>
    <row r="1161" spans="11:21" hidden="1" x14ac:dyDescent="0.25">
      <c r="K1161" s="36">
        <f t="shared" ref="K1161:K1205" ca="1" si="137">EDATE(K1160,1)</f>
        <v>81399</v>
      </c>
      <c r="L1161" s="19">
        <v>1156</v>
      </c>
      <c r="M1161" s="19">
        <f t="shared" si="136"/>
        <v>0</v>
      </c>
      <c r="N1161" s="37">
        <f t="shared" si="133"/>
        <v>0</v>
      </c>
      <c r="O1161" s="37">
        <f t="shared" si="131"/>
        <v>0</v>
      </c>
      <c r="P1161" s="55" cm="1">
        <f t="array" aca="1" ref="P1161" ca="1">IF((L1161-$C$16)&gt;0, IF($P$1+$C$16&gt;=L1161,INDIRECT("M"&amp;(L1161-$C$16)+5),0),0)</f>
        <v>0</v>
      </c>
      <c r="Q1161" s="56" cm="1">
        <f t="array" aca="1" ref="Q1161" ca="1">IF(L1161&lt;=$C$16,0,IF($W$2&gt;=L1161,IF(L1161&lt;=($P$1+$C$16),INDIRECT("N"&amp;(L1161-$C$16)+5),FV(SRate,L1161-$P$1-$C$16,0,-$W$1,1)),0))</f>
        <v>0</v>
      </c>
      <c r="R1161" s="56">
        <f t="shared" ca="1" si="132"/>
        <v>0</v>
      </c>
      <c r="S1161" s="19">
        <f t="shared" si="134"/>
        <v>0</v>
      </c>
      <c r="T1161" s="36" t="str" cm="1">
        <f t="array" aca="1" ref="T1161" ca="1">IF(L1161&lt;=$P$1,K1161,IF(L1161&lt;=($P$1+1),INDIRECT("K"&amp;5+$W$2),""))</f>
        <v/>
      </c>
      <c r="U1161" s="38">
        <f t="shared" si="135"/>
        <v>97</v>
      </c>
    </row>
    <row r="1162" spans="11:21" hidden="1" x14ac:dyDescent="0.25">
      <c r="K1162" s="36">
        <f t="shared" ca="1" si="137"/>
        <v>81429</v>
      </c>
      <c r="L1162" s="19">
        <v>1157</v>
      </c>
      <c r="M1162" s="19">
        <f t="shared" si="136"/>
        <v>0</v>
      </c>
      <c r="N1162" s="37">
        <f t="shared" si="133"/>
        <v>0</v>
      </c>
      <c r="O1162" s="37">
        <f t="shared" si="131"/>
        <v>0</v>
      </c>
      <c r="P1162" s="55" cm="1">
        <f t="array" aca="1" ref="P1162" ca="1">IF((L1162-$C$16)&gt;0, IF($P$1+$C$16&gt;=L1162,INDIRECT("M"&amp;(L1162-$C$16)+5),0),0)</f>
        <v>0</v>
      </c>
      <c r="Q1162" s="56" cm="1">
        <f t="array" aca="1" ref="Q1162" ca="1">IF(L1162&lt;=$C$16,0,IF($W$2&gt;=L1162,IF(L1162&lt;=($P$1+$C$16),INDIRECT("N"&amp;(L1162-$C$16)+5),FV(SRate,L1162-$P$1-$C$16,0,-$W$1,1)),0))</f>
        <v>0</v>
      </c>
      <c r="R1162" s="56">
        <f t="shared" ca="1" si="132"/>
        <v>0</v>
      </c>
      <c r="S1162" s="19">
        <f t="shared" si="134"/>
        <v>0</v>
      </c>
      <c r="T1162" s="36" t="str" cm="1">
        <f t="array" aca="1" ref="T1162" ca="1">IF(L1162&lt;=$P$1,K1162,IF(L1162&lt;=($P$1+1),INDIRECT("K"&amp;5+$W$2),""))</f>
        <v/>
      </c>
      <c r="U1162" s="38">
        <f t="shared" si="135"/>
        <v>97</v>
      </c>
    </row>
    <row r="1163" spans="11:21" hidden="1" x14ac:dyDescent="0.25">
      <c r="K1163" s="36">
        <f t="shared" ca="1" si="137"/>
        <v>81460</v>
      </c>
      <c r="L1163" s="19">
        <v>1158</v>
      </c>
      <c r="M1163" s="19">
        <f t="shared" si="136"/>
        <v>0</v>
      </c>
      <c r="N1163" s="37">
        <f t="shared" si="133"/>
        <v>0</v>
      </c>
      <c r="O1163" s="37">
        <f t="shared" ref="O1163:O1169" si="138">N1163/((1+SIPInflationRate)^(L1163/12))</f>
        <v>0</v>
      </c>
      <c r="P1163" s="55" cm="1">
        <f t="array" aca="1" ref="P1163" ca="1">IF((L1163-$C$16)&gt;0, IF($P$1+$C$16&gt;=L1163,INDIRECT("M"&amp;(L1163-$C$16)+5),0),0)</f>
        <v>0</v>
      </c>
      <c r="Q1163" s="56" cm="1">
        <f t="array" aca="1" ref="Q1163" ca="1">IF(L1163&lt;=$C$16,0,IF($W$2&gt;=L1163,IF(L1163&lt;=($P$1+$C$16),INDIRECT("N"&amp;(L1163-$C$16)+5),FV(SRate,L1163-$P$1-$C$16,0,-$W$1,1)),0))</f>
        <v>0</v>
      </c>
      <c r="R1163" s="56">
        <f t="shared" ca="1" si="132"/>
        <v>0</v>
      </c>
      <c r="S1163" s="19">
        <f t="shared" si="134"/>
        <v>0</v>
      </c>
      <c r="T1163" s="36" t="str" cm="1">
        <f t="array" aca="1" ref="T1163" ca="1">IF(L1163&lt;=$P$1,K1163,IF(L1163&lt;=($P$1+1),INDIRECT("K"&amp;5+$W$2),""))</f>
        <v/>
      </c>
      <c r="U1163" s="38">
        <f t="shared" si="135"/>
        <v>97</v>
      </c>
    </row>
    <row r="1164" spans="11:21" hidden="1" x14ac:dyDescent="0.25">
      <c r="K1164" s="36">
        <f t="shared" ca="1" si="137"/>
        <v>81491</v>
      </c>
      <c r="L1164" s="19">
        <v>1159</v>
      </c>
      <c r="M1164" s="19">
        <f t="shared" si="136"/>
        <v>0</v>
      </c>
      <c r="N1164" s="37">
        <f t="shared" si="133"/>
        <v>0</v>
      </c>
      <c r="O1164" s="37">
        <f t="shared" si="138"/>
        <v>0</v>
      </c>
      <c r="P1164" s="55" cm="1">
        <f t="array" aca="1" ref="P1164" ca="1">IF((L1164-$C$16)&gt;0, IF($P$1+$C$16&gt;=L1164,INDIRECT("M"&amp;(L1164-$C$16)+5),0),0)</f>
        <v>0</v>
      </c>
      <c r="Q1164" s="56" cm="1">
        <f t="array" aca="1" ref="Q1164" ca="1">IF(L1164&lt;=$C$16,0,IF($W$2&gt;=L1164,IF(L1164&lt;=($P$1+$C$16),INDIRECT("N"&amp;(L1164-$C$16)+5),FV(SRate,L1164-$P$1-$C$16,0,-$W$1,1)),0))</f>
        <v>0</v>
      </c>
      <c r="R1164" s="56">
        <f t="shared" ca="1" si="132"/>
        <v>0</v>
      </c>
      <c r="S1164" s="19">
        <f t="shared" si="134"/>
        <v>0</v>
      </c>
      <c r="T1164" s="36" t="str" cm="1">
        <f t="array" aca="1" ref="T1164" ca="1">IF(L1164&lt;=$P$1,K1164,IF(L1164&lt;=($P$1+1),INDIRECT("K"&amp;5+$W$2),""))</f>
        <v/>
      </c>
      <c r="U1164" s="38">
        <f t="shared" si="135"/>
        <v>97</v>
      </c>
    </row>
    <row r="1165" spans="11:21" hidden="1" x14ac:dyDescent="0.25">
      <c r="K1165" s="36">
        <f t="shared" ca="1" si="137"/>
        <v>81519</v>
      </c>
      <c r="L1165" s="19">
        <v>1160</v>
      </c>
      <c r="M1165" s="19">
        <f t="shared" si="136"/>
        <v>0</v>
      </c>
      <c r="N1165" s="37">
        <f t="shared" si="133"/>
        <v>0</v>
      </c>
      <c r="O1165" s="37">
        <f t="shared" si="138"/>
        <v>0</v>
      </c>
      <c r="P1165" s="55" cm="1">
        <f t="array" aca="1" ref="P1165" ca="1">IF((L1165-$C$16)&gt;0, IF($P$1+$C$16&gt;=L1165,INDIRECT("M"&amp;(L1165-$C$16)+5),0),0)</f>
        <v>0</v>
      </c>
      <c r="Q1165" s="56" cm="1">
        <f t="array" aca="1" ref="Q1165" ca="1">IF(L1165&lt;=$C$16,0,IF($W$2&gt;=L1165,IF(L1165&lt;=($P$1+$C$16),INDIRECT("N"&amp;(L1165-$C$16)+5),FV(SRate,L1165-$P$1-$C$16,0,-$W$1,1)),0))</f>
        <v>0</v>
      </c>
      <c r="R1165" s="56">
        <f t="shared" ca="1" si="132"/>
        <v>0</v>
      </c>
      <c r="S1165" s="19">
        <f t="shared" si="134"/>
        <v>0</v>
      </c>
      <c r="T1165" s="36" t="str" cm="1">
        <f t="array" aca="1" ref="T1165" ca="1">IF(L1165&lt;=$P$1,K1165,IF(L1165&lt;=($P$1+1),INDIRECT("K"&amp;5+$W$2),""))</f>
        <v/>
      </c>
      <c r="U1165" s="38">
        <f t="shared" si="135"/>
        <v>97</v>
      </c>
    </row>
    <row r="1166" spans="11:21" hidden="1" x14ac:dyDescent="0.25">
      <c r="K1166" s="36">
        <f t="shared" ca="1" si="137"/>
        <v>81550</v>
      </c>
      <c r="L1166" s="19">
        <v>1161</v>
      </c>
      <c r="M1166" s="19">
        <f t="shared" si="136"/>
        <v>0</v>
      </c>
      <c r="N1166" s="37">
        <f t="shared" si="133"/>
        <v>0</v>
      </c>
      <c r="O1166" s="37">
        <f t="shared" si="138"/>
        <v>0</v>
      </c>
      <c r="P1166" s="55" cm="1">
        <f t="array" aca="1" ref="P1166" ca="1">IF((L1166-$C$16)&gt;0, IF($P$1+$C$16&gt;=L1166,INDIRECT("M"&amp;(L1166-$C$16)+5),0),0)</f>
        <v>0</v>
      </c>
      <c r="Q1166" s="56" cm="1">
        <f t="array" aca="1" ref="Q1166" ca="1">IF(L1166&lt;=$C$16,0,IF($W$2&gt;=L1166,IF(L1166&lt;=($P$1+$C$16),INDIRECT("N"&amp;(L1166-$C$16)+5),FV(SRate,L1166-$P$1-$C$16,0,-$W$1,1)),0))</f>
        <v>0</v>
      </c>
      <c r="R1166" s="56">
        <f t="shared" ca="1" si="132"/>
        <v>0</v>
      </c>
      <c r="S1166" s="19">
        <f t="shared" si="134"/>
        <v>0</v>
      </c>
      <c r="T1166" s="36" t="str" cm="1">
        <f t="array" aca="1" ref="T1166" ca="1">IF(L1166&lt;=$P$1,K1166,IF(L1166&lt;=($P$1+1),INDIRECT("K"&amp;5+$W$2),""))</f>
        <v/>
      </c>
      <c r="U1166" s="38">
        <f t="shared" si="135"/>
        <v>97</v>
      </c>
    </row>
    <row r="1167" spans="11:21" hidden="1" x14ac:dyDescent="0.25">
      <c r="K1167" s="36">
        <f t="shared" ca="1" si="137"/>
        <v>81580</v>
      </c>
      <c r="L1167" s="19">
        <v>1162</v>
      </c>
      <c r="M1167" s="19">
        <f t="shared" si="136"/>
        <v>0</v>
      </c>
      <c r="N1167" s="37">
        <f t="shared" si="133"/>
        <v>0</v>
      </c>
      <c r="O1167" s="37">
        <f t="shared" si="138"/>
        <v>0</v>
      </c>
      <c r="P1167" s="55" cm="1">
        <f t="array" aca="1" ref="P1167" ca="1">IF((L1167-$C$16)&gt;0, IF($P$1+$C$16&gt;=L1167,INDIRECT("M"&amp;(L1167-$C$16)+5),0),0)</f>
        <v>0</v>
      </c>
      <c r="Q1167" s="56" cm="1">
        <f t="array" aca="1" ref="Q1167" ca="1">IF(L1167&lt;=$C$16,0,IF($W$2&gt;=L1167,IF(L1167&lt;=($P$1+$C$16),INDIRECT("N"&amp;(L1167-$C$16)+5),FV(SRate,L1167-$P$1-$C$16,0,-$W$1,1)),0))</f>
        <v>0</v>
      </c>
      <c r="R1167" s="56">
        <f t="shared" ca="1" si="132"/>
        <v>0</v>
      </c>
      <c r="S1167" s="19">
        <f t="shared" si="134"/>
        <v>0</v>
      </c>
      <c r="T1167" s="36" t="str" cm="1">
        <f t="array" aca="1" ref="T1167" ca="1">IF(L1167&lt;=$P$1,K1167,IF(L1167&lt;=($P$1+1),INDIRECT("K"&amp;5+$W$2),""))</f>
        <v/>
      </c>
      <c r="U1167" s="38">
        <f t="shared" si="135"/>
        <v>97</v>
      </c>
    </row>
    <row r="1168" spans="11:21" hidden="1" x14ac:dyDescent="0.25">
      <c r="K1168" s="36">
        <f t="shared" ca="1" si="137"/>
        <v>81611</v>
      </c>
      <c r="L1168" s="19">
        <v>1163</v>
      </c>
      <c r="M1168" s="19">
        <f t="shared" si="136"/>
        <v>0</v>
      </c>
      <c r="N1168" s="37">
        <f t="shared" si="133"/>
        <v>0</v>
      </c>
      <c r="O1168" s="37">
        <f t="shared" si="138"/>
        <v>0</v>
      </c>
      <c r="P1168" s="55" cm="1">
        <f t="array" aca="1" ref="P1168" ca="1">IF((L1168-$C$16)&gt;0, IF($P$1+$C$16&gt;=L1168,INDIRECT("M"&amp;(L1168-$C$16)+5),0),0)</f>
        <v>0</v>
      </c>
      <c r="Q1168" s="56" cm="1">
        <f t="array" aca="1" ref="Q1168" ca="1">IF(L1168&lt;=$C$16,0,IF($W$2&gt;=L1168,IF(L1168&lt;=($P$1+$C$16),INDIRECT("N"&amp;(L1168-$C$16)+5),FV(SRate,L1168-$P$1-$C$16,0,-$W$1,1)),0))</f>
        <v>0</v>
      </c>
      <c r="R1168" s="56">
        <f t="shared" ca="1" si="132"/>
        <v>0</v>
      </c>
      <c r="S1168" s="19">
        <f t="shared" si="134"/>
        <v>0</v>
      </c>
      <c r="T1168" s="36" t="str" cm="1">
        <f t="array" aca="1" ref="T1168" ca="1">IF(L1168&lt;=$P$1,K1168,IF(L1168&lt;=($P$1+1),INDIRECT("K"&amp;5+$W$2),""))</f>
        <v/>
      </c>
      <c r="U1168" s="38">
        <f t="shared" si="135"/>
        <v>97</v>
      </c>
    </row>
    <row r="1169" spans="11:21" hidden="1" x14ac:dyDescent="0.25">
      <c r="K1169" s="36">
        <f t="shared" ca="1" si="137"/>
        <v>81641</v>
      </c>
      <c r="L1169" s="19">
        <v>1164</v>
      </c>
      <c r="M1169" s="19">
        <f t="shared" si="136"/>
        <v>0</v>
      </c>
      <c r="N1169" s="37">
        <f t="shared" si="133"/>
        <v>0</v>
      </c>
      <c r="O1169" s="37">
        <f t="shared" si="138"/>
        <v>0</v>
      </c>
      <c r="P1169" s="55" cm="1">
        <f t="array" aca="1" ref="P1169" ca="1">IF((L1169-$C$16)&gt;0, IF($P$1+$C$16&gt;=L1169,INDIRECT("M"&amp;(L1169-$C$16)+5),0),0)</f>
        <v>0</v>
      </c>
      <c r="Q1169" s="56" cm="1">
        <f t="array" aca="1" ref="Q1169" ca="1">IF(L1169&lt;=$C$16,0,IF($W$2&gt;=L1169,IF(L1169&lt;=($P$1+$C$16),INDIRECT("N"&amp;(L1169-$C$16)+5),FV(SRate,L1169-$P$1-$C$16,0,-$W$1,1)),0))</f>
        <v>0</v>
      </c>
      <c r="R1169" s="56">
        <f t="shared" ca="1" si="132"/>
        <v>0</v>
      </c>
      <c r="S1169" s="19">
        <f t="shared" si="134"/>
        <v>0</v>
      </c>
      <c r="T1169" s="36" t="str" cm="1">
        <f t="array" aca="1" ref="T1169" ca="1">IF(L1169&lt;=$P$1,K1169,IF(L1169&lt;=($P$1+1),INDIRECT("K"&amp;5+$W$2),""))</f>
        <v/>
      </c>
      <c r="U1169" s="38">
        <f t="shared" si="135"/>
        <v>97</v>
      </c>
    </row>
    <row r="1170" spans="11:21" hidden="1" x14ac:dyDescent="0.25">
      <c r="K1170" s="36">
        <f t="shared" ca="1" si="137"/>
        <v>81672</v>
      </c>
      <c r="L1170" s="19">
        <v>1165</v>
      </c>
      <c r="M1170" s="19">
        <f t="shared" si="136"/>
        <v>0</v>
      </c>
      <c r="N1170" s="37">
        <f t="shared" si="133"/>
        <v>0</v>
      </c>
      <c r="O1170" s="37">
        <f t="shared" ref="O1170:O1184" si="139">N1170/((1+SIPInflationRate)^(L1170/12))</f>
        <v>0</v>
      </c>
      <c r="P1170" s="55" cm="1">
        <f t="array" aca="1" ref="P1170" ca="1">IF((L1170-$C$16)&gt;0, IF($P$1+$C$16&gt;=L1170,INDIRECT("M"&amp;(L1170-$C$16)+5),0),0)</f>
        <v>0</v>
      </c>
      <c r="Q1170" s="56" cm="1">
        <f t="array" aca="1" ref="Q1170" ca="1">IF(L1170&lt;=$C$16,0,IF($W$2&gt;=L1170,IF(L1170&lt;=($P$1+$C$16),INDIRECT("N"&amp;(L1170-$C$16)+5),FV(SRate,L1170-$P$1-$C$16,0,-$W$1,1)),0))</f>
        <v>0</v>
      </c>
      <c r="R1170" s="56">
        <f t="shared" ca="1" si="132"/>
        <v>0</v>
      </c>
      <c r="S1170" s="19">
        <f t="shared" si="134"/>
        <v>0</v>
      </c>
      <c r="T1170" s="36" t="str" cm="1">
        <f t="array" aca="1" ref="T1170" ca="1">IF(L1170&lt;=$P$1,K1170,IF(L1170&lt;=($P$1+1),INDIRECT("K"&amp;5+$W$2),""))</f>
        <v/>
      </c>
      <c r="U1170" s="38">
        <f t="shared" si="135"/>
        <v>98</v>
      </c>
    </row>
    <row r="1171" spans="11:21" hidden="1" x14ac:dyDescent="0.25">
      <c r="K1171" s="36">
        <f t="shared" ca="1" si="137"/>
        <v>81703</v>
      </c>
      <c r="L1171" s="19">
        <v>1166</v>
      </c>
      <c r="M1171" s="19">
        <f t="shared" si="136"/>
        <v>0</v>
      </c>
      <c r="N1171" s="37">
        <f t="shared" si="133"/>
        <v>0</v>
      </c>
      <c r="O1171" s="37">
        <f t="shared" si="139"/>
        <v>0</v>
      </c>
      <c r="P1171" s="55" cm="1">
        <f t="array" aca="1" ref="P1171" ca="1">IF((L1171-$C$16)&gt;0, IF($P$1+$C$16&gt;=L1171,INDIRECT("M"&amp;(L1171-$C$16)+5),0),0)</f>
        <v>0</v>
      </c>
      <c r="Q1171" s="56" cm="1">
        <f t="array" aca="1" ref="Q1171" ca="1">IF(L1171&lt;=$C$16,0,IF($W$2&gt;=L1171,IF(L1171&lt;=($P$1+$C$16),INDIRECT("N"&amp;(L1171-$C$16)+5),FV(SRate,L1171-$P$1-$C$16,0,-$W$1,1)),0))</f>
        <v>0</v>
      </c>
      <c r="R1171" s="56">
        <f t="shared" ca="1" si="132"/>
        <v>0</v>
      </c>
      <c r="S1171" s="19">
        <f t="shared" si="134"/>
        <v>0</v>
      </c>
      <c r="T1171" s="36" t="str" cm="1">
        <f t="array" aca="1" ref="T1171" ca="1">IF(L1171&lt;=$P$1,K1171,IF(L1171&lt;=($P$1+1),INDIRECT("K"&amp;5+$W$2),""))</f>
        <v/>
      </c>
      <c r="U1171" s="38">
        <f t="shared" si="135"/>
        <v>98</v>
      </c>
    </row>
    <row r="1172" spans="11:21" hidden="1" x14ac:dyDescent="0.25">
      <c r="K1172" s="36">
        <f t="shared" ca="1" si="137"/>
        <v>81733</v>
      </c>
      <c r="L1172" s="19">
        <v>1167</v>
      </c>
      <c r="M1172" s="19">
        <f t="shared" si="136"/>
        <v>0</v>
      </c>
      <c r="N1172" s="37">
        <f t="shared" si="133"/>
        <v>0</v>
      </c>
      <c r="O1172" s="37">
        <f t="shared" si="139"/>
        <v>0</v>
      </c>
      <c r="P1172" s="55" cm="1">
        <f t="array" aca="1" ref="P1172" ca="1">IF((L1172-$C$16)&gt;0, IF($P$1+$C$16&gt;=L1172,INDIRECT("M"&amp;(L1172-$C$16)+5),0),0)</f>
        <v>0</v>
      </c>
      <c r="Q1172" s="56" cm="1">
        <f t="array" aca="1" ref="Q1172" ca="1">IF(L1172&lt;=$C$16,0,IF($W$2&gt;=L1172,IF(L1172&lt;=($P$1+$C$16),INDIRECT("N"&amp;(L1172-$C$16)+5),FV(SRate,L1172-$P$1-$C$16,0,-$W$1,1)),0))</f>
        <v>0</v>
      </c>
      <c r="R1172" s="56">
        <f t="shared" ca="1" si="132"/>
        <v>0</v>
      </c>
      <c r="S1172" s="19">
        <f t="shared" si="134"/>
        <v>0</v>
      </c>
      <c r="T1172" s="36" t="str" cm="1">
        <f t="array" aca="1" ref="T1172" ca="1">IF(L1172&lt;=$P$1,K1172,IF(L1172&lt;=($P$1+1),INDIRECT("K"&amp;5+$W$2),""))</f>
        <v/>
      </c>
      <c r="U1172" s="38">
        <f t="shared" si="135"/>
        <v>98</v>
      </c>
    </row>
    <row r="1173" spans="11:21" hidden="1" x14ac:dyDescent="0.25">
      <c r="K1173" s="36">
        <f t="shared" ca="1" si="137"/>
        <v>81764</v>
      </c>
      <c r="L1173" s="19">
        <v>1168</v>
      </c>
      <c r="M1173" s="19">
        <f t="shared" si="136"/>
        <v>0</v>
      </c>
      <c r="N1173" s="37">
        <f t="shared" si="133"/>
        <v>0</v>
      </c>
      <c r="O1173" s="37">
        <f t="shared" si="139"/>
        <v>0</v>
      </c>
      <c r="P1173" s="55" cm="1">
        <f t="array" aca="1" ref="P1173" ca="1">IF((L1173-$C$16)&gt;0, IF($P$1+$C$16&gt;=L1173,INDIRECT("M"&amp;(L1173-$C$16)+5),0),0)</f>
        <v>0</v>
      </c>
      <c r="Q1173" s="56" cm="1">
        <f t="array" aca="1" ref="Q1173" ca="1">IF(L1173&lt;=$C$16,0,IF($W$2&gt;=L1173,IF(L1173&lt;=($P$1+$C$16),INDIRECT("N"&amp;(L1173-$C$16)+5),FV(SRate,L1173-$P$1-$C$16,0,-$W$1,1)),0))</f>
        <v>0</v>
      </c>
      <c r="R1173" s="56">
        <f t="shared" ca="1" si="132"/>
        <v>0</v>
      </c>
      <c r="S1173" s="19">
        <f t="shared" si="134"/>
        <v>0</v>
      </c>
      <c r="T1173" s="36" t="str" cm="1">
        <f t="array" aca="1" ref="T1173" ca="1">IF(L1173&lt;=$P$1,K1173,IF(L1173&lt;=($P$1+1),INDIRECT("K"&amp;5+$W$2),""))</f>
        <v/>
      </c>
      <c r="U1173" s="38">
        <f t="shared" si="135"/>
        <v>98</v>
      </c>
    </row>
    <row r="1174" spans="11:21" hidden="1" x14ac:dyDescent="0.25">
      <c r="K1174" s="36">
        <f t="shared" ca="1" si="137"/>
        <v>81794</v>
      </c>
      <c r="L1174" s="19">
        <v>1169</v>
      </c>
      <c r="M1174" s="19">
        <f t="shared" si="136"/>
        <v>0</v>
      </c>
      <c r="N1174" s="37">
        <f t="shared" si="133"/>
        <v>0</v>
      </c>
      <c r="O1174" s="37">
        <f t="shared" si="139"/>
        <v>0</v>
      </c>
      <c r="P1174" s="55" cm="1">
        <f t="array" aca="1" ref="P1174" ca="1">IF((L1174-$C$16)&gt;0, IF($P$1+$C$16&gt;=L1174,INDIRECT("M"&amp;(L1174-$C$16)+5),0),0)</f>
        <v>0</v>
      </c>
      <c r="Q1174" s="56" cm="1">
        <f t="array" aca="1" ref="Q1174" ca="1">IF(L1174&lt;=$C$16,0,IF($W$2&gt;=L1174,IF(L1174&lt;=($P$1+$C$16),INDIRECT("N"&amp;(L1174-$C$16)+5),FV(SRate,L1174-$P$1-$C$16,0,-$W$1,1)),0))</f>
        <v>0</v>
      </c>
      <c r="R1174" s="56">
        <f t="shared" ca="1" si="132"/>
        <v>0</v>
      </c>
      <c r="S1174" s="19">
        <f t="shared" si="134"/>
        <v>0</v>
      </c>
      <c r="T1174" s="36" t="str" cm="1">
        <f t="array" aca="1" ref="T1174" ca="1">IF(L1174&lt;=$P$1,K1174,IF(L1174&lt;=($P$1+1),INDIRECT("K"&amp;5+$W$2),""))</f>
        <v/>
      </c>
      <c r="U1174" s="38">
        <f t="shared" si="135"/>
        <v>98</v>
      </c>
    </row>
    <row r="1175" spans="11:21" hidden="1" x14ac:dyDescent="0.25">
      <c r="K1175" s="36">
        <f t="shared" ca="1" si="137"/>
        <v>81825</v>
      </c>
      <c r="L1175" s="19">
        <v>1170</v>
      </c>
      <c r="M1175" s="19">
        <f t="shared" si="136"/>
        <v>0</v>
      </c>
      <c r="N1175" s="37">
        <f t="shared" si="133"/>
        <v>0</v>
      </c>
      <c r="O1175" s="37">
        <f t="shared" si="139"/>
        <v>0</v>
      </c>
      <c r="P1175" s="55" cm="1">
        <f t="array" aca="1" ref="P1175" ca="1">IF((L1175-$C$16)&gt;0, IF($P$1+$C$16&gt;=L1175,INDIRECT("M"&amp;(L1175-$C$16)+5),0),0)</f>
        <v>0</v>
      </c>
      <c r="Q1175" s="56" cm="1">
        <f t="array" aca="1" ref="Q1175" ca="1">IF(L1175&lt;=$C$16,0,IF($W$2&gt;=L1175,IF(L1175&lt;=($P$1+$C$16),INDIRECT("N"&amp;(L1175-$C$16)+5),FV(SRate,L1175-$P$1-$C$16,0,-$W$1,1)),0))</f>
        <v>0</v>
      </c>
      <c r="R1175" s="56">
        <f t="shared" ca="1" si="132"/>
        <v>0</v>
      </c>
      <c r="S1175" s="19">
        <f t="shared" si="134"/>
        <v>0</v>
      </c>
      <c r="T1175" s="36" t="str" cm="1">
        <f t="array" aca="1" ref="T1175" ca="1">IF(L1175&lt;=$P$1,K1175,IF(L1175&lt;=($P$1+1),INDIRECT("K"&amp;5+$W$2),""))</f>
        <v/>
      </c>
      <c r="U1175" s="38">
        <f t="shared" si="135"/>
        <v>98</v>
      </c>
    </row>
    <row r="1176" spans="11:21" hidden="1" x14ac:dyDescent="0.25">
      <c r="K1176" s="36">
        <f t="shared" ca="1" si="137"/>
        <v>81856</v>
      </c>
      <c r="L1176" s="19">
        <v>1171</v>
      </c>
      <c r="M1176" s="19">
        <f t="shared" si="136"/>
        <v>0</v>
      </c>
      <c r="N1176" s="37">
        <f t="shared" si="133"/>
        <v>0</v>
      </c>
      <c r="O1176" s="37">
        <f t="shared" si="139"/>
        <v>0</v>
      </c>
      <c r="P1176" s="55" cm="1">
        <f t="array" aca="1" ref="P1176" ca="1">IF((L1176-$C$16)&gt;0, IF($P$1+$C$16&gt;=L1176,INDIRECT("M"&amp;(L1176-$C$16)+5),0),0)</f>
        <v>0</v>
      </c>
      <c r="Q1176" s="56" cm="1">
        <f t="array" aca="1" ref="Q1176" ca="1">IF(L1176&lt;=$C$16,0,IF($W$2&gt;=L1176,IF(L1176&lt;=($P$1+$C$16),INDIRECT("N"&amp;(L1176-$C$16)+5),FV(SRate,L1176-$P$1-$C$16,0,-$W$1,1)),0))</f>
        <v>0</v>
      </c>
      <c r="R1176" s="56">
        <f t="shared" ca="1" si="132"/>
        <v>0</v>
      </c>
      <c r="S1176" s="19">
        <f t="shared" si="134"/>
        <v>0</v>
      </c>
      <c r="T1176" s="36" t="str" cm="1">
        <f t="array" aca="1" ref="T1176" ca="1">IF(L1176&lt;=$P$1,K1176,IF(L1176&lt;=($P$1+1),INDIRECT("K"&amp;5+$W$2),""))</f>
        <v/>
      </c>
      <c r="U1176" s="38">
        <f t="shared" si="135"/>
        <v>98</v>
      </c>
    </row>
    <row r="1177" spans="11:21" hidden="1" x14ac:dyDescent="0.25">
      <c r="K1177" s="36">
        <f t="shared" ca="1" si="137"/>
        <v>81885</v>
      </c>
      <c r="L1177" s="19">
        <v>1172</v>
      </c>
      <c r="M1177" s="19">
        <f t="shared" si="136"/>
        <v>0</v>
      </c>
      <c r="N1177" s="37">
        <f t="shared" si="133"/>
        <v>0</v>
      </c>
      <c r="O1177" s="37">
        <f t="shared" si="139"/>
        <v>0</v>
      </c>
      <c r="P1177" s="55" cm="1">
        <f t="array" aca="1" ref="P1177" ca="1">IF((L1177-$C$16)&gt;0, IF($P$1+$C$16&gt;=L1177,INDIRECT("M"&amp;(L1177-$C$16)+5),0),0)</f>
        <v>0</v>
      </c>
      <c r="Q1177" s="56" cm="1">
        <f t="array" aca="1" ref="Q1177" ca="1">IF(L1177&lt;=$C$16,0,IF($W$2&gt;=L1177,IF(L1177&lt;=($P$1+$C$16),INDIRECT("N"&amp;(L1177-$C$16)+5),FV(SRate,L1177-$P$1-$C$16,0,-$W$1,1)),0))</f>
        <v>0</v>
      </c>
      <c r="R1177" s="56">
        <f t="shared" ca="1" si="132"/>
        <v>0</v>
      </c>
      <c r="S1177" s="19">
        <f t="shared" si="134"/>
        <v>0</v>
      </c>
      <c r="T1177" s="36" t="str" cm="1">
        <f t="array" aca="1" ref="T1177" ca="1">IF(L1177&lt;=$P$1,K1177,IF(L1177&lt;=($P$1+1),INDIRECT("K"&amp;5+$W$2),""))</f>
        <v/>
      </c>
      <c r="U1177" s="38">
        <f t="shared" si="135"/>
        <v>98</v>
      </c>
    </row>
    <row r="1178" spans="11:21" hidden="1" x14ac:dyDescent="0.25">
      <c r="K1178" s="36">
        <f t="shared" ca="1" si="137"/>
        <v>81916</v>
      </c>
      <c r="L1178" s="19">
        <v>1173</v>
      </c>
      <c r="M1178" s="19">
        <f t="shared" si="136"/>
        <v>0</v>
      </c>
      <c r="N1178" s="37">
        <f t="shared" si="133"/>
        <v>0</v>
      </c>
      <c r="O1178" s="37">
        <f t="shared" si="139"/>
        <v>0</v>
      </c>
      <c r="P1178" s="55" cm="1">
        <f t="array" aca="1" ref="P1178" ca="1">IF((L1178-$C$16)&gt;0, IF($P$1+$C$16&gt;=L1178,INDIRECT("M"&amp;(L1178-$C$16)+5),0),0)</f>
        <v>0</v>
      </c>
      <c r="Q1178" s="56" cm="1">
        <f t="array" aca="1" ref="Q1178" ca="1">IF(L1178&lt;=$C$16,0,IF($W$2&gt;=L1178,IF(L1178&lt;=($P$1+$C$16),INDIRECT("N"&amp;(L1178-$C$16)+5),FV(SRate,L1178-$P$1-$C$16,0,-$W$1,1)),0))</f>
        <v>0</v>
      </c>
      <c r="R1178" s="56">
        <f t="shared" ca="1" si="132"/>
        <v>0</v>
      </c>
      <c r="S1178" s="19">
        <f t="shared" si="134"/>
        <v>0</v>
      </c>
      <c r="T1178" s="36" t="str" cm="1">
        <f t="array" aca="1" ref="T1178" ca="1">IF(L1178&lt;=$P$1,K1178,IF(L1178&lt;=($P$1+1),INDIRECT("K"&amp;5+$W$2),""))</f>
        <v/>
      </c>
      <c r="U1178" s="38">
        <f t="shared" si="135"/>
        <v>98</v>
      </c>
    </row>
    <row r="1179" spans="11:21" hidden="1" x14ac:dyDescent="0.25">
      <c r="K1179" s="36">
        <f t="shared" ca="1" si="137"/>
        <v>81946</v>
      </c>
      <c r="L1179" s="19">
        <v>1174</v>
      </c>
      <c r="M1179" s="19">
        <f t="shared" si="136"/>
        <v>0</v>
      </c>
      <c r="N1179" s="37">
        <f t="shared" si="133"/>
        <v>0</v>
      </c>
      <c r="O1179" s="37">
        <f t="shared" si="139"/>
        <v>0</v>
      </c>
      <c r="P1179" s="55" cm="1">
        <f t="array" aca="1" ref="P1179" ca="1">IF((L1179-$C$16)&gt;0, IF($P$1+$C$16&gt;=L1179,INDIRECT("M"&amp;(L1179-$C$16)+5),0),0)</f>
        <v>0</v>
      </c>
      <c r="Q1179" s="56" cm="1">
        <f t="array" aca="1" ref="Q1179" ca="1">IF(L1179&lt;=$C$16,0,IF($W$2&gt;=L1179,IF(L1179&lt;=($P$1+$C$16),INDIRECT("N"&amp;(L1179-$C$16)+5),FV(SRate,L1179-$P$1-$C$16,0,-$W$1,1)),0))</f>
        <v>0</v>
      </c>
      <c r="R1179" s="56">
        <f t="shared" ca="1" si="132"/>
        <v>0</v>
      </c>
      <c r="S1179" s="19">
        <f t="shared" si="134"/>
        <v>0</v>
      </c>
      <c r="T1179" s="36" t="str" cm="1">
        <f t="array" aca="1" ref="T1179" ca="1">IF(L1179&lt;=$P$1,K1179,IF(L1179&lt;=($P$1+1),INDIRECT("K"&amp;5+$W$2),""))</f>
        <v/>
      </c>
      <c r="U1179" s="38">
        <f t="shared" si="135"/>
        <v>98</v>
      </c>
    </row>
    <row r="1180" spans="11:21" hidden="1" x14ac:dyDescent="0.25">
      <c r="K1180" s="36">
        <f t="shared" ca="1" si="137"/>
        <v>81977</v>
      </c>
      <c r="L1180" s="19">
        <v>1175</v>
      </c>
      <c r="M1180" s="19">
        <f t="shared" si="136"/>
        <v>0</v>
      </c>
      <c r="N1180" s="37">
        <f t="shared" si="133"/>
        <v>0</v>
      </c>
      <c r="O1180" s="37">
        <f t="shared" si="139"/>
        <v>0</v>
      </c>
      <c r="P1180" s="55" cm="1">
        <f t="array" aca="1" ref="P1180" ca="1">IF((L1180-$C$16)&gt;0, IF($P$1+$C$16&gt;=L1180,INDIRECT("M"&amp;(L1180-$C$16)+5),0),0)</f>
        <v>0</v>
      </c>
      <c r="Q1180" s="56" cm="1">
        <f t="array" aca="1" ref="Q1180" ca="1">IF(L1180&lt;=$C$16,0,IF($W$2&gt;=L1180,IF(L1180&lt;=($P$1+$C$16),INDIRECT("N"&amp;(L1180-$C$16)+5),FV(SRate,L1180-$P$1-$C$16,0,-$W$1,1)),0))</f>
        <v>0</v>
      </c>
      <c r="R1180" s="56">
        <f t="shared" ca="1" si="132"/>
        <v>0</v>
      </c>
      <c r="S1180" s="19">
        <f t="shared" si="134"/>
        <v>0</v>
      </c>
      <c r="T1180" s="36" t="str" cm="1">
        <f t="array" aca="1" ref="T1180" ca="1">IF(L1180&lt;=$P$1,K1180,IF(L1180&lt;=($P$1+1),INDIRECT("K"&amp;5+$W$2),""))</f>
        <v/>
      </c>
      <c r="U1180" s="38">
        <f t="shared" si="135"/>
        <v>98</v>
      </c>
    </row>
    <row r="1181" spans="11:21" hidden="1" x14ac:dyDescent="0.25">
      <c r="K1181" s="36">
        <f t="shared" ca="1" si="137"/>
        <v>82007</v>
      </c>
      <c r="L1181" s="19">
        <v>1176</v>
      </c>
      <c r="M1181" s="19">
        <f t="shared" si="136"/>
        <v>0</v>
      </c>
      <c r="N1181" s="37">
        <f t="shared" si="133"/>
        <v>0</v>
      </c>
      <c r="O1181" s="37">
        <f t="shared" si="139"/>
        <v>0</v>
      </c>
      <c r="P1181" s="55" cm="1">
        <f t="array" aca="1" ref="P1181" ca="1">IF((L1181-$C$16)&gt;0, IF($P$1+$C$16&gt;=L1181,INDIRECT("M"&amp;(L1181-$C$16)+5),0),0)</f>
        <v>0</v>
      </c>
      <c r="Q1181" s="56" cm="1">
        <f t="array" aca="1" ref="Q1181" ca="1">IF(L1181&lt;=$C$16,0,IF($W$2&gt;=L1181,IF(L1181&lt;=($P$1+$C$16),INDIRECT("N"&amp;(L1181-$C$16)+5),FV(SRate,L1181-$P$1-$C$16,0,-$W$1,1)),0))</f>
        <v>0</v>
      </c>
      <c r="R1181" s="56">
        <f t="shared" ca="1" si="132"/>
        <v>0</v>
      </c>
      <c r="S1181" s="19">
        <f t="shared" si="134"/>
        <v>0</v>
      </c>
      <c r="T1181" s="36" t="str" cm="1">
        <f t="array" aca="1" ref="T1181" ca="1">IF(L1181&lt;=$P$1,K1181,IF(L1181&lt;=($P$1+1),INDIRECT("K"&amp;5+$W$2),""))</f>
        <v/>
      </c>
      <c r="U1181" s="38">
        <f t="shared" si="135"/>
        <v>98</v>
      </c>
    </row>
    <row r="1182" spans="11:21" hidden="1" x14ac:dyDescent="0.25">
      <c r="K1182" s="36">
        <f t="shared" ca="1" si="137"/>
        <v>82038</v>
      </c>
      <c r="L1182" s="19">
        <v>1177</v>
      </c>
      <c r="M1182" s="19">
        <f t="shared" si="136"/>
        <v>0</v>
      </c>
      <c r="N1182" s="37">
        <f t="shared" si="133"/>
        <v>0</v>
      </c>
      <c r="O1182" s="37">
        <f t="shared" si="139"/>
        <v>0</v>
      </c>
      <c r="P1182" s="55" cm="1">
        <f t="array" aca="1" ref="P1182" ca="1">IF((L1182-$C$16)&gt;0, IF($P$1+$C$16&gt;=L1182,INDIRECT("M"&amp;(L1182-$C$16)+5),0),0)</f>
        <v>0</v>
      </c>
      <c r="Q1182" s="56" cm="1">
        <f t="array" aca="1" ref="Q1182" ca="1">IF(L1182&lt;=$C$16,0,IF($W$2&gt;=L1182,IF(L1182&lt;=($P$1+$C$16),INDIRECT("N"&amp;(L1182-$C$16)+5),FV(SRate,L1182-$P$1-$C$16,0,-$W$1,1)),0))</f>
        <v>0</v>
      </c>
      <c r="R1182" s="56">
        <f t="shared" ca="1" si="132"/>
        <v>0</v>
      </c>
      <c r="S1182" s="19">
        <f t="shared" si="134"/>
        <v>0</v>
      </c>
      <c r="T1182" s="36" t="str" cm="1">
        <f t="array" aca="1" ref="T1182" ca="1">IF(L1182&lt;=$P$1,K1182,IF(L1182&lt;=($P$1+1),INDIRECT("K"&amp;5+$W$2),""))</f>
        <v/>
      </c>
      <c r="U1182" s="38">
        <f t="shared" si="135"/>
        <v>99</v>
      </c>
    </row>
    <row r="1183" spans="11:21" hidden="1" x14ac:dyDescent="0.25">
      <c r="K1183" s="36">
        <f t="shared" ca="1" si="137"/>
        <v>82069</v>
      </c>
      <c r="L1183" s="19">
        <v>1178</v>
      </c>
      <c r="M1183" s="19">
        <f t="shared" si="136"/>
        <v>0</v>
      </c>
      <c r="N1183" s="37">
        <f t="shared" si="133"/>
        <v>0</v>
      </c>
      <c r="O1183" s="37">
        <f t="shared" si="139"/>
        <v>0</v>
      </c>
      <c r="P1183" s="55" cm="1">
        <f t="array" aca="1" ref="P1183" ca="1">IF((L1183-$C$16)&gt;0, IF($P$1+$C$16&gt;=L1183,INDIRECT("M"&amp;(L1183-$C$16)+5),0),0)</f>
        <v>0</v>
      </c>
      <c r="Q1183" s="56" cm="1">
        <f t="array" aca="1" ref="Q1183" ca="1">IF(L1183&lt;=$C$16,0,IF($W$2&gt;=L1183,IF(L1183&lt;=($P$1+$C$16),INDIRECT("N"&amp;(L1183-$C$16)+5),FV(SRate,L1183-$P$1-$C$16,0,-$W$1,1)),0))</f>
        <v>0</v>
      </c>
      <c r="R1183" s="56">
        <f t="shared" ca="1" si="132"/>
        <v>0</v>
      </c>
      <c r="S1183" s="19">
        <f t="shared" si="134"/>
        <v>0</v>
      </c>
      <c r="T1183" s="36" t="str" cm="1">
        <f t="array" aca="1" ref="T1183" ca="1">IF(L1183&lt;=$P$1,K1183,IF(L1183&lt;=($P$1+1),INDIRECT("K"&amp;5+$W$2),""))</f>
        <v/>
      </c>
      <c r="U1183" s="38">
        <f t="shared" si="135"/>
        <v>99</v>
      </c>
    </row>
    <row r="1184" spans="11:21" hidden="1" x14ac:dyDescent="0.25">
      <c r="K1184" s="36">
        <f t="shared" ca="1" si="137"/>
        <v>82099</v>
      </c>
      <c r="L1184" s="19">
        <v>1179</v>
      </c>
      <c r="M1184" s="19">
        <f t="shared" si="136"/>
        <v>0</v>
      </c>
      <c r="N1184" s="37">
        <f t="shared" si="133"/>
        <v>0</v>
      </c>
      <c r="O1184" s="37">
        <f t="shared" si="139"/>
        <v>0</v>
      </c>
      <c r="P1184" s="55" cm="1">
        <f t="array" aca="1" ref="P1184" ca="1">IF((L1184-$C$16)&gt;0, IF($P$1+$C$16&gt;=L1184,INDIRECT("M"&amp;(L1184-$C$16)+5),0),0)</f>
        <v>0</v>
      </c>
      <c r="Q1184" s="56" cm="1">
        <f t="array" aca="1" ref="Q1184" ca="1">IF(L1184&lt;=$C$16,0,IF($W$2&gt;=L1184,IF(L1184&lt;=($P$1+$C$16),INDIRECT("N"&amp;(L1184-$C$16)+5),FV(SRate,L1184-$P$1-$C$16,0,-$W$1,1)),0))</f>
        <v>0</v>
      </c>
      <c r="R1184" s="56">
        <f t="shared" ca="1" si="132"/>
        <v>0</v>
      </c>
      <c r="S1184" s="19">
        <f t="shared" si="134"/>
        <v>0</v>
      </c>
      <c r="T1184" s="36" t="str" cm="1">
        <f t="array" aca="1" ref="T1184" ca="1">IF(L1184&lt;=$P$1,K1184,IF(L1184&lt;=($P$1+1),INDIRECT("K"&amp;5+$W$2),""))</f>
        <v/>
      </c>
      <c r="U1184" s="38">
        <f t="shared" si="135"/>
        <v>99</v>
      </c>
    </row>
    <row r="1185" spans="11:21" hidden="1" x14ac:dyDescent="0.25">
      <c r="K1185" s="36">
        <f t="shared" ca="1" si="137"/>
        <v>82130</v>
      </c>
      <c r="L1185" s="19">
        <v>1180</v>
      </c>
      <c r="M1185" s="19">
        <f t="shared" si="136"/>
        <v>0</v>
      </c>
      <c r="N1185" s="37">
        <f t="shared" si="133"/>
        <v>0</v>
      </c>
      <c r="O1185" s="37">
        <f t="shared" ref="O1185:O1205" si="140">N1185/((1+SIPInflationRate)^(L1185/12))</f>
        <v>0</v>
      </c>
      <c r="P1185" s="55" cm="1">
        <f t="array" aca="1" ref="P1185" ca="1">IF((L1185-$C$16)&gt;0, IF($P$1+$C$16&gt;=L1185,INDIRECT("M"&amp;(L1185-$C$16)+5),0),0)</f>
        <v>0</v>
      </c>
      <c r="Q1185" s="56" cm="1">
        <f t="array" aca="1" ref="Q1185" ca="1">IF(L1185&lt;=$C$16,0,IF($W$2&gt;=L1185,IF(L1185&lt;=($P$1+$C$16),INDIRECT("N"&amp;(L1185-$C$16)+5),FV(SRate,L1185-$P$1-$C$16,0,-$W$1,1)),0))</f>
        <v>0</v>
      </c>
      <c r="R1185" s="56">
        <f t="shared" ca="1" si="132"/>
        <v>0</v>
      </c>
      <c r="S1185" s="19">
        <f t="shared" si="134"/>
        <v>0</v>
      </c>
      <c r="T1185" s="36" t="str" cm="1">
        <f t="array" aca="1" ref="T1185" ca="1">IF(L1185&lt;=$P$1,K1185,IF(L1185&lt;=($P$1+1),INDIRECT("K"&amp;5+$W$2),""))</f>
        <v/>
      </c>
      <c r="U1185" s="38">
        <f t="shared" si="135"/>
        <v>99</v>
      </c>
    </row>
    <row r="1186" spans="11:21" hidden="1" x14ac:dyDescent="0.25">
      <c r="K1186" s="36">
        <f t="shared" ca="1" si="137"/>
        <v>82160</v>
      </c>
      <c r="L1186" s="19">
        <v>1181</v>
      </c>
      <c r="M1186" s="19">
        <f t="shared" si="136"/>
        <v>0</v>
      </c>
      <c r="N1186" s="37">
        <f t="shared" si="133"/>
        <v>0</v>
      </c>
      <c r="O1186" s="37">
        <f t="shared" si="140"/>
        <v>0</v>
      </c>
      <c r="P1186" s="55" cm="1">
        <f t="array" aca="1" ref="P1186" ca="1">IF((L1186-$C$16)&gt;0, IF($P$1+$C$16&gt;=L1186,INDIRECT("M"&amp;(L1186-$C$16)+5),0),0)</f>
        <v>0</v>
      </c>
      <c r="Q1186" s="56" cm="1">
        <f t="array" aca="1" ref="Q1186" ca="1">IF(L1186&lt;=$C$16,0,IF($W$2&gt;=L1186,IF(L1186&lt;=($P$1+$C$16),INDIRECT("N"&amp;(L1186-$C$16)+5),FV(SRate,L1186-$P$1-$C$16,0,-$W$1,1)),0))</f>
        <v>0</v>
      </c>
      <c r="R1186" s="56">
        <f t="shared" ca="1" si="132"/>
        <v>0</v>
      </c>
      <c r="S1186" s="19">
        <f t="shared" si="134"/>
        <v>0</v>
      </c>
      <c r="T1186" s="36" t="str" cm="1">
        <f t="array" aca="1" ref="T1186" ca="1">IF(L1186&lt;=$P$1,K1186,IF(L1186&lt;=($P$1+1),INDIRECT("K"&amp;5+$W$2),""))</f>
        <v/>
      </c>
      <c r="U1186" s="38">
        <f t="shared" si="135"/>
        <v>99</v>
      </c>
    </row>
    <row r="1187" spans="11:21" hidden="1" x14ac:dyDescent="0.25">
      <c r="K1187" s="36">
        <f t="shared" ca="1" si="137"/>
        <v>82191</v>
      </c>
      <c r="L1187" s="19">
        <v>1182</v>
      </c>
      <c r="M1187" s="19">
        <f t="shared" si="136"/>
        <v>0</v>
      </c>
      <c r="N1187" s="37">
        <f t="shared" si="133"/>
        <v>0</v>
      </c>
      <c r="O1187" s="37">
        <f t="shared" si="140"/>
        <v>0</v>
      </c>
      <c r="P1187" s="55" cm="1">
        <f t="array" aca="1" ref="P1187" ca="1">IF((L1187-$C$16)&gt;0, IF($P$1+$C$16&gt;=L1187,INDIRECT("M"&amp;(L1187-$C$16)+5),0),0)</f>
        <v>0</v>
      </c>
      <c r="Q1187" s="56" cm="1">
        <f t="array" aca="1" ref="Q1187" ca="1">IF(L1187&lt;=$C$16,0,IF($W$2&gt;=L1187,IF(L1187&lt;=($P$1+$C$16),INDIRECT("N"&amp;(L1187-$C$16)+5),FV(SRate,L1187-$P$1-$C$16,0,-$W$1,1)),0))</f>
        <v>0</v>
      </c>
      <c r="R1187" s="56">
        <f t="shared" ca="1" si="132"/>
        <v>0</v>
      </c>
      <c r="S1187" s="19">
        <f t="shared" si="134"/>
        <v>0</v>
      </c>
      <c r="T1187" s="36" t="str" cm="1">
        <f t="array" aca="1" ref="T1187" ca="1">IF(L1187&lt;=$P$1,K1187,IF(L1187&lt;=($P$1+1),INDIRECT("K"&amp;5+$W$2),""))</f>
        <v/>
      </c>
      <c r="U1187" s="38">
        <f t="shared" si="135"/>
        <v>99</v>
      </c>
    </row>
    <row r="1188" spans="11:21" hidden="1" x14ac:dyDescent="0.25">
      <c r="K1188" s="36">
        <f t="shared" ca="1" si="137"/>
        <v>82222</v>
      </c>
      <c r="L1188" s="19">
        <v>1183</v>
      </c>
      <c r="M1188" s="19">
        <f t="shared" si="136"/>
        <v>0</v>
      </c>
      <c r="N1188" s="37">
        <f t="shared" si="133"/>
        <v>0</v>
      </c>
      <c r="O1188" s="37">
        <f t="shared" si="140"/>
        <v>0</v>
      </c>
      <c r="P1188" s="55" cm="1">
        <f t="array" aca="1" ref="P1188" ca="1">IF((L1188-$C$16)&gt;0, IF($P$1+$C$16&gt;=L1188,INDIRECT("M"&amp;(L1188-$C$16)+5),0),0)</f>
        <v>0</v>
      </c>
      <c r="Q1188" s="56" cm="1">
        <f t="array" aca="1" ref="Q1188" ca="1">IF(L1188&lt;=$C$16,0,IF($W$2&gt;=L1188,IF(L1188&lt;=($P$1+$C$16),INDIRECT("N"&amp;(L1188-$C$16)+5),FV(SRate,L1188-$P$1-$C$16,0,-$W$1,1)),0))</f>
        <v>0</v>
      </c>
      <c r="R1188" s="56">
        <f t="shared" ca="1" si="132"/>
        <v>0</v>
      </c>
      <c r="S1188" s="19">
        <f t="shared" si="134"/>
        <v>0</v>
      </c>
      <c r="T1188" s="36" t="str" cm="1">
        <f t="array" aca="1" ref="T1188" ca="1">IF(L1188&lt;=$P$1,K1188,IF(L1188&lt;=($P$1+1),INDIRECT("K"&amp;5+$W$2),""))</f>
        <v/>
      </c>
      <c r="U1188" s="38">
        <f t="shared" si="135"/>
        <v>99</v>
      </c>
    </row>
    <row r="1189" spans="11:21" hidden="1" x14ac:dyDescent="0.25">
      <c r="K1189" s="36">
        <f t="shared" ca="1" si="137"/>
        <v>82250</v>
      </c>
      <c r="L1189" s="19">
        <v>1184</v>
      </c>
      <c r="M1189" s="19">
        <f t="shared" si="136"/>
        <v>0</v>
      </c>
      <c r="N1189" s="37">
        <f t="shared" si="133"/>
        <v>0</v>
      </c>
      <c r="O1189" s="37">
        <f t="shared" si="140"/>
        <v>0</v>
      </c>
      <c r="P1189" s="55" cm="1">
        <f t="array" aca="1" ref="P1189" ca="1">IF((L1189-$C$16)&gt;0, IF($P$1+$C$16&gt;=L1189,INDIRECT("M"&amp;(L1189-$C$16)+5),0),0)</f>
        <v>0</v>
      </c>
      <c r="Q1189" s="56" cm="1">
        <f t="array" aca="1" ref="Q1189" ca="1">IF(L1189&lt;=$C$16,0,IF($W$2&gt;=L1189,IF(L1189&lt;=($P$1+$C$16),INDIRECT("N"&amp;(L1189-$C$16)+5),FV(SRate,L1189-$P$1-$C$16,0,-$W$1,1)),0))</f>
        <v>0</v>
      </c>
      <c r="R1189" s="56">
        <f t="shared" ca="1" si="132"/>
        <v>0</v>
      </c>
      <c r="S1189" s="19">
        <f t="shared" si="134"/>
        <v>0</v>
      </c>
      <c r="T1189" s="36" t="str" cm="1">
        <f t="array" aca="1" ref="T1189" ca="1">IF(L1189&lt;=$P$1,K1189,IF(L1189&lt;=($P$1+1),INDIRECT("K"&amp;5+$W$2),""))</f>
        <v/>
      </c>
      <c r="U1189" s="38">
        <f t="shared" si="135"/>
        <v>99</v>
      </c>
    </row>
    <row r="1190" spans="11:21" hidden="1" x14ac:dyDescent="0.25">
      <c r="K1190" s="36">
        <f t="shared" ca="1" si="137"/>
        <v>82281</v>
      </c>
      <c r="L1190" s="19">
        <v>1185</v>
      </c>
      <c r="M1190" s="19">
        <f t="shared" si="136"/>
        <v>0</v>
      </c>
      <c r="N1190" s="37">
        <f t="shared" si="133"/>
        <v>0</v>
      </c>
      <c r="O1190" s="37">
        <f t="shared" si="140"/>
        <v>0</v>
      </c>
      <c r="P1190" s="55" cm="1">
        <f t="array" aca="1" ref="P1190" ca="1">IF((L1190-$C$16)&gt;0, IF($P$1+$C$16&gt;=L1190,INDIRECT("M"&amp;(L1190-$C$16)+5),0),0)</f>
        <v>0</v>
      </c>
      <c r="Q1190" s="56" cm="1">
        <f t="array" aca="1" ref="Q1190" ca="1">IF(L1190&lt;=$C$16,0,IF($W$2&gt;=L1190,IF(L1190&lt;=($P$1+$C$16),INDIRECT("N"&amp;(L1190-$C$16)+5),FV(SRate,L1190-$P$1-$C$16,0,-$W$1,1)),0))</f>
        <v>0</v>
      </c>
      <c r="R1190" s="56">
        <f t="shared" ca="1" si="132"/>
        <v>0</v>
      </c>
      <c r="S1190" s="19">
        <f t="shared" si="134"/>
        <v>0</v>
      </c>
      <c r="T1190" s="36" t="str" cm="1">
        <f t="array" aca="1" ref="T1190" ca="1">IF(L1190&lt;=$P$1,K1190,IF(L1190&lt;=($P$1+1),INDIRECT("K"&amp;5+$W$2),""))</f>
        <v/>
      </c>
      <c r="U1190" s="38">
        <f t="shared" si="135"/>
        <v>99</v>
      </c>
    </row>
    <row r="1191" spans="11:21" hidden="1" x14ac:dyDescent="0.25">
      <c r="K1191" s="36">
        <f t="shared" ca="1" si="137"/>
        <v>82311</v>
      </c>
      <c r="L1191" s="19">
        <v>1186</v>
      </c>
      <c r="M1191" s="19">
        <f t="shared" si="136"/>
        <v>0</v>
      </c>
      <c r="N1191" s="37">
        <f t="shared" si="133"/>
        <v>0</v>
      </c>
      <c r="O1191" s="37">
        <f t="shared" si="140"/>
        <v>0</v>
      </c>
      <c r="P1191" s="55" cm="1">
        <f t="array" aca="1" ref="P1191" ca="1">IF((L1191-$C$16)&gt;0, IF($P$1+$C$16&gt;=L1191,INDIRECT("M"&amp;(L1191-$C$16)+5),0),0)</f>
        <v>0</v>
      </c>
      <c r="Q1191" s="56" cm="1">
        <f t="array" aca="1" ref="Q1191" ca="1">IF(L1191&lt;=$C$16,0,IF($W$2&gt;=L1191,IF(L1191&lt;=($P$1+$C$16),INDIRECT("N"&amp;(L1191-$C$16)+5),FV(SRate,L1191-$P$1-$C$16,0,-$W$1,1)),0))</f>
        <v>0</v>
      </c>
      <c r="R1191" s="56">
        <f t="shared" ca="1" si="132"/>
        <v>0</v>
      </c>
      <c r="S1191" s="19">
        <f t="shared" si="134"/>
        <v>0</v>
      </c>
      <c r="T1191" s="36" t="str" cm="1">
        <f t="array" aca="1" ref="T1191" ca="1">IF(L1191&lt;=$P$1,K1191,IF(L1191&lt;=($P$1+1),INDIRECT("K"&amp;5+$W$2),""))</f>
        <v/>
      </c>
      <c r="U1191" s="38">
        <f t="shared" si="135"/>
        <v>99</v>
      </c>
    </row>
    <row r="1192" spans="11:21" hidden="1" x14ac:dyDescent="0.25">
      <c r="K1192" s="36">
        <f t="shared" ca="1" si="137"/>
        <v>82342</v>
      </c>
      <c r="L1192" s="19">
        <v>1187</v>
      </c>
      <c r="M1192" s="19">
        <f t="shared" si="136"/>
        <v>0</v>
      </c>
      <c r="N1192" s="37">
        <f t="shared" si="133"/>
        <v>0</v>
      </c>
      <c r="O1192" s="37">
        <f t="shared" si="140"/>
        <v>0</v>
      </c>
      <c r="P1192" s="55" cm="1">
        <f t="array" aca="1" ref="P1192" ca="1">IF((L1192-$C$16)&gt;0, IF($P$1+$C$16&gt;=L1192,INDIRECT("M"&amp;(L1192-$C$16)+5),0),0)</f>
        <v>0</v>
      </c>
      <c r="Q1192" s="56" cm="1">
        <f t="array" aca="1" ref="Q1192" ca="1">IF(L1192&lt;=$C$16,0,IF($W$2&gt;=L1192,IF(L1192&lt;=($P$1+$C$16),INDIRECT("N"&amp;(L1192-$C$16)+5),FV(SRate,L1192-$P$1-$C$16,0,-$W$1,1)),0))</f>
        <v>0</v>
      </c>
      <c r="R1192" s="56">
        <f t="shared" ca="1" si="132"/>
        <v>0</v>
      </c>
      <c r="S1192" s="19">
        <f t="shared" si="134"/>
        <v>0</v>
      </c>
      <c r="T1192" s="36" t="str" cm="1">
        <f t="array" aca="1" ref="T1192" ca="1">IF(L1192&lt;=$P$1,K1192,IF(L1192&lt;=($P$1+1),INDIRECT("K"&amp;5+$W$2),""))</f>
        <v/>
      </c>
      <c r="U1192" s="38">
        <f t="shared" si="135"/>
        <v>99</v>
      </c>
    </row>
    <row r="1193" spans="11:21" hidden="1" x14ac:dyDescent="0.25">
      <c r="K1193" s="36">
        <f t="shared" ca="1" si="137"/>
        <v>82372</v>
      </c>
      <c r="L1193" s="19">
        <v>1188</v>
      </c>
      <c r="M1193" s="19">
        <f t="shared" si="136"/>
        <v>0</v>
      </c>
      <c r="N1193" s="37">
        <f t="shared" si="133"/>
        <v>0</v>
      </c>
      <c r="O1193" s="37">
        <f t="shared" si="140"/>
        <v>0</v>
      </c>
      <c r="P1193" s="55" cm="1">
        <f t="array" aca="1" ref="P1193" ca="1">IF((L1193-$C$16)&gt;0, IF($P$1+$C$16&gt;=L1193,INDIRECT("M"&amp;(L1193-$C$16)+5),0),0)</f>
        <v>0</v>
      </c>
      <c r="Q1193" s="56" cm="1">
        <f t="array" aca="1" ref="Q1193" ca="1">IF(L1193&lt;=$C$16,0,IF($W$2&gt;=L1193,IF(L1193&lt;=($P$1+$C$16),INDIRECT("N"&amp;(L1193-$C$16)+5),FV(SRate,L1193-$P$1-$C$16,0,-$W$1,1)),0))</f>
        <v>0</v>
      </c>
      <c r="R1193" s="56">
        <f t="shared" ca="1" si="132"/>
        <v>0</v>
      </c>
      <c r="S1193" s="19">
        <f t="shared" si="134"/>
        <v>0</v>
      </c>
      <c r="T1193" s="36" t="str" cm="1">
        <f t="array" aca="1" ref="T1193" ca="1">IF(L1193&lt;=$P$1,K1193,IF(L1193&lt;=($P$1+1),INDIRECT("K"&amp;5+$W$2),""))</f>
        <v/>
      </c>
      <c r="U1193" s="38">
        <f t="shared" si="135"/>
        <v>99</v>
      </c>
    </row>
    <row r="1194" spans="11:21" hidden="1" x14ac:dyDescent="0.25">
      <c r="K1194" s="36">
        <f t="shared" ca="1" si="137"/>
        <v>82403</v>
      </c>
      <c r="L1194" s="19">
        <v>1189</v>
      </c>
      <c r="M1194" s="19">
        <f t="shared" si="136"/>
        <v>0</v>
      </c>
      <c r="N1194" s="37">
        <f t="shared" si="133"/>
        <v>0</v>
      </c>
      <c r="O1194" s="37">
        <f t="shared" si="140"/>
        <v>0</v>
      </c>
      <c r="P1194" s="55" cm="1">
        <f t="array" aca="1" ref="P1194" ca="1">IF((L1194-$C$16)&gt;0, IF($P$1+$C$16&gt;=L1194,INDIRECT("M"&amp;(L1194-$C$16)+5),0),0)</f>
        <v>0</v>
      </c>
      <c r="Q1194" s="56" cm="1">
        <f t="array" aca="1" ref="Q1194" ca="1">IF(L1194&lt;=$C$16,0,IF($W$2&gt;=L1194,IF(L1194&lt;=($P$1+$C$16),INDIRECT("N"&amp;(L1194-$C$16)+5),FV(SRate,L1194-$P$1-$C$16,0,-$W$1,1)),0))</f>
        <v>0</v>
      </c>
      <c r="R1194" s="56">
        <f t="shared" ca="1" si="132"/>
        <v>0</v>
      </c>
      <c r="S1194" s="19">
        <f t="shared" si="134"/>
        <v>0</v>
      </c>
      <c r="T1194" s="36" t="str" cm="1">
        <f t="array" aca="1" ref="T1194" ca="1">IF(L1194&lt;=$P$1,K1194,IF(L1194&lt;=($P$1+1),INDIRECT("K"&amp;5+$W$2),""))</f>
        <v/>
      </c>
      <c r="U1194" s="38">
        <f t="shared" si="135"/>
        <v>100</v>
      </c>
    </row>
    <row r="1195" spans="11:21" hidden="1" x14ac:dyDescent="0.25">
      <c r="K1195" s="36">
        <f t="shared" ca="1" si="137"/>
        <v>82434</v>
      </c>
      <c r="L1195" s="19">
        <v>1190</v>
      </c>
      <c r="M1195" s="19">
        <f t="shared" si="136"/>
        <v>0</v>
      </c>
      <c r="N1195" s="37">
        <f t="shared" si="133"/>
        <v>0</v>
      </c>
      <c r="O1195" s="37">
        <f t="shared" si="140"/>
        <v>0</v>
      </c>
      <c r="P1195" s="55" cm="1">
        <f t="array" aca="1" ref="P1195" ca="1">IF((L1195-$C$16)&gt;0, IF($P$1+$C$16&gt;=L1195,INDIRECT("M"&amp;(L1195-$C$16)+5),0),0)</f>
        <v>0</v>
      </c>
      <c r="Q1195" s="56" cm="1">
        <f t="array" aca="1" ref="Q1195" ca="1">IF(L1195&lt;=$C$16,0,IF($W$2&gt;=L1195,IF(L1195&lt;=($P$1+$C$16),INDIRECT("N"&amp;(L1195-$C$16)+5),FV(SRate,L1195-$P$1-$C$16,0,-$W$1,1)),0))</f>
        <v>0</v>
      </c>
      <c r="R1195" s="56">
        <f t="shared" ca="1" si="132"/>
        <v>0</v>
      </c>
      <c r="S1195" s="19">
        <f t="shared" si="134"/>
        <v>0</v>
      </c>
      <c r="T1195" s="36" t="str" cm="1">
        <f t="array" aca="1" ref="T1195" ca="1">IF(L1195&lt;=$P$1,K1195,IF(L1195&lt;=($P$1+1),INDIRECT("K"&amp;5+$W$2),""))</f>
        <v/>
      </c>
      <c r="U1195" s="38">
        <f t="shared" si="135"/>
        <v>100</v>
      </c>
    </row>
    <row r="1196" spans="11:21" hidden="1" x14ac:dyDescent="0.25">
      <c r="K1196" s="36">
        <f t="shared" ca="1" si="137"/>
        <v>82464</v>
      </c>
      <c r="L1196" s="19">
        <v>1191</v>
      </c>
      <c r="M1196" s="19">
        <f t="shared" si="136"/>
        <v>0</v>
      </c>
      <c r="N1196" s="37">
        <f t="shared" si="133"/>
        <v>0</v>
      </c>
      <c r="O1196" s="37">
        <f t="shared" si="140"/>
        <v>0</v>
      </c>
      <c r="P1196" s="55" cm="1">
        <f t="array" aca="1" ref="P1196" ca="1">IF((L1196-$C$16)&gt;0, IF($P$1+$C$16&gt;=L1196,INDIRECT("M"&amp;(L1196-$C$16)+5),0),0)</f>
        <v>0</v>
      </c>
      <c r="Q1196" s="56" cm="1">
        <f t="array" aca="1" ref="Q1196" ca="1">IF(L1196&lt;=$C$16,0,IF($W$2&gt;=L1196,IF(L1196&lt;=($P$1+$C$16),INDIRECT("N"&amp;(L1196-$C$16)+5),FV(SRate,L1196-$P$1-$C$16,0,-$W$1,1)),0))</f>
        <v>0</v>
      </c>
      <c r="R1196" s="56">
        <f t="shared" ca="1" si="132"/>
        <v>0</v>
      </c>
      <c r="S1196" s="19">
        <f t="shared" si="134"/>
        <v>0</v>
      </c>
      <c r="T1196" s="36" t="str" cm="1">
        <f t="array" aca="1" ref="T1196" ca="1">IF(L1196&lt;=$P$1,K1196,IF(L1196&lt;=($P$1+1),INDIRECT("K"&amp;5+$W$2),""))</f>
        <v/>
      </c>
      <c r="U1196" s="38">
        <f t="shared" si="135"/>
        <v>100</v>
      </c>
    </row>
    <row r="1197" spans="11:21" hidden="1" x14ac:dyDescent="0.25">
      <c r="K1197" s="36">
        <f t="shared" ca="1" si="137"/>
        <v>82495</v>
      </c>
      <c r="L1197" s="19">
        <v>1192</v>
      </c>
      <c r="M1197" s="19">
        <f t="shared" si="136"/>
        <v>0</v>
      </c>
      <c r="N1197" s="37">
        <f t="shared" si="133"/>
        <v>0</v>
      </c>
      <c r="O1197" s="37">
        <f t="shared" si="140"/>
        <v>0</v>
      </c>
      <c r="P1197" s="55" cm="1">
        <f t="array" aca="1" ref="P1197" ca="1">IF((L1197-$C$16)&gt;0, IF($P$1+$C$16&gt;=L1197,INDIRECT("M"&amp;(L1197-$C$16)+5),0),0)</f>
        <v>0</v>
      </c>
      <c r="Q1197" s="56" cm="1">
        <f t="array" aca="1" ref="Q1197" ca="1">IF(L1197&lt;=$C$16,0,IF($W$2&gt;=L1197,IF(L1197&lt;=($P$1+$C$16),INDIRECT("N"&amp;(L1197-$C$16)+5),FV(SRate,L1197-$P$1-$C$16,0,-$W$1,1)),0))</f>
        <v>0</v>
      </c>
      <c r="R1197" s="56">
        <f t="shared" ca="1" si="132"/>
        <v>0</v>
      </c>
      <c r="S1197" s="19">
        <f t="shared" si="134"/>
        <v>0</v>
      </c>
      <c r="T1197" s="36" t="str" cm="1">
        <f t="array" aca="1" ref="T1197" ca="1">IF(L1197&lt;=$P$1,K1197,IF(L1197&lt;=($P$1+1),INDIRECT("K"&amp;5+$W$2),""))</f>
        <v/>
      </c>
      <c r="U1197" s="38">
        <f t="shared" si="135"/>
        <v>100</v>
      </c>
    </row>
    <row r="1198" spans="11:21" hidden="1" x14ac:dyDescent="0.25">
      <c r="K1198" s="36">
        <f t="shared" ca="1" si="137"/>
        <v>82525</v>
      </c>
      <c r="L1198" s="19">
        <v>1193</v>
      </c>
      <c r="M1198" s="19">
        <f t="shared" si="136"/>
        <v>0</v>
      </c>
      <c r="N1198" s="37">
        <f t="shared" si="133"/>
        <v>0</v>
      </c>
      <c r="O1198" s="37">
        <f t="shared" si="140"/>
        <v>0</v>
      </c>
      <c r="P1198" s="55" cm="1">
        <f t="array" aca="1" ref="P1198" ca="1">IF((L1198-$C$16)&gt;0, IF($P$1+$C$16&gt;=L1198,INDIRECT("M"&amp;(L1198-$C$16)+5),0),0)</f>
        <v>0</v>
      </c>
      <c r="Q1198" s="56" cm="1">
        <f t="array" aca="1" ref="Q1198" ca="1">IF(L1198&lt;=$C$16,0,IF($W$2&gt;=L1198,IF(L1198&lt;=($P$1+$C$16),INDIRECT("N"&amp;(L1198-$C$16)+5),FV(SRate,L1198-$P$1-$C$16,0,-$W$1,1)),0))</f>
        <v>0</v>
      </c>
      <c r="R1198" s="56">
        <f t="shared" ca="1" si="132"/>
        <v>0</v>
      </c>
      <c r="S1198" s="19">
        <f t="shared" si="134"/>
        <v>0</v>
      </c>
      <c r="T1198" s="36" t="str" cm="1">
        <f t="array" aca="1" ref="T1198" ca="1">IF(L1198&lt;=$P$1,K1198,IF(L1198&lt;=($P$1+1),INDIRECT("K"&amp;5+$W$2),""))</f>
        <v/>
      </c>
      <c r="U1198" s="38">
        <f t="shared" si="135"/>
        <v>100</v>
      </c>
    </row>
    <row r="1199" spans="11:21" hidden="1" x14ac:dyDescent="0.25">
      <c r="K1199" s="36">
        <f t="shared" ca="1" si="137"/>
        <v>82556</v>
      </c>
      <c r="L1199" s="19">
        <v>1194</v>
      </c>
      <c r="M1199" s="19">
        <f t="shared" si="136"/>
        <v>0</v>
      </c>
      <c r="N1199" s="37">
        <f t="shared" si="133"/>
        <v>0</v>
      </c>
      <c r="O1199" s="37">
        <f t="shared" si="140"/>
        <v>0</v>
      </c>
      <c r="P1199" s="55" cm="1">
        <f t="array" aca="1" ref="P1199" ca="1">IF((L1199-$C$16)&gt;0, IF($P$1+$C$16&gt;=L1199,INDIRECT("M"&amp;(L1199-$C$16)+5),0),0)</f>
        <v>0</v>
      </c>
      <c r="Q1199" s="56" cm="1">
        <f t="array" aca="1" ref="Q1199" ca="1">IF(L1199&lt;=$C$16,0,IF($W$2&gt;=L1199,IF(L1199&lt;=($P$1+$C$16),INDIRECT("N"&amp;(L1199-$C$16)+5),FV(SRate,L1199-$P$1-$C$16,0,-$W$1,1)),0))</f>
        <v>0</v>
      </c>
      <c r="R1199" s="56">
        <f t="shared" ca="1" si="132"/>
        <v>0</v>
      </c>
      <c r="S1199" s="19">
        <f t="shared" si="134"/>
        <v>0</v>
      </c>
      <c r="T1199" s="36" t="str" cm="1">
        <f t="array" aca="1" ref="T1199" ca="1">IF(L1199&lt;=$P$1,K1199,IF(L1199&lt;=($P$1+1),INDIRECT("K"&amp;5+$W$2),""))</f>
        <v/>
      </c>
      <c r="U1199" s="38">
        <f t="shared" si="135"/>
        <v>100</v>
      </c>
    </row>
    <row r="1200" spans="11:21" hidden="1" x14ac:dyDescent="0.25">
      <c r="K1200" s="36">
        <f t="shared" ca="1" si="137"/>
        <v>82587</v>
      </c>
      <c r="L1200" s="19">
        <v>1195</v>
      </c>
      <c r="M1200" s="19">
        <f t="shared" si="136"/>
        <v>0</v>
      </c>
      <c r="N1200" s="37">
        <f t="shared" si="133"/>
        <v>0</v>
      </c>
      <c r="O1200" s="37">
        <f t="shared" si="140"/>
        <v>0</v>
      </c>
      <c r="P1200" s="55" cm="1">
        <f t="array" aca="1" ref="P1200" ca="1">IF((L1200-$C$16)&gt;0, IF($P$1+$C$16&gt;=L1200,INDIRECT("M"&amp;(L1200-$C$16)+5),0),0)</f>
        <v>0</v>
      </c>
      <c r="Q1200" s="56" cm="1">
        <f t="array" aca="1" ref="Q1200" ca="1">IF(L1200&lt;=$C$16,0,IF($W$2&gt;=L1200,IF(L1200&lt;=($P$1+$C$16),INDIRECT("N"&amp;(L1200-$C$16)+5),FV(SRate,L1200-$P$1-$C$16,0,-$W$1,1)),0))</f>
        <v>0</v>
      </c>
      <c r="R1200" s="56">
        <f t="shared" ca="1" si="132"/>
        <v>0</v>
      </c>
      <c r="S1200" s="19">
        <f t="shared" si="134"/>
        <v>0</v>
      </c>
      <c r="T1200" s="36" t="str" cm="1">
        <f t="array" aca="1" ref="T1200" ca="1">IF(L1200&lt;=$P$1,K1200,IF(L1200&lt;=($P$1+1),INDIRECT("K"&amp;5+$W$2),""))</f>
        <v/>
      </c>
      <c r="U1200" s="38">
        <f t="shared" si="135"/>
        <v>100</v>
      </c>
    </row>
    <row r="1201" spans="11:21" hidden="1" x14ac:dyDescent="0.25">
      <c r="K1201" s="36">
        <f t="shared" ca="1" si="137"/>
        <v>82615</v>
      </c>
      <c r="L1201" s="19">
        <v>1196</v>
      </c>
      <c r="M1201" s="19">
        <f t="shared" si="136"/>
        <v>0</v>
      </c>
      <c r="N1201" s="37">
        <f t="shared" si="133"/>
        <v>0</v>
      </c>
      <c r="O1201" s="37">
        <f t="shared" si="140"/>
        <v>0</v>
      </c>
      <c r="P1201" s="55" cm="1">
        <f t="array" aca="1" ref="P1201" ca="1">IF((L1201-$C$16)&gt;0, IF($P$1+$C$16&gt;=L1201,INDIRECT("M"&amp;(L1201-$C$16)+5),0),0)</f>
        <v>0</v>
      </c>
      <c r="Q1201" s="56" cm="1">
        <f t="array" aca="1" ref="Q1201" ca="1">IF(L1201&lt;=$C$16,0,IF($W$2&gt;=L1201,IF(L1201&lt;=($P$1+$C$16),INDIRECT("N"&amp;(L1201-$C$16)+5),FV(SRate,L1201-$P$1-$C$16,0,-$W$1,1)),0))</f>
        <v>0</v>
      </c>
      <c r="R1201" s="56">
        <f t="shared" ca="1" si="132"/>
        <v>0</v>
      </c>
      <c r="S1201" s="19">
        <f t="shared" si="134"/>
        <v>0</v>
      </c>
      <c r="T1201" s="36" t="str" cm="1">
        <f t="array" aca="1" ref="T1201" ca="1">IF(L1201&lt;=$P$1,K1201,IF(L1201&lt;=($P$1+1),INDIRECT("K"&amp;5+$W$2),""))</f>
        <v/>
      </c>
      <c r="U1201" s="38">
        <f t="shared" si="135"/>
        <v>100</v>
      </c>
    </row>
    <row r="1202" spans="11:21" hidden="1" x14ac:dyDescent="0.25">
      <c r="K1202" s="36">
        <f t="shared" ca="1" si="137"/>
        <v>82646</v>
      </c>
      <c r="L1202" s="19">
        <v>1197</v>
      </c>
      <c r="M1202" s="19">
        <f t="shared" si="136"/>
        <v>0</v>
      </c>
      <c r="N1202" s="37">
        <f t="shared" si="133"/>
        <v>0</v>
      </c>
      <c r="O1202" s="37">
        <f t="shared" si="140"/>
        <v>0</v>
      </c>
      <c r="P1202" s="55" cm="1">
        <f t="array" aca="1" ref="P1202" ca="1">IF((L1202-$C$16)&gt;0, IF($P$1+$C$16&gt;=L1202,INDIRECT("M"&amp;(L1202-$C$16)+5),0),0)</f>
        <v>0</v>
      </c>
      <c r="Q1202" s="56" cm="1">
        <f t="array" aca="1" ref="Q1202" ca="1">IF(L1202&lt;=$C$16,0,IF($W$2&gt;=L1202,IF(L1202&lt;=($P$1+$C$16),INDIRECT("N"&amp;(L1202-$C$16)+5),FV(SRate,L1202-$P$1-$C$16,0,-$W$1,1)),0))</f>
        <v>0</v>
      </c>
      <c r="R1202" s="56">
        <f t="shared" ca="1" si="132"/>
        <v>0</v>
      </c>
      <c r="S1202" s="19">
        <f t="shared" si="134"/>
        <v>0</v>
      </c>
      <c r="T1202" s="36" t="str" cm="1">
        <f t="array" aca="1" ref="T1202" ca="1">IF(L1202&lt;=$P$1,K1202,IF(L1202&lt;=($P$1+1),INDIRECT("K"&amp;5+$W$2),""))</f>
        <v/>
      </c>
      <c r="U1202" s="38">
        <f t="shared" si="135"/>
        <v>100</v>
      </c>
    </row>
    <row r="1203" spans="11:21" hidden="1" x14ac:dyDescent="0.25">
      <c r="K1203" s="36">
        <f t="shared" ca="1" si="137"/>
        <v>82676</v>
      </c>
      <c r="L1203" s="19">
        <v>1198</v>
      </c>
      <c r="M1203" s="19">
        <f t="shared" si="136"/>
        <v>0</v>
      </c>
      <c r="N1203" s="37">
        <f t="shared" si="133"/>
        <v>0</v>
      </c>
      <c r="O1203" s="37">
        <f t="shared" si="140"/>
        <v>0</v>
      </c>
      <c r="P1203" s="55" cm="1">
        <f t="array" aca="1" ref="P1203" ca="1">IF((L1203-$C$16)&gt;0, IF($P$1+$C$16&gt;=L1203,INDIRECT("M"&amp;(L1203-$C$16)+5),0),0)</f>
        <v>0</v>
      </c>
      <c r="Q1203" s="56" cm="1">
        <f t="array" aca="1" ref="Q1203" ca="1">IF(L1203&lt;=$C$16,0,IF($W$2&gt;=L1203,IF(L1203&lt;=($P$1+$C$16),INDIRECT("N"&amp;(L1203-$C$16)+5),FV(SRate,L1203-$P$1-$C$16,0,-$W$1,1)),0))</f>
        <v>0</v>
      </c>
      <c r="R1203" s="56">
        <f t="shared" ca="1" si="132"/>
        <v>0</v>
      </c>
      <c r="S1203" s="19">
        <f t="shared" si="134"/>
        <v>0</v>
      </c>
      <c r="T1203" s="36" t="str" cm="1">
        <f t="array" aca="1" ref="T1203" ca="1">IF(L1203&lt;=$P$1,K1203,IF(L1203&lt;=($P$1+1),INDIRECT("K"&amp;5+$W$2),""))</f>
        <v/>
      </c>
      <c r="U1203" s="38">
        <f t="shared" si="135"/>
        <v>100</v>
      </c>
    </row>
    <row r="1204" spans="11:21" hidden="1" x14ac:dyDescent="0.25">
      <c r="K1204" s="36">
        <f t="shared" ca="1" si="137"/>
        <v>82707</v>
      </c>
      <c r="L1204" s="19">
        <v>1199</v>
      </c>
      <c r="M1204" s="19">
        <f t="shared" si="136"/>
        <v>0</v>
      </c>
      <c r="N1204" s="37">
        <f t="shared" si="133"/>
        <v>0</v>
      </c>
      <c r="O1204" s="37">
        <f t="shared" si="140"/>
        <v>0</v>
      </c>
      <c r="P1204" s="55" cm="1">
        <f t="array" aca="1" ref="P1204" ca="1">IF((L1204-$C$16)&gt;0, IF($P$1+$C$16&gt;=L1204,INDIRECT("M"&amp;(L1204-$C$16)+5),0),0)</f>
        <v>0</v>
      </c>
      <c r="Q1204" s="56" cm="1">
        <f t="array" aca="1" ref="Q1204" ca="1">IF(L1204&lt;=$C$16,0,IF($W$2&gt;=L1204,IF(L1204&lt;=($P$1+$C$16),INDIRECT("N"&amp;(L1204-$C$16)+5),FV(SRate,L1204-$P$1-$C$16,0,-$W$1,1)),0))</f>
        <v>0</v>
      </c>
      <c r="R1204" s="56">
        <f t="shared" ca="1" si="132"/>
        <v>0</v>
      </c>
      <c r="S1204" s="19">
        <f t="shared" si="134"/>
        <v>0</v>
      </c>
      <c r="T1204" s="36" t="str" cm="1">
        <f t="array" aca="1" ref="T1204" ca="1">IF(L1204&lt;=$P$1,K1204,IF(L1204&lt;=($P$1+1),INDIRECT("K"&amp;5+$W$2),""))</f>
        <v/>
      </c>
      <c r="U1204" s="38">
        <f t="shared" si="135"/>
        <v>100</v>
      </c>
    </row>
    <row r="1205" spans="11:21" hidden="1" x14ac:dyDescent="0.25">
      <c r="K1205" s="36">
        <f t="shared" ca="1" si="137"/>
        <v>82737</v>
      </c>
      <c r="L1205" s="19">
        <v>1200</v>
      </c>
      <c r="M1205" s="19">
        <f t="shared" si="136"/>
        <v>0</v>
      </c>
      <c r="N1205" s="37">
        <f t="shared" si="133"/>
        <v>0</v>
      </c>
      <c r="O1205" s="37">
        <f t="shared" si="140"/>
        <v>0</v>
      </c>
      <c r="P1205" s="55" cm="1">
        <f t="array" aca="1" ref="P1205" ca="1">IF((L1205-$C$16)&gt;0, IF($P$1+$C$16&gt;=L1205,INDIRECT("M"&amp;(L1205-$C$16)+5),0),0)</f>
        <v>0</v>
      </c>
      <c r="Q1205" s="56" cm="1">
        <f t="array" aca="1" ref="Q1205" ca="1">IF(L1205&lt;=$C$16,0,IF($W$2&gt;=L1205,IF(L1205&lt;=($P$1+$C$16),INDIRECT("N"&amp;(L1205-$C$16)+5),FV(SRate,L1205-$P$1-$C$16,0,-$W$1,1)),0))</f>
        <v>0</v>
      </c>
      <c r="R1205" s="56">
        <f t="shared" ca="1" si="132"/>
        <v>0</v>
      </c>
      <c r="S1205" s="19">
        <f t="shared" si="134"/>
        <v>0</v>
      </c>
      <c r="T1205" s="36" t="str" cm="1">
        <f t="array" aca="1" ref="T1205" ca="1">IF(L1205&lt;=$P$1,K1205,IF(L1205&lt;=($P$1+1),INDIRECT("K"&amp;5+$W$2),""))</f>
        <v/>
      </c>
      <c r="U1205" s="38">
        <f t="shared" si="135"/>
        <v>100</v>
      </c>
    </row>
  </sheetData>
  <sheetProtection selectLockedCells="1"/>
  <mergeCells count="3">
    <mergeCell ref="B2:E2"/>
    <mergeCell ref="P5:R5"/>
    <mergeCell ref="D8:E8"/>
  </mergeCells>
  <pageMargins left="0.7" right="0.7" top="0.75" bottom="0.75" header="0.3" footer="0.3"/>
  <pageSetup paperSize="9" scale="72" orientation="landscape" r:id="rId1"/>
  <drawing r:id="rId2"/>
  <legacyDrawing r:id="rId3"/>
  <controls>
    <mc:AlternateContent xmlns:mc="http://schemas.openxmlformats.org/markup-compatibility/2006">
      <mc:Choice Requires="x14">
        <control shapeId="20219" r:id="rId4" name="prtSIP">
          <controlPr defaultSize="0" print="0" autoLine="0" r:id="rId5">
            <anchor moveWithCells="1">
              <from>
                <xdr:col>5</xdr:col>
                <xdr:colOff>76200</xdr:colOff>
                <xdr:row>3</xdr:row>
                <xdr:rowOff>38100</xdr:rowOff>
              </from>
              <to>
                <xdr:col>5</xdr:col>
                <xdr:colOff>373380</xdr:colOff>
                <xdr:row>4</xdr:row>
                <xdr:rowOff>91440</xdr:rowOff>
              </to>
            </anchor>
          </controlPr>
        </control>
      </mc:Choice>
      <mc:Fallback>
        <control shapeId="20219" r:id="rId4" name="prtSIP"/>
      </mc:Fallback>
    </mc:AlternateContent>
    <mc:AlternateContent xmlns:mc="http://schemas.openxmlformats.org/markup-compatibility/2006">
      <mc:Choice Requires="x14">
        <control shapeId="20214" r:id="rId6" name="MonthlyInvestAmount">
          <controlPr defaultSize="0" print="0" autoLine="0" linkedCell="C4" r:id="rId7">
            <anchor moveWithCells="1">
              <from>
                <xdr:col>3</xdr:col>
                <xdr:colOff>45720</xdr:colOff>
                <xdr:row>3</xdr:row>
                <xdr:rowOff>45720</xdr:rowOff>
              </from>
              <to>
                <xdr:col>4</xdr:col>
                <xdr:colOff>541020</xdr:colOff>
                <xdr:row>3</xdr:row>
                <xdr:rowOff>190500</xdr:rowOff>
              </to>
            </anchor>
          </controlPr>
        </control>
      </mc:Choice>
      <mc:Fallback>
        <control shapeId="20214" r:id="rId6" name="MonthlyInvestAmount"/>
      </mc:Fallback>
    </mc:AlternateContent>
    <mc:AlternateContent xmlns:mc="http://schemas.openxmlformats.org/markup-compatibility/2006">
      <mc:Choice Requires="x14">
        <control shapeId="20215" r:id="rId8" name="StepupPercent">
          <controlPr defaultSize="0" print="0" autoLine="0" linkedCell="J5" r:id="rId9">
            <anchor moveWithCells="1">
              <from>
                <xdr:col>3</xdr:col>
                <xdr:colOff>45720</xdr:colOff>
                <xdr:row>4</xdr:row>
                <xdr:rowOff>45720</xdr:rowOff>
              </from>
              <to>
                <xdr:col>4</xdr:col>
                <xdr:colOff>541020</xdr:colOff>
                <xdr:row>4</xdr:row>
                <xdr:rowOff>190500</xdr:rowOff>
              </to>
            </anchor>
          </controlPr>
        </control>
      </mc:Choice>
      <mc:Fallback>
        <control shapeId="20215" r:id="rId8" name="StepupPercent"/>
      </mc:Fallback>
    </mc:AlternateContent>
    <mc:AlternateContent xmlns:mc="http://schemas.openxmlformats.org/markup-compatibility/2006">
      <mc:Choice Requires="x14">
        <control shapeId="20216" r:id="rId10" name="ScrollBar1">
          <controlPr defaultSize="0" print="0" autoLine="0" linkedCell="C6" r:id="rId11">
            <anchor moveWithCells="1">
              <from>
                <xdr:col>3</xdr:col>
                <xdr:colOff>45720</xdr:colOff>
                <xdr:row>5</xdr:row>
                <xdr:rowOff>53340</xdr:rowOff>
              </from>
              <to>
                <xdr:col>4</xdr:col>
                <xdr:colOff>541020</xdr:colOff>
                <xdr:row>5</xdr:row>
                <xdr:rowOff>198120</xdr:rowOff>
              </to>
            </anchor>
          </controlPr>
        </control>
      </mc:Choice>
      <mc:Fallback>
        <control shapeId="20216" r:id="rId10" name="ScrollBar1"/>
      </mc:Fallback>
    </mc:AlternateContent>
    <mc:AlternateContent xmlns:mc="http://schemas.openxmlformats.org/markup-compatibility/2006">
      <mc:Choice Requires="x14">
        <control shapeId="20217" r:id="rId12" name="GainPercent">
          <controlPr defaultSize="0" print="0" autoLine="0" linkedCell="J6" r:id="rId13">
            <anchor moveWithCells="1">
              <from>
                <xdr:col>3</xdr:col>
                <xdr:colOff>45720</xdr:colOff>
                <xdr:row>6</xdr:row>
                <xdr:rowOff>53340</xdr:rowOff>
              </from>
              <to>
                <xdr:col>4</xdr:col>
                <xdr:colOff>541020</xdr:colOff>
                <xdr:row>6</xdr:row>
                <xdr:rowOff>198120</xdr:rowOff>
              </to>
            </anchor>
          </controlPr>
        </control>
      </mc:Choice>
      <mc:Fallback>
        <control shapeId="20217" r:id="rId12" name="GainPercent"/>
      </mc:Fallback>
    </mc:AlternateContent>
    <mc:AlternateContent xmlns:mc="http://schemas.openxmlformats.org/markup-compatibility/2006">
      <mc:Choice Requires="x14">
        <control shapeId="20218" r:id="rId14" name="InfPercent">
          <controlPr defaultSize="0" print="0" autoLine="0" linkedCell="J13" r:id="rId15">
            <anchor moveWithCells="1">
              <from>
                <xdr:col>3</xdr:col>
                <xdr:colOff>45720</xdr:colOff>
                <xdr:row>12</xdr:row>
                <xdr:rowOff>22860</xdr:rowOff>
              </from>
              <to>
                <xdr:col>4</xdr:col>
                <xdr:colOff>541020</xdr:colOff>
                <xdr:row>12</xdr:row>
                <xdr:rowOff>160020</xdr:rowOff>
              </to>
            </anchor>
          </controlPr>
        </control>
      </mc:Choice>
      <mc:Fallback>
        <control shapeId="20218" r:id="rId14" name="InfPercen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SIP Calculator</vt:lpstr>
      <vt:lpstr>DelayMonths</vt:lpstr>
      <vt:lpstr>InvestYears</vt:lpstr>
      <vt:lpstr>'SIP Calculator'!SIPFinalAmt</vt:lpstr>
      <vt:lpstr>'SIP Calculator'!SIPInflationRate</vt:lpstr>
      <vt:lpstr>SIPInflationRate</vt:lpstr>
      <vt:lpstr>'SIP Calculator'!SIPMonthlyPmt</vt:lpstr>
      <vt:lpstr>'SIP Calculator'!SIPMonths</vt:lpstr>
      <vt:lpstr>SIPYears</vt:lpstr>
      <vt:lpstr>'SIP Calculator'!SIPYield</vt:lpstr>
      <vt:lpstr>SRate</vt:lpstr>
    </vt:vector>
  </TitlesOfParts>
  <Company>Jain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FinOptic Step Up SIP Calculator</dc:title>
  <dc:creator>Reddi, Sasmith</dc:creator>
  <dc:description>COPYRIGHT PROTECTED - FinOptic Financial Services, Hyderabad, India</dc:description>
  <cp:lastModifiedBy>Sasmith Reddi</cp:lastModifiedBy>
  <cp:lastPrinted>2025-07-06T06:24:52Z</cp:lastPrinted>
  <dcterms:created xsi:type="dcterms:W3CDTF">1996-10-14T23:33:28Z</dcterms:created>
  <dcterms:modified xsi:type="dcterms:W3CDTF">2026-08-10T04:51:50Z</dcterms:modified>
  <cp:contentStatus>Jul 4 2017</cp:contentStatus>
</cp:coreProperties>
</file>