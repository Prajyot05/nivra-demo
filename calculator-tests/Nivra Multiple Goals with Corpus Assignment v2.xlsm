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\_Personal\Finance\Investments\Nivra FinTech\Tools\"/>
    </mc:Choice>
  </mc:AlternateContent>
  <xr:revisionPtr revIDLastSave="0" documentId="13_ncr:1_{5C734AF6-8405-41F7-BA05-AE5EF21032A8}" xr6:coauthVersionLast="47" xr6:coauthVersionMax="47" xr10:uidLastSave="{00000000-0000-0000-0000-000000000000}"/>
  <bookViews>
    <workbookView xWindow="-108" yWindow="-108" windowWidth="23256" windowHeight="12456" tabRatio="575" xr2:uid="{00000000-000D-0000-FFFF-FFFF00000000}"/>
  </bookViews>
  <sheets>
    <sheet name="Goal Calculator" sheetId="28" r:id="rId1"/>
    <sheet name="GCwithCorpus" sheetId="30" r:id="rId2"/>
  </sheets>
  <functionGroups builtInGroupCount="19"/>
  <definedNames>
    <definedName name="_xleta.IF" hidden="1" xlm="1">#NAME?</definedName>
    <definedName name="_xleta.ROUND" hidden="1" xlm="1">#NAME?</definedName>
    <definedName name="ACorpus1">GCwithCorpus!$M$15</definedName>
    <definedName name="ACorpus2">GCwithCorpus!$M$17</definedName>
    <definedName name="ACorpus3">GCwithCorpus!$M$19</definedName>
    <definedName name="ACorpus4">GCwithCorpus!$M$21</definedName>
    <definedName name="ACorpus5">GCwithCorpus!$M$23</definedName>
    <definedName name="B_Corpus">GCwithCorpus!$M$8</definedName>
    <definedName name="C_EffYld">GCwithCorpus!$AV$15</definedName>
    <definedName name="C_IntRate">GCwithCorpus!$M$7</definedName>
    <definedName name="CCReq_1">GCwithCorpus!$X$15</definedName>
    <definedName name="CCReq_2">GCwithCorpus!$X$17</definedName>
    <definedName name="CCReq_3">GCwithCorpus!$X$19</definedName>
    <definedName name="CCReq_4">GCwithCorpus!$X$21</definedName>
    <definedName name="CCReq_5">GCwithCorpus!$X$23</definedName>
    <definedName name="Corpus">GCwithCorpus!$M$6</definedName>
    <definedName name="CT_1">GCwithCorpus!$O$15</definedName>
    <definedName name="CT_2">GCwithCorpus!$O$17</definedName>
    <definedName name="CT_3">GCwithCorpus!$O$19</definedName>
    <definedName name="CT_4">GCwithCorpus!$O$21</definedName>
    <definedName name="CT_5">GCwithCorpus!$O$23</definedName>
    <definedName name="CYld1">GCwithCorpus!$AR$15</definedName>
    <definedName name="CYld2">GCwithCorpus!$AR$17</definedName>
    <definedName name="CYld3">GCwithCorpus!$AR$19</definedName>
    <definedName name="CYld4">GCwithCorpus!$AR$21</definedName>
    <definedName name="CYld5">GCwithCorpus!$AR$23</definedName>
    <definedName name="DelayMonths">'Goal Calculator'!$J$7</definedName>
    <definedName name="EffYieldLT">'Goal Calculator'!$P$7</definedName>
    <definedName name="EffYieldST">'Goal Calculator'!$P$6</definedName>
    <definedName name="G_1">GCwithCorpus!$C$15</definedName>
    <definedName name="G_2">GCwithCorpus!$C$17</definedName>
    <definedName name="G_3">GCwithCorpus!$C$19</definedName>
    <definedName name="G_4">GCwithCorpus!$C$21</definedName>
    <definedName name="G_5">GCwithCorpus!$C$23</definedName>
    <definedName name="G_EffYieldLT">GCwithCorpus!$AU$15</definedName>
    <definedName name="G_EffYieldST">GCwithCorpus!$AU$14</definedName>
    <definedName name="G_GoalsSet">GCwithCorpus!$R$9</definedName>
    <definedName name="G_InfRate">GCwithCorpus!$D$8</definedName>
    <definedName name="G_RateLT">GCwithCorpus!$D$7</definedName>
    <definedName name="G_RateST">GCwithCorpus!$D$6</definedName>
    <definedName name="GInfRate">'Goal Calculator'!$D$8</definedName>
    <definedName name="GN_1">GCwithCorpus!$B$15</definedName>
    <definedName name="GN_2">GCwithCorpus!$B$17</definedName>
    <definedName name="GN_3">GCwithCorpus!$B$19</definedName>
    <definedName name="GN_4">GCwithCorpus!$B$21</definedName>
    <definedName name="GN_5">GCwithCorpus!$B$23</definedName>
    <definedName name="Goal1">'Goal Calculator'!$C$15</definedName>
    <definedName name="Goal2">'Goal Calculator'!$C$17</definedName>
    <definedName name="Goal3">'Goal Calculator'!$C$19</definedName>
    <definedName name="Goal4">'Goal Calculator'!$C$21</definedName>
    <definedName name="Goal5">'Goal Calculator'!$C$23</definedName>
    <definedName name="GoalAmt" localSheetId="0">'Goal Calculator'!$C$19</definedName>
    <definedName name="GoalsSet">'Goal Calculator'!$R$9</definedName>
    <definedName name="GoalYears" localSheetId="0">'Goal Calculator'!$D$19</definedName>
    <definedName name="InfG_1">GCwithCorpus!$F$15</definedName>
    <definedName name="InfG_2">GCwithCorpus!$F$17</definedName>
    <definedName name="InfG_3">GCwithCorpus!$F$19</definedName>
    <definedName name="InfG_4">GCwithCorpus!$F$21</definedName>
    <definedName name="InfG_5">GCwithCorpus!$F$23</definedName>
    <definedName name="InfGoal1">'Goal Calculator'!$F$15</definedName>
    <definedName name="InfGoal2">'Goal Calculator'!$F$17</definedName>
    <definedName name="InfGoal3">'Goal Calculator'!$F$19</definedName>
    <definedName name="InfGoal4">'Goal Calculator'!$F$21</definedName>
    <definedName name="InfGoal5">'Goal Calculator'!$F$23</definedName>
    <definedName name="LTSRate">GCwithCorpus!$AX$15</definedName>
    <definedName name="NoLTGoals">'Goal Calculator'!$AV$10</definedName>
    <definedName name="NoSTGoals">'Goal Calculator'!$AV$9</definedName>
    <definedName name="OT_1">GCwithCorpus!$P$15</definedName>
    <definedName name="OT_2">GCwithCorpus!$P$17</definedName>
    <definedName name="OT_3">GCwithCorpus!$P$19</definedName>
    <definedName name="OT_4">GCwithCorpus!$P$21</definedName>
    <definedName name="OT_5">GCwithCorpus!$P$23</definedName>
    <definedName name="_xlnm.Print_Area" localSheetId="1">GCwithCorpus!$A$1:$AP$27</definedName>
    <definedName name="_xlnm.Print_Area" localSheetId="0">'Goal Calculator'!$1:$27</definedName>
    <definedName name="STSRate">GCwithCorpus!$AX$14</definedName>
    <definedName name="STTerm">'Goal Calculator'!$O$2</definedName>
    <definedName name="SYld_1">GCwithCorpus!$AQ$15</definedName>
    <definedName name="SYld_2">GCwithCorpus!$AQ$17</definedName>
    <definedName name="SYld_3">GCwithCorpus!$AQ$19</definedName>
    <definedName name="SYld_4">GCwithCorpus!$AQ$21</definedName>
    <definedName name="SYld_5">GCwithCorpus!$AQ$23</definedName>
    <definedName name="SYldG1">'Goal Calculator'!$X$15</definedName>
    <definedName name="SYldG2">'Goal Calculator'!$X$17</definedName>
    <definedName name="SYldG3">'Goal Calculator'!$X$19</definedName>
    <definedName name="SYldG4">'Goal Calculator'!$X$21</definedName>
    <definedName name="SYldG5">'Goal Calculator'!$X$23</definedName>
    <definedName name="T_1">GCwithCorpus!$D$15</definedName>
    <definedName name="T_2">GCwithCorpus!$D$17</definedName>
    <definedName name="T_3">GCwithCorpus!$D$19</definedName>
    <definedName name="T_4">GCwithCorpus!$D$21</definedName>
    <definedName name="T_5">GCwithCorpus!$D$23</definedName>
    <definedName name="T_Rate">GCwithCorpus!$D$9</definedName>
    <definedName name="TaxRate">'Goal Calculator'!$D$9</definedName>
    <definedName name="Term1">'Goal Calculator'!$D$15</definedName>
    <definedName name="Term2">'Goal Calculator'!$D$17</definedName>
    <definedName name="Term3">'Goal Calculator'!$D$19</definedName>
    <definedName name="Term4">'Goal Calculator'!$D$21</definedName>
    <definedName name="Term5">'Goal Calculator'!$D$23</definedName>
    <definedName name="TermTbl">'Goal Calculator'!$D$15,'Goal Calculator'!$D$17,'Goal Calculator'!$D$19,'Goal Calculator'!$D$21,'Goal Calculator'!$D$23</definedName>
    <definedName name="TotalGoals">'Goal Calculator'!$AV$11</definedName>
    <definedName name="YieldLTRate">'Goal Calculator'!$D$7</definedName>
    <definedName name="YieldSTRate" localSheetId="0">'Goal Calculator'!$D$6</definedName>
    <definedName name="YldG1">'Goal Calculator'!$Y$15</definedName>
    <definedName name="YldG2">'Goal Calculator'!$Y$17</definedName>
    <definedName name="YldG3">'Goal Calculator'!$Y$19</definedName>
    <definedName name="YldG4">'Goal Calculator'!$Y$21</definedName>
    <definedName name="YldG5">'Goal Calculator'!$Y$23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M12" i="30" l="1"/>
  <c r="BM11" i="30"/>
  <c r="BM10" i="30"/>
  <c r="BM9" i="30"/>
  <c r="BM8" i="30"/>
  <c r="F23" i="30"/>
  <c r="R7" i="30"/>
  <c r="R3" i="30"/>
  <c r="R6" i="30"/>
  <c r="R4" i="30"/>
  <c r="R5" i="30"/>
  <c r="AT7" i="30"/>
  <c r="AT6" i="30"/>
  <c r="AT5" i="30"/>
  <c r="AT4" i="30"/>
  <c r="AT3" i="30"/>
  <c r="AT7" i="28"/>
  <c r="AT6" i="28"/>
  <c r="AT5" i="28"/>
  <c r="AT4" i="28"/>
  <c r="AT3" i="28"/>
  <c r="AV15" i="30"/>
  <c r="BU12" i="30" s="1"/>
  <c r="AU15" i="30"/>
  <c r="AX15" i="30" s="1"/>
  <c r="AU14" i="30"/>
  <c r="AX14" i="30" s="1"/>
  <c r="P7" i="28"/>
  <c r="P6" i="28"/>
  <c r="X23" i="30" l="1"/>
  <c r="Q15" i="30"/>
  <c r="BN8" i="30"/>
  <c r="BN9" i="30"/>
  <c r="BU11" i="30"/>
  <c r="BV11" i="30" s="1"/>
  <c r="BW11" i="30" s="1"/>
  <c r="BX11" i="30" s="1"/>
  <c r="BN11" i="30"/>
  <c r="BN12" i="30"/>
  <c r="BO12" i="30" s="1"/>
  <c r="Q19" i="30"/>
  <c r="V15" i="30"/>
  <c r="W15" i="30" s="1"/>
  <c r="V21" i="30"/>
  <c r="W21" i="30" s="1"/>
  <c r="V23" i="30"/>
  <c r="W23" i="30" s="1"/>
  <c r="V17" i="30"/>
  <c r="W17" i="30" s="1"/>
  <c r="Q21" i="30"/>
  <c r="Q23" i="30"/>
  <c r="Q17" i="30"/>
  <c r="BN10" i="30"/>
  <c r="V19" i="30"/>
  <c r="W19" i="30" s="1"/>
  <c r="BU8" i="30"/>
  <c r="BV8" i="30" s="1"/>
  <c r="BU9" i="30"/>
  <c r="BV9" i="30" s="1"/>
  <c r="BW9" i="30" s="1"/>
  <c r="BI12" i="30"/>
  <c r="BU10" i="30"/>
  <c r="BV10" i="30" s="1"/>
  <c r="BW10" i="30" s="1"/>
  <c r="BV12" i="30"/>
  <c r="BW12" i="30" s="1"/>
  <c r="BX12" i="30" s="1"/>
  <c r="BJ12" i="30"/>
  <c r="AU3" i="28" a="1"/>
  <c r="AU3" i="28" s="1"/>
  <c r="AU5" i="28" a="1"/>
  <c r="AU5" i="28" s="1"/>
  <c r="AU4" i="28" a="1"/>
  <c r="AU4" i="28" s="1"/>
  <c r="AU7" i="28" a="1"/>
  <c r="AU7" i="28" s="1"/>
  <c r="AU6" i="28" a="1"/>
  <c r="AU6" i="28" s="1"/>
  <c r="BF331" i="30"/>
  <c r="BF332" i="30"/>
  <c r="BF333" i="30"/>
  <c r="BF334" i="30"/>
  <c r="BF335" i="30"/>
  <c r="BF336" i="30"/>
  <c r="BF337" i="30"/>
  <c r="BF338" i="30"/>
  <c r="BF339" i="30"/>
  <c r="BF340" i="30"/>
  <c r="BF341" i="30"/>
  <c r="BF342" i="30"/>
  <c r="BF343" i="30"/>
  <c r="BF344" i="30"/>
  <c r="BF345" i="30"/>
  <c r="BF346" i="30"/>
  <c r="BF347" i="30"/>
  <c r="BF348" i="30"/>
  <c r="BF349" i="30"/>
  <c r="BF350" i="30"/>
  <c r="BF351" i="30"/>
  <c r="BF352" i="30"/>
  <c r="BF353" i="30"/>
  <c r="BF354" i="30"/>
  <c r="BF355" i="30"/>
  <c r="BF356" i="30"/>
  <c r="BF357" i="30"/>
  <c r="BF358" i="30"/>
  <c r="BF359" i="30"/>
  <c r="BF360" i="30"/>
  <c r="BF361" i="30"/>
  <c r="BF362" i="30"/>
  <c r="BF363" i="30"/>
  <c r="BF364" i="30"/>
  <c r="BF365" i="30"/>
  <c r="BF366" i="30"/>
  <c r="BF367" i="30"/>
  <c r="BF368" i="30"/>
  <c r="BF369" i="30"/>
  <c r="BF370" i="30"/>
  <c r="BF371" i="30"/>
  <c r="BF372" i="30"/>
  <c r="BF373" i="30"/>
  <c r="BF374" i="30"/>
  <c r="BF375" i="30"/>
  <c r="BF376" i="30"/>
  <c r="BF377" i="30"/>
  <c r="BF378" i="30"/>
  <c r="BF379" i="30"/>
  <c r="BF380" i="30"/>
  <c r="BF381" i="30"/>
  <c r="BF382" i="30"/>
  <c r="BF383" i="30"/>
  <c r="BF384" i="30"/>
  <c r="BF385" i="30"/>
  <c r="BF386" i="30"/>
  <c r="BF387" i="30"/>
  <c r="BF388" i="30"/>
  <c r="BF389" i="30"/>
  <c r="BF390" i="30"/>
  <c r="BF391" i="30"/>
  <c r="BF392" i="30"/>
  <c r="BF393" i="30"/>
  <c r="BF394" i="30"/>
  <c r="BF395" i="30"/>
  <c r="BF396" i="30"/>
  <c r="BF397" i="30"/>
  <c r="BF398" i="30"/>
  <c r="BF399" i="30"/>
  <c r="BF400" i="30"/>
  <c r="BF401" i="30"/>
  <c r="BF402" i="30"/>
  <c r="BF403" i="30"/>
  <c r="BF404" i="30"/>
  <c r="BF405" i="30"/>
  <c r="BF406" i="30"/>
  <c r="BF407" i="30"/>
  <c r="BF408" i="30"/>
  <c r="BF409" i="30"/>
  <c r="BF410" i="30"/>
  <c r="BF411" i="30"/>
  <c r="BF412" i="30"/>
  <c r="BF413" i="30"/>
  <c r="BF414" i="30"/>
  <c r="BF415" i="30"/>
  <c r="BF416" i="30"/>
  <c r="BF417" i="30"/>
  <c r="BF418" i="30"/>
  <c r="BF419" i="30"/>
  <c r="BF420" i="30"/>
  <c r="BF421" i="30"/>
  <c r="BF422" i="30"/>
  <c r="BF423" i="30"/>
  <c r="BF424" i="30"/>
  <c r="BF425" i="30"/>
  <c r="BF426" i="30"/>
  <c r="BF427" i="30"/>
  <c r="BF428" i="30"/>
  <c r="BF429" i="30"/>
  <c r="BF430" i="30"/>
  <c r="BF431" i="30"/>
  <c r="BF432" i="30"/>
  <c r="BF433" i="30"/>
  <c r="BF434" i="30"/>
  <c r="BF435" i="30"/>
  <c r="BF436" i="30"/>
  <c r="BF437" i="30"/>
  <c r="BF438" i="30"/>
  <c r="BF439" i="30"/>
  <c r="BF440" i="30"/>
  <c r="BF441" i="30"/>
  <c r="BF442" i="30"/>
  <c r="BF443" i="30"/>
  <c r="BF444" i="30"/>
  <c r="BF445" i="30"/>
  <c r="BF446" i="30"/>
  <c r="BF447" i="30"/>
  <c r="BF448" i="30"/>
  <c r="BF449" i="30"/>
  <c r="BF450" i="30"/>
  <c r="BF451" i="30"/>
  <c r="BF452" i="30"/>
  <c r="BF453" i="30"/>
  <c r="BF454" i="30"/>
  <c r="BF455" i="30"/>
  <c r="BF456" i="30"/>
  <c r="BF457" i="30"/>
  <c r="BF458" i="30"/>
  <c r="BF459" i="30"/>
  <c r="BF460" i="30"/>
  <c r="BF461" i="30"/>
  <c r="BF462" i="30"/>
  <c r="BF463" i="30"/>
  <c r="BF464" i="30"/>
  <c r="BF465" i="30"/>
  <c r="BF466" i="30"/>
  <c r="BF467" i="30"/>
  <c r="BF468" i="30"/>
  <c r="BF469" i="30"/>
  <c r="BF470" i="30"/>
  <c r="BF471" i="30"/>
  <c r="BF472" i="30"/>
  <c r="BF473" i="30"/>
  <c r="BF474" i="30"/>
  <c r="BF475" i="30"/>
  <c r="BF476" i="30"/>
  <c r="BF477" i="30"/>
  <c r="BF478" i="30"/>
  <c r="BF479" i="30"/>
  <c r="BF480" i="30"/>
  <c r="BF481" i="30"/>
  <c r="BF482" i="30"/>
  <c r="BF483" i="30"/>
  <c r="BF484" i="30"/>
  <c r="BF485" i="30"/>
  <c r="BF486" i="30"/>
  <c r="BF487" i="30"/>
  <c r="BF488" i="30"/>
  <c r="BF489" i="30"/>
  <c r="BF490" i="30"/>
  <c r="BF491" i="30"/>
  <c r="BF492" i="30"/>
  <c r="BF493" i="30"/>
  <c r="BF494" i="30"/>
  <c r="BF495" i="30"/>
  <c r="BF496" i="30"/>
  <c r="BF497" i="30"/>
  <c r="BF498" i="30"/>
  <c r="BF499" i="30"/>
  <c r="BF500" i="30"/>
  <c r="BF501" i="30"/>
  <c r="BF502" i="30"/>
  <c r="BF503" i="30"/>
  <c r="BF504" i="30"/>
  <c r="BF505" i="30"/>
  <c r="BF506" i="30"/>
  <c r="BF507" i="30"/>
  <c r="BF508" i="30"/>
  <c r="BF509" i="30"/>
  <c r="BF510" i="30"/>
  <c r="BF511" i="30"/>
  <c r="BF512" i="30"/>
  <c r="BF513" i="30"/>
  <c r="BF514" i="30"/>
  <c r="BF515" i="30"/>
  <c r="BF516" i="30"/>
  <c r="BF517" i="30"/>
  <c r="BF518" i="30"/>
  <c r="BF519" i="30"/>
  <c r="BF520" i="30"/>
  <c r="BF521" i="30"/>
  <c r="BF522" i="30"/>
  <c r="BF523" i="30"/>
  <c r="BF524" i="30"/>
  <c r="BF525" i="30"/>
  <c r="BF526" i="30"/>
  <c r="BF527" i="30"/>
  <c r="BF528" i="30"/>
  <c r="BF529" i="30"/>
  <c r="BF530" i="30"/>
  <c r="BF531" i="30"/>
  <c r="BF532" i="30"/>
  <c r="BF533" i="30"/>
  <c r="BF534" i="30"/>
  <c r="BF535" i="30"/>
  <c r="BF536" i="30"/>
  <c r="BF537" i="30"/>
  <c r="BF538" i="30"/>
  <c r="BF539" i="30"/>
  <c r="BF540" i="30"/>
  <c r="BF541" i="30"/>
  <c r="BF542" i="30"/>
  <c r="BF543" i="30"/>
  <c r="BF544" i="30"/>
  <c r="BF545" i="30"/>
  <c r="BF546" i="30"/>
  <c r="BF547" i="30"/>
  <c r="BF548" i="30"/>
  <c r="BF549" i="30"/>
  <c r="BF550" i="30"/>
  <c r="BF551" i="30"/>
  <c r="BF552" i="30"/>
  <c r="BF553" i="30"/>
  <c r="BF554" i="30"/>
  <c r="BF555" i="30"/>
  <c r="BF556" i="30"/>
  <c r="BF557" i="30"/>
  <c r="BF558" i="30"/>
  <c r="BF559" i="30"/>
  <c r="BF560" i="30"/>
  <c r="BF561" i="30"/>
  <c r="BF562" i="30"/>
  <c r="BF563" i="30"/>
  <c r="BF564" i="30"/>
  <c r="BF565" i="30"/>
  <c r="BF566" i="30"/>
  <c r="BF567" i="30"/>
  <c r="BF568" i="30"/>
  <c r="BF569" i="30"/>
  <c r="BF570" i="30"/>
  <c r="BF571" i="30"/>
  <c r="BF572" i="30"/>
  <c r="BF573" i="30"/>
  <c r="BF574" i="30"/>
  <c r="BF575" i="30"/>
  <c r="BF576" i="30"/>
  <c r="BF577" i="30"/>
  <c r="BF578" i="30"/>
  <c r="BF579" i="30"/>
  <c r="BF580" i="30"/>
  <c r="BF581" i="30"/>
  <c r="BF582" i="30"/>
  <c r="BF583" i="30"/>
  <c r="BF584" i="30"/>
  <c r="BF585" i="30"/>
  <c r="BF586" i="30"/>
  <c r="BF587" i="30"/>
  <c r="BF588" i="30"/>
  <c r="BF589" i="30"/>
  <c r="BF590" i="30"/>
  <c r="BF591" i="30"/>
  <c r="BF592" i="30"/>
  <c r="BF593" i="30"/>
  <c r="BF594" i="30"/>
  <c r="BF595" i="30"/>
  <c r="BF596" i="30"/>
  <c r="BF597" i="30"/>
  <c r="BF598" i="30"/>
  <c r="BF599" i="30"/>
  <c r="BF600" i="30"/>
  <c r="BF601" i="30"/>
  <c r="BF602" i="30"/>
  <c r="BF603" i="30"/>
  <c r="BF604" i="30"/>
  <c r="BF605" i="30"/>
  <c r="BF606" i="30"/>
  <c r="BF607" i="30"/>
  <c r="BF608" i="30"/>
  <c r="BF609" i="30"/>
  <c r="BF610" i="30"/>
  <c r="BF611" i="30"/>
  <c r="BF612" i="30"/>
  <c r="BF613" i="30"/>
  <c r="BF614" i="30"/>
  <c r="BF615" i="30"/>
  <c r="BF616" i="30"/>
  <c r="BF617" i="30"/>
  <c r="BF618" i="30"/>
  <c r="BF619" i="30"/>
  <c r="BF620" i="30"/>
  <c r="BF621" i="30"/>
  <c r="BF622" i="30"/>
  <c r="BF623" i="30"/>
  <c r="BF624" i="30"/>
  <c r="BF625" i="30"/>
  <c r="BF626" i="30"/>
  <c r="BF627" i="30"/>
  <c r="BF628" i="30"/>
  <c r="BF629" i="30"/>
  <c r="BF630" i="30"/>
  <c r="BF631" i="30"/>
  <c r="BF632" i="30"/>
  <c r="BF633" i="30"/>
  <c r="BF634" i="30"/>
  <c r="BF635" i="30"/>
  <c r="BF636" i="30"/>
  <c r="BF637" i="30"/>
  <c r="BF638" i="30"/>
  <c r="BF639" i="30"/>
  <c r="BF640" i="30"/>
  <c r="BF641" i="30"/>
  <c r="BF642" i="30"/>
  <c r="BF643" i="30"/>
  <c r="BF644" i="30"/>
  <c r="BF645" i="30"/>
  <c r="BF646" i="30"/>
  <c r="BF647" i="30"/>
  <c r="BF648" i="30"/>
  <c r="BF649" i="30"/>
  <c r="BF650" i="30"/>
  <c r="BF651" i="30"/>
  <c r="BF652" i="30"/>
  <c r="BF653" i="30"/>
  <c r="BF654" i="30"/>
  <c r="BF655" i="30"/>
  <c r="BF656" i="30"/>
  <c r="BF657" i="30"/>
  <c r="BF658" i="30"/>
  <c r="BF659" i="30"/>
  <c r="BF660" i="30"/>
  <c r="BF661" i="30"/>
  <c r="BF662" i="30"/>
  <c r="BF663" i="30"/>
  <c r="BF664" i="30"/>
  <c r="BF665" i="30"/>
  <c r="BF666" i="30"/>
  <c r="BF667" i="30"/>
  <c r="BF668" i="30"/>
  <c r="BF669" i="30"/>
  <c r="BF670" i="30"/>
  <c r="BF671" i="30"/>
  <c r="BF672" i="30"/>
  <c r="BF673" i="30"/>
  <c r="BF674" i="30"/>
  <c r="BF675" i="30"/>
  <c r="BF676" i="30"/>
  <c r="BF677" i="30"/>
  <c r="BF678" i="30"/>
  <c r="BF679" i="30"/>
  <c r="BF680" i="30"/>
  <c r="BF681" i="30"/>
  <c r="BF682" i="30"/>
  <c r="BF683" i="30"/>
  <c r="BF684" i="30"/>
  <c r="BF685" i="30"/>
  <c r="BF686" i="30"/>
  <c r="BF687" i="30"/>
  <c r="BF688" i="30"/>
  <c r="BF689" i="30"/>
  <c r="BF690" i="30"/>
  <c r="BF691" i="30"/>
  <c r="BF692" i="30"/>
  <c r="BF693" i="30"/>
  <c r="BF694" i="30"/>
  <c r="BF695" i="30"/>
  <c r="BF696" i="30"/>
  <c r="BF697" i="30"/>
  <c r="BF698" i="30"/>
  <c r="BF699" i="30"/>
  <c r="BF700" i="30"/>
  <c r="BF701" i="30"/>
  <c r="BF702" i="30"/>
  <c r="BF703" i="30"/>
  <c r="BF704" i="30"/>
  <c r="BF705" i="30"/>
  <c r="BF706" i="30"/>
  <c r="BF707" i="30"/>
  <c r="BF708" i="30"/>
  <c r="BF709" i="30"/>
  <c r="BF710" i="30"/>
  <c r="BF711" i="30"/>
  <c r="BF712" i="30"/>
  <c r="BF713" i="30"/>
  <c r="BF714" i="30"/>
  <c r="BF715" i="30"/>
  <c r="BF716" i="30"/>
  <c r="BF717" i="30"/>
  <c r="BF718" i="30"/>
  <c r="BF719" i="30"/>
  <c r="BF720" i="30"/>
  <c r="BF721" i="30"/>
  <c r="BF722" i="30"/>
  <c r="BF723" i="30"/>
  <c r="BF724" i="30"/>
  <c r="BF725" i="30"/>
  <c r="BF726" i="30"/>
  <c r="BF727" i="30"/>
  <c r="BF728" i="30"/>
  <c r="BF729" i="30"/>
  <c r="BF730" i="30"/>
  <c r="BF731" i="30"/>
  <c r="BF732" i="30"/>
  <c r="BF733" i="30"/>
  <c r="BF734" i="30"/>
  <c r="BF735" i="30"/>
  <c r="BF736" i="30"/>
  <c r="BF737" i="30"/>
  <c r="BF738" i="30"/>
  <c r="BF739" i="30"/>
  <c r="BF740" i="30"/>
  <c r="BF741" i="30"/>
  <c r="BF742" i="30"/>
  <c r="BF743" i="30"/>
  <c r="BF744" i="30"/>
  <c r="BF745" i="30"/>
  <c r="BF746" i="30"/>
  <c r="BF747" i="30"/>
  <c r="BF748" i="30"/>
  <c r="BF749" i="30"/>
  <c r="BF750" i="30"/>
  <c r="BF751" i="30"/>
  <c r="BF752" i="30"/>
  <c r="BF753" i="30"/>
  <c r="BF754" i="30"/>
  <c r="BF755" i="30"/>
  <c r="BF756" i="30"/>
  <c r="BF757" i="30"/>
  <c r="BF758" i="30"/>
  <c r="BF759" i="30"/>
  <c r="BF760" i="30"/>
  <c r="BF761" i="30"/>
  <c r="BF762" i="30"/>
  <c r="BF763" i="30"/>
  <c r="BF764" i="30"/>
  <c r="BF765" i="30"/>
  <c r="BF766" i="30"/>
  <c r="BF767" i="30"/>
  <c r="BF768" i="30"/>
  <c r="BF769" i="30"/>
  <c r="BF770" i="30"/>
  <c r="BF771" i="30"/>
  <c r="BF772" i="30"/>
  <c r="BF773" i="30"/>
  <c r="BF774" i="30"/>
  <c r="BF775" i="30"/>
  <c r="BF776" i="30"/>
  <c r="BF777" i="30"/>
  <c r="BF778" i="30"/>
  <c r="BF779" i="30"/>
  <c r="BF780" i="30"/>
  <c r="BF781" i="30"/>
  <c r="BF782" i="30"/>
  <c r="BF783" i="30"/>
  <c r="BF784" i="30"/>
  <c r="BF785" i="30"/>
  <c r="BF786" i="30"/>
  <c r="BF787" i="30"/>
  <c r="BF788" i="30"/>
  <c r="BF789" i="30"/>
  <c r="BF790" i="30"/>
  <c r="BF791" i="30"/>
  <c r="BF792" i="30"/>
  <c r="BF793" i="30"/>
  <c r="BF794" i="30"/>
  <c r="BF795" i="30"/>
  <c r="BF796" i="30"/>
  <c r="BF797" i="30"/>
  <c r="BF798" i="30"/>
  <c r="BF799" i="30"/>
  <c r="BF800" i="30"/>
  <c r="BF801" i="30"/>
  <c r="BF802" i="30"/>
  <c r="BF803" i="30"/>
  <c r="BF804" i="30"/>
  <c r="BF805" i="30"/>
  <c r="BF806" i="30"/>
  <c r="BF807" i="30"/>
  <c r="BF808" i="30"/>
  <c r="BF809" i="30"/>
  <c r="BF810" i="30"/>
  <c r="BF811" i="30"/>
  <c r="BF812" i="30"/>
  <c r="BF813" i="30"/>
  <c r="BF814" i="30"/>
  <c r="BF815" i="30"/>
  <c r="BF816" i="30"/>
  <c r="BF817" i="30"/>
  <c r="BF818" i="30"/>
  <c r="BF819" i="30"/>
  <c r="BF820" i="30"/>
  <c r="BF821" i="30"/>
  <c r="BF822" i="30"/>
  <c r="BF823" i="30"/>
  <c r="BF824" i="30"/>
  <c r="BF825" i="30"/>
  <c r="BF826" i="30"/>
  <c r="BF827" i="30"/>
  <c r="BF828" i="30"/>
  <c r="BF829" i="30"/>
  <c r="BF830" i="30"/>
  <c r="BF831" i="30"/>
  <c r="BF832" i="30"/>
  <c r="BF833" i="30"/>
  <c r="BF834" i="30"/>
  <c r="BF835" i="30"/>
  <c r="BF836" i="30"/>
  <c r="BF837" i="30"/>
  <c r="BF838" i="30"/>
  <c r="BF839" i="30"/>
  <c r="BF840" i="30"/>
  <c r="BF841" i="30"/>
  <c r="BF842" i="30"/>
  <c r="BF843" i="30"/>
  <c r="BF844" i="30"/>
  <c r="BF845" i="30"/>
  <c r="BF846" i="30"/>
  <c r="BF847" i="30"/>
  <c r="BF848" i="30"/>
  <c r="BF849" i="30"/>
  <c r="BF850" i="30"/>
  <c r="BF851" i="30"/>
  <c r="BF852" i="30"/>
  <c r="BF853" i="30"/>
  <c r="BF854" i="30"/>
  <c r="BF855" i="30"/>
  <c r="BF856" i="30"/>
  <c r="BF857" i="30"/>
  <c r="BF858" i="30"/>
  <c r="BF859" i="30"/>
  <c r="BF860" i="30"/>
  <c r="BF861" i="30"/>
  <c r="BF862" i="30"/>
  <c r="BF863" i="30"/>
  <c r="BF864" i="30"/>
  <c r="BF865" i="30"/>
  <c r="BF866" i="30"/>
  <c r="BF867" i="30"/>
  <c r="BF868" i="30"/>
  <c r="BF869" i="30"/>
  <c r="BF870" i="30"/>
  <c r="BF871" i="30"/>
  <c r="BF872" i="30"/>
  <c r="BF873" i="30"/>
  <c r="BF874" i="30"/>
  <c r="BF875" i="30"/>
  <c r="BF876" i="30"/>
  <c r="BF877" i="30"/>
  <c r="BF878" i="30"/>
  <c r="BF879" i="30"/>
  <c r="BF880" i="30"/>
  <c r="BF881" i="30"/>
  <c r="BF882" i="30"/>
  <c r="BF883" i="30"/>
  <c r="BF884" i="30"/>
  <c r="BF885" i="30"/>
  <c r="BF886" i="30"/>
  <c r="BF887" i="30"/>
  <c r="BF888" i="30"/>
  <c r="BF889" i="30"/>
  <c r="BF890" i="30"/>
  <c r="BF891" i="30"/>
  <c r="BF892" i="30"/>
  <c r="BF893" i="30"/>
  <c r="BF894" i="30"/>
  <c r="BF895" i="30"/>
  <c r="BF896" i="30"/>
  <c r="BF897" i="30"/>
  <c r="BF898" i="30"/>
  <c r="BF899" i="30"/>
  <c r="BF900" i="30"/>
  <c r="BF901" i="30"/>
  <c r="BF902" i="30"/>
  <c r="BF903" i="30"/>
  <c r="BF904" i="30"/>
  <c r="BF905" i="30"/>
  <c r="BF906" i="30"/>
  <c r="BF907" i="30"/>
  <c r="BF908" i="30"/>
  <c r="BF909" i="30"/>
  <c r="BF910" i="30"/>
  <c r="BF911" i="30"/>
  <c r="BF912" i="30"/>
  <c r="BF913" i="30"/>
  <c r="BF914" i="30"/>
  <c r="BF915" i="30"/>
  <c r="BF916" i="30"/>
  <c r="BF917" i="30"/>
  <c r="BF918" i="30"/>
  <c r="BF919" i="30"/>
  <c r="BF920" i="30"/>
  <c r="BF921" i="30"/>
  <c r="BF922" i="30"/>
  <c r="BF923" i="30"/>
  <c r="BF924" i="30"/>
  <c r="BF925" i="30"/>
  <c r="BF926" i="30"/>
  <c r="BF927" i="30"/>
  <c r="BF928" i="30"/>
  <c r="BF929" i="30"/>
  <c r="BF930" i="30"/>
  <c r="BF931" i="30"/>
  <c r="BF932" i="30"/>
  <c r="BF933" i="30"/>
  <c r="BF934" i="30"/>
  <c r="BF935" i="30"/>
  <c r="BF936" i="30"/>
  <c r="BF937" i="30"/>
  <c r="BF938" i="30"/>
  <c r="BF939" i="30"/>
  <c r="BF940" i="30"/>
  <c r="BF941" i="30"/>
  <c r="BF942" i="30"/>
  <c r="BF943" i="30"/>
  <c r="BF944" i="30"/>
  <c r="BF945" i="30"/>
  <c r="BF946" i="30"/>
  <c r="BF947" i="30"/>
  <c r="BF948" i="30"/>
  <c r="BF949" i="30"/>
  <c r="BF950" i="30"/>
  <c r="BF951" i="30"/>
  <c r="BF952" i="30"/>
  <c r="BF953" i="30"/>
  <c r="BF954" i="30"/>
  <c r="BF955" i="30"/>
  <c r="BF956" i="30"/>
  <c r="BF957" i="30"/>
  <c r="BF958" i="30"/>
  <c r="BF959" i="30"/>
  <c r="BF960" i="30"/>
  <c r="BF961" i="30"/>
  <c r="BF962" i="30"/>
  <c r="BF963" i="30"/>
  <c r="BF964" i="30"/>
  <c r="BF965" i="30"/>
  <c r="BF966" i="30"/>
  <c r="BF967" i="30"/>
  <c r="BF968" i="30"/>
  <c r="BF969" i="30"/>
  <c r="BF970" i="30"/>
  <c r="BF971" i="30"/>
  <c r="BF972" i="30"/>
  <c r="BF973" i="30"/>
  <c r="BF974" i="30"/>
  <c r="BF975" i="30"/>
  <c r="BF976" i="30"/>
  <c r="BF977" i="30"/>
  <c r="BF978" i="30"/>
  <c r="BF979" i="30"/>
  <c r="BF980" i="30"/>
  <c r="BF981" i="30"/>
  <c r="BF982" i="30"/>
  <c r="BF983" i="30"/>
  <c r="BF984" i="30"/>
  <c r="BF985" i="30"/>
  <c r="BF986" i="30"/>
  <c r="BF987" i="30"/>
  <c r="BF988" i="30"/>
  <c r="BF989" i="30"/>
  <c r="BF990" i="30"/>
  <c r="BF991" i="30"/>
  <c r="BF992" i="30"/>
  <c r="BF993" i="30"/>
  <c r="BF994" i="30"/>
  <c r="BF995" i="30"/>
  <c r="BF996" i="30"/>
  <c r="BF997" i="30"/>
  <c r="BF998" i="30"/>
  <c r="BF999" i="30"/>
  <c r="BF1000" i="30"/>
  <c r="BF1001" i="30"/>
  <c r="BF1002" i="30"/>
  <c r="BF1003" i="30"/>
  <c r="BF1004" i="30"/>
  <c r="BF1005" i="30"/>
  <c r="BF1006" i="30"/>
  <c r="BF1007" i="30"/>
  <c r="BF1008" i="30"/>
  <c r="BF1009" i="30"/>
  <c r="BF1010" i="30"/>
  <c r="BF1011" i="30"/>
  <c r="BF1012" i="30"/>
  <c r="BF1013" i="30"/>
  <c r="BF1014" i="30"/>
  <c r="BF1015" i="30"/>
  <c r="BF1016" i="30"/>
  <c r="BF1017" i="30"/>
  <c r="BF1018" i="30"/>
  <c r="BF1019" i="30"/>
  <c r="BF1020" i="30"/>
  <c r="BF1021" i="30"/>
  <c r="BF1022" i="30"/>
  <c r="BF1023" i="30"/>
  <c r="BF1024" i="30"/>
  <c r="BF1025" i="30"/>
  <c r="BF1026" i="30"/>
  <c r="BF1027" i="30"/>
  <c r="BF1028" i="30"/>
  <c r="BF1029" i="30"/>
  <c r="BF1030" i="30"/>
  <c r="BF1031" i="30"/>
  <c r="BF1032" i="30"/>
  <c r="BF1033" i="30"/>
  <c r="BF1034" i="30"/>
  <c r="BF1035" i="30"/>
  <c r="BF1036" i="30"/>
  <c r="BF1037" i="30"/>
  <c r="BF1038" i="30"/>
  <c r="BF1039" i="30"/>
  <c r="BF1040" i="30"/>
  <c r="BF1041" i="30"/>
  <c r="BF1042" i="30"/>
  <c r="BF1043" i="30"/>
  <c r="BF1044" i="30"/>
  <c r="BF1045" i="30"/>
  <c r="BF1046" i="30"/>
  <c r="BF1047" i="30"/>
  <c r="BF1048" i="30"/>
  <c r="BF1049" i="30"/>
  <c r="BF1050" i="30"/>
  <c r="BF1051" i="30"/>
  <c r="BF1052" i="30"/>
  <c r="BF1053" i="30"/>
  <c r="BF1054" i="30"/>
  <c r="BF1055" i="30"/>
  <c r="BF1056" i="30"/>
  <c r="BF1057" i="30"/>
  <c r="BF1058" i="30"/>
  <c r="BF1059" i="30"/>
  <c r="BF1060" i="30"/>
  <c r="BF1061" i="30"/>
  <c r="BF1062" i="30"/>
  <c r="BF1063" i="30"/>
  <c r="BF1064" i="30"/>
  <c r="BF1065" i="30"/>
  <c r="BF1066" i="30"/>
  <c r="BF1067" i="30"/>
  <c r="BF1068" i="30"/>
  <c r="BF1069" i="30"/>
  <c r="BF1070" i="30"/>
  <c r="BF1071" i="30"/>
  <c r="BF1072" i="30"/>
  <c r="BF1073" i="30"/>
  <c r="BF1074" i="30"/>
  <c r="BF1075" i="30"/>
  <c r="BF1076" i="30"/>
  <c r="BF1077" i="30"/>
  <c r="BF1078" i="30"/>
  <c r="BF1079" i="30"/>
  <c r="BF1080" i="30"/>
  <c r="BF1081" i="30"/>
  <c r="BF1082" i="30"/>
  <c r="BF1083" i="30"/>
  <c r="BF1084" i="30"/>
  <c r="BF1085" i="30"/>
  <c r="BF1086" i="30"/>
  <c r="BF1087" i="30"/>
  <c r="BF1088" i="30"/>
  <c r="BF1089" i="30"/>
  <c r="BF1090" i="30"/>
  <c r="BF1091" i="30"/>
  <c r="BF1092" i="30"/>
  <c r="BF1093" i="30"/>
  <c r="BF1094" i="30"/>
  <c r="BF1095" i="30"/>
  <c r="BF1096" i="30"/>
  <c r="BF1097" i="30"/>
  <c r="BF1098" i="30"/>
  <c r="BF1099" i="30"/>
  <c r="BF1100" i="30"/>
  <c r="BF1101" i="30"/>
  <c r="BF1102" i="30"/>
  <c r="BF1103" i="30"/>
  <c r="BF1104" i="30"/>
  <c r="BF1105" i="30"/>
  <c r="BF1106" i="30"/>
  <c r="BF1107" i="30"/>
  <c r="BF1108" i="30"/>
  <c r="BF1109" i="30"/>
  <c r="BF1110" i="30"/>
  <c r="BF1111" i="30"/>
  <c r="BF1112" i="30"/>
  <c r="BF1113" i="30"/>
  <c r="BF1114" i="30"/>
  <c r="BF1115" i="30"/>
  <c r="BF1116" i="30"/>
  <c r="BF1117" i="30"/>
  <c r="BF1118" i="30"/>
  <c r="BF1119" i="30"/>
  <c r="BF1120" i="30"/>
  <c r="BF1121" i="30"/>
  <c r="BF1122" i="30"/>
  <c r="BF1123" i="30"/>
  <c r="BF1124" i="30"/>
  <c r="BF1125" i="30"/>
  <c r="BF1126" i="30"/>
  <c r="BF1127" i="30"/>
  <c r="BF1128" i="30"/>
  <c r="BF1129" i="30"/>
  <c r="BF1130" i="30"/>
  <c r="BF1131" i="30"/>
  <c r="BF1132" i="30"/>
  <c r="BF1133" i="30"/>
  <c r="BF1134" i="30"/>
  <c r="BF1135" i="30"/>
  <c r="BF1136" i="30"/>
  <c r="BF1137" i="30"/>
  <c r="BF1138" i="30"/>
  <c r="BF1139" i="30"/>
  <c r="BF1140" i="30"/>
  <c r="BF1141" i="30"/>
  <c r="BF1142" i="30"/>
  <c r="BF1143" i="30"/>
  <c r="BF1144" i="30"/>
  <c r="BF1145" i="30"/>
  <c r="BF1146" i="30"/>
  <c r="BF1147" i="30"/>
  <c r="BF1148" i="30"/>
  <c r="BF1149" i="30"/>
  <c r="BF1150" i="30"/>
  <c r="BF1151" i="30"/>
  <c r="BF1152" i="30"/>
  <c r="BF1153" i="30"/>
  <c r="BF1154" i="30"/>
  <c r="BF1155" i="30"/>
  <c r="BF1156" i="30"/>
  <c r="BF1157" i="30"/>
  <c r="BF1158" i="30"/>
  <c r="BF1159" i="30"/>
  <c r="BF1160" i="30"/>
  <c r="BF1161" i="30"/>
  <c r="BF1162" i="30"/>
  <c r="BF1163" i="30"/>
  <c r="BF1164" i="30"/>
  <c r="BF1165" i="30"/>
  <c r="BF1166" i="30"/>
  <c r="BF1167" i="30"/>
  <c r="BF1168" i="30"/>
  <c r="BF1169" i="30"/>
  <c r="BF1170" i="30"/>
  <c r="BF1171" i="30"/>
  <c r="BF1172" i="30"/>
  <c r="BF1173" i="30"/>
  <c r="BF1174" i="30"/>
  <c r="BF1175" i="30"/>
  <c r="BF1176" i="30"/>
  <c r="BF1177" i="30"/>
  <c r="BF1178" i="30"/>
  <c r="BF1179" i="30"/>
  <c r="BF1180" i="30"/>
  <c r="BF1181" i="30"/>
  <c r="BF1182" i="30"/>
  <c r="BF1183" i="30"/>
  <c r="BF1184" i="30"/>
  <c r="BF1185" i="30"/>
  <c r="BF1186" i="30"/>
  <c r="BF1187" i="30"/>
  <c r="BF1188" i="30"/>
  <c r="BF1189" i="30"/>
  <c r="BF1190" i="30"/>
  <c r="BF1191" i="30"/>
  <c r="BF1192" i="30"/>
  <c r="BF1193" i="30"/>
  <c r="BF1194" i="30"/>
  <c r="BF1195" i="30"/>
  <c r="BF1196" i="30"/>
  <c r="BF1197" i="30"/>
  <c r="BF1198" i="30"/>
  <c r="BF1199" i="30"/>
  <c r="BF1200" i="30"/>
  <c r="BF1201" i="30"/>
  <c r="BF1202" i="30"/>
  <c r="BF1203" i="30"/>
  <c r="BF1204" i="30"/>
  <c r="BF1205" i="30"/>
  <c r="BF1206" i="30"/>
  <c r="BF1207" i="30"/>
  <c r="BF1208" i="30"/>
  <c r="BF1209" i="30"/>
  <c r="BF1210" i="30"/>
  <c r="BF1211" i="30"/>
  <c r="BF1212" i="30"/>
  <c r="BF1213" i="30"/>
  <c r="BF1214" i="30"/>
  <c r="BF1215" i="30"/>
  <c r="BF1216" i="30"/>
  <c r="BF1217" i="30"/>
  <c r="BF1218" i="30"/>
  <c r="BF1219" i="30"/>
  <c r="BF1220" i="30"/>
  <c r="BF1221" i="30"/>
  <c r="BF1222" i="30"/>
  <c r="BF1223" i="30"/>
  <c r="BF1224" i="30"/>
  <c r="BF1225" i="30"/>
  <c r="BF1226" i="30"/>
  <c r="BF1227" i="30"/>
  <c r="BF1228" i="30"/>
  <c r="BF1229" i="30"/>
  <c r="BF1230" i="30"/>
  <c r="BE32" i="30"/>
  <c r="BE33" i="30"/>
  <c r="BE34" i="30"/>
  <c r="BE35" i="30"/>
  <c r="BE36" i="30"/>
  <c r="BE37" i="30"/>
  <c r="BE38" i="30"/>
  <c r="BE39" i="30"/>
  <c r="BE40" i="30"/>
  <c r="BE41" i="30"/>
  <c r="BE42" i="30"/>
  <c r="BE43" i="30"/>
  <c r="BE44" i="30"/>
  <c r="BE45" i="30"/>
  <c r="BE46" i="30"/>
  <c r="BE47" i="30"/>
  <c r="BE48" i="30"/>
  <c r="BE49" i="30"/>
  <c r="BE50" i="30"/>
  <c r="BE51" i="30"/>
  <c r="BE52" i="30"/>
  <c r="BE53" i="30"/>
  <c r="BE54" i="30"/>
  <c r="BE55" i="30"/>
  <c r="BE56" i="30"/>
  <c r="BE57" i="30"/>
  <c r="BE58" i="30"/>
  <c r="BE59" i="30"/>
  <c r="BE60" i="30"/>
  <c r="BE61" i="30"/>
  <c r="BE62" i="30"/>
  <c r="BE63" i="30"/>
  <c r="BE64" i="30"/>
  <c r="BE65" i="30"/>
  <c r="BE66" i="30"/>
  <c r="BE67" i="30"/>
  <c r="BE68" i="30"/>
  <c r="BE69" i="30"/>
  <c r="BE70" i="30"/>
  <c r="BE71" i="30"/>
  <c r="BE72" i="30"/>
  <c r="BE73" i="30"/>
  <c r="BE74" i="30"/>
  <c r="BE75" i="30"/>
  <c r="BE76" i="30"/>
  <c r="BE77" i="30"/>
  <c r="BE78" i="30"/>
  <c r="BE79" i="30"/>
  <c r="BE80" i="30"/>
  <c r="BE81" i="30"/>
  <c r="BE82" i="30"/>
  <c r="BE83" i="30"/>
  <c r="BE84" i="30"/>
  <c r="BE85" i="30"/>
  <c r="BE86" i="30"/>
  <c r="BE87" i="30"/>
  <c r="BE88" i="30"/>
  <c r="BE89" i="30"/>
  <c r="BE90" i="30"/>
  <c r="BE91" i="30"/>
  <c r="BE92" i="30"/>
  <c r="BE93" i="30"/>
  <c r="BE94" i="30"/>
  <c r="BE95" i="30"/>
  <c r="BE96" i="30"/>
  <c r="BE97" i="30"/>
  <c r="BE98" i="30"/>
  <c r="BE99" i="30"/>
  <c r="BE100" i="30"/>
  <c r="BE101" i="30"/>
  <c r="BE102" i="30"/>
  <c r="BE103" i="30"/>
  <c r="BE104" i="30"/>
  <c r="BE105" i="30"/>
  <c r="BE106" i="30"/>
  <c r="BE107" i="30"/>
  <c r="BE108" i="30"/>
  <c r="BE109" i="30"/>
  <c r="BE110" i="30"/>
  <c r="BE111" i="30"/>
  <c r="BE112" i="30"/>
  <c r="BE113" i="30"/>
  <c r="BE114" i="30"/>
  <c r="BE115" i="30"/>
  <c r="BE116" i="30"/>
  <c r="BE117" i="30"/>
  <c r="BE118" i="30"/>
  <c r="BE119" i="30"/>
  <c r="BE120" i="30"/>
  <c r="BE121" i="30"/>
  <c r="BE122" i="30"/>
  <c r="BE123" i="30"/>
  <c r="BE124" i="30"/>
  <c r="BE125" i="30"/>
  <c r="BE126" i="30"/>
  <c r="BE127" i="30"/>
  <c r="BE128" i="30"/>
  <c r="BE129" i="30"/>
  <c r="BE130" i="30"/>
  <c r="BE131" i="30"/>
  <c r="BE132" i="30"/>
  <c r="BE133" i="30"/>
  <c r="BE134" i="30"/>
  <c r="BE135" i="30"/>
  <c r="BE136" i="30"/>
  <c r="BE137" i="30"/>
  <c r="BE138" i="30"/>
  <c r="BE139" i="30"/>
  <c r="BE140" i="30"/>
  <c r="BE141" i="30"/>
  <c r="BE142" i="30"/>
  <c r="BE143" i="30"/>
  <c r="BE144" i="30"/>
  <c r="BE145" i="30"/>
  <c r="BE146" i="30"/>
  <c r="BE147" i="30"/>
  <c r="BE148" i="30"/>
  <c r="BE149" i="30"/>
  <c r="BE150" i="30"/>
  <c r="BE151" i="30"/>
  <c r="BE152" i="30"/>
  <c r="BE153" i="30"/>
  <c r="BE154" i="30"/>
  <c r="BE155" i="30"/>
  <c r="BE156" i="30"/>
  <c r="BE157" i="30"/>
  <c r="BE158" i="30"/>
  <c r="BE159" i="30"/>
  <c r="BE160" i="30"/>
  <c r="BE161" i="30"/>
  <c r="BE162" i="30"/>
  <c r="BE163" i="30"/>
  <c r="BE164" i="30"/>
  <c r="BE165" i="30"/>
  <c r="BE166" i="30"/>
  <c r="BE167" i="30"/>
  <c r="BE168" i="30"/>
  <c r="BE169" i="30"/>
  <c r="BE170" i="30"/>
  <c r="BE171" i="30"/>
  <c r="BE172" i="30"/>
  <c r="BE173" i="30"/>
  <c r="BE174" i="30"/>
  <c r="BE175" i="30"/>
  <c r="BE176" i="30"/>
  <c r="BE177" i="30"/>
  <c r="BE178" i="30"/>
  <c r="BE179" i="30"/>
  <c r="BE180" i="30"/>
  <c r="BE181" i="30"/>
  <c r="BE182" i="30"/>
  <c r="BE183" i="30"/>
  <c r="BE184" i="30"/>
  <c r="BE185" i="30"/>
  <c r="BE186" i="30"/>
  <c r="BE187" i="30"/>
  <c r="BE188" i="30"/>
  <c r="BE189" i="30"/>
  <c r="BE190" i="30"/>
  <c r="BE191" i="30"/>
  <c r="BE192" i="30"/>
  <c r="BE193" i="30"/>
  <c r="BE194" i="30"/>
  <c r="BE195" i="30"/>
  <c r="BE196" i="30"/>
  <c r="BE197" i="30"/>
  <c r="BE198" i="30"/>
  <c r="BE199" i="30"/>
  <c r="BE200" i="30"/>
  <c r="BE201" i="30"/>
  <c r="BE202" i="30"/>
  <c r="BE203" i="30"/>
  <c r="BE204" i="30"/>
  <c r="BE205" i="30"/>
  <c r="BE206" i="30"/>
  <c r="BE207" i="30"/>
  <c r="BE208" i="30"/>
  <c r="BE209" i="30"/>
  <c r="BE210" i="30"/>
  <c r="BE211" i="30"/>
  <c r="BE212" i="30"/>
  <c r="BE213" i="30"/>
  <c r="BE214" i="30"/>
  <c r="BE215" i="30"/>
  <c r="BE216" i="30"/>
  <c r="BE217" i="30"/>
  <c r="BE218" i="30"/>
  <c r="BE219" i="30"/>
  <c r="BE220" i="30"/>
  <c r="BE221" i="30"/>
  <c r="BE222" i="30"/>
  <c r="BE223" i="30"/>
  <c r="BE224" i="30"/>
  <c r="BE225" i="30"/>
  <c r="BE226" i="30"/>
  <c r="BE227" i="30"/>
  <c r="BE228" i="30"/>
  <c r="BE229" i="30"/>
  <c r="BE230" i="30"/>
  <c r="BE231" i="30"/>
  <c r="BE232" i="30"/>
  <c r="BE233" i="30"/>
  <c r="BE234" i="30"/>
  <c r="BE235" i="30"/>
  <c r="BE236" i="30"/>
  <c r="BE237" i="30"/>
  <c r="BE238" i="30"/>
  <c r="BE239" i="30"/>
  <c r="BE240" i="30"/>
  <c r="BE241" i="30"/>
  <c r="BE242" i="30"/>
  <c r="BE243" i="30"/>
  <c r="BE244" i="30"/>
  <c r="BE245" i="30"/>
  <c r="BE246" i="30"/>
  <c r="BE247" i="30"/>
  <c r="BE248" i="30"/>
  <c r="BE249" i="30"/>
  <c r="BE250" i="30"/>
  <c r="BE251" i="30"/>
  <c r="BE252" i="30"/>
  <c r="BE253" i="30"/>
  <c r="BE254" i="30"/>
  <c r="BE255" i="30"/>
  <c r="BE256" i="30"/>
  <c r="BE257" i="30"/>
  <c r="BE258" i="30"/>
  <c r="BE259" i="30"/>
  <c r="BE260" i="30"/>
  <c r="BE261" i="30"/>
  <c r="BE262" i="30"/>
  <c r="BE263" i="30"/>
  <c r="BE264" i="30"/>
  <c r="BE265" i="30"/>
  <c r="BE266" i="30"/>
  <c r="BE267" i="30"/>
  <c r="BE268" i="30"/>
  <c r="BE269" i="30"/>
  <c r="BE270" i="30"/>
  <c r="BE271" i="30"/>
  <c r="BE272" i="30"/>
  <c r="BE273" i="30"/>
  <c r="BE274" i="30"/>
  <c r="BE275" i="30"/>
  <c r="BE276" i="30"/>
  <c r="BE277" i="30"/>
  <c r="BE278" i="30"/>
  <c r="BE279" i="30"/>
  <c r="BE280" i="30"/>
  <c r="BE281" i="30"/>
  <c r="BE282" i="30"/>
  <c r="BE283" i="30"/>
  <c r="BE284" i="30"/>
  <c r="BE285" i="30"/>
  <c r="BE286" i="30"/>
  <c r="BE287" i="30"/>
  <c r="BE288" i="30"/>
  <c r="BE289" i="30"/>
  <c r="BE290" i="30"/>
  <c r="BE291" i="30"/>
  <c r="BE292" i="30"/>
  <c r="BE293" i="30"/>
  <c r="BE294" i="30"/>
  <c r="BE295" i="30"/>
  <c r="BE296" i="30"/>
  <c r="BE297" i="30"/>
  <c r="BE298" i="30"/>
  <c r="BE299" i="30"/>
  <c r="BE300" i="30"/>
  <c r="BE301" i="30"/>
  <c r="BE302" i="30"/>
  <c r="BE303" i="30"/>
  <c r="BE304" i="30"/>
  <c r="BE305" i="30"/>
  <c r="BE306" i="30"/>
  <c r="BE307" i="30"/>
  <c r="BE308" i="30"/>
  <c r="BE309" i="30"/>
  <c r="BE310" i="30"/>
  <c r="BE311" i="30"/>
  <c r="BE312" i="30"/>
  <c r="BE313" i="30"/>
  <c r="BE314" i="30"/>
  <c r="BE315" i="30"/>
  <c r="BE316" i="30"/>
  <c r="BE317" i="30"/>
  <c r="BE318" i="30"/>
  <c r="BE319" i="30"/>
  <c r="BE320" i="30"/>
  <c r="BE321" i="30"/>
  <c r="BE322" i="30"/>
  <c r="BE323" i="30"/>
  <c r="BE324" i="30"/>
  <c r="BE325" i="30"/>
  <c r="BE326" i="30"/>
  <c r="BE327" i="30"/>
  <c r="BE328" i="30"/>
  <c r="BE329" i="30"/>
  <c r="BE330" i="30"/>
  <c r="BE331" i="30"/>
  <c r="BE332" i="30"/>
  <c r="BE333" i="30"/>
  <c r="BE334" i="30"/>
  <c r="BE335" i="30"/>
  <c r="BE336" i="30"/>
  <c r="BE337" i="30"/>
  <c r="BE338" i="30"/>
  <c r="BE339" i="30"/>
  <c r="BE340" i="30"/>
  <c r="BE341" i="30"/>
  <c r="BE342" i="30"/>
  <c r="BE343" i="30"/>
  <c r="BE344" i="30"/>
  <c r="BE345" i="30"/>
  <c r="BE346" i="30"/>
  <c r="BE347" i="30"/>
  <c r="BE348" i="30"/>
  <c r="BE349" i="30"/>
  <c r="BE350" i="30"/>
  <c r="BE351" i="30"/>
  <c r="BE352" i="30"/>
  <c r="BE353" i="30"/>
  <c r="BE354" i="30"/>
  <c r="BE355" i="30"/>
  <c r="BE356" i="30"/>
  <c r="BE357" i="30"/>
  <c r="BE358" i="30"/>
  <c r="BE359" i="30"/>
  <c r="BE360" i="30"/>
  <c r="BE361" i="30"/>
  <c r="BE362" i="30"/>
  <c r="BE363" i="30"/>
  <c r="BE364" i="30"/>
  <c r="BE365" i="30"/>
  <c r="BE366" i="30"/>
  <c r="BE367" i="30"/>
  <c r="BE368" i="30"/>
  <c r="BE369" i="30"/>
  <c r="BE370" i="30"/>
  <c r="BE371" i="30"/>
  <c r="BE372" i="30"/>
  <c r="BE373" i="30"/>
  <c r="BE374" i="30"/>
  <c r="BE375" i="30"/>
  <c r="BE376" i="30"/>
  <c r="BE377" i="30"/>
  <c r="BE378" i="30"/>
  <c r="BE379" i="30"/>
  <c r="BE380" i="30"/>
  <c r="BE381" i="30"/>
  <c r="BE382" i="30"/>
  <c r="BE383" i="30"/>
  <c r="BE384" i="30"/>
  <c r="BE385" i="30"/>
  <c r="BE386" i="30"/>
  <c r="BE387" i="30"/>
  <c r="BE388" i="30"/>
  <c r="BE389" i="30"/>
  <c r="BE390" i="30"/>
  <c r="BE391" i="30"/>
  <c r="BE392" i="30"/>
  <c r="BE393" i="30"/>
  <c r="BE394" i="30"/>
  <c r="BE395" i="30"/>
  <c r="BE396" i="30"/>
  <c r="BE397" i="30"/>
  <c r="BE398" i="30"/>
  <c r="BE399" i="30"/>
  <c r="BE400" i="30"/>
  <c r="BE401" i="30"/>
  <c r="BE402" i="30"/>
  <c r="BE403" i="30"/>
  <c r="BE404" i="30"/>
  <c r="BE405" i="30"/>
  <c r="BE406" i="30"/>
  <c r="BE407" i="30"/>
  <c r="BE408" i="30"/>
  <c r="BE409" i="30"/>
  <c r="BE410" i="30"/>
  <c r="BE411" i="30"/>
  <c r="BE412" i="30"/>
  <c r="BE413" i="30"/>
  <c r="BE414" i="30"/>
  <c r="BE415" i="30"/>
  <c r="BE416" i="30"/>
  <c r="BE417" i="30"/>
  <c r="BE418" i="30"/>
  <c r="BE419" i="30"/>
  <c r="BE420" i="30"/>
  <c r="BE421" i="30"/>
  <c r="BE422" i="30"/>
  <c r="BE423" i="30"/>
  <c r="BE424" i="30"/>
  <c r="BE425" i="30"/>
  <c r="BE426" i="30"/>
  <c r="BE427" i="30"/>
  <c r="BE428" i="30"/>
  <c r="BE429" i="30"/>
  <c r="BE430" i="30"/>
  <c r="BE431" i="30"/>
  <c r="BE432" i="30"/>
  <c r="BE433" i="30"/>
  <c r="BE434" i="30"/>
  <c r="BE435" i="30"/>
  <c r="BE436" i="30"/>
  <c r="BE437" i="30"/>
  <c r="BE438" i="30"/>
  <c r="BE439" i="30"/>
  <c r="BE440" i="30"/>
  <c r="BE441" i="30"/>
  <c r="BE442" i="30"/>
  <c r="BE443" i="30"/>
  <c r="BE444" i="30"/>
  <c r="BE445" i="30"/>
  <c r="BE446" i="30"/>
  <c r="BE447" i="30"/>
  <c r="BE448" i="30"/>
  <c r="BE449" i="30"/>
  <c r="BE450" i="30"/>
  <c r="BE451" i="30"/>
  <c r="BE452" i="30"/>
  <c r="BE453" i="30"/>
  <c r="BE454" i="30"/>
  <c r="BE455" i="30"/>
  <c r="BE456" i="30"/>
  <c r="BE457" i="30"/>
  <c r="BE458" i="30"/>
  <c r="BE459" i="30"/>
  <c r="BE460" i="30"/>
  <c r="BE461" i="30"/>
  <c r="BE462" i="30"/>
  <c r="BE463" i="30"/>
  <c r="BE464" i="30"/>
  <c r="BE465" i="30"/>
  <c r="BE466" i="30"/>
  <c r="BE467" i="30"/>
  <c r="BE468" i="30"/>
  <c r="BE469" i="30"/>
  <c r="BE470" i="30"/>
  <c r="BE471" i="30"/>
  <c r="BE472" i="30"/>
  <c r="BE473" i="30"/>
  <c r="BE474" i="30"/>
  <c r="BE475" i="30"/>
  <c r="BE476" i="30"/>
  <c r="BE477" i="30"/>
  <c r="BE478" i="30"/>
  <c r="BE479" i="30"/>
  <c r="BE480" i="30"/>
  <c r="BE481" i="30"/>
  <c r="BE482" i="30"/>
  <c r="BE483" i="30"/>
  <c r="BE484" i="30"/>
  <c r="BE485" i="30"/>
  <c r="BE486" i="30"/>
  <c r="BE487" i="30"/>
  <c r="BE488" i="30"/>
  <c r="BE489" i="30"/>
  <c r="BE490" i="30"/>
  <c r="BE491" i="30"/>
  <c r="BE492" i="30"/>
  <c r="BE493" i="30"/>
  <c r="BE494" i="30"/>
  <c r="BE495" i="30"/>
  <c r="BE496" i="30"/>
  <c r="BE497" i="30"/>
  <c r="BE498" i="30"/>
  <c r="BE499" i="30"/>
  <c r="BE500" i="30"/>
  <c r="BE501" i="30"/>
  <c r="BE502" i="30"/>
  <c r="BE503" i="30"/>
  <c r="BE504" i="30"/>
  <c r="BE505" i="30"/>
  <c r="BE506" i="30"/>
  <c r="BE507" i="30"/>
  <c r="BE508" i="30"/>
  <c r="BE509" i="30"/>
  <c r="BE510" i="30"/>
  <c r="BE511" i="30"/>
  <c r="BE512" i="30"/>
  <c r="BE513" i="30"/>
  <c r="BE514" i="30"/>
  <c r="BE515" i="30"/>
  <c r="BE516" i="30"/>
  <c r="BE517" i="30"/>
  <c r="BE518" i="30"/>
  <c r="BE519" i="30"/>
  <c r="BE520" i="30"/>
  <c r="BE521" i="30"/>
  <c r="BE522" i="30"/>
  <c r="BE523" i="30"/>
  <c r="BE524" i="30"/>
  <c r="BE525" i="30"/>
  <c r="BE526" i="30"/>
  <c r="BE527" i="30"/>
  <c r="BE528" i="30"/>
  <c r="BE529" i="30"/>
  <c r="BE530" i="30"/>
  <c r="BE531" i="30"/>
  <c r="BE532" i="30"/>
  <c r="BE533" i="30"/>
  <c r="BE534" i="30"/>
  <c r="BE535" i="30"/>
  <c r="BE536" i="30"/>
  <c r="BE537" i="30"/>
  <c r="BE538" i="30"/>
  <c r="BE539" i="30"/>
  <c r="BE540" i="30"/>
  <c r="BE541" i="30"/>
  <c r="BE542" i="30"/>
  <c r="BE543" i="30"/>
  <c r="BE544" i="30"/>
  <c r="BE545" i="30"/>
  <c r="BE546" i="30"/>
  <c r="BE547" i="30"/>
  <c r="BE548" i="30"/>
  <c r="BE549" i="30"/>
  <c r="BE550" i="30"/>
  <c r="BE551" i="30"/>
  <c r="BE552" i="30"/>
  <c r="BE553" i="30"/>
  <c r="BE554" i="30"/>
  <c r="BE555" i="30"/>
  <c r="BE556" i="30"/>
  <c r="BE557" i="30"/>
  <c r="BE558" i="30"/>
  <c r="BE559" i="30"/>
  <c r="BE560" i="30"/>
  <c r="BE561" i="30"/>
  <c r="BE562" i="30"/>
  <c r="BE563" i="30"/>
  <c r="BE564" i="30"/>
  <c r="BE565" i="30"/>
  <c r="BE566" i="30"/>
  <c r="BE567" i="30"/>
  <c r="BE568" i="30"/>
  <c r="BE569" i="30"/>
  <c r="BE570" i="30"/>
  <c r="BE571" i="30"/>
  <c r="BE572" i="30"/>
  <c r="BE573" i="30"/>
  <c r="BE574" i="30"/>
  <c r="BE575" i="30"/>
  <c r="BE576" i="30"/>
  <c r="BE577" i="30"/>
  <c r="BE578" i="30"/>
  <c r="BE579" i="30"/>
  <c r="BE580" i="30"/>
  <c r="BE581" i="30"/>
  <c r="BE582" i="30"/>
  <c r="BE583" i="30"/>
  <c r="BE584" i="30"/>
  <c r="BE585" i="30"/>
  <c r="BE586" i="30"/>
  <c r="BE587" i="30"/>
  <c r="BE588" i="30"/>
  <c r="BE589" i="30"/>
  <c r="BE590" i="30"/>
  <c r="BE591" i="30"/>
  <c r="BE592" i="30"/>
  <c r="BE593" i="30"/>
  <c r="BE594" i="30"/>
  <c r="BE595" i="30"/>
  <c r="BE596" i="30"/>
  <c r="BE597" i="30"/>
  <c r="BE598" i="30"/>
  <c r="BE599" i="30"/>
  <c r="BE600" i="30"/>
  <c r="BE601" i="30"/>
  <c r="BE602" i="30"/>
  <c r="BE603" i="30"/>
  <c r="BE604" i="30"/>
  <c r="BE605" i="30"/>
  <c r="BE606" i="30"/>
  <c r="BE607" i="30"/>
  <c r="BE608" i="30"/>
  <c r="BE609" i="30"/>
  <c r="BE610" i="30"/>
  <c r="BE611" i="30"/>
  <c r="BE612" i="30"/>
  <c r="BE613" i="30"/>
  <c r="BE614" i="30"/>
  <c r="BE615" i="30"/>
  <c r="BE616" i="30"/>
  <c r="BE617" i="30"/>
  <c r="BE618" i="30"/>
  <c r="BE619" i="30"/>
  <c r="BE620" i="30"/>
  <c r="BE621" i="30"/>
  <c r="BE622" i="30"/>
  <c r="BE623" i="30"/>
  <c r="BE624" i="30"/>
  <c r="BE625" i="30"/>
  <c r="BE626" i="30"/>
  <c r="BE627" i="30"/>
  <c r="BE628" i="30"/>
  <c r="BE629" i="30"/>
  <c r="BE630" i="30"/>
  <c r="BE631" i="30"/>
  <c r="BE632" i="30"/>
  <c r="BE633" i="30"/>
  <c r="BE634" i="30"/>
  <c r="BE635" i="30"/>
  <c r="BE636" i="30"/>
  <c r="BE637" i="30"/>
  <c r="BE638" i="30"/>
  <c r="BE639" i="30"/>
  <c r="BE640" i="30"/>
  <c r="BE641" i="30"/>
  <c r="BE642" i="30"/>
  <c r="BE643" i="30"/>
  <c r="BE644" i="30"/>
  <c r="BE645" i="30"/>
  <c r="BE646" i="30"/>
  <c r="BE647" i="30"/>
  <c r="BE648" i="30"/>
  <c r="BE649" i="30"/>
  <c r="BE650" i="30"/>
  <c r="BE651" i="30"/>
  <c r="BE652" i="30"/>
  <c r="BE653" i="30"/>
  <c r="BE654" i="30"/>
  <c r="BE655" i="30"/>
  <c r="BE656" i="30"/>
  <c r="BE657" i="30"/>
  <c r="BE658" i="30"/>
  <c r="BE659" i="30"/>
  <c r="BE660" i="30"/>
  <c r="BE661" i="30"/>
  <c r="BE662" i="30"/>
  <c r="BE663" i="30"/>
  <c r="BE664" i="30"/>
  <c r="BE665" i="30"/>
  <c r="BE666" i="30"/>
  <c r="BE667" i="30"/>
  <c r="BE668" i="30"/>
  <c r="BE669" i="30"/>
  <c r="BE670" i="30"/>
  <c r="BE671" i="30"/>
  <c r="BE672" i="30"/>
  <c r="BE673" i="30"/>
  <c r="BE674" i="30"/>
  <c r="BE675" i="30"/>
  <c r="BE676" i="30"/>
  <c r="BE677" i="30"/>
  <c r="BE678" i="30"/>
  <c r="BE679" i="30"/>
  <c r="BE680" i="30"/>
  <c r="BE681" i="30"/>
  <c r="BE682" i="30"/>
  <c r="BE683" i="30"/>
  <c r="BE684" i="30"/>
  <c r="BE685" i="30"/>
  <c r="BE686" i="30"/>
  <c r="BE687" i="30"/>
  <c r="BE688" i="30"/>
  <c r="BE689" i="30"/>
  <c r="BE690" i="30"/>
  <c r="BE691" i="30"/>
  <c r="BE692" i="30"/>
  <c r="BE693" i="30"/>
  <c r="BE694" i="30"/>
  <c r="BE695" i="30"/>
  <c r="BE696" i="30"/>
  <c r="BE697" i="30"/>
  <c r="BE698" i="30"/>
  <c r="BE699" i="30"/>
  <c r="BE700" i="30"/>
  <c r="BE701" i="30"/>
  <c r="BE702" i="30"/>
  <c r="BE703" i="30"/>
  <c r="BE704" i="30"/>
  <c r="BE705" i="30"/>
  <c r="BE706" i="30"/>
  <c r="BE707" i="30"/>
  <c r="BE708" i="30"/>
  <c r="BE709" i="30"/>
  <c r="BE710" i="30"/>
  <c r="BE711" i="30"/>
  <c r="BE712" i="30"/>
  <c r="BE713" i="30"/>
  <c r="BE714" i="30"/>
  <c r="BE715" i="30"/>
  <c r="BE716" i="30"/>
  <c r="BE717" i="30"/>
  <c r="BE718" i="30"/>
  <c r="BE719" i="30"/>
  <c r="BE720" i="30"/>
  <c r="BE721" i="30"/>
  <c r="BE722" i="30"/>
  <c r="BE723" i="30"/>
  <c r="BE724" i="30"/>
  <c r="BE725" i="30"/>
  <c r="BE726" i="30"/>
  <c r="BE727" i="30"/>
  <c r="BE728" i="30"/>
  <c r="BE729" i="30"/>
  <c r="BE730" i="30"/>
  <c r="BE731" i="30"/>
  <c r="BE732" i="30"/>
  <c r="BE733" i="30"/>
  <c r="BE734" i="30"/>
  <c r="BE735" i="30"/>
  <c r="BE736" i="30"/>
  <c r="BE737" i="30"/>
  <c r="BE738" i="30"/>
  <c r="BE739" i="30"/>
  <c r="BE740" i="30"/>
  <c r="BE741" i="30"/>
  <c r="BE742" i="30"/>
  <c r="BE743" i="30"/>
  <c r="BE744" i="30"/>
  <c r="BE745" i="30"/>
  <c r="BE746" i="30"/>
  <c r="BE747" i="30"/>
  <c r="BE748" i="30"/>
  <c r="BE749" i="30"/>
  <c r="BE750" i="30"/>
  <c r="BE751" i="30"/>
  <c r="BE752" i="30"/>
  <c r="BE753" i="30"/>
  <c r="BE754" i="30"/>
  <c r="BE755" i="30"/>
  <c r="BE756" i="30"/>
  <c r="BE757" i="30"/>
  <c r="BE758" i="30"/>
  <c r="BE759" i="30"/>
  <c r="BE760" i="30"/>
  <c r="BE761" i="30"/>
  <c r="BE762" i="30"/>
  <c r="BE763" i="30"/>
  <c r="BE764" i="30"/>
  <c r="BE765" i="30"/>
  <c r="BE766" i="30"/>
  <c r="BE767" i="30"/>
  <c r="BE768" i="30"/>
  <c r="BE769" i="30"/>
  <c r="BE770" i="30"/>
  <c r="BE771" i="30"/>
  <c r="BE772" i="30"/>
  <c r="BE773" i="30"/>
  <c r="BE774" i="30"/>
  <c r="BE775" i="30"/>
  <c r="BE776" i="30"/>
  <c r="BE777" i="30"/>
  <c r="BE778" i="30"/>
  <c r="BE779" i="30"/>
  <c r="BE780" i="30"/>
  <c r="BE781" i="30"/>
  <c r="BE782" i="30"/>
  <c r="BE783" i="30"/>
  <c r="BE784" i="30"/>
  <c r="BE785" i="30"/>
  <c r="BE786" i="30"/>
  <c r="BE787" i="30"/>
  <c r="BE788" i="30"/>
  <c r="BE789" i="30"/>
  <c r="BE790" i="30"/>
  <c r="BE791" i="30"/>
  <c r="BE792" i="30"/>
  <c r="BE793" i="30"/>
  <c r="BE794" i="30"/>
  <c r="BE795" i="30"/>
  <c r="BE796" i="30"/>
  <c r="BE797" i="30"/>
  <c r="BE798" i="30"/>
  <c r="BE799" i="30"/>
  <c r="BE800" i="30"/>
  <c r="BE801" i="30"/>
  <c r="BE802" i="30"/>
  <c r="BE803" i="30"/>
  <c r="BE804" i="30"/>
  <c r="BE805" i="30"/>
  <c r="BE806" i="30"/>
  <c r="BE807" i="30"/>
  <c r="BE808" i="30"/>
  <c r="BE809" i="30"/>
  <c r="BE810" i="30"/>
  <c r="BE811" i="30"/>
  <c r="BE812" i="30"/>
  <c r="BE813" i="30"/>
  <c r="BE814" i="30"/>
  <c r="BE815" i="30"/>
  <c r="BE816" i="30"/>
  <c r="BE817" i="30"/>
  <c r="BE818" i="30"/>
  <c r="BE819" i="30"/>
  <c r="BE820" i="30"/>
  <c r="BE821" i="30"/>
  <c r="BE822" i="30"/>
  <c r="BE823" i="30"/>
  <c r="BE824" i="30"/>
  <c r="BE825" i="30"/>
  <c r="BE826" i="30"/>
  <c r="BE827" i="30"/>
  <c r="BE828" i="30"/>
  <c r="BE829" i="30"/>
  <c r="BE830" i="30"/>
  <c r="BE831" i="30"/>
  <c r="BE832" i="30"/>
  <c r="BE833" i="30"/>
  <c r="BE834" i="30"/>
  <c r="BE835" i="30"/>
  <c r="BE836" i="30"/>
  <c r="BE837" i="30"/>
  <c r="BE838" i="30"/>
  <c r="BE839" i="30"/>
  <c r="BE840" i="30"/>
  <c r="BE841" i="30"/>
  <c r="BE842" i="30"/>
  <c r="BE843" i="30"/>
  <c r="BE844" i="30"/>
  <c r="BE845" i="30"/>
  <c r="BE846" i="30"/>
  <c r="BE847" i="30"/>
  <c r="BE848" i="30"/>
  <c r="BE849" i="30"/>
  <c r="BE850" i="30"/>
  <c r="BE851" i="30"/>
  <c r="BE852" i="30"/>
  <c r="BE853" i="30"/>
  <c r="BE854" i="30"/>
  <c r="BE855" i="30"/>
  <c r="BE856" i="30"/>
  <c r="BE857" i="30"/>
  <c r="BE858" i="30"/>
  <c r="BE859" i="30"/>
  <c r="BE860" i="30"/>
  <c r="BE861" i="30"/>
  <c r="BE862" i="30"/>
  <c r="BE863" i="30"/>
  <c r="BE864" i="30"/>
  <c r="BE865" i="30"/>
  <c r="BE866" i="30"/>
  <c r="BE867" i="30"/>
  <c r="BE868" i="30"/>
  <c r="BE869" i="30"/>
  <c r="BE870" i="30"/>
  <c r="BE871" i="30"/>
  <c r="BE872" i="30"/>
  <c r="BE873" i="30"/>
  <c r="BE874" i="30"/>
  <c r="BE875" i="30"/>
  <c r="BE876" i="30"/>
  <c r="BE877" i="30"/>
  <c r="BE878" i="30"/>
  <c r="BE879" i="30"/>
  <c r="BE880" i="30"/>
  <c r="BE881" i="30"/>
  <c r="BE882" i="30"/>
  <c r="BE883" i="30"/>
  <c r="BE884" i="30"/>
  <c r="BE885" i="30"/>
  <c r="BE886" i="30"/>
  <c r="BE887" i="30"/>
  <c r="BE888" i="30"/>
  <c r="BE889" i="30"/>
  <c r="BE890" i="30"/>
  <c r="BE891" i="30"/>
  <c r="BE892" i="30"/>
  <c r="BE893" i="30"/>
  <c r="BE894" i="30"/>
  <c r="BE895" i="30"/>
  <c r="BE896" i="30"/>
  <c r="BE897" i="30"/>
  <c r="BE898" i="30"/>
  <c r="BE899" i="30"/>
  <c r="BE900" i="30"/>
  <c r="BE901" i="30"/>
  <c r="BE902" i="30"/>
  <c r="BE903" i="30"/>
  <c r="BE904" i="30"/>
  <c r="BE905" i="30"/>
  <c r="BE906" i="30"/>
  <c r="BE907" i="30"/>
  <c r="BE908" i="30"/>
  <c r="BE909" i="30"/>
  <c r="BE910" i="30"/>
  <c r="BE911" i="30"/>
  <c r="BE912" i="30"/>
  <c r="BE913" i="30"/>
  <c r="BE914" i="30"/>
  <c r="BE915" i="30"/>
  <c r="BE916" i="30"/>
  <c r="BE917" i="30"/>
  <c r="BE918" i="30"/>
  <c r="BE919" i="30"/>
  <c r="BE920" i="30"/>
  <c r="BE921" i="30"/>
  <c r="BE922" i="30"/>
  <c r="BE923" i="30"/>
  <c r="BE924" i="30"/>
  <c r="BE925" i="30"/>
  <c r="BE926" i="30"/>
  <c r="BE927" i="30"/>
  <c r="BE928" i="30"/>
  <c r="BE929" i="30"/>
  <c r="BE930" i="30"/>
  <c r="BE931" i="30"/>
  <c r="BE932" i="30"/>
  <c r="BE933" i="30"/>
  <c r="BE934" i="30"/>
  <c r="BE935" i="30"/>
  <c r="BE936" i="30"/>
  <c r="BE937" i="30"/>
  <c r="BE938" i="30"/>
  <c r="BE939" i="30"/>
  <c r="BE940" i="30"/>
  <c r="BE941" i="30"/>
  <c r="BE942" i="30"/>
  <c r="BE943" i="30"/>
  <c r="BE944" i="30"/>
  <c r="BE945" i="30"/>
  <c r="BE946" i="30"/>
  <c r="BE947" i="30"/>
  <c r="BE948" i="30"/>
  <c r="BE949" i="30"/>
  <c r="BE950" i="30"/>
  <c r="BE951" i="30"/>
  <c r="BE952" i="30"/>
  <c r="BE953" i="30"/>
  <c r="BE954" i="30"/>
  <c r="BE955" i="30"/>
  <c r="BE956" i="30"/>
  <c r="BE957" i="30"/>
  <c r="BE958" i="30"/>
  <c r="BE959" i="30"/>
  <c r="BE960" i="30"/>
  <c r="BE961" i="30"/>
  <c r="BE962" i="30"/>
  <c r="BE963" i="30"/>
  <c r="BE964" i="30"/>
  <c r="BE965" i="30"/>
  <c r="BE966" i="30"/>
  <c r="BE967" i="30"/>
  <c r="BE968" i="30"/>
  <c r="BE969" i="30"/>
  <c r="BE970" i="30"/>
  <c r="BE971" i="30"/>
  <c r="BE972" i="30"/>
  <c r="BE973" i="30"/>
  <c r="BE974" i="30"/>
  <c r="BE975" i="30"/>
  <c r="BE976" i="30"/>
  <c r="BE977" i="30"/>
  <c r="BE978" i="30"/>
  <c r="BE979" i="30"/>
  <c r="BE980" i="30"/>
  <c r="BE981" i="30"/>
  <c r="BE982" i="30"/>
  <c r="BE983" i="30"/>
  <c r="BE984" i="30"/>
  <c r="BE985" i="30"/>
  <c r="BE986" i="30"/>
  <c r="BE987" i="30"/>
  <c r="BE988" i="30"/>
  <c r="BE989" i="30"/>
  <c r="BE990" i="30"/>
  <c r="BE991" i="30"/>
  <c r="BE992" i="30"/>
  <c r="BE993" i="30"/>
  <c r="BE994" i="30"/>
  <c r="BE995" i="30"/>
  <c r="BE996" i="30"/>
  <c r="BE997" i="30"/>
  <c r="BE998" i="30"/>
  <c r="BE999" i="30"/>
  <c r="BE1000" i="30"/>
  <c r="BE1001" i="30"/>
  <c r="BE1002" i="30"/>
  <c r="BE1003" i="30"/>
  <c r="BE1004" i="30"/>
  <c r="BE1005" i="30"/>
  <c r="BE1006" i="30"/>
  <c r="BE1007" i="30"/>
  <c r="BE1008" i="30"/>
  <c r="BE1009" i="30"/>
  <c r="BE1010" i="30"/>
  <c r="BE1011" i="30"/>
  <c r="BE1012" i="30"/>
  <c r="BE1013" i="30"/>
  <c r="BE1014" i="30"/>
  <c r="BE1015" i="30"/>
  <c r="BE1016" i="30"/>
  <c r="BE1017" i="30"/>
  <c r="BE1018" i="30"/>
  <c r="BE1019" i="30"/>
  <c r="BE1020" i="30"/>
  <c r="BE1021" i="30"/>
  <c r="BE1022" i="30"/>
  <c r="BE1023" i="30"/>
  <c r="BE1024" i="30"/>
  <c r="BE1025" i="30"/>
  <c r="BE1026" i="30"/>
  <c r="BE1027" i="30"/>
  <c r="BE1028" i="30"/>
  <c r="BE1029" i="30"/>
  <c r="BE1030" i="30"/>
  <c r="BE1031" i="30"/>
  <c r="BE1032" i="30"/>
  <c r="BE1033" i="30"/>
  <c r="BE1034" i="30"/>
  <c r="BE1035" i="30"/>
  <c r="BE1036" i="30"/>
  <c r="BE1037" i="30"/>
  <c r="BE1038" i="30"/>
  <c r="BE1039" i="30"/>
  <c r="BE1040" i="30"/>
  <c r="BE1041" i="30"/>
  <c r="BE1042" i="30"/>
  <c r="BE1043" i="30"/>
  <c r="BE1044" i="30"/>
  <c r="BE1045" i="30"/>
  <c r="BE1046" i="30"/>
  <c r="BE1047" i="30"/>
  <c r="BE1048" i="30"/>
  <c r="BE1049" i="30"/>
  <c r="BE1050" i="30"/>
  <c r="BE1051" i="30"/>
  <c r="BE1052" i="30"/>
  <c r="BE1053" i="30"/>
  <c r="BE1054" i="30"/>
  <c r="BE1055" i="30"/>
  <c r="BE1056" i="30"/>
  <c r="BE1057" i="30"/>
  <c r="BE1058" i="30"/>
  <c r="BE1059" i="30"/>
  <c r="BE1060" i="30"/>
  <c r="BE1061" i="30"/>
  <c r="BE1062" i="30"/>
  <c r="BE1063" i="30"/>
  <c r="BE1064" i="30"/>
  <c r="BE1065" i="30"/>
  <c r="BE1066" i="30"/>
  <c r="BE1067" i="30"/>
  <c r="BE1068" i="30"/>
  <c r="BE1069" i="30"/>
  <c r="BE1070" i="30"/>
  <c r="BE1071" i="30"/>
  <c r="BE1072" i="30"/>
  <c r="BE1073" i="30"/>
  <c r="BE1074" i="30"/>
  <c r="BE1075" i="30"/>
  <c r="BE1076" i="30"/>
  <c r="BE1077" i="30"/>
  <c r="BE1078" i="30"/>
  <c r="BE1079" i="30"/>
  <c r="BE1080" i="30"/>
  <c r="BE1081" i="30"/>
  <c r="BE1082" i="30"/>
  <c r="BE1083" i="30"/>
  <c r="BE1084" i="30"/>
  <c r="BE1085" i="30"/>
  <c r="BE1086" i="30"/>
  <c r="BE1087" i="30"/>
  <c r="BE1088" i="30"/>
  <c r="BE1089" i="30"/>
  <c r="BE1090" i="30"/>
  <c r="BE1091" i="30"/>
  <c r="BE1092" i="30"/>
  <c r="BE1093" i="30"/>
  <c r="BE1094" i="30"/>
  <c r="BE1095" i="30"/>
  <c r="BE1096" i="30"/>
  <c r="BE1097" i="30"/>
  <c r="BE1098" i="30"/>
  <c r="BE1099" i="30"/>
  <c r="BE1100" i="30"/>
  <c r="BE1101" i="30"/>
  <c r="BE1102" i="30"/>
  <c r="BE1103" i="30"/>
  <c r="BE1104" i="30"/>
  <c r="BE1105" i="30"/>
  <c r="BE1106" i="30"/>
  <c r="BE1107" i="30"/>
  <c r="BE1108" i="30"/>
  <c r="BE1109" i="30"/>
  <c r="BE1110" i="30"/>
  <c r="BE1111" i="30"/>
  <c r="BE1112" i="30"/>
  <c r="BE1113" i="30"/>
  <c r="BE1114" i="30"/>
  <c r="BE1115" i="30"/>
  <c r="BE1116" i="30"/>
  <c r="BE1117" i="30"/>
  <c r="BE1118" i="30"/>
  <c r="BE1119" i="30"/>
  <c r="BE1120" i="30"/>
  <c r="BE1121" i="30"/>
  <c r="BE1122" i="30"/>
  <c r="BE1123" i="30"/>
  <c r="BE1124" i="30"/>
  <c r="BE1125" i="30"/>
  <c r="BE1126" i="30"/>
  <c r="BE1127" i="30"/>
  <c r="BE1128" i="30"/>
  <c r="BE1129" i="30"/>
  <c r="BE1130" i="30"/>
  <c r="BE1131" i="30"/>
  <c r="BE1132" i="30"/>
  <c r="BE1133" i="30"/>
  <c r="BE1134" i="30"/>
  <c r="BE1135" i="30"/>
  <c r="BE1136" i="30"/>
  <c r="BE1137" i="30"/>
  <c r="BE1138" i="30"/>
  <c r="BE1139" i="30"/>
  <c r="BE1140" i="30"/>
  <c r="BE1141" i="30"/>
  <c r="BE1142" i="30"/>
  <c r="BE1143" i="30"/>
  <c r="BE1144" i="30"/>
  <c r="BE1145" i="30"/>
  <c r="BE1146" i="30"/>
  <c r="BE1147" i="30"/>
  <c r="BE1148" i="30"/>
  <c r="BE1149" i="30"/>
  <c r="BE1150" i="30"/>
  <c r="BE1151" i="30"/>
  <c r="BE1152" i="30"/>
  <c r="BE1153" i="30"/>
  <c r="BE1154" i="30"/>
  <c r="BE1155" i="30"/>
  <c r="BE1156" i="30"/>
  <c r="BE1157" i="30"/>
  <c r="BE1158" i="30"/>
  <c r="BE1159" i="30"/>
  <c r="BE1160" i="30"/>
  <c r="BE1161" i="30"/>
  <c r="BE1162" i="30"/>
  <c r="BE1163" i="30"/>
  <c r="BE1164" i="30"/>
  <c r="BE1165" i="30"/>
  <c r="BE1166" i="30"/>
  <c r="BE1167" i="30"/>
  <c r="BE1168" i="30"/>
  <c r="BE1169" i="30"/>
  <c r="BE1170" i="30"/>
  <c r="BE1171" i="30"/>
  <c r="BE1172" i="30"/>
  <c r="BE1173" i="30"/>
  <c r="BE1174" i="30"/>
  <c r="BE1175" i="30"/>
  <c r="BE1176" i="30"/>
  <c r="BE1177" i="30"/>
  <c r="BE1178" i="30"/>
  <c r="BE1179" i="30"/>
  <c r="BE1180" i="30"/>
  <c r="BE1181" i="30"/>
  <c r="BE1182" i="30"/>
  <c r="BE1183" i="30"/>
  <c r="BE1184" i="30"/>
  <c r="BE1185" i="30"/>
  <c r="BE1186" i="30"/>
  <c r="BE1187" i="30"/>
  <c r="BE1188" i="30"/>
  <c r="BE1189" i="30"/>
  <c r="BE1190" i="30"/>
  <c r="BE1191" i="30"/>
  <c r="BE1192" i="30"/>
  <c r="BE1193" i="30"/>
  <c r="BE1194" i="30"/>
  <c r="BE1195" i="30"/>
  <c r="BE1196" i="30"/>
  <c r="BE1197" i="30"/>
  <c r="BE1198" i="30"/>
  <c r="BE1199" i="30"/>
  <c r="BE1200" i="30"/>
  <c r="BE1201" i="30"/>
  <c r="BE1202" i="30"/>
  <c r="BE1203" i="30"/>
  <c r="BE1204" i="30"/>
  <c r="BE1205" i="30"/>
  <c r="BE1206" i="30"/>
  <c r="BE1207" i="30"/>
  <c r="BE1208" i="30"/>
  <c r="BE1209" i="30"/>
  <c r="BE1210" i="30"/>
  <c r="BE1211" i="30"/>
  <c r="BE1212" i="30"/>
  <c r="BE1213" i="30"/>
  <c r="BE1214" i="30"/>
  <c r="BE1215" i="30"/>
  <c r="BE1216" i="30"/>
  <c r="BE1217" i="30"/>
  <c r="BE1218" i="30"/>
  <c r="BE1219" i="30"/>
  <c r="BE1220" i="30"/>
  <c r="BE1221" i="30"/>
  <c r="BE1222" i="30"/>
  <c r="BE1223" i="30"/>
  <c r="BE1224" i="30"/>
  <c r="BE1225" i="30"/>
  <c r="BE1226" i="30"/>
  <c r="BE1227" i="30"/>
  <c r="BE1228" i="30"/>
  <c r="BE1229" i="30"/>
  <c r="BE1230" i="30"/>
  <c r="BE31" i="30"/>
  <c r="BD248" i="30"/>
  <c r="BD249" i="30"/>
  <c r="BD250" i="30"/>
  <c r="BD251" i="30"/>
  <c r="BD252" i="30"/>
  <c r="BD253" i="30"/>
  <c r="BD254" i="30"/>
  <c r="BD255" i="30"/>
  <c r="BD256" i="30"/>
  <c r="BD257" i="30"/>
  <c r="BD258" i="30"/>
  <c r="BD259" i="30"/>
  <c r="BD260" i="30"/>
  <c r="BD261" i="30"/>
  <c r="BD262" i="30"/>
  <c r="BD263" i="30"/>
  <c r="BD264" i="30"/>
  <c r="BD265" i="30"/>
  <c r="BD266" i="30"/>
  <c r="BD267" i="30"/>
  <c r="BD268" i="30"/>
  <c r="BD269" i="30"/>
  <c r="BD270" i="30"/>
  <c r="BD271" i="30"/>
  <c r="BD272" i="30"/>
  <c r="BD273" i="30"/>
  <c r="BD274" i="30"/>
  <c r="BD275" i="30"/>
  <c r="BD276" i="30"/>
  <c r="BD277" i="30"/>
  <c r="BD278" i="30"/>
  <c r="BD279" i="30"/>
  <c r="BD280" i="30"/>
  <c r="BD281" i="30"/>
  <c r="BD282" i="30"/>
  <c r="BD283" i="30"/>
  <c r="BD284" i="30"/>
  <c r="BD285" i="30"/>
  <c r="BD286" i="30"/>
  <c r="BD287" i="30"/>
  <c r="BD288" i="30"/>
  <c r="BD289" i="30"/>
  <c r="BD290" i="30"/>
  <c r="BD291" i="30"/>
  <c r="BD292" i="30"/>
  <c r="BD293" i="30"/>
  <c r="BD294" i="30"/>
  <c r="BD295" i="30"/>
  <c r="BD296" i="30"/>
  <c r="BD297" i="30"/>
  <c r="BD298" i="30"/>
  <c r="BD299" i="30"/>
  <c r="BD300" i="30"/>
  <c r="BD301" i="30"/>
  <c r="BD302" i="30"/>
  <c r="BD303" i="30"/>
  <c r="BD304" i="30"/>
  <c r="BD305" i="30"/>
  <c r="BD306" i="30"/>
  <c r="BD307" i="30"/>
  <c r="BD308" i="30"/>
  <c r="BD309" i="30"/>
  <c r="BD310" i="30"/>
  <c r="BD311" i="30"/>
  <c r="BD312" i="30"/>
  <c r="BD313" i="30"/>
  <c r="BD314" i="30"/>
  <c r="BD315" i="30"/>
  <c r="BD316" i="30"/>
  <c r="BD317" i="30"/>
  <c r="BD318" i="30"/>
  <c r="BD319" i="30"/>
  <c r="BD320" i="30"/>
  <c r="BD321" i="30"/>
  <c r="BD322" i="30"/>
  <c r="BD323" i="30"/>
  <c r="BD324" i="30"/>
  <c r="BD325" i="30"/>
  <c r="BD326" i="30"/>
  <c r="BD327" i="30"/>
  <c r="BD328" i="30"/>
  <c r="BD329" i="30"/>
  <c r="BD330" i="30"/>
  <c r="BD331" i="30"/>
  <c r="BD332" i="30"/>
  <c r="BD333" i="30"/>
  <c r="BD334" i="30"/>
  <c r="BD335" i="30"/>
  <c r="BD336" i="30"/>
  <c r="BD337" i="30"/>
  <c r="BD338" i="30"/>
  <c r="BD339" i="30"/>
  <c r="BD340" i="30"/>
  <c r="BD341" i="30"/>
  <c r="BD342" i="30"/>
  <c r="BD343" i="30"/>
  <c r="BD344" i="30"/>
  <c r="BD345" i="30"/>
  <c r="BD346" i="30"/>
  <c r="BD347" i="30"/>
  <c r="BD348" i="30"/>
  <c r="BD349" i="30"/>
  <c r="BD350" i="30"/>
  <c r="BD351" i="30"/>
  <c r="BD352" i="30"/>
  <c r="BD353" i="30"/>
  <c r="BD354" i="30"/>
  <c r="BD355" i="30"/>
  <c r="BD356" i="30"/>
  <c r="BD357" i="30"/>
  <c r="BD358" i="30"/>
  <c r="BD359" i="30"/>
  <c r="BD360" i="30"/>
  <c r="BD361" i="30"/>
  <c r="BD362" i="30"/>
  <c r="BD363" i="30"/>
  <c r="BD364" i="30"/>
  <c r="BD365" i="30"/>
  <c r="BD366" i="30"/>
  <c r="BD367" i="30"/>
  <c r="BD368" i="30"/>
  <c r="BD369" i="30"/>
  <c r="BD370" i="30"/>
  <c r="BD371" i="30"/>
  <c r="BD372" i="30"/>
  <c r="BD373" i="30"/>
  <c r="BD374" i="30"/>
  <c r="BD375" i="30"/>
  <c r="BD376" i="30"/>
  <c r="BD377" i="30"/>
  <c r="BD378" i="30"/>
  <c r="BD379" i="30"/>
  <c r="BD380" i="30"/>
  <c r="BD381" i="30"/>
  <c r="BD382" i="30"/>
  <c r="BD383" i="30"/>
  <c r="BD384" i="30"/>
  <c r="BD385" i="30"/>
  <c r="BD386" i="30"/>
  <c r="BD387" i="30"/>
  <c r="BD388" i="30"/>
  <c r="BD389" i="30"/>
  <c r="BD390" i="30"/>
  <c r="BD391" i="30"/>
  <c r="BD392" i="30"/>
  <c r="BD393" i="30"/>
  <c r="BD394" i="30"/>
  <c r="BD395" i="30"/>
  <c r="BD396" i="30"/>
  <c r="BD397" i="30"/>
  <c r="BD398" i="30"/>
  <c r="BD399" i="30"/>
  <c r="BD400" i="30"/>
  <c r="BD401" i="30"/>
  <c r="BD402" i="30"/>
  <c r="BD403" i="30"/>
  <c r="BD404" i="30"/>
  <c r="BD405" i="30"/>
  <c r="BD406" i="30"/>
  <c r="BD407" i="30"/>
  <c r="BD408" i="30"/>
  <c r="BD409" i="30"/>
  <c r="BD410" i="30"/>
  <c r="BD411" i="30"/>
  <c r="BD412" i="30"/>
  <c r="BD413" i="30"/>
  <c r="BD414" i="30"/>
  <c r="BD415" i="30"/>
  <c r="BD416" i="30"/>
  <c r="BD417" i="30"/>
  <c r="BD418" i="30"/>
  <c r="BD419" i="30"/>
  <c r="BD420" i="30"/>
  <c r="BD421" i="30"/>
  <c r="BD422" i="30"/>
  <c r="BD423" i="30"/>
  <c r="BD424" i="30"/>
  <c r="BD425" i="30"/>
  <c r="BD426" i="30"/>
  <c r="BD427" i="30"/>
  <c r="BD428" i="30"/>
  <c r="BD429" i="30"/>
  <c r="BD430" i="30"/>
  <c r="BD431" i="30"/>
  <c r="BD432" i="30"/>
  <c r="BD433" i="30"/>
  <c r="BD434" i="30"/>
  <c r="BD435" i="30"/>
  <c r="BD436" i="30"/>
  <c r="BD437" i="30"/>
  <c r="BD438" i="30"/>
  <c r="BD439" i="30"/>
  <c r="BD440" i="30"/>
  <c r="BD441" i="30"/>
  <c r="BD442" i="30"/>
  <c r="BD443" i="30"/>
  <c r="BD444" i="30"/>
  <c r="BD445" i="30"/>
  <c r="BD446" i="30"/>
  <c r="BD447" i="30"/>
  <c r="BD448" i="30"/>
  <c r="BD449" i="30"/>
  <c r="BD450" i="30"/>
  <c r="BD451" i="30"/>
  <c r="BD452" i="30"/>
  <c r="BD453" i="30"/>
  <c r="BD454" i="30"/>
  <c r="BD455" i="30"/>
  <c r="BD456" i="30"/>
  <c r="BD457" i="30"/>
  <c r="BD458" i="30"/>
  <c r="BD459" i="30"/>
  <c r="BD460" i="30"/>
  <c r="BD461" i="30"/>
  <c r="BD462" i="30"/>
  <c r="BD463" i="30"/>
  <c r="BD464" i="30"/>
  <c r="BD465" i="30"/>
  <c r="BD466" i="30"/>
  <c r="BD467" i="30"/>
  <c r="BD468" i="30"/>
  <c r="BD469" i="30"/>
  <c r="BD470" i="30"/>
  <c r="BD471" i="30"/>
  <c r="BD472" i="30"/>
  <c r="BD473" i="30"/>
  <c r="BD474" i="30"/>
  <c r="BD475" i="30"/>
  <c r="BD476" i="30"/>
  <c r="BD477" i="30"/>
  <c r="BD478" i="30"/>
  <c r="BD479" i="30"/>
  <c r="BD480" i="30"/>
  <c r="BD481" i="30"/>
  <c r="BD482" i="30"/>
  <c r="BD483" i="30"/>
  <c r="BD484" i="30"/>
  <c r="BD485" i="30"/>
  <c r="BD486" i="30"/>
  <c r="BD487" i="30"/>
  <c r="BD488" i="30"/>
  <c r="BD489" i="30"/>
  <c r="BD490" i="30"/>
  <c r="BD491" i="30"/>
  <c r="BD492" i="30"/>
  <c r="BD493" i="30"/>
  <c r="BD494" i="30"/>
  <c r="BD495" i="30"/>
  <c r="BD496" i="30"/>
  <c r="BD497" i="30"/>
  <c r="BD498" i="30"/>
  <c r="BD499" i="30"/>
  <c r="BD500" i="30"/>
  <c r="BD501" i="30"/>
  <c r="BD502" i="30"/>
  <c r="BD503" i="30"/>
  <c r="BD504" i="30"/>
  <c r="BD505" i="30"/>
  <c r="BD506" i="30"/>
  <c r="BD507" i="30"/>
  <c r="BD508" i="30"/>
  <c r="BD509" i="30"/>
  <c r="BD510" i="30"/>
  <c r="BD511" i="30"/>
  <c r="BD512" i="30"/>
  <c r="BD513" i="30"/>
  <c r="BD514" i="30"/>
  <c r="BD515" i="30"/>
  <c r="BD516" i="30"/>
  <c r="BD517" i="30"/>
  <c r="BD518" i="30"/>
  <c r="BD519" i="30"/>
  <c r="BD520" i="30"/>
  <c r="BD521" i="30"/>
  <c r="BD522" i="30"/>
  <c r="BD523" i="30"/>
  <c r="BD524" i="30"/>
  <c r="BD525" i="30"/>
  <c r="BD526" i="30"/>
  <c r="BD527" i="30"/>
  <c r="BD528" i="30"/>
  <c r="BD529" i="30"/>
  <c r="BD530" i="30"/>
  <c r="BD531" i="30"/>
  <c r="BD532" i="30"/>
  <c r="BD533" i="30"/>
  <c r="BD534" i="30"/>
  <c r="BD535" i="30"/>
  <c r="BD536" i="30"/>
  <c r="BD537" i="30"/>
  <c r="BD538" i="30"/>
  <c r="BD539" i="30"/>
  <c r="BD540" i="30"/>
  <c r="BD541" i="30"/>
  <c r="BD542" i="30"/>
  <c r="BD543" i="30"/>
  <c r="BD544" i="30"/>
  <c r="BD545" i="30"/>
  <c r="BD546" i="30"/>
  <c r="BD547" i="30"/>
  <c r="BD548" i="30"/>
  <c r="BD549" i="30"/>
  <c r="BD550" i="30"/>
  <c r="BD551" i="30"/>
  <c r="BD552" i="30"/>
  <c r="BD553" i="30"/>
  <c r="BD554" i="30"/>
  <c r="BD555" i="30"/>
  <c r="BD556" i="30"/>
  <c r="BD557" i="30"/>
  <c r="BD558" i="30"/>
  <c r="BD559" i="30"/>
  <c r="BD560" i="30"/>
  <c r="BD561" i="30"/>
  <c r="BD562" i="30"/>
  <c r="BD563" i="30"/>
  <c r="BD564" i="30"/>
  <c r="BD565" i="30"/>
  <c r="BD566" i="30"/>
  <c r="BD567" i="30"/>
  <c r="BD568" i="30"/>
  <c r="BD569" i="30"/>
  <c r="BD570" i="30"/>
  <c r="BD571" i="30"/>
  <c r="BD572" i="30"/>
  <c r="BD573" i="30"/>
  <c r="BD574" i="30"/>
  <c r="BD575" i="30"/>
  <c r="BD576" i="30"/>
  <c r="BD577" i="30"/>
  <c r="BD578" i="30"/>
  <c r="BD579" i="30"/>
  <c r="BD580" i="30"/>
  <c r="BD581" i="30"/>
  <c r="BD582" i="30"/>
  <c r="BD583" i="30"/>
  <c r="BD584" i="30"/>
  <c r="BD585" i="30"/>
  <c r="BD586" i="30"/>
  <c r="BD587" i="30"/>
  <c r="BD588" i="30"/>
  <c r="BD589" i="30"/>
  <c r="BD590" i="30"/>
  <c r="BD591" i="30"/>
  <c r="BD592" i="30"/>
  <c r="BD593" i="30"/>
  <c r="BD594" i="30"/>
  <c r="BD595" i="30"/>
  <c r="BD596" i="30"/>
  <c r="BD597" i="30"/>
  <c r="BD598" i="30"/>
  <c r="BD599" i="30"/>
  <c r="BD600" i="30"/>
  <c r="BD601" i="30"/>
  <c r="BD602" i="30"/>
  <c r="BD603" i="30"/>
  <c r="BD604" i="30"/>
  <c r="BD605" i="30"/>
  <c r="BD606" i="30"/>
  <c r="BD607" i="30"/>
  <c r="BD608" i="30"/>
  <c r="BD609" i="30"/>
  <c r="BD610" i="30"/>
  <c r="BD611" i="30"/>
  <c r="BD612" i="30"/>
  <c r="BD613" i="30"/>
  <c r="BD614" i="30"/>
  <c r="BD615" i="30"/>
  <c r="BD616" i="30"/>
  <c r="BD617" i="30"/>
  <c r="BD618" i="30"/>
  <c r="BD619" i="30"/>
  <c r="BD620" i="30"/>
  <c r="BD621" i="30"/>
  <c r="BD622" i="30"/>
  <c r="BD623" i="30"/>
  <c r="BD624" i="30"/>
  <c r="BD625" i="30"/>
  <c r="BD626" i="30"/>
  <c r="BD627" i="30"/>
  <c r="BD628" i="30"/>
  <c r="BD629" i="30"/>
  <c r="BD630" i="30"/>
  <c r="BD631" i="30"/>
  <c r="BD632" i="30"/>
  <c r="BD633" i="30"/>
  <c r="BD634" i="30"/>
  <c r="BD635" i="30"/>
  <c r="BD636" i="30"/>
  <c r="BD637" i="30"/>
  <c r="BD638" i="30"/>
  <c r="BD639" i="30"/>
  <c r="BD640" i="30"/>
  <c r="BD641" i="30"/>
  <c r="BD642" i="30"/>
  <c r="BD643" i="30"/>
  <c r="BD644" i="30"/>
  <c r="BD645" i="30"/>
  <c r="BD646" i="30"/>
  <c r="BD647" i="30"/>
  <c r="BD648" i="30"/>
  <c r="BD649" i="30"/>
  <c r="BD650" i="30"/>
  <c r="BD651" i="30"/>
  <c r="BD652" i="30"/>
  <c r="BD653" i="30"/>
  <c r="BD654" i="30"/>
  <c r="BD655" i="30"/>
  <c r="BD656" i="30"/>
  <c r="BD657" i="30"/>
  <c r="BD658" i="30"/>
  <c r="BD659" i="30"/>
  <c r="BD660" i="30"/>
  <c r="BD661" i="30"/>
  <c r="BD662" i="30"/>
  <c r="BD663" i="30"/>
  <c r="BD664" i="30"/>
  <c r="BD665" i="30"/>
  <c r="BD666" i="30"/>
  <c r="BD667" i="30"/>
  <c r="BD668" i="30"/>
  <c r="BD669" i="30"/>
  <c r="BD670" i="30"/>
  <c r="BD671" i="30"/>
  <c r="BD672" i="30"/>
  <c r="BD673" i="30"/>
  <c r="BD674" i="30"/>
  <c r="BD675" i="30"/>
  <c r="BD676" i="30"/>
  <c r="BD677" i="30"/>
  <c r="BD678" i="30"/>
  <c r="BD679" i="30"/>
  <c r="BD680" i="30"/>
  <c r="BD681" i="30"/>
  <c r="BD682" i="30"/>
  <c r="BD683" i="30"/>
  <c r="BD684" i="30"/>
  <c r="BD685" i="30"/>
  <c r="BD686" i="30"/>
  <c r="BD687" i="30"/>
  <c r="BD688" i="30"/>
  <c r="BD689" i="30"/>
  <c r="BD690" i="30"/>
  <c r="BD691" i="30"/>
  <c r="BD692" i="30"/>
  <c r="BD693" i="30"/>
  <c r="BD694" i="30"/>
  <c r="BD695" i="30"/>
  <c r="BD696" i="30"/>
  <c r="BD697" i="30"/>
  <c r="BD698" i="30"/>
  <c r="BD699" i="30"/>
  <c r="BD700" i="30"/>
  <c r="BD701" i="30"/>
  <c r="BD702" i="30"/>
  <c r="BD703" i="30"/>
  <c r="BD704" i="30"/>
  <c r="BD705" i="30"/>
  <c r="BD706" i="30"/>
  <c r="BD707" i="30"/>
  <c r="BD708" i="30"/>
  <c r="BD709" i="30"/>
  <c r="BD710" i="30"/>
  <c r="BD711" i="30"/>
  <c r="BD712" i="30"/>
  <c r="BD713" i="30"/>
  <c r="BD714" i="30"/>
  <c r="BD715" i="30"/>
  <c r="BD716" i="30"/>
  <c r="BD717" i="30"/>
  <c r="BD718" i="30"/>
  <c r="BD719" i="30"/>
  <c r="BD720" i="30"/>
  <c r="BD721" i="30"/>
  <c r="BD722" i="30"/>
  <c r="BD723" i="30"/>
  <c r="BD724" i="30"/>
  <c r="BD725" i="30"/>
  <c r="BD726" i="30"/>
  <c r="BD727" i="30"/>
  <c r="BD728" i="30"/>
  <c r="BD729" i="30"/>
  <c r="BD730" i="30"/>
  <c r="BD731" i="30"/>
  <c r="BD732" i="30"/>
  <c r="BD733" i="30"/>
  <c r="BD734" i="30"/>
  <c r="BD735" i="30"/>
  <c r="BD736" i="30"/>
  <c r="BD737" i="30"/>
  <c r="BD738" i="30"/>
  <c r="BD739" i="30"/>
  <c r="BD740" i="30"/>
  <c r="BD741" i="30"/>
  <c r="BD742" i="30"/>
  <c r="BD743" i="30"/>
  <c r="BD744" i="30"/>
  <c r="BD745" i="30"/>
  <c r="BD746" i="30"/>
  <c r="BD747" i="30"/>
  <c r="BD748" i="30"/>
  <c r="BD749" i="30"/>
  <c r="BD750" i="30"/>
  <c r="BD751" i="30"/>
  <c r="BD752" i="30"/>
  <c r="BD753" i="30"/>
  <c r="BD754" i="30"/>
  <c r="BD755" i="30"/>
  <c r="BD756" i="30"/>
  <c r="BD757" i="30"/>
  <c r="BD758" i="30"/>
  <c r="BD759" i="30"/>
  <c r="BD760" i="30"/>
  <c r="BD761" i="30"/>
  <c r="BD762" i="30"/>
  <c r="BD763" i="30"/>
  <c r="BD764" i="30"/>
  <c r="BD765" i="30"/>
  <c r="BD766" i="30"/>
  <c r="BD767" i="30"/>
  <c r="BD768" i="30"/>
  <c r="BD769" i="30"/>
  <c r="BD770" i="30"/>
  <c r="BD771" i="30"/>
  <c r="BD772" i="30"/>
  <c r="BD773" i="30"/>
  <c r="BD774" i="30"/>
  <c r="BD775" i="30"/>
  <c r="BD776" i="30"/>
  <c r="BD777" i="30"/>
  <c r="BD778" i="30"/>
  <c r="BD779" i="30"/>
  <c r="BD780" i="30"/>
  <c r="BD781" i="30"/>
  <c r="BD782" i="30"/>
  <c r="BD783" i="30"/>
  <c r="BD784" i="30"/>
  <c r="BD785" i="30"/>
  <c r="BD786" i="30"/>
  <c r="BD787" i="30"/>
  <c r="BD788" i="30"/>
  <c r="BD789" i="30"/>
  <c r="BD790" i="30"/>
  <c r="BD791" i="30"/>
  <c r="BD792" i="30"/>
  <c r="BD793" i="30"/>
  <c r="BD794" i="30"/>
  <c r="BD795" i="30"/>
  <c r="BD796" i="30"/>
  <c r="BD797" i="30"/>
  <c r="BD798" i="30"/>
  <c r="BD799" i="30"/>
  <c r="BD800" i="30"/>
  <c r="BD801" i="30"/>
  <c r="BD802" i="30"/>
  <c r="BD803" i="30"/>
  <c r="BD804" i="30"/>
  <c r="BD805" i="30"/>
  <c r="BD806" i="30"/>
  <c r="BD807" i="30"/>
  <c r="BD808" i="30"/>
  <c r="BD809" i="30"/>
  <c r="BD810" i="30"/>
  <c r="BD811" i="30"/>
  <c r="BD812" i="30"/>
  <c r="BD813" i="30"/>
  <c r="BD814" i="30"/>
  <c r="BD815" i="30"/>
  <c r="BD816" i="30"/>
  <c r="BD817" i="30"/>
  <c r="BD818" i="30"/>
  <c r="BD819" i="30"/>
  <c r="BD820" i="30"/>
  <c r="BD821" i="30"/>
  <c r="BD822" i="30"/>
  <c r="BD823" i="30"/>
  <c r="BD824" i="30"/>
  <c r="BD825" i="30"/>
  <c r="BD826" i="30"/>
  <c r="BD827" i="30"/>
  <c r="BD828" i="30"/>
  <c r="BD829" i="30"/>
  <c r="BD830" i="30"/>
  <c r="BD831" i="30"/>
  <c r="BD832" i="30"/>
  <c r="BD833" i="30"/>
  <c r="BD834" i="30"/>
  <c r="BD835" i="30"/>
  <c r="BD836" i="30"/>
  <c r="BD837" i="30"/>
  <c r="BD838" i="30"/>
  <c r="BD839" i="30"/>
  <c r="BD840" i="30"/>
  <c r="BD841" i="30"/>
  <c r="BD842" i="30"/>
  <c r="BD843" i="30"/>
  <c r="BD844" i="30"/>
  <c r="BD845" i="30"/>
  <c r="BD846" i="30"/>
  <c r="BD847" i="30"/>
  <c r="BD848" i="30"/>
  <c r="BD849" i="30"/>
  <c r="BD850" i="30"/>
  <c r="BD851" i="30"/>
  <c r="BD852" i="30"/>
  <c r="BD853" i="30"/>
  <c r="BD854" i="30"/>
  <c r="BD855" i="30"/>
  <c r="BD856" i="30"/>
  <c r="BD857" i="30"/>
  <c r="BD858" i="30"/>
  <c r="BD859" i="30"/>
  <c r="BD860" i="30"/>
  <c r="BD861" i="30"/>
  <c r="BD862" i="30"/>
  <c r="BD863" i="30"/>
  <c r="BD864" i="30"/>
  <c r="BD865" i="30"/>
  <c r="BD866" i="30"/>
  <c r="BD867" i="30"/>
  <c r="BD868" i="30"/>
  <c r="BD869" i="30"/>
  <c r="BD870" i="30"/>
  <c r="BD871" i="30"/>
  <c r="BD872" i="30"/>
  <c r="BD873" i="30"/>
  <c r="BD874" i="30"/>
  <c r="BD875" i="30"/>
  <c r="BD876" i="30"/>
  <c r="BD877" i="30"/>
  <c r="BD878" i="30"/>
  <c r="BD879" i="30"/>
  <c r="BD880" i="30"/>
  <c r="BD881" i="30"/>
  <c r="BD882" i="30"/>
  <c r="BD883" i="30"/>
  <c r="BD884" i="30"/>
  <c r="BD885" i="30"/>
  <c r="BD886" i="30"/>
  <c r="BD887" i="30"/>
  <c r="BD888" i="30"/>
  <c r="BD889" i="30"/>
  <c r="BD890" i="30"/>
  <c r="BD891" i="30"/>
  <c r="BD892" i="30"/>
  <c r="BD893" i="30"/>
  <c r="BD894" i="30"/>
  <c r="BD895" i="30"/>
  <c r="BD896" i="30"/>
  <c r="BD897" i="30"/>
  <c r="BD898" i="30"/>
  <c r="BD899" i="30"/>
  <c r="BD900" i="30"/>
  <c r="BD901" i="30"/>
  <c r="BD902" i="30"/>
  <c r="BD903" i="30"/>
  <c r="BD904" i="30"/>
  <c r="BD905" i="30"/>
  <c r="BD906" i="30"/>
  <c r="BD907" i="30"/>
  <c r="BD908" i="30"/>
  <c r="BD909" i="30"/>
  <c r="BD910" i="30"/>
  <c r="BD911" i="30"/>
  <c r="BD912" i="30"/>
  <c r="BD913" i="30"/>
  <c r="BD914" i="30"/>
  <c r="BD915" i="30"/>
  <c r="BD916" i="30"/>
  <c r="BD917" i="30"/>
  <c r="BD918" i="30"/>
  <c r="BD919" i="30"/>
  <c r="BD920" i="30"/>
  <c r="BD921" i="30"/>
  <c r="BD922" i="30"/>
  <c r="BD923" i="30"/>
  <c r="BD924" i="30"/>
  <c r="BD925" i="30"/>
  <c r="BD926" i="30"/>
  <c r="BD927" i="30"/>
  <c r="BD928" i="30"/>
  <c r="BD929" i="30"/>
  <c r="BD930" i="30"/>
  <c r="BD931" i="30"/>
  <c r="BD932" i="30"/>
  <c r="BD933" i="30"/>
  <c r="BD934" i="30"/>
  <c r="BD935" i="30"/>
  <c r="BD936" i="30"/>
  <c r="BD937" i="30"/>
  <c r="BD938" i="30"/>
  <c r="BD939" i="30"/>
  <c r="BD940" i="30"/>
  <c r="BD941" i="30"/>
  <c r="BD942" i="30"/>
  <c r="BD943" i="30"/>
  <c r="BD944" i="30"/>
  <c r="BD945" i="30"/>
  <c r="BD946" i="30"/>
  <c r="BD947" i="30"/>
  <c r="BD948" i="30"/>
  <c r="BD949" i="30"/>
  <c r="BD950" i="30"/>
  <c r="BD951" i="30"/>
  <c r="BD952" i="30"/>
  <c r="BD953" i="30"/>
  <c r="BD954" i="30"/>
  <c r="BD955" i="30"/>
  <c r="BD956" i="30"/>
  <c r="BD957" i="30"/>
  <c r="BD958" i="30"/>
  <c r="BD959" i="30"/>
  <c r="BD960" i="30"/>
  <c r="BD961" i="30"/>
  <c r="BD962" i="30"/>
  <c r="BD963" i="30"/>
  <c r="BD964" i="30"/>
  <c r="BD965" i="30"/>
  <c r="BD966" i="30"/>
  <c r="BD967" i="30"/>
  <c r="BD968" i="30"/>
  <c r="BD969" i="30"/>
  <c r="BD970" i="30"/>
  <c r="BD971" i="30"/>
  <c r="BD972" i="30"/>
  <c r="BD973" i="30"/>
  <c r="BD974" i="30"/>
  <c r="BD975" i="30"/>
  <c r="BD976" i="30"/>
  <c r="BD977" i="30"/>
  <c r="BD978" i="30"/>
  <c r="BD979" i="30"/>
  <c r="BD980" i="30"/>
  <c r="BD981" i="30"/>
  <c r="BD982" i="30"/>
  <c r="BD983" i="30"/>
  <c r="BD984" i="30"/>
  <c r="BD985" i="30"/>
  <c r="BD986" i="30"/>
  <c r="BD987" i="30"/>
  <c r="BD988" i="30"/>
  <c r="BD989" i="30"/>
  <c r="BD990" i="30"/>
  <c r="BD991" i="30"/>
  <c r="BD992" i="30"/>
  <c r="BD993" i="30"/>
  <c r="BD994" i="30"/>
  <c r="BD995" i="30"/>
  <c r="BD996" i="30"/>
  <c r="BD997" i="30"/>
  <c r="BD998" i="30"/>
  <c r="BD999" i="30"/>
  <c r="BD1000" i="30"/>
  <c r="BD1001" i="30"/>
  <c r="BD1002" i="30"/>
  <c r="BD1003" i="30"/>
  <c r="BD1004" i="30"/>
  <c r="BD1005" i="30"/>
  <c r="BD1006" i="30"/>
  <c r="BD1007" i="30"/>
  <c r="BD1008" i="30"/>
  <c r="BD1009" i="30"/>
  <c r="BD1010" i="30"/>
  <c r="BD1011" i="30"/>
  <c r="BD1012" i="30"/>
  <c r="BD1013" i="30"/>
  <c r="BD1014" i="30"/>
  <c r="BD1015" i="30"/>
  <c r="BD1016" i="30"/>
  <c r="BD1017" i="30"/>
  <c r="BD1018" i="30"/>
  <c r="BD1019" i="30"/>
  <c r="BD1020" i="30"/>
  <c r="BD1021" i="30"/>
  <c r="BD1022" i="30"/>
  <c r="BD1023" i="30"/>
  <c r="BD1024" i="30"/>
  <c r="BD1025" i="30"/>
  <c r="BD1026" i="30"/>
  <c r="BD1027" i="30"/>
  <c r="BD1028" i="30"/>
  <c r="BD1029" i="30"/>
  <c r="BD1030" i="30"/>
  <c r="BD1031" i="30"/>
  <c r="BD1032" i="30"/>
  <c r="BD1033" i="30"/>
  <c r="BD1034" i="30"/>
  <c r="BD1035" i="30"/>
  <c r="BD1036" i="30"/>
  <c r="BD1037" i="30"/>
  <c r="BD1038" i="30"/>
  <c r="BD1039" i="30"/>
  <c r="BD1040" i="30"/>
  <c r="BD1041" i="30"/>
  <c r="BD1042" i="30"/>
  <c r="BD1043" i="30"/>
  <c r="BD1044" i="30"/>
  <c r="BD1045" i="30"/>
  <c r="BD1046" i="30"/>
  <c r="BD1047" i="30"/>
  <c r="BD1048" i="30"/>
  <c r="BD1049" i="30"/>
  <c r="BD1050" i="30"/>
  <c r="BD1051" i="30"/>
  <c r="BD1052" i="30"/>
  <c r="BD1053" i="30"/>
  <c r="BD1054" i="30"/>
  <c r="BD1055" i="30"/>
  <c r="BD1056" i="30"/>
  <c r="BD1057" i="30"/>
  <c r="BD1058" i="30"/>
  <c r="BD1059" i="30"/>
  <c r="BD1060" i="30"/>
  <c r="BD1061" i="30"/>
  <c r="BD1062" i="30"/>
  <c r="BD1063" i="30"/>
  <c r="BD1064" i="30"/>
  <c r="BD1065" i="30"/>
  <c r="BD1066" i="30"/>
  <c r="BD1067" i="30"/>
  <c r="BD1068" i="30"/>
  <c r="BD1069" i="30"/>
  <c r="BD1070" i="30"/>
  <c r="BD1071" i="30"/>
  <c r="BD1072" i="30"/>
  <c r="BD1073" i="30"/>
  <c r="BD1074" i="30"/>
  <c r="BD1075" i="30"/>
  <c r="BD1076" i="30"/>
  <c r="BD1077" i="30"/>
  <c r="BD1078" i="30"/>
  <c r="BD1079" i="30"/>
  <c r="BD1080" i="30"/>
  <c r="BD1081" i="30"/>
  <c r="BD1082" i="30"/>
  <c r="BD1083" i="30"/>
  <c r="BD1084" i="30"/>
  <c r="BD1085" i="30"/>
  <c r="BD1086" i="30"/>
  <c r="BD1087" i="30"/>
  <c r="BD1088" i="30"/>
  <c r="BD1089" i="30"/>
  <c r="BD1090" i="30"/>
  <c r="BD1091" i="30"/>
  <c r="BD1092" i="30"/>
  <c r="BD1093" i="30"/>
  <c r="BD1094" i="30"/>
  <c r="BD1095" i="30"/>
  <c r="BD1096" i="30"/>
  <c r="BD1097" i="30"/>
  <c r="BD1098" i="30"/>
  <c r="BD1099" i="30"/>
  <c r="BD1100" i="30"/>
  <c r="BD1101" i="30"/>
  <c r="BD1102" i="30"/>
  <c r="BD1103" i="30"/>
  <c r="BD1104" i="30"/>
  <c r="BD1105" i="30"/>
  <c r="BD1106" i="30"/>
  <c r="BD1107" i="30"/>
  <c r="BD1108" i="30"/>
  <c r="BD1109" i="30"/>
  <c r="BD1110" i="30"/>
  <c r="BD1111" i="30"/>
  <c r="BD1112" i="30"/>
  <c r="BD1113" i="30"/>
  <c r="BD1114" i="30"/>
  <c r="BD1115" i="30"/>
  <c r="BD1116" i="30"/>
  <c r="BD1117" i="30"/>
  <c r="BD1118" i="30"/>
  <c r="BD1119" i="30"/>
  <c r="BD1120" i="30"/>
  <c r="BD1121" i="30"/>
  <c r="BD1122" i="30"/>
  <c r="BD1123" i="30"/>
  <c r="BD1124" i="30"/>
  <c r="BD1125" i="30"/>
  <c r="BD1126" i="30"/>
  <c r="BD1127" i="30"/>
  <c r="BD1128" i="30"/>
  <c r="BD1129" i="30"/>
  <c r="BD1130" i="30"/>
  <c r="BD1131" i="30"/>
  <c r="BD1132" i="30"/>
  <c r="BD1133" i="30"/>
  <c r="BD1134" i="30"/>
  <c r="BD1135" i="30"/>
  <c r="BD1136" i="30"/>
  <c r="BD1137" i="30"/>
  <c r="BD1138" i="30"/>
  <c r="BD1139" i="30"/>
  <c r="BD1140" i="30"/>
  <c r="BD1141" i="30"/>
  <c r="BD1142" i="30"/>
  <c r="BD1143" i="30"/>
  <c r="BD1144" i="30"/>
  <c r="BD1145" i="30"/>
  <c r="BD1146" i="30"/>
  <c r="BD1147" i="30"/>
  <c r="BD1148" i="30"/>
  <c r="BD1149" i="30"/>
  <c r="BD1150" i="30"/>
  <c r="BD1151" i="30"/>
  <c r="BD1152" i="30"/>
  <c r="BD1153" i="30"/>
  <c r="BD1154" i="30"/>
  <c r="BD1155" i="30"/>
  <c r="BD1156" i="30"/>
  <c r="BD1157" i="30"/>
  <c r="BD1158" i="30"/>
  <c r="BD1159" i="30"/>
  <c r="BD1160" i="30"/>
  <c r="BD1161" i="30"/>
  <c r="BD1162" i="30"/>
  <c r="BD1163" i="30"/>
  <c r="BD1164" i="30"/>
  <c r="BD1165" i="30"/>
  <c r="BD1166" i="30"/>
  <c r="BD1167" i="30"/>
  <c r="BD1168" i="30"/>
  <c r="BD1169" i="30"/>
  <c r="BD1170" i="30"/>
  <c r="BD1171" i="30"/>
  <c r="BD1172" i="30"/>
  <c r="BD1173" i="30"/>
  <c r="BD1174" i="30"/>
  <c r="BD1175" i="30"/>
  <c r="BD1176" i="30"/>
  <c r="BD1177" i="30"/>
  <c r="BD1178" i="30"/>
  <c r="BD1179" i="30"/>
  <c r="BD1180" i="30"/>
  <c r="BD1181" i="30"/>
  <c r="BD1182" i="30"/>
  <c r="BD1183" i="30"/>
  <c r="BD1184" i="30"/>
  <c r="BD1185" i="30"/>
  <c r="BD1186" i="30"/>
  <c r="BD1187" i="30"/>
  <c r="BD1188" i="30"/>
  <c r="BD1189" i="30"/>
  <c r="BD1190" i="30"/>
  <c r="BD1191" i="30"/>
  <c r="BD1192" i="30"/>
  <c r="BD1193" i="30"/>
  <c r="BD1194" i="30"/>
  <c r="BD1195" i="30"/>
  <c r="BD1196" i="30"/>
  <c r="BD1197" i="30"/>
  <c r="BD1198" i="30"/>
  <c r="BD1199" i="30"/>
  <c r="BD1200" i="30"/>
  <c r="BD1201" i="30"/>
  <c r="BD1202" i="30"/>
  <c r="BD1203" i="30"/>
  <c r="BD1204" i="30"/>
  <c r="BD1205" i="30"/>
  <c r="BD1206" i="30"/>
  <c r="BD1207" i="30"/>
  <c r="BD1208" i="30"/>
  <c r="BD1209" i="30"/>
  <c r="BD1210" i="30"/>
  <c r="BD1211" i="30"/>
  <c r="BD1212" i="30"/>
  <c r="BD1213" i="30"/>
  <c r="BD1214" i="30"/>
  <c r="BD1215" i="30"/>
  <c r="BD1216" i="30"/>
  <c r="BD1217" i="30"/>
  <c r="BD1218" i="30"/>
  <c r="BD1219" i="30"/>
  <c r="BD1220" i="30"/>
  <c r="BD1221" i="30"/>
  <c r="BD1222" i="30"/>
  <c r="BD1223" i="30"/>
  <c r="BD1224" i="30"/>
  <c r="BD1225" i="30"/>
  <c r="BD1226" i="30"/>
  <c r="BD1227" i="30"/>
  <c r="BD1228" i="30"/>
  <c r="BD1229" i="30"/>
  <c r="BD1230" i="30"/>
  <c r="BC31" i="30"/>
  <c r="BC32" i="30"/>
  <c r="BB344" i="30"/>
  <c r="BB345" i="30"/>
  <c r="BB346" i="30"/>
  <c r="BB347" i="30"/>
  <c r="BB348" i="30"/>
  <c r="BB349" i="30"/>
  <c r="BB350" i="30"/>
  <c r="BB351" i="30"/>
  <c r="BB352" i="30"/>
  <c r="BB353" i="30"/>
  <c r="BB354" i="30"/>
  <c r="BB355" i="30"/>
  <c r="BB356" i="30"/>
  <c r="BB357" i="30"/>
  <c r="BB358" i="30"/>
  <c r="BB359" i="30"/>
  <c r="BB360" i="30"/>
  <c r="BB361" i="30"/>
  <c r="BB362" i="30"/>
  <c r="BB363" i="30"/>
  <c r="BB364" i="30"/>
  <c r="BB365" i="30"/>
  <c r="BB366" i="30"/>
  <c r="BB367" i="30"/>
  <c r="BB368" i="30"/>
  <c r="BB369" i="30"/>
  <c r="BB370" i="30"/>
  <c r="BB371" i="30"/>
  <c r="BB372" i="30"/>
  <c r="BB373" i="30"/>
  <c r="BB374" i="30"/>
  <c r="BB375" i="30"/>
  <c r="BB376" i="30"/>
  <c r="BB377" i="30"/>
  <c r="BB378" i="30"/>
  <c r="BB379" i="30"/>
  <c r="BB380" i="30"/>
  <c r="BB381" i="30"/>
  <c r="BB382" i="30"/>
  <c r="BB383" i="30"/>
  <c r="BB384" i="30"/>
  <c r="BB385" i="30"/>
  <c r="BB386" i="30"/>
  <c r="BB387" i="30"/>
  <c r="BB388" i="30"/>
  <c r="BB389" i="30"/>
  <c r="BB390" i="30"/>
  <c r="BB391" i="30"/>
  <c r="BB392" i="30"/>
  <c r="BB393" i="30"/>
  <c r="BB394" i="30"/>
  <c r="BB395" i="30"/>
  <c r="BB396" i="30"/>
  <c r="BB397" i="30"/>
  <c r="BB398" i="30"/>
  <c r="BB399" i="30"/>
  <c r="BB400" i="30"/>
  <c r="BB401" i="30"/>
  <c r="BB402" i="30"/>
  <c r="BB403" i="30"/>
  <c r="BB404" i="30"/>
  <c r="BB405" i="30"/>
  <c r="BB406" i="30"/>
  <c r="BB407" i="30"/>
  <c r="BB408" i="30"/>
  <c r="BB409" i="30"/>
  <c r="BB410" i="30"/>
  <c r="BB411" i="30"/>
  <c r="BB412" i="30"/>
  <c r="BB413" i="30"/>
  <c r="BB414" i="30"/>
  <c r="BB415" i="30"/>
  <c r="BB416" i="30"/>
  <c r="BB417" i="30"/>
  <c r="BB418" i="30"/>
  <c r="BB419" i="30"/>
  <c r="BB420" i="30"/>
  <c r="BB421" i="30"/>
  <c r="BB422" i="30"/>
  <c r="BB423" i="30"/>
  <c r="BB424" i="30"/>
  <c r="BB425" i="30"/>
  <c r="BB426" i="30"/>
  <c r="BB427" i="30"/>
  <c r="BB428" i="30"/>
  <c r="BB429" i="30"/>
  <c r="BB430" i="30"/>
  <c r="BB431" i="30"/>
  <c r="BB432" i="30"/>
  <c r="BB433" i="30"/>
  <c r="BB434" i="30"/>
  <c r="BB435" i="30"/>
  <c r="BB436" i="30"/>
  <c r="BB437" i="30"/>
  <c r="BB438" i="30"/>
  <c r="BB439" i="30"/>
  <c r="BB440" i="30"/>
  <c r="BB441" i="30"/>
  <c r="BB442" i="30"/>
  <c r="BB443" i="30"/>
  <c r="BB444" i="30"/>
  <c r="BB445" i="30"/>
  <c r="BB446" i="30"/>
  <c r="BB447" i="30"/>
  <c r="BB448" i="30"/>
  <c r="BB449" i="30"/>
  <c r="BB450" i="30"/>
  <c r="BB451" i="30"/>
  <c r="BB452" i="30"/>
  <c r="BB453" i="30"/>
  <c r="BB454" i="30"/>
  <c r="BB455" i="30"/>
  <c r="BB456" i="30"/>
  <c r="BB457" i="30"/>
  <c r="BB458" i="30"/>
  <c r="BB459" i="30"/>
  <c r="BB460" i="30"/>
  <c r="BB461" i="30"/>
  <c r="BB462" i="30"/>
  <c r="BB463" i="30"/>
  <c r="BB464" i="30"/>
  <c r="BB465" i="30"/>
  <c r="BB466" i="30"/>
  <c r="BB467" i="30"/>
  <c r="BB468" i="30"/>
  <c r="BB469" i="30"/>
  <c r="BB470" i="30"/>
  <c r="BB471" i="30"/>
  <c r="BB472" i="30"/>
  <c r="BB473" i="30"/>
  <c r="BB474" i="30"/>
  <c r="BB475" i="30"/>
  <c r="BB476" i="30"/>
  <c r="BB477" i="30"/>
  <c r="BB478" i="30"/>
  <c r="BB479" i="30"/>
  <c r="BB480" i="30"/>
  <c r="BB481" i="30"/>
  <c r="BB482" i="30"/>
  <c r="BB483" i="30"/>
  <c r="BB484" i="30"/>
  <c r="BB485" i="30"/>
  <c r="BB486" i="30"/>
  <c r="BB487" i="30"/>
  <c r="BB488" i="30"/>
  <c r="BB489" i="30"/>
  <c r="BB490" i="30"/>
  <c r="BB491" i="30"/>
  <c r="BB492" i="30"/>
  <c r="BB493" i="30"/>
  <c r="BB494" i="30"/>
  <c r="BB495" i="30"/>
  <c r="BB496" i="30"/>
  <c r="BB497" i="30"/>
  <c r="BB498" i="30"/>
  <c r="BB499" i="30"/>
  <c r="BB500" i="30"/>
  <c r="BB501" i="30"/>
  <c r="BB502" i="30"/>
  <c r="BB503" i="30"/>
  <c r="BB504" i="30"/>
  <c r="BB505" i="30"/>
  <c r="BB506" i="30"/>
  <c r="BB507" i="30"/>
  <c r="BB508" i="30"/>
  <c r="BB509" i="30"/>
  <c r="BB510" i="30"/>
  <c r="BB511" i="30"/>
  <c r="BB512" i="30"/>
  <c r="BB513" i="30"/>
  <c r="BB514" i="30"/>
  <c r="BB515" i="30"/>
  <c r="BB516" i="30"/>
  <c r="BB517" i="30"/>
  <c r="BB518" i="30"/>
  <c r="BB519" i="30"/>
  <c r="BB520" i="30"/>
  <c r="BB521" i="30"/>
  <c r="BB522" i="30"/>
  <c r="BB523" i="30"/>
  <c r="BB524" i="30"/>
  <c r="BB525" i="30"/>
  <c r="BB526" i="30"/>
  <c r="BB527" i="30"/>
  <c r="BB528" i="30"/>
  <c r="BB529" i="30"/>
  <c r="BB530" i="30"/>
  <c r="BB531" i="30"/>
  <c r="BB532" i="30"/>
  <c r="BB533" i="30"/>
  <c r="BB534" i="30"/>
  <c r="BB535" i="30"/>
  <c r="BB536" i="30"/>
  <c r="BB537" i="30"/>
  <c r="BB538" i="30"/>
  <c r="BB539" i="30"/>
  <c r="BB540" i="30"/>
  <c r="BB541" i="30"/>
  <c r="BB542" i="30"/>
  <c r="BB543" i="30"/>
  <c r="BB544" i="30"/>
  <c r="BB545" i="30"/>
  <c r="BB546" i="30"/>
  <c r="BB547" i="30"/>
  <c r="BB548" i="30"/>
  <c r="BB549" i="30"/>
  <c r="BB550" i="30"/>
  <c r="BB551" i="30"/>
  <c r="BB552" i="30"/>
  <c r="BB553" i="30"/>
  <c r="BB554" i="30"/>
  <c r="BB555" i="30"/>
  <c r="BB556" i="30"/>
  <c r="BB557" i="30"/>
  <c r="BB558" i="30"/>
  <c r="BB559" i="30"/>
  <c r="BB560" i="30"/>
  <c r="BB561" i="30"/>
  <c r="BB562" i="30"/>
  <c r="BB563" i="30"/>
  <c r="BB564" i="30"/>
  <c r="BB565" i="30"/>
  <c r="BB566" i="30"/>
  <c r="BB567" i="30"/>
  <c r="BB568" i="30"/>
  <c r="BB569" i="30"/>
  <c r="BB570" i="30"/>
  <c r="BB571" i="30"/>
  <c r="BB572" i="30"/>
  <c r="BB573" i="30"/>
  <c r="BB574" i="30"/>
  <c r="BB575" i="30"/>
  <c r="BB576" i="30"/>
  <c r="BB577" i="30"/>
  <c r="BB578" i="30"/>
  <c r="BB579" i="30"/>
  <c r="BB580" i="30"/>
  <c r="BB581" i="30"/>
  <c r="BB582" i="30"/>
  <c r="BB583" i="30"/>
  <c r="BB584" i="30"/>
  <c r="BB585" i="30"/>
  <c r="BB586" i="30"/>
  <c r="BB587" i="30"/>
  <c r="BB588" i="30"/>
  <c r="BB589" i="30"/>
  <c r="BB590" i="30"/>
  <c r="BB591" i="30"/>
  <c r="BB592" i="30"/>
  <c r="BB593" i="30"/>
  <c r="BB594" i="30"/>
  <c r="BB595" i="30"/>
  <c r="BB596" i="30"/>
  <c r="BB597" i="30"/>
  <c r="BB598" i="30"/>
  <c r="BB599" i="30"/>
  <c r="BB600" i="30"/>
  <c r="BB601" i="30"/>
  <c r="BB602" i="30"/>
  <c r="BB603" i="30"/>
  <c r="BB604" i="30"/>
  <c r="BB605" i="30"/>
  <c r="BB606" i="30"/>
  <c r="BB607" i="30"/>
  <c r="BB608" i="30"/>
  <c r="BB609" i="30"/>
  <c r="BB610" i="30"/>
  <c r="BB611" i="30"/>
  <c r="BB612" i="30"/>
  <c r="BB613" i="30"/>
  <c r="BB614" i="30"/>
  <c r="BB615" i="30"/>
  <c r="BB616" i="30"/>
  <c r="BB617" i="30"/>
  <c r="BB618" i="30"/>
  <c r="BB619" i="30"/>
  <c r="BB620" i="30"/>
  <c r="BB621" i="30"/>
  <c r="BB622" i="30"/>
  <c r="BB623" i="30"/>
  <c r="BB624" i="30"/>
  <c r="BB625" i="30"/>
  <c r="BB626" i="30"/>
  <c r="BB627" i="30"/>
  <c r="BB628" i="30"/>
  <c r="BB629" i="30"/>
  <c r="BB630" i="30"/>
  <c r="BB631" i="30"/>
  <c r="BB632" i="30"/>
  <c r="BB633" i="30"/>
  <c r="BB634" i="30"/>
  <c r="BB635" i="30"/>
  <c r="BB636" i="30"/>
  <c r="BB637" i="30"/>
  <c r="BB638" i="30"/>
  <c r="BB639" i="30"/>
  <c r="BB640" i="30"/>
  <c r="BB641" i="30"/>
  <c r="BB642" i="30"/>
  <c r="BB643" i="30"/>
  <c r="BB644" i="30"/>
  <c r="BB645" i="30"/>
  <c r="BB646" i="30"/>
  <c r="BB647" i="30"/>
  <c r="BB648" i="30"/>
  <c r="BB649" i="30"/>
  <c r="BB650" i="30"/>
  <c r="BB651" i="30"/>
  <c r="BB652" i="30"/>
  <c r="BB653" i="30"/>
  <c r="BB654" i="30"/>
  <c r="BB655" i="30"/>
  <c r="BB656" i="30"/>
  <c r="BB657" i="30"/>
  <c r="BB658" i="30"/>
  <c r="BB659" i="30"/>
  <c r="BB660" i="30"/>
  <c r="BB661" i="30"/>
  <c r="BB662" i="30"/>
  <c r="BB663" i="30"/>
  <c r="BB664" i="30"/>
  <c r="BB665" i="30"/>
  <c r="BB666" i="30"/>
  <c r="BB667" i="30"/>
  <c r="BB668" i="30"/>
  <c r="BB669" i="30"/>
  <c r="BB670" i="30"/>
  <c r="BB671" i="30"/>
  <c r="BB672" i="30"/>
  <c r="BB673" i="30"/>
  <c r="BB674" i="30"/>
  <c r="BB675" i="30"/>
  <c r="BB676" i="30"/>
  <c r="BB677" i="30"/>
  <c r="BB678" i="30"/>
  <c r="BB679" i="30"/>
  <c r="BB680" i="30"/>
  <c r="BB681" i="30"/>
  <c r="BB682" i="30"/>
  <c r="BB683" i="30"/>
  <c r="BB684" i="30"/>
  <c r="BB685" i="30"/>
  <c r="BB686" i="30"/>
  <c r="BB687" i="30"/>
  <c r="BB688" i="30"/>
  <c r="BB689" i="30"/>
  <c r="BB690" i="30"/>
  <c r="BB691" i="30"/>
  <c r="BB692" i="30"/>
  <c r="BB693" i="30"/>
  <c r="BB694" i="30"/>
  <c r="BB695" i="30"/>
  <c r="BB696" i="30"/>
  <c r="BB697" i="30"/>
  <c r="BB698" i="30"/>
  <c r="BB699" i="30"/>
  <c r="BB700" i="30"/>
  <c r="BB701" i="30"/>
  <c r="BB702" i="30"/>
  <c r="BB703" i="30"/>
  <c r="BB704" i="30"/>
  <c r="BB705" i="30"/>
  <c r="BB706" i="30"/>
  <c r="BB707" i="30"/>
  <c r="BB708" i="30"/>
  <c r="BB709" i="30"/>
  <c r="BB710" i="30"/>
  <c r="BB711" i="30"/>
  <c r="BB712" i="30"/>
  <c r="BB713" i="30"/>
  <c r="BB714" i="30"/>
  <c r="BB715" i="30"/>
  <c r="BB716" i="30"/>
  <c r="BB717" i="30"/>
  <c r="BB718" i="30"/>
  <c r="BB719" i="30"/>
  <c r="BB720" i="30"/>
  <c r="BB721" i="30"/>
  <c r="BB722" i="30"/>
  <c r="BB723" i="30"/>
  <c r="BB724" i="30"/>
  <c r="BB725" i="30"/>
  <c r="BB726" i="30"/>
  <c r="BB727" i="30"/>
  <c r="BB728" i="30"/>
  <c r="BB729" i="30"/>
  <c r="BB730" i="30"/>
  <c r="BB731" i="30"/>
  <c r="BB732" i="30"/>
  <c r="BB733" i="30"/>
  <c r="BB734" i="30"/>
  <c r="BB735" i="30"/>
  <c r="BB736" i="30"/>
  <c r="BB737" i="30"/>
  <c r="BB738" i="30"/>
  <c r="BB739" i="30"/>
  <c r="BB740" i="30"/>
  <c r="BB741" i="30"/>
  <c r="BB742" i="30"/>
  <c r="BB743" i="30"/>
  <c r="BB744" i="30"/>
  <c r="BB745" i="30"/>
  <c r="BB746" i="30"/>
  <c r="BB747" i="30"/>
  <c r="BB748" i="30"/>
  <c r="BB749" i="30"/>
  <c r="BB750" i="30"/>
  <c r="BB751" i="30"/>
  <c r="BB752" i="30"/>
  <c r="BB753" i="30"/>
  <c r="BB754" i="30"/>
  <c r="BB755" i="30"/>
  <c r="BB756" i="30"/>
  <c r="BB757" i="30"/>
  <c r="BB758" i="30"/>
  <c r="BB759" i="30"/>
  <c r="BB760" i="30"/>
  <c r="BB761" i="30"/>
  <c r="BB762" i="30"/>
  <c r="BB763" i="30"/>
  <c r="BB764" i="30"/>
  <c r="BB765" i="30"/>
  <c r="BB766" i="30"/>
  <c r="BB767" i="30"/>
  <c r="BB768" i="30"/>
  <c r="BB769" i="30"/>
  <c r="BB770" i="30"/>
  <c r="BB771" i="30"/>
  <c r="BB772" i="30"/>
  <c r="BB773" i="30"/>
  <c r="BB774" i="30"/>
  <c r="BB775" i="30"/>
  <c r="BB776" i="30"/>
  <c r="BB777" i="30"/>
  <c r="BB778" i="30"/>
  <c r="BB779" i="30"/>
  <c r="BB780" i="30"/>
  <c r="BB781" i="30"/>
  <c r="BB782" i="30"/>
  <c r="BB783" i="30"/>
  <c r="BB784" i="30"/>
  <c r="BB785" i="30"/>
  <c r="BB786" i="30"/>
  <c r="BB787" i="30"/>
  <c r="BB788" i="30"/>
  <c r="BB789" i="30"/>
  <c r="BB790" i="30"/>
  <c r="BB791" i="30"/>
  <c r="BB792" i="30"/>
  <c r="BB793" i="30"/>
  <c r="BB794" i="30"/>
  <c r="BB795" i="30"/>
  <c r="BB796" i="30"/>
  <c r="BB797" i="30"/>
  <c r="BB798" i="30"/>
  <c r="BB799" i="30"/>
  <c r="BB800" i="30"/>
  <c r="BB801" i="30"/>
  <c r="BB802" i="30"/>
  <c r="BB803" i="30"/>
  <c r="BB804" i="30"/>
  <c r="BB805" i="30"/>
  <c r="BB806" i="30"/>
  <c r="BB807" i="30"/>
  <c r="BB808" i="30"/>
  <c r="BB809" i="30"/>
  <c r="BB810" i="30"/>
  <c r="BB811" i="30"/>
  <c r="BB812" i="30"/>
  <c r="BB813" i="30"/>
  <c r="BB814" i="30"/>
  <c r="BB815" i="30"/>
  <c r="BB816" i="30"/>
  <c r="BB817" i="30"/>
  <c r="BB818" i="30"/>
  <c r="BB819" i="30"/>
  <c r="BB820" i="30"/>
  <c r="BB821" i="30"/>
  <c r="BB822" i="30"/>
  <c r="BB823" i="30"/>
  <c r="BB824" i="30"/>
  <c r="BB825" i="30"/>
  <c r="BB826" i="30"/>
  <c r="BB827" i="30"/>
  <c r="BB828" i="30"/>
  <c r="BB829" i="30"/>
  <c r="BB830" i="30"/>
  <c r="BB831" i="30"/>
  <c r="BB832" i="30"/>
  <c r="BB833" i="30"/>
  <c r="BB834" i="30"/>
  <c r="BB835" i="30"/>
  <c r="BB836" i="30"/>
  <c r="BB837" i="30"/>
  <c r="BB838" i="30"/>
  <c r="BB839" i="30"/>
  <c r="BB840" i="30"/>
  <c r="BB841" i="30"/>
  <c r="BB842" i="30"/>
  <c r="BB843" i="30"/>
  <c r="BB844" i="30"/>
  <c r="BB845" i="30"/>
  <c r="BB846" i="30"/>
  <c r="BB847" i="30"/>
  <c r="BB848" i="30"/>
  <c r="BB849" i="30"/>
  <c r="BB850" i="30"/>
  <c r="BB851" i="30"/>
  <c r="BB852" i="30"/>
  <c r="BB853" i="30"/>
  <c r="BB854" i="30"/>
  <c r="BB855" i="30"/>
  <c r="BB856" i="30"/>
  <c r="BB857" i="30"/>
  <c r="BB858" i="30"/>
  <c r="BB859" i="30"/>
  <c r="BB860" i="30"/>
  <c r="BB861" i="30"/>
  <c r="BB862" i="30"/>
  <c r="BB863" i="30"/>
  <c r="BB864" i="30"/>
  <c r="BB865" i="30"/>
  <c r="BB866" i="30"/>
  <c r="BB867" i="30"/>
  <c r="BB868" i="30"/>
  <c r="BB869" i="30"/>
  <c r="BB870" i="30"/>
  <c r="BB871" i="30"/>
  <c r="BB872" i="30"/>
  <c r="BB873" i="30"/>
  <c r="BB874" i="30"/>
  <c r="BB875" i="30"/>
  <c r="BB876" i="30"/>
  <c r="BB877" i="30"/>
  <c r="BB878" i="30"/>
  <c r="BB879" i="30"/>
  <c r="BB880" i="30"/>
  <c r="BB881" i="30"/>
  <c r="BB882" i="30"/>
  <c r="BB883" i="30"/>
  <c r="BB884" i="30"/>
  <c r="BB885" i="30"/>
  <c r="BB886" i="30"/>
  <c r="BB887" i="30"/>
  <c r="BB888" i="30"/>
  <c r="BB889" i="30"/>
  <c r="BB890" i="30"/>
  <c r="BB891" i="30"/>
  <c r="BB892" i="30"/>
  <c r="BB893" i="30"/>
  <c r="BB894" i="30"/>
  <c r="BB895" i="30"/>
  <c r="BB896" i="30"/>
  <c r="BB897" i="30"/>
  <c r="BB898" i="30"/>
  <c r="BB899" i="30"/>
  <c r="BB900" i="30"/>
  <c r="BB901" i="30"/>
  <c r="BB902" i="30"/>
  <c r="BB903" i="30"/>
  <c r="BB904" i="30"/>
  <c r="BB905" i="30"/>
  <c r="BB906" i="30"/>
  <c r="BB907" i="30"/>
  <c r="BB908" i="30"/>
  <c r="BB909" i="30"/>
  <c r="BB910" i="30"/>
  <c r="BB911" i="30"/>
  <c r="BB912" i="30"/>
  <c r="BB913" i="30"/>
  <c r="BB914" i="30"/>
  <c r="BB915" i="30"/>
  <c r="BB916" i="30"/>
  <c r="BB917" i="30"/>
  <c r="BB918" i="30"/>
  <c r="BB919" i="30"/>
  <c r="BB920" i="30"/>
  <c r="BB921" i="30"/>
  <c r="BB922" i="30"/>
  <c r="BB923" i="30"/>
  <c r="BB924" i="30"/>
  <c r="BB925" i="30"/>
  <c r="BB926" i="30"/>
  <c r="BB927" i="30"/>
  <c r="BB928" i="30"/>
  <c r="BB929" i="30"/>
  <c r="BB930" i="30"/>
  <c r="BB931" i="30"/>
  <c r="BB932" i="30"/>
  <c r="BB933" i="30"/>
  <c r="BB934" i="30"/>
  <c r="BB935" i="30"/>
  <c r="BB936" i="30"/>
  <c r="BB937" i="30"/>
  <c r="BB938" i="30"/>
  <c r="BB939" i="30"/>
  <c r="BB940" i="30"/>
  <c r="BB941" i="30"/>
  <c r="BB942" i="30"/>
  <c r="BB943" i="30"/>
  <c r="BB944" i="30"/>
  <c r="BB945" i="30"/>
  <c r="BB946" i="30"/>
  <c r="BB947" i="30"/>
  <c r="BB948" i="30"/>
  <c r="BB949" i="30"/>
  <c r="BB950" i="30"/>
  <c r="BB951" i="30"/>
  <c r="BB952" i="30"/>
  <c r="BB953" i="30"/>
  <c r="BB954" i="30"/>
  <c r="BB955" i="30"/>
  <c r="BB956" i="30"/>
  <c r="BB957" i="30"/>
  <c r="BB958" i="30"/>
  <c r="BB959" i="30"/>
  <c r="BB960" i="30"/>
  <c r="BB961" i="30"/>
  <c r="BB962" i="30"/>
  <c r="BB963" i="30"/>
  <c r="BB964" i="30"/>
  <c r="BB965" i="30"/>
  <c r="BB966" i="30"/>
  <c r="BB967" i="30"/>
  <c r="BB968" i="30"/>
  <c r="BB969" i="30"/>
  <c r="BB970" i="30"/>
  <c r="BB971" i="30"/>
  <c r="BB972" i="30"/>
  <c r="BB973" i="30"/>
  <c r="BB974" i="30"/>
  <c r="BB975" i="30"/>
  <c r="BB976" i="30"/>
  <c r="BB977" i="30"/>
  <c r="BB978" i="30"/>
  <c r="BB979" i="30"/>
  <c r="BB980" i="30"/>
  <c r="BB981" i="30"/>
  <c r="BB982" i="30"/>
  <c r="BB983" i="30"/>
  <c r="BB984" i="30"/>
  <c r="BB985" i="30"/>
  <c r="BB986" i="30"/>
  <c r="BB987" i="30"/>
  <c r="BB988" i="30"/>
  <c r="BB989" i="30"/>
  <c r="BB990" i="30"/>
  <c r="BB991" i="30"/>
  <c r="BB992" i="30"/>
  <c r="BB993" i="30"/>
  <c r="BB994" i="30"/>
  <c r="BB995" i="30"/>
  <c r="BB996" i="30"/>
  <c r="BB997" i="30"/>
  <c r="BB998" i="30"/>
  <c r="BB999" i="30"/>
  <c r="BB1000" i="30"/>
  <c r="BB1001" i="30"/>
  <c r="BB1002" i="30"/>
  <c r="BB1003" i="30"/>
  <c r="BB1004" i="30"/>
  <c r="BB1005" i="30"/>
  <c r="BB1006" i="30"/>
  <c r="BB1007" i="30"/>
  <c r="BB1008" i="30"/>
  <c r="BB1009" i="30"/>
  <c r="BB1010" i="30"/>
  <c r="BB1011" i="30"/>
  <c r="BB1012" i="30"/>
  <c r="BB1013" i="30"/>
  <c r="BB1014" i="30"/>
  <c r="BB1015" i="30"/>
  <c r="BB1016" i="30"/>
  <c r="BB1017" i="30"/>
  <c r="BB1018" i="30"/>
  <c r="BB1019" i="30"/>
  <c r="BB1020" i="30"/>
  <c r="BB1021" i="30"/>
  <c r="BB1022" i="30"/>
  <c r="BB1023" i="30"/>
  <c r="BB1024" i="30"/>
  <c r="BB1025" i="30"/>
  <c r="BB1026" i="30"/>
  <c r="BB1027" i="30"/>
  <c r="BB1028" i="30"/>
  <c r="BB1029" i="30"/>
  <c r="BB1030" i="30"/>
  <c r="BB1031" i="30"/>
  <c r="BB1032" i="30"/>
  <c r="BB1033" i="30"/>
  <c r="BB1034" i="30"/>
  <c r="BB1035" i="30"/>
  <c r="BB1036" i="30"/>
  <c r="BB1037" i="30"/>
  <c r="BB1038" i="30"/>
  <c r="BB1039" i="30"/>
  <c r="BB1040" i="30"/>
  <c r="BB1041" i="30"/>
  <c r="BB1042" i="30"/>
  <c r="BB1043" i="30"/>
  <c r="BB1044" i="30"/>
  <c r="BB1045" i="30"/>
  <c r="BB1046" i="30"/>
  <c r="BB1047" i="30"/>
  <c r="BB1048" i="30"/>
  <c r="BB1049" i="30"/>
  <c r="BB1050" i="30"/>
  <c r="BB1051" i="30"/>
  <c r="BB1052" i="30"/>
  <c r="BB1053" i="30"/>
  <c r="BB1054" i="30"/>
  <c r="BB1055" i="30"/>
  <c r="BB1056" i="30"/>
  <c r="BB1057" i="30"/>
  <c r="BB1058" i="30"/>
  <c r="BB1059" i="30"/>
  <c r="BB1060" i="30"/>
  <c r="BB1061" i="30"/>
  <c r="BB1062" i="30"/>
  <c r="BB1063" i="30"/>
  <c r="BB1064" i="30"/>
  <c r="BB1065" i="30"/>
  <c r="BB1066" i="30"/>
  <c r="BB1067" i="30"/>
  <c r="BB1068" i="30"/>
  <c r="BB1069" i="30"/>
  <c r="BB1070" i="30"/>
  <c r="BB1071" i="30"/>
  <c r="BB1072" i="30"/>
  <c r="BB1073" i="30"/>
  <c r="BB1074" i="30"/>
  <c r="BB1075" i="30"/>
  <c r="BB1076" i="30"/>
  <c r="BB1077" i="30"/>
  <c r="BB1078" i="30"/>
  <c r="BB1079" i="30"/>
  <c r="BB1080" i="30"/>
  <c r="BB1081" i="30"/>
  <c r="BB1082" i="30"/>
  <c r="BB1083" i="30"/>
  <c r="BB1084" i="30"/>
  <c r="BB1085" i="30"/>
  <c r="BB1086" i="30"/>
  <c r="BB1087" i="30"/>
  <c r="BB1088" i="30"/>
  <c r="BB1089" i="30"/>
  <c r="BB1090" i="30"/>
  <c r="BB1091" i="30"/>
  <c r="BB1092" i="30"/>
  <c r="BB1093" i="30"/>
  <c r="BB1094" i="30"/>
  <c r="BB1095" i="30"/>
  <c r="BB1096" i="30"/>
  <c r="BB1097" i="30"/>
  <c r="BB1098" i="30"/>
  <c r="BB1099" i="30"/>
  <c r="BB1100" i="30"/>
  <c r="BB1101" i="30"/>
  <c r="BB1102" i="30"/>
  <c r="BB1103" i="30"/>
  <c r="BB1104" i="30"/>
  <c r="BB1105" i="30"/>
  <c r="BB1106" i="30"/>
  <c r="BB1107" i="30"/>
  <c r="BB1108" i="30"/>
  <c r="BB1109" i="30"/>
  <c r="BB1110" i="30"/>
  <c r="BB1111" i="30"/>
  <c r="BB1112" i="30"/>
  <c r="BB1113" i="30"/>
  <c r="BB1114" i="30"/>
  <c r="BB1115" i="30"/>
  <c r="BB1116" i="30"/>
  <c r="BB1117" i="30"/>
  <c r="BB1118" i="30"/>
  <c r="BB1119" i="30"/>
  <c r="BB1120" i="30"/>
  <c r="BB1121" i="30"/>
  <c r="BB1122" i="30"/>
  <c r="BB1123" i="30"/>
  <c r="BB1124" i="30"/>
  <c r="BB1125" i="30"/>
  <c r="BB1126" i="30"/>
  <c r="BB1127" i="30"/>
  <c r="BB1128" i="30"/>
  <c r="BB1129" i="30"/>
  <c r="BB1130" i="30"/>
  <c r="BB1131" i="30"/>
  <c r="BB1132" i="30"/>
  <c r="BB1133" i="30"/>
  <c r="BB1134" i="30"/>
  <c r="BB1135" i="30"/>
  <c r="BB1136" i="30"/>
  <c r="BB1137" i="30"/>
  <c r="BB1138" i="30"/>
  <c r="BB1139" i="30"/>
  <c r="BB1140" i="30"/>
  <c r="BB1141" i="30"/>
  <c r="BB1142" i="30"/>
  <c r="BB1143" i="30"/>
  <c r="BB1144" i="30"/>
  <c r="BB1145" i="30"/>
  <c r="BB1146" i="30"/>
  <c r="BB1147" i="30"/>
  <c r="BB1148" i="30"/>
  <c r="BB1149" i="30"/>
  <c r="BB1150" i="30"/>
  <c r="BB1151" i="30"/>
  <c r="BB1152" i="30"/>
  <c r="BB1153" i="30"/>
  <c r="BB1154" i="30"/>
  <c r="BB1155" i="30"/>
  <c r="BB1156" i="30"/>
  <c r="BB1157" i="30"/>
  <c r="BB1158" i="30"/>
  <c r="BB1159" i="30"/>
  <c r="BB1160" i="30"/>
  <c r="BB1161" i="30"/>
  <c r="BB1162" i="30"/>
  <c r="BB1163" i="30"/>
  <c r="BB1164" i="30"/>
  <c r="BB1165" i="30"/>
  <c r="BB1166" i="30"/>
  <c r="BB1167" i="30"/>
  <c r="BB1168" i="30"/>
  <c r="BB1169" i="30"/>
  <c r="BB1170" i="30"/>
  <c r="BB1171" i="30"/>
  <c r="BB1172" i="30"/>
  <c r="BB1173" i="30"/>
  <c r="BB1174" i="30"/>
  <c r="BB1175" i="30"/>
  <c r="BB1176" i="30"/>
  <c r="BB1177" i="30"/>
  <c r="BB1178" i="30"/>
  <c r="BB1179" i="30"/>
  <c r="BB1180" i="30"/>
  <c r="BB1181" i="30"/>
  <c r="BB1182" i="30"/>
  <c r="BB1183" i="30"/>
  <c r="BB1184" i="30"/>
  <c r="BB1185" i="30"/>
  <c r="BB1186" i="30"/>
  <c r="BB1187" i="30"/>
  <c r="BB1188" i="30"/>
  <c r="BB1189" i="30"/>
  <c r="BB1190" i="30"/>
  <c r="BB1191" i="30"/>
  <c r="BB1192" i="30"/>
  <c r="BB1193" i="30"/>
  <c r="BB1194" i="30"/>
  <c r="BB1195" i="30"/>
  <c r="BB1196" i="30"/>
  <c r="BB1197" i="30"/>
  <c r="BB1198" i="30"/>
  <c r="BB1199" i="30"/>
  <c r="BB1200" i="30"/>
  <c r="BB1201" i="30"/>
  <c r="BB1202" i="30"/>
  <c r="BB1203" i="30"/>
  <c r="BB1204" i="30"/>
  <c r="BB1205" i="30"/>
  <c r="BB1206" i="30"/>
  <c r="BB1207" i="30"/>
  <c r="BB1208" i="30"/>
  <c r="BB1209" i="30"/>
  <c r="BB1210" i="30"/>
  <c r="BB1211" i="30"/>
  <c r="BB1212" i="30"/>
  <c r="BB1213" i="30"/>
  <c r="BB1214" i="30"/>
  <c r="BB1215" i="30"/>
  <c r="BB1216" i="30"/>
  <c r="BB1217" i="30"/>
  <c r="BB1218" i="30"/>
  <c r="BB1219" i="30"/>
  <c r="BB1220" i="30"/>
  <c r="BB1221" i="30"/>
  <c r="BB1222" i="30"/>
  <c r="BB1223" i="30"/>
  <c r="BB1224" i="30"/>
  <c r="BB1225" i="30"/>
  <c r="BB1226" i="30"/>
  <c r="BB1227" i="30"/>
  <c r="BB1228" i="30"/>
  <c r="BB1229" i="30"/>
  <c r="BB1230" i="30"/>
  <c r="BA32" i="30"/>
  <c r="BA33" i="30"/>
  <c r="BA34" i="30"/>
  <c r="BA35" i="30"/>
  <c r="BA36" i="30"/>
  <c r="BA37" i="30"/>
  <c r="BA38" i="30"/>
  <c r="BA39" i="30"/>
  <c r="BA40" i="30"/>
  <c r="BA41" i="30"/>
  <c r="BA42" i="30"/>
  <c r="BA43" i="30"/>
  <c r="BA44" i="30"/>
  <c r="BA45" i="30"/>
  <c r="BA46" i="30"/>
  <c r="BA47" i="30"/>
  <c r="BA48" i="30"/>
  <c r="BA49" i="30"/>
  <c r="BA50" i="30"/>
  <c r="BA51" i="30"/>
  <c r="BA52" i="30"/>
  <c r="BA53" i="30"/>
  <c r="BA54" i="30"/>
  <c r="BA55" i="30"/>
  <c r="BA56" i="30"/>
  <c r="BA57" i="30"/>
  <c r="BA58" i="30"/>
  <c r="BA59" i="30"/>
  <c r="BA60" i="30"/>
  <c r="BA61" i="30"/>
  <c r="BA62" i="30"/>
  <c r="BA63" i="30"/>
  <c r="BA64" i="30"/>
  <c r="BA65" i="30"/>
  <c r="BA66" i="30"/>
  <c r="BA67" i="30"/>
  <c r="BA68" i="30"/>
  <c r="BA69" i="30"/>
  <c r="BA70" i="30"/>
  <c r="BA71" i="30"/>
  <c r="BA72" i="30"/>
  <c r="BA73" i="30"/>
  <c r="BA74" i="30"/>
  <c r="BA75" i="30"/>
  <c r="BA76" i="30"/>
  <c r="BA77" i="30"/>
  <c r="BA78" i="30"/>
  <c r="BA79" i="30"/>
  <c r="BA80" i="30"/>
  <c r="BA81" i="30"/>
  <c r="BA82" i="30"/>
  <c r="BA83" i="30"/>
  <c r="BA84" i="30"/>
  <c r="BA85" i="30"/>
  <c r="BA86" i="30"/>
  <c r="BA87" i="30"/>
  <c r="BA88" i="30"/>
  <c r="BA89" i="30"/>
  <c r="BA90" i="30"/>
  <c r="BA91" i="30"/>
  <c r="BA92" i="30"/>
  <c r="BA93" i="30"/>
  <c r="BA94" i="30"/>
  <c r="BA95" i="30"/>
  <c r="BA96" i="30"/>
  <c r="BA97" i="30"/>
  <c r="BA98" i="30"/>
  <c r="BA99" i="30"/>
  <c r="BA100" i="30"/>
  <c r="BA101" i="30"/>
  <c r="BA102" i="30"/>
  <c r="BA103" i="30"/>
  <c r="BA104" i="30"/>
  <c r="BA105" i="30"/>
  <c r="BA106" i="30"/>
  <c r="BA107" i="30"/>
  <c r="BA108" i="30"/>
  <c r="BA109" i="30"/>
  <c r="BA110" i="30"/>
  <c r="BA111" i="30"/>
  <c r="BA112" i="30"/>
  <c r="BA113" i="30"/>
  <c r="BA114" i="30"/>
  <c r="BA115" i="30"/>
  <c r="BA116" i="30"/>
  <c r="BA117" i="30"/>
  <c r="BA118" i="30"/>
  <c r="BA119" i="30"/>
  <c r="BA120" i="30"/>
  <c r="BA121" i="30"/>
  <c r="BA122" i="30"/>
  <c r="BA123" i="30"/>
  <c r="BA124" i="30"/>
  <c r="BA125" i="30"/>
  <c r="BA126" i="30"/>
  <c r="BA127" i="30"/>
  <c r="BA128" i="30"/>
  <c r="BA129" i="30"/>
  <c r="BA130" i="30"/>
  <c r="BA131" i="30"/>
  <c r="BA132" i="30"/>
  <c r="BA133" i="30"/>
  <c r="BA134" i="30"/>
  <c r="BA135" i="30"/>
  <c r="BA136" i="30"/>
  <c r="BA137" i="30"/>
  <c r="BA138" i="30"/>
  <c r="BA139" i="30"/>
  <c r="BA140" i="30"/>
  <c r="BA141" i="30"/>
  <c r="BA142" i="30"/>
  <c r="BA143" i="30"/>
  <c r="BA144" i="30"/>
  <c r="BA145" i="30"/>
  <c r="BA146" i="30"/>
  <c r="BA147" i="30"/>
  <c r="BA148" i="30"/>
  <c r="BA149" i="30"/>
  <c r="BA150" i="30"/>
  <c r="BA151" i="30"/>
  <c r="BA152" i="30"/>
  <c r="BA153" i="30"/>
  <c r="BA154" i="30"/>
  <c r="BA155" i="30"/>
  <c r="BA156" i="30"/>
  <c r="BA157" i="30"/>
  <c r="BA158" i="30"/>
  <c r="BA159" i="30"/>
  <c r="BA160" i="30"/>
  <c r="BA161" i="30"/>
  <c r="BA162" i="30"/>
  <c r="BA163" i="30"/>
  <c r="BA164" i="30"/>
  <c r="BA165" i="30"/>
  <c r="BA166" i="30"/>
  <c r="BA167" i="30"/>
  <c r="BA168" i="30"/>
  <c r="BA169" i="30"/>
  <c r="BA170" i="30"/>
  <c r="BA171" i="30"/>
  <c r="BA172" i="30"/>
  <c r="BA173" i="30"/>
  <c r="BA174" i="30"/>
  <c r="BA175" i="30"/>
  <c r="BA176" i="30"/>
  <c r="BA177" i="30"/>
  <c r="BA178" i="30"/>
  <c r="BA179" i="30"/>
  <c r="BA180" i="30"/>
  <c r="BA181" i="30"/>
  <c r="BA182" i="30"/>
  <c r="BA183" i="30"/>
  <c r="BA184" i="30"/>
  <c r="BA185" i="30"/>
  <c r="BA186" i="30"/>
  <c r="BA187" i="30"/>
  <c r="BA188" i="30"/>
  <c r="BA189" i="30"/>
  <c r="BA190" i="30"/>
  <c r="BA191" i="30"/>
  <c r="BA192" i="30"/>
  <c r="BA193" i="30"/>
  <c r="BA194" i="30"/>
  <c r="BA195" i="30"/>
  <c r="BA196" i="30"/>
  <c r="BA197" i="30"/>
  <c r="BA198" i="30"/>
  <c r="BA199" i="30"/>
  <c r="BA200" i="30"/>
  <c r="BA201" i="30"/>
  <c r="BA202" i="30"/>
  <c r="BA203" i="30"/>
  <c r="BA204" i="30"/>
  <c r="BA205" i="30"/>
  <c r="BA206" i="30"/>
  <c r="BA207" i="30"/>
  <c r="BA208" i="30"/>
  <c r="BA209" i="30"/>
  <c r="BA210" i="30"/>
  <c r="BA211" i="30"/>
  <c r="BA212" i="30"/>
  <c r="BA213" i="30"/>
  <c r="BA214" i="30"/>
  <c r="BA215" i="30"/>
  <c r="BA216" i="30"/>
  <c r="BA217" i="30"/>
  <c r="BA218" i="30"/>
  <c r="BA219" i="30"/>
  <c r="BA220" i="30"/>
  <c r="BA221" i="30"/>
  <c r="BA222" i="30"/>
  <c r="BA223" i="30"/>
  <c r="BA224" i="30"/>
  <c r="BA225" i="30"/>
  <c r="BA226" i="30"/>
  <c r="BA227" i="30"/>
  <c r="BA228" i="30"/>
  <c r="BA229" i="30"/>
  <c r="BA230" i="30"/>
  <c r="BA231" i="30"/>
  <c r="BA232" i="30"/>
  <c r="BA233" i="30"/>
  <c r="BA234" i="30"/>
  <c r="BA235" i="30"/>
  <c r="BA236" i="30"/>
  <c r="BA237" i="30"/>
  <c r="BA238" i="30"/>
  <c r="BA239" i="30"/>
  <c r="BA240" i="30"/>
  <c r="BA241" i="30"/>
  <c r="BA242" i="30"/>
  <c r="BA243" i="30"/>
  <c r="BA244" i="30"/>
  <c r="BA245" i="30"/>
  <c r="BA246" i="30"/>
  <c r="BA247" i="30"/>
  <c r="BA248" i="30"/>
  <c r="BA249" i="30"/>
  <c r="BA250" i="30"/>
  <c r="BA251" i="30"/>
  <c r="BA252" i="30"/>
  <c r="BA253" i="30"/>
  <c r="BA254" i="30"/>
  <c r="BA255" i="30"/>
  <c r="BA256" i="30"/>
  <c r="BA257" i="30"/>
  <c r="BA258" i="30"/>
  <c r="BA259" i="30"/>
  <c r="BA260" i="30"/>
  <c r="BA261" i="30"/>
  <c r="BA262" i="30"/>
  <c r="BA263" i="30"/>
  <c r="BA264" i="30"/>
  <c r="BA265" i="30"/>
  <c r="BA266" i="30"/>
  <c r="BA267" i="30"/>
  <c r="BA268" i="30"/>
  <c r="BA269" i="30"/>
  <c r="BA270" i="30"/>
  <c r="BA271" i="30"/>
  <c r="BA272" i="30"/>
  <c r="BA273" i="30"/>
  <c r="BA274" i="30"/>
  <c r="BA275" i="30"/>
  <c r="BA276" i="30"/>
  <c r="BA277" i="30"/>
  <c r="BA278" i="30"/>
  <c r="BA279" i="30"/>
  <c r="BA280" i="30"/>
  <c r="BA281" i="30"/>
  <c r="BA282" i="30"/>
  <c r="BA283" i="30"/>
  <c r="BA284" i="30"/>
  <c r="BA285" i="30"/>
  <c r="BA286" i="30"/>
  <c r="BA287" i="30"/>
  <c r="BA288" i="30"/>
  <c r="BA289" i="30"/>
  <c r="BA290" i="30"/>
  <c r="BA291" i="30"/>
  <c r="BA292" i="30"/>
  <c r="BA293" i="30"/>
  <c r="BA294" i="30"/>
  <c r="BA295" i="30"/>
  <c r="BA296" i="30"/>
  <c r="BA297" i="30"/>
  <c r="BA298" i="30"/>
  <c r="BA299" i="30"/>
  <c r="BA300" i="30"/>
  <c r="BA301" i="30"/>
  <c r="BA302" i="30"/>
  <c r="BA303" i="30"/>
  <c r="BA304" i="30"/>
  <c r="BA305" i="30"/>
  <c r="BA306" i="30"/>
  <c r="BA307" i="30"/>
  <c r="BA308" i="30"/>
  <c r="BA309" i="30"/>
  <c r="BA310" i="30"/>
  <c r="BA311" i="30"/>
  <c r="BA312" i="30"/>
  <c r="BA313" i="30"/>
  <c r="BA314" i="30"/>
  <c r="BA315" i="30"/>
  <c r="BA316" i="30"/>
  <c r="BA317" i="30"/>
  <c r="BA318" i="30"/>
  <c r="BA319" i="30"/>
  <c r="BA320" i="30"/>
  <c r="BA321" i="30"/>
  <c r="BA322" i="30"/>
  <c r="BA323" i="30"/>
  <c r="BA324" i="30"/>
  <c r="BA325" i="30"/>
  <c r="BA326" i="30"/>
  <c r="BA327" i="30"/>
  <c r="BA328" i="30"/>
  <c r="BA329" i="30"/>
  <c r="BA330" i="30"/>
  <c r="BA331" i="30"/>
  <c r="BA332" i="30"/>
  <c r="BA333" i="30"/>
  <c r="BA334" i="30"/>
  <c r="BA335" i="30"/>
  <c r="BA336" i="30"/>
  <c r="BA337" i="30"/>
  <c r="BA338" i="30"/>
  <c r="BA339" i="30"/>
  <c r="BA340" i="30"/>
  <c r="BA341" i="30"/>
  <c r="BA342" i="30"/>
  <c r="BA343" i="30"/>
  <c r="BA344" i="30"/>
  <c r="BA345" i="30"/>
  <c r="BA346" i="30"/>
  <c r="BA347" i="30"/>
  <c r="BA348" i="30"/>
  <c r="BA349" i="30"/>
  <c r="BA350" i="30"/>
  <c r="BA351" i="30"/>
  <c r="BA352" i="30"/>
  <c r="BA353" i="30"/>
  <c r="BA354" i="30"/>
  <c r="BA355" i="30"/>
  <c r="BA356" i="30"/>
  <c r="BA357" i="30"/>
  <c r="BA358" i="30"/>
  <c r="BA359" i="30"/>
  <c r="BA360" i="30"/>
  <c r="BA361" i="30"/>
  <c r="BA362" i="30"/>
  <c r="BA363" i="30"/>
  <c r="BA364" i="30"/>
  <c r="BA365" i="30"/>
  <c r="BA366" i="30"/>
  <c r="BA367" i="30"/>
  <c r="BA368" i="30"/>
  <c r="BA369" i="30"/>
  <c r="BA370" i="30"/>
  <c r="BA371" i="30"/>
  <c r="BA372" i="30"/>
  <c r="BA373" i="30"/>
  <c r="BA374" i="30"/>
  <c r="BA375" i="30"/>
  <c r="BA376" i="30"/>
  <c r="BA377" i="30"/>
  <c r="BA378" i="30"/>
  <c r="BA379" i="30"/>
  <c r="BA380" i="30"/>
  <c r="BA381" i="30"/>
  <c r="BA382" i="30"/>
  <c r="BA383" i="30"/>
  <c r="BA384" i="30"/>
  <c r="BA385" i="30"/>
  <c r="BA386" i="30"/>
  <c r="BA387" i="30"/>
  <c r="BA388" i="30"/>
  <c r="BA389" i="30"/>
  <c r="BA390" i="30"/>
  <c r="BA391" i="30"/>
  <c r="BA392" i="30"/>
  <c r="BA393" i="30"/>
  <c r="BA394" i="30"/>
  <c r="BA395" i="30"/>
  <c r="BA396" i="30"/>
  <c r="BA397" i="30"/>
  <c r="BA398" i="30"/>
  <c r="BA399" i="30"/>
  <c r="BA400" i="30"/>
  <c r="BA401" i="30"/>
  <c r="BA402" i="30"/>
  <c r="BA403" i="30"/>
  <c r="BA404" i="30"/>
  <c r="BA405" i="30"/>
  <c r="BA406" i="30"/>
  <c r="BA407" i="30"/>
  <c r="BA408" i="30"/>
  <c r="BA409" i="30"/>
  <c r="BA410" i="30"/>
  <c r="BA411" i="30"/>
  <c r="BA412" i="30"/>
  <c r="BA413" i="30"/>
  <c r="BA414" i="30"/>
  <c r="BA415" i="30"/>
  <c r="BA416" i="30"/>
  <c r="BA417" i="30"/>
  <c r="BA418" i="30"/>
  <c r="BA419" i="30"/>
  <c r="BA420" i="30"/>
  <c r="BA421" i="30"/>
  <c r="BA422" i="30"/>
  <c r="BA423" i="30"/>
  <c r="BA424" i="30"/>
  <c r="BA425" i="30"/>
  <c r="BA426" i="30"/>
  <c r="BA427" i="30"/>
  <c r="BA428" i="30"/>
  <c r="BA429" i="30"/>
  <c r="BA430" i="30"/>
  <c r="BA431" i="30"/>
  <c r="BA432" i="30"/>
  <c r="BA433" i="30"/>
  <c r="BA434" i="30"/>
  <c r="BA435" i="30"/>
  <c r="BA436" i="30"/>
  <c r="BA437" i="30"/>
  <c r="BA438" i="30"/>
  <c r="BA439" i="30"/>
  <c r="BA440" i="30"/>
  <c r="BA441" i="30"/>
  <c r="BA442" i="30"/>
  <c r="BA443" i="30"/>
  <c r="BA444" i="30"/>
  <c r="BA445" i="30"/>
  <c r="BA446" i="30"/>
  <c r="BA447" i="30"/>
  <c r="BA448" i="30"/>
  <c r="BA449" i="30"/>
  <c r="BA450" i="30"/>
  <c r="BA451" i="30"/>
  <c r="BA452" i="30"/>
  <c r="BA453" i="30"/>
  <c r="BA454" i="30"/>
  <c r="BA455" i="30"/>
  <c r="BA456" i="30"/>
  <c r="BA457" i="30"/>
  <c r="BA458" i="30"/>
  <c r="BA459" i="30"/>
  <c r="BA460" i="30"/>
  <c r="BA461" i="30"/>
  <c r="BA462" i="30"/>
  <c r="BA463" i="30"/>
  <c r="BA464" i="30"/>
  <c r="BA465" i="30"/>
  <c r="BA466" i="30"/>
  <c r="BA467" i="30"/>
  <c r="BA468" i="30"/>
  <c r="BA469" i="30"/>
  <c r="BA470" i="30"/>
  <c r="BA471" i="30"/>
  <c r="BA472" i="30"/>
  <c r="BA473" i="30"/>
  <c r="BA474" i="30"/>
  <c r="BA475" i="30"/>
  <c r="BA476" i="30"/>
  <c r="BA477" i="30"/>
  <c r="BA478" i="30"/>
  <c r="BA479" i="30"/>
  <c r="BA480" i="30"/>
  <c r="BA481" i="30"/>
  <c r="BA482" i="30"/>
  <c r="BA483" i="30"/>
  <c r="BA484" i="30"/>
  <c r="BA485" i="30"/>
  <c r="BA486" i="30"/>
  <c r="BA487" i="30"/>
  <c r="BA488" i="30"/>
  <c r="BA489" i="30"/>
  <c r="BA490" i="30"/>
  <c r="BA491" i="30"/>
  <c r="BA492" i="30"/>
  <c r="BA493" i="30"/>
  <c r="BA494" i="30"/>
  <c r="BA495" i="30"/>
  <c r="BA496" i="30"/>
  <c r="BA497" i="30"/>
  <c r="BA498" i="30"/>
  <c r="BA499" i="30"/>
  <c r="BA500" i="30"/>
  <c r="BA501" i="30"/>
  <c r="BA502" i="30"/>
  <c r="BA503" i="30"/>
  <c r="BA504" i="30"/>
  <c r="BA505" i="30"/>
  <c r="BA506" i="30"/>
  <c r="BA507" i="30"/>
  <c r="BA508" i="30"/>
  <c r="BA509" i="30"/>
  <c r="BA510" i="30"/>
  <c r="BA511" i="30"/>
  <c r="BA512" i="30"/>
  <c r="BA513" i="30"/>
  <c r="BA514" i="30"/>
  <c r="BA515" i="30"/>
  <c r="BA516" i="30"/>
  <c r="BA517" i="30"/>
  <c r="BA518" i="30"/>
  <c r="BA519" i="30"/>
  <c r="BA520" i="30"/>
  <c r="BA521" i="30"/>
  <c r="BA522" i="30"/>
  <c r="BA523" i="30"/>
  <c r="BA524" i="30"/>
  <c r="BA525" i="30"/>
  <c r="BA526" i="30"/>
  <c r="BA527" i="30"/>
  <c r="BA528" i="30"/>
  <c r="BA529" i="30"/>
  <c r="BA530" i="30"/>
  <c r="BA531" i="30"/>
  <c r="BA532" i="30"/>
  <c r="BA533" i="30"/>
  <c r="BA534" i="30"/>
  <c r="BA535" i="30"/>
  <c r="BA536" i="30"/>
  <c r="BA537" i="30"/>
  <c r="BA538" i="30"/>
  <c r="BA539" i="30"/>
  <c r="BA540" i="30"/>
  <c r="BA541" i="30"/>
  <c r="BA542" i="30"/>
  <c r="BA543" i="30"/>
  <c r="BA544" i="30"/>
  <c r="BA545" i="30"/>
  <c r="BA546" i="30"/>
  <c r="BA547" i="30"/>
  <c r="BA548" i="30"/>
  <c r="BA549" i="30"/>
  <c r="BA550" i="30"/>
  <c r="BA551" i="30"/>
  <c r="BA552" i="30"/>
  <c r="BA553" i="30"/>
  <c r="BA554" i="30"/>
  <c r="BA555" i="30"/>
  <c r="BA556" i="30"/>
  <c r="BA557" i="30"/>
  <c r="BA558" i="30"/>
  <c r="BA559" i="30"/>
  <c r="BA560" i="30"/>
  <c r="BA561" i="30"/>
  <c r="BA562" i="30"/>
  <c r="BA563" i="30"/>
  <c r="BA564" i="30"/>
  <c r="BA565" i="30"/>
  <c r="BA566" i="30"/>
  <c r="BA567" i="30"/>
  <c r="BA568" i="30"/>
  <c r="BA569" i="30"/>
  <c r="BA570" i="30"/>
  <c r="BA571" i="30"/>
  <c r="BA572" i="30"/>
  <c r="BA573" i="30"/>
  <c r="BA574" i="30"/>
  <c r="BA575" i="30"/>
  <c r="BA576" i="30"/>
  <c r="BA577" i="30"/>
  <c r="BA578" i="30"/>
  <c r="BA579" i="30"/>
  <c r="BA580" i="30"/>
  <c r="BA581" i="30"/>
  <c r="BA582" i="30"/>
  <c r="BA583" i="30"/>
  <c r="BA584" i="30"/>
  <c r="BA585" i="30"/>
  <c r="BA586" i="30"/>
  <c r="BA587" i="30"/>
  <c r="BA588" i="30"/>
  <c r="BA589" i="30"/>
  <c r="BA590" i="30"/>
  <c r="BA591" i="30"/>
  <c r="BA592" i="30"/>
  <c r="BA593" i="30"/>
  <c r="BA594" i="30"/>
  <c r="BA595" i="30"/>
  <c r="BA596" i="30"/>
  <c r="BA597" i="30"/>
  <c r="BA598" i="30"/>
  <c r="BA599" i="30"/>
  <c r="BA600" i="30"/>
  <c r="BA601" i="30"/>
  <c r="BA602" i="30"/>
  <c r="BA603" i="30"/>
  <c r="BA604" i="30"/>
  <c r="BA605" i="30"/>
  <c r="BA606" i="30"/>
  <c r="BA607" i="30"/>
  <c r="BA608" i="30"/>
  <c r="BA609" i="30"/>
  <c r="BA610" i="30"/>
  <c r="BA611" i="30"/>
  <c r="BA612" i="30"/>
  <c r="BA613" i="30"/>
  <c r="BA614" i="30"/>
  <c r="BA615" i="30"/>
  <c r="BA616" i="30"/>
  <c r="BA617" i="30"/>
  <c r="BA618" i="30"/>
  <c r="BA619" i="30"/>
  <c r="BA620" i="30"/>
  <c r="BA621" i="30"/>
  <c r="BA622" i="30"/>
  <c r="BA623" i="30"/>
  <c r="BA624" i="30"/>
  <c r="BA625" i="30"/>
  <c r="BA626" i="30"/>
  <c r="BA627" i="30"/>
  <c r="BA628" i="30"/>
  <c r="BA629" i="30"/>
  <c r="BA630" i="30"/>
  <c r="BA631" i="30"/>
  <c r="BA632" i="30"/>
  <c r="BA633" i="30"/>
  <c r="BA634" i="30"/>
  <c r="BA635" i="30"/>
  <c r="BA636" i="30"/>
  <c r="BA637" i="30"/>
  <c r="BA638" i="30"/>
  <c r="BA639" i="30"/>
  <c r="BA640" i="30"/>
  <c r="BA641" i="30"/>
  <c r="BA642" i="30"/>
  <c r="BA643" i="30"/>
  <c r="BA644" i="30"/>
  <c r="BA645" i="30"/>
  <c r="BA646" i="30"/>
  <c r="BA647" i="30"/>
  <c r="BA648" i="30"/>
  <c r="BA649" i="30"/>
  <c r="BA650" i="30"/>
  <c r="BA651" i="30"/>
  <c r="BA652" i="30"/>
  <c r="BA653" i="30"/>
  <c r="BA654" i="30"/>
  <c r="BA655" i="30"/>
  <c r="BA656" i="30"/>
  <c r="BA657" i="30"/>
  <c r="BA658" i="30"/>
  <c r="BA659" i="30"/>
  <c r="BA660" i="30"/>
  <c r="BA661" i="30"/>
  <c r="BA662" i="30"/>
  <c r="BA663" i="30"/>
  <c r="BA664" i="30"/>
  <c r="BA665" i="30"/>
  <c r="BA666" i="30"/>
  <c r="BA667" i="30"/>
  <c r="BA668" i="30"/>
  <c r="BA669" i="30"/>
  <c r="BA670" i="30"/>
  <c r="BA671" i="30"/>
  <c r="BA672" i="30"/>
  <c r="BA673" i="30"/>
  <c r="BA674" i="30"/>
  <c r="BA675" i="30"/>
  <c r="BA676" i="30"/>
  <c r="BA677" i="30"/>
  <c r="BA678" i="30"/>
  <c r="BA679" i="30"/>
  <c r="BA680" i="30"/>
  <c r="BA681" i="30"/>
  <c r="BA682" i="30"/>
  <c r="BA683" i="30"/>
  <c r="BA684" i="30"/>
  <c r="BA685" i="30"/>
  <c r="BA686" i="30"/>
  <c r="BA687" i="30"/>
  <c r="BA688" i="30"/>
  <c r="BA689" i="30"/>
  <c r="BA690" i="30"/>
  <c r="BA691" i="30"/>
  <c r="BA692" i="30"/>
  <c r="BA693" i="30"/>
  <c r="BA694" i="30"/>
  <c r="BA695" i="30"/>
  <c r="BA696" i="30"/>
  <c r="BA697" i="30"/>
  <c r="BA698" i="30"/>
  <c r="BA699" i="30"/>
  <c r="BA700" i="30"/>
  <c r="BA701" i="30"/>
  <c r="BA702" i="30"/>
  <c r="BA703" i="30"/>
  <c r="BA704" i="30"/>
  <c r="BA705" i="30"/>
  <c r="BA706" i="30"/>
  <c r="BA707" i="30"/>
  <c r="BA708" i="30"/>
  <c r="BA709" i="30"/>
  <c r="BA710" i="30"/>
  <c r="BA711" i="30"/>
  <c r="BA712" i="30"/>
  <c r="BA713" i="30"/>
  <c r="BA714" i="30"/>
  <c r="BA715" i="30"/>
  <c r="BA716" i="30"/>
  <c r="BA717" i="30"/>
  <c r="BA718" i="30"/>
  <c r="BA719" i="30"/>
  <c r="BA720" i="30"/>
  <c r="BA721" i="30"/>
  <c r="BA722" i="30"/>
  <c r="BA723" i="30"/>
  <c r="BA724" i="30"/>
  <c r="BA725" i="30"/>
  <c r="BA726" i="30"/>
  <c r="BA727" i="30"/>
  <c r="BA728" i="30"/>
  <c r="BA729" i="30"/>
  <c r="BA730" i="30"/>
  <c r="BA731" i="30"/>
  <c r="BA732" i="30"/>
  <c r="BA733" i="30"/>
  <c r="BA734" i="30"/>
  <c r="BA735" i="30"/>
  <c r="BA736" i="30"/>
  <c r="BA737" i="30"/>
  <c r="BA738" i="30"/>
  <c r="BA739" i="30"/>
  <c r="BA740" i="30"/>
  <c r="BA741" i="30"/>
  <c r="BA742" i="30"/>
  <c r="BA743" i="30"/>
  <c r="BA744" i="30"/>
  <c r="BA745" i="30"/>
  <c r="BA746" i="30"/>
  <c r="BA747" i="30"/>
  <c r="BA748" i="30"/>
  <c r="BA749" i="30"/>
  <c r="BA750" i="30"/>
  <c r="BA751" i="30"/>
  <c r="BA752" i="30"/>
  <c r="BA753" i="30"/>
  <c r="BA754" i="30"/>
  <c r="BA755" i="30"/>
  <c r="BA756" i="30"/>
  <c r="BA757" i="30"/>
  <c r="BA758" i="30"/>
  <c r="BA759" i="30"/>
  <c r="BA760" i="30"/>
  <c r="BA761" i="30"/>
  <c r="BA762" i="30"/>
  <c r="BA763" i="30"/>
  <c r="BA764" i="30"/>
  <c r="BA765" i="30"/>
  <c r="BA766" i="30"/>
  <c r="BA767" i="30"/>
  <c r="BA768" i="30"/>
  <c r="BA769" i="30"/>
  <c r="BA770" i="30"/>
  <c r="BA771" i="30"/>
  <c r="BA772" i="30"/>
  <c r="BA773" i="30"/>
  <c r="BA774" i="30"/>
  <c r="BA775" i="30"/>
  <c r="BA776" i="30"/>
  <c r="BA777" i="30"/>
  <c r="BA778" i="30"/>
  <c r="BA779" i="30"/>
  <c r="BA780" i="30"/>
  <c r="BA781" i="30"/>
  <c r="BA782" i="30"/>
  <c r="BA783" i="30"/>
  <c r="BA784" i="30"/>
  <c r="BA785" i="30"/>
  <c r="BA786" i="30"/>
  <c r="BA787" i="30"/>
  <c r="BA788" i="30"/>
  <c r="BA789" i="30"/>
  <c r="BA790" i="30"/>
  <c r="BA791" i="30"/>
  <c r="BA792" i="30"/>
  <c r="BA793" i="30"/>
  <c r="BA794" i="30"/>
  <c r="BA795" i="30"/>
  <c r="BA796" i="30"/>
  <c r="BA797" i="30"/>
  <c r="BA798" i="30"/>
  <c r="BA799" i="30"/>
  <c r="BA800" i="30"/>
  <c r="BA801" i="30"/>
  <c r="BA802" i="30"/>
  <c r="BA803" i="30"/>
  <c r="BA804" i="30"/>
  <c r="BA805" i="30"/>
  <c r="BA806" i="30"/>
  <c r="BA807" i="30"/>
  <c r="BA808" i="30"/>
  <c r="BA809" i="30"/>
  <c r="BA810" i="30"/>
  <c r="BA811" i="30"/>
  <c r="BA812" i="30"/>
  <c r="BA813" i="30"/>
  <c r="BA814" i="30"/>
  <c r="BA815" i="30"/>
  <c r="BA816" i="30"/>
  <c r="BA817" i="30"/>
  <c r="BA818" i="30"/>
  <c r="BA819" i="30"/>
  <c r="BA820" i="30"/>
  <c r="BA821" i="30"/>
  <c r="BA822" i="30"/>
  <c r="BA823" i="30"/>
  <c r="BA824" i="30"/>
  <c r="BA825" i="30"/>
  <c r="BA826" i="30"/>
  <c r="BA827" i="30"/>
  <c r="BA828" i="30"/>
  <c r="BA829" i="30"/>
  <c r="BA830" i="30"/>
  <c r="BA831" i="30"/>
  <c r="BA832" i="30"/>
  <c r="BA833" i="30"/>
  <c r="BA834" i="30"/>
  <c r="BA835" i="30"/>
  <c r="BA836" i="30"/>
  <c r="BA837" i="30"/>
  <c r="BA838" i="30"/>
  <c r="BA839" i="30"/>
  <c r="BA840" i="30"/>
  <c r="BA841" i="30"/>
  <c r="BA842" i="30"/>
  <c r="BA843" i="30"/>
  <c r="BA844" i="30"/>
  <c r="BA845" i="30"/>
  <c r="BA846" i="30"/>
  <c r="BA847" i="30"/>
  <c r="BA848" i="30"/>
  <c r="BA849" i="30"/>
  <c r="BA850" i="30"/>
  <c r="BA851" i="30"/>
  <c r="BA852" i="30"/>
  <c r="BA853" i="30"/>
  <c r="BA854" i="30"/>
  <c r="BA855" i="30"/>
  <c r="BA856" i="30"/>
  <c r="BA857" i="30"/>
  <c r="BA858" i="30"/>
  <c r="BA859" i="30"/>
  <c r="BA860" i="30"/>
  <c r="BA861" i="30"/>
  <c r="BA862" i="30"/>
  <c r="BA863" i="30"/>
  <c r="BA864" i="30"/>
  <c r="BA865" i="30"/>
  <c r="BA866" i="30"/>
  <c r="BA867" i="30"/>
  <c r="BA868" i="30"/>
  <c r="BA869" i="30"/>
  <c r="BA870" i="30"/>
  <c r="BA871" i="30"/>
  <c r="BA872" i="30"/>
  <c r="BA873" i="30"/>
  <c r="BA874" i="30"/>
  <c r="BA875" i="30"/>
  <c r="BA876" i="30"/>
  <c r="BA877" i="30"/>
  <c r="BA878" i="30"/>
  <c r="BA879" i="30"/>
  <c r="BA880" i="30"/>
  <c r="BA881" i="30"/>
  <c r="BA882" i="30"/>
  <c r="BA883" i="30"/>
  <c r="BA884" i="30"/>
  <c r="BA885" i="30"/>
  <c r="BA886" i="30"/>
  <c r="BA887" i="30"/>
  <c r="BA888" i="30"/>
  <c r="BA889" i="30"/>
  <c r="BA890" i="30"/>
  <c r="BA891" i="30"/>
  <c r="BA892" i="30"/>
  <c r="BA893" i="30"/>
  <c r="BA894" i="30"/>
  <c r="BA895" i="30"/>
  <c r="BA896" i="30"/>
  <c r="BA897" i="30"/>
  <c r="BA898" i="30"/>
  <c r="BA899" i="30"/>
  <c r="BA900" i="30"/>
  <c r="BA901" i="30"/>
  <c r="BA902" i="30"/>
  <c r="BA903" i="30"/>
  <c r="BA904" i="30"/>
  <c r="BA905" i="30"/>
  <c r="BA906" i="30"/>
  <c r="BA907" i="30"/>
  <c r="BA908" i="30"/>
  <c r="BA909" i="30"/>
  <c r="BA910" i="30"/>
  <c r="BA911" i="30"/>
  <c r="BA912" i="30"/>
  <c r="BA913" i="30"/>
  <c r="BA914" i="30"/>
  <c r="BA915" i="30"/>
  <c r="BA916" i="30"/>
  <c r="BA917" i="30"/>
  <c r="BA918" i="30"/>
  <c r="BA919" i="30"/>
  <c r="BA920" i="30"/>
  <c r="BA921" i="30"/>
  <c r="BA922" i="30"/>
  <c r="BA923" i="30"/>
  <c r="BA924" i="30"/>
  <c r="BA925" i="30"/>
  <c r="BA926" i="30"/>
  <c r="BA927" i="30"/>
  <c r="BA928" i="30"/>
  <c r="BA929" i="30"/>
  <c r="BA930" i="30"/>
  <c r="BA931" i="30"/>
  <c r="BA932" i="30"/>
  <c r="BA933" i="30"/>
  <c r="BA934" i="30"/>
  <c r="BA935" i="30"/>
  <c r="BA936" i="30"/>
  <c r="BA937" i="30"/>
  <c r="BA938" i="30"/>
  <c r="BA939" i="30"/>
  <c r="BA940" i="30"/>
  <c r="BA941" i="30"/>
  <c r="BA942" i="30"/>
  <c r="BA943" i="30"/>
  <c r="BA944" i="30"/>
  <c r="BA945" i="30"/>
  <c r="BA946" i="30"/>
  <c r="BA947" i="30"/>
  <c r="BA948" i="30"/>
  <c r="BA949" i="30"/>
  <c r="BA950" i="30"/>
  <c r="BA951" i="30"/>
  <c r="BA952" i="30"/>
  <c r="BA953" i="30"/>
  <c r="BA954" i="30"/>
  <c r="BA955" i="30"/>
  <c r="BA956" i="30"/>
  <c r="BA957" i="30"/>
  <c r="BA958" i="30"/>
  <c r="BA959" i="30"/>
  <c r="BA960" i="30"/>
  <c r="BA961" i="30"/>
  <c r="BA962" i="30"/>
  <c r="BA963" i="30"/>
  <c r="BA964" i="30"/>
  <c r="BA965" i="30"/>
  <c r="BA966" i="30"/>
  <c r="BA967" i="30"/>
  <c r="BA968" i="30"/>
  <c r="BA969" i="30"/>
  <c r="BA970" i="30"/>
  <c r="BA971" i="30"/>
  <c r="BA972" i="30"/>
  <c r="BA973" i="30"/>
  <c r="BA974" i="30"/>
  <c r="BA975" i="30"/>
  <c r="BA976" i="30"/>
  <c r="BA977" i="30"/>
  <c r="BA978" i="30"/>
  <c r="BA979" i="30"/>
  <c r="BA980" i="30"/>
  <c r="BA981" i="30"/>
  <c r="BA982" i="30"/>
  <c r="BA983" i="30"/>
  <c r="BA984" i="30"/>
  <c r="BA985" i="30"/>
  <c r="BA986" i="30"/>
  <c r="BA987" i="30"/>
  <c r="BA988" i="30"/>
  <c r="BA989" i="30"/>
  <c r="BA990" i="30"/>
  <c r="BA991" i="30"/>
  <c r="BA992" i="30"/>
  <c r="BA993" i="30"/>
  <c r="BA994" i="30"/>
  <c r="BA995" i="30"/>
  <c r="BA996" i="30"/>
  <c r="BA997" i="30"/>
  <c r="BA998" i="30"/>
  <c r="BA999" i="30"/>
  <c r="BA1000" i="30"/>
  <c r="BA1001" i="30"/>
  <c r="BA1002" i="30"/>
  <c r="BA1003" i="30"/>
  <c r="BA1004" i="30"/>
  <c r="BA1005" i="30"/>
  <c r="BA1006" i="30"/>
  <c r="BA1007" i="30"/>
  <c r="BA1008" i="30"/>
  <c r="BA1009" i="30"/>
  <c r="BA1010" i="30"/>
  <c r="BA1011" i="30"/>
  <c r="BA1012" i="30"/>
  <c r="BA1013" i="30"/>
  <c r="BA1014" i="30"/>
  <c r="BA1015" i="30"/>
  <c r="BA1016" i="30"/>
  <c r="BA1017" i="30"/>
  <c r="BA1018" i="30"/>
  <c r="BA1019" i="30"/>
  <c r="BA1020" i="30"/>
  <c r="BA1021" i="30"/>
  <c r="BA1022" i="30"/>
  <c r="BA1023" i="30"/>
  <c r="BA1024" i="30"/>
  <c r="BA1025" i="30"/>
  <c r="BA1026" i="30"/>
  <c r="BA1027" i="30"/>
  <c r="BA1028" i="30"/>
  <c r="BA1029" i="30"/>
  <c r="BA1030" i="30"/>
  <c r="BA1031" i="30"/>
  <c r="BA1032" i="30"/>
  <c r="BA1033" i="30"/>
  <c r="BA1034" i="30"/>
  <c r="BA1035" i="30"/>
  <c r="BA1036" i="30"/>
  <c r="BA1037" i="30"/>
  <c r="BA1038" i="30"/>
  <c r="BA1039" i="30"/>
  <c r="BA1040" i="30"/>
  <c r="BA1041" i="30"/>
  <c r="BA1042" i="30"/>
  <c r="BA1043" i="30"/>
  <c r="BA1044" i="30"/>
  <c r="BA1045" i="30"/>
  <c r="BA1046" i="30"/>
  <c r="BA1047" i="30"/>
  <c r="BA1048" i="30"/>
  <c r="BA1049" i="30"/>
  <c r="BA1050" i="30"/>
  <c r="BA1051" i="30"/>
  <c r="BA1052" i="30"/>
  <c r="BA1053" i="30"/>
  <c r="BA1054" i="30"/>
  <c r="BA1055" i="30"/>
  <c r="BA1056" i="30"/>
  <c r="BA1057" i="30"/>
  <c r="BA1058" i="30"/>
  <c r="BA1059" i="30"/>
  <c r="BA1060" i="30"/>
  <c r="BA1061" i="30"/>
  <c r="BA1062" i="30"/>
  <c r="BA1063" i="30"/>
  <c r="BA1064" i="30"/>
  <c r="BA1065" i="30"/>
  <c r="BA1066" i="30"/>
  <c r="BA1067" i="30"/>
  <c r="BA1068" i="30"/>
  <c r="BA1069" i="30"/>
  <c r="BA1070" i="30"/>
  <c r="BA1071" i="30"/>
  <c r="BA1072" i="30"/>
  <c r="BA1073" i="30"/>
  <c r="BA1074" i="30"/>
  <c r="BA1075" i="30"/>
  <c r="BA1076" i="30"/>
  <c r="BA1077" i="30"/>
  <c r="BA1078" i="30"/>
  <c r="BA1079" i="30"/>
  <c r="BA1080" i="30"/>
  <c r="BA1081" i="30"/>
  <c r="BA1082" i="30"/>
  <c r="BA1083" i="30"/>
  <c r="BA1084" i="30"/>
  <c r="BA1085" i="30"/>
  <c r="BA1086" i="30"/>
  <c r="BA1087" i="30"/>
  <c r="BA1088" i="30"/>
  <c r="BA1089" i="30"/>
  <c r="BA1090" i="30"/>
  <c r="BA1091" i="30"/>
  <c r="BA1092" i="30"/>
  <c r="BA1093" i="30"/>
  <c r="BA1094" i="30"/>
  <c r="BA1095" i="30"/>
  <c r="BA1096" i="30"/>
  <c r="BA1097" i="30"/>
  <c r="BA1098" i="30"/>
  <c r="BA1099" i="30"/>
  <c r="BA1100" i="30"/>
  <c r="BA1101" i="30"/>
  <c r="BA1102" i="30"/>
  <c r="BA1103" i="30"/>
  <c r="BA1104" i="30"/>
  <c r="BA1105" i="30"/>
  <c r="BA1106" i="30"/>
  <c r="BA1107" i="30"/>
  <c r="BA1108" i="30"/>
  <c r="BA1109" i="30"/>
  <c r="BA1110" i="30"/>
  <c r="BA1111" i="30"/>
  <c r="BA1112" i="30"/>
  <c r="BA1113" i="30"/>
  <c r="BA1114" i="30"/>
  <c r="BA1115" i="30"/>
  <c r="BA1116" i="30"/>
  <c r="BA1117" i="30"/>
  <c r="BA1118" i="30"/>
  <c r="BA1119" i="30"/>
  <c r="BA1120" i="30"/>
  <c r="BA1121" i="30"/>
  <c r="BA1122" i="30"/>
  <c r="BA1123" i="30"/>
  <c r="BA1124" i="30"/>
  <c r="BA1125" i="30"/>
  <c r="BA1126" i="30"/>
  <c r="BA1127" i="30"/>
  <c r="BA1128" i="30"/>
  <c r="BA1129" i="30"/>
  <c r="BA1130" i="30"/>
  <c r="BA1131" i="30"/>
  <c r="BA1132" i="30"/>
  <c r="BA1133" i="30"/>
  <c r="BA1134" i="30"/>
  <c r="BA1135" i="30"/>
  <c r="BA1136" i="30"/>
  <c r="BA1137" i="30"/>
  <c r="BA1138" i="30"/>
  <c r="BA1139" i="30"/>
  <c r="BA1140" i="30"/>
  <c r="BA1141" i="30"/>
  <c r="BA1142" i="30"/>
  <c r="BA1143" i="30"/>
  <c r="BA1144" i="30"/>
  <c r="BA1145" i="30"/>
  <c r="BA1146" i="30"/>
  <c r="BA1147" i="30"/>
  <c r="BA1148" i="30"/>
  <c r="BA1149" i="30"/>
  <c r="BA1150" i="30"/>
  <c r="BA1151" i="30"/>
  <c r="BA1152" i="30"/>
  <c r="BA1153" i="30"/>
  <c r="BA1154" i="30"/>
  <c r="BA1155" i="30"/>
  <c r="BA1156" i="30"/>
  <c r="BA1157" i="30"/>
  <c r="BA1158" i="30"/>
  <c r="BA1159" i="30"/>
  <c r="BA1160" i="30"/>
  <c r="BA1161" i="30"/>
  <c r="BA1162" i="30"/>
  <c r="BA1163" i="30"/>
  <c r="BA1164" i="30"/>
  <c r="BA1165" i="30"/>
  <c r="BA1166" i="30"/>
  <c r="BA1167" i="30"/>
  <c r="BA1168" i="30"/>
  <c r="BA1169" i="30"/>
  <c r="BA1170" i="30"/>
  <c r="BA1171" i="30"/>
  <c r="BA1172" i="30"/>
  <c r="BA1173" i="30"/>
  <c r="BA1174" i="30"/>
  <c r="BA1175" i="30"/>
  <c r="BA1176" i="30"/>
  <c r="BA1177" i="30"/>
  <c r="BA1178" i="30"/>
  <c r="BA1179" i="30"/>
  <c r="BA1180" i="30"/>
  <c r="BA1181" i="30"/>
  <c r="BA1182" i="30"/>
  <c r="BA1183" i="30"/>
  <c r="BA1184" i="30"/>
  <c r="BA1185" i="30"/>
  <c r="BA1186" i="30"/>
  <c r="BA1187" i="30"/>
  <c r="BA1188" i="30"/>
  <c r="BA1189" i="30"/>
  <c r="BA1190" i="30"/>
  <c r="BA1191" i="30"/>
  <c r="BA1192" i="30"/>
  <c r="BA1193" i="30"/>
  <c r="BA1194" i="30"/>
  <c r="BA1195" i="30"/>
  <c r="BA1196" i="30"/>
  <c r="BA1197" i="30"/>
  <c r="BA1198" i="30"/>
  <c r="BA1199" i="30"/>
  <c r="BA1200" i="30"/>
  <c r="BA1201" i="30"/>
  <c r="BA1202" i="30"/>
  <c r="BA1203" i="30"/>
  <c r="BA1204" i="30"/>
  <c r="BA1205" i="30"/>
  <c r="BA1206" i="30"/>
  <c r="BA1207" i="30"/>
  <c r="BA1208" i="30"/>
  <c r="BA1209" i="30"/>
  <c r="BA1210" i="30"/>
  <c r="BA1211" i="30"/>
  <c r="BA1212" i="30"/>
  <c r="BA1213" i="30"/>
  <c r="BA1214" i="30"/>
  <c r="BA1215" i="30"/>
  <c r="BA1216" i="30"/>
  <c r="BA1217" i="30"/>
  <c r="BA1218" i="30"/>
  <c r="BA1219" i="30"/>
  <c r="BA1220" i="30"/>
  <c r="BA1221" i="30"/>
  <c r="BA1222" i="30"/>
  <c r="BA1223" i="30"/>
  <c r="BA1224" i="30"/>
  <c r="BA1225" i="30"/>
  <c r="BA1226" i="30"/>
  <c r="BA1227" i="30"/>
  <c r="BA1228" i="30"/>
  <c r="BA1229" i="30"/>
  <c r="BA1230" i="30"/>
  <c r="BA31" i="30"/>
  <c r="AZ272" i="30"/>
  <c r="AZ273" i="30"/>
  <c r="AZ274" i="30"/>
  <c r="AZ275" i="30"/>
  <c r="AZ276" i="30"/>
  <c r="AZ277" i="30"/>
  <c r="AZ278" i="30"/>
  <c r="AZ279" i="30"/>
  <c r="AZ280" i="30"/>
  <c r="AZ281" i="30"/>
  <c r="AZ282" i="30"/>
  <c r="AZ283" i="30"/>
  <c r="AZ284" i="30"/>
  <c r="AZ285" i="30"/>
  <c r="AZ286" i="30"/>
  <c r="AZ287" i="30"/>
  <c r="AZ288" i="30"/>
  <c r="AZ289" i="30"/>
  <c r="AZ290" i="30"/>
  <c r="AZ291" i="30"/>
  <c r="AZ292" i="30"/>
  <c r="AZ293" i="30"/>
  <c r="AZ294" i="30"/>
  <c r="AZ295" i="30"/>
  <c r="AZ296" i="30"/>
  <c r="AZ297" i="30"/>
  <c r="AZ298" i="30"/>
  <c r="AZ299" i="30"/>
  <c r="AZ300" i="30"/>
  <c r="AZ301" i="30"/>
  <c r="AZ302" i="30"/>
  <c r="AZ303" i="30"/>
  <c r="AZ304" i="30"/>
  <c r="AZ305" i="30"/>
  <c r="AZ306" i="30"/>
  <c r="AZ307" i="30"/>
  <c r="AZ308" i="30"/>
  <c r="AZ309" i="30"/>
  <c r="AZ310" i="30"/>
  <c r="AZ311" i="30"/>
  <c r="AZ312" i="30"/>
  <c r="AZ313" i="30"/>
  <c r="AZ314" i="30"/>
  <c r="AZ315" i="30"/>
  <c r="AZ316" i="30"/>
  <c r="AZ317" i="30"/>
  <c r="AZ318" i="30"/>
  <c r="AZ319" i="30"/>
  <c r="AZ320" i="30"/>
  <c r="AZ321" i="30"/>
  <c r="AZ322" i="30"/>
  <c r="AZ323" i="30"/>
  <c r="AZ324" i="30"/>
  <c r="AZ325" i="30"/>
  <c r="AZ326" i="30"/>
  <c r="AZ327" i="30"/>
  <c r="AZ328" i="30"/>
  <c r="AZ329" i="30"/>
  <c r="AZ330" i="30"/>
  <c r="AZ331" i="30"/>
  <c r="AZ332" i="30"/>
  <c r="AZ333" i="30"/>
  <c r="AZ334" i="30"/>
  <c r="AZ335" i="30"/>
  <c r="AZ336" i="30"/>
  <c r="AZ337" i="30"/>
  <c r="AZ338" i="30"/>
  <c r="AZ339" i="30"/>
  <c r="AZ340" i="30"/>
  <c r="AZ341" i="30"/>
  <c r="AZ342" i="30"/>
  <c r="AZ343" i="30"/>
  <c r="AZ344" i="30"/>
  <c r="AZ345" i="30"/>
  <c r="AZ346" i="30"/>
  <c r="AZ347" i="30"/>
  <c r="AZ348" i="30"/>
  <c r="AZ349" i="30"/>
  <c r="AZ350" i="30"/>
  <c r="AZ351" i="30"/>
  <c r="AZ352" i="30"/>
  <c r="AZ353" i="30"/>
  <c r="AZ354" i="30"/>
  <c r="AZ355" i="30"/>
  <c r="AZ356" i="30"/>
  <c r="AZ357" i="30"/>
  <c r="AZ358" i="30"/>
  <c r="AZ359" i="30"/>
  <c r="AZ360" i="30"/>
  <c r="AZ361" i="30"/>
  <c r="AZ362" i="30"/>
  <c r="AZ363" i="30"/>
  <c r="AZ364" i="30"/>
  <c r="AZ365" i="30"/>
  <c r="AZ366" i="30"/>
  <c r="AZ367" i="30"/>
  <c r="AZ368" i="30"/>
  <c r="AZ369" i="30"/>
  <c r="AZ370" i="30"/>
  <c r="AZ371" i="30"/>
  <c r="AZ372" i="30"/>
  <c r="AZ373" i="30"/>
  <c r="AZ374" i="30"/>
  <c r="AZ375" i="30"/>
  <c r="AZ376" i="30"/>
  <c r="AZ377" i="30"/>
  <c r="AZ378" i="30"/>
  <c r="AZ379" i="30"/>
  <c r="AZ380" i="30"/>
  <c r="AZ381" i="30"/>
  <c r="AZ382" i="30"/>
  <c r="AZ383" i="30"/>
  <c r="AZ384" i="30"/>
  <c r="AZ385" i="30"/>
  <c r="AZ386" i="30"/>
  <c r="AZ387" i="30"/>
  <c r="AZ388" i="30"/>
  <c r="AZ389" i="30"/>
  <c r="AZ390" i="30"/>
  <c r="AZ391" i="30"/>
  <c r="AZ392" i="30"/>
  <c r="AZ393" i="30"/>
  <c r="AZ394" i="30"/>
  <c r="AZ395" i="30"/>
  <c r="AZ396" i="30"/>
  <c r="AZ397" i="30"/>
  <c r="AZ398" i="30"/>
  <c r="AZ399" i="30"/>
  <c r="AZ400" i="30"/>
  <c r="AZ401" i="30"/>
  <c r="AZ402" i="30"/>
  <c r="AZ403" i="30"/>
  <c r="AZ404" i="30"/>
  <c r="AZ405" i="30"/>
  <c r="AZ406" i="30"/>
  <c r="AZ407" i="30"/>
  <c r="AZ408" i="30"/>
  <c r="AZ409" i="30"/>
  <c r="AZ410" i="30"/>
  <c r="AZ411" i="30"/>
  <c r="AZ412" i="30"/>
  <c r="AZ413" i="30"/>
  <c r="AZ414" i="30"/>
  <c r="AZ415" i="30"/>
  <c r="AZ416" i="30"/>
  <c r="AZ417" i="30"/>
  <c r="AZ418" i="30"/>
  <c r="AZ419" i="30"/>
  <c r="AZ420" i="30"/>
  <c r="AZ421" i="30"/>
  <c r="AZ422" i="30"/>
  <c r="AZ423" i="30"/>
  <c r="AZ424" i="30"/>
  <c r="AZ425" i="30"/>
  <c r="AZ426" i="30"/>
  <c r="AZ427" i="30"/>
  <c r="AZ428" i="30"/>
  <c r="AZ429" i="30"/>
  <c r="AZ430" i="30"/>
  <c r="AZ431" i="30"/>
  <c r="AZ432" i="30"/>
  <c r="AZ433" i="30"/>
  <c r="AZ434" i="30"/>
  <c r="AZ435" i="30"/>
  <c r="AZ436" i="30"/>
  <c r="AZ437" i="30"/>
  <c r="AZ438" i="30"/>
  <c r="AZ439" i="30"/>
  <c r="AZ440" i="30"/>
  <c r="AZ441" i="30"/>
  <c r="AZ442" i="30"/>
  <c r="AZ443" i="30"/>
  <c r="AZ444" i="30"/>
  <c r="AZ445" i="30"/>
  <c r="AZ446" i="30"/>
  <c r="AZ447" i="30"/>
  <c r="AZ448" i="30"/>
  <c r="AZ449" i="30"/>
  <c r="AZ450" i="30"/>
  <c r="AZ451" i="30"/>
  <c r="AZ452" i="30"/>
  <c r="AZ453" i="30"/>
  <c r="AZ454" i="30"/>
  <c r="AZ455" i="30"/>
  <c r="AZ456" i="30"/>
  <c r="AZ457" i="30"/>
  <c r="AZ458" i="30"/>
  <c r="AZ459" i="30"/>
  <c r="AZ460" i="30"/>
  <c r="AZ461" i="30"/>
  <c r="AZ462" i="30"/>
  <c r="AZ463" i="30"/>
  <c r="AZ464" i="30"/>
  <c r="AZ465" i="30"/>
  <c r="AZ466" i="30"/>
  <c r="AZ467" i="30"/>
  <c r="AZ468" i="30"/>
  <c r="AZ469" i="30"/>
  <c r="AZ470" i="30"/>
  <c r="AZ471" i="30"/>
  <c r="AZ472" i="30"/>
  <c r="AZ473" i="30"/>
  <c r="AZ474" i="30"/>
  <c r="AZ475" i="30"/>
  <c r="AZ476" i="30"/>
  <c r="AZ477" i="30"/>
  <c r="AZ478" i="30"/>
  <c r="AZ479" i="30"/>
  <c r="AZ480" i="30"/>
  <c r="AZ481" i="30"/>
  <c r="AZ482" i="30"/>
  <c r="AZ483" i="30"/>
  <c r="AZ484" i="30"/>
  <c r="AZ485" i="30"/>
  <c r="AZ486" i="30"/>
  <c r="AZ487" i="30"/>
  <c r="AZ488" i="30"/>
  <c r="AZ489" i="30"/>
  <c r="AZ490" i="30"/>
  <c r="AZ491" i="30"/>
  <c r="AZ492" i="30"/>
  <c r="AZ493" i="30"/>
  <c r="AZ494" i="30"/>
  <c r="AZ495" i="30"/>
  <c r="AZ496" i="30"/>
  <c r="AZ497" i="30"/>
  <c r="AZ498" i="30"/>
  <c r="AZ499" i="30"/>
  <c r="AZ500" i="30"/>
  <c r="AZ501" i="30"/>
  <c r="AZ502" i="30"/>
  <c r="AZ503" i="30"/>
  <c r="AZ504" i="30"/>
  <c r="AZ505" i="30"/>
  <c r="AZ506" i="30"/>
  <c r="AZ507" i="30"/>
  <c r="AZ508" i="30"/>
  <c r="AZ509" i="30"/>
  <c r="AZ510" i="30"/>
  <c r="AZ511" i="30"/>
  <c r="AZ512" i="30"/>
  <c r="AZ513" i="30"/>
  <c r="AZ514" i="30"/>
  <c r="AZ515" i="30"/>
  <c r="AZ516" i="30"/>
  <c r="AZ517" i="30"/>
  <c r="AZ518" i="30"/>
  <c r="AZ519" i="30"/>
  <c r="AZ520" i="30"/>
  <c r="AZ521" i="30"/>
  <c r="AZ522" i="30"/>
  <c r="AZ523" i="30"/>
  <c r="AZ524" i="30"/>
  <c r="AZ525" i="30"/>
  <c r="AZ526" i="30"/>
  <c r="AZ527" i="30"/>
  <c r="AZ528" i="30"/>
  <c r="AZ529" i="30"/>
  <c r="AZ530" i="30"/>
  <c r="AZ531" i="30"/>
  <c r="AZ532" i="30"/>
  <c r="AZ533" i="30"/>
  <c r="AZ534" i="30"/>
  <c r="AZ535" i="30"/>
  <c r="AZ536" i="30"/>
  <c r="AZ537" i="30"/>
  <c r="AZ538" i="30"/>
  <c r="AZ539" i="30"/>
  <c r="AZ540" i="30"/>
  <c r="AZ541" i="30"/>
  <c r="AZ542" i="30"/>
  <c r="AZ543" i="30"/>
  <c r="AZ544" i="30"/>
  <c r="AZ545" i="30"/>
  <c r="AZ546" i="30"/>
  <c r="AZ547" i="30"/>
  <c r="AZ548" i="30"/>
  <c r="AZ549" i="30"/>
  <c r="AZ550" i="30"/>
  <c r="AZ551" i="30"/>
  <c r="AZ552" i="30"/>
  <c r="AZ553" i="30"/>
  <c r="AZ554" i="30"/>
  <c r="AZ555" i="30"/>
  <c r="AZ556" i="30"/>
  <c r="AZ557" i="30"/>
  <c r="AZ558" i="30"/>
  <c r="AZ559" i="30"/>
  <c r="AZ560" i="30"/>
  <c r="AZ561" i="30"/>
  <c r="AZ562" i="30"/>
  <c r="AZ563" i="30"/>
  <c r="AZ564" i="30"/>
  <c r="AZ565" i="30"/>
  <c r="AZ566" i="30"/>
  <c r="AZ567" i="30"/>
  <c r="AZ568" i="30"/>
  <c r="AZ569" i="30"/>
  <c r="AZ570" i="30"/>
  <c r="AZ571" i="30"/>
  <c r="AZ572" i="30"/>
  <c r="AZ573" i="30"/>
  <c r="AZ574" i="30"/>
  <c r="AZ575" i="30"/>
  <c r="AZ576" i="30"/>
  <c r="AZ577" i="30"/>
  <c r="AZ578" i="30"/>
  <c r="AZ579" i="30"/>
  <c r="AZ580" i="30"/>
  <c r="AZ581" i="30"/>
  <c r="AZ582" i="30"/>
  <c r="AZ583" i="30"/>
  <c r="AZ584" i="30"/>
  <c r="AZ585" i="30"/>
  <c r="AZ586" i="30"/>
  <c r="AZ587" i="30"/>
  <c r="AZ588" i="30"/>
  <c r="AZ589" i="30"/>
  <c r="AZ590" i="30"/>
  <c r="AZ591" i="30"/>
  <c r="AZ592" i="30"/>
  <c r="AZ593" i="30"/>
  <c r="AZ594" i="30"/>
  <c r="AZ595" i="30"/>
  <c r="AZ596" i="30"/>
  <c r="AZ597" i="30"/>
  <c r="AZ598" i="30"/>
  <c r="AZ599" i="30"/>
  <c r="AZ600" i="30"/>
  <c r="AZ601" i="30"/>
  <c r="AZ602" i="30"/>
  <c r="AZ603" i="30"/>
  <c r="AZ604" i="30"/>
  <c r="AZ605" i="30"/>
  <c r="AZ606" i="30"/>
  <c r="AZ607" i="30"/>
  <c r="AZ608" i="30"/>
  <c r="AZ609" i="30"/>
  <c r="AZ610" i="30"/>
  <c r="AZ611" i="30"/>
  <c r="AZ612" i="30"/>
  <c r="AZ613" i="30"/>
  <c r="AZ614" i="30"/>
  <c r="AZ615" i="30"/>
  <c r="AZ616" i="30"/>
  <c r="AZ617" i="30"/>
  <c r="AZ618" i="30"/>
  <c r="AZ619" i="30"/>
  <c r="AZ620" i="30"/>
  <c r="AZ621" i="30"/>
  <c r="AZ622" i="30"/>
  <c r="AZ623" i="30"/>
  <c r="AZ624" i="30"/>
  <c r="AZ625" i="30"/>
  <c r="AZ626" i="30"/>
  <c r="AZ627" i="30"/>
  <c r="AZ628" i="30"/>
  <c r="AZ629" i="30"/>
  <c r="AZ630" i="30"/>
  <c r="AZ631" i="30"/>
  <c r="AZ632" i="30"/>
  <c r="AZ633" i="30"/>
  <c r="AZ634" i="30"/>
  <c r="AZ635" i="30"/>
  <c r="AZ636" i="30"/>
  <c r="AZ637" i="30"/>
  <c r="AZ638" i="30"/>
  <c r="AZ639" i="30"/>
  <c r="AZ640" i="30"/>
  <c r="AZ641" i="30"/>
  <c r="AZ642" i="30"/>
  <c r="AZ643" i="30"/>
  <c r="AZ644" i="30"/>
  <c r="AZ645" i="30"/>
  <c r="AZ646" i="30"/>
  <c r="AZ647" i="30"/>
  <c r="AZ648" i="30"/>
  <c r="AZ649" i="30"/>
  <c r="AZ650" i="30"/>
  <c r="AZ651" i="30"/>
  <c r="AZ652" i="30"/>
  <c r="AZ653" i="30"/>
  <c r="AZ654" i="30"/>
  <c r="AZ655" i="30"/>
  <c r="AZ656" i="30"/>
  <c r="AZ657" i="30"/>
  <c r="AZ658" i="30"/>
  <c r="AZ659" i="30"/>
  <c r="AZ660" i="30"/>
  <c r="AZ661" i="30"/>
  <c r="AZ662" i="30"/>
  <c r="AZ663" i="30"/>
  <c r="AZ664" i="30"/>
  <c r="AZ665" i="30"/>
  <c r="AZ666" i="30"/>
  <c r="AZ667" i="30"/>
  <c r="AZ668" i="30"/>
  <c r="AZ669" i="30"/>
  <c r="AZ670" i="30"/>
  <c r="AZ671" i="30"/>
  <c r="AZ672" i="30"/>
  <c r="AZ673" i="30"/>
  <c r="AZ674" i="30"/>
  <c r="AZ675" i="30"/>
  <c r="AZ676" i="30"/>
  <c r="AZ677" i="30"/>
  <c r="AZ678" i="30"/>
  <c r="AZ679" i="30"/>
  <c r="AZ680" i="30"/>
  <c r="AZ681" i="30"/>
  <c r="AZ682" i="30"/>
  <c r="AZ683" i="30"/>
  <c r="AZ684" i="30"/>
  <c r="AZ685" i="30"/>
  <c r="AZ686" i="30"/>
  <c r="AZ687" i="30"/>
  <c r="AZ688" i="30"/>
  <c r="AZ689" i="30"/>
  <c r="AZ690" i="30"/>
  <c r="AZ691" i="30"/>
  <c r="AZ692" i="30"/>
  <c r="AZ693" i="30"/>
  <c r="AZ694" i="30"/>
  <c r="AZ695" i="30"/>
  <c r="AZ696" i="30"/>
  <c r="AZ697" i="30"/>
  <c r="AZ698" i="30"/>
  <c r="AZ699" i="30"/>
  <c r="AZ700" i="30"/>
  <c r="AZ701" i="30"/>
  <c r="AZ702" i="30"/>
  <c r="AZ703" i="30"/>
  <c r="AZ704" i="30"/>
  <c r="AZ705" i="30"/>
  <c r="AZ706" i="30"/>
  <c r="AZ707" i="30"/>
  <c r="AZ708" i="30"/>
  <c r="AZ709" i="30"/>
  <c r="AZ710" i="30"/>
  <c r="AZ711" i="30"/>
  <c r="AZ712" i="30"/>
  <c r="AZ713" i="30"/>
  <c r="AZ714" i="30"/>
  <c r="AZ715" i="30"/>
  <c r="AZ716" i="30"/>
  <c r="AZ717" i="30"/>
  <c r="AZ718" i="30"/>
  <c r="AZ719" i="30"/>
  <c r="AZ720" i="30"/>
  <c r="AZ721" i="30"/>
  <c r="AZ722" i="30"/>
  <c r="AZ723" i="30"/>
  <c r="AZ724" i="30"/>
  <c r="AZ725" i="30"/>
  <c r="AZ726" i="30"/>
  <c r="AZ727" i="30"/>
  <c r="AZ728" i="30"/>
  <c r="AZ729" i="30"/>
  <c r="AZ730" i="30"/>
  <c r="AZ731" i="30"/>
  <c r="AZ732" i="30"/>
  <c r="AZ733" i="30"/>
  <c r="AZ734" i="30"/>
  <c r="AZ735" i="30"/>
  <c r="AZ736" i="30"/>
  <c r="AZ737" i="30"/>
  <c r="AZ738" i="30"/>
  <c r="AZ739" i="30"/>
  <c r="AZ740" i="30"/>
  <c r="AZ741" i="30"/>
  <c r="AZ742" i="30"/>
  <c r="AZ743" i="30"/>
  <c r="AZ744" i="30"/>
  <c r="AZ745" i="30"/>
  <c r="AZ746" i="30"/>
  <c r="AZ747" i="30"/>
  <c r="AZ748" i="30"/>
  <c r="AZ749" i="30"/>
  <c r="AZ750" i="30"/>
  <c r="AZ751" i="30"/>
  <c r="AZ752" i="30"/>
  <c r="AZ753" i="30"/>
  <c r="AZ754" i="30"/>
  <c r="AZ755" i="30"/>
  <c r="AZ756" i="30"/>
  <c r="AZ757" i="30"/>
  <c r="AZ758" i="30"/>
  <c r="AZ759" i="30"/>
  <c r="AZ760" i="30"/>
  <c r="AZ761" i="30"/>
  <c r="AZ762" i="30"/>
  <c r="AZ763" i="30"/>
  <c r="AZ764" i="30"/>
  <c r="AZ765" i="30"/>
  <c r="AZ766" i="30"/>
  <c r="AZ767" i="30"/>
  <c r="AZ768" i="30"/>
  <c r="AZ769" i="30"/>
  <c r="AZ770" i="30"/>
  <c r="AZ771" i="30"/>
  <c r="AZ772" i="30"/>
  <c r="AZ773" i="30"/>
  <c r="AZ774" i="30"/>
  <c r="AZ775" i="30"/>
  <c r="AZ776" i="30"/>
  <c r="AZ777" i="30"/>
  <c r="AZ778" i="30"/>
  <c r="AZ779" i="30"/>
  <c r="AZ780" i="30"/>
  <c r="AZ781" i="30"/>
  <c r="AZ782" i="30"/>
  <c r="AZ783" i="30"/>
  <c r="AZ784" i="30"/>
  <c r="AZ785" i="30"/>
  <c r="AZ786" i="30"/>
  <c r="AZ787" i="30"/>
  <c r="AZ788" i="30"/>
  <c r="AZ789" i="30"/>
  <c r="AZ790" i="30"/>
  <c r="AZ791" i="30"/>
  <c r="AZ792" i="30"/>
  <c r="AZ793" i="30"/>
  <c r="AZ794" i="30"/>
  <c r="AZ795" i="30"/>
  <c r="AZ796" i="30"/>
  <c r="AZ797" i="30"/>
  <c r="AZ798" i="30"/>
  <c r="AZ799" i="30"/>
  <c r="AZ800" i="30"/>
  <c r="AZ801" i="30"/>
  <c r="AZ802" i="30"/>
  <c r="AZ803" i="30"/>
  <c r="AZ804" i="30"/>
  <c r="AZ805" i="30"/>
  <c r="AZ806" i="30"/>
  <c r="AZ807" i="30"/>
  <c r="AZ808" i="30"/>
  <c r="AZ809" i="30"/>
  <c r="AZ810" i="30"/>
  <c r="AZ811" i="30"/>
  <c r="AZ812" i="30"/>
  <c r="AZ813" i="30"/>
  <c r="AZ814" i="30"/>
  <c r="AZ815" i="30"/>
  <c r="AZ816" i="30"/>
  <c r="AZ817" i="30"/>
  <c r="AZ818" i="30"/>
  <c r="AZ819" i="30"/>
  <c r="AZ820" i="30"/>
  <c r="AZ821" i="30"/>
  <c r="AZ822" i="30"/>
  <c r="AZ823" i="30"/>
  <c r="AZ824" i="30"/>
  <c r="AZ825" i="30"/>
  <c r="AZ826" i="30"/>
  <c r="AZ827" i="30"/>
  <c r="AZ828" i="30"/>
  <c r="AZ829" i="30"/>
  <c r="AZ830" i="30"/>
  <c r="AZ831" i="30"/>
  <c r="AZ832" i="30"/>
  <c r="AZ833" i="30"/>
  <c r="AZ834" i="30"/>
  <c r="AZ835" i="30"/>
  <c r="AZ836" i="30"/>
  <c r="AZ837" i="30"/>
  <c r="AZ838" i="30"/>
  <c r="AZ839" i="30"/>
  <c r="AZ840" i="30"/>
  <c r="AZ841" i="30"/>
  <c r="AZ842" i="30"/>
  <c r="AZ843" i="30"/>
  <c r="AZ844" i="30"/>
  <c r="AZ845" i="30"/>
  <c r="AZ846" i="30"/>
  <c r="AZ847" i="30"/>
  <c r="AZ848" i="30"/>
  <c r="AZ849" i="30"/>
  <c r="AZ850" i="30"/>
  <c r="AZ851" i="30"/>
  <c r="AZ852" i="30"/>
  <c r="AZ853" i="30"/>
  <c r="AZ854" i="30"/>
  <c r="AZ855" i="30"/>
  <c r="AZ856" i="30"/>
  <c r="AZ857" i="30"/>
  <c r="AZ858" i="30"/>
  <c r="AZ859" i="30"/>
  <c r="AZ860" i="30"/>
  <c r="AZ861" i="30"/>
  <c r="AZ862" i="30"/>
  <c r="AZ863" i="30"/>
  <c r="AZ864" i="30"/>
  <c r="AZ865" i="30"/>
  <c r="AZ866" i="30"/>
  <c r="AZ867" i="30"/>
  <c r="AZ868" i="30"/>
  <c r="AZ869" i="30"/>
  <c r="AZ870" i="30"/>
  <c r="AZ871" i="30"/>
  <c r="AZ872" i="30"/>
  <c r="AZ873" i="30"/>
  <c r="AZ874" i="30"/>
  <c r="AZ875" i="30"/>
  <c r="AZ876" i="30"/>
  <c r="AZ877" i="30"/>
  <c r="AZ878" i="30"/>
  <c r="AZ879" i="30"/>
  <c r="AZ880" i="30"/>
  <c r="AZ881" i="30"/>
  <c r="AZ882" i="30"/>
  <c r="AZ883" i="30"/>
  <c r="AZ884" i="30"/>
  <c r="AZ885" i="30"/>
  <c r="AZ886" i="30"/>
  <c r="AZ887" i="30"/>
  <c r="AZ888" i="30"/>
  <c r="AZ889" i="30"/>
  <c r="AZ890" i="30"/>
  <c r="AZ891" i="30"/>
  <c r="AZ892" i="30"/>
  <c r="AZ893" i="30"/>
  <c r="AZ894" i="30"/>
  <c r="AZ895" i="30"/>
  <c r="AZ896" i="30"/>
  <c r="AZ897" i="30"/>
  <c r="AZ898" i="30"/>
  <c r="AZ899" i="30"/>
  <c r="AZ900" i="30"/>
  <c r="AZ901" i="30"/>
  <c r="AZ902" i="30"/>
  <c r="AZ903" i="30"/>
  <c r="AZ904" i="30"/>
  <c r="AZ905" i="30"/>
  <c r="AZ906" i="30"/>
  <c r="AZ907" i="30"/>
  <c r="AZ908" i="30"/>
  <c r="AZ909" i="30"/>
  <c r="AZ910" i="30"/>
  <c r="AZ911" i="30"/>
  <c r="AZ912" i="30"/>
  <c r="AZ913" i="30"/>
  <c r="AZ914" i="30"/>
  <c r="AZ915" i="30"/>
  <c r="AZ916" i="30"/>
  <c r="AZ917" i="30"/>
  <c r="AZ918" i="30"/>
  <c r="AZ919" i="30"/>
  <c r="AZ920" i="30"/>
  <c r="AZ921" i="30"/>
  <c r="AZ922" i="30"/>
  <c r="AZ923" i="30"/>
  <c r="AZ924" i="30"/>
  <c r="AZ925" i="30"/>
  <c r="AZ926" i="30"/>
  <c r="AZ927" i="30"/>
  <c r="AZ928" i="30"/>
  <c r="AZ929" i="30"/>
  <c r="AZ930" i="30"/>
  <c r="AZ931" i="30"/>
  <c r="AZ932" i="30"/>
  <c r="AZ933" i="30"/>
  <c r="AZ934" i="30"/>
  <c r="AZ935" i="30"/>
  <c r="AZ936" i="30"/>
  <c r="AZ937" i="30"/>
  <c r="AZ938" i="30"/>
  <c r="AZ939" i="30"/>
  <c r="AZ940" i="30"/>
  <c r="AZ941" i="30"/>
  <c r="AZ942" i="30"/>
  <c r="AZ943" i="30"/>
  <c r="AZ944" i="30"/>
  <c r="AZ945" i="30"/>
  <c r="AZ946" i="30"/>
  <c r="AZ947" i="30"/>
  <c r="AZ948" i="30"/>
  <c r="AZ949" i="30"/>
  <c r="AZ950" i="30"/>
  <c r="AZ951" i="30"/>
  <c r="AZ952" i="30"/>
  <c r="AZ953" i="30"/>
  <c r="AZ954" i="30"/>
  <c r="AZ955" i="30"/>
  <c r="AZ956" i="30"/>
  <c r="AZ957" i="30"/>
  <c r="AZ958" i="30"/>
  <c r="AZ959" i="30"/>
  <c r="AZ960" i="30"/>
  <c r="AZ961" i="30"/>
  <c r="AZ962" i="30"/>
  <c r="AZ963" i="30"/>
  <c r="AZ964" i="30"/>
  <c r="AZ965" i="30"/>
  <c r="AZ966" i="30"/>
  <c r="AZ967" i="30"/>
  <c r="AZ968" i="30"/>
  <c r="AZ969" i="30"/>
  <c r="AZ970" i="30"/>
  <c r="AZ971" i="30"/>
  <c r="AZ972" i="30"/>
  <c r="AZ973" i="30"/>
  <c r="AZ974" i="30"/>
  <c r="AZ975" i="30"/>
  <c r="AZ976" i="30"/>
  <c r="AZ977" i="30"/>
  <c r="AZ978" i="30"/>
  <c r="AZ979" i="30"/>
  <c r="AZ980" i="30"/>
  <c r="AZ981" i="30"/>
  <c r="AZ982" i="30"/>
  <c r="AZ983" i="30"/>
  <c r="AZ984" i="30"/>
  <c r="AZ985" i="30"/>
  <c r="AZ986" i="30"/>
  <c r="AZ987" i="30"/>
  <c r="AZ988" i="30"/>
  <c r="AZ989" i="30"/>
  <c r="AZ990" i="30"/>
  <c r="AZ991" i="30"/>
  <c r="AZ992" i="30"/>
  <c r="AZ993" i="30"/>
  <c r="AZ994" i="30"/>
  <c r="AZ995" i="30"/>
  <c r="AZ996" i="30"/>
  <c r="AZ997" i="30"/>
  <c r="AZ998" i="30"/>
  <c r="AZ999" i="30"/>
  <c r="AZ1000" i="30"/>
  <c r="AZ1001" i="30"/>
  <c r="AZ1002" i="30"/>
  <c r="AZ1003" i="30"/>
  <c r="AZ1004" i="30"/>
  <c r="AZ1005" i="30"/>
  <c r="AZ1006" i="30"/>
  <c r="AZ1007" i="30"/>
  <c r="AZ1008" i="30"/>
  <c r="AZ1009" i="30"/>
  <c r="AZ1010" i="30"/>
  <c r="AZ1011" i="30"/>
  <c r="AZ1012" i="30"/>
  <c r="AZ1013" i="30"/>
  <c r="AZ1014" i="30"/>
  <c r="AZ1015" i="30"/>
  <c r="AZ1016" i="30"/>
  <c r="AZ1017" i="30"/>
  <c r="AZ1018" i="30"/>
  <c r="AZ1019" i="30"/>
  <c r="AZ1020" i="30"/>
  <c r="AZ1021" i="30"/>
  <c r="AZ1022" i="30"/>
  <c r="AZ1023" i="30"/>
  <c r="AZ1024" i="30"/>
  <c r="AZ1025" i="30"/>
  <c r="AZ1026" i="30"/>
  <c r="AZ1027" i="30"/>
  <c r="AZ1028" i="30"/>
  <c r="AZ1029" i="30"/>
  <c r="AZ1030" i="30"/>
  <c r="AZ1031" i="30"/>
  <c r="AZ1032" i="30"/>
  <c r="AZ1033" i="30"/>
  <c r="AZ1034" i="30"/>
  <c r="AZ1035" i="30"/>
  <c r="AZ1036" i="30"/>
  <c r="AZ1037" i="30"/>
  <c r="AZ1038" i="30"/>
  <c r="AZ1039" i="30"/>
  <c r="AZ1040" i="30"/>
  <c r="AZ1041" i="30"/>
  <c r="AZ1042" i="30"/>
  <c r="AZ1043" i="30"/>
  <c r="AZ1044" i="30"/>
  <c r="AZ1045" i="30"/>
  <c r="AZ1046" i="30"/>
  <c r="AZ1047" i="30"/>
  <c r="AZ1048" i="30"/>
  <c r="AZ1049" i="30"/>
  <c r="AZ1050" i="30"/>
  <c r="AZ1051" i="30"/>
  <c r="AZ1052" i="30"/>
  <c r="AZ1053" i="30"/>
  <c r="AZ1054" i="30"/>
  <c r="AZ1055" i="30"/>
  <c r="AZ1056" i="30"/>
  <c r="AZ1057" i="30"/>
  <c r="AZ1058" i="30"/>
  <c r="AZ1059" i="30"/>
  <c r="AZ1060" i="30"/>
  <c r="AZ1061" i="30"/>
  <c r="AZ1062" i="30"/>
  <c r="AZ1063" i="30"/>
  <c r="AZ1064" i="30"/>
  <c r="AZ1065" i="30"/>
  <c r="AZ1066" i="30"/>
  <c r="AZ1067" i="30"/>
  <c r="AZ1068" i="30"/>
  <c r="AZ1069" i="30"/>
  <c r="AZ1070" i="30"/>
  <c r="AZ1071" i="30"/>
  <c r="AZ1072" i="30"/>
  <c r="AZ1073" i="30"/>
  <c r="AZ1074" i="30"/>
  <c r="AZ1075" i="30"/>
  <c r="AZ1076" i="30"/>
  <c r="AZ1077" i="30"/>
  <c r="AZ1078" i="30"/>
  <c r="AZ1079" i="30"/>
  <c r="AZ1080" i="30"/>
  <c r="AZ1081" i="30"/>
  <c r="AZ1082" i="30"/>
  <c r="AZ1083" i="30"/>
  <c r="AZ1084" i="30"/>
  <c r="AZ1085" i="30"/>
  <c r="AZ1086" i="30"/>
  <c r="AZ1087" i="30"/>
  <c r="AZ1088" i="30"/>
  <c r="AZ1089" i="30"/>
  <c r="AZ1090" i="30"/>
  <c r="AZ1091" i="30"/>
  <c r="AZ1092" i="30"/>
  <c r="AZ1093" i="30"/>
  <c r="AZ1094" i="30"/>
  <c r="AZ1095" i="30"/>
  <c r="AZ1096" i="30"/>
  <c r="AZ1097" i="30"/>
  <c r="AZ1098" i="30"/>
  <c r="AZ1099" i="30"/>
  <c r="AZ1100" i="30"/>
  <c r="AZ1101" i="30"/>
  <c r="AZ1102" i="30"/>
  <c r="AZ1103" i="30"/>
  <c r="AZ1104" i="30"/>
  <c r="AZ1105" i="30"/>
  <c r="AZ1106" i="30"/>
  <c r="AZ1107" i="30"/>
  <c r="AZ1108" i="30"/>
  <c r="AZ1109" i="30"/>
  <c r="AZ1110" i="30"/>
  <c r="AZ1111" i="30"/>
  <c r="AZ1112" i="30"/>
  <c r="AZ1113" i="30"/>
  <c r="AZ1114" i="30"/>
  <c r="AZ1115" i="30"/>
  <c r="AZ1116" i="30"/>
  <c r="AZ1117" i="30"/>
  <c r="AZ1118" i="30"/>
  <c r="AZ1119" i="30"/>
  <c r="AZ1120" i="30"/>
  <c r="AZ1121" i="30"/>
  <c r="AZ1122" i="30"/>
  <c r="AZ1123" i="30"/>
  <c r="AZ1124" i="30"/>
  <c r="AZ1125" i="30"/>
  <c r="AZ1126" i="30"/>
  <c r="AZ1127" i="30"/>
  <c r="AZ1128" i="30"/>
  <c r="AZ1129" i="30"/>
  <c r="AZ1130" i="30"/>
  <c r="AZ1131" i="30"/>
  <c r="AZ1132" i="30"/>
  <c r="AZ1133" i="30"/>
  <c r="AZ1134" i="30"/>
  <c r="AZ1135" i="30"/>
  <c r="AZ1136" i="30"/>
  <c r="AZ1137" i="30"/>
  <c r="AZ1138" i="30"/>
  <c r="AZ1139" i="30"/>
  <c r="AZ1140" i="30"/>
  <c r="AZ1141" i="30"/>
  <c r="AZ1142" i="30"/>
  <c r="AZ1143" i="30"/>
  <c r="AZ1144" i="30"/>
  <c r="AZ1145" i="30"/>
  <c r="AZ1146" i="30"/>
  <c r="AZ1147" i="30"/>
  <c r="AZ1148" i="30"/>
  <c r="AZ1149" i="30"/>
  <c r="AZ1150" i="30"/>
  <c r="AZ1151" i="30"/>
  <c r="AZ1152" i="30"/>
  <c r="AZ1153" i="30"/>
  <c r="AZ1154" i="30"/>
  <c r="AZ1155" i="30"/>
  <c r="AZ1156" i="30"/>
  <c r="AZ1157" i="30"/>
  <c r="AZ1158" i="30"/>
  <c r="AZ1159" i="30"/>
  <c r="AZ1160" i="30"/>
  <c r="AZ1161" i="30"/>
  <c r="AZ1162" i="30"/>
  <c r="AZ1163" i="30"/>
  <c r="AZ1164" i="30"/>
  <c r="AZ1165" i="30"/>
  <c r="AZ1166" i="30"/>
  <c r="AZ1167" i="30"/>
  <c r="AZ1168" i="30"/>
  <c r="AZ1169" i="30"/>
  <c r="AZ1170" i="30"/>
  <c r="AZ1171" i="30"/>
  <c r="AZ1172" i="30"/>
  <c r="AZ1173" i="30"/>
  <c r="AZ1174" i="30"/>
  <c r="AZ1175" i="30"/>
  <c r="AZ1176" i="30"/>
  <c r="AZ1177" i="30"/>
  <c r="AZ1178" i="30"/>
  <c r="AZ1179" i="30"/>
  <c r="AZ1180" i="30"/>
  <c r="AZ1181" i="30"/>
  <c r="AZ1182" i="30"/>
  <c r="AZ1183" i="30"/>
  <c r="AZ1184" i="30"/>
  <c r="AZ1185" i="30"/>
  <c r="AZ1186" i="30"/>
  <c r="AZ1187" i="30"/>
  <c r="AZ1188" i="30"/>
  <c r="AZ1189" i="30"/>
  <c r="AZ1190" i="30"/>
  <c r="AZ1191" i="30"/>
  <c r="AZ1192" i="30"/>
  <c r="AZ1193" i="30"/>
  <c r="AZ1194" i="30"/>
  <c r="AZ1195" i="30"/>
  <c r="AZ1196" i="30"/>
  <c r="AZ1197" i="30"/>
  <c r="AZ1198" i="30"/>
  <c r="AZ1199" i="30"/>
  <c r="AZ1200" i="30"/>
  <c r="AZ1201" i="30"/>
  <c r="AZ1202" i="30"/>
  <c r="AZ1203" i="30"/>
  <c r="AZ1204" i="30"/>
  <c r="AZ1205" i="30"/>
  <c r="AZ1206" i="30"/>
  <c r="AZ1207" i="30"/>
  <c r="AZ1208" i="30"/>
  <c r="AZ1209" i="30"/>
  <c r="AZ1210" i="30"/>
  <c r="AZ1211" i="30"/>
  <c r="AZ1212" i="30"/>
  <c r="AZ1213" i="30"/>
  <c r="AZ1214" i="30"/>
  <c r="AZ1215" i="30"/>
  <c r="AZ1216" i="30"/>
  <c r="AZ1217" i="30"/>
  <c r="AZ1218" i="30"/>
  <c r="AZ1219" i="30"/>
  <c r="AZ1220" i="30"/>
  <c r="AZ1221" i="30"/>
  <c r="AZ1222" i="30"/>
  <c r="AZ1223" i="30"/>
  <c r="AZ1224" i="30"/>
  <c r="AZ1225" i="30"/>
  <c r="AZ1226" i="30"/>
  <c r="AZ1227" i="30"/>
  <c r="AZ1228" i="30"/>
  <c r="AZ1229" i="30"/>
  <c r="AZ1230" i="30"/>
  <c r="AY32" i="30"/>
  <c r="AY33" i="30"/>
  <c r="AY34" i="30"/>
  <c r="AY35" i="30"/>
  <c r="AY36" i="30"/>
  <c r="AY37" i="30"/>
  <c r="AY38" i="30"/>
  <c r="AY39" i="30"/>
  <c r="AY40" i="30"/>
  <c r="AY41" i="30"/>
  <c r="AY42" i="30"/>
  <c r="AY43" i="30"/>
  <c r="AY44" i="30"/>
  <c r="AY45" i="30"/>
  <c r="AY46" i="30"/>
  <c r="AY47" i="30"/>
  <c r="AY48" i="30"/>
  <c r="AY49" i="30"/>
  <c r="AY50" i="30"/>
  <c r="AY51" i="30"/>
  <c r="AY52" i="30"/>
  <c r="AY53" i="30"/>
  <c r="AY54" i="30"/>
  <c r="AY55" i="30"/>
  <c r="AY56" i="30"/>
  <c r="AY57" i="30"/>
  <c r="AY58" i="30"/>
  <c r="AY59" i="30"/>
  <c r="AY60" i="30"/>
  <c r="AY61" i="30"/>
  <c r="AY62" i="30"/>
  <c r="AY63" i="30"/>
  <c r="AY64" i="30"/>
  <c r="AY65" i="30"/>
  <c r="AY66" i="30"/>
  <c r="AY67" i="30"/>
  <c r="AY68" i="30"/>
  <c r="AY69" i="30"/>
  <c r="AY70" i="30"/>
  <c r="AY71" i="30"/>
  <c r="AY72" i="30"/>
  <c r="AY73" i="30"/>
  <c r="AY74" i="30"/>
  <c r="AY75" i="30"/>
  <c r="AY76" i="30"/>
  <c r="AY77" i="30"/>
  <c r="AY78" i="30"/>
  <c r="AY79" i="30"/>
  <c r="AY80" i="30"/>
  <c r="AY81" i="30"/>
  <c r="AY82" i="30"/>
  <c r="AY83" i="30"/>
  <c r="AY84" i="30"/>
  <c r="AY85" i="30"/>
  <c r="AY86" i="30"/>
  <c r="AY87" i="30"/>
  <c r="AY88" i="30"/>
  <c r="AY89" i="30"/>
  <c r="AY90" i="30"/>
  <c r="AY91" i="30"/>
  <c r="AY92" i="30"/>
  <c r="AY93" i="30"/>
  <c r="AY94" i="30"/>
  <c r="AY95" i="30"/>
  <c r="AY96" i="30"/>
  <c r="AY97" i="30"/>
  <c r="AY98" i="30"/>
  <c r="AY99" i="30"/>
  <c r="AY100" i="30"/>
  <c r="AY101" i="30"/>
  <c r="AY102" i="30"/>
  <c r="AY103" i="30"/>
  <c r="AY104" i="30"/>
  <c r="AY105" i="30"/>
  <c r="AY106" i="30"/>
  <c r="AY107" i="30"/>
  <c r="AY108" i="30"/>
  <c r="AY109" i="30"/>
  <c r="AY110" i="30"/>
  <c r="AY111" i="30"/>
  <c r="AY112" i="30"/>
  <c r="AY113" i="30"/>
  <c r="AY114" i="30"/>
  <c r="AY115" i="30"/>
  <c r="AY116" i="30"/>
  <c r="AY117" i="30"/>
  <c r="AY118" i="30"/>
  <c r="AY119" i="30"/>
  <c r="AY120" i="30"/>
  <c r="AY121" i="30"/>
  <c r="AY122" i="30"/>
  <c r="AY123" i="30"/>
  <c r="AY124" i="30"/>
  <c r="AY125" i="30"/>
  <c r="AY126" i="30"/>
  <c r="AY127" i="30"/>
  <c r="AY128" i="30"/>
  <c r="AY129" i="30"/>
  <c r="AY130" i="30"/>
  <c r="AY131" i="30"/>
  <c r="AY132" i="30"/>
  <c r="AY133" i="30"/>
  <c r="AY134" i="30"/>
  <c r="AY135" i="30"/>
  <c r="AY136" i="30"/>
  <c r="AY137" i="30"/>
  <c r="AY138" i="30"/>
  <c r="AY139" i="30"/>
  <c r="AY140" i="30"/>
  <c r="AY141" i="30"/>
  <c r="AY142" i="30"/>
  <c r="AY143" i="30"/>
  <c r="AY144" i="30"/>
  <c r="AY145" i="30"/>
  <c r="AY146" i="30"/>
  <c r="AY147" i="30"/>
  <c r="AY148" i="30"/>
  <c r="AY149" i="30"/>
  <c r="AY150" i="30"/>
  <c r="AY151" i="30"/>
  <c r="AY152" i="30"/>
  <c r="AY153" i="30"/>
  <c r="AY154" i="30"/>
  <c r="AY155" i="30"/>
  <c r="AY156" i="30"/>
  <c r="AY157" i="30"/>
  <c r="AY158" i="30"/>
  <c r="AY159" i="30"/>
  <c r="AY160" i="30"/>
  <c r="AY161" i="30"/>
  <c r="AY162" i="30"/>
  <c r="AY163" i="30"/>
  <c r="AY164" i="30"/>
  <c r="AY165" i="30"/>
  <c r="AY166" i="30"/>
  <c r="AY167" i="30"/>
  <c r="AY168" i="30"/>
  <c r="AY169" i="30"/>
  <c r="AY170" i="30"/>
  <c r="AY171" i="30"/>
  <c r="AY172" i="30"/>
  <c r="AY173" i="30"/>
  <c r="AY174" i="30"/>
  <c r="AY175" i="30"/>
  <c r="AY176" i="30"/>
  <c r="AY177" i="30"/>
  <c r="AY178" i="30"/>
  <c r="AY179" i="30"/>
  <c r="AY180" i="30"/>
  <c r="AY181" i="30"/>
  <c r="AY182" i="30"/>
  <c r="AY183" i="30"/>
  <c r="AY184" i="30"/>
  <c r="AY185" i="30"/>
  <c r="AY186" i="30"/>
  <c r="AY187" i="30"/>
  <c r="AY188" i="30"/>
  <c r="AY189" i="30"/>
  <c r="AY190" i="30"/>
  <c r="AY191" i="30"/>
  <c r="AY192" i="30"/>
  <c r="AY193" i="30"/>
  <c r="AY194" i="30"/>
  <c r="AY195" i="30"/>
  <c r="AY196" i="30"/>
  <c r="AY197" i="30"/>
  <c r="AY198" i="30"/>
  <c r="AY199" i="30"/>
  <c r="AY200" i="30"/>
  <c r="AY201" i="30"/>
  <c r="AY202" i="30"/>
  <c r="AY203" i="30"/>
  <c r="AY204" i="30"/>
  <c r="AY205" i="30"/>
  <c r="AY206" i="30"/>
  <c r="AY207" i="30"/>
  <c r="AY208" i="30"/>
  <c r="AY209" i="30"/>
  <c r="AY210" i="30"/>
  <c r="AY211" i="30"/>
  <c r="AY212" i="30"/>
  <c r="AY213" i="30"/>
  <c r="AY214" i="30"/>
  <c r="AY215" i="30"/>
  <c r="AY216" i="30"/>
  <c r="AY217" i="30"/>
  <c r="AY218" i="30"/>
  <c r="AY219" i="30"/>
  <c r="AY220" i="30"/>
  <c r="AY221" i="30"/>
  <c r="AY222" i="30"/>
  <c r="AY223" i="30"/>
  <c r="AY224" i="30"/>
  <c r="AY225" i="30"/>
  <c r="AY226" i="30"/>
  <c r="AY227" i="30"/>
  <c r="AY228" i="30"/>
  <c r="AY229" i="30"/>
  <c r="AY230" i="30"/>
  <c r="AY231" i="30"/>
  <c r="AY232" i="30"/>
  <c r="AY233" i="30"/>
  <c r="AY234" i="30"/>
  <c r="AY235" i="30"/>
  <c r="AY236" i="30"/>
  <c r="AY237" i="30"/>
  <c r="AY238" i="30"/>
  <c r="AY239" i="30"/>
  <c r="AY240" i="30"/>
  <c r="AY241" i="30"/>
  <c r="AY242" i="30"/>
  <c r="AY243" i="30"/>
  <c r="AY244" i="30"/>
  <c r="AY245" i="30"/>
  <c r="AY246" i="30"/>
  <c r="AY247" i="30"/>
  <c r="AY248" i="30"/>
  <c r="AY249" i="30"/>
  <c r="AY250" i="30"/>
  <c r="AY251" i="30"/>
  <c r="AY252" i="30"/>
  <c r="AY253" i="30"/>
  <c r="AY254" i="30"/>
  <c r="AY255" i="30"/>
  <c r="AY256" i="30"/>
  <c r="AY257" i="30"/>
  <c r="AY258" i="30"/>
  <c r="AY259" i="30"/>
  <c r="AY260" i="30"/>
  <c r="AY261" i="30"/>
  <c r="AY262" i="30"/>
  <c r="AY263" i="30"/>
  <c r="AY264" i="30"/>
  <c r="AY265" i="30"/>
  <c r="AY266" i="30"/>
  <c r="AY267" i="30"/>
  <c r="AY268" i="30"/>
  <c r="AY269" i="30"/>
  <c r="AY270" i="30"/>
  <c r="AY271" i="30"/>
  <c r="AY272" i="30"/>
  <c r="AY273" i="30"/>
  <c r="AY274" i="30"/>
  <c r="AY275" i="30"/>
  <c r="AY276" i="30"/>
  <c r="AY277" i="30"/>
  <c r="AY278" i="30"/>
  <c r="AY279" i="30"/>
  <c r="AY280" i="30"/>
  <c r="AY281" i="30"/>
  <c r="AY282" i="30"/>
  <c r="AY283" i="30"/>
  <c r="AY284" i="30"/>
  <c r="AY285" i="30"/>
  <c r="AY286" i="30"/>
  <c r="AY287" i="30"/>
  <c r="AY288" i="30"/>
  <c r="AY289" i="30"/>
  <c r="AY290" i="30"/>
  <c r="AY291" i="30"/>
  <c r="AY292" i="30"/>
  <c r="AY293" i="30"/>
  <c r="AY294" i="30"/>
  <c r="AY295" i="30"/>
  <c r="AY296" i="30"/>
  <c r="AY297" i="30"/>
  <c r="AY298" i="30"/>
  <c r="AY299" i="30"/>
  <c r="AY300" i="30"/>
  <c r="AY301" i="30"/>
  <c r="AY302" i="30"/>
  <c r="AY303" i="30"/>
  <c r="AY304" i="30"/>
  <c r="AY305" i="30"/>
  <c r="AY306" i="30"/>
  <c r="AY307" i="30"/>
  <c r="AY308" i="30"/>
  <c r="AY309" i="30"/>
  <c r="AY310" i="30"/>
  <c r="AY311" i="30"/>
  <c r="AY312" i="30"/>
  <c r="AY313" i="30"/>
  <c r="AY314" i="30"/>
  <c r="AY315" i="30"/>
  <c r="AY316" i="30"/>
  <c r="AY317" i="30"/>
  <c r="AY318" i="30"/>
  <c r="AY319" i="30"/>
  <c r="AY320" i="30"/>
  <c r="AY321" i="30"/>
  <c r="AY322" i="30"/>
  <c r="AY323" i="30"/>
  <c r="AY324" i="30"/>
  <c r="AY325" i="30"/>
  <c r="AY326" i="30"/>
  <c r="AY327" i="30"/>
  <c r="AY328" i="30"/>
  <c r="AY329" i="30"/>
  <c r="AY330" i="30"/>
  <c r="AY331" i="30"/>
  <c r="AY332" i="30"/>
  <c r="AY333" i="30"/>
  <c r="AY334" i="30"/>
  <c r="AY335" i="30"/>
  <c r="AY336" i="30"/>
  <c r="AY337" i="30"/>
  <c r="AY338" i="30"/>
  <c r="AY339" i="30"/>
  <c r="AY340" i="30"/>
  <c r="AY341" i="30"/>
  <c r="AY342" i="30"/>
  <c r="AY343" i="30"/>
  <c r="AY344" i="30"/>
  <c r="AY345" i="30"/>
  <c r="AY346" i="30"/>
  <c r="AY347" i="30"/>
  <c r="AY348" i="30"/>
  <c r="AY349" i="30"/>
  <c r="AY350" i="30"/>
  <c r="AY351" i="30"/>
  <c r="AY352" i="30"/>
  <c r="AY353" i="30"/>
  <c r="AY354" i="30"/>
  <c r="AY355" i="30"/>
  <c r="AY356" i="30"/>
  <c r="AY357" i="30"/>
  <c r="AY358" i="30"/>
  <c r="AY359" i="30"/>
  <c r="AY360" i="30"/>
  <c r="AY361" i="30"/>
  <c r="AY362" i="30"/>
  <c r="AY363" i="30"/>
  <c r="AY364" i="30"/>
  <c r="AY365" i="30"/>
  <c r="AY366" i="30"/>
  <c r="AY367" i="30"/>
  <c r="AY368" i="30"/>
  <c r="AY369" i="30"/>
  <c r="AY370" i="30"/>
  <c r="AY371" i="30"/>
  <c r="AY372" i="30"/>
  <c r="AY373" i="30"/>
  <c r="AY374" i="30"/>
  <c r="AY375" i="30"/>
  <c r="AY376" i="30"/>
  <c r="AY377" i="30"/>
  <c r="AY378" i="30"/>
  <c r="AY379" i="30"/>
  <c r="AY380" i="30"/>
  <c r="AY381" i="30"/>
  <c r="AY382" i="30"/>
  <c r="AY383" i="30"/>
  <c r="AY384" i="30"/>
  <c r="AY385" i="30"/>
  <c r="AY386" i="30"/>
  <c r="AY387" i="30"/>
  <c r="AY388" i="30"/>
  <c r="AY389" i="30"/>
  <c r="AY390" i="30"/>
  <c r="AY391" i="30"/>
  <c r="AY392" i="30"/>
  <c r="AY393" i="30"/>
  <c r="AY394" i="30"/>
  <c r="AY395" i="30"/>
  <c r="AY396" i="30"/>
  <c r="AY397" i="30"/>
  <c r="AY398" i="30"/>
  <c r="AY399" i="30"/>
  <c r="AY400" i="30"/>
  <c r="AY401" i="30"/>
  <c r="AY402" i="30"/>
  <c r="AY403" i="30"/>
  <c r="AY404" i="30"/>
  <c r="AY405" i="30"/>
  <c r="AY406" i="30"/>
  <c r="AY407" i="30"/>
  <c r="AY408" i="30"/>
  <c r="AY409" i="30"/>
  <c r="AY410" i="30"/>
  <c r="AY411" i="30"/>
  <c r="AY412" i="30"/>
  <c r="AY413" i="30"/>
  <c r="AY414" i="30"/>
  <c r="AY415" i="30"/>
  <c r="AY416" i="30"/>
  <c r="AY417" i="30"/>
  <c r="AY418" i="30"/>
  <c r="AY419" i="30"/>
  <c r="AY420" i="30"/>
  <c r="AY421" i="30"/>
  <c r="AY422" i="30"/>
  <c r="AY423" i="30"/>
  <c r="AY424" i="30"/>
  <c r="AY425" i="30"/>
  <c r="AY426" i="30"/>
  <c r="AY427" i="30"/>
  <c r="AY428" i="30"/>
  <c r="AY429" i="30"/>
  <c r="AY430" i="30"/>
  <c r="AY431" i="30"/>
  <c r="AY432" i="30"/>
  <c r="AY433" i="30"/>
  <c r="AY434" i="30"/>
  <c r="AY435" i="30"/>
  <c r="AY436" i="30"/>
  <c r="AY437" i="30"/>
  <c r="AY438" i="30"/>
  <c r="AY439" i="30"/>
  <c r="AY440" i="30"/>
  <c r="AY441" i="30"/>
  <c r="AY442" i="30"/>
  <c r="AY443" i="30"/>
  <c r="AY444" i="30"/>
  <c r="AY445" i="30"/>
  <c r="AY446" i="30"/>
  <c r="AY447" i="30"/>
  <c r="AY448" i="30"/>
  <c r="AY449" i="30"/>
  <c r="AY450" i="30"/>
  <c r="AY451" i="30"/>
  <c r="AY452" i="30"/>
  <c r="AY453" i="30"/>
  <c r="AY454" i="30"/>
  <c r="AY455" i="30"/>
  <c r="AY456" i="30"/>
  <c r="AY457" i="30"/>
  <c r="AY458" i="30"/>
  <c r="AY459" i="30"/>
  <c r="AY460" i="30"/>
  <c r="AY461" i="30"/>
  <c r="AY462" i="30"/>
  <c r="AY463" i="30"/>
  <c r="AY464" i="30"/>
  <c r="AY465" i="30"/>
  <c r="AY466" i="30"/>
  <c r="AY467" i="30"/>
  <c r="AY468" i="30"/>
  <c r="AY469" i="30"/>
  <c r="AY470" i="30"/>
  <c r="AY471" i="30"/>
  <c r="AY472" i="30"/>
  <c r="AY473" i="30"/>
  <c r="AY474" i="30"/>
  <c r="AY475" i="30"/>
  <c r="AY476" i="30"/>
  <c r="AY477" i="30"/>
  <c r="AY478" i="30"/>
  <c r="AY479" i="30"/>
  <c r="AY480" i="30"/>
  <c r="AY481" i="30"/>
  <c r="AY482" i="30"/>
  <c r="AY483" i="30"/>
  <c r="AY484" i="30"/>
  <c r="AY485" i="30"/>
  <c r="AY486" i="30"/>
  <c r="AY487" i="30"/>
  <c r="AY488" i="30"/>
  <c r="AY489" i="30"/>
  <c r="AY490" i="30"/>
  <c r="AY491" i="30"/>
  <c r="AY492" i="30"/>
  <c r="AY493" i="30"/>
  <c r="AY494" i="30"/>
  <c r="AY495" i="30"/>
  <c r="AY496" i="30"/>
  <c r="AY497" i="30"/>
  <c r="AY498" i="30"/>
  <c r="AY499" i="30"/>
  <c r="AY500" i="30"/>
  <c r="AY501" i="30"/>
  <c r="AY502" i="30"/>
  <c r="AY503" i="30"/>
  <c r="AY504" i="30"/>
  <c r="AY505" i="30"/>
  <c r="AY506" i="30"/>
  <c r="AY507" i="30"/>
  <c r="AY508" i="30"/>
  <c r="AY509" i="30"/>
  <c r="AY510" i="30"/>
  <c r="AY511" i="30"/>
  <c r="AY512" i="30"/>
  <c r="AY513" i="30"/>
  <c r="AY514" i="30"/>
  <c r="AY515" i="30"/>
  <c r="AY516" i="30"/>
  <c r="AY517" i="30"/>
  <c r="AY518" i="30"/>
  <c r="AY519" i="30"/>
  <c r="AY520" i="30"/>
  <c r="AY521" i="30"/>
  <c r="AY522" i="30"/>
  <c r="AY523" i="30"/>
  <c r="AY524" i="30"/>
  <c r="AY525" i="30"/>
  <c r="AY526" i="30"/>
  <c r="AY527" i="30"/>
  <c r="AY528" i="30"/>
  <c r="AY529" i="30"/>
  <c r="AY530" i="30"/>
  <c r="AY531" i="30"/>
  <c r="AY532" i="30"/>
  <c r="AY533" i="30"/>
  <c r="AY534" i="30"/>
  <c r="AY535" i="30"/>
  <c r="AY536" i="30"/>
  <c r="AY537" i="30"/>
  <c r="AY538" i="30"/>
  <c r="AY539" i="30"/>
  <c r="AY540" i="30"/>
  <c r="AY541" i="30"/>
  <c r="AY542" i="30"/>
  <c r="AY543" i="30"/>
  <c r="AY544" i="30"/>
  <c r="AY545" i="30"/>
  <c r="AY546" i="30"/>
  <c r="AY547" i="30"/>
  <c r="AY548" i="30"/>
  <c r="AY549" i="30"/>
  <c r="AY550" i="30"/>
  <c r="AY551" i="30"/>
  <c r="AY552" i="30"/>
  <c r="AY553" i="30"/>
  <c r="AY554" i="30"/>
  <c r="AY555" i="30"/>
  <c r="AY556" i="30"/>
  <c r="AY557" i="30"/>
  <c r="AY558" i="30"/>
  <c r="AY559" i="30"/>
  <c r="AY560" i="30"/>
  <c r="AY561" i="30"/>
  <c r="AY562" i="30"/>
  <c r="AY563" i="30"/>
  <c r="AY564" i="30"/>
  <c r="AY565" i="30"/>
  <c r="AY566" i="30"/>
  <c r="AY567" i="30"/>
  <c r="AY568" i="30"/>
  <c r="AY569" i="30"/>
  <c r="AY570" i="30"/>
  <c r="AY571" i="30"/>
  <c r="AY572" i="30"/>
  <c r="AY573" i="30"/>
  <c r="AY574" i="30"/>
  <c r="AY575" i="30"/>
  <c r="AY576" i="30"/>
  <c r="AY577" i="30"/>
  <c r="AY578" i="30"/>
  <c r="AY579" i="30"/>
  <c r="AY580" i="30"/>
  <c r="AY581" i="30"/>
  <c r="AY582" i="30"/>
  <c r="AY583" i="30"/>
  <c r="AY584" i="30"/>
  <c r="AY585" i="30"/>
  <c r="AY586" i="30"/>
  <c r="AY587" i="30"/>
  <c r="AY588" i="30"/>
  <c r="AY589" i="30"/>
  <c r="AY590" i="30"/>
  <c r="AY591" i="30"/>
  <c r="AY592" i="30"/>
  <c r="AY593" i="30"/>
  <c r="AY594" i="30"/>
  <c r="AY595" i="30"/>
  <c r="AY596" i="30"/>
  <c r="AY597" i="30"/>
  <c r="AY598" i="30"/>
  <c r="AY599" i="30"/>
  <c r="AY600" i="30"/>
  <c r="AY601" i="30"/>
  <c r="AY602" i="30"/>
  <c r="AY603" i="30"/>
  <c r="AY604" i="30"/>
  <c r="AY605" i="30"/>
  <c r="AY606" i="30"/>
  <c r="AY607" i="30"/>
  <c r="AY608" i="30"/>
  <c r="AY609" i="30"/>
  <c r="AY610" i="30"/>
  <c r="AY611" i="30"/>
  <c r="AY612" i="30"/>
  <c r="AY613" i="30"/>
  <c r="AY614" i="30"/>
  <c r="AY615" i="30"/>
  <c r="AY616" i="30"/>
  <c r="AY617" i="30"/>
  <c r="AY618" i="30"/>
  <c r="AY619" i="30"/>
  <c r="AY620" i="30"/>
  <c r="AY621" i="30"/>
  <c r="AY622" i="30"/>
  <c r="AY623" i="30"/>
  <c r="AY624" i="30"/>
  <c r="AY625" i="30"/>
  <c r="AY626" i="30"/>
  <c r="AY627" i="30"/>
  <c r="AY628" i="30"/>
  <c r="AY629" i="30"/>
  <c r="AY630" i="30"/>
  <c r="AY631" i="30"/>
  <c r="AY632" i="30"/>
  <c r="AY633" i="30"/>
  <c r="AY634" i="30"/>
  <c r="AY635" i="30"/>
  <c r="AY636" i="30"/>
  <c r="AY637" i="30"/>
  <c r="AY638" i="30"/>
  <c r="AY639" i="30"/>
  <c r="AY640" i="30"/>
  <c r="AY641" i="30"/>
  <c r="AY642" i="30"/>
  <c r="AY643" i="30"/>
  <c r="AY644" i="30"/>
  <c r="AY645" i="30"/>
  <c r="AY646" i="30"/>
  <c r="AY647" i="30"/>
  <c r="AY648" i="30"/>
  <c r="AY649" i="30"/>
  <c r="AY650" i="30"/>
  <c r="AY651" i="30"/>
  <c r="AY652" i="30"/>
  <c r="AY653" i="30"/>
  <c r="AY654" i="30"/>
  <c r="AY655" i="30"/>
  <c r="AY656" i="30"/>
  <c r="AY657" i="30"/>
  <c r="AY658" i="30"/>
  <c r="AY659" i="30"/>
  <c r="AY660" i="30"/>
  <c r="AY661" i="30"/>
  <c r="AY662" i="30"/>
  <c r="AY663" i="30"/>
  <c r="AY664" i="30"/>
  <c r="AY665" i="30"/>
  <c r="AY666" i="30"/>
  <c r="AY667" i="30"/>
  <c r="AY668" i="30"/>
  <c r="AY669" i="30"/>
  <c r="AY670" i="30"/>
  <c r="AY671" i="30"/>
  <c r="AY672" i="30"/>
  <c r="AY673" i="30"/>
  <c r="AY674" i="30"/>
  <c r="AY675" i="30"/>
  <c r="AY676" i="30"/>
  <c r="AY677" i="30"/>
  <c r="AY678" i="30"/>
  <c r="AY679" i="30"/>
  <c r="AY680" i="30"/>
  <c r="AY681" i="30"/>
  <c r="AY682" i="30"/>
  <c r="AY683" i="30"/>
  <c r="AY684" i="30"/>
  <c r="AY685" i="30"/>
  <c r="AY686" i="30"/>
  <c r="AY687" i="30"/>
  <c r="AY688" i="30"/>
  <c r="AY689" i="30"/>
  <c r="AY690" i="30"/>
  <c r="AY691" i="30"/>
  <c r="AY692" i="30"/>
  <c r="AY693" i="30"/>
  <c r="AY694" i="30"/>
  <c r="AY695" i="30"/>
  <c r="AY696" i="30"/>
  <c r="AY697" i="30"/>
  <c r="AY698" i="30"/>
  <c r="AY699" i="30"/>
  <c r="AY700" i="30"/>
  <c r="AY701" i="30"/>
  <c r="AY702" i="30"/>
  <c r="AY703" i="30"/>
  <c r="AY704" i="30"/>
  <c r="AY705" i="30"/>
  <c r="AY706" i="30"/>
  <c r="AY707" i="30"/>
  <c r="AY708" i="30"/>
  <c r="AY709" i="30"/>
  <c r="AY710" i="30"/>
  <c r="AY711" i="30"/>
  <c r="AY712" i="30"/>
  <c r="AY713" i="30"/>
  <c r="AY714" i="30"/>
  <c r="AY715" i="30"/>
  <c r="AY716" i="30"/>
  <c r="AY717" i="30"/>
  <c r="AY718" i="30"/>
  <c r="AY719" i="30"/>
  <c r="AY720" i="30"/>
  <c r="AY721" i="30"/>
  <c r="AY722" i="30"/>
  <c r="AY723" i="30"/>
  <c r="AY724" i="30"/>
  <c r="AY725" i="30"/>
  <c r="AY726" i="30"/>
  <c r="AY727" i="30"/>
  <c r="AY728" i="30"/>
  <c r="AY729" i="30"/>
  <c r="AY730" i="30"/>
  <c r="AY731" i="30"/>
  <c r="AY732" i="30"/>
  <c r="AY733" i="30"/>
  <c r="AY734" i="30"/>
  <c r="AY735" i="30"/>
  <c r="AY736" i="30"/>
  <c r="AY737" i="30"/>
  <c r="AY738" i="30"/>
  <c r="AY739" i="30"/>
  <c r="AY740" i="30"/>
  <c r="AY741" i="30"/>
  <c r="AY742" i="30"/>
  <c r="AY743" i="30"/>
  <c r="AY744" i="30"/>
  <c r="AY745" i="30"/>
  <c r="AY746" i="30"/>
  <c r="AY747" i="30"/>
  <c r="AY748" i="30"/>
  <c r="AY749" i="30"/>
  <c r="AY750" i="30"/>
  <c r="AY751" i="30"/>
  <c r="AY752" i="30"/>
  <c r="AY753" i="30"/>
  <c r="AY754" i="30"/>
  <c r="AY755" i="30"/>
  <c r="AY756" i="30"/>
  <c r="AY757" i="30"/>
  <c r="AY758" i="30"/>
  <c r="AY759" i="30"/>
  <c r="AY760" i="30"/>
  <c r="AY761" i="30"/>
  <c r="AY762" i="30"/>
  <c r="AY763" i="30"/>
  <c r="AY764" i="30"/>
  <c r="AY765" i="30"/>
  <c r="AY766" i="30"/>
  <c r="AY767" i="30"/>
  <c r="AY768" i="30"/>
  <c r="AY769" i="30"/>
  <c r="AY770" i="30"/>
  <c r="AY771" i="30"/>
  <c r="AY772" i="30"/>
  <c r="AY773" i="30"/>
  <c r="AY774" i="30"/>
  <c r="AY775" i="30"/>
  <c r="AY776" i="30"/>
  <c r="AY777" i="30"/>
  <c r="AY778" i="30"/>
  <c r="AY779" i="30"/>
  <c r="AY780" i="30"/>
  <c r="AY781" i="30"/>
  <c r="AY782" i="30"/>
  <c r="AY783" i="30"/>
  <c r="AY784" i="30"/>
  <c r="AY785" i="30"/>
  <c r="AY786" i="30"/>
  <c r="AY787" i="30"/>
  <c r="AY788" i="30"/>
  <c r="AY789" i="30"/>
  <c r="AY790" i="30"/>
  <c r="AY791" i="30"/>
  <c r="AY792" i="30"/>
  <c r="AY793" i="30"/>
  <c r="AY794" i="30"/>
  <c r="AY795" i="30"/>
  <c r="AY796" i="30"/>
  <c r="AY797" i="30"/>
  <c r="AY798" i="30"/>
  <c r="AY799" i="30"/>
  <c r="AY800" i="30"/>
  <c r="AY801" i="30"/>
  <c r="AY802" i="30"/>
  <c r="AY803" i="30"/>
  <c r="AY804" i="30"/>
  <c r="AY805" i="30"/>
  <c r="AY806" i="30"/>
  <c r="AY807" i="30"/>
  <c r="AY808" i="30"/>
  <c r="AY809" i="30"/>
  <c r="AY810" i="30"/>
  <c r="AY811" i="30"/>
  <c r="AY812" i="30"/>
  <c r="AY813" i="30"/>
  <c r="AY814" i="30"/>
  <c r="AY815" i="30"/>
  <c r="AY816" i="30"/>
  <c r="AY817" i="30"/>
  <c r="AY818" i="30"/>
  <c r="AY819" i="30"/>
  <c r="AY820" i="30"/>
  <c r="AY821" i="30"/>
  <c r="AY822" i="30"/>
  <c r="AY823" i="30"/>
  <c r="AY824" i="30"/>
  <c r="AY825" i="30"/>
  <c r="AY826" i="30"/>
  <c r="AY827" i="30"/>
  <c r="AY828" i="30"/>
  <c r="AY829" i="30"/>
  <c r="AY830" i="30"/>
  <c r="AY831" i="30"/>
  <c r="AY832" i="30"/>
  <c r="AY833" i="30"/>
  <c r="AY834" i="30"/>
  <c r="AY835" i="30"/>
  <c r="AY836" i="30"/>
  <c r="AY837" i="30"/>
  <c r="AY838" i="30"/>
  <c r="AY839" i="30"/>
  <c r="AY840" i="30"/>
  <c r="AY841" i="30"/>
  <c r="AY842" i="30"/>
  <c r="AY843" i="30"/>
  <c r="AY844" i="30"/>
  <c r="AY845" i="30"/>
  <c r="AY846" i="30"/>
  <c r="AY847" i="30"/>
  <c r="AY848" i="30"/>
  <c r="AY849" i="30"/>
  <c r="AY850" i="30"/>
  <c r="AY851" i="30"/>
  <c r="AY852" i="30"/>
  <c r="AY853" i="30"/>
  <c r="AY854" i="30"/>
  <c r="AY855" i="30"/>
  <c r="AY856" i="30"/>
  <c r="AY857" i="30"/>
  <c r="AY858" i="30"/>
  <c r="AY859" i="30"/>
  <c r="AY860" i="30"/>
  <c r="AY861" i="30"/>
  <c r="AY862" i="30"/>
  <c r="AY863" i="30"/>
  <c r="AY864" i="30"/>
  <c r="AY865" i="30"/>
  <c r="AY866" i="30"/>
  <c r="AY867" i="30"/>
  <c r="AY868" i="30"/>
  <c r="AY869" i="30"/>
  <c r="AY870" i="30"/>
  <c r="AY871" i="30"/>
  <c r="AY872" i="30"/>
  <c r="AY873" i="30"/>
  <c r="AY874" i="30"/>
  <c r="AY875" i="30"/>
  <c r="AY876" i="30"/>
  <c r="AY877" i="30"/>
  <c r="AY878" i="30"/>
  <c r="AY879" i="30"/>
  <c r="AY880" i="30"/>
  <c r="AY881" i="30"/>
  <c r="AY882" i="30"/>
  <c r="AY883" i="30"/>
  <c r="AY884" i="30"/>
  <c r="AY885" i="30"/>
  <c r="AY886" i="30"/>
  <c r="AY887" i="30"/>
  <c r="AY888" i="30"/>
  <c r="AY889" i="30"/>
  <c r="AY890" i="30"/>
  <c r="AY891" i="30"/>
  <c r="AY892" i="30"/>
  <c r="AY893" i="30"/>
  <c r="AY894" i="30"/>
  <c r="AY895" i="30"/>
  <c r="AY896" i="30"/>
  <c r="AY897" i="30"/>
  <c r="AY898" i="30"/>
  <c r="AY899" i="30"/>
  <c r="AY900" i="30"/>
  <c r="AY901" i="30"/>
  <c r="AY902" i="30"/>
  <c r="AY903" i="30"/>
  <c r="AY904" i="30"/>
  <c r="AY905" i="30"/>
  <c r="AY906" i="30"/>
  <c r="AY907" i="30"/>
  <c r="AY908" i="30"/>
  <c r="AY909" i="30"/>
  <c r="AY910" i="30"/>
  <c r="AY911" i="30"/>
  <c r="AY912" i="30"/>
  <c r="AY913" i="30"/>
  <c r="AY914" i="30"/>
  <c r="AY915" i="30"/>
  <c r="AY916" i="30"/>
  <c r="AY917" i="30"/>
  <c r="AY918" i="30"/>
  <c r="AY919" i="30"/>
  <c r="AY920" i="30"/>
  <c r="AY921" i="30"/>
  <c r="AY922" i="30"/>
  <c r="AY923" i="30"/>
  <c r="AY924" i="30"/>
  <c r="AY925" i="30"/>
  <c r="AY926" i="30"/>
  <c r="AY927" i="30"/>
  <c r="AY928" i="30"/>
  <c r="AY929" i="30"/>
  <c r="AY930" i="30"/>
  <c r="AY931" i="30"/>
  <c r="AY932" i="30"/>
  <c r="AY933" i="30"/>
  <c r="AY934" i="30"/>
  <c r="AY935" i="30"/>
  <c r="AY936" i="30"/>
  <c r="AY937" i="30"/>
  <c r="AY938" i="30"/>
  <c r="AY939" i="30"/>
  <c r="AY940" i="30"/>
  <c r="AY941" i="30"/>
  <c r="AY942" i="30"/>
  <c r="AY943" i="30"/>
  <c r="AY944" i="30"/>
  <c r="AY945" i="30"/>
  <c r="AY946" i="30"/>
  <c r="AY947" i="30"/>
  <c r="AY948" i="30"/>
  <c r="AY949" i="30"/>
  <c r="AY950" i="30"/>
  <c r="AY951" i="30"/>
  <c r="AY952" i="30"/>
  <c r="AY953" i="30"/>
  <c r="AY954" i="30"/>
  <c r="AY955" i="30"/>
  <c r="AY956" i="30"/>
  <c r="AY957" i="30"/>
  <c r="AY958" i="30"/>
  <c r="AY959" i="30"/>
  <c r="AY960" i="30"/>
  <c r="AY961" i="30"/>
  <c r="AY962" i="30"/>
  <c r="AY963" i="30"/>
  <c r="AY964" i="30"/>
  <c r="AY965" i="30"/>
  <c r="AY966" i="30"/>
  <c r="AY967" i="30"/>
  <c r="AY968" i="30"/>
  <c r="AY969" i="30"/>
  <c r="AY970" i="30"/>
  <c r="AY971" i="30"/>
  <c r="AY972" i="30"/>
  <c r="AY973" i="30"/>
  <c r="AY974" i="30"/>
  <c r="AY975" i="30"/>
  <c r="AY976" i="30"/>
  <c r="AY977" i="30"/>
  <c r="AY978" i="30"/>
  <c r="AY979" i="30"/>
  <c r="AY980" i="30"/>
  <c r="AY981" i="30"/>
  <c r="AY982" i="30"/>
  <c r="AY983" i="30"/>
  <c r="AY984" i="30"/>
  <c r="AY985" i="30"/>
  <c r="AY986" i="30"/>
  <c r="AY987" i="30"/>
  <c r="AY988" i="30"/>
  <c r="AY989" i="30"/>
  <c r="AY990" i="30"/>
  <c r="AY991" i="30"/>
  <c r="AY992" i="30"/>
  <c r="AY993" i="30"/>
  <c r="AY994" i="30"/>
  <c r="AY995" i="30"/>
  <c r="AY996" i="30"/>
  <c r="AY997" i="30"/>
  <c r="AY998" i="30"/>
  <c r="AY999" i="30"/>
  <c r="AY1000" i="30"/>
  <c r="AY1001" i="30"/>
  <c r="AY1002" i="30"/>
  <c r="AY1003" i="30"/>
  <c r="AY1004" i="30"/>
  <c r="AY1005" i="30"/>
  <c r="AY1006" i="30"/>
  <c r="AY1007" i="30"/>
  <c r="AY1008" i="30"/>
  <c r="AY1009" i="30"/>
  <c r="AY1010" i="30"/>
  <c r="AY1011" i="30"/>
  <c r="AY1012" i="30"/>
  <c r="AY1013" i="30"/>
  <c r="AY1014" i="30"/>
  <c r="AY1015" i="30"/>
  <c r="AY1016" i="30"/>
  <c r="AY1017" i="30"/>
  <c r="AY1018" i="30"/>
  <c r="AY1019" i="30"/>
  <c r="AY1020" i="30"/>
  <c r="AY1021" i="30"/>
  <c r="AY1022" i="30"/>
  <c r="AY1023" i="30"/>
  <c r="AY1024" i="30"/>
  <c r="AY1025" i="30"/>
  <c r="AY1026" i="30"/>
  <c r="AY1027" i="30"/>
  <c r="AY1028" i="30"/>
  <c r="AY1029" i="30"/>
  <c r="AY1030" i="30"/>
  <c r="AY1031" i="30"/>
  <c r="AY1032" i="30"/>
  <c r="AY1033" i="30"/>
  <c r="AY1034" i="30"/>
  <c r="AY1035" i="30"/>
  <c r="AY1036" i="30"/>
  <c r="AY1037" i="30"/>
  <c r="AY1038" i="30"/>
  <c r="AY1039" i="30"/>
  <c r="AY1040" i="30"/>
  <c r="AY1041" i="30"/>
  <c r="AY1042" i="30"/>
  <c r="AY1043" i="30"/>
  <c r="AY1044" i="30"/>
  <c r="AY1045" i="30"/>
  <c r="AY1046" i="30"/>
  <c r="AY1047" i="30"/>
  <c r="AY1048" i="30"/>
  <c r="AY1049" i="30"/>
  <c r="AY1050" i="30"/>
  <c r="AY1051" i="30"/>
  <c r="AY1052" i="30"/>
  <c r="AY1053" i="30"/>
  <c r="AY1054" i="30"/>
  <c r="AY1055" i="30"/>
  <c r="AY1056" i="30"/>
  <c r="AY1057" i="30"/>
  <c r="AY1058" i="30"/>
  <c r="AY1059" i="30"/>
  <c r="AY1060" i="30"/>
  <c r="AY1061" i="30"/>
  <c r="AY1062" i="30"/>
  <c r="AY1063" i="30"/>
  <c r="AY1064" i="30"/>
  <c r="AY1065" i="30"/>
  <c r="AY1066" i="30"/>
  <c r="AY1067" i="30"/>
  <c r="AY1068" i="30"/>
  <c r="AY1069" i="30"/>
  <c r="AY1070" i="30"/>
  <c r="AY1071" i="30"/>
  <c r="AY1072" i="30"/>
  <c r="AY1073" i="30"/>
  <c r="AY1074" i="30"/>
  <c r="AY1075" i="30"/>
  <c r="AY1076" i="30"/>
  <c r="AY1077" i="30"/>
  <c r="AY1078" i="30"/>
  <c r="AY1079" i="30"/>
  <c r="AY1080" i="30"/>
  <c r="AY1081" i="30"/>
  <c r="AY1082" i="30"/>
  <c r="AY1083" i="30"/>
  <c r="AY1084" i="30"/>
  <c r="AY1085" i="30"/>
  <c r="AY1086" i="30"/>
  <c r="AY1087" i="30"/>
  <c r="AY1088" i="30"/>
  <c r="AY1089" i="30"/>
  <c r="AY1090" i="30"/>
  <c r="AY1091" i="30"/>
  <c r="AY1092" i="30"/>
  <c r="AY1093" i="30"/>
  <c r="AY1094" i="30"/>
  <c r="AY1095" i="30"/>
  <c r="AY1096" i="30"/>
  <c r="AY1097" i="30"/>
  <c r="AY1098" i="30"/>
  <c r="AY1099" i="30"/>
  <c r="AY1100" i="30"/>
  <c r="AY1101" i="30"/>
  <c r="AY1102" i="30"/>
  <c r="AY1103" i="30"/>
  <c r="AY1104" i="30"/>
  <c r="AY1105" i="30"/>
  <c r="AY1106" i="30"/>
  <c r="AY1107" i="30"/>
  <c r="AY1108" i="30"/>
  <c r="AY1109" i="30"/>
  <c r="AY1110" i="30"/>
  <c r="AY1111" i="30"/>
  <c r="AY1112" i="30"/>
  <c r="AY1113" i="30"/>
  <c r="AY1114" i="30"/>
  <c r="AY1115" i="30"/>
  <c r="AY1116" i="30"/>
  <c r="AY1117" i="30"/>
  <c r="AY1118" i="30"/>
  <c r="AY1119" i="30"/>
  <c r="AY1120" i="30"/>
  <c r="AY1121" i="30"/>
  <c r="AY1122" i="30"/>
  <c r="AY1123" i="30"/>
  <c r="AY1124" i="30"/>
  <c r="AY1125" i="30"/>
  <c r="AY1126" i="30"/>
  <c r="AY1127" i="30"/>
  <c r="AY1128" i="30"/>
  <c r="AY1129" i="30"/>
  <c r="AY1130" i="30"/>
  <c r="AY1131" i="30"/>
  <c r="AY1132" i="30"/>
  <c r="AY1133" i="30"/>
  <c r="AY1134" i="30"/>
  <c r="AY1135" i="30"/>
  <c r="AY1136" i="30"/>
  <c r="AY1137" i="30"/>
  <c r="AY1138" i="30"/>
  <c r="AY1139" i="30"/>
  <c r="AY1140" i="30"/>
  <c r="AY1141" i="30"/>
  <c r="AY1142" i="30"/>
  <c r="AY1143" i="30"/>
  <c r="AY1144" i="30"/>
  <c r="AY1145" i="30"/>
  <c r="AY1146" i="30"/>
  <c r="AY1147" i="30"/>
  <c r="AY1148" i="30"/>
  <c r="AY1149" i="30"/>
  <c r="AY1150" i="30"/>
  <c r="AY1151" i="30"/>
  <c r="AY1152" i="30"/>
  <c r="AY1153" i="30"/>
  <c r="AY1154" i="30"/>
  <c r="AY1155" i="30"/>
  <c r="AY1156" i="30"/>
  <c r="AY1157" i="30"/>
  <c r="AY1158" i="30"/>
  <c r="AY1159" i="30"/>
  <c r="AY1160" i="30"/>
  <c r="AY1161" i="30"/>
  <c r="AY1162" i="30"/>
  <c r="AY1163" i="30"/>
  <c r="AY1164" i="30"/>
  <c r="AY1165" i="30"/>
  <c r="AY1166" i="30"/>
  <c r="AY1167" i="30"/>
  <c r="AY1168" i="30"/>
  <c r="AY1169" i="30"/>
  <c r="AY1170" i="30"/>
  <c r="AY1171" i="30"/>
  <c r="AY1172" i="30"/>
  <c r="AY1173" i="30"/>
  <c r="AY1174" i="30"/>
  <c r="AY1175" i="30"/>
  <c r="AY1176" i="30"/>
  <c r="AY1177" i="30"/>
  <c r="AY1178" i="30"/>
  <c r="AY1179" i="30"/>
  <c r="AY1180" i="30"/>
  <c r="AY1181" i="30"/>
  <c r="AY1182" i="30"/>
  <c r="AY1183" i="30"/>
  <c r="AY1184" i="30"/>
  <c r="AY1185" i="30"/>
  <c r="AY1186" i="30"/>
  <c r="AY1187" i="30"/>
  <c r="AY1188" i="30"/>
  <c r="AY1189" i="30"/>
  <c r="AY1190" i="30"/>
  <c r="AY1191" i="30"/>
  <c r="AY1192" i="30"/>
  <c r="AY1193" i="30"/>
  <c r="AY1194" i="30"/>
  <c r="AY1195" i="30"/>
  <c r="AY1196" i="30"/>
  <c r="AY1197" i="30"/>
  <c r="AY1198" i="30"/>
  <c r="AY1199" i="30"/>
  <c r="AY1200" i="30"/>
  <c r="AY1201" i="30"/>
  <c r="AY1202" i="30"/>
  <c r="AY1203" i="30"/>
  <c r="AY1204" i="30"/>
  <c r="AY1205" i="30"/>
  <c r="AY1206" i="30"/>
  <c r="AY1207" i="30"/>
  <c r="AY1208" i="30"/>
  <c r="AY1209" i="30"/>
  <c r="AY1210" i="30"/>
  <c r="AY1211" i="30"/>
  <c r="AY1212" i="30"/>
  <c r="AY1213" i="30"/>
  <c r="AY1214" i="30"/>
  <c r="AY1215" i="30"/>
  <c r="AY1216" i="30"/>
  <c r="AY1217" i="30"/>
  <c r="AY1218" i="30"/>
  <c r="AY1219" i="30"/>
  <c r="AY1220" i="30"/>
  <c r="AY1221" i="30"/>
  <c r="AY1222" i="30"/>
  <c r="AY1223" i="30"/>
  <c r="AY1224" i="30"/>
  <c r="AY1225" i="30"/>
  <c r="AY1226" i="30"/>
  <c r="AY1227" i="30"/>
  <c r="AY1228" i="30"/>
  <c r="AY1229" i="30"/>
  <c r="AY1230" i="30"/>
  <c r="AY31" i="30"/>
  <c r="BC1230" i="30"/>
  <c r="BC1229" i="30"/>
  <c r="BC1228" i="30"/>
  <c r="BC1227" i="30"/>
  <c r="BC1226" i="30"/>
  <c r="BC1225" i="30"/>
  <c r="BC1224" i="30"/>
  <c r="BC1223" i="30"/>
  <c r="BC1222" i="30"/>
  <c r="BC1221" i="30"/>
  <c r="BC1220" i="30"/>
  <c r="BC1219" i="30"/>
  <c r="BC1218" i="30"/>
  <c r="BC1217" i="30"/>
  <c r="BC1216" i="30"/>
  <c r="BC1215" i="30"/>
  <c r="BC1214" i="30"/>
  <c r="BC1213" i="30"/>
  <c r="BC1212" i="30"/>
  <c r="BC1211" i="30"/>
  <c r="BC1210" i="30"/>
  <c r="BC1209" i="30"/>
  <c r="BC1208" i="30"/>
  <c r="BC1207" i="30"/>
  <c r="BC1206" i="30"/>
  <c r="BC1205" i="30"/>
  <c r="BC1204" i="30"/>
  <c r="BC1203" i="30"/>
  <c r="BC1202" i="30"/>
  <c r="BC1201" i="30"/>
  <c r="BC1200" i="30"/>
  <c r="BC1199" i="30"/>
  <c r="BC1198" i="30"/>
  <c r="BC1197" i="30"/>
  <c r="BC1196" i="30"/>
  <c r="BC1195" i="30"/>
  <c r="BC1194" i="30"/>
  <c r="BC1193" i="30"/>
  <c r="BC1192" i="30"/>
  <c r="BC1191" i="30"/>
  <c r="BC1190" i="30"/>
  <c r="BC1189" i="30"/>
  <c r="BC1188" i="30"/>
  <c r="BC1187" i="30"/>
  <c r="BC1186" i="30"/>
  <c r="BC1185" i="30"/>
  <c r="BC1184" i="30"/>
  <c r="BC1183" i="30"/>
  <c r="BC1182" i="30"/>
  <c r="BC1181" i="30"/>
  <c r="BC1180" i="30"/>
  <c r="BC1179" i="30"/>
  <c r="BC1178" i="30"/>
  <c r="BC1177" i="30"/>
  <c r="BC1176" i="30"/>
  <c r="BC1175" i="30"/>
  <c r="BC1174" i="30"/>
  <c r="BC1173" i="30"/>
  <c r="BC1172" i="30"/>
  <c r="BC1171" i="30"/>
  <c r="BC1170" i="30"/>
  <c r="BC1169" i="30"/>
  <c r="BC1168" i="30"/>
  <c r="BC1167" i="30"/>
  <c r="BC1166" i="30"/>
  <c r="BC1165" i="30"/>
  <c r="BC1164" i="30"/>
  <c r="BC1163" i="30"/>
  <c r="BC1162" i="30"/>
  <c r="BC1161" i="30"/>
  <c r="BC1160" i="30"/>
  <c r="BC1159" i="30"/>
  <c r="BC1158" i="30"/>
  <c r="BC1157" i="30"/>
  <c r="BC1156" i="30"/>
  <c r="BC1155" i="30"/>
  <c r="BC1154" i="30"/>
  <c r="BC1153" i="30"/>
  <c r="BC1152" i="30"/>
  <c r="BC1151" i="30"/>
  <c r="BC1150" i="30"/>
  <c r="BC1149" i="30"/>
  <c r="BC1148" i="30"/>
  <c r="BC1147" i="30"/>
  <c r="BC1146" i="30"/>
  <c r="BC1145" i="30"/>
  <c r="BC1144" i="30"/>
  <c r="BC1143" i="30"/>
  <c r="BC1142" i="30"/>
  <c r="BC1141" i="30"/>
  <c r="BC1140" i="30"/>
  <c r="BC1139" i="30"/>
  <c r="BC1138" i="30"/>
  <c r="BC1137" i="30"/>
  <c r="BC1136" i="30"/>
  <c r="BC1135" i="30"/>
  <c r="BC1134" i="30"/>
  <c r="BC1133" i="30"/>
  <c r="BC1132" i="30"/>
  <c r="BC1131" i="30"/>
  <c r="BC1130" i="30"/>
  <c r="BC1129" i="30"/>
  <c r="BC1128" i="30"/>
  <c r="BC1127" i="30"/>
  <c r="BC1126" i="30"/>
  <c r="BC1125" i="30"/>
  <c r="BC1124" i="30"/>
  <c r="BC1123" i="30"/>
  <c r="BC1122" i="30"/>
  <c r="BC1121" i="30"/>
  <c r="BC1120" i="30"/>
  <c r="BC1119" i="30"/>
  <c r="BC1118" i="30"/>
  <c r="BC1117" i="30"/>
  <c r="BC1116" i="30"/>
  <c r="BC1115" i="30"/>
  <c r="BC1114" i="30"/>
  <c r="BC1113" i="30"/>
  <c r="BC1112" i="30"/>
  <c r="BC1111" i="30"/>
  <c r="BC1110" i="30"/>
  <c r="BC1109" i="30"/>
  <c r="BC1108" i="30"/>
  <c r="BC1107" i="30"/>
  <c r="BC1106" i="30"/>
  <c r="BC1105" i="30"/>
  <c r="BC1104" i="30"/>
  <c r="BC1103" i="30"/>
  <c r="BC1102" i="30"/>
  <c r="BC1101" i="30"/>
  <c r="BC1100" i="30"/>
  <c r="BC1099" i="30"/>
  <c r="BC1098" i="30"/>
  <c r="BC1097" i="30"/>
  <c r="BC1096" i="30"/>
  <c r="BC1095" i="30"/>
  <c r="BC1094" i="30"/>
  <c r="BC1093" i="30"/>
  <c r="BC1092" i="30"/>
  <c r="BC1091" i="30"/>
  <c r="BC1090" i="30"/>
  <c r="BC1089" i="30"/>
  <c r="BC1088" i="30"/>
  <c r="BC1087" i="30"/>
  <c r="BC1086" i="30"/>
  <c r="BC1085" i="30"/>
  <c r="BC1084" i="30"/>
  <c r="BC1083" i="30"/>
  <c r="BC1082" i="30"/>
  <c r="BC1081" i="30"/>
  <c r="BC1080" i="30"/>
  <c r="BC1079" i="30"/>
  <c r="BC1078" i="30"/>
  <c r="BC1077" i="30"/>
  <c r="BC1076" i="30"/>
  <c r="BC1075" i="30"/>
  <c r="BC1074" i="30"/>
  <c r="BC1073" i="30"/>
  <c r="BC1072" i="30"/>
  <c r="BC1071" i="30"/>
  <c r="BC1070" i="30"/>
  <c r="BC1069" i="30"/>
  <c r="BC1068" i="30"/>
  <c r="BC1067" i="30"/>
  <c r="BC1066" i="30"/>
  <c r="BC1065" i="30"/>
  <c r="BC1064" i="30"/>
  <c r="BC1063" i="30"/>
  <c r="BC1062" i="30"/>
  <c r="BC1061" i="30"/>
  <c r="BC1060" i="30"/>
  <c r="BC1059" i="30"/>
  <c r="BC1058" i="30"/>
  <c r="BC1057" i="30"/>
  <c r="BC1056" i="30"/>
  <c r="BC1055" i="30"/>
  <c r="BC1054" i="30"/>
  <c r="BC1053" i="30"/>
  <c r="BC1052" i="30"/>
  <c r="BC1051" i="30"/>
  <c r="BC1050" i="30"/>
  <c r="BC1049" i="30"/>
  <c r="BC1048" i="30"/>
  <c r="BC1047" i="30"/>
  <c r="BC1046" i="30"/>
  <c r="BC1045" i="30"/>
  <c r="BC1044" i="30"/>
  <c r="BC1043" i="30"/>
  <c r="BC1042" i="30"/>
  <c r="BC1041" i="30"/>
  <c r="BC1040" i="30"/>
  <c r="BC1039" i="30"/>
  <c r="BC1038" i="30"/>
  <c r="BC1037" i="30"/>
  <c r="BC1036" i="30"/>
  <c r="BC1035" i="30"/>
  <c r="BC1034" i="30"/>
  <c r="BC1033" i="30"/>
  <c r="BC1032" i="30"/>
  <c r="BC1031" i="30"/>
  <c r="BC1030" i="30"/>
  <c r="BC1029" i="30"/>
  <c r="BC1028" i="30"/>
  <c r="BC1027" i="30"/>
  <c r="BC1026" i="30"/>
  <c r="BC1025" i="30"/>
  <c r="BC1024" i="30"/>
  <c r="BC1023" i="30"/>
  <c r="BC1022" i="30"/>
  <c r="BC1021" i="30"/>
  <c r="BC1020" i="30"/>
  <c r="BC1019" i="30"/>
  <c r="BC1018" i="30"/>
  <c r="BC1017" i="30"/>
  <c r="BC1016" i="30"/>
  <c r="BC1015" i="30"/>
  <c r="BC1014" i="30"/>
  <c r="BC1013" i="30"/>
  <c r="BC1012" i="30"/>
  <c r="BC1011" i="30"/>
  <c r="BC1010" i="30"/>
  <c r="BC1009" i="30"/>
  <c r="BC1008" i="30"/>
  <c r="BC1007" i="30"/>
  <c r="BC1006" i="30"/>
  <c r="BC1005" i="30"/>
  <c r="BC1004" i="30"/>
  <c r="BC1003" i="30"/>
  <c r="BC1002" i="30"/>
  <c r="BC1001" i="30"/>
  <c r="BC1000" i="30"/>
  <c r="BC999" i="30"/>
  <c r="BC998" i="30"/>
  <c r="BC997" i="30"/>
  <c r="BC996" i="30"/>
  <c r="BC995" i="30"/>
  <c r="BC994" i="30"/>
  <c r="BC993" i="30"/>
  <c r="BC992" i="30"/>
  <c r="BC991" i="30"/>
  <c r="BC990" i="30"/>
  <c r="BC989" i="30"/>
  <c r="BC988" i="30"/>
  <c r="BC987" i="30"/>
  <c r="BC986" i="30"/>
  <c r="BC985" i="30"/>
  <c r="BC984" i="30"/>
  <c r="BC983" i="30"/>
  <c r="BC982" i="30"/>
  <c r="BC981" i="30"/>
  <c r="BC980" i="30"/>
  <c r="BC979" i="30"/>
  <c r="BC978" i="30"/>
  <c r="BC977" i="30"/>
  <c r="BC976" i="30"/>
  <c r="BC975" i="30"/>
  <c r="BC974" i="30"/>
  <c r="BC973" i="30"/>
  <c r="BC972" i="30"/>
  <c r="BC971" i="30"/>
  <c r="BC970" i="30"/>
  <c r="BC969" i="30"/>
  <c r="BC968" i="30"/>
  <c r="BC967" i="30"/>
  <c r="BC966" i="30"/>
  <c r="BC965" i="30"/>
  <c r="BC964" i="30"/>
  <c r="BC963" i="30"/>
  <c r="BC962" i="30"/>
  <c r="BC961" i="30"/>
  <c r="BC960" i="30"/>
  <c r="BC959" i="30"/>
  <c r="BC958" i="30"/>
  <c r="BC957" i="30"/>
  <c r="BC956" i="30"/>
  <c r="BC955" i="30"/>
  <c r="BC954" i="30"/>
  <c r="BC953" i="30"/>
  <c r="BC952" i="30"/>
  <c r="BC951" i="30"/>
  <c r="BC950" i="30"/>
  <c r="BC949" i="30"/>
  <c r="BC948" i="30"/>
  <c r="BC947" i="30"/>
  <c r="BC946" i="30"/>
  <c r="BC945" i="30"/>
  <c r="BC944" i="30"/>
  <c r="BC943" i="30"/>
  <c r="BC942" i="30"/>
  <c r="BC941" i="30"/>
  <c r="BC940" i="30"/>
  <c r="BC939" i="30"/>
  <c r="BC938" i="30"/>
  <c r="BC937" i="30"/>
  <c r="BC936" i="30"/>
  <c r="BC935" i="30"/>
  <c r="BC934" i="30"/>
  <c r="BC933" i="30"/>
  <c r="BC932" i="30"/>
  <c r="BC931" i="30"/>
  <c r="BC930" i="30"/>
  <c r="BC929" i="30"/>
  <c r="BC928" i="30"/>
  <c r="BC927" i="30"/>
  <c r="BC926" i="30"/>
  <c r="BC925" i="30"/>
  <c r="BC924" i="30"/>
  <c r="BC923" i="30"/>
  <c r="BC922" i="30"/>
  <c r="BC921" i="30"/>
  <c r="BC920" i="30"/>
  <c r="BC919" i="30"/>
  <c r="BC918" i="30"/>
  <c r="BC917" i="30"/>
  <c r="BC916" i="30"/>
  <c r="BC915" i="30"/>
  <c r="BC914" i="30"/>
  <c r="BC913" i="30"/>
  <c r="BC912" i="30"/>
  <c r="BC911" i="30"/>
  <c r="BC910" i="30"/>
  <c r="BC909" i="30"/>
  <c r="BC908" i="30"/>
  <c r="BC907" i="30"/>
  <c r="BC906" i="30"/>
  <c r="BC905" i="30"/>
  <c r="BC904" i="30"/>
  <c r="BC903" i="30"/>
  <c r="BC902" i="30"/>
  <c r="BC901" i="30"/>
  <c r="BC900" i="30"/>
  <c r="BC899" i="30"/>
  <c r="BC898" i="30"/>
  <c r="BC897" i="30"/>
  <c r="BC896" i="30"/>
  <c r="BC895" i="30"/>
  <c r="BC894" i="30"/>
  <c r="BC893" i="30"/>
  <c r="BC892" i="30"/>
  <c r="BC891" i="30"/>
  <c r="BC890" i="30"/>
  <c r="BC889" i="30"/>
  <c r="BC888" i="30"/>
  <c r="BC887" i="30"/>
  <c r="BC886" i="30"/>
  <c r="BC885" i="30"/>
  <c r="BC884" i="30"/>
  <c r="BC883" i="30"/>
  <c r="BC882" i="30"/>
  <c r="BC881" i="30"/>
  <c r="BC880" i="30"/>
  <c r="BC879" i="30"/>
  <c r="BC878" i="30"/>
  <c r="BC877" i="30"/>
  <c r="BC876" i="30"/>
  <c r="BC875" i="30"/>
  <c r="BC874" i="30"/>
  <c r="BC873" i="30"/>
  <c r="BC872" i="30"/>
  <c r="BC871" i="30"/>
  <c r="BC870" i="30"/>
  <c r="BC869" i="30"/>
  <c r="BC868" i="30"/>
  <c r="BC867" i="30"/>
  <c r="BC866" i="30"/>
  <c r="BC865" i="30"/>
  <c r="BC864" i="30"/>
  <c r="BC863" i="30"/>
  <c r="BC862" i="30"/>
  <c r="BC861" i="30"/>
  <c r="BC860" i="30"/>
  <c r="BC859" i="30"/>
  <c r="BC858" i="30"/>
  <c r="BC857" i="30"/>
  <c r="BC856" i="30"/>
  <c r="BC855" i="30"/>
  <c r="BC854" i="30"/>
  <c r="BC853" i="30"/>
  <c r="BC852" i="30"/>
  <c r="BC851" i="30"/>
  <c r="BC850" i="30"/>
  <c r="BC849" i="30"/>
  <c r="BC848" i="30"/>
  <c r="BC847" i="30"/>
  <c r="BC846" i="30"/>
  <c r="BC845" i="30"/>
  <c r="BC844" i="30"/>
  <c r="BC843" i="30"/>
  <c r="BC842" i="30"/>
  <c r="BC841" i="30"/>
  <c r="BC840" i="30"/>
  <c r="BC839" i="30"/>
  <c r="BC838" i="30"/>
  <c r="BC837" i="30"/>
  <c r="BC836" i="30"/>
  <c r="BC835" i="30"/>
  <c r="BC834" i="30"/>
  <c r="BC833" i="30"/>
  <c r="BC832" i="30"/>
  <c r="BC831" i="30"/>
  <c r="BC830" i="30"/>
  <c r="BC829" i="30"/>
  <c r="BC828" i="30"/>
  <c r="BC827" i="30"/>
  <c r="BC826" i="30"/>
  <c r="BC825" i="30"/>
  <c r="BC824" i="30"/>
  <c r="BC823" i="30"/>
  <c r="BC822" i="30"/>
  <c r="BC821" i="30"/>
  <c r="BC820" i="30"/>
  <c r="BC819" i="30"/>
  <c r="BC818" i="30"/>
  <c r="BC817" i="30"/>
  <c r="BC816" i="30"/>
  <c r="BC815" i="30"/>
  <c r="BC814" i="30"/>
  <c r="BC813" i="30"/>
  <c r="BC812" i="30"/>
  <c r="BC811" i="30"/>
  <c r="BC810" i="30"/>
  <c r="BC809" i="30"/>
  <c r="BC808" i="30"/>
  <c r="BC807" i="30"/>
  <c r="BC806" i="30"/>
  <c r="BC805" i="30"/>
  <c r="BC804" i="30"/>
  <c r="BC803" i="30"/>
  <c r="BC802" i="30"/>
  <c r="BC801" i="30"/>
  <c r="BC800" i="30"/>
  <c r="BC799" i="30"/>
  <c r="BC798" i="30"/>
  <c r="BC797" i="30"/>
  <c r="BC796" i="30"/>
  <c r="BC795" i="30"/>
  <c r="BC794" i="30"/>
  <c r="BC793" i="30"/>
  <c r="BC792" i="30"/>
  <c r="BC791" i="30"/>
  <c r="BC790" i="30"/>
  <c r="BC789" i="30"/>
  <c r="BC788" i="30"/>
  <c r="BC787" i="30"/>
  <c r="BC786" i="30"/>
  <c r="BC785" i="30"/>
  <c r="BC784" i="30"/>
  <c r="BC783" i="30"/>
  <c r="BC782" i="30"/>
  <c r="BC781" i="30"/>
  <c r="BC780" i="30"/>
  <c r="BC779" i="30"/>
  <c r="BC778" i="30"/>
  <c r="BC777" i="30"/>
  <c r="BC776" i="30"/>
  <c r="BC775" i="30"/>
  <c r="BC774" i="30"/>
  <c r="BC773" i="30"/>
  <c r="BC772" i="30"/>
  <c r="BC771" i="30"/>
  <c r="BC770" i="30"/>
  <c r="BC769" i="30"/>
  <c r="BC768" i="30"/>
  <c r="BC767" i="30"/>
  <c r="BC766" i="30"/>
  <c r="BC765" i="30"/>
  <c r="BC764" i="30"/>
  <c r="BC763" i="30"/>
  <c r="BC762" i="30"/>
  <c r="BC761" i="30"/>
  <c r="BC760" i="30"/>
  <c r="BC759" i="30"/>
  <c r="BC758" i="30"/>
  <c r="BC757" i="30"/>
  <c r="BC756" i="30"/>
  <c r="BC755" i="30"/>
  <c r="BC754" i="30"/>
  <c r="BC753" i="30"/>
  <c r="BC752" i="30"/>
  <c r="BC751" i="30"/>
  <c r="BC750" i="30"/>
  <c r="BC749" i="30"/>
  <c r="BC748" i="30"/>
  <c r="BC747" i="30"/>
  <c r="BC746" i="30"/>
  <c r="BC745" i="30"/>
  <c r="BC744" i="30"/>
  <c r="BC743" i="30"/>
  <c r="BC742" i="30"/>
  <c r="BC741" i="30"/>
  <c r="BC740" i="30"/>
  <c r="BC739" i="30"/>
  <c r="BC738" i="30"/>
  <c r="BC737" i="30"/>
  <c r="BC736" i="30"/>
  <c r="BC735" i="30"/>
  <c r="BC734" i="30"/>
  <c r="BC733" i="30"/>
  <c r="BC732" i="30"/>
  <c r="BC731" i="30"/>
  <c r="BC730" i="30"/>
  <c r="BC729" i="30"/>
  <c r="BC728" i="30"/>
  <c r="BC727" i="30"/>
  <c r="BC726" i="30"/>
  <c r="BC725" i="30"/>
  <c r="BC724" i="30"/>
  <c r="BC723" i="30"/>
  <c r="BC722" i="30"/>
  <c r="BC721" i="30"/>
  <c r="BC720" i="30"/>
  <c r="BC719" i="30"/>
  <c r="BC718" i="30"/>
  <c r="BC717" i="30"/>
  <c r="BC716" i="30"/>
  <c r="BC715" i="30"/>
  <c r="BC714" i="30"/>
  <c r="BC713" i="30"/>
  <c r="BC712" i="30"/>
  <c r="BC711" i="30"/>
  <c r="BC710" i="30"/>
  <c r="BC709" i="30"/>
  <c r="BC708" i="30"/>
  <c r="BC707" i="30"/>
  <c r="BC706" i="30"/>
  <c r="BC705" i="30"/>
  <c r="BC704" i="30"/>
  <c r="BC703" i="30"/>
  <c r="BC702" i="30"/>
  <c r="BC701" i="30"/>
  <c r="BC700" i="30"/>
  <c r="BC699" i="30"/>
  <c r="BC698" i="30"/>
  <c r="BC697" i="30"/>
  <c r="BC696" i="30"/>
  <c r="BC695" i="30"/>
  <c r="BC694" i="30"/>
  <c r="BC693" i="30"/>
  <c r="BC692" i="30"/>
  <c r="BC691" i="30"/>
  <c r="BC690" i="30"/>
  <c r="BC689" i="30"/>
  <c r="BC688" i="30"/>
  <c r="BC687" i="30"/>
  <c r="BC686" i="30"/>
  <c r="BC685" i="30"/>
  <c r="BC684" i="30"/>
  <c r="BC683" i="30"/>
  <c r="BC682" i="30"/>
  <c r="BC681" i="30"/>
  <c r="BC680" i="30"/>
  <c r="BC679" i="30"/>
  <c r="BC678" i="30"/>
  <c r="BC677" i="30"/>
  <c r="BC676" i="30"/>
  <c r="BC675" i="30"/>
  <c r="BC674" i="30"/>
  <c r="BC673" i="30"/>
  <c r="BC672" i="30"/>
  <c r="BC671" i="30"/>
  <c r="BC670" i="30"/>
  <c r="BC669" i="30"/>
  <c r="BC668" i="30"/>
  <c r="BC667" i="30"/>
  <c r="BC666" i="30"/>
  <c r="BC665" i="30"/>
  <c r="BC664" i="30"/>
  <c r="BC663" i="30"/>
  <c r="BC662" i="30"/>
  <c r="BC661" i="30"/>
  <c r="BC660" i="30"/>
  <c r="BC659" i="30"/>
  <c r="BC658" i="30"/>
  <c r="BC657" i="30"/>
  <c r="BC656" i="30"/>
  <c r="BC655" i="30"/>
  <c r="BC654" i="30"/>
  <c r="BC653" i="30"/>
  <c r="BC652" i="30"/>
  <c r="BC651" i="30"/>
  <c r="BC650" i="30"/>
  <c r="BC649" i="30"/>
  <c r="BC648" i="30"/>
  <c r="BC647" i="30"/>
  <c r="BC646" i="30"/>
  <c r="BC645" i="30"/>
  <c r="BC644" i="30"/>
  <c r="BC643" i="30"/>
  <c r="BC642" i="30"/>
  <c r="BC641" i="30"/>
  <c r="BC640" i="30"/>
  <c r="BC639" i="30"/>
  <c r="BC638" i="30"/>
  <c r="BC637" i="30"/>
  <c r="BC636" i="30"/>
  <c r="BC635" i="30"/>
  <c r="BC634" i="30"/>
  <c r="BC633" i="30"/>
  <c r="BC632" i="30"/>
  <c r="BC631" i="30"/>
  <c r="BC630" i="30"/>
  <c r="BC629" i="30"/>
  <c r="BC628" i="30"/>
  <c r="BC627" i="30"/>
  <c r="BC626" i="30"/>
  <c r="BC625" i="30"/>
  <c r="BC624" i="30"/>
  <c r="BC623" i="30"/>
  <c r="BC622" i="30"/>
  <c r="BC621" i="30"/>
  <c r="BC620" i="30"/>
  <c r="BC619" i="30"/>
  <c r="BC618" i="30"/>
  <c r="BC617" i="30"/>
  <c r="BC616" i="30"/>
  <c r="BC615" i="30"/>
  <c r="BC614" i="30"/>
  <c r="BC613" i="30"/>
  <c r="BC612" i="30"/>
  <c r="BC611" i="30"/>
  <c r="BC610" i="30"/>
  <c r="BC609" i="30"/>
  <c r="BC608" i="30"/>
  <c r="BC607" i="30"/>
  <c r="BC606" i="30"/>
  <c r="BC605" i="30"/>
  <c r="BC604" i="30"/>
  <c r="BC603" i="30"/>
  <c r="BC602" i="30"/>
  <c r="BC601" i="30"/>
  <c r="BC600" i="30"/>
  <c r="BC599" i="30"/>
  <c r="BC598" i="30"/>
  <c r="BC597" i="30"/>
  <c r="BC596" i="30"/>
  <c r="BC595" i="30"/>
  <c r="BC594" i="30"/>
  <c r="BC593" i="30"/>
  <c r="BC592" i="30"/>
  <c r="BC591" i="30"/>
  <c r="BC590" i="30"/>
  <c r="BC589" i="30"/>
  <c r="BC588" i="30"/>
  <c r="BC587" i="30"/>
  <c r="BC586" i="30"/>
  <c r="BC585" i="30"/>
  <c r="BC584" i="30"/>
  <c r="BC583" i="30"/>
  <c r="BC582" i="30"/>
  <c r="BC581" i="30"/>
  <c r="BC580" i="30"/>
  <c r="BC579" i="30"/>
  <c r="BC578" i="30"/>
  <c r="BC577" i="30"/>
  <c r="BC576" i="30"/>
  <c r="BC575" i="30"/>
  <c r="BC574" i="30"/>
  <c r="BC573" i="30"/>
  <c r="BC572" i="30"/>
  <c r="BC571" i="30"/>
  <c r="BC570" i="30"/>
  <c r="BC569" i="30"/>
  <c r="BC568" i="30"/>
  <c r="BC567" i="30"/>
  <c r="BC566" i="30"/>
  <c r="BC565" i="30"/>
  <c r="BC564" i="30"/>
  <c r="BC563" i="30"/>
  <c r="BC562" i="30"/>
  <c r="BC561" i="30"/>
  <c r="BC560" i="30"/>
  <c r="BC559" i="30"/>
  <c r="BC558" i="30"/>
  <c r="BC557" i="30"/>
  <c r="BC556" i="30"/>
  <c r="BC555" i="30"/>
  <c r="BC554" i="30"/>
  <c r="BC553" i="30"/>
  <c r="BC552" i="30"/>
  <c r="BC551" i="30"/>
  <c r="BC550" i="30"/>
  <c r="BC549" i="30"/>
  <c r="BC548" i="30"/>
  <c r="BC547" i="30"/>
  <c r="BC546" i="30"/>
  <c r="BC545" i="30"/>
  <c r="BC544" i="30"/>
  <c r="BC543" i="30"/>
  <c r="BC542" i="30"/>
  <c r="BC541" i="30"/>
  <c r="BC540" i="30"/>
  <c r="BC539" i="30"/>
  <c r="BC538" i="30"/>
  <c r="BC537" i="30"/>
  <c r="BC536" i="30"/>
  <c r="BC535" i="30"/>
  <c r="BC534" i="30"/>
  <c r="BC533" i="30"/>
  <c r="BC532" i="30"/>
  <c r="BC531" i="30"/>
  <c r="BC530" i="30"/>
  <c r="BC529" i="30"/>
  <c r="BC528" i="30"/>
  <c r="BC527" i="30"/>
  <c r="BC526" i="30"/>
  <c r="BC525" i="30"/>
  <c r="BC524" i="30"/>
  <c r="BC523" i="30"/>
  <c r="BC522" i="30"/>
  <c r="BC521" i="30"/>
  <c r="BC520" i="30"/>
  <c r="BC519" i="30"/>
  <c r="BC518" i="30"/>
  <c r="BC517" i="30"/>
  <c r="BC516" i="30"/>
  <c r="BC515" i="30"/>
  <c r="BC514" i="30"/>
  <c r="BC513" i="30"/>
  <c r="BC512" i="30"/>
  <c r="BC511" i="30"/>
  <c r="BC510" i="30"/>
  <c r="BC509" i="30"/>
  <c r="BC508" i="30"/>
  <c r="BC507" i="30"/>
  <c r="BC506" i="30"/>
  <c r="BC505" i="30"/>
  <c r="BC504" i="30"/>
  <c r="BC503" i="30"/>
  <c r="BC502" i="30"/>
  <c r="BC501" i="30"/>
  <c r="BC500" i="30"/>
  <c r="BC499" i="30"/>
  <c r="BC498" i="30"/>
  <c r="BC497" i="30"/>
  <c r="BC496" i="30"/>
  <c r="BC495" i="30"/>
  <c r="BC494" i="30"/>
  <c r="BC493" i="30"/>
  <c r="BC492" i="30"/>
  <c r="BC491" i="30"/>
  <c r="BC490" i="30"/>
  <c r="BC489" i="30"/>
  <c r="BC488" i="30"/>
  <c r="BC487" i="30"/>
  <c r="BC486" i="30"/>
  <c r="BC485" i="30"/>
  <c r="BC484" i="30"/>
  <c r="BC483" i="30"/>
  <c r="BC482" i="30"/>
  <c r="BC481" i="30"/>
  <c r="BC480" i="30"/>
  <c r="BC479" i="30"/>
  <c r="BC478" i="30"/>
  <c r="BC477" i="30"/>
  <c r="BC476" i="30"/>
  <c r="BC475" i="30"/>
  <c r="BC474" i="30"/>
  <c r="BC473" i="30"/>
  <c r="BC472" i="30"/>
  <c r="BC471" i="30"/>
  <c r="BC470" i="30"/>
  <c r="BC469" i="30"/>
  <c r="BC468" i="30"/>
  <c r="BC467" i="30"/>
  <c r="BC466" i="30"/>
  <c r="BC465" i="30"/>
  <c r="BC464" i="30"/>
  <c r="BC463" i="30"/>
  <c r="BC462" i="30"/>
  <c r="BC461" i="30"/>
  <c r="BC460" i="30"/>
  <c r="BC459" i="30"/>
  <c r="BC458" i="30"/>
  <c r="BC457" i="30"/>
  <c r="BC456" i="30"/>
  <c r="BC455" i="30"/>
  <c r="BC454" i="30"/>
  <c r="BC453" i="30"/>
  <c r="BC452" i="30"/>
  <c r="BC451" i="30"/>
  <c r="BC450" i="30"/>
  <c r="BC449" i="30"/>
  <c r="BC448" i="30"/>
  <c r="BC447" i="30"/>
  <c r="BC446" i="30"/>
  <c r="BC445" i="30"/>
  <c r="BC444" i="30"/>
  <c r="BC443" i="30"/>
  <c r="BC442" i="30"/>
  <c r="BC441" i="30"/>
  <c r="BC440" i="30"/>
  <c r="BC439" i="30"/>
  <c r="BC438" i="30"/>
  <c r="BC437" i="30"/>
  <c r="BC436" i="30"/>
  <c r="BC435" i="30"/>
  <c r="BC434" i="30"/>
  <c r="BC433" i="30"/>
  <c r="BC432" i="30"/>
  <c r="BC431" i="30"/>
  <c r="BC430" i="30"/>
  <c r="BC429" i="30"/>
  <c r="BC428" i="30"/>
  <c r="BC427" i="30"/>
  <c r="BC426" i="30"/>
  <c r="BC425" i="30"/>
  <c r="BC424" i="30"/>
  <c r="BC423" i="30"/>
  <c r="BC422" i="30"/>
  <c r="BC421" i="30"/>
  <c r="BC420" i="30"/>
  <c r="BC419" i="30"/>
  <c r="BC418" i="30"/>
  <c r="BC417" i="30"/>
  <c r="BC416" i="30"/>
  <c r="BC415" i="30"/>
  <c r="BC414" i="30"/>
  <c r="BC413" i="30"/>
  <c r="BC412" i="30"/>
  <c r="BC411" i="30"/>
  <c r="BC410" i="30"/>
  <c r="BC409" i="30"/>
  <c r="BC408" i="30"/>
  <c r="BC407" i="30"/>
  <c r="BC406" i="30"/>
  <c r="BC405" i="30"/>
  <c r="BC404" i="30"/>
  <c r="BC403" i="30"/>
  <c r="BC402" i="30"/>
  <c r="BC401" i="30"/>
  <c r="BC400" i="30"/>
  <c r="BC399" i="30"/>
  <c r="BC398" i="30"/>
  <c r="BC397" i="30"/>
  <c r="BC396" i="30"/>
  <c r="BC395" i="30"/>
  <c r="BC394" i="30"/>
  <c r="BC393" i="30"/>
  <c r="BC392" i="30"/>
  <c r="BC391" i="30"/>
  <c r="BC390" i="30"/>
  <c r="BC389" i="30"/>
  <c r="BC388" i="30"/>
  <c r="BC387" i="30"/>
  <c r="BC386" i="30"/>
  <c r="BC385" i="30"/>
  <c r="BC384" i="30"/>
  <c r="BC383" i="30"/>
  <c r="BC382" i="30"/>
  <c r="BC381" i="30"/>
  <c r="BC380" i="30"/>
  <c r="BC379" i="30"/>
  <c r="BC378" i="30"/>
  <c r="BC377" i="30"/>
  <c r="BC376" i="30"/>
  <c r="BC375" i="30"/>
  <c r="BC374" i="30"/>
  <c r="BC373" i="30"/>
  <c r="BC372" i="30"/>
  <c r="BC371" i="30"/>
  <c r="BC370" i="30"/>
  <c r="BC369" i="30"/>
  <c r="BC368" i="30"/>
  <c r="BC367" i="30"/>
  <c r="BC366" i="30"/>
  <c r="BC365" i="30"/>
  <c r="BC364" i="30"/>
  <c r="BC363" i="30"/>
  <c r="BC362" i="30"/>
  <c r="BC361" i="30"/>
  <c r="BC360" i="30"/>
  <c r="BC359" i="30"/>
  <c r="BC358" i="30"/>
  <c r="BC357" i="30"/>
  <c r="BC356" i="30"/>
  <c r="BC355" i="30"/>
  <c r="BC354" i="30"/>
  <c r="BC353" i="30"/>
  <c r="BC352" i="30"/>
  <c r="BC351" i="30"/>
  <c r="BC350" i="30"/>
  <c r="BC349" i="30"/>
  <c r="BC348" i="30"/>
  <c r="BC347" i="30"/>
  <c r="BC346" i="30"/>
  <c r="BC345" i="30"/>
  <c r="BC344" i="30"/>
  <c r="BC343" i="30"/>
  <c r="BC342" i="30"/>
  <c r="BC341" i="30"/>
  <c r="BC340" i="30"/>
  <c r="BC339" i="30"/>
  <c r="BC338" i="30"/>
  <c r="BC337" i="30"/>
  <c r="BC336" i="30"/>
  <c r="BC335" i="30"/>
  <c r="BC334" i="30"/>
  <c r="BC333" i="30"/>
  <c r="BC332" i="30"/>
  <c r="BC331" i="30"/>
  <c r="BC330" i="30"/>
  <c r="BC329" i="30"/>
  <c r="BC328" i="30"/>
  <c r="BC327" i="30"/>
  <c r="BC326" i="30"/>
  <c r="BC325" i="30"/>
  <c r="BC324" i="30"/>
  <c r="BC323" i="30"/>
  <c r="BC322" i="30"/>
  <c r="BC321" i="30"/>
  <c r="BC320" i="30"/>
  <c r="BC319" i="30"/>
  <c r="BC318" i="30"/>
  <c r="BC317" i="30"/>
  <c r="BC316" i="30"/>
  <c r="BC315" i="30"/>
  <c r="BC314" i="30"/>
  <c r="BC313" i="30"/>
  <c r="BC312" i="30"/>
  <c r="BC311" i="30"/>
  <c r="BC310" i="30"/>
  <c r="BC309" i="30"/>
  <c r="BC308" i="30"/>
  <c r="BC307" i="30"/>
  <c r="BC306" i="30"/>
  <c r="BC305" i="30"/>
  <c r="BC304" i="30"/>
  <c r="BC303" i="30"/>
  <c r="BC302" i="30"/>
  <c r="BC301" i="30"/>
  <c r="BC300" i="30"/>
  <c r="BC299" i="30"/>
  <c r="BC298" i="30"/>
  <c r="BC297" i="30"/>
  <c r="BC296" i="30"/>
  <c r="BC295" i="30"/>
  <c r="BC294" i="30"/>
  <c r="BC293" i="30"/>
  <c r="BC292" i="30"/>
  <c r="BC291" i="30"/>
  <c r="BC290" i="30"/>
  <c r="BC289" i="30"/>
  <c r="BC288" i="30"/>
  <c r="BC287" i="30"/>
  <c r="BC286" i="30"/>
  <c r="BC285" i="30"/>
  <c r="BC284" i="30"/>
  <c r="BC283" i="30"/>
  <c r="BC282" i="30"/>
  <c r="BC281" i="30"/>
  <c r="BC280" i="30"/>
  <c r="BC279" i="30"/>
  <c r="BC278" i="30"/>
  <c r="BC277" i="30"/>
  <c r="BC276" i="30"/>
  <c r="BC275" i="30"/>
  <c r="BC274" i="30"/>
  <c r="BC273" i="30"/>
  <c r="BC272" i="30"/>
  <c r="BC271" i="30"/>
  <c r="BC270" i="30"/>
  <c r="BC269" i="30"/>
  <c r="BC268" i="30"/>
  <c r="BC267" i="30"/>
  <c r="BC266" i="30"/>
  <c r="BC265" i="30"/>
  <c r="BC264" i="30"/>
  <c r="BC263" i="30"/>
  <c r="BC262" i="30"/>
  <c r="BC261" i="30"/>
  <c r="BC260" i="30"/>
  <c r="BC259" i="30"/>
  <c r="BC258" i="30"/>
  <c r="BC257" i="30"/>
  <c r="BC256" i="30"/>
  <c r="BC255" i="30"/>
  <c r="BC254" i="30"/>
  <c r="BC253" i="30"/>
  <c r="BC252" i="30"/>
  <c r="BC251" i="30"/>
  <c r="BC250" i="30"/>
  <c r="BC249" i="30"/>
  <c r="BC248" i="30"/>
  <c r="BC247" i="30"/>
  <c r="BC246" i="30"/>
  <c r="BC245" i="30"/>
  <c r="BC244" i="30"/>
  <c r="BC243" i="30"/>
  <c r="BC242" i="30"/>
  <c r="BC241" i="30"/>
  <c r="BC240" i="30"/>
  <c r="BC239" i="30"/>
  <c r="BC238" i="30"/>
  <c r="BC237" i="30"/>
  <c r="BC236" i="30"/>
  <c r="BC235" i="30"/>
  <c r="BC234" i="30"/>
  <c r="BC233" i="30"/>
  <c r="BC232" i="30"/>
  <c r="BC231" i="30"/>
  <c r="BC230" i="30"/>
  <c r="BC229" i="30"/>
  <c r="BC228" i="30"/>
  <c r="BC227" i="30"/>
  <c r="BC226" i="30"/>
  <c r="BC225" i="30"/>
  <c r="BC224" i="30"/>
  <c r="BC223" i="30"/>
  <c r="BC222" i="30"/>
  <c r="BC221" i="30"/>
  <c r="BC220" i="30"/>
  <c r="BC219" i="30"/>
  <c r="BC218" i="30"/>
  <c r="BC217" i="30"/>
  <c r="BC216" i="30"/>
  <c r="BC215" i="30"/>
  <c r="BC214" i="30"/>
  <c r="BC213" i="30"/>
  <c r="BC212" i="30"/>
  <c r="BC211" i="30"/>
  <c r="BC210" i="30"/>
  <c r="BC209" i="30"/>
  <c r="BC208" i="30"/>
  <c r="BC207" i="30"/>
  <c r="BC206" i="30"/>
  <c r="BC205" i="30"/>
  <c r="BC204" i="30"/>
  <c r="BC203" i="30"/>
  <c r="BC202" i="30"/>
  <c r="BC201" i="30"/>
  <c r="BC200" i="30"/>
  <c r="BC199" i="30"/>
  <c r="BC198" i="30"/>
  <c r="BC197" i="30"/>
  <c r="BC196" i="30"/>
  <c r="BC195" i="30"/>
  <c r="BC194" i="30"/>
  <c r="BC193" i="30"/>
  <c r="BC192" i="30"/>
  <c r="BC191" i="30"/>
  <c r="BC190" i="30"/>
  <c r="BC189" i="30"/>
  <c r="BC188" i="30"/>
  <c r="BC187" i="30"/>
  <c r="BC186" i="30"/>
  <c r="BC185" i="30"/>
  <c r="BC184" i="30"/>
  <c r="BC183" i="30"/>
  <c r="BC182" i="30"/>
  <c r="BC181" i="30"/>
  <c r="BC180" i="30"/>
  <c r="BC179" i="30"/>
  <c r="BC178" i="30"/>
  <c r="BC177" i="30"/>
  <c r="BC176" i="30"/>
  <c r="BC175" i="30"/>
  <c r="BC174" i="30"/>
  <c r="BC173" i="30"/>
  <c r="BC172" i="30"/>
  <c r="BC171" i="30"/>
  <c r="BC170" i="30"/>
  <c r="BC169" i="30"/>
  <c r="BC168" i="30"/>
  <c r="BC167" i="30"/>
  <c r="BC166" i="30"/>
  <c r="BC165" i="30"/>
  <c r="BC164" i="30"/>
  <c r="BC163" i="30"/>
  <c r="BC162" i="30"/>
  <c r="BC161" i="30"/>
  <c r="BC160" i="30"/>
  <c r="BC159" i="30"/>
  <c r="BC158" i="30"/>
  <c r="BC157" i="30"/>
  <c r="BC156" i="30"/>
  <c r="BC155" i="30"/>
  <c r="BC154" i="30"/>
  <c r="BC153" i="30"/>
  <c r="BC152" i="30"/>
  <c r="BC151" i="30"/>
  <c r="BC150" i="30"/>
  <c r="BC149" i="30"/>
  <c r="BC148" i="30"/>
  <c r="BC147" i="30"/>
  <c r="BC146" i="30"/>
  <c r="BC145" i="30"/>
  <c r="BC144" i="30"/>
  <c r="BC143" i="30"/>
  <c r="BC142" i="30"/>
  <c r="BC141" i="30"/>
  <c r="BC140" i="30"/>
  <c r="BC139" i="30"/>
  <c r="BC138" i="30"/>
  <c r="BC137" i="30"/>
  <c r="BC136" i="30"/>
  <c r="BC135" i="30"/>
  <c r="BC134" i="30"/>
  <c r="BC133" i="30"/>
  <c r="BC132" i="30"/>
  <c r="BC131" i="30"/>
  <c r="BC130" i="30"/>
  <c r="BC129" i="30"/>
  <c r="BC128" i="30"/>
  <c r="BC127" i="30"/>
  <c r="BC126" i="30"/>
  <c r="BC125" i="30"/>
  <c r="BC124" i="30"/>
  <c r="BC123" i="30"/>
  <c r="BC122" i="30"/>
  <c r="BC121" i="30"/>
  <c r="BC120" i="30"/>
  <c r="BC119" i="30"/>
  <c r="BC118" i="30"/>
  <c r="BC117" i="30"/>
  <c r="BC116" i="30"/>
  <c r="BC115" i="30"/>
  <c r="BC114" i="30"/>
  <c r="BC113" i="30"/>
  <c r="BC112" i="30"/>
  <c r="BC111" i="30"/>
  <c r="BC110" i="30"/>
  <c r="BC109" i="30"/>
  <c r="BC108" i="30"/>
  <c r="BC107" i="30"/>
  <c r="BC106" i="30"/>
  <c r="BC105" i="30"/>
  <c r="BC104" i="30"/>
  <c r="BC103" i="30"/>
  <c r="BC102" i="30"/>
  <c r="BC101" i="30"/>
  <c r="BC100" i="30"/>
  <c r="BC99" i="30"/>
  <c r="BC98" i="30"/>
  <c r="BC97" i="30"/>
  <c r="BC96" i="30"/>
  <c r="BC95" i="30"/>
  <c r="BC94" i="30"/>
  <c r="BC93" i="30"/>
  <c r="BC92" i="30"/>
  <c r="BC91" i="30"/>
  <c r="BC90" i="30"/>
  <c r="BC89" i="30"/>
  <c r="BC88" i="30"/>
  <c r="BC87" i="30"/>
  <c r="BC86" i="30"/>
  <c r="BC85" i="30"/>
  <c r="BC84" i="30"/>
  <c r="BC83" i="30"/>
  <c r="BC82" i="30"/>
  <c r="BC81" i="30"/>
  <c r="BC80" i="30"/>
  <c r="BC79" i="30"/>
  <c r="BC78" i="30"/>
  <c r="BC77" i="30"/>
  <c r="BC76" i="30"/>
  <c r="BC75" i="30"/>
  <c r="BC74" i="30"/>
  <c r="BC73" i="30"/>
  <c r="BC72" i="30"/>
  <c r="BC71" i="30"/>
  <c r="BC70" i="30"/>
  <c r="BC69" i="30"/>
  <c r="BC68" i="30"/>
  <c r="BC67" i="30"/>
  <c r="BC66" i="30"/>
  <c r="BC65" i="30"/>
  <c r="BC64" i="30"/>
  <c r="BC63" i="30"/>
  <c r="BC62" i="30"/>
  <c r="BC61" i="30"/>
  <c r="BC60" i="30"/>
  <c r="BC59" i="30"/>
  <c r="BC58" i="30"/>
  <c r="BC57" i="30"/>
  <c r="BC56" i="30"/>
  <c r="BC55" i="30"/>
  <c r="BC54" i="30"/>
  <c r="BC53" i="30"/>
  <c r="BC52" i="30"/>
  <c r="BC51" i="30"/>
  <c r="BC50" i="30"/>
  <c r="BC49" i="30"/>
  <c r="BC48" i="30"/>
  <c r="BC47" i="30"/>
  <c r="BC46" i="30"/>
  <c r="BC45" i="30"/>
  <c r="BC44" i="30"/>
  <c r="BC43" i="30"/>
  <c r="BC42" i="30"/>
  <c r="BC41" i="30"/>
  <c r="BC40" i="30"/>
  <c r="BC39" i="30"/>
  <c r="BC38" i="30"/>
  <c r="BC37" i="30"/>
  <c r="BC36" i="30"/>
  <c r="BC35" i="30"/>
  <c r="BC34" i="30"/>
  <c r="BC33" i="30"/>
  <c r="AX176" i="30"/>
  <c r="AX177" i="30"/>
  <c r="AX178" i="30"/>
  <c r="AX179" i="30"/>
  <c r="AX180" i="30"/>
  <c r="AX181" i="30"/>
  <c r="AX182" i="30"/>
  <c r="AX183" i="30"/>
  <c r="AX184" i="30"/>
  <c r="AX185" i="30"/>
  <c r="AX186" i="30"/>
  <c r="AX187" i="30"/>
  <c r="AX188" i="30"/>
  <c r="AX189" i="30"/>
  <c r="AX190" i="30"/>
  <c r="AX191" i="30"/>
  <c r="AX192" i="30"/>
  <c r="AX193" i="30"/>
  <c r="AX194" i="30"/>
  <c r="AX195" i="30"/>
  <c r="AX196" i="30"/>
  <c r="AX197" i="30"/>
  <c r="AX198" i="30"/>
  <c r="AX199" i="30"/>
  <c r="AX200" i="30"/>
  <c r="AX201" i="30"/>
  <c r="AX202" i="30"/>
  <c r="AX203" i="30"/>
  <c r="AX204" i="30"/>
  <c r="AX205" i="30"/>
  <c r="AX206" i="30"/>
  <c r="AX207" i="30"/>
  <c r="AX208" i="30"/>
  <c r="AX209" i="30"/>
  <c r="AX210" i="30"/>
  <c r="AX211" i="30"/>
  <c r="AX212" i="30"/>
  <c r="AX213" i="30"/>
  <c r="AX214" i="30"/>
  <c r="AX215" i="30"/>
  <c r="AX216" i="30"/>
  <c r="AX217" i="30"/>
  <c r="AX218" i="30"/>
  <c r="AX219" i="30"/>
  <c r="AX220" i="30"/>
  <c r="AX221" i="30"/>
  <c r="AX222" i="30"/>
  <c r="AX223" i="30"/>
  <c r="AX224" i="30"/>
  <c r="AX225" i="30"/>
  <c r="AX226" i="30"/>
  <c r="AX227" i="30"/>
  <c r="AX228" i="30"/>
  <c r="AX229" i="30"/>
  <c r="AX230" i="30"/>
  <c r="AX231" i="30"/>
  <c r="AX232" i="30"/>
  <c r="AX233" i="30"/>
  <c r="AX234" i="30"/>
  <c r="AX235" i="30"/>
  <c r="AX236" i="30"/>
  <c r="AX237" i="30"/>
  <c r="AX238" i="30"/>
  <c r="AX239" i="30"/>
  <c r="AX240" i="30"/>
  <c r="AX241" i="30"/>
  <c r="AX242" i="30"/>
  <c r="AX243" i="30"/>
  <c r="AX244" i="30"/>
  <c r="AX245" i="30"/>
  <c r="AX246" i="30"/>
  <c r="AX247" i="30"/>
  <c r="AX248" i="30"/>
  <c r="AX249" i="30"/>
  <c r="AX250" i="30"/>
  <c r="AX251" i="30"/>
  <c r="AX252" i="30"/>
  <c r="AX253" i="30"/>
  <c r="AX254" i="30"/>
  <c r="AX255" i="30"/>
  <c r="AX256" i="30"/>
  <c r="AX257" i="30"/>
  <c r="AX258" i="30"/>
  <c r="AX259" i="30"/>
  <c r="AX260" i="30"/>
  <c r="AX261" i="30"/>
  <c r="AX262" i="30"/>
  <c r="AX263" i="30"/>
  <c r="AX264" i="30"/>
  <c r="AX265" i="30"/>
  <c r="AX266" i="30"/>
  <c r="AX267" i="30"/>
  <c r="AX268" i="30"/>
  <c r="AX269" i="30"/>
  <c r="AX270" i="30"/>
  <c r="AX271" i="30"/>
  <c r="AX272" i="30"/>
  <c r="AX273" i="30"/>
  <c r="AX274" i="30"/>
  <c r="AX275" i="30"/>
  <c r="AX276" i="30"/>
  <c r="AX277" i="30"/>
  <c r="AX278" i="30"/>
  <c r="AX279" i="30"/>
  <c r="AX280" i="30"/>
  <c r="AX281" i="30"/>
  <c r="AX282" i="30"/>
  <c r="AX283" i="30"/>
  <c r="AX284" i="30"/>
  <c r="AX285" i="30"/>
  <c r="AX286" i="30"/>
  <c r="AX287" i="30"/>
  <c r="AX288" i="30"/>
  <c r="AX289" i="30"/>
  <c r="AX290" i="30"/>
  <c r="AX291" i="30"/>
  <c r="AX292" i="30"/>
  <c r="AX293" i="30"/>
  <c r="AX294" i="30"/>
  <c r="AX295" i="30"/>
  <c r="AX296" i="30"/>
  <c r="AX297" i="30"/>
  <c r="AX298" i="30"/>
  <c r="AX299" i="30"/>
  <c r="AX300" i="30"/>
  <c r="AX301" i="30"/>
  <c r="AX302" i="30"/>
  <c r="AX303" i="30"/>
  <c r="AX304" i="30"/>
  <c r="AX305" i="30"/>
  <c r="AX306" i="30"/>
  <c r="AX307" i="30"/>
  <c r="AX308" i="30"/>
  <c r="AX309" i="30"/>
  <c r="AX310" i="30"/>
  <c r="AX311" i="30"/>
  <c r="AX312" i="30"/>
  <c r="AX313" i="30"/>
  <c r="AX314" i="30"/>
  <c r="AX315" i="30"/>
  <c r="AX316" i="30"/>
  <c r="AX317" i="30"/>
  <c r="AX318" i="30"/>
  <c r="AX319" i="30"/>
  <c r="AX320" i="30"/>
  <c r="AX321" i="30"/>
  <c r="AX322" i="30"/>
  <c r="AX323" i="30"/>
  <c r="AX324" i="30"/>
  <c r="AX325" i="30"/>
  <c r="AX326" i="30"/>
  <c r="AX327" i="30"/>
  <c r="AX328" i="30"/>
  <c r="AX329" i="30"/>
  <c r="AX330" i="30"/>
  <c r="AX331" i="30"/>
  <c r="AX332" i="30"/>
  <c r="AX333" i="30"/>
  <c r="AX334" i="30"/>
  <c r="AX335" i="30"/>
  <c r="AX336" i="30"/>
  <c r="AX337" i="30"/>
  <c r="AX338" i="30"/>
  <c r="AX339" i="30"/>
  <c r="AX340" i="30"/>
  <c r="AX341" i="30"/>
  <c r="AX342" i="30"/>
  <c r="AX343" i="30"/>
  <c r="AX344" i="30"/>
  <c r="AX345" i="30"/>
  <c r="AX346" i="30"/>
  <c r="AX347" i="30"/>
  <c r="AX348" i="30"/>
  <c r="AX349" i="30"/>
  <c r="AX350" i="30"/>
  <c r="AX351" i="30"/>
  <c r="AX352" i="30"/>
  <c r="AX353" i="30"/>
  <c r="AX354" i="30"/>
  <c r="AX355" i="30"/>
  <c r="AX356" i="30"/>
  <c r="AX357" i="30"/>
  <c r="AX358" i="30"/>
  <c r="AX359" i="30"/>
  <c r="AX360" i="30"/>
  <c r="AX361" i="30"/>
  <c r="AX362" i="30"/>
  <c r="AX363" i="30"/>
  <c r="AX364" i="30"/>
  <c r="AX365" i="30"/>
  <c r="AX366" i="30"/>
  <c r="AX367" i="30"/>
  <c r="AX368" i="30"/>
  <c r="AX369" i="30"/>
  <c r="AX370" i="30"/>
  <c r="AX371" i="30"/>
  <c r="AX372" i="30"/>
  <c r="AX373" i="30"/>
  <c r="AX374" i="30"/>
  <c r="AX375" i="30"/>
  <c r="AX376" i="30"/>
  <c r="AX377" i="30"/>
  <c r="AX378" i="30"/>
  <c r="AX379" i="30"/>
  <c r="AX380" i="30"/>
  <c r="AX381" i="30"/>
  <c r="AX382" i="30"/>
  <c r="AX383" i="30"/>
  <c r="AX384" i="30"/>
  <c r="AX385" i="30"/>
  <c r="AX386" i="30"/>
  <c r="AX387" i="30"/>
  <c r="AX388" i="30"/>
  <c r="AX389" i="30"/>
  <c r="AX390" i="30"/>
  <c r="AX391" i="30"/>
  <c r="AX392" i="30"/>
  <c r="AX393" i="30"/>
  <c r="AX394" i="30"/>
  <c r="AX395" i="30"/>
  <c r="AX396" i="30"/>
  <c r="AX397" i="30"/>
  <c r="AX398" i="30"/>
  <c r="AX399" i="30"/>
  <c r="AX400" i="30"/>
  <c r="AX401" i="30"/>
  <c r="AX402" i="30"/>
  <c r="AX403" i="30"/>
  <c r="AX404" i="30"/>
  <c r="AX405" i="30"/>
  <c r="AX406" i="30"/>
  <c r="AX407" i="30"/>
  <c r="AX408" i="30"/>
  <c r="AX409" i="30"/>
  <c r="AX410" i="30"/>
  <c r="AX411" i="30"/>
  <c r="AX412" i="30"/>
  <c r="AX413" i="30"/>
  <c r="AX414" i="30"/>
  <c r="AX415" i="30"/>
  <c r="AX416" i="30"/>
  <c r="AX417" i="30"/>
  <c r="AX418" i="30"/>
  <c r="AX419" i="30"/>
  <c r="AX420" i="30"/>
  <c r="AX421" i="30"/>
  <c r="AX422" i="30"/>
  <c r="AX423" i="30"/>
  <c r="AX424" i="30"/>
  <c r="AX425" i="30"/>
  <c r="AX426" i="30"/>
  <c r="AX427" i="30"/>
  <c r="AX428" i="30"/>
  <c r="AX429" i="30"/>
  <c r="AX430" i="30"/>
  <c r="AX431" i="30"/>
  <c r="AX432" i="30"/>
  <c r="AX433" i="30"/>
  <c r="AX434" i="30"/>
  <c r="AX435" i="30"/>
  <c r="AX436" i="30"/>
  <c r="AX437" i="30"/>
  <c r="AX438" i="30"/>
  <c r="AX439" i="30"/>
  <c r="AX440" i="30"/>
  <c r="AX441" i="30"/>
  <c r="AX442" i="30"/>
  <c r="AX443" i="30"/>
  <c r="AX444" i="30"/>
  <c r="AX445" i="30"/>
  <c r="AX446" i="30"/>
  <c r="AX447" i="30"/>
  <c r="AX448" i="30"/>
  <c r="AX449" i="30"/>
  <c r="AX450" i="30"/>
  <c r="AX451" i="30"/>
  <c r="AX452" i="30"/>
  <c r="AX453" i="30"/>
  <c r="AX454" i="30"/>
  <c r="AX455" i="30"/>
  <c r="AX456" i="30"/>
  <c r="AX457" i="30"/>
  <c r="AX458" i="30"/>
  <c r="AX459" i="30"/>
  <c r="AX460" i="30"/>
  <c r="AX461" i="30"/>
  <c r="AX462" i="30"/>
  <c r="AX463" i="30"/>
  <c r="AX464" i="30"/>
  <c r="AX465" i="30"/>
  <c r="AX466" i="30"/>
  <c r="AX467" i="30"/>
  <c r="AX468" i="30"/>
  <c r="AX469" i="30"/>
  <c r="AX470" i="30"/>
  <c r="AX471" i="30"/>
  <c r="AX472" i="30"/>
  <c r="AX473" i="30"/>
  <c r="AX474" i="30"/>
  <c r="AX475" i="30"/>
  <c r="AX476" i="30"/>
  <c r="AX477" i="30"/>
  <c r="AX478" i="30"/>
  <c r="AX479" i="30"/>
  <c r="AX480" i="30"/>
  <c r="AX481" i="30"/>
  <c r="AX482" i="30"/>
  <c r="AX483" i="30"/>
  <c r="AX484" i="30"/>
  <c r="AX485" i="30"/>
  <c r="AX486" i="30"/>
  <c r="AX487" i="30"/>
  <c r="AX488" i="30"/>
  <c r="AX489" i="30"/>
  <c r="AX490" i="30"/>
  <c r="AX491" i="30"/>
  <c r="AX492" i="30"/>
  <c r="AX493" i="30"/>
  <c r="AX494" i="30"/>
  <c r="AX495" i="30"/>
  <c r="AX496" i="30"/>
  <c r="AX497" i="30"/>
  <c r="AX498" i="30"/>
  <c r="AX499" i="30"/>
  <c r="AX500" i="30"/>
  <c r="AX501" i="30"/>
  <c r="AX502" i="30"/>
  <c r="AX503" i="30"/>
  <c r="AX504" i="30"/>
  <c r="AX505" i="30"/>
  <c r="AX506" i="30"/>
  <c r="AX507" i="30"/>
  <c r="AX508" i="30"/>
  <c r="AX509" i="30"/>
  <c r="AX510" i="30"/>
  <c r="AX511" i="30"/>
  <c r="AX512" i="30"/>
  <c r="AX513" i="30"/>
  <c r="AX514" i="30"/>
  <c r="AX515" i="30"/>
  <c r="AX516" i="30"/>
  <c r="AX517" i="30"/>
  <c r="AX518" i="30"/>
  <c r="AX519" i="30"/>
  <c r="AX520" i="30"/>
  <c r="AX521" i="30"/>
  <c r="AX522" i="30"/>
  <c r="AX523" i="30"/>
  <c r="AX524" i="30"/>
  <c r="AX525" i="30"/>
  <c r="AX526" i="30"/>
  <c r="AX527" i="30"/>
  <c r="AX528" i="30"/>
  <c r="AX529" i="30"/>
  <c r="AX530" i="30"/>
  <c r="AX531" i="30"/>
  <c r="AX532" i="30"/>
  <c r="AX533" i="30"/>
  <c r="AX534" i="30"/>
  <c r="AX535" i="30"/>
  <c r="AX536" i="30"/>
  <c r="AX537" i="30"/>
  <c r="AX538" i="30"/>
  <c r="AX539" i="30"/>
  <c r="AX540" i="30"/>
  <c r="AX541" i="30"/>
  <c r="AX542" i="30"/>
  <c r="AX543" i="30"/>
  <c r="AX544" i="30"/>
  <c r="AX545" i="30"/>
  <c r="AX546" i="30"/>
  <c r="AX547" i="30"/>
  <c r="AX548" i="30"/>
  <c r="AX549" i="30"/>
  <c r="AX550" i="30"/>
  <c r="AX551" i="30"/>
  <c r="AX552" i="30"/>
  <c r="AX553" i="30"/>
  <c r="AX554" i="30"/>
  <c r="AX555" i="30"/>
  <c r="AX556" i="30"/>
  <c r="AX557" i="30"/>
  <c r="AX558" i="30"/>
  <c r="AX559" i="30"/>
  <c r="AX560" i="30"/>
  <c r="AX561" i="30"/>
  <c r="AX562" i="30"/>
  <c r="AX563" i="30"/>
  <c r="AX564" i="30"/>
  <c r="AX565" i="30"/>
  <c r="AX566" i="30"/>
  <c r="AX567" i="30"/>
  <c r="AX568" i="30"/>
  <c r="AX569" i="30"/>
  <c r="AX570" i="30"/>
  <c r="AX571" i="30"/>
  <c r="AX572" i="30"/>
  <c r="AX573" i="30"/>
  <c r="AX574" i="30"/>
  <c r="AX575" i="30"/>
  <c r="AX576" i="30"/>
  <c r="AX577" i="30"/>
  <c r="AX578" i="30"/>
  <c r="AX579" i="30"/>
  <c r="AX580" i="30"/>
  <c r="AX581" i="30"/>
  <c r="AX582" i="30"/>
  <c r="AX583" i="30"/>
  <c r="AX584" i="30"/>
  <c r="AX585" i="30"/>
  <c r="AX586" i="30"/>
  <c r="AX587" i="30"/>
  <c r="AX588" i="30"/>
  <c r="AX589" i="30"/>
  <c r="AX590" i="30"/>
  <c r="AX591" i="30"/>
  <c r="AX592" i="30"/>
  <c r="AX593" i="30"/>
  <c r="AX594" i="30"/>
  <c r="AX595" i="30"/>
  <c r="AX596" i="30"/>
  <c r="AX597" i="30"/>
  <c r="AX598" i="30"/>
  <c r="AX599" i="30"/>
  <c r="AX600" i="30"/>
  <c r="AX601" i="30"/>
  <c r="AX602" i="30"/>
  <c r="AX603" i="30"/>
  <c r="AX604" i="30"/>
  <c r="AX605" i="30"/>
  <c r="AX606" i="30"/>
  <c r="AX607" i="30"/>
  <c r="AX608" i="30"/>
  <c r="AX609" i="30"/>
  <c r="AX610" i="30"/>
  <c r="AX611" i="30"/>
  <c r="AX612" i="30"/>
  <c r="AX613" i="30"/>
  <c r="AX614" i="30"/>
  <c r="AX615" i="30"/>
  <c r="AX616" i="30"/>
  <c r="AX617" i="30"/>
  <c r="AX618" i="30"/>
  <c r="AX619" i="30"/>
  <c r="AX620" i="30"/>
  <c r="AX621" i="30"/>
  <c r="AX622" i="30"/>
  <c r="AX623" i="30"/>
  <c r="AX624" i="30"/>
  <c r="AX625" i="30"/>
  <c r="AX626" i="30"/>
  <c r="AX627" i="30"/>
  <c r="AX628" i="30"/>
  <c r="AX629" i="30"/>
  <c r="AX630" i="30"/>
  <c r="AX631" i="30"/>
  <c r="AX632" i="30"/>
  <c r="AX633" i="30"/>
  <c r="AX634" i="30"/>
  <c r="AX635" i="30"/>
  <c r="AX636" i="30"/>
  <c r="AX637" i="30"/>
  <c r="AX638" i="30"/>
  <c r="AX639" i="30"/>
  <c r="AX640" i="30"/>
  <c r="AX641" i="30"/>
  <c r="AX642" i="30"/>
  <c r="AX643" i="30"/>
  <c r="AX644" i="30"/>
  <c r="AX645" i="30"/>
  <c r="AX646" i="30"/>
  <c r="AX647" i="30"/>
  <c r="AX648" i="30"/>
  <c r="AX649" i="30"/>
  <c r="AX650" i="30"/>
  <c r="AX651" i="30"/>
  <c r="AX652" i="30"/>
  <c r="AX653" i="30"/>
  <c r="AX654" i="30"/>
  <c r="AX655" i="30"/>
  <c r="AX656" i="30"/>
  <c r="AX657" i="30"/>
  <c r="AX658" i="30"/>
  <c r="AX659" i="30"/>
  <c r="AX660" i="30"/>
  <c r="AX661" i="30"/>
  <c r="AX662" i="30"/>
  <c r="AX663" i="30"/>
  <c r="AX664" i="30"/>
  <c r="AX665" i="30"/>
  <c r="AX666" i="30"/>
  <c r="AX667" i="30"/>
  <c r="AX668" i="30"/>
  <c r="AX669" i="30"/>
  <c r="AX670" i="30"/>
  <c r="AX671" i="30"/>
  <c r="AX672" i="30"/>
  <c r="AX673" i="30"/>
  <c r="AX674" i="30"/>
  <c r="AX675" i="30"/>
  <c r="AX676" i="30"/>
  <c r="AX677" i="30"/>
  <c r="AX678" i="30"/>
  <c r="AX679" i="30"/>
  <c r="AX680" i="30"/>
  <c r="AX681" i="30"/>
  <c r="AX682" i="30"/>
  <c r="AX683" i="30"/>
  <c r="AX684" i="30"/>
  <c r="AX685" i="30"/>
  <c r="AX686" i="30"/>
  <c r="AX687" i="30"/>
  <c r="AX688" i="30"/>
  <c r="AX689" i="30"/>
  <c r="AX690" i="30"/>
  <c r="AX691" i="30"/>
  <c r="AX692" i="30"/>
  <c r="AX693" i="30"/>
  <c r="AX694" i="30"/>
  <c r="AX695" i="30"/>
  <c r="AX696" i="30"/>
  <c r="AX697" i="30"/>
  <c r="AX698" i="30"/>
  <c r="AX699" i="30"/>
  <c r="AX700" i="30"/>
  <c r="AX701" i="30"/>
  <c r="AX702" i="30"/>
  <c r="AX703" i="30"/>
  <c r="AX704" i="30"/>
  <c r="AX705" i="30"/>
  <c r="AX706" i="30"/>
  <c r="AX707" i="30"/>
  <c r="AX708" i="30"/>
  <c r="AX709" i="30"/>
  <c r="AX710" i="30"/>
  <c r="AX711" i="30"/>
  <c r="AX712" i="30"/>
  <c r="AX713" i="30"/>
  <c r="AX714" i="30"/>
  <c r="AX715" i="30"/>
  <c r="AX716" i="30"/>
  <c r="AX717" i="30"/>
  <c r="AX718" i="30"/>
  <c r="AX719" i="30"/>
  <c r="AX720" i="30"/>
  <c r="AX721" i="30"/>
  <c r="AX722" i="30"/>
  <c r="AX723" i="30"/>
  <c r="AX724" i="30"/>
  <c r="AX725" i="30"/>
  <c r="AX726" i="30"/>
  <c r="AX727" i="30"/>
  <c r="AX728" i="30"/>
  <c r="AX729" i="30"/>
  <c r="AX730" i="30"/>
  <c r="AX731" i="30"/>
  <c r="AX732" i="30"/>
  <c r="AX733" i="30"/>
  <c r="AX734" i="30"/>
  <c r="AX735" i="30"/>
  <c r="AX736" i="30"/>
  <c r="AX737" i="30"/>
  <c r="AX738" i="30"/>
  <c r="AX739" i="30"/>
  <c r="AX740" i="30"/>
  <c r="AX741" i="30"/>
  <c r="AX742" i="30"/>
  <c r="AX743" i="30"/>
  <c r="AX744" i="30"/>
  <c r="AX745" i="30"/>
  <c r="AX746" i="30"/>
  <c r="AX747" i="30"/>
  <c r="AX748" i="30"/>
  <c r="AX749" i="30"/>
  <c r="AX750" i="30"/>
  <c r="AX751" i="30"/>
  <c r="AX752" i="30"/>
  <c r="AX753" i="30"/>
  <c r="AX754" i="30"/>
  <c r="AX755" i="30"/>
  <c r="AX756" i="30"/>
  <c r="AX757" i="30"/>
  <c r="AX758" i="30"/>
  <c r="AX759" i="30"/>
  <c r="AX760" i="30"/>
  <c r="AX761" i="30"/>
  <c r="AX762" i="30"/>
  <c r="AX763" i="30"/>
  <c r="AX764" i="30"/>
  <c r="AX765" i="30"/>
  <c r="AX766" i="30"/>
  <c r="AX767" i="30"/>
  <c r="AX768" i="30"/>
  <c r="AX769" i="30"/>
  <c r="AX770" i="30"/>
  <c r="AX771" i="30"/>
  <c r="AX772" i="30"/>
  <c r="AX773" i="30"/>
  <c r="AX774" i="30"/>
  <c r="AX775" i="30"/>
  <c r="AX776" i="30"/>
  <c r="AX777" i="30"/>
  <c r="AX778" i="30"/>
  <c r="AX779" i="30"/>
  <c r="AX780" i="30"/>
  <c r="AX781" i="30"/>
  <c r="AX782" i="30"/>
  <c r="AX783" i="30"/>
  <c r="AX784" i="30"/>
  <c r="AX785" i="30"/>
  <c r="AX786" i="30"/>
  <c r="AX787" i="30"/>
  <c r="AX788" i="30"/>
  <c r="AX789" i="30"/>
  <c r="AX790" i="30"/>
  <c r="AX791" i="30"/>
  <c r="AX792" i="30"/>
  <c r="AX793" i="30"/>
  <c r="AX794" i="30"/>
  <c r="AX795" i="30"/>
  <c r="AX796" i="30"/>
  <c r="AX797" i="30"/>
  <c r="AX798" i="30"/>
  <c r="AX799" i="30"/>
  <c r="AX800" i="30"/>
  <c r="AX801" i="30"/>
  <c r="AX802" i="30"/>
  <c r="AX803" i="30"/>
  <c r="AX804" i="30"/>
  <c r="AX805" i="30"/>
  <c r="AX806" i="30"/>
  <c r="AX807" i="30"/>
  <c r="AX808" i="30"/>
  <c r="AX809" i="30"/>
  <c r="AX810" i="30"/>
  <c r="AX811" i="30"/>
  <c r="AX812" i="30"/>
  <c r="AX813" i="30"/>
  <c r="AX814" i="30"/>
  <c r="AX815" i="30"/>
  <c r="AX816" i="30"/>
  <c r="AX817" i="30"/>
  <c r="AX818" i="30"/>
  <c r="AX819" i="30"/>
  <c r="AX820" i="30"/>
  <c r="AX821" i="30"/>
  <c r="AX822" i="30"/>
  <c r="AX823" i="30"/>
  <c r="AX824" i="30"/>
  <c r="AX825" i="30"/>
  <c r="AX826" i="30"/>
  <c r="AX827" i="30"/>
  <c r="AX828" i="30"/>
  <c r="AX829" i="30"/>
  <c r="AX830" i="30"/>
  <c r="AX831" i="30"/>
  <c r="AX832" i="30"/>
  <c r="AX833" i="30"/>
  <c r="AX834" i="30"/>
  <c r="AX835" i="30"/>
  <c r="AX836" i="30"/>
  <c r="AX837" i="30"/>
  <c r="AX838" i="30"/>
  <c r="AX839" i="30"/>
  <c r="AX840" i="30"/>
  <c r="AX841" i="30"/>
  <c r="AX842" i="30"/>
  <c r="AX843" i="30"/>
  <c r="AX844" i="30"/>
  <c r="AX845" i="30"/>
  <c r="AX846" i="30"/>
  <c r="AX847" i="30"/>
  <c r="AX848" i="30"/>
  <c r="AX849" i="30"/>
  <c r="AX850" i="30"/>
  <c r="AX851" i="30"/>
  <c r="AX852" i="30"/>
  <c r="AX853" i="30"/>
  <c r="AX854" i="30"/>
  <c r="AX855" i="30"/>
  <c r="AX856" i="30"/>
  <c r="AX857" i="30"/>
  <c r="AX858" i="30"/>
  <c r="AX859" i="30"/>
  <c r="AX860" i="30"/>
  <c r="AX861" i="30"/>
  <c r="AX862" i="30"/>
  <c r="AX863" i="30"/>
  <c r="AX864" i="30"/>
  <c r="AX865" i="30"/>
  <c r="AX866" i="30"/>
  <c r="AX867" i="30"/>
  <c r="AX868" i="30"/>
  <c r="AX869" i="30"/>
  <c r="AX870" i="30"/>
  <c r="AX871" i="30"/>
  <c r="AX872" i="30"/>
  <c r="AX873" i="30"/>
  <c r="AX874" i="30"/>
  <c r="AX875" i="30"/>
  <c r="AX876" i="30"/>
  <c r="AX877" i="30"/>
  <c r="AX878" i="30"/>
  <c r="AX879" i="30"/>
  <c r="AX880" i="30"/>
  <c r="AX881" i="30"/>
  <c r="AX882" i="30"/>
  <c r="AX883" i="30"/>
  <c r="AX884" i="30"/>
  <c r="AX885" i="30"/>
  <c r="AX886" i="30"/>
  <c r="AX887" i="30"/>
  <c r="AX888" i="30"/>
  <c r="AX889" i="30"/>
  <c r="AX890" i="30"/>
  <c r="AX891" i="30"/>
  <c r="AX892" i="30"/>
  <c r="AX893" i="30"/>
  <c r="AX894" i="30"/>
  <c r="AX895" i="30"/>
  <c r="AX896" i="30"/>
  <c r="AX897" i="30"/>
  <c r="AX898" i="30"/>
  <c r="AX899" i="30"/>
  <c r="AX900" i="30"/>
  <c r="AX901" i="30"/>
  <c r="AX902" i="30"/>
  <c r="AX903" i="30"/>
  <c r="AX904" i="30"/>
  <c r="AX905" i="30"/>
  <c r="AX906" i="30"/>
  <c r="AX907" i="30"/>
  <c r="AX908" i="30"/>
  <c r="AX909" i="30"/>
  <c r="AX910" i="30"/>
  <c r="AX911" i="30"/>
  <c r="AX912" i="30"/>
  <c r="AX913" i="30"/>
  <c r="AX914" i="30"/>
  <c r="AX915" i="30"/>
  <c r="AX916" i="30"/>
  <c r="AX917" i="30"/>
  <c r="AX918" i="30"/>
  <c r="AX919" i="30"/>
  <c r="AX920" i="30"/>
  <c r="AX921" i="30"/>
  <c r="AX922" i="30"/>
  <c r="AX923" i="30"/>
  <c r="AX924" i="30"/>
  <c r="AX925" i="30"/>
  <c r="AX926" i="30"/>
  <c r="AX927" i="30"/>
  <c r="AX928" i="30"/>
  <c r="AX929" i="30"/>
  <c r="AX930" i="30"/>
  <c r="AX931" i="30"/>
  <c r="AX932" i="30"/>
  <c r="AX933" i="30"/>
  <c r="AX934" i="30"/>
  <c r="AX935" i="30"/>
  <c r="AX936" i="30"/>
  <c r="AX937" i="30"/>
  <c r="AX938" i="30"/>
  <c r="AX939" i="30"/>
  <c r="AX940" i="30"/>
  <c r="AX941" i="30"/>
  <c r="AX942" i="30"/>
  <c r="AX943" i="30"/>
  <c r="AX944" i="30"/>
  <c r="AX945" i="30"/>
  <c r="AX946" i="30"/>
  <c r="AX947" i="30"/>
  <c r="AX948" i="30"/>
  <c r="AX949" i="30"/>
  <c r="AX950" i="30"/>
  <c r="AX951" i="30"/>
  <c r="AX952" i="30"/>
  <c r="AX953" i="30"/>
  <c r="AX954" i="30"/>
  <c r="AX955" i="30"/>
  <c r="AX956" i="30"/>
  <c r="AX957" i="30"/>
  <c r="AX958" i="30"/>
  <c r="AX959" i="30"/>
  <c r="AX960" i="30"/>
  <c r="AX961" i="30"/>
  <c r="AX962" i="30"/>
  <c r="AX963" i="30"/>
  <c r="AX964" i="30"/>
  <c r="AX965" i="30"/>
  <c r="AX966" i="30"/>
  <c r="AX967" i="30"/>
  <c r="AX968" i="30"/>
  <c r="AX969" i="30"/>
  <c r="AX970" i="30"/>
  <c r="AX971" i="30"/>
  <c r="AX972" i="30"/>
  <c r="AX973" i="30"/>
  <c r="AX974" i="30"/>
  <c r="AX975" i="30"/>
  <c r="AX976" i="30"/>
  <c r="AX977" i="30"/>
  <c r="AX978" i="30"/>
  <c r="AX979" i="30"/>
  <c r="AX980" i="30"/>
  <c r="AX981" i="30"/>
  <c r="AX982" i="30"/>
  <c r="AX983" i="30"/>
  <c r="AX984" i="30"/>
  <c r="AX985" i="30"/>
  <c r="AX986" i="30"/>
  <c r="AX987" i="30"/>
  <c r="AX988" i="30"/>
  <c r="AX989" i="30"/>
  <c r="AX990" i="30"/>
  <c r="AX991" i="30"/>
  <c r="AX992" i="30"/>
  <c r="AX993" i="30"/>
  <c r="AX994" i="30"/>
  <c r="AX995" i="30"/>
  <c r="AX996" i="30"/>
  <c r="AX997" i="30"/>
  <c r="AX998" i="30"/>
  <c r="AX999" i="30"/>
  <c r="AX1000" i="30"/>
  <c r="AX1001" i="30"/>
  <c r="AX1002" i="30"/>
  <c r="AX1003" i="30"/>
  <c r="AX1004" i="30"/>
  <c r="AX1005" i="30"/>
  <c r="AX1006" i="30"/>
  <c r="AX1007" i="30"/>
  <c r="AX1008" i="30"/>
  <c r="AX1009" i="30"/>
  <c r="AX1010" i="30"/>
  <c r="AX1011" i="30"/>
  <c r="AX1012" i="30"/>
  <c r="AX1013" i="30"/>
  <c r="AX1014" i="30"/>
  <c r="AX1015" i="30"/>
  <c r="AX1016" i="30"/>
  <c r="AX1017" i="30"/>
  <c r="AX1018" i="30"/>
  <c r="AX1019" i="30"/>
  <c r="AX1020" i="30"/>
  <c r="AX1021" i="30"/>
  <c r="AX1022" i="30"/>
  <c r="AX1023" i="30"/>
  <c r="AX1024" i="30"/>
  <c r="AX1025" i="30"/>
  <c r="AX1026" i="30"/>
  <c r="AX1027" i="30"/>
  <c r="AX1028" i="30"/>
  <c r="AX1029" i="30"/>
  <c r="AX1030" i="30"/>
  <c r="AX1031" i="30"/>
  <c r="AX1032" i="30"/>
  <c r="AX1033" i="30"/>
  <c r="AX1034" i="30"/>
  <c r="AX1035" i="30"/>
  <c r="AX1036" i="30"/>
  <c r="AX1037" i="30"/>
  <c r="AX1038" i="30"/>
  <c r="AX1039" i="30"/>
  <c r="AX1040" i="30"/>
  <c r="AX1041" i="30"/>
  <c r="AX1042" i="30"/>
  <c r="AX1043" i="30"/>
  <c r="AX1044" i="30"/>
  <c r="AX1045" i="30"/>
  <c r="AX1046" i="30"/>
  <c r="AX1047" i="30"/>
  <c r="AX1048" i="30"/>
  <c r="AX1049" i="30"/>
  <c r="AX1050" i="30"/>
  <c r="AX1051" i="30"/>
  <c r="AX1052" i="30"/>
  <c r="AX1053" i="30"/>
  <c r="AX1054" i="30"/>
  <c r="AX1055" i="30"/>
  <c r="AX1056" i="30"/>
  <c r="AX1057" i="30"/>
  <c r="AX1058" i="30"/>
  <c r="AX1059" i="30"/>
  <c r="AX1060" i="30"/>
  <c r="AX1061" i="30"/>
  <c r="AX1062" i="30"/>
  <c r="AX1063" i="30"/>
  <c r="AX1064" i="30"/>
  <c r="AX1065" i="30"/>
  <c r="AX1066" i="30"/>
  <c r="AX1067" i="30"/>
  <c r="AX1068" i="30"/>
  <c r="AX1069" i="30"/>
  <c r="AX1070" i="30"/>
  <c r="AX1071" i="30"/>
  <c r="AX1072" i="30"/>
  <c r="AX1073" i="30"/>
  <c r="AX1074" i="30"/>
  <c r="AX1075" i="30"/>
  <c r="AX1076" i="30"/>
  <c r="AX1077" i="30"/>
  <c r="AX1078" i="30"/>
  <c r="AX1079" i="30"/>
  <c r="AX1080" i="30"/>
  <c r="AX1081" i="30"/>
  <c r="AX1082" i="30"/>
  <c r="AX1083" i="30"/>
  <c r="AX1084" i="30"/>
  <c r="AX1085" i="30"/>
  <c r="AX1086" i="30"/>
  <c r="AX1087" i="30"/>
  <c r="AX1088" i="30"/>
  <c r="AX1089" i="30"/>
  <c r="AX1090" i="30"/>
  <c r="AX1091" i="30"/>
  <c r="AX1092" i="30"/>
  <c r="AX1093" i="30"/>
  <c r="AX1094" i="30"/>
  <c r="AX1095" i="30"/>
  <c r="AX1096" i="30"/>
  <c r="AX1097" i="30"/>
  <c r="AX1098" i="30"/>
  <c r="AX1099" i="30"/>
  <c r="AX1100" i="30"/>
  <c r="AX1101" i="30"/>
  <c r="AX1102" i="30"/>
  <c r="AX1103" i="30"/>
  <c r="AX1104" i="30"/>
  <c r="AX1105" i="30"/>
  <c r="AX1106" i="30"/>
  <c r="AX1107" i="30"/>
  <c r="AX1108" i="30"/>
  <c r="AX1109" i="30"/>
  <c r="AX1110" i="30"/>
  <c r="AX1111" i="30"/>
  <c r="AX1112" i="30"/>
  <c r="AX1113" i="30"/>
  <c r="AX1114" i="30"/>
  <c r="AX1115" i="30"/>
  <c r="AX1116" i="30"/>
  <c r="AX1117" i="30"/>
  <c r="AX1118" i="30"/>
  <c r="AX1119" i="30"/>
  <c r="AX1120" i="30"/>
  <c r="AX1121" i="30"/>
  <c r="AX1122" i="30"/>
  <c r="AX1123" i="30"/>
  <c r="AX1124" i="30"/>
  <c r="AX1125" i="30"/>
  <c r="AX1126" i="30"/>
  <c r="AX1127" i="30"/>
  <c r="AX1128" i="30"/>
  <c r="AX1129" i="30"/>
  <c r="AX1130" i="30"/>
  <c r="AX1131" i="30"/>
  <c r="AX1132" i="30"/>
  <c r="AX1133" i="30"/>
  <c r="AX1134" i="30"/>
  <c r="AX1135" i="30"/>
  <c r="AX1136" i="30"/>
  <c r="AX1137" i="30"/>
  <c r="AX1138" i="30"/>
  <c r="AX1139" i="30"/>
  <c r="AX1140" i="30"/>
  <c r="AX1141" i="30"/>
  <c r="AX1142" i="30"/>
  <c r="AX1143" i="30"/>
  <c r="AX1144" i="30"/>
  <c r="AX1145" i="30"/>
  <c r="AX1146" i="30"/>
  <c r="AX1147" i="30"/>
  <c r="AX1148" i="30"/>
  <c r="AX1149" i="30"/>
  <c r="AX1150" i="30"/>
  <c r="AX1151" i="30"/>
  <c r="AX1152" i="30"/>
  <c r="AX1153" i="30"/>
  <c r="AX1154" i="30"/>
  <c r="AX1155" i="30"/>
  <c r="AX1156" i="30"/>
  <c r="AX1157" i="30"/>
  <c r="AX1158" i="30"/>
  <c r="AX1159" i="30"/>
  <c r="AX1160" i="30"/>
  <c r="AX1161" i="30"/>
  <c r="AX1162" i="30"/>
  <c r="AX1163" i="30"/>
  <c r="AX1164" i="30"/>
  <c r="AX1165" i="30"/>
  <c r="AX1166" i="30"/>
  <c r="AX1167" i="30"/>
  <c r="AX1168" i="30"/>
  <c r="AX1169" i="30"/>
  <c r="AX1170" i="30"/>
  <c r="AX1171" i="30"/>
  <c r="AX1172" i="30"/>
  <c r="AX1173" i="30"/>
  <c r="AX1174" i="30"/>
  <c r="AX1175" i="30"/>
  <c r="AX1176" i="30"/>
  <c r="AX1177" i="30"/>
  <c r="AX1178" i="30"/>
  <c r="AX1179" i="30"/>
  <c r="AX1180" i="30"/>
  <c r="AX1181" i="30"/>
  <c r="AX1182" i="30"/>
  <c r="AX1183" i="30"/>
  <c r="AX1184" i="30"/>
  <c r="AX1185" i="30"/>
  <c r="AX1186" i="30"/>
  <c r="AX1187" i="30"/>
  <c r="AX1188" i="30"/>
  <c r="AX1189" i="30"/>
  <c r="AX1190" i="30"/>
  <c r="AX1191" i="30"/>
  <c r="AX1192" i="30"/>
  <c r="AX1193" i="30"/>
  <c r="AX1194" i="30"/>
  <c r="AX1195" i="30"/>
  <c r="AX1196" i="30"/>
  <c r="AX1197" i="30"/>
  <c r="AX1198" i="30"/>
  <c r="AX1199" i="30"/>
  <c r="AX1200" i="30"/>
  <c r="AX1201" i="30"/>
  <c r="AX1202" i="30"/>
  <c r="AX1203" i="30"/>
  <c r="AX1204" i="30"/>
  <c r="AX1205" i="30"/>
  <c r="AX1206" i="30"/>
  <c r="AX1207" i="30"/>
  <c r="AX1208" i="30"/>
  <c r="AX1209" i="30"/>
  <c r="AX1210" i="30"/>
  <c r="AX1211" i="30"/>
  <c r="AX1212" i="30"/>
  <c r="AX1213" i="30"/>
  <c r="AX1214" i="30"/>
  <c r="AX1215" i="30"/>
  <c r="AX1216" i="30"/>
  <c r="AX1217" i="30"/>
  <c r="AX1218" i="30"/>
  <c r="AX1219" i="30"/>
  <c r="AX1220" i="30"/>
  <c r="AX1221" i="30"/>
  <c r="AX1222" i="30"/>
  <c r="AX1223" i="30"/>
  <c r="AX1224" i="30"/>
  <c r="AX1225" i="30"/>
  <c r="AX1226" i="30"/>
  <c r="AX1227" i="30"/>
  <c r="AX1228" i="30"/>
  <c r="AX1229" i="30"/>
  <c r="AX1230" i="30"/>
  <c r="AW1230" i="30"/>
  <c r="AW1229" i="30"/>
  <c r="AW1228" i="30"/>
  <c r="AW1227" i="30"/>
  <c r="AW1226" i="30"/>
  <c r="AW1225" i="30"/>
  <c r="AW1224" i="30"/>
  <c r="AW1223" i="30"/>
  <c r="AW1222" i="30"/>
  <c r="AW1221" i="30"/>
  <c r="AW1220" i="30"/>
  <c r="AW1219" i="30"/>
  <c r="AW1218" i="30"/>
  <c r="AW1217" i="30"/>
  <c r="AW1216" i="30"/>
  <c r="AW1215" i="30"/>
  <c r="AW1214" i="30"/>
  <c r="AW1213" i="30"/>
  <c r="AW1212" i="30"/>
  <c r="AW1211" i="30"/>
  <c r="AW1210" i="30"/>
  <c r="AW1209" i="30"/>
  <c r="AW1208" i="30"/>
  <c r="AW1207" i="30"/>
  <c r="AW1206" i="30"/>
  <c r="AW1205" i="30"/>
  <c r="AW1204" i="30"/>
  <c r="AW1203" i="30"/>
  <c r="AW1202" i="30"/>
  <c r="AW1201" i="30"/>
  <c r="AW1200" i="30"/>
  <c r="AW1199" i="30"/>
  <c r="AW1198" i="30"/>
  <c r="AW1197" i="30"/>
  <c r="AW1196" i="30"/>
  <c r="AW1195" i="30"/>
  <c r="AW1194" i="30"/>
  <c r="AW1193" i="30"/>
  <c r="AW1192" i="30"/>
  <c r="AW1191" i="30"/>
  <c r="AW1190" i="30"/>
  <c r="AW1189" i="30"/>
  <c r="AW1188" i="30"/>
  <c r="AW1187" i="30"/>
  <c r="AW1186" i="30"/>
  <c r="AW1185" i="30"/>
  <c r="AW1184" i="30"/>
  <c r="AW1183" i="30"/>
  <c r="AW1182" i="30"/>
  <c r="AW1181" i="30"/>
  <c r="AW1180" i="30"/>
  <c r="AW1179" i="30"/>
  <c r="AW1178" i="30"/>
  <c r="AW1177" i="30"/>
  <c r="AW1176" i="30"/>
  <c r="AW1175" i="30"/>
  <c r="AW1174" i="30"/>
  <c r="AW1173" i="30"/>
  <c r="AW1172" i="30"/>
  <c r="AW1171" i="30"/>
  <c r="AW1170" i="30"/>
  <c r="AW1169" i="30"/>
  <c r="AW1168" i="30"/>
  <c r="AW1167" i="30"/>
  <c r="AW1166" i="30"/>
  <c r="AW1165" i="30"/>
  <c r="AW1164" i="30"/>
  <c r="AW1163" i="30"/>
  <c r="AW1162" i="30"/>
  <c r="AW1161" i="30"/>
  <c r="AW1160" i="30"/>
  <c r="AW1159" i="30"/>
  <c r="AW1158" i="30"/>
  <c r="AW1157" i="30"/>
  <c r="AW1156" i="30"/>
  <c r="AW1155" i="30"/>
  <c r="AW1154" i="30"/>
  <c r="AW1153" i="30"/>
  <c r="AW1152" i="30"/>
  <c r="AW1151" i="30"/>
  <c r="AW1150" i="30"/>
  <c r="AW1149" i="30"/>
  <c r="AW1148" i="30"/>
  <c r="AW1147" i="30"/>
  <c r="AW1146" i="30"/>
  <c r="AW1145" i="30"/>
  <c r="AW1144" i="30"/>
  <c r="AW1143" i="30"/>
  <c r="AW1142" i="30"/>
  <c r="AW1141" i="30"/>
  <c r="AW1140" i="30"/>
  <c r="AW1139" i="30"/>
  <c r="AW1138" i="30"/>
  <c r="AW1137" i="30"/>
  <c r="AW1136" i="30"/>
  <c r="AW1135" i="30"/>
  <c r="AW1134" i="30"/>
  <c r="AW1133" i="30"/>
  <c r="AW1132" i="30"/>
  <c r="AW1131" i="30"/>
  <c r="AW1130" i="30"/>
  <c r="AW1129" i="30"/>
  <c r="AW1128" i="30"/>
  <c r="AW1127" i="30"/>
  <c r="AW1126" i="30"/>
  <c r="AW1125" i="30"/>
  <c r="AW1124" i="30"/>
  <c r="AW1123" i="30"/>
  <c r="AW1122" i="30"/>
  <c r="AW1121" i="30"/>
  <c r="AW1120" i="30"/>
  <c r="AW1119" i="30"/>
  <c r="AW1118" i="30"/>
  <c r="AW1117" i="30"/>
  <c r="AW1116" i="30"/>
  <c r="AW1115" i="30"/>
  <c r="AW1114" i="30"/>
  <c r="AW1113" i="30"/>
  <c r="AW1112" i="30"/>
  <c r="AW1111" i="30"/>
  <c r="AW1110" i="30"/>
  <c r="AW1109" i="30"/>
  <c r="AW1108" i="30"/>
  <c r="AW1107" i="30"/>
  <c r="AW1106" i="30"/>
  <c r="AW1105" i="30"/>
  <c r="AW1104" i="30"/>
  <c r="AW1103" i="30"/>
  <c r="AW1102" i="30"/>
  <c r="AW1101" i="30"/>
  <c r="AW1100" i="30"/>
  <c r="AW1099" i="30"/>
  <c r="AW1098" i="30"/>
  <c r="AW1097" i="30"/>
  <c r="AW1096" i="30"/>
  <c r="AW1095" i="30"/>
  <c r="AW1094" i="30"/>
  <c r="AW1093" i="30"/>
  <c r="AW1092" i="30"/>
  <c r="AW1091" i="30"/>
  <c r="AW1090" i="30"/>
  <c r="AW1089" i="30"/>
  <c r="AW1088" i="30"/>
  <c r="AW1087" i="30"/>
  <c r="AW1086" i="30"/>
  <c r="AW1085" i="30"/>
  <c r="AW1084" i="30"/>
  <c r="AW1083" i="30"/>
  <c r="AW1082" i="30"/>
  <c r="AW1081" i="30"/>
  <c r="AW1080" i="30"/>
  <c r="AW1079" i="30"/>
  <c r="AW1078" i="30"/>
  <c r="AW1077" i="30"/>
  <c r="AW1076" i="30"/>
  <c r="AW1075" i="30"/>
  <c r="AW1074" i="30"/>
  <c r="AW1073" i="30"/>
  <c r="AW1072" i="30"/>
  <c r="AW1071" i="30"/>
  <c r="AW1070" i="30"/>
  <c r="AW1069" i="30"/>
  <c r="AW1068" i="30"/>
  <c r="AW1067" i="30"/>
  <c r="AW1066" i="30"/>
  <c r="AW1065" i="30"/>
  <c r="AW1064" i="30"/>
  <c r="AW1063" i="30"/>
  <c r="AW1062" i="30"/>
  <c r="AW1061" i="30"/>
  <c r="AW1060" i="30"/>
  <c r="AW1059" i="30"/>
  <c r="AW1058" i="30"/>
  <c r="AW1057" i="30"/>
  <c r="AW1056" i="30"/>
  <c r="AW1055" i="30"/>
  <c r="AW1054" i="30"/>
  <c r="AW1053" i="30"/>
  <c r="AW1052" i="30"/>
  <c r="AW1051" i="30"/>
  <c r="AW1050" i="30"/>
  <c r="AW1049" i="30"/>
  <c r="AW1048" i="30"/>
  <c r="AW1047" i="30"/>
  <c r="AW1046" i="30"/>
  <c r="AW1045" i="30"/>
  <c r="AW1044" i="30"/>
  <c r="AW1043" i="30"/>
  <c r="AW1042" i="30"/>
  <c r="AW1041" i="30"/>
  <c r="AW1040" i="30"/>
  <c r="AW1039" i="30"/>
  <c r="AW1038" i="30"/>
  <c r="AW1037" i="30"/>
  <c r="AW1036" i="30"/>
  <c r="AW1035" i="30"/>
  <c r="AW1034" i="30"/>
  <c r="AW1033" i="30"/>
  <c r="AW1032" i="30"/>
  <c r="AW1031" i="30"/>
  <c r="AW1030" i="30"/>
  <c r="AW1029" i="30"/>
  <c r="AW1028" i="30"/>
  <c r="AW1027" i="30"/>
  <c r="AW1026" i="30"/>
  <c r="AW1025" i="30"/>
  <c r="AW1024" i="30"/>
  <c r="AW1023" i="30"/>
  <c r="AW1022" i="30"/>
  <c r="AW1021" i="30"/>
  <c r="AW1020" i="30"/>
  <c r="AW1019" i="30"/>
  <c r="AW1018" i="30"/>
  <c r="AW1017" i="30"/>
  <c r="AW1016" i="30"/>
  <c r="AW1015" i="30"/>
  <c r="AW1014" i="30"/>
  <c r="AW1013" i="30"/>
  <c r="AW1012" i="30"/>
  <c r="AW1011" i="30"/>
  <c r="AW1010" i="30"/>
  <c r="AW1009" i="30"/>
  <c r="AW1008" i="30"/>
  <c r="AW1007" i="30"/>
  <c r="AW1006" i="30"/>
  <c r="AW1005" i="30"/>
  <c r="AW1004" i="30"/>
  <c r="AW1003" i="30"/>
  <c r="AW1002" i="30"/>
  <c r="AW1001" i="30"/>
  <c r="AW1000" i="30"/>
  <c r="AW999" i="30"/>
  <c r="AW998" i="30"/>
  <c r="AW997" i="30"/>
  <c r="AW996" i="30"/>
  <c r="AW995" i="30"/>
  <c r="AW994" i="30"/>
  <c r="AW993" i="30"/>
  <c r="AW992" i="30"/>
  <c r="AW991" i="30"/>
  <c r="AW990" i="30"/>
  <c r="AW989" i="30"/>
  <c r="AW988" i="30"/>
  <c r="AW987" i="30"/>
  <c r="AW986" i="30"/>
  <c r="AW985" i="30"/>
  <c r="AW984" i="30"/>
  <c r="AW983" i="30"/>
  <c r="AW982" i="30"/>
  <c r="AW981" i="30"/>
  <c r="AW980" i="30"/>
  <c r="AW979" i="30"/>
  <c r="AW978" i="30"/>
  <c r="AW977" i="30"/>
  <c r="AW976" i="30"/>
  <c r="AW975" i="30"/>
  <c r="AW974" i="30"/>
  <c r="AW973" i="30"/>
  <c r="AW972" i="30"/>
  <c r="AW971" i="30"/>
  <c r="AW970" i="30"/>
  <c r="AW969" i="30"/>
  <c r="AW968" i="30"/>
  <c r="AW967" i="30"/>
  <c r="AW966" i="30"/>
  <c r="AW965" i="30"/>
  <c r="AW964" i="30"/>
  <c r="AW963" i="30"/>
  <c r="AW962" i="30"/>
  <c r="AW961" i="30"/>
  <c r="AW960" i="30"/>
  <c r="AW959" i="30"/>
  <c r="AW958" i="30"/>
  <c r="AW957" i="30"/>
  <c r="AW956" i="30"/>
  <c r="AW955" i="30"/>
  <c r="AW954" i="30"/>
  <c r="AW953" i="30"/>
  <c r="AW952" i="30"/>
  <c r="AW951" i="30"/>
  <c r="AW950" i="30"/>
  <c r="AW949" i="30"/>
  <c r="AW948" i="30"/>
  <c r="AW947" i="30"/>
  <c r="AW946" i="30"/>
  <c r="AW945" i="30"/>
  <c r="AW944" i="30"/>
  <c r="AW943" i="30"/>
  <c r="AW942" i="30"/>
  <c r="AW941" i="30"/>
  <c r="AW940" i="30"/>
  <c r="AW939" i="30"/>
  <c r="AW938" i="30"/>
  <c r="AW937" i="30"/>
  <c r="AW936" i="30"/>
  <c r="AW935" i="30"/>
  <c r="AW934" i="30"/>
  <c r="AW933" i="30"/>
  <c r="AW932" i="30"/>
  <c r="AW931" i="30"/>
  <c r="AW930" i="30"/>
  <c r="AW929" i="30"/>
  <c r="AW928" i="30"/>
  <c r="AW927" i="30"/>
  <c r="AW926" i="30"/>
  <c r="AW925" i="30"/>
  <c r="AW924" i="30"/>
  <c r="AW923" i="30"/>
  <c r="AW922" i="30"/>
  <c r="AW921" i="30"/>
  <c r="AW920" i="30"/>
  <c r="AW919" i="30"/>
  <c r="AW918" i="30"/>
  <c r="AW917" i="30"/>
  <c r="AW916" i="30"/>
  <c r="AW915" i="30"/>
  <c r="AW914" i="30"/>
  <c r="AW913" i="30"/>
  <c r="AW912" i="30"/>
  <c r="AW911" i="30"/>
  <c r="AW910" i="30"/>
  <c r="AW909" i="30"/>
  <c r="AW908" i="30"/>
  <c r="AW907" i="30"/>
  <c r="AW906" i="30"/>
  <c r="AW905" i="30"/>
  <c r="AW904" i="30"/>
  <c r="AW903" i="30"/>
  <c r="AW902" i="30"/>
  <c r="AW901" i="30"/>
  <c r="AW900" i="30"/>
  <c r="AW899" i="30"/>
  <c r="AW898" i="30"/>
  <c r="AW897" i="30"/>
  <c r="AW896" i="30"/>
  <c r="AW895" i="30"/>
  <c r="AW894" i="30"/>
  <c r="AW893" i="30"/>
  <c r="AW892" i="30"/>
  <c r="AW891" i="30"/>
  <c r="AW890" i="30"/>
  <c r="AW889" i="30"/>
  <c r="AW888" i="30"/>
  <c r="AW887" i="30"/>
  <c r="AW886" i="30"/>
  <c r="AW885" i="30"/>
  <c r="AW884" i="30"/>
  <c r="AW883" i="30"/>
  <c r="AW882" i="30"/>
  <c r="AW881" i="30"/>
  <c r="AW880" i="30"/>
  <c r="AW879" i="30"/>
  <c r="AW878" i="30"/>
  <c r="AW877" i="30"/>
  <c r="AW876" i="30"/>
  <c r="AW875" i="30"/>
  <c r="AW874" i="30"/>
  <c r="AW873" i="30"/>
  <c r="AW872" i="30"/>
  <c r="AW871" i="30"/>
  <c r="AW870" i="30"/>
  <c r="AW869" i="30"/>
  <c r="AW868" i="30"/>
  <c r="AW867" i="30"/>
  <c r="AW866" i="30"/>
  <c r="AW865" i="30"/>
  <c r="AW864" i="30"/>
  <c r="AW863" i="30"/>
  <c r="AW862" i="30"/>
  <c r="AW861" i="30"/>
  <c r="AW860" i="30"/>
  <c r="AW859" i="30"/>
  <c r="AW858" i="30"/>
  <c r="AW857" i="30"/>
  <c r="AW856" i="30"/>
  <c r="AW855" i="30"/>
  <c r="AW854" i="30"/>
  <c r="AW853" i="30"/>
  <c r="AW852" i="30"/>
  <c r="AW851" i="30"/>
  <c r="AW850" i="30"/>
  <c r="AW849" i="30"/>
  <c r="AW848" i="30"/>
  <c r="AW847" i="30"/>
  <c r="AW846" i="30"/>
  <c r="AW845" i="30"/>
  <c r="AW844" i="30"/>
  <c r="AW843" i="30"/>
  <c r="AW842" i="30"/>
  <c r="AW841" i="30"/>
  <c r="AW840" i="30"/>
  <c r="AW839" i="30"/>
  <c r="AW838" i="30"/>
  <c r="AW837" i="30"/>
  <c r="AW836" i="30"/>
  <c r="AW835" i="30"/>
  <c r="AW834" i="30"/>
  <c r="AW833" i="30"/>
  <c r="AW832" i="30"/>
  <c r="AW831" i="30"/>
  <c r="AW830" i="30"/>
  <c r="AW829" i="30"/>
  <c r="AW828" i="30"/>
  <c r="AW827" i="30"/>
  <c r="AW826" i="30"/>
  <c r="AW825" i="30"/>
  <c r="AW824" i="30"/>
  <c r="AW823" i="30"/>
  <c r="AW822" i="30"/>
  <c r="AW821" i="30"/>
  <c r="AW820" i="30"/>
  <c r="AW819" i="30"/>
  <c r="AW818" i="30"/>
  <c r="AW817" i="30"/>
  <c r="AW816" i="30"/>
  <c r="AW815" i="30"/>
  <c r="AW814" i="30"/>
  <c r="AW813" i="30"/>
  <c r="AW812" i="30"/>
  <c r="AW811" i="30"/>
  <c r="AW810" i="30"/>
  <c r="AW809" i="30"/>
  <c r="AW808" i="30"/>
  <c r="AW807" i="30"/>
  <c r="AW806" i="30"/>
  <c r="AW805" i="30"/>
  <c r="AW804" i="30"/>
  <c r="AW803" i="30"/>
  <c r="AW802" i="30"/>
  <c r="AW801" i="30"/>
  <c r="AW800" i="30"/>
  <c r="AW799" i="30"/>
  <c r="AW798" i="30"/>
  <c r="AW797" i="30"/>
  <c r="AW796" i="30"/>
  <c r="AW795" i="30"/>
  <c r="AW794" i="30"/>
  <c r="AW793" i="30"/>
  <c r="AW792" i="30"/>
  <c r="AW791" i="30"/>
  <c r="AW790" i="30"/>
  <c r="AW789" i="30"/>
  <c r="AW788" i="30"/>
  <c r="AW787" i="30"/>
  <c r="AW786" i="30"/>
  <c r="AW785" i="30"/>
  <c r="AW784" i="30"/>
  <c r="AW783" i="30"/>
  <c r="AW782" i="30"/>
  <c r="AW781" i="30"/>
  <c r="AW780" i="30"/>
  <c r="AW779" i="30"/>
  <c r="AW778" i="30"/>
  <c r="AW777" i="30"/>
  <c r="AW776" i="30"/>
  <c r="AW775" i="30"/>
  <c r="AW774" i="30"/>
  <c r="AW773" i="30"/>
  <c r="AW772" i="30"/>
  <c r="AW771" i="30"/>
  <c r="AW770" i="30"/>
  <c r="AW769" i="30"/>
  <c r="AW768" i="30"/>
  <c r="AW767" i="30"/>
  <c r="AW766" i="30"/>
  <c r="AW765" i="30"/>
  <c r="AW764" i="30"/>
  <c r="AW763" i="30"/>
  <c r="AW762" i="30"/>
  <c r="AW761" i="30"/>
  <c r="AW760" i="30"/>
  <c r="AW759" i="30"/>
  <c r="AW758" i="30"/>
  <c r="AW757" i="30"/>
  <c r="AW756" i="30"/>
  <c r="AW755" i="30"/>
  <c r="AW754" i="30"/>
  <c r="AW753" i="30"/>
  <c r="AW752" i="30"/>
  <c r="AW751" i="30"/>
  <c r="AW750" i="30"/>
  <c r="AW749" i="30"/>
  <c r="AW748" i="30"/>
  <c r="AW747" i="30"/>
  <c r="AW746" i="30"/>
  <c r="AW745" i="30"/>
  <c r="AW744" i="30"/>
  <c r="AW743" i="30"/>
  <c r="AW742" i="30"/>
  <c r="AW741" i="30"/>
  <c r="AW740" i="30"/>
  <c r="AW739" i="30"/>
  <c r="AW738" i="30"/>
  <c r="AW737" i="30"/>
  <c r="AW736" i="30"/>
  <c r="AW735" i="30"/>
  <c r="AW734" i="30"/>
  <c r="AW733" i="30"/>
  <c r="AW732" i="30"/>
  <c r="AW731" i="30"/>
  <c r="AW730" i="30"/>
  <c r="AW729" i="30"/>
  <c r="AW728" i="30"/>
  <c r="AW727" i="30"/>
  <c r="AW726" i="30"/>
  <c r="AW725" i="30"/>
  <c r="AW724" i="30"/>
  <c r="AW723" i="30"/>
  <c r="AW722" i="30"/>
  <c r="AW721" i="30"/>
  <c r="AW720" i="30"/>
  <c r="AW719" i="30"/>
  <c r="AW718" i="30"/>
  <c r="AW717" i="30"/>
  <c r="AW716" i="30"/>
  <c r="AW715" i="30"/>
  <c r="AW714" i="30"/>
  <c r="AW713" i="30"/>
  <c r="AW712" i="30"/>
  <c r="AW711" i="30"/>
  <c r="AW710" i="30"/>
  <c r="AW709" i="30"/>
  <c r="AW708" i="30"/>
  <c r="AW707" i="30"/>
  <c r="AW706" i="30"/>
  <c r="AW705" i="30"/>
  <c r="AW704" i="30"/>
  <c r="AW703" i="30"/>
  <c r="AW702" i="30"/>
  <c r="AW701" i="30"/>
  <c r="AW700" i="30"/>
  <c r="AW699" i="30"/>
  <c r="AW698" i="30"/>
  <c r="AW697" i="30"/>
  <c r="AW696" i="30"/>
  <c r="AW695" i="30"/>
  <c r="AW694" i="30"/>
  <c r="AW693" i="30"/>
  <c r="AW692" i="30"/>
  <c r="AW691" i="30"/>
  <c r="AW690" i="30"/>
  <c r="AW689" i="30"/>
  <c r="AW688" i="30"/>
  <c r="AW687" i="30"/>
  <c r="AW686" i="30"/>
  <c r="AW685" i="30"/>
  <c r="AW684" i="30"/>
  <c r="AW683" i="30"/>
  <c r="AW682" i="30"/>
  <c r="AW681" i="30"/>
  <c r="AW680" i="30"/>
  <c r="AW679" i="30"/>
  <c r="AW678" i="30"/>
  <c r="AW677" i="30"/>
  <c r="AW676" i="30"/>
  <c r="AW675" i="30"/>
  <c r="AW674" i="30"/>
  <c r="AW673" i="30"/>
  <c r="AW672" i="30"/>
  <c r="AW671" i="30"/>
  <c r="AW670" i="30"/>
  <c r="AW669" i="30"/>
  <c r="AW668" i="30"/>
  <c r="AW667" i="30"/>
  <c r="AW666" i="30"/>
  <c r="AW665" i="30"/>
  <c r="AW664" i="30"/>
  <c r="AW663" i="30"/>
  <c r="AW662" i="30"/>
  <c r="AW661" i="30"/>
  <c r="AW660" i="30"/>
  <c r="AW659" i="30"/>
  <c r="AW658" i="30"/>
  <c r="AW657" i="30"/>
  <c r="AW656" i="30"/>
  <c r="AW655" i="30"/>
  <c r="AW654" i="30"/>
  <c r="AW653" i="30"/>
  <c r="AW652" i="30"/>
  <c r="AW651" i="30"/>
  <c r="AW650" i="30"/>
  <c r="AW649" i="30"/>
  <c r="AW648" i="30"/>
  <c r="AW647" i="30"/>
  <c r="AW646" i="30"/>
  <c r="AW645" i="30"/>
  <c r="AW644" i="30"/>
  <c r="AW643" i="30"/>
  <c r="AW642" i="30"/>
  <c r="AW641" i="30"/>
  <c r="AW640" i="30"/>
  <c r="AW639" i="30"/>
  <c r="AW638" i="30"/>
  <c r="AW637" i="30"/>
  <c r="AW636" i="30"/>
  <c r="AW635" i="30"/>
  <c r="AW634" i="30"/>
  <c r="AW633" i="30"/>
  <c r="AW632" i="30"/>
  <c r="AW631" i="30"/>
  <c r="AW630" i="30"/>
  <c r="AW629" i="30"/>
  <c r="AW628" i="30"/>
  <c r="AW627" i="30"/>
  <c r="AW626" i="30"/>
  <c r="AW625" i="30"/>
  <c r="AW624" i="30"/>
  <c r="AW623" i="30"/>
  <c r="AW622" i="30"/>
  <c r="AW621" i="30"/>
  <c r="AW620" i="30"/>
  <c r="AW619" i="30"/>
  <c r="AW618" i="30"/>
  <c r="AW617" i="30"/>
  <c r="AW616" i="30"/>
  <c r="AW615" i="30"/>
  <c r="AW614" i="30"/>
  <c r="AW613" i="30"/>
  <c r="AW612" i="30"/>
  <c r="AW611" i="30"/>
  <c r="AW610" i="30"/>
  <c r="AW609" i="30"/>
  <c r="AW608" i="30"/>
  <c r="AW607" i="30"/>
  <c r="AW606" i="30"/>
  <c r="AW605" i="30"/>
  <c r="AW604" i="30"/>
  <c r="AW603" i="30"/>
  <c r="AW602" i="30"/>
  <c r="AW601" i="30"/>
  <c r="AW600" i="30"/>
  <c r="AW599" i="30"/>
  <c r="AW598" i="30"/>
  <c r="AW597" i="30"/>
  <c r="AW596" i="30"/>
  <c r="AW595" i="30"/>
  <c r="AW594" i="30"/>
  <c r="AW593" i="30"/>
  <c r="AW592" i="30"/>
  <c r="AW591" i="30"/>
  <c r="AW590" i="30"/>
  <c r="AW589" i="30"/>
  <c r="AW588" i="30"/>
  <c r="AW587" i="30"/>
  <c r="AW586" i="30"/>
  <c r="AW585" i="30"/>
  <c r="AW584" i="30"/>
  <c r="AW583" i="30"/>
  <c r="AW582" i="30"/>
  <c r="AW581" i="30"/>
  <c r="AW580" i="30"/>
  <c r="AW579" i="30"/>
  <c r="AW578" i="30"/>
  <c r="AW577" i="30"/>
  <c r="AW576" i="30"/>
  <c r="AW575" i="30"/>
  <c r="AW574" i="30"/>
  <c r="AW573" i="30"/>
  <c r="AW572" i="30"/>
  <c r="AW571" i="30"/>
  <c r="AW570" i="30"/>
  <c r="AW569" i="30"/>
  <c r="AW568" i="30"/>
  <c r="AW567" i="30"/>
  <c r="AW566" i="30"/>
  <c r="AW565" i="30"/>
  <c r="AW564" i="30"/>
  <c r="AW563" i="30"/>
  <c r="AW562" i="30"/>
  <c r="AW561" i="30"/>
  <c r="AW560" i="30"/>
  <c r="AW559" i="30"/>
  <c r="AW558" i="30"/>
  <c r="AW557" i="30"/>
  <c r="AW556" i="30"/>
  <c r="AW555" i="30"/>
  <c r="AW554" i="30"/>
  <c r="AW553" i="30"/>
  <c r="AW552" i="30"/>
  <c r="AW551" i="30"/>
  <c r="AW550" i="30"/>
  <c r="AW549" i="30"/>
  <c r="AW548" i="30"/>
  <c r="AW547" i="30"/>
  <c r="AW546" i="30"/>
  <c r="AW545" i="30"/>
  <c r="AW544" i="30"/>
  <c r="AW543" i="30"/>
  <c r="AW542" i="30"/>
  <c r="AW541" i="30"/>
  <c r="AW540" i="30"/>
  <c r="AW539" i="30"/>
  <c r="AW538" i="30"/>
  <c r="AW537" i="30"/>
  <c r="AW536" i="30"/>
  <c r="AW535" i="30"/>
  <c r="AW534" i="30"/>
  <c r="AW533" i="30"/>
  <c r="AW532" i="30"/>
  <c r="AW531" i="30"/>
  <c r="AW530" i="30"/>
  <c r="AW529" i="30"/>
  <c r="AW528" i="30"/>
  <c r="AW527" i="30"/>
  <c r="AW526" i="30"/>
  <c r="AW525" i="30"/>
  <c r="AW524" i="30"/>
  <c r="AW523" i="30"/>
  <c r="AW522" i="30"/>
  <c r="AW521" i="30"/>
  <c r="AW520" i="30"/>
  <c r="AW519" i="30"/>
  <c r="AW518" i="30"/>
  <c r="AW517" i="30"/>
  <c r="AW516" i="30"/>
  <c r="AW515" i="30"/>
  <c r="AW514" i="30"/>
  <c r="AW513" i="30"/>
  <c r="AW512" i="30"/>
  <c r="AW511" i="30"/>
  <c r="AW510" i="30"/>
  <c r="AW509" i="30"/>
  <c r="AW508" i="30"/>
  <c r="AW507" i="30"/>
  <c r="AW506" i="30"/>
  <c r="AW505" i="30"/>
  <c r="AW504" i="30"/>
  <c r="AW503" i="30"/>
  <c r="AW502" i="30"/>
  <c r="AW501" i="30"/>
  <c r="AW500" i="30"/>
  <c r="AW499" i="30"/>
  <c r="AW498" i="30"/>
  <c r="AW497" i="30"/>
  <c r="AW496" i="30"/>
  <c r="AW495" i="30"/>
  <c r="AW494" i="30"/>
  <c r="AW493" i="30"/>
  <c r="AW492" i="30"/>
  <c r="AW491" i="30"/>
  <c r="AW490" i="30"/>
  <c r="AW489" i="30"/>
  <c r="AW488" i="30"/>
  <c r="AW487" i="30"/>
  <c r="AW486" i="30"/>
  <c r="AW485" i="30"/>
  <c r="AW484" i="30"/>
  <c r="AW483" i="30"/>
  <c r="AW482" i="30"/>
  <c r="AW481" i="30"/>
  <c r="AW480" i="30"/>
  <c r="AW479" i="30"/>
  <c r="AW478" i="30"/>
  <c r="AW477" i="30"/>
  <c r="AW476" i="30"/>
  <c r="AW475" i="30"/>
  <c r="AW474" i="30"/>
  <c r="AW473" i="30"/>
  <c r="AW472" i="30"/>
  <c r="AW471" i="30"/>
  <c r="AW470" i="30"/>
  <c r="AW469" i="30"/>
  <c r="AW468" i="30"/>
  <c r="AW467" i="30"/>
  <c r="AW466" i="30"/>
  <c r="AW465" i="30"/>
  <c r="AW464" i="30"/>
  <c r="AW463" i="30"/>
  <c r="AW462" i="30"/>
  <c r="AW461" i="30"/>
  <c r="AW460" i="30"/>
  <c r="AW459" i="30"/>
  <c r="AW458" i="30"/>
  <c r="AW457" i="30"/>
  <c r="AW456" i="30"/>
  <c r="AW455" i="30"/>
  <c r="AW454" i="30"/>
  <c r="AW453" i="30"/>
  <c r="AW452" i="30"/>
  <c r="AW451" i="30"/>
  <c r="AW450" i="30"/>
  <c r="AW449" i="30"/>
  <c r="AW448" i="30"/>
  <c r="AW447" i="30"/>
  <c r="AW446" i="30"/>
  <c r="AW445" i="30"/>
  <c r="AW444" i="30"/>
  <c r="AW443" i="30"/>
  <c r="AW442" i="30"/>
  <c r="AW441" i="30"/>
  <c r="AW440" i="30"/>
  <c r="AW439" i="30"/>
  <c r="AW438" i="30"/>
  <c r="AW437" i="30"/>
  <c r="AW436" i="30"/>
  <c r="AW435" i="30"/>
  <c r="AW434" i="30"/>
  <c r="AW433" i="30"/>
  <c r="AW432" i="30"/>
  <c r="AW431" i="30"/>
  <c r="AW430" i="30"/>
  <c r="AW429" i="30"/>
  <c r="AW428" i="30"/>
  <c r="AW427" i="30"/>
  <c r="AW426" i="30"/>
  <c r="AW425" i="30"/>
  <c r="AW424" i="30"/>
  <c r="AW423" i="30"/>
  <c r="AW422" i="30"/>
  <c r="AW421" i="30"/>
  <c r="AW420" i="30"/>
  <c r="AW419" i="30"/>
  <c r="AW418" i="30"/>
  <c r="AW417" i="30"/>
  <c r="AW416" i="30"/>
  <c r="AW415" i="30"/>
  <c r="AW414" i="30"/>
  <c r="AW413" i="30"/>
  <c r="AW412" i="30"/>
  <c r="AW411" i="30"/>
  <c r="AW410" i="30"/>
  <c r="AW409" i="30"/>
  <c r="AW408" i="30"/>
  <c r="AW407" i="30"/>
  <c r="AW406" i="30"/>
  <c r="AW405" i="30"/>
  <c r="AW404" i="30"/>
  <c r="AW403" i="30"/>
  <c r="AW402" i="30"/>
  <c r="AW401" i="30"/>
  <c r="AW400" i="30"/>
  <c r="AW399" i="30"/>
  <c r="AW398" i="30"/>
  <c r="AW397" i="30"/>
  <c r="AW396" i="30"/>
  <c r="AW395" i="30"/>
  <c r="AW394" i="30"/>
  <c r="AW393" i="30"/>
  <c r="AW392" i="30"/>
  <c r="AW391" i="30"/>
  <c r="AW390" i="30"/>
  <c r="AW389" i="30"/>
  <c r="AW388" i="30"/>
  <c r="AW387" i="30"/>
  <c r="AW386" i="30"/>
  <c r="AW385" i="30"/>
  <c r="AW384" i="30"/>
  <c r="AW383" i="30"/>
  <c r="AW382" i="30"/>
  <c r="AW381" i="30"/>
  <c r="AW380" i="30"/>
  <c r="AW379" i="30"/>
  <c r="AW378" i="30"/>
  <c r="AW377" i="30"/>
  <c r="AW376" i="30"/>
  <c r="AW375" i="30"/>
  <c r="AW374" i="30"/>
  <c r="AW373" i="30"/>
  <c r="AW372" i="30"/>
  <c r="AW371" i="30"/>
  <c r="AW370" i="30"/>
  <c r="AW369" i="30"/>
  <c r="AW368" i="30"/>
  <c r="AW367" i="30"/>
  <c r="AW366" i="30"/>
  <c r="AW365" i="30"/>
  <c r="AW364" i="30"/>
  <c r="AW363" i="30"/>
  <c r="AW362" i="30"/>
  <c r="AW361" i="30"/>
  <c r="AW360" i="30"/>
  <c r="AW359" i="30"/>
  <c r="AW358" i="30"/>
  <c r="AW357" i="30"/>
  <c r="AW356" i="30"/>
  <c r="AW355" i="30"/>
  <c r="AW354" i="30"/>
  <c r="AW353" i="30"/>
  <c r="AW352" i="30"/>
  <c r="AW351" i="30"/>
  <c r="AW350" i="30"/>
  <c r="AW349" i="30"/>
  <c r="AW348" i="30"/>
  <c r="AW347" i="30"/>
  <c r="AW346" i="30"/>
  <c r="AW345" i="30"/>
  <c r="AW344" i="30"/>
  <c r="AW343" i="30"/>
  <c r="AW342" i="30"/>
  <c r="AW341" i="30"/>
  <c r="AW340" i="30"/>
  <c r="AW339" i="30"/>
  <c r="AW338" i="30"/>
  <c r="AW337" i="30"/>
  <c r="AW336" i="30"/>
  <c r="AW335" i="30"/>
  <c r="AW334" i="30"/>
  <c r="AW333" i="30"/>
  <c r="AW332" i="30"/>
  <c r="AW331" i="30"/>
  <c r="AW330" i="30"/>
  <c r="AW329" i="30"/>
  <c r="AW328" i="30"/>
  <c r="AW327" i="30"/>
  <c r="AW326" i="30"/>
  <c r="AW325" i="30"/>
  <c r="AW324" i="30"/>
  <c r="AW323" i="30"/>
  <c r="AW322" i="30"/>
  <c r="AW321" i="30"/>
  <c r="AW320" i="30"/>
  <c r="AW319" i="30"/>
  <c r="AW318" i="30"/>
  <c r="AW317" i="30"/>
  <c r="AW316" i="30"/>
  <c r="AW315" i="30"/>
  <c r="AW314" i="30"/>
  <c r="AW313" i="30"/>
  <c r="AW312" i="30"/>
  <c r="AW311" i="30"/>
  <c r="AW310" i="30"/>
  <c r="AW309" i="30"/>
  <c r="AW308" i="30"/>
  <c r="AW307" i="30"/>
  <c r="AW306" i="30"/>
  <c r="AW305" i="30"/>
  <c r="AW304" i="30"/>
  <c r="AW303" i="30"/>
  <c r="AW302" i="30"/>
  <c r="AW301" i="30"/>
  <c r="AW300" i="30"/>
  <c r="AW299" i="30"/>
  <c r="AW298" i="30"/>
  <c r="AW297" i="30"/>
  <c r="AW296" i="30"/>
  <c r="AW295" i="30"/>
  <c r="AW294" i="30"/>
  <c r="AW293" i="30"/>
  <c r="AW292" i="30"/>
  <c r="AW291" i="30"/>
  <c r="AW290" i="30"/>
  <c r="AW289" i="30"/>
  <c r="AW288" i="30"/>
  <c r="AW287" i="30"/>
  <c r="AW286" i="30"/>
  <c r="AW285" i="30"/>
  <c r="AW284" i="30"/>
  <c r="AW283" i="30"/>
  <c r="AW282" i="30"/>
  <c r="AW281" i="30"/>
  <c r="AW280" i="30"/>
  <c r="AW279" i="30"/>
  <c r="AW278" i="30"/>
  <c r="AW277" i="30"/>
  <c r="AW276" i="30"/>
  <c r="AW275" i="30"/>
  <c r="AW274" i="30"/>
  <c r="AW273" i="30"/>
  <c r="AW272" i="30"/>
  <c r="AW271" i="30"/>
  <c r="AW270" i="30"/>
  <c r="AW269" i="30"/>
  <c r="AW268" i="30"/>
  <c r="AW267" i="30"/>
  <c r="AW266" i="30"/>
  <c r="AW265" i="30"/>
  <c r="AW264" i="30"/>
  <c r="AW263" i="30"/>
  <c r="AW262" i="30"/>
  <c r="AW261" i="30"/>
  <c r="AW260" i="30"/>
  <c r="AW259" i="30"/>
  <c r="AW258" i="30"/>
  <c r="AW257" i="30"/>
  <c r="AW256" i="30"/>
  <c r="AW255" i="30"/>
  <c r="AW254" i="30"/>
  <c r="AW253" i="30"/>
  <c r="AW252" i="30"/>
  <c r="AW251" i="30"/>
  <c r="AW250" i="30"/>
  <c r="AW249" i="30"/>
  <c r="AW248" i="30"/>
  <c r="AW247" i="30"/>
  <c r="AW246" i="30"/>
  <c r="AW245" i="30"/>
  <c r="AW244" i="30"/>
  <c r="AW243" i="30"/>
  <c r="AW242" i="30"/>
  <c r="AW241" i="30"/>
  <c r="AW240" i="30"/>
  <c r="AW239" i="30"/>
  <c r="AW238" i="30"/>
  <c r="AW237" i="30"/>
  <c r="AW236" i="30"/>
  <c r="AW235" i="30"/>
  <c r="AW234" i="30"/>
  <c r="AW233" i="30"/>
  <c r="AW232" i="30"/>
  <c r="AW231" i="30"/>
  <c r="AW230" i="30"/>
  <c r="AW229" i="30"/>
  <c r="AW228" i="30"/>
  <c r="AW227" i="30"/>
  <c r="AW226" i="30"/>
  <c r="AW225" i="30"/>
  <c r="AW224" i="30"/>
  <c r="AW223" i="30"/>
  <c r="AW222" i="30"/>
  <c r="AW221" i="30"/>
  <c r="AW220" i="30"/>
  <c r="AW219" i="30"/>
  <c r="AW218" i="30"/>
  <c r="AW217" i="30"/>
  <c r="AW216" i="30"/>
  <c r="AW215" i="30"/>
  <c r="AW214" i="30"/>
  <c r="AW213" i="30"/>
  <c r="AW212" i="30"/>
  <c r="AW211" i="30"/>
  <c r="AW210" i="30"/>
  <c r="AW209" i="30"/>
  <c r="AW208" i="30"/>
  <c r="AW207" i="30"/>
  <c r="AW206" i="30"/>
  <c r="AW205" i="30"/>
  <c r="AW204" i="30"/>
  <c r="AW203" i="30"/>
  <c r="AW202" i="30"/>
  <c r="AW201" i="30"/>
  <c r="AW200" i="30"/>
  <c r="AW199" i="30"/>
  <c r="AW198" i="30"/>
  <c r="AW197" i="30"/>
  <c r="AW196" i="30"/>
  <c r="AW195" i="30"/>
  <c r="AW194" i="30"/>
  <c r="AW193" i="30"/>
  <c r="AW192" i="30"/>
  <c r="AW191" i="30"/>
  <c r="AW190" i="30"/>
  <c r="AW189" i="30"/>
  <c r="AW188" i="30"/>
  <c r="AW187" i="30"/>
  <c r="AW186" i="30"/>
  <c r="AW185" i="30"/>
  <c r="AW184" i="30"/>
  <c r="AW183" i="30"/>
  <c r="AW182" i="30"/>
  <c r="AW181" i="30"/>
  <c r="AW180" i="30"/>
  <c r="AW179" i="30"/>
  <c r="AW178" i="30"/>
  <c r="AW177" i="30"/>
  <c r="AW176" i="30"/>
  <c r="AW175" i="30"/>
  <c r="AW174" i="30"/>
  <c r="AW173" i="30"/>
  <c r="AW172" i="30"/>
  <c r="AW171" i="30"/>
  <c r="AW170" i="30"/>
  <c r="AW169" i="30"/>
  <c r="AW168" i="30"/>
  <c r="AW167" i="30"/>
  <c r="AW166" i="30"/>
  <c r="AW165" i="30"/>
  <c r="AW164" i="30"/>
  <c r="AW163" i="30"/>
  <c r="AW162" i="30"/>
  <c r="AW161" i="30"/>
  <c r="AW160" i="30"/>
  <c r="AW159" i="30"/>
  <c r="AW158" i="30"/>
  <c r="AW157" i="30"/>
  <c r="AW156" i="30"/>
  <c r="AW155" i="30"/>
  <c r="AW154" i="30"/>
  <c r="AW153" i="30"/>
  <c r="AW152" i="30"/>
  <c r="AW151" i="30"/>
  <c r="AW150" i="30"/>
  <c r="AW149" i="30"/>
  <c r="AW148" i="30"/>
  <c r="AW147" i="30"/>
  <c r="AW146" i="30"/>
  <c r="AW145" i="30"/>
  <c r="AW144" i="30"/>
  <c r="AW143" i="30"/>
  <c r="AW142" i="30"/>
  <c r="AW141" i="30"/>
  <c r="AW140" i="30"/>
  <c r="AW139" i="30"/>
  <c r="AW138" i="30"/>
  <c r="AW137" i="30"/>
  <c r="AW136" i="30"/>
  <c r="AW135" i="30"/>
  <c r="AW134" i="30"/>
  <c r="AW133" i="30"/>
  <c r="AW132" i="30"/>
  <c r="AW131" i="30"/>
  <c r="AW130" i="30"/>
  <c r="AW129" i="30"/>
  <c r="AW128" i="30"/>
  <c r="AW127" i="30"/>
  <c r="AW126" i="30"/>
  <c r="AW125" i="30"/>
  <c r="AW124" i="30"/>
  <c r="AW123" i="30"/>
  <c r="AW122" i="30"/>
  <c r="AW121" i="30"/>
  <c r="AW120" i="30"/>
  <c r="AW119" i="30"/>
  <c r="AW118" i="30"/>
  <c r="AW117" i="30"/>
  <c r="AW116" i="30"/>
  <c r="AW115" i="30"/>
  <c r="AW114" i="30"/>
  <c r="AW113" i="30"/>
  <c r="AW112" i="30"/>
  <c r="AW111" i="30"/>
  <c r="AW110" i="30"/>
  <c r="AW109" i="30"/>
  <c r="AW108" i="30"/>
  <c r="AW107" i="30"/>
  <c r="AW106" i="30"/>
  <c r="AW105" i="30"/>
  <c r="AW104" i="30"/>
  <c r="AW103" i="30"/>
  <c r="AW102" i="30"/>
  <c r="AW101" i="30"/>
  <c r="AW100" i="30"/>
  <c r="AW99" i="30"/>
  <c r="AW98" i="30"/>
  <c r="AW97" i="30"/>
  <c r="AW96" i="30"/>
  <c r="AW95" i="30"/>
  <c r="AW94" i="30"/>
  <c r="AW93" i="30"/>
  <c r="AW92" i="30"/>
  <c r="AW91" i="30"/>
  <c r="AW90" i="30"/>
  <c r="AW89" i="30"/>
  <c r="AW88" i="30"/>
  <c r="AW87" i="30"/>
  <c r="AW86" i="30"/>
  <c r="AW85" i="30"/>
  <c r="AW84" i="30"/>
  <c r="AW83" i="30"/>
  <c r="AW82" i="30"/>
  <c r="AW81" i="30"/>
  <c r="AW80" i="30"/>
  <c r="AW79" i="30"/>
  <c r="AW78" i="30"/>
  <c r="AW77" i="30"/>
  <c r="AW76" i="30"/>
  <c r="AW75" i="30"/>
  <c r="AW74" i="30"/>
  <c r="AW73" i="30"/>
  <c r="AW72" i="30"/>
  <c r="AW71" i="30"/>
  <c r="AW70" i="30"/>
  <c r="AW69" i="30"/>
  <c r="AW68" i="30"/>
  <c r="AW67" i="30"/>
  <c r="AW66" i="30"/>
  <c r="AW65" i="30"/>
  <c r="AW64" i="30"/>
  <c r="AW63" i="30"/>
  <c r="AW62" i="30"/>
  <c r="AW61" i="30"/>
  <c r="AW60" i="30"/>
  <c r="AW59" i="30"/>
  <c r="AW58" i="30"/>
  <c r="AW57" i="30"/>
  <c r="AW56" i="30"/>
  <c r="AW55" i="30"/>
  <c r="AW54" i="30"/>
  <c r="AW53" i="30"/>
  <c r="AW52" i="30"/>
  <c r="AW51" i="30"/>
  <c r="AW50" i="30"/>
  <c r="AW49" i="30"/>
  <c r="AW48" i="30"/>
  <c r="AW47" i="30"/>
  <c r="AW46" i="30"/>
  <c r="AW45" i="30"/>
  <c r="AW44" i="30"/>
  <c r="AW43" i="30"/>
  <c r="AW42" i="30"/>
  <c r="AW41" i="30"/>
  <c r="AW40" i="30"/>
  <c r="AW39" i="30"/>
  <c r="AW38" i="30"/>
  <c r="AW37" i="30"/>
  <c r="AW36" i="30"/>
  <c r="AW35" i="30"/>
  <c r="AW34" i="30"/>
  <c r="AW33" i="30"/>
  <c r="AW32" i="30"/>
  <c r="AW31" i="30"/>
  <c r="R3" i="28"/>
  <c r="R4" i="28"/>
  <c r="R5" i="28"/>
  <c r="R6" i="28"/>
  <c r="R7" i="28"/>
  <c r="BF327" i="28"/>
  <c r="BF328" i="28"/>
  <c r="BF329" i="28"/>
  <c r="BF330" i="28"/>
  <c r="BF331" i="28"/>
  <c r="BF332" i="28"/>
  <c r="BF333" i="28"/>
  <c r="BF334" i="28"/>
  <c r="BF335" i="28"/>
  <c r="BF336" i="28"/>
  <c r="BF337" i="28"/>
  <c r="BF338" i="28"/>
  <c r="BF339" i="28"/>
  <c r="BF340" i="28"/>
  <c r="BF341" i="28"/>
  <c r="BF342" i="28"/>
  <c r="BF343" i="28"/>
  <c r="BF344" i="28"/>
  <c r="BF345" i="28"/>
  <c r="BF346" i="28"/>
  <c r="BF347" i="28"/>
  <c r="BF348" i="28"/>
  <c r="BF349" i="28"/>
  <c r="BF350" i="28"/>
  <c r="BF351" i="28"/>
  <c r="BF352" i="28"/>
  <c r="BF353" i="28"/>
  <c r="BF354" i="28"/>
  <c r="BF355" i="28"/>
  <c r="BF356" i="28"/>
  <c r="BF357" i="28"/>
  <c r="BF358" i="28"/>
  <c r="BF359" i="28"/>
  <c r="BF360" i="28"/>
  <c r="BF361" i="28"/>
  <c r="BF362" i="28"/>
  <c r="BF363" i="28"/>
  <c r="BF364" i="28"/>
  <c r="BF365" i="28"/>
  <c r="BF366" i="28"/>
  <c r="BF367" i="28"/>
  <c r="BF368" i="28"/>
  <c r="BF369" i="28"/>
  <c r="BF370" i="28"/>
  <c r="BF371" i="28"/>
  <c r="BF372" i="28"/>
  <c r="BF373" i="28"/>
  <c r="BF374" i="28"/>
  <c r="BF375" i="28"/>
  <c r="BF376" i="28"/>
  <c r="BF377" i="28"/>
  <c r="BF378" i="28"/>
  <c r="BF379" i="28"/>
  <c r="BF380" i="28"/>
  <c r="BF381" i="28"/>
  <c r="BF382" i="28"/>
  <c r="BF383" i="28"/>
  <c r="BF384" i="28"/>
  <c r="BF385" i="28"/>
  <c r="BF386" i="28"/>
  <c r="BF387" i="28"/>
  <c r="BF388" i="28"/>
  <c r="BF389" i="28"/>
  <c r="BF390" i="28"/>
  <c r="BF391" i="28"/>
  <c r="BF392" i="28"/>
  <c r="BF393" i="28"/>
  <c r="BF394" i="28"/>
  <c r="BF395" i="28"/>
  <c r="BF396" i="28"/>
  <c r="BF397" i="28"/>
  <c r="BF398" i="28"/>
  <c r="BF399" i="28"/>
  <c r="BF400" i="28"/>
  <c r="BF401" i="28"/>
  <c r="BF402" i="28"/>
  <c r="BF403" i="28"/>
  <c r="BF404" i="28"/>
  <c r="BF405" i="28"/>
  <c r="BF406" i="28"/>
  <c r="BF407" i="28"/>
  <c r="BF408" i="28"/>
  <c r="BF409" i="28"/>
  <c r="BF410" i="28"/>
  <c r="BF411" i="28"/>
  <c r="BF412" i="28"/>
  <c r="BF413" i="28"/>
  <c r="BF414" i="28"/>
  <c r="BF415" i="28"/>
  <c r="BF416" i="28"/>
  <c r="BF417" i="28"/>
  <c r="BF418" i="28"/>
  <c r="BF419" i="28"/>
  <c r="BF420" i="28"/>
  <c r="BF421" i="28"/>
  <c r="BF422" i="28"/>
  <c r="BF423" i="28"/>
  <c r="BF424" i="28"/>
  <c r="BF425" i="28"/>
  <c r="BF426" i="28"/>
  <c r="BF427" i="28"/>
  <c r="BF428" i="28"/>
  <c r="BF429" i="28"/>
  <c r="BF430" i="28"/>
  <c r="BF431" i="28"/>
  <c r="BF432" i="28"/>
  <c r="BF433" i="28"/>
  <c r="BF434" i="28"/>
  <c r="BF435" i="28"/>
  <c r="BF436" i="28"/>
  <c r="BF437" i="28"/>
  <c r="BF438" i="28"/>
  <c r="BF439" i="28"/>
  <c r="BF440" i="28"/>
  <c r="BF441" i="28"/>
  <c r="BF442" i="28"/>
  <c r="BF443" i="28"/>
  <c r="BF444" i="28"/>
  <c r="BF445" i="28"/>
  <c r="BF446" i="28"/>
  <c r="BF447" i="28"/>
  <c r="BF448" i="28"/>
  <c r="BF449" i="28"/>
  <c r="BF450" i="28"/>
  <c r="BF451" i="28"/>
  <c r="BF452" i="28"/>
  <c r="BF453" i="28"/>
  <c r="BF454" i="28"/>
  <c r="BF455" i="28"/>
  <c r="BF456" i="28"/>
  <c r="BF457" i="28"/>
  <c r="BF458" i="28"/>
  <c r="BF459" i="28"/>
  <c r="BF460" i="28"/>
  <c r="BF461" i="28"/>
  <c r="BF462" i="28"/>
  <c r="BF463" i="28"/>
  <c r="BF464" i="28"/>
  <c r="BF465" i="28"/>
  <c r="BF466" i="28"/>
  <c r="BF467" i="28"/>
  <c r="BF468" i="28"/>
  <c r="BF469" i="28"/>
  <c r="BF470" i="28"/>
  <c r="BF471" i="28"/>
  <c r="BF472" i="28"/>
  <c r="BF473" i="28"/>
  <c r="BF474" i="28"/>
  <c r="BF475" i="28"/>
  <c r="BF476" i="28"/>
  <c r="BF477" i="28"/>
  <c r="BF478" i="28"/>
  <c r="BF479" i="28"/>
  <c r="BF480" i="28"/>
  <c r="BF481" i="28"/>
  <c r="BF482" i="28"/>
  <c r="BF483" i="28"/>
  <c r="BF484" i="28"/>
  <c r="BF485" i="28"/>
  <c r="BF486" i="28"/>
  <c r="BF487" i="28"/>
  <c r="BF488" i="28"/>
  <c r="BF489" i="28"/>
  <c r="BF490" i="28"/>
  <c r="BF491" i="28"/>
  <c r="BF492" i="28"/>
  <c r="BF493" i="28"/>
  <c r="BF494" i="28"/>
  <c r="BF495" i="28"/>
  <c r="BF496" i="28"/>
  <c r="BF497" i="28"/>
  <c r="BF498" i="28"/>
  <c r="BF499" i="28"/>
  <c r="BF500" i="28"/>
  <c r="BF501" i="28"/>
  <c r="BF502" i="28"/>
  <c r="BF503" i="28"/>
  <c r="BF504" i="28"/>
  <c r="BF505" i="28"/>
  <c r="BF506" i="28"/>
  <c r="BF507" i="28"/>
  <c r="BF508" i="28"/>
  <c r="BF509" i="28"/>
  <c r="BF510" i="28"/>
  <c r="BF511" i="28"/>
  <c r="BF512" i="28"/>
  <c r="BF513" i="28"/>
  <c r="BF514" i="28"/>
  <c r="BF515" i="28"/>
  <c r="BF516" i="28"/>
  <c r="BF517" i="28"/>
  <c r="BF518" i="28"/>
  <c r="BF519" i="28"/>
  <c r="BF520" i="28"/>
  <c r="BF521" i="28"/>
  <c r="BF522" i="28"/>
  <c r="BF523" i="28"/>
  <c r="BF524" i="28"/>
  <c r="BF525" i="28"/>
  <c r="BF526" i="28"/>
  <c r="BF527" i="28"/>
  <c r="BF528" i="28"/>
  <c r="BF529" i="28"/>
  <c r="BF530" i="28"/>
  <c r="BF531" i="28"/>
  <c r="BF532" i="28"/>
  <c r="BF533" i="28"/>
  <c r="BF534" i="28"/>
  <c r="BF535" i="28"/>
  <c r="BF536" i="28"/>
  <c r="BF537" i="28"/>
  <c r="BF538" i="28"/>
  <c r="BF539" i="28"/>
  <c r="BF540" i="28"/>
  <c r="BF541" i="28"/>
  <c r="BF542" i="28"/>
  <c r="BF543" i="28"/>
  <c r="BF544" i="28"/>
  <c r="BF545" i="28"/>
  <c r="BF546" i="28"/>
  <c r="BF547" i="28"/>
  <c r="BF548" i="28"/>
  <c r="BF549" i="28"/>
  <c r="BF550" i="28"/>
  <c r="BF551" i="28"/>
  <c r="BF552" i="28"/>
  <c r="BF553" i="28"/>
  <c r="BF554" i="28"/>
  <c r="BF555" i="28"/>
  <c r="BF556" i="28"/>
  <c r="BF557" i="28"/>
  <c r="BF558" i="28"/>
  <c r="BF559" i="28"/>
  <c r="BF560" i="28"/>
  <c r="BF561" i="28"/>
  <c r="BF562" i="28"/>
  <c r="BF563" i="28"/>
  <c r="BF564" i="28"/>
  <c r="BF565" i="28"/>
  <c r="BF566" i="28"/>
  <c r="BF567" i="28"/>
  <c r="BF568" i="28"/>
  <c r="BF569" i="28"/>
  <c r="BF570" i="28"/>
  <c r="BF571" i="28"/>
  <c r="BF572" i="28"/>
  <c r="BF573" i="28"/>
  <c r="BF574" i="28"/>
  <c r="BF575" i="28"/>
  <c r="BF576" i="28"/>
  <c r="BF577" i="28"/>
  <c r="BF578" i="28"/>
  <c r="BF579" i="28"/>
  <c r="BF580" i="28"/>
  <c r="BF581" i="28"/>
  <c r="BF582" i="28"/>
  <c r="BF583" i="28"/>
  <c r="BF584" i="28"/>
  <c r="BF585" i="28"/>
  <c r="BF586" i="28"/>
  <c r="BF587" i="28"/>
  <c r="BF588" i="28"/>
  <c r="BF589" i="28"/>
  <c r="BF590" i="28"/>
  <c r="BF591" i="28"/>
  <c r="BF592" i="28"/>
  <c r="BF593" i="28"/>
  <c r="BF594" i="28"/>
  <c r="BF595" i="28"/>
  <c r="BF596" i="28"/>
  <c r="BF597" i="28"/>
  <c r="BF598" i="28"/>
  <c r="BF599" i="28"/>
  <c r="BF600" i="28"/>
  <c r="BF601" i="28"/>
  <c r="BF602" i="28"/>
  <c r="BF603" i="28"/>
  <c r="BF604" i="28"/>
  <c r="BF605" i="28"/>
  <c r="BF606" i="28"/>
  <c r="BF607" i="28"/>
  <c r="BF608" i="28"/>
  <c r="BF609" i="28"/>
  <c r="BF610" i="28"/>
  <c r="BF611" i="28"/>
  <c r="BF612" i="28"/>
  <c r="BF613" i="28"/>
  <c r="BF614" i="28"/>
  <c r="BF615" i="28"/>
  <c r="BF616" i="28"/>
  <c r="BF617" i="28"/>
  <c r="BF618" i="28"/>
  <c r="BF619" i="28"/>
  <c r="BF620" i="28"/>
  <c r="BF621" i="28"/>
  <c r="BF622" i="28"/>
  <c r="BF623" i="28"/>
  <c r="BF624" i="28"/>
  <c r="BF625" i="28"/>
  <c r="BF626" i="28"/>
  <c r="BF627" i="28"/>
  <c r="BF628" i="28"/>
  <c r="BF629" i="28"/>
  <c r="BF630" i="28"/>
  <c r="BF631" i="28"/>
  <c r="BF632" i="28"/>
  <c r="BF633" i="28"/>
  <c r="BF634" i="28"/>
  <c r="BF635" i="28"/>
  <c r="BF636" i="28"/>
  <c r="BF637" i="28"/>
  <c r="BF638" i="28"/>
  <c r="BF639" i="28"/>
  <c r="BF640" i="28"/>
  <c r="BF641" i="28"/>
  <c r="BF642" i="28"/>
  <c r="BF643" i="28"/>
  <c r="BF644" i="28"/>
  <c r="BF645" i="28"/>
  <c r="BF646" i="28"/>
  <c r="BF647" i="28"/>
  <c r="BF648" i="28"/>
  <c r="BF649" i="28"/>
  <c r="BF650" i="28"/>
  <c r="BF651" i="28"/>
  <c r="BF652" i="28"/>
  <c r="BF653" i="28"/>
  <c r="BF654" i="28"/>
  <c r="BF655" i="28"/>
  <c r="BF656" i="28"/>
  <c r="BF657" i="28"/>
  <c r="BF658" i="28"/>
  <c r="BF659" i="28"/>
  <c r="BF660" i="28"/>
  <c r="BF661" i="28"/>
  <c r="BF662" i="28"/>
  <c r="BF663" i="28"/>
  <c r="BF664" i="28"/>
  <c r="BF665" i="28"/>
  <c r="BF666" i="28"/>
  <c r="BF667" i="28"/>
  <c r="BF668" i="28"/>
  <c r="BF669" i="28"/>
  <c r="BF670" i="28"/>
  <c r="BF671" i="28"/>
  <c r="BF672" i="28"/>
  <c r="BF673" i="28"/>
  <c r="BF674" i="28"/>
  <c r="BF675" i="28"/>
  <c r="BF676" i="28"/>
  <c r="BF677" i="28"/>
  <c r="BF678" i="28"/>
  <c r="BF679" i="28"/>
  <c r="BF680" i="28"/>
  <c r="BF681" i="28"/>
  <c r="BF682" i="28"/>
  <c r="BF683" i="28"/>
  <c r="BF684" i="28"/>
  <c r="BF685" i="28"/>
  <c r="BF686" i="28"/>
  <c r="BF687" i="28"/>
  <c r="BF688" i="28"/>
  <c r="BF689" i="28"/>
  <c r="BF690" i="28"/>
  <c r="BF691" i="28"/>
  <c r="BF692" i="28"/>
  <c r="BF693" i="28"/>
  <c r="BF694" i="28"/>
  <c r="BF695" i="28"/>
  <c r="BF696" i="28"/>
  <c r="BF697" i="28"/>
  <c r="BF698" i="28"/>
  <c r="BF699" i="28"/>
  <c r="BF700" i="28"/>
  <c r="BF701" i="28"/>
  <c r="BF702" i="28"/>
  <c r="BF703" i="28"/>
  <c r="BF704" i="28"/>
  <c r="BF705" i="28"/>
  <c r="BF706" i="28"/>
  <c r="BF707" i="28"/>
  <c r="BF708" i="28"/>
  <c r="BF709" i="28"/>
  <c r="BF710" i="28"/>
  <c r="BF711" i="28"/>
  <c r="BF712" i="28"/>
  <c r="BF713" i="28"/>
  <c r="BF714" i="28"/>
  <c r="BF715" i="28"/>
  <c r="BF716" i="28"/>
  <c r="BF717" i="28"/>
  <c r="BF718" i="28"/>
  <c r="BF719" i="28"/>
  <c r="BF720" i="28"/>
  <c r="BF721" i="28"/>
  <c r="BF722" i="28"/>
  <c r="BF723" i="28"/>
  <c r="BF724" i="28"/>
  <c r="BF725" i="28"/>
  <c r="BF726" i="28"/>
  <c r="BF727" i="28"/>
  <c r="BF728" i="28"/>
  <c r="BF729" i="28"/>
  <c r="BF730" i="28"/>
  <c r="BF731" i="28"/>
  <c r="BF732" i="28"/>
  <c r="BF733" i="28"/>
  <c r="BF734" i="28"/>
  <c r="BF735" i="28"/>
  <c r="BF736" i="28"/>
  <c r="BF737" i="28"/>
  <c r="BF738" i="28"/>
  <c r="BF739" i="28"/>
  <c r="BF740" i="28"/>
  <c r="BF741" i="28"/>
  <c r="BF742" i="28"/>
  <c r="BF743" i="28"/>
  <c r="BF744" i="28"/>
  <c r="BF745" i="28"/>
  <c r="BF746" i="28"/>
  <c r="BF747" i="28"/>
  <c r="BF748" i="28"/>
  <c r="BF749" i="28"/>
  <c r="BF750" i="28"/>
  <c r="BF751" i="28"/>
  <c r="BF752" i="28"/>
  <c r="BF753" i="28"/>
  <c r="BF754" i="28"/>
  <c r="BF755" i="28"/>
  <c r="BF756" i="28"/>
  <c r="BF757" i="28"/>
  <c r="BF758" i="28"/>
  <c r="BF759" i="28"/>
  <c r="BF760" i="28"/>
  <c r="BF761" i="28"/>
  <c r="BF762" i="28"/>
  <c r="BF763" i="28"/>
  <c r="BF764" i="28"/>
  <c r="BF765" i="28"/>
  <c r="BF766" i="28"/>
  <c r="BF767" i="28"/>
  <c r="BF768" i="28"/>
  <c r="BF769" i="28"/>
  <c r="BF770" i="28"/>
  <c r="BF771" i="28"/>
  <c r="BF772" i="28"/>
  <c r="BF773" i="28"/>
  <c r="BF774" i="28"/>
  <c r="BF775" i="28"/>
  <c r="BF776" i="28"/>
  <c r="BF777" i="28"/>
  <c r="BF778" i="28"/>
  <c r="BF779" i="28"/>
  <c r="BF780" i="28"/>
  <c r="BF781" i="28"/>
  <c r="BF782" i="28"/>
  <c r="BF783" i="28"/>
  <c r="BF784" i="28"/>
  <c r="BF785" i="28"/>
  <c r="BF786" i="28"/>
  <c r="BF787" i="28"/>
  <c r="BF788" i="28"/>
  <c r="BF789" i="28"/>
  <c r="BF790" i="28"/>
  <c r="BF791" i="28"/>
  <c r="BF792" i="28"/>
  <c r="BF793" i="28"/>
  <c r="BF794" i="28"/>
  <c r="BF795" i="28"/>
  <c r="BF796" i="28"/>
  <c r="BF797" i="28"/>
  <c r="BF798" i="28"/>
  <c r="BF799" i="28"/>
  <c r="BF800" i="28"/>
  <c r="BF801" i="28"/>
  <c r="BF802" i="28"/>
  <c r="BF803" i="28"/>
  <c r="BF804" i="28"/>
  <c r="BF805" i="28"/>
  <c r="BF806" i="28"/>
  <c r="BF807" i="28"/>
  <c r="BF808" i="28"/>
  <c r="BF809" i="28"/>
  <c r="BF810" i="28"/>
  <c r="BF811" i="28"/>
  <c r="BF812" i="28"/>
  <c r="BF813" i="28"/>
  <c r="BF814" i="28"/>
  <c r="BF815" i="28"/>
  <c r="BF816" i="28"/>
  <c r="BF817" i="28"/>
  <c r="BF818" i="28"/>
  <c r="BF819" i="28"/>
  <c r="BF820" i="28"/>
  <c r="BF821" i="28"/>
  <c r="BF822" i="28"/>
  <c r="BF823" i="28"/>
  <c r="BF824" i="28"/>
  <c r="BF825" i="28"/>
  <c r="BF826" i="28"/>
  <c r="BF827" i="28"/>
  <c r="BF828" i="28"/>
  <c r="BF829" i="28"/>
  <c r="BF830" i="28"/>
  <c r="BF831" i="28"/>
  <c r="BF832" i="28"/>
  <c r="BF833" i="28"/>
  <c r="BF834" i="28"/>
  <c r="BF835" i="28"/>
  <c r="BF836" i="28"/>
  <c r="BF837" i="28"/>
  <c r="BF838" i="28"/>
  <c r="BF839" i="28"/>
  <c r="BF840" i="28"/>
  <c r="BF841" i="28"/>
  <c r="BF842" i="28"/>
  <c r="BF843" i="28"/>
  <c r="BF844" i="28"/>
  <c r="BF845" i="28"/>
  <c r="BF846" i="28"/>
  <c r="BF847" i="28"/>
  <c r="BF848" i="28"/>
  <c r="BF849" i="28"/>
  <c r="BF850" i="28"/>
  <c r="BF851" i="28"/>
  <c r="BF852" i="28"/>
  <c r="BF853" i="28"/>
  <c r="BF854" i="28"/>
  <c r="BF855" i="28"/>
  <c r="BF856" i="28"/>
  <c r="BF857" i="28"/>
  <c r="BF858" i="28"/>
  <c r="BF859" i="28"/>
  <c r="BF860" i="28"/>
  <c r="BF861" i="28"/>
  <c r="BF862" i="28"/>
  <c r="BF863" i="28"/>
  <c r="BF864" i="28"/>
  <c r="BF865" i="28"/>
  <c r="BF866" i="28"/>
  <c r="BF867" i="28"/>
  <c r="BF868" i="28"/>
  <c r="BF869" i="28"/>
  <c r="BF870" i="28"/>
  <c r="BF871" i="28"/>
  <c r="BF872" i="28"/>
  <c r="BF873" i="28"/>
  <c r="BF874" i="28"/>
  <c r="BF875" i="28"/>
  <c r="BF876" i="28"/>
  <c r="BF877" i="28"/>
  <c r="BF878" i="28"/>
  <c r="BF879" i="28"/>
  <c r="BF880" i="28"/>
  <c r="BF881" i="28"/>
  <c r="BF882" i="28"/>
  <c r="BF883" i="28"/>
  <c r="BF884" i="28"/>
  <c r="BF885" i="28"/>
  <c r="BF886" i="28"/>
  <c r="BF887" i="28"/>
  <c r="BF888" i="28"/>
  <c r="BF889" i="28"/>
  <c r="BF890" i="28"/>
  <c r="BF891" i="28"/>
  <c r="BF892" i="28"/>
  <c r="BF893" i="28"/>
  <c r="BF894" i="28"/>
  <c r="BF895" i="28"/>
  <c r="BF896" i="28"/>
  <c r="BF897" i="28"/>
  <c r="BF898" i="28"/>
  <c r="BF899" i="28"/>
  <c r="BF900" i="28"/>
  <c r="BF901" i="28"/>
  <c r="BF902" i="28"/>
  <c r="BF903" i="28"/>
  <c r="BF904" i="28"/>
  <c r="BF905" i="28"/>
  <c r="BF906" i="28"/>
  <c r="BF907" i="28"/>
  <c r="BF908" i="28"/>
  <c r="BF909" i="28"/>
  <c r="BF910" i="28"/>
  <c r="BF911" i="28"/>
  <c r="BF912" i="28"/>
  <c r="BF913" i="28"/>
  <c r="BF914" i="28"/>
  <c r="BF915" i="28"/>
  <c r="BF916" i="28"/>
  <c r="BF917" i="28"/>
  <c r="BF918" i="28"/>
  <c r="BF919" i="28"/>
  <c r="BF920" i="28"/>
  <c r="BF921" i="28"/>
  <c r="BF922" i="28"/>
  <c r="BF923" i="28"/>
  <c r="BF924" i="28"/>
  <c r="BF925" i="28"/>
  <c r="BF926" i="28"/>
  <c r="BF927" i="28"/>
  <c r="BF928" i="28"/>
  <c r="BF929" i="28"/>
  <c r="BF930" i="28"/>
  <c r="BF931" i="28"/>
  <c r="BF932" i="28"/>
  <c r="BF933" i="28"/>
  <c r="BF934" i="28"/>
  <c r="BF935" i="28"/>
  <c r="BF936" i="28"/>
  <c r="BF937" i="28"/>
  <c r="BF938" i="28"/>
  <c r="BF939" i="28"/>
  <c r="BF940" i="28"/>
  <c r="BF941" i="28"/>
  <c r="BF942" i="28"/>
  <c r="BF943" i="28"/>
  <c r="BF944" i="28"/>
  <c r="BF945" i="28"/>
  <c r="BF946" i="28"/>
  <c r="BF947" i="28"/>
  <c r="BF948" i="28"/>
  <c r="BF949" i="28"/>
  <c r="BF950" i="28"/>
  <c r="BF951" i="28"/>
  <c r="BF952" i="28"/>
  <c r="BF953" i="28"/>
  <c r="BF954" i="28"/>
  <c r="BF955" i="28"/>
  <c r="BF956" i="28"/>
  <c r="BF957" i="28"/>
  <c r="BF958" i="28"/>
  <c r="BF959" i="28"/>
  <c r="BF960" i="28"/>
  <c r="BF961" i="28"/>
  <c r="BF962" i="28"/>
  <c r="BF963" i="28"/>
  <c r="BF964" i="28"/>
  <c r="BF965" i="28"/>
  <c r="BF966" i="28"/>
  <c r="BF967" i="28"/>
  <c r="BF968" i="28"/>
  <c r="BF969" i="28"/>
  <c r="BF970" i="28"/>
  <c r="BF971" i="28"/>
  <c r="BF972" i="28"/>
  <c r="BF973" i="28"/>
  <c r="BF974" i="28"/>
  <c r="BF975" i="28"/>
  <c r="BF976" i="28"/>
  <c r="BF977" i="28"/>
  <c r="BF978" i="28"/>
  <c r="BF979" i="28"/>
  <c r="BF980" i="28"/>
  <c r="BF981" i="28"/>
  <c r="BF982" i="28"/>
  <c r="BF983" i="28"/>
  <c r="BF984" i="28"/>
  <c r="BF985" i="28"/>
  <c r="BF986" i="28"/>
  <c r="BF987" i="28"/>
  <c r="BF988" i="28"/>
  <c r="BF989" i="28"/>
  <c r="BF990" i="28"/>
  <c r="BF991" i="28"/>
  <c r="BF992" i="28"/>
  <c r="BF993" i="28"/>
  <c r="BF994" i="28"/>
  <c r="BF995" i="28"/>
  <c r="BF996" i="28"/>
  <c r="BF997" i="28"/>
  <c r="BF998" i="28"/>
  <c r="BF999" i="28"/>
  <c r="BF1000" i="28"/>
  <c r="BF1001" i="28"/>
  <c r="BF1002" i="28"/>
  <c r="BF1003" i="28"/>
  <c r="BF1004" i="28"/>
  <c r="BF1005" i="28"/>
  <c r="BF1006" i="28"/>
  <c r="BF1007" i="28"/>
  <c r="BF1008" i="28"/>
  <c r="BF1009" i="28"/>
  <c r="BF1010" i="28"/>
  <c r="BF1011" i="28"/>
  <c r="BF1012" i="28"/>
  <c r="BF1013" i="28"/>
  <c r="BF1014" i="28"/>
  <c r="BF1015" i="28"/>
  <c r="BF1016" i="28"/>
  <c r="BF1017" i="28"/>
  <c r="BF1018" i="28"/>
  <c r="BF1019" i="28"/>
  <c r="BF1020" i="28"/>
  <c r="BF1021" i="28"/>
  <c r="BF1022" i="28"/>
  <c r="BF1023" i="28"/>
  <c r="BF1024" i="28"/>
  <c r="BF1025" i="28"/>
  <c r="BF1026" i="28"/>
  <c r="BF1027" i="28"/>
  <c r="BF1028" i="28"/>
  <c r="BF1029" i="28"/>
  <c r="BF1030" i="28"/>
  <c r="BF1031" i="28"/>
  <c r="BF1032" i="28"/>
  <c r="BF1033" i="28"/>
  <c r="BF1034" i="28"/>
  <c r="BF1035" i="28"/>
  <c r="BF1036" i="28"/>
  <c r="BF1037" i="28"/>
  <c r="BF1038" i="28"/>
  <c r="BF1039" i="28"/>
  <c r="BF1040" i="28"/>
  <c r="BF1041" i="28"/>
  <c r="BF1042" i="28"/>
  <c r="BF1043" i="28"/>
  <c r="BF1044" i="28"/>
  <c r="BF1045" i="28"/>
  <c r="BF1046" i="28"/>
  <c r="BF1047" i="28"/>
  <c r="BF1048" i="28"/>
  <c r="BF1049" i="28"/>
  <c r="BF1050" i="28"/>
  <c r="BF1051" i="28"/>
  <c r="BF1052" i="28"/>
  <c r="BF1053" i="28"/>
  <c r="BF1054" i="28"/>
  <c r="BF1055" i="28"/>
  <c r="BF1056" i="28"/>
  <c r="BF1057" i="28"/>
  <c r="BF1058" i="28"/>
  <c r="BF1059" i="28"/>
  <c r="BF1060" i="28"/>
  <c r="BF1061" i="28"/>
  <c r="BF1062" i="28"/>
  <c r="BF1063" i="28"/>
  <c r="BF1064" i="28"/>
  <c r="BF1065" i="28"/>
  <c r="BF1066" i="28"/>
  <c r="BF1067" i="28"/>
  <c r="BF1068" i="28"/>
  <c r="BF1069" i="28"/>
  <c r="BF1070" i="28"/>
  <c r="BF1071" i="28"/>
  <c r="BF1072" i="28"/>
  <c r="BF1073" i="28"/>
  <c r="BF1074" i="28"/>
  <c r="BF1075" i="28"/>
  <c r="BF1076" i="28"/>
  <c r="BF1077" i="28"/>
  <c r="BF1078" i="28"/>
  <c r="BF1079" i="28"/>
  <c r="BF1080" i="28"/>
  <c r="BF1081" i="28"/>
  <c r="BF1082" i="28"/>
  <c r="BF1083" i="28"/>
  <c r="BF1084" i="28"/>
  <c r="BF1085" i="28"/>
  <c r="BF1086" i="28"/>
  <c r="BF1087" i="28"/>
  <c r="BF1088" i="28"/>
  <c r="BF1089" i="28"/>
  <c r="BF1090" i="28"/>
  <c r="BF1091" i="28"/>
  <c r="BF1092" i="28"/>
  <c r="BF1093" i="28"/>
  <c r="BF1094" i="28"/>
  <c r="BF1095" i="28"/>
  <c r="BF1096" i="28"/>
  <c r="BF1097" i="28"/>
  <c r="BF1098" i="28"/>
  <c r="BF1099" i="28"/>
  <c r="BF1100" i="28"/>
  <c r="BF1101" i="28"/>
  <c r="BF1102" i="28"/>
  <c r="BF1103" i="28"/>
  <c r="BF1104" i="28"/>
  <c r="BF1105" i="28"/>
  <c r="BF1106" i="28"/>
  <c r="BF1107" i="28"/>
  <c r="BF1108" i="28"/>
  <c r="BF1109" i="28"/>
  <c r="BF1110" i="28"/>
  <c r="BF1111" i="28"/>
  <c r="BF1112" i="28"/>
  <c r="BF1113" i="28"/>
  <c r="BF1114" i="28"/>
  <c r="BF1115" i="28"/>
  <c r="BF1116" i="28"/>
  <c r="BF1117" i="28"/>
  <c r="BF1118" i="28"/>
  <c r="BF1119" i="28"/>
  <c r="BF1120" i="28"/>
  <c r="BF1121" i="28"/>
  <c r="BF1122" i="28"/>
  <c r="BF1123" i="28"/>
  <c r="BF1124" i="28"/>
  <c r="BF1125" i="28"/>
  <c r="BF1126" i="28"/>
  <c r="BF1127" i="28"/>
  <c r="BF1128" i="28"/>
  <c r="BF1129" i="28"/>
  <c r="BF1130" i="28"/>
  <c r="BF1131" i="28"/>
  <c r="BF1132" i="28"/>
  <c r="BF1133" i="28"/>
  <c r="BF1134" i="28"/>
  <c r="BF1135" i="28"/>
  <c r="BF1136" i="28"/>
  <c r="BF1137" i="28"/>
  <c r="BF1138" i="28"/>
  <c r="BF1139" i="28"/>
  <c r="BF1140" i="28"/>
  <c r="BF1141" i="28"/>
  <c r="BF1142" i="28"/>
  <c r="BF1143" i="28"/>
  <c r="BF1144" i="28"/>
  <c r="BF1145" i="28"/>
  <c r="BF1146" i="28"/>
  <c r="BF1147" i="28"/>
  <c r="BF1148" i="28"/>
  <c r="BF1149" i="28"/>
  <c r="BF1150" i="28"/>
  <c r="BF1151" i="28"/>
  <c r="BF1152" i="28"/>
  <c r="BF1153" i="28"/>
  <c r="BF1154" i="28"/>
  <c r="BF1155" i="28"/>
  <c r="BF1156" i="28"/>
  <c r="BF1157" i="28"/>
  <c r="BF1158" i="28"/>
  <c r="BF1159" i="28"/>
  <c r="BF1160" i="28"/>
  <c r="BF1161" i="28"/>
  <c r="BF1162" i="28"/>
  <c r="BF1163" i="28"/>
  <c r="BF1164" i="28"/>
  <c r="BF1165" i="28"/>
  <c r="BF1166" i="28"/>
  <c r="BF1167" i="28"/>
  <c r="BF1168" i="28"/>
  <c r="BF1169" i="28"/>
  <c r="BF1170" i="28"/>
  <c r="BF1171" i="28"/>
  <c r="BF1172" i="28"/>
  <c r="BF1173" i="28"/>
  <c r="BF1174" i="28"/>
  <c r="BF1175" i="28"/>
  <c r="BF1176" i="28"/>
  <c r="BF1177" i="28"/>
  <c r="BF1178" i="28"/>
  <c r="BF1179" i="28"/>
  <c r="BF1180" i="28"/>
  <c r="BF1181" i="28"/>
  <c r="BF1182" i="28"/>
  <c r="BF1183" i="28"/>
  <c r="BF1184" i="28"/>
  <c r="BF1185" i="28"/>
  <c r="BF1186" i="28"/>
  <c r="BF1187" i="28"/>
  <c r="BF1188" i="28"/>
  <c r="BF1189" i="28"/>
  <c r="BF1190" i="28"/>
  <c r="BF1191" i="28"/>
  <c r="BF1192" i="28"/>
  <c r="BF1193" i="28"/>
  <c r="BF1194" i="28"/>
  <c r="BF1195" i="28"/>
  <c r="BF1196" i="28"/>
  <c r="BF1197" i="28"/>
  <c r="BF1198" i="28"/>
  <c r="BF1199" i="28"/>
  <c r="BF1200" i="28"/>
  <c r="BF1201" i="28"/>
  <c r="BF1202" i="28"/>
  <c r="BF1203" i="28"/>
  <c r="BF1204" i="28"/>
  <c r="BF1205" i="28"/>
  <c r="BF1206" i="28"/>
  <c r="BF1207" i="28"/>
  <c r="BF1208" i="28"/>
  <c r="BF1209" i="28"/>
  <c r="BF1210" i="28"/>
  <c r="BF1211" i="28"/>
  <c r="BF1212" i="28"/>
  <c r="BF1213" i="28"/>
  <c r="BF1214" i="28"/>
  <c r="BF1215" i="28"/>
  <c r="BF1216" i="28"/>
  <c r="BF1217" i="28"/>
  <c r="BF1218" i="28"/>
  <c r="BF1219" i="28"/>
  <c r="BF1220" i="28"/>
  <c r="BF1221" i="28"/>
  <c r="BF1222" i="28"/>
  <c r="BF1223" i="28"/>
  <c r="BF1224" i="28"/>
  <c r="BF1225" i="28"/>
  <c r="BE27" i="28"/>
  <c r="BE28" i="28"/>
  <c r="BE29" i="28"/>
  <c r="BE30" i="28"/>
  <c r="BE31" i="28"/>
  <c r="BE32" i="28"/>
  <c r="BE33" i="28"/>
  <c r="BE34" i="28"/>
  <c r="BE35" i="28"/>
  <c r="BE36" i="28"/>
  <c r="BE37" i="28"/>
  <c r="BE38" i="28"/>
  <c r="BE39" i="28"/>
  <c r="BE40" i="28"/>
  <c r="BE41" i="28"/>
  <c r="BE42" i="28"/>
  <c r="BE43" i="28"/>
  <c r="BE44" i="28"/>
  <c r="BE45" i="28"/>
  <c r="BE46" i="28"/>
  <c r="BE47" i="28"/>
  <c r="BE48" i="28"/>
  <c r="BE49" i="28"/>
  <c r="BE50" i="28"/>
  <c r="BE51" i="28"/>
  <c r="BE52" i="28"/>
  <c r="BE53" i="28"/>
  <c r="BE54" i="28"/>
  <c r="BE55" i="28"/>
  <c r="BE56" i="28"/>
  <c r="BE57" i="28"/>
  <c r="BE58" i="28"/>
  <c r="BE59" i="28"/>
  <c r="BE60" i="28"/>
  <c r="BE61" i="28"/>
  <c r="BE62" i="28"/>
  <c r="BE63" i="28"/>
  <c r="BE64" i="28"/>
  <c r="BE65" i="28"/>
  <c r="BE66" i="28"/>
  <c r="BE67" i="28"/>
  <c r="BE68" i="28"/>
  <c r="BE69" i="28"/>
  <c r="BE70" i="28"/>
  <c r="BE71" i="28"/>
  <c r="BE72" i="28"/>
  <c r="BE73" i="28"/>
  <c r="BE74" i="28"/>
  <c r="BE75" i="28"/>
  <c r="BE76" i="28"/>
  <c r="BE77" i="28"/>
  <c r="BE78" i="28"/>
  <c r="BE79" i="28"/>
  <c r="BE80" i="28"/>
  <c r="BE81" i="28"/>
  <c r="BE82" i="28"/>
  <c r="BE83" i="28"/>
  <c r="BE84" i="28"/>
  <c r="BE85" i="28"/>
  <c r="BE86" i="28"/>
  <c r="BE87" i="28"/>
  <c r="BE88" i="28"/>
  <c r="BE89" i="28"/>
  <c r="BE90" i="28"/>
  <c r="BE91" i="28"/>
  <c r="BE92" i="28"/>
  <c r="BE93" i="28"/>
  <c r="BE94" i="28"/>
  <c r="BE95" i="28"/>
  <c r="BE96" i="28"/>
  <c r="BE97" i="28"/>
  <c r="BE98" i="28"/>
  <c r="BE99" i="28"/>
  <c r="BE100" i="28"/>
  <c r="BE101" i="28"/>
  <c r="BE102" i="28"/>
  <c r="BE103" i="28"/>
  <c r="BE104" i="28"/>
  <c r="BE105" i="28"/>
  <c r="BE106" i="28"/>
  <c r="BE107" i="28"/>
  <c r="BE108" i="28"/>
  <c r="BE109" i="28"/>
  <c r="BE110" i="28"/>
  <c r="BE111" i="28"/>
  <c r="BE112" i="28"/>
  <c r="BE113" i="28"/>
  <c r="BE114" i="28"/>
  <c r="BE115" i="28"/>
  <c r="BE116" i="28"/>
  <c r="BE117" i="28"/>
  <c r="BE118" i="28"/>
  <c r="BE119" i="28"/>
  <c r="BE120" i="28"/>
  <c r="BE121" i="28"/>
  <c r="BE122" i="28"/>
  <c r="BE123" i="28"/>
  <c r="BE124" i="28"/>
  <c r="BE125" i="28"/>
  <c r="BE126" i="28"/>
  <c r="BE127" i="28"/>
  <c r="BE128" i="28"/>
  <c r="BE129" i="28"/>
  <c r="BE130" i="28"/>
  <c r="BE131" i="28"/>
  <c r="BE132" i="28"/>
  <c r="BE133" i="28"/>
  <c r="BE134" i="28"/>
  <c r="BE135" i="28"/>
  <c r="BE136" i="28"/>
  <c r="BE137" i="28"/>
  <c r="BE138" i="28"/>
  <c r="BE139" i="28"/>
  <c r="BE140" i="28"/>
  <c r="BE141" i="28"/>
  <c r="BE142" i="28"/>
  <c r="BE143" i="28"/>
  <c r="BE144" i="28"/>
  <c r="BE145" i="28"/>
  <c r="BE146" i="28"/>
  <c r="BE147" i="28"/>
  <c r="BE148" i="28"/>
  <c r="BE149" i="28"/>
  <c r="BE150" i="28"/>
  <c r="BE151" i="28"/>
  <c r="BE152" i="28"/>
  <c r="BE153" i="28"/>
  <c r="BE154" i="28"/>
  <c r="BE155" i="28"/>
  <c r="BE156" i="28"/>
  <c r="BE157" i="28"/>
  <c r="BE158" i="28"/>
  <c r="BE159" i="28"/>
  <c r="BE160" i="28"/>
  <c r="BE161" i="28"/>
  <c r="BE162" i="28"/>
  <c r="BE163" i="28"/>
  <c r="BE164" i="28"/>
  <c r="BE165" i="28"/>
  <c r="BE166" i="28"/>
  <c r="BE167" i="28"/>
  <c r="BE168" i="28"/>
  <c r="BE169" i="28"/>
  <c r="BE170" i="28"/>
  <c r="BE171" i="28"/>
  <c r="BE172" i="28"/>
  <c r="BE173" i="28"/>
  <c r="BE174" i="28"/>
  <c r="BE175" i="28"/>
  <c r="BE176" i="28"/>
  <c r="BE177" i="28"/>
  <c r="BE178" i="28"/>
  <c r="BE179" i="28"/>
  <c r="BE180" i="28"/>
  <c r="BE181" i="28"/>
  <c r="BE182" i="28"/>
  <c r="BE183" i="28"/>
  <c r="BE184" i="28"/>
  <c r="BE185" i="28"/>
  <c r="BE186" i="28"/>
  <c r="BE187" i="28"/>
  <c r="BE188" i="28"/>
  <c r="BE189" i="28"/>
  <c r="BE190" i="28"/>
  <c r="BE191" i="28"/>
  <c r="BE192" i="28"/>
  <c r="BE193" i="28"/>
  <c r="BE194" i="28"/>
  <c r="BE195" i="28"/>
  <c r="BE196" i="28"/>
  <c r="BE197" i="28"/>
  <c r="BE198" i="28"/>
  <c r="BE199" i="28"/>
  <c r="BE200" i="28"/>
  <c r="BE201" i="28"/>
  <c r="BE202" i="28"/>
  <c r="BE203" i="28"/>
  <c r="BE204" i="28"/>
  <c r="BE205" i="28"/>
  <c r="BE206" i="28"/>
  <c r="BE207" i="28"/>
  <c r="BE208" i="28"/>
  <c r="BE209" i="28"/>
  <c r="BE210" i="28"/>
  <c r="BE211" i="28"/>
  <c r="BE212" i="28"/>
  <c r="BE213" i="28"/>
  <c r="BE214" i="28"/>
  <c r="BE215" i="28"/>
  <c r="BE216" i="28"/>
  <c r="BE217" i="28"/>
  <c r="BE218" i="28"/>
  <c r="BE219" i="28"/>
  <c r="BE220" i="28"/>
  <c r="BE221" i="28"/>
  <c r="BE222" i="28"/>
  <c r="BE223" i="28"/>
  <c r="BE224" i="28"/>
  <c r="BE225" i="28"/>
  <c r="BE226" i="28"/>
  <c r="BE227" i="28"/>
  <c r="BE228" i="28"/>
  <c r="BE229" i="28"/>
  <c r="BE230" i="28"/>
  <c r="BE231" i="28"/>
  <c r="BE232" i="28"/>
  <c r="BE233" i="28"/>
  <c r="BE234" i="28"/>
  <c r="BE235" i="28"/>
  <c r="BE236" i="28"/>
  <c r="BE237" i="28"/>
  <c r="BE238" i="28"/>
  <c r="BE239" i="28"/>
  <c r="BE240" i="28"/>
  <c r="BE241" i="28"/>
  <c r="BE242" i="28"/>
  <c r="BE243" i="28"/>
  <c r="BE244" i="28"/>
  <c r="BE245" i="28"/>
  <c r="BE246" i="28"/>
  <c r="BE247" i="28"/>
  <c r="BE248" i="28"/>
  <c r="BE249" i="28"/>
  <c r="BE250" i="28"/>
  <c r="BE251" i="28"/>
  <c r="BE252" i="28"/>
  <c r="BE253" i="28"/>
  <c r="BE254" i="28"/>
  <c r="BE255" i="28"/>
  <c r="BE256" i="28"/>
  <c r="BE257" i="28"/>
  <c r="BE258" i="28"/>
  <c r="BE259" i="28"/>
  <c r="BE260" i="28"/>
  <c r="BE261" i="28"/>
  <c r="BE262" i="28"/>
  <c r="BE263" i="28"/>
  <c r="BE264" i="28"/>
  <c r="BE265" i="28"/>
  <c r="BE266" i="28"/>
  <c r="BE267" i="28"/>
  <c r="BE268" i="28"/>
  <c r="BE269" i="28"/>
  <c r="BE270" i="28"/>
  <c r="BE271" i="28"/>
  <c r="BE272" i="28"/>
  <c r="BE273" i="28"/>
  <c r="BE274" i="28"/>
  <c r="BE275" i="28"/>
  <c r="BE276" i="28"/>
  <c r="BE277" i="28"/>
  <c r="BE278" i="28"/>
  <c r="BE279" i="28"/>
  <c r="BE280" i="28"/>
  <c r="BE281" i="28"/>
  <c r="BE282" i="28"/>
  <c r="BE283" i="28"/>
  <c r="BE284" i="28"/>
  <c r="BE285" i="28"/>
  <c r="BE286" i="28"/>
  <c r="BE287" i="28"/>
  <c r="BE288" i="28"/>
  <c r="BE289" i="28"/>
  <c r="BE290" i="28"/>
  <c r="BE291" i="28"/>
  <c r="BE292" i="28"/>
  <c r="BE293" i="28"/>
  <c r="BE294" i="28"/>
  <c r="BE295" i="28"/>
  <c r="BE296" i="28"/>
  <c r="BE297" i="28"/>
  <c r="BE298" i="28"/>
  <c r="BE299" i="28"/>
  <c r="BE300" i="28"/>
  <c r="BE301" i="28"/>
  <c r="BE302" i="28"/>
  <c r="BE303" i="28"/>
  <c r="BE304" i="28"/>
  <c r="BE305" i="28"/>
  <c r="BE306" i="28"/>
  <c r="BE307" i="28"/>
  <c r="BE308" i="28"/>
  <c r="BE309" i="28"/>
  <c r="BE310" i="28"/>
  <c r="BE311" i="28"/>
  <c r="BE312" i="28"/>
  <c r="BE313" i="28"/>
  <c r="BE314" i="28"/>
  <c r="BE315" i="28"/>
  <c r="BE316" i="28"/>
  <c r="BE317" i="28"/>
  <c r="BE318" i="28"/>
  <c r="BE319" i="28"/>
  <c r="BE320" i="28"/>
  <c r="BE321" i="28"/>
  <c r="BE322" i="28"/>
  <c r="BE323" i="28"/>
  <c r="BE324" i="28"/>
  <c r="BE325" i="28"/>
  <c r="BE326" i="28"/>
  <c r="BE327" i="28"/>
  <c r="BE328" i="28"/>
  <c r="BE329" i="28"/>
  <c r="BE330" i="28"/>
  <c r="BE331" i="28"/>
  <c r="BE332" i="28"/>
  <c r="BE333" i="28"/>
  <c r="BE334" i="28"/>
  <c r="BE335" i="28"/>
  <c r="BE336" i="28"/>
  <c r="BE337" i="28"/>
  <c r="BE338" i="28"/>
  <c r="BE339" i="28"/>
  <c r="BE340" i="28"/>
  <c r="BE341" i="28"/>
  <c r="BE342" i="28"/>
  <c r="BE343" i="28"/>
  <c r="BE344" i="28"/>
  <c r="BE345" i="28"/>
  <c r="BE346" i="28"/>
  <c r="BE347" i="28"/>
  <c r="BE348" i="28"/>
  <c r="BE349" i="28"/>
  <c r="BE350" i="28"/>
  <c r="BE351" i="28"/>
  <c r="BE352" i="28"/>
  <c r="BE353" i="28"/>
  <c r="BE354" i="28"/>
  <c r="BE355" i="28"/>
  <c r="BE356" i="28"/>
  <c r="BE357" i="28"/>
  <c r="BE358" i="28"/>
  <c r="BE359" i="28"/>
  <c r="BE360" i="28"/>
  <c r="BE361" i="28"/>
  <c r="BE362" i="28"/>
  <c r="BE363" i="28"/>
  <c r="BE364" i="28"/>
  <c r="BE365" i="28"/>
  <c r="BE366" i="28"/>
  <c r="BE367" i="28"/>
  <c r="BE368" i="28"/>
  <c r="BE369" i="28"/>
  <c r="BE370" i="28"/>
  <c r="BE371" i="28"/>
  <c r="BE372" i="28"/>
  <c r="BE373" i="28"/>
  <c r="BE374" i="28"/>
  <c r="BE375" i="28"/>
  <c r="BE376" i="28"/>
  <c r="BE377" i="28"/>
  <c r="BE378" i="28"/>
  <c r="BE379" i="28"/>
  <c r="BE380" i="28"/>
  <c r="BE381" i="28"/>
  <c r="BE382" i="28"/>
  <c r="BE383" i="28"/>
  <c r="BE384" i="28"/>
  <c r="BE385" i="28"/>
  <c r="BE386" i="28"/>
  <c r="BE387" i="28"/>
  <c r="BE388" i="28"/>
  <c r="BE389" i="28"/>
  <c r="BE390" i="28"/>
  <c r="BE391" i="28"/>
  <c r="BE392" i="28"/>
  <c r="BE393" i="28"/>
  <c r="BE394" i="28"/>
  <c r="BE395" i="28"/>
  <c r="BE396" i="28"/>
  <c r="BE397" i="28"/>
  <c r="BE398" i="28"/>
  <c r="BE399" i="28"/>
  <c r="BE400" i="28"/>
  <c r="BE401" i="28"/>
  <c r="BE402" i="28"/>
  <c r="BE403" i="28"/>
  <c r="BE404" i="28"/>
  <c r="BE405" i="28"/>
  <c r="BE406" i="28"/>
  <c r="BE407" i="28"/>
  <c r="BE408" i="28"/>
  <c r="BE409" i="28"/>
  <c r="BE410" i="28"/>
  <c r="BE411" i="28"/>
  <c r="BE412" i="28"/>
  <c r="BE413" i="28"/>
  <c r="BE414" i="28"/>
  <c r="BE415" i="28"/>
  <c r="BE416" i="28"/>
  <c r="BE417" i="28"/>
  <c r="BE418" i="28"/>
  <c r="BE419" i="28"/>
  <c r="BE420" i="28"/>
  <c r="BE421" i="28"/>
  <c r="BE422" i="28"/>
  <c r="BE423" i="28"/>
  <c r="BE424" i="28"/>
  <c r="BE425" i="28"/>
  <c r="BE426" i="28"/>
  <c r="BE427" i="28"/>
  <c r="BE428" i="28"/>
  <c r="BE429" i="28"/>
  <c r="BE430" i="28"/>
  <c r="BE431" i="28"/>
  <c r="BE432" i="28"/>
  <c r="BE433" i="28"/>
  <c r="BE434" i="28"/>
  <c r="BE435" i="28"/>
  <c r="BE436" i="28"/>
  <c r="BE437" i="28"/>
  <c r="BE438" i="28"/>
  <c r="BE439" i="28"/>
  <c r="BE440" i="28"/>
  <c r="BE441" i="28"/>
  <c r="BE442" i="28"/>
  <c r="BE443" i="28"/>
  <c r="BE444" i="28"/>
  <c r="BE445" i="28"/>
  <c r="BE446" i="28"/>
  <c r="BE447" i="28"/>
  <c r="BE448" i="28"/>
  <c r="BE449" i="28"/>
  <c r="BE450" i="28"/>
  <c r="BE451" i="28"/>
  <c r="BE452" i="28"/>
  <c r="BE453" i="28"/>
  <c r="BE454" i="28"/>
  <c r="BE455" i="28"/>
  <c r="BE456" i="28"/>
  <c r="BE457" i="28"/>
  <c r="BE458" i="28"/>
  <c r="BE459" i="28"/>
  <c r="BE460" i="28"/>
  <c r="BE461" i="28"/>
  <c r="BE462" i="28"/>
  <c r="BE463" i="28"/>
  <c r="BE464" i="28"/>
  <c r="BE465" i="28"/>
  <c r="BE466" i="28"/>
  <c r="BE467" i="28"/>
  <c r="BE468" i="28"/>
  <c r="BE469" i="28"/>
  <c r="BE470" i="28"/>
  <c r="BE471" i="28"/>
  <c r="BE472" i="28"/>
  <c r="BE473" i="28"/>
  <c r="BE474" i="28"/>
  <c r="BE475" i="28"/>
  <c r="BE476" i="28"/>
  <c r="BE477" i="28"/>
  <c r="BE478" i="28"/>
  <c r="BE479" i="28"/>
  <c r="BE480" i="28"/>
  <c r="BE481" i="28"/>
  <c r="BE482" i="28"/>
  <c r="BE483" i="28"/>
  <c r="BE484" i="28"/>
  <c r="BE485" i="28"/>
  <c r="BE486" i="28"/>
  <c r="BE487" i="28"/>
  <c r="BE488" i="28"/>
  <c r="BE489" i="28"/>
  <c r="BE490" i="28"/>
  <c r="BE491" i="28"/>
  <c r="BE492" i="28"/>
  <c r="BE493" i="28"/>
  <c r="BE494" i="28"/>
  <c r="BE495" i="28"/>
  <c r="BE496" i="28"/>
  <c r="BE497" i="28"/>
  <c r="BE498" i="28"/>
  <c r="BE499" i="28"/>
  <c r="BE500" i="28"/>
  <c r="BE501" i="28"/>
  <c r="BE502" i="28"/>
  <c r="BE503" i="28"/>
  <c r="BE504" i="28"/>
  <c r="BE505" i="28"/>
  <c r="BE506" i="28"/>
  <c r="BE507" i="28"/>
  <c r="BE508" i="28"/>
  <c r="BE509" i="28"/>
  <c r="BE510" i="28"/>
  <c r="BE511" i="28"/>
  <c r="BE512" i="28"/>
  <c r="BE513" i="28"/>
  <c r="BE514" i="28"/>
  <c r="BE515" i="28"/>
  <c r="BE516" i="28"/>
  <c r="BE517" i="28"/>
  <c r="BE518" i="28"/>
  <c r="BE519" i="28"/>
  <c r="BE520" i="28"/>
  <c r="BE521" i="28"/>
  <c r="BE522" i="28"/>
  <c r="BE523" i="28"/>
  <c r="BE524" i="28"/>
  <c r="BE525" i="28"/>
  <c r="BE526" i="28"/>
  <c r="BE527" i="28"/>
  <c r="BE528" i="28"/>
  <c r="BE529" i="28"/>
  <c r="BE530" i="28"/>
  <c r="BE531" i="28"/>
  <c r="BE532" i="28"/>
  <c r="BE533" i="28"/>
  <c r="BE534" i="28"/>
  <c r="BE535" i="28"/>
  <c r="BE536" i="28"/>
  <c r="BE537" i="28"/>
  <c r="BE538" i="28"/>
  <c r="BE539" i="28"/>
  <c r="BE540" i="28"/>
  <c r="BE541" i="28"/>
  <c r="BE542" i="28"/>
  <c r="BE543" i="28"/>
  <c r="BE544" i="28"/>
  <c r="BE545" i="28"/>
  <c r="BE546" i="28"/>
  <c r="BE547" i="28"/>
  <c r="BE548" i="28"/>
  <c r="BE549" i="28"/>
  <c r="BE550" i="28"/>
  <c r="BE551" i="28"/>
  <c r="BE552" i="28"/>
  <c r="BE553" i="28"/>
  <c r="BE554" i="28"/>
  <c r="BE555" i="28"/>
  <c r="BE556" i="28"/>
  <c r="BE557" i="28"/>
  <c r="BE558" i="28"/>
  <c r="BE559" i="28"/>
  <c r="BE560" i="28"/>
  <c r="BE561" i="28"/>
  <c r="BE562" i="28"/>
  <c r="BE563" i="28"/>
  <c r="BE564" i="28"/>
  <c r="BE565" i="28"/>
  <c r="BE566" i="28"/>
  <c r="BE567" i="28"/>
  <c r="BE568" i="28"/>
  <c r="BE569" i="28"/>
  <c r="BE570" i="28"/>
  <c r="BE571" i="28"/>
  <c r="BE572" i="28"/>
  <c r="BE573" i="28"/>
  <c r="BE574" i="28"/>
  <c r="BE575" i="28"/>
  <c r="BE576" i="28"/>
  <c r="BE577" i="28"/>
  <c r="BE578" i="28"/>
  <c r="BE579" i="28"/>
  <c r="BE580" i="28"/>
  <c r="BE581" i="28"/>
  <c r="BE582" i="28"/>
  <c r="BE583" i="28"/>
  <c r="BE584" i="28"/>
  <c r="BE585" i="28"/>
  <c r="BE586" i="28"/>
  <c r="BE587" i="28"/>
  <c r="BE588" i="28"/>
  <c r="BE589" i="28"/>
  <c r="BE590" i="28"/>
  <c r="BE591" i="28"/>
  <c r="BE592" i="28"/>
  <c r="BE593" i="28"/>
  <c r="BE594" i="28"/>
  <c r="BE595" i="28"/>
  <c r="BE596" i="28"/>
  <c r="BE597" i="28"/>
  <c r="BE598" i="28"/>
  <c r="BE599" i="28"/>
  <c r="BE600" i="28"/>
  <c r="BE601" i="28"/>
  <c r="BE602" i="28"/>
  <c r="BE603" i="28"/>
  <c r="BE604" i="28"/>
  <c r="BE605" i="28"/>
  <c r="BE606" i="28"/>
  <c r="BE607" i="28"/>
  <c r="BE608" i="28"/>
  <c r="BE609" i="28"/>
  <c r="BE610" i="28"/>
  <c r="BE611" i="28"/>
  <c r="BE612" i="28"/>
  <c r="BE613" i="28"/>
  <c r="BE614" i="28"/>
  <c r="BE615" i="28"/>
  <c r="BE616" i="28"/>
  <c r="BE617" i="28"/>
  <c r="BE618" i="28"/>
  <c r="BE619" i="28"/>
  <c r="BE620" i="28"/>
  <c r="BE621" i="28"/>
  <c r="BE622" i="28"/>
  <c r="BE623" i="28"/>
  <c r="BE624" i="28"/>
  <c r="BE625" i="28"/>
  <c r="BE626" i="28"/>
  <c r="BE627" i="28"/>
  <c r="BE628" i="28"/>
  <c r="BE629" i="28"/>
  <c r="BE630" i="28"/>
  <c r="BE631" i="28"/>
  <c r="BE632" i="28"/>
  <c r="BE633" i="28"/>
  <c r="BE634" i="28"/>
  <c r="BE635" i="28"/>
  <c r="BE636" i="28"/>
  <c r="BE637" i="28"/>
  <c r="BE638" i="28"/>
  <c r="BE639" i="28"/>
  <c r="BE640" i="28"/>
  <c r="BE641" i="28"/>
  <c r="BE642" i="28"/>
  <c r="BE643" i="28"/>
  <c r="BE644" i="28"/>
  <c r="BE645" i="28"/>
  <c r="BE646" i="28"/>
  <c r="BE647" i="28"/>
  <c r="BE648" i="28"/>
  <c r="BE649" i="28"/>
  <c r="BE650" i="28"/>
  <c r="BE651" i="28"/>
  <c r="BE652" i="28"/>
  <c r="BE653" i="28"/>
  <c r="BE654" i="28"/>
  <c r="BE655" i="28"/>
  <c r="BE656" i="28"/>
  <c r="BE657" i="28"/>
  <c r="BE658" i="28"/>
  <c r="BE659" i="28"/>
  <c r="BE660" i="28"/>
  <c r="BE661" i="28"/>
  <c r="BE662" i="28"/>
  <c r="BE663" i="28"/>
  <c r="BE664" i="28"/>
  <c r="BE665" i="28"/>
  <c r="BE666" i="28"/>
  <c r="BE667" i="28"/>
  <c r="BE668" i="28"/>
  <c r="BE669" i="28"/>
  <c r="BE670" i="28"/>
  <c r="BE671" i="28"/>
  <c r="BE672" i="28"/>
  <c r="BE673" i="28"/>
  <c r="BE674" i="28"/>
  <c r="BE675" i="28"/>
  <c r="BE676" i="28"/>
  <c r="BE677" i="28"/>
  <c r="BE678" i="28"/>
  <c r="BE679" i="28"/>
  <c r="BE680" i="28"/>
  <c r="BE681" i="28"/>
  <c r="BE682" i="28"/>
  <c r="BE683" i="28"/>
  <c r="BE684" i="28"/>
  <c r="BE685" i="28"/>
  <c r="BE686" i="28"/>
  <c r="BE687" i="28"/>
  <c r="BE688" i="28"/>
  <c r="BE689" i="28"/>
  <c r="BE690" i="28"/>
  <c r="BE691" i="28"/>
  <c r="BE692" i="28"/>
  <c r="BE693" i="28"/>
  <c r="BE694" i="28"/>
  <c r="BE695" i="28"/>
  <c r="BE696" i="28"/>
  <c r="BE697" i="28"/>
  <c r="BE698" i="28"/>
  <c r="BE699" i="28"/>
  <c r="BE700" i="28"/>
  <c r="BE701" i="28"/>
  <c r="BE702" i="28"/>
  <c r="BE703" i="28"/>
  <c r="BE704" i="28"/>
  <c r="BE705" i="28"/>
  <c r="BE706" i="28"/>
  <c r="BE707" i="28"/>
  <c r="BE708" i="28"/>
  <c r="BE709" i="28"/>
  <c r="BE710" i="28"/>
  <c r="BE711" i="28"/>
  <c r="BE712" i="28"/>
  <c r="BE713" i="28"/>
  <c r="BE714" i="28"/>
  <c r="BE715" i="28"/>
  <c r="BE716" i="28"/>
  <c r="BE717" i="28"/>
  <c r="BE718" i="28"/>
  <c r="BE719" i="28"/>
  <c r="BE720" i="28"/>
  <c r="BE721" i="28"/>
  <c r="BE722" i="28"/>
  <c r="BE723" i="28"/>
  <c r="BE724" i="28"/>
  <c r="BE725" i="28"/>
  <c r="BE726" i="28"/>
  <c r="BE727" i="28"/>
  <c r="BE728" i="28"/>
  <c r="BE729" i="28"/>
  <c r="BE730" i="28"/>
  <c r="BE731" i="28"/>
  <c r="BE732" i="28"/>
  <c r="BE733" i="28"/>
  <c r="BE734" i="28"/>
  <c r="BE735" i="28"/>
  <c r="BE736" i="28"/>
  <c r="BE737" i="28"/>
  <c r="BE738" i="28"/>
  <c r="BE739" i="28"/>
  <c r="BE740" i="28"/>
  <c r="BE741" i="28"/>
  <c r="BE742" i="28"/>
  <c r="BE743" i="28"/>
  <c r="BE744" i="28"/>
  <c r="BE745" i="28"/>
  <c r="BE746" i="28"/>
  <c r="BE747" i="28"/>
  <c r="BE748" i="28"/>
  <c r="BE749" i="28"/>
  <c r="BE750" i="28"/>
  <c r="BE751" i="28"/>
  <c r="BE752" i="28"/>
  <c r="BE753" i="28"/>
  <c r="BE754" i="28"/>
  <c r="BE755" i="28"/>
  <c r="BE756" i="28"/>
  <c r="BE757" i="28"/>
  <c r="BE758" i="28"/>
  <c r="BE759" i="28"/>
  <c r="BE760" i="28"/>
  <c r="BE761" i="28"/>
  <c r="BE762" i="28"/>
  <c r="BE763" i="28"/>
  <c r="BE764" i="28"/>
  <c r="BE765" i="28"/>
  <c r="BE766" i="28"/>
  <c r="BE767" i="28"/>
  <c r="BE768" i="28"/>
  <c r="BE769" i="28"/>
  <c r="BE770" i="28"/>
  <c r="BE771" i="28"/>
  <c r="BE772" i="28"/>
  <c r="BE773" i="28"/>
  <c r="BE774" i="28"/>
  <c r="BE775" i="28"/>
  <c r="BE776" i="28"/>
  <c r="BE777" i="28"/>
  <c r="BE778" i="28"/>
  <c r="BE779" i="28"/>
  <c r="BE780" i="28"/>
  <c r="BE781" i="28"/>
  <c r="BE782" i="28"/>
  <c r="BE783" i="28"/>
  <c r="BE784" i="28"/>
  <c r="BE785" i="28"/>
  <c r="BE786" i="28"/>
  <c r="BE787" i="28"/>
  <c r="BE788" i="28"/>
  <c r="BE789" i="28"/>
  <c r="BE790" i="28"/>
  <c r="BE791" i="28"/>
  <c r="BE792" i="28"/>
  <c r="BE793" i="28"/>
  <c r="BE794" i="28"/>
  <c r="BE795" i="28"/>
  <c r="BE796" i="28"/>
  <c r="BE797" i="28"/>
  <c r="BE798" i="28"/>
  <c r="BE799" i="28"/>
  <c r="BE800" i="28"/>
  <c r="BE801" i="28"/>
  <c r="BE802" i="28"/>
  <c r="BE803" i="28"/>
  <c r="BE804" i="28"/>
  <c r="BE805" i="28"/>
  <c r="BE806" i="28"/>
  <c r="BE807" i="28"/>
  <c r="BE808" i="28"/>
  <c r="BE809" i="28"/>
  <c r="BE810" i="28"/>
  <c r="BE811" i="28"/>
  <c r="BE812" i="28"/>
  <c r="BE813" i="28"/>
  <c r="BE814" i="28"/>
  <c r="BE815" i="28"/>
  <c r="BE816" i="28"/>
  <c r="BE817" i="28"/>
  <c r="BE818" i="28"/>
  <c r="BE819" i="28"/>
  <c r="BE820" i="28"/>
  <c r="BE821" i="28"/>
  <c r="BE822" i="28"/>
  <c r="BE823" i="28"/>
  <c r="BE824" i="28"/>
  <c r="BE825" i="28"/>
  <c r="BE826" i="28"/>
  <c r="BE827" i="28"/>
  <c r="BE828" i="28"/>
  <c r="BE829" i="28"/>
  <c r="BE830" i="28"/>
  <c r="BE831" i="28"/>
  <c r="BE832" i="28"/>
  <c r="BE833" i="28"/>
  <c r="BE834" i="28"/>
  <c r="BE835" i="28"/>
  <c r="BE836" i="28"/>
  <c r="BE837" i="28"/>
  <c r="BE838" i="28"/>
  <c r="BE839" i="28"/>
  <c r="BE840" i="28"/>
  <c r="BE841" i="28"/>
  <c r="BE842" i="28"/>
  <c r="BE843" i="28"/>
  <c r="BE844" i="28"/>
  <c r="BE845" i="28"/>
  <c r="BE846" i="28"/>
  <c r="BE847" i="28"/>
  <c r="BE848" i="28"/>
  <c r="BE849" i="28"/>
  <c r="BE850" i="28"/>
  <c r="BE851" i="28"/>
  <c r="BE852" i="28"/>
  <c r="BE853" i="28"/>
  <c r="BE854" i="28"/>
  <c r="BE855" i="28"/>
  <c r="BE856" i="28"/>
  <c r="BE857" i="28"/>
  <c r="BE858" i="28"/>
  <c r="BE859" i="28"/>
  <c r="BE860" i="28"/>
  <c r="BE861" i="28"/>
  <c r="BE862" i="28"/>
  <c r="BE863" i="28"/>
  <c r="BE864" i="28"/>
  <c r="BE865" i="28"/>
  <c r="BE866" i="28"/>
  <c r="BE867" i="28"/>
  <c r="BE868" i="28"/>
  <c r="BE869" i="28"/>
  <c r="BE870" i="28"/>
  <c r="BE871" i="28"/>
  <c r="BE872" i="28"/>
  <c r="BE873" i="28"/>
  <c r="BE874" i="28"/>
  <c r="BE875" i="28"/>
  <c r="BE876" i="28"/>
  <c r="BE877" i="28"/>
  <c r="BE878" i="28"/>
  <c r="BE879" i="28"/>
  <c r="BE880" i="28"/>
  <c r="BE881" i="28"/>
  <c r="BE882" i="28"/>
  <c r="BE883" i="28"/>
  <c r="BE884" i="28"/>
  <c r="BE885" i="28"/>
  <c r="BE886" i="28"/>
  <c r="BE887" i="28"/>
  <c r="BE888" i="28"/>
  <c r="BE889" i="28"/>
  <c r="BE890" i="28"/>
  <c r="BE891" i="28"/>
  <c r="BE892" i="28"/>
  <c r="BE893" i="28"/>
  <c r="BE894" i="28"/>
  <c r="BE895" i="28"/>
  <c r="BE896" i="28"/>
  <c r="BE897" i="28"/>
  <c r="BE898" i="28"/>
  <c r="BE899" i="28"/>
  <c r="BE900" i="28"/>
  <c r="BE901" i="28"/>
  <c r="BE902" i="28"/>
  <c r="BE903" i="28"/>
  <c r="BE904" i="28"/>
  <c r="BE905" i="28"/>
  <c r="BE906" i="28"/>
  <c r="BE907" i="28"/>
  <c r="BE908" i="28"/>
  <c r="BE909" i="28"/>
  <c r="BE910" i="28"/>
  <c r="BE911" i="28"/>
  <c r="BE912" i="28"/>
  <c r="BE913" i="28"/>
  <c r="BE914" i="28"/>
  <c r="BE915" i="28"/>
  <c r="BE916" i="28"/>
  <c r="BE917" i="28"/>
  <c r="BE918" i="28"/>
  <c r="BE919" i="28"/>
  <c r="BE920" i="28"/>
  <c r="BE921" i="28"/>
  <c r="BE922" i="28"/>
  <c r="BE923" i="28"/>
  <c r="BE924" i="28"/>
  <c r="BE925" i="28"/>
  <c r="BE926" i="28"/>
  <c r="BE927" i="28"/>
  <c r="BE928" i="28"/>
  <c r="BE929" i="28"/>
  <c r="BE930" i="28"/>
  <c r="BE931" i="28"/>
  <c r="BE932" i="28"/>
  <c r="BE933" i="28"/>
  <c r="BE934" i="28"/>
  <c r="BE935" i="28"/>
  <c r="BE936" i="28"/>
  <c r="BE937" i="28"/>
  <c r="BE938" i="28"/>
  <c r="BE939" i="28"/>
  <c r="BE940" i="28"/>
  <c r="BE941" i="28"/>
  <c r="BE942" i="28"/>
  <c r="BE943" i="28"/>
  <c r="BE944" i="28"/>
  <c r="BE945" i="28"/>
  <c r="BE946" i="28"/>
  <c r="BE947" i="28"/>
  <c r="BE948" i="28"/>
  <c r="BE949" i="28"/>
  <c r="BE950" i="28"/>
  <c r="BE951" i="28"/>
  <c r="BE952" i="28"/>
  <c r="BE953" i="28"/>
  <c r="BE954" i="28"/>
  <c r="BE955" i="28"/>
  <c r="BE956" i="28"/>
  <c r="BE957" i="28"/>
  <c r="BE958" i="28"/>
  <c r="BE959" i="28"/>
  <c r="BE960" i="28"/>
  <c r="BE961" i="28"/>
  <c r="BE962" i="28"/>
  <c r="BE963" i="28"/>
  <c r="BE964" i="28"/>
  <c r="BE965" i="28"/>
  <c r="BE966" i="28"/>
  <c r="BE967" i="28"/>
  <c r="BE968" i="28"/>
  <c r="BE969" i="28"/>
  <c r="BE970" i="28"/>
  <c r="BE971" i="28"/>
  <c r="BE972" i="28"/>
  <c r="BE973" i="28"/>
  <c r="BE974" i="28"/>
  <c r="BE975" i="28"/>
  <c r="BE976" i="28"/>
  <c r="BE977" i="28"/>
  <c r="BE978" i="28"/>
  <c r="BE979" i="28"/>
  <c r="BE980" i="28"/>
  <c r="BE981" i="28"/>
  <c r="BE982" i="28"/>
  <c r="BE983" i="28"/>
  <c r="BE984" i="28"/>
  <c r="BE985" i="28"/>
  <c r="BE986" i="28"/>
  <c r="BE987" i="28"/>
  <c r="BE988" i="28"/>
  <c r="BE989" i="28"/>
  <c r="BE990" i="28"/>
  <c r="BE991" i="28"/>
  <c r="BE992" i="28"/>
  <c r="BE993" i="28"/>
  <c r="BE994" i="28"/>
  <c r="BE995" i="28"/>
  <c r="BE996" i="28"/>
  <c r="BE997" i="28"/>
  <c r="BE998" i="28"/>
  <c r="BE999" i="28"/>
  <c r="BE1000" i="28"/>
  <c r="BE1001" i="28"/>
  <c r="BE1002" i="28"/>
  <c r="BE1003" i="28"/>
  <c r="BE1004" i="28"/>
  <c r="BE1005" i="28"/>
  <c r="BE1006" i="28"/>
  <c r="BE1007" i="28"/>
  <c r="BE1008" i="28"/>
  <c r="BE1009" i="28"/>
  <c r="BE1010" i="28"/>
  <c r="BE1011" i="28"/>
  <c r="BE1012" i="28"/>
  <c r="BE1013" i="28"/>
  <c r="BE1014" i="28"/>
  <c r="BE1015" i="28"/>
  <c r="BE1016" i="28"/>
  <c r="BE1017" i="28"/>
  <c r="BE1018" i="28"/>
  <c r="BE1019" i="28"/>
  <c r="BE1020" i="28"/>
  <c r="BE1021" i="28"/>
  <c r="BE1022" i="28"/>
  <c r="BE1023" i="28"/>
  <c r="BE1024" i="28"/>
  <c r="BE1025" i="28"/>
  <c r="BE1026" i="28"/>
  <c r="BE1027" i="28"/>
  <c r="BE1028" i="28"/>
  <c r="BE1029" i="28"/>
  <c r="BE1030" i="28"/>
  <c r="BE1031" i="28"/>
  <c r="BE1032" i="28"/>
  <c r="BE1033" i="28"/>
  <c r="BE1034" i="28"/>
  <c r="BE1035" i="28"/>
  <c r="BE1036" i="28"/>
  <c r="BE1037" i="28"/>
  <c r="BE1038" i="28"/>
  <c r="BE1039" i="28"/>
  <c r="BE1040" i="28"/>
  <c r="BE1041" i="28"/>
  <c r="BE1042" i="28"/>
  <c r="BE1043" i="28"/>
  <c r="BE1044" i="28"/>
  <c r="BE1045" i="28"/>
  <c r="BE1046" i="28"/>
  <c r="BE1047" i="28"/>
  <c r="BE1048" i="28"/>
  <c r="BE1049" i="28"/>
  <c r="BE1050" i="28"/>
  <c r="BE1051" i="28"/>
  <c r="BE1052" i="28"/>
  <c r="BE1053" i="28"/>
  <c r="BE1054" i="28"/>
  <c r="BE1055" i="28"/>
  <c r="BE1056" i="28"/>
  <c r="BE1057" i="28"/>
  <c r="BE1058" i="28"/>
  <c r="BE1059" i="28"/>
  <c r="BE1060" i="28"/>
  <c r="BE1061" i="28"/>
  <c r="BE1062" i="28"/>
  <c r="BE1063" i="28"/>
  <c r="BE1064" i="28"/>
  <c r="BE1065" i="28"/>
  <c r="BE1066" i="28"/>
  <c r="BE1067" i="28"/>
  <c r="BE1068" i="28"/>
  <c r="BE1069" i="28"/>
  <c r="BE1070" i="28"/>
  <c r="BE1071" i="28"/>
  <c r="BE1072" i="28"/>
  <c r="BE1073" i="28"/>
  <c r="BE1074" i="28"/>
  <c r="BE1075" i="28"/>
  <c r="BE1076" i="28"/>
  <c r="BE1077" i="28"/>
  <c r="BE1078" i="28"/>
  <c r="BE1079" i="28"/>
  <c r="BE1080" i="28"/>
  <c r="BE1081" i="28"/>
  <c r="BE1082" i="28"/>
  <c r="BE1083" i="28"/>
  <c r="BE1084" i="28"/>
  <c r="BE1085" i="28"/>
  <c r="BE1086" i="28"/>
  <c r="BE1087" i="28"/>
  <c r="BE1088" i="28"/>
  <c r="BE1089" i="28"/>
  <c r="BE1090" i="28"/>
  <c r="BE1091" i="28"/>
  <c r="BE1092" i="28"/>
  <c r="BE1093" i="28"/>
  <c r="BE1094" i="28"/>
  <c r="BE1095" i="28"/>
  <c r="BE1096" i="28"/>
  <c r="BE1097" i="28"/>
  <c r="BE1098" i="28"/>
  <c r="BE1099" i="28"/>
  <c r="BE1100" i="28"/>
  <c r="BE1101" i="28"/>
  <c r="BE1102" i="28"/>
  <c r="BE1103" i="28"/>
  <c r="BE1104" i="28"/>
  <c r="BE1105" i="28"/>
  <c r="BE1106" i="28"/>
  <c r="BE1107" i="28"/>
  <c r="BE1108" i="28"/>
  <c r="BE1109" i="28"/>
  <c r="BE1110" i="28"/>
  <c r="BE1111" i="28"/>
  <c r="BE1112" i="28"/>
  <c r="BE1113" i="28"/>
  <c r="BE1114" i="28"/>
  <c r="BE1115" i="28"/>
  <c r="BE1116" i="28"/>
  <c r="BE1117" i="28"/>
  <c r="BE1118" i="28"/>
  <c r="BE1119" i="28"/>
  <c r="BE1120" i="28"/>
  <c r="BE1121" i="28"/>
  <c r="BE1122" i="28"/>
  <c r="BE1123" i="28"/>
  <c r="BE1124" i="28"/>
  <c r="BE1125" i="28"/>
  <c r="BE1126" i="28"/>
  <c r="BE1127" i="28"/>
  <c r="BE1128" i="28"/>
  <c r="BE1129" i="28"/>
  <c r="BE1130" i="28"/>
  <c r="BE1131" i="28"/>
  <c r="BE1132" i="28"/>
  <c r="BE1133" i="28"/>
  <c r="BE1134" i="28"/>
  <c r="BE1135" i="28"/>
  <c r="BE1136" i="28"/>
  <c r="BE1137" i="28"/>
  <c r="BE1138" i="28"/>
  <c r="BE1139" i="28"/>
  <c r="BE1140" i="28"/>
  <c r="BE1141" i="28"/>
  <c r="BE1142" i="28"/>
  <c r="BE1143" i="28"/>
  <c r="BE1144" i="28"/>
  <c r="BE1145" i="28"/>
  <c r="BE1146" i="28"/>
  <c r="BE1147" i="28"/>
  <c r="BE1148" i="28"/>
  <c r="BE1149" i="28"/>
  <c r="BE1150" i="28"/>
  <c r="BE1151" i="28"/>
  <c r="BE1152" i="28"/>
  <c r="BE1153" i="28"/>
  <c r="BE1154" i="28"/>
  <c r="BE1155" i="28"/>
  <c r="BE1156" i="28"/>
  <c r="BE1157" i="28"/>
  <c r="BE1158" i="28"/>
  <c r="BE1159" i="28"/>
  <c r="BE1160" i="28"/>
  <c r="BE1161" i="28"/>
  <c r="BE1162" i="28"/>
  <c r="BE1163" i="28"/>
  <c r="BE1164" i="28"/>
  <c r="BE1165" i="28"/>
  <c r="BE1166" i="28"/>
  <c r="BE1167" i="28"/>
  <c r="BE1168" i="28"/>
  <c r="BE1169" i="28"/>
  <c r="BE1170" i="28"/>
  <c r="BE1171" i="28"/>
  <c r="BE1172" i="28"/>
  <c r="BE1173" i="28"/>
  <c r="BE1174" i="28"/>
  <c r="BE1175" i="28"/>
  <c r="BE1176" i="28"/>
  <c r="BE1177" i="28"/>
  <c r="BE1178" i="28"/>
  <c r="BE1179" i="28"/>
  <c r="BE1180" i="28"/>
  <c r="BE1181" i="28"/>
  <c r="BE1182" i="28"/>
  <c r="BE1183" i="28"/>
  <c r="BE1184" i="28"/>
  <c r="BE1185" i="28"/>
  <c r="BE1186" i="28"/>
  <c r="BE1187" i="28"/>
  <c r="BE1188" i="28"/>
  <c r="BE1189" i="28"/>
  <c r="BE1190" i="28"/>
  <c r="BE1191" i="28"/>
  <c r="BE1192" i="28"/>
  <c r="BE1193" i="28"/>
  <c r="BE1194" i="28"/>
  <c r="BE1195" i="28"/>
  <c r="BE1196" i="28"/>
  <c r="BE1197" i="28"/>
  <c r="BE1198" i="28"/>
  <c r="BE1199" i="28"/>
  <c r="BE1200" i="28"/>
  <c r="BE1201" i="28"/>
  <c r="BE1202" i="28"/>
  <c r="BE1203" i="28"/>
  <c r="BE1204" i="28"/>
  <c r="BE1205" i="28"/>
  <c r="BE1206" i="28"/>
  <c r="BE1207" i="28"/>
  <c r="BE1208" i="28"/>
  <c r="BE1209" i="28"/>
  <c r="BE1210" i="28"/>
  <c r="BE1211" i="28"/>
  <c r="BE1212" i="28"/>
  <c r="BE1213" i="28"/>
  <c r="BE1214" i="28"/>
  <c r="BE1215" i="28"/>
  <c r="BE1216" i="28"/>
  <c r="BE1217" i="28"/>
  <c r="BE1218" i="28"/>
  <c r="BE1219" i="28"/>
  <c r="BE1220" i="28"/>
  <c r="BE1221" i="28"/>
  <c r="BE1222" i="28"/>
  <c r="BE1223" i="28"/>
  <c r="BE1224" i="28"/>
  <c r="BE1225" i="28"/>
  <c r="BE26" i="28"/>
  <c r="BC27" i="28"/>
  <c r="BC28" i="28"/>
  <c r="BC29" i="28"/>
  <c r="BC30" i="28"/>
  <c r="BC31" i="28"/>
  <c r="BC32" i="28"/>
  <c r="BC33" i="28"/>
  <c r="BC34" i="28"/>
  <c r="BC35" i="28"/>
  <c r="BC36" i="28"/>
  <c r="BC37" i="28"/>
  <c r="BC38" i="28"/>
  <c r="BC39" i="28"/>
  <c r="BC40" i="28"/>
  <c r="BC41" i="28"/>
  <c r="BC42" i="28"/>
  <c r="BC43" i="28"/>
  <c r="BC44" i="28"/>
  <c r="BC45" i="28"/>
  <c r="BC46" i="28"/>
  <c r="BC47" i="28"/>
  <c r="BC48" i="28"/>
  <c r="BC49" i="28"/>
  <c r="BC50" i="28"/>
  <c r="BC51" i="28"/>
  <c r="BC52" i="28"/>
  <c r="BC53" i="28"/>
  <c r="BC54" i="28"/>
  <c r="BC55" i="28"/>
  <c r="BC56" i="28"/>
  <c r="BC57" i="28"/>
  <c r="BC58" i="28"/>
  <c r="BC59" i="28"/>
  <c r="BC60" i="28"/>
  <c r="BC61" i="28"/>
  <c r="BC62" i="28"/>
  <c r="BC63" i="28"/>
  <c r="BC64" i="28"/>
  <c r="BC65" i="28"/>
  <c r="BC66" i="28"/>
  <c r="BC67" i="28"/>
  <c r="BC68" i="28"/>
  <c r="BC69" i="28"/>
  <c r="BC70" i="28"/>
  <c r="BC71" i="28"/>
  <c r="BC72" i="28"/>
  <c r="BC73" i="28"/>
  <c r="BC74" i="28"/>
  <c r="BC75" i="28"/>
  <c r="BC76" i="28"/>
  <c r="BC77" i="28"/>
  <c r="BC78" i="28"/>
  <c r="BC79" i="28"/>
  <c r="BC80" i="28"/>
  <c r="BC81" i="28"/>
  <c r="BC82" i="28"/>
  <c r="BC83" i="28"/>
  <c r="BC84" i="28"/>
  <c r="BC85" i="28"/>
  <c r="BC86" i="28"/>
  <c r="BC87" i="28"/>
  <c r="BC88" i="28"/>
  <c r="BC89" i="28"/>
  <c r="BC90" i="28"/>
  <c r="BC91" i="28"/>
  <c r="BC92" i="28"/>
  <c r="BC93" i="28"/>
  <c r="BC94" i="28"/>
  <c r="BC95" i="28"/>
  <c r="BC96" i="28"/>
  <c r="BC97" i="28"/>
  <c r="BC98" i="28"/>
  <c r="BC99" i="28"/>
  <c r="BC100" i="28"/>
  <c r="BC101" i="28"/>
  <c r="BC102" i="28"/>
  <c r="BC103" i="28"/>
  <c r="BC104" i="28"/>
  <c r="BC105" i="28"/>
  <c r="BC106" i="28"/>
  <c r="BC107" i="28"/>
  <c r="BC108" i="28"/>
  <c r="BC109" i="28"/>
  <c r="BC110" i="28"/>
  <c r="BC111" i="28"/>
  <c r="BC112" i="28"/>
  <c r="BC113" i="28"/>
  <c r="BC114" i="28"/>
  <c r="BC115" i="28"/>
  <c r="BC116" i="28"/>
  <c r="BC117" i="28"/>
  <c r="BC118" i="28"/>
  <c r="BC119" i="28"/>
  <c r="BC120" i="28"/>
  <c r="BC121" i="28"/>
  <c r="BC122" i="28"/>
  <c r="BC123" i="28"/>
  <c r="BC124" i="28"/>
  <c r="BC125" i="28"/>
  <c r="BC126" i="28"/>
  <c r="BC127" i="28"/>
  <c r="BC128" i="28"/>
  <c r="BC129" i="28"/>
  <c r="BC130" i="28"/>
  <c r="BC131" i="28"/>
  <c r="BC132" i="28"/>
  <c r="BC133" i="28"/>
  <c r="BC134" i="28"/>
  <c r="BC135" i="28"/>
  <c r="BC136" i="28"/>
  <c r="BC137" i="28"/>
  <c r="BC138" i="28"/>
  <c r="BC139" i="28"/>
  <c r="BC140" i="28"/>
  <c r="BC141" i="28"/>
  <c r="BC142" i="28"/>
  <c r="BC143" i="28"/>
  <c r="BC144" i="28"/>
  <c r="BC145" i="28"/>
  <c r="BC146" i="28"/>
  <c r="BC147" i="28"/>
  <c r="BC148" i="28"/>
  <c r="BC149" i="28"/>
  <c r="BC150" i="28"/>
  <c r="BC151" i="28"/>
  <c r="BC152" i="28"/>
  <c r="BC153" i="28"/>
  <c r="BC154" i="28"/>
  <c r="BC155" i="28"/>
  <c r="BC156" i="28"/>
  <c r="BC157" i="28"/>
  <c r="BC158" i="28"/>
  <c r="BC159" i="28"/>
  <c r="BC160" i="28"/>
  <c r="BC161" i="28"/>
  <c r="BC162" i="28"/>
  <c r="BC163" i="28"/>
  <c r="BC164" i="28"/>
  <c r="BC165" i="28"/>
  <c r="BC166" i="28"/>
  <c r="BC167" i="28"/>
  <c r="BC168" i="28"/>
  <c r="BC169" i="28"/>
  <c r="BC170" i="28"/>
  <c r="BC171" i="28"/>
  <c r="BC172" i="28"/>
  <c r="BC173" i="28"/>
  <c r="BC174" i="28"/>
  <c r="BC175" i="28"/>
  <c r="BC176" i="28"/>
  <c r="BC177" i="28"/>
  <c r="BC178" i="28"/>
  <c r="BC179" i="28"/>
  <c r="BC180" i="28"/>
  <c r="BC181" i="28"/>
  <c r="BC182" i="28"/>
  <c r="BC183" i="28"/>
  <c r="BC184" i="28"/>
  <c r="BC185" i="28"/>
  <c r="BC186" i="28"/>
  <c r="BC187" i="28"/>
  <c r="BC188" i="28"/>
  <c r="BC189" i="28"/>
  <c r="BC190" i="28"/>
  <c r="BC191" i="28"/>
  <c r="BC192" i="28"/>
  <c r="BC193" i="28"/>
  <c r="BC194" i="28"/>
  <c r="BC195" i="28"/>
  <c r="BC196" i="28"/>
  <c r="BC197" i="28"/>
  <c r="BC198" i="28"/>
  <c r="BC199" i="28"/>
  <c r="BC200" i="28"/>
  <c r="BC201" i="28"/>
  <c r="BC202" i="28"/>
  <c r="BC203" i="28"/>
  <c r="BC204" i="28"/>
  <c r="BC205" i="28"/>
  <c r="BC206" i="28"/>
  <c r="BC207" i="28"/>
  <c r="BC208" i="28"/>
  <c r="BC209" i="28"/>
  <c r="BC210" i="28"/>
  <c r="BC211" i="28"/>
  <c r="BC212" i="28"/>
  <c r="BC213" i="28"/>
  <c r="BC214" i="28"/>
  <c r="BC215" i="28"/>
  <c r="BC216" i="28"/>
  <c r="BC217" i="28"/>
  <c r="BC218" i="28"/>
  <c r="BC219" i="28"/>
  <c r="BC220" i="28"/>
  <c r="BC221" i="28"/>
  <c r="BC222" i="28"/>
  <c r="BC223" i="28"/>
  <c r="BC224" i="28"/>
  <c r="BC225" i="28"/>
  <c r="BC226" i="28"/>
  <c r="BC227" i="28"/>
  <c r="BC228" i="28"/>
  <c r="BC229" i="28"/>
  <c r="BC230" i="28"/>
  <c r="BC231" i="28"/>
  <c r="BC232" i="28"/>
  <c r="BC233" i="28"/>
  <c r="BC234" i="28"/>
  <c r="BC235" i="28"/>
  <c r="BC236" i="28"/>
  <c r="BC237" i="28"/>
  <c r="BC238" i="28"/>
  <c r="BC239" i="28"/>
  <c r="BC240" i="28"/>
  <c r="BC241" i="28"/>
  <c r="BC242" i="28"/>
  <c r="BC243" i="28"/>
  <c r="BC244" i="28"/>
  <c r="BC245" i="28"/>
  <c r="BC246" i="28"/>
  <c r="BC247" i="28"/>
  <c r="BC248" i="28"/>
  <c r="BC249" i="28"/>
  <c r="BC250" i="28"/>
  <c r="BC251" i="28"/>
  <c r="BC252" i="28"/>
  <c r="BC253" i="28"/>
  <c r="BC254" i="28"/>
  <c r="BC255" i="28"/>
  <c r="BC256" i="28"/>
  <c r="BC257" i="28"/>
  <c r="BC258" i="28"/>
  <c r="BC259" i="28"/>
  <c r="BC260" i="28"/>
  <c r="BC261" i="28"/>
  <c r="BC262" i="28"/>
  <c r="BC263" i="28"/>
  <c r="BC264" i="28"/>
  <c r="BC265" i="28"/>
  <c r="BC266" i="28"/>
  <c r="BC267" i="28"/>
  <c r="BC268" i="28"/>
  <c r="BC269" i="28"/>
  <c r="BC270" i="28"/>
  <c r="BC271" i="28"/>
  <c r="BC272" i="28"/>
  <c r="BC273" i="28"/>
  <c r="BC274" i="28"/>
  <c r="BC275" i="28"/>
  <c r="BC276" i="28"/>
  <c r="BC277" i="28"/>
  <c r="BC278" i="28"/>
  <c r="BC279" i="28"/>
  <c r="BC280" i="28"/>
  <c r="BC281" i="28"/>
  <c r="BC282" i="28"/>
  <c r="BC283" i="28"/>
  <c r="BC284" i="28"/>
  <c r="BC285" i="28"/>
  <c r="BC286" i="28"/>
  <c r="BC287" i="28"/>
  <c r="BC288" i="28"/>
  <c r="BC289" i="28"/>
  <c r="BC290" i="28"/>
  <c r="BC291" i="28"/>
  <c r="BC292" i="28"/>
  <c r="BC293" i="28"/>
  <c r="BC294" i="28"/>
  <c r="BC295" i="28"/>
  <c r="BC296" i="28"/>
  <c r="BC297" i="28"/>
  <c r="BC298" i="28"/>
  <c r="BC299" i="28"/>
  <c r="BC300" i="28"/>
  <c r="BC301" i="28"/>
  <c r="BC302" i="28"/>
  <c r="BC303" i="28"/>
  <c r="BC304" i="28"/>
  <c r="BC305" i="28"/>
  <c r="BC306" i="28"/>
  <c r="BC307" i="28"/>
  <c r="BC308" i="28"/>
  <c r="BC309" i="28"/>
  <c r="BC310" i="28"/>
  <c r="BC311" i="28"/>
  <c r="BC312" i="28"/>
  <c r="BC313" i="28"/>
  <c r="BC314" i="28"/>
  <c r="BC315" i="28"/>
  <c r="BC316" i="28"/>
  <c r="BC317" i="28"/>
  <c r="BC318" i="28"/>
  <c r="BC319" i="28"/>
  <c r="BC320" i="28"/>
  <c r="BC321" i="28"/>
  <c r="BC322" i="28"/>
  <c r="BC323" i="28"/>
  <c r="BC324" i="28"/>
  <c r="BC325" i="28"/>
  <c r="BC326" i="28"/>
  <c r="BC327" i="28"/>
  <c r="BC328" i="28"/>
  <c r="BC329" i="28"/>
  <c r="BC330" i="28"/>
  <c r="BC331" i="28"/>
  <c r="BC332" i="28"/>
  <c r="BC333" i="28"/>
  <c r="BC334" i="28"/>
  <c r="BC335" i="28"/>
  <c r="BC336" i="28"/>
  <c r="BC337" i="28"/>
  <c r="BC338" i="28"/>
  <c r="BC339" i="28"/>
  <c r="BC340" i="28"/>
  <c r="BC341" i="28"/>
  <c r="BC342" i="28"/>
  <c r="BC343" i="28"/>
  <c r="BC344" i="28"/>
  <c r="BC345" i="28"/>
  <c r="BC346" i="28"/>
  <c r="BC347" i="28"/>
  <c r="BC348" i="28"/>
  <c r="BC349" i="28"/>
  <c r="BC350" i="28"/>
  <c r="BC351" i="28"/>
  <c r="BC352" i="28"/>
  <c r="BC353" i="28"/>
  <c r="BC354" i="28"/>
  <c r="BC355" i="28"/>
  <c r="BC356" i="28"/>
  <c r="BC357" i="28"/>
  <c r="BC358" i="28"/>
  <c r="BC359" i="28"/>
  <c r="BC360" i="28"/>
  <c r="BC361" i="28"/>
  <c r="BC362" i="28"/>
  <c r="BC363" i="28"/>
  <c r="BC364" i="28"/>
  <c r="BC365" i="28"/>
  <c r="BC366" i="28"/>
  <c r="BC367" i="28"/>
  <c r="BC368" i="28"/>
  <c r="BC369" i="28"/>
  <c r="BC370" i="28"/>
  <c r="BC371" i="28"/>
  <c r="BC372" i="28"/>
  <c r="BC373" i="28"/>
  <c r="BC374" i="28"/>
  <c r="BC375" i="28"/>
  <c r="BC376" i="28"/>
  <c r="BC377" i="28"/>
  <c r="BC378" i="28"/>
  <c r="BC379" i="28"/>
  <c r="BC380" i="28"/>
  <c r="BC381" i="28"/>
  <c r="BC382" i="28"/>
  <c r="BC383" i="28"/>
  <c r="BC384" i="28"/>
  <c r="BC385" i="28"/>
  <c r="BC386" i="28"/>
  <c r="BC387" i="28"/>
  <c r="BC388" i="28"/>
  <c r="BC389" i="28"/>
  <c r="BC390" i="28"/>
  <c r="BC391" i="28"/>
  <c r="BC392" i="28"/>
  <c r="BC393" i="28"/>
  <c r="BC394" i="28"/>
  <c r="BC395" i="28"/>
  <c r="BC396" i="28"/>
  <c r="BC397" i="28"/>
  <c r="BC398" i="28"/>
  <c r="BC399" i="28"/>
  <c r="BC400" i="28"/>
  <c r="BC401" i="28"/>
  <c r="BC402" i="28"/>
  <c r="BC403" i="28"/>
  <c r="BC404" i="28"/>
  <c r="BC405" i="28"/>
  <c r="BC406" i="28"/>
  <c r="BC407" i="28"/>
  <c r="BC408" i="28"/>
  <c r="BC409" i="28"/>
  <c r="BC410" i="28"/>
  <c r="BC411" i="28"/>
  <c r="BC412" i="28"/>
  <c r="BC413" i="28"/>
  <c r="BC414" i="28"/>
  <c r="BC415" i="28"/>
  <c r="BC416" i="28"/>
  <c r="BC417" i="28"/>
  <c r="BC418" i="28"/>
  <c r="BC419" i="28"/>
  <c r="BC420" i="28"/>
  <c r="BC421" i="28"/>
  <c r="BC422" i="28"/>
  <c r="BC423" i="28"/>
  <c r="BC424" i="28"/>
  <c r="BC425" i="28"/>
  <c r="BC426" i="28"/>
  <c r="BC427" i="28"/>
  <c r="BC428" i="28"/>
  <c r="BC429" i="28"/>
  <c r="BC430" i="28"/>
  <c r="BC431" i="28"/>
  <c r="BC432" i="28"/>
  <c r="BC433" i="28"/>
  <c r="BC434" i="28"/>
  <c r="BC435" i="28"/>
  <c r="BC436" i="28"/>
  <c r="BC437" i="28"/>
  <c r="BC438" i="28"/>
  <c r="BC439" i="28"/>
  <c r="BC440" i="28"/>
  <c r="BC441" i="28"/>
  <c r="BC442" i="28"/>
  <c r="BC443" i="28"/>
  <c r="BC444" i="28"/>
  <c r="BC445" i="28"/>
  <c r="BC446" i="28"/>
  <c r="BC447" i="28"/>
  <c r="BC448" i="28"/>
  <c r="BC449" i="28"/>
  <c r="BC450" i="28"/>
  <c r="BC451" i="28"/>
  <c r="BC452" i="28"/>
  <c r="BC453" i="28"/>
  <c r="BC454" i="28"/>
  <c r="BC455" i="28"/>
  <c r="BC456" i="28"/>
  <c r="BC457" i="28"/>
  <c r="BC458" i="28"/>
  <c r="BC459" i="28"/>
  <c r="BC460" i="28"/>
  <c r="BC461" i="28"/>
  <c r="BC462" i="28"/>
  <c r="BC463" i="28"/>
  <c r="BC464" i="28"/>
  <c r="BC465" i="28"/>
  <c r="BC466" i="28"/>
  <c r="BC467" i="28"/>
  <c r="BC468" i="28"/>
  <c r="BC469" i="28"/>
  <c r="BC470" i="28"/>
  <c r="BC471" i="28"/>
  <c r="BC472" i="28"/>
  <c r="BC473" i="28"/>
  <c r="BC474" i="28"/>
  <c r="BC475" i="28"/>
  <c r="BC476" i="28"/>
  <c r="BC477" i="28"/>
  <c r="BC478" i="28"/>
  <c r="BC479" i="28"/>
  <c r="BC480" i="28"/>
  <c r="BC481" i="28"/>
  <c r="BC482" i="28"/>
  <c r="BC483" i="28"/>
  <c r="BC484" i="28"/>
  <c r="BC485" i="28"/>
  <c r="BC486" i="28"/>
  <c r="BC487" i="28"/>
  <c r="BC488" i="28"/>
  <c r="BC489" i="28"/>
  <c r="BC490" i="28"/>
  <c r="BC491" i="28"/>
  <c r="BC492" i="28"/>
  <c r="BC493" i="28"/>
  <c r="BC494" i="28"/>
  <c r="BC495" i="28"/>
  <c r="BC496" i="28"/>
  <c r="BC497" i="28"/>
  <c r="BC498" i="28"/>
  <c r="BC499" i="28"/>
  <c r="BC500" i="28"/>
  <c r="BC501" i="28"/>
  <c r="BC502" i="28"/>
  <c r="BC503" i="28"/>
  <c r="BC504" i="28"/>
  <c r="BC505" i="28"/>
  <c r="BC506" i="28"/>
  <c r="BC507" i="28"/>
  <c r="BC508" i="28"/>
  <c r="BC509" i="28"/>
  <c r="BC510" i="28"/>
  <c r="BC511" i="28"/>
  <c r="BC512" i="28"/>
  <c r="BC513" i="28"/>
  <c r="BC514" i="28"/>
  <c r="BC515" i="28"/>
  <c r="BC516" i="28"/>
  <c r="BC517" i="28"/>
  <c r="BC518" i="28"/>
  <c r="BC519" i="28"/>
  <c r="BC520" i="28"/>
  <c r="BC521" i="28"/>
  <c r="BC522" i="28"/>
  <c r="BC523" i="28"/>
  <c r="BC524" i="28"/>
  <c r="BC525" i="28"/>
  <c r="BC526" i="28"/>
  <c r="BC527" i="28"/>
  <c r="BC528" i="28"/>
  <c r="BC529" i="28"/>
  <c r="BC530" i="28"/>
  <c r="BC531" i="28"/>
  <c r="BC532" i="28"/>
  <c r="BC533" i="28"/>
  <c r="BC534" i="28"/>
  <c r="BC535" i="28"/>
  <c r="BC536" i="28"/>
  <c r="BC537" i="28"/>
  <c r="BC538" i="28"/>
  <c r="BC539" i="28"/>
  <c r="BC540" i="28"/>
  <c r="BC541" i="28"/>
  <c r="BC542" i="28"/>
  <c r="BC543" i="28"/>
  <c r="BC544" i="28"/>
  <c r="BC545" i="28"/>
  <c r="BC546" i="28"/>
  <c r="BC547" i="28"/>
  <c r="BC548" i="28"/>
  <c r="BC549" i="28"/>
  <c r="BC550" i="28"/>
  <c r="BC551" i="28"/>
  <c r="BC552" i="28"/>
  <c r="BC553" i="28"/>
  <c r="BC554" i="28"/>
  <c r="BC555" i="28"/>
  <c r="BC556" i="28"/>
  <c r="BC557" i="28"/>
  <c r="BC558" i="28"/>
  <c r="BC559" i="28"/>
  <c r="BC560" i="28"/>
  <c r="BC561" i="28"/>
  <c r="BC562" i="28"/>
  <c r="BC563" i="28"/>
  <c r="BC564" i="28"/>
  <c r="BC565" i="28"/>
  <c r="BC566" i="28"/>
  <c r="BC567" i="28"/>
  <c r="BC568" i="28"/>
  <c r="BC569" i="28"/>
  <c r="BC570" i="28"/>
  <c r="BC571" i="28"/>
  <c r="BC572" i="28"/>
  <c r="BC573" i="28"/>
  <c r="BC574" i="28"/>
  <c r="BC575" i="28"/>
  <c r="BC576" i="28"/>
  <c r="BC577" i="28"/>
  <c r="BC578" i="28"/>
  <c r="BC579" i="28"/>
  <c r="BC580" i="28"/>
  <c r="BC581" i="28"/>
  <c r="BC582" i="28"/>
  <c r="BC583" i="28"/>
  <c r="BC584" i="28"/>
  <c r="BC585" i="28"/>
  <c r="BC586" i="28"/>
  <c r="BC587" i="28"/>
  <c r="BC588" i="28"/>
  <c r="BC589" i="28"/>
  <c r="BC590" i="28"/>
  <c r="BC591" i="28"/>
  <c r="BC592" i="28"/>
  <c r="BC593" i="28"/>
  <c r="BC594" i="28"/>
  <c r="BC595" i="28"/>
  <c r="BC596" i="28"/>
  <c r="BC597" i="28"/>
  <c r="BC598" i="28"/>
  <c r="BC599" i="28"/>
  <c r="BC600" i="28"/>
  <c r="BC601" i="28"/>
  <c r="BC602" i="28"/>
  <c r="BC603" i="28"/>
  <c r="BC604" i="28"/>
  <c r="BC605" i="28"/>
  <c r="BC606" i="28"/>
  <c r="BC607" i="28"/>
  <c r="BC608" i="28"/>
  <c r="BC609" i="28"/>
  <c r="BC610" i="28"/>
  <c r="BC611" i="28"/>
  <c r="BC612" i="28"/>
  <c r="BC613" i="28"/>
  <c r="BC614" i="28"/>
  <c r="BC615" i="28"/>
  <c r="BC616" i="28"/>
  <c r="BC617" i="28"/>
  <c r="BC618" i="28"/>
  <c r="BC619" i="28"/>
  <c r="BC620" i="28"/>
  <c r="BC621" i="28"/>
  <c r="BC622" i="28"/>
  <c r="BC623" i="28"/>
  <c r="BC624" i="28"/>
  <c r="BC625" i="28"/>
  <c r="BC626" i="28"/>
  <c r="BC627" i="28"/>
  <c r="BC628" i="28"/>
  <c r="BC629" i="28"/>
  <c r="BC630" i="28"/>
  <c r="BC631" i="28"/>
  <c r="BC632" i="28"/>
  <c r="BC633" i="28"/>
  <c r="BC634" i="28"/>
  <c r="BC635" i="28"/>
  <c r="BC636" i="28"/>
  <c r="BC637" i="28"/>
  <c r="BC638" i="28"/>
  <c r="BC639" i="28"/>
  <c r="BC640" i="28"/>
  <c r="BC641" i="28"/>
  <c r="BC642" i="28"/>
  <c r="BC643" i="28"/>
  <c r="BC644" i="28"/>
  <c r="BC645" i="28"/>
  <c r="BC646" i="28"/>
  <c r="BC647" i="28"/>
  <c r="BC648" i="28"/>
  <c r="BC649" i="28"/>
  <c r="BC650" i="28"/>
  <c r="BC651" i="28"/>
  <c r="BC652" i="28"/>
  <c r="BC653" i="28"/>
  <c r="BC654" i="28"/>
  <c r="BC655" i="28"/>
  <c r="BC656" i="28"/>
  <c r="BC657" i="28"/>
  <c r="BC658" i="28"/>
  <c r="BC659" i="28"/>
  <c r="BC660" i="28"/>
  <c r="BC661" i="28"/>
  <c r="BC662" i="28"/>
  <c r="BC663" i="28"/>
  <c r="BC664" i="28"/>
  <c r="BC665" i="28"/>
  <c r="BC666" i="28"/>
  <c r="BC667" i="28"/>
  <c r="BC668" i="28"/>
  <c r="BC669" i="28"/>
  <c r="BC670" i="28"/>
  <c r="BC671" i="28"/>
  <c r="BC672" i="28"/>
  <c r="BC673" i="28"/>
  <c r="BC674" i="28"/>
  <c r="BC675" i="28"/>
  <c r="BC676" i="28"/>
  <c r="BC677" i="28"/>
  <c r="BC678" i="28"/>
  <c r="BC679" i="28"/>
  <c r="BC680" i="28"/>
  <c r="BC681" i="28"/>
  <c r="BC682" i="28"/>
  <c r="BC683" i="28"/>
  <c r="BC684" i="28"/>
  <c r="BC685" i="28"/>
  <c r="BC686" i="28"/>
  <c r="BC687" i="28"/>
  <c r="BC688" i="28"/>
  <c r="BC689" i="28"/>
  <c r="BC690" i="28"/>
  <c r="BC691" i="28"/>
  <c r="BC692" i="28"/>
  <c r="BC693" i="28"/>
  <c r="BC694" i="28"/>
  <c r="BC695" i="28"/>
  <c r="BC696" i="28"/>
  <c r="BC697" i="28"/>
  <c r="BC698" i="28"/>
  <c r="BC699" i="28"/>
  <c r="BC700" i="28"/>
  <c r="BC701" i="28"/>
  <c r="BC702" i="28"/>
  <c r="BC703" i="28"/>
  <c r="BC704" i="28"/>
  <c r="BC705" i="28"/>
  <c r="BC706" i="28"/>
  <c r="BC707" i="28"/>
  <c r="BC708" i="28"/>
  <c r="BC709" i="28"/>
  <c r="BC710" i="28"/>
  <c r="BC711" i="28"/>
  <c r="BC712" i="28"/>
  <c r="BC713" i="28"/>
  <c r="BC714" i="28"/>
  <c r="BC715" i="28"/>
  <c r="BC716" i="28"/>
  <c r="BC717" i="28"/>
  <c r="BC718" i="28"/>
  <c r="BC719" i="28"/>
  <c r="BC720" i="28"/>
  <c r="BC721" i="28"/>
  <c r="BC722" i="28"/>
  <c r="BC723" i="28"/>
  <c r="BC724" i="28"/>
  <c r="BC725" i="28"/>
  <c r="BC726" i="28"/>
  <c r="BC727" i="28"/>
  <c r="BC728" i="28"/>
  <c r="BC729" i="28"/>
  <c r="BC730" i="28"/>
  <c r="BC731" i="28"/>
  <c r="BC732" i="28"/>
  <c r="BC733" i="28"/>
  <c r="BC734" i="28"/>
  <c r="BC735" i="28"/>
  <c r="BC736" i="28"/>
  <c r="BC737" i="28"/>
  <c r="BC738" i="28"/>
  <c r="BC739" i="28"/>
  <c r="BC740" i="28"/>
  <c r="BC741" i="28"/>
  <c r="BC742" i="28"/>
  <c r="BC743" i="28"/>
  <c r="BC744" i="28"/>
  <c r="BC745" i="28"/>
  <c r="BC746" i="28"/>
  <c r="BC747" i="28"/>
  <c r="BC748" i="28"/>
  <c r="BC749" i="28"/>
  <c r="BC750" i="28"/>
  <c r="BC751" i="28"/>
  <c r="BC752" i="28"/>
  <c r="BC753" i="28"/>
  <c r="BC754" i="28"/>
  <c r="BC755" i="28"/>
  <c r="BC756" i="28"/>
  <c r="BC757" i="28"/>
  <c r="BC758" i="28"/>
  <c r="BC759" i="28"/>
  <c r="BC760" i="28"/>
  <c r="BC761" i="28"/>
  <c r="BC762" i="28"/>
  <c r="BC763" i="28"/>
  <c r="BC764" i="28"/>
  <c r="BC765" i="28"/>
  <c r="BC766" i="28"/>
  <c r="BC767" i="28"/>
  <c r="BC768" i="28"/>
  <c r="BC769" i="28"/>
  <c r="BC770" i="28"/>
  <c r="BC771" i="28"/>
  <c r="BC772" i="28"/>
  <c r="BC773" i="28"/>
  <c r="BC774" i="28"/>
  <c r="BC775" i="28"/>
  <c r="BC776" i="28"/>
  <c r="BC777" i="28"/>
  <c r="BC778" i="28"/>
  <c r="BC779" i="28"/>
  <c r="BC780" i="28"/>
  <c r="BC781" i="28"/>
  <c r="BC782" i="28"/>
  <c r="BC783" i="28"/>
  <c r="BC784" i="28"/>
  <c r="BC785" i="28"/>
  <c r="BC786" i="28"/>
  <c r="BC787" i="28"/>
  <c r="BC788" i="28"/>
  <c r="BC789" i="28"/>
  <c r="BC790" i="28"/>
  <c r="BC791" i="28"/>
  <c r="BC792" i="28"/>
  <c r="BC793" i="28"/>
  <c r="BC794" i="28"/>
  <c r="BC795" i="28"/>
  <c r="BC796" i="28"/>
  <c r="BC797" i="28"/>
  <c r="BC798" i="28"/>
  <c r="BC799" i="28"/>
  <c r="BC800" i="28"/>
  <c r="BC801" i="28"/>
  <c r="BC802" i="28"/>
  <c r="BC803" i="28"/>
  <c r="BC804" i="28"/>
  <c r="BC805" i="28"/>
  <c r="BC806" i="28"/>
  <c r="BC807" i="28"/>
  <c r="BC808" i="28"/>
  <c r="BC809" i="28"/>
  <c r="BC810" i="28"/>
  <c r="BC811" i="28"/>
  <c r="BC812" i="28"/>
  <c r="BC813" i="28"/>
  <c r="BC814" i="28"/>
  <c r="BC815" i="28"/>
  <c r="BC816" i="28"/>
  <c r="BC817" i="28"/>
  <c r="BC818" i="28"/>
  <c r="BC819" i="28"/>
  <c r="BC820" i="28"/>
  <c r="BC821" i="28"/>
  <c r="BC822" i="28"/>
  <c r="BC823" i="28"/>
  <c r="BC824" i="28"/>
  <c r="BC825" i="28"/>
  <c r="BC826" i="28"/>
  <c r="BC827" i="28"/>
  <c r="BC828" i="28"/>
  <c r="BC829" i="28"/>
  <c r="BC830" i="28"/>
  <c r="BC831" i="28"/>
  <c r="BC832" i="28"/>
  <c r="BC833" i="28"/>
  <c r="BC834" i="28"/>
  <c r="BC835" i="28"/>
  <c r="BC836" i="28"/>
  <c r="BC837" i="28"/>
  <c r="BC838" i="28"/>
  <c r="BC839" i="28"/>
  <c r="BC840" i="28"/>
  <c r="BC841" i="28"/>
  <c r="BC842" i="28"/>
  <c r="BC843" i="28"/>
  <c r="BC844" i="28"/>
  <c r="BC845" i="28"/>
  <c r="BC846" i="28"/>
  <c r="BC847" i="28"/>
  <c r="BC848" i="28"/>
  <c r="BC849" i="28"/>
  <c r="BC850" i="28"/>
  <c r="BC851" i="28"/>
  <c r="BC852" i="28"/>
  <c r="BC853" i="28"/>
  <c r="BC854" i="28"/>
  <c r="BC855" i="28"/>
  <c r="BC856" i="28"/>
  <c r="BC857" i="28"/>
  <c r="BC858" i="28"/>
  <c r="BC859" i="28"/>
  <c r="BC860" i="28"/>
  <c r="BC861" i="28"/>
  <c r="BC862" i="28"/>
  <c r="BC863" i="28"/>
  <c r="BC864" i="28"/>
  <c r="BC865" i="28"/>
  <c r="BC866" i="28"/>
  <c r="BC867" i="28"/>
  <c r="BC868" i="28"/>
  <c r="BC869" i="28"/>
  <c r="BC870" i="28"/>
  <c r="BC871" i="28"/>
  <c r="BC872" i="28"/>
  <c r="BC873" i="28"/>
  <c r="BC874" i="28"/>
  <c r="BC875" i="28"/>
  <c r="BC876" i="28"/>
  <c r="BC877" i="28"/>
  <c r="BC878" i="28"/>
  <c r="BC879" i="28"/>
  <c r="BC880" i="28"/>
  <c r="BC881" i="28"/>
  <c r="BC882" i="28"/>
  <c r="BC883" i="28"/>
  <c r="BC884" i="28"/>
  <c r="BC885" i="28"/>
  <c r="BC886" i="28"/>
  <c r="BC887" i="28"/>
  <c r="BC888" i="28"/>
  <c r="BC889" i="28"/>
  <c r="BC890" i="28"/>
  <c r="BC891" i="28"/>
  <c r="BC892" i="28"/>
  <c r="BC893" i="28"/>
  <c r="BC894" i="28"/>
  <c r="BC895" i="28"/>
  <c r="BC896" i="28"/>
  <c r="BC897" i="28"/>
  <c r="BC898" i="28"/>
  <c r="BC899" i="28"/>
  <c r="BC900" i="28"/>
  <c r="BC901" i="28"/>
  <c r="BC902" i="28"/>
  <c r="BC903" i="28"/>
  <c r="BC904" i="28"/>
  <c r="BC905" i="28"/>
  <c r="BC906" i="28"/>
  <c r="BC907" i="28"/>
  <c r="BC908" i="28"/>
  <c r="BC909" i="28"/>
  <c r="BC910" i="28"/>
  <c r="BC911" i="28"/>
  <c r="BC912" i="28"/>
  <c r="BC913" i="28"/>
  <c r="BC914" i="28"/>
  <c r="BC915" i="28"/>
  <c r="BC916" i="28"/>
  <c r="BC917" i="28"/>
  <c r="BC918" i="28"/>
  <c r="BC919" i="28"/>
  <c r="BC920" i="28"/>
  <c r="BC921" i="28"/>
  <c r="BC922" i="28"/>
  <c r="BC923" i="28"/>
  <c r="BC924" i="28"/>
  <c r="BC925" i="28"/>
  <c r="BC926" i="28"/>
  <c r="BC927" i="28"/>
  <c r="BC928" i="28"/>
  <c r="BC929" i="28"/>
  <c r="BC930" i="28"/>
  <c r="BC931" i="28"/>
  <c r="BC932" i="28"/>
  <c r="BC933" i="28"/>
  <c r="BC934" i="28"/>
  <c r="BC935" i="28"/>
  <c r="BC936" i="28"/>
  <c r="BC937" i="28"/>
  <c r="BC938" i="28"/>
  <c r="BC939" i="28"/>
  <c r="BC940" i="28"/>
  <c r="BC941" i="28"/>
  <c r="BC942" i="28"/>
  <c r="BC943" i="28"/>
  <c r="BC944" i="28"/>
  <c r="BC945" i="28"/>
  <c r="BC946" i="28"/>
  <c r="BC947" i="28"/>
  <c r="BC948" i="28"/>
  <c r="BC949" i="28"/>
  <c r="BC950" i="28"/>
  <c r="BC951" i="28"/>
  <c r="BC952" i="28"/>
  <c r="BC953" i="28"/>
  <c r="BC954" i="28"/>
  <c r="BC955" i="28"/>
  <c r="BC956" i="28"/>
  <c r="BC957" i="28"/>
  <c r="BC958" i="28"/>
  <c r="BC959" i="28"/>
  <c r="BC960" i="28"/>
  <c r="BC961" i="28"/>
  <c r="BC962" i="28"/>
  <c r="BC963" i="28"/>
  <c r="BC964" i="28"/>
  <c r="BC965" i="28"/>
  <c r="BC966" i="28"/>
  <c r="BC967" i="28"/>
  <c r="BC968" i="28"/>
  <c r="BC969" i="28"/>
  <c r="BC970" i="28"/>
  <c r="BC971" i="28"/>
  <c r="BC972" i="28"/>
  <c r="BC973" i="28"/>
  <c r="BC974" i="28"/>
  <c r="BC975" i="28"/>
  <c r="BC976" i="28"/>
  <c r="BC977" i="28"/>
  <c r="BC978" i="28"/>
  <c r="BC979" i="28"/>
  <c r="BC980" i="28"/>
  <c r="BC981" i="28"/>
  <c r="BC982" i="28"/>
  <c r="BC983" i="28"/>
  <c r="BC984" i="28"/>
  <c r="BC985" i="28"/>
  <c r="BC986" i="28"/>
  <c r="BC987" i="28"/>
  <c r="BC988" i="28"/>
  <c r="BC989" i="28"/>
  <c r="BC990" i="28"/>
  <c r="BC991" i="28"/>
  <c r="BC992" i="28"/>
  <c r="BC993" i="28"/>
  <c r="BC994" i="28"/>
  <c r="BC995" i="28"/>
  <c r="BC996" i="28"/>
  <c r="BC997" i="28"/>
  <c r="BC998" i="28"/>
  <c r="BC999" i="28"/>
  <c r="BC1000" i="28"/>
  <c r="BC1001" i="28"/>
  <c r="BC1002" i="28"/>
  <c r="BC1003" i="28"/>
  <c r="BC1004" i="28"/>
  <c r="BC1005" i="28"/>
  <c r="BC1006" i="28"/>
  <c r="BC1007" i="28"/>
  <c r="BC1008" i="28"/>
  <c r="BC1009" i="28"/>
  <c r="BC1010" i="28"/>
  <c r="BC1011" i="28"/>
  <c r="BC1012" i="28"/>
  <c r="BC1013" i="28"/>
  <c r="BC1014" i="28"/>
  <c r="BC1015" i="28"/>
  <c r="BC1016" i="28"/>
  <c r="BC1017" i="28"/>
  <c r="BC1018" i="28"/>
  <c r="BC1019" i="28"/>
  <c r="BC1020" i="28"/>
  <c r="BC1021" i="28"/>
  <c r="BC1022" i="28"/>
  <c r="BC1023" i="28"/>
  <c r="BC1024" i="28"/>
  <c r="BC1025" i="28"/>
  <c r="BC1026" i="28"/>
  <c r="BC1027" i="28"/>
  <c r="BC1028" i="28"/>
  <c r="BC1029" i="28"/>
  <c r="BC1030" i="28"/>
  <c r="BC1031" i="28"/>
  <c r="BC1032" i="28"/>
  <c r="BC1033" i="28"/>
  <c r="BC1034" i="28"/>
  <c r="BC1035" i="28"/>
  <c r="BC1036" i="28"/>
  <c r="BC1037" i="28"/>
  <c r="BC1038" i="28"/>
  <c r="BC1039" i="28"/>
  <c r="BC1040" i="28"/>
  <c r="BC1041" i="28"/>
  <c r="BC1042" i="28"/>
  <c r="BC1043" i="28"/>
  <c r="BC1044" i="28"/>
  <c r="BC1045" i="28"/>
  <c r="BC1046" i="28"/>
  <c r="BC1047" i="28"/>
  <c r="BC1048" i="28"/>
  <c r="BC1049" i="28"/>
  <c r="BC1050" i="28"/>
  <c r="BC1051" i="28"/>
  <c r="BC1052" i="28"/>
  <c r="BC1053" i="28"/>
  <c r="BC1054" i="28"/>
  <c r="BC1055" i="28"/>
  <c r="BC1056" i="28"/>
  <c r="BC1057" i="28"/>
  <c r="BC1058" i="28"/>
  <c r="BC1059" i="28"/>
  <c r="BC1060" i="28"/>
  <c r="BC1061" i="28"/>
  <c r="BC1062" i="28"/>
  <c r="BC1063" i="28"/>
  <c r="BC1064" i="28"/>
  <c r="BC1065" i="28"/>
  <c r="BC1066" i="28"/>
  <c r="BC1067" i="28"/>
  <c r="BC1068" i="28"/>
  <c r="BC1069" i="28"/>
  <c r="BC1070" i="28"/>
  <c r="BC1071" i="28"/>
  <c r="BC1072" i="28"/>
  <c r="BC1073" i="28"/>
  <c r="BC1074" i="28"/>
  <c r="BC1075" i="28"/>
  <c r="BC1076" i="28"/>
  <c r="BC1077" i="28"/>
  <c r="BC1078" i="28"/>
  <c r="BC1079" i="28"/>
  <c r="BC1080" i="28"/>
  <c r="BC1081" i="28"/>
  <c r="BC1082" i="28"/>
  <c r="BC1083" i="28"/>
  <c r="BC1084" i="28"/>
  <c r="BC1085" i="28"/>
  <c r="BC1086" i="28"/>
  <c r="BC1087" i="28"/>
  <c r="BC1088" i="28"/>
  <c r="BC1089" i="28"/>
  <c r="BC1090" i="28"/>
  <c r="BC1091" i="28"/>
  <c r="BC1092" i="28"/>
  <c r="BC1093" i="28"/>
  <c r="BC1094" i="28"/>
  <c r="BC1095" i="28"/>
  <c r="BC1096" i="28"/>
  <c r="BC1097" i="28"/>
  <c r="BC1098" i="28"/>
  <c r="BC1099" i="28"/>
  <c r="BC1100" i="28"/>
  <c r="BC1101" i="28"/>
  <c r="BC1102" i="28"/>
  <c r="BC1103" i="28"/>
  <c r="BC1104" i="28"/>
  <c r="BC1105" i="28"/>
  <c r="BC1106" i="28"/>
  <c r="BC1107" i="28"/>
  <c r="BC1108" i="28"/>
  <c r="BC1109" i="28"/>
  <c r="BC1110" i="28"/>
  <c r="BC1111" i="28"/>
  <c r="BC1112" i="28"/>
  <c r="BC1113" i="28"/>
  <c r="BC1114" i="28"/>
  <c r="BC1115" i="28"/>
  <c r="BC1116" i="28"/>
  <c r="BC1117" i="28"/>
  <c r="BC1118" i="28"/>
  <c r="BC1119" i="28"/>
  <c r="BC1120" i="28"/>
  <c r="BC1121" i="28"/>
  <c r="BC1122" i="28"/>
  <c r="BC1123" i="28"/>
  <c r="BC1124" i="28"/>
  <c r="BC1125" i="28"/>
  <c r="BC1126" i="28"/>
  <c r="BC1127" i="28"/>
  <c r="BC1128" i="28"/>
  <c r="BC1129" i="28"/>
  <c r="BC1130" i="28"/>
  <c r="BC1131" i="28"/>
  <c r="BC1132" i="28"/>
  <c r="BC1133" i="28"/>
  <c r="BC1134" i="28"/>
  <c r="BC1135" i="28"/>
  <c r="BC1136" i="28"/>
  <c r="BC1137" i="28"/>
  <c r="BC1138" i="28"/>
  <c r="BC1139" i="28"/>
  <c r="BC1140" i="28"/>
  <c r="BC1141" i="28"/>
  <c r="BC1142" i="28"/>
  <c r="BC1143" i="28"/>
  <c r="BC1144" i="28"/>
  <c r="BC1145" i="28"/>
  <c r="BC1146" i="28"/>
  <c r="BC1147" i="28"/>
  <c r="BC1148" i="28"/>
  <c r="BC1149" i="28"/>
  <c r="BC1150" i="28"/>
  <c r="BC1151" i="28"/>
  <c r="BC1152" i="28"/>
  <c r="BC1153" i="28"/>
  <c r="BC1154" i="28"/>
  <c r="BC1155" i="28"/>
  <c r="BC1156" i="28"/>
  <c r="BC1157" i="28"/>
  <c r="BC1158" i="28"/>
  <c r="BC1159" i="28"/>
  <c r="BC1160" i="28"/>
  <c r="BC1161" i="28"/>
  <c r="BC1162" i="28"/>
  <c r="BC1163" i="28"/>
  <c r="BC1164" i="28"/>
  <c r="BC1165" i="28"/>
  <c r="BC1166" i="28"/>
  <c r="BC1167" i="28"/>
  <c r="BC1168" i="28"/>
  <c r="BC1169" i="28"/>
  <c r="BC1170" i="28"/>
  <c r="BC1171" i="28"/>
  <c r="BC1172" i="28"/>
  <c r="BC1173" i="28"/>
  <c r="BC1174" i="28"/>
  <c r="BC1175" i="28"/>
  <c r="BC1176" i="28"/>
  <c r="BC1177" i="28"/>
  <c r="BC1178" i="28"/>
  <c r="BC1179" i="28"/>
  <c r="BC1180" i="28"/>
  <c r="BC1181" i="28"/>
  <c r="BC1182" i="28"/>
  <c r="BC1183" i="28"/>
  <c r="BC1184" i="28"/>
  <c r="BC1185" i="28"/>
  <c r="BC1186" i="28"/>
  <c r="BC1187" i="28"/>
  <c r="BC1188" i="28"/>
  <c r="BC1189" i="28"/>
  <c r="BC1190" i="28"/>
  <c r="BC1191" i="28"/>
  <c r="BC1192" i="28"/>
  <c r="BC1193" i="28"/>
  <c r="BC1194" i="28"/>
  <c r="BC1195" i="28"/>
  <c r="BC1196" i="28"/>
  <c r="BC1197" i="28"/>
  <c r="BC1198" i="28"/>
  <c r="BC1199" i="28"/>
  <c r="BC1200" i="28"/>
  <c r="BC1201" i="28"/>
  <c r="BC1202" i="28"/>
  <c r="BC1203" i="28"/>
  <c r="BC1204" i="28"/>
  <c r="BC1205" i="28"/>
  <c r="BC1206" i="28"/>
  <c r="BC1207" i="28"/>
  <c r="BC1208" i="28"/>
  <c r="BC1209" i="28"/>
  <c r="BC1210" i="28"/>
  <c r="BC1211" i="28"/>
  <c r="BC1212" i="28"/>
  <c r="BC1213" i="28"/>
  <c r="BC1214" i="28"/>
  <c r="BC1215" i="28"/>
  <c r="BC1216" i="28"/>
  <c r="BC1217" i="28"/>
  <c r="BC1218" i="28"/>
  <c r="BC1219" i="28"/>
  <c r="BC1220" i="28"/>
  <c r="BC1221" i="28"/>
  <c r="BC1222" i="28"/>
  <c r="BC1223" i="28"/>
  <c r="BC1224" i="28"/>
  <c r="BC1225" i="28"/>
  <c r="BC26" i="28"/>
  <c r="BD171" i="28"/>
  <c r="BD172" i="28"/>
  <c r="BD173" i="28"/>
  <c r="BD174" i="28"/>
  <c r="BD175" i="28"/>
  <c r="BD176" i="28"/>
  <c r="BD177" i="28"/>
  <c r="BD178" i="28"/>
  <c r="BD179" i="28"/>
  <c r="BD180" i="28"/>
  <c r="BD181" i="28"/>
  <c r="BD182" i="28"/>
  <c r="BD183" i="28"/>
  <c r="BD184" i="28"/>
  <c r="BD185" i="28"/>
  <c r="BD186" i="28"/>
  <c r="BD187" i="28"/>
  <c r="BD188" i="28"/>
  <c r="BD189" i="28"/>
  <c r="BD190" i="28"/>
  <c r="BD191" i="28"/>
  <c r="BD192" i="28"/>
  <c r="BD193" i="28"/>
  <c r="BD194" i="28"/>
  <c r="BD195" i="28"/>
  <c r="BD196" i="28"/>
  <c r="BD197" i="28"/>
  <c r="BD198" i="28"/>
  <c r="BD199" i="28"/>
  <c r="BD200" i="28"/>
  <c r="BD201" i="28"/>
  <c r="BD202" i="28"/>
  <c r="BD203" i="28"/>
  <c r="BD204" i="28"/>
  <c r="BD205" i="28"/>
  <c r="BD206" i="28"/>
  <c r="BD207" i="28"/>
  <c r="BD208" i="28"/>
  <c r="BD209" i="28"/>
  <c r="BD210" i="28"/>
  <c r="BD211" i="28"/>
  <c r="BD212" i="28"/>
  <c r="BD213" i="28"/>
  <c r="BD214" i="28"/>
  <c r="BD215" i="28"/>
  <c r="BD216" i="28"/>
  <c r="BD217" i="28"/>
  <c r="BD218" i="28"/>
  <c r="BD219" i="28"/>
  <c r="BD220" i="28"/>
  <c r="BD221" i="28"/>
  <c r="BD222" i="28"/>
  <c r="BD223" i="28"/>
  <c r="BD224" i="28"/>
  <c r="BD225" i="28"/>
  <c r="BD226" i="28"/>
  <c r="BD227" i="28"/>
  <c r="BD228" i="28"/>
  <c r="BD229" i="28"/>
  <c r="BD230" i="28"/>
  <c r="BD231" i="28"/>
  <c r="BD232" i="28"/>
  <c r="BD233" i="28"/>
  <c r="BD234" i="28"/>
  <c r="BD235" i="28"/>
  <c r="BD236" i="28"/>
  <c r="BD237" i="28"/>
  <c r="BD238" i="28"/>
  <c r="BD239" i="28"/>
  <c r="BD240" i="28"/>
  <c r="BD241" i="28"/>
  <c r="BD242" i="28"/>
  <c r="BD243" i="28"/>
  <c r="BD244" i="28"/>
  <c r="BD245" i="28"/>
  <c r="BD246" i="28"/>
  <c r="BD247" i="28"/>
  <c r="BD248" i="28"/>
  <c r="BD249" i="28"/>
  <c r="BD250" i="28"/>
  <c r="BD251" i="28"/>
  <c r="BD252" i="28"/>
  <c r="BD253" i="28"/>
  <c r="BD254" i="28"/>
  <c r="BD255" i="28"/>
  <c r="BD256" i="28"/>
  <c r="BD257" i="28"/>
  <c r="BD258" i="28"/>
  <c r="BD259" i="28"/>
  <c r="BD260" i="28"/>
  <c r="BD261" i="28"/>
  <c r="BD262" i="28"/>
  <c r="BD263" i="28"/>
  <c r="BD264" i="28"/>
  <c r="BD265" i="28"/>
  <c r="BD266" i="28"/>
  <c r="BD267" i="28"/>
  <c r="BD268" i="28"/>
  <c r="BD269" i="28"/>
  <c r="BD270" i="28"/>
  <c r="BD271" i="28"/>
  <c r="BD272" i="28"/>
  <c r="BD273" i="28"/>
  <c r="BD274" i="28"/>
  <c r="BD275" i="28"/>
  <c r="BD276" i="28"/>
  <c r="BD277" i="28"/>
  <c r="BD278" i="28"/>
  <c r="BD279" i="28"/>
  <c r="BD280" i="28"/>
  <c r="BD281" i="28"/>
  <c r="BD282" i="28"/>
  <c r="BD283" i="28"/>
  <c r="BD284" i="28"/>
  <c r="BD285" i="28"/>
  <c r="BD286" i="28"/>
  <c r="BD287" i="28"/>
  <c r="BD288" i="28"/>
  <c r="BD289" i="28"/>
  <c r="BD290" i="28"/>
  <c r="BD291" i="28"/>
  <c r="BD292" i="28"/>
  <c r="BD293" i="28"/>
  <c r="BD294" i="28"/>
  <c r="BD295" i="28"/>
  <c r="BD296" i="28"/>
  <c r="BD297" i="28"/>
  <c r="BD298" i="28"/>
  <c r="BD299" i="28"/>
  <c r="BD300" i="28"/>
  <c r="BD301" i="28"/>
  <c r="BD302" i="28"/>
  <c r="BD303" i="28"/>
  <c r="BD304" i="28"/>
  <c r="BD305" i="28"/>
  <c r="BD306" i="28"/>
  <c r="BD307" i="28"/>
  <c r="BD308" i="28"/>
  <c r="BD309" i="28"/>
  <c r="BD310" i="28"/>
  <c r="BD311" i="28"/>
  <c r="BD312" i="28"/>
  <c r="BD313" i="28"/>
  <c r="BD314" i="28"/>
  <c r="BD315" i="28"/>
  <c r="BD316" i="28"/>
  <c r="BD317" i="28"/>
  <c r="BD318" i="28"/>
  <c r="BD319" i="28"/>
  <c r="BD320" i="28"/>
  <c r="BD321" i="28"/>
  <c r="BD322" i="28"/>
  <c r="BD323" i="28"/>
  <c r="BD324" i="28"/>
  <c r="BD325" i="28"/>
  <c r="BD326" i="28"/>
  <c r="BD327" i="28"/>
  <c r="BD328" i="28"/>
  <c r="BD329" i="28"/>
  <c r="BD330" i="28"/>
  <c r="BD331" i="28"/>
  <c r="BD332" i="28"/>
  <c r="BD333" i="28"/>
  <c r="BD334" i="28"/>
  <c r="BD335" i="28"/>
  <c r="BD336" i="28"/>
  <c r="BD337" i="28"/>
  <c r="BD338" i="28"/>
  <c r="BD339" i="28"/>
  <c r="BD340" i="28"/>
  <c r="BD341" i="28"/>
  <c r="BD342" i="28"/>
  <c r="BD343" i="28"/>
  <c r="BD344" i="28"/>
  <c r="BD345" i="28"/>
  <c r="BD346" i="28"/>
  <c r="BD347" i="28"/>
  <c r="BD348" i="28"/>
  <c r="BD349" i="28"/>
  <c r="BD350" i="28"/>
  <c r="BD351" i="28"/>
  <c r="BD352" i="28"/>
  <c r="BD353" i="28"/>
  <c r="BD354" i="28"/>
  <c r="BD355" i="28"/>
  <c r="BD356" i="28"/>
  <c r="BD357" i="28"/>
  <c r="BD358" i="28"/>
  <c r="BD359" i="28"/>
  <c r="BD360" i="28"/>
  <c r="BD361" i="28"/>
  <c r="BD362" i="28"/>
  <c r="BD363" i="28"/>
  <c r="BD364" i="28"/>
  <c r="BD365" i="28"/>
  <c r="BD366" i="28"/>
  <c r="BD367" i="28"/>
  <c r="BD368" i="28"/>
  <c r="BD369" i="28"/>
  <c r="BD370" i="28"/>
  <c r="BD371" i="28"/>
  <c r="BD372" i="28"/>
  <c r="BD373" i="28"/>
  <c r="BD374" i="28"/>
  <c r="BD375" i="28"/>
  <c r="BD376" i="28"/>
  <c r="BD377" i="28"/>
  <c r="BD378" i="28"/>
  <c r="BD379" i="28"/>
  <c r="BD380" i="28"/>
  <c r="BD381" i="28"/>
  <c r="BD382" i="28"/>
  <c r="BD383" i="28"/>
  <c r="BD384" i="28"/>
  <c r="BD385" i="28"/>
  <c r="BD386" i="28"/>
  <c r="BD387" i="28"/>
  <c r="BD388" i="28"/>
  <c r="BD389" i="28"/>
  <c r="BD390" i="28"/>
  <c r="BD391" i="28"/>
  <c r="BD392" i="28"/>
  <c r="BD393" i="28"/>
  <c r="BD394" i="28"/>
  <c r="BD395" i="28"/>
  <c r="BD396" i="28"/>
  <c r="BD397" i="28"/>
  <c r="BD398" i="28"/>
  <c r="BD399" i="28"/>
  <c r="BD400" i="28"/>
  <c r="BD401" i="28"/>
  <c r="BD402" i="28"/>
  <c r="BD403" i="28"/>
  <c r="BD404" i="28"/>
  <c r="BD405" i="28"/>
  <c r="BD406" i="28"/>
  <c r="BD407" i="28"/>
  <c r="BD408" i="28"/>
  <c r="BD409" i="28"/>
  <c r="BD410" i="28"/>
  <c r="BD411" i="28"/>
  <c r="BD412" i="28"/>
  <c r="BD413" i="28"/>
  <c r="BD414" i="28"/>
  <c r="BD415" i="28"/>
  <c r="BD416" i="28"/>
  <c r="BD417" i="28"/>
  <c r="BD418" i="28"/>
  <c r="BD419" i="28"/>
  <c r="BD420" i="28"/>
  <c r="BD421" i="28"/>
  <c r="BD422" i="28"/>
  <c r="BD423" i="28"/>
  <c r="BD424" i="28"/>
  <c r="BD425" i="28"/>
  <c r="BD426" i="28"/>
  <c r="BD427" i="28"/>
  <c r="BD428" i="28"/>
  <c r="BD429" i="28"/>
  <c r="BD430" i="28"/>
  <c r="BD431" i="28"/>
  <c r="BD432" i="28"/>
  <c r="BD433" i="28"/>
  <c r="BD434" i="28"/>
  <c r="BD435" i="28"/>
  <c r="BD436" i="28"/>
  <c r="BD437" i="28"/>
  <c r="BD438" i="28"/>
  <c r="BD439" i="28"/>
  <c r="BD440" i="28"/>
  <c r="BD441" i="28"/>
  <c r="BD442" i="28"/>
  <c r="BD443" i="28"/>
  <c r="BD444" i="28"/>
  <c r="BD445" i="28"/>
  <c r="BD446" i="28"/>
  <c r="BD447" i="28"/>
  <c r="BD448" i="28"/>
  <c r="BD449" i="28"/>
  <c r="BD450" i="28"/>
  <c r="BD451" i="28"/>
  <c r="BD452" i="28"/>
  <c r="BD453" i="28"/>
  <c r="BD454" i="28"/>
  <c r="BD455" i="28"/>
  <c r="BD456" i="28"/>
  <c r="BD457" i="28"/>
  <c r="BD458" i="28"/>
  <c r="BD459" i="28"/>
  <c r="BD460" i="28"/>
  <c r="BD461" i="28"/>
  <c r="BD462" i="28"/>
  <c r="BD463" i="28"/>
  <c r="BD464" i="28"/>
  <c r="BD465" i="28"/>
  <c r="BD466" i="28"/>
  <c r="BD467" i="28"/>
  <c r="BD468" i="28"/>
  <c r="BD469" i="28"/>
  <c r="BD470" i="28"/>
  <c r="BD471" i="28"/>
  <c r="BD472" i="28"/>
  <c r="BD473" i="28"/>
  <c r="BD474" i="28"/>
  <c r="BD475" i="28"/>
  <c r="BD476" i="28"/>
  <c r="BD477" i="28"/>
  <c r="BD478" i="28"/>
  <c r="BD479" i="28"/>
  <c r="BD480" i="28"/>
  <c r="BD481" i="28"/>
  <c r="BD482" i="28"/>
  <c r="BD483" i="28"/>
  <c r="BD484" i="28"/>
  <c r="BD485" i="28"/>
  <c r="BD486" i="28"/>
  <c r="BD487" i="28"/>
  <c r="BD488" i="28"/>
  <c r="BD489" i="28"/>
  <c r="BD490" i="28"/>
  <c r="BD491" i="28"/>
  <c r="BD492" i="28"/>
  <c r="BD493" i="28"/>
  <c r="BD494" i="28"/>
  <c r="BD495" i="28"/>
  <c r="BD496" i="28"/>
  <c r="BD497" i="28"/>
  <c r="BD498" i="28"/>
  <c r="BD499" i="28"/>
  <c r="BD500" i="28"/>
  <c r="BD501" i="28"/>
  <c r="BD502" i="28"/>
  <c r="BD503" i="28"/>
  <c r="BD504" i="28"/>
  <c r="BD505" i="28"/>
  <c r="BD506" i="28"/>
  <c r="BD507" i="28"/>
  <c r="BD508" i="28"/>
  <c r="BD509" i="28"/>
  <c r="BD510" i="28"/>
  <c r="BD511" i="28"/>
  <c r="BD512" i="28"/>
  <c r="BD513" i="28"/>
  <c r="BD514" i="28"/>
  <c r="BD515" i="28"/>
  <c r="BD516" i="28"/>
  <c r="BD517" i="28"/>
  <c r="BD518" i="28"/>
  <c r="BD519" i="28"/>
  <c r="BD520" i="28"/>
  <c r="BD521" i="28"/>
  <c r="BD522" i="28"/>
  <c r="BD523" i="28"/>
  <c r="BD524" i="28"/>
  <c r="BD525" i="28"/>
  <c r="BD526" i="28"/>
  <c r="BD527" i="28"/>
  <c r="BD528" i="28"/>
  <c r="BD529" i="28"/>
  <c r="BD530" i="28"/>
  <c r="BD531" i="28"/>
  <c r="BD532" i="28"/>
  <c r="BD533" i="28"/>
  <c r="BD534" i="28"/>
  <c r="BD535" i="28"/>
  <c r="BD536" i="28"/>
  <c r="BD537" i="28"/>
  <c r="BD538" i="28"/>
  <c r="BD539" i="28"/>
  <c r="BD540" i="28"/>
  <c r="BD541" i="28"/>
  <c r="BD542" i="28"/>
  <c r="BD543" i="28"/>
  <c r="BD544" i="28"/>
  <c r="BD545" i="28"/>
  <c r="BD546" i="28"/>
  <c r="BD547" i="28"/>
  <c r="BD548" i="28"/>
  <c r="BD549" i="28"/>
  <c r="BD550" i="28"/>
  <c r="BD551" i="28"/>
  <c r="BD552" i="28"/>
  <c r="BD553" i="28"/>
  <c r="BD554" i="28"/>
  <c r="BD555" i="28"/>
  <c r="BD556" i="28"/>
  <c r="BD557" i="28"/>
  <c r="BD558" i="28"/>
  <c r="BD559" i="28"/>
  <c r="BD560" i="28"/>
  <c r="BD561" i="28"/>
  <c r="BD562" i="28"/>
  <c r="BD563" i="28"/>
  <c r="BD564" i="28"/>
  <c r="BD565" i="28"/>
  <c r="BD566" i="28"/>
  <c r="BD567" i="28"/>
  <c r="BD568" i="28"/>
  <c r="BD569" i="28"/>
  <c r="BD570" i="28"/>
  <c r="BD571" i="28"/>
  <c r="BD572" i="28"/>
  <c r="BD573" i="28"/>
  <c r="BD574" i="28"/>
  <c r="BD575" i="28"/>
  <c r="BD576" i="28"/>
  <c r="BD577" i="28"/>
  <c r="BD578" i="28"/>
  <c r="BD579" i="28"/>
  <c r="BD580" i="28"/>
  <c r="BD581" i="28"/>
  <c r="BD582" i="28"/>
  <c r="BD583" i="28"/>
  <c r="BD584" i="28"/>
  <c r="BD585" i="28"/>
  <c r="BD586" i="28"/>
  <c r="BD587" i="28"/>
  <c r="BD588" i="28"/>
  <c r="BD589" i="28"/>
  <c r="BD590" i="28"/>
  <c r="BD591" i="28"/>
  <c r="BD592" i="28"/>
  <c r="BD593" i="28"/>
  <c r="BD594" i="28"/>
  <c r="BD595" i="28"/>
  <c r="BD596" i="28"/>
  <c r="BD597" i="28"/>
  <c r="BD598" i="28"/>
  <c r="BD599" i="28"/>
  <c r="BD600" i="28"/>
  <c r="BD601" i="28"/>
  <c r="BD602" i="28"/>
  <c r="BD603" i="28"/>
  <c r="BD604" i="28"/>
  <c r="BD605" i="28"/>
  <c r="BD606" i="28"/>
  <c r="BD607" i="28"/>
  <c r="BD608" i="28"/>
  <c r="BD609" i="28"/>
  <c r="BD610" i="28"/>
  <c r="BD611" i="28"/>
  <c r="BD612" i="28"/>
  <c r="BD613" i="28"/>
  <c r="BD614" i="28"/>
  <c r="BD615" i="28"/>
  <c r="BD616" i="28"/>
  <c r="BD617" i="28"/>
  <c r="BD618" i="28"/>
  <c r="BD619" i="28"/>
  <c r="BD620" i="28"/>
  <c r="BD621" i="28"/>
  <c r="BD622" i="28"/>
  <c r="BD623" i="28"/>
  <c r="BD624" i="28"/>
  <c r="BD625" i="28"/>
  <c r="BD626" i="28"/>
  <c r="BD627" i="28"/>
  <c r="BD628" i="28"/>
  <c r="BD629" i="28"/>
  <c r="BD630" i="28"/>
  <c r="BD631" i="28"/>
  <c r="BD632" i="28"/>
  <c r="BD633" i="28"/>
  <c r="BD634" i="28"/>
  <c r="BD635" i="28"/>
  <c r="BD636" i="28"/>
  <c r="BD637" i="28"/>
  <c r="BD638" i="28"/>
  <c r="BD639" i="28"/>
  <c r="BD640" i="28"/>
  <c r="BD641" i="28"/>
  <c r="BD642" i="28"/>
  <c r="BD643" i="28"/>
  <c r="BD644" i="28"/>
  <c r="BD645" i="28"/>
  <c r="BD646" i="28"/>
  <c r="BD647" i="28"/>
  <c r="BD648" i="28"/>
  <c r="BD649" i="28"/>
  <c r="BD650" i="28"/>
  <c r="BD651" i="28"/>
  <c r="BD652" i="28"/>
  <c r="BD653" i="28"/>
  <c r="BD654" i="28"/>
  <c r="BD655" i="28"/>
  <c r="BD656" i="28"/>
  <c r="BD657" i="28"/>
  <c r="BD658" i="28"/>
  <c r="BD659" i="28"/>
  <c r="BD660" i="28"/>
  <c r="BD661" i="28"/>
  <c r="BD662" i="28"/>
  <c r="BD663" i="28"/>
  <c r="BD664" i="28"/>
  <c r="BD665" i="28"/>
  <c r="BD666" i="28"/>
  <c r="BD667" i="28"/>
  <c r="BD668" i="28"/>
  <c r="BD669" i="28"/>
  <c r="BD670" i="28"/>
  <c r="BD671" i="28"/>
  <c r="BD672" i="28"/>
  <c r="BD673" i="28"/>
  <c r="BD674" i="28"/>
  <c r="BD675" i="28"/>
  <c r="BD676" i="28"/>
  <c r="BD677" i="28"/>
  <c r="BD678" i="28"/>
  <c r="BD679" i="28"/>
  <c r="BD680" i="28"/>
  <c r="BD681" i="28"/>
  <c r="BD682" i="28"/>
  <c r="BD683" i="28"/>
  <c r="BD684" i="28"/>
  <c r="BD685" i="28"/>
  <c r="BD686" i="28"/>
  <c r="BD687" i="28"/>
  <c r="BD688" i="28"/>
  <c r="BD689" i="28"/>
  <c r="BD690" i="28"/>
  <c r="BD691" i="28"/>
  <c r="BD692" i="28"/>
  <c r="BD693" i="28"/>
  <c r="BD694" i="28"/>
  <c r="BD695" i="28"/>
  <c r="BD696" i="28"/>
  <c r="BD697" i="28"/>
  <c r="BD698" i="28"/>
  <c r="BD699" i="28"/>
  <c r="BD700" i="28"/>
  <c r="BD701" i="28"/>
  <c r="BD702" i="28"/>
  <c r="BD703" i="28"/>
  <c r="BD704" i="28"/>
  <c r="BD705" i="28"/>
  <c r="BD706" i="28"/>
  <c r="BD707" i="28"/>
  <c r="BD708" i="28"/>
  <c r="BD709" i="28"/>
  <c r="BD710" i="28"/>
  <c r="BD711" i="28"/>
  <c r="BD712" i="28"/>
  <c r="BD713" i="28"/>
  <c r="BD714" i="28"/>
  <c r="BD715" i="28"/>
  <c r="BD716" i="28"/>
  <c r="BD717" i="28"/>
  <c r="BD718" i="28"/>
  <c r="BD719" i="28"/>
  <c r="BD720" i="28"/>
  <c r="BD721" i="28"/>
  <c r="BD722" i="28"/>
  <c r="BD723" i="28"/>
  <c r="BD724" i="28"/>
  <c r="BD725" i="28"/>
  <c r="BD726" i="28"/>
  <c r="BD727" i="28"/>
  <c r="BD728" i="28"/>
  <c r="BD729" i="28"/>
  <c r="BD730" i="28"/>
  <c r="BD731" i="28"/>
  <c r="BD732" i="28"/>
  <c r="BD733" i="28"/>
  <c r="BD734" i="28"/>
  <c r="BD735" i="28"/>
  <c r="BD736" i="28"/>
  <c r="BD737" i="28"/>
  <c r="BD738" i="28"/>
  <c r="BD739" i="28"/>
  <c r="BD740" i="28"/>
  <c r="BD741" i="28"/>
  <c r="BD742" i="28"/>
  <c r="BD743" i="28"/>
  <c r="BD744" i="28"/>
  <c r="BD745" i="28"/>
  <c r="BD746" i="28"/>
  <c r="BD747" i="28"/>
  <c r="BD748" i="28"/>
  <c r="BD749" i="28"/>
  <c r="BD750" i="28"/>
  <c r="BD751" i="28"/>
  <c r="BD752" i="28"/>
  <c r="BD753" i="28"/>
  <c r="BD754" i="28"/>
  <c r="BD755" i="28"/>
  <c r="BD756" i="28"/>
  <c r="BD757" i="28"/>
  <c r="BD758" i="28"/>
  <c r="BD759" i="28"/>
  <c r="BD760" i="28"/>
  <c r="BD761" i="28"/>
  <c r="BD762" i="28"/>
  <c r="BD763" i="28"/>
  <c r="BD764" i="28"/>
  <c r="BD765" i="28"/>
  <c r="BD766" i="28"/>
  <c r="BD767" i="28"/>
  <c r="BD768" i="28"/>
  <c r="BD769" i="28"/>
  <c r="BD770" i="28"/>
  <c r="BD771" i="28"/>
  <c r="BD772" i="28"/>
  <c r="BD773" i="28"/>
  <c r="BD774" i="28"/>
  <c r="BD775" i="28"/>
  <c r="BD776" i="28"/>
  <c r="BD777" i="28"/>
  <c r="BD778" i="28"/>
  <c r="BD779" i="28"/>
  <c r="BD780" i="28"/>
  <c r="BD781" i="28"/>
  <c r="BD782" i="28"/>
  <c r="BD783" i="28"/>
  <c r="BD784" i="28"/>
  <c r="BD785" i="28"/>
  <c r="BD786" i="28"/>
  <c r="BD787" i="28"/>
  <c r="BD788" i="28"/>
  <c r="BD789" i="28"/>
  <c r="BD790" i="28"/>
  <c r="BD791" i="28"/>
  <c r="BD792" i="28"/>
  <c r="BD793" i="28"/>
  <c r="BD794" i="28"/>
  <c r="BD795" i="28"/>
  <c r="BD796" i="28"/>
  <c r="BD797" i="28"/>
  <c r="BD798" i="28"/>
  <c r="BD799" i="28"/>
  <c r="BD800" i="28"/>
  <c r="BD801" i="28"/>
  <c r="BD802" i="28"/>
  <c r="BD803" i="28"/>
  <c r="BD804" i="28"/>
  <c r="BD805" i="28"/>
  <c r="BD806" i="28"/>
  <c r="BD807" i="28"/>
  <c r="BD808" i="28"/>
  <c r="BD809" i="28"/>
  <c r="BD810" i="28"/>
  <c r="BD811" i="28"/>
  <c r="BD812" i="28"/>
  <c r="BD813" i="28"/>
  <c r="BD814" i="28"/>
  <c r="BD815" i="28"/>
  <c r="BD816" i="28"/>
  <c r="BD817" i="28"/>
  <c r="BD818" i="28"/>
  <c r="BD819" i="28"/>
  <c r="BD820" i="28"/>
  <c r="BD821" i="28"/>
  <c r="BD822" i="28"/>
  <c r="BD823" i="28"/>
  <c r="BD824" i="28"/>
  <c r="BD825" i="28"/>
  <c r="BD826" i="28"/>
  <c r="BD827" i="28"/>
  <c r="BD828" i="28"/>
  <c r="BD829" i="28"/>
  <c r="BD830" i="28"/>
  <c r="BD831" i="28"/>
  <c r="BD832" i="28"/>
  <c r="BD833" i="28"/>
  <c r="BD834" i="28"/>
  <c r="BD835" i="28"/>
  <c r="BD836" i="28"/>
  <c r="BD837" i="28"/>
  <c r="BD838" i="28"/>
  <c r="BD839" i="28"/>
  <c r="BD840" i="28"/>
  <c r="BD841" i="28"/>
  <c r="BD842" i="28"/>
  <c r="BD843" i="28"/>
  <c r="BD844" i="28"/>
  <c r="BD845" i="28"/>
  <c r="BD846" i="28"/>
  <c r="BD847" i="28"/>
  <c r="BD848" i="28"/>
  <c r="BD849" i="28"/>
  <c r="BD850" i="28"/>
  <c r="BD851" i="28"/>
  <c r="BD852" i="28"/>
  <c r="BD853" i="28"/>
  <c r="BD854" i="28"/>
  <c r="BD855" i="28"/>
  <c r="BD856" i="28"/>
  <c r="BD857" i="28"/>
  <c r="BD858" i="28"/>
  <c r="BD859" i="28"/>
  <c r="BD860" i="28"/>
  <c r="BD861" i="28"/>
  <c r="BD862" i="28"/>
  <c r="BD863" i="28"/>
  <c r="BD864" i="28"/>
  <c r="BD865" i="28"/>
  <c r="BD866" i="28"/>
  <c r="BD867" i="28"/>
  <c r="BD868" i="28"/>
  <c r="BD869" i="28"/>
  <c r="BD870" i="28"/>
  <c r="BD871" i="28"/>
  <c r="BD872" i="28"/>
  <c r="BD873" i="28"/>
  <c r="BD874" i="28"/>
  <c r="BD875" i="28"/>
  <c r="BD876" i="28"/>
  <c r="BD877" i="28"/>
  <c r="BD878" i="28"/>
  <c r="BD879" i="28"/>
  <c r="BD880" i="28"/>
  <c r="BD881" i="28"/>
  <c r="BD882" i="28"/>
  <c r="BD883" i="28"/>
  <c r="BD884" i="28"/>
  <c r="BD885" i="28"/>
  <c r="BD886" i="28"/>
  <c r="BD887" i="28"/>
  <c r="BD888" i="28"/>
  <c r="BD889" i="28"/>
  <c r="BD890" i="28"/>
  <c r="BD891" i="28"/>
  <c r="BD892" i="28"/>
  <c r="BD893" i="28"/>
  <c r="BD894" i="28"/>
  <c r="BD895" i="28"/>
  <c r="BD896" i="28"/>
  <c r="BD897" i="28"/>
  <c r="BD898" i="28"/>
  <c r="BD899" i="28"/>
  <c r="BD900" i="28"/>
  <c r="BD901" i="28"/>
  <c r="BD902" i="28"/>
  <c r="BD903" i="28"/>
  <c r="BD904" i="28"/>
  <c r="BD905" i="28"/>
  <c r="BD906" i="28"/>
  <c r="BD907" i="28"/>
  <c r="BD908" i="28"/>
  <c r="BD909" i="28"/>
  <c r="BD910" i="28"/>
  <c r="BD911" i="28"/>
  <c r="BD912" i="28"/>
  <c r="BD913" i="28"/>
  <c r="BD914" i="28"/>
  <c r="BD915" i="28"/>
  <c r="BD916" i="28"/>
  <c r="BD917" i="28"/>
  <c r="BD918" i="28"/>
  <c r="BD919" i="28"/>
  <c r="BD920" i="28"/>
  <c r="BD921" i="28"/>
  <c r="BD922" i="28"/>
  <c r="BD923" i="28"/>
  <c r="BD924" i="28"/>
  <c r="BD925" i="28"/>
  <c r="BD926" i="28"/>
  <c r="BD927" i="28"/>
  <c r="BD928" i="28"/>
  <c r="BD929" i="28"/>
  <c r="BD930" i="28"/>
  <c r="BD931" i="28"/>
  <c r="BD932" i="28"/>
  <c r="BD933" i="28"/>
  <c r="BD934" i="28"/>
  <c r="BD935" i="28"/>
  <c r="BD936" i="28"/>
  <c r="BD937" i="28"/>
  <c r="BD938" i="28"/>
  <c r="BD939" i="28"/>
  <c r="BD940" i="28"/>
  <c r="BD941" i="28"/>
  <c r="BD942" i="28"/>
  <c r="BD943" i="28"/>
  <c r="BD944" i="28"/>
  <c r="BD945" i="28"/>
  <c r="BD946" i="28"/>
  <c r="BD947" i="28"/>
  <c r="BD948" i="28"/>
  <c r="BD949" i="28"/>
  <c r="BD950" i="28"/>
  <c r="BD951" i="28"/>
  <c r="BD952" i="28"/>
  <c r="BD953" i="28"/>
  <c r="BD954" i="28"/>
  <c r="BD955" i="28"/>
  <c r="BD956" i="28"/>
  <c r="BD957" i="28"/>
  <c r="BD958" i="28"/>
  <c r="BD959" i="28"/>
  <c r="BD960" i="28"/>
  <c r="BD961" i="28"/>
  <c r="BD962" i="28"/>
  <c r="BD963" i="28"/>
  <c r="BD964" i="28"/>
  <c r="BD965" i="28"/>
  <c r="BD966" i="28"/>
  <c r="BD967" i="28"/>
  <c r="BD968" i="28"/>
  <c r="BD969" i="28"/>
  <c r="BD970" i="28"/>
  <c r="BD971" i="28"/>
  <c r="BD972" i="28"/>
  <c r="BD973" i="28"/>
  <c r="BD974" i="28"/>
  <c r="BD975" i="28"/>
  <c r="BD976" i="28"/>
  <c r="BD977" i="28"/>
  <c r="BD978" i="28"/>
  <c r="BD979" i="28"/>
  <c r="BD980" i="28"/>
  <c r="BD981" i="28"/>
  <c r="BD982" i="28"/>
  <c r="BD983" i="28"/>
  <c r="BD984" i="28"/>
  <c r="BD985" i="28"/>
  <c r="BD986" i="28"/>
  <c r="BD987" i="28"/>
  <c r="BD988" i="28"/>
  <c r="BD989" i="28"/>
  <c r="BD990" i="28"/>
  <c r="BD991" i="28"/>
  <c r="BD992" i="28"/>
  <c r="BD993" i="28"/>
  <c r="BD994" i="28"/>
  <c r="BD995" i="28"/>
  <c r="BD996" i="28"/>
  <c r="BD997" i="28"/>
  <c r="BD998" i="28"/>
  <c r="BD999" i="28"/>
  <c r="BD1000" i="28"/>
  <c r="BD1001" i="28"/>
  <c r="BD1002" i="28"/>
  <c r="BD1003" i="28"/>
  <c r="BD1004" i="28"/>
  <c r="BD1005" i="28"/>
  <c r="BD1006" i="28"/>
  <c r="BD1007" i="28"/>
  <c r="BD1008" i="28"/>
  <c r="BD1009" i="28"/>
  <c r="BD1010" i="28"/>
  <c r="BD1011" i="28"/>
  <c r="BD1012" i="28"/>
  <c r="BD1013" i="28"/>
  <c r="BD1014" i="28"/>
  <c r="BD1015" i="28"/>
  <c r="BD1016" i="28"/>
  <c r="BD1017" i="28"/>
  <c r="BD1018" i="28"/>
  <c r="BD1019" i="28"/>
  <c r="BD1020" i="28"/>
  <c r="BD1021" i="28"/>
  <c r="BD1022" i="28"/>
  <c r="BD1023" i="28"/>
  <c r="BD1024" i="28"/>
  <c r="BD1025" i="28"/>
  <c r="BD1026" i="28"/>
  <c r="BD1027" i="28"/>
  <c r="BD1028" i="28"/>
  <c r="BD1029" i="28"/>
  <c r="BD1030" i="28"/>
  <c r="BD1031" i="28"/>
  <c r="BD1032" i="28"/>
  <c r="BD1033" i="28"/>
  <c r="BD1034" i="28"/>
  <c r="BD1035" i="28"/>
  <c r="BD1036" i="28"/>
  <c r="BD1037" i="28"/>
  <c r="BD1038" i="28"/>
  <c r="BD1039" i="28"/>
  <c r="BD1040" i="28"/>
  <c r="BD1041" i="28"/>
  <c r="BD1042" i="28"/>
  <c r="BD1043" i="28"/>
  <c r="BD1044" i="28"/>
  <c r="BD1045" i="28"/>
  <c r="BD1046" i="28"/>
  <c r="BD1047" i="28"/>
  <c r="BD1048" i="28"/>
  <c r="BD1049" i="28"/>
  <c r="BD1050" i="28"/>
  <c r="BD1051" i="28"/>
  <c r="BD1052" i="28"/>
  <c r="BD1053" i="28"/>
  <c r="BD1054" i="28"/>
  <c r="BD1055" i="28"/>
  <c r="BD1056" i="28"/>
  <c r="BD1057" i="28"/>
  <c r="BD1058" i="28"/>
  <c r="BD1059" i="28"/>
  <c r="BD1060" i="28"/>
  <c r="BD1061" i="28"/>
  <c r="BD1062" i="28"/>
  <c r="BD1063" i="28"/>
  <c r="BD1064" i="28"/>
  <c r="BD1065" i="28"/>
  <c r="BD1066" i="28"/>
  <c r="BD1067" i="28"/>
  <c r="BD1068" i="28"/>
  <c r="BD1069" i="28"/>
  <c r="BD1070" i="28"/>
  <c r="BD1071" i="28"/>
  <c r="BD1072" i="28"/>
  <c r="BD1073" i="28"/>
  <c r="BD1074" i="28"/>
  <c r="BD1075" i="28"/>
  <c r="BD1076" i="28"/>
  <c r="BD1077" i="28"/>
  <c r="BD1078" i="28"/>
  <c r="BD1079" i="28"/>
  <c r="BD1080" i="28"/>
  <c r="BD1081" i="28"/>
  <c r="BD1082" i="28"/>
  <c r="BD1083" i="28"/>
  <c r="BD1084" i="28"/>
  <c r="BD1085" i="28"/>
  <c r="BD1086" i="28"/>
  <c r="BD1087" i="28"/>
  <c r="BD1088" i="28"/>
  <c r="BD1089" i="28"/>
  <c r="BD1090" i="28"/>
  <c r="BD1091" i="28"/>
  <c r="BD1092" i="28"/>
  <c r="BD1093" i="28"/>
  <c r="BD1094" i="28"/>
  <c r="BD1095" i="28"/>
  <c r="BD1096" i="28"/>
  <c r="BD1097" i="28"/>
  <c r="BD1098" i="28"/>
  <c r="BD1099" i="28"/>
  <c r="BD1100" i="28"/>
  <c r="BD1101" i="28"/>
  <c r="BD1102" i="28"/>
  <c r="BD1103" i="28"/>
  <c r="BD1104" i="28"/>
  <c r="BD1105" i="28"/>
  <c r="BD1106" i="28"/>
  <c r="BD1107" i="28"/>
  <c r="BD1108" i="28"/>
  <c r="BD1109" i="28"/>
  <c r="BD1110" i="28"/>
  <c r="BD1111" i="28"/>
  <c r="BD1112" i="28"/>
  <c r="BD1113" i="28"/>
  <c r="BD1114" i="28"/>
  <c r="BD1115" i="28"/>
  <c r="BD1116" i="28"/>
  <c r="BD1117" i="28"/>
  <c r="BD1118" i="28"/>
  <c r="BD1119" i="28"/>
  <c r="BD1120" i="28"/>
  <c r="BD1121" i="28"/>
  <c r="BD1122" i="28"/>
  <c r="BD1123" i="28"/>
  <c r="BD1124" i="28"/>
  <c r="BD1125" i="28"/>
  <c r="BD1126" i="28"/>
  <c r="BD1127" i="28"/>
  <c r="BD1128" i="28"/>
  <c r="BD1129" i="28"/>
  <c r="BD1130" i="28"/>
  <c r="BD1131" i="28"/>
  <c r="BD1132" i="28"/>
  <c r="BD1133" i="28"/>
  <c r="BD1134" i="28"/>
  <c r="BD1135" i="28"/>
  <c r="BD1136" i="28"/>
  <c r="BD1137" i="28"/>
  <c r="BD1138" i="28"/>
  <c r="BD1139" i="28"/>
  <c r="BD1140" i="28"/>
  <c r="BD1141" i="28"/>
  <c r="BD1142" i="28"/>
  <c r="BD1143" i="28"/>
  <c r="BD1144" i="28"/>
  <c r="BD1145" i="28"/>
  <c r="BD1146" i="28"/>
  <c r="BD1147" i="28"/>
  <c r="BD1148" i="28"/>
  <c r="BD1149" i="28"/>
  <c r="BD1150" i="28"/>
  <c r="BD1151" i="28"/>
  <c r="BD1152" i="28"/>
  <c r="BD1153" i="28"/>
  <c r="BD1154" i="28"/>
  <c r="BD1155" i="28"/>
  <c r="BD1156" i="28"/>
  <c r="BD1157" i="28"/>
  <c r="BD1158" i="28"/>
  <c r="BD1159" i="28"/>
  <c r="BD1160" i="28"/>
  <c r="BD1161" i="28"/>
  <c r="BD1162" i="28"/>
  <c r="BD1163" i="28"/>
  <c r="BD1164" i="28"/>
  <c r="BD1165" i="28"/>
  <c r="BD1166" i="28"/>
  <c r="BD1167" i="28"/>
  <c r="BD1168" i="28"/>
  <c r="BD1169" i="28"/>
  <c r="BD1170" i="28"/>
  <c r="BD1171" i="28"/>
  <c r="BD1172" i="28"/>
  <c r="BD1173" i="28"/>
  <c r="BD1174" i="28"/>
  <c r="BD1175" i="28"/>
  <c r="BD1176" i="28"/>
  <c r="BD1177" i="28"/>
  <c r="BD1178" i="28"/>
  <c r="BD1179" i="28"/>
  <c r="BD1180" i="28"/>
  <c r="BD1181" i="28"/>
  <c r="BD1182" i="28"/>
  <c r="BD1183" i="28"/>
  <c r="BD1184" i="28"/>
  <c r="BD1185" i="28"/>
  <c r="BD1186" i="28"/>
  <c r="BD1187" i="28"/>
  <c r="BD1188" i="28"/>
  <c r="BD1189" i="28"/>
  <c r="BD1190" i="28"/>
  <c r="BD1191" i="28"/>
  <c r="BD1192" i="28"/>
  <c r="BD1193" i="28"/>
  <c r="BD1194" i="28"/>
  <c r="BD1195" i="28"/>
  <c r="BD1196" i="28"/>
  <c r="BD1197" i="28"/>
  <c r="BD1198" i="28"/>
  <c r="BD1199" i="28"/>
  <c r="BD1200" i="28"/>
  <c r="BD1201" i="28"/>
  <c r="BD1202" i="28"/>
  <c r="BD1203" i="28"/>
  <c r="BD1204" i="28"/>
  <c r="BD1205" i="28"/>
  <c r="BD1206" i="28"/>
  <c r="BD1207" i="28"/>
  <c r="BD1208" i="28"/>
  <c r="BD1209" i="28"/>
  <c r="BD1210" i="28"/>
  <c r="BD1211" i="28"/>
  <c r="BD1212" i="28"/>
  <c r="BD1213" i="28"/>
  <c r="BD1214" i="28"/>
  <c r="BD1215" i="28"/>
  <c r="BD1216" i="28"/>
  <c r="BD1217" i="28"/>
  <c r="BD1218" i="28"/>
  <c r="BD1219" i="28"/>
  <c r="BD1220" i="28"/>
  <c r="BD1221" i="28"/>
  <c r="BD1222" i="28"/>
  <c r="BD1223" i="28"/>
  <c r="BD1224" i="28"/>
  <c r="BD1225" i="28"/>
  <c r="BA27" i="28"/>
  <c r="BA28" i="28"/>
  <c r="BA29" i="28"/>
  <c r="BA30" i="28"/>
  <c r="BA31" i="28"/>
  <c r="BA32" i="28"/>
  <c r="BA33" i="28"/>
  <c r="BA34" i="28"/>
  <c r="BA35" i="28"/>
  <c r="BA36" i="28"/>
  <c r="BA37" i="28"/>
  <c r="BA38" i="28"/>
  <c r="BA39" i="28"/>
  <c r="BA40" i="28"/>
  <c r="BA41" i="28"/>
  <c r="BA42" i="28"/>
  <c r="BA43" i="28"/>
  <c r="BA44" i="28"/>
  <c r="BA45" i="28"/>
  <c r="BA46" i="28"/>
  <c r="BA47" i="28"/>
  <c r="BA48" i="28"/>
  <c r="BA49" i="28"/>
  <c r="BA50" i="28"/>
  <c r="BA51" i="28"/>
  <c r="BA52" i="28"/>
  <c r="BA53" i="28"/>
  <c r="BA54" i="28"/>
  <c r="BA55" i="28"/>
  <c r="BA56" i="28"/>
  <c r="BA57" i="28"/>
  <c r="BA58" i="28"/>
  <c r="BA59" i="28"/>
  <c r="BA60" i="28"/>
  <c r="BA61" i="28"/>
  <c r="BA62" i="28"/>
  <c r="BA63" i="28"/>
  <c r="BA64" i="28"/>
  <c r="BA65" i="28"/>
  <c r="BA66" i="28"/>
  <c r="BA67" i="28"/>
  <c r="BA68" i="28"/>
  <c r="BA69" i="28"/>
  <c r="BA70" i="28"/>
  <c r="BA71" i="28"/>
  <c r="BA72" i="28"/>
  <c r="BA73" i="28"/>
  <c r="BA74" i="28"/>
  <c r="BA75" i="28"/>
  <c r="BA76" i="28"/>
  <c r="BA77" i="28"/>
  <c r="BA78" i="28"/>
  <c r="BA79" i="28"/>
  <c r="BA80" i="28"/>
  <c r="BA81" i="28"/>
  <c r="BA82" i="28"/>
  <c r="BA83" i="28"/>
  <c r="BA84" i="28"/>
  <c r="BA85" i="28"/>
  <c r="BA86" i="28"/>
  <c r="BA87" i="28"/>
  <c r="BA88" i="28"/>
  <c r="BA89" i="28"/>
  <c r="BA90" i="28"/>
  <c r="BA91" i="28"/>
  <c r="BA92" i="28"/>
  <c r="BA93" i="28"/>
  <c r="BA94" i="28"/>
  <c r="BA95" i="28"/>
  <c r="BA96" i="28"/>
  <c r="BA97" i="28"/>
  <c r="BA98" i="28"/>
  <c r="BA99" i="28"/>
  <c r="BA100" i="28"/>
  <c r="BA101" i="28"/>
  <c r="BA102" i="28"/>
  <c r="BA103" i="28"/>
  <c r="BA104" i="28"/>
  <c r="BA105" i="28"/>
  <c r="BA106" i="28"/>
  <c r="BA107" i="28"/>
  <c r="BA108" i="28"/>
  <c r="BA109" i="28"/>
  <c r="BA110" i="28"/>
  <c r="BA111" i="28"/>
  <c r="BA112" i="28"/>
  <c r="BA113" i="28"/>
  <c r="BA114" i="28"/>
  <c r="BA115" i="28"/>
  <c r="BA116" i="28"/>
  <c r="BA117" i="28"/>
  <c r="BA118" i="28"/>
  <c r="BA119" i="28"/>
  <c r="BA120" i="28"/>
  <c r="BA121" i="28"/>
  <c r="BA122" i="28"/>
  <c r="BA123" i="28"/>
  <c r="BA124" i="28"/>
  <c r="BA125" i="28"/>
  <c r="BA126" i="28"/>
  <c r="BA127" i="28"/>
  <c r="BA128" i="28"/>
  <c r="BA129" i="28"/>
  <c r="BA130" i="28"/>
  <c r="BA131" i="28"/>
  <c r="BA132" i="28"/>
  <c r="BA133" i="28"/>
  <c r="BA134" i="28"/>
  <c r="BA135" i="28"/>
  <c r="BA136" i="28"/>
  <c r="BA137" i="28"/>
  <c r="BA138" i="28"/>
  <c r="BA139" i="28"/>
  <c r="BA140" i="28"/>
  <c r="BA141" i="28"/>
  <c r="BA142" i="28"/>
  <c r="BA143" i="28"/>
  <c r="BA144" i="28"/>
  <c r="BA145" i="28"/>
  <c r="BA146" i="28"/>
  <c r="BA147" i="28"/>
  <c r="BA148" i="28"/>
  <c r="BA149" i="28"/>
  <c r="BA150" i="28"/>
  <c r="BA151" i="28"/>
  <c r="BA152" i="28"/>
  <c r="BA153" i="28"/>
  <c r="BA154" i="28"/>
  <c r="BA155" i="28"/>
  <c r="BA156" i="28"/>
  <c r="BA157" i="28"/>
  <c r="BA158" i="28"/>
  <c r="BA159" i="28"/>
  <c r="BA160" i="28"/>
  <c r="BA161" i="28"/>
  <c r="BA162" i="28"/>
  <c r="BA163" i="28"/>
  <c r="BA164" i="28"/>
  <c r="BA165" i="28"/>
  <c r="BA166" i="28"/>
  <c r="BA167" i="28"/>
  <c r="BA168" i="28"/>
  <c r="BA169" i="28"/>
  <c r="BA170" i="28"/>
  <c r="BA171" i="28"/>
  <c r="BA172" i="28"/>
  <c r="BA173" i="28"/>
  <c r="BA174" i="28"/>
  <c r="BA175" i="28"/>
  <c r="BA176" i="28"/>
  <c r="BA177" i="28"/>
  <c r="BA178" i="28"/>
  <c r="BA179" i="28"/>
  <c r="BA180" i="28"/>
  <c r="BA181" i="28"/>
  <c r="BA182" i="28"/>
  <c r="BA183" i="28"/>
  <c r="BA184" i="28"/>
  <c r="BA185" i="28"/>
  <c r="BA186" i="28"/>
  <c r="BA187" i="28"/>
  <c r="BA188" i="28"/>
  <c r="BA189" i="28"/>
  <c r="BA190" i="28"/>
  <c r="BA191" i="28"/>
  <c r="BA192" i="28"/>
  <c r="BA193" i="28"/>
  <c r="BA194" i="28"/>
  <c r="BA195" i="28"/>
  <c r="BA196" i="28"/>
  <c r="BA197" i="28"/>
  <c r="BA198" i="28"/>
  <c r="BA199" i="28"/>
  <c r="BA200" i="28"/>
  <c r="BA201" i="28"/>
  <c r="BA202" i="28"/>
  <c r="BA203" i="28"/>
  <c r="BA204" i="28"/>
  <c r="BA205" i="28"/>
  <c r="BA206" i="28"/>
  <c r="BA207" i="28"/>
  <c r="BA208" i="28"/>
  <c r="BA209" i="28"/>
  <c r="BA210" i="28"/>
  <c r="BA211" i="28"/>
  <c r="BA212" i="28"/>
  <c r="BA213" i="28"/>
  <c r="BA214" i="28"/>
  <c r="BA215" i="28"/>
  <c r="BA216" i="28"/>
  <c r="BA217" i="28"/>
  <c r="BA218" i="28"/>
  <c r="BA219" i="28"/>
  <c r="BA220" i="28"/>
  <c r="BA221" i="28"/>
  <c r="BA222" i="28"/>
  <c r="BA223" i="28"/>
  <c r="BA224" i="28"/>
  <c r="BA225" i="28"/>
  <c r="BA226" i="28"/>
  <c r="BA227" i="28"/>
  <c r="BA228" i="28"/>
  <c r="BA229" i="28"/>
  <c r="BA230" i="28"/>
  <c r="BA231" i="28"/>
  <c r="BA232" i="28"/>
  <c r="BA233" i="28"/>
  <c r="BA234" i="28"/>
  <c r="BA235" i="28"/>
  <c r="BA236" i="28"/>
  <c r="BA237" i="28"/>
  <c r="BA238" i="28"/>
  <c r="BA239" i="28"/>
  <c r="BA240" i="28"/>
  <c r="BA241" i="28"/>
  <c r="BA242" i="28"/>
  <c r="BA243" i="28"/>
  <c r="BA244" i="28"/>
  <c r="BA245" i="28"/>
  <c r="BA246" i="28"/>
  <c r="BA247" i="28"/>
  <c r="BA248" i="28"/>
  <c r="BA249" i="28"/>
  <c r="BA250" i="28"/>
  <c r="BA251" i="28"/>
  <c r="BA252" i="28"/>
  <c r="BA253" i="28"/>
  <c r="BA254" i="28"/>
  <c r="BA255" i="28"/>
  <c r="BA256" i="28"/>
  <c r="BA257" i="28"/>
  <c r="BA258" i="28"/>
  <c r="BA259" i="28"/>
  <c r="BA260" i="28"/>
  <c r="BA261" i="28"/>
  <c r="BA262" i="28"/>
  <c r="BA263" i="28"/>
  <c r="BA264" i="28"/>
  <c r="BA265" i="28"/>
  <c r="BA266" i="28"/>
  <c r="BA267" i="28"/>
  <c r="BA268" i="28"/>
  <c r="BA269" i="28"/>
  <c r="BA270" i="28"/>
  <c r="BA271" i="28"/>
  <c r="BA272" i="28"/>
  <c r="BA273" i="28"/>
  <c r="BA274" i="28"/>
  <c r="BA275" i="28"/>
  <c r="BA276" i="28"/>
  <c r="BA277" i="28"/>
  <c r="BA278" i="28"/>
  <c r="BA279" i="28"/>
  <c r="BA280" i="28"/>
  <c r="BA281" i="28"/>
  <c r="BA282" i="28"/>
  <c r="BA283" i="28"/>
  <c r="BA284" i="28"/>
  <c r="BA285" i="28"/>
  <c r="BA286" i="28"/>
  <c r="BA287" i="28"/>
  <c r="BA288" i="28"/>
  <c r="BA289" i="28"/>
  <c r="BA290" i="28"/>
  <c r="BA291" i="28"/>
  <c r="BA292" i="28"/>
  <c r="BA293" i="28"/>
  <c r="BA294" i="28"/>
  <c r="BA295" i="28"/>
  <c r="BA296" i="28"/>
  <c r="BA297" i="28"/>
  <c r="BA298" i="28"/>
  <c r="BA299" i="28"/>
  <c r="BA300" i="28"/>
  <c r="BA301" i="28"/>
  <c r="BA302" i="28"/>
  <c r="BA303" i="28"/>
  <c r="BA304" i="28"/>
  <c r="BA305" i="28"/>
  <c r="BA306" i="28"/>
  <c r="BA307" i="28"/>
  <c r="BA308" i="28"/>
  <c r="BA309" i="28"/>
  <c r="BA310" i="28"/>
  <c r="BA311" i="28"/>
  <c r="BA312" i="28"/>
  <c r="BA313" i="28"/>
  <c r="BA314" i="28"/>
  <c r="BA315" i="28"/>
  <c r="BA316" i="28"/>
  <c r="BA317" i="28"/>
  <c r="BA318" i="28"/>
  <c r="BA319" i="28"/>
  <c r="BA320" i="28"/>
  <c r="BA321" i="28"/>
  <c r="BA322" i="28"/>
  <c r="BA323" i="28"/>
  <c r="BA324" i="28"/>
  <c r="BA325" i="28"/>
  <c r="BA326" i="28"/>
  <c r="BA327" i="28"/>
  <c r="BA328" i="28"/>
  <c r="BA329" i="28"/>
  <c r="BA330" i="28"/>
  <c r="BA331" i="28"/>
  <c r="BA332" i="28"/>
  <c r="BA333" i="28"/>
  <c r="BA334" i="28"/>
  <c r="BA335" i="28"/>
  <c r="BA336" i="28"/>
  <c r="BA337" i="28"/>
  <c r="BA338" i="28"/>
  <c r="BA339" i="28"/>
  <c r="BA340" i="28"/>
  <c r="BA341" i="28"/>
  <c r="BA342" i="28"/>
  <c r="BA343" i="28"/>
  <c r="BA344" i="28"/>
  <c r="BA345" i="28"/>
  <c r="BA346" i="28"/>
  <c r="BA347" i="28"/>
  <c r="BA348" i="28"/>
  <c r="BA349" i="28"/>
  <c r="BA350" i="28"/>
  <c r="BA351" i="28"/>
  <c r="BA352" i="28"/>
  <c r="BA353" i="28"/>
  <c r="BA354" i="28"/>
  <c r="BA355" i="28"/>
  <c r="BA356" i="28"/>
  <c r="BA357" i="28"/>
  <c r="BA358" i="28"/>
  <c r="BA359" i="28"/>
  <c r="BA360" i="28"/>
  <c r="BA361" i="28"/>
  <c r="BA362" i="28"/>
  <c r="BA363" i="28"/>
  <c r="BA364" i="28"/>
  <c r="BA365" i="28"/>
  <c r="BA366" i="28"/>
  <c r="BA367" i="28"/>
  <c r="BA368" i="28"/>
  <c r="BA369" i="28"/>
  <c r="BA370" i="28"/>
  <c r="BA371" i="28"/>
  <c r="BA372" i="28"/>
  <c r="BA373" i="28"/>
  <c r="BA374" i="28"/>
  <c r="BA375" i="28"/>
  <c r="BA376" i="28"/>
  <c r="BA377" i="28"/>
  <c r="BA378" i="28"/>
  <c r="BA379" i="28"/>
  <c r="BA380" i="28"/>
  <c r="BA381" i="28"/>
  <c r="BA382" i="28"/>
  <c r="BA383" i="28"/>
  <c r="BA384" i="28"/>
  <c r="BA385" i="28"/>
  <c r="BA386" i="28"/>
  <c r="BA387" i="28"/>
  <c r="BA388" i="28"/>
  <c r="BA389" i="28"/>
  <c r="BA390" i="28"/>
  <c r="BA391" i="28"/>
  <c r="BA392" i="28"/>
  <c r="BA393" i="28"/>
  <c r="BA394" i="28"/>
  <c r="BA395" i="28"/>
  <c r="BA396" i="28"/>
  <c r="BA397" i="28"/>
  <c r="BA398" i="28"/>
  <c r="BA399" i="28"/>
  <c r="BA400" i="28"/>
  <c r="BA401" i="28"/>
  <c r="BA402" i="28"/>
  <c r="BA403" i="28"/>
  <c r="BA404" i="28"/>
  <c r="BA405" i="28"/>
  <c r="BA406" i="28"/>
  <c r="BA407" i="28"/>
  <c r="BA408" i="28"/>
  <c r="BA409" i="28"/>
  <c r="BA410" i="28"/>
  <c r="BA411" i="28"/>
  <c r="BA412" i="28"/>
  <c r="BA413" i="28"/>
  <c r="BA414" i="28"/>
  <c r="BA415" i="28"/>
  <c r="BA416" i="28"/>
  <c r="BA417" i="28"/>
  <c r="BA418" i="28"/>
  <c r="BA419" i="28"/>
  <c r="BA420" i="28"/>
  <c r="BA421" i="28"/>
  <c r="BA422" i="28"/>
  <c r="BA423" i="28"/>
  <c r="BA424" i="28"/>
  <c r="BA425" i="28"/>
  <c r="BA426" i="28"/>
  <c r="BA427" i="28"/>
  <c r="BA428" i="28"/>
  <c r="BA429" i="28"/>
  <c r="BA430" i="28"/>
  <c r="BA431" i="28"/>
  <c r="BA432" i="28"/>
  <c r="BA433" i="28"/>
  <c r="BA434" i="28"/>
  <c r="BA435" i="28"/>
  <c r="BA436" i="28"/>
  <c r="BA437" i="28"/>
  <c r="BA438" i="28"/>
  <c r="BA439" i="28"/>
  <c r="BA440" i="28"/>
  <c r="BA441" i="28"/>
  <c r="BA442" i="28"/>
  <c r="BA443" i="28"/>
  <c r="BA444" i="28"/>
  <c r="BA445" i="28"/>
  <c r="BA446" i="28"/>
  <c r="BA447" i="28"/>
  <c r="BA448" i="28"/>
  <c r="BA449" i="28"/>
  <c r="BA450" i="28"/>
  <c r="BA451" i="28"/>
  <c r="BA452" i="28"/>
  <c r="BA453" i="28"/>
  <c r="BA454" i="28"/>
  <c r="BA455" i="28"/>
  <c r="BA456" i="28"/>
  <c r="BA457" i="28"/>
  <c r="BA458" i="28"/>
  <c r="BA459" i="28"/>
  <c r="BA460" i="28"/>
  <c r="BA461" i="28"/>
  <c r="BA462" i="28"/>
  <c r="BA463" i="28"/>
  <c r="BA464" i="28"/>
  <c r="BA465" i="28"/>
  <c r="BA466" i="28"/>
  <c r="BA467" i="28"/>
  <c r="BA468" i="28"/>
  <c r="BA469" i="28"/>
  <c r="BA470" i="28"/>
  <c r="BA471" i="28"/>
  <c r="BA472" i="28"/>
  <c r="BA473" i="28"/>
  <c r="BA474" i="28"/>
  <c r="BA475" i="28"/>
  <c r="BA476" i="28"/>
  <c r="BA477" i="28"/>
  <c r="BA478" i="28"/>
  <c r="BA479" i="28"/>
  <c r="BA480" i="28"/>
  <c r="BA481" i="28"/>
  <c r="BA482" i="28"/>
  <c r="BA483" i="28"/>
  <c r="BA484" i="28"/>
  <c r="BA485" i="28"/>
  <c r="BA486" i="28"/>
  <c r="BA487" i="28"/>
  <c r="BA488" i="28"/>
  <c r="BA489" i="28"/>
  <c r="BA490" i="28"/>
  <c r="BA491" i="28"/>
  <c r="BA492" i="28"/>
  <c r="BA493" i="28"/>
  <c r="BA494" i="28"/>
  <c r="BA495" i="28"/>
  <c r="BA496" i="28"/>
  <c r="BA497" i="28"/>
  <c r="BA498" i="28"/>
  <c r="BA499" i="28"/>
  <c r="BA500" i="28"/>
  <c r="BA501" i="28"/>
  <c r="BA502" i="28"/>
  <c r="BA503" i="28"/>
  <c r="BA504" i="28"/>
  <c r="BA505" i="28"/>
  <c r="BA506" i="28"/>
  <c r="BA507" i="28"/>
  <c r="BA508" i="28"/>
  <c r="BA509" i="28"/>
  <c r="BA510" i="28"/>
  <c r="BA511" i="28"/>
  <c r="BA512" i="28"/>
  <c r="BA513" i="28"/>
  <c r="BA514" i="28"/>
  <c r="BA515" i="28"/>
  <c r="BA516" i="28"/>
  <c r="BA517" i="28"/>
  <c r="BA518" i="28"/>
  <c r="BA519" i="28"/>
  <c r="BA520" i="28"/>
  <c r="BA521" i="28"/>
  <c r="BA522" i="28"/>
  <c r="BA523" i="28"/>
  <c r="BA524" i="28"/>
  <c r="BA525" i="28"/>
  <c r="BA526" i="28"/>
  <c r="BA527" i="28"/>
  <c r="BA528" i="28"/>
  <c r="BA529" i="28"/>
  <c r="BA530" i="28"/>
  <c r="BA531" i="28"/>
  <c r="BA532" i="28"/>
  <c r="BA533" i="28"/>
  <c r="BA534" i="28"/>
  <c r="BA535" i="28"/>
  <c r="BA536" i="28"/>
  <c r="BA537" i="28"/>
  <c r="BA538" i="28"/>
  <c r="BA539" i="28"/>
  <c r="BA540" i="28"/>
  <c r="BA541" i="28"/>
  <c r="BA542" i="28"/>
  <c r="BA543" i="28"/>
  <c r="BA544" i="28"/>
  <c r="BA545" i="28"/>
  <c r="BA546" i="28"/>
  <c r="BA547" i="28"/>
  <c r="BA548" i="28"/>
  <c r="BA549" i="28"/>
  <c r="BA550" i="28"/>
  <c r="BA551" i="28"/>
  <c r="BA552" i="28"/>
  <c r="BA553" i="28"/>
  <c r="BA554" i="28"/>
  <c r="BA555" i="28"/>
  <c r="BA556" i="28"/>
  <c r="BA557" i="28"/>
  <c r="BA558" i="28"/>
  <c r="BA559" i="28"/>
  <c r="BA560" i="28"/>
  <c r="BA561" i="28"/>
  <c r="BA562" i="28"/>
  <c r="BA563" i="28"/>
  <c r="BA564" i="28"/>
  <c r="BA565" i="28"/>
  <c r="BA566" i="28"/>
  <c r="BA567" i="28"/>
  <c r="BA568" i="28"/>
  <c r="BA569" i="28"/>
  <c r="BA570" i="28"/>
  <c r="BA571" i="28"/>
  <c r="BA572" i="28"/>
  <c r="BA573" i="28"/>
  <c r="BA574" i="28"/>
  <c r="BA575" i="28"/>
  <c r="BA576" i="28"/>
  <c r="BA577" i="28"/>
  <c r="BA578" i="28"/>
  <c r="BA579" i="28"/>
  <c r="BA580" i="28"/>
  <c r="BA581" i="28"/>
  <c r="BA582" i="28"/>
  <c r="BA583" i="28"/>
  <c r="BA584" i="28"/>
  <c r="BA585" i="28"/>
  <c r="BA586" i="28"/>
  <c r="BA587" i="28"/>
  <c r="BA588" i="28"/>
  <c r="BA589" i="28"/>
  <c r="BA590" i="28"/>
  <c r="BA591" i="28"/>
  <c r="BA592" i="28"/>
  <c r="BA593" i="28"/>
  <c r="BA594" i="28"/>
  <c r="BA595" i="28"/>
  <c r="BA596" i="28"/>
  <c r="BA597" i="28"/>
  <c r="BA598" i="28"/>
  <c r="BA599" i="28"/>
  <c r="BA600" i="28"/>
  <c r="BA601" i="28"/>
  <c r="BA602" i="28"/>
  <c r="BA603" i="28"/>
  <c r="BA604" i="28"/>
  <c r="BA605" i="28"/>
  <c r="BA606" i="28"/>
  <c r="BA607" i="28"/>
  <c r="BA608" i="28"/>
  <c r="BA609" i="28"/>
  <c r="BA610" i="28"/>
  <c r="BA611" i="28"/>
  <c r="BA612" i="28"/>
  <c r="BA613" i="28"/>
  <c r="BA614" i="28"/>
  <c r="BA615" i="28"/>
  <c r="BA616" i="28"/>
  <c r="BA617" i="28"/>
  <c r="BA618" i="28"/>
  <c r="BA619" i="28"/>
  <c r="BA620" i="28"/>
  <c r="BA621" i="28"/>
  <c r="BA622" i="28"/>
  <c r="BA623" i="28"/>
  <c r="BA624" i="28"/>
  <c r="BA625" i="28"/>
  <c r="BA626" i="28"/>
  <c r="BA627" i="28"/>
  <c r="BA628" i="28"/>
  <c r="BA629" i="28"/>
  <c r="BA630" i="28"/>
  <c r="BA631" i="28"/>
  <c r="BA632" i="28"/>
  <c r="BA633" i="28"/>
  <c r="BA634" i="28"/>
  <c r="BA635" i="28"/>
  <c r="BA636" i="28"/>
  <c r="BA637" i="28"/>
  <c r="BA638" i="28"/>
  <c r="BA639" i="28"/>
  <c r="BA640" i="28"/>
  <c r="BA641" i="28"/>
  <c r="BA642" i="28"/>
  <c r="BA643" i="28"/>
  <c r="BA644" i="28"/>
  <c r="BA645" i="28"/>
  <c r="BA646" i="28"/>
  <c r="BA647" i="28"/>
  <c r="BA648" i="28"/>
  <c r="BA649" i="28"/>
  <c r="BA650" i="28"/>
  <c r="BA651" i="28"/>
  <c r="BA652" i="28"/>
  <c r="BA653" i="28"/>
  <c r="BA654" i="28"/>
  <c r="BA655" i="28"/>
  <c r="BA656" i="28"/>
  <c r="BA657" i="28"/>
  <c r="BA658" i="28"/>
  <c r="BA659" i="28"/>
  <c r="BA660" i="28"/>
  <c r="BA661" i="28"/>
  <c r="BA662" i="28"/>
  <c r="BA663" i="28"/>
  <c r="BA664" i="28"/>
  <c r="BA665" i="28"/>
  <c r="BA666" i="28"/>
  <c r="BA667" i="28"/>
  <c r="BA668" i="28"/>
  <c r="BA669" i="28"/>
  <c r="BA670" i="28"/>
  <c r="BA671" i="28"/>
  <c r="BA672" i="28"/>
  <c r="BA673" i="28"/>
  <c r="BA674" i="28"/>
  <c r="BA675" i="28"/>
  <c r="BA676" i="28"/>
  <c r="BA677" i="28"/>
  <c r="BA678" i="28"/>
  <c r="BA679" i="28"/>
  <c r="BA680" i="28"/>
  <c r="BA681" i="28"/>
  <c r="BA682" i="28"/>
  <c r="BA683" i="28"/>
  <c r="BA684" i="28"/>
  <c r="BA685" i="28"/>
  <c r="BA686" i="28"/>
  <c r="BA687" i="28"/>
  <c r="BA688" i="28"/>
  <c r="BA689" i="28"/>
  <c r="BA690" i="28"/>
  <c r="BA691" i="28"/>
  <c r="BA692" i="28"/>
  <c r="BA693" i="28"/>
  <c r="BA694" i="28"/>
  <c r="BA695" i="28"/>
  <c r="BA696" i="28"/>
  <c r="BA697" i="28"/>
  <c r="BA698" i="28"/>
  <c r="BA699" i="28"/>
  <c r="BA700" i="28"/>
  <c r="BA701" i="28"/>
  <c r="BA702" i="28"/>
  <c r="BA703" i="28"/>
  <c r="BA704" i="28"/>
  <c r="BA705" i="28"/>
  <c r="BA706" i="28"/>
  <c r="BA707" i="28"/>
  <c r="BA708" i="28"/>
  <c r="BA709" i="28"/>
  <c r="BA710" i="28"/>
  <c r="BA711" i="28"/>
  <c r="BA712" i="28"/>
  <c r="BA713" i="28"/>
  <c r="BA714" i="28"/>
  <c r="BA715" i="28"/>
  <c r="BA716" i="28"/>
  <c r="BA717" i="28"/>
  <c r="BA718" i="28"/>
  <c r="BA719" i="28"/>
  <c r="BA720" i="28"/>
  <c r="BA721" i="28"/>
  <c r="BA722" i="28"/>
  <c r="BA723" i="28"/>
  <c r="BA724" i="28"/>
  <c r="BA725" i="28"/>
  <c r="BA726" i="28"/>
  <c r="BA727" i="28"/>
  <c r="BA728" i="28"/>
  <c r="BA729" i="28"/>
  <c r="BA730" i="28"/>
  <c r="BA731" i="28"/>
  <c r="BA732" i="28"/>
  <c r="BA733" i="28"/>
  <c r="BA734" i="28"/>
  <c r="BA735" i="28"/>
  <c r="BA736" i="28"/>
  <c r="BA737" i="28"/>
  <c r="BA738" i="28"/>
  <c r="BA739" i="28"/>
  <c r="BA740" i="28"/>
  <c r="BA741" i="28"/>
  <c r="BA742" i="28"/>
  <c r="BA743" i="28"/>
  <c r="BA744" i="28"/>
  <c r="BA745" i="28"/>
  <c r="BA746" i="28"/>
  <c r="BA747" i="28"/>
  <c r="BA748" i="28"/>
  <c r="BA749" i="28"/>
  <c r="BA750" i="28"/>
  <c r="BA751" i="28"/>
  <c r="BA752" i="28"/>
  <c r="BA753" i="28"/>
  <c r="BA754" i="28"/>
  <c r="BA755" i="28"/>
  <c r="BA756" i="28"/>
  <c r="BA757" i="28"/>
  <c r="BA758" i="28"/>
  <c r="BA759" i="28"/>
  <c r="BA760" i="28"/>
  <c r="BA761" i="28"/>
  <c r="BA762" i="28"/>
  <c r="BA763" i="28"/>
  <c r="BA764" i="28"/>
  <c r="BA765" i="28"/>
  <c r="BA766" i="28"/>
  <c r="BA767" i="28"/>
  <c r="BA768" i="28"/>
  <c r="BA769" i="28"/>
  <c r="BA770" i="28"/>
  <c r="BA771" i="28"/>
  <c r="BA772" i="28"/>
  <c r="BA773" i="28"/>
  <c r="BA774" i="28"/>
  <c r="BA775" i="28"/>
  <c r="BA776" i="28"/>
  <c r="BA777" i="28"/>
  <c r="BA778" i="28"/>
  <c r="BA779" i="28"/>
  <c r="BA780" i="28"/>
  <c r="BA781" i="28"/>
  <c r="BA782" i="28"/>
  <c r="BA783" i="28"/>
  <c r="BA784" i="28"/>
  <c r="BA785" i="28"/>
  <c r="BA786" i="28"/>
  <c r="BA787" i="28"/>
  <c r="BA788" i="28"/>
  <c r="BA789" i="28"/>
  <c r="BA790" i="28"/>
  <c r="BA791" i="28"/>
  <c r="BA792" i="28"/>
  <c r="BA793" i="28"/>
  <c r="BA794" i="28"/>
  <c r="BA795" i="28"/>
  <c r="BA796" i="28"/>
  <c r="BA797" i="28"/>
  <c r="BA798" i="28"/>
  <c r="BA799" i="28"/>
  <c r="BA800" i="28"/>
  <c r="BA801" i="28"/>
  <c r="BA802" i="28"/>
  <c r="BA803" i="28"/>
  <c r="BA804" i="28"/>
  <c r="BA805" i="28"/>
  <c r="BA806" i="28"/>
  <c r="BA807" i="28"/>
  <c r="BA808" i="28"/>
  <c r="BA809" i="28"/>
  <c r="BA810" i="28"/>
  <c r="BA811" i="28"/>
  <c r="BA812" i="28"/>
  <c r="BA813" i="28"/>
  <c r="BA814" i="28"/>
  <c r="BA815" i="28"/>
  <c r="BA816" i="28"/>
  <c r="BA817" i="28"/>
  <c r="BA818" i="28"/>
  <c r="BA819" i="28"/>
  <c r="BA820" i="28"/>
  <c r="BA821" i="28"/>
  <c r="BA822" i="28"/>
  <c r="BA823" i="28"/>
  <c r="BA824" i="28"/>
  <c r="BA825" i="28"/>
  <c r="BA826" i="28"/>
  <c r="BA827" i="28"/>
  <c r="BA828" i="28"/>
  <c r="BA829" i="28"/>
  <c r="BA830" i="28"/>
  <c r="BA831" i="28"/>
  <c r="BA832" i="28"/>
  <c r="BA833" i="28"/>
  <c r="BA834" i="28"/>
  <c r="BA835" i="28"/>
  <c r="BA836" i="28"/>
  <c r="BA837" i="28"/>
  <c r="BA838" i="28"/>
  <c r="BA839" i="28"/>
  <c r="BA840" i="28"/>
  <c r="BA841" i="28"/>
  <c r="BA842" i="28"/>
  <c r="BA843" i="28"/>
  <c r="BA844" i="28"/>
  <c r="BA845" i="28"/>
  <c r="BA846" i="28"/>
  <c r="BA847" i="28"/>
  <c r="BA848" i="28"/>
  <c r="BA849" i="28"/>
  <c r="BA850" i="28"/>
  <c r="BA851" i="28"/>
  <c r="BA852" i="28"/>
  <c r="BA853" i="28"/>
  <c r="BA854" i="28"/>
  <c r="BA855" i="28"/>
  <c r="BA856" i="28"/>
  <c r="BA857" i="28"/>
  <c r="BA858" i="28"/>
  <c r="BA859" i="28"/>
  <c r="BA860" i="28"/>
  <c r="BA861" i="28"/>
  <c r="BA862" i="28"/>
  <c r="BA863" i="28"/>
  <c r="BA864" i="28"/>
  <c r="BA865" i="28"/>
  <c r="BA866" i="28"/>
  <c r="BA867" i="28"/>
  <c r="BA868" i="28"/>
  <c r="BA869" i="28"/>
  <c r="BA870" i="28"/>
  <c r="BA871" i="28"/>
  <c r="BA872" i="28"/>
  <c r="BA873" i="28"/>
  <c r="BA874" i="28"/>
  <c r="BA875" i="28"/>
  <c r="BA876" i="28"/>
  <c r="BA877" i="28"/>
  <c r="BA878" i="28"/>
  <c r="BA879" i="28"/>
  <c r="BA880" i="28"/>
  <c r="BA881" i="28"/>
  <c r="BA882" i="28"/>
  <c r="BA883" i="28"/>
  <c r="BA884" i="28"/>
  <c r="BA885" i="28"/>
  <c r="BA886" i="28"/>
  <c r="BA887" i="28"/>
  <c r="BA888" i="28"/>
  <c r="BA889" i="28"/>
  <c r="BA890" i="28"/>
  <c r="BA891" i="28"/>
  <c r="BA892" i="28"/>
  <c r="BA893" i="28"/>
  <c r="BA894" i="28"/>
  <c r="BA895" i="28"/>
  <c r="BA896" i="28"/>
  <c r="BA897" i="28"/>
  <c r="BA898" i="28"/>
  <c r="BA899" i="28"/>
  <c r="BA900" i="28"/>
  <c r="BA901" i="28"/>
  <c r="BA902" i="28"/>
  <c r="BA903" i="28"/>
  <c r="BA904" i="28"/>
  <c r="BA905" i="28"/>
  <c r="BA906" i="28"/>
  <c r="BA907" i="28"/>
  <c r="BA908" i="28"/>
  <c r="BA909" i="28"/>
  <c r="BA910" i="28"/>
  <c r="BA911" i="28"/>
  <c r="BA912" i="28"/>
  <c r="BA913" i="28"/>
  <c r="BA914" i="28"/>
  <c r="BA915" i="28"/>
  <c r="BA916" i="28"/>
  <c r="BA917" i="28"/>
  <c r="BA918" i="28"/>
  <c r="BA919" i="28"/>
  <c r="BA920" i="28"/>
  <c r="BA921" i="28"/>
  <c r="BA922" i="28"/>
  <c r="BA923" i="28"/>
  <c r="BA924" i="28"/>
  <c r="BA925" i="28"/>
  <c r="BA926" i="28"/>
  <c r="BA927" i="28"/>
  <c r="BA928" i="28"/>
  <c r="BA929" i="28"/>
  <c r="BA930" i="28"/>
  <c r="BA931" i="28"/>
  <c r="BA932" i="28"/>
  <c r="BA933" i="28"/>
  <c r="BA934" i="28"/>
  <c r="BA935" i="28"/>
  <c r="BA936" i="28"/>
  <c r="BA937" i="28"/>
  <c r="BA938" i="28"/>
  <c r="BA939" i="28"/>
  <c r="BA940" i="28"/>
  <c r="BA941" i="28"/>
  <c r="BA942" i="28"/>
  <c r="BA943" i="28"/>
  <c r="BA944" i="28"/>
  <c r="BA945" i="28"/>
  <c r="BA946" i="28"/>
  <c r="BA947" i="28"/>
  <c r="BA948" i="28"/>
  <c r="BA949" i="28"/>
  <c r="BA950" i="28"/>
  <c r="BA951" i="28"/>
  <c r="BA952" i="28"/>
  <c r="BA953" i="28"/>
  <c r="BA954" i="28"/>
  <c r="BA955" i="28"/>
  <c r="BA956" i="28"/>
  <c r="BA957" i="28"/>
  <c r="BA958" i="28"/>
  <c r="BA959" i="28"/>
  <c r="BA960" i="28"/>
  <c r="BA961" i="28"/>
  <c r="BA962" i="28"/>
  <c r="BA963" i="28"/>
  <c r="BA964" i="28"/>
  <c r="BA965" i="28"/>
  <c r="BA966" i="28"/>
  <c r="BA967" i="28"/>
  <c r="BA968" i="28"/>
  <c r="BA969" i="28"/>
  <c r="BA970" i="28"/>
  <c r="BA971" i="28"/>
  <c r="BA972" i="28"/>
  <c r="BA973" i="28"/>
  <c r="BA974" i="28"/>
  <c r="BA975" i="28"/>
  <c r="BA976" i="28"/>
  <c r="BA977" i="28"/>
  <c r="BA978" i="28"/>
  <c r="BA979" i="28"/>
  <c r="BA980" i="28"/>
  <c r="BA981" i="28"/>
  <c r="BA982" i="28"/>
  <c r="BA983" i="28"/>
  <c r="BA984" i="28"/>
  <c r="BA985" i="28"/>
  <c r="BA986" i="28"/>
  <c r="BA987" i="28"/>
  <c r="BA988" i="28"/>
  <c r="BA989" i="28"/>
  <c r="BA990" i="28"/>
  <c r="BA991" i="28"/>
  <c r="BA992" i="28"/>
  <c r="BA993" i="28"/>
  <c r="BA994" i="28"/>
  <c r="BA995" i="28"/>
  <c r="BA996" i="28"/>
  <c r="BA997" i="28"/>
  <c r="BA998" i="28"/>
  <c r="BA999" i="28"/>
  <c r="BA1000" i="28"/>
  <c r="BA1001" i="28"/>
  <c r="BA1002" i="28"/>
  <c r="BA1003" i="28"/>
  <c r="BA1004" i="28"/>
  <c r="BA1005" i="28"/>
  <c r="BA1006" i="28"/>
  <c r="BA1007" i="28"/>
  <c r="BA1008" i="28"/>
  <c r="BA1009" i="28"/>
  <c r="BA1010" i="28"/>
  <c r="BA1011" i="28"/>
  <c r="BA1012" i="28"/>
  <c r="BA1013" i="28"/>
  <c r="BA1014" i="28"/>
  <c r="BA1015" i="28"/>
  <c r="BA1016" i="28"/>
  <c r="BA1017" i="28"/>
  <c r="BA1018" i="28"/>
  <c r="BA1019" i="28"/>
  <c r="BA1020" i="28"/>
  <c r="BA1021" i="28"/>
  <c r="BA1022" i="28"/>
  <c r="BA1023" i="28"/>
  <c r="BA1024" i="28"/>
  <c r="BA1025" i="28"/>
  <c r="BA1026" i="28"/>
  <c r="BA1027" i="28"/>
  <c r="BA1028" i="28"/>
  <c r="BA1029" i="28"/>
  <c r="BA1030" i="28"/>
  <c r="BA1031" i="28"/>
  <c r="BA1032" i="28"/>
  <c r="BA1033" i="28"/>
  <c r="BA1034" i="28"/>
  <c r="BA1035" i="28"/>
  <c r="BA1036" i="28"/>
  <c r="BA1037" i="28"/>
  <c r="BA1038" i="28"/>
  <c r="BA1039" i="28"/>
  <c r="BA1040" i="28"/>
  <c r="BA1041" i="28"/>
  <c r="BA1042" i="28"/>
  <c r="BA1043" i="28"/>
  <c r="BA1044" i="28"/>
  <c r="BA1045" i="28"/>
  <c r="BA1046" i="28"/>
  <c r="BA1047" i="28"/>
  <c r="BA1048" i="28"/>
  <c r="BA1049" i="28"/>
  <c r="BA1050" i="28"/>
  <c r="BA1051" i="28"/>
  <c r="BA1052" i="28"/>
  <c r="BA1053" i="28"/>
  <c r="BA1054" i="28"/>
  <c r="BA1055" i="28"/>
  <c r="BA1056" i="28"/>
  <c r="BA1057" i="28"/>
  <c r="BA1058" i="28"/>
  <c r="BA1059" i="28"/>
  <c r="BA1060" i="28"/>
  <c r="BA1061" i="28"/>
  <c r="BA1062" i="28"/>
  <c r="BA1063" i="28"/>
  <c r="BA1064" i="28"/>
  <c r="BA1065" i="28"/>
  <c r="BA1066" i="28"/>
  <c r="BA1067" i="28"/>
  <c r="BA1068" i="28"/>
  <c r="BA1069" i="28"/>
  <c r="BA1070" i="28"/>
  <c r="BA1071" i="28"/>
  <c r="BA1072" i="28"/>
  <c r="BA1073" i="28"/>
  <c r="BA1074" i="28"/>
  <c r="BA1075" i="28"/>
  <c r="BA1076" i="28"/>
  <c r="BA1077" i="28"/>
  <c r="BA1078" i="28"/>
  <c r="BA1079" i="28"/>
  <c r="BA1080" i="28"/>
  <c r="BA1081" i="28"/>
  <c r="BA1082" i="28"/>
  <c r="BA1083" i="28"/>
  <c r="BA1084" i="28"/>
  <c r="BA1085" i="28"/>
  <c r="BA1086" i="28"/>
  <c r="BA1087" i="28"/>
  <c r="BA1088" i="28"/>
  <c r="BA1089" i="28"/>
  <c r="BA1090" i="28"/>
  <c r="BA1091" i="28"/>
  <c r="BA1092" i="28"/>
  <c r="BA1093" i="28"/>
  <c r="BA1094" i="28"/>
  <c r="BA1095" i="28"/>
  <c r="BA1096" i="28"/>
  <c r="BA1097" i="28"/>
  <c r="BA1098" i="28"/>
  <c r="BA1099" i="28"/>
  <c r="BA1100" i="28"/>
  <c r="BA1101" i="28"/>
  <c r="BA1102" i="28"/>
  <c r="BA1103" i="28"/>
  <c r="BA1104" i="28"/>
  <c r="BA1105" i="28"/>
  <c r="BA1106" i="28"/>
  <c r="BA1107" i="28"/>
  <c r="BA1108" i="28"/>
  <c r="BA1109" i="28"/>
  <c r="BA1110" i="28"/>
  <c r="BA1111" i="28"/>
  <c r="BA1112" i="28"/>
  <c r="BA1113" i="28"/>
  <c r="BA1114" i="28"/>
  <c r="BA1115" i="28"/>
  <c r="BA1116" i="28"/>
  <c r="BA1117" i="28"/>
  <c r="BA1118" i="28"/>
  <c r="BA1119" i="28"/>
  <c r="BA1120" i="28"/>
  <c r="BA1121" i="28"/>
  <c r="BA1122" i="28"/>
  <c r="BA1123" i="28"/>
  <c r="BA1124" i="28"/>
  <c r="BA1125" i="28"/>
  <c r="BA1126" i="28"/>
  <c r="BA1127" i="28"/>
  <c r="BA1128" i="28"/>
  <c r="BA1129" i="28"/>
  <c r="BA1130" i="28"/>
  <c r="BA1131" i="28"/>
  <c r="BA1132" i="28"/>
  <c r="BA1133" i="28"/>
  <c r="BA1134" i="28"/>
  <c r="BA1135" i="28"/>
  <c r="BA1136" i="28"/>
  <c r="BA1137" i="28"/>
  <c r="BA1138" i="28"/>
  <c r="BA1139" i="28"/>
  <c r="BA1140" i="28"/>
  <c r="BA1141" i="28"/>
  <c r="BA1142" i="28"/>
  <c r="BA1143" i="28"/>
  <c r="BA1144" i="28"/>
  <c r="BA1145" i="28"/>
  <c r="BA1146" i="28"/>
  <c r="BA1147" i="28"/>
  <c r="BA1148" i="28"/>
  <c r="BA1149" i="28"/>
  <c r="BA1150" i="28"/>
  <c r="BA1151" i="28"/>
  <c r="BA1152" i="28"/>
  <c r="BA1153" i="28"/>
  <c r="BA1154" i="28"/>
  <c r="BA1155" i="28"/>
  <c r="BA1156" i="28"/>
  <c r="BA1157" i="28"/>
  <c r="BA1158" i="28"/>
  <c r="BA1159" i="28"/>
  <c r="BA1160" i="28"/>
  <c r="BA1161" i="28"/>
  <c r="BA1162" i="28"/>
  <c r="BA1163" i="28"/>
  <c r="BA1164" i="28"/>
  <c r="BA1165" i="28"/>
  <c r="BA1166" i="28"/>
  <c r="BA1167" i="28"/>
  <c r="BA1168" i="28"/>
  <c r="BA1169" i="28"/>
  <c r="BA1170" i="28"/>
  <c r="BA1171" i="28"/>
  <c r="BA1172" i="28"/>
  <c r="BA1173" i="28"/>
  <c r="BA1174" i="28"/>
  <c r="BA1175" i="28"/>
  <c r="BA1176" i="28"/>
  <c r="BA1177" i="28"/>
  <c r="BA1178" i="28"/>
  <c r="BA1179" i="28"/>
  <c r="BA1180" i="28"/>
  <c r="BA1181" i="28"/>
  <c r="BA1182" i="28"/>
  <c r="BA1183" i="28"/>
  <c r="BA1184" i="28"/>
  <c r="BA1185" i="28"/>
  <c r="BA1186" i="28"/>
  <c r="BA1187" i="28"/>
  <c r="BA1188" i="28"/>
  <c r="BA1189" i="28"/>
  <c r="BA1190" i="28"/>
  <c r="BA1191" i="28"/>
  <c r="BA1192" i="28"/>
  <c r="BA1193" i="28"/>
  <c r="BA1194" i="28"/>
  <c r="BA1195" i="28"/>
  <c r="BA1196" i="28"/>
  <c r="BA1197" i="28"/>
  <c r="BA1198" i="28"/>
  <c r="BA1199" i="28"/>
  <c r="BA1200" i="28"/>
  <c r="BA1201" i="28"/>
  <c r="BA1202" i="28"/>
  <c r="BA1203" i="28"/>
  <c r="BA1204" i="28"/>
  <c r="BA1205" i="28"/>
  <c r="BA1206" i="28"/>
  <c r="BA1207" i="28"/>
  <c r="BA1208" i="28"/>
  <c r="BA1209" i="28"/>
  <c r="BA1210" i="28"/>
  <c r="BA1211" i="28"/>
  <c r="BA1212" i="28"/>
  <c r="BA1213" i="28"/>
  <c r="BA1214" i="28"/>
  <c r="BA1215" i="28"/>
  <c r="BA1216" i="28"/>
  <c r="BA1217" i="28"/>
  <c r="BA1218" i="28"/>
  <c r="BA1219" i="28"/>
  <c r="BA1220" i="28"/>
  <c r="BA1221" i="28"/>
  <c r="BA1222" i="28"/>
  <c r="BA1223" i="28"/>
  <c r="BA1224" i="28"/>
  <c r="BA1225" i="28"/>
  <c r="BA26" i="28"/>
  <c r="AY26" i="28"/>
  <c r="BB171" i="28"/>
  <c r="BB172" i="28"/>
  <c r="BB173" i="28"/>
  <c r="BB174" i="28"/>
  <c r="BB175" i="28"/>
  <c r="BB176" i="28"/>
  <c r="BB177" i="28"/>
  <c r="BB178" i="28"/>
  <c r="BB179" i="28"/>
  <c r="BB180" i="28"/>
  <c r="BB181" i="28"/>
  <c r="BB182" i="28"/>
  <c r="BB183" i="28"/>
  <c r="BB184" i="28"/>
  <c r="BB185" i="28"/>
  <c r="BB186" i="28"/>
  <c r="BB187" i="28"/>
  <c r="BB188" i="28"/>
  <c r="BB189" i="28"/>
  <c r="BB190" i="28"/>
  <c r="BB191" i="28"/>
  <c r="BB192" i="28"/>
  <c r="BB193" i="28"/>
  <c r="BB194" i="28"/>
  <c r="BB195" i="28"/>
  <c r="BB196" i="28"/>
  <c r="BB197" i="28"/>
  <c r="BB198" i="28"/>
  <c r="BB199" i="28"/>
  <c r="BB200" i="28"/>
  <c r="BB201" i="28"/>
  <c r="BB202" i="28"/>
  <c r="BB203" i="28"/>
  <c r="BB204" i="28"/>
  <c r="BB205" i="28"/>
  <c r="BB206" i="28"/>
  <c r="BB207" i="28"/>
  <c r="BB208" i="28"/>
  <c r="BB209" i="28"/>
  <c r="BB210" i="28"/>
  <c r="BB211" i="28"/>
  <c r="BB212" i="28"/>
  <c r="BB213" i="28"/>
  <c r="BB214" i="28"/>
  <c r="BB215" i="28"/>
  <c r="BB216" i="28"/>
  <c r="BB217" i="28"/>
  <c r="BB218" i="28"/>
  <c r="BB219" i="28"/>
  <c r="BB220" i="28"/>
  <c r="BB221" i="28"/>
  <c r="BB222" i="28"/>
  <c r="BB223" i="28"/>
  <c r="BB224" i="28"/>
  <c r="BB225" i="28"/>
  <c r="BB226" i="28"/>
  <c r="BB227" i="28"/>
  <c r="BB228" i="28"/>
  <c r="BB229" i="28"/>
  <c r="BB230" i="28"/>
  <c r="BB231" i="28"/>
  <c r="BB232" i="28"/>
  <c r="BB233" i="28"/>
  <c r="BB234" i="28"/>
  <c r="BB235" i="28"/>
  <c r="BB236" i="28"/>
  <c r="BB237" i="28"/>
  <c r="BB238" i="28"/>
  <c r="BB239" i="28"/>
  <c r="BB240" i="28"/>
  <c r="BB241" i="28"/>
  <c r="BB242" i="28"/>
  <c r="BB243" i="28"/>
  <c r="BB244" i="28"/>
  <c r="BB245" i="28"/>
  <c r="BB246" i="28"/>
  <c r="BB247" i="28"/>
  <c r="BB248" i="28"/>
  <c r="BB249" i="28"/>
  <c r="BB250" i="28"/>
  <c r="BB251" i="28"/>
  <c r="BB252" i="28"/>
  <c r="BB253" i="28"/>
  <c r="BB254" i="28"/>
  <c r="BB255" i="28"/>
  <c r="BB256" i="28"/>
  <c r="BB257" i="28"/>
  <c r="BB258" i="28"/>
  <c r="BB259" i="28"/>
  <c r="BB260" i="28"/>
  <c r="BB261" i="28"/>
  <c r="BB262" i="28"/>
  <c r="BB263" i="28"/>
  <c r="BB264" i="28"/>
  <c r="BB265" i="28"/>
  <c r="BB266" i="28"/>
  <c r="BB267" i="28"/>
  <c r="BB268" i="28"/>
  <c r="BB269" i="28"/>
  <c r="BB270" i="28"/>
  <c r="BB271" i="28"/>
  <c r="BB272" i="28"/>
  <c r="BB273" i="28"/>
  <c r="BB274" i="28"/>
  <c r="BB275" i="28"/>
  <c r="BB276" i="28"/>
  <c r="BB277" i="28"/>
  <c r="BB278" i="28"/>
  <c r="BB279" i="28"/>
  <c r="BB280" i="28"/>
  <c r="BB281" i="28"/>
  <c r="BB282" i="28"/>
  <c r="BB283" i="28"/>
  <c r="BB284" i="28"/>
  <c r="BB285" i="28"/>
  <c r="BB286" i="28"/>
  <c r="BB287" i="28"/>
  <c r="BB288" i="28"/>
  <c r="BB289" i="28"/>
  <c r="BB290" i="28"/>
  <c r="BB291" i="28"/>
  <c r="BB292" i="28"/>
  <c r="BB293" i="28"/>
  <c r="BB294" i="28"/>
  <c r="BB295" i="28"/>
  <c r="BB296" i="28"/>
  <c r="BB297" i="28"/>
  <c r="BB298" i="28"/>
  <c r="BB299" i="28"/>
  <c r="BB300" i="28"/>
  <c r="BB301" i="28"/>
  <c r="BB302" i="28"/>
  <c r="BB303" i="28"/>
  <c r="BB304" i="28"/>
  <c r="BB305" i="28"/>
  <c r="BB306" i="28"/>
  <c r="BB307" i="28"/>
  <c r="BB308" i="28"/>
  <c r="BB309" i="28"/>
  <c r="BB310" i="28"/>
  <c r="BB311" i="28"/>
  <c r="BB312" i="28"/>
  <c r="BB313" i="28"/>
  <c r="BB314" i="28"/>
  <c r="BB315" i="28"/>
  <c r="BB316" i="28"/>
  <c r="BB317" i="28"/>
  <c r="BB318" i="28"/>
  <c r="BB319" i="28"/>
  <c r="BB320" i="28"/>
  <c r="BB321" i="28"/>
  <c r="BB322" i="28"/>
  <c r="BB323" i="28"/>
  <c r="BB324" i="28"/>
  <c r="BB325" i="28"/>
  <c r="BB326" i="28"/>
  <c r="BB327" i="28"/>
  <c r="BB328" i="28"/>
  <c r="BB329" i="28"/>
  <c r="BB330" i="28"/>
  <c r="BB331" i="28"/>
  <c r="BB332" i="28"/>
  <c r="BB333" i="28"/>
  <c r="BB334" i="28"/>
  <c r="BB335" i="28"/>
  <c r="BB336" i="28"/>
  <c r="BB337" i="28"/>
  <c r="BB338" i="28"/>
  <c r="BB339" i="28"/>
  <c r="BB340" i="28"/>
  <c r="BB341" i="28"/>
  <c r="BB342" i="28"/>
  <c r="BB343" i="28"/>
  <c r="BB344" i="28"/>
  <c r="BB345" i="28"/>
  <c r="BB346" i="28"/>
  <c r="BB347" i="28"/>
  <c r="BB348" i="28"/>
  <c r="BB349" i="28"/>
  <c r="BB350" i="28"/>
  <c r="BB351" i="28"/>
  <c r="BB352" i="28"/>
  <c r="BB353" i="28"/>
  <c r="BB354" i="28"/>
  <c r="BB355" i="28"/>
  <c r="BB356" i="28"/>
  <c r="BB357" i="28"/>
  <c r="BB358" i="28"/>
  <c r="BB359" i="28"/>
  <c r="BB360" i="28"/>
  <c r="BB361" i="28"/>
  <c r="BB362" i="28"/>
  <c r="BB363" i="28"/>
  <c r="BB364" i="28"/>
  <c r="BB365" i="28"/>
  <c r="BB366" i="28"/>
  <c r="BB367" i="28"/>
  <c r="BB368" i="28"/>
  <c r="BB369" i="28"/>
  <c r="BB370" i="28"/>
  <c r="BB371" i="28"/>
  <c r="BB372" i="28"/>
  <c r="BB373" i="28"/>
  <c r="BB374" i="28"/>
  <c r="BB375" i="28"/>
  <c r="BB376" i="28"/>
  <c r="BB377" i="28"/>
  <c r="BB378" i="28"/>
  <c r="BB379" i="28"/>
  <c r="BB380" i="28"/>
  <c r="BB381" i="28"/>
  <c r="BB382" i="28"/>
  <c r="BB383" i="28"/>
  <c r="BB384" i="28"/>
  <c r="BB385" i="28"/>
  <c r="BB386" i="28"/>
  <c r="BB387" i="28"/>
  <c r="BB388" i="28"/>
  <c r="BB389" i="28"/>
  <c r="BB390" i="28"/>
  <c r="BB391" i="28"/>
  <c r="BB392" i="28"/>
  <c r="BB393" i="28"/>
  <c r="BB394" i="28"/>
  <c r="BB395" i="28"/>
  <c r="BB396" i="28"/>
  <c r="BB397" i="28"/>
  <c r="BB398" i="28"/>
  <c r="BB399" i="28"/>
  <c r="BB400" i="28"/>
  <c r="BB401" i="28"/>
  <c r="BB402" i="28"/>
  <c r="BB403" i="28"/>
  <c r="BB404" i="28"/>
  <c r="BB405" i="28"/>
  <c r="BB406" i="28"/>
  <c r="BB407" i="28"/>
  <c r="BB408" i="28"/>
  <c r="BB409" i="28"/>
  <c r="BB410" i="28"/>
  <c r="BB411" i="28"/>
  <c r="BB412" i="28"/>
  <c r="BB413" i="28"/>
  <c r="BB414" i="28"/>
  <c r="BB415" i="28"/>
  <c r="BB416" i="28"/>
  <c r="BB417" i="28"/>
  <c r="BB418" i="28"/>
  <c r="BB419" i="28"/>
  <c r="BB420" i="28"/>
  <c r="BB421" i="28"/>
  <c r="BB422" i="28"/>
  <c r="BB423" i="28"/>
  <c r="BB424" i="28"/>
  <c r="BB425" i="28"/>
  <c r="BB426" i="28"/>
  <c r="BB427" i="28"/>
  <c r="BB428" i="28"/>
  <c r="BB429" i="28"/>
  <c r="BB430" i="28"/>
  <c r="BB431" i="28"/>
  <c r="BB432" i="28"/>
  <c r="BB433" i="28"/>
  <c r="BB434" i="28"/>
  <c r="BB435" i="28"/>
  <c r="BB436" i="28"/>
  <c r="BB437" i="28"/>
  <c r="BB438" i="28"/>
  <c r="BB439" i="28"/>
  <c r="BB440" i="28"/>
  <c r="BB441" i="28"/>
  <c r="BB442" i="28"/>
  <c r="BB443" i="28"/>
  <c r="BB444" i="28"/>
  <c r="BB445" i="28"/>
  <c r="BB446" i="28"/>
  <c r="BB447" i="28"/>
  <c r="BB448" i="28"/>
  <c r="BB449" i="28"/>
  <c r="BB450" i="28"/>
  <c r="BB451" i="28"/>
  <c r="BB452" i="28"/>
  <c r="BB453" i="28"/>
  <c r="BB454" i="28"/>
  <c r="BB455" i="28"/>
  <c r="BB456" i="28"/>
  <c r="BB457" i="28"/>
  <c r="BB458" i="28"/>
  <c r="BB459" i="28"/>
  <c r="BB460" i="28"/>
  <c r="BB461" i="28"/>
  <c r="BB462" i="28"/>
  <c r="BB463" i="28"/>
  <c r="BB464" i="28"/>
  <c r="BB465" i="28"/>
  <c r="BB466" i="28"/>
  <c r="BB467" i="28"/>
  <c r="BB468" i="28"/>
  <c r="BB469" i="28"/>
  <c r="BB470" i="28"/>
  <c r="BB471" i="28"/>
  <c r="BB472" i="28"/>
  <c r="BB473" i="28"/>
  <c r="BB474" i="28"/>
  <c r="BB475" i="28"/>
  <c r="BB476" i="28"/>
  <c r="BB477" i="28"/>
  <c r="BB478" i="28"/>
  <c r="BB479" i="28"/>
  <c r="BB480" i="28"/>
  <c r="BB481" i="28"/>
  <c r="BB482" i="28"/>
  <c r="BB483" i="28"/>
  <c r="BB484" i="28"/>
  <c r="BB485" i="28"/>
  <c r="BB486" i="28"/>
  <c r="BB487" i="28"/>
  <c r="BB488" i="28"/>
  <c r="BB489" i="28"/>
  <c r="BB490" i="28"/>
  <c r="BB491" i="28"/>
  <c r="BB492" i="28"/>
  <c r="BB493" i="28"/>
  <c r="BB494" i="28"/>
  <c r="BB495" i="28"/>
  <c r="BB496" i="28"/>
  <c r="BB497" i="28"/>
  <c r="BB498" i="28"/>
  <c r="BB499" i="28"/>
  <c r="BB500" i="28"/>
  <c r="BB501" i="28"/>
  <c r="BB502" i="28"/>
  <c r="BB503" i="28"/>
  <c r="BB504" i="28"/>
  <c r="BB505" i="28"/>
  <c r="BB506" i="28"/>
  <c r="BB507" i="28"/>
  <c r="BB508" i="28"/>
  <c r="BB509" i="28"/>
  <c r="BB510" i="28"/>
  <c r="BB511" i="28"/>
  <c r="BB512" i="28"/>
  <c r="BB513" i="28"/>
  <c r="BB514" i="28"/>
  <c r="BB515" i="28"/>
  <c r="BB516" i="28"/>
  <c r="BB517" i="28"/>
  <c r="BB518" i="28"/>
  <c r="BB519" i="28"/>
  <c r="BB520" i="28"/>
  <c r="BB521" i="28"/>
  <c r="BB522" i="28"/>
  <c r="BB523" i="28"/>
  <c r="BB524" i="28"/>
  <c r="BB525" i="28"/>
  <c r="BB526" i="28"/>
  <c r="BB527" i="28"/>
  <c r="BB528" i="28"/>
  <c r="BB529" i="28"/>
  <c r="BB530" i="28"/>
  <c r="BB531" i="28"/>
  <c r="BB532" i="28"/>
  <c r="BB533" i="28"/>
  <c r="BB534" i="28"/>
  <c r="BB535" i="28"/>
  <c r="BB536" i="28"/>
  <c r="BB537" i="28"/>
  <c r="BB538" i="28"/>
  <c r="BB539" i="28"/>
  <c r="BB540" i="28"/>
  <c r="BB541" i="28"/>
  <c r="BB542" i="28"/>
  <c r="BB543" i="28"/>
  <c r="BB544" i="28"/>
  <c r="BB545" i="28"/>
  <c r="BB546" i="28"/>
  <c r="BB547" i="28"/>
  <c r="BB548" i="28"/>
  <c r="BB549" i="28"/>
  <c r="BB550" i="28"/>
  <c r="BB551" i="28"/>
  <c r="BB552" i="28"/>
  <c r="BB553" i="28"/>
  <c r="BB554" i="28"/>
  <c r="BB555" i="28"/>
  <c r="BB556" i="28"/>
  <c r="BB557" i="28"/>
  <c r="BB558" i="28"/>
  <c r="BB559" i="28"/>
  <c r="BB560" i="28"/>
  <c r="BB561" i="28"/>
  <c r="BB562" i="28"/>
  <c r="BB563" i="28"/>
  <c r="BB564" i="28"/>
  <c r="BB565" i="28"/>
  <c r="BB566" i="28"/>
  <c r="BB567" i="28"/>
  <c r="BB568" i="28"/>
  <c r="BB569" i="28"/>
  <c r="BB570" i="28"/>
  <c r="BB571" i="28"/>
  <c r="BB572" i="28"/>
  <c r="BB573" i="28"/>
  <c r="BB574" i="28"/>
  <c r="BB575" i="28"/>
  <c r="BB576" i="28"/>
  <c r="BB577" i="28"/>
  <c r="BB578" i="28"/>
  <c r="BB579" i="28"/>
  <c r="BB580" i="28"/>
  <c r="BB581" i="28"/>
  <c r="BB582" i="28"/>
  <c r="BB583" i="28"/>
  <c r="BB584" i="28"/>
  <c r="BB585" i="28"/>
  <c r="BB586" i="28"/>
  <c r="BB587" i="28"/>
  <c r="BB588" i="28"/>
  <c r="BB589" i="28"/>
  <c r="BB590" i="28"/>
  <c r="BB591" i="28"/>
  <c r="BB592" i="28"/>
  <c r="BB593" i="28"/>
  <c r="BB594" i="28"/>
  <c r="BB595" i="28"/>
  <c r="BB596" i="28"/>
  <c r="BB597" i="28"/>
  <c r="BB598" i="28"/>
  <c r="BB599" i="28"/>
  <c r="BB600" i="28"/>
  <c r="BB601" i="28"/>
  <c r="BB602" i="28"/>
  <c r="BB603" i="28"/>
  <c r="BB604" i="28"/>
  <c r="BB605" i="28"/>
  <c r="BB606" i="28"/>
  <c r="BB607" i="28"/>
  <c r="BB608" i="28"/>
  <c r="BB609" i="28"/>
  <c r="BB610" i="28"/>
  <c r="BB611" i="28"/>
  <c r="BB612" i="28"/>
  <c r="BB613" i="28"/>
  <c r="BB614" i="28"/>
  <c r="BB615" i="28"/>
  <c r="BB616" i="28"/>
  <c r="BB617" i="28"/>
  <c r="BB618" i="28"/>
  <c r="BB619" i="28"/>
  <c r="BB620" i="28"/>
  <c r="BB621" i="28"/>
  <c r="BB622" i="28"/>
  <c r="BB623" i="28"/>
  <c r="BB624" i="28"/>
  <c r="BB625" i="28"/>
  <c r="BB626" i="28"/>
  <c r="BB627" i="28"/>
  <c r="BB628" i="28"/>
  <c r="BB629" i="28"/>
  <c r="BB630" i="28"/>
  <c r="BB631" i="28"/>
  <c r="BB632" i="28"/>
  <c r="BB633" i="28"/>
  <c r="BB634" i="28"/>
  <c r="BB635" i="28"/>
  <c r="BB636" i="28"/>
  <c r="BB637" i="28"/>
  <c r="BB638" i="28"/>
  <c r="BB639" i="28"/>
  <c r="BB640" i="28"/>
  <c r="BB641" i="28"/>
  <c r="BB642" i="28"/>
  <c r="BB643" i="28"/>
  <c r="BB644" i="28"/>
  <c r="BB645" i="28"/>
  <c r="BB646" i="28"/>
  <c r="BB647" i="28"/>
  <c r="BB648" i="28"/>
  <c r="BB649" i="28"/>
  <c r="BB650" i="28"/>
  <c r="BB651" i="28"/>
  <c r="BB652" i="28"/>
  <c r="BB653" i="28"/>
  <c r="BB654" i="28"/>
  <c r="BB655" i="28"/>
  <c r="BB656" i="28"/>
  <c r="BB657" i="28"/>
  <c r="BB658" i="28"/>
  <c r="BB659" i="28"/>
  <c r="BB660" i="28"/>
  <c r="BB661" i="28"/>
  <c r="BB662" i="28"/>
  <c r="BB663" i="28"/>
  <c r="BB664" i="28"/>
  <c r="BB665" i="28"/>
  <c r="BB666" i="28"/>
  <c r="BB667" i="28"/>
  <c r="BB668" i="28"/>
  <c r="BB669" i="28"/>
  <c r="BB670" i="28"/>
  <c r="BB671" i="28"/>
  <c r="BB672" i="28"/>
  <c r="BB673" i="28"/>
  <c r="BB674" i="28"/>
  <c r="BB675" i="28"/>
  <c r="BB676" i="28"/>
  <c r="BB677" i="28"/>
  <c r="BB678" i="28"/>
  <c r="BB679" i="28"/>
  <c r="BB680" i="28"/>
  <c r="BB681" i="28"/>
  <c r="BB682" i="28"/>
  <c r="BB683" i="28"/>
  <c r="BB684" i="28"/>
  <c r="BB685" i="28"/>
  <c r="BB686" i="28"/>
  <c r="BB687" i="28"/>
  <c r="BB688" i="28"/>
  <c r="BB689" i="28"/>
  <c r="BB690" i="28"/>
  <c r="BB691" i="28"/>
  <c r="BB692" i="28"/>
  <c r="BB693" i="28"/>
  <c r="BB694" i="28"/>
  <c r="BB695" i="28"/>
  <c r="BB696" i="28"/>
  <c r="BB697" i="28"/>
  <c r="BB698" i="28"/>
  <c r="BB699" i="28"/>
  <c r="BB700" i="28"/>
  <c r="BB701" i="28"/>
  <c r="BB702" i="28"/>
  <c r="BB703" i="28"/>
  <c r="BB704" i="28"/>
  <c r="BB705" i="28"/>
  <c r="BB706" i="28"/>
  <c r="BB707" i="28"/>
  <c r="BB708" i="28"/>
  <c r="BB709" i="28"/>
  <c r="BB710" i="28"/>
  <c r="BB711" i="28"/>
  <c r="BB712" i="28"/>
  <c r="BB713" i="28"/>
  <c r="BB714" i="28"/>
  <c r="BB715" i="28"/>
  <c r="BB716" i="28"/>
  <c r="BB717" i="28"/>
  <c r="BB718" i="28"/>
  <c r="BB719" i="28"/>
  <c r="BB720" i="28"/>
  <c r="BB721" i="28"/>
  <c r="BB722" i="28"/>
  <c r="BB723" i="28"/>
  <c r="BB724" i="28"/>
  <c r="BB725" i="28"/>
  <c r="BB726" i="28"/>
  <c r="BB727" i="28"/>
  <c r="BB728" i="28"/>
  <c r="BB729" i="28"/>
  <c r="BB730" i="28"/>
  <c r="BB731" i="28"/>
  <c r="BB732" i="28"/>
  <c r="BB733" i="28"/>
  <c r="BB734" i="28"/>
  <c r="BB735" i="28"/>
  <c r="BB736" i="28"/>
  <c r="BB737" i="28"/>
  <c r="BB738" i="28"/>
  <c r="BB739" i="28"/>
  <c r="BB740" i="28"/>
  <c r="BB741" i="28"/>
  <c r="BB742" i="28"/>
  <c r="BB743" i="28"/>
  <c r="BB744" i="28"/>
  <c r="BB745" i="28"/>
  <c r="BB746" i="28"/>
  <c r="BB747" i="28"/>
  <c r="BB748" i="28"/>
  <c r="BB749" i="28"/>
  <c r="BB750" i="28"/>
  <c r="BB751" i="28"/>
  <c r="BB752" i="28"/>
  <c r="BB753" i="28"/>
  <c r="BB754" i="28"/>
  <c r="BB755" i="28"/>
  <c r="BB756" i="28"/>
  <c r="BB757" i="28"/>
  <c r="BB758" i="28"/>
  <c r="BB759" i="28"/>
  <c r="BB760" i="28"/>
  <c r="BB761" i="28"/>
  <c r="BB762" i="28"/>
  <c r="BB763" i="28"/>
  <c r="BB764" i="28"/>
  <c r="BB765" i="28"/>
  <c r="BB766" i="28"/>
  <c r="BB767" i="28"/>
  <c r="BB768" i="28"/>
  <c r="BB769" i="28"/>
  <c r="BB770" i="28"/>
  <c r="BB771" i="28"/>
  <c r="BB772" i="28"/>
  <c r="BB773" i="28"/>
  <c r="BB774" i="28"/>
  <c r="BB775" i="28"/>
  <c r="BB776" i="28"/>
  <c r="BB777" i="28"/>
  <c r="BB778" i="28"/>
  <c r="BB779" i="28"/>
  <c r="BB780" i="28"/>
  <c r="BB781" i="28"/>
  <c r="BB782" i="28"/>
  <c r="BB783" i="28"/>
  <c r="BB784" i="28"/>
  <c r="BB785" i="28"/>
  <c r="BB786" i="28"/>
  <c r="BB787" i="28"/>
  <c r="BB788" i="28"/>
  <c r="BB789" i="28"/>
  <c r="BB790" i="28"/>
  <c r="BB791" i="28"/>
  <c r="BB792" i="28"/>
  <c r="BB793" i="28"/>
  <c r="BB794" i="28"/>
  <c r="BB795" i="28"/>
  <c r="BB796" i="28"/>
  <c r="BB797" i="28"/>
  <c r="BB798" i="28"/>
  <c r="BB799" i="28"/>
  <c r="BB800" i="28"/>
  <c r="BB801" i="28"/>
  <c r="BB802" i="28"/>
  <c r="BB803" i="28"/>
  <c r="BB804" i="28"/>
  <c r="BB805" i="28"/>
  <c r="BB806" i="28"/>
  <c r="BB807" i="28"/>
  <c r="BB808" i="28"/>
  <c r="BB809" i="28"/>
  <c r="BB810" i="28"/>
  <c r="BB811" i="28"/>
  <c r="BB812" i="28"/>
  <c r="BB813" i="28"/>
  <c r="BB814" i="28"/>
  <c r="BB815" i="28"/>
  <c r="BB816" i="28"/>
  <c r="BB817" i="28"/>
  <c r="BB818" i="28"/>
  <c r="BB819" i="28"/>
  <c r="BB820" i="28"/>
  <c r="BB821" i="28"/>
  <c r="BB822" i="28"/>
  <c r="BB823" i="28"/>
  <c r="BB824" i="28"/>
  <c r="BB825" i="28"/>
  <c r="BB826" i="28"/>
  <c r="BB827" i="28"/>
  <c r="BB828" i="28"/>
  <c r="BB829" i="28"/>
  <c r="BB830" i="28"/>
  <c r="BB831" i="28"/>
  <c r="BB832" i="28"/>
  <c r="BB833" i="28"/>
  <c r="BB834" i="28"/>
  <c r="BB835" i="28"/>
  <c r="BB836" i="28"/>
  <c r="BB837" i="28"/>
  <c r="BB838" i="28"/>
  <c r="BB839" i="28"/>
  <c r="BB840" i="28"/>
  <c r="BB841" i="28"/>
  <c r="BB842" i="28"/>
  <c r="BB843" i="28"/>
  <c r="BB844" i="28"/>
  <c r="BB845" i="28"/>
  <c r="BB846" i="28"/>
  <c r="BB847" i="28"/>
  <c r="BB848" i="28"/>
  <c r="BB849" i="28"/>
  <c r="BB850" i="28"/>
  <c r="BB851" i="28"/>
  <c r="BB852" i="28"/>
  <c r="BB853" i="28"/>
  <c r="BB854" i="28"/>
  <c r="BB855" i="28"/>
  <c r="BB856" i="28"/>
  <c r="BB857" i="28"/>
  <c r="BB858" i="28"/>
  <c r="BB859" i="28"/>
  <c r="BB860" i="28"/>
  <c r="BB861" i="28"/>
  <c r="BB862" i="28"/>
  <c r="BB863" i="28"/>
  <c r="BB864" i="28"/>
  <c r="BB865" i="28"/>
  <c r="BB866" i="28"/>
  <c r="BB867" i="28"/>
  <c r="BB868" i="28"/>
  <c r="BB869" i="28"/>
  <c r="BB870" i="28"/>
  <c r="BB871" i="28"/>
  <c r="BB872" i="28"/>
  <c r="BB873" i="28"/>
  <c r="BB874" i="28"/>
  <c r="BB875" i="28"/>
  <c r="BB876" i="28"/>
  <c r="BB877" i="28"/>
  <c r="BB878" i="28"/>
  <c r="BB879" i="28"/>
  <c r="BB880" i="28"/>
  <c r="BB881" i="28"/>
  <c r="BB882" i="28"/>
  <c r="BB883" i="28"/>
  <c r="BB884" i="28"/>
  <c r="BB885" i="28"/>
  <c r="BB886" i="28"/>
  <c r="BB887" i="28"/>
  <c r="BB888" i="28"/>
  <c r="BB889" i="28"/>
  <c r="BB890" i="28"/>
  <c r="BB891" i="28"/>
  <c r="BB892" i="28"/>
  <c r="BB893" i="28"/>
  <c r="BB894" i="28"/>
  <c r="BB895" i="28"/>
  <c r="BB896" i="28"/>
  <c r="BB897" i="28"/>
  <c r="BB898" i="28"/>
  <c r="BB899" i="28"/>
  <c r="BB900" i="28"/>
  <c r="BB901" i="28"/>
  <c r="BB902" i="28"/>
  <c r="BB903" i="28"/>
  <c r="BB904" i="28"/>
  <c r="BB905" i="28"/>
  <c r="BB906" i="28"/>
  <c r="BB907" i="28"/>
  <c r="BB908" i="28"/>
  <c r="BB909" i="28"/>
  <c r="BB910" i="28"/>
  <c r="BB911" i="28"/>
  <c r="BB912" i="28"/>
  <c r="BB913" i="28"/>
  <c r="BB914" i="28"/>
  <c r="BB915" i="28"/>
  <c r="BB916" i="28"/>
  <c r="BB917" i="28"/>
  <c r="BB918" i="28"/>
  <c r="BB919" i="28"/>
  <c r="BB920" i="28"/>
  <c r="BB921" i="28"/>
  <c r="BB922" i="28"/>
  <c r="BB923" i="28"/>
  <c r="BB924" i="28"/>
  <c r="BB925" i="28"/>
  <c r="BB926" i="28"/>
  <c r="BB927" i="28"/>
  <c r="BB928" i="28"/>
  <c r="BB929" i="28"/>
  <c r="BB930" i="28"/>
  <c r="BB931" i="28"/>
  <c r="BB932" i="28"/>
  <c r="BB933" i="28"/>
  <c r="BB934" i="28"/>
  <c r="BB935" i="28"/>
  <c r="BB936" i="28"/>
  <c r="BB937" i="28"/>
  <c r="BB938" i="28"/>
  <c r="BB939" i="28"/>
  <c r="BB940" i="28"/>
  <c r="BB941" i="28"/>
  <c r="BB942" i="28"/>
  <c r="BB943" i="28"/>
  <c r="BB944" i="28"/>
  <c r="BB945" i="28"/>
  <c r="BB946" i="28"/>
  <c r="BB947" i="28"/>
  <c r="BB948" i="28"/>
  <c r="BB949" i="28"/>
  <c r="BB950" i="28"/>
  <c r="BB951" i="28"/>
  <c r="BB952" i="28"/>
  <c r="BB953" i="28"/>
  <c r="BB954" i="28"/>
  <c r="BB955" i="28"/>
  <c r="BB956" i="28"/>
  <c r="BB957" i="28"/>
  <c r="BB958" i="28"/>
  <c r="BB959" i="28"/>
  <c r="BB960" i="28"/>
  <c r="BB961" i="28"/>
  <c r="BB962" i="28"/>
  <c r="BB963" i="28"/>
  <c r="BB964" i="28"/>
  <c r="BB965" i="28"/>
  <c r="BB966" i="28"/>
  <c r="BB967" i="28"/>
  <c r="BB968" i="28"/>
  <c r="BB969" i="28"/>
  <c r="BB970" i="28"/>
  <c r="BB971" i="28"/>
  <c r="BB972" i="28"/>
  <c r="BB973" i="28"/>
  <c r="BB974" i="28"/>
  <c r="BB975" i="28"/>
  <c r="BB976" i="28"/>
  <c r="BB977" i="28"/>
  <c r="BB978" i="28"/>
  <c r="BB979" i="28"/>
  <c r="BB980" i="28"/>
  <c r="BB981" i="28"/>
  <c r="BB982" i="28"/>
  <c r="BB983" i="28"/>
  <c r="BB984" i="28"/>
  <c r="BB985" i="28"/>
  <c r="BB986" i="28"/>
  <c r="BB987" i="28"/>
  <c r="BB988" i="28"/>
  <c r="BB989" i="28"/>
  <c r="BB990" i="28"/>
  <c r="BB991" i="28"/>
  <c r="BB992" i="28"/>
  <c r="BB993" i="28"/>
  <c r="BB994" i="28"/>
  <c r="BB995" i="28"/>
  <c r="BB996" i="28"/>
  <c r="BB997" i="28"/>
  <c r="BB998" i="28"/>
  <c r="BB999" i="28"/>
  <c r="BB1000" i="28"/>
  <c r="BB1001" i="28"/>
  <c r="BB1002" i="28"/>
  <c r="BB1003" i="28"/>
  <c r="BB1004" i="28"/>
  <c r="BB1005" i="28"/>
  <c r="BB1006" i="28"/>
  <c r="BB1007" i="28"/>
  <c r="BB1008" i="28"/>
  <c r="BB1009" i="28"/>
  <c r="BB1010" i="28"/>
  <c r="BB1011" i="28"/>
  <c r="BB1012" i="28"/>
  <c r="BB1013" i="28"/>
  <c r="BB1014" i="28"/>
  <c r="BB1015" i="28"/>
  <c r="BB1016" i="28"/>
  <c r="BB1017" i="28"/>
  <c r="BB1018" i="28"/>
  <c r="BB1019" i="28"/>
  <c r="BB1020" i="28"/>
  <c r="BB1021" i="28"/>
  <c r="BB1022" i="28"/>
  <c r="BB1023" i="28"/>
  <c r="BB1024" i="28"/>
  <c r="BB1025" i="28"/>
  <c r="BB1026" i="28"/>
  <c r="BB1027" i="28"/>
  <c r="BB1028" i="28"/>
  <c r="BB1029" i="28"/>
  <c r="BB1030" i="28"/>
  <c r="BB1031" i="28"/>
  <c r="BB1032" i="28"/>
  <c r="BB1033" i="28"/>
  <c r="BB1034" i="28"/>
  <c r="BB1035" i="28"/>
  <c r="BB1036" i="28"/>
  <c r="BB1037" i="28"/>
  <c r="BB1038" i="28"/>
  <c r="BB1039" i="28"/>
  <c r="BB1040" i="28"/>
  <c r="BB1041" i="28"/>
  <c r="BB1042" i="28"/>
  <c r="BB1043" i="28"/>
  <c r="BB1044" i="28"/>
  <c r="BB1045" i="28"/>
  <c r="BB1046" i="28"/>
  <c r="BB1047" i="28"/>
  <c r="BB1048" i="28"/>
  <c r="BB1049" i="28"/>
  <c r="BB1050" i="28"/>
  <c r="BB1051" i="28"/>
  <c r="BB1052" i="28"/>
  <c r="BB1053" i="28"/>
  <c r="BB1054" i="28"/>
  <c r="BB1055" i="28"/>
  <c r="BB1056" i="28"/>
  <c r="BB1057" i="28"/>
  <c r="BB1058" i="28"/>
  <c r="BB1059" i="28"/>
  <c r="BB1060" i="28"/>
  <c r="BB1061" i="28"/>
  <c r="BB1062" i="28"/>
  <c r="BB1063" i="28"/>
  <c r="BB1064" i="28"/>
  <c r="BB1065" i="28"/>
  <c r="BB1066" i="28"/>
  <c r="BB1067" i="28"/>
  <c r="BB1068" i="28"/>
  <c r="BB1069" i="28"/>
  <c r="BB1070" i="28"/>
  <c r="BB1071" i="28"/>
  <c r="BB1072" i="28"/>
  <c r="BB1073" i="28"/>
  <c r="BB1074" i="28"/>
  <c r="BB1075" i="28"/>
  <c r="BB1076" i="28"/>
  <c r="BB1077" i="28"/>
  <c r="BB1078" i="28"/>
  <c r="BB1079" i="28"/>
  <c r="BB1080" i="28"/>
  <c r="BB1081" i="28"/>
  <c r="BB1082" i="28"/>
  <c r="BB1083" i="28"/>
  <c r="BB1084" i="28"/>
  <c r="BB1085" i="28"/>
  <c r="BB1086" i="28"/>
  <c r="BB1087" i="28"/>
  <c r="BB1088" i="28"/>
  <c r="BB1089" i="28"/>
  <c r="BB1090" i="28"/>
  <c r="BB1091" i="28"/>
  <c r="BB1092" i="28"/>
  <c r="BB1093" i="28"/>
  <c r="BB1094" i="28"/>
  <c r="BB1095" i="28"/>
  <c r="BB1096" i="28"/>
  <c r="BB1097" i="28"/>
  <c r="BB1098" i="28"/>
  <c r="BB1099" i="28"/>
  <c r="BB1100" i="28"/>
  <c r="BB1101" i="28"/>
  <c r="BB1102" i="28"/>
  <c r="BB1103" i="28"/>
  <c r="BB1104" i="28"/>
  <c r="BB1105" i="28"/>
  <c r="BB1106" i="28"/>
  <c r="BB1107" i="28"/>
  <c r="BB1108" i="28"/>
  <c r="BB1109" i="28"/>
  <c r="BB1110" i="28"/>
  <c r="BB1111" i="28"/>
  <c r="BB1112" i="28"/>
  <c r="BB1113" i="28"/>
  <c r="BB1114" i="28"/>
  <c r="BB1115" i="28"/>
  <c r="BB1116" i="28"/>
  <c r="BB1117" i="28"/>
  <c r="BB1118" i="28"/>
  <c r="BB1119" i="28"/>
  <c r="BB1120" i="28"/>
  <c r="BB1121" i="28"/>
  <c r="BB1122" i="28"/>
  <c r="BB1123" i="28"/>
  <c r="BB1124" i="28"/>
  <c r="BB1125" i="28"/>
  <c r="BB1126" i="28"/>
  <c r="BB1127" i="28"/>
  <c r="BB1128" i="28"/>
  <c r="BB1129" i="28"/>
  <c r="BB1130" i="28"/>
  <c r="BB1131" i="28"/>
  <c r="BB1132" i="28"/>
  <c r="BB1133" i="28"/>
  <c r="BB1134" i="28"/>
  <c r="BB1135" i="28"/>
  <c r="BB1136" i="28"/>
  <c r="BB1137" i="28"/>
  <c r="BB1138" i="28"/>
  <c r="BB1139" i="28"/>
  <c r="BB1140" i="28"/>
  <c r="BB1141" i="28"/>
  <c r="BB1142" i="28"/>
  <c r="BB1143" i="28"/>
  <c r="BB1144" i="28"/>
  <c r="BB1145" i="28"/>
  <c r="BB1146" i="28"/>
  <c r="BB1147" i="28"/>
  <c r="BB1148" i="28"/>
  <c r="BB1149" i="28"/>
  <c r="BB1150" i="28"/>
  <c r="BB1151" i="28"/>
  <c r="BB1152" i="28"/>
  <c r="BB1153" i="28"/>
  <c r="BB1154" i="28"/>
  <c r="BB1155" i="28"/>
  <c r="BB1156" i="28"/>
  <c r="BB1157" i="28"/>
  <c r="BB1158" i="28"/>
  <c r="BB1159" i="28"/>
  <c r="BB1160" i="28"/>
  <c r="BB1161" i="28"/>
  <c r="BB1162" i="28"/>
  <c r="BB1163" i="28"/>
  <c r="BB1164" i="28"/>
  <c r="BB1165" i="28"/>
  <c r="BB1166" i="28"/>
  <c r="BB1167" i="28"/>
  <c r="BB1168" i="28"/>
  <c r="BB1169" i="28"/>
  <c r="BB1170" i="28"/>
  <c r="BB1171" i="28"/>
  <c r="BB1172" i="28"/>
  <c r="BB1173" i="28"/>
  <c r="BB1174" i="28"/>
  <c r="BB1175" i="28"/>
  <c r="BB1176" i="28"/>
  <c r="BB1177" i="28"/>
  <c r="BB1178" i="28"/>
  <c r="BB1179" i="28"/>
  <c r="BB1180" i="28"/>
  <c r="BB1181" i="28"/>
  <c r="BB1182" i="28"/>
  <c r="BB1183" i="28"/>
  <c r="BB1184" i="28"/>
  <c r="BB1185" i="28"/>
  <c r="BB1186" i="28"/>
  <c r="BB1187" i="28"/>
  <c r="BB1188" i="28"/>
  <c r="BB1189" i="28"/>
  <c r="BB1190" i="28"/>
  <c r="BB1191" i="28"/>
  <c r="BB1192" i="28"/>
  <c r="BB1193" i="28"/>
  <c r="BB1194" i="28"/>
  <c r="BB1195" i="28"/>
  <c r="BB1196" i="28"/>
  <c r="BB1197" i="28"/>
  <c r="BB1198" i="28"/>
  <c r="BB1199" i="28"/>
  <c r="BB1200" i="28"/>
  <c r="BB1201" i="28"/>
  <c r="BB1202" i="28"/>
  <c r="BB1203" i="28"/>
  <c r="BB1204" i="28"/>
  <c r="BB1205" i="28"/>
  <c r="BB1206" i="28"/>
  <c r="BB1207" i="28"/>
  <c r="BB1208" i="28"/>
  <c r="BB1209" i="28"/>
  <c r="BB1210" i="28"/>
  <c r="BB1211" i="28"/>
  <c r="BB1212" i="28"/>
  <c r="BB1213" i="28"/>
  <c r="BB1214" i="28"/>
  <c r="BB1215" i="28"/>
  <c r="BB1216" i="28"/>
  <c r="BB1217" i="28"/>
  <c r="BB1218" i="28"/>
  <c r="BB1219" i="28"/>
  <c r="BB1220" i="28"/>
  <c r="BB1221" i="28"/>
  <c r="BB1222" i="28"/>
  <c r="BB1223" i="28"/>
  <c r="BB1224" i="28"/>
  <c r="BB1225" i="28"/>
  <c r="AZ171" i="28"/>
  <c r="AZ172" i="28"/>
  <c r="AZ173" i="28"/>
  <c r="AZ174" i="28"/>
  <c r="AZ175" i="28"/>
  <c r="AZ176" i="28"/>
  <c r="AZ177" i="28"/>
  <c r="AZ178" i="28"/>
  <c r="AZ179" i="28"/>
  <c r="AZ180" i="28"/>
  <c r="AZ181" i="28"/>
  <c r="AZ182" i="28"/>
  <c r="AZ183" i="28"/>
  <c r="AZ184" i="28"/>
  <c r="AZ185" i="28"/>
  <c r="AZ186" i="28"/>
  <c r="AZ187" i="28"/>
  <c r="AZ188" i="28"/>
  <c r="AZ189" i="28"/>
  <c r="AZ190" i="28"/>
  <c r="AZ191" i="28"/>
  <c r="AZ192" i="28"/>
  <c r="AZ193" i="28"/>
  <c r="AZ194" i="28"/>
  <c r="AZ195" i="28"/>
  <c r="AZ196" i="28"/>
  <c r="AZ197" i="28"/>
  <c r="AZ198" i="28"/>
  <c r="AZ199" i="28"/>
  <c r="AZ200" i="28"/>
  <c r="AZ201" i="28"/>
  <c r="AZ202" i="28"/>
  <c r="AZ203" i="28"/>
  <c r="AZ204" i="28"/>
  <c r="AZ205" i="28"/>
  <c r="AZ206" i="28"/>
  <c r="AZ207" i="28"/>
  <c r="AZ208" i="28"/>
  <c r="AZ209" i="28"/>
  <c r="AZ210" i="28"/>
  <c r="AZ211" i="28"/>
  <c r="AZ212" i="28"/>
  <c r="AZ213" i="28"/>
  <c r="AZ214" i="28"/>
  <c r="AZ215" i="28"/>
  <c r="AZ216" i="28"/>
  <c r="AZ217" i="28"/>
  <c r="AZ218" i="28"/>
  <c r="AZ219" i="28"/>
  <c r="AZ220" i="28"/>
  <c r="AZ221" i="28"/>
  <c r="AZ222" i="28"/>
  <c r="AZ223" i="28"/>
  <c r="AZ224" i="28"/>
  <c r="AZ225" i="28"/>
  <c r="AZ226" i="28"/>
  <c r="AZ227" i="28"/>
  <c r="AZ228" i="28"/>
  <c r="AZ229" i="28"/>
  <c r="AZ230" i="28"/>
  <c r="AZ231" i="28"/>
  <c r="AZ232" i="28"/>
  <c r="AZ233" i="28"/>
  <c r="AZ234" i="28"/>
  <c r="AZ235" i="28"/>
  <c r="AZ236" i="28"/>
  <c r="AZ237" i="28"/>
  <c r="AZ238" i="28"/>
  <c r="AZ239" i="28"/>
  <c r="AZ240" i="28"/>
  <c r="AZ241" i="28"/>
  <c r="AZ242" i="28"/>
  <c r="AZ243" i="28"/>
  <c r="AZ244" i="28"/>
  <c r="AZ245" i="28"/>
  <c r="AZ246" i="28"/>
  <c r="AZ247" i="28"/>
  <c r="AZ248" i="28"/>
  <c r="AZ249" i="28"/>
  <c r="AZ250" i="28"/>
  <c r="AZ251" i="28"/>
  <c r="AZ252" i="28"/>
  <c r="AZ253" i="28"/>
  <c r="AZ254" i="28"/>
  <c r="AZ255" i="28"/>
  <c r="AZ256" i="28"/>
  <c r="AZ257" i="28"/>
  <c r="AZ258" i="28"/>
  <c r="AZ259" i="28"/>
  <c r="AZ260" i="28"/>
  <c r="AZ261" i="28"/>
  <c r="AZ262" i="28"/>
  <c r="AZ263" i="28"/>
  <c r="AZ264" i="28"/>
  <c r="AZ265" i="28"/>
  <c r="AZ266" i="28"/>
  <c r="AZ267" i="28"/>
  <c r="AZ268" i="28"/>
  <c r="AZ269" i="28"/>
  <c r="AZ270" i="28"/>
  <c r="AZ271" i="28"/>
  <c r="AZ272" i="28"/>
  <c r="AZ273" i="28"/>
  <c r="AZ274" i="28"/>
  <c r="AZ275" i="28"/>
  <c r="AZ276" i="28"/>
  <c r="AZ277" i="28"/>
  <c r="AZ278" i="28"/>
  <c r="AZ279" i="28"/>
  <c r="AZ280" i="28"/>
  <c r="AZ281" i="28"/>
  <c r="AZ282" i="28"/>
  <c r="AZ283" i="28"/>
  <c r="AZ284" i="28"/>
  <c r="AZ285" i="28"/>
  <c r="AZ286" i="28"/>
  <c r="AZ287" i="28"/>
  <c r="AZ288" i="28"/>
  <c r="AZ289" i="28"/>
  <c r="AZ290" i="28"/>
  <c r="AZ291" i="28"/>
  <c r="AZ292" i="28"/>
  <c r="AZ293" i="28"/>
  <c r="AZ294" i="28"/>
  <c r="AZ295" i="28"/>
  <c r="AZ296" i="28"/>
  <c r="AZ297" i="28"/>
  <c r="AZ298" i="28"/>
  <c r="AZ299" i="28"/>
  <c r="AZ300" i="28"/>
  <c r="AZ301" i="28"/>
  <c r="AZ302" i="28"/>
  <c r="AZ303" i="28"/>
  <c r="AZ304" i="28"/>
  <c r="AZ305" i="28"/>
  <c r="AZ306" i="28"/>
  <c r="AZ307" i="28"/>
  <c r="AZ308" i="28"/>
  <c r="AZ309" i="28"/>
  <c r="AZ310" i="28"/>
  <c r="AZ311" i="28"/>
  <c r="AZ312" i="28"/>
  <c r="AZ313" i="28"/>
  <c r="AZ314" i="28"/>
  <c r="AZ315" i="28"/>
  <c r="AZ316" i="28"/>
  <c r="AZ317" i="28"/>
  <c r="AZ318" i="28"/>
  <c r="AZ319" i="28"/>
  <c r="AZ320" i="28"/>
  <c r="AZ321" i="28"/>
  <c r="AZ322" i="28"/>
  <c r="AZ323" i="28"/>
  <c r="AZ324" i="28"/>
  <c r="AZ325" i="28"/>
  <c r="AZ326" i="28"/>
  <c r="AZ327" i="28"/>
  <c r="AZ328" i="28"/>
  <c r="AZ329" i="28"/>
  <c r="AZ330" i="28"/>
  <c r="AZ331" i="28"/>
  <c r="AZ332" i="28"/>
  <c r="AZ333" i="28"/>
  <c r="AZ334" i="28"/>
  <c r="AZ335" i="28"/>
  <c r="AZ336" i="28"/>
  <c r="AZ337" i="28"/>
  <c r="AZ338" i="28"/>
  <c r="AZ339" i="28"/>
  <c r="AZ340" i="28"/>
  <c r="AZ341" i="28"/>
  <c r="AZ342" i="28"/>
  <c r="AZ343" i="28"/>
  <c r="AZ344" i="28"/>
  <c r="AZ345" i="28"/>
  <c r="AZ346" i="28"/>
  <c r="AZ347" i="28"/>
  <c r="AZ348" i="28"/>
  <c r="AZ349" i="28"/>
  <c r="AZ350" i="28"/>
  <c r="AZ351" i="28"/>
  <c r="AZ352" i="28"/>
  <c r="AZ353" i="28"/>
  <c r="AZ354" i="28"/>
  <c r="AZ355" i="28"/>
  <c r="AZ356" i="28"/>
  <c r="AZ357" i="28"/>
  <c r="AZ358" i="28"/>
  <c r="AZ359" i="28"/>
  <c r="AZ360" i="28"/>
  <c r="AZ361" i="28"/>
  <c r="AZ362" i="28"/>
  <c r="AZ363" i="28"/>
  <c r="AZ364" i="28"/>
  <c r="AZ365" i="28"/>
  <c r="AZ366" i="28"/>
  <c r="AZ367" i="28"/>
  <c r="AZ368" i="28"/>
  <c r="AZ369" i="28"/>
  <c r="AZ370" i="28"/>
  <c r="AZ371" i="28"/>
  <c r="AZ372" i="28"/>
  <c r="AZ373" i="28"/>
  <c r="AZ374" i="28"/>
  <c r="AZ375" i="28"/>
  <c r="AZ376" i="28"/>
  <c r="AZ377" i="28"/>
  <c r="AZ378" i="28"/>
  <c r="AZ379" i="28"/>
  <c r="AZ380" i="28"/>
  <c r="AZ381" i="28"/>
  <c r="AZ382" i="28"/>
  <c r="AZ383" i="28"/>
  <c r="AZ384" i="28"/>
  <c r="AZ385" i="28"/>
  <c r="AZ386" i="28"/>
  <c r="AZ387" i="28"/>
  <c r="AZ388" i="28"/>
  <c r="AZ389" i="28"/>
  <c r="AZ390" i="28"/>
  <c r="AZ391" i="28"/>
  <c r="AZ392" i="28"/>
  <c r="AZ393" i="28"/>
  <c r="AZ394" i="28"/>
  <c r="AZ395" i="28"/>
  <c r="AZ396" i="28"/>
  <c r="AZ397" i="28"/>
  <c r="AZ398" i="28"/>
  <c r="AZ399" i="28"/>
  <c r="AZ400" i="28"/>
  <c r="AZ401" i="28"/>
  <c r="AZ402" i="28"/>
  <c r="AZ403" i="28"/>
  <c r="AZ404" i="28"/>
  <c r="AZ405" i="28"/>
  <c r="AZ406" i="28"/>
  <c r="AZ407" i="28"/>
  <c r="AZ408" i="28"/>
  <c r="AZ409" i="28"/>
  <c r="AZ410" i="28"/>
  <c r="AZ411" i="28"/>
  <c r="AZ412" i="28"/>
  <c r="AZ413" i="28"/>
  <c r="AZ414" i="28"/>
  <c r="AZ415" i="28"/>
  <c r="AZ416" i="28"/>
  <c r="AZ417" i="28"/>
  <c r="AZ418" i="28"/>
  <c r="AZ419" i="28"/>
  <c r="AZ420" i="28"/>
  <c r="AZ421" i="28"/>
  <c r="AZ422" i="28"/>
  <c r="AZ423" i="28"/>
  <c r="AZ424" i="28"/>
  <c r="AZ425" i="28"/>
  <c r="AZ426" i="28"/>
  <c r="AZ427" i="28"/>
  <c r="AZ428" i="28"/>
  <c r="AZ429" i="28"/>
  <c r="AZ430" i="28"/>
  <c r="AZ431" i="28"/>
  <c r="AZ432" i="28"/>
  <c r="AZ433" i="28"/>
  <c r="AZ434" i="28"/>
  <c r="AZ435" i="28"/>
  <c r="AZ436" i="28"/>
  <c r="AZ437" i="28"/>
  <c r="AZ438" i="28"/>
  <c r="AZ439" i="28"/>
  <c r="AZ440" i="28"/>
  <c r="AZ441" i="28"/>
  <c r="AZ442" i="28"/>
  <c r="AZ443" i="28"/>
  <c r="AZ444" i="28"/>
  <c r="AZ445" i="28"/>
  <c r="AZ446" i="28"/>
  <c r="AZ447" i="28"/>
  <c r="AZ448" i="28"/>
  <c r="AZ449" i="28"/>
  <c r="AZ450" i="28"/>
  <c r="AZ451" i="28"/>
  <c r="AZ452" i="28"/>
  <c r="AZ453" i="28"/>
  <c r="AZ454" i="28"/>
  <c r="AZ455" i="28"/>
  <c r="AZ456" i="28"/>
  <c r="AZ457" i="28"/>
  <c r="AZ458" i="28"/>
  <c r="AZ459" i="28"/>
  <c r="AZ460" i="28"/>
  <c r="AZ461" i="28"/>
  <c r="AZ462" i="28"/>
  <c r="AZ463" i="28"/>
  <c r="AZ464" i="28"/>
  <c r="AZ465" i="28"/>
  <c r="AZ466" i="28"/>
  <c r="AZ467" i="28"/>
  <c r="AZ468" i="28"/>
  <c r="AZ469" i="28"/>
  <c r="AZ470" i="28"/>
  <c r="AZ471" i="28"/>
  <c r="AZ472" i="28"/>
  <c r="AZ473" i="28"/>
  <c r="AZ474" i="28"/>
  <c r="AZ475" i="28"/>
  <c r="AZ476" i="28"/>
  <c r="AZ477" i="28"/>
  <c r="AZ478" i="28"/>
  <c r="AZ479" i="28"/>
  <c r="AZ480" i="28"/>
  <c r="AZ481" i="28"/>
  <c r="AZ482" i="28"/>
  <c r="AZ483" i="28"/>
  <c r="AZ484" i="28"/>
  <c r="AZ485" i="28"/>
  <c r="AZ486" i="28"/>
  <c r="AZ487" i="28"/>
  <c r="AZ488" i="28"/>
  <c r="AZ489" i="28"/>
  <c r="AZ490" i="28"/>
  <c r="AZ491" i="28"/>
  <c r="AZ492" i="28"/>
  <c r="AZ493" i="28"/>
  <c r="AZ494" i="28"/>
  <c r="AZ495" i="28"/>
  <c r="AZ496" i="28"/>
  <c r="AZ497" i="28"/>
  <c r="AZ498" i="28"/>
  <c r="AZ499" i="28"/>
  <c r="AZ500" i="28"/>
  <c r="AZ501" i="28"/>
  <c r="AZ502" i="28"/>
  <c r="AZ503" i="28"/>
  <c r="AZ504" i="28"/>
  <c r="AZ505" i="28"/>
  <c r="AZ506" i="28"/>
  <c r="AZ507" i="28"/>
  <c r="AZ508" i="28"/>
  <c r="AZ509" i="28"/>
  <c r="AZ510" i="28"/>
  <c r="AZ511" i="28"/>
  <c r="AZ512" i="28"/>
  <c r="AZ513" i="28"/>
  <c r="AZ514" i="28"/>
  <c r="AZ515" i="28"/>
  <c r="AZ516" i="28"/>
  <c r="AZ517" i="28"/>
  <c r="AZ518" i="28"/>
  <c r="AZ519" i="28"/>
  <c r="AZ520" i="28"/>
  <c r="AZ521" i="28"/>
  <c r="AZ522" i="28"/>
  <c r="AZ523" i="28"/>
  <c r="AZ524" i="28"/>
  <c r="AZ525" i="28"/>
  <c r="AZ526" i="28"/>
  <c r="AZ527" i="28"/>
  <c r="AZ528" i="28"/>
  <c r="AZ529" i="28"/>
  <c r="AZ530" i="28"/>
  <c r="AZ531" i="28"/>
  <c r="AZ532" i="28"/>
  <c r="AZ533" i="28"/>
  <c r="AZ534" i="28"/>
  <c r="AZ535" i="28"/>
  <c r="AZ536" i="28"/>
  <c r="AZ537" i="28"/>
  <c r="AZ538" i="28"/>
  <c r="AZ539" i="28"/>
  <c r="AZ540" i="28"/>
  <c r="AZ541" i="28"/>
  <c r="AZ542" i="28"/>
  <c r="AZ543" i="28"/>
  <c r="AZ544" i="28"/>
  <c r="AZ545" i="28"/>
  <c r="AZ546" i="28"/>
  <c r="AZ547" i="28"/>
  <c r="AZ548" i="28"/>
  <c r="AZ549" i="28"/>
  <c r="AZ550" i="28"/>
  <c r="AZ551" i="28"/>
  <c r="AZ552" i="28"/>
  <c r="AZ553" i="28"/>
  <c r="AZ554" i="28"/>
  <c r="AZ555" i="28"/>
  <c r="AZ556" i="28"/>
  <c r="AZ557" i="28"/>
  <c r="AZ558" i="28"/>
  <c r="AZ559" i="28"/>
  <c r="AZ560" i="28"/>
  <c r="AZ561" i="28"/>
  <c r="AZ562" i="28"/>
  <c r="AZ563" i="28"/>
  <c r="AZ564" i="28"/>
  <c r="AZ565" i="28"/>
  <c r="AZ566" i="28"/>
  <c r="AZ567" i="28"/>
  <c r="AZ568" i="28"/>
  <c r="AZ569" i="28"/>
  <c r="AZ570" i="28"/>
  <c r="AZ571" i="28"/>
  <c r="AZ572" i="28"/>
  <c r="AZ573" i="28"/>
  <c r="AZ574" i="28"/>
  <c r="AZ575" i="28"/>
  <c r="AZ576" i="28"/>
  <c r="AZ577" i="28"/>
  <c r="AZ578" i="28"/>
  <c r="AZ579" i="28"/>
  <c r="AZ580" i="28"/>
  <c r="AZ581" i="28"/>
  <c r="AZ582" i="28"/>
  <c r="AZ583" i="28"/>
  <c r="AZ584" i="28"/>
  <c r="AZ585" i="28"/>
  <c r="AZ586" i="28"/>
  <c r="AZ587" i="28"/>
  <c r="AZ588" i="28"/>
  <c r="AZ589" i="28"/>
  <c r="AZ590" i="28"/>
  <c r="AZ591" i="28"/>
  <c r="AZ592" i="28"/>
  <c r="AZ593" i="28"/>
  <c r="AZ594" i="28"/>
  <c r="AZ595" i="28"/>
  <c r="AZ596" i="28"/>
  <c r="AZ597" i="28"/>
  <c r="AZ598" i="28"/>
  <c r="AZ599" i="28"/>
  <c r="AZ600" i="28"/>
  <c r="AZ601" i="28"/>
  <c r="AZ602" i="28"/>
  <c r="AZ603" i="28"/>
  <c r="AZ604" i="28"/>
  <c r="AZ605" i="28"/>
  <c r="AZ606" i="28"/>
  <c r="AZ607" i="28"/>
  <c r="AZ608" i="28"/>
  <c r="AZ609" i="28"/>
  <c r="AZ610" i="28"/>
  <c r="AZ611" i="28"/>
  <c r="AZ612" i="28"/>
  <c r="AZ613" i="28"/>
  <c r="AZ614" i="28"/>
  <c r="AZ615" i="28"/>
  <c r="AZ616" i="28"/>
  <c r="AZ617" i="28"/>
  <c r="AZ618" i="28"/>
  <c r="AZ619" i="28"/>
  <c r="AZ620" i="28"/>
  <c r="AZ621" i="28"/>
  <c r="AZ622" i="28"/>
  <c r="AZ623" i="28"/>
  <c r="AZ624" i="28"/>
  <c r="AZ625" i="28"/>
  <c r="AZ626" i="28"/>
  <c r="AZ627" i="28"/>
  <c r="AZ628" i="28"/>
  <c r="AZ629" i="28"/>
  <c r="AZ630" i="28"/>
  <c r="AZ631" i="28"/>
  <c r="AZ632" i="28"/>
  <c r="AZ633" i="28"/>
  <c r="AZ634" i="28"/>
  <c r="AZ635" i="28"/>
  <c r="AZ636" i="28"/>
  <c r="AZ637" i="28"/>
  <c r="AZ638" i="28"/>
  <c r="AZ639" i="28"/>
  <c r="AZ640" i="28"/>
  <c r="AZ641" i="28"/>
  <c r="AZ642" i="28"/>
  <c r="AZ643" i="28"/>
  <c r="AZ644" i="28"/>
  <c r="AZ645" i="28"/>
  <c r="AZ646" i="28"/>
  <c r="AZ647" i="28"/>
  <c r="AZ648" i="28"/>
  <c r="AZ649" i="28"/>
  <c r="AZ650" i="28"/>
  <c r="AZ651" i="28"/>
  <c r="AZ652" i="28"/>
  <c r="AZ653" i="28"/>
  <c r="AZ654" i="28"/>
  <c r="AZ655" i="28"/>
  <c r="AZ656" i="28"/>
  <c r="AZ657" i="28"/>
  <c r="AZ658" i="28"/>
  <c r="AZ659" i="28"/>
  <c r="AZ660" i="28"/>
  <c r="AZ661" i="28"/>
  <c r="AZ662" i="28"/>
  <c r="AZ663" i="28"/>
  <c r="AZ664" i="28"/>
  <c r="AZ665" i="28"/>
  <c r="AZ666" i="28"/>
  <c r="AZ667" i="28"/>
  <c r="AZ668" i="28"/>
  <c r="AZ669" i="28"/>
  <c r="AZ670" i="28"/>
  <c r="AZ671" i="28"/>
  <c r="AZ672" i="28"/>
  <c r="AZ673" i="28"/>
  <c r="AZ674" i="28"/>
  <c r="AZ675" i="28"/>
  <c r="AZ676" i="28"/>
  <c r="AZ677" i="28"/>
  <c r="AZ678" i="28"/>
  <c r="AZ679" i="28"/>
  <c r="AZ680" i="28"/>
  <c r="AZ681" i="28"/>
  <c r="AZ682" i="28"/>
  <c r="AZ683" i="28"/>
  <c r="AZ684" i="28"/>
  <c r="AZ685" i="28"/>
  <c r="AZ686" i="28"/>
  <c r="AZ687" i="28"/>
  <c r="AZ688" i="28"/>
  <c r="AZ689" i="28"/>
  <c r="AZ690" i="28"/>
  <c r="AZ691" i="28"/>
  <c r="AZ692" i="28"/>
  <c r="AZ693" i="28"/>
  <c r="AZ694" i="28"/>
  <c r="AZ695" i="28"/>
  <c r="AZ696" i="28"/>
  <c r="AZ697" i="28"/>
  <c r="AZ698" i="28"/>
  <c r="AZ699" i="28"/>
  <c r="AZ700" i="28"/>
  <c r="AZ701" i="28"/>
  <c r="AZ702" i="28"/>
  <c r="AZ703" i="28"/>
  <c r="AZ704" i="28"/>
  <c r="AZ705" i="28"/>
  <c r="AZ706" i="28"/>
  <c r="AZ707" i="28"/>
  <c r="AZ708" i="28"/>
  <c r="AZ709" i="28"/>
  <c r="AZ710" i="28"/>
  <c r="AZ711" i="28"/>
  <c r="AZ712" i="28"/>
  <c r="AZ713" i="28"/>
  <c r="AZ714" i="28"/>
  <c r="AZ715" i="28"/>
  <c r="AZ716" i="28"/>
  <c r="AZ717" i="28"/>
  <c r="AZ718" i="28"/>
  <c r="AZ719" i="28"/>
  <c r="AZ720" i="28"/>
  <c r="AZ721" i="28"/>
  <c r="AZ722" i="28"/>
  <c r="AZ723" i="28"/>
  <c r="AZ724" i="28"/>
  <c r="AZ725" i="28"/>
  <c r="AZ726" i="28"/>
  <c r="AZ727" i="28"/>
  <c r="AZ728" i="28"/>
  <c r="AZ729" i="28"/>
  <c r="AZ730" i="28"/>
  <c r="AZ731" i="28"/>
  <c r="AZ732" i="28"/>
  <c r="AZ733" i="28"/>
  <c r="AZ734" i="28"/>
  <c r="AZ735" i="28"/>
  <c r="AZ736" i="28"/>
  <c r="AZ737" i="28"/>
  <c r="AZ738" i="28"/>
  <c r="AZ739" i="28"/>
  <c r="AZ740" i="28"/>
  <c r="AZ741" i="28"/>
  <c r="AZ742" i="28"/>
  <c r="AZ743" i="28"/>
  <c r="AZ744" i="28"/>
  <c r="AZ745" i="28"/>
  <c r="AZ746" i="28"/>
  <c r="AZ747" i="28"/>
  <c r="AZ748" i="28"/>
  <c r="AZ749" i="28"/>
  <c r="AZ750" i="28"/>
  <c r="AZ751" i="28"/>
  <c r="AZ752" i="28"/>
  <c r="AZ753" i="28"/>
  <c r="AZ754" i="28"/>
  <c r="AZ755" i="28"/>
  <c r="AZ756" i="28"/>
  <c r="AZ757" i="28"/>
  <c r="AZ758" i="28"/>
  <c r="AZ759" i="28"/>
  <c r="AZ760" i="28"/>
  <c r="AZ761" i="28"/>
  <c r="AZ762" i="28"/>
  <c r="AZ763" i="28"/>
  <c r="AZ764" i="28"/>
  <c r="AZ765" i="28"/>
  <c r="AZ766" i="28"/>
  <c r="AZ767" i="28"/>
  <c r="AZ768" i="28"/>
  <c r="AZ769" i="28"/>
  <c r="AZ770" i="28"/>
  <c r="AZ771" i="28"/>
  <c r="AZ772" i="28"/>
  <c r="AZ773" i="28"/>
  <c r="AZ774" i="28"/>
  <c r="AZ775" i="28"/>
  <c r="AZ776" i="28"/>
  <c r="AZ777" i="28"/>
  <c r="AZ778" i="28"/>
  <c r="AZ779" i="28"/>
  <c r="AZ780" i="28"/>
  <c r="AZ781" i="28"/>
  <c r="AZ782" i="28"/>
  <c r="AZ783" i="28"/>
  <c r="AZ784" i="28"/>
  <c r="AZ785" i="28"/>
  <c r="AZ786" i="28"/>
  <c r="AZ787" i="28"/>
  <c r="AZ788" i="28"/>
  <c r="AZ789" i="28"/>
  <c r="AZ790" i="28"/>
  <c r="AZ791" i="28"/>
  <c r="AZ792" i="28"/>
  <c r="AZ793" i="28"/>
  <c r="AZ794" i="28"/>
  <c r="AZ795" i="28"/>
  <c r="AZ796" i="28"/>
  <c r="AZ797" i="28"/>
  <c r="AZ798" i="28"/>
  <c r="AZ799" i="28"/>
  <c r="AZ800" i="28"/>
  <c r="AZ801" i="28"/>
  <c r="AZ802" i="28"/>
  <c r="AZ803" i="28"/>
  <c r="AZ804" i="28"/>
  <c r="AZ805" i="28"/>
  <c r="AZ806" i="28"/>
  <c r="AZ807" i="28"/>
  <c r="AZ808" i="28"/>
  <c r="AZ809" i="28"/>
  <c r="AZ810" i="28"/>
  <c r="AZ811" i="28"/>
  <c r="AZ812" i="28"/>
  <c r="AZ813" i="28"/>
  <c r="AZ814" i="28"/>
  <c r="AZ815" i="28"/>
  <c r="AZ816" i="28"/>
  <c r="AZ817" i="28"/>
  <c r="AZ818" i="28"/>
  <c r="AZ819" i="28"/>
  <c r="AZ820" i="28"/>
  <c r="AZ821" i="28"/>
  <c r="AZ822" i="28"/>
  <c r="AZ823" i="28"/>
  <c r="AZ824" i="28"/>
  <c r="AZ825" i="28"/>
  <c r="AZ826" i="28"/>
  <c r="AZ827" i="28"/>
  <c r="AZ828" i="28"/>
  <c r="AZ829" i="28"/>
  <c r="AZ830" i="28"/>
  <c r="AZ831" i="28"/>
  <c r="AZ832" i="28"/>
  <c r="AZ833" i="28"/>
  <c r="AZ834" i="28"/>
  <c r="AZ835" i="28"/>
  <c r="AZ836" i="28"/>
  <c r="AZ837" i="28"/>
  <c r="AZ838" i="28"/>
  <c r="AZ839" i="28"/>
  <c r="AZ840" i="28"/>
  <c r="AZ841" i="28"/>
  <c r="AZ842" i="28"/>
  <c r="AZ843" i="28"/>
  <c r="AZ844" i="28"/>
  <c r="AZ845" i="28"/>
  <c r="AZ846" i="28"/>
  <c r="AZ847" i="28"/>
  <c r="AZ848" i="28"/>
  <c r="AZ849" i="28"/>
  <c r="AZ850" i="28"/>
  <c r="AZ851" i="28"/>
  <c r="AZ852" i="28"/>
  <c r="AZ853" i="28"/>
  <c r="AZ854" i="28"/>
  <c r="AZ855" i="28"/>
  <c r="AZ856" i="28"/>
  <c r="AZ857" i="28"/>
  <c r="AZ858" i="28"/>
  <c r="AZ859" i="28"/>
  <c r="AZ860" i="28"/>
  <c r="AZ861" i="28"/>
  <c r="AZ862" i="28"/>
  <c r="AZ863" i="28"/>
  <c r="AZ864" i="28"/>
  <c r="AZ865" i="28"/>
  <c r="AZ866" i="28"/>
  <c r="AZ867" i="28"/>
  <c r="AZ868" i="28"/>
  <c r="AZ869" i="28"/>
  <c r="AZ870" i="28"/>
  <c r="AZ871" i="28"/>
  <c r="AZ872" i="28"/>
  <c r="AZ873" i="28"/>
  <c r="AZ874" i="28"/>
  <c r="AZ875" i="28"/>
  <c r="AZ876" i="28"/>
  <c r="AZ877" i="28"/>
  <c r="AZ878" i="28"/>
  <c r="AZ879" i="28"/>
  <c r="AZ880" i="28"/>
  <c r="AZ881" i="28"/>
  <c r="AZ882" i="28"/>
  <c r="AZ883" i="28"/>
  <c r="AZ884" i="28"/>
  <c r="AZ885" i="28"/>
  <c r="AZ886" i="28"/>
  <c r="AZ887" i="28"/>
  <c r="AZ888" i="28"/>
  <c r="AZ889" i="28"/>
  <c r="AZ890" i="28"/>
  <c r="AZ891" i="28"/>
  <c r="AZ892" i="28"/>
  <c r="AZ893" i="28"/>
  <c r="AZ894" i="28"/>
  <c r="AZ895" i="28"/>
  <c r="AZ896" i="28"/>
  <c r="AZ897" i="28"/>
  <c r="AZ898" i="28"/>
  <c r="AZ899" i="28"/>
  <c r="AZ900" i="28"/>
  <c r="AZ901" i="28"/>
  <c r="AZ902" i="28"/>
  <c r="AZ903" i="28"/>
  <c r="AZ904" i="28"/>
  <c r="AZ905" i="28"/>
  <c r="AZ906" i="28"/>
  <c r="AZ907" i="28"/>
  <c r="AZ908" i="28"/>
  <c r="AZ909" i="28"/>
  <c r="AZ910" i="28"/>
  <c r="AZ911" i="28"/>
  <c r="AZ912" i="28"/>
  <c r="AZ913" i="28"/>
  <c r="AZ914" i="28"/>
  <c r="AZ915" i="28"/>
  <c r="AZ916" i="28"/>
  <c r="AZ917" i="28"/>
  <c r="AZ918" i="28"/>
  <c r="AZ919" i="28"/>
  <c r="AZ920" i="28"/>
  <c r="AZ921" i="28"/>
  <c r="AZ922" i="28"/>
  <c r="AZ923" i="28"/>
  <c r="AZ924" i="28"/>
  <c r="AZ925" i="28"/>
  <c r="AZ926" i="28"/>
  <c r="AZ927" i="28"/>
  <c r="AZ928" i="28"/>
  <c r="AZ929" i="28"/>
  <c r="AZ930" i="28"/>
  <c r="AZ931" i="28"/>
  <c r="AZ932" i="28"/>
  <c r="AZ933" i="28"/>
  <c r="AZ934" i="28"/>
  <c r="AZ935" i="28"/>
  <c r="AZ936" i="28"/>
  <c r="AZ937" i="28"/>
  <c r="AZ938" i="28"/>
  <c r="AZ939" i="28"/>
  <c r="AZ940" i="28"/>
  <c r="AZ941" i="28"/>
  <c r="AZ942" i="28"/>
  <c r="AZ943" i="28"/>
  <c r="AZ944" i="28"/>
  <c r="AZ945" i="28"/>
  <c r="AZ946" i="28"/>
  <c r="AZ947" i="28"/>
  <c r="AZ948" i="28"/>
  <c r="AZ949" i="28"/>
  <c r="AZ950" i="28"/>
  <c r="AZ951" i="28"/>
  <c r="AZ952" i="28"/>
  <c r="AZ953" i="28"/>
  <c r="AZ954" i="28"/>
  <c r="AZ955" i="28"/>
  <c r="AZ956" i="28"/>
  <c r="AZ957" i="28"/>
  <c r="AZ958" i="28"/>
  <c r="AZ959" i="28"/>
  <c r="AZ960" i="28"/>
  <c r="AZ961" i="28"/>
  <c r="AZ962" i="28"/>
  <c r="AZ963" i="28"/>
  <c r="AZ964" i="28"/>
  <c r="AZ965" i="28"/>
  <c r="AZ966" i="28"/>
  <c r="AZ967" i="28"/>
  <c r="AZ968" i="28"/>
  <c r="AZ969" i="28"/>
  <c r="AZ970" i="28"/>
  <c r="AZ971" i="28"/>
  <c r="AZ972" i="28"/>
  <c r="AZ973" i="28"/>
  <c r="AZ974" i="28"/>
  <c r="AZ975" i="28"/>
  <c r="AZ976" i="28"/>
  <c r="AZ977" i="28"/>
  <c r="AZ978" i="28"/>
  <c r="AZ979" i="28"/>
  <c r="AZ980" i="28"/>
  <c r="AZ981" i="28"/>
  <c r="AZ982" i="28"/>
  <c r="AZ983" i="28"/>
  <c r="AZ984" i="28"/>
  <c r="AZ985" i="28"/>
  <c r="AZ986" i="28"/>
  <c r="AZ987" i="28"/>
  <c r="AZ988" i="28"/>
  <c r="AZ989" i="28"/>
  <c r="AZ990" i="28"/>
  <c r="AZ991" i="28"/>
  <c r="AZ992" i="28"/>
  <c r="AZ993" i="28"/>
  <c r="AZ994" i="28"/>
  <c r="AZ995" i="28"/>
  <c r="AZ996" i="28"/>
  <c r="AZ997" i="28"/>
  <c r="AZ998" i="28"/>
  <c r="AZ999" i="28"/>
  <c r="AZ1000" i="28"/>
  <c r="AZ1001" i="28"/>
  <c r="AZ1002" i="28"/>
  <c r="AZ1003" i="28"/>
  <c r="AZ1004" i="28"/>
  <c r="AZ1005" i="28"/>
  <c r="AZ1006" i="28"/>
  <c r="AZ1007" i="28"/>
  <c r="AZ1008" i="28"/>
  <c r="AZ1009" i="28"/>
  <c r="AZ1010" i="28"/>
  <c r="AZ1011" i="28"/>
  <c r="AZ1012" i="28"/>
  <c r="AZ1013" i="28"/>
  <c r="AZ1014" i="28"/>
  <c r="AZ1015" i="28"/>
  <c r="AZ1016" i="28"/>
  <c r="AZ1017" i="28"/>
  <c r="AZ1018" i="28"/>
  <c r="AZ1019" i="28"/>
  <c r="AZ1020" i="28"/>
  <c r="AZ1021" i="28"/>
  <c r="AZ1022" i="28"/>
  <c r="AZ1023" i="28"/>
  <c r="AZ1024" i="28"/>
  <c r="AZ1025" i="28"/>
  <c r="AZ1026" i="28"/>
  <c r="AZ1027" i="28"/>
  <c r="AZ1028" i="28"/>
  <c r="AZ1029" i="28"/>
  <c r="AZ1030" i="28"/>
  <c r="AZ1031" i="28"/>
  <c r="AZ1032" i="28"/>
  <c r="AZ1033" i="28"/>
  <c r="AZ1034" i="28"/>
  <c r="AZ1035" i="28"/>
  <c r="AZ1036" i="28"/>
  <c r="AZ1037" i="28"/>
  <c r="AZ1038" i="28"/>
  <c r="AZ1039" i="28"/>
  <c r="AZ1040" i="28"/>
  <c r="AZ1041" i="28"/>
  <c r="AZ1042" i="28"/>
  <c r="AZ1043" i="28"/>
  <c r="AZ1044" i="28"/>
  <c r="AZ1045" i="28"/>
  <c r="AZ1046" i="28"/>
  <c r="AZ1047" i="28"/>
  <c r="AZ1048" i="28"/>
  <c r="AZ1049" i="28"/>
  <c r="AZ1050" i="28"/>
  <c r="AZ1051" i="28"/>
  <c r="AZ1052" i="28"/>
  <c r="AZ1053" i="28"/>
  <c r="AZ1054" i="28"/>
  <c r="AZ1055" i="28"/>
  <c r="AZ1056" i="28"/>
  <c r="AZ1057" i="28"/>
  <c r="AZ1058" i="28"/>
  <c r="AZ1059" i="28"/>
  <c r="AZ1060" i="28"/>
  <c r="AZ1061" i="28"/>
  <c r="AZ1062" i="28"/>
  <c r="AZ1063" i="28"/>
  <c r="AZ1064" i="28"/>
  <c r="AZ1065" i="28"/>
  <c r="AZ1066" i="28"/>
  <c r="AZ1067" i="28"/>
  <c r="AZ1068" i="28"/>
  <c r="AZ1069" i="28"/>
  <c r="AZ1070" i="28"/>
  <c r="AZ1071" i="28"/>
  <c r="AZ1072" i="28"/>
  <c r="AZ1073" i="28"/>
  <c r="AZ1074" i="28"/>
  <c r="AZ1075" i="28"/>
  <c r="AZ1076" i="28"/>
  <c r="AZ1077" i="28"/>
  <c r="AZ1078" i="28"/>
  <c r="AZ1079" i="28"/>
  <c r="AZ1080" i="28"/>
  <c r="AZ1081" i="28"/>
  <c r="AZ1082" i="28"/>
  <c r="AZ1083" i="28"/>
  <c r="AZ1084" i="28"/>
  <c r="AZ1085" i="28"/>
  <c r="AZ1086" i="28"/>
  <c r="AZ1087" i="28"/>
  <c r="AZ1088" i="28"/>
  <c r="AZ1089" i="28"/>
  <c r="AZ1090" i="28"/>
  <c r="AZ1091" i="28"/>
  <c r="AZ1092" i="28"/>
  <c r="AZ1093" i="28"/>
  <c r="AZ1094" i="28"/>
  <c r="AZ1095" i="28"/>
  <c r="AZ1096" i="28"/>
  <c r="AZ1097" i="28"/>
  <c r="AZ1098" i="28"/>
  <c r="AZ1099" i="28"/>
  <c r="AZ1100" i="28"/>
  <c r="AZ1101" i="28"/>
  <c r="AZ1102" i="28"/>
  <c r="AZ1103" i="28"/>
  <c r="AZ1104" i="28"/>
  <c r="AZ1105" i="28"/>
  <c r="AZ1106" i="28"/>
  <c r="AZ1107" i="28"/>
  <c r="AZ1108" i="28"/>
  <c r="AZ1109" i="28"/>
  <c r="AZ1110" i="28"/>
  <c r="AZ1111" i="28"/>
  <c r="AZ1112" i="28"/>
  <c r="AZ1113" i="28"/>
  <c r="AZ1114" i="28"/>
  <c r="AZ1115" i="28"/>
  <c r="AZ1116" i="28"/>
  <c r="AZ1117" i="28"/>
  <c r="AZ1118" i="28"/>
  <c r="AZ1119" i="28"/>
  <c r="AZ1120" i="28"/>
  <c r="AZ1121" i="28"/>
  <c r="AZ1122" i="28"/>
  <c r="AZ1123" i="28"/>
  <c r="AZ1124" i="28"/>
  <c r="AZ1125" i="28"/>
  <c r="AZ1126" i="28"/>
  <c r="AZ1127" i="28"/>
  <c r="AZ1128" i="28"/>
  <c r="AZ1129" i="28"/>
  <c r="AZ1130" i="28"/>
  <c r="AZ1131" i="28"/>
  <c r="AZ1132" i="28"/>
  <c r="AZ1133" i="28"/>
  <c r="AZ1134" i="28"/>
  <c r="AZ1135" i="28"/>
  <c r="AZ1136" i="28"/>
  <c r="AZ1137" i="28"/>
  <c r="AZ1138" i="28"/>
  <c r="AZ1139" i="28"/>
  <c r="AZ1140" i="28"/>
  <c r="AZ1141" i="28"/>
  <c r="AZ1142" i="28"/>
  <c r="AZ1143" i="28"/>
  <c r="AZ1144" i="28"/>
  <c r="AZ1145" i="28"/>
  <c r="AZ1146" i="28"/>
  <c r="AZ1147" i="28"/>
  <c r="AZ1148" i="28"/>
  <c r="AZ1149" i="28"/>
  <c r="AZ1150" i="28"/>
  <c r="AZ1151" i="28"/>
  <c r="AZ1152" i="28"/>
  <c r="AZ1153" i="28"/>
  <c r="AZ1154" i="28"/>
  <c r="AZ1155" i="28"/>
  <c r="AZ1156" i="28"/>
  <c r="AZ1157" i="28"/>
  <c r="AZ1158" i="28"/>
  <c r="AZ1159" i="28"/>
  <c r="AZ1160" i="28"/>
  <c r="AZ1161" i="28"/>
  <c r="AZ1162" i="28"/>
  <c r="AZ1163" i="28"/>
  <c r="AZ1164" i="28"/>
  <c r="AZ1165" i="28"/>
  <c r="AZ1166" i="28"/>
  <c r="AZ1167" i="28"/>
  <c r="AZ1168" i="28"/>
  <c r="AZ1169" i="28"/>
  <c r="AZ1170" i="28"/>
  <c r="AZ1171" i="28"/>
  <c r="AZ1172" i="28"/>
  <c r="AZ1173" i="28"/>
  <c r="AZ1174" i="28"/>
  <c r="AZ1175" i="28"/>
  <c r="AZ1176" i="28"/>
  <c r="AZ1177" i="28"/>
  <c r="AZ1178" i="28"/>
  <c r="AZ1179" i="28"/>
  <c r="AZ1180" i="28"/>
  <c r="AZ1181" i="28"/>
  <c r="AZ1182" i="28"/>
  <c r="AZ1183" i="28"/>
  <c r="AZ1184" i="28"/>
  <c r="AZ1185" i="28"/>
  <c r="AZ1186" i="28"/>
  <c r="AZ1187" i="28"/>
  <c r="AZ1188" i="28"/>
  <c r="AZ1189" i="28"/>
  <c r="AZ1190" i="28"/>
  <c r="AZ1191" i="28"/>
  <c r="AZ1192" i="28"/>
  <c r="AZ1193" i="28"/>
  <c r="AZ1194" i="28"/>
  <c r="AZ1195" i="28"/>
  <c r="AZ1196" i="28"/>
  <c r="AZ1197" i="28"/>
  <c r="AZ1198" i="28"/>
  <c r="AZ1199" i="28"/>
  <c r="AZ1200" i="28"/>
  <c r="AZ1201" i="28"/>
  <c r="AZ1202" i="28"/>
  <c r="AZ1203" i="28"/>
  <c r="AZ1204" i="28"/>
  <c r="AZ1205" i="28"/>
  <c r="AZ1206" i="28"/>
  <c r="AZ1207" i="28"/>
  <c r="AZ1208" i="28"/>
  <c r="AZ1209" i="28"/>
  <c r="AZ1210" i="28"/>
  <c r="AZ1211" i="28"/>
  <c r="AZ1212" i="28"/>
  <c r="AZ1213" i="28"/>
  <c r="AZ1214" i="28"/>
  <c r="AZ1215" i="28"/>
  <c r="AZ1216" i="28"/>
  <c r="AZ1217" i="28"/>
  <c r="AZ1218" i="28"/>
  <c r="AZ1219" i="28"/>
  <c r="AZ1220" i="28"/>
  <c r="AZ1221" i="28"/>
  <c r="AZ1222" i="28"/>
  <c r="AZ1223" i="28"/>
  <c r="AZ1224" i="28"/>
  <c r="AZ1225" i="28"/>
  <c r="AY27" i="28"/>
  <c r="AY28" i="28"/>
  <c r="AY29" i="28"/>
  <c r="AY30" i="28"/>
  <c r="AY31" i="28"/>
  <c r="AY32" i="28"/>
  <c r="AY33" i="28"/>
  <c r="AY34" i="28"/>
  <c r="AY35" i="28"/>
  <c r="AY36" i="28"/>
  <c r="AY37" i="28"/>
  <c r="AY38" i="28"/>
  <c r="AY39" i="28"/>
  <c r="AY40" i="28"/>
  <c r="AY41" i="28"/>
  <c r="AY42" i="28"/>
  <c r="AY43" i="28"/>
  <c r="AY44" i="28"/>
  <c r="AY45" i="28"/>
  <c r="AY46" i="28"/>
  <c r="AY47" i="28"/>
  <c r="AY48" i="28"/>
  <c r="AY49" i="28"/>
  <c r="AY50" i="28"/>
  <c r="AY51" i="28"/>
  <c r="AY52" i="28"/>
  <c r="AY53" i="28"/>
  <c r="AY54" i="28"/>
  <c r="AY55" i="28"/>
  <c r="AY56" i="28"/>
  <c r="AY57" i="28"/>
  <c r="AY58" i="28"/>
  <c r="AY59" i="28"/>
  <c r="AY60" i="28"/>
  <c r="AY61" i="28"/>
  <c r="AY62" i="28"/>
  <c r="AY63" i="28"/>
  <c r="AY64" i="28"/>
  <c r="AY65" i="28"/>
  <c r="AY66" i="28"/>
  <c r="AY67" i="28"/>
  <c r="AY68" i="28"/>
  <c r="AY69" i="28"/>
  <c r="AY70" i="28"/>
  <c r="AY71" i="28"/>
  <c r="AY72" i="28"/>
  <c r="AY73" i="28"/>
  <c r="AY74" i="28"/>
  <c r="AY75" i="28"/>
  <c r="AY76" i="28"/>
  <c r="AY77" i="28"/>
  <c r="AY78" i="28"/>
  <c r="AY79" i="28"/>
  <c r="AY80" i="28"/>
  <c r="AY81" i="28"/>
  <c r="AY82" i="28"/>
  <c r="AY83" i="28"/>
  <c r="AY84" i="28"/>
  <c r="AY85" i="28"/>
  <c r="AY86" i="28"/>
  <c r="AY87" i="28"/>
  <c r="AY88" i="28"/>
  <c r="AY89" i="28"/>
  <c r="AY90" i="28"/>
  <c r="AY91" i="28"/>
  <c r="AY92" i="28"/>
  <c r="AY93" i="28"/>
  <c r="AY94" i="28"/>
  <c r="AY95" i="28"/>
  <c r="AY96" i="28"/>
  <c r="AY97" i="28"/>
  <c r="AY98" i="28"/>
  <c r="AY99" i="28"/>
  <c r="AY100" i="28"/>
  <c r="AY101" i="28"/>
  <c r="AY102" i="28"/>
  <c r="AY103" i="28"/>
  <c r="AY104" i="28"/>
  <c r="AY105" i="28"/>
  <c r="AY106" i="28"/>
  <c r="AY107" i="28"/>
  <c r="AY108" i="28"/>
  <c r="AY109" i="28"/>
  <c r="AY110" i="28"/>
  <c r="AY111" i="28"/>
  <c r="AY112" i="28"/>
  <c r="AY113" i="28"/>
  <c r="AY114" i="28"/>
  <c r="AY115" i="28"/>
  <c r="AY116" i="28"/>
  <c r="AY117" i="28"/>
  <c r="AY118" i="28"/>
  <c r="AY119" i="28"/>
  <c r="AY120" i="28"/>
  <c r="AY121" i="28"/>
  <c r="AY122" i="28"/>
  <c r="AY123" i="28"/>
  <c r="AY124" i="28"/>
  <c r="AY125" i="28"/>
  <c r="AY126" i="28"/>
  <c r="AY127" i="28"/>
  <c r="AY128" i="28"/>
  <c r="AY129" i="28"/>
  <c r="AY130" i="28"/>
  <c r="AY131" i="28"/>
  <c r="AY132" i="28"/>
  <c r="AY133" i="28"/>
  <c r="AY134" i="28"/>
  <c r="AY135" i="28"/>
  <c r="AY136" i="28"/>
  <c r="AY137" i="28"/>
  <c r="AY138" i="28"/>
  <c r="AY139" i="28"/>
  <c r="AY140" i="28"/>
  <c r="AY141" i="28"/>
  <c r="AY142" i="28"/>
  <c r="AY143" i="28"/>
  <c r="AY144" i="28"/>
  <c r="AY145" i="28"/>
  <c r="AY146" i="28"/>
  <c r="AY147" i="28"/>
  <c r="AY148" i="28"/>
  <c r="AY149" i="28"/>
  <c r="AY150" i="28"/>
  <c r="AY151" i="28"/>
  <c r="AY152" i="28"/>
  <c r="AY153" i="28"/>
  <c r="AY154" i="28"/>
  <c r="AY155" i="28"/>
  <c r="AY156" i="28"/>
  <c r="AY157" i="28"/>
  <c r="AY158" i="28"/>
  <c r="AY159" i="28"/>
  <c r="AY160" i="28"/>
  <c r="AY161" i="28"/>
  <c r="AY162" i="28"/>
  <c r="AY163" i="28"/>
  <c r="AY164" i="28"/>
  <c r="AY165" i="28"/>
  <c r="AY166" i="28"/>
  <c r="AY167" i="28"/>
  <c r="AY168" i="28"/>
  <c r="AY169" i="28"/>
  <c r="AY170" i="28"/>
  <c r="AY171" i="28"/>
  <c r="AY172" i="28"/>
  <c r="AY173" i="28"/>
  <c r="AY174" i="28"/>
  <c r="AY175" i="28"/>
  <c r="AY176" i="28"/>
  <c r="AY177" i="28"/>
  <c r="AY178" i="28"/>
  <c r="AY179" i="28"/>
  <c r="AY180" i="28"/>
  <c r="AY181" i="28"/>
  <c r="AY182" i="28"/>
  <c r="AY183" i="28"/>
  <c r="AY184" i="28"/>
  <c r="AY185" i="28"/>
  <c r="AY186" i="28"/>
  <c r="AY187" i="28"/>
  <c r="AY188" i="28"/>
  <c r="AY189" i="28"/>
  <c r="AY190" i="28"/>
  <c r="AY191" i="28"/>
  <c r="AY192" i="28"/>
  <c r="AY193" i="28"/>
  <c r="AY194" i="28"/>
  <c r="AY195" i="28"/>
  <c r="AY196" i="28"/>
  <c r="AY197" i="28"/>
  <c r="AY198" i="28"/>
  <c r="AY199" i="28"/>
  <c r="AY200" i="28"/>
  <c r="AY201" i="28"/>
  <c r="AY202" i="28"/>
  <c r="AY203" i="28"/>
  <c r="AY204" i="28"/>
  <c r="AY205" i="28"/>
  <c r="AY206" i="28"/>
  <c r="AY207" i="28"/>
  <c r="AY208" i="28"/>
  <c r="AY209" i="28"/>
  <c r="AY210" i="28"/>
  <c r="AY211" i="28"/>
  <c r="AY212" i="28"/>
  <c r="AY213" i="28"/>
  <c r="AY214" i="28"/>
  <c r="AY215" i="28"/>
  <c r="AY216" i="28"/>
  <c r="AY217" i="28"/>
  <c r="AY218" i="28"/>
  <c r="AY219" i="28"/>
  <c r="AY220" i="28"/>
  <c r="AY221" i="28"/>
  <c r="AY222" i="28"/>
  <c r="AY223" i="28"/>
  <c r="AY224" i="28"/>
  <c r="AY225" i="28"/>
  <c r="AY226" i="28"/>
  <c r="AY227" i="28"/>
  <c r="AY228" i="28"/>
  <c r="AY229" i="28"/>
  <c r="AY230" i="28"/>
  <c r="AY231" i="28"/>
  <c r="AY232" i="28"/>
  <c r="AY233" i="28"/>
  <c r="AY234" i="28"/>
  <c r="AY235" i="28"/>
  <c r="AY236" i="28"/>
  <c r="AY237" i="28"/>
  <c r="AY238" i="28"/>
  <c r="AY239" i="28"/>
  <c r="AY240" i="28"/>
  <c r="AY241" i="28"/>
  <c r="AY242" i="28"/>
  <c r="AY243" i="28"/>
  <c r="AY244" i="28"/>
  <c r="AY245" i="28"/>
  <c r="AY246" i="28"/>
  <c r="AY247" i="28"/>
  <c r="AY248" i="28"/>
  <c r="AY249" i="28"/>
  <c r="AY250" i="28"/>
  <c r="AY251" i="28"/>
  <c r="AY252" i="28"/>
  <c r="AY253" i="28"/>
  <c r="AY254" i="28"/>
  <c r="AY255" i="28"/>
  <c r="AY256" i="28"/>
  <c r="AY257" i="28"/>
  <c r="AY258" i="28"/>
  <c r="AY259" i="28"/>
  <c r="AY260" i="28"/>
  <c r="AY261" i="28"/>
  <c r="AY262" i="28"/>
  <c r="AY263" i="28"/>
  <c r="AY264" i="28"/>
  <c r="AY265" i="28"/>
  <c r="AY266" i="28"/>
  <c r="AY267" i="28"/>
  <c r="AY268" i="28"/>
  <c r="AY269" i="28"/>
  <c r="AY270" i="28"/>
  <c r="AY271" i="28"/>
  <c r="AY272" i="28"/>
  <c r="AY273" i="28"/>
  <c r="AY274" i="28"/>
  <c r="AY275" i="28"/>
  <c r="AY276" i="28"/>
  <c r="AY277" i="28"/>
  <c r="AY278" i="28"/>
  <c r="AY279" i="28"/>
  <c r="AY280" i="28"/>
  <c r="AY281" i="28"/>
  <c r="AY282" i="28"/>
  <c r="AY283" i="28"/>
  <c r="AY284" i="28"/>
  <c r="AY285" i="28"/>
  <c r="AY286" i="28"/>
  <c r="AY287" i="28"/>
  <c r="AY288" i="28"/>
  <c r="AY289" i="28"/>
  <c r="AY290" i="28"/>
  <c r="AY291" i="28"/>
  <c r="AY292" i="28"/>
  <c r="AY293" i="28"/>
  <c r="AY294" i="28"/>
  <c r="AY295" i="28"/>
  <c r="AY296" i="28"/>
  <c r="AY297" i="28"/>
  <c r="AY298" i="28"/>
  <c r="AY299" i="28"/>
  <c r="AY300" i="28"/>
  <c r="AY301" i="28"/>
  <c r="AY302" i="28"/>
  <c r="AY303" i="28"/>
  <c r="AY304" i="28"/>
  <c r="AY305" i="28"/>
  <c r="AY306" i="28"/>
  <c r="AY307" i="28"/>
  <c r="AY308" i="28"/>
  <c r="AY309" i="28"/>
  <c r="AY310" i="28"/>
  <c r="AY311" i="28"/>
  <c r="AY312" i="28"/>
  <c r="AY313" i="28"/>
  <c r="AY314" i="28"/>
  <c r="AY315" i="28"/>
  <c r="AY316" i="28"/>
  <c r="AY317" i="28"/>
  <c r="AY318" i="28"/>
  <c r="AY319" i="28"/>
  <c r="AY320" i="28"/>
  <c r="AY321" i="28"/>
  <c r="AY322" i="28"/>
  <c r="AY323" i="28"/>
  <c r="AY324" i="28"/>
  <c r="AY325" i="28"/>
  <c r="AY326" i="28"/>
  <c r="AY327" i="28"/>
  <c r="AY328" i="28"/>
  <c r="AY329" i="28"/>
  <c r="AY330" i="28"/>
  <c r="AY331" i="28"/>
  <c r="AY332" i="28"/>
  <c r="AY333" i="28"/>
  <c r="AY334" i="28"/>
  <c r="AY335" i="28"/>
  <c r="AY336" i="28"/>
  <c r="AY337" i="28"/>
  <c r="AY338" i="28"/>
  <c r="AY339" i="28"/>
  <c r="AY340" i="28"/>
  <c r="AY341" i="28"/>
  <c r="AY342" i="28"/>
  <c r="AY343" i="28"/>
  <c r="AY344" i="28"/>
  <c r="AY345" i="28"/>
  <c r="AY346" i="28"/>
  <c r="AY347" i="28"/>
  <c r="AY348" i="28"/>
  <c r="AY349" i="28"/>
  <c r="AY350" i="28"/>
  <c r="AY351" i="28"/>
  <c r="AY352" i="28"/>
  <c r="AY353" i="28"/>
  <c r="AY354" i="28"/>
  <c r="AY355" i="28"/>
  <c r="AY356" i="28"/>
  <c r="AY357" i="28"/>
  <c r="AY358" i="28"/>
  <c r="AY359" i="28"/>
  <c r="AY360" i="28"/>
  <c r="AY361" i="28"/>
  <c r="AY362" i="28"/>
  <c r="AY363" i="28"/>
  <c r="AY364" i="28"/>
  <c r="AY365" i="28"/>
  <c r="AY366" i="28"/>
  <c r="AY367" i="28"/>
  <c r="AY368" i="28"/>
  <c r="AY369" i="28"/>
  <c r="AY370" i="28"/>
  <c r="AY371" i="28"/>
  <c r="AY372" i="28"/>
  <c r="AY373" i="28"/>
  <c r="AY374" i="28"/>
  <c r="AY375" i="28"/>
  <c r="AY376" i="28"/>
  <c r="AY377" i="28"/>
  <c r="AY378" i="28"/>
  <c r="AY379" i="28"/>
  <c r="AY380" i="28"/>
  <c r="AY381" i="28"/>
  <c r="AY382" i="28"/>
  <c r="AY383" i="28"/>
  <c r="AY384" i="28"/>
  <c r="AY385" i="28"/>
  <c r="AY386" i="28"/>
  <c r="AY387" i="28"/>
  <c r="AY388" i="28"/>
  <c r="AY389" i="28"/>
  <c r="AY390" i="28"/>
  <c r="AY391" i="28"/>
  <c r="AY392" i="28"/>
  <c r="AY393" i="28"/>
  <c r="AY394" i="28"/>
  <c r="AY395" i="28"/>
  <c r="AY396" i="28"/>
  <c r="AY397" i="28"/>
  <c r="AY398" i="28"/>
  <c r="AY399" i="28"/>
  <c r="AY400" i="28"/>
  <c r="AY401" i="28"/>
  <c r="AY402" i="28"/>
  <c r="AY403" i="28"/>
  <c r="AY404" i="28"/>
  <c r="AY405" i="28"/>
  <c r="AY406" i="28"/>
  <c r="AY407" i="28"/>
  <c r="AY408" i="28"/>
  <c r="AY409" i="28"/>
  <c r="AY410" i="28"/>
  <c r="AY411" i="28"/>
  <c r="AY412" i="28"/>
  <c r="AY413" i="28"/>
  <c r="AY414" i="28"/>
  <c r="AY415" i="28"/>
  <c r="AY416" i="28"/>
  <c r="AY417" i="28"/>
  <c r="AY418" i="28"/>
  <c r="AY419" i="28"/>
  <c r="AY420" i="28"/>
  <c r="AY421" i="28"/>
  <c r="AY422" i="28"/>
  <c r="AY423" i="28"/>
  <c r="AY424" i="28"/>
  <c r="AY425" i="28"/>
  <c r="AY426" i="28"/>
  <c r="AY427" i="28"/>
  <c r="AY428" i="28"/>
  <c r="AY429" i="28"/>
  <c r="AY430" i="28"/>
  <c r="AY431" i="28"/>
  <c r="AY432" i="28"/>
  <c r="AY433" i="28"/>
  <c r="AY434" i="28"/>
  <c r="AY435" i="28"/>
  <c r="AY436" i="28"/>
  <c r="AY437" i="28"/>
  <c r="AY438" i="28"/>
  <c r="AY439" i="28"/>
  <c r="AY440" i="28"/>
  <c r="AY441" i="28"/>
  <c r="AY442" i="28"/>
  <c r="AY443" i="28"/>
  <c r="AY444" i="28"/>
  <c r="AY445" i="28"/>
  <c r="AY446" i="28"/>
  <c r="AY447" i="28"/>
  <c r="AY448" i="28"/>
  <c r="AY449" i="28"/>
  <c r="AY450" i="28"/>
  <c r="AY451" i="28"/>
  <c r="AY452" i="28"/>
  <c r="AY453" i="28"/>
  <c r="AY454" i="28"/>
  <c r="AY455" i="28"/>
  <c r="AY456" i="28"/>
  <c r="AY457" i="28"/>
  <c r="AY458" i="28"/>
  <c r="AY459" i="28"/>
  <c r="AY460" i="28"/>
  <c r="AY461" i="28"/>
  <c r="AY462" i="28"/>
  <c r="AY463" i="28"/>
  <c r="AY464" i="28"/>
  <c r="AY465" i="28"/>
  <c r="AY466" i="28"/>
  <c r="AY467" i="28"/>
  <c r="AY468" i="28"/>
  <c r="AY469" i="28"/>
  <c r="AY470" i="28"/>
  <c r="AY471" i="28"/>
  <c r="AY472" i="28"/>
  <c r="AY473" i="28"/>
  <c r="AY474" i="28"/>
  <c r="AY475" i="28"/>
  <c r="AY476" i="28"/>
  <c r="AY477" i="28"/>
  <c r="AY478" i="28"/>
  <c r="AY479" i="28"/>
  <c r="AY480" i="28"/>
  <c r="AY481" i="28"/>
  <c r="AY482" i="28"/>
  <c r="AY483" i="28"/>
  <c r="AY484" i="28"/>
  <c r="AY485" i="28"/>
  <c r="AY486" i="28"/>
  <c r="AY487" i="28"/>
  <c r="AY488" i="28"/>
  <c r="AY489" i="28"/>
  <c r="AY490" i="28"/>
  <c r="AY491" i="28"/>
  <c r="AY492" i="28"/>
  <c r="AY493" i="28"/>
  <c r="AY494" i="28"/>
  <c r="AY495" i="28"/>
  <c r="AY496" i="28"/>
  <c r="AY497" i="28"/>
  <c r="AY498" i="28"/>
  <c r="AY499" i="28"/>
  <c r="AY500" i="28"/>
  <c r="AY501" i="28"/>
  <c r="AY502" i="28"/>
  <c r="AY503" i="28"/>
  <c r="AY504" i="28"/>
  <c r="AY505" i="28"/>
  <c r="AY506" i="28"/>
  <c r="AY507" i="28"/>
  <c r="AY508" i="28"/>
  <c r="AY509" i="28"/>
  <c r="AY510" i="28"/>
  <c r="AY511" i="28"/>
  <c r="AY512" i="28"/>
  <c r="AY513" i="28"/>
  <c r="AY514" i="28"/>
  <c r="AY515" i="28"/>
  <c r="AY516" i="28"/>
  <c r="AY517" i="28"/>
  <c r="AY518" i="28"/>
  <c r="AY519" i="28"/>
  <c r="AY520" i="28"/>
  <c r="AY521" i="28"/>
  <c r="AY522" i="28"/>
  <c r="AY523" i="28"/>
  <c r="AY524" i="28"/>
  <c r="AY525" i="28"/>
  <c r="AY526" i="28"/>
  <c r="AY527" i="28"/>
  <c r="AY528" i="28"/>
  <c r="AY529" i="28"/>
  <c r="AY530" i="28"/>
  <c r="AY531" i="28"/>
  <c r="AY532" i="28"/>
  <c r="AY533" i="28"/>
  <c r="AY534" i="28"/>
  <c r="AY535" i="28"/>
  <c r="AY536" i="28"/>
  <c r="AY537" i="28"/>
  <c r="AY538" i="28"/>
  <c r="AY539" i="28"/>
  <c r="AY540" i="28"/>
  <c r="AY541" i="28"/>
  <c r="AY542" i="28"/>
  <c r="AY543" i="28"/>
  <c r="AY544" i="28"/>
  <c r="AY545" i="28"/>
  <c r="AY546" i="28"/>
  <c r="AY547" i="28"/>
  <c r="AY548" i="28"/>
  <c r="AY549" i="28"/>
  <c r="AY550" i="28"/>
  <c r="AY551" i="28"/>
  <c r="AY552" i="28"/>
  <c r="AY553" i="28"/>
  <c r="AY554" i="28"/>
  <c r="AY555" i="28"/>
  <c r="AY556" i="28"/>
  <c r="AY557" i="28"/>
  <c r="AY558" i="28"/>
  <c r="AY559" i="28"/>
  <c r="AY560" i="28"/>
  <c r="AY561" i="28"/>
  <c r="AY562" i="28"/>
  <c r="AY563" i="28"/>
  <c r="AY564" i="28"/>
  <c r="AY565" i="28"/>
  <c r="AY566" i="28"/>
  <c r="AY567" i="28"/>
  <c r="AY568" i="28"/>
  <c r="AY569" i="28"/>
  <c r="AY570" i="28"/>
  <c r="AY571" i="28"/>
  <c r="AY572" i="28"/>
  <c r="AY573" i="28"/>
  <c r="AY574" i="28"/>
  <c r="AY575" i="28"/>
  <c r="AY576" i="28"/>
  <c r="AY577" i="28"/>
  <c r="AY578" i="28"/>
  <c r="AY579" i="28"/>
  <c r="AY580" i="28"/>
  <c r="AY581" i="28"/>
  <c r="AY582" i="28"/>
  <c r="AY583" i="28"/>
  <c r="AY584" i="28"/>
  <c r="AY585" i="28"/>
  <c r="AY586" i="28"/>
  <c r="AY587" i="28"/>
  <c r="AY588" i="28"/>
  <c r="AY589" i="28"/>
  <c r="AY590" i="28"/>
  <c r="AY591" i="28"/>
  <c r="AY592" i="28"/>
  <c r="AY593" i="28"/>
  <c r="AY594" i="28"/>
  <c r="AY595" i="28"/>
  <c r="AY596" i="28"/>
  <c r="AY597" i="28"/>
  <c r="AY598" i="28"/>
  <c r="AY599" i="28"/>
  <c r="AY600" i="28"/>
  <c r="AY601" i="28"/>
  <c r="AY602" i="28"/>
  <c r="AY603" i="28"/>
  <c r="AY604" i="28"/>
  <c r="AY605" i="28"/>
  <c r="AY606" i="28"/>
  <c r="AY607" i="28"/>
  <c r="AY608" i="28"/>
  <c r="AY609" i="28"/>
  <c r="AY610" i="28"/>
  <c r="AY611" i="28"/>
  <c r="AY612" i="28"/>
  <c r="AY613" i="28"/>
  <c r="AY614" i="28"/>
  <c r="AY615" i="28"/>
  <c r="AY616" i="28"/>
  <c r="AY617" i="28"/>
  <c r="AY618" i="28"/>
  <c r="AY619" i="28"/>
  <c r="AY620" i="28"/>
  <c r="AY621" i="28"/>
  <c r="AY622" i="28"/>
  <c r="AY623" i="28"/>
  <c r="AY624" i="28"/>
  <c r="AY625" i="28"/>
  <c r="AY626" i="28"/>
  <c r="AY627" i="28"/>
  <c r="AY628" i="28"/>
  <c r="AY629" i="28"/>
  <c r="AY630" i="28"/>
  <c r="AY631" i="28"/>
  <c r="AY632" i="28"/>
  <c r="AY633" i="28"/>
  <c r="AY634" i="28"/>
  <c r="AY635" i="28"/>
  <c r="AY636" i="28"/>
  <c r="AY637" i="28"/>
  <c r="AY638" i="28"/>
  <c r="AY639" i="28"/>
  <c r="AY640" i="28"/>
  <c r="AY641" i="28"/>
  <c r="AY642" i="28"/>
  <c r="AY643" i="28"/>
  <c r="AY644" i="28"/>
  <c r="AY645" i="28"/>
  <c r="AY646" i="28"/>
  <c r="AY647" i="28"/>
  <c r="AY648" i="28"/>
  <c r="AY649" i="28"/>
  <c r="AY650" i="28"/>
  <c r="AY651" i="28"/>
  <c r="AY652" i="28"/>
  <c r="AY653" i="28"/>
  <c r="AY654" i="28"/>
  <c r="AY655" i="28"/>
  <c r="AY656" i="28"/>
  <c r="AY657" i="28"/>
  <c r="AY658" i="28"/>
  <c r="AY659" i="28"/>
  <c r="AY660" i="28"/>
  <c r="AY661" i="28"/>
  <c r="AY662" i="28"/>
  <c r="AY663" i="28"/>
  <c r="AY664" i="28"/>
  <c r="AY665" i="28"/>
  <c r="AY666" i="28"/>
  <c r="AY667" i="28"/>
  <c r="AY668" i="28"/>
  <c r="AY669" i="28"/>
  <c r="AY670" i="28"/>
  <c r="AY671" i="28"/>
  <c r="AY672" i="28"/>
  <c r="AY673" i="28"/>
  <c r="AY674" i="28"/>
  <c r="AY675" i="28"/>
  <c r="AY676" i="28"/>
  <c r="AY677" i="28"/>
  <c r="AY678" i="28"/>
  <c r="AY679" i="28"/>
  <c r="AY680" i="28"/>
  <c r="AY681" i="28"/>
  <c r="AY682" i="28"/>
  <c r="AY683" i="28"/>
  <c r="AY684" i="28"/>
  <c r="AY685" i="28"/>
  <c r="AY686" i="28"/>
  <c r="AY687" i="28"/>
  <c r="AY688" i="28"/>
  <c r="AY689" i="28"/>
  <c r="AY690" i="28"/>
  <c r="AY691" i="28"/>
  <c r="AY692" i="28"/>
  <c r="AY693" i="28"/>
  <c r="AY694" i="28"/>
  <c r="AY695" i="28"/>
  <c r="AY696" i="28"/>
  <c r="AY697" i="28"/>
  <c r="AY698" i="28"/>
  <c r="AY699" i="28"/>
  <c r="AY700" i="28"/>
  <c r="AY701" i="28"/>
  <c r="AY702" i="28"/>
  <c r="AY703" i="28"/>
  <c r="AY704" i="28"/>
  <c r="AY705" i="28"/>
  <c r="AY706" i="28"/>
  <c r="AY707" i="28"/>
  <c r="AY708" i="28"/>
  <c r="AY709" i="28"/>
  <c r="AY710" i="28"/>
  <c r="AY711" i="28"/>
  <c r="AY712" i="28"/>
  <c r="AY713" i="28"/>
  <c r="AY714" i="28"/>
  <c r="AY715" i="28"/>
  <c r="AY716" i="28"/>
  <c r="AY717" i="28"/>
  <c r="AY718" i="28"/>
  <c r="AY719" i="28"/>
  <c r="AY720" i="28"/>
  <c r="AY721" i="28"/>
  <c r="AY722" i="28"/>
  <c r="AY723" i="28"/>
  <c r="AY724" i="28"/>
  <c r="AY725" i="28"/>
  <c r="AY726" i="28"/>
  <c r="AY727" i="28"/>
  <c r="AY728" i="28"/>
  <c r="AY729" i="28"/>
  <c r="AY730" i="28"/>
  <c r="AY731" i="28"/>
  <c r="AY732" i="28"/>
  <c r="AY733" i="28"/>
  <c r="AY734" i="28"/>
  <c r="AY735" i="28"/>
  <c r="AY736" i="28"/>
  <c r="AY737" i="28"/>
  <c r="AY738" i="28"/>
  <c r="AY739" i="28"/>
  <c r="AY740" i="28"/>
  <c r="AY741" i="28"/>
  <c r="AY742" i="28"/>
  <c r="AY743" i="28"/>
  <c r="AY744" i="28"/>
  <c r="AY745" i="28"/>
  <c r="AY746" i="28"/>
  <c r="AY747" i="28"/>
  <c r="AY748" i="28"/>
  <c r="AY749" i="28"/>
  <c r="AY750" i="28"/>
  <c r="AY751" i="28"/>
  <c r="AY752" i="28"/>
  <c r="AY753" i="28"/>
  <c r="AY754" i="28"/>
  <c r="AY755" i="28"/>
  <c r="AY756" i="28"/>
  <c r="AY757" i="28"/>
  <c r="AY758" i="28"/>
  <c r="AY759" i="28"/>
  <c r="AY760" i="28"/>
  <c r="AY761" i="28"/>
  <c r="AY762" i="28"/>
  <c r="AY763" i="28"/>
  <c r="AY764" i="28"/>
  <c r="AY765" i="28"/>
  <c r="AY766" i="28"/>
  <c r="AY767" i="28"/>
  <c r="AY768" i="28"/>
  <c r="AY769" i="28"/>
  <c r="AY770" i="28"/>
  <c r="AY771" i="28"/>
  <c r="AY772" i="28"/>
  <c r="AY773" i="28"/>
  <c r="AY774" i="28"/>
  <c r="AY775" i="28"/>
  <c r="AY776" i="28"/>
  <c r="AY777" i="28"/>
  <c r="AY778" i="28"/>
  <c r="AY779" i="28"/>
  <c r="AY780" i="28"/>
  <c r="AY781" i="28"/>
  <c r="AY782" i="28"/>
  <c r="AY783" i="28"/>
  <c r="AY784" i="28"/>
  <c r="AY785" i="28"/>
  <c r="AY786" i="28"/>
  <c r="AY787" i="28"/>
  <c r="AY788" i="28"/>
  <c r="AY789" i="28"/>
  <c r="AY790" i="28"/>
  <c r="AY791" i="28"/>
  <c r="AY792" i="28"/>
  <c r="AY793" i="28"/>
  <c r="AY794" i="28"/>
  <c r="AY795" i="28"/>
  <c r="AY796" i="28"/>
  <c r="AY797" i="28"/>
  <c r="AY798" i="28"/>
  <c r="AY799" i="28"/>
  <c r="AY800" i="28"/>
  <c r="AY801" i="28"/>
  <c r="AY802" i="28"/>
  <c r="AY803" i="28"/>
  <c r="AY804" i="28"/>
  <c r="AY805" i="28"/>
  <c r="AY806" i="28"/>
  <c r="AY807" i="28"/>
  <c r="AY808" i="28"/>
  <c r="AY809" i="28"/>
  <c r="AY810" i="28"/>
  <c r="AY811" i="28"/>
  <c r="AY812" i="28"/>
  <c r="AY813" i="28"/>
  <c r="AY814" i="28"/>
  <c r="AY815" i="28"/>
  <c r="AY816" i="28"/>
  <c r="AY817" i="28"/>
  <c r="AY818" i="28"/>
  <c r="AY819" i="28"/>
  <c r="AY820" i="28"/>
  <c r="AY821" i="28"/>
  <c r="AY822" i="28"/>
  <c r="AY823" i="28"/>
  <c r="AY824" i="28"/>
  <c r="AY825" i="28"/>
  <c r="AY826" i="28"/>
  <c r="AY827" i="28"/>
  <c r="AY828" i="28"/>
  <c r="AY829" i="28"/>
  <c r="AY830" i="28"/>
  <c r="AY831" i="28"/>
  <c r="AY832" i="28"/>
  <c r="AY833" i="28"/>
  <c r="AY834" i="28"/>
  <c r="AY835" i="28"/>
  <c r="AY836" i="28"/>
  <c r="AY837" i="28"/>
  <c r="AY838" i="28"/>
  <c r="AY839" i="28"/>
  <c r="AY840" i="28"/>
  <c r="AY841" i="28"/>
  <c r="AY842" i="28"/>
  <c r="AY843" i="28"/>
  <c r="AY844" i="28"/>
  <c r="AY845" i="28"/>
  <c r="AY846" i="28"/>
  <c r="AY847" i="28"/>
  <c r="AY848" i="28"/>
  <c r="AY849" i="28"/>
  <c r="AY850" i="28"/>
  <c r="AY851" i="28"/>
  <c r="AY852" i="28"/>
  <c r="AY853" i="28"/>
  <c r="AY854" i="28"/>
  <c r="AY855" i="28"/>
  <c r="AY856" i="28"/>
  <c r="AY857" i="28"/>
  <c r="AY858" i="28"/>
  <c r="AY859" i="28"/>
  <c r="AY860" i="28"/>
  <c r="AY861" i="28"/>
  <c r="AY862" i="28"/>
  <c r="AY863" i="28"/>
  <c r="AY864" i="28"/>
  <c r="AY865" i="28"/>
  <c r="AY866" i="28"/>
  <c r="AY867" i="28"/>
  <c r="AY868" i="28"/>
  <c r="AY869" i="28"/>
  <c r="AY870" i="28"/>
  <c r="AY871" i="28"/>
  <c r="AY872" i="28"/>
  <c r="AY873" i="28"/>
  <c r="AY874" i="28"/>
  <c r="AY875" i="28"/>
  <c r="AY876" i="28"/>
  <c r="AY877" i="28"/>
  <c r="AY878" i="28"/>
  <c r="AY879" i="28"/>
  <c r="AY880" i="28"/>
  <c r="AY881" i="28"/>
  <c r="AY882" i="28"/>
  <c r="AY883" i="28"/>
  <c r="AY884" i="28"/>
  <c r="AY885" i="28"/>
  <c r="AY886" i="28"/>
  <c r="AY887" i="28"/>
  <c r="AY888" i="28"/>
  <c r="AY889" i="28"/>
  <c r="AY890" i="28"/>
  <c r="AY891" i="28"/>
  <c r="AY892" i="28"/>
  <c r="AY893" i="28"/>
  <c r="AY894" i="28"/>
  <c r="AY895" i="28"/>
  <c r="AY896" i="28"/>
  <c r="AY897" i="28"/>
  <c r="AY898" i="28"/>
  <c r="AY899" i="28"/>
  <c r="AY900" i="28"/>
  <c r="AY901" i="28"/>
  <c r="AY902" i="28"/>
  <c r="AY903" i="28"/>
  <c r="AY904" i="28"/>
  <c r="AY905" i="28"/>
  <c r="AY906" i="28"/>
  <c r="AY907" i="28"/>
  <c r="AY908" i="28"/>
  <c r="AY909" i="28"/>
  <c r="AY910" i="28"/>
  <c r="AY911" i="28"/>
  <c r="AY912" i="28"/>
  <c r="AY913" i="28"/>
  <c r="AY914" i="28"/>
  <c r="AY915" i="28"/>
  <c r="AY916" i="28"/>
  <c r="AY917" i="28"/>
  <c r="AY918" i="28"/>
  <c r="AY919" i="28"/>
  <c r="AY920" i="28"/>
  <c r="AY921" i="28"/>
  <c r="AY922" i="28"/>
  <c r="AY923" i="28"/>
  <c r="AY924" i="28"/>
  <c r="AY925" i="28"/>
  <c r="AY926" i="28"/>
  <c r="AY927" i="28"/>
  <c r="AY928" i="28"/>
  <c r="AY929" i="28"/>
  <c r="AY930" i="28"/>
  <c r="AY931" i="28"/>
  <c r="AY932" i="28"/>
  <c r="AY933" i="28"/>
  <c r="AY934" i="28"/>
  <c r="AY935" i="28"/>
  <c r="AY936" i="28"/>
  <c r="AY937" i="28"/>
  <c r="AY938" i="28"/>
  <c r="AY939" i="28"/>
  <c r="AY940" i="28"/>
  <c r="AY941" i="28"/>
  <c r="AY942" i="28"/>
  <c r="AY943" i="28"/>
  <c r="AY944" i="28"/>
  <c r="AY945" i="28"/>
  <c r="AY946" i="28"/>
  <c r="AY947" i="28"/>
  <c r="AY948" i="28"/>
  <c r="AY949" i="28"/>
  <c r="AY950" i="28"/>
  <c r="AY951" i="28"/>
  <c r="AY952" i="28"/>
  <c r="AY953" i="28"/>
  <c r="AY954" i="28"/>
  <c r="AY955" i="28"/>
  <c r="AY956" i="28"/>
  <c r="AY957" i="28"/>
  <c r="AY958" i="28"/>
  <c r="AY959" i="28"/>
  <c r="AY960" i="28"/>
  <c r="AY961" i="28"/>
  <c r="AY962" i="28"/>
  <c r="AY963" i="28"/>
  <c r="AY964" i="28"/>
  <c r="AY965" i="28"/>
  <c r="AY966" i="28"/>
  <c r="AY967" i="28"/>
  <c r="AY968" i="28"/>
  <c r="AY969" i="28"/>
  <c r="AY970" i="28"/>
  <c r="AY971" i="28"/>
  <c r="AY972" i="28"/>
  <c r="AY973" i="28"/>
  <c r="AY974" i="28"/>
  <c r="AY975" i="28"/>
  <c r="AY976" i="28"/>
  <c r="AY977" i="28"/>
  <c r="AY978" i="28"/>
  <c r="AY979" i="28"/>
  <c r="AY980" i="28"/>
  <c r="AY981" i="28"/>
  <c r="AY982" i="28"/>
  <c r="AY983" i="28"/>
  <c r="AY984" i="28"/>
  <c r="AY985" i="28"/>
  <c r="AY986" i="28"/>
  <c r="AY987" i="28"/>
  <c r="AY988" i="28"/>
  <c r="AY989" i="28"/>
  <c r="AY990" i="28"/>
  <c r="AY991" i="28"/>
  <c r="AY992" i="28"/>
  <c r="AY993" i="28"/>
  <c r="AY994" i="28"/>
  <c r="AY995" i="28"/>
  <c r="AY996" i="28"/>
  <c r="AY997" i="28"/>
  <c r="AY998" i="28"/>
  <c r="AY999" i="28"/>
  <c r="AY1000" i="28"/>
  <c r="AY1001" i="28"/>
  <c r="AY1002" i="28"/>
  <c r="AY1003" i="28"/>
  <c r="AY1004" i="28"/>
  <c r="AY1005" i="28"/>
  <c r="AY1006" i="28"/>
  <c r="AY1007" i="28"/>
  <c r="AY1008" i="28"/>
  <c r="AY1009" i="28"/>
  <c r="AY1010" i="28"/>
  <c r="AY1011" i="28"/>
  <c r="AY1012" i="28"/>
  <c r="AY1013" i="28"/>
  <c r="AY1014" i="28"/>
  <c r="AY1015" i="28"/>
  <c r="AY1016" i="28"/>
  <c r="AY1017" i="28"/>
  <c r="AY1018" i="28"/>
  <c r="AY1019" i="28"/>
  <c r="AY1020" i="28"/>
  <c r="AY1021" i="28"/>
  <c r="AY1022" i="28"/>
  <c r="AY1023" i="28"/>
  <c r="AY1024" i="28"/>
  <c r="AY1025" i="28"/>
  <c r="AY1026" i="28"/>
  <c r="AY1027" i="28"/>
  <c r="AY1028" i="28"/>
  <c r="AY1029" i="28"/>
  <c r="AY1030" i="28"/>
  <c r="AY1031" i="28"/>
  <c r="AY1032" i="28"/>
  <c r="AY1033" i="28"/>
  <c r="AY1034" i="28"/>
  <c r="AY1035" i="28"/>
  <c r="AY1036" i="28"/>
  <c r="AY1037" i="28"/>
  <c r="AY1038" i="28"/>
  <c r="AY1039" i="28"/>
  <c r="AY1040" i="28"/>
  <c r="AY1041" i="28"/>
  <c r="AY1042" i="28"/>
  <c r="AY1043" i="28"/>
  <c r="AY1044" i="28"/>
  <c r="AY1045" i="28"/>
  <c r="AY1046" i="28"/>
  <c r="AY1047" i="28"/>
  <c r="AY1048" i="28"/>
  <c r="AY1049" i="28"/>
  <c r="AY1050" i="28"/>
  <c r="AY1051" i="28"/>
  <c r="AY1052" i="28"/>
  <c r="AY1053" i="28"/>
  <c r="AY1054" i="28"/>
  <c r="AY1055" i="28"/>
  <c r="AY1056" i="28"/>
  <c r="AY1057" i="28"/>
  <c r="AY1058" i="28"/>
  <c r="AY1059" i="28"/>
  <c r="AY1060" i="28"/>
  <c r="AY1061" i="28"/>
  <c r="AY1062" i="28"/>
  <c r="AY1063" i="28"/>
  <c r="AY1064" i="28"/>
  <c r="AY1065" i="28"/>
  <c r="AY1066" i="28"/>
  <c r="AY1067" i="28"/>
  <c r="AY1068" i="28"/>
  <c r="AY1069" i="28"/>
  <c r="AY1070" i="28"/>
  <c r="AY1071" i="28"/>
  <c r="AY1072" i="28"/>
  <c r="AY1073" i="28"/>
  <c r="AY1074" i="28"/>
  <c r="AY1075" i="28"/>
  <c r="AY1076" i="28"/>
  <c r="AY1077" i="28"/>
  <c r="AY1078" i="28"/>
  <c r="AY1079" i="28"/>
  <c r="AY1080" i="28"/>
  <c r="AY1081" i="28"/>
  <c r="AY1082" i="28"/>
  <c r="AY1083" i="28"/>
  <c r="AY1084" i="28"/>
  <c r="AY1085" i="28"/>
  <c r="AY1086" i="28"/>
  <c r="AY1087" i="28"/>
  <c r="AY1088" i="28"/>
  <c r="AY1089" i="28"/>
  <c r="AY1090" i="28"/>
  <c r="AY1091" i="28"/>
  <c r="AY1092" i="28"/>
  <c r="AY1093" i="28"/>
  <c r="AY1094" i="28"/>
  <c r="AY1095" i="28"/>
  <c r="AY1096" i="28"/>
  <c r="AY1097" i="28"/>
  <c r="AY1098" i="28"/>
  <c r="AY1099" i="28"/>
  <c r="AY1100" i="28"/>
  <c r="AY1101" i="28"/>
  <c r="AY1102" i="28"/>
  <c r="AY1103" i="28"/>
  <c r="AY1104" i="28"/>
  <c r="AY1105" i="28"/>
  <c r="AY1106" i="28"/>
  <c r="AY1107" i="28"/>
  <c r="AY1108" i="28"/>
  <c r="AY1109" i="28"/>
  <c r="AY1110" i="28"/>
  <c r="AY1111" i="28"/>
  <c r="AY1112" i="28"/>
  <c r="AY1113" i="28"/>
  <c r="AY1114" i="28"/>
  <c r="AY1115" i="28"/>
  <c r="AY1116" i="28"/>
  <c r="AY1117" i="28"/>
  <c r="AY1118" i="28"/>
  <c r="AY1119" i="28"/>
  <c r="AY1120" i="28"/>
  <c r="AY1121" i="28"/>
  <c r="AY1122" i="28"/>
  <c r="AY1123" i="28"/>
  <c r="AY1124" i="28"/>
  <c r="AY1125" i="28"/>
  <c r="AY1126" i="28"/>
  <c r="AY1127" i="28"/>
  <c r="AY1128" i="28"/>
  <c r="AY1129" i="28"/>
  <c r="AY1130" i="28"/>
  <c r="AY1131" i="28"/>
  <c r="AY1132" i="28"/>
  <c r="AY1133" i="28"/>
  <c r="AY1134" i="28"/>
  <c r="AY1135" i="28"/>
  <c r="AY1136" i="28"/>
  <c r="AY1137" i="28"/>
  <c r="AY1138" i="28"/>
  <c r="AY1139" i="28"/>
  <c r="AY1140" i="28"/>
  <c r="AY1141" i="28"/>
  <c r="AY1142" i="28"/>
  <c r="AY1143" i="28"/>
  <c r="AY1144" i="28"/>
  <c r="AY1145" i="28"/>
  <c r="AY1146" i="28"/>
  <c r="AY1147" i="28"/>
  <c r="AY1148" i="28"/>
  <c r="AY1149" i="28"/>
  <c r="AY1150" i="28"/>
  <c r="AY1151" i="28"/>
  <c r="AY1152" i="28"/>
  <c r="AY1153" i="28"/>
  <c r="AY1154" i="28"/>
  <c r="AY1155" i="28"/>
  <c r="AY1156" i="28"/>
  <c r="AY1157" i="28"/>
  <c r="AY1158" i="28"/>
  <c r="AY1159" i="28"/>
  <c r="AY1160" i="28"/>
  <c r="AY1161" i="28"/>
  <c r="AY1162" i="28"/>
  <c r="AY1163" i="28"/>
  <c r="AY1164" i="28"/>
  <c r="AY1165" i="28"/>
  <c r="AY1166" i="28"/>
  <c r="AY1167" i="28"/>
  <c r="AY1168" i="28"/>
  <c r="AY1169" i="28"/>
  <c r="AY1170" i="28"/>
  <c r="AY1171" i="28"/>
  <c r="AY1172" i="28"/>
  <c r="AY1173" i="28"/>
  <c r="AY1174" i="28"/>
  <c r="AY1175" i="28"/>
  <c r="AY1176" i="28"/>
  <c r="AY1177" i="28"/>
  <c r="AY1178" i="28"/>
  <c r="AY1179" i="28"/>
  <c r="AY1180" i="28"/>
  <c r="AY1181" i="28"/>
  <c r="AY1182" i="28"/>
  <c r="AY1183" i="28"/>
  <c r="AY1184" i="28"/>
  <c r="AY1185" i="28"/>
  <c r="AY1186" i="28"/>
  <c r="AY1187" i="28"/>
  <c r="AY1188" i="28"/>
  <c r="AY1189" i="28"/>
  <c r="AY1190" i="28"/>
  <c r="AY1191" i="28"/>
  <c r="AY1192" i="28"/>
  <c r="AY1193" i="28"/>
  <c r="AY1194" i="28"/>
  <c r="AY1195" i="28"/>
  <c r="AY1196" i="28"/>
  <c r="AY1197" i="28"/>
  <c r="AY1198" i="28"/>
  <c r="AY1199" i="28"/>
  <c r="AY1200" i="28"/>
  <c r="AY1201" i="28"/>
  <c r="AY1202" i="28"/>
  <c r="AY1203" i="28"/>
  <c r="AY1204" i="28"/>
  <c r="AY1205" i="28"/>
  <c r="AY1206" i="28"/>
  <c r="AY1207" i="28"/>
  <c r="AY1208" i="28"/>
  <c r="AY1209" i="28"/>
  <c r="AY1210" i="28"/>
  <c r="AY1211" i="28"/>
  <c r="AY1212" i="28"/>
  <c r="AY1213" i="28"/>
  <c r="AY1214" i="28"/>
  <c r="AY1215" i="28"/>
  <c r="AY1216" i="28"/>
  <c r="AY1217" i="28"/>
  <c r="AY1218" i="28"/>
  <c r="AY1219" i="28"/>
  <c r="AY1220" i="28"/>
  <c r="AY1221" i="28"/>
  <c r="AY1222" i="28"/>
  <c r="AY1223" i="28"/>
  <c r="AY1224" i="28"/>
  <c r="AY1225" i="28"/>
  <c r="AX171" i="28"/>
  <c r="AX172" i="28"/>
  <c r="AX173" i="28"/>
  <c r="AX174" i="28"/>
  <c r="AX175" i="28"/>
  <c r="AX176" i="28"/>
  <c r="AX177" i="28"/>
  <c r="AX178" i="28"/>
  <c r="AX179" i="28"/>
  <c r="AX180" i="28"/>
  <c r="AX181" i="28"/>
  <c r="AX182" i="28"/>
  <c r="AX183" i="28"/>
  <c r="AX184" i="28"/>
  <c r="AX185" i="28"/>
  <c r="AX186" i="28"/>
  <c r="AX187" i="28"/>
  <c r="AX188" i="28"/>
  <c r="AX189" i="28"/>
  <c r="AX190" i="28"/>
  <c r="AX191" i="28"/>
  <c r="AX192" i="28"/>
  <c r="AX193" i="28"/>
  <c r="AX194" i="28"/>
  <c r="AX195" i="28"/>
  <c r="AX196" i="28"/>
  <c r="AX197" i="28"/>
  <c r="AX198" i="28"/>
  <c r="AX199" i="28"/>
  <c r="AX200" i="28"/>
  <c r="AX201" i="28"/>
  <c r="AX202" i="28"/>
  <c r="AX203" i="28"/>
  <c r="AX204" i="28"/>
  <c r="AX205" i="28"/>
  <c r="AX206" i="28"/>
  <c r="AX207" i="28"/>
  <c r="AX208" i="28"/>
  <c r="AX209" i="28"/>
  <c r="AX210" i="28"/>
  <c r="AX211" i="28"/>
  <c r="AX212" i="28"/>
  <c r="AX213" i="28"/>
  <c r="AX214" i="28"/>
  <c r="AX215" i="28"/>
  <c r="AX216" i="28"/>
  <c r="AX217" i="28"/>
  <c r="AX218" i="28"/>
  <c r="AX219" i="28"/>
  <c r="AX220" i="28"/>
  <c r="AX221" i="28"/>
  <c r="AX222" i="28"/>
  <c r="AX223" i="28"/>
  <c r="AX224" i="28"/>
  <c r="AX225" i="28"/>
  <c r="AX226" i="28"/>
  <c r="AX227" i="28"/>
  <c r="AX228" i="28"/>
  <c r="AX229" i="28"/>
  <c r="AX230" i="28"/>
  <c r="AX231" i="28"/>
  <c r="AX232" i="28"/>
  <c r="AX233" i="28"/>
  <c r="AX234" i="28"/>
  <c r="AX235" i="28"/>
  <c r="AX236" i="28"/>
  <c r="AX237" i="28"/>
  <c r="AX238" i="28"/>
  <c r="AX239" i="28"/>
  <c r="AX240" i="28"/>
  <c r="AX241" i="28"/>
  <c r="AX242" i="28"/>
  <c r="AX243" i="28"/>
  <c r="AX244" i="28"/>
  <c r="AX245" i="28"/>
  <c r="AX246" i="28"/>
  <c r="AX247" i="28"/>
  <c r="AX248" i="28"/>
  <c r="AX249" i="28"/>
  <c r="AX250" i="28"/>
  <c r="AX251" i="28"/>
  <c r="AX252" i="28"/>
  <c r="AX253" i="28"/>
  <c r="AX254" i="28"/>
  <c r="AX255" i="28"/>
  <c r="AX256" i="28"/>
  <c r="AX257" i="28"/>
  <c r="AX258" i="28"/>
  <c r="AX259" i="28"/>
  <c r="AX260" i="28"/>
  <c r="AX261" i="28"/>
  <c r="AX262" i="28"/>
  <c r="AX263" i="28"/>
  <c r="AX264" i="28"/>
  <c r="AX265" i="28"/>
  <c r="AX266" i="28"/>
  <c r="AX267" i="28"/>
  <c r="AX268" i="28"/>
  <c r="AX269" i="28"/>
  <c r="AX270" i="28"/>
  <c r="AX271" i="28"/>
  <c r="AX272" i="28"/>
  <c r="AX273" i="28"/>
  <c r="AX274" i="28"/>
  <c r="AX275" i="28"/>
  <c r="AX276" i="28"/>
  <c r="AX277" i="28"/>
  <c r="AX278" i="28"/>
  <c r="AX279" i="28"/>
  <c r="AX280" i="28"/>
  <c r="AX281" i="28"/>
  <c r="AX282" i="28"/>
  <c r="AX283" i="28"/>
  <c r="AX284" i="28"/>
  <c r="AX285" i="28"/>
  <c r="AX286" i="28"/>
  <c r="AX287" i="28"/>
  <c r="AX288" i="28"/>
  <c r="AX289" i="28"/>
  <c r="AX290" i="28"/>
  <c r="AX291" i="28"/>
  <c r="AX292" i="28"/>
  <c r="AX293" i="28"/>
  <c r="AX294" i="28"/>
  <c r="AX295" i="28"/>
  <c r="AX296" i="28"/>
  <c r="AX297" i="28"/>
  <c r="AX298" i="28"/>
  <c r="AX299" i="28"/>
  <c r="AX300" i="28"/>
  <c r="AX301" i="28"/>
  <c r="AX302" i="28"/>
  <c r="AX303" i="28"/>
  <c r="AX304" i="28"/>
  <c r="AX305" i="28"/>
  <c r="AX306" i="28"/>
  <c r="AX307" i="28"/>
  <c r="AX308" i="28"/>
  <c r="AX309" i="28"/>
  <c r="AX310" i="28"/>
  <c r="AX311" i="28"/>
  <c r="AX312" i="28"/>
  <c r="AX313" i="28"/>
  <c r="AX314" i="28"/>
  <c r="AX315" i="28"/>
  <c r="AX316" i="28"/>
  <c r="AX317" i="28"/>
  <c r="AX318" i="28"/>
  <c r="AX319" i="28"/>
  <c r="AX320" i="28"/>
  <c r="AX321" i="28"/>
  <c r="AX322" i="28"/>
  <c r="AX323" i="28"/>
  <c r="AX324" i="28"/>
  <c r="AX325" i="28"/>
  <c r="AX326" i="28"/>
  <c r="AX327" i="28"/>
  <c r="AX328" i="28"/>
  <c r="AX329" i="28"/>
  <c r="AX330" i="28"/>
  <c r="AX331" i="28"/>
  <c r="AX332" i="28"/>
  <c r="AX333" i="28"/>
  <c r="AX334" i="28"/>
  <c r="AX335" i="28"/>
  <c r="AX336" i="28"/>
  <c r="AX337" i="28"/>
  <c r="AX338" i="28"/>
  <c r="AX339" i="28"/>
  <c r="AX340" i="28"/>
  <c r="AX341" i="28"/>
  <c r="AX342" i="28"/>
  <c r="AX343" i="28"/>
  <c r="AX344" i="28"/>
  <c r="AX345" i="28"/>
  <c r="AX346" i="28"/>
  <c r="AX347" i="28"/>
  <c r="AX348" i="28"/>
  <c r="AX349" i="28"/>
  <c r="AX350" i="28"/>
  <c r="AX351" i="28"/>
  <c r="AX352" i="28"/>
  <c r="AX353" i="28"/>
  <c r="AX354" i="28"/>
  <c r="AX355" i="28"/>
  <c r="AX356" i="28"/>
  <c r="AX357" i="28"/>
  <c r="AX358" i="28"/>
  <c r="AX359" i="28"/>
  <c r="AX360" i="28"/>
  <c r="AX361" i="28"/>
  <c r="AX362" i="28"/>
  <c r="AX363" i="28"/>
  <c r="AX364" i="28"/>
  <c r="AX365" i="28"/>
  <c r="AX366" i="28"/>
  <c r="AX367" i="28"/>
  <c r="AX368" i="28"/>
  <c r="AX369" i="28"/>
  <c r="AX370" i="28"/>
  <c r="AX371" i="28"/>
  <c r="AX372" i="28"/>
  <c r="AX373" i="28"/>
  <c r="AX374" i="28"/>
  <c r="AX375" i="28"/>
  <c r="AX376" i="28"/>
  <c r="AX377" i="28"/>
  <c r="AX378" i="28"/>
  <c r="AX379" i="28"/>
  <c r="AX380" i="28"/>
  <c r="AX381" i="28"/>
  <c r="AX382" i="28"/>
  <c r="AX383" i="28"/>
  <c r="AX384" i="28"/>
  <c r="AX385" i="28"/>
  <c r="AX386" i="28"/>
  <c r="AX387" i="28"/>
  <c r="AX388" i="28"/>
  <c r="AX389" i="28"/>
  <c r="AX390" i="28"/>
  <c r="AX391" i="28"/>
  <c r="AX392" i="28"/>
  <c r="AX393" i="28"/>
  <c r="AX394" i="28"/>
  <c r="AX395" i="28"/>
  <c r="AX396" i="28"/>
  <c r="AX397" i="28"/>
  <c r="AX398" i="28"/>
  <c r="AX399" i="28"/>
  <c r="AX400" i="28"/>
  <c r="AX401" i="28"/>
  <c r="AX402" i="28"/>
  <c r="AX403" i="28"/>
  <c r="AX404" i="28"/>
  <c r="AX405" i="28"/>
  <c r="AX406" i="28"/>
  <c r="AX407" i="28"/>
  <c r="AX408" i="28"/>
  <c r="AX409" i="28"/>
  <c r="AX410" i="28"/>
  <c r="AX411" i="28"/>
  <c r="AX412" i="28"/>
  <c r="AX413" i="28"/>
  <c r="AX414" i="28"/>
  <c r="AX415" i="28"/>
  <c r="AX416" i="28"/>
  <c r="AX417" i="28"/>
  <c r="AX418" i="28"/>
  <c r="AX419" i="28"/>
  <c r="AX420" i="28"/>
  <c r="AX421" i="28"/>
  <c r="AX422" i="28"/>
  <c r="AX423" i="28"/>
  <c r="AX424" i="28"/>
  <c r="AX425" i="28"/>
  <c r="AX426" i="28"/>
  <c r="AX427" i="28"/>
  <c r="AX428" i="28"/>
  <c r="AX429" i="28"/>
  <c r="AX430" i="28"/>
  <c r="AX431" i="28"/>
  <c r="AX432" i="28"/>
  <c r="AX433" i="28"/>
  <c r="AX434" i="28"/>
  <c r="AX435" i="28"/>
  <c r="AX436" i="28"/>
  <c r="AX437" i="28"/>
  <c r="AX438" i="28"/>
  <c r="AX439" i="28"/>
  <c r="AX440" i="28"/>
  <c r="AX441" i="28"/>
  <c r="AX442" i="28"/>
  <c r="AX443" i="28"/>
  <c r="AX444" i="28"/>
  <c r="AX445" i="28"/>
  <c r="AX446" i="28"/>
  <c r="AX447" i="28"/>
  <c r="AX448" i="28"/>
  <c r="AX449" i="28"/>
  <c r="AX450" i="28"/>
  <c r="AX451" i="28"/>
  <c r="AX452" i="28"/>
  <c r="AX453" i="28"/>
  <c r="AX454" i="28"/>
  <c r="AX455" i="28"/>
  <c r="AX456" i="28"/>
  <c r="AX457" i="28"/>
  <c r="AX458" i="28"/>
  <c r="AX459" i="28"/>
  <c r="AX460" i="28"/>
  <c r="AX461" i="28"/>
  <c r="AX462" i="28"/>
  <c r="AX463" i="28"/>
  <c r="AX464" i="28"/>
  <c r="AX465" i="28"/>
  <c r="AX466" i="28"/>
  <c r="AX467" i="28"/>
  <c r="AX468" i="28"/>
  <c r="AX469" i="28"/>
  <c r="AX470" i="28"/>
  <c r="AX471" i="28"/>
  <c r="AX472" i="28"/>
  <c r="AX473" i="28"/>
  <c r="AX474" i="28"/>
  <c r="AX475" i="28"/>
  <c r="AX476" i="28"/>
  <c r="AX477" i="28"/>
  <c r="AX478" i="28"/>
  <c r="AX479" i="28"/>
  <c r="AX480" i="28"/>
  <c r="AX481" i="28"/>
  <c r="AX482" i="28"/>
  <c r="AX483" i="28"/>
  <c r="AX484" i="28"/>
  <c r="AX485" i="28"/>
  <c r="AX486" i="28"/>
  <c r="AX487" i="28"/>
  <c r="AX488" i="28"/>
  <c r="AX489" i="28"/>
  <c r="AX490" i="28"/>
  <c r="AX491" i="28"/>
  <c r="AX492" i="28"/>
  <c r="AX493" i="28"/>
  <c r="AX494" i="28"/>
  <c r="AX495" i="28"/>
  <c r="AX496" i="28"/>
  <c r="AX497" i="28"/>
  <c r="AX498" i="28"/>
  <c r="AX499" i="28"/>
  <c r="AX500" i="28"/>
  <c r="AX501" i="28"/>
  <c r="AX502" i="28"/>
  <c r="AX503" i="28"/>
  <c r="AX504" i="28"/>
  <c r="AX505" i="28"/>
  <c r="AX506" i="28"/>
  <c r="AX507" i="28"/>
  <c r="AX508" i="28"/>
  <c r="AX509" i="28"/>
  <c r="AX510" i="28"/>
  <c r="AX511" i="28"/>
  <c r="AX512" i="28"/>
  <c r="AX513" i="28"/>
  <c r="AX514" i="28"/>
  <c r="AX515" i="28"/>
  <c r="AX516" i="28"/>
  <c r="AX517" i="28"/>
  <c r="AX518" i="28"/>
  <c r="AX519" i="28"/>
  <c r="AX520" i="28"/>
  <c r="AX521" i="28"/>
  <c r="AX522" i="28"/>
  <c r="AX523" i="28"/>
  <c r="AX524" i="28"/>
  <c r="AX525" i="28"/>
  <c r="AX526" i="28"/>
  <c r="AX527" i="28"/>
  <c r="AX528" i="28"/>
  <c r="AX529" i="28"/>
  <c r="AX530" i="28"/>
  <c r="AX531" i="28"/>
  <c r="AX532" i="28"/>
  <c r="AX533" i="28"/>
  <c r="AX534" i="28"/>
  <c r="AX535" i="28"/>
  <c r="AX536" i="28"/>
  <c r="AX537" i="28"/>
  <c r="AX538" i="28"/>
  <c r="AX539" i="28"/>
  <c r="AX540" i="28"/>
  <c r="AX541" i="28"/>
  <c r="AX542" i="28"/>
  <c r="AX543" i="28"/>
  <c r="AX544" i="28"/>
  <c r="AX545" i="28"/>
  <c r="AX546" i="28"/>
  <c r="AX547" i="28"/>
  <c r="AX548" i="28"/>
  <c r="AX549" i="28"/>
  <c r="AX550" i="28"/>
  <c r="AX551" i="28"/>
  <c r="AX552" i="28"/>
  <c r="AX553" i="28"/>
  <c r="AX554" i="28"/>
  <c r="AX555" i="28"/>
  <c r="AX556" i="28"/>
  <c r="AX557" i="28"/>
  <c r="AX558" i="28"/>
  <c r="AX559" i="28"/>
  <c r="AX560" i="28"/>
  <c r="AX561" i="28"/>
  <c r="AX562" i="28"/>
  <c r="AX563" i="28"/>
  <c r="AX564" i="28"/>
  <c r="AX565" i="28"/>
  <c r="AX566" i="28"/>
  <c r="AX567" i="28"/>
  <c r="AX568" i="28"/>
  <c r="AX569" i="28"/>
  <c r="AX570" i="28"/>
  <c r="AX571" i="28"/>
  <c r="AX572" i="28"/>
  <c r="AX573" i="28"/>
  <c r="AX574" i="28"/>
  <c r="AX575" i="28"/>
  <c r="AX576" i="28"/>
  <c r="AX577" i="28"/>
  <c r="AX578" i="28"/>
  <c r="AX579" i="28"/>
  <c r="AX580" i="28"/>
  <c r="AX581" i="28"/>
  <c r="AX582" i="28"/>
  <c r="AX583" i="28"/>
  <c r="AX584" i="28"/>
  <c r="AX585" i="28"/>
  <c r="AX586" i="28"/>
  <c r="AX587" i="28"/>
  <c r="AX588" i="28"/>
  <c r="AX589" i="28"/>
  <c r="AX590" i="28"/>
  <c r="AX591" i="28"/>
  <c r="AX592" i="28"/>
  <c r="AX593" i="28"/>
  <c r="AX594" i="28"/>
  <c r="AX595" i="28"/>
  <c r="AX596" i="28"/>
  <c r="AX597" i="28"/>
  <c r="AX598" i="28"/>
  <c r="AX599" i="28"/>
  <c r="AX600" i="28"/>
  <c r="AX601" i="28"/>
  <c r="AX602" i="28"/>
  <c r="AX603" i="28"/>
  <c r="AX604" i="28"/>
  <c r="AX605" i="28"/>
  <c r="AX606" i="28"/>
  <c r="AX607" i="28"/>
  <c r="AX608" i="28"/>
  <c r="AX609" i="28"/>
  <c r="AX610" i="28"/>
  <c r="AX611" i="28"/>
  <c r="AX612" i="28"/>
  <c r="AX613" i="28"/>
  <c r="AX614" i="28"/>
  <c r="AX615" i="28"/>
  <c r="AX616" i="28"/>
  <c r="AX617" i="28"/>
  <c r="AX618" i="28"/>
  <c r="AX619" i="28"/>
  <c r="AX620" i="28"/>
  <c r="AX621" i="28"/>
  <c r="AX622" i="28"/>
  <c r="AX623" i="28"/>
  <c r="AX624" i="28"/>
  <c r="AX625" i="28"/>
  <c r="AX626" i="28"/>
  <c r="AX627" i="28"/>
  <c r="AX628" i="28"/>
  <c r="AX629" i="28"/>
  <c r="AX630" i="28"/>
  <c r="AX631" i="28"/>
  <c r="AX632" i="28"/>
  <c r="AX633" i="28"/>
  <c r="AX634" i="28"/>
  <c r="AX635" i="28"/>
  <c r="AX636" i="28"/>
  <c r="AX637" i="28"/>
  <c r="AX638" i="28"/>
  <c r="AX639" i="28"/>
  <c r="AX640" i="28"/>
  <c r="AX641" i="28"/>
  <c r="AX642" i="28"/>
  <c r="AX643" i="28"/>
  <c r="AX644" i="28"/>
  <c r="AX645" i="28"/>
  <c r="AX646" i="28"/>
  <c r="AX647" i="28"/>
  <c r="AX648" i="28"/>
  <c r="AX649" i="28"/>
  <c r="AX650" i="28"/>
  <c r="AX651" i="28"/>
  <c r="AX652" i="28"/>
  <c r="AX653" i="28"/>
  <c r="AX654" i="28"/>
  <c r="AX655" i="28"/>
  <c r="AX656" i="28"/>
  <c r="AX657" i="28"/>
  <c r="AX658" i="28"/>
  <c r="AX659" i="28"/>
  <c r="AX660" i="28"/>
  <c r="AX661" i="28"/>
  <c r="AX662" i="28"/>
  <c r="AX663" i="28"/>
  <c r="AX664" i="28"/>
  <c r="AX665" i="28"/>
  <c r="AX666" i="28"/>
  <c r="AX667" i="28"/>
  <c r="AX668" i="28"/>
  <c r="AX669" i="28"/>
  <c r="AX670" i="28"/>
  <c r="AX671" i="28"/>
  <c r="AX672" i="28"/>
  <c r="AX673" i="28"/>
  <c r="AX674" i="28"/>
  <c r="AX675" i="28"/>
  <c r="AX676" i="28"/>
  <c r="AX677" i="28"/>
  <c r="AX678" i="28"/>
  <c r="AX679" i="28"/>
  <c r="AX680" i="28"/>
  <c r="AX681" i="28"/>
  <c r="AX682" i="28"/>
  <c r="AX683" i="28"/>
  <c r="AX684" i="28"/>
  <c r="AX685" i="28"/>
  <c r="AX686" i="28"/>
  <c r="AX687" i="28"/>
  <c r="AX688" i="28"/>
  <c r="AX689" i="28"/>
  <c r="AX690" i="28"/>
  <c r="AX691" i="28"/>
  <c r="AX692" i="28"/>
  <c r="AX693" i="28"/>
  <c r="AX694" i="28"/>
  <c r="AX695" i="28"/>
  <c r="AX696" i="28"/>
  <c r="AX697" i="28"/>
  <c r="AX698" i="28"/>
  <c r="AX699" i="28"/>
  <c r="AX700" i="28"/>
  <c r="AX701" i="28"/>
  <c r="AX702" i="28"/>
  <c r="AX703" i="28"/>
  <c r="AX704" i="28"/>
  <c r="AX705" i="28"/>
  <c r="AX706" i="28"/>
  <c r="AX707" i="28"/>
  <c r="AX708" i="28"/>
  <c r="AX709" i="28"/>
  <c r="AX710" i="28"/>
  <c r="AX711" i="28"/>
  <c r="AX712" i="28"/>
  <c r="AX713" i="28"/>
  <c r="AX714" i="28"/>
  <c r="AX715" i="28"/>
  <c r="AX716" i="28"/>
  <c r="AX717" i="28"/>
  <c r="AX718" i="28"/>
  <c r="AX719" i="28"/>
  <c r="AX720" i="28"/>
  <c r="AX721" i="28"/>
  <c r="AX722" i="28"/>
  <c r="AX723" i="28"/>
  <c r="AX724" i="28"/>
  <c r="AX725" i="28"/>
  <c r="AX726" i="28"/>
  <c r="AX727" i="28"/>
  <c r="AX728" i="28"/>
  <c r="AX729" i="28"/>
  <c r="AX730" i="28"/>
  <c r="AX731" i="28"/>
  <c r="AX732" i="28"/>
  <c r="AX733" i="28"/>
  <c r="AX734" i="28"/>
  <c r="AX735" i="28"/>
  <c r="AX736" i="28"/>
  <c r="AX737" i="28"/>
  <c r="AX738" i="28"/>
  <c r="AX739" i="28"/>
  <c r="AX740" i="28"/>
  <c r="AX741" i="28"/>
  <c r="AX742" i="28"/>
  <c r="AX743" i="28"/>
  <c r="AX744" i="28"/>
  <c r="AX745" i="28"/>
  <c r="AX746" i="28"/>
  <c r="AX747" i="28"/>
  <c r="AX748" i="28"/>
  <c r="AX749" i="28"/>
  <c r="AX750" i="28"/>
  <c r="AX751" i="28"/>
  <c r="AX752" i="28"/>
  <c r="AX753" i="28"/>
  <c r="AX754" i="28"/>
  <c r="AX755" i="28"/>
  <c r="AX756" i="28"/>
  <c r="AX757" i="28"/>
  <c r="AX758" i="28"/>
  <c r="AX759" i="28"/>
  <c r="AX760" i="28"/>
  <c r="AX761" i="28"/>
  <c r="AX762" i="28"/>
  <c r="AX763" i="28"/>
  <c r="AX764" i="28"/>
  <c r="AX765" i="28"/>
  <c r="AX766" i="28"/>
  <c r="AX767" i="28"/>
  <c r="AX768" i="28"/>
  <c r="AX769" i="28"/>
  <c r="AX770" i="28"/>
  <c r="AX771" i="28"/>
  <c r="AX772" i="28"/>
  <c r="AX773" i="28"/>
  <c r="AX774" i="28"/>
  <c r="AX775" i="28"/>
  <c r="AX776" i="28"/>
  <c r="AX777" i="28"/>
  <c r="AX778" i="28"/>
  <c r="AX779" i="28"/>
  <c r="AX780" i="28"/>
  <c r="AX781" i="28"/>
  <c r="AX782" i="28"/>
  <c r="AX783" i="28"/>
  <c r="AX784" i="28"/>
  <c r="AX785" i="28"/>
  <c r="AX786" i="28"/>
  <c r="AX787" i="28"/>
  <c r="AX788" i="28"/>
  <c r="AX789" i="28"/>
  <c r="AX790" i="28"/>
  <c r="AX791" i="28"/>
  <c r="AX792" i="28"/>
  <c r="AX793" i="28"/>
  <c r="AX794" i="28"/>
  <c r="AX795" i="28"/>
  <c r="AX796" i="28"/>
  <c r="AX797" i="28"/>
  <c r="AX798" i="28"/>
  <c r="AX799" i="28"/>
  <c r="AX800" i="28"/>
  <c r="AX801" i="28"/>
  <c r="AX802" i="28"/>
  <c r="AX803" i="28"/>
  <c r="AX804" i="28"/>
  <c r="AX805" i="28"/>
  <c r="AX806" i="28"/>
  <c r="AX807" i="28"/>
  <c r="AX808" i="28"/>
  <c r="AX809" i="28"/>
  <c r="AX810" i="28"/>
  <c r="AX811" i="28"/>
  <c r="AX812" i="28"/>
  <c r="AX813" i="28"/>
  <c r="AX814" i="28"/>
  <c r="AX815" i="28"/>
  <c r="AX816" i="28"/>
  <c r="AX817" i="28"/>
  <c r="AX818" i="28"/>
  <c r="AX819" i="28"/>
  <c r="AX820" i="28"/>
  <c r="AX821" i="28"/>
  <c r="AX822" i="28"/>
  <c r="AX823" i="28"/>
  <c r="AX824" i="28"/>
  <c r="AX825" i="28"/>
  <c r="AX826" i="28"/>
  <c r="AX827" i="28"/>
  <c r="AX828" i="28"/>
  <c r="AX829" i="28"/>
  <c r="AX830" i="28"/>
  <c r="AX831" i="28"/>
  <c r="AX832" i="28"/>
  <c r="AX833" i="28"/>
  <c r="AX834" i="28"/>
  <c r="AX835" i="28"/>
  <c r="AX836" i="28"/>
  <c r="AX837" i="28"/>
  <c r="AX838" i="28"/>
  <c r="AX839" i="28"/>
  <c r="AX840" i="28"/>
  <c r="AX841" i="28"/>
  <c r="AX842" i="28"/>
  <c r="AX843" i="28"/>
  <c r="AX844" i="28"/>
  <c r="AX845" i="28"/>
  <c r="AX846" i="28"/>
  <c r="AX847" i="28"/>
  <c r="AX848" i="28"/>
  <c r="AX849" i="28"/>
  <c r="AX850" i="28"/>
  <c r="AX851" i="28"/>
  <c r="AX852" i="28"/>
  <c r="AX853" i="28"/>
  <c r="AX854" i="28"/>
  <c r="AX855" i="28"/>
  <c r="AX856" i="28"/>
  <c r="AX857" i="28"/>
  <c r="AX858" i="28"/>
  <c r="AX859" i="28"/>
  <c r="AX860" i="28"/>
  <c r="AX861" i="28"/>
  <c r="AX862" i="28"/>
  <c r="AX863" i="28"/>
  <c r="AX864" i="28"/>
  <c r="AX865" i="28"/>
  <c r="AX866" i="28"/>
  <c r="AX867" i="28"/>
  <c r="AX868" i="28"/>
  <c r="AX869" i="28"/>
  <c r="AX870" i="28"/>
  <c r="AX871" i="28"/>
  <c r="AX872" i="28"/>
  <c r="AX873" i="28"/>
  <c r="AX874" i="28"/>
  <c r="AX875" i="28"/>
  <c r="AX876" i="28"/>
  <c r="AX877" i="28"/>
  <c r="AX878" i="28"/>
  <c r="AX879" i="28"/>
  <c r="AX880" i="28"/>
  <c r="AX881" i="28"/>
  <c r="AX882" i="28"/>
  <c r="AX883" i="28"/>
  <c r="AX884" i="28"/>
  <c r="AX885" i="28"/>
  <c r="AX886" i="28"/>
  <c r="AX887" i="28"/>
  <c r="AX888" i="28"/>
  <c r="AX889" i="28"/>
  <c r="AX890" i="28"/>
  <c r="AX891" i="28"/>
  <c r="AX892" i="28"/>
  <c r="AX893" i="28"/>
  <c r="AX894" i="28"/>
  <c r="AX895" i="28"/>
  <c r="AX896" i="28"/>
  <c r="AX897" i="28"/>
  <c r="AX898" i="28"/>
  <c r="AX899" i="28"/>
  <c r="AX900" i="28"/>
  <c r="AX901" i="28"/>
  <c r="AX902" i="28"/>
  <c r="AX903" i="28"/>
  <c r="AX904" i="28"/>
  <c r="AX905" i="28"/>
  <c r="AX906" i="28"/>
  <c r="AX907" i="28"/>
  <c r="AX908" i="28"/>
  <c r="AX909" i="28"/>
  <c r="AX910" i="28"/>
  <c r="AX911" i="28"/>
  <c r="AX912" i="28"/>
  <c r="AX913" i="28"/>
  <c r="AX914" i="28"/>
  <c r="AX915" i="28"/>
  <c r="AX916" i="28"/>
  <c r="AX917" i="28"/>
  <c r="AX918" i="28"/>
  <c r="AX919" i="28"/>
  <c r="AX920" i="28"/>
  <c r="AX921" i="28"/>
  <c r="AX922" i="28"/>
  <c r="AX923" i="28"/>
  <c r="AX924" i="28"/>
  <c r="AX925" i="28"/>
  <c r="AX926" i="28"/>
  <c r="AX927" i="28"/>
  <c r="AX928" i="28"/>
  <c r="AX929" i="28"/>
  <c r="AX930" i="28"/>
  <c r="AX931" i="28"/>
  <c r="AX932" i="28"/>
  <c r="AX933" i="28"/>
  <c r="AX934" i="28"/>
  <c r="AX935" i="28"/>
  <c r="AX936" i="28"/>
  <c r="AX937" i="28"/>
  <c r="AX938" i="28"/>
  <c r="AX939" i="28"/>
  <c r="AX940" i="28"/>
  <c r="AX941" i="28"/>
  <c r="AX942" i="28"/>
  <c r="AX943" i="28"/>
  <c r="AX944" i="28"/>
  <c r="AX945" i="28"/>
  <c r="AX946" i="28"/>
  <c r="AX947" i="28"/>
  <c r="AX948" i="28"/>
  <c r="AX949" i="28"/>
  <c r="AX950" i="28"/>
  <c r="AX951" i="28"/>
  <c r="AX952" i="28"/>
  <c r="AX953" i="28"/>
  <c r="AX954" i="28"/>
  <c r="AX955" i="28"/>
  <c r="AX956" i="28"/>
  <c r="AX957" i="28"/>
  <c r="AX958" i="28"/>
  <c r="AX959" i="28"/>
  <c r="AX960" i="28"/>
  <c r="AX961" i="28"/>
  <c r="AX962" i="28"/>
  <c r="AX963" i="28"/>
  <c r="AX964" i="28"/>
  <c r="AX965" i="28"/>
  <c r="AX966" i="28"/>
  <c r="AX967" i="28"/>
  <c r="AX968" i="28"/>
  <c r="AX969" i="28"/>
  <c r="AX970" i="28"/>
  <c r="AX971" i="28"/>
  <c r="AX972" i="28"/>
  <c r="AX973" i="28"/>
  <c r="AX974" i="28"/>
  <c r="AX975" i="28"/>
  <c r="AX976" i="28"/>
  <c r="AX977" i="28"/>
  <c r="AX978" i="28"/>
  <c r="AX979" i="28"/>
  <c r="AX980" i="28"/>
  <c r="AX981" i="28"/>
  <c r="AX982" i="28"/>
  <c r="AX983" i="28"/>
  <c r="AX984" i="28"/>
  <c r="AX985" i="28"/>
  <c r="AX986" i="28"/>
  <c r="AX987" i="28"/>
  <c r="AX988" i="28"/>
  <c r="AX989" i="28"/>
  <c r="AX990" i="28"/>
  <c r="AX991" i="28"/>
  <c r="AX992" i="28"/>
  <c r="AX993" i="28"/>
  <c r="AX994" i="28"/>
  <c r="AX995" i="28"/>
  <c r="AX996" i="28"/>
  <c r="AX997" i="28"/>
  <c r="AX998" i="28"/>
  <c r="AX999" i="28"/>
  <c r="AX1000" i="28"/>
  <c r="AX1001" i="28"/>
  <c r="AX1002" i="28"/>
  <c r="AX1003" i="28"/>
  <c r="AX1004" i="28"/>
  <c r="AX1005" i="28"/>
  <c r="AX1006" i="28"/>
  <c r="AX1007" i="28"/>
  <c r="AX1008" i="28"/>
  <c r="AX1009" i="28"/>
  <c r="AX1010" i="28"/>
  <c r="AX1011" i="28"/>
  <c r="AX1012" i="28"/>
  <c r="AX1013" i="28"/>
  <c r="AX1014" i="28"/>
  <c r="AX1015" i="28"/>
  <c r="AX1016" i="28"/>
  <c r="AX1017" i="28"/>
  <c r="AX1018" i="28"/>
  <c r="AX1019" i="28"/>
  <c r="AX1020" i="28"/>
  <c r="AX1021" i="28"/>
  <c r="AX1022" i="28"/>
  <c r="AX1023" i="28"/>
  <c r="AX1024" i="28"/>
  <c r="AX1025" i="28"/>
  <c r="AX1026" i="28"/>
  <c r="AX1027" i="28"/>
  <c r="AX1028" i="28"/>
  <c r="AX1029" i="28"/>
  <c r="AX1030" i="28"/>
  <c r="AX1031" i="28"/>
  <c r="AX1032" i="28"/>
  <c r="AX1033" i="28"/>
  <c r="AX1034" i="28"/>
  <c r="AX1035" i="28"/>
  <c r="AX1036" i="28"/>
  <c r="AX1037" i="28"/>
  <c r="AX1038" i="28"/>
  <c r="AX1039" i="28"/>
  <c r="AX1040" i="28"/>
  <c r="AX1041" i="28"/>
  <c r="AX1042" i="28"/>
  <c r="AX1043" i="28"/>
  <c r="AX1044" i="28"/>
  <c r="AX1045" i="28"/>
  <c r="AX1046" i="28"/>
  <c r="AX1047" i="28"/>
  <c r="AX1048" i="28"/>
  <c r="AX1049" i="28"/>
  <c r="AX1050" i="28"/>
  <c r="AX1051" i="28"/>
  <c r="AX1052" i="28"/>
  <c r="AX1053" i="28"/>
  <c r="AX1054" i="28"/>
  <c r="AX1055" i="28"/>
  <c r="AX1056" i="28"/>
  <c r="AX1057" i="28"/>
  <c r="AX1058" i="28"/>
  <c r="AX1059" i="28"/>
  <c r="AX1060" i="28"/>
  <c r="AX1061" i="28"/>
  <c r="AX1062" i="28"/>
  <c r="AX1063" i="28"/>
  <c r="AX1064" i="28"/>
  <c r="AX1065" i="28"/>
  <c r="AX1066" i="28"/>
  <c r="AX1067" i="28"/>
  <c r="AX1068" i="28"/>
  <c r="AX1069" i="28"/>
  <c r="AX1070" i="28"/>
  <c r="AX1071" i="28"/>
  <c r="AX1072" i="28"/>
  <c r="AX1073" i="28"/>
  <c r="AX1074" i="28"/>
  <c r="AX1075" i="28"/>
  <c r="AX1076" i="28"/>
  <c r="AX1077" i="28"/>
  <c r="AX1078" i="28"/>
  <c r="AX1079" i="28"/>
  <c r="AX1080" i="28"/>
  <c r="AX1081" i="28"/>
  <c r="AX1082" i="28"/>
  <c r="AX1083" i="28"/>
  <c r="AX1084" i="28"/>
  <c r="AX1085" i="28"/>
  <c r="AX1086" i="28"/>
  <c r="AX1087" i="28"/>
  <c r="AX1088" i="28"/>
  <c r="AX1089" i="28"/>
  <c r="AX1090" i="28"/>
  <c r="AX1091" i="28"/>
  <c r="AX1092" i="28"/>
  <c r="AX1093" i="28"/>
  <c r="AX1094" i="28"/>
  <c r="AX1095" i="28"/>
  <c r="AX1096" i="28"/>
  <c r="AX1097" i="28"/>
  <c r="AX1098" i="28"/>
  <c r="AX1099" i="28"/>
  <c r="AX1100" i="28"/>
  <c r="AX1101" i="28"/>
  <c r="AX1102" i="28"/>
  <c r="AX1103" i="28"/>
  <c r="AX1104" i="28"/>
  <c r="AX1105" i="28"/>
  <c r="AX1106" i="28"/>
  <c r="AX1107" i="28"/>
  <c r="AX1108" i="28"/>
  <c r="AX1109" i="28"/>
  <c r="AX1110" i="28"/>
  <c r="AX1111" i="28"/>
  <c r="AX1112" i="28"/>
  <c r="AX1113" i="28"/>
  <c r="AX1114" i="28"/>
  <c r="AX1115" i="28"/>
  <c r="AX1116" i="28"/>
  <c r="AX1117" i="28"/>
  <c r="AX1118" i="28"/>
  <c r="AX1119" i="28"/>
  <c r="AX1120" i="28"/>
  <c r="AX1121" i="28"/>
  <c r="AX1122" i="28"/>
  <c r="AX1123" i="28"/>
  <c r="AX1124" i="28"/>
  <c r="AX1125" i="28"/>
  <c r="AX1126" i="28"/>
  <c r="AX1127" i="28"/>
  <c r="AX1128" i="28"/>
  <c r="AX1129" i="28"/>
  <c r="AX1130" i="28"/>
  <c r="AX1131" i="28"/>
  <c r="AX1132" i="28"/>
  <c r="AX1133" i="28"/>
  <c r="AX1134" i="28"/>
  <c r="AX1135" i="28"/>
  <c r="AX1136" i="28"/>
  <c r="AX1137" i="28"/>
  <c r="AX1138" i="28"/>
  <c r="AX1139" i="28"/>
  <c r="AX1140" i="28"/>
  <c r="AX1141" i="28"/>
  <c r="AX1142" i="28"/>
  <c r="AX1143" i="28"/>
  <c r="AX1144" i="28"/>
  <c r="AX1145" i="28"/>
  <c r="AX1146" i="28"/>
  <c r="AX1147" i="28"/>
  <c r="AX1148" i="28"/>
  <c r="AX1149" i="28"/>
  <c r="AX1150" i="28"/>
  <c r="AX1151" i="28"/>
  <c r="AX1152" i="28"/>
  <c r="AX1153" i="28"/>
  <c r="AX1154" i="28"/>
  <c r="AX1155" i="28"/>
  <c r="AX1156" i="28"/>
  <c r="AX1157" i="28"/>
  <c r="AX1158" i="28"/>
  <c r="AX1159" i="28"/>
  <c r="AX1160" i="28"/>
  <c r="AX1161" i="28"/>
  <c r="AX1162" i="28"/>
  <c r="AX1163" i="28"/>
  <c r="AX1164" i="28"/>
  <c r="AX1165" i="28"/>
  <c r="AX1166" i="28"/>
  <c r="AX1167" i="28"/>
  <c r="AX1168" i="28"/>
  <c r="AX1169" i="28"/>
  <c r="AX1170" i="28"/>
  <c r="AX1171" i="28"/>
  <c r="AX1172" i="28"/>
  <c r="AX1173" i="28"/>
  <c r="AX1174" i="28"/>
  <c r="AX1175" i="28"/>
  <c r="AX1176" i="28"/>
  <c r="AX1177" i="28"/>
  <c r="AX1178" i="28"/>
  <c r="AX1179" i="28"/>
  <c r="AX1180" i="28"/>
  <c r="AX1181" i="28"/>
  <c r="AX1182" i="28"/>
  <c r="AX1183" i="28"/>
  <c r="AX1184" i="28"/>
  <c r="AX1185" i="28"/>
  <c r="AX1186" i="28"/>
  <c r="AX1187" i="28"/>
  <c r="AX1188" i="28"/>
  <c r="AX1189" i="28"/>
  <c r="AX1190" i="28"/>
  <c r="AX1191" i="28"/>
  <c r="AX1192" i="28"/>
  <c r="AX1193" i="28"/>
  <c r="AX1194" i="28"/>
  <c r="AX1195" i="28"/>
  <c r="AX1196" i="28"/>
  <c r="AX1197" i="28"/>
  <c r="AX1198" i="28"/>
  <c r="AX1199" i="28"/>
  <c r="AX1200" i="28"/>
  <c r="AX1201" i="28"/>
  <c r="AX1202" i="28"/>
  <c r="AX1203" i="28"/>
  <c r="AX1204" i="28"/>
  <c r="AX1205" i="28"/>
  <c r="AX1206" i="28"/>
  <c r="AX1207" i="28"/>
  <c r="AX1208" i="28"/>
  <c r="AX1209" i="28"/>
  <c r="AX1210" i="28"/>
  <c r="AX1211" i="28"/>
  <c r="AX1212" i="28"/>
  <c r="AX1213" i="28"/>
  <c r="AX1214" i="28"/>
  <c r="AX1215" i="28"/>
  <c r="AX1216" i="28"/>
  <c r="AX1217" i="28"/>
  <c r="AX1218" i="28"/>
  <c r="AX1219" i="28"/>
  <c r="AX1220" i="28"/>
  <c r="AX1221" i="28"/>
  <c r="AX1222" i="28"/>
  <c r="AX1223" i="28"/>
  <c r="AX1224" i="28"/>
  <c r="AX1225" i="28"/>
  <c r="AW27" i="28"/>
  <c r="AW28" i="28"/>
  <c r="AW29" i="28"/>
  <c r="AW30" i="28"/>
  <c r="AW31" i="28"/>
  <c r="AW32" i="28"/>
  <c r="AW33" i="28"/>
  <c r="AW34" i="28"/>
  <c r="AW35" i="28"/>
  <c r="AW36" i="28"/>
  <c r="AW37" i="28"/>
  <c r="AW38" i="28"/>
  <c r="AW39" i="28"/>
  <c r="AW40" i="28"/>
  <c r="AW41" i="28"/>
  <c r="AW42" i="28"/>
  <c r="AW43" i="28"/>
  <c r="AW44" i="28"/>
  <c r="AW45" i="28"/>
  <c r="AW46" i="28"/>
  <c r="AW47" i="28"/>
  <c r="AW48" i="28"/>
  <c r="AW49" i="28"/>
  <c r="AW50" i="28"/>
  <c r="AW51" i="28"/>
  <c r="AW52" i="28"/>
  <c r="AW53" i="28"/>
  <c r="AW54" i="28"/>
  <c r="AW55" i="28"/>
  <c r="AW56" i="28"/>
  <c r="AW57" i="28"/>
  <c r="AW58" i="28"/>
  <c r="AW59" i="28"/>
  <c r="AW60" i="28"/>
  <c r="AW61" i="28"/>
  <c r="AW62" i="28"/>
  <c r="AW63" i="28"/>
  <c r="AW64" i="28"/>
  <c r="AW65" i="28"/>
  <c r="AW66" i="28"/>
  <c r="AW67" i="28"/>
  <c r="AW68" i="28"/>
  <c r="AW69" i="28"/>
  <c r="AW70" i="28"/>
  <c r="AW71" i="28"/>
  <c r="AW72" i="28"/>
  <c r="AW73" i="28"/>
  <c r="AW74" i="28"/>
  <c r="AW75" i="28"/>
  <c r="AW76" i="28"/>
  <c r="AW77" i="28"/>
  <c r="AW78" i="28"/>
  <c r="AW79" i="28"/>
  <c r="AW80" i="28"/>
  <c r="AW81" i="28"/>
  <c r="AW82" i="28"/>
  <c r="AW83" i="28"/>
  <c r="AW84" i="28"/>
  <c r="AW85" i="28"/>
  <c r="AW86" i="28"/>
  <c r="AW87" i="28"/>
  <c r="AW88" i="28"/>
  <c r="AW89" i="28"/>
  <c r="AW90" i="28"/>
  <c r="AW91" i="28"/>
  <c r="AW92" i="28"/>
  <c r="AW93" i="28"/>
  <c r="AW94" i="28"/>
  <c r="AW95" i="28"/>
  <c r="AW96" i="28"/>
  <c r="AW97" i="28"/>
  <c r="AW98" i="28"/>
  <c r="AW99" i="28"/>
  <c r="AW100" i="28"/>
  <c r="AW101" i="28"/>
  <c r="AW102" i="28"/>
  <c r="AW103" i="28"/>
  <c r="AW104" i="28"/>
  <c r="AW105" i="28"/>
  <c r="AW106" i="28"/>
  <c r="AW107" i="28"/>
  <c r="AW108" i="28"/>
  <c r="AW109" i="28"/>
  <c r="AW110" i="28"/>
  <c r="AW111" i="28"/>
  <c r="AW112" i="28"/>
  <c r="AW113" i="28"/>
  <c r="AW114" i="28"/>
  <c r="AW115" i="28"/>
  <c r="AW116" i="28"/>
  <c r="AW117" i="28"/>
  <c r="AW118" i="28"/>
  <c r="AW119" i="28"/>
  <c r="AW120" i="28"/>
  <c r="AW121" i="28"/>
  <c r="AW122" i="28"/>
  <c r="AW123" i="28"/>
  <c r="AW124" i="28"/>
  <c r="AW125" i="28"/>
  <c r="AW126" i="28"/>
  <c r="AW127" i="28"/>
  <c r="AW128" i="28"/>
  <c r="AW129" i="28"/>
  <c r="AW130" i="28"/>
  <c r="AW131" i="28"/>
  <c r="AW132" i="28"/>
  <c r="AW133" i="28"/>
  <c r="AW134" i="28"/>
  <c r="AW135" i="28"/>
  <c r="AW136" i="28"/>
  <c r="AW137" i="28"/>
  <c r="AW138" i="28"/>
  <c r="AW139" i="28"/>
  <c r="AW140" i="28"/>
  <c r="AW141" i="28"/>
  <c r="AW142" i="28"/>
  <c r="AW143" i="28"/>
  <c r="AW144" i="28"/>
  <c r="AW145" i="28"/>
  <c r="AW146" i="28"/>
  <c r="AW147" i="28"/>
  <c r="AW148" i="28"/>
  <c r="AW149" i="28"/>
  <c r="AW150" i="28"/>
  <c r="AW151" i="28"/>
  <c r="AW152" i="28"/>
  <c r="AW153" i="28"/>
  <c r="AW154" i="28"/>
  <c r="AW155" i="28"/>
  <c r="AW156" i="28"/>
  <c r="AW157" i="28"/>
  <c r="AW158" i="28"/>
  <c r="AW159" i="28"/>
  <c r="AW160" i="28"/>
  <c r="AW161" i="28"/>
  <c r="AW162" i="28"/>
  <c r="AW163" i="28"/>
  <c r="AW164" i="28"/>
  <c r="AW165" i="28"/>
  <c r="AW166" i="28"/>
  <c r="AW167" i="28"/>
  <c r="AW168" i="28"/>
  <c r="AW169" i="28"/>
  <c r="AW170" i="28"/>
  <c r="AW171" i="28"/>
  <c r="AW172" i="28"/>
  <c r="AW173" i="28"/>
  <c r="AW174" i="28"/>
  <c r="AW175" i="28"/>
  <c r="AW176" i="28"/>
  <c r="AW177" i="28"/>
  <c r="AW178" i="28"/>
  <c r="AW179" i="28"/>
  <c r="AW180" i="28"/>
  <c r="AW181" i="28"/>
  <c r="AW182" i="28"/>
  <c r="AW183" i="28"/>
  <c r="AW184" i="28"/>
  <c r="AW185" i="28"/>
  <c r="AW186" i="28"/>
  <c r="AW187" i="28"/>
  <c r="AW188" i="28"/>
  <c r="AW189" i="28"/>
  <c r="AW190" i="28"/>
  <c r="AW191" i="28"/>
  <c r="AW192" i="28"/>
  <c r="AW193" i="28"/>
  <c r="AW194" i="28"/>
  <c r="AW195" i="28"/>
  <c r="AW196" i="28"/>
  <c r="AW197" i="28"/>
  <c r="AW198" i="28"/>
  <c r="AW199" i="28"/>
  <c r="AW200" i="28"/>
  <c r="AW201" i="28"/>
  <c r="AW202" i="28"/>
  <c r="AW203" i="28"/>
  <c r="AW204" i="28"/>
  <c r="AW205" i="28"/>
  <c r="AW206" i="28"/>
  <c r="AW207" i="28"/>
  <c r="AW208" i="28"/>
  <c r="AW209" i="28"/>
  <c r="AW210" i="28"/>
  <c r="AW211" i="28"/>
  <c r="AW212" i="28"/>
  <c r="AW213" i="28"/>
  <c r="AW214" i="28"/>
  <c r="AW215" i="28"/>
  <c r="AW216" i="28"/>
  <c r="AW217" i="28"/>
  <c r="AW218" i="28"/>
  <c r="AW219" i="28"/>
  <c r="AW220" i="28"/>
  <c r="AW221" i="28"/>
  <c r="AW222" i="28"/>
  <c r="AW223" i="28"/>
  <c r="AW224" i="28"/>
  <c r="AW225" i="28"/>
  <c r="AW226" i="28"/>
  <c r="AW227" i="28"/>
  <c r="AW228" i="28"/>
  <c r="AW229" i="28"/>
  <c r="AW230" i="28"/>
  <c r="AW231" i="28"/>
  <c r="AW232" i="28"/>
  <c r="AW233" i="28"/>
  <c r="AW234" i="28"/>
  <c r="AW235" i="28"/>
  <c r="AW236" i="28"/>
  <c r="AW237" i="28"/>
  <c r="AW238" i="28"/>
  <c r="AW239" i="28"/>
  <c r="AW240" i="28"/>
  <c r="AW241" i="28"/>
  <c r="AW242" i="28"/>
  <c r="AW243" i="28"/>
  <c r="AW244" i="28"/>
  <c r="AW245" i="28"/>
  <c r="AW246" i="28"/>
  <c r="AW247" i="28"/>
  <c r="AW248" i="28"/>
  <c r="AW249" i="28"/>
  <c r="AW250" i="28"/>
  <c r="AW251" i="28"/>
  <c r="AW252" i="28"/>
  <c r="AW253" i="28"/>
  <c r="AW254" i="28"/>
  <c r="AW255" i="28"/>
  <c r="AW256" i="28"/>
  <c r="AW257" i="28"/>
  <c r="AW258" i="28"/>
  <c r="AW259" i="28"/>
  <c r="AW260" i="28"/>
  <c r="AW261" i="28"/>
  <c r="AW262" i="28"/>
  <c r="AW263" i="28"/>
  <c r="AW264" i="28"/>
  <c r="AW265" i="28"/>
  <c r="AW266" i="28"/>
  <c r="AW267" i="28"/>
  <c r="AW268" i="28"/>
  <c r="AW269" i="28"/>
  <c r="AW270" i="28"/>
  <c r="AW271" i="28"/>
  <c r="AW272" i="28"/>
  <c r="AW273" i="28"/>
  <c r="AW274" i="28"/>
  <c r="AW275" i="28"/>
  <c r="AW276" i="28"/>
  <c r="AW277" i="28"/>
  <c r="AW278" i="28"/>
  <c r="AW279" i="28"/>
  <c r="AW280" i="28"/>
  <c r="AW281" i="28"/>
  <c r="AW282" i="28"/>
  <c r="AW283" i="28"/>
  <c r="AW284" i="28"/>
  <c r="AW285" i="28"/>
  <c r="AW286" i="28"/>
  <c r="AW287" i="28"/>
  <c r="AW288" i="28"/>
  <c r="AW289" i="28"/>
  <c r="AW290" i="28"/>
  <c r="AW291" i="28"/>
  <c r="AW292" i="28"/>
  <c r="AW293" i="28"/>
  <c r="AW294" i="28"/>
  <c r="AW295" i="28"/>
  <c r="AW296" i="28"/>
  <c r="AW297" i="28"/>
  <c r="AW298" i="28"/>
  <c r="AW299" i="28"/>
  <c r="AW300" i="28"/>
  <c r="AW301" i="28"/>
  <c r="AW302" i="28"/>
  <c r="AW303" i="28"/>
  <c r="AW304" i="28"/>
  <c r="AW305" i="28"/>
  <c r="AW306" i="28"/>
  <c r="AW307" i="28"/>
  <c r="AW308" i="28"/>
  <c r="AW309" i="28"/>
  <c r="AW310" i="28"/>
  <c r="AW311" i="28"/>
  <c r="AW312" i="28"/>
  <c r="AW313" i="28"/>
  <c r="AW314" i="28"/>
  <c r="AW315" i="28"/>
  <c r="AW316" i="28"/>
  <c r="AW317" i="28"/>
  <c r="AW318" i="28"/>
  <c r="AW319" i="28"/>
  <c r="AW320" i="28"/>
  <c r="AW321" i="28"/>
  <c r="AW322" i="28"/>
  <c r="AW323" i="28"/>
  <c r="AW324" i="28"/>
  <c r="AW325" i="28"/>
  <c r="AW326" i="28"/>
  <c r="AW327" i="28"/>
  <c r="AW328" i="28"/>
  <c r="AW329" i="28"/>
  <c r="AW330" i="28"/>
  <c r="AW331" i="28"/>
  <c r="AW332" i="28"/>
  <c r="AW333" i="28"/>
  <c r="AW334" i="28"/>
  <c r="AW335" i="28"/>
  <c r="AW336" i="28"/>
  <c r="AW337" i="28"/>
  <c r="AW338" i="28"/>
  <c r="AW339" i="28"/>
  <c r="AW340" i="28"/>
  <c r="AW341" i="28"/>
  <c r="AW342" i="28"/>
  <c r="AW343" i="28"/>
  <c r="AW344" i="28"/>
  <c r="AW345" i="28"/>
  <c r="AW346" i="28"/>
  <c r="AW347" i="28"/>
  <c r="AW348" i="28"/>
  <c r="AW349" i="28"/>
  <c r="AW350" i="28"/>
  <c r="AW351" i="28"/>
  <c r="AW352" i="28"/>
  <c r="AW353" i="28"/>
  <c r="AW354" i="28"/>
  <c r="AW355" i="28"/>
  <c r="AW356" i="28"/>
  <c r="AW357" i="28"/>
  <c r="AW358" i="28"/>
  <c r="AW359" i="28"/>
  <c r="AW360" i="28"/>
  <c r="AW361" i="28"/>
  <c r="AW362" i="28"/>
  <c r="AW363" i="28"/>
  <c r="AW364" i="28"/>
  <c r="AW365" i="28"/>
  <c r="AW366" i="28"/>
  <c r="AW367" i="28"/>
  <c r="AW368" i="28"/>
  <c r="AW369" i="28"/>
  <c r="AW370" i="28"/>
  <c r="AW371" i="28"/>
  <c r="AW372" i="28"/>
  <c r="AW373" i="28"/>
  <c r="AW374" i="28"/>
  <c r="AW375" i="28"/>
  <c r="AW376" i="28"/>
  <c r="AW377" i="28"/>
  <c r="AW378" i="28"/>
  <c r="AW379" i="28"/>
  <c r="AW380" i="28"/>
  <c r="AW381" i="28"/>
  <c r="AW382" i="28"/>
  <c r="AW383" i="28"/>
  <c r="AW384" i="28"/>
  <c r="AW385" i="28"/>
  <c r="AW386" i="28"/>
  <c r="AW387" i="28"/>
  <c r="AW388" i="28"/>
  <c r="AW389" i="28"/>
  <c r="AW390" i="28"/>
  <c r="AW391" i="28"/>
  <c r="AW392" i="28"/>
  <c r="AW393" i="28"/>
  <c r="AW394" i="28"/>
  <c r="AW395" i="28"/>
  <c r="AW396" i="28"/>
  <c r="AW397" i="28"/>
  <c r="AW398" i="28"/>
  <c r="AW399" i="28"/>
  <c r="AW400" i="28"/>
  <c r="AW401" i="28"/>
  <c r="AW402" i="28"/>
  <c r="AW403" i="28"/>
  <c r="AW404" i="28"/>
  <c r="AW405" i="28"/>
  <c r="AW406" i="28"/>
  <c r="AW407" i="28"/>
  <c r="AW408" i="28"/>
  <c r="AW409" i="28"/>
  <c r="AW410" i="28"/>
  <c r="AW411" i="28"/>
  <c r="AW412" i="28"/>
  <c r="AW413" i="28"/>
  <c r="AW414" i="28"/>
  <c r="AW415" i="28"/>
  <c r="AW416" i="28"/>
  <c r="AW417" i="28"/>
  <c r="AW418" i="28"/>
  <c r="AW419" i="28"/>
  <c r="AW420" i="28"/>
  <c r="AW421" i="28"/>
  <c r="AW422" i="28"/>
  <c r="AW423" i="28"/>
  <c r="AW424" i="28"/>
  <c r="AW425" i="28"/>
  <c r="AW426" i="28"/>
  <c r="AW427" i="28"/>
  <c r="AW428" i="28"/>
  <c r="AW429" i="28"/>
  <c r="AW430" i="28"/>
  <c r="AW431" i="28"/>
  <c r="AW432" i="28"/>
  <c r="AW433" i="28"/>
  <c r="AW434" i="28"/>
  <c r="AW435" i="28"/>
  <c r="AW436" i="28"/>
  <c r="AW437" i="28"/>
  <c r="AW438" i="28"/>
  <c r="AW439" i="28"/>
  <c r="AW440" i="28"/>
  <c r="AW441" i="28"/>
  <c r="AW442" i="28"/>
  <c r="AW443" i="28"/>
  <c r="AW444" i="28"/>
  <c r="AW445" i="28"/>
  <c r="AW446" i="28"/>
  <c r="AW447" i="28"/>
  <c r="AW448" i="28"/>
  <c r="AW449" i="28"/>
  <c r="AW450" i="28"/>
  <c r="AW451" i="28"/>
  <c r="AW452" i="28"/>
  <c r="AW453" i="28"/>
  <c r="AW454" i="28"/>
  <c r="AW455" i="28"/>
  <c r="AW456" i="28"/>
  <c r="AW457" i="28"/>
  <c r="AW458" i="28"/>
  <c r="AW459" i="28"/>
  <c r="AW460" i="28"/>
  <c r="AW461" i="28"/>
  <c r="AW462" i="28"/>
  <c r="AW463" i="28"/>
  <c r="AW464" i="28"/>
  <c r="AW465" i="28"/>
  <c r="AW466" i="28"/>
  <c r="AW467" i="28"/>
  <c r="AW468" i="28"/>
  <c r="AW469" i="28"/>
  <c r="AW470" i="28"/>
  <c r="AW471" i="28"/>
  <c r="AW472" i="28"/>
  <c r="AW473" i="28"/>
  <c r="AW474" i="28"/>
  <c r="AW475" i="28"/>
  <c r="AW476" i="28"/>
  <c r="AW477" i="28"/>
  <c r="AW478" i="28"/>
  <c r="AW479" i="28"/>
  <c r="AW480" i="28"/>
  <c r="AW481" i="28"/>
  <c r="AW482" i="28"/>
  <c r="AW483" i="28"/>
  <c r="AW484" i="28"/>
  <c r="AW485" i="28"/>
  <c r="AW486" i="28"/>
  <c r="AW487" i="28"/>
  <c r="AW488" i="28"/>
  <c r="AW489" i="28"/>
  <c r="AW490" i="28"/>
  <c r="AW491" i="28"/>
  <c r="AW492" i="28"/>
  <c r="AW493" i="28"/>
  <c r="AW494" i="28"/>
  <c r="AW495" i="28"/>
  <c r="AW496" i="28"/>
  <c r="AW497" i="28"/>
  <c r="AW498" i="28"/>
  <c r="AW499" i="28"/>
  <c r="AW500" i="28"/>
  <c r="AW501" i="28"/>
  <c r="AW502" i="28"/>
  <c r="AW503" i="28"/>
  <c r="AW504" i="28"/>
  <c r="AW505" i="28"/>
  <c r="AW506" i="28"/>
  <c r="AW507" i="28"/>
  <c r="AW508" i="28"/>
  <c r="AW509" i="28"/>
  <c r="AW510" i="28"/>
  <c r="AW511" i="28"/>
  <c r="AW512" i="28"/>
  <c r="AW513" i="28"/>
  <c r="AW514" i="28"/>
  <c r="AW515" i="28"/>
  <c r="AW516" i="28"/>
  <c r="AW517" i="28"/>
  <c r="AW518" i="28"/>
  <c r="AW519" i="28"/>
  <c r="AW520" i="28"/>
  <c r="AW521" i="28"/>
  <c r="AW522" i="28"/>
  <c r="AW523" i="28"/>
  <c r="AW524" i="28"/>
  <c r="AW525" i="28"/>
  <c r="AW526" i="28"/>
  <c r="AW527" i="28"/>
  <c r="AW528" i="28"/>
  <c r="AW529" i="28"/>
  <c r="AW530" i="28"/>
  <c r="AW531" i="28"/>
  <c r="AW532" i="28"/>
  <c r="AW533" i="28"/>
  <c r="AW534" i="28"/>
  <c r="AW535" i="28"/>
  <c r="AW536" i="28"/>
  <c r="AW537" i="28"/>
  <c r="AW538" i="28"/>
  <c r="AW539" i="28"/>
  <c r="AW540" i="28"/>
  <c r="AW541" i="28"/>
  <c r="AW542" i="28"/>
  <c r="AW543" i="28"/>
  <c r="AW544" i="28"/>
  <c r="AW545" i="28"/>
  <c r="AW546" i="28"/>
  <c r="AW547" i="28"/>
  <c r="AW548" i="28"/>
  <c r="AW549" i="28"/>
  <c r="AW550" i="28"/>
  <c r="AW551" i="28"/>
  <c r="AW552" i="28"/>
  <c r="AW553" i="28"/>
  <c r="AW554" i="28"/>
  <c r="AW555" i="28"/>
  <c r="AW556" i="28"/>
  <c r="AW557" i="28"/>
  <c r="AW558" i="28"/>
  <c r="AW559" i="28"/>
  <c r="AW560" i="28"/>
  <c r="AW561" i="28"/>
  <c r="AW562" i="28"/>
  <c r="AW563" i="28"/>
  <c r="AW564" i="28"/>
  <c r="AW565" i="28"/>
  <c r="AW566" i="28"/>
  <c r="AW567" i="28"/>
  <c r="AW568" i="28"/>
  <c r="AW569" i="28"/>
  <c r="AW570" i="28"/>
  <c r="AW571" i="28"/>
  <c r="AW572" i="28"/>
  <c r="AW573" i="28"/>
  <c r="AW574" i="28"/>
  <c r="AW575" i="28"/>
  <c r="AW576" i="28"/>
  <c r="AW577" i="28"/>
  <c r="AW578" i="28"/>
  <c r="AW579" i="28"/>
  <c r="AW580" i="28"/>
  <c r="AW581" i="28"/>
  <c r="AW582" i="28"/>
  <c r="AW583" i="28"/>
  <c r="AW584" i="28"/>
  <c r="AW585" i="28"/>
  <c r="AW586" i="28"/>
  <c r="AW587" i="28"/>
  <c r="AW588" i="28"/>
  <c r="AW589" i="28"/>
  <c r="AW590" i="28"/>
  <c r="AW591" i="28"/>
  <c r="AW592" i="28"/>
  <c r="AW593" i="28"/>
  <c r="AW594" i="28"/>
  <c r="AW595" i="28"/>
  <c r="AW596" i="28"/>
  <c r="AW597" i="28"/>
  <c r="AW598" i="28"/>
  <c r="AW599" i="28"/>
  <c r="AW600" i="28"/>
  <c r="AW601" i="28"/>
  <c r="AW602" i="28"/>
  <c r="AW603" i="28"/>
  <c r="AW604" i="28"/>
  <c r="AW605" i="28"/>
  <c r="AW606" i="28"/>
  <c r="AW607" i="28"/>
  <c r="AW608" i="28"/>
  <c r="AW609" i="28"/>
  <c r="AW610" i="28"/>
  <c r="AW611" i="28"/>
  <c r="AW612" i="28"/>
  <c r="AW613" i="28"/>
  <c r="AW614" i="28"/>
  <c r="AW615" i="28"/>
  <c r="AW616" i="28"/>
  <c r="AW617" i="28"/>
  <c r="AW618" i="28"/>
  <c r="AW619" i="28"/>
  <c r="AW620" i="28"/>
  <c r="AW621" i="28"/>
  <c r="AW622" i="28"/>
  <c r="AW623" i="28"/>
  <c r="AW624" i="28"/>
  <c r="AW625" i="28"/>
  <c r="AW626" i="28"/>
  <c r="AW627" i="28"/>
  <c r="AW628" i="28"/>
  <c r="AW629" i="28"/>
  <c r="AW630" i="28"/>
  <c r="AW631" i="28"/>
  <c r="AW632" i="28"/>
  <c r="AW633" i="28"/>
  <c r="AW634" i="28"/>
  <c r="AW635" i="28"/>
  <c r="AW636" i="28"/>
  <c r="AW637" i="28"/>
  <c r="AW638" i="28"/>
  <c r="AW639" i="28"/>
  <c r="AW640" i="28"/>
  <c r="AW641" i="28"/>
  <c r="AW642" i="28"/>
  <c r="AW643" i="28"/>
  <c r="AW644" i="28"/>
  <c r="AW645" i="28"/>
  <c r="AW646" i="28"/>
  <c r="AW647" i="28"/>
  <c r="AW648" i="28"/>
  <c r="AW649" i="28"/>
  <c r="AW650" i="28"/>
  <c r="AW651" i="28"/>
  <c r="AW652" i="28"/>
  <c r="AW653" i="28"/>
  <c r="AW654" i="28"/>
  <c r="AW655" i="28"/>
  <c r="AW656" i="28"/>
  <c r="AW657" i="28"/>
  <c r="AW658" i="28"/>
  <c r="AW659" i="28"/>
  <c r="AW660" i="28"/>
  <c r="AW661" i="28"/>
  <c r="AW662" i="28"/>
  <c r="AW663" i="28"/>
  <c r="AW664" i="28"/>
  <c r="AW665" i="28"/>
  <c r="AW666" i="28"/>
  <c r="AW667" i="28"/>
  <c r="AW668" i="28"/>
  <c r="AW669" i="28"/>
  <c r="AW670" i="28"/>
  <c r="AW671" i="28"/>
  <c r="AW672" i="28"/>
  <c r="AW673" i="28"/>
  <c r="AW674" i="28"/>
  <c r="AW675" i="28"/>
  <c r="AW676" i="28"/>
  <c r="AW677" i="28"/>
  <c r="AW678" i="28"/>
  <c r="AW679" i="28"/>
  <c r="AW680" i="28"/>
  <c r="AW681" i="28"/>
  <c r="AW682" i="28"/>
  <c r="AW683" i="28"/>
  <c r="AW684" i="28"/>
  <c r="AW685" i="28"/>
  <c r="AW686" i="28"/>
  <c r="AW687" i="28"/>
  <c r="AW688" i="28"/>
  <c r="AW689" i="28"/>
  <c r="AW690" i="28"/>
  <c r="AW691" i="28"/>
  <c r="AW692" i="28"/>
  <c r="AW693" i="28"/>
  <c r="AW694" i="28"/>
  <c r="AW695" i="28"/>
  <c r="AW696" i="28"/>
  <c r="AW697" i="28"/>
  <c r="AW698" i="28"/>
  <c r="AW699" i="28"/>
  <c r="AW700" i="28"/>
  <c r="AW701" i="28"/>
  <c r="AW702" i="28"/>
  <c r="AW703" i="28"/>
  <c r="AW704" i="28"/>
  <c r="AW705" i="28"/>
  <c r="AW706" i="28"/>
  <c r="AW707" i="28"/>
  <c r="AW708" i="28"/>
  <c r="AW709" i="28"/>
  <c r="AW710" i="28"/>
  <c r="AW711" i="28"/>
  <c r="AW712" i="28"/>
  <c r="AW713" i="28"/>
  <c r="AW714" i="28"/>
  <c r="AW715" i="28"/>
  <c r="AW716" i="28"/>
  <c r="AW717" i="28"/>
  <c r="AW718" i="28"/>
  <c r="AW719" i="28"/>
  <c r="AW720" i="28"/>
  <c r="AW721" i="28"/>
  <c r="AW722" i="28"/>
  <c r="AW723" i="28"/>
  <c r="AW724" i="28"/>
  <c r="AW725" i="28"/>
  <c r="AW726" i="28"/>
  <c r="AW727" i="28"/>
  <c r="AW728" i="28"/>
  <c r="AW729" i="28"/>
  <c r="AW730" i="28"/>
  <c r="AW731" i="28"/>
  <c r="AW732" i="28"/>
  <c r="AW733" i="28"/>
  <c r="AW734" i="28"/>
  <c r="AW735" i="28"/>
  <c r="AW736" i="28"/>
  <c r="AW737" i="28"/>
  <c r="AW738" i="28"/>
  <c r="AW739" i="28"/>
  <c r="AW740" i="28"/>
  <c r="AW741" i="28"/>
  <c r="AW742" i="28"/>
  <c r="AW743" i="28"/>
  <c r="AW744" i="28"/>
  <c r="AW745" i="28"/>
  <c r="AW746" i="28"/>
  <c r="AW747" i="28"/>
  <c r="AW748" i="28"/>
  <c r="AW749" i="28"/>
  <c r="AW750" i="28"/>
  <c r="AW751" i="28"/>
  <c r="AW752" i="28"/>
  <c r="AW753" i="28"/>
  <c r="AW754" i="28"/>
  <c r="AW755" i="28"/>
  <c r="AW756" i="28"/>
  <c r="AW757" i="28"/>
  <c r="AW758" i="28"/>
  <c r="AW759" i="28"/>
  <c r="AW760" i="28"/>
  <c r="AW761" i="28"/>
  <c r="AW762" i="28"/>
  <c r="AW763" i="28"/>
  <c r="AW764" i="28"/>
  <c r="AW765" i="28"/>
  <c r="AW766" i="28"/>
  <c r="AW767" i="28"/>
  <c r="AW768" i="28"/>
  <c r="AW769" i="28"/>
  <c r="AW770" i="28"/>
  <c r="AW771" i="28"/>
  <c r="AW772" i="28"/>
  <c r="AW773" i="28"/>
  <c r="AW774" i="28"/>
  <c r="AW775" i="28"/>
  <c r="AW776" i="28"/>
  <c r="AW777" i="28"/>
  <c r="AW778" i="28"/>
  <c r="AW779" i="28"/>
  <c r="AW780" i="28"/>
  <c r="AW781" i="28"/>
  <c r="AW782" i="28"/>
  <c r="AW783" i="28"/>
  <c r="AW784" i="28"/>
  <c r="AW785" i="28"/>
  <c r="AW786" i="28"/>
  <c r="AW787" i="28"/>
  <c r="AW788" i="28"/>
  <c r="AW789" i="28"/>
  <c r="AW790" i="28"/>
  <c r="AW791" i="28"/>
  <c r="AW792" i="28"/>
  <c r="AW793" i="28"/>
  <c r="AW794" i="28"/>
  <c r="AW795" i="28"/>
  <c r="AW796" i="28"/>
  <c r="AW797" i="28"/>
  <c r="AW798" i="28"/>
  <c r="AW799" i="28"/>
  <c r="AW800" i="28"/>
  <c r="AW801" i="28"/>
  <c r="AW802" i="28"/>
  <c r="AW803" i="28"/>
  <c r="AW804" i="28"/>
  <c r="AW805" i="28"/>
  <c r="AW806" i="28"/>
  <c r="AW807" i="28"/>
  <c r="AW808" i="28"/>
  <c r="AW809" i="28"/>
  <c r="AW810" i="28"/>
  <c r="AW811" i="28"/>
  <c r="AW812" i="28"/>
  <c r="AW813" i="28"/>
  <c r="AW814" i="28"/>
  <c r="AW815" i="28"/>
  <c r="AW816" i="28"/>
  <c r="AW817" i="28"/>
  <c r="AW818" i="28"/>
  <c r="AW819" i="28"/>
  <c r="AW820" i="28"/>
  <c r="AW821" i="28"/>
  <c r="AW822" i="28"/>
  <c r="AW823" i="28"/>
  <c r="AW824" i="28"/>
  <c r="AW825" i="28"/>
  <c r="AW826" i="28"/>
  <c r="AW827" i="28"/>
  <c r="AW828" i="28"/>
  <c r="AW829" i="28"/>
  <c r="AW830" i="28"/>
  <c r="AW831" i="28"/>
  <c r="AW832" i="28"/>
  <c r="AW833" i="28"/>
  <c r="AW834" i="28"/>
  <c r="AW835" i="28"/>
  <c r="AW836" i="28"/>
  <c r="AW837" i="28"/>
  <c r="AW838" i="28"/>
  <c r="AW839" i="28"/>
  <c r="AW840" i="28"/>
  <c r="AW841" i="28"/>
  <c r="AW842" i="28"/>
  <c r="AW843" i="28"/>
  <c r="AW844" i="28"/>
  <c r="AW845" i="28"/>
  <c r="AW846" i="28"/>
  <c r="AW847" i="28"/>
  <c r="AW848" i="28"/>
  <c r="AW849" i="28"/>
  <c r="AW850" i="28"/>
  <c r="AW851" i="28"/>
  <c r="AW852" i="28"/>
  <c r="AW853" i="28"/>
  <c r="AW854" i="28"/>
  <c r="AW855" i="28"/>
  <c r="AW856" i="28"/>
  <c r="AW857" i="28"/>
  <c r="AW858" i="28"/>
  <c r="AW859" i="28"/>
  <c r="AW860" i="28"/>
  <c r="AW861" i="28"/>
  <c r="AW862" i="28"/>
  <c r="AW863" i="28"/>
  <c r="AW864" i="28"/>
  <c r="AW865" i="28"/>
  <c r="AW866" i="28"/>
  <c r="AW867" i="28"/>
  <c r="AW868" i="28"/>
  <c r="AW869" i="28"/>
  <c r="AW870" i="28"/>
  <c r="AW871" i="28"/>
  <c r="AW872" i="28"/>
  <c r="AW873" i="28"/>
  <c r="AW874" i="28"/>
  <c r="AW875" i="28"/>
  <c r="AW876" i="28"/>
  <c r="AW877" i="28"/>
  <c r="AW878" i="28"/>
  <c r="AW879" i="28"/>
  <c r="AW880" i="28"/>
  <c r="AW881" i="28"/>
  <c r="AW882" i="28"/>
  <c r="AW883" i="28"/>
  <c r="AW884" i="28"/>
  <c r="AW885" i="28"/>
  <c r="AW886" i="28"/>
  <c r="AW887" i="28"/>
  <c r="AW888" i="28"/>
  <c r="AW889" i="28"/>
  <c r="AW890" i="28"/>
  <c r="AW891" i="28"/>
  <c r="AW892" i="28"/>
  <c r="AW893" i="28"/>
  <c r="AW894" i="28"/>
  <c r="AW895" i="28"/>
  <c r="AW896" i="28"/>
  <c r="AW897" i="28"/>
  <c r="AW898" i="28"/>
  <c r="AW899" i="28"/>
  <c r="AW900" i="28"/>
  <c r="AW901" i="28"/>
  <c r="AW902" i="28"/>
  <c r="AW903" i="28"/>
  <c r="AW904" i="28"/>
  <c r="AW905" i="28"/>
  <c r="AW906" i="28"/>
  <c r="AW907" i="28"/>
  <c r="AW908" i="28"/>
  <c r="AW909" i="28"/>
  <c r="AW910" i="28"/>
  <c r="AW911" i="28"/>
  <c r="AW912" i="28"/>
  <c r="AW913" i="28"/>
  <c r="AW914" i="28"/>
  <c r="AW915" i="28"/>
  <c r="AW916" i="28"/>
  <c r="AW917" i="28"/>
  <c r="AW918" i="28"/>
  <c r="AW919" i="28"/>
  <c r="AW920" i="28"/>
  <c r="AW921" i="28"/>
  <c r="AW922" i="28"/>
  <c r="AW923" i="28"/>
  <c r="AW924" i="28"/>
  <c r="AW925" i="28"/>
  <c r="AW926" i="28"/>
  <c r="AW927" i="28"/>
  <c r="AW928" i="28"/>
  <c r="AW929" i="28"/>
  <c r="AW930" i="28"/>
  <c r="AW931" i="28"/>
  <c r="AW932" i="28"/>
  <c r="AW933" i="28"/>
  <c r="AW934" i="28"/>
  <c r="AW935" i="28"/>
  <c r="AW936" i="28"/>
  <c r="AW937" i="28"/>
  <c r="AW938" i="28"/>
  <c r="AW939" i="28"/>
  <c r="AW940" i="28"/>
  <c r="AW941" i="28"/>
  <c r="AW942" i="28"/>
  <c r="AW943" i="28"/>
  <c r="AW944" i="28"/>
  <c r="AW945" i="28"/>
  <c r="AW946" i="28"/>
  <c r="AW947" i="28"/>
  <c r="AW948" i="28"/>
  <c r="AW949" i="28"/>
  <c r="AW950" i="28"/>
  <c r="AW951" i="28"/>
  <c r="AW952" i="28"/>
  <c r="AW953" i="28"/>
  <c r="AW954" i="28"/>
  <c r="AW955" i="28"/>
  <c r="AW956" i="28"/>
  <c r="AW957" i="28"/>
  <c r="AW958" i="28"/>
  <c r="AW959" i="28"/>
  <c r="AW960" i="28"/>
  <c r="AW961" i="28"/>
  <c r="AW962" i="28"/>
  <c r="AW963" i="28"/>
  <c r="AW964" i="28"/>
  <c r="AW965" i="28"/>
  <c r="AW966" i="28"/>
  <c r="AW967" i="28"/>
  <c r="AW968" i="28"/>
  <c r="AW969" i="28"/>
  <c r="AW970" i="28"/>
  <c r="AW971" i="28"/>
  <c r="AW972" i="28"/>
  <c r="AW973" i="28"/>
  <c r="AW974" i="28"/>
  <c r="AW975" i="28"/>
  <c r="AW976" i="28"/>
  <c r="AW977" i="28"/>
  <c r="AW978" i="28"/>
  <c r="AW979" i="28"/>
  <c r="AW980" i="28"/>
  <c r="AW981" i="28"/>
  <c r="AW982" i="28"/>
  <c r="AW983" i="28"/>
  <c r="AW984" i="28"/>
  <c r="AW985" i="28"/>
  <c r="AW986" i="28"/>
  <c r="AW987" i="28"/>
  <c r="AW988" i="28"/>
  <c r="AW989" i="28"/>
  <c r="AW990" i="28"/>
  <c r="AW991" i="28"/>
  <c r="AW992" i="28"/>
  <c r="AW993" i="28"/>
  <c r="AW994" i="28"/>
  <c r="AW995" i="28"/>
  <c r="AW996" i="28"/>
  <c r="AW997" i="28"/>
  <c r="AW998" i="28"/>
  <c r="AW999" i="28"/>
  <c r="AW1000" i="28"/>
  <c r="AW1001" i="28"/>
  <c r="AW1002" i="28"/>
  <c r="AW1003" i="28"/>
  <c r="AW1004" i="28"/>
  <c r="AW1005" i="28"/>
  <c r="AW1006" i="28"/>
  <c r="AW1007" i="28"/>
  <c r="AW1008" i="28"/>
  <c r="AW1009" i="28"/>
  <c r="AW1010" i="28"/>
  <c r="AW1011" i="28"/>
  <c r="AW1012" i="28"/>
  <c r="AW1013" i="28"/>
  <c r="AW1014" i="28"/>
  <c r="AW1015" i="28"/>
  <c r="AW1016" i="28"/>
  <c r="AW1017" i="28"/>
  <c r="AW1018" i="28"/>
  <c r="AW1019" i="28"/>
  <c r="AW1020" i="28"/>
  <c r="AW1021" i="28"/>
  <c r="AW1022" i="28"/>
  <c r="AW1023" i="28"/>
  <c r="AW1024" i="28"/>
  <c r="AW1025" i="28"/>
  <c r="AW1026" i="28"/>
  <c r="AW1027" i="28"/>
  <c r="AW1028" i="28"/>
  <c r="AW1029" i="28"/>
  <c r="AW1030" i="28"/>
  <c r="AW1031" i="28"/>
  <c r="AW1032" i="28"/>
  <c r="AW1033" i="28"/>
  <c r="AW1034" i="28"/>
  <c r="AW1035" i="28"/>
  <c r="AW1036" i="28"/>
  <c r="AW1037" i="28"/>
  <c r="AW1038" i="28"/>
  <c r="AW1039" i="28"/>
  <c r="AW1040" i="28"/>
  <c r="AW1041" i="28"/>
  <c r="AW1042" i="28"/>
  <c r="AW1043" i="28"/>
  <c r="AW1044" i="28"/>
  <c r="AW1045" i="28"/>
  <c r="AW1046" i="28"/>
  <c r="AW1047" i="28"/>
  <c r="AW1048" i="28"/>
  <c r="AW1049" i="28"/>
  <c r="AW1050" i="28"/>
  <c r="AW1051" i="28"/>
  <c r="AW1052" i="28"/>
  <c r="AW1053" i="28"/>
  <c r="AW1054" i="28"/>
  <c r="AW1055" i="28"/>
  <c r="AW1056" i="28"/>
  <c r="AW1057" i="28"/>
  <c r="AW1058" i="28"/>
  <c r="AW1059" i="28"/>
  <c r="AW1060" i="28"/>
  <c r="AW1061" i="28"/>
  <c r="AW1062" i="28"/>
  <c r="AW1063" i="28"/>
  <c r="AW1064" i="28"/>
  <c r="AW1065" i="28"/>
  <c r="AW1066" i="28"/>
  <c r="AW1067" i="28"/>
  <c r="AW1068" i="28"/>
  <c r="AW1069" i="28"/>
  <c r="AW1070" i="28"/>
  <c r="AW1071" i="28"/>
  <c r="AW1072" i="28"/>
  <c r="AW1073" i="28"/>
  <c r="AW1074" i="28"/>
  <c r="AW1075" i="28"/>
  <c r="AW1076" i="28"/>
  <c r="AW1077" i="28"/>
  <c r="AW1078" i="28"/>
  <c r="AW1079" i="28"/>
  <c r="AW1080" i="28"/>
  <c r="AW1081" i="28"/>
  <c r="AW1082" i="28"/>
  <c r="AW1083" i="28"/>
  <c r="AW1084" i="28"/>
  <c r="AW1085" i="28"/>
  <c r="AW1086" i="28"/>
  <c r="AW1087" i="28"/>
  <c r="AW1088" i="28"/>
  <c r="AW1089" i="28"/>
  <c r="AW1090" i="28"/>
  <c r="AW1091" i="28"/>
  <c r="AW1092" i="28"/>
  <c r="AW1093" i="28"/>
  <c r="AW1094" i="28"/>
  <c r="AW1095" i="28"/>
  <c r="AW1096" i="28"/>
  <c r="AW1097" i="28"/>
  <c r="AW1098" i="28"/>
  <c r="AW1099" i="28"/>
  <c r="AW1100" i="28"/>
  <c r="AW1101" i="28"/>
  <c r="AW1102" i="28"/>
  <c r="AW1103" i="28"/>
  <c r="AW1104" i="28"/>
  <c r="AW1105" i="28"/>
  <c r="AW1106" i="28"/>
  <c r="AW1107" i="28"/>
  <c r="AW1108" i="28"/>
  <c r="AW1109" i="28"/>
  <c r="AW1110" i="28"/>
  <c r="AW1111" i="28"/>
  <c r="AW1112" i="28"/>
  <c r="AW1113" i="28"/>
  <c r="AW1114" i="28"/>
  <c r="AW1115" i="28"/>
  <c r="AW1116" i="28"/>
  <c r="AW1117" i="28"/>
  <c r="AW1118" i="28"/>
  <c r="AW1119" i="28"/>
  <c r="AW1120" i="28"/>
  <c r="AW1121" i="28"/>
  <c r="AW1122" i="28"/>
  <c r="AW1123" i="28"/>
  <c r="AW1124" i="28"/>
  <c r="AW1125" i="28"/>
  <c r="AW1126" i="28"/>
  <c r="AW1127" i="28"/>
  <c r="AW1128" i="28"/>
  <c r="AW1129" i="28"/>
  <c r="AW1130" i="28"/>
  <c r="AW1131" i="28"/>
  <c r="AW1132" i="28"/>
  <c r="AW1133" i="28"/>
  <c r="AW1134" i="28"/>
  <c r="AW1135" i="28"/>
  <c r="AW1136" i="28"/>
  <c r="AW1137" i="28"/>
  <c r="AW1138" i="28"/>
  <c r="AW1139" i="28"/>
  <c r="AW1140" i="28"/>
  <c r="AW1141" i="28"/>
  <c r="AW1142" i="28"/>
  <c r="AW1143" i="28"/>
  <c r="AW1144" i="28"/>
  <c r="AW1145" i="28"/>
  <c r="AW1146" i="28"/>
  <c r="AW1147" i="28"/>
  <c r="AW1148" i="28"/>
  <c r="AW1149" i="28"/>
  <c r="AW1150" i="28"/>
  <c r="AW1151" i="28"/>
  <c r="AW1152" i="28"/>
  <c r="AW1153" i="28"/>
  <c r="AW1154" i="28"/>
  <c r="AW1155" i="28"/>
  <c r="AW1156" i="28"/>
  <c r="AW1157" i="28"/>
  <c r="AW1158" i="28"/>
  <c r="AW1159" i="28"/>
  <c r="AW1160" i="28"/>
  <c r="AW1161" i="28"/>
  <c r="AW1162" i="28"/>
  <c r="AW1163" i="28"/>
  <c r="AW1164" i="28"/>
  <c r="AW1165" i="28"/>
  <c r="AW1166" i="28"/>
  <c r="AW1167" i="28"/>
  <c r="AW1168" i="28"/>
  <c r="AW1169" i="28"/>
  <c r="AW1170" i="28"/>
  <c r="AW1171" i="28"/>
  <c r="AW1172" i="28"/>
  <c r="AW1173" i="28"/>
  <c r="AW1174" i="28"/>
  <c r="AW1175" i="28"/>
  <c r="AW1176" i="28"/>
  <c r="AW1177" i="28"/>
  <c r="AW1178" i="28"/>
  <c r="AW1179" i="28"/>
  <c r="AW1180" i="28"/>
  <c r="AW1181" i="28"/>
  <c r="AW1182" i="28"/>
  <c r="AW1183" i="28"/>
  <c r="AW1184" i="28"/>
  <c r="AW1185" i="28"/>
  <c r="AW1186" i="28"/>
  <c r="AW1187" i="28"/>
  <c r="AW1188" i="28"/>
  <c r="AW1189" i="28"/>
  <c r="AW1190" i="28"/>
  <c r="AW1191" i="28"/>
  <c r="AW1192" i="28"/>
  <c r="AW1193" i="28"/>
  <c r="AW1194" i="28"/>
  <c r="AW1195" i="28"/>
  <c r="AW1196" i="28"/>
  <c r="AW1197" i="28"/>
  <c r="AW1198" i="28"/>
  <c r="AW1199" i="28"/>
  <c r="AW1200" i="28"/>
  <c r="AW1201" i="28"/>
  <c r="AW1202" i="28"/>
  <c r="AW1203" i="28"/>
  <c r="AW1204" i="28"/>
  <c r="AW1205" i="28"/>
  <c r="AW1206" i="28"/>
  <c r="AW1207" i="28"/>
  <c r="AW1208" i="28"/>
  <c r="AW1209" i="28"/>
  <c r="AW1210" i="28"/>
  <c r="AW1211" i="28"/>
  <c r="AW1212" i="28"/>
  <c r="AW1213" i="28"/>
  <c r="AW1214" i="28"/>
  <c r="AW1215" i="28"/>
  <c r="AW1216" i="28"/>
  <c r="AW1217" i="28"/>
  <c r="AW1218" i="28"/>
  <c r="AW1219" i="28"/>
  <c r="AW1220" i="28"/>
  <c r="AW1221" i="28"/>
  <c r="AW1222" i="28"/>
  <c r="AW1223" i="28"/>
  <c r="AW1224" i="28"/>
  <c r="AW1225" i="28"/>
  <c r="AW26" i="28"/>
  <c r="W25" i="30" l="1"/>
  <c r="V25" i="30"/>
  <c r="P23" i="30"/>
  <c r="BW8" i="30"/>
  <c r="BX10" i="30"/>
  <c r="BX9" i="30"/>
  <c r="AV4" i="30" a="1"/>
  <c r="AV4" i="30" s="1"/>
  <c r="AV5" i="30" a="1"/>
  <c r="AV5" i="30" s="1"/>
  <c r="AU3" i="30" a="1"/>
  <c r="AU3" i="30" s="1"/>
  <c r="AU7" i="30" a="1"/>
  <c r="AU7" i="30" s="1"/>
  <c r="AV6" i="30" a="1"/>
  <c r="AV6" i="30" s="1"/>
  <c r="AU4" i="30" a="1"/>
  <c r="AU4" i="30" s="1"/>
  <c r="AV3" i="30" a="1"/>
  <c r="AV3" i="30" s="1"/>
  <c r="AV7" i="30" a="1"/>
  <c r="AV7" i="30" s="1"/>
  <c r="AU6" i="30" a="1"/>
  <c r="AU6" i="30" s="1"/>
  <c r="AU5" i="30" a="1"/>
  <c r="AU5" i="30" s="1"/>
  <c r="BX8" i="30" l="1"/>
  <c r="AX3" i="30" a="1"/>
  <c r="AX3" i="30" s="1"/>
  <c r="AV10" i="30"/>
  <c r="AV9" i="30"/>
  <c r="AV6" i="28" a="1"/>
  <c r="AV6" i="28" s="1"/>
  <c r="AV3" i="28" a="1"/>
  <c r="AV3" i="28" s="1"/>
  <c r="AV5" i="28" a="1"/>
  <c r="AV5" i="28" s="1"/>
  <c r="AV7" i="28" a="1"/>
  <c r="AV7" i="28" s="1"/>
  <c r="AV4" i="28" a="1"/>
  <c r="AV4" i="28" s="1"/>
  <c r="AX3" i="28" l="1" a="1"/>
  <c r="AX3" i="28" s="1"/>
  <c r="AV11" i="30"/>
  <c r="AV10" i="28"/>
  <c r="AV9" i="28"/>
  <c r="D24" i="28"/>
  <c r="D22" i="28"/>
  <c r="D20" i="28"/>
  <c r="D18" i="28"/>
  <c r="D16" i="28"/>
  <c r="O2" i="28"/>
  <c r="H6" i="30" s="1"/>
  <c r="D18" i="30" s="1"/>
  <c r="G7" i="28"/>
  <c r="AV11" i="28" l="1"/>
  <c r="D20" i="30"/>
  <c r="D22" i="30"/>
  <c r="D24" i="30"/>
  <c r="D16" i="30"/>
  <c r="H7" i="30"/>
  <c r="P4" i="30"/>
  <c r="AR23" i="30"/>
  <c r="AR15" i="30"/>
  <c r="AQ23" i="30" l="1"/>
  <c r="O23" i="30"/>
  <c r="R23" i="30" s="1"/>
  <c r="K23" i="30"/>
  <c r="BP12" i="30"/>
  <c r="BY12" i="30" s="1"/>
  <c r="AQ15" i="30"/>
  <c r="Z18" i="30"/>
  <c r="Z25" i="30" s="1"/>
  <c r="AR17" i="30"/>
  <c r="AQ17" i="30" s="1"/>
  <c r="AR19" i="30"/>
  <c r="AQ19" i="30" s="1"/>
  <c r="AR21" i="30"/>
  <c r="AQ21" i="30" s="1"/>
  <c r="D29" i="30" a="1"/>
  <c r="D29" i="30" l="1"/>
  <c r="BZ12" i="30"/>
  <c r="S23" i="30"/>
  <c r="BR12" i="30"/>
  <c r="I23" i="30"/>
  <c r="Y17" i="28"/>
  <c r="X17" i="28" s="1"/>
  <c r="Y21" i="28"/>
  <c r="X21" i="28" s="1"/>
  <c r="Y15" i="28"/>
  <c r="X15" i="28" s="1"/>
  <c r="Y23" i="28"/>
  <c r="X23" i="28" s="1"/>
  <c r="Y19" i="28"/>
  <c r="X19" i="28" s="1"/>
  <c r="T23" i="30" l="1"/>
  <c r="U23" i="30" s="1"/>
  <c r="BF280" i="30"/>
  <c r="BF292" i="30"/>
  <c r="BF304" i="30"/>
  <c r="BF316" i="30"/>
  <c r="BF328" i="30"/>
  <c r="BF272" i="30"/>
  <c r="BF308" i="30"/>
  <c r="BF299" i="30"/>
  <c r="BF323" i="30"/>
  <c r="BF302" i="30"/>
  <c r="BF326" i="30"/>
  <c r="BF303" i="30"/>
  <c r="BF281" i="30"/>
  <c r="BF293" i="30"/>
  <c r="BF305" i="30"/>
  <c r="BF317" i="30"/>
  <c r="BF329" i="30"/>
  <c r="BF282" i="30"/>
  <c r="BF294" i="30"/>
  <c r="BF306" i="30"/>
  <c r="BF318" i="30"/>
  <c r="BF330" i="30"/>
  <c r="BF283" i="30"/>
  <c r="BF295" i="30"/>
  <c r="BF307" i="30"/>
  <c r="BF319" i="30"/>
  <c r="BF276" i="30"/>
  <c r="BF289" i="30"/>
  <c r="BF315" i="30"/>
  <c r="BF284" i="30"/>
  <c r="BF296" i="30"/>
  <c r="BF320" i="30"/>
  <c r="BF275" i="30"/>
  <c r="BF311" i="30"/>
  <c r="BF300" i="30"/>
  <c r="BF312" i="30"/>
  <c r="BF324" i="30"/>
  <c r="BF277" i="30"/>
  <c r="BF301" i="30"/>
  <c r="BF313" i="30"/>
  <c r="BF325" i="30"/>
  <c r="BF278" i="30"/>
  <c r="BF314" i="30"/>
  <c r="BF291" i="30"/>
  <c r="BF327" i="30"/>
  <c r="BF273" i="30"/>
  <c r="BF285" i="30"/>
  <c r="BF297" i="30"/>
  <c r="BF309" i="30"/>
  <c r="BF321" i="30"/>
  <c r="BF274" i="30"/>
  <c r="BF286" i="30"/>
  <c r="BF298" i="30"/>
  <c r="BF310" i="30"/>
  <c r="BF322" i="30"/>
  <c r="BF287" i="30"/>
  <c r="BF288" i="30"/>
  <c r="BF290" i="30"/>
  <c r="BF279" i="30"/>
  <c r="BU20" i="30"/>
  <c r="BY20" i="30"/>
  <c r="CA12" i="30"/>
  <c r="CD12" i="30"/>
  <c r="Z15" i="30"/>
  <c r="CE12" i="30" l="1"/>
  <c r="CB12" i="30"/>
  <c r="CC12" i="30" s="1"/>
  <c r="BV20" i="30"/>
  <c r="CD20" i="30" s="1"/>
  <c r="Z17" i="30"/>
  <c r="W6" i="30"/>
  <c r="W4" i="30"/>
  <c r="W5" i="30"/>
  <c r="W7" i="30"/>
  <c r="W3" i="30"/>
  <c r="BG11" i="30" l="1"/>
  <c r="BW20" i="30"/>
  <c r="Q25" i="30"/>
  <c r="BG12" i="30"/>
  <c r="BG9" i="30"/>
  <c r="BG10" i="30"/>
  <c r="BB3" i="30"/>
  <c r="BG8" i="30"/>
  <c r="BB4" i="30"/>
  <c r="BB12" i="30"/>
  <c r="BX20" i="30" l="1"/>
  <c r="CC20" i="30" s="1"/>
  <c r="CE20" i="30"/>
  <c r="BB9" i="30"/>
  <c r="BB11" i="30"/>
  <c r="BB10" i="30"/>
  <c r="BB8" i="30"/>
  <c r="R9" i="30"/>
  <c r="F15" i="30"/>
  <c r="X15" i="30" s="1"/>
  <c r="F17" i="30"/>
  <c r="X17" i="30" s="1"/>
  <c r="F19" i="30"/>
  <c r="X19" i="30" s="1"/>
  <c r="F21" i="30"/>
  <c r="X21" i="30" s="1"/>
  <c r="K22" i="30"/>
  <c r="F15" i="28"/>
  <c r="J15" i="28" s="1"/>
  <c r="O15" i="30" l="1"/>
  <c r="R15" i="30" s="1"/>
  <c r="S15" i="30" s="1"/>
  <c r="BJ8" i="30"/>
  <c r="BI8" i="30"/>
  <c r="S15" i="28"/>
  <c r="T15" i="28"/>
  <c r="U15" i="28" s="1"/>
  <c r="AX170" i="28"/>
  <c r="H15" i="28"/>
  <c r="O21" i="30"/>
  <c r="R21" i="30" s="1"/>
  <c r="P21" i="30"/>
  <c r="I21" i="30" s="1"/>
  <c r="T21" i="30" s="1"/>
  <c r="U21" i="30" s="1"/>
  <c r="K21" i="30"/>
  <c r="BO11" i="30"/>
  <c r="K19" i="30"/>
  <c r="BO10" i="30"/>
  <c r="O19" i="30"/>
  <c r="R19" i="30" s="1"/>
  <c r="P19" i="30"/>
  <c r="I19" i="30" s="1"/>
  <c r="T19" i="30" s="1"/>
  <c r="O17" i="30"/>
  <c r="R17" i="30" s="1"/>
  <c r="P17" i="30"/>
  <c r="I17" i="30" s="1"/>
  <c r="T17" i="30" s="1"/>
  <c r="U17" i="30" s="1"/>
  <c r="K17" i="30"/>
  <c r="BO9" i="30"/>
  <c r="P15" i="30"/>
  <c r="K15" i="30"/>
  <c r="BO8" i="30"/>
  <c r="BI10" i="30"/>
  <c r="BI9" i="30"/>
  <c r="BI11" i="30"/>
  <c r="BJ11" i="30"/>
  <c r="BJ10" i="30"/>
  <c r="BJ9" i="30"/>
  <c r="K16" i="30"/>
  <c r="K20" i="30"/>
  <c r="K18" i="30"/>
  <c r="BB343" i="30"/>
  <c r="AX175" i="30"/>
  <c r="K14" i="30"/>
  <c r="AQ14" i="28"/>
  <c r="BF271" i="30"/>
  <c r="BD247" i="30"/>
  <c r="AZ271" i="30"/>
  <c r="T5" i="28"/>
  <c r="T6" i="30"/>
  <c r="T4" i="30"/>
  <c r="T3" i="30"/>
  <c r="T5" i="30"/>
  <c r="T7" i="30"/>
  <c r="S60" i="30"/>
  <c r="S5" i="30"/>
  <c r="S6" i="30"/>
  <c r="S4" i="30"/>
  <c r="S7" i="30"/>
  <c r="S3" i="30"/>
  <c r="K25" i="30" l="1"/>
  <c r="O15" i="28"/>
  <c r="P15" i="28"/>
  <c r="L15" i="28"/>
  <c r="Q15" i="28"/>
  <c r="S17" i="30"/>
  <c r="S19" i="30"/>
  <c r="BP9" i="30"/>
  <c r="BY9" i="30" s="1"/>
  <c r="BZ9" i="30" s="1"/>
  <c r="BR9" i="30"/>
  <c r="BU17" i="30" s="1"/>
  <c r="U19" i="30"/>
  <c r="BP10" i="30"/>
  <c r="BY10" i="30" s="1"/>
  <c r="BR10" i="30"/>
  <c r="BU18" i="30" s="1"/>
  <c r="BV18" i="30" s="1"/>
  <c r="BW18" i="30" s="1"/>
  <c r="BX18" i="30" s="1"/>
  <c r="BP11" i="30"/>
  <c r="BY11" i="30" s="1"/>
  <c r="BR11" i="30"/>
  <c r="BU19" i="30" s="1"/>
  <c r="S21" i="30"/>
  <c r="R25" i="30"/>
  <c r="BR8" i="30"/>
  <c r="BU16" i="30" s="1"/>
  <c r="BP8" i="30"/>
  <c r="BY8" i="30" s="1"/>
  <c r="I15" i="30"/>
  <c r="BB232" i="30"/>
  <c r="BB244" i="30"/>
  <c r="BB256" i="30"/>
  <c r="BB268" i="30"/>
  <c r="BB280" i="30"/>
  <c r="BB292" i="30"/>
  <c r="BB304" i="30"/>
  <c r="BB316" i="30"/>
  <c r="BB328" i="30"/>
  <c r="BB340" i="30"/>
  <c r="BB233" i="30"/>
  <c r="BB245" i="30"/>
  <c r="BB257" i="30"/>
  <c r="BB269" i="30"/>
  <c r="BB281" i="30"/>
  <c r="BB293" i="30"/>
  <c r="BB305" i="30"/>
  <c r="BB317" i="30"/>
  <c r="BB329" i="30"/>
  <c r="BB341" i="30"/>
  <c r="BB234" i="30"/>
  <c r="BB246" i="30"/>
  <c r="BB258" i="30"/>
  <c r="BB270" i="30"/>
  <c r="BB282" i="30"/>
  <c r="BB294" i="30"/>
  <c r="BB306" i="30"/>
  <c r="BB318" i="30"/>
  <c r="BB330" i="30"/>
  <c r="BB342" i="30"/>
  <c r="BB237" i="30"/>
  <c r="BB261" i="30"/>
  <c r="BB297" i="30"/>
  <c r="BB333" i="30"/>
  <c r="BB226" i="30"/>
  <c r="BB262" i="30"/>
  <c r="BB286" i="30"/>
  <c r="BB310" i="30"/>
  <c r="BB227" i="30"/>
  <c r="BB251" i="30"/>
  <c r="BB275" i="30"/>
  <c r="BB311" i="30"/>
  <c r="BB335" i="30"/>
  <c r="BB228" i="30"/>
  <c r="BB264" i="30"/>
  <c r="BB288" i="30"/>
  <c r="BB312" i="30"/>
  <c r="BB336" i="30"/>
  <c r="BB229" i="30"/>
  <c r="BB289" i="30"/>
  <c r="BB313" i="30"/>
  <c r="BB337" i="30"/>
  <c r="BB230" i="30"/>
  <c r="BB290" i="30"/>
  <c r="BB314" i="30"/>
  <c r="BB231" i="30"/>
  <c r="BB291" i="30"/>
  <c r="BB339" i="30"/>
  <c r="BB224" i="30"/>
  <c r="BB248" i="30"/>
  <c r="BB272" i="30"/>
  <c r="BB296" i="30"/>
  <c r="BB320" i="30"/>
  <c r="BB332" i="30"/>
  <c r="BB249" i="30"/>
  <c r="BB309" i="30"/>
  <c r="BB238" i="30"/>
  <c r="BB322" i="30"/>
  <c r="BB287" i="30"/>
  <c r="BB240" i="30"/>
  <c r="BB252" i="30"/>
  <c r="BB276" i="30"/>
  <c r="BB300" i="30"/>
  <c r="BB324" i="30"/>
  <c r="BB241" i="30"/>
  <c r="BB277" i="30"/>
  <c r="BB301" i="30"/>
  <c r="BB325" i="30"/>
  <c r="BB254" i="30"/>
  <c r="BB278" i="30"/>
  <c r="BB302" i="30"/>
  <c r="BB338" i="30"/>
  <c r="BB243" i="30"/>
  <c r="BB279" i="30"/>
  <c r="BB327" i="30"/>
  <c r="BB265" i="30"/>
  <c r="BB266" i="30"/>
  <c r="BB255" i="30"/>
  <c r="BB315" i="30"/>
  <c r="BB235" i="30"/>
  <c r="BB247" i="30"/>
  <c r="BB259" i="30"/>
  <c r="BB271" i="30"/>
  <c r="BB283" i="30"/>
  <c r="BB295" i="30"/>
  <c r="BB307" i="30"/>
  <c r="BB319" i="30"/>
  <c r="BB331" i="30"/>
  <c r="BB236" i="30"/>
  <c r="BB260" i="30"/>
  <c r="BB284" i="30"/>
  <c r="BB308" i="30"/>
  <c r="BB225" i="30"/>
  <c r="BB273" i="30"/>
  <c r="BB285" i="30"/>
  <c r="BB321" i="30"/>
  <c r="BB250" i="30"/>
  <c r="BB274" i="30"/>
  <c r="BB298" i="30"/>
  <c r="BB334" i="30"/>
  <c r="BB239" i="30"/>
  <c r="BB263" i="30"/>
  <c r="BB299" i="30"/>
  <c r="BB323" i="30"/>
  <c r="BB253" i="30"/>
  <c r="BB242" i="30"/>
  <c r="BB326" i="30"/>
  <c r="BB267" i="30"/>
  <c r="BB303" i="30"/>
  <c r="BB223" i="30"/>
  <c r="AX66" i="28"/>
  <c r="AX78" i="28"/>
  <c r="AX90" i="28"/>
  <c r="AX102" i="28"/>
  <c r="AX114" i="28"/>
  <c r="AX126" i="28"/>
  <c r="AX138" i="28"/>
  <c r="AX150" i="28"/>
  <c r="AX162" i="28"/>
  <c r="AX67" i="28"/>
  <c r="AX79" i="28"/>
  <c r="AX91" i="28"/>
  <c r="AX103" i="28"/>
  <c r="AX115" i="28"/>
  <c r="AX127" i="28"/>
  <c r="AX139" i="28"/>
  <c r="AX151" i="28"/>
  <c r="AX163" i="28"/>
  <c r="AX69" i="28"/>
  <c r="AX93" i="28"/>
  <c r="AX117" i="28"/>
  <c r="AX141" i="28"/>
  <c r="AX165" i="28"/>
  <c r="AX82" i="28"/>
  <c r="AX94" i="28"/>
  <c r="AX118" i="28"/>
  <c r="AX142" i="28"/>
  <c r="AX166" i="28"/>
  <c r="AX71" i="28"/>
  <c r="AX119" i="28"/>
  <c r="AX143" i="28"/>
  <c r="AX167" i="28"/>
  <c r="AX84" i="28"/>
  <c r="AX108" i="28"/>
  <c r="AX132" i="28"/>
  <c r="AX156" i="28"/>
  <c r="AX97" i="28"/>
  <c r="AX121" i="28"/>
  <c r="AX145" i="28"/>
  <c r="AX169" i="28"/>
  <c r="AX86" i="28"/>
  <c r="AX110" i="28"/>
  <c r="AX134" i="28"/>
  <c r="AX158" i="28"/>
  <c r="AX63" i="28"/>
  <c r="AX99" i="28"/>
  <c r="AX123" i="28"/>
  <c r="AX147" i="28"/>
  <c r="AX76" i="28"/>
  <c r="AX100" i="28"/>
  <c r="AX136" i="28"/>
  <c r="AX160" i="28"/>
  <c r="AX77" i="28"/>
  <c r="AX137" i="28"/>
  <c r="AX96" i="28"/>
  <c r="AX85" i="28"/>
  <c r="AX87" i="28"/>
  <c r="AX89" i="28"/>
  <c r="AX68" i="28"/>
  <c r="AX80" i="28"/>
  <c r="AX92" i="28"/>
  <c r="AX104" i="28"/>
  <c r="AX116" i="28"/>
  <c r="AX128" i="28"/>
  <c r="AX140" i="28"/>
  <c r="AX152" i="28"/>
  <c r="AX164" i="28"/>
  <c r="AX81" i="28"/>
  <c r="AX105" i="28"/>
  <c r="AX129" i="28"/>
  <c r="AX153" i="28"/>
  <c r="AX70" i="28"/>
  <c r="AX106" i="28"/>
  <c r="AX130" i="28"/>
  <c r="AX154" i="28"/>
  <c r="AX83" i="28"/>
  <c r="AX107" i="28"/>
  <c r="AX131" i="28"/>
  <c r="AX155" i="28"/>
  <c r="AX72" i="28"/>
  <c r="AX120" i="28"/>
  <c r="AX144" i="28"/>
  <c r="AX168" i="28"/>
  <c r="AX73" i="28"/>
  <c r="AX109" i="28"/>
  <c r="AX133" i="28"/>
  <c r="AX157" i="28"/>
  <c r="AX74" i="28"/>
  <c r="AX98" i="28"/>
  <c r="AX122" i="28"/>
  <c r="AX146" i="28"/>
  <c r="AX75" i="28"/>
  <c r="AX111" i="28"/>
  <c r="AX135" i="28"/>
  <c r="AX159" i="28"/>
  <c r="AX64" i="28"/>
  <c r="AX88" i="28"/>
  <c r="AX124" i="28"/>
  <c r="AX148" i="28"/>
  <c r="AX113" i="28"/>
  <c r="AX149" i="28"/>
  <c r="AX101" i="28"/>
  <c r="AX95" i="28"/>
  <c r="AX112" i="28"/>
  <c r="AX65" i="28"/>
  <c r="AX161" i="28"/>
  <c r="AX125" i="28"/>
  <c r="AX62" i="28"/>
  <c r="BD10" i="30"/>
  <c r="AX108" i="30"/>
  <c r="AX120" i="30"/>
  <c r="AX132" i="30"/>
  <c r="AX144" i="30"/>
  <c r="AX156" i="30"/>
  <c r="AX168" i="30"/>
  <c r="AX153" i="30"/>
  <c r="AX109" i="30"/>
  <c r="AX121" i="30"/>
  <c r="AX133" i="30"/>
  <c r="AX145" i="30"/>
  <c r="AX157" i="30"/>
  <c r="AX169" i="30"/>
  <c r="AX113" i="30"/>
  <c r="AX137" i="30"/>
  <c r="AX161" i="30"/>
  <c r="AX114" i="30"/>
  <c r="AX138" i="30"/>
  <c r="AX162" i="30"/>
  <c r="AX127" i="30"/>
  <c r="AX104" i="30"/>
  <c r="AX140" i="30"/>
  <c r="AX164" i="30"/>
  <c r="AX105" i="30"/>
  <c r="AX129" i="30"/>
  <c r="AX141" i="30"/>
  <c r="AX165" i="30"/>
  <c r="AX118" i="30"/>
  <c r="AX142" i="30"/>
  <c r="AX166" i="30"/>
  <c r="AX107" i="30"/>
  <c r="AX119" i="30"/>
  <c r="AX143" i="30"/>
  <c r="AX155" i="30"/>
  <c r="AX167" i="30"/>
  <c r="AX110" i="30"/>
  <c r="AX122" i="30"/>
  <c r="AX134" i="30"/>
  <c r="AX146" i="30"/>
  <c r="AX158" i="30"/>
  <c r="AX170" i="30"/>
  <c r="AX111" i="30"/>
  <c r="AX123" i="30"/>
  <c r="AX135" i="30"/>
  <c r="AX147" i="30"/>
  <c r="AX159" i="30"/>
  <c r="AX171" i="30"/>
  <c r="AX112" i="30"/>
  <c r="AX124" i="30"/>
  <c r="AX136" i="30"/>
  <c r="AX148" i="30"/>
  <c r="AX160" i="30"/>
  <c r="AX172" i="30"/>
  <c r="AX125" i="30"/>
  <c r="AX149" i="30"/>
  <c r="AX173" i="30"/>
  <c r="AX126" i="30"/>
  <c r="AX150" i="30"/>
  <c r="AX174" i="30"/>
  <c r="AX103" i="30"/>
  <c r="AX115" i="30"/>
  <c r="AX151" i="30"/>
  <c r="AX116" i="30"/>
  <c r="AX128" i="30"/>
  <c r="AX152" i="30"/>
  <c r="AX106" i="30"/>
  <c r="AX130" i="30"/>
  <c r="AX154" i="30"/>
  <c r="AX131" i="30"/>
  <c r="AX139" i="30"/>
  <c r="AX163" i="30"/>
  <c r="AX117" i="30"/>
  <c r="BD11" i="30"/>
  <c r="BD9" i="30"/>
  <c r="BC11" i="30"/>
  <c r="BC10" i="30"/>
  <c r="BC8" i="30"/>
  <c r="BC9" i="30"/>
  <c r="BC12" i="30"/>
  <c r="BF33" i="30"/>
  <c r="BF45" i="30"/>
  <c r="BF57" i="30"/>
  <c r="BF69" i="30"/>
  <c r="BF81" i="30"/>
  <c r="BF93" i="30"/>
  <c r="BF105" i="30"/>
  <c r="BF117" i="30"/>
  <c r="BF129" i="30"/>
  <c r="BF141" i="30"/>
  <c r="BF153" i="30"/>
  <c r="BF165" i="30"/>
  <c r="BF177" i="30"/>
  <c r="BF189" i="30"/>
  <c r="BF201" i="30"/>
  <c r="BF213" i="30"/>
  <c r="BF225" i="30"/>
  <c r="BF237" i="30"/>
  <c r="BF249" i="30"/>
  <c r="BF261" i="30"/>
  <c r="BF47" i="30"/>
  <c r="BF34" i="30"/>
  <c r="BF46" i="30"/>
  <c r="BF58" i="30"/>
  <c r="BF70" i="30"/>
  <c r="BF82" i="30"/>
  <c r="BF94" i="30"/>
  <c r="BF106" i="30"/>
  <c r="BF118" i="30"/>
  <c r="BF130" i="30"/>
  <c r="BF142" i="30"/>
  <c r="BF154" i="30"/>
  <c r="BF166" i="30"/>
  <c r="BF178" i="30"/>
  <c r="BF190" i="30"/>
  <c r="BF202" i="30"/>
  <c r="BF214" i="30"/>
  <c r="BF226" i="30"/>
  <c r="BF238" i="30"/>
  <c r="BF250" i="30"/>
  <c r="BF262" i="30"/>
  <c r="BF35" i="30"/>
  <c r="BF59" i="30"/>
  <c r="BF71" i="30"/>
  <c r="BF83" i="30"/>
  <c r="BF95" i="30"/>
  <c r="BF107" i="30"/>
  <c r="BF36" i="30"/>
  <c r="BF48" i="30"/>
  <c r="BF60" i="30"/>
  <c r="BF72" i="30"/>
  <c r="BF84" i="30"/>
  <c r="BF96" i="30"/>
  <c r="BF108" i="30"/>
  <c r="BF120" i="30"/>
  <c r="BF132" i="30"/>
  <c r="BF144" i="30"/>
  <c r="BF156" i="30"/>
  <c r="BF168" i="30"/>
  <c r="BF180" i="30"/>
  <c r="BF192" i="30"/>
  <c r="BF204" i="30"/>
  <c r="BF216" i="30"/>
  <c r="BF228" i="30"/>
  <c r="BF240" i="30"/>
  <c r="BF252" i="30"/>
  <c r="BF264" i="30"/>
  <c r="BF37" i="30"/>
  <c r="BF53" i="30"/>
  <c r="BF73" i="30"/>
  <c r="BF89" i="30"/>
  <c r="BF109" i="30"/>
  <c r="BF124" i="30"/>
  <c r="BF139" i="30"/>
  <c r="BF157" i="30"/>
  <c r="BF172" i="30"/>
  <c r="BF187" i="30"/>
  <c r="BF205" i="30"/>
  <c r="BF220" i="30"/>
  <c r="BF235" i="30"/>
  <c r="BF253" i="30"/>
  <c r="BF268" i="30"/>
  <c r="BF38" i="30"/>
  <c r="BF54" i="30"/>
  <c r="BF74" i="30"/>
  <c r="BF90" i="30"/>
  <c r="BF110" i="30"/>
  <c r="BF125" i="30"/>
  <c r="BF140" i="30"/>
  <c r="BF158" i="30"/>
  <c r="BF173" i="30"/>
  <c r="BF188" i="30"/>
  <c r="BF206" i="30"/>
  <c r="BF221" i="30"/>
  <c r="BF236" i="30"/>
  <c r="BF254" i="30"/>
  <c r="BF269" i="30"/>
  <c r="BF39" i="30"/>
  <c r="BF55" i="30"/>
  <c r="BF75" i="30"/>
  <c r="BF91" i="30"/>
  <c r="BF111" i="30"/>
  <c r="BF126" i="30"/>
  <c r="BF143" i="30"/>
  <c r="BF159" i="30"/>
  <c r="BF174" i="30"/>
  <c r="BF191" i="30"/>
  <c r="BF207" i="30"/>
  <c r="BF222" i="30"/>
  <c r="BF239" i="30"/>
  <c r="BF255" i="30"/>
  <c r="BF270" i="30"/>
  <c r="BF42" i="30"/>
  <c r="BF62" i="30"/>
  <c r="BF78" i="30"/>
  <c r="BF98" i="30"/>
  <c r="BF114" i="30"/>
  <c r="BF131" i="30"/>
  <c r="BF147" i="30"/>
  <c r="BF162" i="30"/>
  <c r="BF179" i="30"/>
  <c r="BF195" i="30"/>
  <c r="BF210" i="30"/>
  <c r="BF227" i="30"/>
  <c r="BF243" i="30"/>
  <c r="BF258" i="30"/>
  <c r="BF43" i="30"/>
  <c r="BF63" i="30"/>
  <c r="BF79" i="30"/>
  <c r="BF99" i="30"/>
  <c r="BF115" i="30"/>
  <c r="BF133" i="30"/>
  <c r="BF148" i="30"/>
  <c r="BF163" i="30"/>
  <c r="BF181" i="30"/>
  <c r="BF196" i="30"/>
  <c r="BF211" i="30"/>
  <c r="BF229" i="30"/>
  <c r="BF244" i="30"/>
  <c r="BF259" i="30"/>
  <c r="BF40" i="30"/>
  <c r="BF67" i="30"/>
  <c r="BF101" i="30"/>
  <c r="BF128" i="30"/>
  <c r="BF155" i="30"/>
  <c r="BF184" i="30"/>
  <c r="BF212" i="30"/>
  <c r="BF241" i="30"/>
  <c r="BF266" i="30"/>
  <c r="BF44" i="30"/>
  <c r="BF76" i="30"/>
  <c r="BF103" i="30"/>
  <c r="BF135" i="30"/>
  <c r="BF161" i="30"/>
  <c r="BF186" i="30"/>
  <c r="BF217" i="30"/>
  <c r="BF245" i="30"/>
  <c r="BF32" i="30"/>
  <c r="BF41" i="30"/>
  <c r="BF68" i="30"/>
  <c r="BF102" i="30"/>
  <c r="BF134" i="30"/>
  <c r="BF160" i="30"/>
  <c r="BF185" i="30"/>
  <c r="BF215" i="30"/>
  <c r="BF242" i="30"/>
  <c r="BF267" i="30"/>
  <c r="BF49" i="30"/>
  <c r="BF77" i="30"/>
  <c r="BF104" i="30"/>
  <c r="BF136" i="30"/>
  <c r="BF164" i="30"/>
  <c r="BF193" i="30"/>
  <c r="BF218" i="30"/>
  <c r="BF246" i="30"/>
  <c r="BF31" i="30"/>
  <c r="BF86" i="30"/>
  <c r="BF50" i="30"/>
  <c r="BF80" i="30"/>
  <c r="BF112" i="30"/>
  <c r="BF137" i="30"/>
  <c r="BF167" i="30"/>
  <c r="BF194" i="30"/>
  <c r="BF219" i="30"/>
  <c r="BF247" i="30"/>
  <c r="BF51" i="30"/>
  <c r="BF85" i="30"/>
  <c r="BF113" i="30"/>
  <c r="BF138" i="30"/>
  <c r="BF169" i="30"/>
  <c r="BF197" i="30"/>
  <c r="BF223" i="30"/>
  <c r="BF248" i="30"/>
  <c r="BF52" i="30"/>
  <c r="BF116" i="30"/>
  <c r="BF145" i="30"/>
  <c r="BF170" i="30"/>
  <c r="BF198" i="30"/>
  <c r="BF224" i="30"/>
  <c r="BF251" i="30"/>
  <c r="BF56" i="30"/>
  <c r="BF122" i="30"/>
  <c r="BF183" i="30"/>
  <c r="BF257" i="30"/>
  <c r="BF61" i="30"/>
  <c r="BF123" i="30"/>
  <c r="BF199" i="30"/>
  <c r="BF260" i="30"/>
  <c r="BF119" i="30"/>
  <c r="BF121" i="30"/>
  <c r="BF64" i="30"/>
  <c r="BF127" i="30"/>
  <c r="BF200" i="30"/>
  <c r="BF263" i="30"/>
  <c r="BF66" i="30"/>
  <c r="BF233" i="30"/>
  <c r="BF176" i="30"/>
  <c r="BF256" i="30"/>
  <c r="BF65" i="30"/>
  <c r="BF146" i="30"/>
  <c r="BF203" i="30"/>
  <c r="BF265" i="30"/>
  <c r="BF149" i="30"/>
  <c r="BF208" i="30"/>
  <c r="BF87" i="30"/>
  <c r="BF150" i="30"/>
  <c r="BF209" i="30"/>
  <c r="BF171" i="30"/>
  <c r="BF88" i="30"/>
  <c r="BF151" i="30"/>
  <c r="BF230" i="30"/>
  <c r="BF92" i="30"/>
  <c r="BF152" i="30"/>
  <c r="BF231" i="30"/>
  <c r="BF97" i="30"/>
  <c r="BF100" i="30"/>
  <c r="BF232" i="30"/>
  <c r="BF175" i="30"/>
  <c r="BF234" i="30"/>
  <c r="BF182" i="30"/>
  <c r="I22" i="30"/>
  <c r="BD33" i="30"/>
  <c r="BD45" i="30"/>
  <c r="BD57" i="30"/>
  <c r="BD69" i="30"/>
  <c r="BD81" i="30"/>
  <c r="BD93" i="30"/>
  <c r="BD105" i="30"/>
  <c r="BD117" i="30"/>
  <c r="BD129" i="30"/>
  <c r="BD141" i="30"/>
  <c r="BD153" i="30"/>
  <c r="BD165" i="30"/>
  <c r="BD177" i="30"/>
  <c r="BD189" i="30"/>
  <c r="BD201" i="30"/>
  <c r="BD213" i="30"/>
  <c r="BD225" i="30"/>
  <c r="BD237" i="30"/>
  <c r="BD34" i="30"/>
  <c r="BD46" i="30"/>
  <c r="BD58" i="30"/>
  <c r="BD70" i="30"/>
  <c r="BD82" i="30"/>
  <c r="BD94" i="30"/>
  <c r="BD106" i="30"/>
  <c r="BD118" i="30"/>
  <c r="BD130" i="30"/>
  <c r="BD142" i="30"/>
  <c r="BD154" i="30"/>
  <c r="BD166" i="30"/>
  <c r="BD178" i="30"/>
  <c r="BD190" i="30"/>
  <c r="BD202" i="30"/>
  <c r="BD214" i="30"/>
  <c r="BD226" i="30"/>
  <c r="BD238" i="30"/>
  <c r="BD36" i="30"/>
  <c r="BD48" i="30"/>
  <c r="BD60" i="30"/>
  <c r="BD72" i="30"/>
  <c r="BD84" i="30"/>
  <c r="BD96" i="30"/>
  <c r="BD108" i="30"/>
  <c r="BD120" i="30"/>
  <c r="BD132" i="30"/>
  <c r="BD144" i="30"/>
  <c r="BD156" i="30"/>
  <c r="BD168" i="30"/>
  <c r="BD180" i="30"/>
  <c r="BD192" i="30"/>
  <c r="BD204" i="30"/>
  <c r="BD216" i="30"/>
  <c r="BD228" i="30"/>
  <c r="BD240" i="30"/>
  <c r="BD43" i="30"/>
  <c r="BD61" i="30"/>
  <c r="BD76" i="30"/>
  <c r="BD91" i="30"/>
  <c r="BD109" i="30"/>
  <c r="BD124" i="30"/>
  <c r="BD139" i="30"/>
  <c r="BD157" i="30"/>
  <c r="BD172" i="30"/>
  <c r="BD187" i="30"/>
  <c r="BD205" i="30"/>
  <c r="BD220" i="30"/>
  <c r="BD235" i="30"/>
  <c r="BD44" i="30"/>
  <c r="BD62" i="30"/>
  <c r="BD77" i="30"/>
  <c r="BD92" i="30"/>
  <c r="BD110" i="30"/>
  <c r="BD125" i="30"/>
  <c r="BD140" i="30"/>
  <c r="BD158" i="30"/>
  <c r="BD173" i="30"/>
  <c r="BD188" i="30"/>
  <c r="BD206" i="30"/>
  <c r="BD221" i="30"/>
  <c r="BD236" i="30"/>
  <c r="BD47" i="30"/>
  <c r="BD63" i="30"/>
  <c r="BD78" i="30"/>
  <c r="BD95" i="30"/>
  <c r="BD111" i="30"/>
  <c r="BD126" i="30"/>
  <c r="BD143" i="30"/>
  <c r="BD159" i="30"/>
  <c r="BD174" i="30"/>
  <c r="BD191" i="30"/>
  <c r="BD207" i="30"/>
  <c r="BD222" i="30"/>
  <c r="BD239" i="30"/>
  <c r="BD35" i="30"/>
  <c r="BD51" i="30"/>
  <c r="BD66" i="30"/>
  <c r="BD83" i="30"/>
  <c r="BD99" i="30"/>
  <c r="BD114" i="30"/>
  <c r="BD131" i="30"/>
  <c r="BD147" i="30"/>
  <c r="BD162" i="30"/>
  <c r="BD179" i="30"/>
  <c r="BD195" i="30"/>
  <c r="BD210" i="30"/>
  <c r="BD227" i="30"/>
  <c r="BD243" i="30"/>
  <c r="BD37" i="30"/>
  <c r="BD52" i="30"/>
  <c r="BD67" i="30"/>
  <c r="BD85" i="30"/>
  <c r="BD100" i="30"/>
  <c r="BD115" i="30"/>
  <c r="BD133" i="30"/>
  <c r="BD148" i="30"/>
  <c r="BD163" i="30"/>
  <c r="BD181" i="30"/>
  <c r="BD196" i="30"/>
  <c r="BD54" i="30"/>
  <c r="BD80" i="30"/>
  <c r="BD107" i="30"/>
  <c r="BD136" i="30"/>
  <c r="BD164" i="30"/>
  <c r="BD193" i="30"/>
  <c r="BD217" i="30"/>
  <c r="BD242" i="30"/>
  <c r="BD55" i="30"/>
  <c r="BD86" i="30"/>
  <c r="BD112" i="30"/>
  <c r="BD137" i="30"/>
  <c r="BD167" i="30"/>
  <c r="BD194" i="30"/>
  <c r="BD218" i="30"/>
  <c r="BD244" i="30"/>
  <c r="BD59" i="30"/>
  <c r="BD88" i="30"/>
  <c r="BD116" i="30"/>
  <c r="BD145" i="30"/>
  <c r="BD170" i="30"/>
  <c r="BD198" i="30"/>
  <c r="BD223" i="30"/>
  <c r="BD246" i="30"/>
  <c r="BD40" i="30"/>
  <c r="BD122" i="30"/>
  <c r="BD38" i="30"/>
  <c r="BD64" i="30"/>
  <c r="BD89" i="30"/>
  <c r="BD119" i="30"/>
  <c r="BD146" i="30"/>
  <c r="BD171" i="30"/>
  <c r="BD199" i="30"/>
  <c r="BD224" i="30"/>
  <c r="BD32" i="30"/>
  <c r="BD39" i="30"/>
  <c r="BD65" i="30"/>
  <c r="BD90" i="30"/>
  <c r="BD121" i="30"/>
  <c r="BD149" i="30"/>
  <c r="BD175" i="30"/>
  <c r="BD200" i="30"/>
  <c r="BD229" i="30"/>
  <c r="BD31" i="30"/>
  <c r="BD68" i="30"/>
  <c r="BD97" i="30"/>
  <c r="BD150" i="30"/>
  <c r="BD75" i="30"/>
  <c r="BD134" i="30"/>
  <c r="BD184" i="30"/>
  <c r="BD231" i="30"/>
  <c r="BD79" i="30"/>
  <c r="BD135" i="30"/>
  <c r="BD185" i="30"/>
  <c r="BD232" i="30"/>
  <c r="BD182" i="30"/>
  <c r="BD128" i="30"/>
  <c r="BD87" i="30"/>
  <c r="BD138" i="30"/>
  <c r="BD186" i="30"/>
  <c r="BD233" i="30"/>
  <c r="BD176" i="30"/>
  <c r="BD219" i="30"/>
  <c r="BD74" i="30"/>
  <c r="BD41" i="30"/>
  <c r="BD98" i="30"/>
  <c r="BD151" i="30"/>
  <c r="BD197" i="30"/>
  <c r="BD234" i="30"/>
  <c r="BD42" i="30"/>
  <c r="BD101" i="30"/>
  <c r="BD152" i="30"/>
  <c r="BD203" i="30"/>
  <c r="BD241" i="30"/>
  <c r="BD49" i="30"/>
  <c r="BD102" i="30"/>
  <c r="BD155" i="30"/>
  <c r="BD208" i="30"/>
  <c r="BD245" i="30"/>
  <c r="BD113" i="30"/>
  <c r="BD215" i="30"/>
  <c r="BD127" i="30"/>
  <c r="BD230" i="30"/>
  <c r="BD50" i="30"/>
  <c r="BD103" i="30"/>
  <c r="BD160" i="30"/>
  <c r="BD209" i="30"/>
  <c r="BD53" i="30"/>
  <c r="BD104" i="30"/>
  <c r="BD161" i="30"/>
  <c r="BD211" i="30"/>
  <c r="BD56" i="30"/>
  <c r="BD212" i="30"/>
  <c r="BD71" i="30"/>
  <c r="BD183" i="30"/>
  <c r="BD169" i="30"/>
  <c r="BD123" i="30"/>
  <c r="BD73" i="30"/>
  <c r="BD12" i="30"/>
  <c r="BB43" i="30"/>
  <c r="BB55" i="30"/>
  <c r="BB67" i="30"/>
  <c r="BB79" i="30"/>
  <c r="BB91" i="30"/>
  <c r="BB103" i="30"/>
  <c r="BB115" i="30"/>
  <c r="BB127" i="30"/>
  <c r="BB139" i="30"/>
  <c r="BB151" i="30"/>
  <c r="BB163" i="30"/>
  <c r="BB175" i="30"/>
  <c r="BB187" i="30"/>
  <c r="BB199" i="30"/>
  <c r="BB211" i="30"/>
  <c r="BB31" i="30"/>
  <c r="BB44" i="30"/>
  <c r="BB56" i="30"/>
  <c r="BB68" i="30"/>
  <c r="BB80" i="30"/>
  <c r="BB92" i="30"/>
  <c r="BB104" i="30"/>
  <c r="BB116" i="30"/>
  <c r="BB128" i="30"/>
  <c r="BB140" i="30"/>
  <c r="BB152" i="30"/>
  <c r="BB164" i="30"/>
  <c r="BB176" i="30"/>
  <c r="BB188" i="30"/>
  <c r="BB200" i="30"/>
  <c r="BB212" i="30"/>
  <c r="BB32" i="30"/>
  <c r="BB34" i="30"/>
  <c r="BB46" i="30"/>
  <c r="BB58" i="30"/>
  <c r="BB70" i="30"/>
  <c r="BB82" i="30"/>
  <c r="BB94" i="30"/>
  <c r="BB106" i="30"/>
  <c r="BB118" i="30"/>
  <c r="BB130" i="30"/>
  <c r="BB142" i="30"/>
  <c r="BB154" i="30"/>
  <c r="BB166" i="30"/>
  <c r="BB178" i="30"/>
  <c r="BB190" i="30"/>
  <c r="BB202" i="30"/>
  <c r="BB214" i="30"/>
  <c r="BB48" i="30"/>
  <c r="BB63" i="30"/>
  <c r="BB78" i="30"/>
  <c r="BB96" i="30"/>
  <c r="BB111" i="30"/>
  <c r="BB126" i="30"/>
  <c r="BB144" i="30"/>
  <c r="BB159" i="30"/>
  <c r="BB174" i="30"/>
  <c r="BB192" i="30"/>
  <c r="BB207" i="30"/>
  <c r="BB222" i="30"/>
  <c r="BB33" i="30"/>
  <c r="BB49" i="30"/>
  <c r="BB64" i="30"/>
  <c r="BB81" i="30"/>
  <c r="BB97" i="30"/>
  <c r="BB112" i="30"/>
  <c r="BB129" i="30"/>
  <c r="BB145" i="30"/>
  <c r="BB160" i="30"/>
  <c r="BB177" i="30"/>
  <c r="BB193" i="30"/>
  <c r="BB208" i="30"/>
  <c r="BB35" i="30"/>
  <c r="BB50" i="30"/>
  <c r="BB65" i="30"/>
  <c r="BB83" i="30"/>
  <c r="BB98" i="30"/>
  <c r="BB113" i="30"/>
  <c r="BB131" i="30"/>
  <c r="BB146" i="30"/>
  <c r="BB161" i="30"/>
  <c r="BB179" i="30"/>
  <c r="BB194" i="30"/>
  <c r="BB209" i="30"/>
  <c r="BB38" i="30"/>
  <c r="BB53" i="30"/>
  <c r="BB71" i="30"/>
  <c r="BB86" i="30"/>
  <c r="BB101" i="30"/>
  <c r="BB119" i="30"/>
  <c r="BB134" i="30"/>
  <c r="BB149" i="30"/>
  <c r="BB167" i="30"/>
  <c r="BB182" i="30"/>
  <c r="BB197" i="30"/>
  <c r="BB215" i="30"/>
  <c r="BB41" i="30"/>
  <c r="BB66" i="30"/>
  <c r="BB89" i="30"/>
  <c r="BB114" i="30"/>
  <c r="BB137" i="30"/>
  <c r="BB162" i="30"/>
  <c r="BB185" i="30"/>
  <c r="BB210" i="30"/>
  <c r="BB42" i="30"/>
  <c r="BB69" i="30"/>
  <c r="BB90" i="30"/>
  <c r="BB117" i="30"/>
  <c r="BB138" i="30"/>
  <c r="BB165" i="30"/>
  <c r="BB186" i="30"/>
  <c r="BB213" i="30"/>
  <c r="BB47" i="30"/>
  <c r="BB73" i="30"/>
  <c r="BB95" i="30"/>
  <c r="BB121" i="30"/>
  <c r="BB143" i="30"/>
  <c r="BB169" i="30"/>
  <c r="BB191" i="30"/>
  <c r="BB217" i="30"/>
  <c r="BB51" i="30"/>
  <c r="BB74" i="30"/>
  <c r="BB99" i="30"/>
  <c r="BB122" i="30"/>
  <c r="BB147" i="30"/>
  <c r="BB170" i="30"/>
  <c r="BB195" i="30"/>
  <c r="BB218" i="30"/>
  <c r="BB52" i="30"/>
  <c r="BB75" i="30"/>
  <c r="BB100" i="30"/>
  <c r="BB123" i="30"/>
  <c r="BB148" i="30"/>
  <c r="BB171" i="30"/>
  <c r="BB196" i="30"/>
  <c r="BB219" i="30"/>
  <c r="BB54" i="30"/>
  <c r="BB88" i="30"/>
  <c r="BB133" i="30"/>
  <c r="BB173" i="30"/>
  <c r="BB216" i="30"/>
  <c r="BB57" i="30"/>
  <c r="BB93" i="30"/>
  <c r="BB135" i="30"/>
  <c r="BB180" i="30"/>
  <c r="BB220" i="30"/>
  <c r="BB84" i="30"/>
  <c r="BB85" i="30"/>
  <c r="BB206" i="30"/>
  <c r="BB59" i="30"/>
  <c r="BB102" i="30"/>
  <c r="BB136" i="30"/>
  <c r="BB181" i="30"/>
  <c r="BB221" i="30"/>
  <c r="BB124" i="30"/>
  <c r="BB125" i="30"/>
  <c r="BB132" i="30"/>
  <c r="BB60" i="30"/>
  <c r="BB105" i="30"/>
  <c r="BB141" i="30"/>
  <c r="BB183" i="30"/>
  <c r="BB61" i="30"/>
  <c r="BB107" i="30"/>
  <c r="BB150" i="30"/>
  <c r="BB184" i="30"/>
  <c r="BB39" i="30"/>
  <c r="BB62" i="30"/>
  <c r="BB108" i="30"/>
  <c r="BB153" i="30"/>
  <c r="BB189" i="30"/>
  <c r="BB37" i="30"/>
  <c r="BB157" i="30"/>
  <c r="BB158" i="30"/>
  <c r="BB205" i="30"/>
  <c r="BB172" i="30"/>
  <c r="BB72" i="30"/>
  <c r="BB109" i="30"/>
  <c r="BB155" i="30"/>
  <c r="BB198" i="30"/>
  <c r="BB36" i="30"/>
  <c r="BB76" i="30"/>
  <c r="BB110" i="30"/>
  <c r="BB156" i="30"/>
  <c r="BB201" i="30"/>
  <c r="BB120" i="30"/>
  <c r="BB203" i="30"/>
  <c r="BB40" i="30"/>
  <c r="BB87" i="30"/>
  <c r="BB77" i="30"/>
  <c r="BB204" i="30"/>
  <c r="BB168" i="30"/>
  <c r="BB45" i="30"/>
  <c r="BD8" i="30"/>
  <c r="I18" i="30"/>
  <c r="AZ43" i="30"/>
  <c r="AZ55" i="30"/>
  <c r="AZ67" i="30"/>
  <c r="AZ79" i="30"/>
  <c r="AZ91" i="30"/>
  <c r="AZ103" i="30"/>
  <c r="AZ115" i="30"/>
  <c r="AZ127" i="30"/>
  <c r="AZ139" i="30"/>
  <c r="AZ151" i="30"/>
  <c r="AZ163" i="30"/>
  <c r="AZ175" i="30"/>
  <c r="AZ187" i="30"/>
  <c r="AZ199" i="30"/>
  <c r="AZ211" i="30"/>
  <c r="AZ223" i="30"/>
  <c r="AZ235" i="30"/>
  <c r="AZ247" i="30"/>
  <c r="AZ259" i="30"/>
  <c r="AZ32" i="30"/>
  <c r="AZ44" i="30"/>
  <c r="AZ56" i="30"/>
  <c r="AZ68" i="30"/>
  <c r="AZ80" i="30"/>
  <c r="AZ92" i="30"/>
  <c r="AZ104" i="30"/>
  <c r="AZ116" i="30"/>
  <c r="AZ128" i="30"/>
  <c r="AZ140" i="30"/>
  <c r="AZ152" i="30"/>
  <c r="AZ164" i="30"/>
  <c r="AZ176" i="30"/>
  <c r="AZ188" i="30"/>
  <c r="AZ200" i="30"/>
  <c r="AZ212" i="30"/>
  <c r="AZ224" i="30"/>
  <c r="AZ236" i="30"/>
  <c r="AZ248" i="30"/>
  <c r="AZ260" i="30"/>
  <c r="AZ31" i="30"/>
  <c r="AZ34" i="30"/>
  <c r="AZ46" i="30"/>
  <c r="AZ58" i="30"/>
  <c r="AZ70" i="30"/>
  <c r="AZ82" i="30"/>
  <c r="AZ94" i="30"/>
  <c r="AZ106" i="30"/>
  <c r="AZ118" i="30"/>
  <c r="AZ130" i="30"/>
  <c r="AZ142" i="30"/>
  <c r="AZ154" i="30"/>
  <c r="AZ166" i="30"/>
  <c r="AZ178" i="30"/>
  <c r="AZ190" i="30"/>
  <c r="AZ202" i="30"/>
  <c r="AZ214" i="30"/>
  <c r="AZ226" i="30"/>
  <c r="AZ238" i="30"/>
  <c r="AZ250" i="30"/>
  <c r="AZ262" i="30"/>
  <c r="AZ33" i="30"/>
  <c r="AZ49" i="30"/>
  <c r="AZ64" i="30"/>
  <c r="AZ81" i="30"/>
  <c r="AZ97" i="30"/>
  <c r="AZ112" i="30"/>
  <c r="AZ129" i="30"/>
  <c r="AZ145" i="30"/>
  <c r="AZ160" i="30"/>
  <c r="AZ177" i="30"/>
  <c r="AZ193" i="30"/>
  <c r="AZ208" i="30"/>
  <c r="AZ225" i="30"/>
  <c r="AZ241" i="30"/>
  <c r="AZ256" i="30"/>
  <c r="AZ35" i="30"/>
  <c r="AZ50" i="30"/>
  <c r="AZ65" i="30"/>
  <c r="AZ83" i="30"/>
  <c r="AZ98" i="30"/>
  <c r="AZ113" i="30"/>
  <c r="AZ131" i="30"/>
  <c r="AZ146" i="30"/>
  <c r="AZ161" i="30"/>
  <c r="AZ179" i="30"/>
  <c r="AZ194" i="30"/>
  <c r="AZ209" i="30"/>
  <c r="AZ227" i="30"/>
  <c r="AZ242" i="30"/>
  <c r="AZ257" i="30"/>
  <c r="AZ36" i="30"/>
  <c r="AZ51" i="30"/>
  <c r="AZ66" i="30"/>
  <c r="AZ84" i="30"/>
  <c r="AZ99" i="30"/>
  <c r="AZ114" i="30"/>
  <c r="AZ132" i="30"/>
  <c r="AZ147" i="30"/>
  <c r="AZ162" i="30"/>
  <c r="AZ180" i="30"/>
  <c r="AZ195" i="30"/>
  <c r="AZ210" i="30"/>
  <c r="AZ228" i="30"/>
  <c r="AZ243" i="30"/>
  <c r="AZ258" i="30"/>
  <c r="AZ39" i="30"/>
  <c r="AZ54" i="30"/>
  <c r="AZ72" i="30"/>
  <c r="AZ87" i="30"/>
  <c r="AZ102" i="30"/>
  <c r="AZ120" i="30"/>
  <c r="AZ135" i="30"/>
  <c r="AZ150" i="30"/>
  <c r="AZ168" i="30"/>
  <c r="AZ183" i="30"/>
  <c r="AZ198" i="30"/>
  <c r="AZ216" i="30"/>
  <c r="AZ231" i="30"/>
  <c r="AZ246" i="30"/>
  <c r="AZ264" i="30"/>
  <c r="AZ45" i="30"/>
  <c r="AZ71" i="30"/>
  <c r="AZ93" i="30"/>
  <c r="AZ119" i="30"/>
  <c r="AZ141" i="30"/>
  <c r="AZ167" i="30"/>
  <c r="AZ189" i="30"/>
  <c r="AZ215" i="30"/>
  <c r="AZ237" i="30"/>
  <c r="AZ263" i="30"/>
  <c r="AZ47" i="30"/>
  <c r="AZ73" i="30"/>
  <c r="AZ95" i="30"/>
  <c r="AZ121" i="30"/>
  <c r="AZ143" i="30"/>
  <c r="AZ169" i="30"/>
  <c r="AZ191" i="30"/>
  <c r="AZ217" i="30"/>
  <c r="AZ239" i="30"/>
  <c r="AZ265" i="30"/>
  <c r="AZ52" i="30"/>
  <c r="AZ75" i="30"/>
  <c r="AZ100" i="30"/>
  <c r="AZ123" i="30"/>
  <c r="AZ148" i="30"/>
  <c r="AZ171" i="30"/>
  <c r="AZ196" i="30"/>
  <c r="AZ219" i="30"/>
  <c r="AZ244" i="30"/>
  <c r="AZ267" i="30"/>
  <c r="AZ53" i="30"/>
  <c r="AZ76" i="30"/>
  <c r="AZ101" i="30"/>
  <c r="AZ124" i="30"/>
  <c r="AZ149" i="30"/>
  <c r="AZ172" i="30"/>
  <c r="AZ197" i="30"/>
  <c r="AZ220" i="30"/>
  <c r="AZ245" i="30"/>
  <c r="AZ268" i="30"/>
  <c r="AZ57" i="30"/>
  <c r="AZ77" i="30"/>
  <c r="AZ105" i="30"/>
  <c r="AZ125" i="30"/>
  <c r="AZ153" i="30"/>
  <c r="AZ173" i="30"/>
  <c r="AZ201" i="30"/>
  <c r="AZ221" i="30"/>
  <c r="AZ249" i="30"/>
  <c r="AZ269" i="30"/>
  <c r="AZ63" i="30"/>
  <c r="AZ109" i="30"/>
  <c r="AZ155" i="30"/>
  <c r="AZ186" i="30"/>
  <c r="AZ232" i="30"/>
  <c r="AZ69" i="30"/>
  <c r="AZ110" i="30"/>
  <c r="AZ156" i="30"/>
  <c r="AZ192" i="30"/>
  <c r="AZ233" i="30"/>
  <c r="AZ222" i="30"/>
  <c r="AZ61" i="30"/>
  <c r="AZ266" i="30"/>
  <c r="AZ62" i="30"/>
  <c r="AZ270" i="30"/>
  <c r="AZ37" i="30"/>
  <c r="AZ74" i="30"/>
  <c r="AZ111" i="30"/>
  <c r="AZ157" i="30"/>
  <c r="AZ203" i="30"/>
  <c r="AZ234" i="30"/>
  <c r="AZ137" i="30"/>
  <c r="AZ184" i="30"/>
  <c r="AZ185" i="30"/>
  <c r="AZ38" i="30"/>
  <c r="AZ78" i="30"/>
  <c r="AZ117" i="30"/>
  <c r="AZ158" i="30"/>
  <c r="AZ204" i="30"/>
  <c r="AZ240" i="30"/>
  <c r="AZ40" i="30"/>
  <c r="AZ85" i="30"/>
  <c r="AZ122" i="30"/>
  <c r="AZ159" i="30"/>
  <c r="AZ205" i="30"/>
  <c r="AZ251" i="30"/>
  <c r="AZ261" i="30"/>
  <c r="AZ41" i="30"/>
  <c r="AZ86" i="30"/>
  <c r="AZ126" i="30"/>
  <c r="AZ165" i="30"/>
  <c r="AZ206" i="30"/>
  <c r="AZ252" i="30"/>
  <c r="AZ136" i="30"/>
  <c r="AZ255" i="30"/>
  <c r="AZ182" i="30"/>
  <c r="AZ138" i="30"/>
  <c r="AZ108" i="30"/>
  <c r="AZ42" i="30"/>
  <c r="AZ88" i="30"/>
  <c r="AZ133" i="30"/>
  <c r="AZ170" i="30"/>
  <c r="AZ207" i="30"/>
  <c r="AZ253" i="30"/>
  <c r="AZ48" i="30"/>
  <c r="AZ89" i="30"/>
  <c r="AZ134" i="30"/>
  <c r="AZ174" i="30"/>
  <c r="AZ213" i="30"/>
  <c r="AZ254" i="30"/>
  <c r="AZ90" i="30"/>
  <c r="AZ218" i="30"/>
  <c r="AZ60" i="30"/>
  <c r="AZ229" i="30"/>
  <c r="AZ230" i="30"/>
  <c r="AZ59" i="30"/>
  <c r="AZ181" i="30"/>
  <c r="AZ96" i="30"/>
  <c r="AZ107" i="30"/>
  <c r="AZ144" i="30"/>
  <c r="AX26" i="28"/>
  <c r="AX27" i="28"/>
  <c r="AX39" i="28"/>
  <c r="AX51" i="28"/>
  <c r="AX29" i="28"/>
  <c r="AX41" i="28"/>
  <c r="AX53" i="28"/>
  <c r="AX42" i="28"/>
  <c r="AX28" i="28"/>
  <c r="AX40" i="28"/>
  <c r="AX52" i="28"/>
  <c r="AX30" i="28"/>
  <c r="AX54" i="28"/>
  <c r="AX32" i="28"/>
  <c r="AX44" i="28"/>
  <c r="AX56" i="28"/>
  <c r="AX45" i="28"/>
  <c r="AX57" i="28"/>
  <c r="AX47" i="28"/>
  <c r="AX36" i="28"/>
  <c r="AX37" i="28"/>
  <c r="AX43" i="28"/>
  <c r="AX33" i="28"/>
  <c r="AX35" i="28"/>
  <c r="AX48" i="28"/>
  <c r="AX49" i="28"/>
  <c r="AX31" i="28"/>
  <c r="AX34" i="28"/>
  <c r="AX46" i="28"/>
  <c r="AX58" i="28"/>
  <c r="AX59" i="28"/>
  <c r="AX60" i="28"/>
  <c r="AX38" i="28"/>
  <c r="AX61" i="28"/>
  <c r="AX50" i="28"/>
  <c r="AX55" i="28"/>
  <c r="H16" i="28"/>
  <c r="I20" i="30"/>
  <c r="I24" i="30"/>
  <c r="AX81" i="30" l="1"/>
  <c r="I26" i="30"/>
  <c r="R15" i="28"/>
  <c r="AX100" i="30"/>
  <c r="S25" i="30"/>
  <c r="AX76" i="30"/>
  <c r="AX94" i="30"/>
  <c r="AX97" i="30"/>
  <c r="AX98" i="30"/>
  <c r="AX101" i="30"/>
  <c r="AX95" i="30"/>
  <c r="AX92" i="30"/>
  <c r="AX93" i="30"/>
  <c r="AX64" i="30"/>
  <c r="AX69" i="30"/>
  <c r="AX66" i="30"/>
  <c r="AX99" i="30"/>
  <c r="AX33" i="30"/>
  <c r="AX71" i="30"/>
  <c r="AX96" i="30"/>
  <c r="AX102" i="30"/>
  <c r="AX91" i="30"/>
  <c r="AX77" i="30"/>
  <c r="BV17" i="30"/>
  <c r="BW17" i="30" s="1"/>
  <c r="BX17" i="30" s="1"/>
  <c r="BV19" i="30"/>
  <c r="BW19" i="30" s="1"/>
  <c r="BX19" i="30" s="1"/>
  <c r="AX42" i="30"/>
  <c r="AX51" i="30"/>
  <c r="AX56" i="30"/>
  <c r="AX40" i="30"/>
  <c r="AX36" i="30"/>
  <c r="AX44" i="30"/>
  <c r="AX60" i="30"/>
  <c r="AX63" i="30"/>
  <c r="AX32" i="30"/>
  <c r="AX89" i="30"/>
  <c r="AX65" i="30"/>
  <c r="AX48" i="30"/>
  <c r="AX31" i="30"/>
  <c r="AX53" i="30"/>
  <c r="AX62" i="30"/>
  <c r="AX86" i="30"/>
  <c r="AX70" i="30"/>
  <c r="AX49" i="30"/>
  <c r="AX46" i="30"/>
  <c r="AX74" i="30"/>
  <c r="AX58" i="30"/>
  <c r="AX59" i="30"/>
  <c r="AX84" i="30"/>
  <c r="AX37" i="30"/>
  <c r="AX47" i="30"/>
  <c r="AX87" i="30"/>
  <c r="AX78" i="30"/>
  <c r="AX85" i="30"/>
  <c r="AX72" i="30"/>
  <c r="AX54" i="30"/>
  <c r="AX35" i="30"/>
  <c r="AX75" i="30"/>
  <c r="AX73" i="30"/>
  <c r="AX52" i="30"/>
  <c r="AX57" i="30"/>
  <c r="AX82" i="30"/>
  <c r="AX90" i="30"/>
  <c r="AX83" i="30"/>
  <c r="AX38" i="30"/>
  <c r="AX50" i="30"/>
  <c r="AX45" i="30"/>
  <c r="AX88" i="30"/>
  <c r="BY16" i="30"/>
  <c r="T15" i="30"/>
  <c r="AX39" i="30"/>
  <c r="AX55" i="30"/>
  <c r="AX61" i="30"/>
  <c r="I16" i="30"/>
  <c r="I25" i="30" s="1"/>
  <c r="AX80" i="30"/>
  <c r="AX41" i="30"/>
  <c r="AX34" i="30"/>
  <c r="AX43" i="30"/>
  <c r="AX79" i="30"/>
  <c r="AX68" i="30"/>
  <c r="AX67" i="30"/>
  <c r="BV16" i="30"/>
  <c r="BY19" i="30"/>
  <c r="BY18" i="30"/>
  <c r="BY17" i="30"/>
  <c r="BZ11" i="30"/>
  <c r="BZ10" i="30"/>
  <c r="BZ8" i="30"/>
  <c r="CA9" i="30"/>
  <c r="CD9" i="30"/>
  <c r="BB23" i="30"/>
  <c r="AZ23" i="30"/>
  <c r="BC25" i="30"/>
  <c r="AV27" i="30" s="1"/>
  <c r="BD23" i="30"/>
  <c r="BA25" i="30"/>
  <c r="AV26" i="30" s="1"/>
  <c r="BE25" i="30"/>
  <c r="AV28" i="30" s="1"/>
  <c r="BF23" i="30"/>
  <c r="AY25" i="30"/>
  <c r="AV25" i="30" s="1"/>
  <c r="AW20" i="28"/>
  <c r="AV14" i="28" s="1"/>
  <c r="AX18" i="28"/>
  <c r="V7" i="30"/>
  <c r="V5" i="30"/>
  <c r="U5" i="30"/>
  <c r="V3" i="30"/>
  <c r="U4" i="30"/>
  <c r="V4" i="30"/>
  <c r="Z19" i="30"/>
  <c r="Z20" i="30"/>
  <c r="S6" i="28"/>
  <c r="D28" i="30" l="1"/>
  <c r="U15" i="30"/>
  <c r="T25" i="30"/>
  <c r="AX23" i="30"/>
  <c r="AW25" i="30"/>
  <c r="AV24" i="30" s="1"/>
  <c r="CD16" i="30"/>
  <c r="BW16" i="30"/>
  <c r="CA8" i="30"/>
  <c r="CD8" i="30"/>
  <c r="CA10" i="30"/>
  <c r="CD10" i="30"/>
  <c r="CB9" i="30"/>
  <c r="CC9" i="30" s="1"/>
  <c r="CE9" i="30"/>
  <c r="CA11" i="30"/>
  <c r="CD11" i="30"/>
  <c r="BF9" i="30"/>
  <c r="BB6" i="30"/>
  <c r="BB5" i="30"/>
  <c r="U3" i="30"/>
  <c r="U7" i="30"/>
  <c r="S3" i="28"/>
  <c r="S7" i="28"/>
  <c r="S4" i="28"/>
  <c r="S5" i="28"/>
  <c r="U25" i="30" l="1"/>
  <c r="CD18" i="30"/>
  <c r="CD19" i="30"/>
  <c r="CD17" i="30"/>
  <c r="CE16" i="30"/>
  <c r="BX16" i="30"/>
  <c r="CC16" i="30" s="1"/>
  <c r="CE10" i="30"/>
  <c r="CB10" i="30"/>
  <c r="CC10" i="30" s="1"/>
  <c r="CE11" i="30"/>
  <c r="CB11" i="30"/>
  <c r="CC11" i="30" s="1"/>
  <c r="CE8" i="30"/>
  <c r="CB8" i="30"/>
  <c r="CC8" i="30" s="1"/>
  <c r="BE9" i="30"/>
  <c r="F23" i="28"/>
  <c r="F21" i="28"/>
  <c r="F19" i="28"/>
  <c r="J19" i="28" s="1"/>
  <c r="F17" i="28"/>
  <c r="J17" i="28" s="1"/>
  <c r="H23" i="28" l="1"/>
  <c r="Q23" i="28" s="1"/>
  <c r="J23" i="28"/>
  <c r="T19" i="28"/>
  <c r="S19" i="28"/>
  <c r="T17" i="28"/>
  <c r="S17" i="28"/>
  <c r="H21" i="28"/>
  <c r="L21" i="28" s="1"/>
  <c r="J21" i="28"/>
  <c r="BB170" i="28"/>
  <c r="H19" i="28"/>
  <c r="AZ170" i="28"/>
  <c r="H17" i="28"/>
  <c r="CE18" i="30"/>
  <c r="CC18" i="30"/>
  <c r="CE17" i="30"/>
  <c r="CC17" i="30"/>
  <c r="CE19" i="30"/>
  <c r="CC19" i="30"/>
  <c r="BF326" i="28"/>
  <c r="BD170" i="28"/>
  <c r="T6" i="28"/>
  <c r="T3" i="28"/>
  <c r="T7" i="28"/>
  <c r="T4" i="28"/>
  <c r="AQ16" i="28"/>
  <c r="P21" i="28" l="1"/>
  <c r="Q21" i="28"/>
  <c r="L23" i="28"/>
  <c r="O21" i="28"/>
  <c r="P23" i="28"/>
  <c r="S21" i="28"/>
  <c r="T21" i="28"/>
  <c r="O23" i="28"/>
  <c r="T23" i="28"/>
  <c r="S23" i="28"/>
  <c r="R23" i="28"/>
  <c r="R21" i="28"/>
  <c r="L19" i="28"/>
  <c r="Q19" i="28"/>
  <c r="O19" i="28"/>
  <c r="P19" i="28"/>
  <c r="BB146" i="28"/>
  <c r="L17" i="28"/>
  <c r="O17" i="28"/>
  <c r="Q17" i="28"/>
  <c r="P17" i="28"/>
  <c r="BF274" i="28"/>
  <c r="BF286" i="28"/>
  <c r="BF298" i="28"/>
  <c r="BF310" i="28"/>
  <c r="BF322" i="28"/>
  <c r="BF318" i="28"/>
  <c r="BF283" i="28"/>
  <c r="BF320" i="28"/>
  <c r="BF297" i="28"/>
  <c r="BF275" i="28"/>
  <c r="BF287" i="28"/>
  <c r="BF299" i="28"/>
  <c r="BF311" i="28"/>
  <c r="BF323" i="28"/>
  <c r="BF316" i="28"/>
  <c r="BF305" i="28"/>
  <c r="BF270" i="28"/>
  <c r="BF294" i="28"/>
  <c r="BF308" i="28"/>
  <c r="BF276" i="28"/>
  <c r="BF288" i="28"/>
  <c r="BF300" i="28"/>
  <c r="BF312" i="28"/>
  <c r="BF324" i="28"/>
  <c r="BF278" i="28"/>
  <c r="BF302" i="28"/>
  <c r="BF267" i="28"/>
  <c r="BF315" i="28"/>
  <c r="BF304" i="28"/>
  <c r="BF269" i="28"/>
  <c r="BF317" i="28"/>
  <c r="BF271" i="28"/>
  <c r="BF277" i="28"/>
  <c r="BF289" i="28"/>
  <c r="BF301" i="28"/>
  <c r="BF313" i="28"/>
  <c r="BF325" i="28"/>
  <c r="BF290" i="28"/>
  <c r="BF314" i="28"/>
  <c r="BF303" i="28"/>
  <c r="BF268" i="28"/>
  <c r="BF293" i="28"/>
  <c r="BF295" i="28"/>
  <c r="BF272" i="28"/>
  <c r="BF285" i="28"/>
  <c r="BF291" i="28"/>
  <c r="BF292" i="28"/>
  <c r="BF281" i="28"/>
  <c r="BF306" i="28"/>
  <c r="BF307" i="28"/>
  <c r="BF296" i="28"/>
  <c r="BF273" i="28"/>
  <c r="BF321" i="28"/>
  <c r="BF279" i="28"/>
  <c r="BF319" i="28"/>
  <c r="BF284" i="28"/>
  <c r="BF309" i="28"/>
  <c r="BF280" i="28"/>
  <c r="BF282" i="28"/>
  <c r="BF266" i="28"/>
  <c r="BB155" i="28"/>
  <c r="BB167" i="28"/>
  <c r="BB156" i="28"/>
  <c r="BB168" i="28"/>
  <c r="BB150" i="28"/>
  <c r="BB157" i="28"/>
  <c r="BB169" i="28"/>
  <c r="BB159" i="28"/>
  <c r="BB161" i="28"/>
  <c r="BB151" i="28"/>
  <c r="BB153" i="28"/>
  <c r="BB166" i="28"/>
  <c r="BB158" i="28"/>
  <c r="BB147" i="28"/>
  <c r="BB164" i="28"/>
  <c r="BB149" i="28"/>
  <c r="BB162" i="28"/>
  <c r="BB163" i="28"/>
  <c r="BB152" i="28"/>
  <c r="BB148" i="28"/>
  <c r="BB160" i="28"/>
  <c r="BB165" i="28"/>
  <c r="BB154" i="28"/>
  <c r="BB130" i="28"/>
  <c r="BB142" i="28"/>
  <c r="BB131" i="28"/>
  <c r="BB143" i="28"/>
  <c r="BB133" i="28"/>
  <c r="BB145" i="28"/>
  <c r="BB134" i="28"/>
  <c r="BB125" i="28"/>
  <c r="BB137" i="28"/>
  <c r="BB127" i="28"/>
  <c r="BB128" i="28"/>
  <c r="BB141" i="28"/>
  <c r="BB132" i="28"/>
  <c r="BB144" i="28"/>
  <c r="BB135" i="28"/>
  <c r="BB136" i="28"/>
  <c r="BB138" i="28"/>
  <c r="BB123" i="28"/>
  <c r="BB124" i="28"/>
  <c r="BB126" i="28"/>
  <c r="BB139" i="28"/>
  <c r="BB140" i="28"/>
  <c r="BB129" i="28"/>
  <c r="BB122" i="28"/>
  <c r="BD34" i="28"/>
  <c r="BD46" i="28"/>
  <c r="BD58" i="28"/>
  <c r="BD70" i="28"/>
  <c r="BD82" i="28"/>
  <c r="BD94" i="28"/>
  <c r="BD106" i="28"/>
  <c r="BD118" i="28"/>
  <c r="BD130" i="28"/>
  <c r="BD142" i="28"/>
  <c r="BD154" i="28"/>
  <c r="BD166" i="28"/>
  <c r="BD49" i="28"/>
  <c r="BD85" i="28"/>
  <c r="BD145" i="28"/>
  <c r="BD38" i="28"/>
  <c r="BD62" i="28"/>
  <c r="BD86" i="28"/>
  <c r="BD110" i="28"/>
  <c r="BD146" i="28"/>
  <c r="BD39" i="28"/>
  <c r="BD75" i="28"/>
  <c r="BD111" i="28"/>
  <c r="BD147" i="28"/>
  <c r="BD40" i="28"/>
  <c r="BD88" i="28"/>
  <c r="BD124" i="28"/>
  <c r="BD160" i="28"/>
  <c r="BD29" i="28"/>
  <c r="BD53" i="28"/>
  <c r="BD77" i="28"/>
  <c r="BD101" i="28"/>
  <c r="BD125" i="28"/>
  <c r="BD149" i="28"/>
  <c r="BD55" i="28"/>
  <c r="BD103" i="28"/>
  <c r="BD151" i="28"/>
  <c r="BD56" i="28"/>
  <c r="BD92" i="28"/>
  <c r="BD128" i="28"/>
  <c r="BD164" i="28"/>
  <c r="BD35" i="28"/>
  <c r="BD47" i="28"/>
  <c r="BD59" i="28"/>
  <c r="BD71" i="28"/>
  <c r="BD83" i="28"/>
  <c r="BD95" i="28"/>
  <c r="BD107" i="28"/>
  <c r="BD119" i="28"/>
  <c r="BD131" i="28"/>
  <c r="BD143" i="28"/>
  <c r="BD155" i="28"/>
  <c r="BD167" i="28"/>
  <c r="BD61" i="28"/>
  <c r="BD97" i="28"/>
  <c r="BD121" i="28"/>
  <c r="BD157" i="28"/>
  <c r="BD122" i="28"/>
  <c r="BD51" i="28"/>
  <c r="BD99" i="28"/>
  <c r="BD135" i="28"/>
  <c r="BD52" i="28"/>
  <c r="BD64" i="28"/>
  <c r="BD100" i="28"/>
  <c r="BD136" i="28"/>
  <c r="BD42" i="28"/>
  <c r="BD78" i="28"/>
  <c r="BD102" i="28"/>
  <c r="BD126" i="28"/>
  <c r="BD150" i="28"/>
  <c r="BD31" i="28"/>
  <c r="BD67" i="28"/>
  <c r="BD91" i="28"/>
  <c r="BD115" i="28"/>
  <c r="BD139" i="28"/>
  <c r="BD163" i="28"/>
  <c r="BD44" i="28"/>
  <c r="BD80" i="28"/>
  <c r="BD116" i="28"/>
  <c r="BD152" i="28"/>
  <c r="BD36" i="28"/>
  <c r="BD48" i="28"/>
  <c r="BD60" i="28"/>
  <c r="BD72" i="28"/>
  <c r="BD84" i="28"/>
  <c r="BD96" i="28"/>
  <c r="BD108" i="28"/>
  <c r="BD120" i="28"/>
  <c r="BD132" i="28"/>
  <c r="BD144" i="28"/>
  <c r="BD156" i="28"/>
  <c r="BD168" i="28"/>
  <c r="BD37" i="28"/>
  <c r="BD73" i="28"/>
  <c r="BD109" i="28"/>
  <c r="BD133" i="28"/>
  <c r="BD169" i="28"/>
  <c r="BD50" i="28"/>
  <c r="BD74" i="28"/>
  <c r="BD98" i="28"/>
  <c r="BD134" i="28"/>
  <c r="BD158" i="28"/>
  <c r="BD27" i="28"/>
  <c r="BD63" i="28"/>
  <c r="BD87" i="28"/>
  <c r="BD123" i="28"/>
  <c r="BD159" i="28"/>
  <c r="BD28" i="28"/>
  <c r="BD76" i="28"/>
  <c r="BD112" i="28"/>
  <c r="BD148" i="28"/>
  <c r="BD41" i="28"/>
  <c r="BD65" i="28"/>
  <c r="BD89" i="28"/>
  <c r="BD113" i="28"/>
  <c r="BD137" i="28"/>
  <c r="BD161" i="28"/>
  <c r="BD30" i="28"/>
  <c r="BD54" i="28"/>
  <c r="BD66" i="28"/>
  <c r="BD90" i="28"/>
  <c r="BD114" i="28"/>
  <c r="BD138" i="28"/>
  <c r="BD162" i="28"/>
  <c r="BD43" i="28"/>
  <c r="BD79" i="28"/>
  <c r="BD127" i="28"/>
  <c r="BD32" i="28"/>
  <c r="BD68" i="28"/>
  <c r="BD104" i="28"/>
  <c r="BD140" i="28"/>
  <c r="BD33" i="28"/>
  <c r="BD45" i="28"/>
  <c r="BD57" i="28"/>
  <c r="BD69" i="28"/>
  <c r="BD81" i="28"/>
  <c r="BD93" i="28"/>
  <c r="BD105" i="28"/>
  <c r="BD117" i="28"/>
  <c r="BD129" i="28"/>
  <c r="BD141" i="28"/>
  <c r="BD153" i="28"/>
  <c r="BD165" i="28"/>
  <c r="BD26" i="28"/>
  <c r="H26" i="28"/>
  <c r="AQ22" i="28"/>
  <c r="AQ20" i="28"/>
  <c r="AQ18" i="28"/>
  <c r="AZ29" i="28"/>
  <c r="AZ30" i="28"/>
  <c r="AZ42" i="28"/>
  <c r="AZ54" i="28"/>
  <c r="AZ66" i="28"/>
  <c r="AZ78" i="28"/>
  <c r="AZ90" i="28"/>
  <c r="AZ102" i="28"/>
  <c r="AZ114" i="28"/>
  <c r="AZ126" i="28"/>
  <c r="AZ138" i="28"/>
  <c r="AZ150" i="28"/>
  <c r="AZ162" i="28"/>
  <c r="AZ31" i="28"/>
  <c r="AZ43" i="28"/>
  <c r="AZ55" i="28"/>
  <c r="AZ67" i="28"/>
  <c r="AZ79" i="28"/>
  <c r="AZ91" i="28"/>
  <c r="AZ103" i="28"/>
  <c r="AZ115" i="28"/>
  <c r="AZ127" i="28"/>
  <c r="AZ139" i="28"/>
  <c r="AZ151" i="28"/>
  <c r="AZ163" i="28"/>
  <c r="AZ32" i="28"/>
  <c r="AZ44" i="28"/>
  <c r="AZ56" i="28"/>
  <c r="AZ68" i="28"/>
  <c r="AZ80" i="28"/>
  <c r="AZ92" i="28"/>
  <c r="AZ104" i="28"/>
  <c r="AZ116" i="28"/>
  <c r="AZ128" i="28"/>
  <c r="AZ140" i="28"/>
  <c r="AZ152" i="28"/>
  <c r="AZ164" i="28"/>
  <c r="AZ125" i="28"/>
  <c r="AZ33" i="28"/>
  <c r="AZ45" i="28"/>
  <c r="AZ57" i="28"/>
  <c r="AZ69" i="28"/>
  <c r="AZ81" i="28"/>
  <c r="AZ93" i="28"/>
  <c r="AZ105" i="28"/>
  <c r="AZ117" i="28"/>
  <c r="AZ129" i="28"/>
  <c r="AZ141" i="28"/>
  <c r="AZ153" i="28"/>
  <c r="AZ165" i="28"/>
  <c r="AZ34" i="28"/>
  <c r="AZ46" i="28"/>
  <c r="AZ58" i="28"/>
  <c r="AZ70" i="28"/>
  <c r="AZ82" i="28"/>
  <c r="AZ94" i="28"/>
  <c r="AZ106" i="28"/>
  <c r="AZ118" i="28"/>
  <c r="AZ130" i="28"/>
  <c r="AZ142" i="28"/>
  <c r="AZ154" i="28"/>
  <c r="AZ166" i="28"/>
  <c r="AZ101" i="28"/>
  <c r="AZ35" i="28"/>
  <c r="AZ47" i="28"/>
  <c r="AZ59" i="28"/>
  <c r="AZ71" i="28"/>
  <c r="AZ83" i="28"/>
  <c r="AZ95" i="28"/>
  <c r="AZ107" i="28"/>
  <c r="AZ119" i="28"/>
  <c r="AZ131" i="28"/>
  <c r="AZ143" i="28"/>
  <c r="AZ155" i="28"/>
  <c r="AZ167" i="28"/>
  <c r="AZ113" i="28"/>
  <c r="AZ36" i="28"/>
  <c r="AZ48" i="28"/>
  <c r="AZ60" i="28"/>
  <c r="AZ72" i="28"/>
  <c r="AZ84" i="28"/>
  <c r="AZ96" i="28"/>
  <c r="AZ108" i="28"/>
  <c r="AZ120" i="28"/>
  <c r="AZ132" i="28"/>
  <c r="AZ144" i="28"/>
  <c r="AZ156" i="28"/>
  <c r="AZ168" i="28"/>
  <c r="AZ77" i="28"/>
  <c r="AZ37" i="28"/>
  <c r="AZ49" i="28"/>
  <c r="AZ61" i="28"/>
  <c r="AZ73" i="28"/>
  <c r="AZ85" i="28"/>
  <c r="AZ97" i="28"/>
  <c r="AZ109" i="28"/>
  <c r="AZ121" i="28"/>
  <c r="AZ133" i="28"/>
  <c r="AZ145" i="28"/>
  <c r="AZ157" i="28"/>
  <c r="AZ169" i="28"/>
  <c r="AZ28" i="28"/>
  <c r="AZ100" i="28"/>
  <c r="AZ136" i="28"/>
  <c r="AZ160" i="28"/>
  <c r="AZ53" i="28"/>
  <c r="AZ161" i="28"/>
  <c r="AZ38" i="28"/>
  <c r="AZ50" i="28"/>
  <c r="AZ62" i="28"/>
  <c r="AZ74" i="28"/>
  <c r="AZ86" i="28"/>
  <c r="AZ98" i="28"/>
  <c r="AZ110" i="28"/>
  <c r="AZ122" i="28"/>
  <c r="AZ134" i="28"/>
  <c r="AZ146" i="28"/>
  <c r="AZ158" i="28"/>
  <c r="AZ40" i="28"/>
  <c r="AZ88" i="28"/>
  <c r="AZ124" i="28"/>
  <c r="AZ41" i="28"/>
  <c r="AZ149" i="28"/>
  <c r="AZ27" i="28"/>
  <c r="AZ39" i="28"/>
  <c r="AZ51" i="28"/>
  <c r="AZ63" i="28"/>
  <c r="AZ75" i="28"/>
  <c r="AZ87" i="28"/>
  <c r="AZ99" i="28"/>
  <c r="AZ111" i="28"/>
  <c r="AZ123" i="28"/>
  <c r="AZ135" i="28"/>
  <c r="AZ147" i="28"/>
  <c r="AZ159" i="28"/>
  <c r="AZ52" i="28"/>
  <c r="AZ76" i="28"/>
  <c r="AZ112" i="28"/>
  <c r="AZ148" i="28"/>
  <c r="AZ89" i="28"/>
  <c r="AZ137" i="28"/>
  <c r="AZ64" i="28"/>
  <c r="AZ65" i="28"/>
  <c r="AZ26" i="28"/>
  <c r="BF27" i="28"/>
  <c r="BF39" i="28"/>
  <c r="BF51" i="28"/>
  <c r="BF63" i="28"/>
  <c r="BF75" i="28"/>
  <c r="BF87" i="28"/>
  <c r="BF99" i="28"/>
  <c r="BF111" i="28"/>
  <c r="BF123" i="28"/>
  <c r="BF135" i="28"/>
  <c r="BF147" i="28"/>
  <c r="BF159" i="28"/>
  <c r="BF171" i="28"/>
  <c r="BF183" i="28"/>
  <c r="BF195" i="28"/>
  <c r="BF207" i="28"/>
  <c r="BF219" i="28"/>
  <c r="BF231" i="28"/>
  <c r="BF243" i="28"/>
  <c r="BF255" i="28"/>
  <c r="BF28" i="28"/>
  <c r="BF40" i="28"/>
  <c r="BF52" i="28"/>
  <c r="BF64" i="28"/>
  <c r="BF76" i="28"/>
  <c r="BF88" i="28"/>
  <c r="BF100" i="28"/>
  <c r="BF112" i="28"/>
  <c r="BF124" i="28"/>
  <c r="BF136" i="28"/>
  <c r="BF148" i="28"/>
  <c r="BF160" i="28"/>
  <c r="BF172" i="28"/>
  <c r="BF184" i="28"/>
  <c r="BF196" i="28"/>
  <c r="BF208" i="28"/>
  <c r="BF220" i="28"/>
  <c r="BF232" i="28"/>
  <c r="BF244" i="28"/>
  <c r="BF256" i="28"/>
  <c r="BF30" i="28"/>
  <c r="BF54" i="28"/>
  <c r="BF66" i="28"/>
  <c r="BF78" i="28"/>
  <c r="BF90" i="28"/>
  <c r="BF102" i="28"/>
  <c r="BF114" i="28"/>
  <c r="BF126" i="28"/>
  <c r="BF138" i="28"/>
  <c r="BF150" i="28"/>
  <c r="BF162" i="28"/>
  <c r="BF174" i="28"/>
  <c r="BF186" i="28"/>
  <c r="BF198" i="28"/>
  <c r="BF210" i="28"/>
  <c r="BF222" i="28"/>
  <c r="BF234" i="28"/>
  <c r="BF246" i="28"/>
  <c r="BF258" i="28"/>
  <c r="BF43" i="28"/>
  <c r="BF55" i="28"/>
  <c r="BF67" i="28"/>
  <c r="BF79" i="28"/>
  <c r="BF91" i="28"/>
  <c r="BF103" i="28"/>
  <c r="BF115" i="28"/>
  <c r="BF127" i="28"/>
  <c r="BF139" i="28"/>
  <c r="BF151" i="28"/>
  <c r="BF163" i="28"/>
  <c r="BF175" i="28"/>
  <c r="BF187" i="28"/>
  <c r="BF199" i="28"/>
  <c r="BF211" i="28"/>
  <c r="BF223" i="28"/>
  <c r="BF235" i="28"/>
  <c r="BF247" i="28"/>
  <c r="BF259" i="28"/>
  <c r="BF32" i="28"/>
  <c r="BF29" i="28"/>
  <c r="BF41" i="28"/>
  <c r="BF53" i="28"/>
  <c r="BF65" i="28"/>
  <c r="BF77" i="28"/>
  <c r="BF89" i="28"/>
  <c r="BF101" i="28"/>
  <c r="BF113" i="28"/>
  <c r="BF125" i="28"/>
  <c r="BF137" i="28"/>
  <c r="BF149" i="28"/>
  <c r="BF161" i="28"/>
  <c r="BF173" i="28"/>
  <c r="BF185" i="28"/>
  <c r="BF197" i="28"/>
  <c r="BF209" i="28"/>
  <c r="BF221" i="28"/>
  <c r="BF233" i="28"/>
  <c r="BF245" i="28"/>
  <c r="BF257" i="28"/>
  <c r="BF42" i="28"/>
  <c r="BF31" i="28"/>
  <c r="BF44" i="28"/>
  <c r="BF56" i="28"/>
  <c r="BF68" i="28"/>
  <c r="BF80" i="28"/>
  <c r="BF92" i="28"/>
  <c r="BF104" i="28"/>
  <c r="BF116" i="28"/>
  <c r="BF128" i="28"/>
  <c r="BF140" i="28"/>
  <c r="BF152" i="28"/>
  <c r="BF164" i="28"/>
  <c r="BF176" i="28"/>
  <c r="BF188" i="28"/>
  <c r="BF200" i="28"/>
  <c r="BF212" i="28"/>
  <c r="BF224" i="28"/>
  <c r="BF236" i="28"/>
  <c r="BF248" i="28"/>
  <c r="BF260" i="28"/>
  <c r="BF33" i="28"/>
  <c r="BF45" i="28"/>
  <c r="BF57" i="28"/>
  <c r="BF69" i="28"/>
  <c r="BF81" i="28"/>
  <c r="BF93" i="28"/>
  <c r="BF105" i="28"/>
  <c r="BF117" i="28"/>
  <c r="BF129" i="28"/>
  <c r="BF141" i="28"/>
  <c r="BF153" i="28"/>
  <c r="BF165" i="28"/>
  <c r="BF177" i="28"/>
  <c r="BF189" i="28"/>
  <c r="BF201" i="28"/>
  <c r="BF213" i="28"/>
  <c r="BF225" i="28"/>
  <c r="BF237" i="28"/>
  <c r="BF249" i="28"/>
  <c r="BF261" i="28"/>
  <c r="BF60" i="28"/>
  <c r="BF96" i="28"/>
  <c r="BF108" i="28"/>
  <c r="BF144" i="28"/>
  <c r="BF180" i="28"/>
  <c r="BF216" i="28"/>
  <c r="BF252" i="28"/>
  <c r="BF34" i="28"/>
  <c r="BF46" i="28"/>
  <c r="BF58" i="28"/>
  <c r="BF70" i="28"/>
  <c r="BF82" i="28"/>
  <c r="BF94" i="28"/>
  <c r="BF106" i="28"/>
  <c r="BF118" i="28"/>
  <c r="BF130" i="28"/>
  <c r="BF142" i="28"/>
  <c r="BF154" i="28"/>
  <c r="BF166" i="28"/>
  <c r="BF178" i="28"/>
  <c r="BF190" i="28"/>
  <c r="BF202" i="28"/>
  <c r="BF214" i="28"/>
  <c r="BF226" i="28"/>
  <c r="BF238" i="28"/>
  <c r="BF250" i="28"/>
  <c r="BF262" i="28"/>
  <c r="BF36" i="28"/>
  <c r="BF72" i="28"/>
  <c r="BF120" i="28"/>
  <c r="BF156" i="28"/>
  <c r="BF192" i="28"/>
  <c r="BF240" i="28"/>
  <c r="BF35" i="28"/>
  <c r="BF47" i="28"/>
  <c r="BF59" i="28"/>
  <c r="BF71" i="28"/>
  <c r="BF83" i="28"/>
  <c r="BF95" i="28"/>
  <c r="BF107" i="28"/>
  <c r="BF119" i="28"/>
  <c r="BF131" i="28"/>
  <c r="BF143" i="28"/>
  <c r="BF155" i="28"/>
  <c r="BF167" i="28"/>
  <c r="BF179" i="28"/>
  <c r="BF191" i="28"/>
  <c r="BF203" i="28"/>
  <c r="BF215" i="28"/>
  <c r="BF227" i="28"/>
  <c r="BF239" i="28"/>
  <c r="BF251" i="28"/>
  <c r="BF263" i="28"/>
  <c r="BF48" i="28"/>
  <c r="BF84" i="28"/>
  <c r="BF132" i="28"/>
  <c r="BF168" i="28"/>
  <c r="BF204" i="28"/>
  <c r="BF228" i="28"/>
  <c r="BF264" i="28"/>
  <c r="BF37" i="28"/>
  <c r="BF49" i="28"/>
  <c r="BF61" i="28"/>
  <c r="BF73" i="28"/>
  <c r="BF85" i="28"/>
  <c r="BF97" i="28"/>
  <c r="BF109" i="28"/>
  <c r="BF121" i="28"/>
  <c r="BF133" i="28"/>
  <c r="BF145" i="28"/>
  <c r="BF157" i="28"/>
  <c r="BF169" i="28"/>
  <c r="BF181" i="28"/>
  <c r="BF193" i="28"/>
  <c r="BF205" i="28"/>
  <c r="BF217" i="28"/>
  <c r="BF229" i="28"/>
  <c r="BF241" i="28"/>
  <c r="BF253" i="28"/>
  <c r="BF265" i="28"/>
  <c r="BF38" i="28"/>
  <c r="BF50" i="28"/>
  <c r="BF62" i="28"/>
  <c r="BF74" i="28"/>
  <c r="BF86" i="28"/>
  <c r="BF98" i="28"/>
  <c r="BF110" i="28"/>
  <c r="BF122" i="28"/>
  <c r="BF134" i="28"/>
  <c r="BF146" i="28"/>
  <c r="BF158" i="28"/>
  <c r="BF170" i="28"/>
  <c r="BF182" i="28"/>
  <c r="BF194" i="28"/>
  <c r="BF206" i="28"/>
  <c r="BF218" i="28"/>
  <c r="BF230" i="28"/>
  <c r="BF242" i="28"/>
  <c r="BF254" i="28"/>
  <c r="BF26" i="28"/>
  <c r="BB38" i="28"/>
  <c r="BB50" i="28"/>
  <c r="BB62" i="28"/>
  <c r="BB74" i="28"/>
  <c r="BB86" i="28"/>
  <c r="BB98" i="28"/>
  <c r="BB110" i="28"/>
  <c r="BB40" i="28"/>
  <c r="BB52" i="28"/>
  <c r="BB76" i="28"/>
  <c r="BB88" i="28"/>
  <c r="BB112" i="28"/>
  <c r="BB41" i="28"/>
  <c r="BB89" i="28"/>
  <c r="BB113" i="28"/>
  <c r="BB27" i="28"/>
  <c r="BB39" i="28"/>
  <c r="BB51" i="28"/>
  <c r="BB63" i="28"/>
  <c r="BB75" i="28"/>
  <c r="BB87" i="28"/>
  <c r="BB99" i="28"/>
  <c r="BB111" i="28"/>
  <c r="BB28" i="28"/>
  <c r="BB64" i="28"/>
  <c r="BB100" i="28"/>
  <c r="BB29" i="28"/>
  <c r="BB53" i="28"/>
  <c r="BB65" i="28"/>
  <c r="BB77" i="28"/>
  <c r="BB101" i="28"/>
  <c r="BB42" i="28"/>
  <c r="BB102" i="28"/>
  <c r="BB31" i="28"/>
  <c r="BB43" i="28"/>
  <c r="BB55" i="28"/>
  <c r="BB67" i="28"/>
  <c r="BB79" i="28"/>
  <c r="BB91" i="28"/>
  <c r="BB103" i="28"/>
  <c r="BB115" i="28"/>
  <c r="BB58" i="28"/>
  <c r="BB82" i="28"/>
  <c r="BB106" i="28"/>
  <c r="BB59" i="28"/>
  <c r="BB95" i="28"/>
  <c r="BB119" i="28"/>
  <c r="BB37" i="28"/>
  <c r="BB97" i="28"/>
  <c r="BB114" i="28"/>
  <c r="BB32" i="28"/>
  <c r="BB44" i="28"/>
  <c r="BB56" i="28"/>
  <c r="BB68" i="28"/>
  <c r="BB80" i="28"/>
  <c r="BB92" i="28"/>
  <c r="BB104" i="28"/>
  <c r="BB116" i="28"/>
  <c r="BB34" i="28"/>
  <c r="BB70" i="28"/>
  <c r="BB94" i="28"/>
  <c r="BB118" i="28"/>
  <c r="BB71" i="28"/>
  <c r="BB73" i="28"/>
  <c r="BB66" i="28"/>
  <c r="BB33" i="28"/>
  <c r="BB45" i="28"/>
  <c r="BB57" i="28"/>
  <c r="BB69" i="28"/>
  <c r="BB81" i="28"/>
  <c r="BB93" i="28"/>
  <c r="BB105" i="28"/>
  <c r="BB117" i="28"/>
  <c r="BB35" i="28"/>
  <c r="BB83" i="28"/>
  <c r="BB107" i="28"/>
  <c r="BB61" i="28"/>
  <c r="BB121" i="28"/>
  <c r="BB30" i="28"/>
  <c r="BB46" i="28"/>
  <c r="BB47" i="28"/>
  <c r="BB26" i="28"/>
  <c r="BB49" i="28"/>
  <c r="BB109" i="28"/>
  <c r="BB78" i="28"/>
  <c r="BB85" i="28"/>
  <c r="BB54" i="28"/>
  <c r="BB36" i="28"/>
  <c r="BB48" i="28"/>
  <c r="BB60" i="28"/>
  <c r="BB72" i="28"/>
  <c r="BB84" i="28"/>
  <c r="BB96" i="28"/>
  <c r="BB108" i="28"/>
  <c r="BB120" i="28"/>
  <c r="BB90" i="28"/>
  <c r="H18" i="28"/>
  <c r="H24" i="28"/>
  <c r="H22" i="28"/>
  <c r="H20" i="28"/>
  <c r="J25" i="28"/>
  <c r="R9" i="28"/>
  <c r="V5" i="28"/>
  <c r="U5" i="28"/>
  <c r="U6" i="28"/>
  <c r="U4" i="28"/>
  <c r="V3" i="28"/>
  <c r="V7" i="28"/>
  <c r="V6" i="28"/>
  <c r="V4" i="28"/>
  <c r="S25" i="28" l="1"/>
  <c r="O25" i="28"/>
  <c r="R17" i="28"/>
  <c r="R19" i="28"/>
  <c r="BD18" i="28"/>
  <c r="BC20" i="28"/>
  <c r="AV20" i="28" s="1"/>
  <c r="AQ23" i="28"/>
  <c r="H25" i="28"/>
  <c r="AY20" i="28"/>
  <c r="BA20" i="28"/>
  <c r="BF18" i="28"/>
  <c r="BE20" i="28"/>
  <c r="AV22" i="28" s="1"/>
  <c r="W7" i="28"/>
  <c r="W3" i="28"/>
  <c r="U3" i="28"/>
  <c r="U7" i="28"/>
  <c r="W6" i="28" l="1"/>
  <c r="W5" i="28"/>
  <c r="W4" i="28"/>
  <c r="L25" i="28"/>
  <c r="R60" i="28" l="1"/>
  <c r="U6" i="30"/>
  <c r="BE8" i="30" s="1"/>
  <c r="V6" i="30"/>
  <c r="BF8" i="30" s="1"/>
  <c r="BF11" i="30" l="1"/>
  <c r="BF10" i="30"/>
  <c r="BE11" i="30"/>
  <c r="BE10" i="30"/>
  <c r="BF12" i="30"/>
  <c r="BE12" i="30"/>
  <c r="AV16" i="28"/>
  <c r="AZ18" i="28"/>
  <c r="BB18" i="28"/>
  <c r="AV18" i="2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<sst xmlns="http://schemas.openxmlformats.org/spreadsheetml/2006/main" count="203" uniqueCount="137">
  <si>
    <t>Months</t>
  </si>
  <si>
    <t>Term (in Years)</t>
  </si>
  <si>
    <t>Inflation Rate (%)</t>
  </si>
  <si>
    <t>Goal Calculator</t>
  </si>
  <si>
    <t>Goal One Amount (Rs.)</t>
  </si>
  <si>
    <t>Delay in Investment</t>
  </si>
  <si>
    <t>Monthly Investment (Rs.)</t>
  </si>
  <si>
    <t xml:space="preserve">Total Investment (SIP or One-time) : </t>
  </si>
  <si>
    <t>Inflation Adjusted Amount (Rs.)</t>
  </si>
  <si>
    <t>Marriage</t>
  </si>
  <si>
    <t>Retirement</t>
  </si>
  <si>
    <t>One-time Investment (Rs.)</t>
  </si>
  <si>
    <t>Goal plan prepared for :</t>
  </si>
  <si>
    <t>Years (Age)</t>
  </si>
  <si>
    <t>Current Corpus</t>
  </si>
  <si>
    <t>Unassigned Corpus</t>
  </si>
  <si>
    <t>Corpus Amount Assigned</t>
  </si>
  <si>
    <t>Education</t>
  </si>
  <si>
    <t>House</t>
  </si>
  <si>
    <t>Masters</t>
  </si>
  <si>
    <t>Exp. Returns Long Term (%)</t>
  </si>
  <si>
    <t>Exp. Returns Short Term (%)</t>
  </si>
  <si>
    <t>Exp. Return %</t>
  </si>
  <si>
    <t>Short Term &lt;= 5 years.</t>
  </si>
  <si>
    <t>Balance 1-time investment</t>
  </si>
  <si>
    <t>Goal 1</t>
  </si>
  <si>
    <t>Goal 2</t>
  </si>
  <si>
    <t>Goal 3</t>
  </si>
  <si>
    <t>Goal 4</t>
  </si>
  <si>
    <t>Goal 5</t>
  </si>
  <si>
    <t>Check Years</t>
  </si>
  <si>
    <t>In 10 Years : (Age:53 - 2035)</t>
  </si>
  <si>
    <t>In 8 Years : (Age:51 - 2033)</t>
  </si>
  <si>
    <t>ST</t>
  </si>
  <si>
    <t>LT</t>
  </si>
  <si>
    <t>Table to Use for Document</t>
  </si>
  <si>
    <t>Total</t>
  </si>
  <si>
    <t>XIRR</t>
  </si>
  <si>
    <t>House1</t>
  </si>
  <si>
    <t>House2</t>
  </si>
  <si>
    <t xml:space="preserve">Total Investment per Month : </t>
  </si>
  <si>
    <t>* For Educational Purposes Only</t>
  </si>
  <si>
    <t>* For Educational Purposes Only.</t>
  </si>
  <si>
    <t>SIP</t>
  </si>
  <si>
    <t>One-Time</t>
  </si>
  <si>
    <t>Corpus</t>
  </si>
  <si>
    <t>Goal</t>
  </si>
  <si>
    <t>Eff_ST</t>
  </si>
  <si>
    <t>Eff_LT</t>
  </si>
  <si>
    <t>Corpus_Yld</t>
  </si>
  <si>
    <t>Max Goal Years</t>
  </si>
  <si>
    <t>Balance Corpus Value at Max Goal Term</t>
  </si>
  <si>
    <t>In 5 Years : (Age:48 - 2030)</t>
  </si>
  <si>
    <t>In 12 Years : (Age:55 - 2037)</t>
  </si>
  <si>
    <t>Sorted Table</t>
  </si>
  <si>
    <t>Capital Gains Tax Rate</t>
  </si>
  <si>
    <t>Car</t>
  </si>
  <si>
    <t>In 25 Years : (Age:68 - 2050)</t>
  </si>
  <si>
    <t>In 11 Years : (Age:54 - 2036)</t>
  </si>
  <si>
    <t>SIP with Tax</t>
  </si>
  <si>
    <t>OT with Tax</t>
  </si>
  <si>
    <t>C. Value @ Term</t>
  </si>
  <si>
    <t>C. Value at Term</t>
  </si>
  <si>
    <t>Post Tax</t>
  </si>
  <si>
    <t>Bal. Goal</t>
  </si>
  <si>
    <t>Bal. OT Req.</t>
  </si>
  <si>
    <t>Corpus Assigned</t>
  </si>
  <si>
    <t>Bal. SIP Req</t>
  </si>
  <si>
    <t>Gain w/o Tax</t>
  </si>
  <si>
    <t>Value w/o Tax</t>
  </si>
  <si>
    <t>Tax</t>
  </si>
  <si>
    <t>Net</t>
  </si>
  <si>
    <t>Bal</t>
  </si>
  <si>
    <t>Cap Gain</t>
  </si>
  <si>
    <t>Gains</t>
  </si>
  <si>
    <t>Verify</t>
  </si>
  <si>
    <t>OT</t>
  </si>
  <si>
    <t xml:space="preserve">Bal </t>
  </si>
  <si>
    <t>Total Investment</t>
  </si>
  <si>
    <t>Req. OT investment</t>
  </si>
  <si>
    <t>Gain OT</t>
  </si>
  <si>
    <t>Tax OT</t>
  </si>
  <si>
    <t>Gain SIP</t>
  </si>
  <si>
    <t>C. Bal Calcs</t>
  </si>
  <si>
    <t>CorpusGain</t>
  </si>
  <si>
    <t>Sorted Table for Graph</t>
  </si>
  <si>
    <t>SIPRate</t>
  </si>
  <si>
    <t>Cyld</t>
  </si>
  <si>
    <t>In 6 Years : (Age:49 - 2031)</t>
  </si>
  <si>
    <t>SIP Investment 
Cost of Delay (Rs.)</t>
  </si>
  <si>
    <t>SIP Gain</t>
  </si>
  <si>
    <t>SIP Investment</t>
  </si>
  <si>
    <t>SIP Final Corpus</t>
  </si>
  <si>
    <t>OT Tax</t>
  </si>
  <si>
    <t>OT Gain</t>
  </si>
  <si>
    <t>Corpus Maturity Value in 25 Years</t>
  </si>
  <si>
    <t>Corpus Req</t>
  </si>
  <si>
    <t>Mrs. Arathi Shanmugam</t>
  </si>
  <si>
    <t>Janardhan</t>
  </si>
  <si>
    <t>Goal Amount: Rs. 5,00,00,000</t>
  </si>
  <si>
    <t>Goal Amount: Rs. 48,00,000</t>
  </si>
  <si>
    <t>Goal Amount: Rs. 13,00,00,000</t>
  </si>
  <si>
    <t>Goal Amount: Rs. 50,00,000</t>
  </si>
  <si>
    <t>Goal Amount: Rs. 80,00,000</t>
  </si>
  <si>
    <t>SIP per Month: Rs. 18,139</t>
  </si>
  <si>
    <t>Lumpsum Amount: Rs. 15,18,882</t>
  </si>
  <si>
    <t>Loss due to Delay: Rs. 72,45,280</t>
  </si>
  <si>
    <t>SIP per Month: Rs. 3,46,027</t>
  </si>
  <si>
    <t>Lumpsum Amount: Rs. 2,42,97,930</t>
  </si>
  <si>
    <t>Loss due to Delay: Rs. 2,24,64,202</t>
  </si>
  <si>
    <t>SIP per Month: Rs. 19,010</t>
  </si>
  <si>
    <t>Lumpsum Amount: Rs. 12,35,924</t>
  </si>
  <si>
    <t>Loss due to Delay: Rs. 9,33,188</t>
  </si>
  <si>
    <t>SIP per Month: Rs. 44,989</t>
  </si>
  <si>
    <t>Lumpsum Amount: Rs. 26,15,214</t>
  </si>
  <si>
    <t>Loss due to Delay: Rs. 16,69,934</t>
  </si>
  <si>
    <t>SIP per Month: Rs. 67,041</t>
  </si>
  <si>
    <t>Lumpsum Amount: Rs. 34,22,334</t>
  </si>
  <si>
    <t>Loss due to Delay: Rs. 11,81,966</t>
  </si>
  <si>
    <t>Goal Amount (Infl.): Rs. 10,46,88,896</t>
  </si>
  <si>
    <t>SIP per Month: Rs. 68,562</t>
  </si>
  <si>
    <t>Lumpsum Amount: Rs. 69,79,234</t>
  </si>
  <si>
    <t>Goal Amount (Infl.): Rs. 60,90,62,903</t>
  </si>
  <si>
    <t>SIP per Month: Rs. 24,63,589</t>
  </si>
  <si>
    <t>Lumpsum Amount: Rs. 19,22,10,338</t>
  </si>
  <si>
    <t>Goal Amount (Infl.): Rs. 2,68,78,32,759</t>
  </si>
  <si>
    <t>SIP per Month: Rs. 1,27,36,648</t>
  </si>
  <si>
    <t>Lumpsum Amount: Rs. 94,55,48,622</t>
  </si>
  <si>
    <t>Goal Amount (Infl.): Rs. 47,76,209</t>
  </si>
  <si>
    <t>SIP per Month: Rs. 47,929</t>
  </si>
  <si>
    <t>Lumpsum Amount: Rs. 25,78,815</t>
  </si>
  <si>
    <t>Goal Amount (Infl.): Rs. 55,64,516</t>
  </si>
  <si>
    <t>SIP per Month: Rs. 79,325</t>
  </si>
  <si>
    <t>Lumpsum Amount: Rs. 41,15,057</t>
  </si>
  <si>
    <t>Rs. 1,08,34,70,594</t>
  </si>
  <si>
    <t>© Copyright Nivra Fintech LLC, India</t>
  </si>
  <si>
    <t>© CopyrightNivra Fintech LLC, Hyderabad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</si>
</sst>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₹&quot;\ #,##0;[Red]&quot;₹&quot;\ \-#,##0"/>
    <numFmt numFmtId="8" formatCode="&quot;₹&quot;\ #,##0.00;[Red]&quot;₹&quot;\ \-#,##0.00"/>
    <numFmt numFmtId="43" formatCode="_ * #,##0.00_ ;_ * \-#,##0.00_ ;_ * &quot;-&quot;??_ ;_ @_ "/>
    <numFmt numFmtId="164" formatCode="_(* #,##0.00_);_(* \(#,##0.00\);_(* &quot;-&quot;??_);_(@_)"/>
    <numFmt numFmtId="165" formatCode="[&gt;=10000000]#\,##\,##\,##0;[&gt;=100000]##\,##\,##0;##,##0"/>
    <numFmt numFmtId="166" formatCode="_(* #,##0_);_(* \(#,##0\);_(* &quot;-&quot;??_);_(@_)"/>
    <numFmt numFmtId="167" formatCode="_ [$₹-4009]\ * #,##0_ ;_ [$₹-4009]\ * \-#,##0_ ;_ [$₹-4009]\ * &quot;-&quot;_ ;_ @_ "/>
    <numFmt numFmtId="168" formatCode="&quot;&lt;=&quot;\ #\ &quot;years&quot;"/>
    <numFmt numFmtId="169" formatCode="_ [$₹-4009]\ * #,##0.00_ ;_ [$₹-4009]\ * \-#,##0.00_ ;_ [$₹-4009]\ * &quot;-&quot;_ ;_ @_ "/>
    <numFmt numFmtId="170" formatCode="_ [$₹-4009]\ * #,##0.00_ ;_ [$₹-4009]\ * \-#,##0.00_ ;_ [$₹-4009]\ * &quot;-&quot;??_ ;_ @_ "/>
    <numFmt numFmtId="171" formatCode="_ [$₹-4009]\ * #,##0_ ;_ [$₹-4009]\ * \-#,##0_ ;_ [$₹-4009]\ * &quot;-&quot;??_ ;_ @_ "/>
    <numFmt numFmtId="172" formatCode="_(* #,##0.000_);_(* \(#,##0.000\);_(* &quot;-&quot;??_);_(@_)"/>
  </numFmts>
  <fonts count="37" x14ac:knownFonts="1">
    <font>
      <sz val="10"/>
      <name val="Arial"/>
    </font>
    <font>
      <sz val="10"/>
      <name val="Arial"/>
      <family val="2"/>
    </font>
    <font>
      <sz val="10"/>
      <color rgb="FFFFFF00"/>
      <name val="Arial"/>
      <family val="2"/>
    </font>
    <font>
      <b/>
      <sz val="10"/>
      <color rgb="FFFF0000"/>
      <name val="Arial"/>
      <family val="2"/>
    </font>
    <font>
      <b/>
      <sz val="12"/>
      <name val="Arial"/>
      <family val="2"/>
    </font>
    <font>
      <b/>
      <i/>
      <sz val="10"/>
      <color rgb="FFFF0000"/>
      <name val="Arial"/>
      <family val="2"/>
    </font>
    <font>
      <i/>
      <sz val="10"/>
      <name val="Arial"/>
      <family val="2"/>
    </font>
    <font>
      <sz val="10"/>
      <color theme="8" tint="-0.499984740745262"/>
      <name val="Arial"/>
      <family val="2"/>
    </font>
    <font>
      <b/>
      <sz val="12"/>
      <color rgb="FFFFFF00"/>
      <name val="Arial"/>
      <family val="2"/>
    </font>
    <font>
      <sz val="10"/>
      <color rgb="FF000000"/>
      <name val="Arial"/>
      <family val="2"/>
    </font>
    <font>
      <b/>
      <sz val="10"/>
      <color rgb="FF0070C0"/>
      <name val="Arial"/>
      <family val="2"/>
    </font>
    <font>
      <b/>
      <sz val="10"/>
      <color rgb="FF7030A0"/>
      <name val="Arial"/>
      <family val="2"/>
    </font>
    <font>
      <b/>
      <sz val="10"/>
      <color rgb="FF00B050"/>
      <name val="Arial"/>
      <family val="2"/>
    </font>
    <font>
      <sz val="10"/>
      <color rgb="FF0070C0"/>
      <name val="Arial"/>
      <family val="2"/>
    </font>
    <font>
      <b/>
      <sz val="10"/>
      <name val="Arial"/>
      <family val="2"/>
    </font>
    <font>
      <b/>
      <sz val="10"/>
      <color rgb="FFFFFF00"/>
      <name val="Arial"/>
      <family val="2"/>
    </font>
    <font>
      <b/>
      <i/>
      <sz val="10"/>
      <color rgb="FFFFFF00"/>
      <name val="Arial"/>
      <family val="2"/>
    </font>
    <font>
      <i/>
      <sz val="10"/>
      <color rgb="FFFF0000"/>
      <name val="Arial"/>
      <family val="2"/>
    </font>
    <font>
      <b/>
      <sz val="10"/>
      <color rgb="FFE26B0A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b/>
      <sz val="10"/>
      <color theme="9" tint="-0.499984740745262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  <font>
      <b/>
      <i/>
      <sz val="10"/>
      <color theme="9" tint="-0.499984740745262"/>
      <name val="Arial"/>
      <family val="2"/>
    </font>
    <font>
      <i/>
      <sz val="9"/>
      <color rgb="FFFF0000"/>
      <name val="Arial"/>
      <family val="2"/>
    </font>
    <font>
      <b/>
      <sz val="9"/>
      <name val="Arial"/>
      <family val="2"/>
    </font>
    <font>
      <i/>
      <sz val="8"/>
      <color rgb="FFFF0000"/>
      <name val="Arial"/>
      <family val="2"/>
    </font>
    <font>
      <b/>
      <sz val="10"/>
      <color rgb="FFD274AA"/>
      <name val="Arial"/>
      <family val="2"/>
    </font>
    <font>
      <b/>
      <sz val="8"/>
      <name val="Arial"/>
      <family val="2"/>
    </font>
    <font>
      <sz val="10"/>
      <color theme="8" tint="-0.249977111117893"/>
      <name val="Arial"/>
      <family val="2"/>
    </font>
    <font>
      <sz val="10"/>
      <color theme="1"/>
      <name val="Arial"/>
      <family val="2"/>
    </font>
    <font>
      <i/>
      <sz val="8"/>
      <color rgb="FF00B0F0"/>
      <name val="Arial"/>
      <family val="2"/>
    </font>
    <font>
      <sz val="9"/>
      <color rgb="FFFF0000"/>
      <name val="Arial"/>
      <family val="2"/>
    </font>
    <font>
      <b/>
      <sz val="10"/>
      <color rgb="FFC00000"/>
      <name val="Arial"/>
      <family val="2"/>
    </font>
    <font>
      <sz val="9"/>
      <name val="Arial"/>
      <family val="2"/>
    </font>
    <font>
      <sz val="9"/>
      <color rgb="FFC00000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32869B"/>
        <bgColor indexed="64"/>
      </patternFill>
    </fill>
    <fill>
      <patternFill patternType="solid">
        <fgColor rgb="FF77933C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rgb="FFFFC100"/>
        <bgColor indexed="64"/>
      </patternFill>
    </fill>
    <fill>
      <patternFill patternType="solid">
        <fgColor rgb="FF00B0EF"/>
        <bgColor indexed="64"/>
      </patternFill>
    </fill>
    <fill>
      <patternFill patternType="solid">
        <fgColor rgb="FFC4D9F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1DC4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1" fillId="0" borderId="0"/>
    <xf numFmtId="164" fontId="19" fillId="0" borderId="0" applyFont="0" applyFill="0" applyBorder="0" applyAlignment="0" applyProtection="0"/>
    <xf numFmtId="9" fontId="23" fillId="0" borderId="0" applyFont="0" applyFill="0" applyBorder="0" applyAlignment="0" applyProtection="0"/>
  </cellStyleXfs>
  <cellXfs count="213">
    <xf numFmtId="0" fontId="0" fillId="0" borderId="0" xfId="0"/>
    <xf numFmtId="0" fontId="1" fillId="0" borderId="0" xfId="1" applyAlignment="1" applyProtection="1">
      <alignment vertical="center"/>
      <protection hidden="1"/>
    </xf>
    <xf numFmtId="0" fontId="1" fillId="4" borderId="0" xfId="1" applyFill="1" applyAlignment="1" applyProtection="1">
      <alignment vertical="center"/>
      <protection hidden="1"/>
    </xf>
    <xf numFmtId="0" fontId="4" fillId="4" borderId="0" xfId="1" applyFont="1" applyFill="1" applyAlignment="1" applyProtection="1">
      <alignment vertical="center"/>
      <protection hidden="1"/>
    </xf>
    <xf numFmtId="0" fontId="4" fillId="4" borderId="0" xfId="1" applyFont="1" applyFill="1" applyAlignment="1" applyProtection="1">
      <alignment horizontal="center" vertical="center"/>
      <protection hidden="1"/>
    </xf>
    <xf numFmtId="0" fontId="1" fillId="4" borderId="0" xfId="1" applyFill="1" applyAlignment="1" applyProtection="1">
      <alignment horizontal="center" vertical="center" wrapText="1"/>
      <protection hidden="1"/>
    </xf>
    <xf numFmtId="0" fontId="1" fillId="0" borderId="0" xfId="1" applyAlignment="1" applyProtection="1">
      <alignment horizontal="center" vertical="center" wrapText="1"/>
      <protection hidden="1"/>
    </xf>
    <xf numFmtId="0" fontId="6" fillId="4" borderId="0" xfId="1" applyFont="1" applyFill="1" applyAlignment="1" applyProtection="1">
      <alignment vertical="center"/>
      <protection hidden="1"/>
    </xf>
    <xf numFmtId="0" fontId="1" fillId="0" borderId="0" xfId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7" xfId="0" applyBorder="1" applyProtection="1">
      <protection locked="0"/>
    </xf>
    <xf numFmtId="0" fontId="1" fillId="0" borderId="3" xfId="1" applyBorder="1" applyAlignment="1" applyProtection="1">
      <alignment vertical="center"/>
      <protection locked="0"/>
    </xf>
    <xf numFmtId="0" fontId="7" fillId="6" borderId="1" xfId="1" applyFont="1" applyFill="1" applyBorder="1" applyAlignment="1" applyProtection="1">
      <alignment vertical="center"/>
      <protection locked="0"/>
    </xf>
    <xf numFmtId="0" fontId="10" fillId="0" borderId="0" xfId="0" applyFont="1" applyProtection="1">
      <protection locked="0"/>
    </xf>
    <xf numFmtId="0" fontId="11" fillId="0" borderId="0" xfId="0" applyFont="1" applyProtection="1">
      <protection locked="0"/>
    </xf>
    <xf numFmtId="0" fontId="12" fillId="0" borderId="0" xfId="0" applyFont="1" applyProtection="1">
      <protection locked="0"/>
    </xf>
    <xf numFmtId="49" fontId="1" fillId="0" borderId="0" xfId="1" applyNumberFormat="1" applyAlignment="1" applyProtection="1">
      <alignment vertical="center"/>
      <protection locked="0"/>
    </xf>
    <xf numFmtId="165" fontId="0" fillId="0" borderId="0" xfId="0" applyNumberFormat="1" applyProtection="1">
      <protection locked="0"/>
    </xf>
    <xf numFmtId="0" fontId="3" fillId="4" borderId="0" xfId="1" applyFont="1" applyFill="1" applyAlignment="1" applyProtection="1">
      <alignment vertical="center"/>
      <protection hidden="1"/>
    </xf>
    <xf numFmtId="0" fontId="0" fillId="0" borderId="3" xfId="0" applyBorder="1" applyProtection="1">
      <protection locked="0"/>
    </xf>
    <xf numFmtId="165" fontId="1" fillId="0" borderId="0" xfId="0" applyNumberFormat="1" applyFont="1" applyProtection="1">
      <protection locked="0"/>
    </xf>
    <xf numFmtId="0" fontId="1" fillId="0" borderId="5" xfId="1" applyBorder="1" applyAlignment="1" applyProtection="1">
      <alignment vertical="center"/>
      <protection locked="0"/>
    </xf>
    <xf numFmtId="0" fontId="1" fillId="0" borderId="6" xfId="1" applyBorder="1" applyAlignment="1" applyProtection="1">
      <alignment vertical="center"/>
      <protection locked="0"/>
    </xf>
    <xf numFmtId="0" fontId="1" fillId="0" borderId="8" xfId="1" applyBorder="1" applyAlignment="1" applyProtection="1">
      <alignment vertical="center"/>
      <protection locked="0"/>
    </xf>
    <xf numFmtId="0" fontId="1" fillId="0" borderId="0" xfId="1" applyAlignment="1" applyProtection="1">
      <alignment horizontal="center" vertical="center" wrapText="1"/>
      <protection locked="0"/>
    </xf>
    <xf numFmtId="0" fontId="1" fillId="0" borderId="8" xfId="1" applyBorder="1" applyAlignment="1" applyProtection="1">
      <alignment horizontal="center" vertical="center" wrapText="1"/>
      <protection locked="0"/>
    </xf>
    <xf numFmtId="0" fontId="0" fillId="0" borderId="8" xfId="0" applyBorder="1" applyProtection="1">
      <protection locked="0"/>
    </xf>
    <xf numFmtId="0" fontId="1" fillId="0" borderId="10" xfId="1" applyBorder="1" applyAlignment="1" applyProtection="1">
      <alignment vertical="center"/>
      <protection locked="0"/>
    </xf>
    <xf numFmtId="0" fontId="13" fillId="0" borderId="0" xfId="1" applyFont="1" applyAlignment="1" applyProtection="1">
      <alignment vertical="center"/>
      <protection locked="0"/>
    </xf>
    <xf numFmtId="0" fontId="9" fillId="0" borderId="0" xfId="1" applyFont="1" applyAlignment="1" applyProtection="1">
      <alignment vertical="center"/>
      <protection locked="0"/>
    </xf>
    <xf numFmtId="0" fontId="1" fillId="4" borderId="0" xfId="1" applyFill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" fillId="3" borderId="0" xfId="1" applyFill="1" applyAlignment="1" applyProtection="1">
      <alignment vertical="center"/>
      <protection locked="0" hidden="1"/>
    </xf>
    <xf numFmtId="0" fontId="1" fillId="7" borderId="0" xfId="1" applyFill="1" applyAlignment="1" applyProtection="1">
      <alignment horizontal="center" vertical="center"/>
      <protection locked="0" hidden="1"/>
    </xf>
    <xf numFmtId="0" fontId="9" fillId="4" borderId="0" xfId="1" applyFont="1" applyFill="1" applyAlignment="1" applyProtection="1">
      <alignment vertical="center"/>
      <protection hidden="1"/>
    </xf>
    <xf numFmtId="0" fontId="10" fillId="4" borderId="0" xfId="1" applyFont="1" applyFill="1" applyAlignment="1" applyProtection="1">
      <alignment vertical="center"/>
      <protection hidden="1"/>
    </xf>
    <xf numFmtId="0" fontId="1" fillId="0" borderId="0" xfId="1" applyAlignment="1" applyProtection="1">
      <alignment vertical="center"/>
      <protection locked="0" hidden="1"/>
    </xf>
    <xf numFmtId="0" fontId="1" fillId="0" borderId="0" xfId="0" applyFont="1" applyProtection="1">
      <protection locked="0"/>
    </xf>
    <xf numFmtId="0" fontId="18" fillId="0" borderId="0" xfId="0" applyFont="1" applyProtection="1">
      <protection locked="0"/>
    </xf>
    <xf numFmtId="0" fontId="10" fillId="0" borderId="0" xfId="1" applyFont="1" applyAlignment="1" applyProtection="1">
      <alignment vertical="center"/>
      <protection locked="0"/>
    </xf>
    <xf numFmtId="0" fontId="3" fillId="0" borderId="5" xfId="1" applyFont="1" applyBorder="1" applyAlignment="1" applyProtection="1">
      <alignment vertical="center"/>
      <protection locked="0"/>
    </xf>
    <xf numFmtId="167" fontId="15" fillId="8" borderId="2" xfId="1" applyNumberFormat="1" applyFont="1" applyFill="1" applyBorder="1" applyAlignment="1" applyProtection="1">
      <alignment vertical="center"/>
      <protection hidden="1"/>
    </xf>
    <xf numFmtId="167" fontId="16" fillId="15" borderId="12" xfId="1" applyNumberFormat="1" applyFont="1" applyFill="1" applyBorder="1" applyAlignment="1" applyProtection="1">
      <alignment vertical="center"/>
      <protection hidden="1"/>
    </xf>
    <xf numFmtId="0" fontId="21" fillId="0" borderId="0" xfId="1" applyFont="1" applyAlignment="1" applyProtection="1">
      <alignment vertical="center"/>
      <protection locked="0"/>
    </xf>
    <xf numFmtId="0" fontId="1" fillId="4" borderId="0" xfId="1" applyFill="1" applyAlignment="1" applyProtection="1">
      <alignment vertical="center"/>
      <protection locked="0" hidden="1"/>
    </xf>
    <xf numFmtId="0" fontId="22" fillId="4" borderId="0" xfId="1" applyFont="1" applyFill="1" applyAlignment="1" applyProtection="1">
      <alignment vertical="center"/>
      <protection hidden="1"/>
    </xf>
    <xf numFmtId="0" fontId="4" fillId="4" borderId="0" xfId="1" applyFont="1" applyFill="1" applyAlignment="1" applyProtection="1">
      <alignment vertical="center"/>
      <protection locked="0" hidden="1"/>
    </xf>
    <xf numFmtId="165" fontId="15" fillId="8" borderId="2" xfId="1" applyNumberFormat="1" applyFont="1" applyFill="1" applyBorder="1" applyAlignment="1" applyProtection="1">
      <alignment vertical="center"/>
      <protection locked="0" hidden="1"/>
    </xf>
    <xf numFmtId="0" fontId="1" fillId="7" borderId="0" xfId="1" applyFill="1" applyAlignment="1" applyProtection="1">
      <alignment horizontal="center" vertical="center"/>
      <protection locked="0"/>
    </xf>
    <xf numFmtId="0" fontId="5" fillId="4" borderId="0" xfId="1" applyFont="1" applyFill="1" applyAlignment="1" applyProtection="1">
      <alignment vertical="center"/>
      <protection hidden="1"/>
    </xf>
    <xf numFmtId="0" fontId="24" fillId="0" borderId="5" xfId="0" applyFont="1" applyBorder="1" applyAlignment="1" applyProtection="1">
      <alignment vertical="center"/>
      <protection locked="0"/>
    </xf>
    <xf numFmtId="0" fontId="25" fillId="0" borderId="9" xfId="0" applyFont="1" applyBorder="1" applyProtection="1">
      <protection locked="0"/>
    </xf>
    <xf numFmtId="0" fontId="4" fillId="4" borderId="0" xfId="1" applyFont="1" applyFill="1" applyAlignment="1" applyProtection="1">
      <alignment vertical="center"/>
      <protection locked="0"/>
    </xf>
    <xf numFmtId="0" fontId="14" fillId="0" borderId="0" xfId="1" applyFont="1" applyAlignment="1" applyProtection="1">
      <alignment horizontal="center" vertical="center"/>
      <protection hidden="1"/>
    </xf>
    <xf numFmtId="0" fontId="14" fillId="0" borderId="0" xfId="0" applyFont="1" applyAlignment="1">
      <alignment horizontal="center"/>
    </xf>
    <xf numFmtId="49" fontId="2" fillId="9" borderId="13" xfId="1" applyNumberFormat="1" applyFont="1" applyFill="1" applyBorder="1" applyAlignment="1" applyProtection="1">
      <alignment vertical="center"/>
      <protection locked="0" hidden="1"/>
    </xf>
    <xf numFmtId="167" fontId="1" fillId="3" borderId="13" xfId="1" applyNumberFormat="1" applyFill="1" applyBorder="1" applyAlignment="1" applyProtection="1">
      <alignment vertical="center"/>
      <protection locked="0" hidden="1"/>
    </xf>
    <xf numFmtId="0" fontId="1" fillId="7" borderId="13" xfId="1" applyFill="1" applyBorder="1" applyAlignment="1" applyProtection="1">
      <alignment horizontal="center" vertical="center"/>
      <protection locked="0" hidden="1"/>
    </xf>
    <xf numFmtId="0" fontId="4" fillId="4" borderId="13" xfId="1" applyFont="1" applyFill="1" applyBorder="1" applyAlignment="1" applyProtection="1">
      <alignment vertical="center"/>
      <protection hidden="1"/>
    </xf>
    <xf numFmtId="167" fontId="2" fillId="9" borderId="13" xfId="1" applyNumberFormat="1" applyFont="1" applyFill="1" applyBorder="1" applyAlignment="1" applyProtection="1">
      <alignment vertical="center"/>
      <protection hidden="1"/>
    </xf>
    <xf numFmtId="0" fontId="2" fillId="10" borderId="13" xfId="1" applyFont="1" applyFill="1" applyBorder="1" applyAlignment="1" applyProtection="1">
      <alignment vertical="center"/>
      <protection locked="0" hidden="1"/>
    </xf>
    <xf numFmtId="167" fontId="2" fillId="10" borderId="13" xfId="1" applyNumberFormat="1" applyFont="1" applyFill="1" applyBorder="1" applyAlignment="1" applyProtection="1">
      <alignment vertical="center"/>
      <protection hidden="1"/>
    </xf>
    <xf numFmtId="0" fontId="2" fillId="11" borderId="13" xfId="1" applyFont="1" applyFill="1" applyBorder="1" applyAlignment="1" applyProtection="1">
      <alignment vertical="center"/>
      <protection locked="0" hidden="1"/>
    </xf>
    <xf numFmtId="167" fontId="2" fillId="11" borderId="13" xfId="1" applyNumberFormat="1" applyFont="1" applyFill="1" applyBorder="1" applyAlignment="1" applyProtection="1">
      <alignment vertical="center"/>
      <protection hidden="1"/>
    </xf>
    <xf numFmtId="0" fontId="2" fillId="12" borderId="13" xfId="1" applyFont="1" applyFill="1" applyBorder="1" applyAlignment="1" applyProtection="1">
      <alignment vertical="center"/>
      <protection locked="0" hidden="1"/>
    </xf>
    <xf numFmtId="167" fontId="2" fillId="12" borderId="13" xfId="1" applyNumberFormat="1" applyFont="1" applyFill="1" applyBorder="1" applyAlignment="1" applyProtection="1">
      <alignment vertical="center"/>
      <protection hidden="1"/>
    </xf>
    <xf numFmtId="0" fontId="2" fillId="13" borderId="13" xfId="1" applyFont="1" applyFill="1" applyBorder="1" applyAlignment="1" applyProtection="1">
      <alignment vertical="center"/>
      <protection locked="0" hidden="1"/>
    </xf>
    <xf numFmtId="167" fontId="2" fillId="13" borderId="13" xfId="1" applyNumberFormat="1" applyFont="1" applyFill="1" applyBorder="1" applyAlignment="1" applyProtection="1">
      <alignment vertical="center"/>
      <protection hidden="1"/>
    </xf>
    <xf numFmtId="10" fontId="7" fillId="3" borderId="14" xfId="1" applyNumberFormat="1" applyFont="1" applyFill="1" applyBorder="1" applyAlignment="1" applyProtection="1">
      <alignment vertical="center"/>
      <protection locked="0" hidden="1"/>
    </xf>
    <xf numFmtId="10" fontId="7" fillId="3" borderId="14" xfId="0" applyNumberFormat="1" applyFont="1" applyFill="1" applyBorder="1" applyAlignment="1" applyProtection="1">
      <alignment vertical="center"/>
      <protection locked="0" hidden="1"/>
    </xf>
    <xf numFmtId="0" fontId="0" fillId="3" borderId="14" xfId="0" applyFill="1" applyBorder="1" applyAlignment="1" applyProtection="1">
      <alignment horizontal="center" vertical="center"/>
      <protection locked="0" hidden="1"/>
    </xf>
    <xf numFmtId="167" fontId="17" fillId="2" borderId="14" xfId="1" applyNumberFormat="1" applyFont="1" applyFill="1" applyBorder="1" applyAlignment="1" applyProtection="1">
      <alignment vertical="center"/>
      <protection hidden="1"/>
    </xf>
    <xf numFmtId="167" fontId="1" fillId="3" borderId="14" xfId="1" applyNumberFormat="1" applyFill="1" applyBorder="1" applyAlignment="1" applyProtection="1">
      <alignment vertical="center"/>
      <protection locked="0"/>
    </xf>
    <xf numFmtId="10" fontId="7" fillId="3" borderId="14" xfId="1" applyNumberFormat="1" applyFont="1" applyFill="1" applyBorder="1" applyAlignment="1" applyProtection="1">
      <alignment vertical="center"/>
      <protection locked="0"/>
    </xf>
    <xf numFmtId="166" fontId="1" fillId="13" borderId="14" xfId="2" applyNumberFormat="1" applyFont="1" applyFill="1" applyBorder="1" applyAlignment="1" applyProtection="1">
      <alignment vertical="center"/>
      <protection locked="0" hidden="1"/>
    </xf>
    <xf numFmtId="167" fontId="17" fillId="2" borderId="14" xfId="1" applyNumberFormat="1" applyFont="1" applyFill="1" applyBorder="1" applyAlignment="1" applyProtection="1">
      <alignment vertical="center"/>
      <protection locked="0"/>
    </xf>
    <xf numFmtId="49" fontId="2" fillId="9" borderId="14" xfId="1" applyNumberFormat="1" applyFont="1" applyFill="1" applyBorder="1" applyAlignment="1" applyProtection="1">
      <alignment vertical="center"/>
      <protection locked="0"/>
    </xf>
    <xf numFmtId="0" fontId="1" fillId="7" borderId="14" xfId="1" applyFill="1" applyBorder="1" applyAlignment="1" applyProtection="1">
      <alignment horizontal="center" vertical="center"/>
      <protection locked="0"/>
    </xf>
    <xf numFmtId="0" fontId="2" fillId="10" borderId="14" xfId="1" applyFont="1" applyFill="1" applyBorder="1" applyAlignment="1" applyProtection="1">
      <alignment vertical="center"/>
      <protection locked="0"/>
    </xf>
    <xf numFmtId="0" fontId="2" fillId="11" borderId="14" xfId="1" applyFont="1" applyFill="1" applyBorder="1" applyAlignment="1" applyProtection="1">
      <alignment vertical="center"/>
      <protection locked="0"/>
    </xf>
    <xf numFmtId="0" fontId="2" fillId="12" borderId="14" xfId="1" applyFont="1" applyFill="1" applyBorder="1" applyAlignment="1" applyProtection="1">
      <alignment vertical="center"/>
      <protection locked="0"/>
    </xf>
    <xf numFmtId="0" fontId="2" fillId="13" borderId="14" xfId="1" applyFont="1" applyFill="1" applyBorder="1" applyAlignment="1" applyProtection="1">
      <alignment vertical="center"/>
      <protection locked="0"/>
    </xf>
    <xf numFmtId="167" fontId="2" fillId="13" borderId="14" xfId="1" applyNumberFormat="1" applyFont="1" applyFill="1" applyBorder="1" applyAlignment="1" applyProtection="1">
      <alignment vertical="center"/>
      <protection hidden="1"/>
    </xf>
    <xf numFmtId="0" fontId="4" fillId="4" borderId="14" xfId="1" applyFont="1" applyFill="1" applyBorder="1" applyAlignment="1" applyProtection="1">
      <alignment vertical="center"/>
      <protection hidden="1"/>
    </xf>
    <xf numFmtId="167" fontId="2" fillId="12" borderId="14" xfId="1" applyNumberFormat="1" applyFont="1" applyFill="1" applyBorder="1" applyAlignment="1" applyProtection="1">
      <alignment vertical="center"/>
      <protection hidden="1"/>
    </xf>
    <xf numFmtId="167" fontId="2" fillId="11" borderId="14" xfId="1" applyNumberFormat="1" applyFont="1" applyFill="1" applyBorder="1" applyAlignment="1" applyProtection="1">
      <alignment vertical="center"/>
      <protection hidden="1"/>
    </xf>
    <xf numFmtId="167" fontId="2" fillId="10" borderId="14" xfId="1" applyNumberFormat="1" applyFont="1" applyFill="1" applyBorder="1" applyAlignment="1" applyProtection="1">
      <alignment vertical="center"/>
      <protection hidden="1"/>
    </xf>
    <xf numFmtId="167" fontId="2" fillId="9" borderId="14" xfId="1" applyNumberFormat="1" applyFont="1" applyFill="1" applyBorder="1" applyAlignment="1" applyProtection="1">
      <alignment vertical="center"/>
      <protection hidden="1"/>
    </xf>
    <xf numFmtId="0" fontId="5" fillId="4" borderId="0" xfId="1" applyFont="1" applyFill="1" applyAlignment="1" applyProtection="1">
      <alignment horizontal="left" vertical="center"/>
      <protection hidden="1"/>
    </xf>
    <xf numFmtId="0" fontId="27" fillId="4" borderId="0" xfId="1" applyFont="1" applyFill="1" applyAlignment="1" applyProtection="1">
      <alignment horizontal="center" vertical="top"/>
      <protection hidden="1"/>
    </xf>
    <xf numFmtId="167" fontId="27" fillId="4" borderId="0" xfId="1" applyNumberFormat="1" applyFont="1" applyFill="1" applyAlignment="1" applyProtection="1">
      <alignment vertical="top"/>
      <protection hidden="1"/>
    </xf>
    <xf numFmtId="0" fontId="0" fillId="2" borderId="0" xfId="0" applyFill="1"/>
    <xf numFmtId="14" fontId="0" fillId="2" borderId="0" xfId="0" applyNumberFormat="1" applyFill="1"/>
    <xf numFmtId="167" fontId="0" fillId="2" borderId="0" xfId="0" applyNumberFormat="1" applyFill="1"/>
    <xf numFmtId="0" fontId="0" fillId="18" borderId="0" xfId="0" applyFill="1"/>
    <xf numFmtId="0" fontId="0" fillId="19" borderId="0" xfId="0" applyFill="1"/>
    <xf numFmtId="14" fontId="0" fillId="18" borderId="0" xfId="0" applyNumberFormat="1" applyFill="1"/>
    <xf numFmtId="14" fontId="0" fillId="19" borderId="0" xfId="0" applyNumberFormat="1" applyFill="1"/>
    <xf numFmtId="0" fontId="0" fillId="20" borderId="0" xfId="0" applyFill="1"/>
    <xf numFmtId="14" fontId="0" fillId="20" borderId="0" xfId="0" applyNumberFormat="1" applyFill="1"/>
    <xf numFmtId="0" fontId="0" fillId="21" borderId="0" xfId="0" applyFill="1"/>
    <xf numFmtId="14" fontId="0" fillId="21" borderId="0" xfId="0" applyNumberFormat="1" applyFill="1"/>
    <xf numFmtId="10" fontId="0" fillId="2" borderId="0" xfId="3" applyNumberFormat="1" applyFont="1" applyFill="1"/>
    <xf numFmtId="10" fontId="0" fillId="18" borderId="0" xfId="3" applyNumberFormat="1" applyFont="1" applyFill="1"/>
    <xf numFmtId="10" fontId="0" fillId="19" borderId="0" xfId="3" applyNumberFormat="1" applyFont="1" applyFill="1"/>
    <xf numFmtId="10" fontId="0" fillId="20" borderId="0" xfId="3" applyNumberFormat="1" applyFont="1" applyFill="1"/>
    <xf numFmtId="10" fontId="0" fillId="21" borderId="0" xfId="3" applyNumberFormat="1" applyFont="1" applyFill="1"/>
    <xf numFmtId="0" fontId="0" fillId="2" borderId="0" xfId="0" applyFill="1" applyAlignment="1">
      <alignment wrapText="1"/>
    </xf>
    <xf numFmtId="10" fontId="1" fillId="0" borderId="0" xfId="1" applyNumberFormat="1" applyAlignment="1" applyProtection="1">
      <alignment vertical="center"/>
      <protection hidden="1"/>
    </xf>
    <xf numFmtId="0" fontId="28" fillId="0" borderId="0" xfId="0" applyFont="1" applyProtection="1">
      <protection locked="0"/>
    </xf>
    <xf numFmtId="8" fontId="14" fillId="4" borderId="0" xfId="1" applyNumberFormat="1" applyFont="1" applyFill="1" applyAlignment="1" applyProtection="1">
      <alignment vertical="center"/>
      <protection hidden="1"/>
    </xf>
    <xf numFmtId="8" fontId="1" fillId="4" borderId="0" xfId="1" applyNumberFormat="1" applyFill="1" applyAlignment="1" applyProtection="1">
      <alignment vertical="center"/>
      <protection hidden="1"/>
    </xf>
    <xf numFmtId="6" fontId="29" fillId="4" borderId="0" xfId="1" applyNumberFormat="1" applyFont="1" applyFill="1" applyAlignment="1" applyProtection="1">
      <alignment vertical="center"/>
      <protection hidden="1"/>
    </xf>
    <xf numFmtId="0" fontId="1" fillId="2" borderId="0" xfId="1" applyFill="1" applyAlignment="1" applyProtection="1">
      <alignment horizontal="center" vertical="center" wrapText="1"/>
      <protection hidden="1"/>
    </xf>
    <xf numFmtId="0" fontId="1" fillId="22" borderId="0" xfId="1" applyFill="1" applyAlignment="1" applyProtection="1">
      <alignment horizontal="center" vertical="center" wrapText="1"/>
      <protection hidden="1"/>
    </xf>
    <xf numFmtId="0" fontId="1" fillId="0" borderId="0" xfId="1" applyAlignment="1" applyProtection="1">
      <alignment horizontal="center" vertical="center"/>
      <protection hidden="1"/>
    </xf>
    <xf numFmtId="0" fontId="1" fillId="22" borderId="0" xfId="1" applyFill="1" applyAlignment="1" applyProtection="1">
      <alignment vertical="center"/>
      <protection hidden="1"/>
    </xf>
    <xf numFmtId="0" fontId="1" fillId="2" borderId="0" xfId="1" applyFill="1" applyAlignment="1" applyProtection="1">
      <alignment vertical="center"/>
      <protection hidden="1"/>
    </xf>
    <xf numFmtId="0" fontId="30" fillId="0" borderId="0" xfId="1" applyFont="1" applyAlignment="1" applyProtection="1">
      <alignment vertical="center"/>
      <protection hidden="1"/>
    </xf>
    <xf numFmtId="0" fontId="1" fillId="19" borderId="0" xfId="1" applyFill="1" applyAlignment="1" applyProtection="1">
      <alignment horizontal="center" vertical="center"/>
      <protection hidden="1"/>
    </xf>
    <xf numFmtId="10" fontId="1" fillId="19" borderId="0" xfId="1" applyNumberFormat="1" applyFill="1" applyAlignment="1" applyProtection="1">
      <alignment vertical="center"/>
      <protection hidden="1"/>
    </xf>
    <xf numFmtId="167" fontId="0" fillId="0" borderId="0" xfId="0" applyNumberFormat="1"/>
    <xf numFmtId="169" fontId="1" fillId="0" borderId="0" xfId="1" applyNumberFormat="1" applyAlignment="1" applyProtection="1">
      <alignment vertical="center"/>
      <protection hidden="1"/>
    </xf>
    <xf numFmtId="169" fontId="14" fillId="24" borderId="0" xfId="1" applyNumberFormat="1" applyFont="1" applyFill="1" applyAlignment="1" applyProtection="1">
      <alignment vertical="center"/>
      <protection hidden="1"/>
    </xf>
    <xf numFmtId="0" fontId="1" fillId="0" borderId="0" xfId="1" applyAlignment="1" applyProtection="1">
      <alignment horizontal="right" vertical="center"/>
      <protection hidden="1"/>
    </xf>
    <xf numFmtId="165" fontId="15" fillId="8" borderId="2" xfId="1" applyNumberFormat="1" applyFont="1" applyFill="1" applyBorder="1" applyAlignment="1" applyProtection="1">
      <alignment horizontal="left" vertical="center" indent="1"/>
      <protection hidden="1"/>
    </xf>
    <xf numFmtId="167" fontId="32" fillId="4" borderId="0" xfId="1" applyNumberFormat="1" applyFont="1" applyFill="1" applyProtection="1">
      <protection hidden="1"/>
    </xf>
    <xf numFmtId="6" fontId="4" fillId="4" borderId="0" xfId="1" applyNumberFormat="1" applyFont="1" applyFill="1" applyAlignment="1" applyProtection="1">
      <alignment vertical="center"/>
      <protection hidden="1"/>
    </xf>
    <xf numFmtId="0" fontId="31" fillId="13" borderId="0" xfId="0" applyFont="1" applyFill="1" applyAlignment="1">
      <alignment horizontal="center"/>
    </xf>
    <xf numFmtId="0" fontId="1" fillId="23" borderId="0" xfId="1" applyFill="1" applyAlignment="1" applyProtection="1">
      <alignment horizontal="center" vertical="center"/>
      <protection hidden="1"/>
    </xf>
    <xf numFmtId="0" fontId="3" fillId="4" borderId="0" xfId="1" applyFont="1" applyFill="1" applyAlignment="1" applyProtection="1">
      <alignment horizontal="right" vertical="center"/>
      <protection hidden="1"/>
    </xf>
    <xf numFmtId="0" fontId="14" fillId="4" borderId="0" xfId="1" applyFont="1" applyFill="1" applyAlignment="1" applyProtection="1">
      <alignment horizontal="center" vertical="center"/>
      <protection hidden="1"/>
    </xf>
    <xf numFmtId="0" fontId="1" fillId="4" borderId="0" xfId="1" applyFill="1" applyAlignment="1" applyProtection="1">
      <alignment horizontal="center" vertical="center"/>
      <protection hidden="1"/>
    </xf>
    <xf numFmtId="10" fontId="7" fillId="3" borderId="0" xfId="0" applyNumberFormat="1" applyFont="1" applyFill="1" applyAlignment="1" applyProtection="1">
      <alignment vertical="center"/>
      <protection locked="0" hidden="1"/>
    </xf>
    <xf numFmtId="0" fontId="1" fillId="19" borderId="0" xfId="1" applyFill="1" applyAlignment="1" applyProtection="1">
      <alignment vertical="center"/>
      <protection hidden="1"/>
    </xf>
    <xf numFmtId="0" fontId="7" fillId="21" borderId="1" xfId="1" applyFont="1" applyFill="1" applyBorder="1" applyAlignment="1" applyProtection="1">
      <alignment vertical="center"/>
      <protection locked="0"/>
    </xf>
    <xf numFmtId="0" fontId="1" fillId="25" borderId="0" xfId="1" applyFill="1" applyAlignment="1" applyProtection="1">
      <alignment vertical="center"/>
      <protection hidden="1"/>
    </xf>
    <xf numFmtId="0" fontId="3" fillId="0" borderId="0" xfId="1" applyFont="1" applyAlignment="1" applyProtection="1">
      <alignment horizontal="center" vertical="center"/>
      <protection hidden="1"/>
    </xf>
    <xf numFmtId="0" fontId="1" fillId="0" borderId="15" xfId="1" applyBorder="1" applyAlignment="1" applyProtection="1">
      <alignment vertical="center"/>
      <protection locked="0"/>
    </xf>
    <xf numFmtId="0" fontId="1" fillId="0" borderId="15" xfId="1" applyBorder="1" applyAlignment="1" applyProtection="1">
      <alignment horizontal="center" vertical="center"/>
      <protection hidden="1"/>
    </xf>
    <xf numFmtId="0" fontId="1" fillId="0" borderId="15" xfId="1" applyBorder="1" applyAlignment="1" applyProtection="1">
      <alignment vertical="center"/>
      <protection hidden="1"/>
    </xf>
    <xf numFmtId="166" fontId="1" fillId="0" borderId="15" xfId="2" applyNumberFormat="1" applyFont="1" applyBorder="1" applyAlignment="1" applyProtection="1">
      <alignment vertical="center"/>
      <protection hidden="1"/>
    </xf>
    <xf numFmtId="166" fontId="1" fillId="0" borderId="0" xfId="1" applyNumberFormat="1" applyAlignment="1" applyProtection="1">
      <alignment horizontal="center" vertical="center" wrapText="1"/>
      <protection hidden="1"/>
    </xf>
    <xf numFmtId="164" fontId="1" fillId="0" borderId="0" xfId="2" applyFont="1" applyAlignment="1" applyProtection="1">
      <alignment horizontal="center" vertical="center" wrapText="1"/>
      <protection hidden="1"/>
    </xf>
    <xf numFmtId="166" fontId="1" fillId="0" borderId="0" xfId="2" applyNumberFormat="1" applyFont="1" applyAlignment="1" applyProtection="1">
      <alignment horizontal="center" vertical="center" wrapText="1"/>
      <protection hidden="1"/>
    </xf>
    <xf numFmtId="0" fontId="22" fillId="0" borderId="0" xfId="1" applyFont="1" applyAlignment="1" applyProtection="1">
      <alignment horizontal="center" vertical="center"/>
      <protection hidden="1"/>
    </xf>
    <xf numFmtId="43" fontId="1" fillId="0" borderId="0" xfId="1" applyNumberFormat="1" applyAlignment="1" applyProtection="1">
      <alignment horizontal="center" vertical="center" wrapText="1"/>
      <protection hidden="1"/>
    </xf>
    <xf numFmtId="0" fontId="0" fillId="0" borderId="0" xfId="0" applyAlignment="1">
      <alignment horizontal="center"/>
    </xf>
    <xf numFmtId="166" fontId="1" fillId="0" borderId="0" xfId="1" applyNumberFormat="1" applyAlignment="1" applyProtection="1">
      <alignment vertical="center" wrapText="1"/>
      <protection hidden="1"/>
    </xf>
    <xf numFmtId="0" fontId="1" fillId="25" borderId="15" xfId="1" applyFill="1" applyBorder="1" applyAlignment="1" applyProtection="1">
      <alignment horizontal="center" vertical="center"/>
      <protection hidden="1"/>
    </xf>
    <xf numFmtId="43" fontId="1" fillId="25" borderId="15" xfId="1" applyNumberFormat="1" applyFill="1" applyBorder="1" applyAlignment="1" applyProtection="1">
      <alignment horizontal="center" vertical="center" wrapText="1"/>
      <protection hidden="1"/>
    </xf>
    <xf numFmtId="0" fontId="1" fillId="26" borderId="15" xfId="1" applyFill="1" applyBorder="1" applyAlignment="1" applyProtection="1">
      <alignment horizontal="center" vertical="center"/>
      <protection hidden="1"/>
    </xf>
    <xf numFmtId="166" fontId="1" fillId="26" borderId="15" xfId="2" applyNumberFormat="1" applyFont="1" applyFill="1" applyBorder="1" applyAlignment="1" applyProtection="1">
      <alignment horizontal="center" vertical="center" wrapText="1"/>
      <protection hidden="1"/>
    </xf>
    <xf numFmtId="166" fontId="1" fillId="26" borderId="15" xfId="1" applyNumberFormat="1" applyFill="1" applyBorder="1" applyAlignment="1" applyProtection="1">
      <alignment horizontal="center" vertical="center" wrapText="1"/>
      <protection hidden="1"/>
    </xf>
    <xf numFmtId="43" fontId="1" fillId="26" borderId="15" xfId="1" applyNumberFormat="1" applyFill="1" applyBorder="1" applyAlignment="1" applyProtection="1">
      <alignment horizontal="center" vertical="center" wrapText="1"/>
      <protection hidden="1"/>
    </xf>
    <xf numFmtId="43" fontId="1" fillId="0" borderId="0" xfId="1" applyNumberFormat="1" applyAlignment="1" applyProtection="1">
      <alignment vertical="center"/>
      <protection hidden="1"/>
    </xf>
    <xf numFmtId="0" fontId="33" fillId="4" borderId="0" xfId="1" applyFont="1" applyFill="1" applyAlignment="1" applyProtection="1">
      <alignment vertical="center"/>
      <protection hidden="1"/>
    </xf>
    <xf numFmtId="0" fontId="26" fillId="4" borderId="0" xfId="1" applyFont="1" applyFill="1" applyAlignment="1" applyProtection="1">
      <alignment horizontal="center" vertical="center"/>
      <protection locked="0" hidden="1"/>
    </xf>
    <xf numFmtId="0" fontId="14" fillId="4" borderId="0" xfId="1" applyFont="1" applyFill="1" applyAlignment="1" applyProtection="1">
      <alignment vertical="center"/>
      <protection locked="0" hidden="1"/>
    </xf>
    <xf numFmtId="0" fontId="14" fillId="0" borderId="15" xfId="1" applyFont="1" applyBorder="1" applyAlignment="1" applyProtection="1">
      <alignment horizontal="center" vertical="center"/>
      <protection locked="0" hidden="1"/>
    </xf>
    <xf numFmtId="0" fontId="14" fillId="0" borderId="15" xfId="1" applyFont="1" applyBorder="1" applyAlignment="1" applyProtection="1">
      <alignment horizontal="center" vertical="center"/>
      <protection hidden="1"/>
    </xf>
    <xf numFmtId="0" fontId="0" fillId="0" borderId="15" xfId="0" applyBorder="1" applyProtection="1">
      <protection locked="0"/>
    </xf>
    <xf numFmtId="49" fontId="1" fillId="0" borderId="15" xfId="1" applyNumberFormat="1" applyBorder="1" applyAlignment="1" applyProtection="1">
      <alignment vertical="center"/>
      <protection locked="0"/>
    </xf>
    <xf numFmtId="166" fontId="1" fillId="0" borderId="15" xfId="2" applyNumberFormat="1" applyFont="1" applyBorder="1" applyAlignment="1" applyProtection="1">
      <alignment vertical="center"/>
      <protection locked="0" hidden="1"/>
    </xf>
    <xf numFmtId="166" fontId="4" fillId="4" borderId="0" xfId="1" applyNumberFormat="1" applyFont="1" applyFill="1" applyAlignment="1" applyProtection="1">
      <alignment vertical="center"/>
      <protection locked="0" hidden="1"/>
    </xf>
    <xf numFmtId="0" fontId="14" fillId="4" borderId="0" xfId="1" applyFont="1" applyFill="1" applyAlignment="1" applyProtection="1">
      <alignment vertical="center"/>
      <protection hidden="1"/>
    </xf>
    <xf numFmtId="0" fontId="14" fillId="6" borderId="0" xfId="1" applyFont="1" applyFill="1" applyAlignment="1" applyProtection="1">
      <alignment vertical="center"/>
      <protection locked="0" hidden="1"/>
    </xf>
    <xf numFmtId="0" fontId="14" fillId="6" borderId="0" xfId="1" applyFont="1" applyFill="1" applyAlignment="1" applyProtection="1">
      <alignment horizontal="center" vertical="center"/>
      <protection hidden="1"/>
    </xf>
    <xf numFmtId="10" fontId="1" fillId="4" borderId="0" xfId="3" applyNumberFormat="1" applyFont="1" applyFill="1" applyAlignment="1" applyProtection="1">
      <alignment vertical="center"/>
      <protection hidden="1"/>
    </xf>
    <xf numFmtId="1" fontId="0" fillId="0" borderId="0" xfId="0" applyNumberFormat="1" applyProtection="1">
      <protection locked="0"/>
    </xf>
    <xf numFmtId="1" fontId="1" fillId="0" borderId="0" xfId="1" applyNumberFormat="1" applyAlignment="1" applyProtection="1">
      <alignment vertical="center"/>
      <protection locked="0"/>
    </xf>
    <xf numFmtId="0" fontId="35" fillId="4" borderId="0" xfId="1" applyFont="1" applyFill="1" applyAlignment="1" applyProtection="1">
      <alignment horizontal="center" vertical="center"/>
      <protection hidden="1"/>
    </xf>
    <xf numFmtId="171" fontId="35" fillId="4" borderId="0" xfId="1" applyNumberFormat="1" applyFont="1" applyFill="1" applyAlignment="1" applyProtection="1">
      <alignment vertical="center"/>
      <protection hidden="1"/>
    </xf>
    <xf numFmtId="0" fontId="35" fillId="4" borderId="0" xfId="1" applyFont="1" applyFill="1" applyAlignment="1" applyProtection="1">
      <alignment vertical="center"/>
      <protection hidden="1"/>
    </xf>
    <xf numFmtId="8" fontId="35" fillId="4" borderId="0" xfId="1" applyNumberFormat="1" applyFont="1" applyFill="1" applyAlignment="1" applyProtection="1">
      <alignment vertical="center"/>
      <protection hidden="1"/>
    </xf>
    <xf numFmtId="43" fontId="35" fillId="4" borderId="0" xfId="1" applyNumberFormat="1" applyFont="1" applyFill="1" applyAlignment="1" applyProtection="1">
      <alignment vertical="center"/>
      <protection hidden="1"/>
    </xf>
    <xf numFmtId="0" fontId="36" fillId="4" borderId="0" xfId="1" applyFont="1" applyFill="1" applyAlignment="1" applyProtection="1">
      <alignment horizontal="center" vertical="center"/>
      <protection hidden="1"/>
    </xf>
    <xf numFmtId="0" fontId="36" fillId="4" borderId="0" xfId="1" applyFont="1" applyFill="1" applyAlignment="1" applyProtection="1">
      <alignment vertical="center"/>
      <protection hidden="1"/>
    </xf>
    <xf numFmtId="170" fontId="36" fillId="4" borderId="0" xfId="1" applyNumberFormat="1" applyFont="1" applyFill="1" applyAlignment="1" applyProtection="1">
      <alignment vertical="center"/>
      <protection hidden="1"/>
    </xf>
    <xf numFmtId="164" fontId="36" fillId="4" borderId="0" xfId="2" applyFont="1" applyFill="1" applyAlignment="1" applyProtection="1">
      <alignment vertical="center"/>
      <protection hidden="1"/>
    </xf>
    <xf numFmtId="8" fontId="36" fillId="4" borderId="0" xfId="1" applyNumberFormat="1" applyFont="1" applyFill="1" applyAlignment="1" applyProtection="1">
      <alignment vertical="center"/>
      <protection hidden="1"/>
    </xf>
    <xf numFmtId="43" fontId="36" fillId="4" borderId="0" xfId="1" applyNumberFormat="1" applyFont="1" applyFill="1" applyAlignment="1" applyProtection="1">
      <alignment vertical="center"/>
      <protection hidden="1"/>
    </xf>
    <xf numFmtId="172" fontId="1" fillId="4" borderId="0" xfId="1" applyNumberFormat="1" applyFill="1" applyAlignment="1" applyProtection="1">
      <alignment vertical="center"/>
      <protection locked="0" hidden="1"/>
    </xf>
    <xf numFmtId="0" fontId="14" fillId="4" borderId="0" xfId="1" applyFont="1" applyFill="1" applyAlignment="1" applyProtection="1">
      <alignment horizontal="center" vertical="center"/>
      <protection locked="0" hidden="1"/>
    </xf>
    <xf numFmtId="167" fontId="15" fillId="8" borderId="17" xfId="1" applyNumberFormat="1" applyFont="1" applyFill="1" applyBorder="1" applyAlignment="1" applyProtection="1">
      <alignment vertical="center"/>
      <protection hidden="1"/>
    </xf>
    <xf numFmtId="167" fontId="15" fillId="8" borderId="16" xfId="1" applyNumberFormat="1" applyFont="1" applyFill="1" applyBorder="1" applyAlignment="1" applyProtection="1">
      <alignment vertical="center"/>
      <protection hidden="1"/>
    </xf>
    <xf numFmtId="0" fontId="8" fillId="5" borderId="0" xfId="1" applyFont="1" applyFill="1" applyAlignment="1" applyProtection="1">
      <alignment horizontal="center" vertical="center"/>
      <protection hidden="1"/>
    </xf>
    <xf numFmtId="0" fontId="14" fillId="4" borderId="0" xfId="1" applyFont="1" applyFill="1" applyAlignment="1" applyProtection="1">
      <alignment horizontal="center" vertical="center"/>
      <protection hidden="1"/>
    </xf>
    <xf numFmtId="0" fontId="1" fillId="3" borderId="0" xfId="1" applyFill="1" applyAlignment="1" applyProtection="1">
      <alignment horizontal="center" vertical="center"/>
      <protection locked="0"/>
    </xf>
    <xf numFmtId="0" fontId="7" fillId="14" borderId="0" xfId="1" applyFont="1" applyFill="1" applyAlignment="1" applyProtection="1">
      <alignment vertical="center"/>
      <protection hidden="1"/>
    </xf>
    <xf numFmtId="0" fontId="7" fillId="25" borderId="0" xfId="0" applyFont="1" applyFill="1" applyAlignment="1" applyProtection="1">
      <alignment vertical="center"/>
      <protection hidden="1"/>
    </xf>
    <xf numFmtId="0" fontId="7" fillId="2" borderId="0" xfId="1" applyFont="1" applyFill="1" applyAlignment="1" applyProtection="1">
      <alignment vertical="center"/>
      <protection hidden="1"/>
    </xf>
    <xf numFmtId="0" fontId="20" fillId="16" borderId="0" xfId="1" applyFont="1" applyFill="1" applyAlignment="1" applyProtection="1">
      <alignment horizontal="left" vertical="center"/>
      <protection hidden="1"/>
    </xf>
    <xf numFmtId="166" fontId="20" fillId="17" borderId="0" xfId="2" applyNumberFormat="1" applyFont="1" applyFill="1" applyAlignment="1" applyProtection="1">
      <alignment vertical="center"/>
      <protection hidden="1"/>
    </xf>
    <xf numFmtId="0" fontId="1" fillId="4" borderId="0" xfId="1" applyFill="1" applyAlignment="1" applyProtection="1">
      <alignment horizontal="center" vertical="center"/>
      <protection hidden="1"/>
    </xf>
    <xf numFmtId="168" fontId="26" fillId="4" borderId="0" xfId="1" applyNumberFormat="1" applyFont="1" applyFill="1" applyAlignment="1" applyProtection="1">
      <alignment horizontal="left" vertical="center"/>
      <protection hidden="1"/>
    </xf>
    <xf numFmtId="0" fontId="26" fillId="4" borderId="0" xfId="1" applyFont="1" applyFill="1" applyAlignment="1" applyProtection="1">
      <alignment horizontal="left" vertical="center"/>
      <protection hidden="1"/>
    </xf>
    <xf numFmtId="0" fontId="2" fillId="9" borderId="11" xfId="1" applyFont="1" applyFill="1" applyBorder="1" applyAlignment="1" applyProtection="1">
      <alignment horizontal="center" vertical="center" wrapText="1"/>
      <protection hidden="1"/>
    </xf>
    <xf numFmtId="0" fontId="2" fillId="9" borderId="0" xfId="1" applyFont="1" applyFill="1" applyAlignment="1" applyProtection="1">
      <alignment horizontal="center" vertical="center" wrapText="1"/>
      <protection hidden="1"/>
    </xf>
    <xf numFmtId="0" fontId="4" fillId="4" borderId="0" xfId="1" applyFont="1" applyFill="1" applyAlignment="1" applyProtection="1">
      <alignment vertical="center"/>
      <protection hidden="1"/>
    </xf>
    <xf numFmtId="0" fontId="7" fillId="21" borderId="0" xfId="0" applyFont="1" applyFill="1" applyAlignment="1" applyProtection="1">
      <alignment vertical="center"/>
      <protection hidden="1"/>
    </xf>
    <xf numFmtId="165" fontId="34" fillId="4" borderId="0" xfId="1" applyNumberFormat="1" applyFont="1" applyFill="1" applyAlignment="1" applyProtection="1">
      <alignment horizontal="center" vertical="center"/>
      <protection hidden="1"/>
    </xf>
    <xf numFmtId="167" fontId="2" fillId="11" borderId="14" xfId="1" applyNumberFormat="1" applyFont="1" applyFill="1" applyBorder="1" applyAlignment="1" applyProtection="1">
      <alignment vertical="center"/>
      <protection hidden="1"/>
    </xf>
    <xf numFmtId="165" fontId="10" fillId="4" borderId="0" xfId="1" applyNumberFormat="1" applyFont="1" applyFill="1" applyAlignment="1" applyProtection="1">
      <alignment horizontal="center" vertical="center"/>
      <protection hidden="1"/>
    </xf>
    <xf numFmtId="167" fontId="2" fillId="9" borderId="14" xfId="1" applyNumberFormat="1" applyFont="1" applyFill="1" applyBorder="1" applyAlignment="1" applyProtection="1">
      <alignment vertical="center"/>
      <protection hidden="1"/>
    </xf>
    <xf numFmtId="167" fontId="2" fillId="12" borderId="14" xfId="1" applyNumberFormat="1" applyFont="1" applyFill="1" applyBorder="1" applyAlignment="1" applyProtection="1">
      <alignment vertical="center"/>
      <protection hidden="1"/>
    </xf>
    <xf numFmtId="167" fontId="2" fillId="13" borderId="14" xfId="1" applyNumberFormat="1" applyFont="1" applyFill="1" applyBorder="1" applyAlignment="1" applyProtection="1">
      <alignment vertical="center"/>
      <protection hidden="1"/>
    </xf>
    <xf numFmtId="167" fontId="2" fillId="10" borderId="14" xfId="1" applyNumberFormat="1" applyFont="1" applyFill="1" applyBorder="1" applyAlignment="1" applyProtection="1">
      <alignment vertical="center"/>
      <protection hidden="1"/>
    </xf>
    <xf numFmtId="0" fontId="3" fillId="4" borderId="0" xfId="1" applyFont="1" applyFill="1" applyAlignment="1" applyProtection="1">
      <alignment horizontal="right" vertical="center"/>
      <protection hidden="1"/>
    </xf>
    <xf numFmtId="0" fontId="1" fillId="3" borderId="0" xfId="1" applyFill="1" applyAlignment="1" applyProtection="1">
      <alignment horizontal="center" vertical="center"/>
      <protection locked="0" hidden="1"/>
    </xf>
    <xf numFmtId="168" fontId="26" fillId="7" borderId="0" xfId="1" applyNumberFormat="1" applyFont="1" applyFill="1" applyAlignment="1" applyProtection="1">
      <alignment horizontal="left" vertical="center"/>
      <protection locked="0" hidden="1"/>
    </xf>
  </cellXfs>
  <cellStyles count="4">
    <cellStyle name="Comma" xfId="2" builtinId="3"/>
    <cellStyle name="Normal" xfId="0" builtinId="0"/>
    <cellStyle name="Normal 2" xfId="1" xr:uid="{00000000-0005-0000-0000-000002000000}"/>
    <cellStyle name="Percent" xfId="3" builtinId="5"/>
  </cellStyles>
  <dxfs count="0"/>
  <tableStyles count="0" defaultTableStyle="TableStyleMedium9" defaultPivotStyle="PivotStyleLight16"/>
  <colors>
    <mruColors>
      <color rgb="FF00B0EF"/>
      <color rgb="FFD274AA"/>
      <color rgb="FFCF7B77"/>
      <color rgb="FFE5B7B5"/>
      <color rgb="FFE26B0A"/>
      <color rgb="FFEBC9C7"/>
      <color rgb="FFC4D9F1"/>
      <color rgb="FFFFC100"/>
      <color rgb="FF77933C"/>
      <color rgb="FF328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4" Type="http://schemas.openxmlformats.org/officeDocument/2006/relationships/image" Target="../media/image1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30</xdr:col>
      <xdr:colOff>28711</xdr:colOff>
      <xdr:row>1</xdr:row>
      <xdr:rowOff>1905</xdr:rowOff>
    </xdr:from>
    <xdr:to>
      <xdr:col>36</xdr:col>
      <xdr:colOff>236074</xdr:colOff>
      <xdr:row>26</xdr:row>
      <xdr:rowOff>10466</xdr:rowOff>
    </xdr:to>
    <xdr:pic>
      <xdr:nvPicPr>
        <xdr:cNvPr id="4" name="RoadPic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7833" y="94832"/>
          <a:ext cx="1545509" cy="516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5</xdr:row>
          <xdr:rowOff>38100</xdr:rowOff>
        </xdr:from>
        <xdr:to>
          <xdr:col>5</xdr:col>
          <xdr:colOff>922020</xdr:colOff>
          <xdr:row>5</xdr:row>
          <xdr:rowOff>182880</xdr:rowOff>
        </xdr:to>
        <xdr:sp macro="" textlink="">
          <xdr:nvSpPr>
            <xdr:cNvPr id="17409" name="sbYieldST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</xdr:row>
          <xdr:rowOff>30480</xdr:rowOff>
        </xdr:from>
        <xdr:to>
          <xdr:col>5</xdr:col>
          <xdr:colOff>922020</xdr:colOff>
          <xdr:row>7</xdr:row>
          <xdr:rowOff>175260</xdr:rowOff>
        </xdr:to>
        <xdr:sp macro="" textlink="">
          <xdr:nvSpPr>
            <xdr:cNvPr id="17410" name="InfPercent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10</xdr:row>
          <xdr:rowOff>175260</xdr:rowOff>
        </xdr:from>
        <xdr:to>
          <xdr:col>1</xdr:col>
          <xdr:colOff>640080</xdr:colOff>
          <xdr:row>11</xdr:row>
          <xdr:rowOff>129540</xdr:rowOff>
        </xdr:to>
        <xdr:sp macro="" textlink="">
          <xdr:nvSpPr>
            <xdr:cNvPr id="17411" name="btnClear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0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</xdr:colOff>
          <xdr:row>7</xdr:row>
          <xdr:rowOff>30480</xdr:rowOff>
        </xdr:from>
        <xdr:to>
          <xdr:col>9</xdr:col>
          <xdr:colOff>1219200</xdr:colOff>
          <xdr:row>7</xdr:row>
          <xdr:rowOff>175260</xdr:rowOff>
        </xdr:to>
        <xdr:sp macro="" textlink="">
          <xdr:nvSpPr>
            <xdr:cNvPr id="17412" name="DelayMonths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472440</xdr:colOff>
          <xdr:row>25</xdr:row>
          <xdr:rowOff>190500</xdr:rowOff>
        </xdr:from>
        <xdr:to>
          <xdr:col>12</xdr:col>
          <xdr:colOff>22860</xdr:colOff>
          <xdr:row>26</xdr:row>
          <xdr:rowOff>205740</xdr:rowOff>
        </xdr:to>
        <xdr:sp macro="" textlink="">
          <xdr:nvSpPr>
            <xdr:cNvPr id="17413" name="btnPublish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32</xdr:col>
      <xdr:colOff>0</xdr:colOff>
      <xdr:row>19</xdr:row>
      <xdr:rowOff>162560</xdr:rowOff>
    </xdr:from>
    <xdr:to>
      <xdr:col>33</xdr:col>
      <xdr:colOff>31239</xdr:colOff>
      <xdr:row>22</xdr:row>
      <xdr:rowOff>49960</xdr:rowOff>
    </xdr:to>
    <xdr:pic>
      <xdr:nvPicPr>
        <xdr:cNvPr id="6" name="OrangeMarker" descr="Orange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00" y="4064000"/>
          <a:ext cx="267459" cy="481760"/>
        </a:xfrm>
        <a:prstGeom prst="rect">
          <a:avLst/>
        </a:prstGeom>
      </xdr:spPr>
    </xdr:pic>
    <xdr:clientData/>
  </xdr:twoCellAnchor>
  <xdr:twoCellAnchor editAs="absolute">
    <xdr:from>
      <xdr:col>31</xdr:col>
      <xdr:colOff>198120</xdr:colOff>
      <xdr:row>1</xdr:row>
      <xdr:rowOff>22860</xdr:rowOff>
    </xdr:from>
    <xdr:to>
      <xdr:col>33</xdr:col>
      <xdr:colOff>3610</xdr:colOff>
      <xdr:row>2</xdr:row>
      <xdr:rowOff>62660</xdr:rowOff>
    </xdr:to>
    <xdr:pic>
      <xdr:nvPicPr>
        <xdr:cNvPr id="8" name="RedMarker" descr="Red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29900" y="114300"/>
          <a:ext cx="277930" cy="474140"/>
        </a:xfrm>
        <a:prstGeom prst="rect">
          <a:avLst/>
        </a:prstGeom>
      </xdr:spPr>
    </xdr:pic>
    <xdr:clientData/>
  </xdr:twoCellAnchor>
  <xdr:twoCellAnchor editAs="oneCell">
    <xdr:from>
      <xdr:col>31</xdr:col>
      <xdr:colOff>45720</xdr:colOff>
      <xdr:row>14</xdr:row>
      <xdr:rowOff>154305</xdr:rowOff>
    </xdr:from>
    <xdr:to>
      <xdr:col>32</xdr:col>
      <xdr:colOff>74277</xdr:colOff>
      <xdr:row>17</xdr:row>
      <xdr:rowOff>41909</xdr:rowOff>
    </xdr:to>
    <xdr:pic>
      <xdr:nvPicPr>
        <xdr:cNvPr id="10" name="BlueMarker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00" y="3057525"/>
          <a:ext cx="264777" cy="481964"/>
        </a:xfrm>
        <a:prstGeom prst="rect">
          <a:avLst/>
        </a:prstGeom>
      </xdr:spPr>
    </xdr:pic>
    <xdr:clientData/>
  </xdr:twoCellAnchor>
  <xdr:twoCellAnchor editAs="oneCell">
    <xdr:from>
      <xdr:col>34</xdr:col>
      <xdr:colOff>162560</xdr:colOff>
      <xdr:row>8</xdr:row>
      <xdr:rowOff>19050</xdr:rowOff>
    </xdr:from>
    <xdr:to>
      <xdr:col>35</xdr:col>
      <xdr:colOff>202929</xdr:colOff>
      <xdr:row>10</xdr:row>
      <xdr:rowOff>101183</xdr:rowOff>
    </xdr:to>
    <xdr:pic>
      <xdr:nvPicPr>
        <xdr:cNvPr id="12" name="GreenMarker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03000" y="1733550"/>
          <a:ext cx="276589" cy="478373"/>
        </a:xfrm>
        <a:prstGeom prst="rect">
          <a:avLst/>
        </a:prstGeom>
      </xdr:spPr>
    </xdr:pic>
    <xdr:clientData/>
  </xdr:twoCellAnchor>
  <xdr:twoCellAnchor editAs="oneCell">
    <xdr:from>
      <xdr:col>32</xdr:col>
      <xdr:colOff>88900</xdr:colOff>
      <xdr:row>4</xdr:row>
      <xdr:rowOff>43180</xdr:rowOff>
    </xdr:from>
    <xdr:to>
      <xdr:col>33</xdr:col>
      <xdr:colOff>119293</xdr:colOff>
      <xdr:row>6</xdr:row>
      <xdr:rowOff>125313</xdr:rowOff>
    </xdr:to>
    <xdr:pic>
      <xdr:nvPicPr>
        <xdr:cNvPr id="14" name="PurpleMarker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56900" y="965200"/>
          <a:ext cx="266613" cy="4783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6</xdr:row>
          <xdr:rowOff>30480</xdr:rowOff>
        </xdr:from>
        <xdr:to>
          <xdr:col>5</xdr:col>
          <xdr:colOff>922020</xdr:colOff>
          <xdr:row>6</xdr:row>
          <xdr:rowOff>175260</xdr:rowOff>
        </xdr:to>
        <xdr:sp macro="" textlink="">
          <xdr:nvSpPr>
            <xdr:cNvPr id="17416" name="sbYieldLT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0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472440</xdr:colOff>
          <xdr:row>27</xdr:row>
          <xdr:rowOff>45720</xdr:rowOff>
        </xdr:from>
        <xdr:to>
          <xdr:col>12</xdr:col>
          <xdr:colOff>22860</xdr:colOff>
          <xdr:row>28</xdr:row>
          <xdr:rowOff>60960</xdr:rowOff>
        </xdr:to>
        <xdr:sp macro="" textlink="">
          <xdr:nvSpPr>
            <xdr:cNvPr id="17417" name="btnPrint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0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388620</xdr:colOff>
          <xdr:row>24</xdr:row>
          <xdr:rowOff>137160</xdr:rowOff>
        </xdr:from>
        <xdr:to>
          <xdr:col>12</xdr:col>
          <xdr:colOff>929640</xdr:colOff>
          <xdr:row>25</xdr:row>
          <xdr:rowOff>152400</xdr:rowOff>
        </xdr:to>
        <xdr:sp macro="" textlink="">
          <xdr:nvSpPr>
            <xdr:cNvPr id="19458" name="btnPublish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1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30</xdr:col>
      <xdr:colOff>80549</xdr:colOff>
      <xdr:row>0</xdr:row>
      <xdr:rowOff>0</xdr:rowOff>
    </xdr:from>
    <xdr:to>
      <xdr:col>36</xdr:col>
      <xdr:colOff>236189</xdr:colOff>
      <xdr:row>26</xdr:row>
      <xdr:rowOff>169333</xdr:rowOff>
    </xdr:to>
    <xdr:pic>
      <xdr:nvPicPr>
        <xdr:cNvPr id="13" name="Road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59082" y="0"/>
          <a:ext cx="1518774" cy="53763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1226820</xdr:colOff>
          <xdr:row>14</xdr:row>
          <xdr:rowOff>7620</xdr:rowOff>
        </xdr:from>
        <xdr:to>
          <xdr:col>12</xdr:col>
          <xdr:colOff>7620</xdr:colOff>
          <xdr:row>15</xdr:row>
          <xdr:rowOff>7620</xdr:rowOff>
        </xdr:to>
        <xdr:sp macro="" textlink="">
          <xdr:nvSpPr>
            <xdr:cNvPr id="19459" name="G1Chk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1226820</xdr:colOff>
          <xdr:row>16</xdr:row>
          <xdr:rowOff>7620</xdr:rowOff>
        </xdr:from>
        <xdr:to>
          <xdr:col>12</xdr:col>
          <xdr:colOff>7620</xdr:colOff>
          <xdr:row>17</xdr:row>
          <xdr:rowOff>7620</xdr:rowOff>
        </xdr:to>
        <xdr:sp macro="" textlink="">
          <xdr:nvSpPr>
            <xdr:cNvPr id="19460" name="G2Chk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1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1234440</xdr:colOff>
          <xdr:row>18</xdr:row>
          <xdr:rowOff>7620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9461" name="G3Chk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1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1234440</xdr:colOff>
          <xdr:row>20</xdr:row>
          <xdr:rowOff>7620</xdr:rowOff>
        </xdr:from>
        <xdr:to>
          <xdr:col>12</xdr:col>
          <xdr:colOff>0</xdr:colOff>
          <xdr:row>21</xdr:row>
          <xdr:rowOff>7620</xdr:rowOff>
        </xdr:to>
        <xdr:sp macro="" textlink="">
          <xdr:nvSpPr>
            <xdr:cNvPr id="19462" name="G4Chk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1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1234440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9463" name="G5Chk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1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</xdr:row>
          <xdr:rowOff>45720</xdr:rowOff>
        </xdr:from>
        <xdr:to>
          <xdr:col>6</xdr:col>
          <xdr:colOff>556260</xdr:colOff>
          <xdr:row>6</xdr:row>
          <xdr:rowOff>190500</xdr:rowOff>
        </xdr:to>
        <xdr:sp macro="" textlink="">
          <xdr:nvSpPr>
            <xdr:cNvPr id="19464" name="G_YieldLT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1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</xdr:row>
          <xdr:rowOff>60960</xdr:rowOff>
        </xdr:from>
        <xdr:to>
          <xdr:col>6</xdr:col>
          <xdr:colOff>556260</xdr:colOff>
          <xdr:row>8</xdr:row>
          <xdr:rowOff>7620</xdr:rowOff>
        </xdr:to>
        <xdr:sp macro="" textlink="">
          <xdr:nvSpPr>
            <xdr:cNvPr id="19465" name="G_InfPercent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1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xdr:twoCellAnchor editAs="oneCell">
    <xdr:from>
      <xdr:col>31</xdr:col>
      <xdr:colOff>160020</xdr:colOff>
      <xdr:row>18</xdr:row>
      <xdr:rowOff>144780</xdr:rowOff>
    </xdr:from>
    <xdr:to>
      <xdr:col>32</xdr:col>
      <xdr:colOff>198033</xdr:colOff>
      <xdr:row>21</xdr:row>
      <xdr:rowOff>12707</xdr:rowOff>
    </xdr:to>
    <xdr:pic>
      <xdr:nvPicPr>
        <xdr:cNvPr id="16" name="OrangeCorpus" descr="Orange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91800" y="3810000"/>
          <a:ext cx="274233" cy="477527"/>
        </a:xfrm>
        <a:prstGeom prst="rect">
          <a:avLst/>
        </a:prstGeom>
      </xdr:spPr>
    </xdr:pic>
    <xdr:clientData/>
  </xdr:twoCellAnchor>
  <xdr:twoCellAnchor editAs="absolute">
    <xdr:from>
      <xdr:col>31</xdr:col>
      <xdr:colOff>185420</xdr:colOff>
      <xdr:row>1</xdr:row>
      <xdr:rowOff>60960</xdr:rowOff>
    </xdr:from>
    <xdr:to>
      <xdr:col>32</xdr:col>
      <xdr:colOff>218353</xdr:colOff>
      <xdr:row>2</xdr:row>
      <xdr:rowOff>100233</xdr:rowOff>
    </xdr:to>
    <xdr:pic>
      <xdr:nvPicPr>
        <xdr:cNvPr id="17" name="RedCorpus" descr="Red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17200" y="114300"/>
          <a:ext cx="269153" cy="473613"/>
        </a:xfrm>
        <a:prstGeom prst="rect">
          <a:avLst/>
        </a:prstGeom>
      </xdr:spPr>
    </xdr:pic>
    <xdr:clientData/>
  </xdr:twoCellAnchor>
  <xdr:twoCellAnchor editAs="oneCell">
    <xdr:from>
      <xdr:col>31</xdr:col>
      <xdr:colOff>83820</xdr:colOff>
      <xdr:row>14</xdr:row>
      <xdr:rowOff>184785</xdr:rowOff>
    </xdr:from>
    <xdr:to>
      <xdr:col>32</xdr:col>
      <xdr:colOff>121833</xdr:colOff>
      <xdr:row>17</xdr:row>
      <xdr:rowOff>68799</xdr:rowOff>
    </xdr:to>
    <xdr:pic>
      <xdr:nvPicPr>
        <xdr:cNvPr id="18" name="BlueCorpus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15600" y="3057525"/>
          <a:ext cx="274233" cy="478374"/>
        </a:xfrm>
        <a:prstGeom prst="rect">
          <a:avLst/>
        </a:prstGeom>
      </xdr:spPr>
    </xdr:pic>
    <xdr:clientData/>
  </xdr:twoCellAnchor>
  <xdr:twoCellAnchor editAs="oneCell">
    <xdr:from>
      <xdr:col>34</xdr:col>
      <xdr:colOff>213360</xdr:colOff>
      <xdr:row>8</xdr:row>
      <xdr:rowOff>49530</xdr:rowOff>
    </xdr:from>
    <xdr:to>
      <xdr:col>36</xdr:col>
      <xdr:colOff>4997</xdr:colOff>
      <xdr:row>10</xdr:row>
      <xdr:rowOff>134480</xdr:rowOff>
    </xdr:to>
    <xdr:pic>
      <xdr:nvPicPr>
        <xdr:cNvPr id="19" name="GreenCorpus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53800" y="1733550"/>
          <a:ext cx="264077" cy="481190"/>
        </a:xfrm>
        <a:prstGeom prst="rect">
          <a:avLst/>
        </a:prstGeom>
      </xdr:spPr>
    </xdr:pic>
    <xdr:clientData/>
  </xdr:twoCellAnchor>
  <xdr:twoCellAnchor editAs="oneCell">
    <xdr:from>
      <xdr:col>32</xdr:col>
      <xdr:colOff>190500</xdr:colOff>
      <xdr:row>4</xdr:row>
      <xdr:rowOff>81280</xdr:rowOff>
    </xdr:from>
    <xdr:to>
      <xdr:col>33</xdr:col>
      <xdr:colOff>223435</xdr:colOff>
      <xdr:row>6</xdr:row>
      <xdr:rowOff>163414</xdr:rowOff>
    </xdr:to>
    <xdr:pic>
      <xdr:nvPicPr>
        <xdr:cNvPr id="20" name="PurpleCorpus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8500" y="965200"/>
          <a:ext cx="269155" cy="485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68580</xdr:colOff>
          <xdr:row>6</xdr:row>
          <xdr:rowOff>15240</xdr:rowOff>
        </xdr:from>
        <xdr:to>
          <xdr:col>11</xdr:col>
          <xdr:colOff>182880</xdr:colOff>
          <xdr:row>7</xdr:row>
          <xdr:rowOff>0</xdr:rowOff>
        </xdr:to>
        <xdr:sp macro="" textlink="">
          <xdr:nvSpPr>
            <xdr:cNvPr id="19466" name="C_Rate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1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10</xdr:row>
          <xdr:rowOff>22860</xdr:rowOff>
        </xdr:from>
        <xdr:to>
          <xdr:col>1</xdr:col>
          <xdr:colOff>670560</xdr:colOff>
          <xdr:row>10</xdr:row>
          <xdr:rowOff>175260</xdr:rowOff>
        </xdr:to>
        <xdr:sp macro="" textlink="">
          <xdr:nvSpPr>
            <xdr:cNvPr id="19457" name="ClrCorpusBtn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5</xdr:row>
          <xdr:rowOff>30480</xdr:rowOff>
        </xdr:from>
        <xdr:to>
          <xdr:col>6</xdr:col>
          <xdr:colOff>556260</xdr:colOff>
          <xdr:row>5</xdr:row>
          <xdr:rowOff>175260</xdr:rowOff>
        </xdr:to>
        <xdr:sp macro="" textlink="">
          <xdr:nvSpPr>
            <xdr:cNvPr id="19468" name="G_YieldST" hidden="1">
              <a:extLst>
                <a:ext uri="{63B3BB69-23CF-44E3-9099-C40C66FF867C}">
                  <a14:compatExt spid="_x0000_s19468"/>
                </a:ext>
                <a:ext uri="{FF2B5EF4-FFF2-40B4-BE49-F238E27FC236}">
                  <a16:creationId xmlns:a16="http://schemas.microsoft.com/office/drawing/2014/main" id="{00000000-0008-0000-0100-00000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388620</xdr:colOff>
          <xdr:row>26</xdr:row>
          <xdr:rowOff>0</xdr:rowOff>
        </xdr:from>
        <xdr:to>
          <xdr:col>12</xdr:col>
          <xdr:colOff>929640</xdr:colOff>
          <xdr:row>27</xdr:row>
          <xdr:rowOff>15240</xdr:rowOff>
        </xdr:to>
        <xdr:sp macro="" textlink="">
          <xdr:nvSpPr>
            <xdr:cNvPr id="19483" name="btnPrint" hidden="1">
              <a:extLst>
                <a:ext uri="{63B3BB69-23CF-44E3-9099-C40C66FF867C}">
                  <a14:compatExt spid="_x0000_s19483"/>
                </a:ext>
                <a:ext uri="{FF2B5EF4-FFF2-40B4-BE49-F238E27FC236}">
                  <a16:creationId xmlns:a16="http://schemas.microsoft.com/office/drawing/2014/main" id="{00000000-0008-0000-0100-00001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ctrlProp" Target="../ctrlProps/ctrlProp3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Relationship Id="rId1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3" Type="http://schemas.openxmlformats.org/officeDocument/2006/relationships/vmlDrawing" Target="../drawings/vmlDrawing3.vml"/><Relationship Id="rId7" Type="http://schemas.openxmlformats.org/officeDocument/2006/relationships/control" Target="../activeX/activeX6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8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12.emf"/><Relationship Id="rId11" Type="http://schemas.openxmlformats.org/officeDocument/2006/relationships/image" Target="../media/image14.emf"/><Relationship Id="rId5" Type="http://schemas.openxmlformats.org/officeDocument/2006/relationships/control" Target="../activeX/activeX5.xml"/><Relationship Id="rId15" Type="http://schemas.openxmlformats.org/officeDocument/2006/relationships/ctrlProp" Target="../ctrlProps/ctrlProp7.xml"/><Relationship Id="rId10" Type="http://schemas.openxmlformats.org/officeDocument/2006/relationships/control" Target="../activeX/activeX8.xml"/><Relationship Id="rId19" Type="http://schemas.openxmlformats.org/officeDocument/2006/relationships/ctrlProp" Target="../ctrlProps/ctrlProp11.xml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7.xml"/><Relationship Id="rId1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  <pageSetUpPr fitToPage="1"/>
  </sheetPr>
  <dimension ref="A1:BG1225"/>
  <sheetViews>
    <sheetView showGridLines="0" tabSelected="1" zoomScale="85" zoomScaleNormal="85" workbookViewId="0">
      <selection activeCell="H4" sqref="H4"/>
    </sheetView>
  </sheetViews>
  <sheetFormatPr defaultColWidth="0" defaultRowHeight="13.2" zeroHeight="1" x14ac:dyDescent="0.25"/>
  <cols>
    <col min="1" max="1" width="1.88671875" style="1" customWidth="1"/>
    <col min="2" max="2" width="11.33203125" style="1" customWidth="1"/>
    <col min="3" max="3" width="18" style="1" customWidth="1"/>
    <col min="4" max="4" width="9.5546875" style="1" customWidth="1"/>
    <col min="5" max="5" width="0.6640625" style="1" customWidth="1"/>
    <col min="6" max="6" width="18" style="1" customWidth="1"/>
    <col min="7" max="7" width="0.5546875" style="1" customWidth="1"/>
    <col min="8" max="8" width="18" style="1" customWidth="1"/>
    <col min="9" max="9" width="1" style="1" customWidth="1"/>
    <col min="10" max="10" width="18" style="1" customWidth="1"/>
    <col min="11" max="11" width="1.6640625" style="1" customWidth="1"/>
    <col min="12" max="12" width="18" style="1" customWidth="1"/>
    <col min="13" max="13" width="1.109375" style="1" customWidth="1"/>
    <col min="14" max="14" width="6" style="1" hidden="1" customWidth="1"/>
    <col min="15" max="15" width="15.109375" style="1" hidden="1" customWidth="1"/>
    <col min="16" max="16" width="11.88671875" style="1" hidden="1" customWidth="1"/>
    <col min="17" max="18" width="14.44140625" style="1" hidden="1" customWidth="1"/>
    <col min="19" max="19" width="14.33203125" style="1" hidden="1" customWidth="1"/>
    <col min="20" max="20" width="14.21875" style="1" hidden="1" customWidth="1"/>
    <col min="21" max="21" width="12.88671875" style="1" hidden="1" customWidth="1"/>
    <col min="22" max="22" width="11.44140625" style="1" hidden="1" customWidth="1"/>
    <col min="23" max="23" width="12.88671875" style="1" hidden="1" customWidth="1"/>
    <col min="24" max="24" width="6" style="1" hidden="1" customWidth="1"/>
    <col min="25" max="25" width="8.77734375" style="1" hidden="1" customWidth="1"/>
    <col min="26" max="26" width="6" style="1" hidden="1" customWidth="1"/>
    <col min="27" max="27" width="4.109375" style="1" customWidth="1"/>
    <col min="28" max="28" width="22.5546875" style="1" customWidth="1"/>
    <col min="29" max="31" width="2.5546875" style="1" customWidth="1"/>
    <col min="32" max="36" width="3.44140625" style="1" customWidth="1"/>
    <col min="37" max="38" width="6" style="1" customWidth="1"/>
    <col min="39" max="39" width="8.88671875" style="1" customWidth="1"/>
    <col min="40" max="40" width="10.44140625" style="1" customWidth="1"/>
    <col min="41" max="41" width="7.6640625" style="1" customWidth="1"/>
    <col min="42" max="42" width="2" style="1" customWidth="1"/>
    <col min="43" max="43" width="14.44140625" style="1" hidden="1" customWidth="1"/>
    <col min="44" max="47" width="6" style="1" hidden="1" customWidth="1"/>
    <col min="48" max="48" width="7.21875" style="1" hidden="1" customWidth="1"/>
    <col min="49" max="49" width="10.33203125" style="1" hidden="1" customWidth="1"/>
    <col min="50" max="50" width="17.77734375" style="1" hidden="1" customWidth="1"/>
    <col min="51" max="51" width="10.33203125" style="1" hidden="1" customWidth="1"/>
    <col min="52" max="52" width="23.5546875" style="1" hidden="1" customWidth="1"/>
    <col min="53" max="53" width="10.33203125" style="1" hidden="1" customWidth="1"/>
    <col min="54" max="54" width="7.6640625" style="1" hidden="1" customWidth="1"/>
    <col min="55" max="55" width="10.33203125" style="1" hidden="1" customWidth="1"/>
    <col min="56" max="56" width="6.77734375" style="1" hidden="1" customWidth="1"/>
    <col min="57" max="57" width="10.33203125" style="1" hidden="1" customWidth="1"/>
    <col min="58" max="59" width="8.33203125" style="1" hidden="1" customWidth="1"/>
    <col min="60" max="16384" width="6" style="1" hidden="1"/>
  </cols>
  <sheetData>
    <row r="1" spans="1:53" ht="7.5" customHeight="1" thickBo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</row>
    <row r="2" spans="1:53" ht="34.5" customHeight="1" x14ac:dyDescent="0.25">
      <c r="A2" s="188" t="s">
        <v>3</v>
      </c>
      <c r="B2" s="188"/>
      <c r="C2" s="188"/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3"/>
      <c r="O2" s="3">
        <f>G6</f>
        <v>5</v>
      </c>
      <c r="P2" s="3"/>
      <c r="Q2" s="3"/>
      <c r="R2" s="3"/>
      <c r="S2" s="3"/>
      <c r="T2" s="3"/>
      <c r="U2" s="3"/>
      <c r="V2" s="3"/>
      <c r="W2" s="3"/>
      <c r="X2" s="3"/>
      <c r="Y2" s="3"/>
      <c r="Z2" s="2"/>
      <c r="AA2" s="10"/>
      <c r="AB2" s="52" t="s">
        <v>23</v>
      </c>
      <c r="AC2" s="11"/>
      <c r="AD2" s="11"/>
      <c r="AE2" s="11"/>
      <c r="AF2" s="11"/>
      <c r="AG2" s="11"/>
      <c r="AH2" s="23"/>
      <c r="AI2" s="23"/>
      <c r="AJ2" s="42" t="s">
        <v>9</v>
      </c>
      <c r="AK2" s="11"/>
      <c r="AL2" s="23"/>
      <c r="AM2" s="23"/>
      <c r="AN2" s="23"/>
      <c r="AO2" s="24"/>
      <c r="AP2" s="2"/>
      <c r="AU2" s="120" t="s">
        <v>35</v>
      </c>
      <c r="AX2" s="1" t="s">
        <v>54</v>
      </c>
    </row>
    <row r="3" spans="1:53" customFormat="1" ht="15.6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8">
        <f>IF(Goal5&lt;=0,0,Term5)</f>
        <v>25</v>
      </c>
      <c r="S3" s="8" t="str">
        <f>$B$23</f>
        <v>Marriage</v>
      </c>
      <c r="T3" s="171">
        <f>InfGoal5</f>
        <v>50000000</v>
      </c>
      <c r="U3" s="171">
        <f>$H$23</f>
        <v>18138.544377630071</v>
      </c>
      <c r="V3" s="171">
        <f>$J$23</f>
        <v>1518881.8604739548</v>
      </c>
      <c r="W3" s="171">
        <f>$L$23</f>
        <v>6726060.970443815</v>
      </c>
      <c r="X3" s="3"/>
      <c r="Y3" s="3"/>
      <c r="Z3" s="2"/>
      <c r="AA3" s="12"/>
      <c r="AB3" s="8"/>
      <c r="AC3" s="8"/>
      <c r="AD3" s="8"/>
      <c r="AE3" s="8"/>
      <c r="AF3" s="8"/>
      <c r="AG3" s="8"/>
      <c r="AH3" s="8"/>
      <c r="AI3" s="8"/>
      <c r="AJ3" s="8" t="s">
        <v>57</v>
      </c>
      <c r="AK3" s="8"/>
      <c r="AL3" s="8"/>
      <c r="AM3" s="8"/>
      <c r="AN3" s="8"/>
      <c r="AO3" s="25"/>
      <c r="AP3" s="2"/>
      <c r="AQ3" s="1"/>
      <c r="AR3" s="1"/>
      <c r="AS3" s="117">
        <v>1</v>
      </c>
      <c r="AT3" s="1">
        <f>IF(Goal1&lt;=0,0,Term1)</f>
        <v>10</v>
      </c>
      <c r="AU3" s="119" cm="1">
        <f t="array" ref="AU3">IFERROR(_xlfn.AGGREGATE(15,6,(ROW($AT$3:$AT$7)-ROW($AT$3)+1)/($AT$3:$AT$7&lt;&gt;0),ROWS($AV$3:AV3)),"")</f>
        <v>1</v>
      </c>
      <c r="AV3" s="118" cm="1">
        <f t="array" ref="AV3">IFERROR(INDEX($AT$3:$AT$7,_xlfn.AGGREGATE(15,6,(ROW($AT$3:$AT$7)-ROW($AT$3)+1)/($AT$3:$AT$7&lt;&gt;0),ROWS($AV$3:AV3))),"")</f>
        <v>10</v>
      </c>
      <c r="AW3" s="1"/>
      <c r="AX3" s="130" cm="1">
        <f t="array" ref="AX3:AY7">_xlfn._xlws.SORT($AU$3:$AV$7,2,1,FALSE)</f>
        <v>4</v>
      </c>
      <c r="AY3" s="131">
        <v>5</v>
      </c>
      <c r="BA3" s="123"/>
    </row>
    <row r="4" spans="1:53" ht="15.6" x14ac:dyDescent="0.25">
      <c r="A4" s="2"/>
      <c r="B4" s="189" t="s">
        <v>12</v>
      </c>
      <c r="C4" s="189"/>
      <c r="D4" s="211" t="s">
        <v>98</v>
      </c>
      <c r="E4" s="211"/>
      <c r="F4" s="211"/>
      <c r="G4" s="34"/>
      <c r="H4" s="35">
        <v>43</v>
      </c>
      <c r="I4" s="2"/>
      <c r="J4" s="2" t="s">
        <v>13</v>
      </c>
      <c r="K4" s="2"/>
      <c r="L4" s="2"/>
      <c r="M4" s="2"/>
      <c r="N4" s="3"/>
      <c r="O4" s="2"/>
      <c r="P4" s="2"/>
      <c r="Q4" s="2"/>
      <c r="R4" s="8">
        <f>IF(Goal3&lt;=0,0,Term3)</f>
        <v>12</v>
      </c>
      <c r="S4" s="8" t="str">
        <f>$B$19</f>
        <v>House2</v>
      </c>
      <c r="T4" s="172">
        <f>InfGoal3</f>
        <v>130000000</v>
      </c>
      <c r="U4" s="172">
        <f>$H$19</f>
        <v>346027.15793695109</v>
      </c>
      <c r="V4" s="172">
        <f>$J$19</f>
        <v>24297929.524266593</v>
      </c>
      <c r="W4" s="172">
        <f>$L$19</f>
        <v>20854348.606094986</v>
      </c>
      <c r="X4" s="3"/>
      <c r="Y4" s="3"/>
      <c r="Z4" s="2"/>
      <c r="AA4" s="12"/>
      <c r="AB4" s="9"/>
      <c r="AC4" s="9"/>
      <c r="AD4" s="9"/>
      <c r="AE4" s="9"/>
      <c r="AF4" s="9"/>
      <c r="AG4" s="9"/>
      <c r="AH4" s="8"/>
      <c r="AI4" s="8"/>
      <c r="AJ4" s="8" t="s">
        <v>99</v>
      </c>
      <c r="AK4" s="9"/>
      <c r="AL4" s="8"/>
      <c r="AM4" s="8"/>
      <c r="AN4" s="8"/>
      <c r="AO4" s="25"/>
      <c r="AP4" s="2"/>
      <c r="AS4" s="117">
        <v>2</v>
      </c>
      <c r="AT4" s="1">
        <f>IF(Goal2&lt;=0,0,Term2)</f>
        <v>8</v>
      </c>
      <c r="AU4" s="119" cm="1">
        <f t="array" ref="AU4">IFERROR(_xlfn.AGGREGATE(15,6,(ROW($AT$3:$AT$7)-ROW($AT$3)+1)/($AT$3:$AT$7&lt;&gt;0),ROWS($AV$3:AV4)),"")</f>
        <v>2</v>
      </c>
      <c r="AV4" s="118" cm="1">
        <f t="array" ref="AV4">IFERROR(INDEX($AT$3:$AT$7,_xlfn.AGGREGATE(15,6,(ROW($AT$3:$AT$7)-ROW($AT$3)+1)/($AT$3:$AT$7&lt;&gt;0),ROWS($AV$3:AV4))),"")</f>
        <v>8</v>
      </c>
      <c r="AX4" s="131">
        <v>2</v>
      </c>
      <c r="AY4" s="131">
        <v>8</v>
      </c>
    </row>
    <row r="5" spans="1:53" ht="15.6" x14ac:dyDescent="0.25">
      <c r="A5" s="2"/>
      <c r="B5" s="4"/>
      <c r="C5" s="4"/>
      <c r="D5" s="4"/>
      <c r="E5" s="3"/>
      <c r="F5" s="3"/>
      <c r="G5" s="3"/>
      <c r="H5" s="3"/>
      <c r="I5" s="3"/>
      <c r="J5" s="3"/>
      <c r="K5" s="3"/>
      <c r="L5" s="3"/>
      <c r="M5" s="3"/>
      <c r="N5" s="3"/>
      <c r="O5" s="2"/>
      <c r="P5" s="2"/>
      <c r="Q5" s="2"/>
      <c r="R5" s="9">
        <f>IF(Goal1&lt;=0,0,Term1)</f>
        <v>10</v>
      </c>
      <c r="S5" s="18" t="str">
        <f>B$15</f>
        <v>Education</v>
      </c>
      <c r="T5" s="172">
        <f>InfGoal1</f>
        <v>5000000</v>
      </c>
      <c r="U5" s="172">
        <f>$H$15</f>
        <v>19010.092364804936</v>
      </c>
      <c r="V5" s="172">
        <f>$J$15</f>
        <v>1235923.5306093292</v>
      </c>
      <c r="W5" s="172">
        <f>$L$15</f>
        <v>866313.31529385084</v>
      </c>
      <c r="X5" s="3"/>
      <c r="Y5" s="3"/>
      <c r="Z5" s="2"/>
      <c r="AA5" s="12"/>
      <c r="AB5" s="8"/>
      <c r="AC5" s="9"/>
      <c r="AD5" s="9"/>
      <c r="AE5" s="9"/>
      <c r="AF5" s="9"/>
      <c r="AG5" s="9"/>
      <c r="AH5" s="8"/>
      <c r="AI5" s="8"/>
      <c r="AJ5" s="8" t="s">
        <v>104</v>
      </c>
      <c r="AK5" s="9"/>
      <c r="AL5" s="8"/>
      <c r="AM5" s="8"/>
      <c r="AN5" s="8"/>
      <c r="AO5" s="25"/>
      <c r="AP5" s="2"/>
      <c r="AS5" s="117">
        <v>3</v>
      </c>
      <c r="AT5" s="1">
        <f>IF(Goal3&lt;=0,0,Term3)</f>
        <v>12</v>
      </c>
      <c r="AU5" s="119" cm="1">
        <f t="array" ref="AU5">IFERROR(_xlfn.AGGREGATE(15,6,(ROW($AT$3:$AT$7)-ROW($AT$3)+1)/($AT$3:$AT$7&lt;&gt;0),ROWS($AV$3:AV5)),"")</f>
        <v>3</v>
      </c>
      <c r="AV5" s="118" cm="1">
        <f t="array" ref="AV5">IFERROR(INDEX($AT$3:$AT$7,_xlfn.AGGREGATE(15,6,(ROW($AT$3:$AT$7)-ROW($AT$3)+1)/($AT$3:$AT$7&lt;&gt;0),ROWS($AV$3:AV5))),"")</f>
        <v>12</v>
      </c>
      <c r="AX5" s="131">
        <v>1</v>
      </c>
      <c r="AY5" s="131">
        <v>10</v>
      </c>
    </row>
    <row r="6" spans="1:53" ht="15.6" x14ac:dyDescent="0.25">
      <c r="A6" s="2"/>
      <c r="B6" s="193" t="s">
        <v>21</v>
      </c>
      <c r="C6" s="193"/>
      <c r="D6" s="70">
        <v>7.0000000000000007E-2</v>
      </c>
      <c r="E6" s="3"/>
      <c r="F6" s="3"/>
      <c r="G6" s="212">
        <v>5</v>
      </c>
      <c r="H6" s="212"/>
      <c r="I6" s="3"/>
      <c r="J6" s="90" t="s">
        <v>5</v>
      </c>
      <c r="K6" s="3"/>
      <c r="L6" s="3"/>
      <c r="M6" s="3"/>
      <c r="N6" s="3"/>
      <c r="O6" s="8">
        <v>700</v>
      </c>
      <c r="P6" s="14">
        <f>(1+YieldSTRate)-1</f>
        <v>7.0000000000000062E-2</v>
      </c>
      <c r="Q6" s="2"/>
      <c r="R6" s="9">
        <f>IF(Goal2&lt;=0,0,Term2)</f>
        <v>8</v>
      </c>
      <c r="S6" s="8" t="str">
        <f>$B$17</f>
        <v>House1</v>
      </c>
      <c r="T6" s="172">
        <f>InfGoal2</f>
        <v>8000000</v>
      </c>
      <c r="U6" s="172">
        <f>$H$17</f>
        <v>44989.366489508058</v>
      </c>
      <c r="V6" s="172">
        <f>$J$17</f>
        <v>2615214.1907693404</v>
      </c>
      <c r="W6" s="172">
        <f>$L$17</f>
        <v>1550261.4927870706</v>
      </c>
      <c r="X6" s="3"/>
      <c r="Y6" s="3"/>
      <c r="Z6" s="2"/>
      <c r="AA6" s="12"/>
      <c r="AB6" s="111" t="s">
        <v>39</v>
      </c>
      <c r="AC6" s="9"/>
      <c r="AD6" s="9"/>
      <c r="AE6" s="9"/>
      <c r="AF6" s="9"/>
      <c r="AG6" s="9"/>
      <c r="AH6" s="8"/>
      <c r="AI6" s="8"/>
      <c r="AJ6" s="8" t="s">
        <v>105</v>
      </c>
      <c r="AK6" s="9"/>
      <c r="AL6" s="8"/>
      <c r="AM6" s="8"/>
      <c r="AN6" s="8"/>
      <c r="AO6" s="25"/>
      <c r="AP6" s="2"/>
      <c r="AS6" s="117">
        <v>4</v>
      </c>
      <c r="AT6" s="1">
        <f>IF(Goal4&lt;=0,0,Term4)</f>
        <v>5</v>
      </c>
      <c r="AU6" s="119" cm="1">
        <f t="array" ref="AU6">IFERROR(_xlfn.AGGREGATE(15,6,(ROW($AT$3:$AT$7)-ROW($AT$3)+1)/($AT$3:$AT$7&lt;&gt;0),ROWS($AV$3:AV6)),"")</f>
        <v>4</v>
      </c>
      <c r="AV6" s="118" cm="1">
        <f t="array" ref="AV6">IFERROR(INDEX($AT$3:$AT$7,_xlfn.AGGREGATE(15,6,(ROW($AT$3:$AT$7)-ROW($AT$3)+1)/($AT$3:$AT$7&lt;&gt;0),ROWS($AV$3:AV6))),"")</f>
        <v>5</v>
      </c>
      <c r="AX6" s="131">
        <v>3</v>
      </c>
      <c r="AY6" s="131">
        <v>12</v>
      </c>
    </row>
    <row r="7" spans="1:53" ht="15.6" x14ac:dyDescent="0.25">
      <c r="A7" s="2"/>
      <c r="B7" s="191" t="s">
        <v>20</v>
      </c>
      <c r="C7" s="191"/>
      <c r="D7" s="70">
        <v>0.15</v>
      </c>
      <c r="E7" s="3"/>
      <c r="F7" s="3"/>
      <c r="G7" s="198" t="str">
        <f>"&gt; " &amp; G6 &amp; " years"</f>
        <v>&gt; 5 years</v>
      </c>
      <c r="H7" s="198"/>
      <c r="I7" s="3"/>
      <c r="J7" s="72">
        <v>12</v>
      </c>
      <c r="K7" s="7" t="s">
        <v>0</v>
      </c>
      <c r="L7" s="3"/>
      <c r="M7" s="3"/>
      <c r="N7" s="3"/>
      <c r="O7" s="8">
        <v>1200</v>
      </c>
      <c r="P7" s="14">
        <f>(1+YieldLTRate)-1</f>
        <v>0.14999999999999991</v>
      </c>
      <c r="Q7" s="3"/>
      <c r="R7" s="8">
        <f>IF(Goal4&lt;=0,0,Term4)</f>
        <v>5</v>
      </c>
      <c r="S7" s="8" t="str">
        <f>$B$21</f>
        <v>Car</v>
      </c>
      <c r="T7" s="171">
        <f>InfGoal4</f>
        <v>4800000</v>
      </c>
      <c r="U7" s="172">
        <f>$H$21</f>
        <v>67040.595382055923</v>
      </c>
      <c r="V7" s="171">
        <f>$J$21</f>
        <v>3422333.661521608</v>
      </c>
      <c r="W7" s="171">
        <f>$L$21</f>
        <v>1094089.0965594379</v>
      </c>
      <c r="X7" s="3"/>
      <c r="Y7" s="3"/>
      <c r="Z7" s="2"/>
      <c r="AA7" s="12"/>
      <c r="AB7" s="9" t="s">
        <v>53</v>
      </c>
      <c r="AC7" s="9"/>
      <c r="AD7" s="9"/>
      <c r="AE7" s="9"/>
      <c r="AF7" s="9"/>
      <c r="AG7" s="9"/>
      <c r="AH7" s="9"/>
      <c r="AI7" s="8"/>
      <c r="AJ7" s="8" t="s">
        <v>106</v>
      </c>
      <c r="AK7" s="9"/>
      <c r="AL7" s="8"/>
      <c r="AM7" s="8"/>
      <c r="AN7" s="8"/>
      <c r="AO7" s="25"/>
      <c r="AP7" s="2"/>
      <c r="AS7" s="117">
        <v>5</v>
      </c>
      <c r="AT7" s="1">
        <f>IF(Goal5&lt;=0,0,Term5)</f>
        <v>25</v>
      </c>
      <c r="AU7" s="119" cm="1">
        <f t="array" ref="AU7">IFERROR(_xlfn.AGGREGATE(15,6,(ROW($AT$3:$AT$7)-ROW($AT$3)+1)/($AT$3:$AT$7&lt;&gt;0),ROWS($AV$3:AV7)),"")</f>
        <v>5</v>
      </c>
      <c r="AV7" s="118" cm="1">
        <f t="array" ref="AV7">IFERROR(INDEX($AT$3:$AT$7,_xlfn.AGGREGATE(15,6,(ROW($AT$3:$AT$7)-ROW($AT$3)+1)/($AT$3:$AT$7&lt;&gt;0),ROWS($AV$3:AV7))),"")</f>
        <v>25</v>
      </c>
      <c r="AX7" s="131">
        <v>5</v>
      </c>
      <c r="AY7" s="131">
        <v>25</v>
      </c>
    </row>
    <row r="8" spans="1:53" s="6" customFormat="1" ht="15.75" customHeight="1" x14ac:dyDescent="0.25">
      <c r="A8" s="2"/>
      <c r="B8" s="192" t="s">
        <v>2</v>
      </c>
      <c r="C8" s="192"/>
      <c r="D8" s="71">
        <v>0</v>
      </c>
      <c r="E8" s="3"/>
      <c r="F8" s="3"/>
      <c r="G8" s="3"/>
      <c r="H8" s="3"/>
      <c r="I8" s="3"/>
      <c r="K8" s="3"/>
      <c r="L8" s="3"/>
      <c r="M8" s="3"/>
      <c r="N8" s="3"/>
      <c r="O8" s="8">
        <v>0</v>
      </c>
      <c r="P8" s="3"/>
      <c r="Q8" s="3"/>
      <c r="R8" s="2"/>
      <c r="S8" s="2"/>
      <c r="T8" s="2"/>
      <c r="U8" s="2"/>
      <c r="V8" s="2"/>
      <c r="W8" s="2"/>
      <c r="X8" s="3"/>
      <c r="Y8" s="3"/>
      <c r="Z8" s="2"/>
      <c r="AA8" s="12"/>
      <c r="AB8" s="19" t="s">
        <v>101</v>
      </c>
      <c r="AC8" s="16"/>
      <c r="AD8" s="9"/>
      <c r="AE8" s="9"/>
      <c r="AF8" s="9"/>
      <c r="AG8" s="9"/>
      <c r="AH8" s="9"/>
      <c r="AI8" s="9"/>
      <c r="AJ8" s="9"/>
      <c r="AK8" s="9"/>
      <c r="AL8" s="8"/>
      <c r="AM8" s="8"/>
      <c r="AN8" s="26"/>
      <c r="AO8" s="27"/>
      <c r="AP8" s="2"/>
    </row>
    <row r="9" spans="1:53" s="6" customFormat="1" ht="15.75" customHeight="1" x14ac:dyDescent="0.25">
      <c r="A9" s="3"/>
      <c r="B9" s="202" t="s">
        <v>55</v>
      </c>
      <c r="C9" s="202"/>
      <c r="D9" s="135">
        <v>0</v>
      </c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169">
        <f>COUNTIF(R3:R7,"&gt;0")</f>
        <v>5</v>
      </c>
      <c r="S9" s="2"/>
      <c r="T9" s="2"/>
      <c r="U9" s="2"/>
      <c r="V9" s="2"/>
      <c r="W9" s="2"/>
      <c r="X9" s="3"/>
      <c r="Y9" s="3"/>
      <c r="Z9" s="2"/>
      <c r="AA9" s="12"/>
      <c r="AB9" s="9" t="s">
        <v>107</v>
      </c>
      <c r="AC9" s="16"/>
      <c r="AD9" s="9"/>
      <c r="AE9" s="9"/>
      <c r="AF9" s="9"/>
      <c r="AG9" s="9"/>
      <c r="AH9" s="9"/>
      <c r="AI9" s="9"/>
      <c r="AJ9" s="9"/>
      <c r="AK9" s="9"/>
      <c r="AL9" s="8"/>
      <c r="AM9" s="8"/>
      <c r="AN9" s="26"/>
      <c r="AO9" s="27"/>
      <c r="AP9" s="2"/>
      <c r="AU9" s="115" t="s">
        <v>33</v>
      </c>
      <c r="AV9" s="115">
        <f>COUNTIFS($AV$3:$AV$7,"&lt;=5")</f>
        <v>1</v>
      </c>
    </row>
    <row r="10" spans="1:53" s="6" customFormat="1" ht="15.6" x14ac:dyDescent="0.25">
      <c r="A10" s="2"/>
      <c r="B10" s="4"/>
      <c r="C10" s="4"/>
      <c r="D10" s="4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2"/>
      <c r="AA10" s="12"/>
      <c r="AB10" s="9" t="s">
        <v>108</v>
      </c>
      <c r="AC10" s="9"/>
      <c r="AD10" s="9"/>
      <c r="AE10" s="9"/>
      <c r="AF10" s="9"/>
      <c r="AG10" s="9"/>
      <c r="AH10" s="9"/>
      <c r="AI10" s="9"/>
      <c r="AJ10" s="9"/>
      <c r="AK10" s="9"/>
      <c r="AL10" s="8"/>
      <c r="AM10" s="8"/>
      <c r="AN10" s="26"/>
      <c r="AO10" s="27"/>
      <c r="AP10" s="2"/>
      <c r="AU10" s="116" t="s">
        <v>34</v>
      </c>
      <c r="AV10" s="116">
        <f>COUNTIFS($AV$3:$AV$7,"&gt;5")</f>
        <v>4</v>
      </c>
    </row>
    <row r="11" spans="1:53" ht="15.6" x14ac:dyDescent="0.25">
      <c r="A11" s="5"/>
      <c r="B11" s="5"/>
      <c r="C11" s="199" t="s">
        <v>4</v>
      </c>
      <c r="D11" s="199" t="s">
        <v>1</v>
      </c>
      <c r="E11" s="3"/>
      <c r="F11" s="199" t="s">
        <v>8</v>
      </c>
      <c r="G11" s="3"/>
      <c r="H11" s="199" t="s">
        <v>6</v>
      </c>
      <c r="I11" s="3"/>
      <c r="J11" s="199" t="s">
        <v>11</v>
      </c>
      <c r="K11" s="3"/>
      <c r="L11" s="200" t="s">
        <v>89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2"/>
      <c r="AA11" s="12"/>
      <c r="AB11" s="9" t="s">
        <v>109</v>
      </c>
      <c r="AC11" s="9"/>
      <c r="AD11" s="9"/>
      <c r="AE11" s="9"/>
      <c r="AF11" s="9"/>
      <c r="AG11" s="9"/>
      <c r="AH11" s="9"/>
      <c r="AI11" s="31"/>
      <c r="AJ11" s="9"/>
      <c r="AK11" s="9"/>
      <c r="AL11" s="17" t="s">
        <v>17</v>
      </c>
      <c r="AM11" s="8"/>
      <c r="AN11" s="8"/>
      <c r="AO11" s="25"/>
      <c r="AP11" s="2"/>
      <c r="AU11" s="121" t="s">
        <v>36</v>
      </c>
      <c r="AV11" s="121">
        <f>SUM(AV9:AV10)</f>
        <v>5</v>
      </c>
    </row>
    <row r="12" spans="1:53" ht="15.6" x14ac:dyDescent="0.25">
      <c r="A12" s="5"/>
      <c r="B12" s="5"/>
      <c r="C12" s="200"/>
      <c r="D12" s="200"/>
      <c r="E12" s="3"/>
      <c r="F12" s="200"/>
      <c r="G12" s="3"/>
      <c r="H12" s="200"/>
      <c r="I12" s="3"/>
      <c r="J12" s="200"/>
      <c r="K12" s="3"/>
      <c r="L12" s="200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2"/>
      <c r="AA12" s="12"/>
      <c r="AB12" s="9"/>
      <c r="AC12" s="9"/>
      <c r="AD12" s="9"/>
      <c r="AE12" s="9"/>
      <c r="AF12" s="9"/>
      <c r="AG12" s="9"/>
      <c r="AH12" s="9"/>
      <c r="AI12" s="8"/>
      <c r="AJ12" s="9"/>
      <c r="AK12" s="9"/>
      <c r="AL12" s="9" t="s">
        <v>31</v>
      </c>
      <c r="AM12" s="8"/>
      <c r="AN12" s="8"/>
      <c r="AO12" s="25"/>
      <c r="AP12" s="2"/>
    </row>
    <row r="13" spans="1:53" ht="15.6" x14ac:dyDescent="0.25">
      <c r="A13" s="5"/>
      <c r="B13" s="5"/>
      <c r="C13" s="200"/>
      <c r="D13" s="200"/>
      <c r="E13" s="3"/>
      <c r="F13" s="200"/>
      <c r="G13" s="3"/>
      <c r="H13" s="200"/>
      <c r="I13" s="3"/>
      <c r="J13" s="200"/>
      <c r="K13" s="3"/>
      <c r="L13" s="200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2"/>
      <c r="AA13" s="12"/>
      <c r="AB13" s="9"/>
      <c r="AC13" s="9"/>
      <c r="AD13" s="9"/>
      <c r="AE13" s="9"/>
      <c r="AF13" s="9"/>
      <c r="AG13" s="9"/>
      <c r="AH13" s="9"/>
      <c r="AI13" s="8"/>
      <c r="AJ13" s="9"/>
      <c r="AK13" s="9"/>
      <c r="AL13" s="19" t="s">
        <v>102</v>
      </c>
      <c r="AM13" s="8"/>
      <c r="AN13" s="8"/>
      <c r="AO13" s="25"/>
      <c r="AP13" s="2"/>
      <c r="AV13" s="55" t="s">
        <v>37</v>
      </c>
    </row>
    <row r="14" spans="1:53" ht="15.6" x14ac:dyDescent="0.25">
      <c r="A14" s="5"/>
      <c r="B14" s="3"/>
      <c r="C14" s="3"/>
      <c r="D14" s="3"/>
      <c r="E14" s="3"/>
      <c r="F14" s="3"/>
      <c r="G14" s="3"/>
      <c r="H14" s="112"/>
      <c r="I14" s="3"/>
      <c r="J14" s="112"/>
      <c r="K14" s="3"/>
      <c r="L14" s="114"/>
      <c r="M14" s="3"/>
      <c r="N14" s="3"/>
      <c r="O14" s="173" t="s">
        <v>70</v>
      </c>
      <c r="P14" s="175" t="s">
        <v>91</v>
      </c>
      <c r="Q14" s="175" t="s">
        <v>92</v>
      </c>
      <c r="R14" s="175" t="s">
        <v>90</v>
      </c>
      <c r="S14" s="178" t="s">
        <v>93</v>
      </c>
      <c r="T14" s="179" t="s">
        <v>94</v>
      </c>
      <c r="U14" s="179"/>
      <c r="V14" s="175"/>
      <c r="W14" s="175"/>
      <c r="X14" s="3"/>
      <c r="Y14" s="3"/>
      <c r="Z14" s="2"/>
      <c r="AA14" s="12"/>
      <c r="AB14" s="9"/>
      <c r="AC14" s="9"/>
      <c r="AD14" s="9"/>
      <c r="AE14" s="9"/>
      <c r="AF14" s="9"/>
      <c r="AG14" s="9"/>
      <c r="AH14" s="9"/>
      <c r="AI14" s="8"/>
      <c r="AJ14" s="9"/>
      <c r="AK14" s="9"/>
      <c r="AL14" s="9" t="s">
        <v>110</v>
      </c>
      <c r="AM14" s="8"/>
      <c r="AN14" s="8"/>
      <c r="AO14" s="25"/>
      <c r="AP14" s="2"/>
      <c r="AQ14" s="124">
        <f>F15-J15</f>
        <v>3764076.4693906708</v>
      </c>
      <c r="AV14" s="122">
        <f ca="1">IFERROR(AW20,"")</f>
        <v>0.14988511204719546</v>
      </c>
    </row>
    <row r="15" spans="1:53" ht="15.6" x14ac:dyDescent="0.25">
      <c r="A15" s="2"/>
      <c r="B15" s="57" t="s">
        <v>17</v>
      </c>
      <c r="C15" s="58">
        <v>5000000</v>
      </c>
      <c r="D15" s="59">
        <v>10</v>
      </c>
      <c r="E15" s="60"/>
      <c r="F15" s="61">
        <f>Goal1*(1+GInfRate)^Term1</f>
        <v>5000000</v>
      </c>
      <c r="G15" s="60"/>
      <c r="H15" s="61">
        <f>IF(OR(Goal1=0,Goal1="",Term1=0,Term1=""),"",InfGoal1/(((((1+SYldG1)^(Term1*12)-1)/SYldG1)*(1+SYldG1)) - ((((((1+SYldG1)^(Term1*12)-1)/SYldG1)*(1+SYldG1))-(Term1*12))*TaxRate)))</f>
        <v>19010.092364804936</v>
      </c>
      <c r="I15" s="60"/>
      <c r="J15" s="61">
        <f>IF(OR(Goal1=0,Goal1="",Term1=0,Term1=""),"",InfGoal1/( ((1+YldG1)^(Term1))-((((1+YldG1)^(Term1))-1)*TaxRate)))</f>
        <v>1235923.5306093292</v>
      </c>
      <c r="K15" s="3"/>
      <c r="L15" s="73">
        <f>IF(OR(H15="",DelayMonths=0),"",InfGoal1-(H15*(((((1+SYldG1)^(Term1*12-DelayMonths)-1)/SYldG1)*(1+SYldG1))-((((((1+SYldG1)^(Term1*12-DelayMonths)-1)/SYldG1)*(1+SYldG1))-(Term1-DelayMonths*12))*TaxRate))))</f>
        <v>866313.31529385084</v>
      </c>
      <c r="M15" s="3"/>
      <c r="N15" s="2"/>
      <c r="O15" s="174">
        <f>H15*(((((((1+SYldG1)^(Term1*12)-1)/SYldG1)*(1+SYldG1))-(Term1*12))*TaxRate))</f>
        <v>0</v>
      </c>
      <c r="P15" s="174">
        <f>H15*Term1*12</f>
        <v>2281211.0837765923</v>
      </c>
      <c r="Q15" s="176">
        <f>FV(SYldG1,Term1*12,-H15,0,1)</f>
        <v>5000000</v>
      </c>
      <c r="R15" s="176">
        <f>Q15-P15</f>
        <v>2718788.9162234077</v>
      </c>
      <c r="S15" s="180">
        <f>J15*((((1+YldG1)^(Term1))-1)*TaxRate)</f>
        <v>0</v>
      </c>
      <c r="T15" s="181">
        <f>FV(YldG1,Term1,0,-J15,1)-J15</f>
        <v>3764076.4693906708</v>
      </c>
      <c r="U15" s="182">
        <f>T15*12.5%</f>
        <v>470509.55867383385</v>
      </c>
      <c r="V15" s="177"/>
      <c r="W15" s="175"/>
      <c r="X15" s="2">
        <f>(1+(YldG1))^(1/12)-1</f>
        <v>1.171491691985338E-2</v>
      </c>
      <c r="Y15" s="170">
        <f>IF(Term1&lt;=STTerm,EffYieldST,EffYieldLT)</f>
        <v>0.14999999999999991</v>
      </c>
      <c r="Z15" s="2"/>
      <c r="AA15" s="12"/>
      <c r="AB15" s="9"/>
      <c r="AC15" s="9"/>
      <c r="AD15" s="9"/>
      <c r="AE15" s="9"/>
      <c r="AF15" s="9"/>
      <c r="AG15" s="9"/>
      <c r="AH15" s="9"/>
      <c r="AI15" s="41"/>
      <c r="AJ15" s="33"/>
      <c r="AK15" s="9"/>
      <c r="AL15" s="9" t="s">
        <v>111</v>
      </c>
      <c r="AM15" s="8"/>
      <c r="AN15" s="8"/>
      <c r="AO15" s="25"/>
      <c r="AP15" s="2"/>
      <c r="AQ15" s="124"/>
    </row>
    <row r="16" spans="1:53" ht="15.6" x14ac:dyDescent="0.25">
      <c r="A16" s="2"/>
      <c r="B16" s="2"/>
      <c r="C16" s="2"/>
      <c r="D16" s="91" t="str">
        <f>IF(Term1&lt;=$G$6,"ST","")</f>
        <v/>
      </c>
      <c r="E16" s="3"/>
      <c r="F16" s="2"/>
      <c r="G16" s="3"/>
      <c r="H16" s="92">
        <f>IFERROR(H15*Term1*12,"")</f>
        <v>2281211.0837765923</v>
      </c>
      <c r="I16" s="3"/>
      <c r="J16" s="3"/>
      <c r="K16" s="3"/>
      <c r="L16" s="3"/>
      <c r="M16" s="3"/>
      <c r="N16" s="2"/>
      <c r="O16" s="175"/>
      <c r="P16" s="175"/>
      <c r="Q16" s="175"/>
      <c r="R16" s="175"/>
      <c r="S16" s="179"/>
      <c r="T16" s="183"/>
      <c r="U16" s="179"/>
      <c r="V16" s="175"/>
      <c r="W16" s="175"/>
      <c r="X16" s="2"/>
      <c r="Y16" s="2"/>
      <c r="Z16" s="2"/>
      <c r="AA16" s="12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8" t="s">
        <v>112</v>
      </c>
      <c r="AM16" s="8"/>
      <c r="AN16" s="8"/>
      <c r="AO16" s="25"/>
      <c r="AP16" s="2"/>
      <c r="AQ16" s="124">
        <f>F17-J17</f>
        <v>5384785.8092306592</v>
      </c>
      <c r="AV16" s="122">
        <f ca="1">IFERROR(AY20,"")</f>
        <v>0.14993171095848085</v>
      </c>
    </row>
    <row r="17" spans="1:58" ht="15.6" x14ac:dyDescent="0.25">
      <c r="A17" s="2"/>
      <c r="B17" s="62" t="s">
        <v>38</v>
      </c>
      <c r="C17" s="58">
        <v>8000000</v>
      </c>
      <c r="D17" s="59">
        <v>8</v>
      </c>
      <c r="E17" s="60"/>
      <c r="F17" s="63">
        <f>Goal2*(1+GInfRate)^Term2</f>
        <v>8000000</v>
      </c>
      <c r="G17" s="60"/>
      <c r="H17" s="63">
        <f>IF(OR(Goal2=0,Goal2="",Term2=0,Term2=""),"",InfGoal2/(((((1+SYldG2)^(Term2*12)-1)/SYldG2)*(1+SYldG2)) - ((((((1+SYldG2)^(Term2*12)-1)/SYldG2)*(1+SYldG2))-(Term2*12))*TaxRate)))</f>
        <v>44989.366489508058</v>
      </c>
      <c r="I17" s="60"/>
      <c r="J17" s="63">
        <f>IF(OR(Goal2=0,Goal2="",Term2=0,Term2=""),"",InfGoal2/( ((1+YldG2)^(Term2))-((((1+YldG2)^(Term2))-1)*TaxRate)))</f>
        <v>2615214.1907693404</v>
      </c>
      <c r="K17" s="3"/>
      <c r="L17" s="73">
        <f>IF(OR(H17="",DelayMonths=0),"",InfGoal2-(H17*(((((1+SYldG2)^(Term2*12-DelayMonths)-1)/SYldG2)*(1+SYldG2))-((((((1+SYldG2)^(Term2*12-DelayMonths)-1)/SYldG2)*(1+SYldG2))-(Term2-DelayMonths*12))*TaxRate))))</f>
        <v>1550261.4927870706</v>
      </c>
      <c r="M17" s="3"/>
      <c r="N17" s="2"/>
      <c r="O17" s="174">
        <f>H17*(((((((1+SYldG2)^(Term2*12)-1)/SYldG2)*(1+SYldG2))-(Term2*12))*TaxRate))</f>
        <v>0</v>
      </c>
      <c r="P17" s="174">
        <f>H17*Term2*12</f>
        <v>4318979.1829927731</v>
      </c>
      <c r="Q17" s="176">
        <f>FV(SYldG2,Term2*12,-H17,0,1)</f>
        <v>8000000</v>
      </c>
      <c r="R17" s="176">
        <f>Q17-P17</f>
        <v>3681020.8170072269</v>
      </c>
      <c r="S17" s="180">
        <f>J17*((((1+YldG2)^(Term2))-1)*TaxRate)</f>
        <v>0</v>
      </c>
      <c r="T17" s="181">
        <f>FV(YldG2,Term2,0,-J17,1)-J17</f>
        <v>5384785.8092306592</v>
      </c>
      <c r="U17" s="182"/>
      <c r="V17" s="175"/>
      <c r="W17" s="175"/>
      <c r="X17" s="2">
        <f>(1+(YldG2))^(1/12)-1</f>
        <v>1.171491691985338E-2</v>
      </c>
      <c r="Y17" s="170">
        <f>IF(Term2&lt;=STTerm,EffYieldST,EffYieldLT)</f>
        <v>0.14999999999999991</v>
      </c>
      <c r="Z17" s="2"/>
      <c r="AA17" s="12"/>
      <c r="AB17" s="9"/>
      <c r="AC17" s="9"/>
      <c r="AD17" s="9"/>
      <c r="AE17" s="9"/>
      <c r="AF17" s="9"/>
      <c r="AG17" s="9"/>
      <c r="AH17" s="9"/>
      <c r="AI17" s="15" t="s">
        <v>38</v>
      </c>
      <c r="AJ17" s="9"/>
      <c r="AK17" s="9"/>
      <c r="AL17" s="8"/>
      <c r="AM17" s="30"/>
      <c r="AN17" s="8"/>
      <c r="AO17" s="25"/>
      <c r="AP17" s="2"/>
      <c r="AQ17" s="124"/>
    </row>
    <row r="18" spans="1:58" ht="16.2" customHeight="1" x14ac:dyDescent="0.25">
      <c r="A18" s="2"/>
      <c r="B18" s="2"/>
      <c r="C18" s="2"/>
      <c r="D18" s="91" t="str">
        <f>IF(Term2&lt;=$G$6,"ST","")</f>
        <v/>
      </c>
      <c r="E18" s="3"/>
      <c r="F18" s="2"/>
      <c r="G18" s="3"/>
      <c r="H18" s="92">
        <f>IFERROR(H17*Term2*12,"")</f>
        <v>4318979.1829927731</v>
      </c>
      <c r="I18" s="3"/>
      <c r="J18" s="2"/>
      <c r="K18" s="3"/>
      <c r="L18" s="113"/>
      <c r="M18" s="3"/>
      <c r="N18" s="2"/>
      <c r="O18" s="175"/>
      <c r="P18" s="175"/>
      <c r="Q18" s="175"/>
      <c r="R18" s="175"/>
      <c r="S18" s="179"/>
      <c r="T18" s="179"/>
      <c r="U18" s="179"/>
      <c r="V18" s="175"/>
      <c r="W18" s="175"/>
      <c r="X18" s="2"/>
      <c r="Y18" s="2"/>
      <c r="Z18" s="2"/>
      <c r="AA18" s="12"/>
      <c r="AB18" s="9"/>
      <c r="AC18" s="9"/>
      <c r="AD18" s="9"/>
      <c r="AE18" s="9"/>
      <c r="AF18" s="9"/>
      <c r="AG18" s="8"/>
      <c r="AH18" s="9"/>
      <c r="AI18" s="9" t="s">
        <v>32</v>
      </c>
      <c r="AJ18" s="9"/>
      <c r="AK18" s="9"/>
      <c r="AL18" s="8"/>
      <c r="AM18" s="8"/>
      <c r="AN18" s="8"/>
      <c r="AO18" s="25"/>
      <c r="AP18" s="2"/>
      <c r="AQ18" s="124">
        <f>F19-J19</f>
        <v>105702070.4757334</v>
      </c>
      <c r="AV18" s="122">
        <f ca="1">IFERROR(BA20,"")</f>
        <v>0.14991602301597598</v>
      </c>
      <c r="AW18" s="109" t="s">
        <v>30</v>
      </c>
      <c r="AX18" s="93">
        <f>COUNT(AX26:AX1226)</f>
        <v>121</v>
      </c>
      <c r="AY18" s="96"/>
      <c r="AZ18" s="96">
        <f>COUNT(AZ26:AZ1226)</f>
        <v>97</v>
      </c>
      <c r="BA18" s="97"/>
      <c r="BB18" s="97">
        <f>COUNT(BB26:BB1226)</f>
        <v>145</v>
      </c>
      <c r="BC18" s="100"/>
      <c r="BD18" s="100">
        <f>COUNT(BD26:BD1226)</f>
        <v>61</v>
      </c>
      <c r="BE18" s="102"/>
      <c r="BF18" s="102">
        <f>COUNT(BF26:BF1226)</f>
        <v>301</v>
      </c>
    </row>
    <row r="19" spans="1:58" ht="15.6" x14ac:dyDescent="0.25">
      <c r="A19" s="2"/>
      <c r="B19" s="64" t="s">
        <v>39</v>
      </c>
      <c r="C19" s="58">
        <v>130000000</v>
      </c>
      <c r="D19" s="59">
        <v>12</v>
      </c>
      <c r="E19" s="60"/>
      <c r="F19" s="65">
        <f>Goal3*(1+GInfRate)^Term3</f>
        <v>130000000</v>
      </c>
      <c r="G19" s="60"/>
      <c r="H19" s="65">
        <f>IF(OR(Goal3=0,Goal3="",Term3=0,Term3=""),"",InfGoal3/(((((1+SYldG3)^(Term3*12)-1)/SYldG3)*(1+SYldG3)) - ((((((1+SYldG3)^(Term3*12)-1)/SYldG3)*(1+SYldG3))-(Term3*12))*TaxRate)))</f>
        <v>346027.15793695109</v>
      </c>
      <c r="I19" s="60"/>
      <c r="J19" s="65">
        <f>IF(OR(Goal3=0,Goal3="",Term3=0,Term3=""),"",InfGoal3/( ((1+YldG3)^(Term3))-((((1+YldG3)^(Term3))-1)*TaxRate)))</f>
        <v>24297929.524266593</v>
      </c>
      <c r="K19" s="3"/>
      <c r="L19" s="73">
        <f>IF(OR(H19="",DelayMonths=0),"",InfGoal3-(H19*(((((1+SYldG3)^(Term3*12-DelayMonths)-1)/SYldG3)*(1+SYldG3))-((((((1+SYldG3)^(Term3*12-DelayMonths)-1)/SYldG3)*(1+SYldG3))-(Term3-DelayMonths*12))*TaxRate))))</f>
        <v>20854348.606094986</v>
      </c>
      <c r="M19" s="3"/>
      <c r="N19" s="2"/>
      <c r="O19" s="174">
        <f>H19*(((((((1+SYldG3)^(Term3*12)-1)/SYldG3)*(1+SYldG3))-(Term3*12))*TaxRate))</f>
        <v>0</v>
      </c>
      <c r="P19" s="174">
        <f>H19*Term3*12</f>
        <v>49827910.74292095</v>
      </c>
      <c r="Q19" s="176">
        <f>FV(SYldG3,Term3*12,-H19,0,1)</f>
        <v>130000000</v>
      </c>
      <c r="R19" s="176">
        <f>Q19-P19</f>
        <v>80172089.25707905</v>
      </c>
      <c r="S19" s="180">
        <f>J19*((((1+YldG3)^(Term3))-1)*TaxRate)</f>
        <v>0</v>
      </c>
      <c r="T19" s="181">
        <f>FV(YldG3,Term3,0,-J19,1)-J19</f>
        <v>105702070.4757334</v>
      </c>
      <c r="U19" s="179"/>
      <c r="V19" s="175"/>
      <c r="W19" s="175"/>
      <c r="X19" s="2">
        <f>(1+(YldG3))^(1/12)-1</f>
        <v>1.171491691985338E-2</v>
      </c>
      <c r="Y19" s="170">
        <f>IF(Term3&lt;=STTerm,EffYieldST,EffYieldLT)</f>
        <v>0.14999999999999991</v>
      </c>
      <c r="Z19" s="2"/>
      <c r="AA19" s="12"/>
      <c r="AB19" s="8"/>
      <c r="AC19" s="9"/>
      <c r="AD19" s="9"/>
      <c r="AE19" s="9"/>
      <c r="AF19" s="9"/>
      <c r="AG19" s="8"/>
      <c r="AH19" s="15"/>
      <c r="AI19" s="19" t="s">
        <v>103</v>
      </c>
      <c r="AJ19" s="9"/>
      <c r="AK19" s="9"/>
      <c r="AL19" s="8"/>
      <c r="AM19" s="8"/>
      <c r="AN19" s="8"/>
      <c r="AO19" s="25"/>
      <c r="AP19" s="2"/>
      <c r="AQ19" s="124"/>
      <c r="AW19" s="93"/>
      <c r="AX19" s="93"/>
      <c r="AY19" s="96"/>
      <c r="AZ19" s="96"/>
      <c r="BA19" s="97"/>
      <c r="BB19" s="97"/>
      <c r="BC19" s="100"/>
      <c r="BD19" s="100"/>
      <c r="BE19" s="102"/>
      <c r="BF19" s="102"/>
    </row>
    <row r="20" spans="1:58" ht="15.6" x14ac:dyDescent="0.25">
      <c r="A20" s="2"/>
      <c r="B20" s="2"/>
      <c r="C20" s="2"/>
      <c r="D20" s="91" t="str">
        <f>IF(Term3&lt;=$G$6,"ST","")</f>
        <v/>
      </c>
      <c r="E20" s="3"/>
      <c r="F20" s="113"/>
      <c r="G20" s="3"/>
      <c r="H20" s="92">
        <f>IFERROR(H19*Term3*12,"")</f>
        <v>49827910.74292095</v>
      </c>
      <c r="I20" s="3"/>
      <c r="J20" s="2"/>
      <c r="K20" s="3"/>
      <c r="L20" s="2"/>
      <c r="M20" s="3"/>
      <c r="N20" s="2"/>
      <c r="O20" s="175"/>
      <c r="P20" s="175"/>
      <c r="Q20" s="175"/>
      <c r="R20" s="175"/>
      <c r="S20" s="179"/>
      <c r="T20" s="179"/>
      <c r="U20" s="179"/>
      <c r="V20" s="175"/>
      <c r="W20" s="175"/>
      <c r="X20" s="2"/>
      <c r="Y20" s="2"/>
      <c r="Z20" s="2"/>
      <c r="AA20" s="12"/>
      <c r="AB20" s="40" t="s">
        <v>56</v>
      </c>
      <c r="AC20" s="9"/>
      <c r="AD20" s="9"/>
      <c r="AE20" s="9"/>
      <c r="AF20" s="9"/>
      <c r="AG20" s="8"/>
      <c r="AH20" s="9"/>
      <c r="AI20" s="9" t="s">
        <v>113</v>
      </c>
      <c r="AJ20" s="9"/>
      <c r="AK20" s="9"/>
      <c r="AL20" s="8"/>
      <c r="AM20" s="8"/>
      <c r="AN20" s="8"/>
      <c r="AO20" s="25"/>
      <c r="AP20" s="2"/>
      <c r="AQ20" s="124">
        <f>F21-J21</f>
        <v>1377666.338478392</v>
      </c>
      <c r="AV20" s="122">
        <f ca="1">IFERROR(BC20,"")</f>
        <v>7.0002064108848544E-2</v>
      </c>
      <c r="AW20" s="104">
        <f ca="1">XIRR(AX26:INDEX(AX26:AX1226,$D$15*12+1,0),AW26:INDEX(AW26:AW1226,$D$15*12+1,0))</f>
        <v>0.14988511204719546</v>
      </c>
      <c r="AX20" s="104"/>
      <c r="AY20" s="105">
        <f ca="1">XIRR(AZ26:INDEX(AZ26:AZ1226,$D$17*12+1,0),AY26:INDEX(AY26:AY1226,$D$17*12+1,0))</f>
        <v>0.14993171095848085</v>
      </c>
      <c r="AZ20" s="105"/>
      <c r="BA20" s="106">
        <f ca="1">XIRR(BB26:INDEX(BB26:BB1226,$D$19*12+1,0),BA26:INDEX(BA26:BA1226,$D$19*12+1,0))</f>
        <v>0.14991602301597598</v>
      </c>
      <c r="BB20" s="106"/>
      <c r="BC20" s="107">
        <f ca="1">XIRR(BD26:INDEX(BD26:BD1226,$D$21*12+1,0),BC26:INDEX(BC26:BC1226,$D$21*12+1,0))</f>
        <v>7.0002064108848544E-2</v>
      </c>
      <c r="BD20" s="107"/>
      <c r="BE20" s="108">
        <f ca="1">XIRR(BF26:INDEX(BF26:BF1226,$D$23*12+1,0),BE26:INDEX(BE26:BE1226,$D$23*12+1,0))</f>
        <v>0.14990653395652773</v>
      </c>
      <c r="BF20" s="102"/>
    </row>
    <row r="21" spans="1:58" customFormat="1" ht="15.6" x14ac:dyDescent="0.25">
      <c r="A21" s="2"/>
      <c r="B21" s="66" t="s">
        <v>56</v>
      </c>
      <c r="C21" s="58">
        <v>4800000</v>
      </c>
      <c r="D21" s="59">
        <v>5</v>
      </c>
      <c r="E21" s="60"/>
      <c r="F21" s="67">
        <f>Goal4*(1+GInfRate)^Term4</f>
        <v>4800000</v>
      </c>
      <c r="G21" s="60"/>
      <c r="H21" s="67">
        <f>IF(OR(Goal4=0,Goal4="",Term4=0,Term4=""),"",InfGoal4/(((((1+SYldG4)^(Term4*12)-1)/SYldG4)*(1+SYldG4)) - ((((((1+SYldG4)^(Term4*12)-1)/SYldG4)*(1+SYldG4))-(Term4*12))*TaxRate)))</f>
        <v>67040.595382055923</v>
      </c>
      <c r="I21" s="60"/>
      <c r="J21" s="67">
        <f>IF(OR(Goal4=0,Goal4="",Term4=0,Term4=""),"",InfGoal4/( ((1+YldG4)^(Term4))-((((1+YldG4)^(Term4))-1)*TaxRate)))</f>
        <v>3422333.661521608</v>
      </c>
      <c r="K21" s="3"/>
      <c r="L21" s="73">
        <f>IF(OR(H21="",DelayMonths=0),"",InfGoal4-(H21*(((((1+SYldG4)^(Term4*12-DelayMonths)-1)/SYldG4)*(1+SYldG4))-((((((1+SYldG4)^(Term4*12-DelayMonths)-1)/SYldG4)*(1+SYldG4))-(Term4-DelayMonths*12))*TaxRate))))</f>
        <v>1094089.0965594379</v>
      </c>
      <c r="M21" s="3"/>
      <c r="N21" s="2"/>
      <c r="O21" s="174">
        <f>H21*(((((((1+SYldG4)^(Term4*12)-1)/SYldG4)*(1+SYldG4))-(Term4*12))*TaxRate))</f>
        <v>0</v>
      </c>
      <c r="P21" s="174">
        <f>H21*Term4*12</f>
        <v>4022435.7229233552</v>
      </c>
      <c r="Q21" s="176">
        <f>FV(SYldG4,Term4*12,-H21,0,1)</f>
        <v>4800000</v>
      </c>
      <c r="R21" s="176">
        <f>Q21-P21</f>
        <v>777564.27707664482</v>
      </c>
      <c r="S21" s="180">
        <f>J21*((((1+YldG4)^(Term4))-1)*TaxRate)</f>
        <v>0</v>
      </c>
      <c r="T21" s="181">
        <f>FV(YldG4,Term4,0,-J21,1)-J21</f>
        <v>1377666.338478392</v>
      </c>
      <c r="U21" s="179"/>
      <c r="V21" s="175"/>
      <c r="W21" s="175"/>
      <c r="X21" s="2">
        <f>(1+(YldG4))^(1/12)-1</f>
        <v>5.6541453874052738E-3</v>
      </c>
      <c r="Y21" s="170">
        <f>IF(Term4&lt;=STTerm,EffYieldST,EffYieldLT)</f>
        <v>7.0000000000000062E-2</v>
      </c>
      <c r="Z21" s="2"/>
      <c r="AA21" s="12"/>
      <c r="AB21" s="22" t="s">
        <v>52</v>
      </c>
      <c r="AC21" s="9"/>
      <c r="AD21" s="9"/>
      <c r="AE21" s="9"/>
      <c r="AF21" s="9"/>
      <c r="AG21" s="8"/>
      <c r="AH21" s="9"/>
      <c r="AI21" s="9" t="s">
        <v>114</v>
      </c>
      <c r="AJ21" s="9"/>
      <c r="AK21" s="9"/>
      <c r="AL21" s="8"/>
      <c r="AM21" s="8"/>
      <c r="AN21" s="9"/>
      <c r="AO21" s="28"/>
      <c r="AP21" s="2"/>
      <c r="AQ21" s="124"/>
      <c r="AV21" s="1"/>
      <c r="AW21" s="93"/>
      <c r="AX21" s="93"/>
      <c r="AY21" s="96"/>
      <c r="AZ21" s="96"/>
      <c r="BA21" s="97"/>
      <c r="BB21" s="97"/>
      <c r="BC21" s="100"/>
      <c r="BD21" s="100"/>
      <c r="BE21" s="102"/>
      <c r="BF21" s="102"/>
    </row>
    <row r="22" spans="1:58" customFormat="1" ht="15.6" x14ac:dyDescent="0.25">
      <c r="A22" s="2"/>
      <c r="B22" s="2"/>
      <c r="C22" s="2"/>
      <c r="D22" s="91" t="str">
        <f>IF(Term4&lt;=$G$6,"ST","")</f>
        <v>ST</v>
      </c>
      <c r="E22" s="3"/>
      <c r="F22" s="113"/>
      <c r="G22" s="3"/>
      <c r="H22" s="92">
        <f>IFERROR(H21*Term4*12,"")</f>
        <v>4022435.7229233552</v>
      </c>
      <c r="I22" s="3"/>
      <c r="J22" s="2"/>
      <c r="K22" s="3"/>
      <c r="L22" s="2"/>
      <c r="M22" s="3"/>
      <c r="N22" s="2"/>
      <c r="O22" s="175"/>
      <c r="P22" s="175"/>
      <c r="Q22" s="175"/>
      <c r="R22" s="175"/>
      <c r="S22" s="179"/>
      <c r="T22" s="179"/>
      <c r="U22" s="179"/>
      <c r="V22" s="175"/>
      <c r="W22" s="175"/>
      <c r="X22" s="2"/>
      <c r="Y22" s="2"/>
      <c r="Z22" s="2"/>
      <c r="AA22" s="12"/>
      <c r="AB22" s="9" t="s">
        <v>100</v>
      </c>
      <c r="AC22" s="9"/>
      <c r="AD22" s="9"/>
      <c r="AE22" s="9"/>
      <c r="AF22" s="9"/>
      <c r="AG22" s="8"/>
      <c r="AH22" s="9"/>
      <c r="AI22" s="8" t="s">
        <v>115</v>
      </c>
      <c r="AJ22" s="9"/>
      <c r="AK22" s="9"/>
      <c r="AL22" s="8"/>
      <c r="AM22" s="8"/>
      <c r="AN22" s="9"/>
      <c r="AO22" s="28"/>
      <c r="AP22" s="2"/>
      <c r="AQ22" s="124">
        <f>F23-J23</f>
        <v>48481118.139526047</v>
      </c>
      <c r="AV22" s="122">
        <f ca="1">IFERROR(BE20,"")</f>
        <v>0.14990653395652773</v>
      </c>
      <c r="AW22" s="93"/>
      <c r="AX22" s="93"/>
      <c r="AY22" s="96"/>
      <c r="AZ22" s="96"/>
      <c r="BA22" s="97"/>
      <c r="BB22" s="97"/>
      <c r="BC22" s="100"/>
      <c r="BD22" s="100"/>
      <c r="BE22" s="102"/>
      <c r="BF22" s="102"/>
    </row>
    <row r="23" spans="1:58" customFormat="1" ht="15.6" x14ac:dyDescent="0.25">
      <c r="A23" s="2"/>
      <c r="B23" s="68" t="s">
        <v>9</v>
      </c>
      <c r="C23" s="58">
        <v>50000000</v>
      </c>
      <c r="D23" s="59">
        <v>25</v>
      </c>
      <c r="E23" s="60"/>
      <c r="F23" s="69">
        <f>Goal5*(1+GInfRate)^Term5</f>
        <v>50000000</v>
      </c>
      <c r="G23" s="60"/>
      <c r="H23" s="69">
        <f>IF(OR(Goal5=0,Goal5="",Term5=0,Term5=""),"",InfGoal5/(((((1+SYldG5)^(Term5*12)-1)/SYldG5)*(1+SYldG5)) - ((((((1+SYldG5)^(Term5*12)-1)/SYldG5)*(1+SYldG5))-(Term5*12))*TaxRate)))</f>
        <v>18138.544377630071</v>
      </c>
      <c r="I23" s="60"/>
      <c r="J23" s="69">
        <f>IF(OR(Goal5=0,Goal5="",Term5=0,Term5=""),"",InfGoal5/( ((1+YldG5)^(Term5))-((((1+YldG5)^(Term5))-1)*TaxRate)))</f>
        <v>1518881.8604739548</v>
      </c>
      <c r="K23" s="3"/>
      <c r="L23" s="73">
        <f>IF(OR(H23="",DelayMonths=0),"",InfGoal5-(H23*(((((1+SYldG5)^(Term5*12-DelayMonths)-1)/SYldG5)*(1+SYldG5))-((((((1+SYldG5)^(Term5*12-DelayMonths)-1)/SYldG5)*(1+SYldG5))-(Term5-DelayMonths*12))*TaxRate))))</f>
        <v>6726060.970443815</v>
      </c>
      <c r="M23" s="3"/>
      <c r="N23" s="2"/>
      <c r="O23" s="174">
        <f>H23*(((((((1+SYldG5)^(Term5*12)-1)/SYldG5)*(1+SYldG5))-(Term5*12))*TaxRate))</f>
        <v>0</v>
      </c>
      <c r="P23" s="174">
        <f>H23*Term5*12</f>
        <v>5441563.3132890211</v>
      </c>
      <c r="Q23" s="176">
        <f>FV(SYldG5,Term5*12,-H23,0,1)</f>
        <v>50000000</v>
      </c>
      <c r="R23" s="176">
        <f>Q23-P23</f>
        <v>44558436.686710976</v>
      </c>
      <c r="S23" s="180">
        <f>J23*((((1+YldG5)^(Term5))-1)*TaxRate)</f>
        <v>0</v>
      </c>
      <c r="T23" s="181">
        <f>FV(YldG5,Term5,0,-J23,1)-J23</f>
        <v>48481118.139526047</v>
      </c>
      <c r="U23" s="179"/>
      <c r="V23" s="175"/>
      <c r="W23" s="175"/>
      <c r="X23" s="2">
        <f>(1+(YldG5))^(1/12)-1</f>
        <v>1.171491691985338E-2</v>
      </c>
      <c r="Y23" s="170">
        <f>IF(Term5&lt;=STTerm,EffYieldST,EffYieldLT)</f>
        <v>0.14999999999999991</v>
      </c>
      <c r="Z23" s="2"/>
      <c r="AA23" s="12"/>
      <c r="AB23" s="9" t="s">
        <v>116</v>
      </c>
      <c r="AC23" s="9"/>
      <c r="AD23" s="9"/>
      <c r="AE23" s="9"/>
      <c r="AF23" s="9"/>
      <c r="AG23" s="9"/>
      <c r="AH23" s="9"/>
      <c r="AI23" s="9"/>
      <c r="AJ23" s="9"/>
      <c r="AK23" s="9"/>
      <c r="AL23" s="8"/>
      <c r="AM23" s="8"/>
      <c r="AN23" s="9"/>
      <c r="AO23" s="28"/>
      <c r="AP23" s="2"/>
      <c r="AQ23" s="125">
        <f>SUM(AQ14:AQ22)</f>
        <v>164709717.23235917</v>
      </c>
      <c r="AV23" s="1"/>
      <c r="AW23" s="93" t="s">
        <v>25</v>
      </c>
      <c r="AX23" s="93"/>
      <c r="AY23" s="96" t="s">
        <v>26</v>
      </c>
      <c r="AZ23" s="96"/>
      <c r="BA23" s="97" t="s">
        <v>27</v>
      </c>
      <c r="BB23" s="97"/>
      <c r="BC23" s="100" t="s">
        <v>28</v>
      </c>
      <c r="BD23" s="100"/>
      <c r="BE23" s="102" t="s">
        <v>29</v>
      </c>
      <c r="BF23" s="102"/>
    </row>
    <row r="24" spans="1:58" customFormat="1" ht="16.2" thickBot="1" x14ac:dyDescent="0.3">
      <c r="A24" s="2"/>
      <c r="B24" s="2"/>
      <c r="C24" s="2"/>
      <c r="D24" s="91" t="str">
        <f>IF(Term5&lt;=$G$6,"ST","")</f>
        <v/>
      </c>
      <c r="E24" s="3"/>
      <c r="F24" s="3"/>
      <c r="G24" s="3"/>
      <c r="H24" s="92">
        <f>IFERROR(H23*Term5*12,"")</f>
        <v>5441563.3132890211</v>
      </c>
      <c r="I24" s="3"/>
      <c r="J24" s="2"/>
      <c r="K24" s="3"/>
      <c r="L24" s="2"/>
      <c r="M24" s="2"/>
      <c r="N24" s="2"/>
      <c r="O24" s="175"/>
      <c r="P24" s="175"/>
      <c r="Q24" s="175"/>
      <c r="R24" s="175"/>
      <c r="S24" s="175"/>
      <c r="T24" s="175"/>
      <c r="U24" s="175"/>
      <c r="V24" s="175"/>
      <c r="W24" s="175"/>
      <c r="X24" s="3"/>
      <c r="Y24" s="2"/>
      <c r="Z24" s="2"/>
      <c r="AA24" s="12"/>
      <c r="AB24" s="39" t="s">
        <v>117</v>
      </c>
      <c r="AC24" s="8"/>
      <c r="AD24" s="8"/>
      <c r="AE24" s="8"/>
      <c r="AF24" s="9"/>
      <c r="AG24" s="9"/>
      <c r="AH24" s="9"/>
      <c r="AI24" s="9"/>
      <c r="AJ24" s="9"/>
      <c r="AK24" s="9"/>
      <c r="AL24" s="8"/>
      <c r="AM24" s="8"/>
      <c r="AN24" s="9"/>
      <c r="AO24" s="28"/>
      <c r="AP24" s="2"/>
      <c r="AW24" s="93"/>
      <c r="AX24" s="93"/>
      <c r="AY24" s="96"/>
      <c r="AZ24" s="96"/>
      <c r="BA24" s="97"/>
      <c r="BB24" s="97"/>
      <c r="BC24" s="100"/>
      <c r="BD24" s="100"/>
      <c r="BE24" s="102"/>
      <c r="BF24" s="102"/>
    </row>
    <row r="25" spans="1:58" ht="16.2" thickBot="1" x14ac:dyDescent="0.3">
      <c r="A25" s="210" t="s">
        <v>7</v>
      </c>
      <c r="B25" s="210"/>
      <c r="C25" s="210"/>
      <c r="D25" s="210"/>
      <c r="E25" s="210"/>
      <c r="F25" s="210"/>
      <c r="G25" s="3"/>
      <c r="H25" s="186">
        <f>SUM(H16,H18,H20,H22,H24)</f>
        <v>65892100.045902692</v>
      </c>
      <c r="I25" s="20"/>
      <c r="J25" s="43">
        <f>SUM(J15:J23)</f>
        <v>33090282.767640822</v>
      </c>
      <c r="K25" s="3"/>
      <c r="L25" s="44">
        <f>SUM(L15:L23)</f>
        <v>31091073.481179163</v>
      </c>
      <c r="M25" s="2"/>
      <c r="N25" s="2"/>
      <c r="O25" s="174">
        <f>SUM(O15:O24)</f>
        <v>0</v>
      </c>
      <c r="P25" s="175"/>
      <c r="Q25" s="175"/>
      <c r="R25" s="175"/>
      <c r="S25" s="174">
        <f>SUM(S15:S24)</f>
        <v>0</v>
      </c>
      <c r="T25" s="175"/>
      <c r="U25" s="175"/>
      <c r="V25" s="175"/>
      <c r="W25" s="175"/>
      <c r="X25" s="3"/>
      <c r="Y25" s="3"/>
      <c r="Z25" s="3"/>
      <c r="AA25" s="12"/>
      <c r="AB25" s="8" t="s">
        <v>118</v>
      </c>
      <c r="AC25" s="8"/>
      <c r="AD25" s="8"/>
      <c r="AE25" s="8"/>
      <c r="AF25" s="9"/>
      <c r="AG25" s="9"/>
      <c r="AH25" s="9"/>
      <c r="AI25" s="9"/>
      <c r="AJ25" s="9"/>
      <c r="AK25" s="9"/>
      <c r="AL25" s="8"/>
      <c r="AM25" s="8"/>
      <c r="AN25" s="8"/>
      <c r="AO25" s="25"/>
      <c r="AP25" s="2"/>
      <c r="AV25"/>
      <c r="AW25" s="93"/>
      <c r="AX25" s="93"/>
      <c r="AY25" s="96"/>
      <c r="AZ25" s="96"/>
      <c r="BA25" s="97"/>
      <c r="BB25" s="97"/>
      <c r="BC25" s="100"/>
      <c r="BD25" s="100"/>
      <c r="BE25" s="102"/>
      <c r="BF25" s="102"/>
    </row>
    <row r="26" spans="1:58" ht="16.2" thickBot="1" x14ac:dyDescent="0.3">
      <c r="A26" s="210" t="s">
        <v>40</v>
      </c>
      <c r="B26" s="210"/>
      <c r="C26" s="210"/>
      <c r="D26" s="210"/>
      <c r="E26" s="210"/>
      <c r="F26" s="210"/>
      <c r="G26" s="3"/>
      <c r="H26" s="187">
        <f>SUM(H15,H17,H19,H21,H23)</f>
        <v>495205.75655095006</v>
      </c>
      <c r="I26" s="3"/>
      <c r="J26" s="2"/>
      <c r="K26" s="2"/>
      <c r="L26" s="2"/>
      <c r="M26" s="3"/>
      <c r="N26" s="2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53"/>
      <c r="AB26" s="13"/>
      <c r="AC26" s="13"/>
      <c r="AD26" s="13"/>
      <c r="AE26" s="13"/>
      <c r="AF26" s="21"/>
      <c r="AG26" s="21"/>
      <c r="AH26" s="21"/>
      <c r="AI26" s="21"/>
      <c r="AJ26" s="21"/>
      <c r="AK26" s="21"/>
      <c r="AL26" s="13"/>
      <c r="AM26" s="13"/>
      <c r="AN26" s="13"/>
      <c r="AO26" s="29"/>
      <c r="AP26" s="2"/>
      <c r="AV26">
        <v>1</v>
      </c>
      <c r="AW26" s="94">
        <f ca="1">IF($D$15*12&gt;=AV26,DATE(YEAR(TODAY()),MONTH(TODAY())+AV26-1,DAY(TODAY())),IF($D$15*12+1&gt;=AV26,DATE(YEAR(TODAY()),MONTH(TODAY())+$D$15*12,DAY(TODAY())),""))</f>
        <v>46119</v>
      </c>
      <c r="AX26" s="95">
        <f t="shared" ref="AX26:AX89" si="0">IF($D$15*12&gt;=AV26,-1*$H$15,IF($D$15*12+1&gt;=AV26,InfGoal1,""))</f>
        <v>-19010.092364804936</v>
      </c>
      <c r="AY26" s="98">
        <f ca="1">IF($D$17*12&gt;=AV26,DATE(YEAR(TODAY()),MONTH(TODAY())+AV26-1,DAY(TODAY())),IF($D$17*12+1&gt;=AV26,DATE(YEAR(TODAY()),MONTH(TODAY())+$D$17*12,DAY(TODAY())),""))</f>
        <v>46119</v>
      </c>
      <c r="AZ26" s="96">
        <f t="shared" ref="AZ26:AZ89" si="1">IF($D$17*12&gt;=AV26,-1*$H$17,IF($D$17*12+1&gt;=AV26,InfGoal2,""))</f>
        <v>-44989.366489508058</v>
      </c>
      <c r="BA26" s="99">
        <f ca="1">IF($D$19*12&gt;=AV26,DATE(YEAR(TODAY()),MONTH(TODAY())+AV26-1,DAY(TODAY())),IF($D$19*12+1&gt;=AV26,DATE(YEAR(TODAY()),MONTH(TODAY())+$D$19*12,DAY(TODAY())),""))</f>
        <v>46119</v>
      </c>
      <c r="BB26" s="97">
        <f t="shared" ref="BB26:BB89" si="2">IF($D$19*12&gt;=AV26,-1*$H$19,IF($D$19*12+1&gt;=AV26,InfGoal3,""))</f>
        <v>-346027.15793695109</v>
      </c>
      <c r="BC26" s="101">
        <f ca="1">IF($D$21*12&gt;=AV26,DATE(YEAR(TODAY()),MONTH(TODAY())+AV26-1,DAY(TODAY())),IF($D$21*12+1&gt;=AV26,DATE(YEAR(TODAY()),MONTH(TODAY())+$D$21*12,DAY(TODAY())),""))</f>
        <v>46119</v>
      </c>
      <c r="BD26" s="100">
        <f t="shared" ref="BD26:BD89" si="3">IF($D$21*12&gt;=AV26,-1*$H$21,IF($D$21*12+1&gt;=AV26,InfGoal4,""))</f>
        <v>-67040.595382055923</v>
      </c>
      <c r="BE26" s="103">
        <f ca="1">IF($D$23*12&gt;=AV26,DATE(YEAR(TODAY()),MONTH(TODAY())+AV26-1,DAY(TODAY())),IF($D$23*12+1&gt;=AV26,DATE(YEAR(TODAY()),MONTH(TODAY())+$D$23*12,DAY(TODAY())),""))</f>
        <v>46119</v>
      </c>
      <c r="BF26" s="102">
        <f t="shared" ref="BF26:BF89" si="4">IF($D$23*12&gt;=AV26,-1*$H$23,IF($D$23*12+1&gt;=AV26,InfGoal5,""))</f>
        <v>-18138.544377630071</v>
      </c>
    </row>
    <row r="27" spans="1:58" ht="16.2" customHeight="1" x14ac:dyDescent="0.25">
      <c r="A27" s="2"/>
      <c r="B27" s="2"/>
      <c r="C27" s="2"/>
      <c r="D27" s="2"/>
      <c r="E27" s="3"/>
      <c r="F27" s="2"/>
      <c r="G27" s="3"/>
      <c r="H27" s="2"/>
      <c r="I27" s="3"/>
      <c r="J27" s="2"/>
      <c r="K27" s="2"/>
      <c r="L27" s="2"/>
      <c r="M27" s="3"/>
      <c r="N27" s="2"/>
      <c r="O27" s="3"/>
      <c r="P27" s="3"/>
      <c r="Q27" s="3"/>
      <c r="R27" s="3"/>
      <c r="S27" s="3"/>
      <c r="T27" s="3"/>
      <c r="U27" s="3"/>
      <c r="V27" s="3"/>
      <c r="W27" s="3"/>
      <c r="X27" s="3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V27">
        <v>2</v>
      </c>
      <c r="AW27" s="94">
        <f t="shared" ref="AW27:AW90" ca="1" si="5">IF($D$15*12&gt;=AV27,DATE(YEAR(TODAY()),MONTH(TODAY())+AV27-1,DAY(TODAY())),IF($D$15*12+1&gt;=AV27,DATE(YEAR(TODAY()),MONTH(TODAY())+$D$15*12,DAY(TODAY())),""))</f>
        <v>46149</v>
      </c>
      <c r="AX27" s="95">
        <f t="shared" si="0"/>
        <v>-19010.092364804936</v>
      </c>
      <c r="AY27" s="98">
        <f t="shared" ref="AY27:AY90" ca="1" si="6">IF($D$17*12&gt;=AV27,DATE(YEAR(TODAY()),MONTH(TODAY())+AV27-1,DAY(TODAY())),IF($D$17*12+1&gt;=AV27,DATE(YEAR(TODAY()),MONTH(TODAY())+$D$17*12,DAY(TODAY())),""))</f>
        <v>46149</v>
      </c>
      <c r="AZ27" s="96">
        <f t="shared" si="1"/>
        <v>-44989.366489508058</v>
      </c>
      <c r="BA27" s="99">
        <f t="shared" ref="BA27:BA90" ca="1" si="7">IF($D$19*12&gt;=AV27,DATE(YEAR(TODAY()),MONTH(TODAY())+AV27-1,DAY(TODAY())),IF($D$19*12+1&gt;=AV27,DATE(YEAR(TODAY()),MONTH(TODAY())+$D$19*12,DAY(TODAY())),""))</f>
        <v>46149</v>
      </c>
      <c r="BB27" s="97">
        <f t="shared" si="2"/>
        <v>-346027.15793695109</v>
      </c>
      <c r="BC27" s="101">
        <f t="shared" ref="BC27:BC90" ca="1" si="8">IF($D$21*12&gt;=AV27,DATE(YEAR(TODAY()),MONTH(TODAY())+AV27-1,DAY(TODAY())),IF($D$21*12+1&gt;=AV27,DATE(YEAR(TODAY()),MONTH(TODAY())+$D$21*12,DAY(TODAY())),""))</f>
        <v>46149</v>
      </c>
      <c r="BD27" s="100">
        <f t="shared" si="3"/>
        <v>-67040.595382055923</v>
      </c>
      <c r="BE27" s="103">
        <f t="shared" ref="BE27:BE90" ca="1" si="9">IF($D$23*12&gt;=AV27,DATE(YEAR(TODAY()),MONTH(TODAY())+AV27-1,DAY(TODAY())),IF($D$23*12+1&gt;=AV27,DATE(YEAR(TODAY()),MONTH(TODAY())+$D$23*12,DAY(TODAY())),""))</f>
        <v>46149</v>
      </c>
      <c r="BF27" s="102">
        <f t="shared" si="4"/>
        <v>-18138.544377630071</v>
      </c>
    </row>
    <row r="28" spans="1:58" ht="16.2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V28">
        <v>3</v>
      </c>
      <c r="AW28" s="94">
        <f t="shared" ca="1" si="5"/>
        <v>46180</v>
      </c>
      <c r="AX28" s="95">
        <f t="shared" si="0"/>
        <v>-19010.092364804936</v>
      </c>
      <c r="AY28" s="98">
        <f t="shared" ca="1" si="6"/>
        <v>46180</v>
      </c>
      <c r="AZ28" s="96">
        <f t="shared" si="1"/>
        <v>-44989.366489508058</v>
      </c>
      <c r="BA28" s="99">
        <f t="shared" ca="1" si="7"/>
        <v>46180</v>
      </c>
      <c r="BB28" s="97">
        <f t="shared" si="2"/>
        <v>-346027.15793695109</v>
      </c>
      <c r="BC28" s="101">
        <f t="shared" ca="1" si="8"/>
        <v>46180</v>
      </c>
      <c r="BD28" s="100">
        <f t="shared" si="3"/>
        <v>-67040.595382055923</v>
      </c>
      <c r="BE28" s="103">
        <f t="shared" ca="1" si="9"/>
        <v>46180</v>
      </c>
      <c r="BF28" s="102">
        <f t="shared" si="4"/>
        <v>-18138.544377630071</v>
      </c>
    </row>
    <row r="29" spans="1:58" ht="16.2" customHeight="1" x14ac:dyDescent="0.25">
      <c r="A29" s="2"/>
      <c r="B29" s="7" t="s">
        <v>135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51" t="s">
        <v>41</v>
      </c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V29">
        <v>4</v>
      </c>
      <c r="AW29" s="94">
        <f t="shared" ca="1" si="5"/>
        <v>46210</v>
      </c>
      <c r="AX29" s="95">
        <f t="shared" si="0"/>
        <v>-19010.092364804936</v>
      </c>
      <c r="AY29" s="98">
        <f t="shared" ca="1" si="6"/>
        <v>46210</v>
      </c>
      <c r="AZ29" s="96">
        <f t="shared" si="1"/>
        <v>-44989.366489508058</v>
      </c>
      <c r="BA29" s="99">
        <f t="shared" ca="1" si="7"/>
        <v>46210</v>
      </c>
      <c r="BB29" s="97">
        <f t="shared" si="2"/>
        <v>-346027.15793695109</v>
      </c>
      <c r="BC29" s="101">
        <f t="shared" ca="1" si="8"/>
        <v>46210</v>
      </c>
      <c r="BD29" s="100">
        <f t="shared" si="3"/>
        <v>-67040.595382055923</v>
      </c>
      <c r="BE29" s="103">
        <f t="shared" ca="1" si="9"/>
        <v>46210</v>
      </c>
      <c r="BF29" s="102">
        <f t="shared" si="4"/>
        <v>-18138.544377630071</v>
      </c>
    </row>
    <row r="30" spans="1:58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V30">
        <v>5</v>
      </c>
      <c r="AW30" s="94">
        <f t="shared" ca="1" si="5"/>
        <v>46241</v>
      </c>
      <c r="AX30" s="95">
        <f t="shared" si="0"/>
        <v>-19010.092364804936</v>
      </c>
      <c r="AY30" s="98">
        <f t="shared" ca="1" si="6"/>
        <v>46241</v>
      </c>
      <c r="AZ30" s="96">
        <f t="shared" si="1"/>
        <v>-44989.366489508058</v>
      </c>
      <c r="BA30" s="99">
        <f t="shared" ca="1" si="7"/>
        <v>46241</v>
      </c>
      <c r="BB30" s="97">
        <f t="shared" si="2"/>
        <v>-346027.15793695109</v>
      </c>
      <c r="BC30" s="101">
        <f t="shared" ca="1" si="8"/>
        <v>46241</v>
      </c>
      <c r="BD30" s="100">
        <f t="shared" si="3"/>
        <v>-67040.595382055923</v>
      </c>
      <c r="BE30" s="103">
        <f t="shared" ca="1" si="9"/>
        <v>46241</v>
      </c>
      <c r="BF30" s="102">
        <f t="shared" si="4"/>
        <v>-18138.544377630071</v>
      </c>
    </row>
    <row r="31" spans="1:58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V31">
        <v>6</v>
      </c>
      <c r="AW31" s="94">
        <f t="shared" ca="1" si="5"/>
        <v>46272</v>
      </c>
      <c r="AX31" s="95">
        <f t="shared" si="0"/>
        <v>-19010.092364804936</v>
      </c>
      <c r="AY31" s="98">
        <f t="shared" ca="1" si="6"/>
        <v>46272</v>
      </c>
      <c r="AZ31" s="96">
        <f t="shared" si="1"/>
        <v>-44989.366489508058</v>
      </c>
      <c r="BA31" s="99">
        <f t="shared" ca="1" si="7"/>
        <v>46272</v>
      </c>
      <c r="BB31" s="97">
        <f t="shared" si="2"/>
        <v>-346027.15793695109</v>
      </c>
      <c r="BC31" s="101">
        <f t="shared" ca="1" si="8"/>
        <v>46272</v>
      </c>
      <c r="BD31" s="100">
        <f t="shared" si="3"/>
        <v>-67040.595382055923</v>
      </c>
      <c r="BE31" s="103">
        <f t="shared" ca="1" si="9"/>
        <v>46272</v>
      </c>
      <c r="BF31" s="102">
        <f t="shared" si="4"/>
        <v>-18138.544377630071</v>
      </c>
    </row>
    <row r="32" spans="1:58" hidden="1" x14ac:dyDescent="0.25">
      <c r="A32" s="2"/>
      <c r="B32" s="2"/>
      <c r="C32" s="37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V32">
        <v>7</v>
      </c>
      <c r="AW32" s="94">
        <f t="shared" ca="1" si="5"/>
        <v>46302</v>
      </c>
      <c r="AX32" s="95">
        <f t="shared" si="0"/>
        <v>-19010.092364804936</v>
      </c>
      <c r="AY32" s="98">
        <f t="shared" ca="1" si="6"/>
        <v>46302</v>
      </c>
      <c r="AZ32" s="96">
        <f t="shared" si="1"/>
        <v>-44989.366489508058</v>
      </c>
      <c r="BA32" s="99">
        <f t="shared" ca="1" si="7"/>
        <v>46302</v>
      </c>
      <c r="BB32" s="97">
        <f t="shared" si="2"/>
        <v>-346027.15793695109</v>
      </c>
      <c r="BC32" s="101">
        <f t="shared" ca="1" si="8"/>
        <v>46302</v>
      </c>
      <c r="BD32" s="100">
        <f t="shared" si="3"/>
        <v>-67040.595382055923</v>
      </c>
      <c r="BE32" s="103">
        <f t="shared" ca="1" si="9"/>
        <v>46302</v>
      </c>
      <c r="BF32" s="102">
        <f t="shared" si="4"/>
        <v>-18138.544377630071</v>
      </c>
    </row>
    <row r="33" spans="1:58" hidden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V33">
        <v>8</v>
      </c>
      <c r="AW33" s="94">
        <f t="shared" ca="1" si="5"/>
        <v>46333</v>
      </c>
      <c r="AX33" s="95">
        <f t="shared" si="0"/>
        <v>-19010.092364804936</v>
      </c>
      <c r="AY33" s="98">
        <f t="shared" ca="1" si="6"/>
        <v>46333</v>
      </c>
      <c r="AZ33" s="96">
        <f t="shared" si="1"/>
        <v>-44989.366489508058</v>
      </c>
      <c r="BA33" s="99">
        <f t="shared" ca="1" si="7"/>
        <v>46333</v>
      </c>
      <c r="BB33" s="97">
        <f t="shared" si="2"/>
        <v>-346027.15793695109</v>
      </c>
      <c r="BC33" s="101">
        <f t="shared" ca="1" si="8"/>
        <v>46333</v>
      </c>
      <c r="BD33" s="100">
        <f t="shared" si="3"/>
        <v>-67040.595382055923</v>
      </c>
      <c r="BE33" s="103">
        <f t="shared" ca="1" si="9"/>
        <v>46333</v>
      </c>
      <c r="BF33" s="102">
        <f t="shared" si="4"/>
        <v>-18138.544377630071</v>
      </c>
    </row>
    <row r="34" spans="1:58" hidden="1" x14ac:dyDescent="0.25">
      <c r="A34" s="2"/>
      <c r="B34" s="2"/>
      <c r="C34" s="36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V34">
        <v>9</v>
      </c>
      <c r="AW34" s="94">
        <f t="shared" ca="1" si="5"/>
        <v>46363</v>
      </c>
      <c r="AX34" s="95">
        <f t="shared" si="0"/>
        <v>-19010.092364804936</v>
      </c>
      <c r="AY34" s="98">
        <f t="shared" ca="1" si="6"/>
        <v>46363</v>
      </c>
      <c r="AZ34" s="96">
        <f t="shared" si="1"/>
        <v>-44989.366489508058</v>
      </c>
      <c r="BA34" s="99">
        <f t="shared" ca="1" si="7"/>
        <v>46363</v>
      </c>
      <c r="BB34" s="97">
        <f t="shared" si="2"/>
        <v>-346027.15793695109</v>
      </c>
      <c r="BC34" s="101">
        <f t="shared" ca="1" si="8"/>
        <v>46363</v>
      </c>
      <c r="BD34" s="100">
        <f t="shared" si="3"/>
        <v>-67040.595382055923</v>
      </c>
      <c r="BE34" s="103">
        <f t="shared" ca="1" si="9"/>
        <v>46363</v>
      </c>
      <c r="BF34" s="102">
        <f t="shared" si="4"/>
        <v>-18138.544377630071</v>
      </c>
    </row>
    <row r="35" spans="1:58" hidden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V35">
        <v>10</v>
      </c>
      <c r="AW35" s="94">
        <f t="shared" ca="1" si="5"/>
        <v>46394</v>
      </c>
      <c r="AX35" s="95">
        <f t="shared" si="0"/>
        <v>-19010.092364804936</v>
      </c>
      <c r="AY35" s="98">
        <f t="shared" ca="1" si="6"/>
        <v>46394</v>
      </c>
      <c r="AZ35" s="96">
        <f t="shared" si="1"/>
        <v>-44989.366489508058</v>
      </c>
      <c r="BA35" s="99">
        <f t="shared" ca="1" si="7"/>
        <v>46394</v>
      </c>
      <c r="BB35" s="97">
        <f t="shared" si="2"/>
        <v>-346027.15793695109</v>
      </c>
      <c r="BC35" s="101">
        <f t="shared" ca="1" si="8"/>
        <v>46394</v>
      </c>
      <c r="BD35" s="100">
        <f t="shared" si="3"/>
        <v>-67040.595382055923</v>
      </c>
      <c r="BE35" s="103">
        <f t="shared" ca="1" si="9"/>
        <v>46394</v>
      </c>
      <c r="BF35" s="102">
        <f t="shared" si="4"/>
        <v>-18138.544377630071</v>
      </c>
    </row>
    <row r="36" spans="1:58" hidden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V36">
        <v>11</v>
      </c>
      <c r="AW36" s="94">
        <f t="shared" ca="1" si="5"/>
        <v>46425</v>
      </c>
      <c r="AX36" s="95">
        <f t="shared" si="0"/>
        <v>-19010.092364804936</v>
      </c>
      <c r="AY36" s="98">
        <f t="shared" ca="1" si="6"/>
        <v>46425</v>
      </c>
      <c r="AZ36" s="96">
        <f t="shared" si="1"/>
        <v>-44989.366489508058</v>
      </c>
      <c r="BA36" s="99">
        <f t="shared" ca="1" si="7"/>
        <v>46425</v>
      </c>
      <c r="BB36" s="97">
        <f t="shared" si="2"/>
        <v>-346027.15793695109</v>
      </c>
      <c r="BC36" s="101">
        <f t="shared" ca="1" si="8"/>
        <v>46425</v>
      </c>
      <c r="BD36" s="100">
        <f t="shared" si="3"/>
        <v>-67040.595382055923</v>
      </c>
      <c r="BE36" s="103">
        <f t="shared" ca="1" si="9"/>
        <v>46425</v>
      </c>
      <c r="BF36" s="102">
        <f t="shared" si="4"/>
        <v>-18138.544377630071</v>
      </c>
    </row>
    <row r="37" spans="1:58" hidden="1" x14ac:dyDescent="0.25">
      <c r="A37" s="2"/>
      <c r="B37" s="2"/>
      <c r="C37" s="2"/>
      <c r="D37" s="2"/>
      <c r="E37" s="2"/>
      <c r="F37" s="2"/>
      <c r="G37" s="2"/>
      <c r="H37" s="2"/>
      <c r="I37" s="2"/>
      <c r="J37" s="36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V37">
        <v>12</v>
      </c>
      <c r="AW37" s="94">
        <f t="shared" ca="1" si="5"/>
        <v>46453</v>
      </c>
      <c r="AX37" s="95">
        <f t="shared" si="0"/>
        <v>-19010.092364804936</v>
      </c>
      <c r="AY37" s="98">
        <f t="shared" ca="1" si="6"/>
        <v>46453</v>
      </c>
      <c r="AZ37" s="96">
        <f t="shared" si="1"/>
        <v>-44989.366489508058</v>
      </c>
      <c r="BA37" s="99">
        <f t="shared" ca="1" si="7"/>
        <v>46453</v>
      </c>
      <c r="BB37" s="97">
        <f t="shared" si="2"/>
        <v>-346027.15793695109</v>
      </c>
      <c r="BC37" s="101">
        <f t="shared" ca="1" si="8"/>
        <v>46453</v>
      </c>
      <c r="BD37" s="100">
        <f t="shared" si="3"/>
        <v>-67040.595382055923</v>
      </c>
      <c r="BE37" s="103">
        <f t="shared" ca="1" si="9"/>
        <v>46453</v>
      </c>
      <c r="BF37" s="102">
        <f t="shared" si="4"/>
        <v>-18138.544377630071</v>
      </c>
    </row>
    <row r="38" spans="1:58" hidden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V38">
        <v>13</v>
      </c>
      <c r="AW38" s="94">
        <f t="shared" ca="1" si="5"/>
        <v>46484</v>
      </c>
      <c r="AX38" s="95">
        <f t="shared" si="0"/>
        <v>-19010.092364804936</v>
      </c>
      <c r="AY38" s="98">
        <f t="shared" ca="1" si="6"/>
        <v>46484</v>
      </c>
      <c r="AZ38" s="96">
        <f t="shared" si="1"/>
        <v>-44989.366489508058</v>
      </c>
      <c r="BA38" s="99">
        <f t="shared" ca="1" si="7"/>
        <v>46484</v>
      </c>
      <c r="BB38" s="97">
        <f t="shared" si="2"/>
        <v>-346027.15793695109</v>
      </c>
      <c r="BC38" s="101">
        <f t="shared" ca="1" si="8"/>
        <v>46484</v>
      </c>
      <c r="BD38" s="100">
        <f t="shared" si="3"/>
        <v>-67040.595382055923</v>
      </c>
      <c r="BE38" s="103">
        <f t="shared" ca="1" si="9"/>
        <v>46484</v>
      </c>
      <c r="BF38" s="102">
        <f t="shared" si="4"/>
        <v>-18138.544377630071</v>
      </c>
    </row>
    <row r="39" spans="1:58" hidden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V39">
        <v>14</v>
      </c>
      <c r="AW39" s="94">
        <f t="shared" ca="1" si="5"/>
        <v>46514</v>
      </c>
      <c r="AX39" s="95">
        <f t="shared" si="0"/>
        <v>-19010.092364804936</v>
      </c>
      <c r="AY39" s="98">
        <f t="shared" ca="1" si="6"/>
        <v>46514</v>
      </c>
      <c r="AZ39" s="96">
        <f t="shared" si="1"/>
        <v>-44989.366489508058</v>
      </c>
      <c r="BA39" s="99">
        <f t="shared" ca="1" si="7"/>
        <v>46514</v>
      </c>
      <c r="BB39" s="97">
        <f t="shared" si="2"/>
        <v>-346027.15793695109</v>
      </c>
      <c r="BC39" s="101">
        <f t="shared" ca="1" si="8"/>
        <v>46514</v>
      </c>
      <c r="BD39" s="100">
        <f t="shared" si="3"/>
        <v>-67040.595382055923</v>
      </c>
      <c r="BE39" s="103">
        <f t="shared" ca="1" si="9"/>
        <v>46514</v>
      </c>
      <c r="BF39" s="102">
        <f t="shared" si="4"/>
        <v>-18138.544377630071</v>
      </c>
    </row>
    <row r="40" spans="1:58" hidden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V40">
        <v>15</v>
      </c>
      <c r="AW40" s="94">
        <f t="shared" ca="1" si="5"/>
        <v>46545</v>
      </c>
      <c r="AX40" s="95">
        <f t="shared" si="0"/>
        <v>-19010.092364804936</v>
      </c>
      <c r="AY40" s="98">
        <f t="shared" ca="1" si="6"/>
        <v>46545</v>
      </c>
      <c r="AZ40" s="96">
        <f t="shared" si="1"/>
        <v>-44989.366489508058</v>
      </c>
      <c r="BA40" s="99">
        <f t="shared" ca="1" si="7"/>
        <v>46545</v>
      </c>
      <c r="BB40" s="97">
        <f t="shared" si="2"/>
        <v>-346027.15793695109</v>
      </c>
      <c r="BC40" s="101">
        <f t="shared" ca="1" si="8"/>
        <v>46545</v>
      </c>
      <c r="BD40" s="100">
        <f t="shared" si="3"/>
        <v>-67040.595382055923</v>
      </c>
      <c r="BE40" s="103">
        <f t="shared" ca="1" si="9"/>
        <v>46545</v>
      </c>
      <c r="BF40" s="102">
        <f t="shared" si="4"/>
        <v>-18138.544377630071</v>
      </c>
    </row>
    <row r="41" spans="1:58" hidden="1" x14ac:dyDescent="0.25">
      <c r="A41" s="2"/>
      <c r="B41" s="2"/>
      <c r="C41" s="2"/>
      <c r="D41" s="2"/>
      <c r="E41" s="2"/>
      <c r="F41" s="2"/>
      <c r="G41" s="2"/>
      <c r="H41" s="2"/>
      <c r="I41" s="2"/>
      <c r="J41" s="37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V41">
        <v>16</v>
      </c>
      <c r="AW41" s="94">
        <f t="shared" ca="1" si="5"/>
        <v>46575</v>
      </c>
      <c r="AX41" s="95">
        <f t="shared" si="0"/>
        <v>-19010.092364804936</v>
      </c>
      <c r="AY41" s="98">
        <f t="shared" ca="1" si="6"/>
        <v>46575</v>
      </c>
      <c r="AZ41" s="96">
        <f t="shared" si="1"/>
        <v>-44989.366489508058</v>
      </c>
      <c r="BA41" s="99">
        <f t="shared" ca="1" si="7"/>
        <v>46575</v>
      </c>
      <c r="BB41" s="97">
        <f t="shared" si="2"/>
        <v>-346027.15793695109</v>
      </c>
      <c r="BC41" s="101">
        <f t="shared" ca="1" si="8"/>
        <v>46575</v>
      </c>
      <c r="BD41" s="100">
        <f t="shared" si="3"/>
        <v>-67040.595382055923</v>
      </c>
      <c r="BE41" s="103">
        <f t="shared" ca="1" si="9"/>
        <v>46575</v>
      </c>
      <c r="BF41" s="102">
        <f t="shared" si="4"/>
        <v>-18138.544377630071</v>
      </c>
    </row>
    <row r="42" spans="1:58" hidden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V42">
        <v>17</v>
      </c>
      <c r="AW42" s="94">
        <f t="shared" ca="1" si="5"/>
        <v>46606</v>
      </c>
      <c r="AX42" s="95">
        <f t="shared" si="0"/>
        <v>-19010.092364804936</v>
      </c>
      <c r="AY42" s="98">
        <f t="shared" ca="1" si="6"/>
        <v>46606</v>
      </c>
      <c r="AZ42" s="96">
        <f t="shared" si="1"/>
        <v>-44989.366489508058</v>
      </c>
      <c r="BA42" s="99">
        <f t="shared" ca="1" si="7"/>
        <v>46606</v>
      </c>
      <c r="BB42" s="97">
        <f t="shared" si="2"/>
        <v>-346027.15793695109</v>
      </c>
      <c r="BC42" s="101">
        <f t="shared" ca="1" si="8"/>
        <v>46606</v>
      </c>
      <c r="BD42" s="100">
        <f t="shared" si="3"/>
        <v>-67040.595382055923</v>
      </c>
      <c r="BE42" s="103">
        <f t="shared" ca="1" si="9"/>
        <v>46606</v>
      </c>
      <c r="BF42" s="102">
        <f t="shared" si="4"/>
        <v>-18138.544377630071</v>
      </c>
    </row>
    <row r="43" spans="1:58" hidden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V43">
        <v>18</v>
      </c>
      <c r="AW43" s="94">
        <f t="shared" ca="1" si="5"/>
        <v>46637</v>
      </c>
      <c r="AX43" s="95">
        <f t="shared" si="0"/>
        <v>-19010.092364804936</v>
      </c>
      <c r="AY43" s="98">
        <f t="shared" ca="1" si="6"/>
        <v>46637</v>
      </c>
      <c r="AZ43" s="96">
        <f t="shared" si="1"/>
        <v>-44989.366489508058</v>
      </c>
      <c r="BA43" s="99">
        <f t="shared" ca="1" si="7"/>
        <v>46637</v>
      </c>
      <c r="BB43" s="97">
        <f t="shared" si="2"/>
        <v>-346027.15793695109</v>
      </c>
      <c r="BC43" s="101">
        <f t="shared" ca="1" si="8"/>
        <v>46637</v>
      </c>
      <c r="BD43" s="100">
        <f t="shared" si="3"/>
        <v>-67040.595382055923</v>
      </c>
      <c r="BE43" s="103">
        <f t="shared" ca="1" si="9"/>
        <v>46637</v>
      </c>
      <c r="BF43" s="102">
        <f t="shared" si="4"/>
        <v>-18138.544377630071</v>
      </c>
    </row>
    <row r="44" spans="1:58" hidden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V44">
        <v>19</v>
      </c>
      <c r="AW44" s="94">
        <f t="shared" ca="1" si="5"/>
        <v>46667</v>
      </c>
      <c r="AX44" s="95">
        <f t="shared" si="0"/>
        <v>-19010.092364804936</v>
      </c>
      <c r="AY44" s="98">
        <f t="shared" ca="1" si="6"/>
        <v>46667</v>
      </c>
      <c r="AZ44" s="96">
        <f t="shared" si="1"/>
        <v>-44989.366489508058</v>
      </c>
      <c r="BA44" s="99">
        <f t="shared" ca="1" si="7"/>
        <v>46667</v>
      </c>
      <c r="BB44" s="97">
        <f t="shared" si="2"/>
        <v>-346027.15793695109</v>
      </c>
      <c r="BC44" s="101">
        <f t="shared" ca="1" si="8"/>
        <v>46667</v>
      </c>
      <c r="BD44" s="100">
        <f t="shared" si="3"/>
        <v>-67040.595382055923</v>
      </c>
      <c r="BE44" s="103">
        <f t="shared" ca="1" si="9"/>
        <v>46667</v>
      </c>
      <c r="BF44" s="102">
        <f t="shared" si="4"/>
        <v>-18138.544377630071</v>
      </c>
    </row>
    <row r="45" spans="1:58" hidden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V45">
        <v>20</v>
      </c>
      <c r="AW45" s="94">
        <f t="shared" ca="1" si="5"/>
        <v>46698</v>
      </c>
      <c r="AX45" s="95">
        <f t="shared" si="0"/>
        <v>-19010.092364804936</v>
      </c>
      <c r="AY45" s="98">
        <f t="shared" ca="1" si="6"/>
        <v>46698</v>
      </c>
      <c r="AZ45" s="96">
        <f t="shared" si="1"/>
        <v>-44989.366489508058</v>
      </c>
      <c r="BA45" s="99">
        <f t="shared" ca="1" si="7"/>
        <v>46698</v>
      </c>
      <c r="BB45" s="97">
        <f t="shared" si="2"/>
        <v>-346027.15793695109</v>
      </c>
      <c r="BC45" s="101">
        <f t="shared" ca="1" si="8"/>
        <v>46698</v>
      </c>
      <c r="BD45" s="100">
        <f t="shared" si="3"/>
        <v>-67040.595382055923</v>
      </c>
      <c r="BE45" s="103">
        <f t="shared" ca="1" si="9"/>
        <v>46698</v>
      </c>
      <c r="BF45" s="102">
        <f t="shared" si="4"/>
        <v>-18138.544377630071</v>
      </c>
    </row>
    <row r="46" spans="1:58" hidden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V46">
        <v>21</v>
      </c>
      <c r="AW46" s="94">
        <f t="shared" ca="1" si="5"/>
        <v>46728</v>
      </c>
      <c r="AX46" s="95">
        <f t="shared" si="0"/>
        <v>-19010.092364804936</v>
      </c>
      <c r="AY46" s="98">
        <f t="shared" ca="1" si="6"/>
        <v>46728</v>
      </c>
      <c r="AZ46" s="96">
        <f t="shared" si="1"/>
        <v>-44989.366489508058</v>
      </c>
      <c r="BA46" s="99">
        <f t="shared" ca="1" si="7"/>
        <v>46728</v>
      </c>
      <c r="BB46" s="97">
        <f t="shared" si="2"/>
        <v>-346027.15793695109</v>
      </c>
      <c r="BC46" s="101">
        <f t="shared" ca="1" si="8"/>
        <v>46728</v>
      </c>
      <c r="BD46" s="100">
        <f t="shared" si="3"/>
        <v>-67040.595382055923</v>
      </c>
      <c r="BE46" s="103">
        <f t="shared" ca="1" si="9"/>
        <v>46728</v>
      </c>
      <c r="BF46" s="102">
        <f t="shared" si="4"/>
        <v>-18138.544377630071</v>
      </c>
    </row>
    <row r="47" spans="1:58" hidden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V47">
        <v>22</v>
      </c>
      <c r="AW47" s="94">
        <f t="shared" ca="1" si="5"/>
        <v>46759</v>
      </c>
      <c r="AX47" s="95">
        <f t="shared" si="0"/>
        <v>-19010.092364804936</v>
      </c>
      <c r="AY47" s="98">
        <f t="shared" ca="1" si="6"/>
        <v>46759</v>
      </c>
      <c r="AZ47" s="96">
        <f t="shared" si="1"/>
        <v>-44989.366489508058</v>
      </c>
      <c r="BA47" s="99">
        <f t="shared" ca="1" si="7"/>
        <v>46759</v>
      </c>
      <c r="BB47" s="97">
        <f t="shared" si="2"/>
        <v>-346027.15793695109</v>
      </c>
      <c r="BC47" s="101">
        <f t="shared" ca="1" si="8"/>
        <v>46759</v>
      </c>
      <c r="BD47" s="100">
        <f t="shared" si="3"/>
        <v>-67040.595382055923</v>
      </c>
      <c r="BE47" s="103">
        <f t="shared" ca="1" si="9"/>
        <v>46759</v>
      </c>
      <c r="BF47" s="102">
        <f t="shared" si="4"/>
        <v>-18138.544377630071</v>
      </c>
    </row>
    <row r="48" spans="1:58" hidden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V48">
        <v>23</v>
      </c>
      <c r="AW48" s="94">
        <f t="shared" ca="1" si="5"/>
        <v>46790</v>
      </c>
      <c r="AX48" s="95">
        <f t="shared" si="0"/>
        <v>-19010.092364804936</v>
      </c>
      <c r="AY48" s="98">
        <f t="shared" ca="1" si="6"/>
        <v>46790</v>
      </c>
      <c r="AZ48" s="96">
        <f t="shared" si="1"/>
        <v>-44989.366489508058</v>
      </c>
      <c r="BA48" s="99">
        <f t="shared" ca="1" si="7"/>
        <v>46790</v>
      </c>
      <c r="BB48" s="97">
        <f t="shared" si="2"/>
        <v>-346027.15793695109</v>
      </c>
      <c r="BC48" s="101">
        <f t="shared" ca="1" si="8"/>
        <v>46790</v>
      </c>
      <c r="BD48" s="100">
        <f t="shared" si="3"/>
        <v>-67040.595382055923</v>
      </c>
      <c r="BE48" s="103">
        <f t="shared" ca="1" si="9"/>
        <v>46790</v>
      </c>
      <c r="BF48" s="102">
        <f t="shared" si="4"/>
        <v>-18138.544377630071</v>
      </c>
    </row>
    <row r="49" spans="1:58" hidden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V49">
        <v>24</v>
      </c>
      <c r="AW49" s="94">
        <f t="shared" ca="1" si="5"/>
        <v>46819</v>
      </c>
      <c r="AX49" s="95">
        <f t="shared" si="0"/>
        <v>-19010.092364804936</v>
      </c>
      <c r="AY49" s="98">
        <f t="shared" ca="1" si="6"/>
        <v>46819</v>
      </c>
      <c r="AZ49" s="96">
        <f t="shared" si="1"/>
        <v>-44989.366489508058</v>
      </c>
      <c r="BA49" s="99">
        <f t="shared" ca="1" si="7"/>
        <v>46819</v>
      </c>
      <c r="BB49" s="97">
        <f t="shared" si="2"/>
        <v>-346027.15793695109</v>
      </c>
      <c r="BC49" s="101">
        <f t="shared" ca="1" si="8"/>
        <v>46819</v>
      </c>
      <c r="BD49" s="100">
        <f t="shared" si="3"/>
        <v>-67040.595382055923</v>
      </c>
      <c r="BE49" s="103">
        <f t="shared" ca="1" si="9"/>
        <v>46819</v>
      </c>
      <c r="BF49" s="102">
        <f t="shared" si="4"/>
        <v>-18138.544377630071</v>
      </c>
    </row>
    <row r="50" spans="1:58" hidden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V50">
        <v>25</v>
      </c>
      <c r="AW50" s="94">
        <f t="shared" ca="1" si="5"/>
        <v>46850</v>
      </c>
      <c r="AX50" s="95">
        <f t="shared" si="0"/>
        <v>-19010.092364804936</v>
      </c>
      <c r="AY50" s="98">
        <f t="shared" ca="1" si="6"/>
        <v>46850</v>
      </c>
      <c r="AZ50" s="96">
        <f t="shared" si="1"/>
        <v>-44989.366489508058</v>
      </c>
      <c r="BA50" s="99">
        <f t="shared" ca="1" si="7"/>
        <v>46850</v>
      </c>
      <c r="BB50" s="97">
        <f t="shared" si="2"/>
        <v>-346027.15793695109</v>
      </c>
      <c r="BC50" s="101">
        <f t="shared" ca="1" si="8"/>
        <v>46850</v>
      </c>
      <c r="BD50" s="100">
        <f t="shared" si="3"/>
        <v>-67040.595382055923</v>
      </c>
      <c r="BE50" s="103">
        <f t="shared" ca="1" si="9"/>
        <v>46850</v>
      </c>
      <c r="BF50" s="102">
        <f t="shared" si="4"/>
        <v>-18138.544377630071</v>
      </c>
    </row>
    <row r="51" spans="1:58" hidden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V51">
        <v>26</v>
      </c>
      <c r="AW51" s="94">
        <f t="shared" ca="1" si="5"/>
        <v>46880</v>
      </c>
      <c r="AX51" s="95">
        <f t="shared" si="0"/>
        <v>-19010.092364804936</v>
      </c>
      <c r="AY51" s="98">
        <f t="shared" ca="1" si="6"/>
        <v>46880</v>
      </c>
      <c r="AZ51" s="96">
        <f t="shared" si="1"/>
        <v>-44989.366489508058</v>
      </c>
      <c r="BA51" s="99">
        <f t="shared" ca="1" si="7"/>
        <v>46880</v>
      </c>
      <c r="BB51" s="97">
        <f t="shared" si="2"/>
        <v>-346027.15793695109</v>
      </c>
      <c r="BC51" s="101">
        <f t="shared" ca="1" si="8"/>
        <v>46880</v>
      </c>
      <c r="BD51" s="100">
        <f t="shared" si="3"/>
        <v>-67040.595382055923</v>
      </c>
      <c r="BE51" s="103">
        <f t="shared" ca="1" si="9"/>
        <v>46880</v>
      </c>
      <c r="BF51" s="102">
        <f t="shared" si="4"/>
        <v>-18138.544377630071</v>
      </c>
    </row>
    <row r="52" spans="1:58" hidden="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V52">
        <v>27</v>
      </c>
      <c r="AW52" s="94">
        <f t="shared" ca="1" si="5"/>
        <v>46911</v>
      </c>
      <c r="AX52" s="95">
        <f t="shared" si="0"/>
        <v>-19010.092364804936</v>
      </c>
      <c r="AY52" s="98">
        <f t="shared" ca="1" si="6"/>
        <v>46911</v>
      </c>
      <c r="AZ52" s="96">
        <f t="shared" si="1"/>
        <v>-44989.366489508058</v>
      </c>
      <c r="BA52" s="99">
        <f t="shared" ca="1" si="7"/>
        <v>46911</v>
      </c>
      <c r="BB52" s="97">
        <f t="shared" si="2"/>
        <v>-346027.15793695109</v>
      </c>
      <c r="BC52" s="101">
        <f t="shared" ca="1" si="8"/>
        <v>46911</v>
      </c>
      <c r="BD52" s="100">
        <f t="shared" si="3"/>
        <v>-67040.595382055923</v>
      </c>
      <c r="BE52" s="103">
        <f t="shared" ca="1" si="9"/>
        <v>46911</v>
      </c>
      <c r="BF52" s="102">
        <f t="shared" si="4"/>
        <v>-18138.544377630071</v>
      </c>
    </row>
    <row r="53" spans="1:58" hidden="1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V53">
        <v>28</v>
      </c>
      <c r="AW53" s="94">
        <f t="shared" ca="1" si="5"/>
        <v>46941</v>
      </c>
      <c r="AX53" s="95">
        <f t="shared" si="0"/>
        <v>-19010.092364804936</v>
      </c>
      <c r="AY53" s="98">
        <f t="shared" ca="1" si="6"/>
        <v>46941</v>
      </c>
      <c r="AZ53" s="96">
        <f t="shared" si="1"/>
        <v>-44989.366489508058</v>
      </c>
      <c r="BA53" s="99">
        <f t="shared" ca="1" si="7"/>
        <v>46941</v>
      </c>
      <c r="BB53" s="97">
        <f t="shared" si="2"/>
        <v>-346027.15793695109</v>
      </c>
      <c r="BC53" s="101">
        <f t="shared" ca="1" si="8"/>
        <v>46941</v>
      </c>
      <c r="BD53" s="100">
        <f t="shared" si="3"/>
        <v>-67040.595382055923</v>
      </c>
      <c r="BE53" s="103">
        <f t="shared" ca="1" si="9"/>
        <v>46941</v>
      </c>
      <c r="BF53" s="102">
        <f t="shared" si="4"/>
        <v>-18138.544377630071</v>
      </c>
    </row>
    <row r="54" spans="1:58" hidden="1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V54">
        <v>29</v>
      </c>
      <c r="AW54" s="94">
        <f t="shared" ca="1" si="5"/>
        <v>46972</v>
      </c>
      <c r="AX54" s="95">
        <f t="shared" si="0"/>
        <v>-19010.092364804936</v>
      </c>
      <c r="AY54" s="98">
        <f t="shared" ca="1" si="6"/>
        <v>46972</v>
      </c>
      <c r="AZ54" s="96">
        <f t="shared" si="1"/>
        <v>-44989.366489508058</v>
      </c>
      <c r="BA54" s="99">
        <f t="shared" ca="1" si="7"/>
        <v>46972</v>
      </c>
      <c r="BB54" s="97">
        <f t="shared" si="2"/>
        <v>-346027.15793695109</v>
      </c>
      <c r="BC54" s="101">
        <f t="shared" ca="1" si="8"/>
        <v>46972</v>
      </c>
      <c r="BD54" s="100">
        <f t="shared" si="3"/>
        <v>-67040.595382055923</v>
      </c>
      <c r="BE54" s="103">
        <f t="shared" ca="1" si="9"/>
        <v>46972</v>
      </c>
      <c r="BF54" s="102">
        <f t="shared" si="4"/>
        <v>-18138.544377630071</v>
      </c>
    </row>
    <row r="55" spans="1:58" hidden="1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V55">
        <v>30</v>
      </c>
      <c r="AW55" s="94">
        <f t="shared" ca="1" si="5"/>
        <v>47003</v>
      </c>
      <c r="AX55" s="95">
        <f t="shared" si="0"/>
        <v>-19010.092364804936</v>
      </c>
      <c r="AY55" s="98">
        <f t="shared" ca="1" si="6"/>
        <v>47003</v>
      </c>
      <c r="AZ55" s="96">
        <f t="shared" si="1"/>
        <v>-44989.366489508058</v>
      </c>
      <c r="BA55" s="99">
        <f t="shared" ca="1" si="7"/>
        <v>47003</v>
      </c>
      <c r="BB55" s="97">
        <f t="shared" si="2"/>
        <v>-346027.15793695109</v>
      </c>
      <c r="BC55" s="101">
        <f t="shared" ca="1" si="8"/>
        <v>47003</v>
      </c>
      <c r="BD55" s="100">
        <f t="shared" si="3"/>
        <v>-67040.595382055923</v>
      </c>
      <c r="BE55" s="103">
        <f t="shared" ca="1" si="9"/>
        <v>47003</v>
      </c>
      <c r="BF55" s="102">
        <f t="shared" si="4"/>
        <v>-18138.544377630071</v>
      </c>
    </row>
    <row r="56" spans="1:58" hidden="1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V56">
        <v>31</v>
      </c>
      <c r="AW56" s="94">
        <f t="shared" ca="1" si="5"/>
        <v>47033</v>
      </c>
      <c r="AX56" s="95">
        <f t="shared" si="0"/>
        <v>-19010.092364804936</v>
      </c>
      <c r="AY56" s="98">
        <f t="shared" ca="1" si="6"/>
        <v>47033</v>
      </c>
      <c r="AZ56" s="96">
        <f t="shared" si="1"/>
        <v>-44989.366489508058</v>
      </c>
      <c r="BA56" s="99">
        <f t="shared" ca="1" si="7"/>
        <v>47033</v>
      </c>
      <c r="BB56" s="97">
        <f t="shared" si="2"/>
        <v>-346027.15793695109</v>
      </c>
      <c r="BC56" s="101">
        <f t="shared" ca="1" si="8"/>
        <v>47033</v>
      </c>
      <c r="BD56" s="100">
        <f t="shared" si="3"/>
        <v>-67040.595382055923</v>
      </c>
      <c r="BE56" s="103">
        <f t="shared" ca="1" si="9"/>
        <v>47033</v>
      </c>
      <c r="BF56" s="102">
        <f t="shared" si="4"/>
        <v>-18138.544377630071</v>
      </c>
    </row>
    <row r="57" spans="1:58" hidden="1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V57">
        <v>32</v>
      </c>
      <c r="AW57" s="94">
        <f t="shared" ca="1" si="5"/>
        <v>47064</v>
      </c>
      <c r="AX57" s="95">
        <f t="shared" si="0"/>
        <v>-19010.092364804936</v>
      </c>
      <c r="AY57" s="98">
        <f t="shared" ca="1" si="6"/>
        <v>47064</v>
      </c>
      <c r="AZ57" s="96">
        <f t="shared" si="1"/>
        <v>-44989.366489508058</v>
      </c>
      <c r="BA57" s="99">
        <f t="shared" ca="1" si="7"/>
        <v>47064</v>
      </c>
      <c r="BB57" s="97">
        <f t="shared" si="2"/>
        <v>-346027.15793695109</v>
      </c>
      <c r="BC57" s="101">
        <f t="shared" ca="1" si="8"/>
        <v>47064</v>
      </c>
      <c r="BD57" s="100">
        <f t="shared" si="3"/>
        <v>-67040.595382055923</v>
      </c>
      <c r="BE57" s="103">
        <f t="shared" ca="1" si="9"/>
        <v>47064</v>
      </c>
      <c r="BF57" s="102">
        <f t="shared" si="4"/>
        <v>-18138.544377630071</v>
      </c>
    </row>
    <row r="58" spans="1:58" hidden="1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V58">
        <v>33</v>
      </c>
      <c r="AW58" s="94">
        <f t="shared" ca="1" si="5"/>
        <v>47094</v>
      </c>
      <c r="AX58" s="95">
        <f t="shared" si="0"/>
        <v>-19010.092364804936</v>
      </c>
      <c r="AY58" s="98">
        <f t="shared" ca="1" si="6"/>
        <v>47094</v>
      </c>
      <c r="AZ58" s="96">
        <f t="shared" si="1"/>
        <v>-44989.366489508058</v>
      </c>
      <c r="BA58" s="99">
        <f t="shared" ca="1" si="7"/>
        <v>47094</v>
      </c>
      <c r="BB58" s="97">
        <f t="shared" si="2"/>
        <v>-346027.15793695109</v>
      </c>
      <c r="BC58" s="101">
        <f t="shared" ca="1" si="8"/>
        <v>47094</v>
      </c>
      <c r="BD58" s="100">
        <f t="shared" si="3"/>
        <v>-67040.595382055923</v>
      </c>
      <c r="BE58" s="103">
        <f t="shared" ca="1" si="9"/>
        <v>47094</v>
      </c>
      <c r="BF58" s="102">
        <f t="shared" si="4"/>
        <v>-18138.544377630071</v>
      </c>
    </row>
    <row r="59" spans="1:58" hidden="1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V59">
        <v>34</v>
      </c>
      <c r="AW59" s="94">
        <f t="shared" ca="1" si="5"/>
        <v>47125</v>
      </c>
      <c r="AX59" s="95">
        <f t="shared" si="0"/>
        <v>-19010.092364804936</v>
      </c>
      <c r="AY59" s="98">
        <f t="shared" ca="1" si="6"/>
        <v>47125</v>
      </c>
      <c r="AZ59" s="96">
        <f t="shared" si="1"/>
        <v>-44989.366489508058</v>
      </c>
      <c r="BA59" s="99">
        <f t="shared" ca="1" si="7"/>
        <v>47125</v>
      </c>
      <c r="BB59" s="97">
        <f t="shared" si="2"/>
        <v>-346027.15793695109</v>
      </c>
      <c r="BC59" s="101">
        <f t="shared" ca="1" si="8"/>
        <v>47125</v>
      </c>
      <c r="BD59" s="100">
        <f t="shared" si="3"/>
        <v>-67040.595382055923</v>
      </c>
      <c r="BE59" s="103">
        <f t="shared" ca="1" si="9"/>
        <v>47125</v>
      </c>
      <c r="BF59" s="102">
        <f t="shared" si="4"/>
        <v>-18138.544377630071</v>
      </c>
    </row>
    <row r="60" spans="1:58" hidden="1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>
        <f>COUNTIF(R54:R58,"&gt;0")</f>
        <v>0</v>
      </c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V60">
        <v>35</v>
      </c>
      <c r="AW60" s="94">
        <f t="shared" ca="1" si="5"/>
        <v>47156</v>
      </c>
      <c r="AX60" s="95">
        <f t="shared" si="0"/>
        <v>-19010.092364804936</v>
      </c>
      <c r="AY60" s="98">
        <f t="shared" ca="1" si="6"/>
        <v>47156</v>
      </c>
      <c r="AZ60" s="96">
        <f t="shared" si="1"/>
        <v>-44989.366489508058</v>
      </c>
      <c r="BA60" s="99">
        <f t="shared" ca="1" si="7"/>
        <v>47156</v>
      </c>
      <c r="BB60" s="97">
        <f t="shared" si="2"/>
        <v>-346027.15793695109</v>
      </c>
      <c r="BC60" s="101">
        <f t="shared" ca="1" si="8"/>
        <v>47156</v>
      </c>
      <c r="BD60" s="100">
        <f t="shared" si="3"/>
        <v>-67040.595382055923</v>
      </c>
      <c r="BE60" s="103">
        <f t="shared" ca="1" si="9"/>
        <v>47156</v>
      </c>
      <c r="BF60" s="102">
        <f t="shared" si="4"/>
        <v>-18138.544377630071</v>
      </c>
    </row>
    <row r="61" spans="1:58" hidden="1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AV61">
        <v>36</v>
      </c>
      <c r="AW61" s="94">
        <f t="shared" ca="1" si="5"/>
        <v>47184</v>
      </c>
      <c r="AX61" s="95">
        <f t="shared" si="0"/>
        <v>-19010.092364804936</v>
      </c>
      <c r="AY61" s="98">
        <f t="shared" ca="1" si="6"/>
        <v>47184</v>
      </c>
      <c r="AZ61" s="96">
        <f t="shared" si="1"/>
        <v>-44989.366489508058</v>
      </c>
      <c r="BA61" s="99">
        <f t="shared" ca="1" si="7"/>
        <v>47184</v>
      </c>
      <c r="BB61" s="97">
        <f t="shared" si="2"/>
        <v>-346027.15793695109</v>
      </c>
      <c r="BC61" s="101">
        <f t="shared" ca="1" si="8"/>
        <v>47184</v>
      </c>
      <c r="BD61" s="100">
        <f t="shared" si="3"/>
        <v>-67040.595382055923</v>
      </c>
      <c r="BE61" s="103">
        <f t="shared" ca="1" si="9"/>
        <v>47184</v>
      </c>
      <c r="BF61" s="102">
        <f t="shared" si="4"/>
        <v>-18138.544377630071</v>
      </c>
    </row>
    <row r="62" spans="1:58" hidden="1" x14ac:dyDescent="0.25">
      <c r="AV62">
        <v>37</v>
      </c>
      <c r="AW62" s="94">
        <f t="shared" ca="1" si="5"/>
        <v>47215</v>
      </c>
      <c r="AX62" s="95">
        <f t="shared" si="0"/>
        <v>-19010.092364804936</v>
      </c>
      <c r="AY62" s="98">
        <f t="shared" ca="1" si="6"/>
        <v>47215</v>
      </c>
      <c r="AZ62" s="96">
        <f t="shared" si="1"/>
        <v>-44989.366489508058</v>
      </c>
      <c r="BA62" s="99">
        <f t="shared" ca="1" si="7"/>
        <v>47215</v>
      </c>
      <c r="BB62" s="97">
        <f t="shared" si="2"/>
        <v>-346027.15793695109</v>
      </c>
      <c r="BC62" s="101">
        <f t="shared" ca="1" si="8"/>
        <v>47215</v>
      </c>
      <c r="BD62" s="100">
        <f t="shared" si="3"/>
        <v>-67040.595382055923</v>
      </c>
      <c r="BE62" s="103">
        <f t="shared" ca="1" si="9"/>
        <v>47215</v>
      </c>
      <c r="BF62" s="102">
        <f t="shared" si="4"/>
        <v>-18138.544377630071</v>
      </c>
    </row>
    <row r="63" spans="1:58" hidden="1" x14ac:dyDescent="0.25">
      <c r="AV63">
        <v>38</v>
      </c>
      <c r="AW63" s="94">
        <f t="shared" ca="1" si="5"/>
        <v>47245</v>
      </c>
      <c r="AX63" s="95">
        <f t="shared" si="0"/>
        <v>-19010.092364804936</v>
      </c>
      <c r="AY63" s="98">
        <f t="shared" ca="1" si="6"/>
        <v>47245</v>
      </c>
      <c r="AZ63" s="96">
        <f t="shared" si="1"/>
        <v>-44989.366489508058</v>
      </c>
      <c r="BA63" s="99">
        <f t="shared" ca="1" si="7"/>
        <v>47245</v>
      </c>
      <c r="BB63" s="97">
        <f t="shared" si="2"/>
        <v>-346027.15793695109</v>
      </c>
      <c r="BC63" s="101">
        <f t="shared" ca="1" si="8"/>
        <v>47245</v>
      </c>
      <c r="BD63" s="100">
        <f t="shared" si="3"/>
        <v>-67040.595382055923</v>
      </c>
      <c r="BE63" s="103">
        <f t="shared" ca="1" si="9"/>
        <v>47245</v>
      </c>
      <c r="BF63" s="102">
        <f t="shared" si="4"/>
        <v>-18138.544377630071</v>
      </c>
    </row>
    <row r="64" spans="1:58" hidden="1" x14ac:dyDescent="0.25">
      <c r="AV64">
        <v>39</v>
      </c>
      <c r="AW64" s="94">
        <f t="shared" ca="1" si="5"/>
        <v>47276</v>
      </c>
      <c r="AX64" s="95">
        <f t="shared" si="0"/>
        <v>-19010.092364804936</v>
      </c>
      <c r="AY64" s="98">
        <f t="shared" ca="1" si="6"/>
        <v>47276</v>
      </c>
      <c r="AZ64" s="96">
        <f t="shared" si="1"/>
        <v>-44989.366489508058</v>
      </c>
      <c r="BA64" s="99">
        <f t="shared" ca="1" si="7"/>
        <v>47276</v>
      </c>
      <c r="BB64" s="97">
        <f t="shared" si="2"/>
        <v>-346027.15793695109</v>
      </c>
      <c r="BC64" s="101">
        <f t="shared" ca="1" si="8"/>
        <v>47276</v>
      </c>
      <c r="BD64" s="100">
        <f t="shared" si="3"/>
        <v>-67040.595382055923</v>
      </c>
      <c r="BE64" s="103">
        <f t="shared" ca="1" si="9"/>
        <v>47276</v>
      </c>
      <c r="BF64" s="102">
        <f t="shared" si="4"/>
        <v>-18138.544377630071</v>
      </c>
    </row>
    <row r="65" spans="48:58" hidden="1" x14ac:dyDescent="0.25">
      <c r="AV65">
        <v>40</v>
      </c>
      <c r="AW65" s="94">
        <f t="shared" ca="1" si="5"/>
        <v>47306</v>
      </c>
      <c r="AX65" s="95">
        <f t="shared" si="0"/>
        <v>-19010.092364804936</v>
      </c>
      <c r="AY65" s="98">
        <f t="shared" ca="1" si="6"/>
        <v>47306</v>
      </c>
      <c r="AZ65" s="96">
        <f t="shared" si="1"/>
        <v>-44989.366489508058</v>
      </c>
      <c r="BA65" s="99">
        <f t="shared" ca="1" si="7"/>
        <v>47306</v>
      </c>
      <c r="BB65" s="97">
        <f t="shared" si="2"/>
        <v>-346027.15793695109</v>
      </c>
      <c r="BC65" s="101">
        <f t="shared" ca="1" si="8"/>
        <v>47306</v>
      </c>
      <c r="BD65" s="100">
        <f t="shared" si="3"/>
        <v>-67040.595382055923</v>
      </c>
      <c r="BE65" s="103">
        <f t="shared" ca="1" si="9"/>
        <v>47306</v>
      </c>
      <c r="BF65" s="102">
        <f t="shared" si="4"/>
        <v>-18138.544377630071</v>
      </c>
    </row>
    <row r="66" spans="48:58" hidden="1" x14ac:dyDescent="0.25">
      <c r="AV66">
        <v>41</v>
      </c>
      <c r="AW66" s="94">
        <f t="shared" ca="1" si="5"/>
        <v>47337</v>
      </c>
      <c r="AX66" s="95">
        <f t="shared" si="0"/>
        <v>-19010.092364804936</v>
      </c>
      <c r="AY66" s="98">
        <f t="shared" ca="1" si="6"/>
        <v>47337</v>
      </c>
      <c r="AZ66" s="96">
        <f t="shared" si="1"/>
        <v>-44989.366489508058</v>
      </c>
      <c r="BA66" s="99">
        <f t="shared" ca="1" si="7"/>
        <v>47337</v>
      </c>
      <c r="BB66" s="97">
        <f t="shared" si="2"/>
        <v>-346027.15793695109</v>
      </c>
      <c r="BC66" s="101">
        <f t="shared" ca="1" si="8"/>
        <v>47337</v>
      </c>
      <c r="BD66" s="100">
        <f t="shared" si="3"/>
        <v>-67040.595382055923</v>
      </c>
      <c r="BE66" s="103">
        <f t="shared" ca="1" si="9"/>
        <v>47337</v>
      </c>
      <c r="BF66" s="102">
        <f t="shared" si="4"/>
        <v>-18138.544377630071</v>
      </c>
    </row>
    <row r="67" spans="48:58" hidden="1" x14ac:dyDescent="0.25">
      <c r="AV67">
        <v>42</v>
      </c>
      <c r="AW67" s="94">
        <f t="shared" ca="1" si="5"/>
        <v>47368</v>
      </c>
      <c r="AX67" s="95">
        <f t="shared" si="0"/>
        <v>-19010.092364804936</v>
      </c>
      <c r="AY67" s="98">
        <f t="shared" ca="1" si="6"/>
        <v>47368</v>
      </c>
      <c r="AZ67" s="96">
        <f t="shared" si="1"/>
        <v>-44989.366489508058</v>
      </c>
      <c r="BA67" s="99">
        <f t="shared" ca="1" si="7"/>
        <v>47368</v>
      </c>
      <c r="BB67" s="97">
        <f t="shared" si="2"/>
        <v>-346027.15793695109</v>
      </c>
      <c r="BC67" s="101">
        <f t="shared" ca="1" si="8"/>
        <v>47368</v>
      </c>
      <c r="BD67" s="100">
        <f t="shared" si="3"/>
        <v>-67040.595382055923</v>
      </c>
      <c r="BE67" s="103">
        <f t="shared" ca="1" si="9"/>
        <v>47368</v>
      </c>
      <c r="BF67" s="102">
        <f t="shared" si="4"/>
        <v>-18138.544377630071</v>
      </c>
    </row>
    <row r="68" spans="48:58" hidden="1" x14ac:dyDescent="0.25">
      <c r="AV68">
        <v>43</v>
      </c>
      <c r="AW68" s="94">
        <f t="shared" ca="1" si="5"/>
        <v>47398</v>
      </c>
      <c r="AX68" s="95">
        <f t="shared" si="0"/>
        <v>-19010.092364804936</v>
      </c>
      <c r="AY68" s="98">
        <f t="shared" ca="1" si="6"/>
        <v>47398</v>
      </c>
      <c r="AZ68" s="96">
        <f t="shared" si="1"/>
        <v>-44989.366489508058</v>
      </c>
      <c r="BA68" s="99">
        <f t="shared" ca="1" si="7"/>
        <v>47398</v>
      </c>
      <c r="BB68" s="97">
        <f t="shared" si="2"/>
        <v>-346027.15793695109</v>
      </c>
      <c r="BC68" s="101">
        <f t="shared" ca="1" si="8"/>
        <v>47398</v>
      </c>
      <c r="BD68" s="100">
        <f t="shared" si="3"/>
        <v>-67040.595382055923</v>
      </c>
      <c r="BE68" s="103">
        <f t="shared" ca="1" si="9"/>
        <v>47398</v>
      </c>
      <c r="BF68" s="102">
        <f t="shared" si="4"/>
        <v>-18138.544377630071</v>
      </c>
    </row>
    <row r="69" spans="48:58" hidden="1" x14ac:dyDescent="0.25">
      <c r="AV69">
        <v>44</v>
      </c>
      <c r="AW69" s="94">
        <f t="shared" ca="1" si="5"/>
        <v>47429</v>
      </c>
      <c r="AX69" s="95">
        <f t="shared" si="0"/>
        <v>-19010.092364804936</v>
      </c>
      <c r="AY69" s="98">
        <f t="shared" ca="1" si="6"/>
        <v>47429</v>
      </c>
      <c r="AZ69" s="96">
        <f t="shared" si="1"/>
        <v>-44989.366489508058</v>
      </c>
      <c r="BA69" s="99">
        <f t="shared" ca="1" si="7"/>
        <v>47429</v>
      </c>
      <c r="BB69" s="97">
        <f t="shared" si="2"/>
        <v>-346027.15793695109</v>
      </c>
      <c r="BC69" s="101">
        <f t="shared" ca="1" si="8"/>
        <v>47429</v>
      </c>
      <c r="BD69" s="100">
        <f t="shared" si="3"/>
        <v>-67040.595382055923</v>
      </c>
      <c r="BE69" s="103">
        <f t="shared" ca="1" si="9"/>
        <v>47429</v>
      </c>
      <c r="BF69" s="102">
        <f t="shared" si="4"/>
        <v>-18138.544377630071</v>
      </c>
    </row>
    <row r="70" spans="48:58" hidden="1" x14ac:dyDescent="0.25">
      <c r="AV70">
        <v>45</v>
      </c>
      <c r="AW70" s="94">
        <f t="shared" ca="1" si="5"/>
        <v>47459</v>
      </c>
      <c r="AX70" s="95">
        <f t="shared" si="0"/>
        <v>-19010.092364804936</v>
      </c>
      <c r="AY70" s="98">
        <f t="shared" ca="1" si="6"/>
        <v>47459</v>
      </c>
      <c r="AZ70" s="96">
        <f t="shared" si="1"/>
        <v>-44989.366489508058</v>
      </c>
      <c r="BA70" s="99">
        <f t="shared" ca="1" si="7"/>
        <v>47459</v>
      </c>
      <c r="BB70" s="97">
        <f t="shared" si="2"/>
        <v>-346027.15793695109</v>
      </c>
      <c r="BC70" s="101">
        <f t="shared" ca="1" si="8"/>
        <v>47459</v>
      </c>
      <c r="BD70" s="100">
        <f t="shared" si="3"/>
        <v>-67040.595382055923</v>
      </c>
      <c r="BE70" s="103">
        <f t="shared" ca="1" si="9"/>
        <v>47459</v>
      </c>
      <c r="BF70" s="102">
        <f t="shared" si="4"/>
        <v>-18138.544377630071</v>
      </c>
    </row>
    <row r="71" spans="48:58" hidden="1" x14ac:dyDescent="0.25">
      <c r="AV71">
        <v>46</v>
      </c>
      <c r="AW71" s="94">
        <f t="shared" ca="1" si="5"/>
        <v>47490</v>
      </c>
      <c r="AX71" s="95">
        <f t="shared" si="0"/>
        <v>-19010.092364804936</v>
      </c>
      <c r="AY71" s="98">
        <f t="shared" ca="1" si="6"/>
        <v>47490</v>
      </c>
      <c r="AZ71" s="96">
        <f t="shared" si="1"/>
        <v>-44989.366489508058</v>
      </c>
      <c r="BA71" s="99">
        <f t="shared" ca="1" si="7"/>
        <v>47490</v>
      </c>
      <c r="BB71" s="97">
        <f t="shared" si="2"/>
        <v>-346027.15793695109</v>
      </c>
      <c r="BC71" s="101">
        <f t="shared" ca="1" si="8"/>
        <v>47490</v>
      </c>
      <c r="BD71" s="100">
        <f t="shared" si="3"/>
        <v>-67040.595382055923</v>
      </c>
      <c r="BE71" s="103">
        <f t="shared" ca="1" si="9"/>
        <v>47490</v>
      </c>
      <c r="BF71" s="102">
        <f t="shared" si="4"/>
        <v>-18138.544377630071</v>
      </c>
    </row>
    <row r="72" spans="48:58" hidden="1" x14ac:dyDescent="0.25">
      <c r="AV72">
        <v>47</v>
      </c>
      <c r="AW72" s="94">
        <f t="shared" ca="1" si="5"/>
        <v>47521</v>
      </c>
      <c r="AX72" s="95">
        <f t="shared" si="0"/>
        <v>-19010.092364804936</v>
      </c>
      <c r="AY72" s="98">
        <f t="shared" ca="1" si="6"/>
        <v>47521</v>
      </c>
      <c r="AZ72" s="96">
        <f t="shared" si="1"/>
        <v>-44989.366489508058</v>
      </c>
      <c r="BA72" s="99">
        <f t="shared" ca="1" si="7"/>
        <v>47521</v>
      </c>
      <c r="BB72" s="97">
        <f t="shared" si="2"/>
        <v>-346027.15793695109</v>
      </c>
      <c r="BC72" s="101">
        <f t="shared" ca="1" si="8"/>
        <v>47521</v>
      </c>
      <c r="BD72" s="100">
        <f t="shared" si="3"/>
        <v>-67040.595382055923</v>
      </c>
      <c r="BE72" s="103">
        <f t="shared" ca="1" si="9"/>
        <v>47521</v>
      </c>
      <c r="BF72" s="102">
        <f t="shared" si="4"/>
        <v>-18138.544377630071</v>
      </c>
    </row>
    <row r="73" spans="48:58" hidden="1" x14ac:dyDescent="0.25">
      <c r="AV73">
        <v>48</v>
      </c>
      <c r="AW73" s="94">
        <f t="shared" ca="1" si="5"/>
        <v>47549</v>
      </c>
      <c r="AX73" s="95">
        <f t="shared" si="0"/>
        <v>-19010.092364804936</v>
      </c>
      <c r="AY73" s="98">
        <f t="shared" ca="1" si="6"/>
        <v>47549</v>
      </c>
      <c r="AZ73" s="96">
        <f t="shared" si="1"/>
        <v>-44989.366489508058</v>
      </c>
      <c r="BA73" s="99">
        <f t="shared" ca="1" si="7"/>
        <v>47549</v>
      </c>
      <c r="BB73" s="97">
        <f t="shared" si="2"/>
        <v>-346027.15793695109</v>
      </c>
      <c r="BC73" s="101">
        <f t="shared" ca="1" si="8"/>
        <v>47549</v>
      </c>
      <c r="BD73" s="100">
        <f t="shared" si="3"/>
        <v>-67040.595382055923</v>
      </c>
      <c r="BE73" s="103">
        <f t="shared" ca="1" si="9"/>
        <v>47549</v>
      </c>
      <c r="BF73" s="102">
        <f t="shared" si="4"/>
        <v>-18138.544377630071</v>
      </c>
    </row>
    <row r="74" spans="48:58" hidden="1" x14ac:dyDescent="0.25">
      <c r="AV74">
        <v>49</v>
      </c>
      <c r="AW74" s="94">
        <f t="shared" ca="1" si="5"/>
        <v>47580</v>
      </c>
      <c r="AX74" s="95">
        <f t="shared" si="0"/>
        <v>-19010.092364804936</v>
      </c>
      <c r="AY74" s="98">
        <f t="shared" ca="1" si="6"/>
        <v>47580</v>
      </c>
      <c r="AZ74" s="96">
        <f t="shared" si="1"/>
        <v>-44989.366489508058</v>
      </c>
      <c r="BA74" s="99">
        <f t="shared" ca="1" si="7"/>
        <v>47580</v>
      </c>
      <c r="BB74" s="97">
        <f t="shared" si="2"/>
        <v>-346027.15793695109</v>
      </c>
      <c r="BC74" s="101">
        <f t="shared" ca="1" si="8"/>
        <v>47580</v>
      </c>
      <c r="BD74" s="100">
        <f t="shared" si="3"/>
        <v>-67040.595382055923</v>
      </c>
      <c r="BE74" s="103">
        <f t="shared" ca="1" si="9"/>
        <v>47580</v>
      </c>
      <c r="BF74" s="102">
        <f t="shared" si="4"/>
        <v>-18138.544377630071</v>
      </c>
    </row>
    <row r="75" spans="48:58" hidden="1" x14ac:dyDescent="0.25">
      <c r="AV75">
        <v>50</v>
      </c>
      <c r="AW75" s="94">
        <f t="shared" ca="1" si="5"/>
        <v>47610</v>
      </c>
      <c r="AX75" s="95">
        <f t="shared" si="0"/>
        <v>-19010.092364804936</v>
      </c>
      <c r="AY75" s="98">
        <f t="shared" ca="1" si="6"/>
        <v>47610</v>
      </c>
      <c r="AZ75" s="96">
        <f t="shared" si="1"/>
        <v>-44989.366489508058</v>
      </c>
      <c r="BA75" s="99">
        <f t="shared" ca="1" si="7"/>
        <v>47610</v>
      </c>
      <c r="BB75" s="97">
        <f t="shared" si="2"/>
        <v>-346027.15793695109</v>
      </c>
      <c r="BC75" s="101">
        <f t="shared" ca="1" si="8"/>
        <v>47610</v>
      </c>
      <c r="BD75" s="100">
        <f t="shared" si="3"/>
        <v>-67040.595382055923</v>
      </c>
      <c r="BE75" s="103">
        <f t="shared" ca="1" si="9"/>
        <v>47610</v>
      </c>
      <c r="BF75" s="102">
        <f t="shared" si="4"/>
        <v>-18138.544377630071</v>
      </c>
    </row>
    <row r="76" spans="48:58" hidden="1" x14ac:dyDescent="0.25">
      <c r="AV76">
        <v>51</v>
      </c>
      <c r="AW76" s="94">
        <f t="shared" ca="1" si="5"/>
        <v>47641</v>
      </c>
      <c r="AX76" s="95">
        <f t="shared" si="0"/>
        <v>-19010.092364804936</v>
      </c>
      <c r="AY76" s="98">
        <f t="shared" ca="1" si="6"/>
        <v>47641</v>
      </c>
      <c r="AZ76" s="96">
        <f t="shared" si="1"/>
        <v>-44989.366489508058</v>
      </c>
      <c r="BA76" s="99">
        <f t="shared" ca="1" si="7"/>
        <v>47641</v>
      </c>
      <c r="BB76" s="97">
        <f t="shared" si="2"/>
        <v>-346027.15793695109</v>
      </c>
      <c r="BC76" s="101">
        <f t="shared" ca="1" si="8"/>
        <v>47641</v>
      </c>
      <c r="BD76" s="100">
        <f t="shared" si="3"/>
        <v>-67040.595382055923</v>
      </c>
      <c r="BE76" s="103">
        <f t="shared" ca="1" si="9"/>
        <v>47641</v>
      </c>
      <c r="BF76" s="102">
        <f t="shared" si="4"/>
        <v>-18138.544377630071</v>
      </c>
    </row>
    <row r="77" spans="48:58" hidden="1" x14ac:dyDescent="0.25">
      <c r="AV77">
        <v>52</v>
      </c>
      <c r="AW77" s="94">
        <f t="shared" ca="1" si="5"/>
        <v>47671</v>
      </c>
      <c r="AX77" s="95">
        <f t="shared" si="0"/>
        <v>-19010.092364804936</v>
      </c>
      <c r="AY77" s="98">
        <f t="shared" ca="1" si="6"/>
        <v>47671</v>
      </c>
      <c r="AZ77" s="96">
        <f t="shared" si="1"/>
        <v>-44989.366489508058</v>
      </c>
      <c r="BA77" s="99">
        <f t="shared" ca="1" si="7"/>
        <v>47671</v>
      </c>
      <c r="BB77" s="97">
        <f t="shared" si="2"/>
        <v>-346027.15793695109</v>
      </c>
      <c r="BC77" s="101">
        <f t="shared" ca="1" si="8"/>
        <v>47671</v>
      </c>
      <c r="BD77" s="100">
        <f t="shared" si="3"/>
        <v>-67040.595382055923</v>
      </c>
      <c r="BE77" s="103">
        <f t="shared" ca="1" si="9"/>
        <v>47671</v>
      </c>
      <c r="BF77" s="102">
        <f t="shared" si="4"/>
        <v>-18138.544377630071</v>
      </c>
    </row>
    <row r="78" spans="48:58" hidden="1" x14ac:dyDescent="0.25">
      <c r="AV78">
        <v>53</v>
      </c>
      <c r="AW78" s="94">
        <f t="shared" ca="1" si="5"/>
        <v>47702</v>
      </c>
      <c r="AX78" s="95">
        <f t="shared" si="0"/>
        <v>-19010.092364804936</v>
      </c>
      <c r="AY78" s="98">
        <f t="shared" ca="1" si="6"/>
        <v>47702</v>
      </c>
      <c r="AZ78" s="96">
        <f t="shared" si="1"/>
        <v>-44989.366489508058</v>
      </c>
      <c r="BA78" s="99">
        <f t="shared" ca="1" si="7"/>
        <v>47702</v>
      </c>
      <c r="BB78" s="97">
        <f t="shared" si="2"/>
        <v>-346027.15793695109</v>
      </c>
      <c r="BC78" s="101">
        <f t="shared" ca="1" si="8"/>
        <v>47702</v>
      </c>
      <c r="BD78" s="100">
        <f t="shared" si="3"/>
        <v>-67040.595382055923</v>
      </c>
      <c r="BE78" s="103">
        <f t="shared" ca="1" si="9"/>
        <v>47702</v>
      </c>
      <c r="BF78" s="102">
        <f t="shared" si="4"/>
        <v>-18138.544377630071</v>
      </c>
    </row>
    <row r="79" spans="48:58" hidden="1" x14ac:dyDescent="0.25">
      <c r="AV79">
        <v>54</v>
      </c>
      <c r="AW79" s="94">
        <f t="shared" ca="1" si="5"/>
        <v>47733</v>
      </c>
      <c r="AX79" s="95">
        <f t="shared" si="0"/>
        <v>-19010.092364804936</v>
      </c>
      <c r="AY79" s="98">
        <f t="shared" ca="1" si="6"/>
        <v>47733</v>
      </c>
      <c r="AZ79" s="96">
        <f t="shared" si="1"/>
        <v>-44989.366489508058</v>
      </c>
      <c r="BA79" s="99">
        <f t="shared" ca="1" si="7"/>
        <v>47733</v>
      </c>
      <c r="BB79" s="97">
        <f t="shared" si="2"/>
        <v>-346027.15793695109</v>
      </c>
      <c r="BC79" s="101">
        <f t="shared" ca="1" si="8"/>
        <v>47733</v>
      </c>
      <c r="BD79" s="100">
        <f t="shared" si="3"/>
        <v>-67040.595382055923</v>
      </c>
      <c r="BE79" s="103">
        <f t="shared" ca="1" si="9"/>
        <v>47733</v>
      </c>
      <c r="BF79" s="102">
        <f t="shared" si="4"/>
        <v>-18138.544377630071</v>
      </c>
    </row>
    <row r="80" spans="48:58" hidden="1" x14ac:dyDescent="0.25">
      <c r="AV80">
        <v>55</v>
      </c>
      <c r="AW80" s="94">
        <f t="shared" ca="1" si="5"/>
        <v>47763</v>
      </c>
      <c r="AX80" s="95">
        <f t="shared" si="0"/>
        <v>-19010.092364804936</v>
      </c>
      <c r="AY80" s="98">
        <f t="shared" ca="1" si="6"/>
        <v>47763</v>
      </c>
      <c r="AZ80" s="96">
        <f t="shared" si="1"/>
        <v>-44989.366489508058</v>
      </c>
      <c r="BA80" s="99">
        <f t="shared" ca="1" si="7"/>
        <v>47763</v>
      </c>
      <c r="BB80" s="97">
        <f t="shared" si="2"/>
        <v>-346027.15793695109</v>
      </c>
      <c r="BC80" s="101">
        <f t="shared" ca="1" si="8"/>
        <v>47763</v>
      </c>
      <c r="BD80" s="100">
        <f t="shared" si="3"/>
        <v>-67040.595382055923</v>
      </c>
      <c r="BE80" s="103">
        <f t="shared" ca="1" si="9"/>
        <v>47763</v>
      </c>
      <c r="BF80" s="102">
        <f t="shared" si="4"/>
        <v>-18138.544377630071</v>
      </c>
    </row>
    <row r="81" spans="48:58" hidden="1" x14ac:dyDescent="0.25">
      <c r="AV81">
        <v>56</v>
      </c>
      <c r="AW81" s="94">
        <f t="shared" ca="1" si="5"/>
        <v>47794</v>
      </c>
      <c r="AX81" s="95">
        <f t="shared" si="0"/>
        <v>-19010.092364804936</v>
      </c>
      <c r="AY81" s="98">
        <f t="shared" ca="1" si="6"/>
        <v>47794</v>
      </c>
      <c r="AZ81" s="96">
        <f t="shared" si="1"/>
        <v>-44989.366489508058</v>
      </c>
      <c r="BA81" s="99">
        <f t="shared" ca="1" si="7"/>
        <v>47794</v>
      </c>
      <c r="BB81" s="97">
        <f t="shared" si="2"/>
        <v>-346027.15793695109</v>
      </c>
      <c r="BC81" s="101">
        <f t="shared" ca="1" si="8"/>
        <v>47794</v>
      </c>
      <c r="BD81" s="100">
        <f t="shared" si="3"/>
        <v>-67040.595382055923</v>
      </c>
      <c r="BE81" s="103">
        <f t="shared" ca="1" si="9"/>
        <v>47794</v>
      </c>
      <c r="BF81" s="102">
        <f t="shared" si="4"/>
        <v>-18138.544377630071</v>
      </c>
    </row>
    <row r="82" spans="48:58" hidden="1" x14ac:dyDescent="0.25">
      <c r="AV82">
        <v>57</v>
      </c>
      <c r="AW82" s="94">
        <f t="shared" ca="1" si="5"/>
        <v>47824</v>
      </c>
      <c r="AX82" s="95">
        <f t="shared" si="0"/>
        <v>-19010.092364804936</v>
      </c>
      <c r="AY82" s="98">
        <f t="shared" ca="1" si="6"/>
        <v>47824</v>
      </c>
      <c r="AZ82" s="96">
        <f t="shared" si="1"/>
        <v>-44989.366489508058</v>
      </c>
      <c r="BA82" s="99">
        <f t="shared" ca="1" si="7"/>
        <v>47824</v>
      </c>
      <c r="BB82" s="97">
        <f t="shared" si="2"/>
        <v>-346027.15793695109</v>
      </c>
      <c r="BC82" s="101">
        <f t="shared" ca="1" si="8"/>
        <v>47824</v>
      </c>
      <c r="BD82" s="100">
        <f t="shared" si="3"/>
        <v>-67040.595382055923</v>
      </c>
      <c r="BE82" s="103">
        <f t="shared" ca="1" si="9"/>
        <v>47824</v>
      </c>
      <c r="BF82" s="102">
        <f t="shared" si="4"/>
        <v>-18138.544377630071</v>
      </c>
    </row>
    <row r="83" spans="48:58" hidden="1" x14ac:dyDescent="0.25">
      <c r="AV83">
        <v>58</v>
      </c>
      <c r="AW83" s="94">
        <f t="shared" ca="1" si="5"/>
        <v>47855</v>
      </c>
      <c r="AX83" s="95">
        <f t="shared" si="0"/>
        <v>-19010.092364804936</v>
      </c>
      <c r="AY83" s="98">
        <f t="shared" ca="1" si="6"/>
        <v>47855</v>
      </c>
      <c r="AZ83" s="96">
        <f t="shared" si="1"/>
        <v>-44989.366489508058</v>
      </c>
      <c r="BA83" s="99">
        <f t="shared" ca="1" si="7"/>
        <v>47855</v>
      </c>
      <c r="BB83" s="97">
        <f t="shared" si="2"/>
        <v>-346027.15793695109</v>
      </c>
      <c r="BC83" s="101">
        <f t="shared" ca="1" si="8"/>
        <v>47855</v>
      </c>
      <c r="BD83" s="100">
        <f t="shared" si="3"/>
        <v>-67040.595382055923</v>
      </c>
      <c r="BE83" s="103">
        <f t="shared" ca="1" si="9"/>
        <v>47855</v>
      </c>
      <c r="BF83" s="102">
        <f t="shared" si="4"/>
        <v>-18138.544377630071</v>
      </c>
    </row>
    <row r="84" spans="48:58" hidden="1" x14ac:dyDescent="0.25">
      <c r="AV84">
        <v>59</v>
      </c>
      <c r="AW84" s="94">
        <f t="shared" ca="1" si="5"/>
        <v>47886</v>
      </c>
      <c r="AX84" s="95">
        <f t="shared" si="0"/>
        <v>-19010.092364804936</v>
      </c>
      <c r="AY84" s="98">
        <f t="shared" ca="1" si="6"/>
        <v>47886</v>
      </c>
      <c r="AZ84" s="96">
        <f t="shared" si="1"/>
        <v>-44989.366489508058</v>
      </c>
      <c r="BA84" s="99">
        <f t="shared" ca="1" si="7"/>
        <v>47886</v>
      </c>
      <c r="BB84" s="97">
        <f t="shared" si="2"/>
        <v>-346027.15793695109</v>
      </c>
      <c r="BC84" s="101">
        <f t="shared" ca="1" si="8"/>
        <v>47886</v>
      </c>
      <c r="BD84" s="100">
        <f t="shared" si="3"/>
        <v>-67040.595382055923</v>
      </c>
      <c r="BE84" s="103">
        <f t="shared" ca="1" si="9"/>
        <v>47886</v>
      </c>
      <c r="BF84" s="102">
        <f t="shared" si="4"/>
        <v>-18138.544377630071</v>
      </c>
    </row>
    <row r="85" spans="48:58" hidden="1" x14ac:dyDescent="0.25">
      <c r="AV85">
        <v>60</v>
      </c>
      <c r="AW85" s="94">
        <f t="shared" ca="1" si="5"/>
        <v>47914</v>
      </c>
      <c r="AX85" s="95">
        <f t="shared" si="0"/>
        <v>-19010.092364804936</v>
      </c>
      <c r="AY85" s="98">
        <f t="shared" ca="1" si="6"/>
        <v>47914</v>
      </c>
      <c r="AZ85" s="96">
        <f t="shared" si="1"/>
        <v>-44989.366489508058</v>
      </c>
      <c r="BA85" s="99">
        <f t="shared" ca="1" si="7"/>
        <v>47914</v>
      </c>
      <c r="BB85" s="97">
        <f t="shared" si="2"/>
        <v>-346027.15793695109</v>
      </c>
      <c r="BC85" s="101">
        <f t="shared" ca="1" si="8"/>
        <v>47914</v>
      </c>
      <c r="BD85" s="100">
        <f t="shared" si="3"/>
        <v>-67040.595382055923</v>
      </c>
      <c r="BE85" s="103">
        <f t="shared" ca="1" si="9"/>
        <v>47914</v>
      </c>
      <c r="BF85" s="102">
        <f t="shared" si="4"/>
        <v>-18138.544377630071</v>
      </c>
    </row>
    <row r="86" spans="48:58" hidden="1" x14ac:dyDescent="0.25">
      <c r="AV86">
        <v>61</v>
      </c>
      <c r="AW86" s="94">
        <f t="shared" ca="1" si="5"/>
        <v>47945</v>
      </c>
      <c r="AX86" s="95">
        <f t="shared" si="0"/>
        <v>-19010.092364804936</v>
      </c>
      <c r="AY86" s="98">
        <f t="shared" ca="1" si="6"/>
        <v>47945</v>
      </c>
      <c r="AZ86" s="96">
        <f t="shared" si="1"/>
        <v>-44989.366489508058</v>
      </c>
      <c r="BA86" s="99">
        <f t="shared" ca="1" si="7"/>
        <v>47945</v>
      </c>
      <c r="BB86" s="97">
        <f t="shared" si="2"/>
        <v>-346027.15793695109</v>
      </c>
      <c r="BC86" s="101">
        <f t="shared" ca="1" si="8"/>
        <v>47945</v>
      </c>
      <c r="BD86" s="100">
        <f t="shared" si="3"/>
        <v>4800000</v>
      </c>
      <c r="BE86" s="103">
        <f t="shared" ca="1" si="9"/>
        <v>47945</v>
      </c>
      <c r="BF86" s="102">
        <f t="shared" si="4"/>
        <v>-18138.544377630071</v>
      </c>
    </row>
    <row r="87" spans="48:58" hidden="1" x14ac:dyDescent="0.25">
      <c r="AV87">
        <v>62</v>
      </c>
      <c r="AW87" s="94">
        <f t="shared" ca="1" si="5"/>
        <v>47975</v>
      </c>
      <c r="AX87" s="95">
        <f t="shared" si="0"/>
        <v>-19010.092364804936</v>
      </c>
      <c r="AY87" s="98">
        <f t="shared" ca="1" si="6"/>
        <v>47975</v>
      </c>
      <c r="AZ87" s="96">
        <f t="shared" si="1"/>
        <v>-44989.366489508058</v>
      </c>
      <c r="BA87" s="99">
        <f t="shared" ca="1" si="7"/>
        <v>47975</v>
      </c>
      <c r="BB87" s="97">
        <f t="shared" si="2"/>
        <v>-346027.15793695109</v>
      </c>
      <c r="BC87" s="101" t="str">
        <f t="shared" ca="1" si="8"/>
        <v/>
      </c>
      <c r="BD87" s="100" t="str">
        <f t="shared" si="3"/>
        <v/>
      </c>
      <c r="BE87" s="103">
        <f t="shared" ca="1" si="9"/>
        <v>47975</v>
      </c>
      <c r="BF87" s="102">
        <f t="shared" si="4"/>
        <v>-18138.544377630071</v>
      </c>
    </row>
    <row r="88" spans="48:58" hidden="1" x14ac:dyDescent="0.25">
      <c r="AV88">
        <v>63</v>
      </c>
      <c r="AW88" s="94">
        <f t="shared" ca="1" si="5"/>
        <v>48006</v>
      </c>
      <c r="AX88" s="95">
        <f t="shared" si="0"/>
        <v>-19010.092364804936</v>
      </c>
      <c r="AY88" s="98">
        <f t="shared" ca="1" si="6"/>
        <v>48006</v>
      </c>
      <c r="AZ88" s="96">
        <f t="shared" si="1"/>
        <v>-44989.366489508058</v>
      </c>
      <c r="BA88" s="99">
        <f t="shared" ca="1" si="7"/>
        <v>48006</v>
      </c>
      <c r="BB88" s="97">
        <f t="shared" si="2"/>
        <v>-346027.15793695109</v>
      </c>
      <c r="BC88" s="101" t="str">
        <f t="shared" ca="1" si="8"/>
        <v/>
      </c>
      <c r="BD88" s="100" t="str">
        <f t="shared" si="3"/>
        <v/>
      </c>
      <c r="BE88" s="103">
        <f t="shared" ca="1" si="9"/>
        <v>48006</v>
      </c>
      <c r="BF88" s="102">
        <f t="shared" si="4"/>
        <v>-18138.544377630071</v>
      </c>
    </row>
    <row r="89" spans="48:58" hidden="1" x14ac:dyDescent="0.25">
      <c r="AV89">
        <v>64</v>
      </c>
      <c r="AW89" s="94">
        <f t="shared" ca="1" si="5"/>
        <v>48036</v>
      </c>
      <c r="AX89" s="95">
        <f t="shared" si="0"/>
        <v>-19010.092364804936</v>
      </c>
      <c r="AY89" s="98">
        <f t="shared" ca="1" si="6"/>
        <v>48036</v>
      </c>
      <c r="AZ89" s="96">
        <f t="shared" si="1"/>
        <v>-44989.366489508058</v>
      </c>
      <c r="BA89" s="99">
        <f t="shared" ca="1" si="7"/>
        <v>48036</v>
      </c>
      <c r="BB89" s="97">
        <f t="shared" si="2"/>
        <v>-346027.15793695109</v>
      </c>
      <c r="BC89" s="101" t="str">
        <f t="shared" ca="1" si="8"/>
        <v/>
      </c>
      <c r="BD89" s="100" t="str">
        <f t="shared" si="3"/>
        <v/>
      </c>
      <c r="BE89" s="103">
        <f t="shared" ca="1" si="9"/>
        <v>48036</v>
      </c>
      <c r="BF89" s="102">
        <f t="shared" si="4"/>
        <v>-18138.544377630071</v>
      </c>
    </row>
    <row r="90" spans="48:58" hidden="1" x14ac:dyDescent="0.25">
      <c r="AV90">
        <v>65</v>
      </c>
      <c r="AW90" s="94">
        <f t="shared" ca="1" si="5"/>
        <v>48067</v>
      </c>
      <c r="AX90" s="95">
        <f t="shared" ref="AX90:AX153" si="10">IF($D$15*12&gt;=AV90,-1*$H$15,IF($D$15*12+1&gt;=AV90,InfGoal1,""))</f>
        <v>-19010.092364804936</v>
      </c>
      <c r="AY90" s="98">
        <f t="shared" ca="1" si="6"/>
        <v>48067</v>
      </c>
      <c r="AZ90" s="96">
        <f t="shared" ref="AZ90:AZ153" si="11">IF($D$17*12&gt;=AV90,-1*$H$17,IF($D$17*12+1&gt;=AV90,InfGoal2,""))</f>
        <v>-44989.366489508058</v>
      </c>
      <c r="BA90" s="99">
        <f t="shared" ca="1" si="7"/>
        <v>48067</v>
      </c>
      <c r="BB90" s="97">
        <f t="shared" ref="BB90:BB153" si="12">IF($D$19*12&gt;=AV90,-1*$H$19,IF($D$19*12+1&gt;=AV90,InfGoal3,""))</f>
        <v>-346027.15793695109</v>
      </c>
      <c r="BC90" s="101" t="str">
        <f t="shared" ca="1" si="8"/>
        <v/>
      </c>
      <c r="BD90" s="100" t="str">
        <f t="shared" ref="BD90:BD153" si="13">IF($D$21*12&gt;=AV90,-1*$H$21,IF($D$21*12+1&gt;=AV90,InfGoal4,""))</f>
        <v/>
      </c>
      <c r="BE90" s="103">
        <f t="shared" ca="1" si="9"/>
        <v>48067</v>
      </c>
      <c r="BF90" s="102">
        <f t="shared" ref="BF90:BF153" si="14">IF($D$23*12&gt;=AV90,-1*$H$23,IF($D$23*12+1&gt;=AV90,InfGoal5,""))</f>
        <v>-18138.544377630071</v>
      </c>
    </row>
    <row r="91" spans="48:58" hidden="1" x14ac:dyDescent="0.25">
      <c r="AV91">
        <v>66</v>
      </c>
      <c r="AW91" s="94">
        <f t="shared" ref="AW91:AW154" ca="1" si="15">IF($D$15*12&gt;=AV91,DATE(YEAR(TODAY()),MONTH(TODAY())+AV91-1,DAY(TODAY())),IF($D$15*12+1&gt;=AV91,DATE(YEAR(TODAY()),MONTH(TODAY())+$D$15*12,DAY(TODAY())),""))</f>
        <v>48098</v>
      </c>
      <c r="AX91" s="95">
        <f t="shared" si="10"/>
        <v>-19010.092364804936</v>
      </c>
      <c r="AY91" s="98">
        <f t="shared" ref="AY91:AY154" ca="1" si="16">IF($D$17*12&gt;=AV91,DATE(YEAR(TODAY()),MONTH(TODAY())+AV91-1,DAY(TODAY())),IF($D$17*12+1&gt;=AV91,DATE(YEAR(TODAY()),MONTH(TODAY())+$D$17*12,DAY(TODAY())),""))</f>
        <v>48098</v>
      </c>
      <c r="AZ91" s="96">
        <f t="shared" si="11"/>
        <v>-44989.366489508058</v>
      </c>
      <c r="BA91" s="99">
        <f t="shared" ref="BA91:BA154" ca="1" si="17">IF($D$19*12&gt;=AV91,DATE(YEAR(TODAY()),MONTH(TODAY())+AV91-1,DAY(TODAY())),IF($D$19*12+1&gt;=AV91,DATE(YEAR(TODAY()),MONTH(TODAY())+$D$19*12,DAY(TODAY())),""))</f>
        <v>48098</v>
      </c>
      <c r="BB91" s="97">
        <f t="shared" si="12"/>
        <v>-346027.15793695109</v>
      </c>
      <c r="BC91" s="101" t="str">
        <f t="shared" ref="BC91:BC154" ca="1" si="18">IF($D$21*12&gt;=AV91,DATE(YEAR(TODAY()),MONTH(TODAY())+AV91-1,DAY(TODAY())),IF($D$21*12+1&gt;=AV91,DATE(YEAR(TODAY()),MONTH(TODAY())+$D$21*12,DAY(TODAY())),""))</f>
        <v/>
      </c>
      <c r="BD91" s="100" t="str">
        <f t="shared" si="13"/>
        <v/>
      </c>
      <c r="BE91" s="103">
        <f t="shared" ref="BE91:BE154" ca="1" si="19">IF($D$23*12&gt;=AV91,DATE(YEAR(TODAY()),MONTH(TODAY())+AV91-1,DAY(TODAY())),IF($D$23*12+1&gt;=AV91,DATE(YEAR(TODAY()),MONTH(TODAY())+$D$23*12,DAY(TODAY())),""))</f>
        <v>48098</v>
      </c>
      <c r="BF91" s="102">
        <f t="shared" si="14"/>
        <v>-18138.544377630071</v>
      </c>
    </row>
    <row r="92" spans="48:58" hidden="1" x14ac:dyDescent="0.25">
      <c r="AV92">
        <v>67</v>
      </c>
      <c r="AW92" s="94">
        <f t="shared" ca="1" si="15"/>
        <v>48128</v>
      </c>
      <c r="AX92" s="95">
        <f t="shared" si="10"/>
        <v>-19010.092364804936</v>
      </c>
      <c r="AY92" s="98">
        <f t="shared" ca="1" si="16"/>
        <v>48128</v>
      </c>
      <c r="AZ92" s="96">
        <f t="shared" si="11"/>
        <v>-44989.366489508058</v>
      </c>
      <c r="BA92" s="99">
        <f t="shared" ca="1" si="17"/>
        <v>48128</v>
      </c>
      <c r="BB92" s="97">
        <f t="shared" si="12"/>
        <v>-346027.15793695109</v>
      </c>
      <c r="BC92" s="101" t="str">
        <f t="shared" ca="1" si="18"/>
        <v/>
      </c>
      <c r="BD92" s="100" t="str">
        <f t="shared" si="13"/>
        <v/>
      </c>
      <c r="BE92" s="103">
        <f t="shared" ca="1" si="19"/>
        <v>48128</v>
      </c>
      <c r="BF92" s="102">
        <f t="shared" si="14"/>
        <v>-18138.544377630071</v>
      </c>
    </row>
    <row r="93" spans="48:58" hidden="1" x14ac:dyDescent="0.25">
      <c r="AV93">
        <v>68</v>
      </c>
      <c r="AW93" s="94">
        <f t="shared" ca="1" si="15"/>
        <v>48159</v>
      </c>
      <c r="AX93" s="95">
        <f t="shared" si="10"/>
        <v>-19010.092364804936</v>
      </c>
      <c r="AY93" s="98">
        <f t="shared" ca="1" si="16"/>
        <v>48159</v>
      </c>
      <c r="AZ93" s="96">
        <f t="shared" si="11"/>
        <v>-44989.366489508058</v>
      </c>
      <c r="BA93" s="99">
        <f t="shared" ca="1" si="17"/>
        <v>48159</v>
      </c>
      <c r="BB93" s="97">
        <f t="shared" si="12"/>
        <v>-346027.15793695109</v>
      </c>
      <c r="BC93" s="101" t="str">
        <f t="shared" ca="1" si="18"/>
        <v/>
      </c>
      <c r="BD93" s="100" t="str">
        <f t="shared" si="13"/>
        <v/>
      </c>
      <c r="BE93" s="103">
        <f t="shared" ca="1" si="19"/>
        <v>48159</v>
      </c>
      <c r="BF93" s="102">
        <f t="shared" si="14"/>
        <v>-18138.544377630071</v>
      </c>
    </row>
    <row r="94" spans="48:58" hidden="1" x14ac:dyDescent="0.25">
      <c r="AV94">
        <v>69</v>
      </c>
      <c r="AW94" s="94">
        <f t="shared" ca="1" si="15"/>
        <v>48189</v>
      </c>
      <c r="AX94" s="95">
        <f t="shared" si="10"/>
        <v>-19010.092364804936</v>
      </c>
      <c r="AY94" s="98">
        <f t="shared" ca="1" si="16"/>
        <v>48189</v>
      </c>
      <c r="AZ94" s="96">
        <f t="shared" si="11"/>
        <v>-44989.366489508058</v>
      </c>
      <c r="BA94" s="99">
        <f t="shared" ca="1" si="17"/>
        <v>48189</v>
      </c>
      <c r="BB94" s="97">
        <f t="shared" si="12"/>
        <v>-346027.15793695109</v>
      </c>
      <c r="BC94" s="101" t="str">
        <f t="shared" ca="1" si="18"/>
        <v/>
      </c>
      <c r="BD94" s="100" t="str">
        <f t="shared" si="13"/>
        <v/>
      </c>
      <c r="BE94" s="103">
        <f t="shared" ca="1" si="19"/>
        <v>48189</v>
      </c>
      <c r="BF94" s="102">
        <f t="shared" si="14"/>
        <v>-18138.544377630071</v>
      </c>
    </row>
    <row r="95" spans="48:58" hidden="1" x14ac:dyDescent="0.25">
      <c r="AV95">
        <v>70</v>
      </c>
      <c r="AW95" s="94">
        <f t="shared" ca="1" si="15"/>
        <v>48220</v>
      </c>
      <c r="AX95" s="95">
        <f t="shared" si="10"/>
        <v>-19010.092364804936</v>
      </c>
      <c r="AY95" s="98">
        <f t="shared" ca="1" si="16"/>
        <v>48220</v>
      </c>
      <c r="AZ95" s="96">
        <f t="shared" si="11"/>
        <v>-44989.366489508058</v>
      </c>
      <c r="BA95" s="99">
        <f t="shared" ca="1" si="17"/>
        <v>48220</v>
      </c>
      <c r="BB95" s="97">
        <f t="shared" si="12"/>
        <v>-346027.15793695109</v>
      </c>
      <c r="BC95" s="101" t="str">
        <f t="shared" ca="1" si="18"/>
        <v/>
      </c>
      <c r="BD95" s="100" t="str">
        <f t="shared" si="13"/>
        <v/>
      </c>
      <c r="BE95" s="103">
        <f t="shared" ca="1" si="19"/>
        <v>48220</v>
      </c>
      <c r="BF95" s="102">
        <f t="shared" si="14"/>
        <v>-18138.544377630071</v>
      </c>
    </row>
    <row r="96" spans="48:58" hidden="1" x14ac:dyDescent="0.25">
      <c r="AV96">
        <v>71</v>
      </c>
      <c r="AW96" s="94">
        <f t="shared" ca="1" si="15"/>
        <v>48251</v>
      </c>
      <c r="AX96" s="95">
        <f t="shared" si="10"/>
        <v>-19010.092364804936</v>
      </c>
      <c r="AY96" s="98">
        <f t="shared" ca="1" si="16"/>
        <v>48251</v>
      </c>
      <c r="AZ96" s="96">
        <f t="shared" si="11"/>
        <v>-44989.366489508058</v>
      </c>
      <c r="BA96" s="99">
        <f t="shared" ca="1" si="17"/>
        <v>48251</v>
      </c>
      <c r="BB96" s="97">
        <f t="shared" si="12"/>
        <v>-346027.15793695109</v>
      </c>
      <c r="BC96" s="101" t="str">
        <f t="shared" ca="1" si="18"/>
        <v/>
      </c>
      <c r="BD96" s="100" t="str">
        <f t="shared" si="13"/>
        <v/>
      </c>
      <c r="BE96" s="103">
        <f t="shared" ca="1" si="19"/>
        <v>48251</v>
      </c>
      <c r="BF96" s="102">
        <f t="shared" si="14"/>
        <v>-18138.544377630071</v>
      </c>
    </row>
    <row r="97" spans="48:58" hidden="1" x14ac:dyDescent="0.25">
      <c r="AV97">
        <v>72</v>
      </c>
      <c r="AW97" s="94">
        <f t="shared" ca="1" si="15"/>
        <v>48280</v>
      </c>
      <c r="AX97" s="95">
        <f t="shared" si="10"/>
        <v>-19010.092364804936</v>
      </c>
      <c r="AY97" s="98">
        <f t="shared" ca="1" si="16"/>
        <v>48280</v>
      </c>
      <c r="AZ97" s="96">
        <f t="shared" si="11"/>
        <v>-44989.366489508058</v>
      </c>
      <c r="BA97" s="99">
        <f t="shared" ca="1" si="17"/>
        <v>48280</v>
      </c>
      <c r="BB97" s="97">
        <f t="shared" si="12"/>
        <v>-346027.15793695109</v>
      </c>
      <c r="BC97" s="101" t="str">
        <f t="shared" ca="1" si="18"/>
        <v/>
      </c>
      <c r="BD97" s="100" t="str">
        <f t="shared" si="13"/>
        <v/>
      </c>
      <c r="BE97" s="103">
        <f t="shared" ca="1" si="19"/>
        <v>48280</v>
      </c>
      <c r="BF97" s="102">
        <f t="shared" si="14"/>
        <v>-18138.544377630071</v>
      </c>
    </row>
    <row r="98" spans="48:58" hidden="1" x14ac:dyDescent="0.25">
      <c r="AV98">
        <v>73</v>
      </c>
      <c r="AW98" s="94">
        <f t="shared" ca="1" si="15"/>
        <v>48311</v>
      </c>
      <c r="AX98" s="95">
        <f t="shared" si="10"/>
        <v>-19010.092364804936</v>
      </c>
      <c r="AY98" s="98">
        <f t="shared" ca="1" si="16"/>
        <v>48311</v>
      </c>
      <c r="AZ98" s="96">
        <f t="shared" si="11"/>
        <v>-44989.366489508058</v>
      </c>
      <c r="BA98" s="99">
        <f t="shared" ca="1" si="17"/>
        <v>48311</v>
      </c>
      <c r="BB98" s="97">
        <f t="shared" si="12"/>
        <v>-346027.15793695109</v>
      </c>
      <c r="BC98" s="101" t="str">
        <f t="shared" ca="1" si="18"/>
        <v/>
      </c>
      <c r="BD98" s="100" t="str">
        <f t="shared" si="13"/>
        <v/>
      </c>
      <c r="BE98" s="103">
        <f t="shared" ca="1" si="19"/>
        <v>48311</v>
      </c>
      <c r="BF98" s="102">
        <f t="shared" si="14"/>
        <v>-18138.544377630071</v>
      </c>
    </row>
    <row r="99" spans="48:58" hidden="1" x14ac:dyDescent="0.25">
      <c r="AV99">
        <v>74</v>
      </c>
      <c r="AW99" s="94">
        <f t="shared" ca="1" si="15"/>
        <v>48341</v>
      </c>
      <c r="AX99" s="95">
        <f t="shared" si="10"/>
        <v>-19010.092364804936</v>
      </c>
      <c r="AY99" s="98">
        <f t="shared" ca="1" si="16"/>
        <v>48341</v>
      </c>
      <c r="AZ99" s="96">
        <f t="shared" si="11"/>
        <v>-44989.366489508058</v>
      </c>
      <c r="BA99" s="99">
        <f t="shared" ca="1" si="17"/>
        <v>48341</v>
      </c>
      <c r="BB99" s="97">
        <f t="shared" si="12"/>
        <v>-346027.15793695109</v>
      </c>
      <c r="BC99" s="101" t="str">
        <f t="shared" ca="1" si="18"/>
        <v/>
      </c>
      <c r="BD99" s="100" t="str">
        <f t="shared" si="13"/>
        <v/>
      </c>
      <c r="BE99" s="103">
        <f t="shared" ca="1" si="19"/>
        <v>48341</v>
      </c>
      <c r="BF99" s="102">
        <f t="shared" si="14"/>
        <v>-18138.544377630071</v>
      </c>
    </row>
    <row r="100" spans="48:58" hidden="1" x14ac:dyDescent="0.25">
      <c r="AV100">
        <v>75</v>
      </c>
      <c r="AW100" s="94">
        <f t="shared" ca="1" si="15"/>
        <v>48372</v>
      </c>
      <c r="AX100" s="95">
        <f t="shared" si="10"/>
        <v>-19010.092364804936</v>
      </c>
      <c r="AY100" s="98">
        <f t="shared" ca="1" si="16"/>
        <v>48372</v>
      </c>
      <c r="AZ100" s="96">
        <f t="shared" si="11"/>
        <v>-44989.366489508058</v>
      </c>
      <c r="BA100" s="99">
        <f t="shared" ca="1" si="17"/>
        <v>48372</v>
      </c>
      <c r="BB100" s="97">
        <f t="shared" si="12"/>
        <v>-346027.15793695109</v>
      </c>
      <c r="BC100" s="101" t="str">
        <f t="shared" ca="1" si="18"/>
        <v/>
      </c>
      <c r="BD100" s="100" t="str">
        <f t="shared" si="13"/>
        <v/>
      </c>
      <c r="BE100" s="103">
        <f t="shared" ca="1" si="19"/>
        <v>48372</v>
      </c>
      <c r="BF100" s="102">
        <f t="shared" si="14"/>
        <v>-18138.544377630071</v>
      </c>
    </row>
    <row r="101" spans="48:58" hidden="1" x14ac:dyDescent="0.25">
      <c r="AV101">
        <v>76</v>
      </c>
      <c r="AW101" s="94">
        <f t="shared" ca="1" si="15"/>
        <v>48402</v>
      </c>
      <c r="AX101" s="95">
        <f t="shared" si="10"/>
        <v>-19010.092364804936</v>
      </c>
      <c r="AY101" s="98">
        <f t="shared" ca="1" si="16"/>
        <v>48402</v>
      </c>
      <c r="AZ101" s="96">
        <f t="shared" si="11"/>
        <v>-44989.366489508058</v>
      </c>
      <c r="BA101" s="99">
        <f t="shared" ca="1" si="17"/>
        <v>48402</v>
      </c>
      <c r="BB101" s="97">
        <f t="shared" si="12"/>
        <v>-346027.15793695109</v>
      </c>
      <c r="BC101" s="101" t="str">
        <f t="shared" ca="1" si="18"/>
        <v/>
      </c>
      <c r="BD101" s="100" t="str">
        <f t="shared" si="13"/>
        <v/>
      </c>
      <c r="BE101" s="103">
        <f t="shared" ca="1" si="19"/>
        <v>48402</v>
      </c>
      <c r="BF101" s="102">
        <f t="shared" si="14"/>
        <v>-18138.544377630071</v>
      </c>
    </row>
    <row r="102" spans="48:58" hidden="1" x14ac:dyDescent="0.25">
      <c r="AV102">
        <v>77</v>
      </c>
      <c r="AW102" s="94">
        <f t="shared" ca="1" si="15"/>
        <v>48433</v>
      </c>
      <c r="AX102" s="95">
        <f t="shared" si="10"/>
        <v>-19010.092364804936</v>
      </c>
      <c r="AY102" s="98">
        <f t="shared" ca="1" si="16"/>
        <v>48433</v>
      </c>
      <c r="AZ102" s="96">
        <f t="shared" si="11"/>
        <v>-44989.366489508058</v>
      </c>
      <c r="BA102" s="99">
        <f t="shared" ca="1" si="17"/>
        <v>48433</v>
      </c>
      <c r="BB102" s="97">
        <f t="shared" si="12"/>
        <v>-346027.15793695109</v>
      </c>
      <c r="BC102" s="101" t="str">
        <f t="shared" ca="1" si="18"/>
        <v/>
      </c>
      <c r="BD102" s="100" t="str">
        <f t="shared" si="13"/>
        <v/>
      </c>
      <c r="BE102" s="103">
        <f t="shared" ca="1" si="19"/>
        <v>48433</v>
      </c>
      <c r="BF102" s="102">
        <f t="shared" si="14"/>
        <v>-18138.544377630071</v>
      </c>
    </row>
    <row r="103" spans="48:58" hidden="1" x14ac:dyDescent="0.25">
      <c r="AV103">
        <v>78</v>
      </c>
      <c r="AW103" s="94">
        <f t="shared" ca="1" si="15"/>
        <v>48464</v>
      </c>
      <c r="AX103" s="95">
        <f t="shared" si="10"/>
        <v>-19010.092364804936</v>
      </c>
      <c r="AY103" s="98">
        <f t="shared" ca="1" si="16"/>
        <v>48464</v>
      </c>
      <c r="AZ103" s="96">
        <f t="shared" si="11"/>
        <v>-44989.366489508058</v>
      </c>
      <c r="BA103" s="99">
        <f t="shared" ca="1" si="17"/>
        <v>48464</v>
      </c>
      <c r="BB103" s="97">
        <f t="shared" si="12"/>
        <v>-346027.15793695109</v>
      </c>
      <c r="BC103" s="101" t="str">
        <f t="shared" ca="1" si="18"/>
        <v/>
      </c>
      <c r="BD103" s="100" t="str">
        <f t="shared" si="13"/>
        <v/>
      </c>
      <c r="BE103" s="103">
        <f t="shared" ca="1" si="19"/>
        <v>48464</v>
      </c>
      <c r="BF103" s="102">
        <f t="shared" si="14"/>
        <v>-18138.544377630071</v>
      </c>
    </row>
    <row r="104" spans="48:58" hidden="1" x14ac:dyDescent="0.25">
      <c r="AV104">
        <v>79</v>
      </c>
      <c r="AW104" s="94">
        <f t="shared" ca="1" si="15"/>
        <v>48494</v>
      </c>
      <c r="AX104" s="95">
        <f t="shared" si="10"/>
        <v>-19010.092364804936</v>
      </c>
      <c r="AY104" s="98">
        <f t="shared" ca="1" si="16"/>
        <v>48494</v>
      </c>
      <c r="AZ104" s="96">
        <f t="shared" si="11"/>
        <v>-44989.366489508058</v>
      </c>
      <c r="BA104" s="99">
        <f t="shared" ca="1" si="17"/>
        <v>48494</v>
      </c>
      <c r="BB104" s="97">
        <f t="shared" si="12"/>
        <v>-346027.15793695109</v>
      </c>
      <c r="BC104" s="101" t="str">
        <f t="shared" ca="1" si="18"/>
        <v/>
      </c>
      <c r="BD104" s="100" t="str">
        <f t="shared" si="13"/>
        <v/>
      </c>
      <c r="BE104" s="103">
        <f t="shared" ca="1" si="19"/>
        <v>48494</v>
      </c>
      <c r="BF104" s="102">
        <f t="shared" si="14"/>
        <v>-18138.544377630071</v>
      </c>
    </row>
    <row r="105" spans="48:58" hidden="1" x14ac:dyDescent="0.25">
      <c r="AV105">
        <v>80</v>
      </c>
      <c r="AW105" s="94">
        <f t="shared" ca="1" si="15"/>
        <v>48525</v>
      </c>
      <c r="AX105" s="95">
        <f t="shared" si="10"/>
        <v>-19010.092364804936</v>
      </c>
      <c r="AY105" s="98">
        <f t="shared" ca="1" si="16"/>
        <v>48525</v>
      </c>
      <c r="AZ105" s="96">
        <f t="shared" si="11"/>
        <v>-44989.366489508058</v>
      </c>
      <c r="BA105" s="99">
        <f t="shared" ca="1" si="17"/>
        <v>48525</v>
      </c>
      <c r="BB105" s="97">
        <f t="shared" si="12"/>
        <v>-346027.15793695109</v>
      </c>
      <c r="BC105" s="101" t="str">
        <f t="shared" ca="1" si="18"/>
        <v/>
      </c>
      <c r="BD105" s="100" t="str">
        <f t="shared" si="13"/>
        <v/>
      </c>
      <c r="BE105" s="103">
        <f t="shared" ca="1" si="19"/>
        <v>48525</v>
      </c>
      <c r="BF105" s="102">
        <f t="shared" si="14"/>
        <v>-18138.544377630071</v>
      </c>
    </row>
    <row r="106" spans="48:58" hidden="1" x14ac:dyDescent="0.25">
      <c r="AV106">
        <v>81</v>
      </c>
      <c r="AW106" s="94">
        <f t="shared" ca="1" si="15"/>
        <v>48555</v>
      </c>
      <c r="AX106" s="95">
        <f t="shared" si="10"/>
        <v>-19010.092364804936</v>
      </c>
      <c r="AY106" s="98">
        <f t="shared" ca="1" si="16"/>
        <v>48555</v>
      </c>
      <c r="AZ106" s="96">
        <f t="shared" si="11"/>
        <v>-44989.366489508058</v>
      </c>
      <c r="BA106" s="99">
        <f t="shared" ca="1" si="17"/>
        <v>48555</v>
      </c>
      <c r="BB106" s="97">
        <f t="shared" si="12"/>
        <v>-346027.15793695109</v>
      </c>
      <c r="BC106" s="101" t="str">
        <f t="shared" ca="1" si="18"/>
        <v/>
      </c>
      <c r="BD106" s="100" t="str">
        <f t="shared" si="13"/>
        <v/>
      </c>
      <c r="BE106" s="103">
        <f t="shared" ca="1" si="19"/>
        <v>48555</v>
      </c>
      <c r="BF106" s="102">
        <f t="shared" si="14"/>
        <v>-18138.544377630071</v>
      </c>
    </row>
    <row r="107" spans="48:58" hidden="1" x14ac:dyDescent="0.25">
      <c r="AV107">
        <v>82</v>
      </c>
      <c r="AW107" s="94">
        <f t="shared" ca="1" si="15"/>
        <v>48586</v>
      </c>
      <c r="AX107" s="95">
        <f t="shared" si="10"/>
        <v>-19010.092364804936</v>
      </c>
      <c r="AY107" s="98">
        <f t="shared" ca="1" si="16"/>
        <v>48586</v>
      </c>
      <c r="AZ107" s="96">
        <f t="shared" si="11"/>
        <v>-44989.366489508058</v>
      </c>
      <c r="BA107" s="99">
        <f t="shared" ca="1" si="17"/>
        <v>48586</v>
      </c>
      <c r="BB107" s="97">
        <f t="shared" si="12"/>
        <v>-346027.15793695109</v>
      </c>
      <c r="BC107" s="101" t="str">
        <f t="shared" ca="1" si="18"/>
        <v/>
      </c>
      <c r="BD107" s="100" t="str">
        <f t="shared" si="13"/>
        <v/>
      </c>
      <c r="BE107" s="103">
        <f t="shared" ca="1" si="19"/>
        <v>48586</v>
      </c>
      <c r="BF107" s="102">
        <f t="shared" si="14"/>
        <v>-18138.544377630071</v>
      </c>
    </row>
    <row r="108" spans="48:58" hidden="1" x14ac:dyDescent="0.25">
      <c r="AV108">
        <v>83</v>
      </c>
      <c r="AW108" s="94">
        <f t="shared" ca="1" si="15"/>
        <v>48617</v>
      </c>
      <c r="AX108" s="95">
        <f t="shared" si="10"/>
        <v>-19010.092364804936</v>
      </c>
      <c r="AY108" s="98">
        <f t="shared" ca="1" si="16"/>
        <v>48617</v>
      </c>
      <c r="AZ108" s="96">
        <f t="shared" si="11"/>
        <v>-44989.366489508058</v>
      </c>
      <c r="BA108" s="99">
        <f t="shared" ca="1" si="17"/>
        <v>48617</v>
      </c>
      <c r="BB108" s="97">
        <f t="shared" si="12"/>
        <v>-346027.15793695109</v>
      </c>
      <c r="BC108" s="101" t="str">
        <f t="shared" ca="1" si="18"/>
        <v/>
      </c>
      <c r="BD108" s="100" t="str">
        <f t="shared" si="13"/>
        <v/>
      </c>
      <c r="BE108" s="103">
        <f t="shared" ca="1" si="19"/>
        <v>48617</v>
      </c>
      <c r="BF108" s="102">
        <f t="shared" si="14"/>
        <v>-18138.544377630071</v>
      </c>
    </row>
    <row r="109" spans="48:58" hidden="1" x14ac:dyDescent="0.25">
      <c r="AV109">
        <v>84</v>
      </c>
      <c r="AW109" s="94">
        <f t="shared" ca="1" si="15"/>
        <v>48645</v>
      </c>
      <c r="AX109" s="95">
        <f t="shared" si="10"/>
        <v>-19010.092364804936</v>
      </c>
      <c r="AY109" s="98">
        <f t="shared" ca="1" si="16"/>
        <v>48645</v>
      </c>
      <c r="AZ109" s="96">
        <f t="shared" si="11"/>
        <v>-44989.366489508058</v>
      </c>
      <c r="BA109" s="99">
        <f t="shared" ca="1" si="17"/>
        <v>48645</v>
      </c>
      <c r="BB109" s="97">
        <f t="shared" si="12"/>
        <v>-346027.15793695109</v>
      </c>
      <c r="BC109" s="101" t="str">
        <f t="shared" ca="1" si="18"/>
        <v/>
      </c>
      <c r="BD109" s="100" t="str">
        <f t="shared" si="13"/>
        <v/>
      </c>
      <c r="BE109" s="103">
        <f t="shared" ca="1" si="19"/>
        <v>48645</v>
      </c>
      <c r="BF109" s="102">
        <f t="shared" si="14"/>
        <v>-18138.544377630071</v>
      </c>
    </row>
    <row r="110" spans="48:58" hidden="1" x14ac:dyDescent="0.25">
      <c r="AV110">
        <v>85</v>
      </c>
      <c r="AW110" s="94">
        <f t="shared" ca="1" si="15"/>
        <v>48676</v>
      </c>
      <c r="AX110" s="95">
        <f t="shared" si="10"/>
        <v>-19010.092364804936</v>
      </c>
      <c r="AY110" s="98">
        <f t="shared" ca="1" si="16"/>
        <v>48676</v>
      </c>
      <c r="AZ110" s="96">
        <f t="shared" si="11"/>
        <v>-44989.366489508058</v>
      </c>
      <c r="BA110" s="99">
        <f t="shared" ca="1" si="17"/>
        <v>48676</v>
      </c>
      <c r="BB110" s="97">
        <f t="shared" si="12"/>
        <v>-346027.15793695109</v>
      </c>
      <c r="BC110" s="101" t="str">
        <f t="shared" ca="1" si="18"/>
        <v/>
      </c>
      <c r="BD110" s="100" t="str">
        <f t="shared" si="13"/>
        <v/>
      </c>
      <c r="BE110" s="103">
        <f t="shared" ca="1" si="19"/>
        <v>48676</v>
      </c>
      <c r="BF110" s="102">
        <f t="shared" si="14"/>
        <v>-18138.544377630071</v>
      </c>
    </row>
    <row r="111" spans="48:58" hidden="1" x14ac:dyDescent="0.25">
      <c r="AV111">
        <v>86</v>
      </c>
      <c r="AW111" s="94">
        <f t="shared" ca="1" si="15"/>
        <v>48706</v>
      </c>
      <c r="AX111" s="95">
        <f t="shared" si="10"/>
        <v>-19010.092364804936</v>
      </c>
      <c r="AY111" s="98">
        <f t="shared" ca="1" si="16"/>
        <v>48706</v>
      </c>
      <c r="AZ111" s="96">
        <f t="shared" si="11"/>
        <v>-44989.366489508058</v>
      </c>
      <c r="BA111" s="99">
        <f t="shared" ca="1" si="17"/>
        <v>48706</v>
      </c>
      <c r="BB111" s="97">
        <f t="shared" si="12"/>
        <v>-346027.15793695109</v>
      </c>
      <c r="BC111" s="101" t="str">
        <f t="shared" ca="1" si="18"/>
        <v/>
      </c>
      <c r="BD111" s="100" t="str">
        <f t="shared" si="13"/>
        <v/>
      </c>
      <c r="BE111" s="103">
        <f t="shared" ca="1" si="19"/>
        <v>48706</v>
      </c>
      <c r="BF111" s="102">
        <f t="shared" si="14"/>
        <v>-18138.544377630071</v>
      </c>
    </row>
    <row r="112" spans="48:58" hidden="1" x14ac:dyDescent="0.25">
      <c r="AV112">
        <v>87</v>
      </c>
      <c r="AW112" s="94">
        <f t="shared" ca="1" si="15"/>
        <v>48737</v>
      </c>
      <c r="AX112" s="95">
        <f t="shared" si="10"/>
        <v>-19010.092364804936</v>
      </c>
      <c r="AY112" s="98">
        <f t="shared" ca="1" si="16"/>
        <v>48737</v>
      </c>
      <c r="AZ112" s="96">
        <f t="shared" si="11"/>
        <v>-44989.366489508058</v>
      </c>
      <c r="BA112" s="99">
        <f t="shared" ca="1" si="17"/>
        <v>48737</v>
      </c>
      <c r="BB112" s="97">
        <f t="shared" si="12"/>
        <v>-346027.15793695109</v>
      </c>
      <c r="BC112" s="101" t="str">
        <f t="shared" ca="1" si="18"/>
        <v/>
      </c>
      <c r="BD112" s="100" t="str">
        <f t="shared" si="13"/>
        <v/>
      </c>
      <c r="BE112" s="103">
        <f t="shared" ca="1" si="19"/>
        <v>48737</v>
      </c>
      <c r="BF112" s="102">
        <f t="shared" si="14"/>
        <v>-18138.544377630071</v>
      </c>
    </row>
    <row r="113" spans="48:58" hidden="1" x14ac:dyDescent="0.25">
      <c r="AV113">
        <v>88</v>
      </c>
      <c r="AW113" s="94">
        <f t="shared" ca="1" si="15"/>
        <v>48767</v>
      </c>
      <c r="AX113" s="95">
        <f t="shared" si="10"/>
        <v>-19010.092364804936</v>
      </c>
      <c r="AY113" s="98">
        <f t="shared" ca="1" si="16"/>
        <v>48767</v>
      </c>
      <c r="AZ113" s="96">
        <f t="shared" si="11"/>
        <v>-44989.366489508058</v>
      </c>
      <c r="BA113" s="99">
        <f t="shared" ca="1" si="17"/>
        <v>48767</v>
      </c>
      <c r="BB113" s="97">
        <f t="shared" si="12"/>
        <v>-346027.15793695109</v>
      </c>
      <c r="BC113" s="101" t="str">
        <f t="shared" ca="1" si="18"/>
        <v/>
      </c>
      <c r="BD113" s="100" t="str">
        <f t="shared" si="13"/>
        <v/>
      </c>
      <c r="BE113" s="103">
        <f t="shared" ca="1" si="19"/>
        <v>48767</v>
      </c>
      <c r="BF113" s="102">
        <f t="shared" si="14"/>
        <v>-18138.544377630071</v>
      </c>
    </row>
    <row r="114" spans="48:58" hidden="1" x14ac:dyDescent="0.25">
      <c r="AV114">
        <v>89</v>
      </c>
      <c r="AW114" s="94">
        <f t="shared" ca="1" si="15"/>
        <v>48798</v>
      </c>
      <c r="AX114" s="95">
        <f t="shared" si="10"/>
        <v>-19010.092364804936</v>
      </c>
      <c r="AY114" s="98">
        <f t="shared" ca="1" si="16"/>
        <v>48798</v>
      </c>
      <c r="AZ114" s="96">
        <f t="shared" si="11"/>
        <v>-44989.366489508058</v>
      </c>
      <c r="BA114" s="99">
        <f t="shared" ca="1" si="17"/>
        <v>48798</v>
      </c>
      <c r="BB114" s="97">
        <f t="shared" si="12"/>
        <v>-346027.15793695109</v>
      </c>
      <c r="BC114" s="101" t="str">
        <f t="shared" ca="1" si="18"/>
        <v/>
      </c>
      <c r="BD114" s="100" t="str">
        <f t="shared" si="13"/>
        <v/>
      </c>
      <c r="BE114" s="103">
        <f t="shared" ca="1" si="19"/>
        <v>48798</v>
      </c>
      <c r="BF114" s="102">
        <f t="shared" si="14"/>
        <v>-18138.544377630071</v>
      </c>
    </row>
    <row r="115" spans="48:58" hidden="1" x14ac:dyDescent="0.25">
      <c r="AV115">
        <v>90</v>
      </c>
      <c r="AW115" s="94">
        <f t="shared" ca="1" si="15"/>
        <v>48829</v>
      </c>
      <c r="AX115" s="95">
        <f t="shared" si="10"/>
        <v>-19010.092364804936</v>
      </c>
      <c r="AY115" s="98">
        <f t="shared" ca="1" si="16"/>
        <v>48829</v>
      </c>
      <c r="AZ115" s="96">
        <f t="shared" si="11"/>
        <v>-44989.366489508058</v>
      </c>
      <c r="BA115" s="99">
        <f t="shared" ca="1" si="17"/>
        <v>48829</v>
      </c>
      <c r="BB115" s="97">
        <f t="shared" si="12"/>
        <v>-346027.15793695109</v>
      </c>
      <c r="BC115" s="101" t="str">
        <f t="shared" ca="1" si="18"/>
        <v/>
      </c>
      <c r="BD115" s="100" t="str">
        <f t="shared" si="13"/>
        <v/>
      </c>
      <c r="BE115" s="103">
        <f t="shared" ca="1" si="19"/>
        <v>48829</v>
      </c>
      <c r="BF115" s="102">
        <f t="shared" si="14"/>
        <v>-18138.544377630071</v>
      </c>
    </row>
    <row r="116" spans="48:58" hidden="1" x14ac:dyDescent="0.25">
      <c r="AV116">
        <v>91</v>
      </c>
      <c r="AW116" s="94">
        <f t="shared" ca="1" si="15"/>
        <v>48859</v>
      </c>
      <c r="AX116" s="95">
        <f t="shared" si="10"/>
        <v>-19010.092364804936</v>
      </c>
      <c r="AY116" s="98">
        <f t="shared" ca="1" si="16"/>
        <v>48859</v>
      </c>
      <c r="AZ116" s="96">
        <f t="shared" si="11"/>
        <v>-44989.366489508058</v>
      </c>
      <c r="BA116" s="99">
        <f t="shared" ca="1" si="17"/>
        <v>48859</v>
      </c>
      <c r="BB116" s="97">
        <f t="shared" si="12"/>
        <v>-346027.15793695109</v>
      </c>
      <c r="BC116" s="101" t="str">
        <f t="shared" ca="1" si="18"/>
        <v/>
      </c>
      <c r="BD116" s="100" t="str">
        <f t="shared" si="13"/>
        <v/>
      </c>
      <c r="BE116" s="103">
        <f t="shared" ca="1" si="19"/>
        <v>48859</v>
      </c>
      <c r="BF116" s="102">
        <f t="shared" si="14"/>
        <v>-18138.544377630071</v>
      </c>
    </row>
    <row r="117" spans="48:58" hidden="1" x14ac:dyDescent="0.25">
      <c r="AV117">
        <v>92</v>
      </c>
      <c r="AW117" s="94">
        <f t="shared" ca="1" si="15"/>
        <v>48890</v>
      </c>
      <c r="AX117" s="95">
        <f t="shared" si="10"/>
        <v>-19010.092364804936</v>
      </c>
      <c r="AY117" s="98">
        <f t="shared" ca="1" si="16"/>
        <v>48890</v>
      </c>
      <c r="AZ117" s="96">
        <f t="shared" si="11"/>
        <v>-44989.366489508058</v>
      </c>
      <c r="BA117" s="99">
        <f t="shared" ca="1" si="17"/>
        <v>48890</v>
      </c>
      <c r="BB117" s="97">
        <f t="shared" si="12"/>
        <v>-346027.15793695109</v>
      </c>
      <c r="BC117" s="101" t="str">
        <f t="shared" ca="1" si="18"/>
        <v/>
      </c>
      <c r="BD117" s="100" t="str">
        <f t="shared" si="13"/>
        <v/>
      </c>
      <c r="BE117" s="103">
        <f t="shared" ca="1" si="19"/>
        <v>48890</v>
      </c>
      <c r="BF117" s="102">
        <f t="shared" si="14"/>
        <v>-18138.544377630071</v>
      </c>
    </row>
    <row r="118" spans="48:58" hidden="1" x14ac:dyDescent="0.25">
      <c r="AV118">
        <v>93</v>
      </c>
      <c r="AW118" s="94">
        <f t="shared" ca="1" si="15"/>
        <v>48920</v>
      </c>
      <c r="AX118" s="95">
        <f t="shared" si="10"/>
        <v>-19010.092364804936</v>
      </c>
      <c r="AY118" s="98">
        <f t="shared" ca="1" si="16"/>
        <v>48920</v>
      </c>
      <c r="AZ118" s="96">
        <f t="shared" si="11"/>
        <v>-44989.366489508058</v>
      </c>
      <c r="BA118" s="99">
        <f t="shared" ca="1" si="17"/>
        <v>48920</v>
      </c>
      <c r="BB118" s="97">
        <f t="shared" si="12"/>
        <v>-346027.15793695109</v>
      </c>
      <c r="BC118" s="101" t="str">
        <f t="shared" ca="1" si="18"/>
        <v/>
      </c>
      <c r="BD118" s="100" t="str">
        <f t="shared" si="13"/>
        <v/>
      </c>
      <c r="BE118" s="103">
        <f t="shared" ca="1" si="19"/>
        <v>48920</v>
      </c>
      <c r="BF118" s="102">
        <f t="shared" si="14"/>
        <v>-18138.544377630071</v>
      </c>
    </row>
    <row r="119" spans="48:58" hidden="1" x14ac:dyDescent="0.25">
      <c r="AV119">
        <v>94</v>
      </c>
      <c r="AW119" s="94">
        <f t="shared" ca="1" si="15"/>
        <v>48951</v>
      </c>
      <c r="AX119" s="95">
        <f t="shared" si="10"/>
        <v>-19010.092364804936</v>
      </c>
      <c r="AY119" s="98">
        <f t="shared" ca="1" si="16"/>
        <v>48951</v>
      </c>
      <c r="AZ119" s="96">
        <f t="shared" si="11"/>
        <v>-44989.366489508058</v>
      </c>
      <c r="BA119" s="99">
        <f t="shared" ca="1" si="17"/>
        <v>48951</v>
      </c>
      <c r="BB119" s="97">
        <f t="shared" si="12"/>
        <v>-346027.15793695109</v>
      </c>
      <c r="BC119" s="101" t="str">
        <f t="shared" ca="1" si="18"/>
        <v/>
      </c>
      <c r="BD119" s="100" t="str">
        <f t="shared" si="13"/>
        <v/>
      </c>
      <c r="BE119" s="103">
        <f t="shared" ca="1" si="19"/>
        <v>48951</v>
      </c>
      <c r="BF119" s="102">
        <f t="shared" si="14"/>
        <v>-18138.544377630071</v>
      </c>
    </row>
    <row r="120" spans="48:58" hidden="1" x14ac:dyDescent="0.25">
      <c r="AV120">
        <v>95</v>
      </c>
      <c r="AW120" s="94">
        <f t="shared" ca="1" si="15"/>
        <v>48982</v>
      </c>
      <c r="AX120" s="95">
        <f t="shared" si="10"/>
        <v>-19010.092364804936</v>
      </c>
      <c r="AY120" s="98">
        <f t="shared" ca="1" si="16"/>
        <v>48982</v>
      </c>
      <c r="AZ120" s="96">
        <f t="shared" si="11"/>
        <v>-44989.366489508058</v>
      </c>
      <c r="BA120" s="99">
        <f t="shared" ca="1" si="17"/>
        <v>48982</v>
      </c>
      <c r="BB120" s="97">
        <f t="shared" si="12"/>
        <v>-346027.15793695109</v>
      </c>
      <c r="BC120" s="101" t="str">
        <f t="shared" ca="1" si="18"/>
        <v/>
      </c>
      <c r="BD120" s="100" t="str">
        <f t="shared" si="13"/>
        <v/>
      </c>
      <c r="BE120" s="103">
        <f t="shared" ca="1" si="19"/>
        <v>48982</v>
      </c>
      <c r="BF120" s="102">
        <f t="shared" si="14"/>
        <v>-18138.544377630071</v>
      </c>
    </row>
    <row r="121" spans="48:58" hidden="1" x14ac:dyDescent="0.25">
      <c r="AV121">
        <v>96</v>
      </c>
      <c r="AW121" s="94">
        <f t="shared" ca="1" si="15"/>
        <v>49010</v>
      </c>
      <c r="AX121" s="95">
        <f t="shared" si="10"/>
        <v>-19010.092364804936</v>
      </c>
      <c r="AY121" s="98">
        <f t="shared" ca="1" si="16"/>
        <v>49010</v>
      </c>
      <c r="AZ121" s="96">
        <f t="shared" si="11"/>
        <v>-44989.366489508058</v>
      </c>
      <c r="BA121" s="99">
        <f t="shared" ca="1" si="17"/>
        <v>49010</v>
      </c>
      <c r="BB121" s="97">
        <f t="shared" si="12"/>
        <v>-346027.15793695109</v>
      </c>
      <c r="BC121" s="101" t="str">
        <f t="shared" ca="1" si="18"/>
        <v/>
      </c>
      <c r="BD121" s="100" t="str">
        <f t="shared" si="13"/>
        <v/>
      </c>
      <c r="BE121" s="103">
        <f t="shared" ca="1" si="19"/>
        <v>49010</v>
      </c>
      <c r="BF121" s="102">
        <f t="shared" si="14"/>
        <v>-18138.544377630071</v>
      </c>
    </row>
    <row r="122" spans="48:58" hidden="1" x14ac:dyDescent="0.25">
      <c r="AV122">
        <v>97</v>
      </c>
      <c r="AW122" s="94">
        <f t="shared" ca="1" si="15"/>
        <v>49041</v>
      </c>
      <c r="AX122" s="95">
        <f t="shared" si="10"/>
        <v>-19010.092364804936</v>
      </c>
      <c r="AY122" s="98">
        <f t="shared" ca="1" si="16"/>
        <v>49041</v>
      </c>
      <c r="AZ122" s="96">
        <f t="shared" si="11"/>
        <v>8000000</v>
      </c>
      <c r="BA122" s="99">
        <f t="shared" ca="1" si="17"/>
        <v>49041</v>
      </c>
      <c r="BB122" s="97">
        <f t="shared" si="12"/>
        <v>-346027.15793695109</v>
      </c>
      <c r="BC122" s="101" t="str">
        <f t="shared" ca="1" si="18"/>
        <v/>
      </c>
      <c r="BD122" s="100" t="str">
        <f t="shared" si="13"/>
        <v/>
      </c>
      <c r="BE122" s="103">
        <f t="shared" ca="1" si="19"/>
        <v>49041</v>
      </c>
      <c r="BF122" s="102">
        <f t="shared" si="14"/>
        <v>-18138.544377630071</v>
      </c>
    </row>
    <row r="123" spans="48:58" hidden="1" x14ac:dyDescent="0.25">
      <c r="AV123">
        <v>98</v>
      </c>
      <c r="AW123" s="94">
        <f t="shared" ca="1" si="15"/>
        <v>49071</v>
      </c>
      <c r="AX123" s="95">
        <f t="shared" si="10"/>
        <v>-19010.092364804936</v>
      </c>
      <c r="AY123" s="98" t="str">
        <f t="shared" ca="1" si="16"/>
        <v/>
      </c>
      <c r="AZ123" s="96" t="str">
        <f t="shared" si="11"/>
        <v/>
      </c>
      <c r="BA123" s="99">
        <f t="shared" ca="1" si="17"/>
        <v>49071</v>
      </c>
      <c r="BB123" s="97">
        <f t="shared" si="12"/>
        <v>-346027.15793695109</v>
      </c>
      <c r="BC123" s="101" t="str">
        <f t="shared" ca="1" si="18"/>
        <v/>
      </c>
      <c r="BD123" s="100" t="str">
        <f t="shared" si="13"/>
        <v/>
      </c>
      <c r="BE123" s="103">
        <f t="shared" ca="1" si="19"/>
        <v>49071</v>
      </c>
      <c r="BF123" s="102">
        <f t="shared" si="14"/>
        <v>-18138.544377630071</v>
      </c>
    </row>
    <row r="124" spans="48:58" hidden="1" x14ac:dyDescent="0.25">
      <c r="AV124">
        <v>99</v>
      </c>
      <c r="AW124" s="94">
        <f t="shared" ca="1" si="15"/>
        <v>49102</v>
      </c>
      <c r="AX124" s="95">
        <f t="shared" si="10"/>
        <v>-19010.092364804936</v>
      </c>
      <c r="AY124" s="98" t="str">
        <f t="shared" ca="1" si="16"/>
        <v/>
      </c>
      <c r="AZ124" s="96" t="str">
        <f t="shared" si="11"/>
        <v/>
      </c>
      <c r="BA124" s="99">
        <f t="shared" ca="1" si="17"/>
        <v>49102</v>
      </c>
      <c r="BB124" s="97">
        <f t="shared" si="12"/>
        <v>-346027.15793695109</v>
      </c>
      <c r="BC124" s="101" t="str">
        <f t="shared" ca="1" si="18"/>
        <v/>
      </c>
      <c r="BD124" s="100" t="str">
        <f t="shared" si="13"/>
        <v/>
      </c>
      <c r="BE124" s="103">
        <f t="shared" ca="1" si="19"/>
        <v>49102</v>
      </c>
      <c r="BF124" s="102">
        <f t="shared" si="14"/>
        <v>-18138.544377630071</v>
      </c>
    </row>
    <row r="125" spans="48:58" hidden="1" x14ac:dyDescent="0.25">
      <c r="AV125">
        <v>100</v>
      </c>
      <c r="AW125" s="94">
        <f t="shared" ca="1" si="15"/>
        <v>49132</v>
      </c>
      <c r="AX125" s="95">
        <f t="shared" si="10"/>
        <v>-19010.092364804936</v>
      </c>
      <c r="AY125" s="98" t="str">
        <f t="shared" ca="1" si="16"/>
        <v/>
      </c>
      <c r="AZ125" s="96" t="str">
        <f t="shared" si="11"/>
        <v/>
      </c>
      <c r="BA125" s="99">
        <f t="shared" ca="1" si="17"/>
        <v>49132</v>
      </c>
      <c r="BB125" s="97">
        <f t="shared" si="12"/>
        <v>-346027.15793695109</v>
      </c>
      <c r="BC125" s="101" t="str">
        <f t="shared" ca="1" si="18"/>
        <v/>
      </c>
      <c r="BD125" s="100" t="str">
        <f t="shared" si="13"/>
        <v/>
      </c>
      <c r="BE125" s="103">
        <f t="shared" ca="1" si="19"/>
        <v>49132</v>
      </c>
      <c r="BF125" s="102">
        <f t="shared" si="14"/>
        <v>-18138.544377630071</v>
      </c>
    </row>
    <row r="126" spans="48:58" hidden="1" x14ac:dyDescent="0.25">
      <c r="AV126">
        <v>101</v>
      </c>
      <c r="AW126" s="94">
        <f t="shared" ca="1" si="15"/>
        <v>49163</v>
      </c>
      <c r="AX126" s="95">
        <f t="shared" si="10"/>
        <v>-19010.092364804936</v>
      </c>
      <c r="AY126" s="98" t="str">
        <f t="shared" ca="1" si="16"/>
        <v/>
      </c>
      <c r="AZ126" s="96" t="str">
        <f t="shared" si="11"/>
        <v/>
      </c>
      <c r="BA126" s="99">
        <f t="shared" ca="1" si="17"/>
        <v>49163</v>
      </c>
      <c r="BB126" s="97">
        <f t="shared" si="12"/>
        <v>-346027.15793695109</v>
      </c>
      <c r="BC126" s="101" t="str">
        <f t="shared" ca="1" si="18"/>
        <v/>
      </c>
      <c r="BD126" s="100" t="str">
        <f t="shared" si="13"/>
        <v/>
      </c>
      <c r="BE126" s="103">
        <f t="shared" ca="1" si="19"/>
        <v>49163</v>
      </c>
      <c r="BF126" s="102">
        <f t="shared" si="14"/>
        <v>-18138.544377630071</v>
      </c>
    </row>
    <row r="127" spans="48:58" hidden="1" x14ac:dyDescent="0.25">
      <c r="AV127">
        <v>102</v>
      </c>
      <c r="AW127" s="94">
        <f t="shared" ca="1" si="15"/>
        <v>49194</v>
      </c>
      <c r="AX127" s="95">
        <f t="shared" si="10"/>
        <v>-19010.092364804936</v>
      </c>
      <c r="AY127" s="98" t="str">
        <f t="shared" ca="1" si="16"/>
        <v/>
      </c>
      <c r="AZ127" s="96" t="str">
        <f t="shared" si="11"/>
        <v/>
      </c>
      <c r="BA127" s="99">
        <f t="shared" ca="1" si="17"/>
        <v>49194</v>
      </c>
      <c r="BB127" s="97">
        <f t="shared" si="12"/>
        <v>-346027.15793695109</v>
      </c>
      <c r="BC127" s="101" t="str">
        <f t="shared" ca="1" si="18"/>
        <v/>
      </c>
      <c r="BD127" s="100" t="str">
        <f t="shared" si="13"/>
        <v/>
      </c>
      <c r="BE127" s="103">
        <f t="shared" ca="1" si="19"/>
        <v>49194</v>
      </c>
      <c r="BF127" s="102">
        <f t="shared" si="14"/>
        <v>-18138.544377630071</v>
      </c>
    </row>
    <row r="128" spans="48:58" hidden="1" x14ac:dyDescent="0.25">
      <c r="AV128">
        <v>103</v>
      </c>
      <c r="AW128" s="94">
        <f t="shared" ca="1" si="15"/>
        <v>49224</v>
      </c>
      <c r="AX128" s="95">
        <f t="shared" si="10"/>
        <v>-19010.092364804936</v>
      </c>
      <c r="AY128" s="98" t="str">
        <f t="shared" ca="1" si="16"/>
        <v/>
      </c>
      <c r="AZ128" s="96" t="str">
        <f t="shared" si="11"/>
        <v/>
      </c>
      <c r="BA128" s="99">
        <f t="shared" ca="1" si="17"/>
        <v>49224</v>
      </c>
      <c r="BB128" s="97">
        <f t="shared" si="12"/>
        <v>-346027.15793695109</v>
      </c>
      <c r="BC128" s="101" t="str">
        <f t="shared" ca="1" si="18"/>
        <v/>
      </c>
      <c r="BD128" s="100" t="str">
        <f t="shared" si="13"/>
        <v/>
      </c>
      <c r="BE128" s="103">
        <f t="shared" ca="1" si="19"/>
        <v>49224</v>
      </c>
      <c r="BF128" s="102">
        <f t="shared" si="14"/>
        <v>-18138.544377630071</v>
      </c>
    </row>
    <row r="129" spans="48:58" hidden="1" x14ac:dyDescent="0.25">
      <c r="AV129">
        <v>104</v>
      </c>
      <c r="AW129" s="94">
        <f t="shared" ca="1" si="15"/>
        <v>49255</v>
      </c>
      <c r="AX129" s="95">
        <f t="shared" si="10"/>
        <v>-19010.092364804936</v>
      </c>
      <c r="AY129" s="98" t="str">
        <f t="shared" ca="1" si="16"/>
        <v/>
      </c>
      <c r="AZ129" s="96" t="str">
        <f t="shared" si="11"/>
        <v/>
      </c>
      <c r="BA129" s="99">
        <f t="shared" ca="1" si="17"/>
        <v>49255</v>
      </c>
      <c r="BB129" s="97">
        <f t="shared" si="12"/>
        <v>-346027.15793695109</v>
      </c>
      <c r="BC129" s="101" t="str">
        <f t="shared" ca="1" si="18"/>
        <v/>
      </c>
      <c r="BD129" s="100" t="str">
        <f t="shared" si="13"/>
        <v/>
      </c>
      <c r="BE129" s="103">
        <f t="shared" ca="1" si="19"/>
        <v>49255</v>
      </c>
      <c r="BF129" s="102">
        <f t="shared" si="14"/>
        <v>-18138.544377630071</v>
      </c>
    </row>
    <row r="130" spans="48:58" hidden="1" x14ac:dyDescent="0.25">
      <c r="AV130">
        <v>105</v>
      </c>
      <c r="AW130" s="94">
        <f t="shared" ca="1" si="15"/>
        <v>49285</v>
      </c>
      <c r="AX130" s="95">
        <f t="shared" si="10"/>
        <v>-19010.092364804936</v>
      </c>
      <c r="AY130" s="98" t="str">
        <f t="shared" ca="1" si="16"/>
        <v/>
      </c>
      <c r="AZ130" s="96" t="str">
        <f t="shared" si="11"/>
        <v/>
      </c>
      <c r="BA130" s="99">
        <f t="shared" ca="1" si="17"/>
        <v>49285</v>
      </c>
      <c r="BB130" s="97">
        <f t="shared" si="12"/>
        <v>-346027.15793695109</v>
      </c>
      <c r="BC130" s="101" t="str">
        <f t="shared" ca="1" si="18"/>
        <v/>
      </c>
      <c r="BD130" s="100" t="str">
        <f t="shared" si="13"/>
        <v/>
      </c>
      <c r="BE130" s="103">
        <f t="shared" ca="1" si="19"/>
        <v>49285</v>
      </c>
      <c r="BF130" s="102">
        <f t="shared" si="14"/>
        <v>-18138.544377630071</v>
      </c>
    </row>
    <row r="131" spans="48:58" hidden="1" x14ac:dyDescent="0.25">
      <c r="AV131">
        <v>106</v>
      </c>
      <c r="AW131" s="94">
        <f t="shared" ca="1" si="15"/>
        <v>49316</v>
      </c>
      <c r="AX131" s="95">
        <f t="shared" si="10"/>
        <v>-19010.092364804936</v>
      </c>
      <c r="AY131" s="98" t="str">
        <f t="shared" ca="1" si="16"/>
        <v/>
      </c>
      <c r="AZ131" s="96" t="str">
        <f t="shared" si="11"/>
        <v/>
      </c>
      <c r="BA131" s="99">
        <f t="shared" ca="1" si="17"/>
        <v>49316</v>
      </c>
      <c r="BB131" s="97">
        <f t="shared" si="12"/>
        <v>-346027.15793695109</v>
      </c>
      <c r="BC131" s="101" t="str">
        <f t="shared" ca="1" si="18"/>
        <v/>
      </c>
      <c r="BD131" s="100" t="str">
        <f t="shared" si="13"/>
        <v/>
      </c>
      <c r="BE131" s="103">
        <f t="shared" ca="1" si="19"/>
        <v>49316</v>
      </c>
      <c r="BF131" s="102">
        <f t="shared" si="14"/>
        <v>-18138.544377630071</v>
      </c>
    </row>
    <row r="132" spans="48:58" hidden="1" x14ac:dyDescent="0.25">
      <c r="AV132">
        <v>107</v>
      </c>
      <c r="AW132" s="94">
        <f t="shared" ca="1" si="15"/>
        <v>49347</v>
      </c>
      <c r="AX132" s="95">
        <f t="shared" si="10"/>
        <v>-19010.092364804936</v>
      </c>
      <c r="AY132" s="98" t="str">
        <f t="shared" ca="1" si="16"/>
        <v/>
      </c>
      <c r="AZ132" s="96" t="str">
        <f t="shared" si="11"/>
        <v/>
      </c>
      <c r="BA132" s="99">
        <f t="shared" ca="1" si="17"/>
        <v>49347</v>
      </c>
      <c r="BB132" s="97">
        <f t="shared" si="12"/>
        <v>-346027.15793695109</v>
      </c>
      <c r="BC132" s="101" t="str">
        <f t="shared" ca="1" si="18"/>
        <v/>
      </c>
      <c r="BD132" s="100" t="str">
        <f t="shared" si="13"/>
        <v/>
      </c>
      <c r="BE132" s="103">
        <f t="shared" ca="1" si="19"/>
        <v>49347</v>
      </c>
      <c r="BF132" s="102">
        <f t="shared" si="14"/>
        <v>-18138.544377630071</v>
      </c>
    </row>
    <row r="133" spans="48:58" hidden="1" x14ac:dyDescent="0.25">
      <c r="AV133">
        <v>108</v>
      </c>
      <c r="AW133" s="94">
        <f t="shared" ca="1" si="15"/>
        <v>49375</v>
      </c>
      <c r="AX133" s="95">
        <f t="shared" si="10"/>
        <v>-19010.092364804936</v>
      </c>
      <c r="AY133" s="98" t="str">
        <f t="shared" ca="1" si="16"/>
        <v/>
      </c>
      <c r="AZ133" s="96" t="str">
        <f t="shared" si="11"/>
        <v/>
      </c>
      <c r="BA133" s="99">
        <f t="shared" ca="1" si="17"/>
        <v>49375</v>
      </c>
      <c r="BB133" s="97">
        <f t="shared" si="12"/>
        <v>-346027.15793695109</v>
      </c>
      <c r="BC133" s="101" t="str">
        <f t="shared" ca="1" si="18"/>
        <v/>
      </c>
      <c r="BD133" s="100" t="str">
        <f t="shared" si="13"/>
        <v/>
      </c>
      <c r="BE133" s="103">
        <f t="shared" ca="1" si="19"/>
        <v>49375</v>
      </c>
      <c r="BF133" s="102">
        <f t="shared" si="14"/>
        <v>-18138.544377630071</v>
      </c>
    </row>
    <row r="134" spans="48:58" hidden="1" x14ac:dyDescent="0.25">
      <c r="AV134">
        <v>109</v>
      </c>
      <c r="AW134" s="94">
        <f t="shared" ca="1" si="15"/>
        <v>49406</v>
      </c>
      <c r="AX134" s="95">
        <f t="shared" si="10"/>
        <v>-19010.092364804936</v>
      </c>
      <c r="AY134" s="98" t="str">
        <f t="shared" ca="1" si="16"/>
        <v/>
      </c>
      <c r="AZ134" s="96" t="str">
        <f t="shared" si="11"/>
        <v/>
      </c>
      <c r="BA134" s="99">
        <f t="shared" ca="1" si="17"/>
        <v>49406</v>
      </c>
      <c r="BB134" s="97">
        <f t="shared" si="12"/>
        <v>-346027.15793695109</v>
      </c>
      <c r="BC134" s="101" t="str">
        <f t="shared" ca="1" si="18"/>
        <v/>
      </c>
      <c r="BD134" s="100" t="str">
        <f t="shared" si="13"/>
        <v/>
      </c>
      <c r="BE134" s="103">
        <f t="shared" ca="1" si="19"/>
        <v>49406</v>
      </c>
      <c r="BF134" s="102">
        <f t="shared" si="14"/>
        <v>-18138.544377630071</v>
      </c>
    </row>
    <row r="135" spans="48:58" hidden="1" x14ac:dyDescent="0.25">
      <c r="AV135">
        <v>110</v>
      </c>
      <c r="AW135" s="94">
        <f t="shared" ca="1" si="15"/>
        <v>49436</v>
      </c>
      <c r="AX135" s="95">
        <f t="shared" si="10"/>
        <v>-19010.092364804936</v>
      </c>
      <c r="AY135" s="98" t="str">
        <f t="shared" ca="1" si="16"/>
        <v/>
      </c>
      <c r="AZ135" s="96" t="str">
        <f t="shared" si="11"/>
        <v/>
      </c>
      <c r="BA135" s="99">
        <f t="shared" ca="1" si="17"/>
        <v>49436</v>
      </c>
      <c r="BB135" s="97">
        <f t="shared" si="12"/>
        <v>-346027.15793695109</v>
      </c>
      <c r="BC135" s="101" t="str">
        <f t="shared" ca="1" si="18"/>
        <v/>
      </c>
      <c r="BD135" s="100" t="str">
        <f t="shared" si="13"/>
        <v/>
      </c>
      <c r="BE135" s="103">
        <f t="shared" ca="1" si="19"/>
        <v>49436</v>
      </c>
      <c r="BF135" s="102">
        <f t="shared" si="14"/>
        <v>-18138.544377630071</v>
      </c>
    </row>
    <row r="136" spans="48:58" hidden="1" x14ac:dyDescent="0.25">
      <c r="AV136">
        <v>111</v>
      </c>
      <c r="AW136" s="94">
        <f t="shared" ca="1" si="15"/>
        <v>49467</v>
      </c>
      <c r="AX136" s="95">
        <f t="shared" si="10"/>
        <v>-19010.092364804936</v>
      </c>
      <c r="AY136" s="98" t="str">
        <f t="shared" ca="1" si="16"/>
        <v/>
      </c>
      <c r="AZ136" s="96" t="str">
        <f t="shared" si="11"/>
        <v/>
      </c>
      <c r="BA136" s="99">
        <f t="shared" ca="1" si="17"/>
        <v>49467</v>
      </c>
      <c r="BB136" s="97">
        <f t="shared" si="12"/>
        <v>-346027.15793695109</v>
      </c>
      <c r="BC136" s="101" t="str">
        <f t="shared" ca="1" si="18"/>
        <v/>
      </c>
      <c r="BD136" s="100" t="str">
        <f t="shared" si="13"/>
        <v/>
      </c>
      <c r="BE136" s="103">
        <f t="shared" ca="1" si="19"/>
        <v>49467</v>
      </c>
      <c r="BF136" s="102">
        <f t="shared" si="14"/>
        <v>-18138.544377630071</v>
      </c>
    </row>
    <row r="137" spans="48:58" hidden="1" x14ac:dyDescent="0.25">
      <c r="AV137">
        <v>112</v>
      </c>
      <c r="AW137" s="94">
        <f t="shared" ca="1" si="15"/>
        <v>49497</v>
      </c>
      <c r="AX137" s="95">
        <f t="shared" si="10"/>
        <v>-19010.092364804936</v>
      </c>
      <c r="AY137" s="98" t="str">
        <f t="shared" ca="1" si="16"/>
        <v/>
      </c>
      <c r="AZ137" s="96" t="str">
        <f t="shared" si="11"/>
        <v/>
      </c>
      <c r="BA137" s="99">
        <f t="shared" ca="1" si="17"/>
        <v>49497</v>
      </c>
      <c r="BB137" s="97">
        <f t="shared" si="12"/>
        <v>-346027.15793695109</v>
      </c>
      <c r="BC137" s="101" t="str">
        <f t="shared" ca="1" si="18"/>
        <v/>
      </c>
      <c r="BD137" s="100" t="str">
        <f t="shared" si="13"/>
        <v/>
      </c>
      <c r="BE137" s="103">
        <f t="shared" ca="1" si="19"/>
        <v>49497</v>
      </c>
      <c r="BF137" s="102">
        <f t="shared" si="14"/>
        <v>-18138.544377630071</v>
      </c>
    </row>
    <row r="138" spans="48:58" hidden="1" x14ac:dyDescent="0.25">
      <c r="AV138">
        <v>113</v>
      </c>
      <c r="AW138" s="94">
        <f t="shared" ca="1" si="15"/>
        <v>49528</v>
      </c>
      <c r="AX138" s="95">
        <f t="shared" si="10"/>
        <v>-19010.092364804936</v>
      </c>
      <c r="AY138" s="98" t="str">
        <f t="shared" ca="1" si="16"/>
        <v/>
      </c>
      <c r="AZ138" s="96" t="str">
        <f t="shared" si="11"/>
        <v/>
      </c>
      <c r="BA138" s="99">
        <f t="shared" ca="1" si="17"/>
        <v>49528</v>
      </c>
      <c r="BB138" s="97">
        <f t="shared" si="12"/>
        <v>-346027.15793695109</v>
      </c>
      <c r="BC138" s="101" t="str">
        <f t="shared" ca="1" si="18"/>
        <v/>
      </c>
      <c r="BD138" s="100" t="str">
        <f t="shared" si="13"/>
        <v/>
      </c>
      <c r="BE138" s="103">
        <f t="shared" ca="1" si="19"/>
        <v>49528</v>
      </c>
      <c r="BF138" s="102">
        <f t="shared" si="14"/>
        <v>-18138.544377630071</v>
      </c>
    </row>
    <row r="139" spans="48:58" hidden="1" x14ac:dyDescent="0.25">
      <c r="AV139">
        <v>114</v>
      </c>
      <c r="AW139" s="94">
        <f t="shared" ca="1" si="15"/>
        <v>49559</v>
      </c>
      <c r="AX139" s="95">
        <f t="shared" si="10"/>
        <v>-19010.092364804936</v>
      </c>
      <c r="AY139" s="98" t="str">
        <f t="shared" ca="1" si="16"/>
        <v/>
      </c>
      <c r="AZ139" s="96" t="str">
        <f t="shared" si="11"/>
        <v/>
      </c>
      <c r="BA139" s="99">
        <f t="shared" ca="1" si="17"/>
        <v>49559</v>
      </c>
      <c r="BB139" s="97">
        <f t="shared" si="12"/>
        <v>-346027.15793695109</v>
      </c>
      <c r="BC139" s="101" t="str">
        <f t="shared" ca="1" si="18"/>
        <v/>
      </c>
      <c r="BD139" s="100" t="str">
        <f t="shared" si="13"/>
        <v/>
      </c>
      <c r="BE139" s="103">
        <f t="shared" ca="1" si="19"/>
        <v>49559</v>
      </c>
      <c r="BF139" s="102">
        <f t="shared" si="14"/>
        <v>-18138.544377630071</v>
      </c>
    </row>
    <row r="140" spans="48:58" hidden="1" x14ac:dyDescent="0.25">
      <c r="AV140">
        <v>115</v>
      </c>
      <c r="AW140" s="94">
        <f t="shared" ca="1" si="15"/>
        <v>49589</v>
      </c>
      <c r="AX140" s="95">
        <f t="shared" si="10"/>
        <v>-19010.092364804936</v>
      </c>
      <c r="AY140" s="98" t="str">
        <f t="shared" ca="1" si="16"/>
        <v/>
      </c>
      <c r="AZ140" s="96" t="str">
        <f t="shared" si="11"/>
        <v/>
      </c>
      <c r="BA140" s="99">
        <f t="shared" ca="1" si="17"/>
        <v>49589</v>
      </c>
      <c r="BB140" s="97">
        <f t="shared" si="12"/>
        <v>-346027.15793695109</v>
      </c>
      <c r="BC140" s="101" t="str">
        <f t="shared" ca="1" si="18"/>
        <v/>
      </c>
      <c r="BD140" s="100" t="str">
        <f t="shared" si="13"/>
        <v/>
      </c>
      <c r="BE140" s="103">
        <f t="shared" ca="1" si="19"/>
        <v>49589</v>
      </c>
      <c r="BF140" s="102">
        <f t="shared" si="14"/>
        <v>-18138.544377630071</v>
      </c>
    </row>
    <row r="141" spans="48:58" hidden="1" x14ac:dyDescent="0.25">
      <c r="AV141">
        <v>116</v>
      </c>
      <c r="AW141" s="94">
        <f t="shared" ca="1" si="15"/>
        <v>49620</v>
      </c>
      <c r="AX141" s="95">
        <f t="shared" si="10"/>
        <v>-19010.092364804936</v>
      </c>
      <c r="AY141" s="98" t="str">
        <f t="shared" ca="1" si="16"/>
        <v/>
      </c>
      <c r="AZ141" s="96" t="str">
        <f t="shared" si="11"/>
        <v/>
      </c>
      <c r="BA141" s="99">
        <f t="shared" ca="1" si="17"/>
        <v>49620</v>
      </c>
      <c r="BB141" s="97">
        <f t="shared" si="12"/>
        <v>-346027.15793695109</v>
      </c>
      <c r="BC141" s="101" t="str">
        <f t="shared" ca="1" si="18"/>
        <v/>
      </c>
      <c r="BD141" s="100" t="str">
        <f t="shared" si="13"/>
        <v/>
      </c>
      <c r="BE141" s="103">
        <f t="shared" ca="1" si="19"/>
        <v>49620</v>
      </c>
      <c r="BF141" s="102">
        <f t="shared" si="14"/>
        <v>-18138.544377630071</v>
      </c>
    </row>
    <row r="142" spans="48:58" hidden="1" x14ac:dyDescent="0.25">
      <c r="AV142">
        <v>117</v>
      </c>
      <c r="AW142" s="94">
        <f t="shared" ca="1" si="15"/>
        <v>49650</v>
      </c>
      <c r="AX142" s="95">
        <f t="shared" si="10"/>
        <v>-19010.092364804936</v>
      </c>
      <c r="AY142" s="98" t="str">
        <f t="shared" ca="1" si="16"/>
        <v/>
      </c>
      <c r="AZ142" s="96" t="str">
        <f t="shared" si="11"/>
        <v/>
      </c>
      <c r="BA142" s="99">
        <f t="shared" ca="1" si="17"/>
        <v>49650</v>
      </c>
      <c r="BB142" s="97">
        <f t="shared" si="12"/>
        <v>-346027.15793695109</v>
      </c>
      <c r="BC142" s="101" t="str">
        <f t="shared" ca="1" si="18"/>
        <v/>
      </c>
      <c r="BD142" s="100" t="str">
        <f t="shared" si="13"/>
        <v/>
      </c>
      <c r="BE142" s="103">
        <f t="shared" ca="1" si="19"/>
        <v>49650</v>
      </c>
      <c r="BF142" s="102">
        <f t="shared" si="14"/>
        <v>-18138.544377630071</v>
      </c>
    </row>
    <row r="143" spans="48:58" hidden="1" x14ac:dyDescent="0.25">
      <c r="AV143">
        <v>118</v>
      </c>
      <c r="AW143" s="94">
        <f t="shared" ca="1" si="15"/>
        <v>49681</v>
      </c>
      <c r="AX143" s="95">
        <f t="shared" si="10"/>
        <v>-19010.092364804936</v>
      </c>
      <c r="AY143" s="98" t="str">
        <f t="shared" ca="1" si="16"/>
        <v/>
      </c>
      <c r="AZ143" s="96" t="str">
        <f t="shared" si="11"/>
        <v/>
      </c>
      <c r="BA143" s="99">
        <f t="shared" ca="1" si="17"/>
        <v>49681</v>
      </c>
      <c r="BB143" s="97">
        <f t="shared" si="12"/>
        <v>-346027.15793695109</v>
      </c>
      <c r="BC143" s="101" t="str">
        <f t="shared" ca="1" si="18"/>
        <v/>
      </c>
      <c r="BD143" s="100" t="str">
        <f t="shared" si="13"/>
        <v/>
      </c>
      <c r="BE143" s="103">
        <f t="shared" ca="1" si="19"/>
        <v>49681</v>
      </c>
      <c r="BF143" s="102">
        <f t="shared" si="14"/>
        <v>-18138.544377630071</v>
      </c>
    </row>
    <row r="144" spans="48:58" hidden="1" x14ac:dyDescent="0.25">
      <c r="AV144">
        <v>119</v>
      </c>
      <c r="AW144" s="94">
        <f t="shared" ca="1" si="15"/>
        <v>49712</v>
      </c>
      <c r="AX144" s="95">
        <f t="shared" si="10"/>
        <v>-19010.092364804936</v>
      </c>
      <c r="AY144" s="98" t="str">
        <f t="shared" ca="1" si="16"/>
        <v/>
      </c>
      <c r="AZ144" s="96" t="str">
        <f t="shared" si="11"/>
        <v/>
      </c>
      <c r="BA144" s="99">
        <f t="shared" ca="1" si="17"/>
        <v>49712</v>
      </c>
      <c r="BB144" s="97">
        <f t="shared" si="12"/>
        <v>-346027.15793695109</v>
      </c>
      <c r="BC144" s="101" t="str">
        <f t="shared" ca="1" si="18"/>
        <v/>
      </c>
      <c r="BD144" s="100" t="str">
        <f t="shared" si="13"/>
        <v/>
      </c>
      <c r="BE144" s="103">
        <f t="shared" ca="1" si="19"/>
        <v>49712</v>
      </c>
      <c r="BF144" s="102">
        <f t="shared" si="14"/>
        <v>-18138.544377630071</v>
      </c>
    </row>
    <row r="145" spans="48:58" hidden="1" x14ac:dyDescent="0.25">
      <c r="AV145">
        <v>120</v>
      </c>
      <c r="AW145" s="94">
        <f t="shared" ca="1" si="15"/>
        <v>49741</v>
      </c>
      <c r="AX145" s="95">
        <f t="shared" si="10"/>
        <v>-19010.092364804936</v>
      </c>
      <c r="AY145" s="98" t="str">
        <f t="shared" ca="1" si="16"/>
        <v/>
      </c>
      <c r="AZ145" s="96" t="str">
        <f t="shared" si="11"/>
        <v/>
      </c>
      <c r="BA145" s="99">
        <f t="shared" ca="1" si="17"/>
        <v>49741</v>
      </c>
      <c r="BB145" s="97">
        <f t="shared" si="12"/>
        <v>-346027.15793695109</v>
      </c>
      <c r="BC145" s="101" t="str">
        <f t="shared" ca="1" si="18"/>
        <v/>
      </c>
      <c r="BD145" s="100" t="str">
        <f t="shared" si="13"/>
        <v/>
      </c>
      <c r="BE145" s="103">
        <f t="shared" ca="1" si="19"/>
        <v>49741</v>
      </c>
      <c r="BF145" s="102">
        <f t="shared" si="14"/>
        <v>-18138.544377630071</v>
      </c>
    </row>
    <row r="146" spans="48:58" hidden="1" x14ac:dyDescent="0.25">
      <c r="AV146">
        <v>121</v>
      </c>
      <c r="AW146" s="94">
        <f t="shared" ca="1" si="15"/>
        <v>49772</v>
      </c>
      <c r="AX146" s="95">
        <f t="shared" si="10"/>
        <v>5000000</v>
      </c>
      <c r="AY146" s="98" t="str">
        <f t="shared" ca="1" si="16"/>
        <v/>
      </c>
      <c r="AZ146" s="96" t="str">
        <f t="shared" si="11"/>
        <v/>
      </c>
      <c r="BA146" s="99">
        <f t="shared" ca="1" si="17"/>
        <v>49772</v>
      </c>
      <c r="BB146" s="97">
        <f t="shared" si="12"/>
        <v>-346027.15793695109</v>
      </c>
      <c r="BC146" s="101" t="str">
        <f t="shared" ca="1" si="18"/>
        <v/>
      </c>
      <c r="BD146" s="100" t="str">
        <f t="shared" si="13"/>
        <v/>
      </c>
      <c r="BE146" s="103">
        <f t="shared" ca="1" si="19"/>
        <v>49772</v>
      </c>
      <c r="BF146" s="102">
        <f t="shared" si="14"/>
        <v>-18138.544377630071</v>
      </c>
    </row>
    <row r="147" spans="48:58" hidden="1" x14ac:dyDescent="0.25">
      <c r="AV147">
        <v>122</v>
      </c>
      <c r="AW147" s="94" t="str">
        <f t="shared" ca="1" si="15"/>
        <v/>
      </c>
      <c r="AX147" s="95" t="str">
        <f t="shared" si="10"/>
        <v/>
      </c>
      <c r="AY147" s="98" t="str">
        <f t="shared" ca="1" si="16"/>
        <v/>
      </c>
      <c r="AZ147" s="96" t="str">
        <f t="shared" si="11"/>
        <v/>
      </c>
      <c r="BA147" s="99">
        <f t="shared" ca="1" si="17"/>
        <v>49802</v>
      </c>
      <c r="BB147" s="97">
        <f t="shared" si="12"/>
        <v>-346027.15793695109</v>
      </c>
      <c r="BC147" s="101" t="str">
        <f t="shared" ca="1" si="18"/>
        <v/>
      </c>
      <c r="BD147" s="100" t="str">
        <f t="shared" si="13"/>
        <v/>
      </c>
      <c r="BE147" s="103">
        <f t="shared" ca="1" si="19"/>
        <v>49802</v>
      </c>
      <c r="BF147" s="102">
        <f t="shared" si="14"/>
        <v>-18138.544377630071</v>
      </c>
    </row>
    <row r="148" spans="48:58" hidden="1" x14ac:dyDescent="0.25">
      <c r="AV148">
        <v>123</v>
      </c>
      <c r="AW148" s="94" t="str">
        <f t="shared" ca="1" si="15"/>
        <v/>
      </c>
      <c r="AX148" s="95" t="str">
        <f t="shared" si="10"/>
        <v/>
      </c>
      <c r="AY148" s="98" t="str">
        <f t="shared" ca="1" si="16"/>
        <v/>
      </c>
      <c r="AZ148" s="96" t="str">
        <f t="shared" si="11"/>
        <v/>
      </c>
      <c r="BA148" s="99">
        <f t="shared" ca="1" si="17"/>
        <v>49833</v>
      </c>
      <c r="BB148" s="97">
        <f t="shared" si="12"/>
        <v>-346027.15793695109</v>
      </c>
      <c r="BC148" s="101" t="str">
        <f t="shared" ca="1" si="18"/>
        <v/>
      </c>
      <c r="BD148" s="100" t="str">
        <f t="shared" si="13"/>
        <v/>
      </c>
      <c r="BE148" s="103">
        <f t="shared" ca="1" si="19"/>
        <v>49833</v>
      </c>
      <c r="BF148" s="102">
        <f t="shared" si="14"/>
        <v>-18138.544377630071</v>
      </c>
    </row>
    <row r="149" spans="48:58" hidden="1" x14ac:dyDescent="0.25">
      <c r="AV149">
        <v>124</v>
      </c>
      <c r="AW149" s="94" t="str">
        <f t="shared" ca="1" si="15"/>
        <v/>
      </c>
      <c r="AX149" s="95" t="str">
        <f t="shared" si="10"/>
        <v/>
      </c>
      <c r="AY149" s="98" t="str">
        <f t="shared" ca="1" si="16"/>
        <v/>
      </c>
      <c r="AZ149" s="96" t="str">
        <f t="shared" si="11"/>
        <v/>
      </c>
      <c r="BA149" s="99">
        <f t="shared" ca="1" si="17"/>
        <v>49863</v>
      </c>
      <c r="BB149" s="97">
        <f t="shared" si="12"/>
        <v>-346027.15793695109</v>
      </c>
      <c r="BC149" s="101" t="str">
        <f t="shared" ca="1" si="18"/>
        <v/>
      </c>
      <c r="BD149" s="100" t="str">
        <f t="shared" si="13"/>
        <v/>
      </c>
      <c r="BE149" s="103">
        <f t="shared" ca="1" si="19"/>
        <v>49863</v>
      </c>
      <c r="BF149" s="102">
        <f t="shared" si="14"/>
        <v>-18138.544377630071</v>
      </c>
    </row>
    <row r="150" spans="48:58" hidden="1" x14ac:dyDescent="0.25">
      <c r="AV150">
        <v>125</v>
      </c>
      <c r="AW150" s="94" t="str">
        <f t="shared" ca="1" si="15"/>
        <v/>
      </c>
      <c r="AX150" s="95" t="str">
        <f t="shared" si="10"/>
        <v/>
      </c>
      <c r="AY150" s="98" t="str">
        <f t="shared" ca="1" si="16"/>
        <v/>
      </c>
      <c r="AZ150" s="96" t="str">
        <f t="shared" si="11"/>
        <v/>
      </c>
      <c r="BA150" s="99">
        <f t="shared" ca="1" si="17"/>
        <v>49894</v>
      </c>
      <c r="BB150" s="97">
        <f t="shared" si="12"/>
        <v>-346027.15793695109</v>
      </c>
      <c r="BC150" s="101" t="str">
        <f t="shared" ca="1" si="18"/>
        <v/>
      </c>
      <c r="BD150" s="100" t="str">
        <f t="shared" si="13"/>
        <v/>
      </c>
      <c r="BE150" s="103">
        <f t="shared" ca="1" si="19"/>
        <v>49894</v>
      </c>
      <c r="BF150" s="102">
        <f t="shared" si="14"/>
        <v>-18138.544377630071</v>
      </c>
    </row>
    <row r="151" spans="48:58" hidden="1" x14ac:dyDescent="0.25">
      <c r="AV151">
        <v>126</v>
      </c>
      <c r="AW151" s="94" t="str">
        <f t="shared" ca="1" si="15"/>
        <v/>
      </c>
      <c r="AX151" s="95" t="str">
        <f t="shared" si="10"/>
        <v/>
      </c>
      <c r="AY151" s="98" t="str">
        <f t="shared" ca="1" si="16"/>
        <v/>
      </c>
      <c r="AZ151" s="96" t="str">
        <f t="shared" si="11"/>
        <v/>
      </c>
      <c r="BA151" s="99">
        <f t="shared" ca="1" si="17"/>
        <v>49925</v>
      </c>
      <c r="BB151" s="97">
        <f t="shared" si="12"/>
        <v>-346027.15793695109</v>
      </c>
      <c r="BC151" s="101" t="str">
        <f t="shared" ca="1" si="18"/>
        <v/>
      </c>
      <c r="BD151" s="100" t="str">
        <f t="shared" si="13"/>
        <v/>
      </c>
      <c r="BE151" s="103">
        <f t="shared" ca="1" si="19"/>
        <v>49925</v>
      </c>
      <c r="BF151" s="102">
        <f t="shared" si="14"/>
        <v>-18138.544377630071</v>
      </c>
    </row>
    <row r="152" spans="48:58" hidden="1" x14ac:dyDescent="0.25">
      <c r="AV152">
        <v>127</v>
      </c>
      <c r="AW152" s="94" t="str">
        <f t="shared" ca="1" si="15"/>
        <v/>
      </c>
      <c r="AX152" s="95" t="str">
        <f t="shared" si="10"/>
        <v/>
      </c>
      <c r="AY152" s="98" t="str">
        <f t="shared" ca="1" si="16"/>
        <v/>
      </c>
      <c r="AZ152" s="96" t="str">
        <f t="shared" si="11"/>
        <v/>
      </c>
      <c r="BA152" s="99">
        <f t="shared" ca="1" si="17"/>
        <v>49955</v>
      </c>
      <c r="BB152" s="97">
        <f t="shared" si="12"/>
        <v>-346027.15793695109</v>
      </c>
      <c r="BC152" s="101" t="str">
        <f t="shared" ca="1" si="18"/>
        <v/>
      </c>
      <c r="BD152" s="100" t="str">
        <f t="shared" si="13"/>
        <v/>
      </c>
      <c r="BE152" s="103">
        <f t="shared" ca="1" si="19"/>
        <v>49955</v>
      </c>
      <c r="BF152" s="102">
        <f t="shared" si="14"/>
        <v>-18138.544377630071</v>
      </c>
    </row>
    <row r="153" spans="48:58" hidden="1" x14ac:dyDescent="0.25">
      <c r="AV153">
        <v>128</v>
      </c>
      <c r="AW153" s="94" t="str">
        <f t="shared" ca="1" si="15"/>
        <v/>
      </c>
      <c r="AX153" s="95" t="str">
        <f t="shared" si="10"/>
        <v/>
      </c>
      <c r="AY153" s="98" t="str">
        <f t="shared" ca="1" si="16"/>
        <v/>
      </c>
      <c r="AZ153" s="96" t="str">
        <f t="shared" si="11"/>
        <v/>
      </c>
      <c r="BA153" s="99">
        <f t="shared" ca="1" si="17"/>
        <v>49986</v>
      </c>
      <c r="BB153" s="97">
        <f t="shared" si="12"/>
        <v>-346027.15793695109</v>
      </c>
      <c r="BC153" s="101" t="str">
        <f t="shared" ca="1" si="18"/>
        <v/>
      </c>
      <c r="BD153" s="100" t="str">
        <f t="shared" si="13"/>
        <v/>
      </c>
      <c r="BE153" s="103">
        <f t="shared" ca="1" si="19"/>
        <v>49986</v>
      </c>
      <c r="BF153" s="102">
        <f t="shared" si="14"/>
        <v>-18138.544377630071</v>
      </c>
    </row>
    <row r="154" spans="48:58" hidden="1" x14ac:dyDescent="0.25">
      <c r="AV154">
        <v>129</v>
      </c>
      <c r="AW154" s="94" t="str">
        <f t="shared" ca="1" si="15"/>
        <v/>
      </c>
      <c r="AX154" s="95" t="str">
        <f t="shared" ref="AX154:AX217" si="20">IF($D$15*12&gt;=AV154,-1*$H$15,IF($D$15*12+1&gt;=AV154,InfGoal1,""))</f>
        <v/>
      </c>
      <c r="AY154" s="98" t="str">
        <f t="shared" ca="1" si="16"/>
        <v/>
      </c>
      <c r="AZ154" s="96" t="str">
        <f t="shared" ref="AZ154:AZ217" si="21">IF($D$17*12&gt;=AV154,-1*$H$17,IF($D$17*12+1&gt;=AV154,InfGoal2,""))</f>
        <v/>
      </c>
      <c r="BA154" s="99">
        <f t="shared" ca="1" si="17"/>
        <v>50016</v>
      </c>
      <c r="BB154" s="97">
        <f t="shared" ref="BB154:BB217" si="22">IF($D$19*12&gt;=AV154,-1*$H$19,IF($D$19*12+1&gt;=AV154,InfGoal3,""))</f>
        <v>-346027.15793695109</v>
      </c>
      <c r="BC154" s="101" t="str">
        <f t="shared" ca="1" si="18"/>
        <v/>
      </c>
      <c r="BD154" s="100" t="str">
        <f t="shared" ref="BD154:BD217" si="23">IF($D$21*12&gt;=AV154,-1*$H$21,IF($D$21*12+1&gt;=AV154,InfGoal4,""))</f>
        <v/>
      </c>
      <c r="BE154" s="103">
        <f t="shared" ca="1" si="19"/>
        <v>50016</v>
      </c>
      <c r="BF154" s="102">
        <f t="shared" ref="BF154:BF217" si="24">IF($D$23*12&gt;=AV154,-1*$H$23,IF($D$23*12+1&gt;=AV154,InfGoal5,""))</f>
        <v>-18138.544377630071</v>
      </c>
    </row>
    <row r="155" spans="48:58" hidden="1" x14ac:dyDescent="0.25">
      <c r="AV155">
        <v>130</v>
      </c>
      <c r="AW155" s="94" t="str">
        <f t="shared" ref="AW155:AW218" ca="1" si="25">IF($D$15*12&gt;=AV155,DATE(YEAR(TODAY()),MONTH(TODAY())+AV155-1,DAY(TODAY())),IF($D$15*12+1&gt;=AV155,DATE(YEAR(TODAY()),MONTH(TODAY())+$D$15*12,DAY(TODAY())),""))</f>
        <v/>
      </c>
      <c r="AX155" s="95" t="str">
        <f t="shared" si="20"/>
        <v/>
      </c>
      <c r="AY155" s="98" t="str">
        <f t="shared" ref="AY155:AY218" ca="1" si="26">IF($D$17*12&gt;=AV155,DATE(YEAR(TODAY()),MONTH(TODAY())+AV155-1,DAY(TODAY())),IF($D$17*12+1&gt;=AV155,DATE(YEAR(TODAY()),MONTH(TODAY())+$D$17*12,DAY(TODAY())),""))</f>
        <v/>
      </c>
      <c r="AZ155" s="96" t="str">
        <f t="shared" si="21"/>
        <v/>
      </c>
      <c r="BA155" s="99">
        <f t="shared" ref="BA155:BA218" ca="1" si="27">IF($D$19*12&gt;=AV155,DATE(YEAR(TODAY()),MONTH(TODAY())+AV155-1,DAY(TODAY())),IF($D$19*12+1&gt;=AV155,DATE(YEAR(TODAY()),MONTH(TODAY())+$D$19*12,DAY(TODAY())),""))</f>
        <v>50047</v>
      </c>
      <c r="BB155" s="97">
        <f t="shared" si="22"/>
        <v>-346027.15793695109</v>
      </c>
      <c r="BC155" s="101" t="str">
        <f t="shared" ref="BC155:BC218" ca="1" si="28">IF($D$21*12&gt;=AV155,DATE(YEAR(TODAY()),MONTH(TODAY())+AV155-1,DAY(TODAY())),IF($D$21*12+1&gt;=AV155,DATE(YEAR(TODAY()),MONTH(TODAY())+$D$21*12,DAY(TODAY())),""))</f>
        <v/>
      </c>
      <c r="BD155" s="100" t="str">
        <f t="shared" si="23"/>
        <v/>
      </c>
      <c r="BE155" s="103">
        <f t="shared" ref="BE155:BE218" ca="1" si="29">IF($D$23*12&gt;=AV155,DATE(YEAR(TODAY()),MONTH(TODAY())+AV155-1,DAY(TODAY())),IF($D$23*12+1&gt;=AV155,DATE(YEAR(TODAY()),MONTH(TODAY())+$D$23*12,DAY(TODAY())),""))</f>
        <v>50047</v>
      </c>
      <c r="BF155" s="102">
        <f t="shared" si="24"/>
        <v>-18138.544377630071</v>
      </c>
    </row>
    <row r="156" spans="48:58" hidden="1" x14ac:dyDescent="0.25">
      <c r="AV156">
        <v>131</v>
      </c>
      <c r="AW156" s="94" t="str">
        <f t="shared" ca="1" si="25"/>
        <v/>
      </c>
      <c r="AX156" s="95" t="str">
        <f t="shared" si="20"/>
        <v/>
      </c>
      <c r="AY156" s="98" t="str">
        <f t="shared" ca="1" si="26"/>
        <v/>
      </c>
      <c r="AZ156" s="96" t="str">
        <f t="shared" si="21"/>
        <v/>
      </c>
      <c r="BA156" s="99">
        <f t="shared" ca="1" si="27"/>
        <v>50078</v>
      </c>
      <c r="BB156" s="97">
        <f t="shared" si="22"/>
        <v>-346027.15793695109</v>
      </c>
      <c r="BC156" s="101" t="str">
        <f t="shared" ca="1" si="28"/>
        <v/>
      </c>
      <c r="BD156" s="100" t="str">
        <f t="shared" si="23"/>
        <v/>
      </c>
      <c r="BE156" s="103">
        <f t="shared" ca="1" si="29"/>
        <v>50078</v>
      </c>
      <c r="BF156" s="102">
        <f t="shared" si="24"/>
        <v>-18138.544377630071</v>
      </c>
    </row>
    <row r="157" spans="48:58" hidden="1" x14ac:dyDescent="0.25">
      <c r="AV157">
        <v>132</v>
      </c>
      <c r="AW157" s="94" t="str">
        <f t="shared" ca="1" si="25"/>
        <v/>
      </c>
      <c r="AX157" s="95" t="str">
        <f t="shared" si="20"/>
        <v/>
      </c>
      <c r="AY157" s="98" t="str">
        <f t="shared" ca="1" si="26"/>
        <v/>
      </c>
      <c r="AZ157" s="96" t="str">
        <f t="shared" si="21"/>
        <v/>
      </c>
      <c r="BA157" s="99">
        <f t="shared" ca="1" si="27"/>
        <v>50106</v>
      </c>
      <c r="BB157" s="97">
        <f t="shared" si="22"/>
        <v>-346027.15793695109</v>
      </c>
      <c r="BC157" s="101" t="str">
        <f t="shared" ca="1" si="28"/>
        <v/>
      </c>
      <c r="BD157" s="100" t="str">
        <f t="shared" si="23"/>
        <v/>
      </c>
      <c r="BE157" s="103">
        <f t="shared" ca="1" si="29"/>
        <v>50106</v>
      </c>
      <c r="BF157" s="102">
        <f t="shared" si="24"/>
        <v>-18138.544377630071</v>
      </c>
    </row>
    <row r="158" spans="48:58" hidden="1" x14ac:dyDescent="0.25">
      <c r="AV158">
        <v>133</v>
      </c>
      <c r="AW158" s="94" t="str">
        <f t="shared" ca="1" si="25"/>
        <v/>
      </c>
      <c r="AX158" s="95" t="str">
        <f t="shared" si="20"/>
        <v/>
      </c>
      <c r="AY158" s="98" t="str">
        <f t="shared" ca="1" si="26"/>
        <v/>
      </c>
      <c r="AZ158" s="96" t="str">
        <f t="shared" si="21"/>
        <v/>
      </c>
      <c r="BA158" s="99">
        <f t="shared" ca="1" si="27"/>
        <v>50137</v>
      </c>
      <c r="BB158" s="97">
        <f t="shared" si="22"/>
        <v>-346027.15793695109</v>
      </c>
      <c r="BC158" s="101" t="str">
        <f t="shared" ca="1" si="28"/>
        <v/>
      </c>
      <c r="BD158" s="100" t="str">
        <f t="shared" si="23"/>
        <v/>
      </c>
      <c r="BE158" s="103">
        <f t="shared" ca="1" si="29"/>
        <v>50137</v>
      </c>
      <c r="BF158" s="102">
        <f t="shared" si="24"/>
        <v>-18138.544377630071</v>
      </c>
    </row>
    <row r="159" spans="48:58" hidden="1" x14ac:dyDescent="0.25">
      <c r="AV159">
        <v>134</v>
      </c>
      <c r="AW159" s="94" t="str">
        <f t="shared" ca="1" si="25"/>
        <v/>
      </c>
      <c r="AX159" s="95" t="str">
        <f t="shared" si="20"/>
        <v/>
      </c>
      <c r="AY159" s="98" t="str">
        <f t="shared" ca="1" si="26"/>
        <v/>
      </c>
      <c r="AZ159" s="96" t="str">
        <f t="shared" si="21"/>
        <v/>
      </c>
      <c r="BA159" s="99">
        <f t="shared" ca="1" si="27"/>
        <v>50167</v>
      </c>
      <c r="BB159" s="97">
        <f t="shared" si="22"/>
        <v>-346027.15793695109</v>
      </c>
      <c r="BC159" s="101" t="str">
        <f t="shared" ca="1" si="28"/>
        <v/>
      </c>
      <c r="BD159" s="100" t="str">
        <f t="shared" si="23"/>
        <v/>
      </c>
      <c r="BE159" s="103">
        <f t="shared" ca="1" si="29"/>
        <v>50167</v>
      </c>
      <c r="BF159" s="102">
        <f t="shared" si="24"/>
        <v>-18138.544377630071</v>
      </c>
    </row>
    <row r="160" spans="48:58" hidden="1" x14ac:dyDescent="0.25">
      <c r="AV160">
        <v>135</v>
      </c>
      <c r="AW160" s="94" t="str">
        <f t="shared" ca="1" si="25"/>
        <v/>
      </c>
      <c r="AX160" s="95" t="str">
        <f t="shared" si="20"/>
        <v/>
      </c>
      <c r="AY160" s="98" t="str">
        <f t="shared" ca="1" si="26"/>
        <v/>
      </c>
      <c r="AZ160" s="96" t="str">
        <f t="shared" si="21"/>
        <v/>
      </c>
      <c r="BA160" s="99">
        <f t="shared" ca="1" si="27"/>
        <v>50198</v>
      </c>
      <c r="BB160" s="97">
        <f t="shared" si="22"/>
        <v>-346027.15793695109</v>
      </c>
      <c r="BC160" s="101" t="str">
        <f t="shared" ca="1" si="28"/>
        <v/>
      </c>
      <c r="BD160" s="100" t="str">
        <f t="shared" si="23"/>
        <v/>
      </c>
      <c r="BE160" s="103">
        <f t="shared" ca="1" si="29"/>
        <v>50198</v>
      </c>
      <c r="BF160" s="102">
        <f t="shared" si="24"/>
        <v>-18138.544377630071</v>
      </c>
    </row>
    <row r="161" spans="48:58" hidden="1" x14ac:dyDescent="0.25">
      <c r="AV161">
        <v>136</v>
      </c>
      <c r="AW161" s="94" t="str">
        <f t="shared" ca="1" si="25"/>
        <v/>
      </c>
      <c r="AX161" s="95" t="str">
        <f t="shared" si="20"/>
        <v/>
      </c>
      <c r="AY161" s="98" t="str">
        <f t="shared" ca="1" si="26"/>
        <v/>
      </c>
      <c r="AZ161" s="96" t="str">
        <f t="shared" si="21"/>
        <v/>
      </c>
      <c r="BA161" s="99">
        <f t="shared" ca="1" si="27"/>
        <v>50228</v>
      </c>
      <c r="BB161" s="97">
        <f t="shared" si="22"/>
        <v>-346027.15793695109</v>
      </c>
      <c r="BC161" s="101" t="str">
        <f t="shared" ca="1" si="28"/>
        <v/>
      </c>
      <c r="BD161" s="100" t="str">
        <f t="shared" si="23"/>
        <v/>
      </c>
      <c r="BE161" s="103">
        <f t="shared" ca="1" si="29"/>
        <v>50228</v>
      </c>
      <c r="BF161" s="102">
        <f t="shared" si="24"/>
        <v>-18138.544377630071</v>
      </c>
    </row>
    <row r="162" spans="48:58" hidden="1" x14ac:dyDescent="0.25">
      <c r="AV162">
        <v>137</v>
      </c>
      <c r="AW162" s="94" t="str">
        <f t="shared" ca="1" si="25"/>
        <v/>
      </c>
      <c r="AX162" s="95" t="str">
        <f t="shared" si="20"/>
        <v/>
      </c>
      <c r="AY162" s="98" t="str">
        <f t="shared" ca="1" si="26"/>
        <v/>
      </c>
      <c r="AZ162" s="96" t="str">
        <f t="shared" si="21"/>
        <v/>
      </c>
      <c r="BA162" s="99">
        <f t="shared" ca="1" si="27"/>
        <v>50259</v>
      </c>
      <c r="BB162" s="97">
        <f t="shared" si="22"/>
        <v>-346027.15793695109</v>
      </c>
      <c r="BC162" s="101" t="str">
        <f t="shared" ca="1" si="28"/>
        <v/>
      </c>
      <c r="BD162" s="100" t="str">
        <f t="shared" si="23"/>
        <v/>
      </c>
      <c r="BE162" s="103">
        <f t="shared" ca="1" si="29"/>
        <v>50259</v>
      </c>
      <c r="BF162" s="102">
        <f t="shared" si="24"/>
        <v>-18138.544377630071</v>
      </c>
    </row>
    <row r="163" spans="48:58" hidden="1" x14ac:dyDescent="0.25">
      <c r="AV163">
        <v>138</v>
      </c>
      <c r="AW163" s="94" t="str">
        <f t="shared" ca="1" si="25"/>
        <v/>
      </c>
      <c r="AX163" s="95" t="str">
        <f t="shared" si="20"/>
        <v/>
      </c>
      <c r="AY163" s="98" t="str">
        <f t="shared" ca="1" si="26"/>
        <v/>
      </c>
      <c r="AZ163" s="96" t="str">
        <f t="shared" si="21"/>
        <v/>
      </c>
      <c r="BA163" s="99">
        <f t="shared" ca="1" si="27"/>
        <v>50290</v>
      </c>
      <c r="BB163" s="97">
        <f t="shared" si="22"/>
        <v>-346027.15793695109</v>
      </c>
      <c r="BC163" s="101" t="str">
        <f t="shared" ca="1" si="28"/>
        <v/>
      </c>
      <c r="BD163" s="100" t="str">
        <f t="shared" si="23"/>
        <v/>
      </c>
      <c r="BE163" s="103">
        <f t="shared" ca="1" si="29"/>
        <v>50290</v>
      </c>
      <c r="BF163" s="102">
        <f t="shared" si="24"/>
        <v>-18138.544377630071</v>
      </c>
    </row>
    <row r="164" spans="48:58" hidden="1" x14ac:dyDescent="0.25">
      <c r="AV164">
        <v>139</v>
      </c>
      <c r="AW164" s="94" t="str">
        <f t="shared" ca="1" si="25"/>
        <v/>
      </c>
      <c r="AX164" s="95" t="str">
        <f t="shared" si="20"/>
        <v/>
      </c>
      <c r="AY164" s="98" t="str">
        <f t="shared" ca="1" si="26"/>
        <v/>
      </c>
      <c r="AZ164" s="96" t="str">
        <f t="shared" si="21"/>
        <v/>
      </c>
      <c r="BA164" s="99">
        <f t="shared" ca="1" si="27"/>
        <v>50320</v>
      </c>
      <c r="BB164" s="97">
        <f t="shared" si="22"/>
        <v>-346027.15793695109</v>
      </c>
      <c r="BC164" s="101" t="str">
        <f t="shared" ca="1" si="28"/>
        <v/>
      </c>
      <c r="BD164" s="100" t="str">
        <f t="shared" si="23"/>
        <v/>
      </c>
      <c r="BE164" s="103">
        <f t="shared" ca="1" si="29"/>
        <v>50320</v>
      </c>
      <c r="BF164" s="102">
        <f t="shared" si="24"/>
        <v>-18138.544377630071</v>
      </c>
    </row>
    <row r="165" spans="48:58" hidden="1" x14ac:dyDescent="0.25">
      <c r="AV165">
        <v>140</v>
      </c>
      <c r="AW165" s="94" t="str">
        <f t="shared" ca="1" si="25"/>
        <v/>
      </c>
      <c r="AX165" s="95" t="str">
        <f t="shared" si="20"/>
        <v/>
      </c>
      <c r="AY165" s="98" t="str">
        <f t="shared" ca="1" si="26"/>
        <v/>
      </c>
      <c r="AZ165" s="96" t="str">
        <f t="shared" si="21"/>
        <v/>
      </c>
      <c r="BA165" s="99">
        <f t="shared" ca="1" si="27"/>
        <v>50351</v>
      </c>
      <c r="BB165" s="97">
        <f t="shared" si="22"/>
        <v>-346027.15793695109</v>
      </c>
      <c r="BC165" s="101" t="str">
        <f t="shared" ca="1" si="28"/>
        <v/>
      </c>
      <c r="BD165" s="100" t="str">
        <f t="shared" si="23"/>
        <v/>
      </c>
      <c r="BE165" s="103">
        <f t="shared" ca="1" si="29"/>
        <v>50351</v>
      </c>
      <c r="BF165" s="102">
        <f t="shared" si="24"/>
        <v>-18138.544377630071</v>
      </c>
    </row>
    <row r="166" spans="48:58" hidden="1" x14ac:dyDescent="0.25">
      <c r="AV166">
        <v>141</v>
      </c>
      <c r="AW166" s="94" t="str">
        <f t="shared" ca="1" si="25"/>
        <v/>
      </c>
      <c r="AX166" s="95" t="str">
        <f t="shared" si="20"/>
        <v/>
      </c>
      <c r="AY166" s="98" t="str">
        <f t="shared" ca="1" si="26"/>
        <v/>
      </c>
      <c r="AZ166" s="96" t="str">
        <f t="shared" si="21"/>
        <v/>
      </c>
      <c r="BA166" s="99">
        <f t="shared" ca="1" si="27"/>
        <v>50381</v>
      </c>
      <c r="BB166" s="97">
        <f t="shared" si="22"/>
        <v>-346027.15793695109</v>
      </c>
      <c r="BC166" s="101" t="str">
        <f t="shared" ca="1" si="28"/>
        <v/>
      </c>
      <c r="BD166" s="100" t="str">
        <f t="shared" si="23"/>
        <v/>
      </c>
      <c r="BE166" s="103">
        <f t="shared" ca="1" si="29"/>
        <v>50381</v>
      </c>
      <c r="BF166" s="102">
        <f t="shared" si="24"/>
        <v>-18138.544377630071</v>
      </c>
    </row>
    <row r="167" spans="48:58" hidden="1" x14ac:dyDescent="0.25">
      <c r="AV167">
        <v>142</v>
      </c>
      <c r="AW167" s="94" t="str">
        <f t="shared" ca="1" si="25"/>
        <v/>
      </c>
      <c r="AX167" s="95" t="str">
        <f t="shared" si="20"/>
        <v/>
      </c>
      <c r="AY167" s="98" t="str">
        <f t="shared" ca="1" si="26"/>
        <v/>
      </c>
      <c r="AZ167" s="96" t="str">
        <f t="shared" si="21"/>
        <v/>
      </c>
      <c r="BA167" s="99">
        <f t="shared" ca="1" si="27"/>
        <v>50412</v>
      </c>
      <c r="BB167" s="97">
        <f t="shared" si="22"/>
        <v>-346027.15793695109</v>
      </c>
      <c r="BC167" s="101" t="str">
        <f t="shared" ca="1" si="28"/>
        <v/>
      </c>
      <c r="BD167" s="100" t="str">
        <f t="shared" si="23"/>
        <v/>
      </c>
      <c r="BE167" s="103">
        <f t="shared" ca="1" si="29"/>
        <v>50412</v>
      </c>
      <c r="BF167" s="102">
        <f t="shared" si="24"/>
        <v>-18138.544377630071</v>
      </c>
    </row>
    <row r="168" spans="48:58" hidden="1" x14ac:dyDescent="0.25">
      <c r="AV168">
        <v>143</v>
      </c>
      <c r="AW168" s="94" t="str">
        <f t="shared" ca="1" si="25"/>
        <v/>
      </c>
      <c r="AX168" s="95" t="str">
        <f t="shared" si="20"/>
        <v/>
      </c>
      <c r="AY168" s="98" t="str">
        <f t="shared" ca="1" si="26"/>
        <v/>
      </c>
      <c r="AZ168" s="96" t="str">
        <f t="shared" si="21"/>
        <v/>
      </c>
      <c r="BA168" s="99">
        <f t="shared" ca="1" si="27"/>
        <v>50443</v>
      </c>
      <c r="BB168" s="97">
        <f t="shared" si="22"/>
        <v>-346027.15793695109</v>
      </c>
      <c r="BC168" s="101" t="str">
        <f t="shared" ca="1" si="28"/>
        <v/>
      </c>
      <c r="BD168" s="100" t="str">
        <f t="shared" si="23"/>
        <v/>
      </c>
      <c r="BE168" s="103">
        <f t="shared" ca="1" si="29"/>
        <v>50443</v>
      </c>
      <c r="BF168" s="102">
        <f t="shared" si="24"/>
        <v>-18138.544377630071</v>
      </c>
    </row>
    <row r="169" spans="48:58" hidden="1" x14ac:dyDescent="0.25">
      <c r="AV169">
        <v>144</v>
      </c>
      <c r="AW169" s="94" t="str">
        <f t="shared" ca="1" si="25"/>
        <v/>
      </c>
      <c r="AX169" s="95" t="str">
        <f t="shared" si="20"/>
        <v/>
      </c>
      <c r="AY169" s="98" t="str">
        <f t="shared" ca="1" si="26"/>
        <v/>
      </c>
      <c r="AZ169" s="96" t="str">
        <f t="shared" si="21"/>
        <v/>
      </c>
      <c r="BA169" s="99">
        <f t="shared" ca="1" si="27"/>
        <v>50471</v>
      </c>
      <c r="BB169" s="97">
        <f t="shared" si="22"/>
        <v>-346027.15793695109</v>
      </c>
      <c r="BC169" s="101" t="str">
        <f t="shared" ca="1" si="28"/>
        <v/>
      </c>
      <c r="BD169" s="100" t="str">
        <f t="shared" si="23"/>
        <v/>
      </c>
      <c r="BE169" s="103">
        <f t="shared" ca="1" si="29"/>
        <v>50471</v>
      </c>
      <c r="BF169" s="102">
        <f t="shared" si="24"/>
        <v>-18138.544377630071</v>
      </c>
    </row>
    <row r="170" spans="48:58" hidden="1" x14ac:dyDescent="0.25">
      <c r="AV170">
        <v>145</v>
      </c>
      <c r="AW170" s="94" t="str">
        <f t="shared" ca="1" si="25"/>
        <v/>
      </c>
      <c r="AX170" s="95" t="str">
        <f t="shared" si="20"/>
        <v/>
      </c>
      <c r="AY170" s="98" t="str">
        <f t="shared" ca="1" si="26"/>
        <v/>
      </c>
      <c r="AZ170" s="96" t="str">
        <f t="shared" si="21"/>
        <v/>
      </c>
      <c r="BA170" s="99">
        <f t="shared" ca="1" si="27"/>
        <v>50502</v>
      </c>
      <c r="BB170" s="97">
        <f t="shared" si="22"/>
        <v>130000000</v>
      </c>
      <c r="BC170" s="101" t="str">
        <f t="shared" ca="1" si="28"/>
        <v/>
      </c>
      <c r="BD170" s="100" t="str">
        <f t="shared" si="23"/>
        <v/>
      </c>
      <c r="BE170" s="103">
        <f t="shared" ca="1" si="29"/>
        <v>50502</v>
      </c>
      <c r="BF170" s="102">
        <f t="shared" si="24"/>
        <v>-18138.544377630071</v>
      </c>
    </row>
    <row r="171" spans="48:58" hidden="1" x14ac:dyDescent="0.25">
      <c r="AV171">
        <v>146</v>
      </c>
      <c r="AW171" s="94" t="str">
        <f t="shared" ca="1" si="25"/>
        <v/>
      </c>
      <c r="AX171" s="95" t="str">
        <f t="shared" si="20"/>
        <v/>
      </c>
      <c r="AY171" s="98" t="str">
        <f t="shared" ca="1" si="26"/>
        <v/>
      </c>
      <c r="AZ171" s="96" t="str">
        <f t="shared" si="21"/>
        <v/>
      </c>
      <c r="BA171" s="99" t="str">
        <f t="shared" ca="1" si="27"/>
        <v/>
      </c>
      <c r="BB171" s="97" t="str">
        <f t="shared" si="22"/>
        <v/>
      </c>
      <c r="BC171" s="101" t="str">
        <f t="shared" ca="1" si="28"/>
        <v/>
      </c>
      <c r="BD171" s="100" t="str">
        <f t="shared" si="23"/>
        <v/>
      </c>
      <c r="BE171" s="103">
        <f t="shared" ca="1" si="29"/>
        <v>50532</v>
      </c>
      <c r="BF171" s="102">
        <f t="shared" si="24"/>
        <v>-18138.544377630071</v>
      </c>
    </row>
    <row r="172" spans="48:58" hidden="1" x14ac:dyDescent="0.25">
      <c r="AV172">
        <v>147</v>
      </c>
      <c r="AW172" s="94" t="str">
        <f t="shared" ca="1" si="25"/>
        <v/>
      </c>
      <c r="AX172" s="95" t="str">
        <f t="shared" si="20"/>
        <v/>
      </c>
      <c r="AY172" s="98" t="str">
        <f t="shared" ca="1" si="26"/>
        <v/>
      </c>
      <c r="AZ172" s="96" t="str">
        <f t="shared" si="21"/>
        <v/>
      </c>
      <c r="BA172" s="99" t="str">
        <f t="shared" ca="1" si="27"/>
        <v/>
      </c>
      <c r="BB172" s="97" t="str">
        <f t="shared" si="22"/>
        <v/>
      </c>
      <c r="BC172" s="101" t="str">
        <f t="shared" ca="1" si="28"/>
        <v/>
      </c>
      <c r="BD172" s="100" t="str">
        <f t="shared" si="23"/>
        <v/>
      </c>
      <c r="BE172" s="103">
        <f t="shared" ca="1" si="29"/>
        <v>50563</v>
      </c>
      <c r="BF172" s="102">
        <f t="shared" si="24"/>
        <v>-18138.544377630071</v>
      </c>
    </row>
    <row r="173" spans="48:58" hidden="1" x14ac:dyDescent="0.25">
      <c r="AV173">
        <v>148</v>
      </c>
      <c r="AW173" s="94" t="str">
        <f t="shared" ca="1" si="25"/>
        <v/>
      </c>
      <c r="AX173" s="95" t="str">
        <f t="shared" si="20"/>
        <v/>
      </c>
      <c r="AY173" s="98" t="str">
        <f t="shared" ca="1" si="26"/>
        <v/>
      </c>
      <c r="AZ173" s="96" t="str">
        <f t="shared" si="21"/>
        <v/>
      </c>
      <c r="BA173" s="99" t="str">
        <f t="shared" ca="1" si="27"/>
        <v/>
      </c>
      <c r="BB173" s="97" t="str">
        <f t="shared" si="22"/>
        <v/>
      </c>
      <c r="BC173" s="101" t="str">
        <f t="shared" ca="1" si="28"/>
        <v/>
      </c>
      <c r="BD173" s="100" t="str">
        <f t="shared" si="23"/>
        <v/>
      </c>
      <c r="BE173" s="103">
        <f t="shared" ca="1" si="29"/>
        <v>50593</v>
      </c>
      <c r="BF173" s="102">
        <f t="shared" si="24"/>
        <v>-18138.544377630071</v>
      </c>
    </row>
    <row r="174" spans="48:58" hidden="1" x14ac:dyDescent="0.25">
      <c r="AV174">
        <v>149</v>
      </c>
      <c r="AW174" s="94" t="str">
        <f t="shared" ca="1" si="25"/>
        <v/>
      </c>
      <c r="AX174" s="95" t="str">
        <f t="shared" si="20"/>
        <v/>
      </c>
      <c r="AY174" s="98" t="str">
        <f t="shared" ca="1" si="26"/>
        <v/>
      </c>
      <c r="AZ174" s="96" t="str">
        <f t="shared" si="21"/>
        <v/>
      </c>
      <c r="BA174" s="99" t="str">
        <f t="shared" ca="1" si="27"/>
        <v/>
      </c>
      <c r="BB174" s="97" t="str">
        <f t="shared" si="22"/>
        <v/>
      </c>
      <c r="BC174" s="101" t="str">
        <f t="shared" ca="1" si="28"/>
        <v/>
      </c>
      <c r="BD174" s="100" t="str">
        <f t="shared" si="23"/>
        <v/>
      </c>
      <c r="BE174" s="103">
        <f t="shared" ca="1" si="29"/>
        <v>50624</v>
      </c>
      <c r="BF174" s="102">
        <f t="shared" si="24"/>
        <v>-18138.544377630071</v>
      </c>
    </row>
    <row r="175" spans="48:58" hidden="1" x14ac:dyDescent="0.25">
      <c r="AV175">
        <v>150</v>
      </c>
      <c r="AW175" s="94" t="str">
        <f t="shared" ca="1" si="25"/>
        <v/>
      </c>
      <c r="AX175" s="95" t="str">
        <f t="shared" si="20"/>
        <v/>
      </c>
      <c r="AY175" s="98" t="str">
        <f t="shared" ca="1" si="26"/>
        <v/>
      </c>
      <c r="AZ175" s="96" t="str">
        <f t="shared" si="21"/>
        <v/>
      </c>
      <c r="BA175" s="99" t="str">
        <f t="shared" ca="1" si="27"/>
        <v/>
      </c>
      <c r="BB175" s="97" t="str">
        <f t="shared" si="22"/>
        <v/>
      </c>
      <c r="BC175" s="101" t="str">
        <f t="shared" ca="1" si="28"/>
        <v/>
      </c>
      <c r="BD175" s="100" t="str">
        <f t="shared" si="23"/>
        <v/>
      </c>
      <c r="BE175" s="103">
        <f t="shared" ca="1" si="29"/>
        <v>50655</v>
      </c>
      <c r="BF175" s="102">
        <f t="shared" si="24"/>
        <v>-18138.544377630071</v>
      </c>
    </row>
    <row r="176" spans="48:58" hidden="1" x14ac:dyDescent="0.25">
      <c r="AV176">
        <v>151</v>
      </c>
      <c r="AW176" s="94" t="str">
        <f t="shared" ca="1" si="25"/>
        <v/>
      </c>
      <c r="AX176" s="95" t="str">
        <f t="shared" si="20"/>
        <v/>
      </c>
      <c r="AY176" s="98" t="str">
        <f t="shared" ca="1" si="26"/>
        <v/>
      </c>
      <c r="AZ176" s="96" t="str">
        <f t="shared" si="21"/>
        <v/>
      </c>
      <c r="BA176" s="99" t="str">
        <f t="shared" ca="1" si="27"/>
        <v/>
      </c>
      <c r="BB176" s="97" t="str">
        <f t="shared" si="22"/>
        <v/>
      </c>
      <c r="BC176" s="101" t="str">
        <f t="shared" ca="1" si="28"/>
        <v/>
      </c>
      <c r="BD176" s="100" t="str">
        <f t="shared" si="23"/>
        <v/>
      </c>
      <c r="BE176" s="103">
        <f t="shared" ca="1" si="29"/>
        <v>50685</v>
      </c>
      <c r="BF176" s="102">
        <f t="shared" si="24"/>
        <v>-18138.544377630071</v>
      </c>
    </row>
    <row r="177" spans="48:58" hidden="1" x14ac:dyDescent="0.25">
      <c r="AV177">
        <v>152</v>
      </c>
      <c r="AW177" s="94" t="str">
        <f t="shared" ca="1" si="25"/>
        <v/>
      </c>
      <c r="AX177" s="95" t="str">
        <f t="shared" si="20"/>
        <v/>
      </c>
      <c r="AY177" s="98" t="str">
        <f t="shared" ca="1" si="26"/>
        <v/>
      </c>
      <c r="AZ177" s="96" t="str">
        <f t="shared" si="21"/>
        <v/>
      </c>
      <c r="BA177" s="99" t="str">
        <f t="shared" ca="1" si="27"/>
        <v/>
      </c>
      <c r="BB177" s="97" t="str">
        <f t="shared" si="22"/>
        <v/>
      </c>
      <c r="BC177" s="101" t="str">
        <f t="shared" ca="1" si="28"/>
        <v/>
      </c>
      <c r="BD177" s="100" t="str">
        <f t="shared" si="23"/>
        <v/>
      </c>
      <c r="BE177" s="103">
        <f t="shared" ca="1" si="29"/>
        <v>50716</v>
      </c>
      <c r="BF177" s="102">
        <f t="shared" si="24"/>
        <v>-18138.544377630071</v>
      </c>
    </row>
    <row r="178" spans="48:58" hidden="1" x14ac:dyDescent="0.25">
      <c r="AV178">
        <v>153</v>
      </c>
      <c r="AW178" s="94" t="str">
        <f t="shared" ca="1" si="25"/>
        <v/>
      </c>
      <c r="AX178" s="95" t="str">
        <f t="shared" si="20"/>
        <v/>
      </c>
      <c r="AY178" s="98" t="str">
        <f t="shared" ca="1" si="26"/>
        <v/>
      </c>
      <c r="AZ178" s="96" t="str">
        <f t="shared" si="21"/>
        <v/>
      </c>
      <c r="BA178" s="99" t="str">
        <f t="shared" ca="1" si="27"/>
        <v/>
      </c>
      <c r="BB178" s="97" t="str">
        <f t="shared" si="22"/>
        <v/>
      </c>
      <c r="BC178" s="101" t="str">
        <f t="shared" ca="1" si="28"/>
        <v/>
      </c>
      <c r="BD178" s="100" t="str">
        <f t="shared" si="23"/>
        <v/>
      </c>
      <c r="BE178" s="103">
        <f t="shared" ca="1" si="29"/>
        <v>50746</v>
      </c>
      <c r="BF178" s="102">
        <f t="shared" si="24"/>
        <v>-18138.544377630071</v>
      </c>
    </row>
    <row r="179" spans="48:58" hidden="1" x14ac:dyDescent="0.25">
      <c r="AV179">
        <v>154</v>
      </c>
      <c r="AW179" s="94" t="str">
        <f t="shared" ca="1" si="25"/>
        <v/>
      </c>
      <c r="AX179" s="95" t="str">
        <f t="shared" si="20"/>
        <v/>
      </c>
      <c r="AY179" s="98" t="str">
        <f t="shared" ca="1" si="26"/>
        <v/>
      </c>
      <c r="AZ179" s="96" t="str">
        <f t="shared" si="21"/>
        <v/>
      </c>
      <c r="BA179" s="99" t="str">
        <f t="shared" ca="1" si="27"/>
        <v/>
      </c>
      <c r="BB179" s="97" t="str">
        <f t="shared" si="22"/>
        <v/>
      </c>
      <c r="BC179" s="101" t="str">
        <f t="shared" ca="1" si="28"/>
        <v/>
      </c>
      <c r="BD179" s="100" t="str">
        <f t="shared" si="23"/>
        <v/>
      </c>
      <c r="BE179" s="103">
        <f t="shared" ca="1" si="29"/>
        <v>50777</v>
      </c>
      <c r="BF179" s="102">
        <f t="shared" si="24"/>
        <v>-18138.544377630071</v>
      </c>
    </row>
    <row r="180" spans="48:58" hidden="1" x14ac:dyDescent="0.25">
      <c r="AV180">
        <v>155</v>
      </c>
      <c r="AW180" s="94" t="str">
        <f t="shared" ca="1" si="25"/>
        <v/>
      </c>
      <c r="AX180" s="95" t="str">
        <f t="shared" si="20"/>
        <v/>
      </c>
      <c r="AY180" s="98" t="str">
        <f t="shared" ca="1" si="26"/>
        <v/>
      </c>
      <c r="AZ180" s="96" t="str">
        <f t="shared" si="21"/>
        <v/>
      </c>
      <c r="BA180" s="99" t="str">
        <f t="shared" ca="1" si="27"/>
        <v/>
      </c>
      <c r="BB180" s="97" t="str">
        <f t="shared" si="22"/>
        <v/>
      </c>
      <c r="BC180" s="101" t="str">
        <f t="shared" ca="1" si="28"/>
        <v/>
      </c>
      <c r="BD180" s="100" t="str">
        <f t="shared" si="23"/>
        <v/>
      </c>
      <c r="BE180" s="103">
        <f t="shared" ca="1" si="29"/>
        <v>50808</v>
      </c>
      <c r="BF180" s="102">
        <f t="shared" si="24"/>
        <v>-18138.544377630071</v>
      </c>
    </row>
    <row r="181" spans="48:58" hidden="1" x14ac:dyDescent="0.25">
      <c r="AV181">
        <v>156</v>
      </c>
      <c r="AW181" s="94" t="str">
        <f t="shared" ca="1" si="25"/>
        <v/>
      </c>
      <c r="AX181" s="95" t="str">
        <f t="shared" si="20"/>
        <v/>
      </c>
      <c r="AY181" s="98" t="str">
        <f t="shared" ca="1" si="26"/>
        <v/>
      </c>
      <c r="AZ181" s="96" t="str">
        <f t="shared" si="21"/>
        <v/>
      </c>
      <c r="BA181" s="99" t="str">
        <f t="shared" ca="1" si="27"/>
        <v/>
      </c>
      <c r="BB181" s="97" t="str">
        <f t="shared" si="22"/>
        <v/>
      </c>
      <c r="BC181" s="101" t="str">
        <f t="shared" ca="1" si="28"/>
        <v/>
      </c>
      <c r="BD181" s="100" t="str">
        <f t="shared" si="23"/>
        <v/>
      </c>
      <c r="BE181" s="103">
        <f t="shared" ca="1" si="29"/>
        <v>50836</v>
      </c>
      <c r="BF181" s="102">
        <f t="shared" si="24"/>
        <v>-18138.544377630071</v>
      </c>
    </row>
    <row r="182" spans="48:58" hidden="1" x14ac:dyDescent="0.25">
      <c r="AV182">
        <v>157</v>
      </c>
      <c r="AW182" s="94" t="str">
        <f t="shared" ca="1" si="25"/>
        <v/>
      </c>
      <c r="AX182" s="95" t="str">
        <f t="shared" si="20"/>
        <v/>
      </c>
      <c r="AY182" s="98" t="str">
        <f t="shared" ca="1" si="26"/>
        <v/>
      </c>
      <c r="AZ182" s="96" t="str">
        <f t="shared" si="21"/>
        <v/>
      </c>
      <c r="BA182" s="99" t="str">
        <f t="shared" ca="1" si="27"/>
        <v/>
      </c>
      <c r="BB182" s="97" t="str">
        <f t="shared" si="22"/>
        <v/>
      </c>
      <c r="BC182" s="101" t="str">
        <f t="shared" ca="1" si="28"/>
        <v/>
      </c>
      <c r="BD182" s="100" t="str">
        <f t="shared" si="23"/>
        <v/>
      </c>
      <c r="BE182" s="103">
        <f t="shared" ca="1" si="29"/>
        <v>50867</v>
      </c>
      <c r="BF182" s="102">
        <f t="shared" si="24"/>
        <v>-18138.544377630071</v>
      </c>
    </row>
    <row r="183" spans="48:58" hidden="1" x14ac:dyDescent="0.25">
      <c r="AV183">
        <v>158</v>
      </c>
      <c r="AW183" s="94" t="str">
        <f t="shared" ca="1" si="25"/>
        <v/>
      </c>
      <c r="AX183" s="95" t="str">
        <f t="shared" si="20"/>
        <v/>
      </c>
      <c r="AY183" s="98" t="str">
        <f t="shared" ca="1" si="26"/>
        <v/>
      </c>
      <c r="AZ183" s="96" t="str">
        <f t="shared" si="21"/>
        <v/>
      </c>
      <c r="BA183" s="99" t="str">
        <f t="shared" ca="1" si="27"/>
        <v/>
      </c>
      <c r="BB183" s="97" t="str">
        <f t="shared" si="22"/>
        <v/>
      </c>
      <c r="BC183" s="101" t="str">
        <f t="shared" ca="1" si="28"/>
        <v/>
      </c>
      <c r="BD183" s="100" t="str">
        <f t="shared" si="23"/>
        <v/>
      </c>
      <c r="BE183" s="103">
        <f t="shared" ca="1" si="29"/>
        <v>50897</v>
      </c>
      <c r="BF183" s="102">
        <f t="shared" si="24"/>
        <v>-18138.544377630071</v>
      </c>
    </row>
    <row r="184" spans="48:58" hidden="1" x14ac:dyDescent="0.25">
      <c r="AV184">
        <v>159</v>
      </c>
      <c r="AW184" s="94" t="str">
        <f t="shared" ca="1" si="25"/>
        <v/>
      </c>
      <c r="AX184" s="95" t="str">
        <f t="shared" si="20"/>
        <v/>
      </c>
      <c r="AY184" s="98" t="str">
        <f t="shared" ca="1" si="26"/>
        <v/>
      </c>
      <c r="AZ184" s="96" t="str">
        <f t="shared" si="21"/>
        <v/>
      </c>
      <c r="BA184" s="99" t="str">
        <f t="shared" ca="1" si="27"/>
        <v/>
      </c>
      <c r="BB184" s="97" t="str">
        <f t="shared" si="22"/>
        <v/>
      </c>
      <c r="BC184" s="101" t="str">
        <f t="shared" ca="1" si="28"/>
        <v/>
      </c>
      <c r="BD184" s="100" t="str">
        <f t="shared" si="23"/>
        <v/>
      </c>
      <c r="BE184" s="103">
        <f t="shared" ca="1" si="29"/>
        <v>50928</v>
      </c>
      <c r="BF184" s="102">
        <f t="shared" si="24"/>
        <v>-18138.544377630071</v>
      </c>
    </row>
    <row r="185" spans="48:58" hidden="1" x14ac:dyDescent="0.25">
      <c r="AV185">
        <v>160</v>
      </c>
      <c r="AW185" s="94" t="str">
        <f t="shared" ca="1" si="25"/>
        <v/>
      </c>
      <c r="AX185" s="95" t="str">
        <f t="shared" si="20"/>
        <v/>
      </c>
      <c r="AY185" s="98" t="str">
        <f t="shared" ca="1" si="26"/>
        <v/>
      </c>
      <c r="AZ185" s="96" t="str">
        <f t="shared" si="21"/>
        <v/>
      </c>
      <c r="BA185" s="99" t="str">
        <f t="shared" ca="1" si="27"/>
        <v/>
      </c>
      <c r="BB185" s="97" t="str">
        <f t="shared" si="22"/>
        <v/>
      </c>
      <c r="BC185" s="101" t="str">
        <f t="shared" ca="1" si="28"/>
        <v/>
      </c>
      <c r="BD185" s="100" t="str">
        <f t="shared" si="23"/>
        <v/>
      </c>
      <c r="BE185" s="103">
        <f t="shared" ca="1" si="29"/>
        <v>50958</v>
      </c>
      <c r="BF185" s="102">
        <f t="shared" si="24"/>
        <v>-18138.544377630071</v>
      </c>
    </row>
    <row r="186" spans="48:58" hidden="1" x14ac:dyDescent="0.25">
      <c r="AV186">
        <v>161</v>
      </c>
      <c r="AW186" s="94" t="str">
        <f t="shared" ca="1" si="25"/>
        <v/>
      </c>
      <c r="AX186" s="95" t="str">
        <f t="shared" si="20"/>
        <v/>
      </c>
      <c r="AY186" s="98" t="str">
        <f t="shared" ca="1" si="26"/>
        <v/>
      </c>
      <c r="AZ186" s="96" t="str">
        <f t="shared" si="21"/>
        <v/>
      </c>
      <c r="BA186" s="99" t="str">
        <f t="shared" ca="1" si="27"/>
        <v/>
      </c>
      <c r="BB186" s="97" t="str">
        <f t="shared" si="22"/>
        <v/>
      </c>
      <c r="BC186" s="101" t="str">
        <f t="shared" ca="1" si="28"/>
        <v/>
      </c>
      <c r="BD186" s="100" t="str">
        <f t="shared" si="23"/>
        <v/>
      </c>
      <c r="BE186" s="103">
        <f t="shared" ca="1" si="29"/>
        <v>50989</v>
      </c>
      <c r="BF186" s="102">
        <f t="shared" si="24"/>
        <v>-18138.544377630071</v>
      </c>
    </row>
    <row r="187" spans="48:58" hidden="1" x14ac:dyDescent="0.25">
      <c r="AV187">
        <v>162</v>
      </c>
      <c r="AW187" s="94" t="str">
        <f t="shared" ca="1" si="25"/>
        <v/>
      </c>
      <c r="AX187" s="95" t="str">
        <f t="shared" si="20"/>
        <v/>
      </c>
      <c r="AY187" s="98" t="str">
        <f t="shared" ca="1" si="26"/>
        <v/>
      </c>
      <c r="AZ187" s="96" t="str">
        <f t="shared" si="21"/>
        <v/>
      </c>
      <c r="BA187" s="99" t="str">
        <f t="shared" ca="1" si="27"/>
        <v/>
      </c>
      <c r="BB187" s="97" t="str">
        <f t="shared" si="22"/>
        <v/>
      </c>
      <c r="BC187" s="101" t="str">
        <f t="shared" ca="1" si="28"/>
        <v/>
      </c>
      <c r="BD187" s="100" t="str">
        <f t="shared" si="23"/>
        <v/>
      </c>
      <c r="BE187" s="103">
        <f t="shared" ca="1" si="29"/>
        <v>51020</v>
      </c>
      <c r="BF187" s="102">
        <f t="shared" si="24"/>
        <v>-18138.544377630071</v>
      </c>
    </row>
    <row r="188" spans="48:58" hidden="1" x14ac:dyDescent="0.25">
      <c r="AV188">
        <v>163</v>
      </c>
      <c r="AW188" s="94" t="str">
        <f t="shared" ca="1" si="25"/>
        <v/>
      </c>
      <c r="AX188" s="95" t="str">
        <f t="shared" si="20"/>
        <v/>
      </c>
      <c r="AY188" s="98" t="str">
        <f t="shared" ca="1" si="26"/>
        <v/>
      </c>
      <c r="AZ188" s="96" t="str">
        <f t="shared" si="21"/>
        <v/>
      </c>
      <c r="BA188" s="99" t="str">
        <f t="shared" ca="1" si="27"/>
        <v/>
      </c>
      <c r="BB188" s="97" t="str">
        <f t="shared" si="22"/>
        <v/>
      </c>
      <c r="BC188" s="101" t="str">
        <f t="shared" ca="1" si="28"/>
        <v/>
      </c>
      <c r="BD188" s="100" t="str">
        <f t="shared" si="23"/>
        <v/>
      </c>
      <c r="BE188" s="103">
        <f t="shared" ca="1" si="29"/>
        <v>51050</v>
      </c>
      <c r="BF188" s="102">
        <f t="shared" si="24"/>
        <v>-18138.544377630071</v>
      </c>
    </row>
    <row r="189" spans="48:58" hidden="1" x14ac:dyDescent="0.25">
      <c r="AV189">
        <v>164</v>
      </c>
      <c r="AW189" s="94" t="str">
        <f t="shared" ca="1" si="25"/>
        <v/>
      </c>
      <c r="AX189" s="95" t="str">
        <f t="shared" si="20"/>
        <v/>
      </c>
      <c r="AY189" s="98" t="str">
        <f t="shared" ca="1" si="26"/>
        <v/>
      </c>
      <c r="AZ189" s="96" t="str">
        <f t="shared" si="21"/>
        <v/>
      </c>
      <c r="BA189" s="99" t="str">
        <f t="shared" ca="1" si="27"/>
        <v/>
      </c>
      <c r="BB189" s="97" t="str">
        <f t="shared" si="22"/>
        <v/>
      </c>
      <c r="BC189" s="101" t="str">
        <f t="shared" ca="1" si="28"/>
        <v/>
      </c>
      <c r="BD189" s="100" t="str">
        <f t="shared" si="23"/>
        <v/>
      </c>
      <c r="BE189" s="103">
        <f t="shared" ca="1" si="29"/>
        <v>51081</v>
      </c>
      <c r="BF189" s="102">
        <f t="shared" si="24"/>
        <v>-18138.544377630071</v>
      </c>
    </row>
    <row r="190" spans="48:58" hidden="1" x14ac:dyDescent="0.25">
      <c r="AV190">
        <v>165</v>
      </c>
      <c r="AW190" s="94" t="str">
        <f t="shared" ca="1" si="25"/>
        <v/>
      </c>
      <c r="AX190" s="95" t="str">
        <f t="shared" si="20"/>
        <v/>
      </c>
      <c r="AY190" s="98" t="str">
        <f t="shared" ca="1" si="26"/>
        <v/>
      </c>
      <c r="AZ190" s="96" t="str">
        <f t="shared" si="21"/>
        <v/>
      </c>
      <c r="BA190" s="99" t="str">
        <f t="shared" ca="1" si="27"/>
        <v/>
      </c>
      <c r="BB190" s="97" t="str">
        <f t="shared" si="22"/>
        <v/>
      </c>
      <c r="BC190" s="101" t="str">
        <f t="shared" ca="1" si="28"/>
        <v/>
      </c>
      <c r="BD190" s="100" t="str">
        <f t="shared" si="23"/>
        <v/>
      </c>
      <c r="BE190" s="103">
        <f t="shared" ca="1" si="29"/>
        <v>51111</v>
      </c>
      <c r="BF190" s="102">
        <f t="shared" si="24"/>
        <v>-18138.544377630071</v>
      </c>
    </row>
    <row r="191" spans="48:58" hidden="1" x14ac:dyDescent="0.25">
      <c r="AV191">
        <v>166</v>
      </c>
      <c r="AW191" s="94" t="str">
        <f t="shared" ca="1" si="25"/>
        <v/>
      </c>
      <c r="AX191" s="95" t="str">
        <f t="shared" si="20"/>
        <v/>
      </c>
      <c r="AY191" s="98" t="str">
        <f t="shared" ca="1" si="26"/>
        <v/>
      </c>
      <c r="AZ191" s="96" t="str">
        <f t="shared" si="21"/>
        <v/>
      </c>
      <c r="BA191" s="99" t="str">
        <f t="shared" ca="1" si="27"/>
        <v/>
      </c>
      <c r="BB191" s="97" t="str">
        <f t="shared" si="22"/>
        <v/>
      </c>
      <c r="BC191" s="101" t="str">
        <f t="shared" ca="1" si="28"/>
        <v/>
      </c>
      <c r="BD191" s="100" t="str">
        <f t="shared" si="23"/>
        <v/>
      </c>
      <c r="BE191" s="103">
        <f t="shared" ca="1" si="29"/>
        <v>51142</v>
      </c>
      <c r="BF191" s="102">
        <f t="shared" si="24"/>
        <v>-18138.544377630071</v>
      </c>
    </row>
    <row r="192" spans="48:58" hidden="1" x14ac:dyDescent="0.25">
      <c r="AV192">
        <v>167</v>
      </c>
      <c r="AW192" s="94" t="str">
        <f t="shared" ca="1" si="25"/>
        <v/>
      </c>
      <c r="AX192" s="95" t="str">
        <f t="shared" si="20"/>
        <v/>
      </c>
      <c r="AY192" s="98" t="str">
        <f t="shared" ca="1" si="26"/>
        <v/>
      </c>
      <c r="AZ192" s="96" t="str">
        <f t="shared" si="21"/>
        <v/>
      </c>
      <c r="BA192" s="99" t="str">
        <f t="shared" ca="1" si="27"/>
        <v/>
      </c>
      <c r="BB192" s="97" t="str">
        <f t="shared" si="22"/>
        <v/>
      </c>
      <c r="BC192" s="101" t="str">
        <f t="shared" ca="1" si="28"/>
        <v/>
      </c>
      <c r="BD192" s="100" t="str">
        <f t="shared" si="23"/>
        <v/>
      </c>
      <c r="BE192" s="103">
        <f t="shared" ca="1" si="29"/>
        <v>51173</v>
      </c>
      <c r="BF192" s="102">
        <f t="shared" si="24"/>
        <v>-18138.544377630071</v>
      </c>
    </row>
    <row r="193" spans="48:58" hidden="1" x14ac:dyDescent="0.25">
      <c r="AV193">
        <v>168</v>
      </c>
      <c r="AW193" s="94" t="str">
        <f t="shared" ca="1" si="25"/>
        <v/>
      </c>
      <c r="AX193" s="95" t="str">
        <f t="shared" si="20"/>
        <v/>
      </c>
      <c r="AY193" s="98" t="str">
        <f t="shared" ca="1" si="26"/>
        <v/>
      </c>
      <c r="AZ193" s="96" t="str">
        <f t="shared" si="21"/>
        <v/>
      </c>
      <c r="BA193" s="99" t="str">
        <f t="shared" ca="1" si="27"/>
        <v/>
      </c>
      <c r="BB193" s="97" t="str">
        <f t="shared" si="22"/>
        <v/>
      </c>
      <c r="BC193" s="101" t="str">
        <f t="shared" ca="1" si="28"/>
        <v/>
      </c>
      <c r="BD193" s="100" t="str">
        <f t="shared" si="23"/>
        <v/>
      </c>
      <c r="BE193" s="103">
        <f t="shared" ca="1" si="29"/>
        <v>51202</v>
      </c>
      <c r="BF193" s="102">
        <f t="shared" si="24"/>
        <v>-18138.544377630071</v>
      </c>
    </row>
    <row r="194" spans="48:58" hidden="1" x14ac:dyDescent="0.25">
      <c r="AV194">
        <v>169</v>
      </c>
      <c r="AW194" s="94" t="str">
        <f t="shared" ca="1" si="25"/>
        <v/>
      </c>
      <c r="AX194" s="95" t="str">
        <f t="shared" si="20"/>
        <v/>
      </c>
      <c r="AY194" s="98" t="str">
        <f t="shared" ca="1" si="26"/>
        <v/>
      </c>
      <c r="AZ194" s="96" t="str">
        <f t="shared" si="21"/>
        <v/>
      </c>
      <c r="BA194" s="99" t="str">
        <f t="shared" ca="1" si="27"/>
        <v/>
      </c>
      <c r="BB194" s="97" t="str">
        <f t="shared" si="22"/>
        <v/>
      </c>
      <c r="BC194" s="101" t="str">
        <f t="shared" ca="1" si="28"/>
        <v/>
      </c>
      <c r="BD194" s="100" t="str">
        <f t="shared" si="23"/>
        <v/>
      </c>
      <c r="BE194" s="103">
        <f t="shared" ca="1" si="29"/>
        <v>51233</v>
      </c>
      <c r="BF194" s="102">
        <f t="shared" si="24"/>
        <v>-18138.544377630071</v>
      </c>
    </row>
    <row r="195" spans="48:58" hidden="1" x14ac:dyDescent="0.25">
      <c r="AV195">
        <v>170</v>
      </c>
      <c r="AW195" s="94" t="str">
        <f t="shared" ca="1" si="25"/>
        <v/>
      </c>
      <c r="AX195" s="95" t="str">
        <f t="shared" si="20"/>
        <v/>
      </c>
      <c r="AY195" s="98" t="str">
        <f t="shared" ca="1" si="26"/>
        <v/>
      </c>
      <c r="AZ195" s="96" t="str">
        <f t="shared" si="21"/>
        <v/>
      </c>
      <c r="BA195" s="99" t="str">
        <f t="shared" ca="1" si="27"/>
        <v/>
      </c>
      <c r="BB195" s="97" t="str">
        <f t="shared" si="22"/>
        <v/>
      </c>
      <c r="BC195" s="101" t="str">
        <f t="shared" ca="1" si="28"/>
        <v/>
      </c>
      <c r="BD195" s="100" t="str">
        <f t="shared" si="23"/>
        <v/>
      </c>
      <c r="BE195" s="103">
        <f t="shared" ca="1" si="29"/>
        <v>51263</v>
      </c>
      <c r="BF195" s="102">
        <f t="shared" si="24"/>
        <v>-18138.544377630071</v>
      </c>
    </row>
    <row r="196" spans="48:58" hidden="1" x14ac:dyDescent="0.25">
      <c r="AV196">
        <v>171</v>
      </c>
      <c r="AW196" s="94" t="str">
        <f t="shared" ca="1" si="25"/>
        <v/>
      </c>
      <c r="AX196" s="95" t="str">
        <f t="shared" si="20"/>
        <v/>
      </c>
      <c r="AY196" s="98" t="str">
        <f t="shared" ca="1" si="26"/>
        <v/>
      </c>
      <c r="AZ196" s="96" t="str">
        <f t="shared" si="21"/>
        <v/>
      </c>
      <c r="BA196" s="99" t="str">
        <f t="shared" ca="1" si="27"/>
        <v/>
      </c>
      <c r="BB196" s="97" t="str">
        <f t="shared" si="22"/>
        <v/>
      </c>
      <c r="BC196" s="101" t="str">
        <f t="shared" ca="1" si="28"/>
        <v/>
      </c>
      <c r="BD196" s="100" t="str">
        <f t="shared" si="23"/>
        <v/>
      </c>
      <c r="BE196" s="103">
        <f t="shared" ca="1" si="29"/>
        <v>51294</v>
      </c>
      <c r="BF196" s="102">
        <f t="shared" si="24"/>
        <v>-18138.544377630071</v>
      </c>
    </row>
    <row r="197" spans="48:58" hidden="1" x14ac:dyDescent="0.25">
      <c r="AV197">
        <v>172</v>
      </c>
      <c r="AW197" s="94" t="str">
        <f t="shared" ca="1" si="25"/>
        <v/>
      </c>
      <c r="AX197" s="95" t="str">
        <f t="shared" si="20"/>
        <v/>
      </c>
      <c r="AY197" s="98" t="str">
        <f t="shared" ca="1" si="26"/>
        <v/>
      </c>
      <c r="AZ197" s="96" t="str">
        <f t="shared" si="21"/>
        <v/>
      </c>
      <c r="BA197" s="99" t="str">
        <f t="shared" ca="1" si="27"/>
        <v/>
      </c>
      <c r="BB197" s="97" t="str">
        <f t="shared" si="22"/>
        <v/>
      </c>
      <c r="BC197" s="101" t="str">
        <f t="shared" ca="1" si="28"/>
        <v/>
      </c>
      <c r="BD197" s="100" t="str">
        <f t="shared" si="23"/>
        <v/>
      </c>
      <c r="BE197" s="103">
        <f t="shared" ca="1" si="29"/>
        <v>51324</v>
      </c>
      <c r="BF197" s="102">
        <f t="shared" si="24"/>
        <v>-18138.544377630071</v>
      </c>
    </row>
    <row r="198" spans="48:58" hidden="1" x14ac:dyDescent="0.25">
      <c r="AV198">
        <v>173</v>
      </c>
      <c r="AW198" s="94" t="str">
        <f t="shared" ca="1" si="25"/>
        <v/>
      </c>
      <c r="AX198" s="95" t="str">
        <f t="shared" si="20"/>
        <v/>
      </c>
      <c r="AY198" s="98" t="str">
        <f t="shared" ca="1" si="26"/>
        <v/>
      </c>
      <c r="AZ198" s="96" t="str">
        <f t="shared" si="21"/>
        <v/>
      </c>
      <c r="BA198" s="99" t="str">
        <f t="shared" ca="1" si="27"/>
        <v/>
      </c>
      <c r="BB198" s="97" t="str">
        <f t="shared" si="22"/>
        <v/>
      </c>
      <c r="BC198" s="101" t="str">
        <f t="shared" ca="1" si="28"/>
        <v/>
      </c>
      <c r="BD198" s="100" t="str">
        <f t="shared" si="23"/>
        <v/>
      </c>
      <c r="BE198" s="103">
        <f t="shared" ca="1" si="29"/>
        <v>51355</v>
      </c>
      <c r="BF198" s="102">
        <f t="shared" si="24"/>
        <v>-18138.544377630071</v>
      </c>
    </row>
    <row r="199" spans="48:58" hidden="1" x14ac:dyDescent="0.25">
      <c r="AV199">
        <v>174</v>
      </c>
      <c r="AW199" s="94" t="str">
        <f t="shared" ca="1" si="25"/>
        <v/>
      </c>
      <c r="AX199" s="95" t="str">
        <f t="shared" si="20"/>
        <v/>
      </c>
      <c r="AY199" s="98" t="str">
        <f t="shared" ca="1" si="26"/>
        <v/>
      </c>
      <c r="AZ199" s="96" t="str">
        <f t="shared" si="21"/>
        <v/>
      </c>
      <c r="BA199" s="99" t="str">
        <f t="shared" ca="1" si="27"/>
        <v/>
      </c>
      <c r="BB199" s="97" t="str">
        <f t="shared" si="22"/>
        <v/>
      </c>
      <c r="BC199" s="101" t="str">
        <f t="shared" ca="1" si="28"/>
        <v/>
      </c>
      <c r="BD199" s="100" t="str">
        <f t="shared" si="23"/>
        <v/>
      </c>
      <c r="BE199" s="103">
        <f t="shared" ca="1" si="29"/>
        <v>51386</v>
      </c>
      <c r="BF199" s="102">
        <f t="shared" si="24"/>
        <v>-18138.544377630071</v>
      </c>
    </row>
    <row r="200" spans="48:58" hidden="1" x14ac:dyDescent="0.25">
      <c r="AV200">
        <v>175</v>
      </c>
      <c r="AW200" s="94" t="str">
        <f t="shared" ca="1" si="25"/>
        <v/>
      </c>
      <c r="AX200" s="95" t="str">
        <f t="shared" si="20"/>
        <v/>
      </c>
      <c r="AY200" s="98" t="str">
        <f t="shared" ca="1" si="26"/>
        <v/>
      </c>
      <c r="AZ200" s="96" t="str">
        <f t="shared" si="21"/>
        <v/>
      </c>
      <c r="BA200" s="99" t="str">
        <f t="shared" ca="1" si="27"/>
        <v/>
      </c>
      <c r="BB200" s="97" t="str">
        <f t="shared" si="22"/>
        <v/>
      </c>
      <c r="BC200" s="101" t="str">
        <f t="shared" ca="1" si="28"/>
        <v/>
      </c>
      <c r="BD200" s="100" t="str">
        <f t="shared" si="23"/>
        <v/>
      </c>
      <c r="BE200" s="103">
        <f t="shared" ca="1" si="29"/>
        <v>51416</v>
      </c>
      <c r="BF200" s="102">
        <f t="shared" si="24"/>
        <v>-18138.544377630071</v>
      </c>
    </row>
    <row r="201" spans="48:58" hidden="1" x14ac:dyDescent="0.25">
      <c r="AV201">
        <v>176</v>
      </c>
      <c r="AW201" s="94" t="str">
        <f t="shared" ca="1" si="25"/>
        <v/>
      </c>
      <c r="AX201" s="95" t="str">
        <f t="shared" si="20"/>
        <v/>
      </c>
      <c r="AY201" s="98" t="str">
        <f t="shared" ca="1" si="26"/>
        <v/>
      </c>
      <c r="AZ201" s="96" t="str">
        <f t="shared" si="21"/>
        <v/>
      </c>
      <c r="BA201" s="99" t="str">
        <f t="shared" ca="1" si="27"/>
        <v/>
      </c>
      <c r="BB201" s="97" t="str">
        <f t="shared" si="22"/>
        <v/>
      </c>
      <c r="BC201" s="101" t="str">
        <f t="shared" ca="1" si="28"/>
        <v/>
      </c>
      <c r="BD201" s="100" t="str">
        <f t="shared" si="23"/>
        <v/>
      </c>
      <c r="BE201" s="103">
        <f t="shared" ca="1" si="29"/>
        <v>51447</v>
      </c>
      <c r="BF201" s="102">
        <f t="shared" si="24"/>
        <v>-18138.544377630071</v>
      </c>
    </row>
    <row r="202" spans="48:58" hidden="1" x14ac:dyDescent="0.25">
      <c r="AV202">
        <v>177</v>
      </c>
      <c r="AW202" s="94" t="str">
        <f t="shared" ca="1" si="25"/>
        <v/>
      </c>
      <c r="AX202" s="95" t="str">
        <f t="shared" si="20"/>
        <v/>
      </c>
      <c r="AY202" s="98" t="str">
        <f t="shared" ca="1" si="26"/>
        <v/>
      </c>
      <c r="AZ202" s="96" t="str">
        <f t="shared" si="21"/>
        <v/>
      </c>
      <c r="BA202" s="99" t="str">
        <f t="shared" ca="1" si="27"/>
        <v/>
      </c>
      <c r="BB202" s="97" t="str">
        <f t="shared" si="22"/>
        <v/>
      </c>
      <c r="BC202" s="101" t="str">
        <f t="shared" ca="1" si="28"/>
        <v/>
      </c>
      <c r="BD202" s="100" t="str">
        <f t="shared" si="23"/>
        <v/>
      </c>
      <c r="BE202" s="103">
        <f t="shared" ca="1" si="29"/>
        <v>51477</v>
      </c>
      <c r="BF202" s="102">
        <f t="shared" si="24"/>
        <v>-18138.544377630071</v>
      </c>
    </row>
    <row r="203" spans="48:58" hidden="1" x14ac:dyDescent="0.25">
      <c r="AV203">
        <v>178</v>
      </c>
      <c r="AW203" s="94" t="str">
        <f t="shared" ca="1" si="25"/>
        <v/>
      </c>
      <c r="AX203" s="95" t="str">
        <f t="shared" si="20"/>
        <v/>
      </c>
      <c r="AY203" s="98" t="str">
        <f t="shared" ca="1" si="26"/>
        <v/>
      </c>
      <c r="AZ203" s="96" t="str">
        <f t="shared" si="21"/>
        <v/>
      </c>
      <c r="BA203" s="99" t="str">
        <f t="shared" ca="1" si="27"/>
        <v/>
      </c>
      <c r="BB203" s="97" t="str">
        <f t="shared" si="22"/>
        <v/>
      </c>
      <c r="BC203" s="101" t="str">
        <f t="shared" ca="1" si="28"/>
        <v/>
      </c>
      <c r="BD203" s="100" t="str">
        <f t="shared" si="23"/>
        <v/>
      </c>
      <c r="BE203" s="103">
        <f t="shared" ca="1" si="29"/>
        <v>51508</v>
      </c>
      <c r="BF203" s="102">
        <f t="shared" si="24"/>
        <v>-18138.544377630071</v>
      </c>
    </row>
    <row r="204" spans="48:58" hidden="1" x14ac:dyDescent="0.25">
      <c r="AV204">
        <v>179</v>
      </c>
      <c r="AW204" s="94" t="str">
        <f t="shared" ca="1" si="25"/>
        <v/>
      </c>
      <c r="AX204" s="95" t="str">
        <f t="shared" si="20"/>
        <v/>
      </c>
      <c r="AY204" s="98" t="str">
        <f t="shared" ca="1" si="26"/>
        <v/>
      </c>
      <c r="AZ204" s="96" t="str">
        <f t="shared" si="21"/>
        <v/>
      </c>
      <c r="BA204" s="99" t="str">
        <f t="shared" ca="1" si="27"/>
        <v/>
      </c>
      <c r="BB204" s="97" t="str">
        <f t="shared" si="22"/>
        <v/>
      </c>
      <c r="BC204" s="101" t="str">
        <f t="shared" ca="1" si="28"/>
        <v/>
      </c>
      <c r="BD204" s="100" t="str">
        <f t="shared" si="23"/>
        <v/>
      </c>
      <c r="BE204" s="103">
        <f t="shared" ca="1" si="29"/>
        <v>51539</v>
      </c>
      <c r="BF204" s="102">
        <f t="shared" si="24"/>
        <v>-18138.544377630071</v>
      </c>
    </row>
    <row r="205" spans="48:58" hidden="1" x14ac:dyDescent="0.25">
      <c r="AV205">
        <v>180</v>
      </c>
      <c r="AW205" s="94" t="str">
        <f t="shared" ca="1" si="25"/>
        <v/>
      </c>
      <c r="AX205" s="95" t="str">
        <f t="shared" si="20"/>
        <v/>
      </c>
      <c r="AY205" s="98" t="str">
        <f t="shared" ca="1" si="26"/>
        <v/>
      </c>
      <c r="AZ205" s="96" t="str">
        <f t="shared" si="21"/>
        <v/>
      </c>
      <c r="BA205" s="99" t="str">
        <f t="shared" ca="1" si="27"/>
        <v/>
      </c>
      <c r="BB205" s="97" t="str">
        <f t="shared" si="22"/>
        <v/>
      </c>
      <c r="BC205" s="101" t="str">
        <f t="shared" ca="1" si="28"/>
        <v/>
      </c>
      <c r="BD205" s="100" t="str">
        <f t="shared" si="23"/>
        <v/>
      </c>
      <c r="BE205" s="103">
        <f t="shared" ca="1" si="29"/>
        <v>51567</v>
      </c>
      <c r="BF205" s="102">
        <f t="shared" si="24"/>
        <v>-18138.544377630071</v>
      </c>
    </row>
    <row r="206" spans="48:58" hidden="1" x14ac:dyDescent="0.25">
      <c r="AV206">
        <v>181</v>
      </c>
      <c r="AW206" s="94" t="str">
        <f t="shared" ca="1" si="25"/>
        <v/>
      </c>
      <c r="AX206" s="95" t="str">
        <f t="shared" si="20"/>
        <v/>
      </c>
      <c r="AY206" s="98" t="str">
        <f t="shared" ca="1" si="26"/>
        <v/>
      </c>
      <c r="AZ206" s="96" t="str">
        <f t="shared" si="21"/>
        <v/>
      </c>
      <c r="BA206" s="99" t="str">
        <f t="shared" ca="1" si="27"/>
        <v/>
      </c>
      <c r="BB206" s="97" t="str">
        <f t="shared" si="22"/>
        <v/>
      </c>
      <c r="BC206" s="101" t="str">
        <f t="shared" ca="1" si="28"/>
        <v/>
      </c>
      <c r="BD206" s="100" t="str">
        <f t="shared" si="23"/>
        <v/>
      </c>
      <c r="BE206" s="103">
        <f t="shared" ca="1" si="29"/>
        <v>51598</v>
      </c>
      <c r="BF206" s="102">
        <f t="shared" si="24"/>
        <v>-18138.544377630071</v>
      </c>
    </row>
    <row r="207" spans="48:58" hidden="1" x14ac:dyDescent="0.25">
      <c r="AV207">
        <v>182</v>
      </c>
      <c r="AW207" s="94" t="str">
        <f t="shared" ca="1" si="25"/>
        <v/>
      </c>
      <c r="AX207" s="95" t="str">
        <f t="shared" si="20"/>
        <v/>
      </c>
      <c r="AY207" s="98" t="str">
        <f t="shared" ca="1" si="26"/>
        <v/>
      </c>
      <c r="AZ207" s="96" t="str">
        <f t="shared" si="21"/>
        <v/>
      </c>
      <c r="BA207" s="99" t="str">
        <f t="shared" ca="1" si="27"/>
        <v/>
      </c>
      <c r="BB207" s="97" t="str">
        <f t="shared" si="22"/>
        <v/>
      </c>
      <c r="BC207" s="101" t="str">
        <f t="shared" ca="1" si="28"/>
        <v/>
      </c>
      <c r="BD207" s="100" t="str">
        <f t="shared" si="23"/>
        <v/>
      </c>
      <c r="BE207" s="103">
        <f t="shared" ca="1" si="29"/>
        <v>51628</v>
      </c>
      <c r="BF207" s="102">
        <f t="shared" si="24"/>
        <v>-18138.544377630071</v>
      </c>
    </row>
    <row r="208" spans="48:58" hidden="1" x14ac:dyDescent="0.25">
      <c r="AV208">
        <v>183</v>
      </c>
      <c r="AW208" s="94" t="str">
        <f t="shared" ca="1" si="25"/>
        <v/>
      </c>
      <c r="AX208" s="95" t="str">
        <f t="shared" si="20"/>
        <v/>
      </c>
      <c r="AY208" s="98" t="str">
        <f t="shared" ca="1" si="26"/>
        <v/>
      </c>
      <c r="AZ208" s="96" t="str">
        <f t="shared" si="21"/>
        <v/>
      </c>
      <c r="BA208" s="99" t="str">
        <f t="shared" ca="1" si="27"/>
        <v/>
      </c>
      <c r="BB208" s="97" t="str">
        <f t="shared" si="22"/>
        <v/>
      </c>
      <c r="BC208" s="101" t="str">
        <f t="shared" ca="1" si="28"/>
        <v/>
      </c>
      <c r="BD208" s="100" t="str">
        <f t="shared" si="23"/>
        <v/>
      </c>
      <c r="BE208" s="103">
        <f t="shared" ca="1" si="29"/>
        <v>51659</v>
      </c>
      <c r="BF208" s="102">
        <f t="shared" si="24"/>
        <v>-18138.544377630071</v>
      </c>
    </row>
    <row r="209" spans="48:58" hidden="1" x14ac:dyDescent="0.25">
      <c r="AV209">
        <v>184</v>
      </c>
      <c r="AW209" s="94" t="str">
        <f t="shared" ca="1" si="25"/>
        <v/>
      </c>
      <c r="AX209" s="95" t="str">
        <f t="shared" si="20"/>
        <v/>
      </c>
      <c r="AY209" s="98" t="str">
        <f t="shared" ca="1" si="26"/>
        <v/>
      </c>
      <c r="AZ209" s="96" t="str">
        <f t="shared" si="21"/>
        <v/>
      </c>
      <c r="BA209" s="99" t="str">
        <f t="shared" ca="1" si="27"/>
        <v/>
      </c>
      <c r="BB209" s="97" t="str">
        <f t="shared" si="22"/>
        <v/>
      </c>
      <c r="BC209" s="101" t="str">
        <f t="shared" ca="1" si="28"/>
        <v/>
      </c>
      <c r="BD209" s="100" t="str">
        <f t="shared" si="23"/>
        <v/>
      </c>
      <c r="BE209" s="103">
        <f t="shared" ca="1" si="29"/>
        <v>51689</v>
      </c>
      <c r="BF209" s="102">
        <f t="shared" si="24"/>
        <v>-18138.544377630071</v>
      </c>
    </row>
    <row r="210" spans="48:58" hidden="1" x14ac:dyDescent="0.25">
      <c r="AV210">
        <v>185</v>
      </c>
      <c r="AW210" s="94" t="str">
        <f t="shared" ca="1" si="25"/>
        <v/>
      </c>
      <c r="AX210" s="95" t="str">
        <f t="shared" si="20"/>
        <v/>
      </c>
      <c r="AY210" s="98" t="str">
        <f t="shared" ca="1" si="26"/>
        <v/>
      </c>
      <c r="AZ210" s="96" t="str">
        <f t="shared" si="21"/>
        <v/>
      </c>
      <c r="BA210" s="99" t="str">
        <f t="shared" ca="1" si="27"/>
        <v/>
      </c>
      <c r="BB210" s="97" t="str">
        <f t="shared" si="22"/>
        <v/>
      </c>
      <c r="BC210" s="101" t="str">
        <f t="shared" ca="1" si="28"/>
        <v/>
      </c>
      <c r="BD210" s="100" t="str">
        <f t="shared" si="23"/>
        <v/>
      </c>
      <c r="BE210" s="103">
        <f t="shared" ca="1" si="29"/>
        <v>51720</v>
      </c>
      <c r="BF210" s="102">
        <f t="shared" si="24"/>
        <v>-18138.544377630071</v>
      </c>
    </row>
    <row r="211" spans="48:58" hidden="1" x14ac:dyDescent="0.25">
      <c r="AV211">
        <v>186</v>
      </c>
      <c r="AW211" s="94" t="str">
        <f t="shared" ca="1" si="25"/>
        <v/>
      </c>
      <c r="AX211" s="95" t="str">
        <f t="shared" si="20"/>
        <v/>
      </c>
      <c r="AY211" s="98" t="str">
        <f t="shared" ca="1" si="26"/>
        <v/>
      </c>
      <c r="AZ211" s="96" t="str">
        <f t="shared" si="21"/>
        <v/>
      </c>
      <c r="BA211" s="99" t="str">
        <f t="shared" ca="1" si="27"/>
        <v/>
      </c>
      <c r="BB211" s="97" t="str">
        <f t="shared" si="22"/>
        <v/>
      </c>
      <c r="BC211" s="101" t="str">
        <f t="shared" ca="1" si="28"/>
        <v/>
      </c>
      <c r="BD211" s="100" t="str">
        <f t="shared" si="23"/>
        <v/>
      </c>
      <c r="BE211" s="103">
        <f t="shared" ca="1" si="29"/>
        <v>51751</v>
      </c>
      <c r="BF211" s="102">
        <f t="shared" si="24"/>
        <v>-18138.544377630071</v>
      </c>
    </row>
    <row r="212" spans="48:58" hidden="1" x14ac:dyDescent="0.25">
      <c r="AV212">
        <v>187</v>
      </c>
      <c r="AW212" s="94" t="str">
        <f t="shared" ca="1" si="25"/>
        <v/>
      </c>
      <c r="AX212" s="95" t="str">
        <f t="shared" si="20"/>
        <v/>
      </c>
      <c r="AY212" s="98" t="str">
        <f t="shared" ca="1" si="26"/>
        <v/>
      </c>
      <c r="AZ212" s="96" t="str">
        <f t="shared" si="21"/>
        <v/>
      </c>
      <c r="BA212" s="99" t="str">
        <f t="shared" ca="1" si="27"/>
        <v/>
      </c>
      <c r="BB212" s="97" t="str">
        <f t="shared" si="22"/>
        <v/>
      </c>
      <c r="BC212" s="101" t="str">
        <f t="shared" ca="1" si="28"/>
        <v/>
      </c>
      <c r="BD212" s="100" t="str">
        <f t="shared" si="23"/>
        <v/>
      </c>
      <c r="BE212" s="103">
        <f t="shared" ca="1" si="29"/>
        <v>51781</v>
      </c>
      <c r="BF212" s="102">
        <f t="shared" si="24"/>
        <v>-18138.544377630071</v>
      </c>
    </row>
    <row r="213" spans="48:58" hidden="1" x14ac:dyDescent="0.25">
      <c r="AV213">
        <v>188</v>
      </c>
      <c r="AW213" s="94" t="str">
        <f t="shared" ca="1" si="25"/>
        <v/>
      </c>
      <c r="AX213" s="95" t="str">
        <f t="shared" si="20"/>
        <v/>
      </c>
      <c r="AY213" s="98" t="str">
        <f t="shared" ca="1" si="26"/>
        <v/>
      </c>
      <c r="AZ213" s="96" t="str">
        <f t="shared" si="21"/>
        <v/>
      </c>
      <c r="BA213" s="99" t="str">
        <f t="shared" ca="1" si="27"/>
        <v/>
      </c>
      <c r="BB213" s="97" t="str">
        <f t="shared" si="22"/>
        <v/>
      </c>
      <c r="BC213" s="101" t="str">
        <f t="shared" ca="1" si="28"/>
        <v/>
      </c>
      <c r="BD213" s="100" t="str">
        <f t="shared" si="23"/>
        <v/>
      </c>
      <c r="BE213" s="103">
        <f t="shared" ca="1" si="29"/>
        <v>51812</v>
      </c>
      <c r="BF213" s="102">
        <f t="shared" si="24"/>
        <v>-18138.544377630071</v>
      </c>
    </row>
    <row r="214" spans="48:58" hidden="1" x14ac:dyDescent="0.25">
      <c r="AV214">
        <v>189</v>
      </c>
      <c r="AW214" s="94" t="str">
        <f t="shared" ca="1" si="25"/>
        <v/>
      </c>
      <c r="AX214" s="95" t="str">
        <f t="shared" si="20"/>
        <v/>
      </c>
      <c r="AY214" s="98" t="str">
        <f t="shared" ca="1" si="26"/>
        <v/>
      </c>
      <c r="AZ214" s="96" t="str">
        <f t="shared" si="21"/>
        <v/>
      </c>
      <c r="BA214" s="99" t="str">
        <f t="shared" ca="1" si="27"/>
        <v/>
      </c>
      <c r="BB214" s="97" t="str">
        <f t="shared" si="22"/>
        <v/>
      </c>
      <c r="BC214" s="101" t="str">
        <f t="shared" ca="1" si="28"/>
        <v/>
      </c>
      <c r="BD214" s="100" t="str">
        <f t="shared" si="23"/>
        <v/>
      </c>
      <c r="BE214" s="103">
        <f t="shared" ca="1" si="29"/>
        <v>51842</v>
      </c>
      <c r="BF214" s="102">
        <f t="shared" si="24"/>
        <v>-18138.544377630071</v>
      </c>
    </row>
    <row r="215" spans="48:58" hidden="1" x14ac:dyDescent="0.25">
      <c r="AV215">
        <v>190</v>
      </c>
      <c r="AW215" s="94" t="str">
        <f t="shared" ca="1" si="25"/>
        <v/>
      </c>
      <c r="AX215" s="95" t="str">
        <f t="shared" si="20"/>
        <v/>
      </c>
      <c r="AY215" s="98" t="str">
        <f t="shared" ca="1" si="26"/>
        <v/>
      </c>
      <c r="AZ215" s="96" t="str">
        <f t="shared" si="21"/>
        <v/>
      </c>
      <c r="BA215" s="99" t="str">
        <f t="shared" ca="1" si="27"/>
        <v/>
      </c>
      <c r="BB215" s="97" t="str">
        <f t="shared" si="22"/>
        <v/>
      </c>
      <c r="BC215" s="101" t="str">
        <f t="shared" ca="1" si="28"/>
        <v/>
      </c>
      <c r="BD215" s="100" t="str">
        <f t="shared" si="23"/>
        <v/>
      </c>
      <c r="BE215" s="103">
        <f t="shared" ca="1" si="29"/>
        <v>51873</v>
      </c>
      <c r="BF215" s="102">
        <f t="shared" si="24"/>
        <v>-18138.544377630071</v>
      </c>
    </row>
    <row r="216" spans="48:58" hidden="1" x14ac:dyDescent="0.25">
      <c r="AV216">
        <v>191</v>
      </c>
      <c r="AW216" s="94" t="str">
        <f t="shared" ca="1" si="25"/>
        <v/>
      </c>
      <c r="AX216" s="95" t="str">
        <f t="shared" si="20"/>
        <v/>
      </c>
      <c r="AY216" s="98" t="str">
        <f t="shared" ca="1" si="26"/>
        <v/>
      </c>
      <c r="AZ216" s="96" t="str">
        <f t="shared" si="21"/>
        <v/>
      </c>
      <c r="BA216" s="99" t="str">
        <f t="shared" ca="1" si="27"/>
        <v/>
      </c>
      <c r="BB216" s="97" t="str">
        <f t="shared" si="22"/>
        <v/>
      </c>
      <c r="BC216" s="101" t="str">
        <f t="shared" ca="1" si="28"/>
        <v/>
      </c>
      <c r="BD216" s="100" t="str">
        <f t="shared" si="23"/>
        <v/>
      </c>
      <c r="BE216" s="103">
        <f t="shared" ca="1" si="29"/>
        <v>51904</v>
      </c>
      <c r="BF216" s="102">
        <f t="shared" si="24"/>
        <v>-18138.544377630071</v>
      </c>
    </row>
    <row r="217" spans="48:58" hidden="1" x14ac:dyDescent="0.25">
      <c r="AV217">
        <v>192</v>
      </c>
      <c r="AW217" s="94" t="str">
        <f t="shared" ca="1" si="25"/>
        <v/>
      </c>
      <c r="AX217" s="95" t="str">
        <f t="shared" si="20"/>
        <v/>
      </c>
      <c r="AY217" s="98" t="str">
        <f t="shared" ca="1" si="26"/>
        <v/>
      </c>
      <c r="AZ217" s="96" t="str">
        <f t="shared" si="21"/>
        <v/>
      </c>
      <c r="BA217" s="99" t="str">
        <f t="shared" ca="1" si="27"/>
        <v/>
      </c>
      <c r="BB217" s="97" t="str">
        <f t="shared" si="22"/>
        <v/>
      </c>
      <c r="BC217" s="101" t="str">
        <f t="shared" ca="1" si="28"/>
        <v/>
      </c>
      <c r="BD217" s="100" t="str">
        <f t="shared" si="23"/>
        <v/>
      </c>
      <c r="BE217" s="103">
        <f t="shared" ca="1" si="29"/>
        <v>51932</v>
      </c>
      <c r="BF217" s="102">
        <f t="shared" si="24"/>
        <v>-18138.544377630071</v>
      </c>
    </row>
    <row r="218" spans="48:58" hidden="1" x14ac:dyDescent="0.25">
      <c r="AV218">
        <v>193</v>
      </c>
      <c r="AW218" s="94" t="str">
        <f t="shared" ca="1" si="25"/>
        <v/>
      </c>
      <c r="AX218" s="95" t="str">
        <f t="shared" ref="AX218:AX281" si="30">IF($D$15*12&gt;=AV218,-1*$H$15,IF($D$15*12+1&gt;=AV218,InfGoal1,""))</f>
        <v/>
      </c>
      <c r="AY218" s="98" t="str">
        <f t="shared" ca="1" si="26"/>
        <v/>
      </c>
      <c r="AZ218" s="96" t="str">
        <f t="shared" ref="AZ218:AZ281" si="31">IF($D$17*12&gt;=AV218,-1*$H$17,IF($D$17*12+1&gt;=AV218,InfGoal2,""))</f>
        <v/>
      </c>
      <c r="BA218" s="99" t="str">
        <f t="shared" ca="1" si="27"/>
        <v/>
      </c>
      <c r="BB218" s="97" t="str">
        <f t="shared" ref="BB218:BB281" si="32">IF($D$19*12&gt;=AV218,-1*$H$19,IF($D$19*12+1&gt;=AV218,InfGoal3,""))</f>
        <v/>
      </c>
      <c r="BC218" s="101" t="str">
        <f t="shared" ca="1" si="28"/>
        <v/>
      </c>
      <c r="BD218" s="100" t="str">
        <f t="shared" ref="BD218:BD281" si="33">IF($D$21*12&gt;=AV218,-1*$H$21,IF($D$21*12+1&gt;=AV218,InfGoal4,""))</f>
        <v/>
      </c>
      <c r="BE218" s="103">
        <f t="shared" ca="1" si="29"/>
        <v>51963</v>
      </c>
      <c r="BF218" s="102">
        <f t="shared" ref="BF218:BF281" si="34">IF($D$23*12&gt;=AV218,-1*$H$23,IF($D$23*12+1&gt;=AV218,InfGoal5,""))</f>
        <v>-18138.544377630071</v>
      </c>
    </row>
    <row r="219" spans="48:58" hidden="1" x14ac:dyDescent="0.25">
      <c r="AV219">
        <v>194</v>
      </c>
      <c r="AW219" s="94" t="str">
        <f t="shared" ref="AW219:AW282" ca="1" si="35">IF($D$15*12&gt;=AV219,DATE(YEAR(TODAY()),MONTH(TODAY())+AV219-1,DAY(TODAY())),IF($D$15*12+1&gt;=AV219,DATE(YEAR(TODAY()),MONTH(TODAY())+$D$15*12,DAY(TODAY())),""))</f>
        <v/>
      </c>
      <c r="AX219" s="95" t="str">
        <f t="shared" si="30"/>
        <v/>
      </c>
      <c r="AY219" s="98" t="str">
        <f t="shared" ref="AY219:AY282" ca="1" si="36">IF($D$17*12&gt;=AV219,DATE(YEAR(TODAY()),MONTH(TODAY())+AV219-1,DAY(TODAY())),IF($D$17*12+1&gt;=AV219,DATE(YEAR(TODAY()),MONTH(TODAY())+$D$17*12,DAY(TODAY())),""))</f>
        <v/>
      </c>
      <c r="AZ219" s="96" t="str">
        <f t="shared" si="31"/>
        <v/>
      </c>
      <c r="BA219" s="99" t="str">
        <f t="shared" ref="BA219:BA282" ca="1" si="37">IF($D$19*12&gt;=AV219,DATE(YEAR(TODAY()),MONTH(TODAY())+AV219-1,DAY(TODAY())),IF($D$19*12+1&gt;=AV219,DATE(YEAR(TODAY()),MONTH(TODAY())+$D$19*12,DAY(TODAY())),""))</f>
        <v/>
      </c>
      <c r="BB219" s="97" t="str">
        <f t="shared" si="32"/>
        <v/>
      </c>
      <c r="BC219" s="101" t="str">
        <f t="shared" ref="BC219:BC282" ca="1" si="38">IF($D$21*12&gt;=AV219,DATE(YEAR(TODAY()),MONTH(TODAY())+AV219-1,DAY(TODAY())),IF($D$21*12+1&gt;=AV219,DATE(YEAR(TODAY()),MONTH(TODAY())+$D$21*12,DAY(TODAY())),""))</f>
        <v/>
      </c>
      <c r="BD219" s="100" t="str">
        <f t="shared" si="33"/>
        <v/>
      </c>
      <c r="BE219" s="103">
        <f t="shared" ref="BE219:BE282" ca="1" si="39">IF($D$23*12&gt;=AV219,DATE(YEAR(TODAY()),MONTH(TODAY())+AV219-1,DAY(TODAY())),IF($D$23*12+1&gt;=AV219,DATE(YEAR(TODAY()),MONTH(TODAY())+$D$23*12,DAY(TODAY())),""))</f>
        <v>51993</v>
      </c>
      <c r="BF219" s="102">
        <f t="shared" si="34"/>
        <v>-18138.544377630071</v>
      </c>
    </row>
    <row r="220" spans="48:58" hidden="1" x14ac:dyDescent="0.25">
      <c r="AV220">
        <v>195</v>
      </c>
      <c r="AW220" s="94" t="str">
        <f t="shared" ca="1" si="35"/>
        <v/>
      </c>
      <c r="AX220" s="95" t="str">
        <f t="shared" si="30"/>
        <v/>
      </c>
      <c r="AY220" s="98" t="str">
        <f t="shared" ca="1" si="36"/>
        <v/>
      </c>
      <c r="AZ220" s="96" t="str">
        <f t="shared" si="31"/>
        <v/>
      </c>
      <c r="BA220" s="99" t="str">
        <f t="shared" ca="1" si="37"/>
        <v/>
      </c>
      <c r="BB220" s="97" t="str">
        <f t="shared" si="32"/>
        <v/>
      </c>
      <c r="BC220" s="101" t="str">
        <f t="shared" ca="1" si="38"/>
        <v/>
      </c>
      <c r="BD220" s="100" t="str">
        <f t="shared" si="33"/>
        <v/>
      </c>
      <c r="BE220" s="103">
        <f t="shared" ca="1" si="39"/>
        <v>52024</v>
      </c>
      <c r="BF220" s="102">
        <f t="shared" si="34"/>
        <v>-18138.544377630071</v>
      </c>
    </row>
    <row r="221" spans="48:58" hidden="1" x14ac:dyDescent="0.25">
      <c r="AV221">
        <v>196</v>
      </c>
      <c r="AW221" s="94" t="str">
        <f t="shared" ca="1" si="35"/>
        <v/>
      </c>
      <c r="AX221" s="95" t="str">
        <f t="shared" si="30"/>
        <v/>
      </c>
      <c r="AY221" s="98" t="str">
        <f t="shared" ca="1" si="36"/>
        <v/>
      </c>
      <c r="AZ221" s="96" t="str">
        <f t="shared" si="31"/>
        <v/>
      </c>
      <c r="BA221" s="99" t="str">
        <f t="shared" ca="1" si="37"/>
        <v/>
      </c>
      <c r="BB221" s="97" t="str">
        <f t="shared" si="32"/>
        <v/>
      </c>
      <c r="BC221" s="101" t="str">
        <f t="shared" ca="1" si="38"/>
        <v/>
      </c>
      <c r="BD221" s="100" t="str">
        <f t="shared" si="33"/>
        <v/>
      </c>
      <c r="BE221" s="103">
        <f t="shared" ca="1" si="39"/>
        <v>52054</v>
      </c>
      <c r="BF221" s="102">
        <f t="shared" si="34"/>
        <v>-18138.544377630071</v>
      </c>
    </row>
    <row r="222" spans="48:58" hidden="1" x14ac:dyDescent="0.25">
      <c r="AV222">
        <v>197</v>
      </c>
      <c r="AW222" s="94" t="str">
        <f t="shared" ca="1" si="35"/>
        <v/>
      </c>
      <c r="AX222" s="95" t="str">
        <f t="shared" si="30"/>
        <v/>
      </c>
      <c r="AY222" s="98" t="str">
        <f t="shared" ca="1" si="36"/>
        <v/>
      </c>
      <c r="AZ222" s="96" t="str">
        <f t="shared" si="31"/>
        <v/>
      </c>
      <c r="BA222" s="99" t="str">
        <f t="shared" ca="1" si="37"/>
        <v/>
      </c>
      <c r="BB222" s="97" t="str">
        <f t="shared" si="32"/>
        <v/>
      </c>
      <c r="BC222" s="101" t="str">
        <f t="shared" ca="1" si="38"/>
        <v/>
      </c>
      <c r="BD222" s="100" t="str">
        <f t="shared" si="33"/>
        <v/>
      </c>
      <c r="BE222" s="103">
        <f t="shared" ca="1" si="39"/>
        <v>52085</v>
      </c>
      <c r="BF222" s="102">
        <f t="shared" si="34"/>
        <v>-18138.544377630071</v>
      </c>
    </row>
    <row r="223" spans="48:58" hidden="1" x14ac:dyDescent="0.25">
      <c r="AV223">
        <v>198</v>
      </c>
      <c r="AW223" s="94" t="str">
        <f t="shared" ca="1" si="35"/>
        <v/>
      </c>
      <c r="AX223" s="95" t="str">
        <f t="shared" si="30"/>
        <v/>
      </c>
      <c r="AY223" s="98" t="str">
        <f t="shared" ca="1" si="36"/>
        <v/>
      </c>
      <c r="AZ223" s="96" t="str">
        <f t="shared" si="31"/>
        <v/>
      </c>
      <c r="BA223" s="99" t="str">
        <f t="shared" ca="1" si="37"/>
        <v/>
      </c>
      <c r="BB223" s="97" t="str">
        <f t="shared" si="32"/>
        <v/>
      </c>
      <c r="BC223" s="101" t="str">
        <f t="shared" ca="1" si="38"/>
        <v/>
      </c>
      <c r="BD223" s="100" t="str">
        <f t="shared" si="33"/>
        <v/>
      </c>
      <c r="BE223" s="103">
        <f t="shared" ca="1" si="39"/>
        <v>52116</v>
      </c>
      <c r="BF223" s="102">
        <f t="shared" si="34"/>
        <v>-18138.544377630071</v>
      </c>
    </row>
    <row r="224" spans="48:58" hidden="1" x14ac:dyDescent="0.25">
      <c r="AV224">
        <v>199</v>
      </c>
      <c r="AW224" s="94" t="str">
        <f t="shared" ca="1" si="35"/>
        <v/>
      </c>
      <c r="AX224" s="95" t="str">
        <f t="shared" si="30"/>
        <v/>
      </c>
      <c r="AY224" s="98" t="str">
        <f t="shared" ca="1" si="36"/>
        <v/>
      </c>
      <c r="AZ224" s="96" t="str">
        <f t="shared" si="31"/>
        <v/>
      </c>
      <c r="BA224" s="99" t="str">
        <f t="shared" ca="1" si="37"/>
        <v/>
      </c>
      <c r="BB224" s="97" t="str">
        <f t="shared" si="32"/>
        <v/>
      </c>
      <c r="BC224" s="101" t="str">
        <f t="shared" ca="1" si="38"/>
        <v/>
      </c>
      <c r="BD224" s="100" t="str">
        <f t="shared" si="33"/>
        <v/>
      </c>
      <c r="BE224" s="103">
        <f t="shared" ca="1" si="39"/>
        <v>52146</v>
      </c>
      <c r="BF224" s="102">
        <f t="shared" si="34"/>
        <v>-18138.544377630071</v>
      </c>
    </row>
    <row r="225" spans="48:58" hidden="1" x14ac:dyDescent="0.25">
      <c r="AV225">
        <v>200</v>
      </c>
      <c r="AW225" s="94" t="str">
        <f t="shared" ca="1" si="35"/>
        <v/>
      </c>
      <c r="AX225" s="95" t="str">
        <f t="shared" si="30"/>
        <v/>
      </c>
      <c r="AY225" s="98" t="str">
        <f t="shared" ca="1" si="36"/>
        <v/>
      </c>
      <c r="AZ225" s="96" t="str">
        <f t="shared" si="31"/>
        <v/>
      </c>
      <c r="BA225" s="99" t="str">
        <f t="shared" ca="1" si="37"/>
        <v/>
      </c>
      <c r="BB225" s="97" t="str">
        <f t="shared" si="32"/>
        <v/>
      </c>
      <c r="BC225" s="101" t="str">
        <f t="shared" ca="1" si="38"/>
        <v/>
      </c>
      <c r="BD225" s="100" t="str">
        <f t="shared" si="33"/>
        <v/>
      </c>
      <c r="BE225" s="103">
        <f t="shared" ca="1" si="39"/>
        <v>52177</v>
      </c>
      <c r="BF225" s="102">
        <f t="shared" si="34"/>
        <v>-18138.544377630071</v>
      </c>
    </row>
    <row r="226" spans="48:58" hidden="1" x14ac:dyDescent="0.25">
      <c r="AV226">
        <v>201</v>
      </c>
      <c r="AW226" s="94" t="str">
        <f t="shared" ca="1" si="35"/>
        <v/>
      </c>
      <c r="AX226" s="95" t="str">
        <f t="shared" si="30"/>
        <v/>
      </c>
      <c r="AY226" s="98" t="str">
        <f t="shared" ca="1" si="36"/>
        <v/>
      </c>
      <c r="AZ226" s="96" t="str">
        <f t="shared" si="31"/>
        <v/>
      </c>
      <c r="BA226" s="99" t="str">
        <f t="shared" ca="1" si="37"/>
        <v/>
      </c>
      <c r="BB226" s="97" t="str">
        <f t="shared" si="32"/>
        <v/>
      </c>
      <c r="BC226" s="101" t="str">
        <f t="shared" ca="1" si="38"/>
        <v/>
      </c>
      <c r="BD226" s="100" t="str">
        <f t="shared" si="33"/>
        <v/>
      </c>
      <c r="BE226" s="103">
        <f t="shared" ca="1" si="39"/>
        <v>52207</v>
      </c>
      <c r="BF226" s="102">
        <f t="shared" si="34"/>
        <v>-18138.544377630071</v>
      </c>
    </row>
    <row r="227" spans="48:58" hidden="1" x14ac:dyDescent="0.25">
      <c r="AV227">
        <v>202</v>
      </c>
      <c r="AW227" s="94" t="str">
        <f t="shared" ca="1" si="35"/>
        <v/>
      </c>
      <c r="AX227" s="95" t="str">
        <f t="shared" si="30"/>
        <v/>
      </c>
      <c r="AY227" s="98" t="str">
        <f t="shared" ca="1" si="36"/>
        <v/>
      </c>
      <c r="AZ227" s="96" t="str">
        <f t="shared" si="31"/>
        <v/>
      </c>
      <c r="BA227" s="99" t="str">
        <f t="shared" ca="1" si="37"/>
        <v/>
      </c>
      <c r="BB227" s="97" t="str">
        <f t="shared" si="32"/>
        <v/>
      </c>
      <c r="BC227" s="101" t="str">
        <f t="shared" ca="1" si="38"/>
        <v/>
      </c>
      <c r="BD227" s="100" t="str">
        <f t="shared" si="33"/>
        <v/>
      </c>
      <c r="BE227" s="103">
        <f t="shared" ca="1" si="39"/>
        <v>52238</v>
      </c>
      <c r="BF227" s="102">
        <f t="shared" si="34"/>
        <v>-18138.544377630071</v>
      </c>
    </row>
    <row r="228" spans="48:58" hidden="1" x14ac:dyDescent="0.25">
      <c r="AV228">
        <v>203</v>
      </c>
      <c r="AW228" s="94" t="str">
        <f t="shared" ca="1" si="35"/>
        <v/>
      </c>
      <c r="AX228" s="95" t="str">
        <f t="shared" si="30"/>
        <v/>
      </c>
      <c r="AY228" s="98" t="str">
        <f t="shared" ca="1" si="36"/>
        <v/>
      </c>
      <c r="AZ228" s="96" t="str">
        <f t="shared" si="31"/>
        <v/>
      </c>
      <c r="BA228" s="99" t="str">
        <f t="shared" ca="1" si="37"/>
        <v/>
      </c>
      <c r="BB228" s="97" t="str">
        <f t="shared" si="32"/>
        <v/>
      </c>
      <c r="BC228" s="101" t="str">
        <f t="shared" ca="1" si="38"/>
        <v/>
      </c>
      <c r="BD228" s="100" t="str">
        <f t="shared" si="33"/>
        <v/>
      </c>
      <c r="BE228" s="103">
        <f t="shared" ca="1" si="39"/>
        <v>52269</v>
      </c>
      <c r="BF228" s="102">
        <f t="shared" si="34"/>
        <v>-18138.544377630071</v>
      </c>
    </row>
    <row r="229" spans="48:58" hidden="1" x14ac:dyDescent="0.25">
      <c r="AV229">
        <v>204</v>
      </c>
      <c r="AW229" s="94" t="str">
        <f t="shared" ca="1" si="35"/>
        <v/>
      </c>
      <c r="AX229" s="95" t="str">
        <f t="shared" si="30"/>
        <v/>
      </c>
      <c r="AY229" s="98" t="str">
        <f t="shared" ca="1" si="36"/>
        <v/>
      </c>
      <c r="AZ229" s="96" t="str">
        <f t="shared" si="31"/>
        <v/>
      </c>
      <c r="BA229" s="99" t="str">
        <f t="shared" ca="1" si="37"/>
        <v/>
      </c>
      <c r="BB229" s="97" t="str">
        <f t="shared" si="32"/>
        <v/>
      </c>
      <c r="BC229" s="101" t="str">
        <f t="shared" ca="1" si="38"/>
        <v/>
      </c>
      <c r="BD229" s="100" t="str">
        <f t="shared" si="33"/>
        <v/>
      </c>
      <c r="BE229" s="103">
        <f t="shared" ca="1" si="39"/>
        <v>52297</v>
      </c>
      <c r="BF229" s="102">
        <f t="shared" si="34"/>
        <v>-18138.544377630071</v>
      </c>
    </row>
    <row r="230" spans="48:58" hidden="1" x14ac:dyDescent="0.25">
      <c r="AV230">
        <v>205</v>
      </c>
      <c r="AW230" s="94" t="str">
        <f t="shared" ca="1" si="35"/>
        <v/>
      </c>
      <c r="AX230" s="95" t="str">
        <f t="shared" si="30"/>
        <v/>
      </c>
      <c r="AY230" s="98" t="str">
        <f t="shared" ca="1" si="36"/>
        <v/>
      </c>
      <c r="AZ230" s="96" t="str">
        <f t="shared" si="31"/>
        <v/>
      </c>
      <c r="BA230" s="99" t="str">
        <f t="shared" ca="1" si="37"/>
        <v/>
      </c>
      <c r="BB230" s="97" t="str">
        <f t="shared" si="32"/>
        <v/>
      </c>
      <c r="BC230" s="101" t="str">
        <f t="shared" ca="1" si="38"/>
        <v/>
      </c>
      <c r="BD230" s="100" t="str">
        <f t="shared" si="33"/>
        <v/>
      </c>
      <c r="BE230" s="103">
        <f t="shared" ca="1" si="39"/>
        <v>52328</v>
      </c>
      <c r="BF230" s="102">
        <f t="shared" si="34"/>
        <v>-18138.544377630071</v>
      </c>
    </row>
    <row r="231" spans="48:58" hidden="1" x14ac:dyDescent="0.25">
      <c r="AV231">
        <v>206</v>
      </c>
      <c r="AW231" s="94" t="str">
        <f t="shared" ca="1" si="35"/>
        <v/>
      </c>
      <c r="AX231" s="95" t="str">
        <f t="shared" si="30"/>
        <v/>
      </c>
      <c r="AY231" s="98" t="str">
        <f t="shared" ca="1" si="36"/>
        <v/>
      </c>
      <c r="AZ231" s="96" t="str">
        <f t="shared" si="31"/>
        <v/>
      </c>
      <c r="BA231" s="99" t="str">
        <f t="shared" ca="1" si="37"/>
        <v/>
      </c>
      <c r="BB231" s="97" t="str">
        <f t="shared" si="32"/>
        <v/>
      </c>
      <c r="BC231" s="101" t="str">
        <f t="shared" ca="1" si="38"/>
        <v/>
      </c>
      <c r="BD231" s="100" t="str">
        <f t="shared" si="33"/>
        <v/>
      </c>
      <c r="BE231" s="103">
        <f t="shared" ca="1" si="39"/>
        <v>52358</v>
      </c>
      <c r="BF231" s="102">
        <f t="shared" si="34"/>
        <v>-18138.544377630071</v>
      </c>
    </row>
    <row r="232" spans="48:58" hidden="1" x14ac:dyDescent="0.25">
      <c r="AV232">
        <v>207</v>
      </c>
      <c r="AW232" s="94" t="str">
        <f t="shared" ca="1" si="35"/>
        <v/>
      </c>
      <c r="AX232" s="95" t="str">
        <f t="shared" si="30"/>
        <v/>
      </c>
      <c r="AY232" s="98" t="str">
        <f t="shared" ca="1" si="36"/>
        <v/>
      </c>
      <c r="AZ232" s="96" t="str">
        <f t="shared" si="31"/>
        <v/>
      </c>
      <c r="BA232" s="99" t="str">
        <f t="shared" ca="1" si="37"/>
        <v/>
      </c>
      <c r="BB232" s="97" t="str">
        <f t="shared" si="32"/>
        <v/>
      </c>
      <c r="BC232" s="101" t="str">
        <f t="shared" ca="1" si="38"/>
        <v/>
      </c>
      <c r="BD232" s="100" t="str">
        <f t="shared" si="33"/>
        <v/>
      </c>
      <c r="BE232" s="103">
        <f t="shared" ca="1" si="39"/>
        <v>52389</v>
      </c>
      <c r="BF232" s="102">
        <f t="shared" si="34"/>
        <v>-18138.544377630071</v>
      </c>
    </row>
    <row r="233" spans="48:58" hidden="1" x14ac:dyDescent="0.25">
      <c r="AV233">
        <v>208</v>
      </c>
      <c r="AW233" s="94" t="str">
        <f t="shared" ca="1" si="35"/>
        <v/>
      </c>
      <c r="AX233" s="95" t="str">
        <f t="shared" si="30"/>
        <v/>
      </c>
      <c r="AY233" s="98" t="str">
        <f t="shared" ca="1" si="36"/>
        <v/>
      </c>
      <c r="AZ233" s="96" t="str">
        <f t="shared" si="31"/>
        <v/>
      </c>
      <c r="BA233" s="99" t="str">
        <f t="shared" ca="1" si="37"/>
        <v/>
      </c>
      <c r="BB233" s="97" t="str">
        <f t="shared" si="32"/>
        <v/>
      </c>
      <c r="BC233" s="101" t="str">
        <f t="shared" ca="1" si="38"/>
        <v/>
      </c>
      <c r="BD233" s="100" t="str">
        <f t="shared" si="33"/>
        <v/>
      </c>
      <c r="BE233" s="103">
        <f t="shared" ca="1" si="39"/>
        <v>52419</v>
      </c>
      <c r="BF233" s="102">
        <f t="shared" si="34"/>
        <v>-18138.544377630071</v>
      </c>
    </row>
    <row r="234" spans="48:58" hidden="1" x14ac:dyDescent="0.25">
      <c r="AV234">
        <v>209</v>
      </c>
      <c r="AW234" s="94" t="str">
        <f t="shared" ca="1" si="35"/>
        <v/>
      </c>
      <c r="AX234" s="95" t="str">
        <f t="shared" si="30"/>
        <v/>
      </c>
      <c r="AY234" s="98" t="str">
        <f t="shared" ca="1" si="36"/>
        <v/>
      </c>
      <c r="AZ234" s="96" t="str">
        <f t="shared" si="31"/>
        <v/>
      </c>
      <c r="BA234" s="99" t="str">
        <f t="shared" ca="1" si="37"/>
        <v/>
      </c>
      <c r="BB234" s="97" t="str">
        <f t="shared" si="32"/>
        <v/>
      </c>
      <c r="BC234" s="101" t="str">
        <f t="shared" ca="1" si="38"/>
        <v/>
      </c>
      <c r="BD234" s="100" t="str">
        <f t="shared" si="33"/>
        <v/>
      </c>
      <c r="BE234" s="103">
        <f t="shared" ca="1" si="39"/>
        <v>52450</v>
      </c>
      <c r="BF234" s="102">
        <f t="shared" si="34"/>
        <v>-18138.544377630071</v>
      </c>
    </row>
    <row r="235" spans="48:58" hidden="1" x14ac:dyDescent="0.25">
      <c r="AV235">
        <v>210</v>
      </c>
      <c r="AW235" s="94" t="str">
        <f t="shared" ca="1" si="35"/>
        <v/>
      </c>
      <c r="AX235" s="95" t="str">
        <f t="shared" si="30"/>
        <v/>
      </c>
      <c r="AY235" s="98" t="str">
        <f t="shared" ca="1" si="36"/>
        <v/>
      </c>
      <c r="AZ235" s="96" t="str">
        <f t="shared" si="31"/>
        <v/>
      </c>
      <c r="BA235" s="99" t="str">
        <f t="shared" ca="1" si="37"/>
        <v/>
      </c>
      <c r="BB235" s="97" t="str">
        <f t="shared" si="32"/>
        <v/>
      </c>
      <c r="BC235" s="101" t="str">
        <f t="shared" ca="1" si="38"/>
        <v/>
      </c>
      <c r="BD235" s="100" t="str">
        <f t="shared" si="33"/>
        <v/>
      </c>
      <c r="BE235" s="103">
        <f t="shared" ca="1" si="39"/>
        <v>52481</v>
      </c>
      <c r="BF235" s="102">
        <f t="shared" si="34"/>
        <v>-18138.544377630071</v>
      </c>
    </row>
    <row r="236" spans="48:58" hidden="1" x14ac:dyDescent="0.25">
      <c r="AV236">
        <v>211</v>
      </c>
      <c r="AW236" s="94" t="str">
        <f t="shared" ca="1" si="35"/>
        <v/>
      </c>
      <c r="AX236" s="95" t="str">
        <f t="shared" si="30"/>
        <v/>
      </c>
      <c r="AY236" s="98" t="str">
        <f t="shared" ca="1" si="36"/>
        <v/>
      </c>
      <c r="AZ236" s="96" t="str">
        <f t="shared" si="31"/>
        <v/>
      </c>
      <c r="BA236" s="99" t="str">
        <f t="shared" ca="1" si="37"/>
        <v/>
      </c>
      <c r="BB236" s="97" t="str">
        <f t="shared" si="32"/>
        <v/>
      </c>
      <c r="BC236" s="101" t="str">
        <f t="shared" ca="1" si="38"/>
        <v/>
      </c>
      <c r="BD236" s="100" t="str">
        <f t="shared" si="33"/>
        <v/>
      </c>
      <c r="BE236" s="103">
        <f t="shared" ca="1" si="39"/>
        <v>52511</v>
      </c>
      <c r="BF236" s="102">
        <f t="shared" si="34"/>
        <v>-18138.544377630071</v>
      </c>
    </row>
    <row r="237" spans="48:58" hidden="1" x14ac:dyDescent="0.25">
      <c r="AV237">
        <v>212</v>
      </c>
      <c r="AW237" s="94" t="str">
        <f t="shared" ca="1" si="35"/>
        <v/>
      </c>
      <c r="AX237" s="95" t="str">
        <f t="shared" si="30"/>
        <v/>
      </c>
      <c r="AY237" s="98" t="str">
        <f t="shared" ca="1" si="36"/>
        <v/>
      </c>
      <c r="AZ237" s="96" t="str">
        <f t="shared" si="31"/>
        <v/>
      </c>
      <c r="BA237" s="99" t="str">
        <f t="shared" ca="1" si="37"/>
        <v/>
      </c>
      <c r="BB237" s="97" t="str">
        <f t="shared" si="32"/>
        <v/>
      </c>
      <c r="BC237" s="101" t="str">
        <f t="shared" ca="1" si="38"/>
        <v/>
      </c>
      <c r="BD237" s="100" t="str">
        <f t="shared" si="33"/>
        <v/>
      </c>
      <c r="BE237" s="103">
        <f t="shared" ca="1" si="39"/>
        <v>52542</v>
      </c>
      <c r="BF237" s="102">
        <f t="shared" si="34"/>
        <v>-18138.544377630071</v>
      </c>
    </row>
    <row r="238" spans="48:58" hidden="1" x14ac:dyDescent="0.25">
      <c r="AV238">
        <v>213</v>
      </c>
      <c r="AW238" s="94" t="str">
        <f t="shared" ca="1" si="35"/>
        <v/>
      </c>
      <c r="AX238" s="95" t="str">
        <f t="shared" si="30"/>
        <v/>
      </c>
      <c r="AY238" s="98" t="str">
        <f t="shared" ca="1" si="36"/>
        <v/>
      </c>
      <c r="AZ238" s="96" t="str">
        <f t="shared" si="31"/>
        <v/>
      </c>
      <c r="BA238" s="99" t="str">
        <f t="shared" ca="1" si="37"/>
        <v/>
      </c>
      <c r="BB238" s="97" t="str">
        <f t="shared" si="32"/>
        <v/>
      </c>
      <c r="BC238" s="101" t="str">
        <f t="shared" ca="1" si="38"/>
        <v/>
      </c>
      <c r="BD238" s="100" t="str">
        <f t="shared" si="33"/>
        <v/>
      </c>
      <c r="BE238" s="103">
        <f t="shared" ca="1" si="39"/>
        <v>52572</v>
      </c>
      <c r="BF238" s="102">
        <f t="shared" si="34"/>
        <v>-18138.544377630071</v>
      </c>
    </row>
    <row r="239" spans="48:58" hidden="1" x14ac:dyDescent="0.25">
      <c r="AV239">
        <v>214</v>
      </c>
      <c r="AW239" s="94" t="str">
        <f t="shared" ca="1" si="35"/>
        <v/>
      </c>
      <c r="AX239" s="95" t="str">
        <f t="shared" si="30"/>
        <v/>
      </c>
      <c r="AY239" s="98" t="str">
        <f t="shared" ca="1" si="36"/>
        <v/>
      </c>
      <c r="AZ239" s="96" t="str">
        <f t="shared" si="31"/>
        <v/>
      </c>
      <c r="BA239" s="99" t="str">
        <f t="shared" ca="1" si="37"/>
        <v/>
      </c>
      <c r="BB239" s="97" t="str">
        <f t="shared" si="32"/>
        <v/>
      </c>
      <c r="BC239" s="101" t="str">
        <f t="shared" ca="1" si="38"/>
        <v/>
      </c>
      <c r="BD239" s="100" t="str">
        <f t="shared" si="33"/>
        <v/>
      </c>
      <c r="BE239" s="103">
        <f t="shared" ca="1" si="39"/>
        <v>52603</v>
      </c>
      <c r="BF239" s="102">
        <f t="shared" si="34"/>
        <v>-18138.544377630071</v>
      </c>
    </row>
    <row r="240" spans="48:58" hidden="1" x14ac:dyDescent="0.25">
      <c r="AV240">
        <v>215</v>
      </c>
      <c r="AW240" s="94" t="str">
        <f t="shared" ca="1" si="35"/>
        <v/>
      </c>
      <c r="AX240" s="95" t="str">
        <f t="shared" si="30"/>
        <v/>
      </c>
      <c r="AY240" s="98" t="str">
        <f t="shared" ca="1" si="36"/>
        <v/>
      </c>
      <c r="AZ240" s="96" t="str">
        <f t="shared" si="31"/>
        <v/>
      </c>
      <c r="BA240" s="99" t="str">
        <f t="shared" ca="1" si="37"/>
        <v/>
      </c>
      <c r="BB240" s="97" t="str">
        <f t="shared" si="32"/>
        <v/>
      </c>
      <c r="BC240" s="101" t="str">
        <f t="shared" ca="1" si="38"/>
        <v/>
      </c>
      <c r="BD240" s="100" t="str">
        <f t="shared" si="33"/>
        <v/>
      </c>
      <c r="BE240" s="103">
        <f t="shared" ca="1" si="39"/>
        <v>52634</v>
      </c>
      <c r="BF240" s="102">
        <f t="shared" si="34"/>
        <v>-18138.544377630071</v>
      </c>
    </row>
    <row r="241" spans="48:58" hidden="1" x14ac:dyDescent="0.25">
      <c r="AV241">
        <v>216</v>
      </c>
      <c r="AW241" s="94" t="str">
        <f t="shared" ca="1" si="35"/>
        <v/>
      </c>
      <c r="AX241" s="95" t="str">
        <f t="shared" si="30"/>
        <v/>
      </c>
      <c r="AY241" s="98" t="str">
        <f t="shared" ca="1" si="36"/>
        <v/>
      </c>
      <c r="AZ241" s="96" t="str">
        <f t="shared" si="31"/>
        <v/>
      </c>
      <c r="BA241" s="99" t="str">
        <f t="shared" ca="1" si="37"/>
        <v/>
      </c>
      <c r="BB241" s="97" t="str">
        <f t="shared" si="32"/>
        <v/>
      </c>
      <c r="BC241" s="101" t="str">
        <f t="shared" ca="1" si="38"/>
        <v/>
      </c>
      <c r="BD241" s="100" t="str">
        <f t="shared" si="33"/>
        <v/>
      </c>
      <c r="BE241" s="103">
        <f t="shared" ca="1" si="39"/>
        <v>52663</v>
      </c>
      <c r="BF241" s="102">
        <f t="shared" si="34"/>
        <v>-18138.544377630071</v>
      </c>
    </row>
    <row r="242" spans="48:58" hidden="1" x14ac:dyDescent="0.25">
      <c r="AV242">
        <v>217</v>
      </c>
      <c r="AW242" s="94" t="str">
        <f t="shared" ca="1" si="35"/>
        <v/>
      </c>
      <c r="AX242" s="95" t="str">
        <f t="shared" si="30"/>
        <v/>
      </c>
      <c r="AY242" s="98" t="str">
        <f t="shared" ca="1" si="36"/>
        <v/>
      </c>
      <c r="AZ242" s="96" t="str">
        <f t="shared" si="31"/>
        <v/>
      </c>
      <c r="BA242" s="99" t="str">
        <f t="shared" ca="1" si="37"/>
        <v/>
      </c>
      <c r="BB242" s="97" t="str">
        <f t="shared" si="32"/>
        <v/>
      </c>
      <c r="BC242" s="101" t="str">
        <f t="shared" ca="1" si="38"/>
        <v/>
      </c>
      <c r="BD242" s="100" t="str">
        <f t="shared" si="33"/>
        <v/>
      </c>
      <c r="BE242" s="103">
        <f t="shared" ca="1" si="39"/>
        <v>52694</v>
      </c>
      <c r="BF242" s="102">
        <f t="shared" si="34"/>
        <v>-18138.544377630071</v>
      </c>
    </row>
    <row r="243" spans="48:58" hidden="1" x14ac:dyDescent="0.25">
      <c r="AV243">
        <v>218</v>
      </c>
      <c r="AW243" s="94" t="str">
        <f t="shared" ca="1" si="35"/>
        <v/>
      </c>
      <c r="AX243" s="95" t="str">
        <f t="shared" si="30"/>
        <v/>
      </c>
      <c r="AY243" s="98" t="str">
        <f t="shared" ca="1" si="36"/>
        <v/>
      </c>
      <c r="AZ243" s="96" t="str">
        <f t="shared" si="31"/>
        <v/>
      </c>
      <c r="BA243" s="99" t="str">
        <f t="shared" ca="1" si="37"/>
        <v/>
      </c>
      <c r="BB243" s="97" t="str">
        <f t="shared" si="32"/>
        <v/>
      </c>
      <c r="BC243" s="101" t="str">
        <f t="shared" ca="1" si="38"/>
        <v/>
      </c>
      <c r="BD243" s="100" t="str">
        <f t="shared" si="33"/>
        <v/>
      </c>
      <c r="BE243" s="103">
        <f t="shared" ca="1" si="39"/>
        <v>52724</v>
      </c>
      <c r="BF243" s="102">
        <f t="shared" si="34"/>
        <v>-18138.544377630071</v>
      </c>
    </row>
    <row r="244" spans="48:58" hidden="1" x14ac:dyDescent="0.25">
      <c r="AV244">
        <v>219</v>
      </c>
      <c r="AW244" s="94" t="str">
        <f t="shared" ca="1" si="35"/>
        <v/>
      </c>
      <c r="AX244" s="95" t="str">
        <f t="shared" si="30"/>
        <v/>
      </c>
      <c r="AY244" s="98" t="str">
        <f t="shared" ca="1" si="36"/>
        <v/>
      </c>
      <c r="AZ244" s="96" t="str">
        <f t="shared" si="31"/>
        <v/>
      </c>
      <c r="BA244" s="99" t="str">
        <f t="shared" ca="1" si="37"/>
        <v/>
      </c>
      <c r="BB244" s="97" t="str">
        <f t="shared" si="32"/>
        <v/>
      </c>
      <c r="BC244" s="101" t="str">
        <f t="shared" ca="1" si="38"/>
        <v/>
      </c>
      <c r="BD244" s="100" t="str">
        <f t="shared" si="33"/>
        <v/>
      </c>
      <c r="BE244" s="103">
        <f t="shared" ca="1" si="39"/>
        <v>52755</v>
      </c>
      <c r="BF244" s="102">
        <f t="shared" si="34"/>
        <v>-18138.544377630071</v>
      </c>
    </row>
    <row r="245" spans="48:58" hidden="1" x14ac:dyDescent="0.25">
      <c r="AV245">
        <v>220</v>
      </c>
      <c r="AW245" s="94" t="str">
        <f t="shared" ca="1" si="35"/>
        <v/>
      </c>
      <c r="AX245" s="95" t="str">
        <f t="shared" si="30"/>
        <v/>
      </c>
      <c r="AY245" s="98" t="str">
        <f t="shared" ca="1" si="36"/>
        <v/>
      </c>
      <c r="AZ245" s="96" t="str">
        <f t="shared" si="31"/>
        <v/>
      </c>
      <c r="BA245" s="99" t="str">
        <f t="shared" ca="1" si="37"/>
        <v/>
      </c>
      <c r="BB245" s="97" t="str">
        <f t="shared" si="32"/>
        <v/>
      </c>
      <c r="BC245" s="101" t="str">
        <f t="shared" ca="1" si="38"/>
        <v/>
      </c>
      <c r="BD245" s="100" t="str">
        <f t="shared" si="33"/>
        <v/>
      </c>
      <c r="BE245" s="103">
        <f t="shared" ca="1" si="39"/>
        <v>52785</v>
      </c>
      <c r="BF245" s="102">
        <f t="shared" si="34"/>
        <v>-18138.544377630071</v>
      </c>
    </row>
    <row r="246" spans="48:58" hidden="1" x14ac:dyDescent="0.25">
      <c r="AV246">
        <v>221</v>
      </c>
      <c r="AW246" s="94" t="str">
        <f t="shared" ca="1" si="35"/>
        <v/>
      </c>
      <c r="AX246" s="95" t="str">
        <f t="shared" si="30"/>
        <v/>
      </c>
      <c r="AY246" s="98" t="str">
        <f t="shared" ca="1" si="36"/>
        <v/>
      </c>
      <c r="AZ246" s="96" t="str">
        <f t="shared" si="31"/>
        <v/>
      </c>
      <c r="BA246" s="99" t="str">
        <f t="shared" ca="1" si="37"/>
        <v/>
      </c>
      <c r="BB246" s="97" t="str">
        <f t="shared" si="32"/>
        <v/>
      </c>
      <c r="BC246" s="101" t="str">
        <f t="shared" ca="1" si="38"/>
        <v/>
      </c>
      <c r="BD246" s="100" t="str">
        <f t="shared" si="33"/>
        <v/>
      </c>
      <c r="BE246" s="103">
        <f t="shared" ca="1" si="39"/>
        <v>52816</v>
      </c>
      <c r="BF246" s="102">
        <f t="shared" si="34"/>
        <v>-18138.544377630071</v>
      </c>
    </row>
    <row r="247" spans="48:58" hidden="1" x14ac:dyDescent="0.25">
      <c r="AV247">
        <v>222</v>
      </c>
      <c r="AW247" s="94" t="str">
        <f t="shared" ca="1" si="35"/>
        <v/>
      </c>
      <c r="AX247" s="95" t="str">
        <f t="shared" si="30"/>
        <v/>
      </c>
      <c r="AY247" s="98" t="str">
        <f t="shared" ca="1" si="36"/>
        <v/>
      </c>
      <c r="AZ247" s="96" t="str">
        <f t="shared" si="31"/>
        <v/>
      </c>
      <c r="BA247" s="99" t="str">
        <f t="shared" ca="1" si="37"/>
        <v/>
      </c>
      <c r="BB247" s="97" t="str">
        <f t="shared" si="32"/>
        <v/>
      </c>
      <c r="BC247" s="101" t="str">
        <f t="shared" ca="1" si="38"/>
        <v/>
      </c>
      <c r="BD247" s="100" t="str">
        <f t="shared" si="33"/>
        <v/>
      </c>
      <c r="BE247" s="103">
        <f t="shared" ca="1" si="39"/>
        <v>52847</v>
      </c>
      <c r="BF247" s="102">
        <f t="shared" si="34"/>
        <v>-18138.544377630071</v>
      </c>
    </row>
    <row r="248" spans="48:58" hidden="1" x14ac:dyDescent="0.25">
      <c r="AV248">
        <v>223</v>
      </c>
      <c r="AW248" s="94" t="str">
        <f t="shared" ca="1" si="35"/>
        <v/>
      </c>
      <c r="AX248" s="95" t="str">
        <f t="shared" si="30"/>
        <v/>
      </c>
      <c r="AY248" s="98" t="str">
        <f t="shared" ca="1" si="36"/>
        <v/>
      </c>
      <c r="AZ248" s="96" t="str">
        <f t="shared" si="31"/>
        <v/>
      </c>
      <c r="BA248" s="99" t="str">
        <f t="shared" ca="1" si="37"/>
        <v/>
      </c>
      <c r="BB248" s="97" t="str">
        <f t="shared" si="32"/>
        <v/>
      </c>
      <c r="BC248" s="101" t="str">
        <f t="shared" ca="1" si="38"/>
        <v/>
      </c>
      <c r="BD248" s="100" t="str">
        <f t="shared" si="33"/>
        <v/>
      </c>
      <c r="BE248" s="103">
        <f t="shared" ca="1" si="39"/>
        <v>52877</v>
      </c>
      <c r="BF248" s="102">
        <f t="shared" si="34"/>
        <v>-18138.544377630071</v>
      </c>
    </row>
    <row r="249" spans="48:58" hidden="1" x14ac:dyDescent="0.25">
      <c r="AV249">
        <v>224</v>
      </c>
      <c r="AW249" s="94" t="str">
        <f t="shared" ca="1" si="35"/>
        <v/>
      </c>
      <c r="AX249" s="95" t="str">
        <f t="shared" si="30"/>
        <v/>
      </c>
      <c r="AY249" s="98" t="str">
        <f t="shared" ca="1" si="36"/>
        <v/>
      </c>
      <c r="AZ249" s="96" t="str">
        <f t="shared" si="31"/>
        <v/>
      </c>
      <c r="BA249" s="99" t="str">
        <f t="shared" ca="1" si="37"/>
        <v/>
      </c>
      <c r="BB249" s="97" t="str">
        <f t="shared" si="32"/>
        <v/>
      </c>
      <c r="BC249" s="101" t="str">
        <f t="shared" ca="1" si="38"/>
        <v/>
      </c>
      <c r="BD249" s="100" t="str">
        <f t="shared" si="33"/>
        <v/>
      </c>
      <c r="BE249" s="103">
        <f t="shared" ca="1" si="39"/>
        <v>52908</v>
      </c>
      <c r="BF249" s="102">
        <f t="shared" si="34"/>
        <v>-18138.544377630071</v>
      </c>
    </row>
    <row r="250" spans="48:58" hidden="1" x14ac:dyDescent="0.25">
      <c r="AV250">
        <v>225</v>
      </c>
      <c r="AW250" s="94" t="str">
        <f t="shared" ca="1" si="35"/>
        <v/>
      </c>
      <c r="AX250" s="95" t="str">
        <f t="shared" si="30"/>
        <v/>
      </c>
      <c r="AY250" s="98" t="str">
        <f t="shared" ca="1" si="36"/>
        <v/>
      </c>
      <c r="AZ250" s="96" t="str">
        <f t="shared" si="31"/>
        <v/>
      </c>
      <c r="BA250" s="99" t="str">
        <f t="shared" ca="1" si="37"/>
        <v/>
      </c>
      <c r="BB250" s="97" t="str">
        <f t="shared" si="32"/>
        <v/>
      </c>
      <c r="BC250" s="101" t="str">
        <f t="shared" ca="1" si="38"/>
        <v/>
      </c>
      <c r="BD250" s="100" t="str">
        <f t="shared" si="33"/>
        <v/>
      </c>
      <c r="BE250" s="103">
        <f t="shared" ca="1" si="39"/>
        <v>52938</v>
      </c>
      <c r="BF250" s="102">
        <f t="shared" si="34"/>
        <v>-18138.544377630071</v>
      </c>
    </row>
    <row r="251" spans="48:58" hidden="1" x14ac:dyDescent="0.25">
      <c r="AV251">
        <v>226</v>
      </c>
      <c r="AW251" s="94" t="str">
        <f t="shared" ca="1" si="35"/>
        <v/>
      </c>
      <c r="AX251" s="95" t="str">
        <f t="shared" si="30"/>
        <v/>
      </c>
      <c r="AY251" s="98" t="str">
        <f t="shared" ca="1" si="36"/>
        <v/>
      </c>
      <c r="AZ251" s="96" t="str">
        <f t="shared" si="31"/>
        <v/>
      </c>
      <c r="BA251" s="99" t="str">
        <f t="shared" ca="1" si="37"/>
        <v/>
      </c>
      <c r="BB251" s="97" t="str">
        <f t="shared" si="32"/>
        <v/>
      </c>
      <c r="BC251" s="101" t="str">
        <f t="shared" ca="1" si="38"/>
        <v/>
      </c>
      <c r="BD251" s="100" t="str">
        <f t="shared" si="33"/>
        <v/>
      </c>
      <c r="BE251" s="103">
        <f t="shared" ca="1" si="39"/>
        <v>52969</v>
      </c>
      <c r="BF251" s="102">
        <f t="shared" si="34"/>
        <v>-18138.544377630071</v>
      </c>
    </row>
    <row r="252" spans="48:58" hidden="1" x14ac:dyDescent="0.25">
      <c r="AV252">
        <v>227</v>
      </c>
      <c r="AW252" s="94" t="str">
        <f t="shared" ca="1" si="35"/>
        <v/>
      </c>
      <c r="AX252" s="95" t="str">
        <f t="shared" si="30"/>
        <v/>
      </c>
      <c r="AY252" s="98" t="str">
        <f t="shared" ca="1" si="36"/>
        <v/>
      </c>
      <c r="AZ252" s="96" t="str">
        <f t="shared" si="31"/>
        <v/>
      </c>
      <c r="BA252" s="99" t="str">
        <f t="shared" ca="1" si="37"/>
        <v/>
      </c>
      <c r="BB252" s="97" t="str">
        <f t="shared" si="32"/>
        <v/>
      </c>
      <c r="BC252" s="101" t="str">
        <f t="shared" ca="1" si="38"/>
        <v/>
      </c>
      <c r="BD252" s="100" t="str">
        <f t="shared" si="33"/>
        <v/>
      </c>
      <c r="BE252" s="103">
        <f t="shared" ca="1" si="39"/>
        <v>53000</v>
      </c>
      <c r="BF252" s="102">
        <f t="shared" si="34"/>
        <v>-18138.544377630071</v>
      </c>
    </row>
    <row r="253" spans="48:58" hidden="1" x14ac:dyDescent="0.25">
      <c r="AV253">
        <v>228</v>
      </c>
      <c r="AW253" s="94" t="str">
        <f t="shared" ca="1" si="35"/>
        <v/>
      </c>
      <c r="AX253" s="95" t="str">
        <f t="shared" si="30"/>
        <v/>
      </c>
      <c r="AY253" s="98" t="str">
        <f t="shared" ca="1" si="36"/>
        <v/>
      </c>
      <c r="AZ253" s="96" t="str">
        <f t="shared" si="31"/>
        <v/>
      </c>
      <c r="BA253" s="99" t="str">
        <f t="shared" ca="1" si="37"/>
        <v/>
      </c>
      <c r="BB253" s="97" t="str">
        <f t="shared" si="32"/>
        <v/>
      </c>
      <c r="BC253" s="101" t="str">
        <f t="shared" ca="1" si="38"/>
        <v/>
      </c>
      <c r="BD253" s="100" t="str">
        <f t="shared" si="33"/>
        <v/>
      </c>
      <c r="BE253" s="103">
        <f t="shared" ca="1" si="39"/>
        <v>53028</v>
      </c>
      <c r="BF253" s="102">
        <f t="shared" si="34"/>
        <v>-18138.544377630071</v>
      </c>
    </row>
    <row r="254" spans="48:58" hidden="1" x14ac:dyDescent="0.25">
      <c r="AV254">
        <v>229</v>
      </c>
      <c r="AW254" s="94" t="str">
        <f t="shared" ca="1" si="35"/>
        <v/>
      </c>
      <c r="AX254" s="95" t="str">
        <f t="shared" si="30"/>
        <v/>
      </c>
      <c r="AY254" s="98" t="str">
        <f t="shared" ca="1" si="36"/>
        <v/>
      </c>
      <c r="AZ254" s="96" t="str">
        <f t="shared" si="31"/>
        <v/>
      </c>
      <c r="BA254" s="99" t="str">
        <f t="shared" ca="1" si="37"/>
        <v/>
      </c>
      <c r="BB254" s="97" t="str">
        <f t="shared" si="32"/>
        <v/>
      </c>
      <c r="BC254" s="101" t="str">
        <f t="shared" ca="1" si="38"/>
        <v/>
      </c>
      <c r="BD254" s="100" t="str">
        <f t="shared" si="33"/>
        <v/>
      </c>
      <c r="BE254" s="103">
        <f t="shared" ca="1" si="39"/>
        <v>53059</v>
      </c>
      <c r="BF254" s="102">
        <f t="shared" si="34"/>
        <v>-18138.544377630071</v>
      </c>
    </row>
    <row r="255" spans="48:58" hidden="1" x14ac:dyDescent="0.25">
      <c r="AV255">
        <v>230</v>
      </c>
      <c r="AW255" s="94" t="str">
        <f t="shared" ca="1" si="35"/>
        <v/>
      </c>
      <c r="AX255" s="95" t="str">
        <f t="shared" si="30"/>
        <v/>
      </c>
      <c r="AY255" s="98" t="str">
        <f t="shared" ca="1" si="36"/>
        <v/>
      </c>
      <c r="AZ255" s="96" t="str">
        <f t="shared" si="31"/>
        <v/>
      </c>
      <c r="BA255" s="99" t="str">
        <f t="shared" ca="1" si="37"/>
        <v/>
      </c>
      <c r="BB255" s="97" t="str">
        <f t="shared" si="32"/>
        <v/>
      </c>
      <c r="BC255" s="101" t="str">
        <f t="shared" ca="1" si="38"/>
        <v/>
      </c>
      <c r="BD255" s="100" t="str">
        <f t="shared" si="33"/>
        <v/>
      </c>
      <c r="BE255" s="103">
        <f t="shared" ca="1" si="39"/>
        <v>53089</v>
      </c>
      <c r="BF255" s="102">
        <f t="shared" si="34"/>
        <v>-18138.544377630071</v>
      </c>
    </row>
    <row r="256" spans="48:58" hidden="1" x14ac:dyDescent="0.25">
      <c r="AV256">
        <v>231</v>
      </c>
      <c r="AW256" s="94" t="str">
        <f t="shared" ca="1" si="35"/>
        <v/>
      </c>
      <c r="AX256" s="95" t="str">
        <f t="shared" si="30"/>
        <v/>
      </c>
      <c r="AY256" s="98" t="str">
        <f t="shared" ca="1" si="36"/>
        <v/>
      </c>
      <c r="AZ256" s="96" t="str">
        <f t="shared" si="31"/>
        <v/>
      </c>
      <c r="BA256" s="99" t="str">
        <f t="shared" ca="1" si="37"/>
        <v/>
      </c>
      <c r="BB256" s="97" t="str">
        <f t="shared" si="32"/>
        <v/>
      </c>
      <c r="BC256" s="101" t="str">
        <f t="shared" ca="1" si="38"/>
        <v/>
      </c>
      <c r="BD256" s="100" t="str">
        <f t="shared" si="33"/>
        <v/>
      </c>
      <c r="BE256" s="103">
        <f t="shared" ca="1" si="39"/>
        <v>53120</v>
      </c>
      <c r="BF256" s="102">
        <f t="shared" si="34"/>
        <v>-18138.544377630071</v>
      </c>
    </row>
    <row r="257" spans="48:58" hidden="1" x14ac:dyDescent="0.25">
      <c r="AV257">
        <v>232</v>
      </c>
      <c r="AW257" s="94" t="str">
        <f t="shared" ca="1" si="35"/>
        <v/>
      </c>
      <c r="AX257" s="95" t="str">
        <f t="shared" si="30"/>
        <v/>
      </c>
      <c r="AY257" s="98" t="str">
        <f t="shared" ca="1" si="36"/>
        <v/>
      </c>
      <c r="AZ257" s="96" t="str">
        <f t="shared" si="31"/>
        <v/>
      </c>
      <c r="BA257" s="99" t="str">
        <f t="shared" ca="1" si="37"/>
        <v/>
      </c>
      <c r="BB257" s="97" t="str">
        <f t="shared" si="32"/>
        <v/>
      </c>
      <c r="BC257" s="101" t="str">
        <f t="shared" ca="1" si="38"/>
        <v/>
      </c>
      <c r="BD257" s="100" t="str">
        <f t="shared" si="33"/>
        <v/>
      </c>
      <c r="BE257" s="103">
        <f t="shared" ca="1" si="39"/>
        <v>53150</v>
      </c>
      <c r="BF257" s="102">
        <f t="shared" si="34"/>
        <v>-18138.544377630071</v>
      </c>
    </row>
    <row r="258" spans="48:58" hidden="1" x14ac:dyDescent="0.25">
      <c r="AV258">
        <v>233</v>
      </c>
      <c r="AW258" s="94" t="str">
        <f t="shared" ca="1" si="35"/>
        <v/>
      </c>
      <c r="AX258" s="95" t="str">
        <f t="shared" si="30"/>
        <v/>
      </c>
      <c r="AY258" s="98" t="str">
        <f t="shared" ca="1" si="36"/>
        <v/>
      </c>
      <c r="AZ258" s="96" t="str">
        <f t="shared" si="31"/>
        <v/>
      </c>
      <c r="BA258" s="99" t="str">
        <f t="shared" ca="1" si="37"/>
        <v/>
      </c>
      <c r="BB258" s="97" t="str">
        <f t="shared" si="32"/>
        <v/>
      </c>
      <c r="BC258" s="101" t="str">
        <f t="shared" ca="1" si="38"/>
        <v/>
      </c>
      <c r="BD258" s="100" t="str">
        <f t="shared" si="33"/>
        <v/>
      </c>
      <c r="BE258" s="103">
        <f t="shared" ca="1" si="39"/>
        <v>53181</v>
      </c>
      <c r="BF258" s="102">
        <f t="shared" si="34"/>
        <v>-18138.544377630071</v>
      </c>
    </row>
    <row r="259" spans="48:58" hidden="1" x14ac:dyDescent="0.25">
      <c r="AV259">
        <v>234</v>
      </c>
      <c r="AW259" s="94" t="str">
        <f t="shared" ca="1" si="35"/>
        <v/>
      </c>
      <c r="AX259" s="95" t="str">
        <f t="shared" si="30"/>
        <v/>
      </c>
      <c r="AY259" s="98" t="str">
        <f t="shared" ca="1" si="36"/>
        <v/>
      </c>
      <c r="AZ259" s="96" t="str">
        <f t="shared" si="31"/>
        <v/>
      </c>
      <c r="BA259" s="99" t="str">
        <f t="shared" ca="1" si="37"/>
        <v/>
      </c>
      <c r="BB259" s="97" t="str">
        <f t="shared" si="32"/>
        <v/>
      </c>
      <c r="BC259" s="101" t="str">
        <f t="shared" ca="1" si="38"/>
        <v/>
      </c>
      <c r="BD259" s="100" t="str">
        <f t="shared" si="33"/>
        <v/>
      </c>
      <c r="BE259" s="103">
        <f t="shared" ca="1" si="39"/>
        <v>53212</v>
      </c>
      <c r="BF259" s="102">
        <f t="shared" si="34"/>
        <v>-18138.544377630071</v>
      </c>
    </row>
    <row r="260" spans="48:58" hidden="1" x14ac:dyDescent="0.25">
      <c r="AV260">
        <v>235</v>
      </c>
      <c r="AW260" s="94" t="str">
        <f t="shared" ca="1" si="35"/>
        <v/>
      </c>
      <c r="AX260" s="95" t="str">
        <f t="shared" si="30"/>
        <v/>
      </c>
      <c r="AY260" s="98" t="str">
        <f t="shared" ca="1" si="36"/>
        <v/>
      </c>
      <c r="AZ260" s="96" t="str">
        <f t="shared" si="31"/>
        <v/>
      </c>
      <c r="BA260" s="99" t="str">
        <f t="shared" ca="1" si="37"/>
        <v/>
      </c>
      <c r="BB260" s="97" t="str">
        <f t="shared" si="32"/>
        <v/>
      </c>
      <c r="BC260" s="101" t="str">
        <f t="shared" ca="1" si="38"/>
        <v/>
      </c>
      <c r="BD260" s="100" t="str">
        <f t="shared" si="33"/>
        <v/>
      </c>
      <c r="BE260" s="103">
        <f t="shared" ca="1" si="39"/>
        <v>53242</v>
      </c>
      <c r="BF260" s="102">
        <f t="shared" si="34"/>
        <v>-18138.544377630071</v>
      </c>
    </row>
    <row r="261" spans="48:58" hidden="1" x14ac:dyDescent="0.25">
      <c r="AV261">
        <v>236</v>
      </c>
      <c r="AW261" s="94" t="str">
        <f t="shared" ca="1" si="35"/>
        <v/>
      </c>
      <c r="AX261" s="95" t="str">
        <f t="shared" si="30"/>
        <v/>
      </c>
      <c r="AY261" s="98" t="str">
        <f t="shared" ca="1" si="36"/>
        <v/>
      </c>
      <c r="AZ261" s="96" t="str">
        <f t="shared" si="31"/>
        <v/>
      </c>
      <c r="BA261" s="99" t="str">
        <f t="shared" ca="1" si="37"/>
        <v/>
      </c>
      <c r="BB261" s="97" t="str">
        <f t="shared" si="32"/>
        <v/>
      </c>
      <c r="BC261" s="101" t="str">
        <f t="shared" ca="1" si="38"/>
        <v/>
      </c>
      <c r="BD261" s="100" t="str">
        <f t="shared" si="33"/>
        <v/>
      </c>
      <c r="BE261" s="103">
        <f t="shared" ca="1" si="39"/>
        <v>53273</v>
      </c>
      <c r="BF261" s="102">
        <f t="shared" si="34"/>
        <v>-18138.544377630071</v>
      </c>
    </row>
    <row r="262" spans="48:58" hidden="1" x14ac:dyDescent="0.25">
      <c r="AV262">
        <v>237</v>
      </c>
      <c r="AW262" s="94" t="str">
        <f t="shared" ca="1" si="35"/>
        <v/>
      </c>
      <c r="AX262" s="95" t="str">
        <f t="shared" si="30"/>
        <v/>
      </c>
      <c r="AY262" s="98" t="str">
        <f t="shared" ca="1" si="36"/>
        <v/>
      </c>
      <c r="AZ262" s="96" t="str">
        <f t="shared" si="31"/>
        <v/>
      </c>
      <c r="BA262" s="99" t="str">
        <f t="shared" ca="1" si="37"/>
        <v/>
      </c>
      <c r="BB262" s="97" t="str">
        <f t="shared" si="32"/>
        <v/>
      </c>
      <c r="BC262" s="101" t="str">
        <f t="shared" ca="1" si="38"/>
        <v/>
      </c>
      <c r="BD262" s="100" t="str">
        <f t="shared" si="33"/>
        <v/>
      </c>
      <c r="BE262" s="103">
        <f t="shared" ca="1" si="39"/>
        <v>53303</v>
      </c>
      <c r="BF262" s="102">
        <f t="shared" si="34"/>
        <v>-18138.544377630071</v>
      </c>
    </row>
    <row r="263" spans="48:58" hidden="1" x14ac:dyDescent="0.25">
      <c r="AV263">
        <v>238</v>
      </c>
      <c r="AW263" s="94" t="str">
        <f t="shared" ca="1" si="35"/>
        <v/>
      </c>
      <c r="AX263" s="95" t="str">
        <f t="shared" si="30"/>
        <v/>
      </c>
      <c r="AY263" s="98" t="str">
        <f t="shared" ca="1" si="36"/>
        <v/>
      </c>
      <c r="AZ263" s="96" t="str">
        <f t="shared" si="31"/>
        <v/>
      </c>
      <c r="BA263" s="99" t="str">
        <f t="shared" ca="1" si="37"/>
        <v/>
      </c>
      <c r="BB263" s="97" t="str">
        <f t="shared" si="32"/>
        <v/>
      </c>
      <c r="BC263" s="101" t="str">
        <f t="shared" ca="1" si="38"/>
        <v/>
      </c>
      <c r="BD263" s="100" t="str">
        <f t="shared" si="33"/>
        <v/>
      </c>
      <c r="BE263" s="103">
        <f t="shared" ca="1" si="39"/>
        <v>53334</v>
      </c>
      <c r="BF263" s="102">
        <f t="shared" si="34"/>
        <v>-18138.544377630071</v>
      </c>
    </row>
    <row r="264" spans="48:58" hidden="1" x14ac:dyDescent="0.25">
      <c r="AV264">
        <v>239</v>
      </c>
      <c r="AW264" s="94" t="str">
        <f t="shared" ca="1" si="35"/>
        <v/>
      </c>
      <c r="AX264" s="95" t="str">
        <f t="shared" si="30"/>
        <v/>
      </c>
      <c r="AY264" s="98" t="str">
        <f t="shared" ca="1" si="36"/>
        <v/>
      </c>
      <c r="AZ264" s="96" t="str">
        <f t="shared" si="31"/>
        <v/>
      </c>
      <c r="BA264" s="99" t="str">
        <f t="shared" ca="1" si="37"/>
        <v/>
      </c>
      <c r="BB264" s="97" t="str">
        <f t="shared" si="32"/>
        <v/>
      </c>
      <c r="BC264" s="101" t="str">
        <f t="shared" ca="1" si="38"/>
        <v/>
      </c>
      <c r="BD264" s="100" t="str">
        <f t="shared" si="33"/>
        <v/>
      </c>
      <c r="BE264" s="103">
        <f t="shared" ca="1" si="39"/>
        <v>53365</v>
      </c>
      <c r="BF264" s="102">
        <f t="shared" si="34"/>
        <v>-18138.544377630071</v>
      </c>
    </row>
    <row r="265" spans="48:58" hidden="1" x14ac:dyDescent="0.25">
      <c r="AV265">
        <v>240</v>
      </c>
      <c r="AW265" s="94" t="str">
        <f t="shared" ca="1" si="35"/>
        <v/>
      </c>
      <c r="AX265" s="95" t="str">
        <f t="shared" si="30"/>
        <v/>
      </c>
      <c r="AY265" s="98" t="str">
        <f t="shared" ca="1" si="36"/>
        <v/>
      </c>
      <c r="AZ265" s="96" t="str">
        <f t="shared" si="31"/>
        <v/>
      </c>
      <c r="BA265" s="99" t="str">
        <f t="shared" ca="1" si="37"/>
        <v/>
      </c>
      <c r="BB265" s="97" t="str">
        <f t="shared" si="32"/>
        <v/>
      </c>
      <c r="BC265" s="101" t="str">
        <f t="shared" ca="1" si="38"/>
        <v/>
      </c>
      <c r="BD265" s="100" t="str">
        <f t="shared" si="33"/>
        <v/>
      </c>
      <c r="BE265" s="103">
        <f t="shared" ca="1" si="39"/>
        <v>53393</v>
      </c>
      <c r="BF265" s="102">
        <f t="shared" si="34"/>
        <v>-18138.544377630071</v>
      </c>
    </row>
    <row r="266" spans="48:58" hidden="1" x14ac:dyDescent="0.25">
      <c r="AV266">
        <v>241</v>
      </c>
      <c r="AW266" s="94" t="str">
        <f t="shared" ca="1" si="35"/>
        <v/>
      </c>
      <c r="AX266" s="95" t="str">
        <f t="shared" si="30"/>
        <v/>
      </c>
      <c r="AY266" s="98" t="str">
        <f t="shared" ca="1" si="36"/>
        <v/>
      </c>
      <c r="AZ266" s="96" t="str">
        <f t="shared" si="31"/>
        <v/>
      </c>
      <c r="BA266" s="99" t="str">
        <f t="shared" ca="1" si="37"/>
        <v/>
      </c>
      <c r="BB266" s="97" t="str">
        <f t="shared" si="32"/>
        <v/>
      </c>
      <c r="BC266" s="101" t="str">
        <f t="shared" ca="1" si="38"/>
        <v/>
      </c>
      <c r="BD266" s="100" t="str">
        <f t="shared" si="33"/>
        <v/>
      </c>
      <c r="BE266" s="103">
        <f t="shared" ca="1" si="39"/>
        <v>53424</v>
      </c>
      <c r="BF266" s="102">
        <f t="shared" si="34"/>
        <v>-18138.544377630071</v>
      </c>
    </row>
    <row r="267" spans="48:58" hidden="1" x14ac:dyDescent="0.25">
      <c r="AV267">
        <v>242</v>
      </c>
      <c r="AW267" s="94" t="str">
        <f t="shared" ca="1" si="35"/>
        <v/>
      </c>
      <c r="AX267" s="95" t="str">
        <f t="shared" si="30"/>
        <v/>
      </c>
      <c r="AY267" s="98" t="str">
        <f t="shared" ca="1" si="36"/>
        <v/>
      </c>
      <c r="AZ267" s="96" t="str">
        <f t="shared" si="31"/>
        <v/>
      </c>
      <c r="BA267" s="99" t="str">
        <f t="shared" ca="1" si="37"/>
        <v/>
      </c>
      <c r="BB267" s="97" t="str">
        <f t="shared" si="32"/>
        <v/>
      </c>
      <c r="BC267" s="101" t="str">
        <f t="shared" ca="1" si="38"/>
        <v/>
      </c>
      <c r="BD267" s="100" t="str">
        <f t="shared" si="33"/>
        <v/>
      </c>
      <c r="BE267" s="103">
        <f t="shared" ca="1" si="39"/>
        <v>53454</v>
      </c>
      <c r="BF267" s="102">
        <f t="shared" si="34"/>
        <v>-18138.544377630071</v>
      </c>
    </row>
    <row r="268" spans="48:58" hidden="1" x14ac:dyDescent="0.25">
      <c r="AV268">
        <v>243</v>
      </c>
      <c r="AW268" s="94" t="str">
        <f t="shared" ca="1" si="35"/>
        <v/>
      </c>
      <c r="AX268" s="95" t="str">
        <f t="shared" si="30"/>
        <v/>
      </c>
      <c r="AY268" s="98" t="str">
        <f t="shared" ca="1" si="36"/>
        <v/>
      </c>
      <c r="AZ268" s="96" t="str">
        <f t="shared" si="31"/>
        <v/>
      </c>
      <c r="BA268" s="99" t="str">
        <f t="shared" ca="1" si="37"/>
        <v/>
      </c>
      <c r="BB268" s="97" t="str">
        <f t="shared" si="32"/>
        <v/>
      </c>
      <c r="BC268" s="101" t="str">
        <f t="shared" ca="1" si="38"/>
        <v/>
      </c>
      <c r="BD268" s="100" t="str">
        <f t="shared" si="33"/>
        <v/>
      </c>
      <c r="BE268" s="103">
        <f t="shared" ca="1" si="39"/>
        <v>53485</v>
      </c>
      <c r="BF268" s="102">
        <f t="shared" si="34"/>
        <v>-18138.544377630071</v>
      </c>
    </row>
    <row r="269" spans="48:58" hidden="1" x14ac:dyDescent="0.25">
      <c r="AV269">
        <v>244</v>
      </c>
      <c r="AW269" s="94" t="str">
        <f t="shared" ca="1" si="35"/>
        <v/>
      </c>
      <c r="AX269" s="95" t="str">
        <f t="shared" si="30"/>
        <v/>
      </c>
      <c r="AY269" s="98" t="str">
        <f t="shared" ca="1" si="36"/>
        <v/>
      </c>
      <c r="AZ269" s="96" t="str">
        <f t="shared" si="31"/>
        <v/>
      </c>
      <c r="BA269" s="99" t="str">
        <f t="shared" ca="1" si="37"/>
        <v/>
      </c>
      <c r="BB269" s="97" t="str">
        <f t="shared" si="32"/>
        <v/>
      </c>
      <c r="BC269" s="101" t="str">
        <f t="shared" ca="1" si="38"/>
        <v/>
      </c>
      <c r="BD269" s="100" t="str">
        <f t="shared" si="33"/>
        <v/>
      </c>
      <c r="BE269" s="103">
        <f t="shared" ca="1" si="39"/>
        <v>53515</v>
      </c>
      <c r="BF269" s="102">
        <f t="shared" si="34"/>
        <v>-18138.544377630071</v>
      </c>
    </row>
    <row r="270" spans="48:58" hidden="1" x14ac:dyDescent="0.25">
      <c r="AV270">
        <v>245</v>
      </c>
      <c r="AW270" s="94" t="str">
        <f t="shared" ca="1" si="35"/>
        <v/>
      </c>
      <c r="AX270" s="95" t="str">
        <f t="shared" si="30"/>
        <v/>
      </c>
      <c r="AY270" s="98" t="str">
        <f t="shared" ca="1" si="36"/>
        <v/>
      </c>
      <c r="AZ270" s="96" t="str">
        <f t="shared" si="31"/>
        <v/>
      </c>
      <c r="BA270" s="99" t="str">
        <f t="shared" ca="1" si="37"/>
        <v/>
      </c>
      <c r="BB270" s="97" t="str">
        <f t="shared" si="32"/>
        <v/>
      </c>
      <c r="BC270" s="101" t="str">
        <f t="shared" ca="1" si="38"/>
        <v/>
      </c>
      <c r="BD270" s="100" t="str">
        <f t="shared" si="33"/>
        <v/>
      </c>
      <c r="BE270" s="103">
        <f t="shared" ca="1" si="39"/>
        <v>53546</v>
      </c>
      <c r="BF270" s="102">
        <f t="shared" si="34"/>
        <v>-18138.544377630071</v>
      </c>
    </row>
    <row r="271" spans="48:58" hidden="1" x14ac:dyDescent="0.25">
      <c r="AV271">
        <v>246</v>
      </c>
      <c r="AW271" s="94" t="str">
        <f t="shared" ca="1" si="35"/>
        <v/>
      </c>
      <c r="AX271" s="95" t="str">
        <f t="shared" si="30"/>
        <v/>
      </c>
      <c r="AY271" s="98" t="str">
        <f t="shared" ca="1" si="36"/>
        <v/>
      </c>
      <c r="AZ271" s="96" t="str">
        <f t="shared" si="31"/>
        <v/>
      </c>
      <c r="BA271" s="99" t="str">
        <f t="shared" ca="1" si="37"/>
        <v/>
      </c>
      <c r="BB271" s="97" t="str">
        <f t="shared" si="32"/>
        <v/>
      </c>
      <c r="BC271" s="101" t="str">
        <f t="shared" ca="1" si="38"/>
        <v/>
      </c>
      <c r="BD271" s="100" t="str">
        <f t="shared" si="33"/>
        <v/>
      </c>
      <c r="BE271" s="103">
        <f t="shared" ca="1" si="39"/>
        <v>53577</v>
      </c>
      <c r="BF271" s="102">
        <f t="shared" si="34"/>
        <v>-18138.544377630071</v>
      </c>
    </row>
    <row r="272" spans="48:58" hidden="1" x14ac:dyDescent="0.25">
      <c r="AV272">
        <v>247</v>
      </c>
      <c r="AW272" s="94" t="str">
        <f t="shared" ca="1" si="35"/>
        <v/>
      </c>
      <c r="AX272" s="95" t="str">
        <f t="shared" si="30"/>
        <v/>
      </c>
      <c r="AY272" s="98" t="str">
        <f t="shared" ca="1" si="36"/>
        <v/>
      </c>
      <c r="AZ272" s="96" t="str">
        <f t="shared" si="31"/>
        <v/>
      </c>
      <c r="BA272" s="99" t="str">
        <f t="shared" ca="1" si="37"/>
        <v/>
      </c>
      <c r="BB272" s="97" t="str">
        <f t="shared" si="32"/>
        <v/>
      </c>
      <c r="BC272" s="101" t="str">
        <f t="shared" ca="1" si="38"/>
        <v/>
      </c>
      <c r="BD272" s="100" t="str">
        <f t="shared" si="33"/>
        <v/>
      </c>
      <c r="BE272" s="103">
        <f t="shared" ca="1" si="39"/>
        <v>53607</v>
      </c>
      <c r="BF272" s="102">
        <f t="shared" si="34"/>
        <v>-18138.544377630071</v>
      </c>
    </row>
    <row r="273" spans="48:58" hidden="1" x14ac:dyDescent="0.25">
      <c r="AV273">
        <v>248</v>
      </c>
      <c r="AW273" s="94" t="str">
        <f t="shared" ca="1" si="35"/>
        <v/>
      </c>
      <c r="AX273" s="95" t="str">
        <f t="shared" si="30"/>
        <v/>
      </c>
      <c r="AY273" s="98" t="str">
        <f t="shared" ca="1" si="36"/>
        <v/>
      </c>
      <c r="AZ273" s="96" t="str">
        <f t="shared" si="31"/>
        <v/>
      </c>
      <c r="BA273" s="99" t="str">
        <f t="shared" ca="1" si="37"/>
        <v/>
      </c>
      <c r="BB273" s="97" t="str">
        <f t="shared" si="32"/>
        <v/>
      </c>
      <c r="BC273" s="101" t="str">
        <f t="shared" ca="1" si="38"/>
        <v/>
      </c>
      <c r="BD273" s="100" t="str">
        <f t="shared" si="33"/>
        <v/>
      </c>
      <c r="BE273" s="103">
        <f t="shared" ca="1" si="39"/>
        <v>53638</v>
      </c>
      <c r="BF273" s="102">
        <f t="shared" si="34"/>
        <v>-18138.544377630071</v>
      </c>
    </row>
    <row r="274" spans="48:58" hidden="1" x14ac:dyDescent="0.25">
      <c r="AV274">
        <v>249</v>
      </c>
      <c r="AW274" s="94" t="str">
        <f t="shared" ca="1" si="35"/>
        <v/>
      </c>
      <c r="AX274" s="95" t="str">
        <f t="shared" si="30"/>
        <v/>
      </c>
      <c r="AY274" s="98" t="str">
        <f t="shared" ca="1" si="36"/>
        <v/>
      </c>
      <c r="AZ274" s="96" t="str">
        <f t="shared" si="31"/>
        <v/>
      </c>
      <c r="BA274" s="99" t="str">
        <f t="shared" ca="1" si="37"/>
        <v/>
      </c>
      <c r="BB274" s="97" t="str">
        <f t="shared" si="32"/>
        <v/>
      </c>
      <c r="BC274" s="101" t="str">
        <f t="shared" ca="1" si="38"/>
        <v/>
      </c>
      <c r="BD274" s="100" t="str">
        <f t="shared" si="33"/>
        <v/>
      </c>
      <c r="BE274" s="103">
        <f t="shared" ca="1" si="39"/>
        <v>53668</v>
      </c>
      <c r="BF274" s="102">
        <f t="shared" si="34"/>
        <v>-18138.544377630071</v>
      </c>
    </row>
    <row r="275" spans="48:58" hidden="1" x14ac:dyDescent="0.25">
      <c r="AV275">
        <v>250</v>
      </c>
      <c r="AW275" s="94" t="str">
        <f t="shared" ca="1" si="35"/>
        <v/>
      </c>
      <c r="AX275" s="95" t="str">
        <f t="shared" si="30"/>
        <v/>
      </c>
      <c r="AY275" s="98" t="str">
        <f t="shared" ca="1" si="36"/>
        <v/>
      </c>
      <c r="AZ275" s="96" t="str">
        <f t="shared" si="31"/>
        <v/>
      </c>
      <c r="BA275" s="99" t="str">
        <f t="shared" ca="1" si="37"/>
        <v/>
      </c>
      <c r="BB275" s="97" t="str">
        <f t="shared" si="32"/>
        <v/>
      </c>
      <c r="BC275" s="101" t="str">
        <f t="shared" ca="1" si="38"/>
        <v/>
      </c>
      <c r="BD275" s="100" t="str">
        <f t="shared" si="33"/>
        <v/>
      </c>
      <c r="BE275" s="103">
        <f t="shared" ca="1" si="39"/>
        <v>53699</v>
      </c>
      <c r="BF275" s="102">
        <f t="shared" si="34"/>
        <v>-18138.544377630071</v>
      </c>
    </row>
    <row r="276" spans="48:58" hidden="1" x14ac:dyDescent="0.25">
      <c r="AV276">
        <v>251</v>
      </c>
      <c r="AW276" s="94" t="str">
        <f t="shared" ca="1" si="35"/>
        <v/>
      </c>
      <c r="AX276" s="95" t="str">
        <f t="shared" si="30"/>
        <v/>
      </c>
      <c r="AY276" s="98" t="str">
        <f t="shared" ca="1" si="36"/>
        <v/>
      </c>
      <c r="AZ276" s="96" t="str">
        <f t="shared" si="31"/>
        <v/>
      </c>
      <c r="BA276" s="99" t="str">
        <f t="shared" ca="1" si="37"/>
        <v/>
      </c>
      <c r="BB276" s="97" t="str">
        <f t="shared" si="32"/>
        <v/>
      </c>
      <c r="BC276" s="101" t="str">
        <f t="shared" ca="1" si="38"/>
        <v/>
      </c>
      <c r="BD276" s="100" t="str">
        <f t="shared" si="33"/>
        <v/>
      </c>
      <c r="BE276" s="103">
        <f t="shared" ca="1" si="39"/>
        <v>53730</v>
      </c>
      <c r="BF276" s="102">
        <f t="shared" si="34"/>
        <v>-18138.544377630071</v>
      </c>
    </row>
    <row r="277" spans="48:58" hidden="1" x14ac:dyDescent="0.25">
      <c r="AV277">
        <v>252</v>
      </c>
      <c r="AW277" s="94" t="str">
        <f t="shared" ca="1" si="35"/>
        <v/>
      </c>
      <c r="AX277" s="95" t="str">
        <f t="shared" si="30"/>
        <v/>
      </c>
      <c r="AY277" s="98" t="str">
        <f t="shared" ca="1" si="36"/>
        <v/>
      </c>
      <c r="AZ277" s="96" t="str">
        <f t="shared" si="31"/>
        <v/>
      </c>
      <c r="BA277" s="99" t="str">
        <f t="shared" ca="1" si="37"/>
        <v/>
      </c>
      <c r="BB277" s="97" t="str">
        <f t="shared" si="32"/>
        <v/>
      </c>
      <c r="BC277" s="101" t="str">
        <f t="shared" ca="1" si="38"/>
        <v/>
      </c>
      <c r="BD277" s="100" t="str">
        <f t="shared" si="33"/>
        <v/>
      </c>
      <c r="BE277" s="103">
        <f t="shared" ca="1" si="39"/>
        <v>53758</v>
      </c>
      <c r="BF277" s="102">
        <f t="shared" si="34"/>
        <v>-18138.544377630071</v>
      </c>
    </row>
    <row r="278" spans="48:58" hidden="1" x14ac:dyDescent="0.25">
      <c r="AV278">
        <v>253</v>
      </c>
      <c r="AW278" s="94" t="str">
        <f t="shared" ca="1" si="35"/>
        <v/>
      </c>
      <c r="AX278" s="95" t="str">
        <f t="shared" si="30"/>
        <v/>
      </c>
      <c r="AY278" s="98" t="str">
        <f t="shared" ca="1" si="36"/>
        <v/>
      </c>
      <c r="AZ278" s="96" t="str">
        <f t="shared" si="31"/>
        <v/>
      </c>
      <c r="BA278" s="99" t="str">
        <f t="shared" ca="1" si="37"/>
        <v/>
      </c>
      <c r="BB278" s="97" t="str">
        <f t="shared" si="32"/>
        <v/>
      </c>
      <c r="BC278" s="101" t="str">
        <f t="shared" ca="1" si="38"/>
        <v/>
      </c>
      <c r="BD278" s="100" t="str">
        <f t="shared" si="33"/>
        <v/>
      </c>
      <c r="BE278" s="103">
        <f t="shared" ca="1" si="39"/>
        <v>53789</v>
      </c>
      <c r="BF278" s="102">
        <f t="shared" si="34"/>
        <v>-18138.544377630071</v>
      </c>
    </row>
    <row r="279" spans="48:58" hidden="1" x14ac:dyDescent="0.25">
      <c r="AV279">
        <v>254</v>
      </c>
      <c r="AW279" s="94" t="str">
        <f t="shared" ca="1" si="35"/>
        <v/>
      </c>
      <c r="AX279" s="95" t="str">
        <f t="shared" si="30"/>
        <v/>
      </c>
      <c r="AY279" s="98" t="str">
        <f t="shared" ca="1" si="36"/>
        <v/>
      </c>
      <c r="AZ279" s="96" t="str">
        <f t="shared" si="31"/>
        <v/>
      </c>
      <c r="BA279" s="99" t="str">
        <f t="shared" ca="1" si="37"/>
        <v/>
      </c>
      <c r="BB279" s="97" t="str">
        <f t="shared" si="32"/>
        <v/>
      </c>
      <c r="BC279" s="101" t="str">
        <f t="shared" ca="1" si="38"/>
        <v/>
      </c>
      <c r="BD279" s="100" t="str">
        <f t="shared" si="33"/>
        <v/>
      </c>
      <c r="BE279" s="103">
        <f t="shared" ca="1" si="39"/>
        <v>53819</v>
      </c>
      <c r="BF279" s="102">
        <f t="shared" si="34"/>
        <v>-18138.544377630071</v>
      </c>
    </row>
    <row r="280" spans="48:58" hidden="1" x14ac:dyDescent="0.25">
      <c r="AV280">
        <v>255</v>
      </c>
      <c r="AW280" s="94" t="str">
        <f t="shared" ca="1" si="35"/>
        <v/>
      </c>
      <c r="AX280" s="95" t="str">
        <f t="shared" si="30"/>
        <v/>
      </c>
      <c r="AY280" s="98" t="str">
        <f t="shared" ca="1" si="36"/>
        <v/>
      </c>
      <c r="AZ280" s="96" t="str">
        <f t="shared" si="31"/>
        <v/>
      </c>
      <c r="BA280" s="99" t="str">
        <f t="shared" ca="1" si="37"/>
        <v/>
      </c>
      <c r="BB280" s="97" t="str">
        <f t="shared" si="32"/>
        <v/>
      </c>
      <c r="BC280" s="101" t="str">
        <f t="shared" ca="1" si="38"/>
        <v/>
      </c>
      <c r="BD280" s="100" t="str">
        <f t="shared" si="33"/>
        <v/>
      </c>
      <c r="BE280" s="103">
        <f t="shared" ca="1" si="39"/>
        <v>53850</v>
      </c>
      <c r="BF280" s="102">
        <f t="shared" si="34"/>
        <v>-18138.544377630071</v>
      </c>
    </row>
    <row r="281" spans="48:58" hidden="1" x14ac:dyDescent="0.25">
      <c r="AV281">
        <v>256</v>
      </c>
      <c r="AW281" s="94" t="str">
        <f t="shared" ca="1" si="35"/>
        <v/>
      </c>
      <c r="AX281" s="95" t="str">
        <f t="shared" si="30"/>
        <v/>
      </c>
      <c r="AY281" s="98" t="str">
        <f t="shared" ca="1" si="36"/>
        <v/>
      </c>
      <c r="AZ281" s="96" t="str">
        <f t="shared" si="31"/>
        <v/>
      </c>
      <c r="BA281" s="99" t="str">
        <f t="shared" ca="1" si="37"/>
        <v/>
      </c>
      <c r="BB281" s="97" t="str">
        <f t="shared" si="32"/>
        <v/>
      </c>
      <c r="BC281" s="101" t="str">
        <f t="shared" ca="1" si="38"/>
        <v/>
      </c>
      <c r="BD281" s="100" t="str">
        <f t="shared" si="33"/>
        <v/>
      </c>
      <c r="BE281" s="103">
        <f t="shared" ca="1" si="39"/>
        <v>53880</v>
      </c>
      <c r="BF281" s="102">
        <f t="shared" si="34"/>
        <v>-18138.544377630071</v>
      </c>
    </row>
    <row r="282" spans="48:58" hidden="1" x14ac:dyDescent="0.25">
      <c r="AV282">
        <v>257</v>
      </c>
      <c r="AW282" s="94" t="str">
        <f t="shared" ca="1" si="35"/>
        <v/>
      </c>
      <c r="AX282" s="95" t="str">
        <f t="shared" ref="AX282:AX345" si="40">IF($D$15*12&gt;=AV282,-1*$H$15,IF($D$15*12+1&gt;=AV282,InfGoal1,""))</f>
        <v/>
      </c>
      <c r="AY282" s="98" t="str">
        <f t="shared" ca="1" si="36"/>
        <v/>
      </c>
      <c r="AZ282" s="96" t="str">
        <f t="shared" ref="AZ282:AZ345" si="41">IF($D$17*12&gt;=AV282,-1*$H$17,IF($D$17*12+1&gt;=AV282,InfGoal2,""))</f>
        <v/>
      </c>
      <c r="BA282" s="99" t="str">
        <f t="shared" ca="1" si="37"/>
        <v/>
      </c>
      <c r="BB282" s="97" t="str">
        <f t="shared" ref="BB282:BB345" si="42">IF($D$19*12&gt;=AV282,-1*$H$19,IF($D$19*12+1&gt;=AV282,InfGoal3,""))</f>
        <v/>
      </c>
      <c r="BC282" s="101" t="str">
        <f t="shared" ca="1" si="38"/>
        <v/>
      </c>
      <c r="BD282" s="100" t="str">
        <f t="shared" ref="BD282:BD345" si="43">IF($D$21*12&gt;=AV282,-1*$H$21,IF($D$21*12+1&gt;=AV282,InfGoal4,""))</f>
        <v/>
      </c>
      <c r="BE282" s="103">
        <f t="shared" ca="1" si="39"/>
        <v>53911</v>
      </c>
      <c r="BF282" s="102">
        <f t="shared" ref="BF282:BF345" si="44">IF($D$23*12&gt;=AV282,-1*$H$23,IF($D$23*12+1&gt;=AV282,InfGoal5,""))</f>
        <v>-18138.544377630071</v>
      </c>
    </row>
    <row r="283" spans="48:58" hidden="1" x14ac:dyDescent="0.25">
      <c r="AV283">
        <v>258</v>
      </c>
      <c r="AW283" s="94" t="str">
        <f t="shared" ref="AW283:AW346" ca="1" si="45">IF($D$15*12&gt;=AV283,DATE(YEAR(TODAY()),MONTH(TODAY())+AV283-1,DAY(TODAY())),IF($D$15*12+1&gt;=AV283,DATE(YEAR(TODAY()),MONTH(TODAY())+$D$15*12,DAY(TODAY())),""))</f>
        <v/>
      </c>
      <c r="AX283" s="95" t="str">
        <f t="shared" si="40"/>
        <v/>
      </c>
      <c r="AY283" s="98" t="str">
        <f t="shared" ref="AY283:AY346" ca="1" si="46">IF($D$17*12&gt;=AV283,DATE(YEAR(TODAY()),MONTH(TODAY())+AV283-1,DAY(TODAY())),IF($D$17*12+1&gt;=AV283,DATE(YEAR(TODAY()),MONTH(TODAY())+$D$17*12,DAY(TODAY())),""))</f>
        <v/>
      </c>
      <c r="AZ283" s="96" t="str">
        <f t="shared" si="41"/>
        <v/>
      </c>
      <c r="BA283" s="99" t="str">
        <f t="shared" ref="BA283:BA346" ca="1" si="47">IF($D$19*12&gt;=AV283,DATE(YEAR(TODAY()),MONTH(TODAY())+AV283-1,DAY(TODAY())),IF($D$19*12+1&gt;=AV283,DATE(YEAR(TODAY()),MONTH(TODAY())+$D$19*12,DAY(TODAY())),""))</f>
        <v/>
      </c>
      <c r="BB283" s="97" t="str">
        <f t="shared" si="42"/>
        <v/>
      </c>
      <c r="BC283" s="101" t="str">
        <f t="shared" ref="BC283:BC346" ca="1" si="48">IF($D$21*12&gt;=AV283,DATE(YEAR(TODAY()),MONTH(TODAY())+AV283-1,DAY(TODAY())),IF($D$21*12+1&gt;=AV283,DATE(YEAR(TODAY()),MONTH(TODAY())+$D$21*12,DAY(TODAY())),""))</f>
        <v/>
      </c>
      <c r="BD283" s="100" t="str">
        <f t="shared" si="43"/>
        <v/>
      </c>
      <c r="BE283" s="103">
        <f t="shared" ref="BE283:BE346" ca="1" si="49">IF($D$23*12&gt;=AV283,DATE(YEAR(TODAY()),MONTH(TODAY())+AV283-1,DAY(TODAY())),IF($D$23*12+1&gt;=AV283,DATE(YEAR(TODAY()),MONTH(TODAY())+$D$23*12,DAY(TODAY())),""))</f>
        <v>53942</v>
      </c>
      <c r="BF283" s="102">
        <f t="shared" si="44"/>
        <v>-18138.544377630071</v>
      </c>
    </row>
    <row r="284" spans="48:58" hidden="1" x14ac:dyDescent="0.25">
      <c r="AV284">
        <v>259</v>
      </c>
      <c r="AW284" s="94" t="str">
        <f t="shared" ca="1" si="45"/>
        <v/>
      </c>
      <c r="AX284" s="95" t="str">
        <f t="shared" si="40"/>
        <v/>
      </c>
      <c r="AY284" s="98" t="str">
        <f t="shared" ca="1" si="46"/>
        <v/>
      </c>
      <c r="AZ284" s="96" t="str">
        <f t="shared" si="41"/>
        <v/>
      </c>
      <c r="BA284" s="99" t="str">
        <f t="shared" ca="1" si="47"/>
        <v/>
      </c>
      <c r="BB284" s="97" t="str">
        <f t="shared" si="42"/>
        <v/>
      </c>
      <c r="BC284" s="101" t="str">
        <f t="shared" ca="1" si="48"/>
        <v/>
      </c>
      <c r="BD284" s="100" t="str">
        <f t="shared" si="43"/>
        <v/>
      </c>
      <c r="BE284" s="103">
        <f t="shared" ca="1" si="49"/>
        <v>53972</v>
      </c>
      <c r="BF284" s="102">
        <f t="shared" si="44"/>
        <v>-18138.544377630071</v>
      </c>
    </row>
    <row r="285" spans="48:58" hidden="1" x14ac:dyDescent="0.25">
      <c r="AV285">
        <v>260</v>
      </c>
      <c r="AW285" s="94" t="str">
        <f t="shared" ca="1" si="45"/>
        <v/>
      </c>
      <c r="AX285" s="95" t="str">
        <f t="shared" si="40"/>
        <v/>
      </c>
      <c r="AY285" s="98" t="str">
        <f t="shared" ca="1" si="46"/>
        <v/>
      </c>
      <c r="AZ285" s="96" t="str">
        <f t="shared" si="41"/>
        <v/>
      </c>
      <c r="BA285" s="99" t="str">
        <f t="shared" ca="1" si="47"/>
        <v/>
      </c>
      <c r="BB285" s="97" t="str">
        <f t="shared" si="42"/>
        <v/>
      </c>
      <c r="BC285" s="101" t="str">
        <f t="shared" ca="1" si="48"/>
        <v/>
      </c>
      <c r="BD285" s="100" t="str">
        <f t="shared" si="43"/>
        <v/>
      </c>
      <c r="BE285" s="103">
        <f t="shared" ca="1" si="49"/>
        <v>54003</v>
      </c>
      <c r="BF285" s="102">
        <f t="shared" si="44"/>
        <v>-18138.544377630071</v>
      </c>
    </row>
    <row r="286" spans="48:58" hidden="1" x14ac:dyDescent="0.25">
      <c r="AV286">
        <v>261</v>
      </c>
      <c r="AW286" s="94" t="str">
        <f t="shared" ca="1" si="45"/>
        <v/>
      </c>
      <c r="AX286" s="95" t="str">
        <f t="shared" si="40"/>
        <v/>
      </c>
      <c r="AY286" s="98" t="str">
        <f t="shared" ca="1" si="46"/>
        <v/>
      </c>
      <c r="AZ286" s="96" t="str">
        <f t="shared" si="41"/>
        <v/>
      </c>
      <c r="BA286" s="99" t="str">
        <f t="shared" ca="1" si="47"/>
        <v/>
      </c>
      <c r="BB286" s="97" t="str">
        <f t="shared" si="42"/>
        <v/>
      </c>
      <c r="BC286" s="101" t="str">
        <f t="shared" ca="1" si="48"/>
        <v/>
      </c>
      <c r="BD286" s="100" t="str">
        <f t="shared" si="43"/>
        <v/>
      </c>
      <c r="BE286" s="103">
        <f t="shared" ca="1" si="49"/>
        <v>54033</v>
      </c>
      <c r="BF286" s="102">
        <f t="shared" si="44"/>
        <v>-18138.544377630071</v>
      </c>
    </row>
    <row r="287" spans="48:58" hidden="1" x14ac:dyDescent="0.25">
      <c r="AV287">
        <v>262</v>
      </c>
      <c r="AW287" s="94" t="str">
        <f t="shared" ca="1" si="45"/>
        <v/>
      </c>
      <c r="AX287" s="95" t="str">
        <f t="shared" si="40"/>
        <v/>
      </c>
      <c r="AY287" s="98" t="str">
        <f t="shared" ca="1" si="46"/>
        <v/>
      </c>
      <c r="AZ287" s="96" t="str">
        <f t="shared" si="41"/>
        <v/>
      </c>
      <c r="BA287" s="99" t="str">
        <f t="shared" ca="1" si="47"/>
        <v/>
      </c>
      <c r="BB287" s="97" t="str">
        <f t="shared" si="42"/>
        <v/>
      </c>
      <c r="BC287" s="101" t="str">
        <f t="shared" ca="1" si="48"/>
        <v/>
      </c>
      <c r="BD287" s="100" t="str">
        <f t="shared" si="43"/>
        <v/>
      </c>
      <c r="BE287" s="103">
        <f t="shared" ca="1" si="49"/>
        <v>54064</v>
      </c>
      <c r="BF287" s="102">
        <f t="shared" si="44"/>
        <v>-18138.544377630071</v>
      </c>
    </row>
    <row r="288" spans="48:58" hidden="1" x14ac:dyDescent="0.25">
      <c r="AV288">
        <v>263</v>
      </c>
      <c r="AW288" s="94" t="str">
        <f t="shared" ca="1" si="45"/>
        <v/>
      </c>
      <c r="AX288" s="95" t="str">
        <f t="shared" si="40"/>
        <v/>
      </c>
      <c r="AY288" s="98" t="str">
        <f t="shared" ca="1" si="46"/>
        <v/>
      </c>
      <c r="AZ288" s="96" t="str">
        <f t="shared" si="41"/>
        <v/>
      </c>
      <c r="BA288" s="99" t="str">
        <f t="shared" ca="1" si="47"/>
        <v/>
      </c>
      <c r="BB288" s="97" t="str">
        <f t="shared" si="42"/>
        <v/>
      </c>
      <c r="BC288" s="101" t="str">
        <f t="shared" ca="1" si="48"/>
        <v/>
      </c>
      <c r="BD288" s="100" t="str">
        <f t="shared" si="43"/>
        <v/>
      </c>
      <c r="BE288" s="103">
        <f t="shared" ca="1" si="49"/>
        <v>54095</v>
      </c>
      <c r="BF288" s="102">
        <f t="shared" si="44"/>
        <v>-18138.544377630071</v>
      </c>
    </row>
    <row r="289" spans="48:58" hidden="1" x14ac:dyDescent="0.25">
      <c r="AV289">
        <v>264</v>
      </c>
      <c r="AW289" s="94" t="str">
        <f t="shared" ca="1" si="45"/>
        <v/>
      </c>
      <c r="AX289" s="95" t="str">
        <f t="shared" si="40"/>
        <v/>
      </c>
      <c r="AY289" s="98" t="str">
        <f t="shared" ca="1" si="46"/>
        <v/>
      </c>
      <c r="AZ289" s="96" t="str">
        <f t="shared" si="41"/>
        <v/>
      </c>
      <c r="BA289" s="99" t="str">
        <f t="shared" ca="1" si="47"/>
        <v/>
      </c>
      <c r="BB289" s="97" t="str">
        <f t="shared" si="42"/>
        <v/>
      </c>
      <c r="BC289" s="101" t="str">
        <f t="shared" ca="1" si="48"/>
        <v/>
      </c>
      <c r="BD289" s="100" t="str">
        <f t="shared" si="43"/>
        <v/>
      </c>
      <c r="BE289" s="103">
        <f t="shared" ca="1" si="49"/>
        <v>54124</v>
      </c>
      <c r="BF289" s="102">
        <f t="shared" si="44"/>
        <v>-18138.544377630071</v>
      </c>
    </row>
    <row r="290" spans="48:58" hidden="1" x14ac:dyDescent="0.25">
      <c r="AV290">
        <v>265</v>
      </c>
      <c r="AW290" s="94" t="str">
        <f t="shared" ca="1" si="45"/>
        <v/>
      </c>
      <c r="AX290" s="95" t="str">
        <f t="shared" si="40"/>
        <v/>
      </c>
      <c r="AY290" s="98" t="str">
        <f t="shared" ca="1" si="46"/>
        <v/>
      </c>
      <c r="AZ290" s="96" t="str">
        <f t="shared" si="41"/>
        <v/>
      </c>
      <c r="BA290" s="99" t="str">
        <f t="shared" ca="1" si="47"/>
        <v/>
      </c>
      <c r="BB290" s="97" t="str">
        <f t="shared" si="42"/>
        <v/>
      </c>
      <c r="BC290" s="101" t="str">
        <f t="shared" ca="1" si="48"/>
        <v/>
      </c>
      <c r="BD290" s="100" t="str">
        <f t="shared" si="43"/>
        <v/>
      </c>
      <c r="BE290" s="103">
        <f t="shared" ca="1" si="49"/>
        <v>54155</v>
      </c>
      <c r="BF290" s="102">
        <f t="shared" si="44"/>
        <v>-18138.544377630071</v>
      </c>
    </row>
    <row r="291" spans="48:58" hidden="1" x14ac:dyDescent="0.25">
      <c r="AV291">
        <v>266</v>
      </c>
      <c r="AW291" s="94" t="str">
        <f t="shared" ca="1" si="45"/>
        <v/>
      </c>
      <c r="AX291" s="95" t="str">
        <f t="shared" si="40"/>
        <v/>
      </c>
      <c r="AY291" s="98" t="str">
        <f t="shared" ca="1" si="46"/>
        <v/>
      </c>
      <c r="AZ291" s="96" t="str">
        <f t="shared" si="41"/>
        <v/>
      </c>
      <c r="BA291" s="99" t="str">
        <f t="shared" ca="1" si="47"/>
        <v/>
      </c>
      <c r="BB291" s="97" t="str">
        <f t="shared" si="42"/>
        <v/>
      </c>
      <c r="BC291" s="101" t="str">
        <f t="shared" ca="1" si="48"/>
        <v/>
      </c>
      <c r="BD291" s="100" t="str">
        <f t="shared" si="43"/>
        <v/>
      </c>
      <c r="BE291" s="103">
        <f t="shared" ca="1" si="49"/>
        <v>54185</v>
      </c>
      <c r="BF291" s="102">
        <f t="shared" si="44"/>
        <v>-18138.544377630071</v>
      </c>
    </row>
    <row r="292" spans="48:58" hidden="1" x14ac:dyDescent="0.25">
      <c r="AV292">
        <v>267</v>
      </c>
      <c r="AW292" s="94" t="str">
        <f t="shared" ca="1" si="45"/>
        <v/>
      </c>
      <c r="AX292" s="95" t="str">
        <f t="shared" si="40"/>
        <v/>
      </c>
      <c r="AY292" s="98" t="str">
        <f t="shared" ca="1" si="46"/>
        <v/>
      </c>
      <c r="AZ292" s="96" t="str">
        <f t="shared" si="41"/>
        <v/>
      </c>
      <c r="BA292" s="99" t="str">
        <f t="shared" ca="1" si="47"/>
        <v/>
      </c>
      <c r="BB292" s="97" t="str">
        <f t="shared" si="42"/>
        <v/>
      </c>
      <c r="BC292" s="101" t="str">
        <f t="shared" ca="1" si="48"/>
        <v/>
      </c>
      <c r="BD292" s="100" t="str">
        <f t="shared" si="43"/>
        <v/>
      </c>
      <c r="BE292" s="103">
        <f t="shared" ca="1" si="49"/>
        <v>54216</v>
      </c>
      <c r="BF292" s="102">
        <f t="shared" si="44"/>
        <v>-18138.544377630071</v>
      </c>
    </row>
    <row r="293" spans="48:58" hidden="1" x14ac:dyDescent="0.25">
      <c r="AV293">
        <v>268</v>
      </c>
      <c r="AW293" s="94" t="str">
        <f t="shared" ca="1" si="45"/>
        <v/>
      </c>
      <c r="AX293" s="95" t="str">
        <f t="shared" si="40"/>
        <v/>
      </c>
      <c r="AY293" s="98" t="str">
        <f t="shared" ca="1" si="46"/>
        <v/>
      </c>
      <c r="AZ293" s="96" t="str">
        <f t="shared" si="41"/>
        <v/>
      </c>
      <c r="BA293" s="99" t="str">
        <f t="shared" ca="1" si="47"/>
        <v/>
      </c>
      <c r="BB293" s="97" t="str">
        <f t="shared" si="42"/>
        <v/>
      </c>
      <c r="BC293" s="101" t="str">
        <f t="shared" ca="1" si="48"/>
        <v/>
      </c>
      <c r="BD293" s="100" t="str">
        <f t="shared" si="43"/>
        <v/>
      </c>
      <c r="BE293" s="103">
        <f t="shared" ca="1" si="49"/>
        <v>54246</v>
      </c>
      <c r="BF293" s="102">
        <f t="shared" si="44"/>
        <v>-18138.544377630071</v>
      </c>
    </row>
    <row r="294" spans="48:58" hidden="1" x14ac:dyDescent="0.25">
      <c r="AV294">
        <v>269</v>
      </c>
      <c r="AW294" s="94" t="str">
        <f t="shared" ca="1" si="45"/>
        <v/>
      </c>
      <c r="AX294" s="95" t="str">
        <f t="shared" si="40"/>
        <v/>
      </c>
      <c r="AY294" s="98" t="str">
        <f t="shared" ca="1" si="46"/>
        <v/>
      </c>
      <c r="AZ294" s="96" t="str">
        <f t="shared" si="41"/>
        <v/>
      </c>
      <c r="BA294" s="99" t="str">
        <f t="shared" ca="1" si="47"/>
        <v/>
      </c>
      <c r="BB294" s="97" t="str">
        <f t="shared" si="42"/>
        <v/>
      </c>
      <c r="BC294" s="101" t="str">
        <f t="shared" ca="1" si="48"/>
        <v/>
      </c>
      <c r="BD294" s="100" t="str">
        <f t="shared" si="43"/>
        <v/>
      </c>
      <c r="BE294" s="103">
        <f t="shared" ca="1" si="49"/>
        <v>54277</v>
      </c>
      <c r="BF294" s="102">
        <f t="shared" si="44"/>
        <v>-18138.544377630071</v>
      </c>
    </row>
    <row r="295" spans="48:58" hidden="1" x14ac:dyDescent="0.25">
      <c r="AV295">
        <v>270</v>
      </c>
      <c r="AW295" s="94" t="str">
        <f t="shared" ca="1" si="45"/>
        <v/>
      </c>
      <c r="AX295" s="95" t="str">
        <f t="shared" si="40"/>
        <v/>
      </c>
      <c r="AY295" s="98" t="str">
        <f t="shared" ca="1" si="46"/>
        <v/>
      </c>
      <c r="AZ295" s="96" t="str">
        <f t="shared" si="41"/>
        <v/>
      </c>
      <c r="BA295" s="99" t="str">
        <f t="shared" ca="1" si="47"/>
        <v/>
      </c>
      <c r="BB295" s="97" t="str">
        <f t="shared" si="42"/>
        <v/>
      </c>
      <c r="BC295" s="101" t="str">
        <f t="shared" ca="1" si="48"/>
        <v/>
      </c>
      <c r="BD295" s="100" t="str">
        <f t="shared" si="43"/>
        <v/>
      </c>
      <c r="BE295" s="103">
        <f t="shared" ca="1" si="49"/>
        <v>54308</v>
      </c>
      <c r="BF295" s="102">
        <f t="shared" si="44"/>
        <v>-18138.544377630071</v>
      </c>
    </row>
    <row r="296" spans="48:58" hidden="1" x14ac:dyDescent="0.25">
      <c r="AV296">
        <v>271</v>
      </c>
      <c r="AW296" s="94" t="str">
        <f t="shared" ca="1" si="45"/>
        <v/>
      </c>
      <c r="AX296" s="95" t="str">
        <f t="shared" si="40"/>
        <v/>
      </c>
      <c r="AY296" s="98" t="str">
        <f t="shared" ca="1" si="46"/>
        <v/>
      </c>
      <c r="AZ296" s="96" t="str">
        <f t="shared" si="41"/>
        <v/>
      </c>
      <c r="BA296" s="99" t="str">
        <f t="shared" ca="1" si="47"/>
        <v/>
      </c>
      <c r="BB296" s="97" t="str">
        <f t="shared" si="42"/>
        <v/>
      </c>
      <c r="BC296" s="101" t="str">
        <f t="shared" ca="1" si="48"/>
        <v/>
      </c>
      <c r="BD296" s="100" t="str">
        <f t="shared" si="43"/>
        <v/>
      </c>
      <c r="BE296" s="103">
        <f t="shared" ca="1" si="49"/>
        <v>54338</v>
      </c>
      <c r="BF296" s="102">
        <f t="shared" si="44"/>
        <v>-18138.544377630071</v>
      </c>
    </row>
    <row r="297" spans="48:58" hidden="1" x14ac:dyDescent="0.25">
      <c r="AV297">
        <v>272</v>
      </c>
      <c r="AW297" s="94" t="str">
        <f t="shared" ca="1" si="45"/>
        <v/>
      </c>
      <c r="AX297" s="95" t="str">
        <f t="shared" si="40"/>
        <v/>
      </c>
      <c r="AY297" s="98" t="str">
        <f t="shared" ca="1" si="46"/>
        <v/>
      </c>
      <c r="AZ297" s="96" t="str">
        <f t="shared" si="41"/>
        <v/>
      </c>
      <c r="BA297" s="99" t="str">
        <f t="shared" ca="1" si="47"/>
        <v/>
      </c>
      <c r="BB297" s="97" t="str">
        <f t="shared" si="42"/>
        <v/>
      </c>
      <c r="BC297" s="101" t="str">
        <f t="shared" ca="1" si="48"/>
        <v/>
      </c>
      <c r="BD297" s="100" t="str">
        <f t="shared" si="43"/>
        <v/>
      </c>
      <c r="BE297" s="103">
        <f t="shared" ca="1" si="49"/>
        <v>54369</v>
      </c>
      <c r="BF297" s="102">
        <f t="shared" si="44"/>
        <v>-18138.544377630071</v>
      </c>
    </row>
    <row r="298" spans="48:58" hidden="1" x14ac:dyDescent="0.25">
      <c r="AV298">
        <v>273</v>
      </c>
      <c r="AW298" s="94" t="str">
        <f t="shared" ca="1" si="45"/>
        <v/>
      </c>
      <c r="AX298" s="95" t="str">
        <f t="shared" si="40"/>
        <v/>
      </c>
      <c r="AY298" s="98" t="str">
        <f t="shared" ca="1" si="46"/>
        <v/>
      </c>
      <c r="AZ298" s="96" t="str">
        <f t="shared" si="41"/>
        <v/>
      </c>
      <c r="BA298" s="99" t="str">
        <f t="shared" ca="1" si="47"/>
        <v/>
      </c>
      <c r="BB298" s="97" t="str">
        <f t="shared" si="42"/>
        <v/>
      </c>
      <c r="BC298" s="101" t="str">
        <f t="shared" ca="1" si="48"/>
        <v/>
      </c>
      <c r="BD298" s="100" t="str">
        <f t="shared" si="43"/>
        <v/>
      </c>
      <c r="BE298" s="103">
        <f t="shared" ca="1" si="49"/>
        <v>54399</v>
      </c>
      <c r="BF298" s="102">
        <f t="shared" si="44"/>
        <v>-18138.544377630071</v>
      </c>
    </row>
    <row r="299" spans="48:58" hidden="1" x14ac:dyDescent="0.25">
      <c r="AV299">
        <v>274</v>
      </c>
      <c r="AW299" s="94" t="str">
        <f t="shared" ca="1" si="45"/>
        <v/>
      </c>
      <c r="AX299" s="95" t="str">
        <f t="shared" si="40"/>
        <v/>
      </c>
      <c r="AY299" s="98" t="str">
        <f t="shared" ca="1" si="46"/>
        <v/>
      </c>
      <c r="AZ299" s="96" t="str">
        <f t="shared" si="41"/>
        <v/>
      </c>
      <c r="BA299" s="99" t="str">
        <f t="shared" ca="1" si="47"/>
        <v/>
      </c>
      <c r="BB299" s="97" t="str">
        <f t="shared" si="42"/>
        <v/>
      </c>
      <c r="BC299" s="101" t="str">
        <f t="shared" ca="1" si="48"/>
        <v/>
      </c>
      <c r="BD299" s="100" t="str">
        <f t="shared" si="43"/>
        <v/>
      </c>
      <c r="BE299" s="103">
        <f t="shared" ca="1" si="49"/>
        <v>54430</v>
      </c>
      <c r="BF299" s="102">
        <f t="shared" si="44"/>
        <v>-18138.544377630071</v>
      </c>
    </row>
    <row r="300" spans="48:58" hidden="1" x14ac:dyDescent="0.25">
      <c r="AV300">
        <v>275</v>
      </c>
      <c r="AW300" s="94" t="str">
        <f t="shared" ca="1" si="45"/>
        <v/>
      </c>
      <c r="AX300" s="95" t="str">
        <f t="shared" si="40"/>
        <v/>
      </c>
      <c r="AY300" s="98" t="str">
        <f t="shared" ca="1" si="46"/>
        <v/>
      </c>
      <c r="AZ300" s="96" t="str">
        <f t="shared" si="41"/>
        <v/>
      </c>
      <c r="BA300" s="99" t="str">
        <f t="shared" ca="1" si="47"/>
        <v/>
      </c>
      <c r="BB300" s="97" t="str">
        <f t="shared" si="42"/>
        <v/>
      </c>
      <c r="BC300" s="101" t="str">
        <f t="shared" ca="1" si="48"/>
        <v/>
      </c>
      <c r="BD300" s="100" t="str">
        <f t="shared" si="43"/>
        <v/>
      </c>
      <c r="BE300" s="103">
        <f t="shared" ca="1" si="49"/>
        <v>54461</v>
      </c>
      <c r="BF300" s="102">
        <f t="shared" si="44"/>
        <v>-18138.544377630071</v>
      </c>
    </row>
    <row r="301" spans="48:58" hidden="1" x14ac:dyDescent="0.25">
      <c r="AV301">
        <v>276</v>
      </c>
      <c r="AW301" s="94" t="str">
        <f t="shared" ca="1" si="45"/>
        <v/>
      </c>
      <c r="AX301" s="95" t="str">
        <f t="shared" si="40"/>
        <v/>
      </c>
      <c r="AY301" s="98" t="str">
        <f t="shared" ca="1" si="46"/>
        <v/>
      </c>
      <c r="AZ301" s="96" t="str">
        <f t="shared" si="41"/>
        <v/>
      </c>
      <c r="BA301" s="99" t="str">
        <f t="shared" ca="1" si="47"/>
        <v/>
      </c>
      <c r="BB301" s="97" t="str">
        <f t="shared" si="42"/>
        <v/>
      </c>
      <c r="BC301" s="101" t="str">
        <f t="shared" ca="1" si="48"/>
        <v/>
      </c>
      <c r="BD301" s="100" t="str">
        <f t="shared" si="43"/>
        <v/>
      </c>
      <c r="BE301" s="103">
        <f t="shared" ca="1" si="49"/>
        <v>54489</v>
      </c>
      <c r="BF301" s="102">
        <f t="shared" si="44"/>
        <v>-18138.544377630071</v>
      </c>
    </row>
    <row r="302" spans="48:58" hidden="1" x14ac:dyDescent="0.25">
      <c r="AV302">
        <v>277</v>
      </c>
      <c r="AW302" s="94" t="str">
        <f t="shared" ca="1" si="45"/>
        <v/>
      </c>
      <c r="AX302" s="95" t="str">
        <f t="shared" si="40"/>
        <v/>
      </c>
      <c r="AY302" s="98" t="str">
        <f t="shared" ca="1" si="46"/>
        <v/>
      </c>
      <c r="AZ302" s="96" t="str">
        <f t="shared" si="41"/>
        <v/>
      </c>
      <c r="BA302" s="99" t="str">
        <f t="shared" ca="1" si="47"/>
        <v/>
      </c>
      <c r="BB302" s="97" t="str">
        <f t="shared" si="42"/>
        <v/>
      </c>
      <c r="BC302" s="101" t="str">
        <f t="shared" ca="1" si="48"/>
        <v/>
      </c>
      <c r="BD302" s="100" t="str">
        <f t="shared" si="43"/>
        <v/>
      </c>
      <c r="BE302" s="103">
        <f t="shared" ca="1" si="49"/>
        <v>54520</v>
      </c>
      <c r="BF302" s="102">
        <f t="shared" si="44"/>
        <v>-18138.544377630071</v>
      </c>
    </row>
    <row r="303" spans="48:58" hidden="1" x14ac:dyDescent="0.25">
      <c r="AV303">
        <v>278</v>
      </c>
      <c r="AW303" s="94" t="str">
        <f t="shared" ca="1" si="45"/>
        <v/>
      </c>
      <c r="AX303" s="95" t="str">
        <f t="shared" si="40"/>
        <v/>
      </c>
      <c r="AY303" s="98" t="str">
        <f t="shared" ca="1" si="46"/>
        <v/>
      </c>
      <c r="AZ303" s="96" t="str">
        <f t="shared" si="41"/>
        <v/>
      </c>
      <c r="BA303" s="99" t="str">
        <f t="shared" ca="1" si="47"/>
        <v/>
      </c>
      <c r="BB303" s="97" t="str">
        <f t="shared" si="42"/>
        <v/>
      </c>
      <c r="BC303" s="101" t="str">
        <f t="shared" ca="1" si="48"/>
        <v/>
      </c>
      <c r="BD303" s="100" t="str">
        <f t="shared" si="43"/>
        <v/>
      </c>
      <c r="BE303" s="103">
        <f t="shared" ca="1" si="49"/>
        <v>54550</v>
      </c>
      <c r="BF303" s="102">
        <f t="shared" si="44"/>
        <v>-18138.544377630071</v>
      </c>
    </row>
    <row r="304" spans="48:58" hidden="1" x14ac:dyDescent="0.25">
      <c r="AV304">
        <v>279</v>
      </c>
      <c r="AW304" s="94" t="str">
        <f t="shared" ca="1" si="45"/>
        <v/>
      </c>
      <c r="AX304" s="95" t="str">
        <f t="shared" si="40"/>
        <v/>
      </c>
      <c r="AY304" s="98" t="str">
        <f t="shared" ca="1" si="46"/>
        <v/>
      </c>
      <c r="AZ304" s="96" t="str">
        <f t="shared" si="41"/>
        <v/>
      </c>
      <c r="BA304" s="99" t="str">
        <f t="shared" ca="1" si="47"/>
        <v/>
      </c>
      <c r="BB304" s="97" t="str">
        <f t="shared" si="42"/>
        <v/>
      </c>
      <c r="BC304" s="101" t="str">
        <f t="shared" ca="1" si="48"/>
        <v/>
      </c>
      <c r="BD304" s="100" t="str">
        <f t="shared" si="43"/>
        <v/>
      </c>
      <c r="BE304" s="103">
        <f t="shared" ca="1" si="49"/>
        <v>54581</v>
      </c>
      <c r="BF304" s="102">
        <f t="shared" si="44"/>
        <v>-18138.544377630071</v>
      </c>
    </row>
    <row r="305" spans="48:58" hidden="1" x14ac:dyDescent="0.25">
      <c r="AV305">
        <v>280</v>
      </c>
      <c r="AW305" s="94" t="str">
        <f t="shared" ca="1" si="45"/>
        <v/>
      </c>
      <c r="AX305" s="95" t="str">
        <f t="shared" si="40"/>
        <v/>
      </c>
      <c r="AY305" s="98" t="str">
        <f t="shared" ca="1" si="46"/>
        <v/>
      </c>
      <c r="AZ305" s="96" t="str">
        <f t="shared" si="41"/>
        <v/>
      </c>
      <c r="BA305" s="99" t="str">
        <f t="shared" ca="1" si="47"/>
        <v/>
      </c>
      <c r="BB305" s="97" t="str">
        <f t="shared" si="42"/>
        <v/>
      </c>
      <c r="BC305" s="101" t="str">
        <f t="shared" ca="1" si="48"/>
        <v/>
      </c>
      <c r="BD305" s="100" t="str">
        <f t="shared" si="43"/>
        <v/>
      </c>
      <c r="BE305" s="103">
        <f t="shared" ca="1" si="49"/>
        <v>54611</v>
      </c>
      <c r="BF305" s="102">
        <f t="shared" si="44"/>
        <v>-18138.544377630071</v>
      </c>
    </row>
    <row r="306" spans="48:58" hidden="1" x14ac:dyDescent="0.25">
      <c r="AV306">
        <v>281</v>
      </c>
      <c r="AW306" s="94" t="str">
        <f t="shared" ca="1" si="45"/>
        <v/>
      </c>
      <c r="AX306" s="95" t="str">
        <f t="shared" si="40"/>
        <v/>
      </c>
      <c r="AY306" s="98" t="str">
        <f t="shared" ca="1" si="46"/>
        <v/>
      </c>
      <c r="AZ306" s="96" t="str">
        <f t="shared" si="41"/>
        <v/>
      </c>
      <c r="BA306" s="99" t="str">
        <f t="shared" ca="1" si="47"/>
        <v/>
      </c>
      <c r="BB306" s="97" t="str">
        <f t="shared" si="42"/>
        <v/>
      </c>
      <c r="BC306" s="101" t="str">
        <f t="shared" ca="1" si="48"/>
        <v/>
      </c>
      <c r="BD306" s="100" t="str">
        <f t="shared" si="43"/>
        <v/>
      </c>
      <c r="BE306" s="103">
        <f t="shared" ca="1" si="49"/>
        <v>54642</v>
      </c>
      <c r="BF306" s="102">
        <f t="shared" si="44"/>
        <v>-18138.544377630071</v>
      </c>
    </row>
    <row r="307" spans="48:58" hidden="1" x14ac:dyDescent="0.25">
      <c r="AV307">
        <v>282</v>
      </c>
      <c r="AW307" s="94" t="str">
        <f t="shared" ca="1" si="45"/>
        <v/>
      </c>
      <c r="AX307" s="95" t="str">
        <f t="shared" si="40"/>
        <v/>
      </c>
      <c r="AY307" s="98" t="str">
        <f t="shared" ca="1" si="46"/>
        <v/>
      </c>
      <c r="AZ307" s="96" t="str">
        <f t="shared" si="41"/>
        <v/>
      </c>
      <c r="BA307" s="99" t="str">
        <f t="shared" ca="1" si="47"/>
        <v/>
      </c>
      <c r="BB307" s="97" t="str">
        <f t="shared" si="42"/>
        <v/>
      </c>
      <c r="BC307" s="101" t="str">
        <f t="shared" ca="1" si="48"/>
        <v/>
      </c>
      <c r="BD307" s="100" t="str">
        <f t="shared" si="43"/>
        <v/>
      </c>
      <c r="BE307" s="103">
        <f t="shared" ca="1" si="49"/>
        <v>54673</v>
      </c>
      <c r="BF307" s="102">
        <f t="shared" si="44"/>
        <v>-18138.544377630071</v>
      </c>
    </row>
    <row r="308" spans="48:58" hidden="1" x14ac:dyDescent="0.25">
      <c r="AV308">
        <v>283</v>
      </c>
      <c r="AW308" s="94" t="str">
        <f t="shared" ca="1" si="45"/>
        <v/>
      </c>
      <c r="AX308" s="95" t="str">
        <f t="shared" si="40"/>
        <v/>
      </c>
      <c r="AY308" s="98" t="str">
        <f t="shared" ca="1" si="46"/>
        <v/>
      </c>
      <c r="AZ308" s="96" t="str">
        <f t="shared" si="41"/>
        <v/>
      </c>
      <c r="BA308" s="99" t="str">
        <f t="shared" ca="1" si="47"/>
        <v/>
      </c>
      <c r="BB308" s="97" t="str">
        <f t="shared" si="42"/>
        <v/>
      </c>
      <c r="BC308" s="101" t="str">
        <f t="shared" ca="1" si="48"/>
        <v/>
      </c>
      <c r="BD308" s="100" t="str">
        <f t="shared" si="43"/>
        <v/>
      </c>
      <c r="BE308" s="103">
        <f t="shared" ca="1" si="49"/>
        <v>54703</v>
      </c>
      <c r="BF308" s="102">
        <f t="shared" si="44"/>
        <v>-18138.544377630071</v>
      </c>
    </row>
    <row r="309" spans="48:58" hidden="1" x14ac:dyDescent="0.25">
      <c r="AV309">
        <v>284</v>
      </c>
      <c r="AW309" s="94" t="str">
        <f t="shared" ca="1" si="45"/>
        <v/>
      </c>
      <c r="AX309" s="95" t="str">
        <f t="shared" si="40"/>
        <v/>
      </c>
      <c r="AY309" s="98" t="str">
        <f t="shared" ca="1" si="46"/>
        <v/>
      </c>
      <c r="AZ309" s="96" t="str">
        <f t="shared" si="41"/>
        <v/>
      </c>
      <c r="BA309" s="99" t="str">
        <f t="shared" ca="1" si="47"/>
        <v/>
      </c>
      <c r="BB309" s="97" t="str">
        <f t="shared" si="42"/>
        <v/>
      </c>
      <c r="BC309" s="101" t="str">
        <f t="shared" ca="1" si="48"/>
        <v/>
      </c>
      <c r="BD309" s="100" t="str">
        <f t="shared" si="43"/>
        <v/>
      </c>
      <c r="BE309" s="103">
        <f t="shared" ca="1" si="49"/>
        <v>54734</v>
      </c>
      <c r="BF309" s="102">
        <f t="shared" si="44"/>
        <v>-18138.544377630071</v>
      </c>
    </row>
    <row r="310" spans="48:58" hidden="1" x14ac:dyDescent="0.25">
      <c r="AV310">
        <v>285</v>
      </c>
      <c r="AW310" s="94" t="str">
        <f t="shared" ca="1" si="45"/>
        <v/>
      </c>
      <c r="AX310" s="95" t="str">
        <f t="shared" si="40"/>
        <v/>
      </c>
      <c r="AY310" s="98" t="str">
        <f t="shared" ca="1" si="46"/>
        <v/>
      </c>
      <c r="AZ310" s="96" t="str">
        <f t="shared" si="41"/>
        <v/>
      </c>
      <c r="BA310" s="99" t="str">
        <f t="shared" ca="1" si="47"/>
        <v/>
      </c>
      <c r="BB310" s="97" t="str">
        <f t="shared" si="42"/>
        <v/>
      </c>
      <c r="BC310" s="101" t="str">
        <f t="shared" ca="1" si="48"/>
        <v/>
      </c>
      <c r="BD310" s="100" t="str">
        <f t="shared" si="43"/>
        <v/>
      </c>
      <c r="BE310" s="103">
        <f t="shared" ca="1" si="49"/>
        <v>54764</v>
      </c>
      <c r="BF310" s="102">
        <f t="shared" si="44"/>
        <v>-18138.544377630071</v>
      </c>
    </row>
    <row r="311" spans="48:58" hidden="1" x14ac:dyDescent="0.25">
      <c r="AV311">
        <v>286</v>
      </c>
      <c r="AW311" s="94" t="str">
        <f t="shared" ca="1" si="45"/>
        <v/>
      </c>
      <c r="AX311" s="95" t="str">
        <f t="shared" si="40"/>
        <v/>
      </c>
      <c r="AY311" s="98" t="str">
        <f t="shared" ca="1" si="46"/>
        <v/>
      </c>
      <c r="AZ311" s="96" t="str">
        <f t="shared" si="41"/>
        <v/>
      </c>
      <c r="BA311" s="99" t="str">
        <f t="shared" ca="1" si="47"/>
        <v/>
      </c>
      <c r="BB311" s="97" t="str">
        <f t="shared" si="42"/>
        <v/>
      </c>
      <c r="BC311" s="101" t="str">
        <f t="shared" ca="1" si="48"/>
        <v/>
      </c>
      <c r="BD311" s="100" t="str">
        <f t="shared" si="43"/>
        <v/>
      </c>
      <c r="BE311" s="103">
        <f t="shared" ca="1" si="49"/>
        <v>54795</v>
      </c>
      <c r="BF311" s="102">
        <f t="shared" si="44"/>
        <v>-18138.544377630071</v>
      </c>
    </row>
    <row r="312" spans="48:58" hidden="1" x14ac:dyDescent="0.25">
      <c r="AV312">
        <v>287</v>
      </c>
      <c r="AW312" s="94" t="str">
        <f t="shared" ca="1" si="45"/>
        <v/>
      </c>
      <c r="AX312" s="95" t="str">
        <f t="shared" si="40"/>
        <v/>
      </c>
      <c r="AY312" s="98" t="str">
        <f t="shared" ca="1" si="46"/>
        <v/>
      </c>
      <c r="AZ312" s="96" t="str">
        <f t="shared" si="41"/>
        <v/>
      </c>
      <c r="BA312" s="99" t="str">
        <f t="shared" ca="1" si="47"/>
        <v/>
      </c>
      <c r="BB312" s="97" t="str">
        <f t="shared" si="42"/>
        <v/>
      </c>
      <c r="BC312" s="101" t="str">
        <f t="shared" ca="1" si="48"/>
        <v/>
      </c>
      <c r="BD312" s="100" t="str">
        <f t="shared" si="43"/>
        <v/>
      </c>
      <c r="BE312" s="103">
        <f t="shared" ca="1" si="49"/>
        <v>54826</v>
      </c>
      <c r="BF312" s="102">
        <f t="shared" si="44"/>
        <v>-18138.544377630071</v>
      </c>
    </row>
    <row r="313" spans="48:58" hidden="1" x14ac:dyDescent="0.25">
      <c r="AV313">
        <v>288</v>
      </c>
      <c r="AW313" s="94" t="str">
        <f t="shared" ca="1" si="45"/>
        <v/>
      </c>
      <c r="AX313" s="95" t="str">
        <f t="shared" si="40"/>
        <v/>
      </c>
      <c r="AY313" s="98" t="str">
        <f t="shared" ca="1" si="46"/>
        <v/>
      </c>
      <c r="AZ313" s="96" t="str">
        <f t="shared" si="41"/>
        <v/>
      </c>
      <c r="BA313" s="99" t="str">
        <f t="shared" ca="1" si="47"/>
        <v/>
      </c>
      <c r="BB313" s="97" t="str">
        <f t="shared" si="42"/>
        <v/>
      </c>
      <c r="BC313" s="101" t="str">
        <f t="shared" ca="1" si="48"/>
        <v/>
      </c>
      <c r="BD313" s="100" t="str">
        <f t="shared" si="43"/>
        <v/>
      </c>
      <c r="BE313" s="103">
        <f t="shared" ca="1" si="49"/>
        <v>54854</v>
      </c>
      <c r="BF313" s="102">
        <f t="shared" si="44"/>
        <v>-18138.544377630071</v>
      </c>
    </row>
    <row r="314" spans="48:58" hidden="1" x14ac:dyDescent="0.25">
      <c r="AV314">
        <v>289</v>
      </c>
      <c r="AW314" s="94" t="str">
        <f t="shared" ca="1" si="45"/>
        <v/>
      </c>
      <c r="AX314" s="95" t="str">
        <f t="shared" si="40"/>
        <v/>
      </c>
      <c r="AY314" s="98" t="str">
        <f t="shared" ca="1" si="46"/>
        <v/>
      </c>
      <c r="AZ314" s="96" t="str">
        <f t="shared" si="41"/>
        <v/>
      </c>
      <c r="BA314" s="99" t="str">
        <f t="shared" ca="1" si="47"/>
        <v/>
      </c>
      <c r="BB314" s="97" t="str">
        <f t="shared" si="42"/>
        <v/>
      </c>
      <c r="BC314" s="101" t="str">
        <f t="shared" ca="1" si="48"/>
        <v/>
      </c>
      <c r="BD314" s="100" t="str">
        <f t="shared" si="43"/>
        <v/>
      </c>
      <c r="BE314" s="103">
        <f t="shared" ca="1" si="49"/>
        <v>54885</v>
      </c>
      <c r="BF314" s="102">
        <f t="shared" si="44"/>
        <v>-18138.544377630071</v>
      </c>
    </row>
    <row r="315" spans="48:58" hidden="1" x14ac:dyDescent="0.25">
      <c r="AV315">
        <v>290</v>
      </c>
      <c r="AW315" s="94" t="str">
        <f t="shared" ca="1" si="45"/>
        <v/>
      </c>
      <c r="AX315" s="95" t="str">
        <f t="shared" si="40"/>
        <v/>
      </c>
      <c r="AY315" s="98" t="str">
        <f t="shared" ca="1" si="46"/>
        <v/>
      </c>
      <c r="AZ315" s="96" t="str">
        <f t="shared" si="41"/>
        <v/>
      </c>
      <c r="BA315" s="99" t="str">
        <f t="shared" ca="1" si="47"/>
        <v/>
      </c>
      <c r="BB315" s="97" t="str">
        <f t="shared" si="42"/>
        <v/>
      </c>
      <c r="BC315" s="101" t="str">
        <f t="shared" ca="1" si="48"/>
        <v/>
      </c>
      <c r="BD315" s="100" t="str">
        <f t="shared" si="43"/>
        <v/>
      </c>
      <c r="BE315" s="103">
        <f t="shared" ca="1" si="49"/>
        <v>54915</v>
      </c>
      <c r="BF315" s="102">
        <f t="shared" si="44"/>
        <v>-18138.544377630071</v>
      </c>
    </row>
    <row r="316" spans="48:58" hidden="1" x14ac:dyDescent="0.25">
      <c r="AV316">
        <v>291</v>
      </c>
      <c r="AW316" s="94" t="str">
        <f t="shared" ca="1" si="45"/>
        <v/>
      </c>
      <c r="AX316" s="95" t="str">
        <f t="shared" si="40"/>
        <v/>
      </c>
      <c r="AY316" s="98" t="str">
        <f t="shared" ca="1" si="46"/>
        <v/>
      </c>
      <c r="AZ316" s="96" t="str">
        <f t="shared" si="41"/>
        <v/>
      </c>
      <c r="BA316" s="99" t="str">
        <f t="shared" ca="1" si="47"/>
        <v/>
      </c>
      <c r="BB316" s="97" t="str">
        <f t="shared" si="42"/>
        <v/>
      </c>
      <c r="BC316" s="101" t="str">
        <f t="shared" ca="1" si="48"/>
        <v/>
      </c>
      <c r="BD316" s="100" t="str">
        <f t="shared" si="43"/>
        <v/>
      </c>
      <c r="BE316" s="103">
        <f t="shared" ca="1" si="49"/>
        <v>54946</v>
      </c>
      <c r="BF316" s="102">
        <f t="shared" si="44"/>
        <v>-18138.544377630071</v>
      </c>
    </row>
    <row r="317" spans="48:58" hidden="1" x14ac:dyDescent="0.25">
      <c r="AV317">
        <v>292</v>
      </c>
      <c r="AW317" s="94" t="str">
        <f t="shared" ca="1" si="45"/>
        <v/>
      </c>
      <c r="AX317" s="95" t="str">
        <f t="shared" si="40"/>
        <v/>
      </c>
      <c r="AY317" s="98" t="str">
        <f t="shared" ca="1" si="46"/>
        <v/>
      </c>
      <c r="AZ317" s="96" t="str">
        <f t="shared" si="41"/>
        <v/>
      </c>
      <c r="BA317" s="99" t="str">
        <f t="shared" ca="1" si="47"/>
        <v/>
      </c>
      <c r="BB317" s="97" t="str">
        <f t="shared" si="42"/>
        <v/>
      </c>
      <c r="BC317" s="101" t="str">
        <f t="shared" ca="1" si="48"/>
        <v/>
      </c>
      <c r="BD317" s="100" t="str">
        <f t="shared" si="43"/>
        <v/>
      </c>
      <c r="BE317" s="103">
        <f t="shared" ca="1" si="49"/>
        <v>54976</v>
      </c>
      <c r="BF317" s="102">
        <f t="shared" si="44"/>
        <v>-18138.544377630071</v>
      </c>
    </row>
    <row r="318" spans="48:58" hidden="1" x14ac:dyDescent="0.25">
      <c r="AV318">
        <v>293</v>
      </c>
      <c r="AW318" s="94" t="str">
        <f t="shared" ca="1" si="45"/>
        <v/>
      </c>
      <c r="AX318" s="95" t="str">
        <f t="shared" si="40"/>
        <v/>
      </c>
      <c r="AY318" s="98" t="str">
        <f t="shared" ca="1" si="46"/>
        <v/>
      </c>
      <c r="AZ318" s="96" t="str">
        <f t="shared" si="41"/>
        <v/>
      </c>
      <c r="BA318" s="99" t="str">
        <f t="shared" ca="1" si="47"/>
        <v/>
      </c>
      <c r="BB318" s="97" t="str">
        <f t="shared" si="42"/>
        <v/>
      </c>
      <c r="BC318" s="101" t="str">
        <f t="shared" ca="1" si="48"/>
        <v/>
      </c>
      <c r="BD318" s="100" t="str">
        <f t="shared" si="43"/>
        <v/>
      </c>
      <c r="BE318" s="103">
        <f t="shared" ca="1" si="49"/>
        <v>55007</v>
      </c>
      <c r="BF318" s="102">
        <f t="shared" si="44"/>
        <v>-18138.544377630071</v>
      </c>
    </row>
    <row r="319" spans="48:58" hidden="1" x14ac:dyDescent="0.25">
      <c r="AV319">
        <v>294</v>
      </c>
      <c r="AW319" s="94" t="str">
        <f t="shared" ca="1" si="45"/>
        <v/>
      </c>
      <c r="AX319" s="95" t="str">
        <f t="shared" si="40"/>
        <v/>
      </c>
      <c r="AY319" s="98" t="str">
        <f t="shared" ca="1" si="46"/>
        <v/>
      </c>
      <c r="AZ319" s="96" t="str">
        <f t="shared" si="41"/>
        <v/>
      </c>
      <c r="BA319" s="99" t="str">
        <f t="shared" ca="1" si="47"/>
        <v/>
      </c>
      <c r="BB319" s="97" t="str">
        <f t="shared" si="42"/>
        <v/>
      </c>
      <c r="BC319" s="101" t="str">
        <f t="shared" ca="1" si="48"/>
        <v/>
      </c>
      <c r="BD319" s="100" t="str">
        <f t="shared" si="43"/>
        <v/>
      </c>
      <c r="BE319" s="103">
        <f t="shared" ca="1" si="49"/>
        <v>55038</v>
      </c>
      <c r="BF319" s="102">
        <f t="shared" si="44"/>
        <v>-18138.544377630071</v>
      </c>
    </row>
    <row r="320" spans="48:58" hidden="1" x14ac:dyDescent="0.25">
      <c r="AV320">
        <v>295</v>
      </c>
      <c r="AW320" s="94" t="str">
        <f t="shared" ca="1" si="45"/>
        <v/>
      </c>
      <c r="AX320" s="95" t="str">
        <f t="shared" si="40"/>
        <v/>
      </c>
      <c r="AY320" s="98" t="str">
        <f t="shared" ca="1" si="46"/>
        <v/>
      </c>
      <c r="AZ320" s="96" t="str">
        <f t="shared" si="41"/>
        <v/>
      </c>
      <c r="BA320" s="99" t="str">
        <f t="shared" ca="1" si="47"/>
        <v/>
      </c>
      <c r="BB320" s="97" t="str">
        <f t="shared" si="42"/>
        <v/>
      </c>
      <c r="BC320" s="101" t="str">
        <f t="shared" ca="1" si="48"/>
        <v/>
      </c>
      <c r="BD320" s="100" t="str">
        <f t="shared" si="43"/>
        <v/>
      </c>
      <c r="BE320" s="103">
        <f t="shared" ca="1" si="49"/>
        <v>55068</v>
      </c>
      <c r="BF320" s="102">
        <f t="shared" si="44"/>
        <v>-18138.544377630071</v>
      </c>
    </row>
    <row r="321" spans="48:58" hidden="1" x14ac:dyDescent="0.25">
      <c r="AV321">
        <v>296</v>
      </c>
      <c r="AW321" s="94" t="str">
        <f t="shared" ca="1" si="45"/>
        <v/>
      </c>
      <c r="AX321" s="95" t="str">
        <f t="shared" si="40"/>
        <v/>
      </c>
      <c r="AY321" s="98" t="str">
        <f t="shared" ca="1" si="46"/>
        <v/>
      </c>
      <c r="AZ321" s="96" t="str">
        <f t="shared" si="41"/>
        <v/>
      </c>
      <c r="BA321" s="99" t="str">
        <f t="shared" ca="1" si="47"/>
        <v/>
      </c>
      <c r="BB321" s="97" t="str">
        <f t="shared" si="42"/>
        <v/>
      </c>
      <c r="BC321" s="101" t="str">
        <f t="shared" ca="1" si="48"/>
        <v/>
      </c>
      <c r="BD321" s="100" t="str">
        <f t="shared" si="43"/>
        <v/>
      </c>
      <c r="BE321" s="103">
        <f t="shared" ca="1" si="49"/>
        <v>55099</v>
      </c>
      <c r="BF321" s="102">
        <f t="shared" si="44"/>
        <v>-18138.544377630071</v>
      </c>
    </row>
    <row r="322" spans="48:58" hidden="1" x14ac:dyDescent="0.25">
      <c r="AV322">
        <v>297</v>
      </c>
      <c r="AW322" s="94" t="str">
        <f t="shared" ca="1" si="45"/>
        <v/>
      </c>
      <c r="AX322" s="95" t="str">
        <f t="shared" si="40"/>
        <v/>
      </c>
      <c r="AY322" s="98" t="str">
        <f t="shared" ca="1" si="46"/>
        <v/>
      </c>
      <c r="AZ322" s="96" t="str">
        <f t="shared" si="41"/>
        <v/>
      </c>
      <c r="BA322" s="99" t="str">
        <f t="shared" ca="1" si="47"/>
        <v/>
      </c>
      <c r="BB322" s="97" t="str">
        <f t="shared" si="42"/>
        <v/>
      </c>
      <c r="BC322" s="101" t="str">
        <f t="shared" ca="1" si="48"/>
        <v/>
      </c>
      <c r="BD322" s="100" t="str">
        <f t="shared" si="43"/>
        <v/>
      </c>
      <c r="BE322" s="103">
        <f t="shared" ca="1" si="49"/>
        <v>55129</v>
      </c>
      <c r="BF322" s="102">
        <f t="shared" si="44"/>
        <v>-18138.544377630071</v>
      </c>
    </row>
    <row r="323" spans="48:58" hidden="1" x14ac:dyDescent="0.25">
      <c r="AV323">
        <v>298</v>
      </c>
      <c r="AW323" s="94" t="str">
        <f t="shared" ca="1" si="45"/>
        <v/>
      </c>
      <c r="AX323" s="95" t="str">
        <f t="shared" si="40"/>
        <v/>
      </c>
      <c r="AY323" s="98" t="str">
        <f t="shared" ca="1" si="46"/>
        <v/>
      </c>
      <c r="AZ323" s="96" t="str">
        <f t="shared" si="41"/>
        <v/>
      </c>
      <c r="BA323" s="99" t="str">
        <f t="shared" ca="1" si="47"/>
        <v/>
      </c>
      <c r="BB323" s="97" t="str">
        <f t="shared" si="42"/>
        <v/>
      </c>
      <c r="BC323" s="101" t="str">
        <f t="shared" ca="1" si="48"/>
        <v/>
      </c>
      <c r="BD323" s="100" t="str">
        <f t="shared" si="43"/>
        <v/>
      </c>
      <c r="BE323" s="103">
        <f t="shared" ca="1" si="49"/>
        <v>55160</v>
      </c>
      <c r="BF323" s="102">
        <f t="shared" si="44"/>
        <v>-18138.544377630071</v>
      </c>
    </row>
    <row r="324" spans="48:58" hidden="1" x14ac:dyDescent="0.25">
      <c r="AV324">
        <v>299</v>
      </c>
      <c r="AW324" s="94" t="str">
        <f t="shared" ca="1" si="45"/>
        <v/>
      </c>
      <c r="AX324" s="95" t="str">
        <f t="shared" si="40"/>
        <v/>
      </c>
      <c r="AY324" s="98" t="str">
        <f t="shared" ca="1" si="46"/>
        <v/>
      </c>
      <c r="AZ324" s="96" t="str">
        <f t="shared" si="41"/>
        <v/>
      </c>
      <c r="BA324" s="99" t="str">
        <f t="shared" ca="1" si="47"/>
        <v/>
      </c>
      <c r="BB324" s="97" t="str">
        <f t="shared" si="42"/>
        <v/>
      </c>
      <c r="BC324" s="101" t="str">
        <f t="shared" ca="1" si="48"/>
        <v/>
      </c>
      <c r="BD324" s="100" t="str">
        <f t="shared" si="43"/>
        <v/>
      </c>
      <c r="BE324" s="103">
        <f t="shared" ca="1" si="49"/>
        <v>55191</v>
      </c>
      <c r="BF324" s="102">
        <f t="shared" si="44"/>
        <v>-18138.544377630071</v>
      </c>
    </row>
    <row r="325" spans="48:58" hidden="1" x14ac:dyDescent="0.25">
      <c r="AV325">
        <v>300</v>
      </c>
      <c r="AW325" s="94" t="str">
        <f t="shared" ca="1" si="45"/>
        <v/>
      </c>
      <c r="AX325" s="95" t="str">
        <f t="shared" si="40"/>
        <v/>
      </c>
      <c r="AY325" s="98" t="str">
        <f t="shared" ca="1" si="46"/>
        <v/>
      </c>
      <c r="AZ325" s="96" t="str">
        <f t="shared" si="41"/>
        <v/>
      </c>
      <c r="BA325" s="99" t="str">
        <f t="shared" ca="1" si="47"/>
        <v/>
      </c>
      <c r="BB325" s="97" t="str">
        <f t="shared" si="42"/>
        <v/>
      </c>
      <c r="BC325" s="101" t="str">
        <f t="shared" ca="1" si="48"/>
        <v/>
      </c>
      <c r="BD325" s="100" t="str">
        <f t="shared" si="43"/>
        <v/>
      </c>
      <c r="BE325" s="103">
        <f t="shared" ca="1" si="49"/>
        <v>55219</v>
      </c>
      <c r="BF325" s="102">
        <f t="shared" si="44"/>
        <v>-18138.544377630071</v>
      </c>
    </row>
    <row r="326" spans="48:58" hidden="1" x14ac:dyDescent="0.25">
      <c r="AV326">
        <v>301</v>
      </c>
      <c r="AW326" s="94" t="str">
        <f t="shared" ca="1" si="45"/>
        <v/>
      </c>
      <c r="AX326" s="95" t="str">
        <f t="shared" si="40"/>
        <v/>
      </c>
      <c r="AY326" s="98" t="str">
        <f t="shared" ca="1" si="46"/>
        <v/>
      </c>
      <c r="AZ326" s="96" t="str">
        <f t="shared" si="41"/>
        <v/>
      </c>
      <c r="BA326" s="99" t="str">
        <f t="shared" ca="1" si="47"/>
        <v/>
      </c>
      <c r="BB326" s="97" t="str">
        <f t="shared" si="42"/>
        <v/>
      </c>
      <c r="BC326" s="101" t="str">
        <f t="shared" ca="1" si="48"/>
        <v/>
      </c>
      <c r="BD326" s="100" t="str">
        <f t="shared" si="43"/>
        <v/>
      </c>
      <c r="BE326" s="103">
        <f t="shared" ca="1" si="49"/>
        <v>55250</v>
      </c>
      <c r="BF326" s="102">
        <f t="shared" si="44"/>
        <v>50000000</v>
      </c>
    </row>
    <row r="327" spans="48:58" hidden="1" x14ac:dyDescent="0.25">
      <c r="AV327">
        <v>302</v>
      </c>
      <c r="AW327" s="94" t="str">
        <f t="shared" ca="1" si="45"/>
        <v/>
      </c>
      <c r="AX327" s="95" t="str">
        <f t="shared" si="40"/>
        <v/>
      </c>
      <c r="AY327" s="98" t="str">
        <f t="shared" ca="1" si="46"/>
        <v/>
      </c>
      <c r="AZ327" s="96" t="str">
        <f t="shared" si="41"/>
        <v/>
      </c>
      <c r="BA327" s="99" t="str">
        <f t="shared" ca="1" si="47"/>
        <v/>
      </c>
      <c r="BB327" s="97" t="str">
        <f t="shared" si="42"/>
        <v/>
      </c>
      <c r="BC327" s="101" t="str">
        <f t="shared" ca="1" si="48"/>
        <v/>
      </c>
      <c r="BD327" s="100" t="str">
        <f t="shared" si="43"/>
        <v/>
      </c>
      <c r="BE327" s="103" t="str">
        <f t="shared" ca="1" si="49"/>
        <v/>
      </c>
      <c r="BF327" s="102" t="str">
        <f t="shared" si="44"/>
        <v/>
      </c>
    </row>
    <row r="328" spans="48:58" hidden="1" x14ac:dyDescent="0.25">
      <c r="AV328">
        <v>303</v>
      </c>
      <c r="AW328" s="94" t="str">
        <f t="shared" ca="1" si="45"/>
        <v/>
      </c>
      <c r="AX328" s="95" t="str">
        <f t="shared" si="40"/>
        <v/>
      </c>
      <c r="AY328" s="98" t="str">
        <f t="shared" ca="1" si="46"/>
        <v/>
      </c>
      <c r="AZ328" s="96" t="str">
        <f t="shared" si="41"/>
        <v/>
      </c>
      <c r="BA328" s="99" t="str">
        <f t="shared" ca="1" si="47"/>
        <v/>
      </c>
      <c r="BB328" s="97" t="str">
        <f t="shared" si="42"/>
        <v/>
      </c>
      <c r="BC328" s="101" t="str">
        <f t="shared" ca="1" si="48"/>
        <v/>
      </c>
      <c r="BD328" s="100" t="str">
        <f t="shared" si="43"/>
        <v/>
      </c>
      <c r="BE328" s="103" t="str">
        <f t="shared" ca="1" si="49"/>
        <v/>
      </c>
      <c r="BF328" s="102" t="str">
        <f t="shared" si="44"/>
        <v/>
      </c>
    </row>
    <row r="329" spans="48:58" hidden="1" x14ac:dyDescent="0.25">
      <c r="AV329">
        <v>304</v>
      </c>
      <c r="AW329" s="94" t="str">
        <f t="shared" ca="1" si="45"/>
        <v/>
      </c>
      <c r="AX329" s="95" t="str">
        <f t="shared" si="40"/>
        <v/>
      </c>
      <c r="AY329" s="98" t="str">
        <f t="shared" ca="1" si="46"/>
        <v/>
      </c>
      <c r="AZ329" s="96" t="str">
        <f t="shared" si="41"/>
        <v/>
      </c>
      <c r="BA329" s="99" t="str">
        <f t="shared" ca="1" si="47"/>
        <v/>
      </c>
      <c r="BB329" s="97" t="str">
        <f t="shared" si="42"/>
        <v/>
      </c>
      <c r="BC329" s="101" t="str">
        <f t="shared" ca="1" si="48"/>
        <v/>
      </c>
      <c r="BD329" s="100" t="str">
        <f t="shared" si="43"/>
        <v/>
      </c>
      <c r="BE329" s="103" t="str">
        <f t="shared" ca="1" si="49"/>
        <v/>
      </c>
      <c r="BF329" s="102" t="str">
        <f t="shared" si="44"/>
        <v/>
      </c>
    </row>
    <row r="330" spans="48:58" hidden="1" x14ac:dyDescent="0.25">
      <c r="AV330">
        <v>305</v>
      </c>
      <c r="AW330" s="94" t="str">
        <f t="shared" ca="1" si="45"/>
        <v/>
      </c>
      <c r="AX330" s="95" t="str">
        <f t="shared" si="40"/>
        <v/>
      </c>
      <c r="AY330" s="98" t="str">
        <f t="shared" ca="1" si="46"/>
        <v/>
      </c>
      <c r="AZ330" s="96" t="str">
        <f t="shared" si="41"/>
        <v/>
      </c>
      <c r="BA330" s="99" t="str">
        <f t="shared" ca="1" si="47"/>
        <v/>
      </c>
      <c r="BB330" s="97" t="str">
        <f t="shared" si="42"/>
        <v/>
      </c>
      <c r="BC330" s="101" t="str">
        <f t="shared" ca="1" si="48"/>
        <v/>
      </c>
      <c r="BD330" s="100" t="str">
        <f t="shared" si="43"/>
        <v/>
      </c>
      <c r="BE330" s="103" t="str">
        <f t="shared" ca="1" si="49"/>
        <v/>
      </c>
      <c r="BF330" s="102" t="str">
        <f t="shared" si="44"/>
        <v/>
      </c>
    </row>
    <row r="331" spans="48:58" hidden="1" x14ac:dyDescent="0.25">
      <c r="AV331">
        <v>306</v>
      </c>
      <c r="AW331" s="94" t="str">
        <f t="shared" ca="1" si="45"/>
        <v/>
      </c>
      <c r="AX331" s="95" t="str">
        <f t="shared" si="40"/>
        <v/>
      </c>
      <c r="AY331" s="98" t="str">
        <f t="shared" ca="1" si="46"/>
        <v/>
      </c>
      <c r="AZ331" s="96" t="str">
        <f t="shared" si="41"/>
        <v/>
      </c>
      <c r="BA331" s="99" t="str">
        <f t="shared" ca="1" si="47"/>
        <v/>
      </c>
      <c r="BB331" s="97" t="str">
        <f t="shared" si="42"/>
        <v/>
      </c>
      <c r="BC331" s="101" t="str">
        <f t="shared" ca="1" si="48"/>
        <v/>
      </c>
      <c r="BD331" s="100" t="str">
        <f t="shared" si="43"/>
        <v/>
      </c>
      <c r="BE331" s="103" t="str">
        <f t="shared" ca="1" si="49"/>
        <v/>
      </c>
      <c r="BF331" s="102" t="str">
        <f t="shared" si="44"/>
        <v/>
      </c>
    </row>
    <row r="332" spans="48:58" hidden="1" x14ac:dyDescent="0.25">
      <c r="AV332">
        <v>307</v>
      </c>
      <c r="AW332" s="94" t="str">
        <f t="shared" ca="1" si="45"/>
        <v/>
      </c>
      <c r="AX332" s="95" t="str">
        <f t="shared" si="40"/>
        <v/>
      </c>
      <c r="AY332" s="98" t="str">
        <f t="shared" ca="1" si="46"/>
        <v/>
      </c>
      <c r="AZ332" s="96" t="str">
        <f t="shared" si="41"/>
        <v/>
      </c>
      <c r="BA332" s="99" t="str">
        <f t="shared" ca="1" si="47"/>
        <v/>
      </c>
      <c r="BB332" s="97" t="str">
        <f t="shared" si="42"/>
        <v/>
      </c>
      <c r="BC332" s="101" t="str">
        <f t="shared" ca="1" si="48"/>
        <v/>
      </c>
      <c r="BD332" s="100" t="str">
        <f t="shared" si="43"/>
        <v/>
      </c>
      <c r="BE332" s="103" t="str">
        <f t="shared" ca="1" si="49"/>
        <v/>
      </c>
      <c r="BF332" s="102" t="str">
        <f t="shared" si="44"/>
        <v/>
      </c>
    </row>
    <row r="333" spans="48:58" hidden="1" x14ac:dyDescent="0.25">
      <c r="AV333">
        <v>308</v>
      </c>
      <c r="AW333" s="94" t="str">
        <f t="shared" ca="1" si="45"/>
        <v/>
      </c>
      <c r="AX333" s="95" t="str">
        <f t="shared" si="40"/>
        <v/>
      </c>
      <c r="AY333" s="98" t="str">
        <f t="shared" ca="1" si="46"/>
        <v/>
      </c>
      <c r="AZ333" s="96" t="str">
        <f t="shared" si="41"/>
        <v/>
      </c>
      <c r="BA333" s="99" t="str">
        <f t="shared" ca="1" si="47"/>
        <v/>
      </c>
      <c r="BB333" s="97" t="str">
        <f t="shared" si="42"/>
        <v/>
      </c>
      <c r="BC333" s="101" t="str">
        <f t="shared" ca="1" si="48"/>
        <v/>
      </c>
      <c r="BD333" s="100" t="str">
        <f t="shared" si="43"/>
        <v/>
      </c>
      <c r="BE333" s="103" t="str">
        <f t="shared" ca="1" si="49"/>
        <v/>
      </c>
      <c r="BF333" s="102" t="str">
        <f t="shared" si="44"/>
        <v/>
      </c>
    </row>
    <row r="334" spans="48:58" hidden="1" x14ac:dyDescent="0.25">
      <c r="AV334">
        <v>309</v>
      </c>
      <c r="AW334" s="94" t="str">
        <f t="shared" ca="1" si="45"/>
        <v/>
      </c>
      <c r="AX334" s="95" t="str">
        <f t="shared" si="40"/>
        <v/>
      </c>
      <c r="AY334" s="98" t="str">
        <f t="shared" ca="1" si="46"/>
        <v/>
      </c>
      <c r="AZ334" s="96" t="str">
        <f t="shared" si="41"/>
        <v/>
      </c>
      <c r="BA334" s="99" t="str">
        <f t="shared" ca="1" si="47"/>
        <v/>
      </c>
      <c r="BB334" s="97" t="str">
        <f t="shared" si="42"/>
        <v/>
      </c>
      <c r="BC334" s="101" t="str">
        <f t="shared" ca="1" si="48"/>
        <v/>
      </c>
      <c r="BD334" s="100" t="str">
        <f t="shared" si="43"/>
        <v/>
      </c>
      <c r="BE334" s="103" t="str">
        <f t="shared" ca="1" si="49"/>
        <v/>
      </c>
      <c r="BF334" s="102" t="str">
        <f t="shared" si="44"/>
        <v/>
      </c>
    </row>
    <row r="335" spans="48:58" hidden="1" x14ac:dyDescent="0.25">
      <c r="AV335">
        <v>310</v>
      </c>
      <c r="AW335" s="94" t="str">
        <f t="shared" ca="1" si="45"/>
        <v/>
      </c>
      <c r="AX335" s="95" t="str">
        <f t="shared" si="40"/>
        <v/>
      </c>
      <c r="AY335" s="98" t="str">
        <f t="shared" ca="1" si="46"/>
        <v/>
      </c>
      <c r="AZ335" s="96" t="str">
        <f t="shared" si="41"/>
        <v/>
      </c>
      <c r="BA335" s="99" t="str">
        <f t="shared" ca="1" si="47"/>
        <v/>
      </c>
      <c r="BB335" s="97" t="str">
        <f t="shared" si="42"/>
        <v/>
      </c>
      <c r="BC335" s="101" t="str">
        <f t="shared" ca="1" si="48"/>
        <v/>
      </c>
      <c r="BD335" s="100" t="str">
        <f t="shared" si="43"/>
        <v/>
      </c>
      <c r="BE335" s="103" t="str">
        <f t="shared" ca="1" si="49"/>
        <v/>
      </c>
      <c r="BF335" s="102" t="str">
        <f t="shared" si="44"/>
        <v/>
      </c>
    </row>
    <row r="336" spans="48:58" hidden="1" x14ac:dyDescent="0.25">
      <c r="AV336">
        <v>311</v>
      </c>
      <c r="AW336" s="94" t="str">
        <f t="shared" ca="1" si="45"/>
        <v/>
      </c>
      <c r="AX336" s="95" t="str">
        <f t="shared" si="40"/>
        <v/>
      </c>
      <c r="AY336" s="98" t="str">
        <f t="shared" ca="1" si="46"/>
        <v/>
      </c>
      <c r="AZ336" s="96" t="str">
        <f t="shared" si="41"/>
        <v/>
      </c>
      <c r="BA336" s="99" t="str">
        <f t="shared" ca="1" si="47"/>
        <v/>
      </c>
      <c r="BB336" s="97" t="str">
        <f t="shared" si="42"/>
        <v/>
      </c>
      <c r="BC336" s="101" t="str">
        <f t="shared" ca="1" si="48"/>
        <v/>
      </c>
      <c r="BD336" s="100" t="str">
        <f t="shared" si="43"/>
        <v/>
      </c>
      <c r="BE336" s="103" t="str">
        <f t="shared" ca="1" si="49"/>
        <v/>
      </c>
      <c r="BF336" s="102" t="str">
        <f t="shared" si="44"/>
        <v/>
      </c>
    </row>
    <row r="337" spans="48:58" hidden="1" x14ac:dyDescent="0.25">
      <c r="AV337">
        <v>312</v>
      </c>
      <c r="AW337" s="94" t="str">
        <f t="shared" ca="1" si="45"/>
        <v/>
      </c>
      <c r="AX337" s="95" t="str">
        <f t="shared" si="40"/>
        <v/>
      </c>
      <c r="AY337" s="98" t="str">
        <f t="shared" ca="1" si="46"/>
        <v/>
      </c>
      <c r="AZ337" s="96" t="str">
        <f t="shared" si="41"/>
        <v/>
      </c>
      <c r="BA337" s="99" t="str">
        <f t="shared" ca="1" si="47"/>
        <v/>
      </c>
      <c r="BB337" s="97" t="str">
        <f t="shared" si="42"/>
        <v/>
      </c>
      <c r="BC337" s="101" t="str">
        <f t="shared" ca="1" si="48"/>
        <v/>
      </c>
      <c r="BD337" s="100" t="str">
        <f t="shared" si="43"/>
        <v/>
      </c>
      <c r="BE337" s="103" t="str">
        <f t="shared" ca="1" si="49"/>
        <v/>
      </c>
      <c r="BF337" s="102" t="str">
        <f t="shared" si="44"/>
        <v/>
      </c>
    </row>
    <row r="338" spans="48:58" hidden="1" x14ac:dyDescent="0.25">
      <c r="AV338">
        <v>313</v>
      </c>
      <c r="AW338" s="94" t="str">
        <f t="shared" ca="1" si="45"/>
        <v/>
      </c>
      <c r="AX338" s="95" t="str">
        <f t="shared" si="40"/>
        <v/>
      </c>
      <c r="AY338" s="98" t="str">
        <f t="shared" ca="1" si="46"/>
        <v/>
      </c>
      <c r="AZ338" s="96" t="str">
        <f t="shared" si="41"/>
        <v/>
      </c>
      <c r="BA338" s="99" t="str">
        <f t="shared" ca="1" si="47"/>
        <v/>
      </c>
      <c r="BB338" s="97" t="str">
        <f t="shared" si="42"/>
        <v/>
      </c>
      <c r="BC338" s="101" t="str">
        <f t="shared" ca="1" si="48"/>
        <v/>
      </c>
      <c r="BD338" s="100" t="str">
        <f t="shared" si="43"/>
        <v/>
      </c>
      <c r="BE338" s="103" t="str">
        <f t="shared" ca="1" si="49"/>
        <v/>
      </c>
      <c r="BF338" s="102" t="str">
        <f t="shared" si="44"/>
        <v/>
      </c>
    </row>
    <row r="339" spans="48:58" hidden="1" x14ac:dyDescent="0.25">
      <c r="AV339">
        <v>314</v>
      </c>
      <c r="AW339" s="94" t="str">
        <f t="shared" ca="1" si="45"/>
        <v/>
      </c>
      <c r="AX339" s="95" t="str">
        <f t="shared" si="40"/>
        <v/>
      </c>
      <c r="AY339" s="98" t="str">
        <f t="shared" ca="1" si="46"/>
        <v/>
      </c>
      <c r="AZ339" s="96" t="str">
        <f t="shared" si="41"/>
        <v/>
      </c>
      <c r="BA339" s="99" t="str">
        <f t="shared" ca="1" si="47"/>
        <v/>
      </c>
      <c r="BB339" s="97" t="str">
        <f t="shared" si="42"/>
        <v/>
      </c>
      <c r="BC339" s="101" t="str">
        <f t="shared" ca="1" si="48"/>
        <v/>
      </c>
      <c r="BD339" s="100" t="str">
        <f t="shared" si="43"/>
        <v/>
      </c>
      <c r="BE339" s="103" t="str">
        <f t="shared" ca="1" si="49"/>
        <v/>
      </c>
      <c r="BF339" s="102" t="str">
        <f t="shared" si="44"/>
        <v/>
      </c>
    </row>
    <row r="340" spans="48:58" hidden="1" x14ac:dyDescent="0.25">
      <c r="AV340">
        <v>315</v>
      </c>
      <c r="AW340" s="94" t="str">
        <f t="shared" ca="1" si="45"/>
        <v/>
      </c>
      <c r="AX340" s="95" t="str">
        <f t="shared" si="40"/>
        <v/>
      </c>
      <c r="AY340" s="98" t="str">
        <f t="shared" ca="1" si="46"/>
        <v/>
      </c>
      <c r="AZ340" s="96" t="str">
        <f t="shared" si="41"/>
        <v/>
      </c>
      <c r="BA340" s="99" t="str">
        <f t="shared" ca="1" si="47"/>
        <v/>
      </c>
      <c r="BB340" s="97" t="str">
        <f t="shared" si="42"/>
        <v/>
      </c>
      <c r="BC340" s="101" t="str">
        <f t="shared" ca="1" si="48"/>
        <v/>
      </c>
      <c r="BD340" s="100" t="str">
        <f t="shared" si="43"/>
        <v/>
      </c>
      <c r="BE340" s="103" t="str">
        <f t="shared" ca="1" si="49"/>
        <v/>
      </c>
      <c r="BF340" s="102" t="str">
        <f t="shared" si="44"/>
        <v/>
      </c>
    </row>
    <row r="341" spans="48:58" hidden="1" x14ac:dyDescent="0.25">
      <c r="AV341">
        <v>316</v>
      </c>
      <c r="AW341" s="94" t="str">
        <f t="shared" ca="1" si="45"/>
        <v/>
      </c>
      <c r="AX341" s="95" t="str">
        <f t="shared" si="40"/>
        <v/>
      </c>
      <c r="AY341" s="98" t="str">
        <f t="shared" ca="1" si="46"/>
        <v/>
      </c>
      <c r="AZ341" s="96" t="str">
        <f t="shared" si="41"/>
        <v/>
      </c>
      <c r="BA341" s="99" t="str">
        <f t="shared" ca="1" si="47"/>
        <v/>
      </c>
      <c r="BB341" s="97" t="str">
        <f t="shared" si="42"/>
        <v/>
      </c>
      <c r="BC341" s="101" t="str">
        <f t="shared" ca="1" si="48"/>
        <v/>
      </c>
      <c r="BD341" s="100" t="str">
        <f t="shared" si="43"/>
        <v/>
      </c>
      <c r="BE341" s="103" t="str">
        <f t="shared" ca="1" si="49"/>
        <v/>
      </c>
      <c r="BF341" s="102" t="str">
        <f t="shared" si="44"/>
        <v/>
      </c>
    </row>
    <row r="342" spans="48:58" hidden="1" x14ac:dyDescent="0.25">
      <c r="AV342">
        <v>317</v>
      </c>
      <c r="AW342" s="94" t="str">
        <f t="shared" ca="1" si="45"/>
        <v/>
      </c>
      <c r="AX342" s="95" t="str">
        <f t="shared" si="40"/>
        <v/>
      </c>
      <c r="AY342" s="98" t="str">
        <f t="shared" ca="1" si="46"/>
        <v/>
      </c>
      <c r="AZ342" s="96" t="str">
        <f t="shared" si="41"/>
        <v/>
      </c>
      <c r="BA342" s="99" t="str">
        <f t="shared" ca="1" si="47"/>
        <v/>
      </c>
      <c r="BB342" s="97" t="str">
        <f t="shared" si="42"/>
        <v/>
      </c>
      <c r="BC342" s="101" t="str">
        <f t="shared" ca="1" si="48"/>
        <v/>
      </c>
      <c r="BD342" s="100" t="str">
        <f t="shared" si="43"/>
        <v/>
      </c>
      <c r="BE342" s="103" t="str">
        <f t="shared" ca="1" si="49"/>
        <v/>
      </c>
      <c r="BF342" s="102" t="str">
        <f t="shared" si="44"/>
        <v/>
      </c>
    </row>
    <row r="343" spans="48:58" hidden="1" x14ac:dyDescent="0.25">
      <c r="AV343">
        <v>318</v>
      </c>
      <c r="AW343" s="94" t="str">
        <f t="shared" ca="1" si="45"/>
        <v/>
      </c>
      <c r="AX343" s="95" t="str">
        <f t="shared" si="40"/>
        <v/>
      </c>
      <c r="AY343" s="98" t="str">
        <f t="shared" ca="1" si="46"/>
        <v/>
      </c>
      <c r="AZ343" s="96" t="str">
        <f t="shared" si="41"/>
        <v/>
      </c>
      <c r="BA343" s="99" t="str">
        <f t="shared" ca="1" si="47"/>
        <v/>
      </c>
      <c r="BB343" s="97" t="str">
        <f t="shared" si="42"/>
        <v/>
      </c>
      <c r="BC343" s="101" t="str">
        <f t="shared" ca="1" si="48"/>
        <v/>
      </c>
      <c r="BD343" s="100" t="str">
        <f t="shared" si="43"/>
        <v/>
      </c>
      <c r="BE343" s="103" t="str">
        <f t="shared" ca="1" si="49"/>
        <v/>
      </c>
      <c r="BF343" s="102" t="str">
        <f t="shared" si="44"/>
        <v/>
      </c>
    </row>
    <row r="344" spans="48:58" hidden="1" x14ac:dyDescent="0.25">
      <c r="AV344">
        <v>319</v>
      </c>
      <c r="AW344" s="94" t="str">
        <f t="shared" ca="1" si="45"/>
        <v/>
      </c>
      <c r="AX344" s="95" t="str">
        <f t="shared" si="40"/>
        <v/>
      </c>
      <c r="AY344" s="98" t="str">
        <f t="shared" ca="1" si="46"/>
        <v/>
      </c>
      <c r="AZ344" s="96" t="str">
        <f t="shared" si="41"/>
        <v/>
      </c>
      <c r="BA344" s="99" t="str">
        <f t="shared" ca="1" si="47"/>
        <v/>
      </c>
      <c r="BB344" s="97" t="str">
        <f t="shared" si="42"/>
        <v/>
      </c>
      <c r="BC344" s="101" t="str">
        <f t="shared" ca="1" si="48"/>
        <v/>
      </c>
      <c r="BD344" s="100" t="str">
        <f t="shared" si="43"/>
        <v/>
      </c>
      <c r="BE344" s="103" t="str">
        <f t="shared" ca="1" si="49"/>
        <v/>
      </c>
      <c r="BF344" s="102" t="str">
        <f t="shared" si="44"/>
        <v/>
      </c>
    </row>
    <row r="345" spans="48:58" hidden="1" x14ac:dyDescent="0.25">
      <c r="AV345">
        <v>320</v>
      </c>
      <c r="AW345" s="94" t="str">
        <f t="shared" ca="1" si="45"/>
        <v/>
      </c>
      <c r="AX345" s="95" t="str">
        <f t="shared" si="40"/>
        <v/>
      </c>
      <c r="AY345" s="98" t="str">
        <f t="shared" ca="1" si="46"/>
        <v/>
      </c>
      <c r="AZ345" s="96" t="str">
        <f t="shared" si="41"/>
        <v/>
      </c>
      <c r="BA345" s="99" t="str">
        <f t="shared" ca="1" si="47"/>
        <v/>
      </c>
      <c r="BB345" s="97" t="str">
        <f t="shared" si="42"/>
        <v/>
      </c>
      <c r="BC345" s="101" t="str">
        <f t="shared" ca="1" si="48"/>
        <v/>
      </c>
      <c r="BD345" s="100" t="str">
        <f t="shared" si="43"/>
        <v/>
      </c>
      <c r="BE345" s="103" t="str">
        <f t="shared" ca="1" si="49"/>
        <v/>
      </c>
      <c r="BF345" s="102" t="str">
        <f t="shared" si="44"/>
        <v/>
      </c>
    </row>
    <row r="346" spans="48:58" hidden="1" x14ac:dyDescent="0.25">
      <c r="AV346">
        <v>321</v>
      </c>
      <c r="AW346" s="94" t="str">
        <f t="shared" ca="1" si="45"/>
        <v/>
      </c>
      <c r="AX346" s="95" t="str">
        <f t="shared" ref="AX346:AX409" si="50">IF($D$15*12&gt;=AV346,-1*$H$15,IF($D$15*12+1&gt;=AV346,InfGoal1,""))</f>
        <v/>
      </c>
      <c r="AY346" s="98" t="str">
        <f t="shared" ca="1" si="46"/>
        <v/>
      </c>
      <c r="AZ346" s="96" t="str">
        <f t="shared" ref="AZ346:AZ409" si="51">IF($D$17*12&gt;=AV346,-1*$H$17,IF($D$17*12+1&gt;=AV346,InfGoal2,""))</f>
        <v/>
      </c>
      <c r="BA346" s="99" t="str">
        <f t="shared" ca="1" si="47"/>
        <v/>
      </c>
      <c r="BB346" s="97" t="str">
        <f t="shared" ref="BB346:BB409" si="52">IF($D$19*12&gt;=AV346,-1*$H$19,IF($D$19*12+1&gt;=AV346,InfGoal3,""))</f>
        <v/>
      </c>
      <c r="BC346" s="101" t="str">
        <f t="shared" ca="1" si="48"/>
        <v/>
      </c>
      <c r="BD346" s="100" t="str">
        <f t="shared" ref="BD346:BD409" si="53">IF($D$21*12&gt;=AV346,-1*$H$21,IF($D$21*12+1&gt;=AV346,InfGoal4,""))</f>
        <v/>
      </c>
      <c r="BE346" s="103" t="str">
        <f t="shared" ca="1" si="49"/>
        <v/>
      </c>
      <c r="BF346" s="102" t="str">
        <f t="shared" ref="BF346:BF409" si="54">IF($D$23*12&gt;=AV346,-1*$H$23,IF($D$23*12+1&gt;=AV346,InfGoal5,""))</f>
        <v/>
      </c>
    </row>
    <row r="347" spans="48:58" hidden="1" x14ac:dyDescent="0.25">
      <c r="AV347">
        <v>322</v>
      </c>
      <c r="AW347" s="94" t="str">
        <f t="shared" ref="AW347:AW410" ca="1" si="55">IF($D$15*12&gt;=AV347,DATE(YEAR(TODAY()),MONTH(TODAY())+AV347-1,DAY(TODAY())),IF($D$15*12+1&gt;=AV347,DATE(YEAR(TODAY()),MONTH(TODAY())+$D$15*12,DAY(TODAY())),""))</f>
        <v/>
      </c>
      <c r="AX347" s="95" t="str">
        <f t="shared" si="50"/>
        <v/>
      </c>
      <c r="AY347" s="98" t="str">
        <f t="shared" ref="AY347:AY410" ca="1" si="56">IF($D$17*12&gt;=AV347,DATE(YEAR(TODAY()),MONTH(TODAY())+AV347-1,DAY(TODAY())),IF($D$17*12+1&gt;=AV347,DATE(YEAR(TODAY()),MONTH(TODAY())+$D$17*12,DAY(TODAY())),""))</f>
        <v/>
      </c>
      <c r="AZ347" s="96" t="str">
        <f t="shared" si="51"/>
        <v/>
      </c>
      <c r="BA347" s="99" t="str">
        <f t="shared" ref="BA347:BA410" ca="1" si="57">IF($D$19*12&gt;=AV347,DATE(YEAR(TODAY()),MONTH(TODAY())+AV347-1,DAY(TODAY())),IF($D$19*12+1&gt;=AV347,DATE(YEAR(TODAY()),MONTH(TODAY())+$D$19*12,DAY(TODAY())),""))</f>
        <v/>
      </c>
      <c r="BB347" s="97" t="str">
        <f t="shared" si="52"/>
        <v/>
      </c>
      <c r="BC347" s="101" t="str">
        <f t="shared" ref="BC347:BC410" ca="1" si="58">IF($D$21*12&gt;=AV347,DATE(YEAR(TODAY()),MONTH(TODAY())+AV347-1,DAY(TODAY())),IF($D$21*12+1&gt;=AV347,DATE(YEAR(TODAY()),MONTH(TODAY())+$D$21*12,DAY(TODAY())),""))</f>
        <v/>
      </c>
      <c r="BD347" s="100" t="str">
        <f t="shared" si="53"/>
        <v/>
      </c>
      <c r="BE347" s="103" t="str">
        <f t="shared" ref="BE347:BE410" ca="1" si="59">IF($D$23*12&gt;=AV347,DATE(YEAR(TODAY()),MONTH(TODAY())+AV347-1,DAY(TODAY())),IF($D$23*12+1&gt;=AV347,DATE(YEAR(TODAY()),MONTH(TODAY())+$D$23*12,DAY(TODAY())),""))</f>
        <v/>
      </c>
      <c r="BF347" s="102" t="str">
        <f t="shared" si="54"/>
        <v/>
      </c>
    </row>
    <row r="348" spans="48:58" hidden="1" x14ac:dyDescent="0.25">
      <c r="AV348">
        <v>323</v>
      </c>
      <c r="AW348" s="94" t="str">
        <f t="shared" ca="1" si="55"/>
        <v/>
      </c>
      <c r="AX348" s="95" t="str">
        <f t="shared" si="50"/>
        <v/>
      </c>
      <c r="AY348" s="98" t="str">
        <f t="shared" ca="1" si="56"/>
        <v/>
      </c>
      <c r="AZ348" s="96" t="str">
        <f t="shared" si="51"/>
        <v/>
      </c>
      <c r="BA348" s="99" t="str">
        <f t="shared" ca="1" si="57"/>
        <v/>
      </c>
      <c r="BB348" s="97" t="str">
        <f t="shared" si="52"/>
        <v/>
      </c>
      <c r="BC348" s="101" t="str">
        <f t="shared" ca="1" si="58"/>
        <v/>
      </c>
      <c r="BD348" s="100" t="str">
        <f t="shared" si="53"/>
        <v/>
      </c>
      <c r="BE348" s="103" t="str">
        <f t="shared" ca="1" si="59"/>
        <v/>
      </c>
      <c r="BF348" s="102" t="str">
        <f t="shared" si="54"/>
        <v/>
      </c>
    </row>
    <row r="349" spans="48:58" hidden="1" x14ac:dyDescent="0.25">
      <c r="AV349">
        <v>324</v>
      </c>
      <c r="AW349" s="94" t="str">
        <f t="shared" ca="1" si="55"/>
        <v/>
      </c>
      <c r="AX349" s="95" t="str">
        <f t="shared" si="50"/>
        <v/>
      </c>
      <c r="AY349" s="98" t="str">
        <f t="shared" ca="1" si="56"/>
        <v/>
      </c>
      <c r="AZ349" s="96" t="str">
        <f t="shared" si="51"/>
        <v/>
      </c>
      <c r="BA349" s="99" t="str">
        <f t="shared" ca="1" si="57"/>
        <v/>
      </c>
      <c r="BB349" s="97" t="str">
        <f t="shared" si="52"/>
        <v/>
      </c>
      <c r="BC349" s="101" t="str">
        <f t="shared" ca="1" si="58"/>
        <v/>
      </c>
      <c r="BD349" s="100" t="str">
        <f t="shared" si="53"/>
        <v/>
      </c>
      <c r="BE349" s="103" t="str">
        <f t="shared" ca="1" si="59"/>
        <v/>
      </c>
      <c r="BF349" s="102" t="str">
        <f t="shared" si="54"/>
        <v/>
      </c>
    </row>
    <row r="350" spans="48:58" hidden="1" x14ac:dyDescent="0.25">
      <c r="AV350">
        <v>325</v>
      </c>
      <c r="AW350" s="94" t="str">
        <f t="shared" ca="1" si="55"/>
        <v/>
      </c>
      <c r="AX350" s="95" t="str">
        <f t="shared" si="50"/>
        <v/>
      </c>
      <c r="AY350" s="98" t="str">
        <f t="shared" ca="1" si="56"/>
        <v/>
      </c>
      <c r="AZ350" s="96" t="str">
        <f t="shared" si="51"/>
        <v/>
      </c>
      <c r="BA350" s="99" t="str">
        <f t="shared" ca="1" si="57"/>
        <v/>
      </c>
      <c r="BB350" s="97" t="str">
        <f t="shared" si="52"/>
        <v/>
      </c>
      <c r="BC350" s="101" t="str">
        <f t="shared" ca="1" si="58"/>
        <v/>
      </c>
      <c r="BD350" s="100" t="str">
        <f t="shared" si="53"/>
        <v/>
      </c>
      <c r="BE350" s="103" t="str">
        <f t="shared" ca="1" si="59"/>
        <v/>
      </c>
      <c r="BF350" s="102" t="str">
        <f t="shared" si="54"/>
        <v/>
      </c>
    </row>
    <row r="351" spans="48:58" hidden="1" x14ac:dyDescent="0.25">
      <c r="AV351">
        <v>326</v>
      </c>
      <c r="AW351" s="94" t="str">
        <f t="shared" ca="1" si="55"/>
        <v/>
      </c>
      <c r="AX351" s="95" t="str">
        <f t="shared" si="50"/>
        <v/>
      </c>
      <c r="AY351" s="98" t="str">
        <f t="shared" ca="1" si="56"/>
        <v/>
      </c>
      <c r="AZ351" s="96" t="str">
        <f t="shared" si="51"/>
        <v/>
      </c>
      <c r="BA351" s="99" t="str">
        <f t="shared" ca="1" si="57"/>
        <v/>
      </c>
      <c r="BB351" s="97" t="str">
        <f t="shared" si="52"/>
        <v/>
      </c>
      <c r="BC351" s="101" t="str">
        <f t="shared" ca="1" si="58"/>
        <v/>
      </c>
      <c r="BD351" s="100" t="str">
        <f t="shared" si="53"/>
        <v/>
      </c>
      <c r="BE351" s="103" t="str">
        <f t="shared" ca="1" si="59"/>
        <v/>
      </c>
      <c r="BF351" s="102" t="str">
        <f t="shared" si="54"/>
        <v/>
      </c>
    </row>
    <row r="352" spans="48:58" hidden="1" x14ac:dyDescent="0.25">
      <c r="AV352">
        <v>327</v>
      </c>
      <c r="AW352" s="94" t="str">
        <f t="shared" ca="1" si="55"/>
        <v/>
      </c>
      <c r="AX352" s="95" t="str">
        <f t="shared" si="50"/>
        <v/>
      </c>
      <c r="AY352" s="98" t="str">
        <f t="shared" ca="1" si="56"/>
        <v/>
      </c>
      <c r="AZ352" s="96" t="str">
        <f t="shared" si="51"/>
        <v/>
      </c>
      <c r="BA352" s="99" t="str">
        <f t="shared" ca="1" si="57"/>
        <v/>
      </c>
      <c r="BB352" s="97" t="str">
        <f t="shared" si="52"/>
        <v/>
      </c>
      <c r="BC352" s="101" t="str">
        <f t="shared" ca="1" si="58"/>
        <v/>
      </c>
      <c r="BD352" s="100" t="str">
        <f t="shared" si="53"/>
        <v/>
      </c>
      <c r="BE352" s="103" t="str">
        <f t="shared" ca="1" si="59"/>
        <v/>
      </c>
      <c r="BF352" s="102" t="str">
        <f t="shared" si="54"/>
        <v/>
      </c>
    </row>
    <row r="353" spans="48:58" hidden="1" x14ac:dyDescent="0.25">
      <c r="AV353">
        <v>328</v>
      </c>
      <c r="AW353" s="94" t="str">
        <f t="shared" ca="1" si="55"/>
        <v/>
      </c>
      <c r="AX353" s="95" t="str">
        <f t="shared" si="50"/>
        <v/>
      </c>
      <c r="AY353" s="98" t="str">
        <f t="shared" ca="1" si="56"/>
        <v/>
      </c>
      <c r="AZ353" s="96" t="str">
        <f t="shared" si="51"/>
        <v/>
      </c>
      <c r="BA353" s="99" t="str">
        <f t="shared" ca="1" si="57"/>
        <v/>
      </c>
      <c r="BB353" s="97" t="str">
        <f t="shared" si="52"/>
        <v/>
      </c>
      <c r="BC353" s="101" t="str">
        <f t="shared" ca="1" si="58"/>
        <v/>
      </c>
      <c r="BD353" s="100" t="str">
        <f t="shared" si="53"/>
        <v/>
      </c>
      <c r="BE353" s="103" t="str">
        <f t="shared" ca="1" si="59"/>
        <v/>
      </c>
      <c r="BF353" s="102" t="str">
        <f t="shared" si="54"/>
        <v/>
      </c>
    </row>
    <row r="354" spans="48:58" hidden="1" x14ac:dyDescent="0.25">
      <c r="AV354">
        <v>329</v>
      </c>
      <c r="AW354" s="94" t="str">
        <f t="shared" ca="1" si="55"/>
        <v/>
      </c>
      <c r="AX354" s="95" t="str">
        <f t="shared" si="50"/>
        <v/>
      </c>
      <c r="AY354" s="98" t="str">
        <f t="shared" ca="1" si="56"/>
        <v/>
      </c>
      <c r="AZ354" s="96" t="str">
        <f t="shared" si="51"/>
        <v/>
      </c>
      <c r="BA354" s="99" t="str">
        <f t="shared" ca="1" si="57"/>
        <v/>
      </c>
      <c r="BB354" s="97" t="str">
        <f t="shared" si="52"/>
        <v/>
      </c>
      <c r="BC354" s="101" t="str">
        <f t="shared" ca="1" si="58"/>
        <v/>
      </c>
      <c r="BD354" s="100" t="str">
        <f t="shared" si="53"/>
        <v/>
      </c>
      <c r="BE354" s="103" t="str">
        <f t="shared" ca="1" si="59"/>
        <v/>
      </c>
      <c r="BF354" s="102" t="str">
        <f t="shared" si="54"/>
        <v/>
      </c>
    </row>
    <row r="355" spans="48:58" hidden="1" x14ac:dyDescent="0.25">
      <c r="AV355">
        <v>330</v>
      </c>
      <c r="AW355" s="94" t="str">
        <f t="shared" ca="1" si="55"/>
        <v/>
      </c>
      <c r="AX355" s="95" t="str">
        <f t="shared" si="50"/>
        <v/>
      </c>
      <c r="AY355" s="98" t="str">
        <f t="shared" ca="1" si="56"/>
        <v/>
      </c>
      <c r="AZ355" s="96" t="str">
        <f t="shared" si="51"/>
        <v/>
      </c>
      <c r="BA355" s="99" t="str">
        <f t="shared" ca="1" si="57"/>
        <v/>
      </c>
      <c r="BB355" s="97" t="str">
        <f t="shared" si="52"/>
        <v/>
      </c>
      <c r="BC355" s="101" t="str">
        <f t="shared" ca="1" si="58"/>
        <v/>
      </c>
      <c r="BD355" s="100" t="str">
        <f t="shared" si="53"/>
        <v/>
      </c>
      <c r="BE355" s="103" t="str">
        <f t="shared" ca="1" si="59"/>
        <v/>
      </c>
      <c r="BF355" s="102" t="str">
        <f t="shared" si="54"/>
        <v/>
      </c>
    </row>
    <row r="356" spans="48:58" hidden="1" x14ac:dyDescent="0.25">
      <c r="AV356">
        <v>331</v>
      </c>
      <c r="AW356" s="94" t="str">
        <f t="shared" ca="1" si="55"/>
        <v/>
      </c>
      <c r="AX356" s="95" t="str">
        <f t="shared" si="50"/>
        <v/>
      </c>
      <c r="AY356" s="98" t="str">
        <f t="shared" ca="1" si="56"/>
        <v/>
      </c>
      <c r="AZ356" s="96" t="str">
        <f t="shared" si="51"/>
        <v/>
      </c>
      <c r="BA356" s="99" t="str">
        <f t="shared" ca="1" si="57"/>
        <v/>
      </c>
      <c r="BB356" s="97" t="str">
        <f t="shared" si="52"/>
        <v/>
      </c>
      <c r="BC356" s="101" t="str">
        <f t="shared" ca="1" si="58"/>
        <v/>
      </c>
      <c r="BD356" s="100" t="str">
        <f t="shared" si="53"/>
        <v/>
      </c>
      <c r="BE356" s="103" t="str">
        <f t="shared" ca="1" si="59"/>
        <v/>
      </c>
      <c r="BF356" s="102" t="str">
        <f t="shared" si="54"/>
        <v/>
      </c>
    </row>
    <row r="357" spans="48:58" hidden="1" x14ac:dyDescent="0.25">
      <c r="AV357">
        <v>332</v>
      </c>
      <c r="AW357" s="94" t="str">
        <f t="shared" ca="1" si="55"/>
        <v/>
      </c>
      <c r="AX357" s="95" t="str">
        <f t="shared" si="50"/>
        <v/>
      </c>
      <c r="AY357" s="98" t="str">
        <f t="shared" ca="1" si="56"/>
        <v/>
      </c>
      <c r="AZ357" s="96" t="str">
        <f t="shared" si="51"/>
        <v/>
      </c>
      <c r="BA357" s="99" t="str">
        <f t="shared" ca="1" si="57"/>
        <v/>
      </c>
      <c r="BB357" s="97" t="str">
        <f t="shared" si="52"/>
        <v/>
      </c>
      <c r="BC357" s="101" t="str">
        <f t="shared" ca="1" si="58"/>
        <v/>
      </c>
      <c r="BD357" s="100" t="str">
        <f t="shared" si="53"/>
        <v/>
      </c>
      <c r="BE357" s="103" t="str">
        <f t="shared" ca="1" si="59"/>
        <v/>
      </c>
      <c r="BF357" s="102" t="str">
        <f t="shared" si="54"/>
        <v/>
      </c>
    </row>
    <row r="358" spans="48:58" hidden="1" x14ac:dyDescent="0.25">
      <c r="AV358">
        <v>333</v>
      </c>
      <c r="AW358" s="94" t="str">
        <f t="shared" ca="1" si="55"/>
        <v/>
      </c>
      <c r="AX358" s="95" t="str">
        <f t="shared" si="50"/>
        <v/>
      </c>
      <c r="AY358" s="98" t="str">
        <f t="shared" ca="1" si="56"/>
        <v/>
      </c>
      <c r="AZ358" s="96" t="str">
        <f t="shared" si="51"/>
        <v/>
      </c>
      <c r="BA358" s="99" t="str">
        <f t="shared" ca="1" si="57"/>
        <v/>
      </c>
      <c r="BB358" s="97" t="str">
        <f t="shared" si="52"/>
        <v/>
      </c>
      <c r="BC358" s="101" t="str">
        <f t="shared" ca="1" si="58"/>
        <v/>
      </c>
      <c r="BD358" s="100" t="str">
        <f t="shared" si="53"/>
        <v/>
      </c>
      <c r="BE358" s="103" t="str">
        <f t="shared" ca="1" si="59"/>
        <v/>
      </c>
      <c r="BF358" s="102" t="str">
        <f t="shared" si="54"/>
        <v/>
      </c>
    </row>
    <row r="359" spans="48:58" hidden="1" x14ac:dyDescent="0.25">
      <c r="AV359">
        <v>334</v>
      </c>
      <c r="AW359" s="94" t="str">
        <f t="shared" ca="1" si="55"/>
        <v/>
      </c>
      <c r="AX359" s="95" t="str">
        <f t="shared" si="50"/>
        <v/>
      </c>
      <c r="AY359" s="98" t="str">
        <f t="shared" ca="1" si="56"/>
        <v/>
      </c>
      <c r="AZ359" s="96" t="str">
        <f t="shared" si="51"/>
        <v/>
      </c>
      <c r="BA359" s="99" t="str">
        <f t="shared" ca="1" si="57"/>
        <v/>
      </c>
      <c r="BB359" s="97" t="str">
        <f t="shared" si="52"/>
        <v/>
      </c>
      <c r="BC359" s="101" t="str">
        <f t="shared" ca="1" si="58"/>
        <v/>
      </c>
      <c r="BD359" s="100" t="str">
        <f t="shared" si="53"/>
        <v/>
      </c>
      <c r="BE359" s="103" t="str">
        <f t="shared" ca="1" si="59"/>
        <v/>
      </c>
      <c r="BF359" s="102" t="str">
        <f t="shared" si="54"/>
        <v/>
      </c>
    </row>
    <row r="360" spans="48:58" hidden="1" x14ac:dyDescent="0.25">
      <c r="AV360">
        <v>335</v>
      </c>
      <c r="AW360" s="94" t="str">
        <f t="shared" ca="1" si="55"/>
        <v/>
      </c>
      <c r="AX360" s="95" t="str">
        <f t="shared" si="50"/>
        <v/>
      </c>
      <c r="AY360" s="98" t="str">
        <f t="shared" ca="1" si="56"/>
        <v/>
      </c>
      <c r="AZ360" s="96" t="str">
        <f t="shared" si="51"/>
        <v/>
      </c>
      <c r="BA360" s="99" t="str">
        <f t="shared" ca="1" si="57"/>
        <v/>
      </c>
      <c r="BB360" s="97" t="str">
        <f t="shared" si="52"/>
        <v/>
      </c>
      <c r="BC360" s="101" t="str">
        <f t="shared" ca="1" si="58"/>
        <v/>
      </c>
      <c r="BD360" s="100" t="str">
        <f t="shared" si="53"/>
        <v/>
      </c>
      <c r="BE360" s="103" t="str">
        <f t="shared" ca="1" si="59"/>
        <v/>
      </c>
      <c r="BF360" s="102" t="str">
        <f t="shared" si="54"/>
        <v/>
      </c>
    </row>
    <row r="361" spans="48:58" hidden="1" x14ac:dyDescent="0.25">
      <c r="AV361">
        <v>336</v>
      </c>
      <c r="AW361" s="94" t="str">
        <f t="shared" ca="1" si="55"/>
        <v/>
      </c>
      <c r="AX361" s="95" t="str">
        <f t="shared" si="50"/>
        <v/>
      </c>
      <c r="AY361" s="98" t="str">
        <f t="shared" ca="1" si="56"/>
        <v/>
      </c>
      <c r="AZ361" s="96" t="str">
        <f t="shared" si="51"/>
        <v/>
      </c>
      <c r="BA361" s="99" t="str">
        <f t="shared" ca="1" si="57"/>
        <v/>
      </c>
      <c r="BB361" s="97" t="str">
        <f t="shared" si="52"/>
        <v/>
      </c>
      <c r="BC361" s="101" t="str">
        <f t="shared" ca="1" si="58"/>
        <v/>
      </c>
      <c r="BD361" s="100" t="str">
        <f t="shared" si="53"/>
        <v/>
      </c>
      <c r="BE361" s="103" t="str">
        <f t="shared" ca="1" si="59"/>
        <v/>
      </c>
      <c r="BF361" s="102" t="str">
        <f t="shared" si="54"/>
        <v/>
      </c>
    </row>
    <row r="362" spans="48:58" hidden="1" x14ac:dyDescent="0.25">
      <c r="AV362">
        <v>337</v>
      </c>
      <c r="AW362" s="94" t="str">
        <f t="shared" ca="1" si="55"/>
        <v/>
      </c>
      <c r="AX362" s="95" t="str">
        <f t="shared" si="50"/>
        <v/>
      </c>
      <c r="AY362" s="98" t="str">
        <f t="shared" ca="1" si="56"/>
        <v/>
      </c>
      <c r="AZ362" s="96" t="str">
        <f t="shared" si="51"/>
        <v/>
      </c>
      <c r="BA362" s="99" t="str">
        <f t="shared" ca="1" si="57"/>
        <v/>
      </c>
      <c r="BB362" s="97" t="str">
        <f t="shared" si="52"/>
        <v/>
      </c>
      <c r="BC362" s="101" t="str">
        <f t="shared" ca="1" si="58"/>
        <v/>
      </c>
      <c r="BD362" s="100" t="str">
        <f t="shared" si="53"/>
        <v/>
      </c>
      <c r="BE362" s="103" t="str">
        <f t="shared" ca="1" si="59"/>
        <v/>
      </c>
      <c r="BF362" s="102" t="str">
        <f t="shared" si="54"/>
        <v/>
      </c>
    </row>
    <row r="363" spans="48:58" hidden="1" x14ac:dyDescent="0.25">
      <c r="AV363">
        <v>338</v>
      </c>
      <c r="AW363" s="94" t="str">
        <f t="shared" ca="1" si="55"/>
        <v/>
      </c>
      <c r="AX363" s="95" t="str">
        <f t="shared" si="50"/>
        <v/>
      </c>
      <c r="AY363" s="98" t="str">
        <f t="shared" ca="1" si="56"/>
        <v/>
      </c>
      <c r="AZ363" s="96" t="str">
        <f t="shared" si="51"/>
        <v/>
      </c>
      <c r="BA363" s="99" t="str">
        <f t="shared" ca="1" si="57"/>
        <v/>
      </c>
      <c r="BB363" s="97" t="str">
        <f t="shared" si="52"/>
        <v/>
      </c>
      <c r="BC363" s="101" t="str">
        <f t="shared" ca="1" si="58"/>
        <v/>
      </c>
      <c r="BD363" s="100" t="str">
        <f t="shared" si="53"/>
        <v/>
      </c>
      <c r="BE363" s="103" t="str">
        <f t="shared" ca="1" si="59"/>
        <v/>
      </c>
      <c r="BF363" s="102" t="str">
        <f t="shared" si="54"/>
        <v/>
      </c>
    </row>
    <row r="364" spans="48:58" hidden="1" x14ac:dyDescent="0.25">
      <c r="AV364">
        <v>339</v>
      </c>
      <c r="AW364" s="94" t="str">
        <f t="shared" ca="1" si="55"/>
        <v/>
      </c>
      <c r="AX364" s="95" t="str">
        <f t="shared" si="50"/>
        <v/>
      </c>
      <c r="AY364" s="98" t="str">
        <f t="shared" ca="1" si="56"/>
        <v/>
      </c>
      <c r="AZ364" s="96" t="str">
        <f t="shared" si="51"/>
        <v/>
      </c>
      <c r="BA364" s="99" t="str">
        <f t="shared" ca="1" si="57"/>
        <v/>
      </c>
      <c r="BB364" s="97" t="str">
        <f t="shared" si="52"/>
        <v/>
      </c>
      <c r="BC364" s="101" t="str">
        <f t="shared" ca="1" si="58"/>
        <v/>
      </c>
      <c r="BD364" s="100" t="str">
        <f t="shared" si="53"/>
        <v/>
      </c>
      <c r="BE364" s="103" t="str">
        <f t="shared" ca="1" si="59"/>
        <v/>
      </c>
      <c r="BF364" s="102" t="str">
        <f t="shared" si="54"/>
        <v/>
      </c>
    </row>
    <row r="365" spans="48:58" hidden="1" x14ac:dyDescent="0.25">
      <c r="AV365">
        <v>340</v>
      </c>
      <c r="AW365" s="94" t="str">
        <f t="shared" ca="1" si="55"/>
        <v/>
      </c>
      <c r="AX365" s="95" t="str">
        <f t="shared" si="50"/>
        <v/>
      </c>
      <c r="AY365" s="98" t="str">
        <f t="shared" ca="1" si="56"/>
        <v/>
      </c>
      <c r="AZ365" s="96" t="str">
        <f t="shared" si="51"/>
        <v/>
      </c>
      <c r="BA365" s="99" t="str">
        <f t="shared" ca="1" si="57"/>
        <v/>
      </c>
      <c r="BB365" s="97" t="str">
        <f t="shared" si="52"/>
        <v/>
      </c>
      <c r="BC365" s="101" t="str">
        <f t="shared" ca="1" si="58"/>
        <v/>
      </c>
      <c r="BD365" s="100" t="str">
        <f t="shared" si="53"/>
        <v/>
      </c>
      <c r="BE365" s="103" t="str">
        <f t="shared" ca="1" si="59"/>
        <v/>
      </c>
      <c r="BF365" s="102" t="str">
        <f t="shared" si="54"/>
        <v/>
      </c>
    </row>
    <row r="366" spans="48:58" hidden="1" x14ac:dyDescent="0.25">
      <c r="AV366">
        <v>341</v>
      </c>
      <c r="AW366" s="94" t="str">
        <f t="shared" ca="1" si="55"/>
        <v/>
      </c>
      <c r="AX366" s="95" t="str">
        <f t="shared" si="50"/>
        <v/>
      </c>
      <c r="AY366" s="98" t="str">
        <f t="shared" ca="1" si="56"/>
        <v/>
      </c>
      <c r="AZ366" s="96" t="str">
        <f t="shared" si="51"/>
        <v/>
      </c>
      <c r="BA366" s="99" t="str">
        <f t="shared" ca="1" si="57"/>
        <v/>
      </c>
      <c r="BB366" s="97" t="str">
        <f t="shared" si="52"/>
        <v/>
      </c>
      <c r="BC366" s="101" t="str">
        <f t="shared" ca="1" si="58"/>
        <v/>
      </c>
      <c r="BD366" s="100" t="str">
        <f t="shared" si="53"/>
        <v/>
      </c>
      <c r="BE366" s="103" t="str">
        <f t="shared" ca="1" si="59"/>
        <v/>
      </c>
      <c r="BF366" s="102" t="str">
        <f t="shared" si="54"/>
        <v/>
      </c>
    </row>
    <row r="367" spans="48:58" hidden="1" x14ac:dyDescent="0.25">
      <c r="AV367">
        <v>342</v>
      </c>
      <c r="AW367" s="94" t="str">
        <f t="shared" ca="1" si="55"/>
        <v/>
      </c>
      <c r="AX367" s="95" t="str">
        <f t="shared" si="50"/>
        <v/>
      </c>
      <c r="AY367" s="98" t="str">
        <f t="shared" ca="1" si="56"/>
        <v/>
      </c>
      <c r="AZ367" s="96" t="str">
        <f t="shared" si="51"/>
        <v/>
      </c>
      <c r="BA367" s="99" t="str">
        <f t="shared" ca="1" si="57"/>
        <v/>
      </c>
      <c r="BB367" s="97" t="str">
        <f t="shared" si="52"/>
        <v/>
      </c>
      <c r="BC367" s="101" t="str">
        <f t="shared" ca="1" si="58"/>
        <v/>
      </c>
      <c r="BD367" s="100" t="str">
        <f t="shared" si="53"/>
        <v/>
      </c>
      <c r="BE367" s="103" t="str">
        <f t="shared" ca="1" si="59"/>
        <v/>
      </c>
      <c r="BF367" s="102" t="str">
        <f t="shared" si="54"/>
        <v/>
      </c>
    </row>
    <row r="368" spans="48:58" hidden="1" x14ac:dyDescent="0.25">
      <c r="AV368">
        <v>343</v>
      </c>
      <c r="AW368" s="94" t="str">
        <f t="shared" ca="1" si="55"/>
        <v/>
      </c>
      <c r="AX368" s="95" t="str">
        <f t="shared" si="50"/>
        <v/>
      </c>
      <c r="AY368" s="98" t="str">
        <f t="shared" ca="1" si="56"/>
        <v/>
      </c>
      <c r="AZ368" s="96" t="str">
        <f t="shared" si="51"/>
        <v/>
      </c>
      <c r="BA368" s="99" t="str">
        <f t="shared" ca="1" si="57"/>
        <v/>
      </c>
      <c r="BB368" s="97" t="str">
        <f t="shared" si="52"/>
        <v/>
      </c>
      <c r="BC368" s="101" t="str">
        <f t="shared" ca="1" si="58"/>
        <v/>
      </c>
      <c r="BD368" s="100" t="str">
        <f t="shared" si="53"/>
        <v/>
      </c>
      <c r="BE368" s="103" t="str">
        <f t="shared" ca="1" si="59"/>
        <v/>
      </c>
      <c r="BF368" s="102" t="str">
        <f t="shared" si="54"/>
        <v/>
      </c>
    </row>
    <row r="369" spans="48:58" hidden="1" x14ac:dyDescent="0.25">
      <c r="AV369">
        <v>344</v>
      </c>
      <c r="AW369" s="94" t="str">
        <f t="shared" ca="1" si="55"/>
        <v/>
      </c>
      <c r="AX369" s="95" t="str">
        <f t="shared" si="50"/>
        <v/>
      </c>
      <c r="AY369" s="98" t="str">
        <f t="shared" ca="1" si="56"/>
        <v/>
      </c>
      <c r="AZ369" s="96" t="str">
        <f t="shared" si="51"/>
        <v/>
      </c>
      <c r="BA369" s="99" t="str">
        <f t="shared" ca="1" si="57"/>
        <v/>
      </c>
      <c r="BB369" s="97" t="str">
        <f t="shared" si="52"/>
        <v/>
      </c>
      <c r="BC369" s="101" t="str">
        <f t="shared" ca="1" si="58"/>
        <v/>
      </c>
      <c r="BD369" s="100" t="str">
        <f t="shared" si="53"/>
        <v/>
      </c>
      <c r="BE369" s="103" t="str">
        <f t="shared" ca="1" si="59"/>
        <v/>
      </c>
      <c r="BF369" s="102" t="str">
        <f t="shared" si="54"/>
        <v/>
      </c>
    </row>
    <row r="370" spans="48:58" hidden="1" x14ac:dyDescent="0.25">
      <c r="AV370">
        <v>345</v>
      </c>
      <c r="AW370" s="94" t="str">
        <f t="shared" ca="1" si="55"/>
        <v/>
      </c>
      <c r="AX370" s="95" t="str">
        <f t="shared" si="50"/>
        <v/>
      </c>
      <c r="AY370" s="98" t="str">
        <f t="shared" ca="1" si="56"/>
        <v/>
      </c>
      <c r="AZ370" s="96" t="str">
        <f t="shared" si="51"/>
        <v/>
      </c>
      <c r="BA370" s="99" t="str">
        <f t="shared" ca="1" si="57"/>
        <v/>
      </c>
      <c r="BB370" s="97" t="str">
        <f t="shared" si="52"/>
        <v/>
      </c>
      <c r="BC370" s="101" t="str">
        <f t="shared" ca="1" si="58"/>
        <v/>
      </c>
      <c r="BD370" s="100" t="str">
        <f t="shared" si="53"/>
        <v/>
      </c>
      <c r="BE370" s="103" t="str">
        <f t="shared" ca="1" si="59"/>
        <v/>
      </c>
      <c r="BF370" s="102" t="str">
        <f t="shared" si="54"/>
        <v/>
      </c>
    </row>
    <row r="371" spans="48:58" hidden="1" x14ac:dyDescent="0.25">
      <c r="AV371">
        <v>346</v>
      </c>
      <c r="AW371" s="94" t="str">
        <f t="shared" ca="1" si="55"/>
        <v/>
      </c>
      <c r="AX371" s="95" t="str">
        <f t="shared" si="50"/>
        <v/>
      </c>
      <c r="AY371" s="98" t="str">
        <f t="shared" ca="1" si="56"/>
        <v/>
      </c>
      <c r="AZ371" s="96" t="str">
        <f t="shared" si="51"/>
        <v/>
      </c>
      <c r="BA371" s="99" t="str">
        <f t="shared" ca="1" si="57"/>
        <v/>
      </c>
      <c r="BB371" s="97" t="str">
        <f t="shared" si="52"/>
        <v/>
      </c>
      <c r="BC371" s="101" t="str">
        <f t="shared" ca="1" si="58"/>
        <v/>
      </c>
      <c r="BD371" s="100" t="str">
        <f t="shared" si="53"/>
        <v/>
      </c>
      <c r="BE371" s="103" t="str">
        <f t="shared" ca="1" si="59"/>
        <v/>
      </c>
      <c r="BF371" s="102" t="str">
        <f t="shared" si="54"/>
        <v/>
      </c>
    </row>
    <row r="372" spans="48:58" hidden="1" x14ac:dyDescent="0.25">
      <c r="AV372">
        <v>347</v>
      </c>
      <c r="AW372" s="94" t="str">
        <f t="shared" ca="1" si="55"/>
        <v/>
      </c>
      <c r="AX372" s="95" t="str">
        <f t="shared" si="50"/>
        <v/>
      </c>
      <c r="AY372" s="98" t="str">
        <f t="shared" ca="1" si="56"/>
        <v/>
      </c>
      <c r="AZ372" s="96" t="str">
        <f t="shared" si="51"/>
        <v/>
      </c>
      <c r="BA372" s="99" t="str">
        <f t="shared" ca="1" si="57"/>
        <v/>
      </c>
      <c r="BB372" s="97" t="str">
        <f t="shared" si="52"/>
        <v/>
      </c>
      <c r="BC372" s="101" t="str">
        <f t="shared" ca="1" si="58"/>
        <v/>
      </c>
      <c r="BD372" s="100" t="str">
        <f t="shared" si="53"/>
        <v/>
      </c>
      <c r="BE372" s="103" t="str">
        <f t="shared" ca="1" si="59"/>
        <v/>
      </c>
      <c r="BF372" s="102" t="str">
        <f t="shared" si="54"/>
        <v/>
      </c>
    </row>
    <row r="373" spans="48:58" hidden="1" x14ac:dyDescent="0.25">
      <c r="AV373">
        <v>348</v>
      </c>
      <c r="AW373" s="94" t="str">
        <f t="shared" ca="1" si="55"/>
        <v/>
      </c>
      <c r="AX373" s="95" t="str">
        <f t="shared" si="50"/>
        <v/>
      </c>
      <c r="AY373" s="98" t="str">
        <f t="shared" ca="1" si="56"/>
        <v/>
      </c>
      <c r="AZ373" s="96" t="str">
        <f t="shared" si="51"/>
        <v/>
      </c>
      <c r="BA373" s="99" t="str">
        <f t="shared" ca="1" si="57"/>
        <v/>
      </c>
      <c r="BB373" s="97" t="str">
        <f t="shared" si="52"/>
        <v/>
      </c>
      <c r="BC373" s="101" t="str">
        <f t="shared" ca="1" si="58"/>
        <v/>
      </c>
      <c r="BD373" s="100" t="str">
        <f t="shared" si="53"/>
        <v/>
      </c>
      <c r="BE373" s="103" t="str">
        <f t="shared" ca="1" si="59"/>
        <v/>
      </c>
      <c r="BF373" s="102" t="str">
        <f t="shared" si="54"/>
        <v/>
      </c>
    </row>
    <row r="374" spans="48:58" hidden="1" x14ac:dyDescent="0.25">
      <c r="AV374">
        <v>349</v>
      </c>
      <c r="AW374" s="94" t="str">
        <f t="shared" ca="1" si="55"/>
        <v/>
      </c>
      <c r="AX374" s="95" t="str">
        <f t="shared" si="50"/>
        <v/>
      </c>
      <c r="AY374" s="98" t="str">
        <f t="shared" ca="1" si="56"/>
        <v/>
      </c>
      <c r="AZ374" s="96" t="str">
        <f t="shared" si="51"/>
        <v/>
      </c>
      <c r="BA374" s="99" t="str">
        <f t="shared" ca="1" si="57"/>
        <v/>
      </c>
      <c r="BB374" s="97" t="str">
        <f t="shared" si="52"/>
        <v/>
      </c>
      <c r="BC374" s="101" t="str">
        <f t="shared" ca="1" si="58"/>
        <v/>
      </c>
      <c r="BD374" s="100" t="str">
        <f t="shared" si="53"/>
        <v/>
      </c>
      <c r="BE374" s="103" t="str">
        <f t="shared" ca="1" si="59"/>
        <v/>
      </c>
      <c r="BF374" s="102" t="str">
        <f t="shared" si="54"/>
        <v/>
      </c>
    </row>
    <row r="375" spans="48:58" hidden="1" x14ac:dyDescent="0.25">
      <c r="AV375">
        <v>350</v>
      </c>
      <c r="AW375" s="94" t="str">
        <f t="shared" ca="1" si="55"/>
        <v/>
      </c>
      <c r="AX375" s="95" t="str">
        <f t="shared" si="50"/>
        <v/>
      </c>
      <c r="AY375" s="98" t="str">
        <f t="shared" ca="1" si="56"/>
        <v/>
      </c>
      <c r="AZ375" s="96" t="str">
        <f t="shared" si="51"/>
        <v/>
      </c>
      <c r="BA375" s="99" t="str">
        <f t="shared" ca="1" si="57"/>
        <v/>
      </c>
      <c r="BB375" s="97" t="str">
        <f t="shared" si="52"/>
        <v/>
      </c>
      <c r="BC375" s="101" t="str">
        <f t="shared" ca="1" si="58"/>
        <v/>
      </c>
      <c r="BD375" s="100" t="str">
        <f t="shared" si="53"/>
        <v/>
      </c>
      <c r="BE375" s="103" t="str">
        <f t="shared" ca="1" si="59"/>
        <v/>
      </c>
      <c r="BF375" s="102" t="str">
        <f t="shared" si="54"/>
        <v/>
      </c>
    </row>
    <row r="376" spans="48:58" hidden="1" x14ac:dyDescent="0.25">
      <c r="AV376">
        <v>351</v>
      </c>
      <c r="AW376" s="94" t="str">
        <f t="shared" ca="1" si="55"/>
        <v/>
      </c>
      <c r="AX376" s="95" t="str">
        <f t="shared" si="50"/>
        <v/>
      </c>
      <c r="AY376" s="98" t="str">
        <f t="shared" ca="1" si="56"/>
        <v/>
      </c>
      <c r="AZ376" s="96" t="str">
        <f t="shared" si="51"/>
        <v/>
      </c>
      <c r="BA376" s="99" t="str">
        <f t="shared" ca="1" si="57"/>
        <v/>
      </c>
      <c r="BB376" s="97" t="str">
        <f t="shared" si="52"/>
        <v/>
      </c>
      <c r="BC376" s="101" t="str">
        <f t="shared" ca="1" si="58"/>
        <v/>
      </c>
      <c r="BD376" s="100" t="str">
        <f t="shared" si="53"/>
        <v/>
      </c>
      <c r="BE376" s="103" t="str">
        <f t="shared" ca="1" si="59"/>
        <v/>
      </c>
      <c r="BF376" s="102" t="str">
        <f t="shared" si="54"/>
        <v/>
      </c>
    </row>
    <row r="377" spans="48:58" hidden="1" x14ac:dyDescent="0.25">
      <c r="AV377">
        <v>352</v>
      </c>
      <c r="AW377" s="94" t="str">
        <f t="shared" ca="1" si="55"/>
        <v/>
      </c>
      <c r="AX377" s="95" t="str">
        <f t="shared" si="50"/>
        <v/>
      </c>
      <c r="AY377" s="98" t="str">
        <f t="shared" ca="1" si="56"/>
        <v/>
      </c>
      <c r="AZ377" s="96" t="str">
        <f t="shared" si="51"/>
        <v/>
      </c>
      <c r="BA377" s="99" t="str">
        <f t="shared" ca="1" si="57"/>
        <v/>
      </c>
      <c r="BB377" s="97" t="str">
        <f t="shared" si="52"/>
        <v/>
      </c>
      <c r="BC377" s="101" t="str">
        <f t="shared" ca="1" si="58"/>
        <v/>
      </c>
      <c r="BD377" s="100" t="str">
        <f t="shared" si="53"/>
        <v/>
      </c>
      <c r="BE377" s="103" t="str">
        <f t="shared" ca="1" si="59"/>
        <v/>
      </c>
      <c r="BF377" s="102" t="str">
        <f t="shared" si="54"/>
        <v/>
      </c>
    </row>
    <row r="378" spans="48:58" hidden="1" x14ac:dyDescent="0.25">
      <c r="AV378">
        <v>353</v>
      </c>
      <c r="AW378" s="94" t="str">
        <f t="shared" ca="1" si="55"/>
        <v/>
      </c>
      <c r="AX378" s="95" t="str">
        <f t="shared" si="50"/>
        <v/>
      </c>
      <c r="AY378" s="98" t="str">
        <f t="shared" ca="1" si="56"/>
        <v/>
      </c>
      <c r="AZ378" s="96" t="str">
        <f t="shared" si="51"/>
        <v/>
      </c>
      <c r="BA378" s="99" t="str">
        <f t="shared" ca="1" si="57"/>
        <v/>
      </c>
      <c r="BB378" s="97" t="str">
        <f t="shared" si="52"/>
        <v/>
      </c>
      <c r="BC378" s="101" t="str">
        <f t="shared" ca="1" si="58"/>
        <v/>
      </c>
      <c r="BD378" s="100" t="str">
        <f t="shared" si="53"/>
        <v/>
      </c>
      <c r="BE378" s="103" t="str">
        <f t="shared" ca="1" si="59"/>
        <v/>
      </c>
      <c r="BF378" s="102" t="str">
        <f t="shared" si="54"/>
        <v/>
      </c>
    </row>
    <row r="379" spans="48:58" hidden="1" x14ac:dyDescent="0.25">
      <c r="AV379">
        <v>354</v>
      </c>
      <c r="AW379" s="94" t="str">
        <f t="shared" ca="1" si="55"/>
        <v/>
      </c>
      <c r="AX379" s="95" t="str">
        <f t="shared" si="50"/>
        <v/>
      </c>
      <c r="AY379" s="98" t="str">
        <f t="shared" ca="1" si="56"/>
        <v/>
      </c>
      <c r="AZ379" s="96" t="str">
        <f t="shared" si="51"/>
        <v/>
      </c>
      <c r="BA379" s="99" t="str">
        <f t="shared" ca="1" si="57"/>
        <v/>
      </c>
      <c r="BB379" s="97" t="str">
        <f t="shared" si="52"/>
        <v/>
      </c>
      <c r="BC379" s="101" t="str">
        <f t="shared" ca="1" si="58"/>
        <v/>
      </c>
      <c r="BD379" s="100" t="str">
        <f t="shared" si="53"/>
        <v/>
      </c>
      <c r="BE379" s="103" t="str">
        <f t="shared" ca="1" si="59"/>
        <v/>
      </c>
      <c r="BF379" s="102" t="str">
        <f t="shared" si="54"/>
        <v/>
      </c>
    </row>
    <row r="380" spans="48:58" hidden="1" x14ac:dyDescent="0.25">
      <c r="AV380">
        <v>355</v>
      </c>
      <c r="AW380" s="94" t="str">
        <f t="shared" ca="1" si="55"/>
        <v/>
      </c>
      <c r="AX380" s="95" t="str">
        <f t="shared" si="50"/>
        <v/>
      </c>
      <c r="AY380" s="98" t="str">
        <f t="shared" ca="1" si="56"/>
        <v/>
      </c>
      <c r="AZ380" s="96" t="str">
        <f t="shared" si="51"/>
        <v/>
      </c>
      <c r="BA380" s="99" t="str">
        <f t="shared" ca="1" si="57"/>
        <v/>
      </c>
      <c r="BB380" s="97" t="str">
        <f t="shared" si="52"/>
        <v/>
      </c>
      <c r="BC380" s="101" t="str">
        <f t="shared" ca="1" si="58"/>
        <v/>
      </c>
      <c r="BD380" s="100" t="str">
        <f t="shared" si="53"/>
        <v/>
      </c>
      <c r="BE380" s="103" t="str">
        <f t="shared" ca="1" si="59"/>
        <v/>
      </c>
      <c r="BF380" s="102" t="str">
        <f t="shared" si="54"/>
        <v/>
      </c>
    </row>
    <row r="381" spans="48:58" hidden="1" x14ac:dyDescent="0.25">
      <c r="AV381">
        <v>356</v>
      </c>
      <c r="AW381" s="94" t="str">
        <f t="shared" ca="1" si="55"/>
        <v/>
      </c>
      <c r="AX381" s="95" t="str">
        <f t="shared" si="50"/>
        <v/>
      </c>
      <c r="AY381" s="98" t="str">
        <f t="shared" ca="1" si="56"/>
        <v/>
      </c>
      <c r="AZ381" s="96" t="str">
        <f t="shared" si="51"/>
        <v/>
      </c>
      <c r="BA381" s="99" t="str">
        <f t="shared" ca="1" si="57"/>
        <v/>
      </c>
      <c r="BB381" s="97" t="str">
        <f t="shared" si="52"/>
        <v/>
      </c>
      <c r="BC381" s="101" t="str">
        <f t="shared" ca="1" si="58"/>
        <v/>
      </c>
      <c r="BD381" s="100" t="str">
        <f t="shared" si="53"/>
        <v/>
      </c>
      <c r="BE381" s="103" t="str">
        <f t="shared" ca="1" si="59"/>
        <v/>
      </c>
      <c r="BF381" s="102" t="str">
        <f t="shared" si="54"/>
        <v/>
      </c>
    </row>
    <row r="382" spans="48:58" hidden="1" x14ac:dyDescent="0.25">
      <c r="AV382">
        <v>357</v>
      </c>
      <c r="AW382" s="94" t="str">
        <f t="shared" ca="1" si="55"/>
        <v/>
      </c>
      <c r="AX382" s="95" t="str">
        <f t="shared" si="50"/>
        <v/>
      </c>
      <c r="AY382" s="98" t="str">
        <f t="shared" ca="1" si="56"/>
        <v/>
      </c>
      <c r="AZ382" s="96" t="str">
        <f t="shared" si="51"/>
        <v/>
      </c>
      <c r="BA382" s="99" t="str">
        <f t="shared" ca="1" si="57"/>
        <v/>
      </c>
      <c r="BB382" s="97" t="str">
        <f t="shared" si="52"/>
        <v/>
      </c>
      <c r="BC382" s="101" t="str">
        <f t="shared" ca="1" si="58"/>
        <v/>
      </c>
      <c r="BD382" s="100" t="str">
        <f t="shared" si="53"/>
        <v/>
      </c>
      <c r="BE382" s="103" t="str">
        <f t="shared" ca="1" si="59"/>
        <v/>
      </c>
      <c r="BF382" s="102" t="str">
        <f t="shared" si="54"/>
        <v/>
      </c>
    </row>
    <row r="383" spans="48:58" hidden="1" x14ac:dyDescent="0.25">
      <c r="AV383">
        <v>358</v>
      </c>
      <c r="AW383" s="94" t="str">
        <f t="shared" ca="1" si="55"/>
        <v/>
      </c>
      <c r="AX383" s="95" t="str">
        <f t="shared" si="50"/>
        <v/>
      </c>
      <c r="AY383" s="98" t="str">
        <f t="shared" ca="1" si="56"/>
        <v/>
      </c>
      <c r="AZ383" s="96" t="str">
        <f t="shared" si="51"/>
        <v/>
      </c>
      <c r="BA383" s="99" t="str">
        <f t="shared" ca="1" si="57"/>
        <v/>
      </c>
      <c r="BB383" s="97" t="str">
        <f t="shared" si="52"/>
        <v/>
      </c>
      <c r="BC383" s="101" t="str">
        <f t="shared" ca="1" si="58"/>
        <v/>
      </c>
      <c r="BD383" s="100" t="str">
        <f t="shared" si="53"/>
        <v/>
      </c>
      <c r="BE383" s="103" t="str">
        <f t="shared" ca="1" si="59"/>
        <v/>
      </c>
      <c r="BF383" s="102" t="str">
        <f t="shared" si="54"/>
        <v/>
      </c>
    </row>
    <row r="384" spans="48:58" hidden="1" x14ac:dyDescent="0.25">
      <c r="AV384">
        <v>359</v>
      </c>
      <c r="AW384" s="94" t="str">
        <f t="shared" ca="1" si="55"/>
        <v/>
      </c>
      <c r="AX384" s="95" t="str">
        <f t="shared" si="50"/>
        <v/>
      </c>
      <c r="AY384" s="98" t="str">
        <f t="shared" ca="1" si="56"/>
        <v/>
      </c>
      <c r="AZ384" s="96" t="str">
        <f t="shared" si="51"/>
        <v/>
      </c>
      <c r="BA384" s="99" t="str">
        <f t="shared" ca="1" si="57"/>
        <v/>
      </c>
      <c r="BB384" s="97" t="str">
        <f t="shared" si="52"/>
        <v/>
      </c>
      <c r="BC384" s="101" t="str">
        <f t="shared" ca="1" si="58"/>
        <v/>
      </c>
      <c r="BD384" s="100" t="str">
        <f t="shared" si="53"/>
        <v/>
      </c>
      <c r="BE384" s="103" t="str">
        <f t="shared" ca="1" si="59"/>
        <v/>
      </c>
      <c r="BF384" s="102" t="str">
        <f t="shared" si="54"/>
        <v/>
      </c>
    </row>
    <row r="385" spans="48:58" hidden="1" x14ac:dyDescent="0.25">
      <c r="AV385">
        <v>360</v>
      </c>
      <c r="AW385" s="94" t="str">
        <f t="shared" ca="1" si="55"/>
        <v/>
      </c>
      <c r="AX385" s="95" t="str">
        <f t="shared" si="50"/>
        <v/>
      </c>
      <c r="AY385" s="98" t="str">
        <f t="shared" ca="1" si="56"/>
        <v/>
      </c>
      <c r="AZ385" s="96" t="str">
        <f t="shared" si="51"/>
        <v/>
      </c>
      <c r="BA385" s="99" t="str">
        <f t="shared" ca="1" si="57"/>
        <v/>
      </c>
      <c r="BB385" s="97" t="str">
        <f t="shared" si="52"/>
        <v/>
      </c>
      <c r="BC385" s="101" t="str">
        <f t="shared" ca="1" si="58"/>
        <v/>
      </c>
      <c r="BD385" s="100" t="str">
        <f t="shared" si="53"/>
        <v/>
      </c>
      <c r="BE385" s="103" t="str">
        <f t="shared" ca="1" si="59"/>
        <v/>
      </c>
      <c r="BF385" s="102" t="str">
        <f t="shared" si="54"/>
        <v/>
      </c>
    </row>
    <row r="386" spans="48:58" hidden="1" x14ac:dyDescent="0.25">
      <c r="AV386">
        <v>361</v>
      </c>
      <c r="AW386" s="94" t="str">
        <f t="shared" ca="1" si="55"/>
        <v/>
      </c>
      <c r="AX386" s="95" t="str">
        <f t="shared" si="50"/>
        <v/>
      </c>
      <c r="AY386" s="98" t="str">
        <f t="shared" ca="1" si="56"/>
        <v/>
      </c>
      <c r="AZ386" s="96" t="str">
        <f t="shared" si="51"/>
        <v/>
      </c>
      <c r="BA386" s="99" t="str">
        <f t="shared" ca="1" si="57"/>
        <v/>
      </c>
      <c r="BB386" s="97" t="str">
        <f t="shared" si="52"/>
        <v/>
      </c>
      <c r="BC386" s="101" t="str">
        <f t="shared" ca="1" si="58"/>
        <v/>
      </c>
      <c r="BD386" s="100" t="str">
        <f t="shared" si="53"/>
        <v/>
      </c>
      <c r="BE386" s="103" t="str">
        <f t="shared" ca="1" si="59"/>
        <v/>
      </c>
      <c r="BF386" s="102" t="str">
        <f t="shared" si="54"/>
        <v/>
      </c>
    </row>
    <row r="387" spans="48:58" hidden="1" x14ac:dyDescent="0.25">
      <c r="AV387">
        <v>362</v>
      </c>
      <c r="AW387" s="94" t="str">
        <f t="shared" ca="1" si="55"/>
        <v/>
      </c>
      <c r="AX387" s="95" t="str">
        <f t="shared" si="50"/>
        <v/>
      </c>
      <c r="AY387" s="98" t="str">
        <f t="shared" ca="1" si="56"/>
        <v/>
      </c>
      <c r="AZ387" s="96" t="str">
        <f t="shared" si="51"/>
        <v/>
      </c>
      <c r="BA387" s="99" t="str">
        <f t="shared" ca="1" si="57"/>
        <v/>
      </c>
      <c r="BB387" s="97" t="str">
        <f t="shared" si="52"/>
        <v/>
      </c>
      <c r="BC387" s="101" t="str">
        <f t="shared" ca="1" si="58"/>
        <v/>
      </c>
      <c r="BD387" s="100" t="str">
        <f t="shared" si="53"/>
        <v/>
      </c>
      <c r="BE387" s="103" t="str">
        <f t="shared" ca="1" si="59"/>
        <v/>
      </c>
      <c r="BF387" s="102" t="str">
        <f t="shared" si="54"/>
        <v/>
      </c>
    </row>
    <row r="388" spans="48:58" hidden="1" x14ac:dyDescent="0.25">
      <c r="AV388">
        <v>363</v>
      </c>
      <c r="AW388" s="94" t="str">
        <f t="shared" ca="1" si="55"/>
        <v/>
      </c>
      <c r="AX388" s="95" t="str">
        <f t="shared" si="50"/>
        <v/>
      </c>
      <c r="AY388" s="98" t="str">
        <f t="shared" ca="1" si="56"/>
        <v/>
      </c>
      <c r="AZ388" s="96" t="str">
        <f t="shared" si="51"/>
        <v/>
      </c>
      <c r="BA388" s="99" t="str">
        <f t="shared" ca="1" si="57"/>
        <v/>
      </c>
      <c r="BB388" s="97" t="str">
        <f t="shared" si="52"/>
        <v/>
      </c>
      <c r="BC388" s="101" t="str">
        <f t="shared" ca="1" si="58"/>
        <v/>
      </c>
      <c r="BD388" s="100" t="str">
        <f t="shared" si="53"/>
        <v/>
      </c>
      <c r="BE388" s="103" t="str">
        <f t="shared" ca="1" si="59"/>
        <v/>
      </c>
      <c r="BF388" s="102" t="str">
        <f t="shared" si="54"/>
        <v/>
      </c>
    </row>
    <row r="389" spans="48:58" hidden="1" x14ac:dyDescent="0.25">
      <c r="AV389">
        <v>364</v>
      </c>
      <c r="AW389" s="94" t="str">
        <f t="shared" ca="1" si="55"/>
        <v/>
      </c>
      <c r="AX389" s="95" t="str">
        <f t="shared" si="50"/>
        <v/>
      </c>
      <c r="AY389" s="98" t="str">
        <f t="shared" ca="1" si="56"/>
        <v/>
      </c>
      <c r="AZ389" s="96" t="str">
        <f t="shared" si="51"/>
        <v/>
      </c>
      <c r="BA389" s="99" t="str">
        <f t="shared" ca="1" si="57"/>
        <v/>
      </c>
      <c r="BB389" s="97" t="str">
        <f t="shared" si="52"/>
        <v/>
      </c>
      <c r="BC389" s="101" t="str">
        <f t="shared" ca="1" si="58"/>
        <v/>
      </c>
      <c r="BD389" s="100" t="str">
        <f t="shared" si="53"/>
        <v/>
      </c>
      <c r="BE389" s="103" t="str">
        <f t="shared" ca="1" si="59"/>
        <v/>
      </c>
      <c r="BF389" s="102" t="str">
        <f t="shared" si="54"/>
        <v/>
      </c>
    </row>
    <row r="390" spans="48:58" hidden="1" x14ac:dyDescent="0.25">
      <c r="AV390">
        <v>365</v>
      </c>
      <c r="AW390" s="94" t="str">
        <f t="shared" ca="1" si="55"/>
        <v/>
      </c>
      <c r="AX390" s="95" t="str">
        <f t="shared" si="50"/>
        <v/>
      </c>
      <c r="AY390" s="98" t="str">
        <f t="shared" ca="1" si="56"/>
        <v/>
      </c>
      <c r="AZ390" s="96" t="str">
        <f t="shared" si="51"/>
        <v/>
      </c>
      <c r="BA390" s="99" t="str">
        <f t="shared" ca="1" si="57"/>
        <v/>
      </c>
      <c r="BB390" s="97" t="str">
        <f t="shared" si="52"/>
        <v/>
      </c>
      <c r="BC390" s="101" t="str">
        <f t="shared" ca="1" si="58"/>
        <v/>
      </c>
      <c r="BD390" s="100" t="str">
        <f t="shared" si="53"/>
        <v/>
      </c>
      <c r="BE390" s="103" t="str">
        <f t="shared" ca="1" si="59"/>
        <v/>
      </c>
      <c r="BF390" s="102" t="str">
        <f t="shared" si="54"/>
        <v/>
      </c>
    </row>
    <row r="391" spans="48:58" hidden="1" x14ac:dyDescent="0.25">
      <c r="AV391">
        <v>366</v>
      </c>
      <c r="AW391" s="94" t="str">
        <f t="shared" ca="1" si="55"/>
        <v/>
      </c>
      <c r="AX391" s="95" t="str">
        <f t="shared" si="50"/>
        <v/>
      </c>
      <c r="AY391" s="98" t="str">
        <f t="shared" ca="1" si="56"/>
        <v/>
      </c>
      <c r="AZ391" s="96" t="str">
        <f t="shared" si="51"/>
        <v/>
      </c>
      <c r="BA391" s="99" t="str">
        <f t="shared" ca="1" si="57"/>
        <v/>
      </c>
      <c r="BB391" s="97" t="str">
        <f t="shared" si="52"/>
        <v/>
      </c>
      <c r="BC391" s="101" t="str">
        <f t="shared" ca="1" si="58"/>
        <v/>
      </c>
      <c r="BD391" s="100" t="str">
        <f t="shared" si="53"/>
        <v/>
      </c>
      <c r="BE391" s="103" t="str">
        <f t="shared" ca="1" si="59"/>
        <v/>
      </c>
      <c r="BF391" s="102" t="str">
        <f t="shared" si="54"/>
        <v/>
      </c>
    </row>
    <row r="392" spans="48:58" hidden="1" x14ac:dyDescent="0.25">
      <c r="AV392">
        <v>367</v>
      </c>
      <c r="AW392" s="94" t="str">
        <f t="shared" ca="1" si="55"/>
        <v/>
      </c>
      <c r="AX392" s="95" t="str">
        <f t="shared" si="50"/>
        <v/>
      </c>
      <c r="AY392" s="98" t="str">
        <f t="shared" ca="1" si="56"/>
        <v/>
      </c>
      <c r="AZ392" s="96" t="str">
        <f t="shared" si="51"/>
        <v/>
      </c>
      <c r="BA392" s="99" t="str">
        <f t="shared" ca="1" si="57"/>
        <v/>
      </c>
      <c r="BB392" s="97" t="str">
        <f t="shared" si="52"/>
        <v/>
      </c>
      <c r="BC392" s="101" t="str">
        <f t="shared" ca="1" si="58"/>
        <v/>
      </c>
      <c r="BD392" s="100" t="str">
        <f t="shared" si="53"/>
        <v/>
      </c>
      <c r="BE392" s="103" t="str">
        <f t="shared" ca="1" si="59"/>
        <v/>
      </c>
      <c r="BF392" s="102" t="str">
        <f t="shared" si="54"/>
        <v/>
      </c>
    </row>
    <row r="393" spans="48:58" hidden="1" x14ac:dyDescent="0.25">
      <c r="AV393">
        <v>368</v>
      </c>
      <c r="AW393" s="94" t="str">
        <f t="shared" ca="1" si="55"/>
        <v/>
      </c>
      <c r="AX393" s="95" t="str">
        <f t="shared" si="50"/>
        <v/>
      </c>
      <c r="AY393" s="98" t="str">
        <f t="shared" ca="1" si="56"/>
        <v/>
      </c>
      <c r="AZ393" s="96" t="str">
        <f t="shared" si="51"/>
        <v/>
      </c>
      <c r="BA393" s="99" t="str">
        <f t="shared" ca="1" si="57"/>
        <v/>
      </c>
      <c r="BB393" s="97" t="str">
        <f t="shared" si="52"/>
        <v/>
      </c>
      <c r="BC393" s="101" t="str">
        <f t="shared" ca="1" si="58"/>
        <v/>
      </c>
      <c r="BD393" s="100" t="str">
        <f t="shared" si="53"/>
        <v/>
      </c>
      <c r="BE393" s="103" t="str">
        <f t="shared" ca="1" si="59"/>
        <v/>
      </c>
      <c r="BF393" s="102" t="str">
        <f t="shared" si="54"/>
        <v/>
      </c>
    </row>
    <row r="394" spans="48:58" hidden="1" x14ac:dyDescent="0.25">
      <c r="AV394">
        <v>369</v>
      </c>
      <c r="AW394" s="94" t="str">
        <f t="shared" ca="1" si="55"/>
        <v/>
      </c>
      <c r="AX394" s="95" t="str">
        <f t="shared" si="50"/>
        <v/>
      </c>
      <c r="AY394" s="98" t="str">
        <f t="shared" ca="1" si="56"/>
        <v/>
      </c>
      <c r="AZ394" s="96" t="str">
        <f t="shared" si="51"/>
        <v/>
      </c>
      <c r="BA394" s="99" t="str">
        <f t="shared" ca="1" si="57"/>
        <v/>
      </c>
      <c r="BB394" s="97" t="str">
        <f t="shared" si="52"/>
        <v/>
      </c>
      <c r="BC394" s="101" t="str">
        <f t="shared" ca="1" si="58"/>
        <v/>
      </c>
      <c r="BD394" s="100" t="str">
        <f t="shared" si="53"/>
        <v/>
      </c>
      <c r="BE394" s="103" t="str">
        <f t="shared" ca="1" si="59"/>
        <v/>
      </c>
      <c r="BF394" s="102" t="str">
        <f t="shared" si="54"/>
        <v/>
      </c>
    </row>
    <row r="395" spans="48:58" hidden="1" x14ac:dyDescent="0.25">
      <c r="AV395">
        <v>370</v>
      </c>
      <c r="AW395" s="94" t="str">
        <f t="shared" ca="1" si="55"/>
        <v/>
      </c>
      <c r="AX395" s="95" t="str">
        <f t="shared" si="50"/>
        <v/>
      </c>
      <c r="AY395" s="98" t="str">
        <f t="shared" ca="1" si="56"/>
        <v/>
      </c>
      <c r="AZ395" s="96" t="str">
        <f t="shared" si="51"/>
        <v/>
      </c>
      <c r="BA395" s="99" t="str">
        <f t="shared" ca="1" si="57"/>
        <v/>
      </c>
      <c r="BB395" s="97" t="str">
        <f t="shared" si="52"/>
        <v/>
      </c>
      <c r="BC395" s="101" t="str">
        <f t="shared" ca="1" si="58"/>
        <v/>
      </c>
      <c r="BD395" s="100" t="str">
        <f t="shared" si="53"/>
        <v/>
      </c>
      <c r="BE395" s="103" t="str">
        <f t="shared" ca="1" si="59"/>
        <v/>
      </c>
      <c r="BF395" s="102" t="str">
        <f t="shared" si="54"/>
        <v/>
      </c>
    </row>
    <row r="396" spans="48:58" hidden="1" x14ac:dyDescent="0.25">
      <c r="AV396">
        <v>371</v>
      </c>
      <c r="AW396" s="94" t="str">
        <f t="shared" ca="1" si="55"/>
        <v/>
      </c>
      <c r="AX396" s="95" t="str">
        <f t="shared" si="50"/>
        <v/>
      </c>
      <c r="AY396" s="98" t="str">
        <f t="shared" ca="1" si="56"/>
        <v/>
      </c>
      <c r="AZ396" s="96" t="str">
        <f t="shared" si="51"/>
        <v/>
      </c>
      <c r="BA396" s="99" t="str">
        <f t="shared" ca="1" si="57"/>
        <v/>
      </c>
      <c r="BB396" s="97" t="str">
        <f t="shared" si="52"/>
        <v/>
      </c>
      <c r="BC396" s="101" t="str">
        <f t="shared" ca="1" si="58"/>
        <v/>
      </c>
      <c r="BD396" s="100" t="str">
        <f t="shared" si="53"/>
        <v/>
      </c>
      <c r="BE396" s="103" t="str">
        <f t="shared" ca="1" si="59"/>
        <v/>
      </c>
      <c r="BF396" s="102" t="str">
        <f t="shared" si="54"/>
        <v/>
      </c>
    </row>
    <row r="397" spans="48:58" hidden="1" x14ac:dyDescent="0.25">
      <c r="AV397">
        <v>372</v>
      </c>
      <c r="AW397" s="94" t="str">
        <f t="shared" ca="1" si="55"/>
        <v/>
      </c>
      <c r="AX397" s="95" t="str">
        <f t="shared" si="50"/>
        <v/>
      </c>
      <c r="AY397" s="98" t="str">
        <f t="shared" ca="1" si="56"/>
        <v/>
      </c>
      <c r="AZ397" s="96" t="str">
        <f t="shared" si="51"/>
        <v/>
      </c>
      <c r="BA397" s="99" t="str">
        <f t="shared" ca="1" si="57"/>
        <v/>
      </c>
      <c r="BB397" s="97" t="str">
        <f t="shared" si="52"/>
        <v/>
      </c>
      <c r="BC397" s="101" t="str">
        <f t="shared" ca="1" si="58"/>
        <v/>
      </c>
      <c r="BD397" s="100" t="str">
        <f t="shared" si="53"/>
        <v/>
      </c>
      <c r="BE397" s="103" t="str">
        <f t="shared" ca="1" si="59"/>
        <v/>
      </c>
      <c r="BF397" s="102" t="str">
        <f t="shared" si="54"/>
        <v/>
      </c>
    </row>
    <row r="398" spans="48:58" hidden="1" x14ac:dyDescent="0.25">
      <c r="AV398">
        <v>373</v>
      </c>
      <c r="AW398" s="94" t="str">
        <f t="shared" ca="1" si="55"/>
        <v/>
      </c>
      <c r="AX398" s="95" t="str">
        <f t="shared" si="50"/>
        <v/>
      </c>
      <c r="AY398" s="98" t="str">
        <f t="shared" ca="1" si="56"/>
        <v/>
      </c>
      <c r="AZ398" s="96" t="str">
        <f t="shared" si="51"/>
        <v/>
      </c>
      <c r="BA398" s="99" t="str">
        <f t="shared" ca="1" si="57"/>
        <v/>
      </c>
      <c r="BB398" s="97" t="str">
        <f t="shared" si="52"/>
        <v/>
      </c>
      <c r="BC398" s="101" t="str">
        <f t="shared" ca="1" si="58"/>
        <v/>
      </c>
      <c r="BD398" s="100" t="str">
        <f t="shared" si="53"/>
        <v/>
      </c>
      <c r="BE398" s="103" t="str">
        <f t="shared" ca="1" si="59"/>
        <v/>
      </c>
      <c r="BF398" s="102" t="str">
        <f t="shared" si="54"/>
        <v/>
      </c>
    </row>
    <row r="399" spans="48:58" hidden="1" x14ac:dyDescent="0.25">
      <c r="AV399">
        <v>374</v>
      </c>
      <c r="AW399" s="94" t="str">
        <f t="shared" ca="1" si="55"/>
        <v/>
      </c>
      <c r="AX399" s="95" t="str">
        <f t="shared" si="50"/>
        <v/>
      </c>
      <c r="AY399" s="98" t="str">
        <f t="shared" ca="1" si="56"/>
        <v/>
      </c>
      <c r="AZ399" s="96" t="str">
        <f t="shared" si="51"/>
        <v/>
      </c>
      <c r="BA399" s="99" t="str">
        <f t="shared" ca="1" si="57"/>
        <v/>
      </c>
      <c r="BB399" s="97" t="str">
        <f t="shared" si="52"/>
        <v/>
      </c>
      <c r="BC399" s="101" t="str">
        <f t="shared" ca="1" si="58"/>
        <v/>
      </c>
      <c r="BD399" s="100" t="str">
        <f t="shared" si="53"/>
        <v/>
      </c>
      <c r="BE399" s="103" t="str">
        <f t="shared" ca="1" si="59"/>
        <v/>
      </c>
      <c r="BF399" s="102" t="str">
        <f t="shared" si="54"/>
        <v/>
      </c>
    </row>
    <row r="400" spans="48:58" hidden="1" x14ac:dyDescent="0.25">
      <c r="AV400">
        <v>375</v>
      </c>
      <c r="AW400" s="94" t="str">
        <f t="shared" ca="1" si="55"/>
        <v/>
      </c>
      <c r="AX400" s="95" t="str">
        <f t="shared" si="50"/>
        <v/>
      </c>
      <c r="AY400" s="98" t="str">
        <f t="shared" ca="1" si="56"/>
        <v/>
      </c>
      <c r="AZ400" s="96" t="str">
        <f t="shared" si="51"/>
        <v/>
      </c>
      <c r="BA400" s="99" t="str">
        <f t="shared" ca="1" si="57"/>
        <v/>
      </c>
      <c r="BB400" s="97" t="str">
        <f t="shared" si="52"/>
        <v/>
      </c>
      <c r="BC400" s="101" t="str">
        <f t="shared" ca="1" si="58"/>
        <v/>
      </c>
      <c r="BD400" s="100" t="str">
        <f t="shared" si="53"/>
        <v/>
      </c>
      <c r="BE400" s="103" t="str">
        <f t="shared" ca="1" si="59"/>
        <v/>
      </c>
      <c r="BF400" s="102" t="str">
        <f t="shared" si="54"/>
        <v/>
      </c>
    </row>
    <row r="401" spans="48:58" hidden="1" x14ac:dyDescent="0.25">
      <c r="AV401">
        <v>376</v>
      </c>
      <c r="AW401" s="94" t="str">
        <f t="shared" ca="1" si="55"/>
        <v/>
      </c>
      <c r="AX401" s="95" t="str">
        <f t="shared" si="50"/>
        <v/>
      </c>
      <c r="AY401" s="98" t="str">
        <f t="shared" ca="1" si="56"/>
        <v/>
      </c>
      <c r="AZ401" s="96" t="str">
        <f t="shared" si="51"/>
        <v/>
      </c>
      <c r="BA401" s="99" t="str">
        <f t="shared" ca="1" si="57"/>
        <v/>
      </c>
      <c r="BB401" s="97" t="str">
        <f t="shared" si="52"/>
        <v/>
      </c>
      <c r="BC401" s="101" t="str">
        <f t="shared" ca="1" si="58"/>
        <v/>
      </c>
      <c r="BD401" s="100" t="str">
        <f t="shared" si="53"/>
        <v/>
      </c>
      <c r="BE401" s="103" t="str">
        <f t="shared" ca="1" si="59"/>
        <v/>
      </c>
      <c r="BF401" s="102" t="str">
        <f t="shared" si="54"/>
        <v/>
      </c>
    </row>
    <row r="402" spans="48:58" hidden="1" x14ac:dyDescent="0.25">
      <c r="AV402">
        <v>377</v>
      </c>
      <c r="AW402" s="94" t="str">
        <f t="shared" ca="1" si="55"/>
        <v/>
      </c>
      <c r="AX402" s="95" t="str">
        <f t="shared" si="50"/>
        <v/>
      </c>
      <c r="AY402" s="98" t="str">
        <f t="shared" ca="1" si="56"/>
        <v/>
      </c>
      <c r="AZ402" s="96" t="str">
        <f t="shared" si="51"/>
        <v/>
      </c>
      <c r="BA402" s="99" t="str">
        <f t="shared" ca="1" si="57"/>
        <v/>
      </c>
      <c r="BB402" s="97" t="str">
        <f t="shared" si="52"/>
        <v/>
      </c>
      <c r="BC402" s="101" t="str">
        <f t="shared" ca="1" si="58"/>
        <v/>
      </c>
      <c r="BD402" s="100" t="str">
        <f t="shared" si="53"/>
        <v/>
      </c>
      <c r="BE402" s="103" t="str">
        <f t="shared" ca="1" si="59"/>
        <v/>
      </c>
      <c r="BF402" s="102" t="str">
        <f t="shared" si="54"/>
        <v/>
      </c>
    </row>
    <row r="403" spans="48:58" hidden="1" x14ac:dyDescent="0.25">
      <c r="AV403">
        <v>378</v>
      </c>
      <c r="AW403" s="94" t="str">
        <f t="shared" ca="1" si="55"/>
        <v/>
      </c>
      <c r="AX403" s="95" t="str">
        <f t="shared" si="50"/>
        <v/>
      </c>
      <c r="AY403" s="98" t="str">
        <f t="shared" ca="1" si="56"/>
        <v/>
      </c>
      <c r="AZ403" s="96" t="str">
        <f t="shared" si="51"/>
        <v/>
      </c>
      <c r="BA403" s="99" t="str">
        <f t="shared" ca="1" si="57"/>
        <v/>
      </c>
      <c r="BB403" s="97" t="str">
        <f t="shared" si="52"/>
        <v/>
      </c>
      <c r="BC403" s="101" t="str">
        <f t="shared" ca="1" si="58"/>
        <v/>
      </c>
      <c r="BD403" s="100" t="str">
        <f t="shared" si="53"/>
        <v/>
      </c>
      <c r="BE403" s="103" t="str">
        <f t="shared" ca="1" si="59"/>
        <v/>
      </c>
      <c r="BF403" s="102" t="str">
        <f t="shared" si="54"/>
        <v/>
      </c>
    </row>
    <row r="404" spans="48:58" hidden="1" x14ac:dyDescent="0.25">
      <c r="AV404">
        <v>379</v>
      </c>
      <c r="AW404" s="94" t="str">
        <f t="shared" ca="1" si="55"/>
        <v/>
      </c>
      <c r="AX404" s="95" t="str">
        <f t="shared" si="50"/>
        <v/>
      </c>
      <c r="AY404" s="98" t="str">
        <f t="shared" ca="1" si="56"/>
        <v/>
      </c>
      <c r="AZ404" s="96" t="str">
        <f t="shared" si="51"/>
        <v/>
      </c>
      <c r="BA404" s="99" t="str">
        <f t="shared" ca="1" si="57"/>
        <v/>
      </c>
      <c r="BB404" s="97" t="str">
        <f t="shared" si="52"/>
        <v/>
      </c>
      <c r="BC404" s="101" t="str">
        <f t="shared" ca="1" si="58"/>
        <v/>
      </c>
      <c r="BD404" s="100" t="str">
        <f t="shared" si="53"/>
        <v/>
      </c>
      <c r="BE404" s="103" t="str">
        <f t="shared" ca="1" si="59"/>
        <v/>
      </c>
      <c r="BF404" s="102" t="str">
        <f t="shared" si="54"/>
        <v/>
      </c>
    </row>
    <row r="405" spans="48:58" hidden="1" x14ac:dyDescent="0.25">
      <c r="AV405">
        <v>380</v>
      </c>
      <c r="AW405" s="94" t="str">
        <f t="shared" ca="1" si="55"/>
        <v/>
      </c>
      <c r="AX405" s="95" t="str">
        <f t="shared" si="50"/>
        <v/>
      </c>
      <c r="AY405" s="98" t="str">
        <f t="shared" ca="1" si="56"/>
        <v/>
      </c>
      <c r="AZ405" s="96" t="str">
        <f t="shared" si="51"/>
        <v/>
      </c>
      <c r="BA405" s="99" t="str">
        <f t="shared" ca="1" si="57"/>
        <v/>
      </c>
      <c r="BB405" s="97" t="str">
        <f t="shared" si="52"/>
        <v/>
      </c>
      <c r="BC405" s="101" t="str">
        <f t="shared" ca="1" si="58"/>
        <v/>
      </c>
      <c r="BD405" s="100" t="str">
        <f t="shared" si="53"/>
        <v/>
      </c>
      <c r="BE405" s="103" t="str">
        <f t="shared" ca="1" si="59"/>
        <v/>
      </c>
      <c r="BF405" s="102" t="str">
        <f t="shared" si="54"/>
        <v/>
      </c>
    </row>
    <row r="406" spans="48:58" hidden="1" x14ac:dyDescent="0.25">
      <c r="AV406">
        <v>381</v>
      </c>
      <c r="AW406" s="94" t="str">
        <f t="shared" ca="1" si="55"/>
        <v/>
      </c>
      <c r="AX406" s="95" t="str">
        <f t="shared" si="50"/>
        <v/>
      </c>
      <c r="AY406" s="98" t="str">
        <f t="shared" ca="1" si="56"/>
        <v/>
      </c>
      <c r="AZ406" s="96" t="str">
        <f t="shared" si="51"/>
        <v/>
      </c>
      <c r="BA406" s="99" t="str">
        <f t="shared" ca="1" si="57"/>
        <v/>
      </c>
      <c r="BB406" s="97" t="str">
        <f t="shared" si="52"/>
        <v/>
      </c>
      <c r="BC406" s="101" t="str">
        <f t="shared" ca="1" si="58"/>
        <v/>
      </c>
      <c r="BD406" s="100" t="str">
        <f t="shared" si="53"/>
        <v/>
      </c>
      <c r="BE406" s="103" t="str">
        <f t="shared" ca="1" si="59"/>
        <v/>
      </c>
      <c r="BF406" s="102" t="str">
        <f t="shared" si="54"/>
        <v/>
      </c>
    </row>
    <row r="407" spans="48:58" hidden="1" x14ac:dyDescent="0.25">
      <c r="AV407">
        <v>382</v>
      </c>
      <c r="AW407" s="94" t="str">
        <f t="shared" ca="1" si="55"/>
        <v/>
      </c>
      <c r="AX407" s="95" t="str">
        <f t="shared" si="50"/>
        <v/>
      </c>
      <c r="AY407" s="98" t="str">
        <f t="shared" ca="1" si="56"/>
        <v/>
      </c>
      <c r="AZ407" s="96" t="str">
        <f t="shared" si="51"/>
        <v/>
      </c>
      <c r="BA407" s="99" t="str">
        <f t="shared" ca="1" si="57"/>
        <v/>
      </c>
      <c r="BB407" s="97" t="str">
        <f t="shared" si="52"/>
        <v/>
      </c>
      <c r="BC407" s="101" t="str">
        <f t="shared" ca="1" si="58"/>
        <v/>
      </c>
      <c r="BD407" s="100" t="str">
        <f t="shared" si="53"/>
        <v/>
      </c>
      <c r="BE407" s="103" t="str">
        <f t="shared" ca="1" si="59"/>
        <v/>
      </c>
      <c r="BF407" s="102" t="str">
        <f t="shared" si="54"/>
        <v/>
      </c>
    </row>
    <row r="408" spans="48:58" hidden="1" x14ac:dyDescent="0.25">
      <c r="AV408">
        <v>383</v>
      </c>
      <c r="AW408" s="94" t="str">
        <f t="shared" ca="1" si="55"/>
        <v/>
      </c>
      <c r="AX408" s="95" t="str">
        <f t="shared" si="50"/>
        <v/>
      </c>
      <c r="AY408" s="98" t="str">
        <f t="shared" ca="1" si="56"/>
        <v/>
      </c>
      <c r="AZ408" s="96" t="str">
        <f t="shared" si="51"/>
        <v/>
      </c>
      <c r="BA408" s="99" t="str">
        <f t="shared" ca="1" si="57"/>
        <v/>
      </c>
      <c r="BB408" s="97" t="str">
        <f t="shared" si="52"/>
        <v/>
      </c>
      <c r="BC408" s="101" t="str">
        <f t="shared" ca="1" si="58"/>
        <v/>
      </c>
      <c r="BD408" s="100" t="str">
        <f t="shared" si="53"/>
        <v/>
      </c>
      <c r="BE408" s="103" t="str">
        <f t="shared" ca="1" si="59"/>
        <v/>
      </c>
      <c r="BF408" s="102" t="str">
        <f t="shared" si="54"/>
        <v/>
      </c>
    </row>
    <row r="409" spans="48:58" hidden="1" x14ac:dyDescent="0.25">
      <c r="AV409">
        <v>384</v>
      </c>
      <c r="AW409" s="94" t="str">
        <f t="shared" ca="1" si="55"/>
        <v/>
      </c>
      <c r="AX409" s="95" t="str">
        <f t="shared" si="50"/>
        <v/>
      </c>
      <c r="AY409" s="98" t="str">
        <f t="shared" ca="1" si="56"/>
        <v/>
      </c>
      <c r="AZ409" s="96" t="str">
        <f t="shared" si="51"/>
        <v/>
      </c>
      <c r="BA409" s="99" t="str">
        <f t="shared" ca="1" si="57"/>
        <v/>
      </c>
      <c r="BB409" s="97" t="str">
        <f t="shared" si="52"/>
        <v/>
      </c>
      <c r="BC409" s="101" t="str">
        <f t="shared" ca="1" si="58"/>
        <v/>
      </c>
      <c r="BD409" s="100" t="str">
        <f t="shared" si="53"/>
        <v/>
      </c>
      <c r="BE409" s="103" t="str">
        <f t="shared" ca="1" si="59"/>
        <v/>
      </c>
      <c r="BF409" s="102" t="str">
        <f t="shared" si="54"/>
        <v/>
      </c>
    </row>
    <row r="410" spans="48:58" hidden="1" x14ac:dyDescent="0.25">
      <c r="AV410">
        <v>385</v>
      </c>
      <c r="AW410" s="94" t="str">
        <f t="shared" ca="1" si="55"/>
        <v/>
      </c>
      <c r="AX410" s="95" t="str">
        <f t="shared" ref="AX410:AX473" si="60">IF($D$15*12&gt;=AV410,-1*$H$15,IF($D$15*12+1&gt;=AV410,InfGoal1,""))</f>
        <v/>
      </c>
      <c r="AY410" s="98" t="str">
        <f t="shared" ca="1" si="56"/>
        <v/>
      </c>
      <c r="AZ410" s="96" t="str">
        <f t="shared" ref="AZ410:AZ473" si="61">IF($D$17*12&gt;=AV410,-1*$H$17,IF($D$17*12+1&gt;=AV410,InfGoal2,""))</f>
        <v/>
      </c>
      <c r="BA410" s="99" t="str">
        <f t="shared" ca="1" si="57"/>
        <v/>
      </c>
      <c r="BB410" s="97" t="str">
        <f t="shared" ref="BB410:BB473" si="62">IF($D$19*12&gt;=AV410,-1*$H$19,IF($D$19*12+1&gt;=AV410,InfGoal3,""))</f>
        <v/>
      </c>
      <c r="BC410" s="101" t="str">
        <f t="shared" ca="1" si="58"/>
        <v/>
      </c>
      <c r="BD410" s="100" t="str">
        <f t="shared" ref="BD410:BD473" si="63">IF($D$21*12&gt;=AV410,-1*$H$21,IF($D$21*12+1&gt;=AV410,InfGoal4,""))</f>
        <v/>
      </c>
      <c r="BE410" s="103" t="str">
        <f t="shared" ca="1" si="59"/>
        <v/>
      </c>
      <c r="BF410" s="102" t="str">
        <f t="shared" ref="BF410:BF473" si="64">IF($D$23*12&gt;=AV410,-1*$H$23,IF($D$23*12+1&gt;=AV410,InfGoal5,""))</f>
        <v/>
      </c>
    </row>
    <row r="411" spans="48:58" hidden="1" x14ac:dyDescent="0.25">
      <c r="AV411">
        <v>386</v>
      </c>
      <c r="AW411" s="94" t="str">
        <f t="shared" ref="AW411:AW474" ca="1" si="65">IF($D$15*12&gt;=AV411,DATE(YEAR(TODAY()),MONTH(TODAY())+AV411-1,DAY(TODAY())),IF($D$15*12+1&gt;=AV411,DATE(YEAR(TODAY()),MONTH(TODAY())+$D$15*12,DAY(TODAY())),""))</f>
        <v/>
      </c>
      <c r="AX411" s="95" t="str">
        <f t="shared" si="60"/>
        <v/>
      </c>
      <c r="AY411" s="98" t="str">
        <f t="shared" ref="AY411:AY474" ca="1" si="66">IF($D$17*12&gt;=AV411,DATE(YEAR(TODAY()),MONTH(TODAY())+AV411-1,DAY(TODAY())),IF($D$17*12+1&gt;=AV411,DATE(YEAR(TODAY()),MONTH(TODAY())+$D$17*12,DAY(TODAY())),""))</f>
        <v/>
      </c>
      <c r="AZ411" s="96" t="str">
        <f t="shared" si="61"/>
        <v/>
      </c>
      <c r="BA411" s="99" t="str">
        <f t="shared" ref="BA411:BA474" ca="1" si="67">IF($D$19*12&gt;=AV411,DATE(YEAR(TODAY()),MONTH(TODAY())+AV411-1,DAY(TODAY())),IF($D$19*12+1&gt;=AV411,DATE(YEAR(TODAY()),MONTH(TODAY())+$D$19*12,DAY(TODAY())),""))</f>
        <v/>
      </c>
      <c r="BB411" s="97" t="str">
        <f t="shared" si="62"/>
        <v/>
      </c>
      <c r="BC411" s="101" t="str">
        <f t="shared" ref="BC411:BC474" ca="1" si="68">IF($D$21*12&gt;=AV411,DATE(YEAR(TODAY()),MONTH(TODAY())+AV411-1,DAY(TODAY())),IF($D$21*12+1&gt;=AV411,DATE(YEAR(TODAY()),MONTH(TODAY())+$D$21*12,DAY(TODAY())),""))</f>
        <v/>
      </c>
      <c r="BD411" s="100" t="str">
        <f t="shared" si="63"/>
        <v/>
      </c>
      <c r="BE411" s="103" t="str">
        <f t="shared" ref="BE411:BE474" ca="1" si="69">IF($D$23*12&gt;=AV411,DATE(YEAR(TODAY()),MONTH(TODAY())+AV411-1,DAY(TODAY())),IF($D$23*12+1&gt;=AV411,DATE(YEAR(TODAY()),MONTH(TODAY())+$D$23*12,DAY(TODAY())),""))</f>
        <v/>
      </c>
      <c r="BF411" s="102" t="str">
        <f t="shared" si="64"/>
        <v/>
      </c>
    </row>
    <row r="412" spans="48:58" hidden="1" x14ac:dyDescent="0.25">
      <c r="AV412">
        <v>387</v>
      </c>
      <c r="AW412" s="94" t="str">
        <f t="shared" ca="1" si="65"/>
        <v/>
      </c>
      <c r="AX412" s="95" t="str">
        <f t="shared" si="60"/>
        <v/>
      </c>
      <c r="AY412" s="98" t="str">
        <f t="shared" ca="1" si="66"/>
        <v/>
      </c>
      <c r="AZ412" s="96" t="str">
        <f t="shared" si="61"/>
        <v/>
      </c>
      <c r="BA412" s="99" t="str">
        <f t="shared" ca="1" si="67"/>
        <v/>
      </c>
      <c r="BB412" s="97" t="str">
        <f t="shared" si="62"/>
        <v/>
      </c>
      <c r="BC412" s="101" t="str">
        <f t="shared" ca="1" si="68"/>
        <v/>
      </c>
      <c r="BD412" s="100" t="str">
        <f t="shared" si="63"/>
        <v/>
      </c>
      <c r="BE412" s="103" t="str">
        <f t="shared" ca="1" si="69"/>
        <v/>
      </c>
      <c r="BF412" s="102" t="str">
        <f t="shared" si="64"/>
        <v/>
      </c>
    </row>
    <row r="413" spans="48:58" hidden="1" x14ac:dyDescent="0.25">
      <c r="AV413">
        <v>388</v>
      </c>
      <c r="AW413" s="94" t="str">
        <f t="shared" ca="1" si="65"/>
        <v/>
      </c>
      <c r="AX413" s="95" t="str">
        <f t="shared" si="60"/>
        <v/>
      </c>
      <c r="AY413" s="98" t="str">
        <f t="shared" ca="1" si="66"/>
        <v/>
      </c>
      <c r="AZ413" s="96" t="str">
        <f t="shared" si="61"/>
        <v/>
      </c>
      <c r="BA413" s="99" t="str">
        <f t="shared" ca="1" si="67"/>
        <v/>
      </c>
      <c r="BB413" s="97" t="str">
        <f t="shared" si="62"/>
        <v/>
      </c>
      <c r="BC413" s="101" t="str">
        <f t="shared" ca="1" si="68"/>
        <v/>
      </c>
      <c r="BD413" s="100" t="str">
        <f t="shared" si="63"/>
        <v/>
      </c>
      <c r="BE413" s="103" t="str">
        <f t="shared" ca="1" si="69"/>
        <v/>
      </c>
      <c r="BF413" s="102" t="str">
        <f t="shared" si="64"/>
        <v/>
      </c>
    </row>
    <row r="414" spans="48:58" hidden="1" x14ac:dyDescent="0.25">
      <c r="AV414">
        <v>389</v>
      </c>
      <c r="AW414" s="94" t="str">
        <f t="shared" ca="1" si="65"/>
        <v/>
      </c>
      <c r="AX414" s="95" t="str">
        <f t="shared" si="60"/>
        <v/>
      </c>
      <c r="AY414" s="98" t="str">
        <f t="shared" ca="1" si="66"/>
        <v/>
      </c>
      <c r="AZ414" s="96" t="str">
        <f t="shared" si="61"/>
        <v/>
      </c>
      <c r="BA414" s="99" t="str">
        <f t="shared" ca="1" si="67"/>
        <v/>
      </c>
      <c r="BB414" s="97" t="str">
        <f t="shared" si="62"/>
        <v/>
      </c>
      <c r="BC414" s="101" t="str">
        <f t="shared" ca="1" si="68"/>
        <v/>
      </c>
      <c r="BD414" s="100" t="str">
        <f t="shared" si="63"/>
        <v/>
      </c>
      <c r="BE414" s="103" t="str">
        <f t="shared" ca="1" si="69"/>
        <v/>
      </c>
      <c r="BF414" s="102" t="str">
        <f t="shared" si="64"/>
        <v/>
      </c>
    </row>
    <row r="415" spans="48:58" hidden="1" x14ac:dyDescent="0.25">
      <c r="AV415">
        <v>390</v>
      </c>
      <c r="AW415" s="94" t="str">
        <f t="shared" ca="1" si="65"/>
        <v/>
      </c>
      <c r="AX415" s="95" t="str">
        <f t="shared" si="60"/>
        <v/>
      </c>
      <c r="AY415" s="98" t="str">
        <f t="shared" ca="1" si="66"/>
        <v/>
      </c>
      <c r="AZ415" s="96" t="str">
        <f t="shared" si="61"/>
        <v/>
      </c>
      <c r="BA415" s="99" t="str">
        <f t="shared" ca="1" si="67"/>
        <v/>
      </c>
      <c r="BB415" s="97" t="str">
        <f t="shared" si="62"/>
        <v/>
      </c>
      <c r="BC415" s="101" t="str">
        <f t="shared" ca="1" si="68"/>
        <v/>
      </c>
      <c r="BD415" s="100" t="str">
        <f t="shared" si="63"/>
        <v/>
      </c>
      <c r="BE415" s="103" t="str">
        <f t="shared" ca="1" si="69"/>
        <v/>
      </c>
      <c r="BF415" s="102" t="str">
        <f t="shared" si="64"/>
        <v/>
      </c>
    </row>
    <row r="416" spans="48:58" hidden="1" x14ac:dyDescent="0.25">
      <c r="AV416">
        <v>391</v>
      </c>
      <c r="AW416" s="94" t="str">
        <f t="shared" ca="1" si="65"/>
        <v/>
      </c>
      <c r="AX416" s="95" t="str">
        <f t="shared" si="60"/>
        <v/>
      </c>
      <c r="AY416" s="98" t="str">
        <f t="shared" ca="1" si="66"/>
        <v/>
      </c>
      <c r="AZ416" s="96" t="str">
        <f t="shared" si="61"/>
        <v/>
      </c>
      <c r="BA416" s="99" t="str">
        <f t="shared" ca="1" si="67"/>
        <v/>
      </c>
      <c r="BB416" s="97" t="str">
        <f t="shared" si="62"/>
        <v/>
      </c>
      <c r="BC416" s="101" t="str">
        <f t="shared" ca="1" si="68"/>
        <v/>
      </c>
      <c r="BD416" s="100" t="str">
        <f t="shared" si="63"/>
        <v/>
      </c>
      <c r="BE416" s="103" t="str">
        <f t="shared" ca="1" si="69"/>
        <v/>
      </c>
      <c r="BF416" s="102" t="str">
        <f t="shared" si="64"/>
        <v/>
      </c>
    </row>
    <row r="417" spans="48:58" hidden="1" x14ac:dyDescent="0.25">
      <c r="AV417">
        <v>392</v>
      </c>
      <c r="AW417" s="94" t="str">
        <f t="shared" ca="1" si="65"/>
        <v/>
      </c>
      <c r="AX417" s="95" t="str">
        <f t="shared" si="60"/>
        <v/>
      </c>
      <c r="AY417" s="98" t="str">
        <f t="shared" ca="1" si="66"/>
        <v/>
      </c>
      <c r="AZ417" s="96" t="str">
        <f t="shared" si="61"/>
        <v/>
      </c>
      <c r="BA417" s="99" t="str">
        <f t="shared" ca="1" si="67"/>
        <v/>
      </c>
      <c r="BB417" s="97" t="str">
        <f t="shared" si="62"/>
        <v/>
      </c>
      <c r="BC417" s="101" t="str">
        <f t="shared" ca="1" si="68"/>
        <v/>
      </c>
      <c r="BD417" s="100" t="str">
        <f t="shared" si="63"/>
        <v/>
      </c>
      <c r="BE417" s="103" t="str">
        <f t="shared" ca="1" si="69"/>
        <v/>
      </c>
      <c r="BF417" s="102" t="str">
        <f t="shared" si="64"/>
        <v/>
      </c>
    </row>
    <row r="418" spans="48:58" hidden="1" x14ac:dyDescent="0.25">
      <c r="AV418">
        <v>393</v>
      </c>
      <c r="AW418" s="94" t="str">
        <f t="shared" ca="1" si="65"/>
        <v/>
      </c>
      <c r="AX418" s="95" t="str">
        <f t="shared" si="60"/>
        <v/>
      </c>
      <c r="AY418" s="98" t="str">
        <f t="shared" ca="1" si="66"/>
        <v/>
      </c>
      <c r="AZ418" s="96" t="str">
        <f t="shared" si="61"/>
        <v/>
      </c>
      <c r="BA418" s="99" t="str">
        <f t="shared" ca="1" si="67"/>
        <v/>
      </c>
      <c r="BB418" s="97" t="str">
        <f t="shared" si="62"/>
        <v/>
      </c>
      <c r="BC418" s="101" t="str">
        <f t="shared" ca="1" si="68"/>
        <v/>
      </c>
      <c r="BD418" s="100" t="str">
        <f t="shared" si="63"/>
        <v/>
      </c>
      <c r="BE418" s="103" t="str">
        <f t="shared" ca="1" si="69"/>
        <v/>
      </c>
      <c r="BF418" s="102" t="str">
        <f t="shared" si="64"/>
        <v/>
      </c>
    </row>
    <row r="419" spans="48:58" hidden="1" x14ac:dyDescent="0.25">
      <c r="AV419">
        <v>394</v>
      </c>
      <c r="AW419" s="94" t="str">
        <f t="shared" ca="1" si="65"/>
        <v/>
      </c>
      <c r="AX419" s="95" t="str">
        <f t="shared" si="60"/>
        <v/>
      </c>
      <c r="AY419" s="98" t="str">
        <f t="shared" ca="1" si="66"/>
        <v/>
      </c>
      <c r="AZ419" s="96" t="str">
        <f t="shared" si="61"/>
        <v/>
      </c>
      <c r="BA419" s="99" t="str">
        <f t="shared" ca="1" si="67"/>
        <v/>
      </c>
      <c r="BB419" s="97" t="str">
        <f t="shared" si="62"/>
        <v/>
      </c>
      <c r="BC419" s="101" t="str">
        <f t="shared" ca="1" si="68"/>
        <v/>
      </c>
      <c r="BD419" s="100" t="str">
        <f t="shared" si="63"/>
        <v/>
      </c>
      <c r="BE419" s="103" t="str">
        <f t="shared" ca="1" si="69"/>
        <v/>
      </c>
      <c r="BF419" s="102" t="str">
        <f t="shared" si="64"/>
        <v/>
      </c>
    </row>
    <row r="420" spans="48:58" hidden="1" x14ac:dyDescent="0.25">
      <c r="AV420">
        <v>395</v>
      </c>
      <c r="AW420" s="94" t="str">
        <f t="shared" ca="1" si="65"/>
        <v/>
      </c>
      <c r="AX420" s="95" t="str">
        <f t="shared" si="60"/>
        <v/>
      </c>
      <c r="AY420" s="98" t="str">
        <f t="shared" ca="1" si="66"/>
        <v/>
      </c>
      <c r="AZ420" s="96" t="str">
        <f t="shared" si="61"/>
        <v/>
      </c>
      <c r="BA420" s="99" t="str">
        <f t="shared" ca="1" si="67"/>
        <v/>
      </c>
      <c r="BB420" s="97" t="str">
        <f t="shared" si="62"/>
        <v/>
      </c>
      <c r="BC420" s="101" t="str">
        <f t="shared" ca="1" si="68"/>
        <v/>
      </c>
      <c r="BD420" s="100" t="str">
        <f t="shared" si="63"/>
        <v/>
      </c>
      <c r="BE420" s="103" t="str">
        <f t="shared" ca="1" si="69"/>
        <v/>
      </c>
      <c r="BF420" s="102" t="str">
        <f t="shared" si="64"/>
        <v/>
      </c>
    </row>
    <row r="421" spans="48:58" hidden="1" x14ac:dyDescent="0.25">
      <c r="AV421">
        <v>396</v>
      </c>
      <c r="AW421" s="94" t="str">
        <f t="shared" ca="1" si="65"/>
        <v/>
      </c>
      <c r="AX421" s="95" t="str">
        <f t="shared" si="60"/>
        <v/>
      </c>
      <c r="AY421" s="98" t="str">
        <f t="shared" ca="1" si="66"/>
        <v/>
      </c>
      <c r="AZ421" s="96" t="str">
        <f t="shared" si="61"/>
        <v/>
      </c>
      <c r="BA421" s="99" t="str">
        <f t="shared" ca="1" si="67"/>
        <v/>
      </c>
      <c r="BB421" s="97" t="str">
        <f t="shared" si="62"/>
        <v/>
      </c>
      <c r="BC421" s="101" t="str">
        <f t="shared" ca="1" si="68"/>
        <v/>
      </c>
      <c r="BD421" s="100" t="str">
        <f t="shared" si="63"/>
        <v/>
      </c>
      <c r="BE421" s="103" t="str">
        <f t="shared" ca="1" si="69"/>
        <v/>
      </c>
      <c r="BF421" s="102" t="str">
        <f t="shared" si="64"/>
        <v/>
      </c>
    </row>
    <row r="422" spans="48:58" hidden="1" x14ac:dyDescent="0.25">
      <c r="AV422">
        <v>397</v>
      </c>
      <c r="AW422" s="94" t="str">
        <f t="shared" ca="1" si="65"/>
        <v/>
      </c>
      <c r="AX422" s="95" t="str">
        <f t="shared" si="60"/>
        <v/>
      </c>
      <c r="AY422" s="98" t="str">
        <f t="shared" ca="1" si="66"/>
        <v/>
      </c>
      <c r="AZ422" s="96" t="str">
        <f t="shared" si="61"/>
        <v/>
      </c>
      <c r="BA422" s="99" t="str">
        <f t="shared" ca="1" si="67"/>
        <v/>
      </c>
      <c r="BB422" s="97" t="str">
        <f t="shared" si="62"/>
        <v/>
      </c>
      <c r="BC422" s="101" t="str">
        <f t="shared" ca="1" si="68"/>
        <v/>
      </c>
      <c r="BD422" s="100" t="str">
        <f t="shared" si="63"/>
        <v/>
      </c>
      <c r="BE422" s="103" t="str">
        <f t="shared" ca="1" si="69"/>
        <v/>
      </c>
      <c r="BF422" s="102" t="str">
        <f t="shared" si="64"/>
        <v/>
      </c>
    </row>
    <row r="423" spans="48:58" hidden="1" x14ac:dyDescent="0.25">
      <c r="AV423">
        <v>398</v>
      </c>
      <c r="AW423" s="94" t="str">
        <f t="shared" ca="1" si="65"/>
        <v/>
      </c>
      <c r="AX423" s="95" t="str">
        <f t="shared" si="60"/>
        <v/>
      </c>
      <c r="AY423" s="98" t="str">
        <f t="shared" ca="1" si="66"/>
        <v/>
      </c>
      <c r="AZ423" s="96" t="str">
        <f t="shared" si="61"/>
        <v/>
      </c>
      <c r="BA423" s="99" t="str">
        <f t="shared" ca="1" si="67"/>
        <v/>
      </c>
      <c r="BB423" s="97" t="str">
        <f t="shared" si="62"/>
        <v/>
      </c>
      <c r="BC423" s="101" t="str">
        <f t="shared" ca="1" si="68"/>
        <v/>
      </c>
      <c r="BD423" s="100" t="str">
        <f t="shared" si="63"/>
        <v/>
      </c>
      <c r="BE423" s="103" t="str">
        <f t="shared" ca="1" si="69"/>
        <v/>
      </c>
      <c r="BF423" s="102" t="str">
        <f t="shared" si="64"/>
        <v/>
      </c>
    </row>
    <row r="424" spans="48:58" hidden="1" x14ac:dyDescent="0.25">
      <c r="AV424">
        <v>399</v>
      </c>
      <c r="AW424" s="94" t="str">
        <f t="shared" ca="1" si="65"/>
        <v/>
      </c>
      <c r="AX424" s="95" t="str">
        <f t="shared" si="60"/>
        <v/>
      </c>
      <c r="AY424" s="98" t="str">
        <f t="shared" ca="1" si="66"/>
        <v/>
      </c>
      <c r="AZ424" s="96" t="str">
        <f t="shared" si="61"/>
        <v/>
      </c>
      <c r="BA424" s="99" t="str">
        <f t="shared" ca="1" si="67"/>
        <v/>
      </c>
      <c r="BB424" s="97" t="str">
        <f t="shared" si="62"/>
        <v/>
      </c>
      <c r="BC424" s="101" t="str">
        <f t="shared" ca="1" si="68"/>
        <v/>
      </c>
      <c r="BD424" s="100" t="str">
        <f t="shared" si="63"/>
        <v/>
      </c>
      <c r="BE424" s="103" t="str">
        <f t="shared" ca="1" si="69"/>
        <v/>
      </c>
      <c r="BF424" s="102" t="str">
        <f t="shared" si="64"/>
        <v/>
      </c>
    </row>
    <row r="425" spans="48:58" hidden="1" x14ac:dyDescent="0.25">
      <c r="AV425">
        <v>400</v>
      </c>
      <c r="AW425" s="94" t="str">
        <f t="shared" ca="1" si="65"/>
        <v/>
      </c>
      <c r="AX425" s="95" t="str">
        <f t="shared" si="60"/>
        <v/>
      </c>
      <c r="AY425" s="98" t="str">
        <f t="shared" ca="1" si="66"/>
        <v/>
      </c>
      <c r="AZ425" s="96" t="str">
        <f t="shared" si="61"/>
        <v/>
      </c>
      <c r="BA425" s="99" t="str">
        <f t="shared" ca="1" si="67"/>
        <v/>
      </c>
      <c r="BB425" s="97" t="str">
        <f t="shared" si="62"/>
        <v/>
      </c>
      <c r="BC425" s="101" t="str">
        <f t="shared" ca="1" si="68"/>
        <v/>
      </c>
      <c r="BD425" s="100" t="str">
        <f t="shared" si="63"/>
        <v/>
      </c>
      <c r="BE425" s="103" t="str">
        <f t="shared" ca="1" si="69"/>
        <v/>
      </c>
      <c r="BF425" s="102" t="str">
        <f t="shared" si="64"/>
        <v/>
      </c>
    </row>
    <row r="426" spans="48:58" hidden="1" x14ac:dyDescent="0.25">
      <c r="AV426">
        <v>401</v>
      </c>
      <c r="AW426" s="94" t="str">
        <f t="shared" ca="1" si="65"/>
        <v/>
      </c>
      <c r="AX426" s="95" t="str">
        <f t="shared" si="60"/>
        <v/>
      </c>
      <c r="AY426" s="98" t="str">
        <f t="shared" ca="1" si="66"/>
        <v/>
      </c>
      <c r="AZ426" s="96" t="str">
        <f t="shared" si="61"/>
        <v/>
      </c>
      <c r="BA426" s="99" t="str">
        <f t="shared" ca="1" si="67"/>
        <v/>
      </c>
      <c r="BB426" s="97" t="str">
        <f t="shared" si="62"/>
        <v/>
      </c>
      <c r="BC426" s="101" t="str">
        <f t="shared" ca="1" si="68"/>
        <v/>
      </c>
      <c r="BD426" s="100" t="str">
        <f t="shared" si="63"/>
        <v/>
      </c>
      <c r="BE426" s="103" t="str">
        <f t="shared" ca="1" si="69"/>
        <v/>
      </c>
      <c r="BF426" s="102" t="str">
        <f t="shared" si="64"/>
        <v/>
      </c>
    </row>
    <row r="427" spans="48:58" hidden="1" x14ac:dyDescent="0.25">
      <c r="AV427">
        <v>402</v>
      </c>
      <c r="AW427" s="94" t="str">
        <f t="shared" ca="1" si="65"/>
        <v/>
      </c>
      <c r="AX427" s="95" t="str">
        <f t="shared" si="60"/>
        <v/>
      </c>
      <c r="AY427" s="98" t="str">
        <f t="shared" ca="1" si="66"/>
        <v/>
      </c>
      <c r="AZ427" s="96" t="str">
        <f t="shared" si="61"/>
        <v/>
      </c>
      <c r="BA427" s="99" t="str">
        <f t="shared" ca="1" si="67"/>
        <v/>
      </c>
      <c r="BB427" s="97" t="str">
        <f t="shared" si="62"/>
        <v/>
      </c>
      <c r="BC427" s="101" t="str">
        <f t="shared" ca="1" si="68"/>
        <v/>
      </c>
      <c r="BD427" s="100" t="str">
        <f t="shared" si="63"/>
        <v/>
      </c>
      <c r="BE427" s="103" t="str">
        <f t="shared" ca="1" si="69"/>
        <v/>
      </c>
      <c r="BF427" s="102" t="str">
        <f t="shared" si="64"/>
        <v/>
      </c>
    </row>
    <row r="428" spans="48:58" hidden="1" x14ac:dyDescent="0.25">
      <c r="AV428">
        <v>403</v>
      </c>
      <c r="AW428" s="94" t="str">
        <f t="shared" ca="1" si="65"/>
        <v/>
      </c>
      <c r="AX428" s="95" t="str">
        <f t="shared" si="60"/>
        <v/>
      </c>
      <c r="AY428" s="98" t="str">
        <f t="shared" ca="1" si="66"/>
        <v/>
      </c>
      <c r="AZ428" s="96" t="str">
        <f t="shared" si="61"/>
        <v/>
      </c>
      <c r="BA428" s="99" t="str">
        <f t="shared" ca="1" si="67"/>
        <v/>
      </c>
      <c r="BB428" s="97" t="str">
        <f t="shared" si="62"/>
        <v/>
      </c>
      <c r="BC428" s="101" t="str">
        <f t="shared" ca="1" si="68"/>
        <v/>
      </c>
      <c r="BD428" s="100" t="str">
        <f t="shared" si="63"/>
        <v/>
      </c>
      <c r="BE428" s="103" t="str">
        <f t="shared" ca="1" si="69"/>
        <v/>
      </c>
      <c r="BF428" s="102" t="str">
        <f t="shared" si="64"/>
        <v/>
      </c>
    </row>
    <row r="429" spans="48:58" hidden="1" x14ac:dyDescent="0.25">
      <c r="AV429">
        <v>404</v>
      </c>
      <c r="AW429" s="94" t="str">
        <f t="shared" ca="1" si="65"/>
        <v/>
      </c>
      <c r="AX429" s="95" t="str">
        <f t="shared" si="60"/>
        <v/>
      </c>
      <c r="AY429" s="98" t="str">
        <f t="shared" ca="1" si="66"/>
        <v/>
      </c>
      <c r="AZ429" s="96" t="str">
        <f t="shared" si="61"/>
        <v/>
      </c>
      <c r="BA429" s="99" t="str">
        <f t="shared" ca="1" si="67"/>
        <v/>
      </c>
      <c r="BB429" s="97" t="str">
        <f t="shared" si="62"/>
        <v/>
      </c>
      <c r="BC429" s="101" t="str">
        <f t="shared" ca="1" si="68"/>
        <v/>
      </c>
      <c r="BD429" s="100" t="str">
        <f t="shared" si="63"/>
        <v/>
      </c>
      <c r="BE429" s="103" t="str">
        <f t="shared" ca="1" si="69"/>
        <v/>
      </c>
      <c r="BF429" s="102" t="str">
        <f t="shared" si="64"/>
        <v/>
      </c>
    </row>
    <row r="430" spans="48:58" hidden="1" x14ac:dyDescent="0.25">
      <c r="AV430">
        <v>405</v>
      </c>
      <c r="AW430" s="94" t="str">
        <f t="shared" ca="1" si="65"/>
        <v/>
      </c>
      <c r="AX430" s="95" t="str">
        <f t="shared" si="60"/>
        <v/>
      </c>
      <c r="AY430" s="98" t="str">
        <f t="shared" ca="1" si="66"/>
        <v/>
      </c>
      <c r="AZ430" s="96" t="str">
        <f t="shared" si="61"/>
        <v/>
      </c>
      <c r="BA430" s="99" t="str">
        <f t="shared" ca="1" si="67"/>
        <v/>
      </c>
      <c r="BB430" s="97" t="str">
        <f t="shared" si="62"/>
        <v/>
      </c>
      <c r="BC430" s="101" t="str">
        <f t="shared" ca="1" si="68"/>
        <v/>
      </c>
      <c r="BD430" s="100" t="str">
        <f t="shared" si="63"/>
        <v/>
      </c>
      <c r="BE430" s="103" t="str">
        <f t="shared" ca="1" si="69"/>
        <v/>
      </c>
      <c r="BF430" s="102" t="str">
        <f t="shared" si="64"/>
        <v/>
      </c>
    </row>
    <row r="431" spans="48:58" hidden="1" x14ac:dyDescent="0.25">
      <c r="AV431">
        <v>406</v>
      </c>
      <c r="AW431" s="94" t="str">
        <f t="shared" ca="1" si="65"/>
        <v/>
      </c>
      <c r="AX431" s="95" t="str">
        <f t="shared" si="60"/>
        <v/>
      </c>
      <c r="AY431" s="98" t="str">
        <f t="shared" ca="1" si="66"/>
        <v/>
      </c>
      <c r="AZ431" s="96" t="str">
        <f t="shared" si="61"/>
        <v/>
      </c>
      <c r="BA431" s="99" t="str">
        <f t="shared" ca="1" si="67"/>
        <v/>
      </c>
      <c r="BB431" s="97" t="str">
        <f t="shared" si="62"/>
        <v/>
      </c>
      <c r="BC431" s="101" t="str">
        <f t="shared" ca="1" si="68"/>
        <v/>
      </c>
      <c r="BD431" s="100" t="str">
        <f t="shared" si="63"/>
        <v/>
      </c>
      <c r="BE431" s="103" t="str">
        <f t="shared" ca="1" si="69"/>
        <v/>
      </c>
      <c r="BF431" s="102" t="str">
        <f t="shared" si="64"/>
        <v/>
      </c>
    </row>
    <row r="432" spans="48:58" hidden="1" x14ac:dyDescent="0.25">
      <c r="AV432">
        <v>407</v>
      </c>
      <c r="AW432" s="94" t="str">
        <f t="shared" ca="1" si="65"/>
        <v/>
      </c>
      <c r="AX432" s="95" t="str">
        <f t="shared" si="60"/>
        <v/>
      </c>
      <c r="AY432" s="98" t="str">
        <f t="shared" ca="1" si="66"/>
        <v/>
      </c>
      <c r="AZ432" s="96" t="str">
        <f t="shared" si="61"/>
        <v/>
      </c>
      <c r="BA432" s="99" t="str">
        <f t="shared" ca="1" si="67"/>
        <v/>
      </c>
      <c r="BB432" s="97" t="str">
        <f t="shared" si="62"/>
        <v/>
      </c>
      <c r="BC432" s="101" t="str">
        <f t="shared" ca="1" si="68"/>
        <v/>
      </c>
      <c r="BD432" s="100" t="str">
        <f t="shared" si="63"/>
        <v/>
      </c>
      <c r="BE432" s="103" t="str">
        <f t="shared" ca="1" si="69"/>
        <v/>
      </c>
      <c r="BF432" s="102" t="str">
        <f t="shared" si="64"/>
        <v/>
      </c>
    </row>
    <row r="433" spans="48:58" hidden="1" x14ac:dyDescent="0.25">
      <c r="AV433">
        <v>408</v>
      </c>
      <c r="AW433" s="94" t="str">
        <f t="shared" ca="1" si="65"/>
        <v/>
      </c>
      <c r="AX433" s="95" t="str">
        <f t="shared" si="60"/>
        <v/>
      </c>
      <c r="AY433" s="98" t="str">
        <f t="shared" ca="1" si="66"/>
        <v/>
      </c>
      <c r="AZ433" s="96" t="str">
        <f t="shared" si="61"/>
        <v/>
      </c>
      <c r="BA433" s="99" t="str">
        <f t="shared" ca="1" si="67"/>
        <v/>
      </c>
      <c r="BB433" s="97" t="str">
        <f t="shared" si="62"/>
        <v/>
      </c>
      <c r="BC433" s="101" t="str">
        <f t="shared" ca="1" si="68"/>
        <v/>
      </c>
      <c r="BD433" s="100" t="str">
        <f t="shared" si="63"/>
        <v/>
      </c>
      <c r="BE433" s="103" t="str">
        <f t="shared" ca="1" si="69"/>
        <v/>
      </c>
      <c r="BF433" s="102" t="str">
        <f t="shared" si="64"/>
        <v/>
      </c>
    </row>
    <row r="434" spans="48:58" hidden="1" x14ac:dyDescent="0.25">
      <c r="AV434">
        <v>409</v>
      </c>
      <c r="AW434" s="94" t="str">
        <f t="shared" ca="1" si="65"/>
        <v/>
      </c>
      <c r="AX434" s="95" t="str">
        <f t="shared" si="60"/>
        <v/>
      </c>
      <c r="AY434" s="98" t="str">
        <f t="shared" ca="1" si="66"/>
        <v/>
      </c>
      <c r="AZ434" s="96" t="str">
        <f t="shared" si="61"/>
        <v/>
      </c>
      <c r="BA434" s="99" t="str">
        <f t="shared" ca="1" si="67"/>
        <v/>
      </c>
      <c r="BB434" s="97" t="str">
        <f t="shared" si="62"/>
        <v/>
      </c>
      <c r="BC434" s="101" t="str">
        <f t="shared" ca="1" si="68"/>
        <v/>
      </c>
      <c r="BD434" s="100" t="str">
        <f t="shared" si="63"/>
        <v/>
      </c>
      <c r="BE434" s="103" t="str">
        <f t="shared" ca="1" si="69"/>
        <v/>
      </c>
      <c r="BF434" s="102" t="str">
        <f t="shared" si="64"/>
        <v/>
      </c>
    </row>
    <row r="435" spans="48:58" hidden="1" x14ac:dyDescent="0.25">
      <c r="AV435">
        <v>410</v>
      </c>
      <c r="AW435" s="94" t="str">
        <f t="shared" ca="1" si="65"/>
        <v/>
      </c>
      <c r="AX435" s="95" t="str">
        <f t="shared" si="60"/>
        <v/>
      </c>
      <c r="AY435" s="98" t="str">
        <f t="shared" ca="1" si="66"/>
        <v/>
      </c>
      <c r="AZ435" s="96" t="str">
        <f t="shared" si="61"/>
        <v/>
      </c>
      <c r="BA435" s="99" t="str">
        <f t="shared" ca="1" si="67"/>
        <v/>
      </c>
      <c r="BB435" s="97" t="str">
        <f t="shared" si="62"/>
        <v/>
      </c>
      <c r="BC435" s="101" t="str">
        <f t="shared" ca="1" si="68"/>
        <v/>
      </c>
      <c r="BD435" s="100" t="str">
        <f t="shared" si="63"/>
        <v/>
      </c>
      <c r="BE435" s="103" t="str">
        <f t="shared" ca="1" si="69"/>
        <v/>
      </c>
      <c r="BF435" s="102" t="str">
        <f t="shared" si="64"/>
        <v/>
      </c>
    </row>
    <row r="436" spans="48:58" hidden="1" x14ac:dyDescent="0.25">
      <c r="AV436">
        <v>411</v>
      </c>
      <c r="AW436" s="94" t="str">
        <f t="shared" ca="1" si="65"/>
        <v/>
      </c>
      <c r="AX436" s="95" t="str">
        <f t="shared" si="60"/>
        <v/>
      </c>
      <c r="AY436" s="98" t="str">
        <f t="shared" ca="1" si="66"/>
        <v/>
      </c>
      <c r="AZ436" s="96" t="str">
        <f t="shared" si="61"/>
        <v/>
      </c>
      <c r="BA436" s="99" t="str">
        <f t="shared" ca="1" si="67"/>
        <v/>
      </c>
      <c r="BB436" s="97" t="str">
        <f t="shared" si="62"/>
        <v/>
      </c>
      <c r="BC436" s="101" t="str">
        <f t="shared" ca="1" si="68"/>
        <v/>
      </c>
      <c r="BD436" s="100" t="str">
        <f t="shared" si="63"/>
        <v/>
      </c>
      <c r="BE436" s="103" t="str">
        <f t="shared" ca="1" si="69"/>
        <v/>
      </c>
      <c r="BF436" s="102" t="str">
        <f t="shared" si="64"/>
        <v/>
      </c>
    </row>
    <row r="437" spans="48:58" hidden="1" x14ac:dyDescent="0.25">
      <c r="AV437">
        <v>412</v>
      </c>
      <c r="AW437" s="94" t="str">
        <f t="shared" ca="1" si="65"/>
        <v/>
      </c>
      <c r="AX437" s="95" t="str">
        <f t="shared" si="60"/>
        <v/>
      </c>
      <c r="AY437" s="98" t="str">
        <f t="shared" ca="1" si="66"/>
        <v/>
      </c>
      <c r="AZ437" s="96" t="str">
        <f t="shared" si="61"/>
        <v/>
      </c>
      <c r="BA437" s="99" t="str">
        <f t="shared" ca="1" si="67"/>
        <v/>
      </c>
      <c r="BB437" s="97" t="str">
        <f t="shared" si="62"/>
        <v/>
      </c>
      <c r="BC437" s="101" t="str">
        <f t="shared" ca="1" si="68"/>
        <v/>
      </c>
      <c r="BD437" s="100" t="str">
        <f t="shared" si="63"/>
        <v/>
      </c>
      <c r="BE437" s="103" t="str">
        <f t="shared" ca="1" si="69"/>
        <v/>
      </c>
      <c r="BF437" s="102" t="str">
        <f t="shared" si="64"/>
        <v/>
      </c>
    </row>
    <row r="438" spans="48:58" hidden="1" x14ac:dyDescent="0.25">
      <c r="AV438">
        <v>413</v>
      </c>
      <c r="AW438" s="94" t="str">
        <f t="shared" ca="1" si="65"/>
        <v/>
      </c>
      <c r="AX438" s="95" t="str">
        <f t="shared" si="60"/>
        <v/>
      </c>
      <c r="AY438" s="98" t="str">
        <f t="shared" ca="1" si="66"/>
        <v/>
      </c>
      <c r="AZ438" s="96" t="str">
        <f t="shared" si="61"/>
        <v/>
      </c>
      <c r="BA438" s="99" t="str">
        <f t="shared" ca="1" si="67"/>
        <v/>
      </c>
      <c r="BB438" s="97" t="str">
        <f t="shared" si="62"/>
        <v/>
      </c>
      <c r="BC438" s="101" t="str">
        <f t="shared" ca="1" si="68"/>
        <v/>
      </c>
      <c r="BD438" s="100" t="str">
        <f t="shared" si="63"/>
        <v/>
      </c>
      <c r="BE438" s="103" t="str">
        <f t="shared" ca="1" si="69"/>
        <v/>
      </c>
      <c r="BF438" s="102" t="str">
        <f t="shared" si="64"/>
        <v/>
      </c>
    </row>
    <row r="439" spans="48:58" hidden="1" x14ac:dyDescent="0.25">
      <c r="AV439">
        <v>414</v>
      </c>
      <c r="AW439" s="94" t="str">
        <f t="shared" ca="1" si="65"/>
        <v/>
      </c>
      <c r="AX439" s="95" t="str">
        <f t="shared" si="60"/>
        <v/>
      </c>
      <c r="AY439" s="98" t="str">
        <f t="shared" ca="1" si="66"/>
        <v/>
      </c>
      <c r="AZ439" s="96" t="str">
        <f t="shared" si="61"/>
        <v/>
      </c>
      <c r="BA439" s="99" t="str">
        <f t="shared" ca="1" si="67"/>
        <v/>
      </c>
      <c r="BB439" s="97" t="str">
        <f t="shared" si="62"/>
        <v/>
      </c>
      <c r="BC439" s="101" t="str">
        <f t="shared" ca="1" si="68"/>
        <v/>
      </c>
      <c r="BD439" s="100" t="str">
        <f t="shared" si="63"/>
        <v/>
      </c>
      <c r="BE439" s="103" t="str">
        <f t="shared" ca="1" si="69"/>
        <v/>
      </c>
      <c r="BF439" s="102" t="str">
        <f t="shared" si="64"/>
        <v/>
      </c>
    </row>
    <row r="440" spans="48:58" hidden="1" x14ac:dyDescent="0.25">
      <c r="AV440">
        <v>415</v>
      </c>
      <c r="AW440" s="94" t="str">
        <f t="shared" ca="1" si="65"/>
        <v/>
      </c>
      <c r="AX440" s="95" t="str">
        <f t="shared" si="60"/>
        <v/>
      </c>
      <c r="AY440" s="98" t="str">
        <f t="shared" ca="1" si="66"/>
        <v/>
      </c>
      <c r="AZ440" s="96" t="str">
        <f t="shared" si="61"/>
        <v/>
      </c>
      <c r="BA440" s="99" t="str">
        <f t="shared" ca="1" si="67"/>
        <v/>
      </c>
      <c r="BB440" s="97" t="str">
        <f t="shared" si="62"/>
        <v/>
      </c>
      <c r="BC440" s="101" t="str">
        <f t="shared" ca="1" si="68"/>
        <v/>
      </c>
      <c r="BD440" s="100" t="str">
        <f t="shared" si="63"/>
        <v/>
      </c>
      <c r="BE440" s="103" t="str">
        <f t="shared" ca="1" si="69"/>
        <v/>
      </c>
      <c r="BF440" s="102" t="str">
        <f t="shared" si="64"/>
        <v/>
      </c>
    </row>
    <row r="441" spans="48:58" hidden="1" x14ac:dyDescent="0.25">
      <c r="AV441">
        <v>416</v>
      </c>
      <c r="AW441" s="94" t="str">
        <f t="shared" ca="1" si="65"/>
        <v/>
      </c>
      <c r="AX441" s="95" t="str">
        <f t="shared" si="60"/>
        <v/>
      </c>
      <c r="AY441" s="98" t="str">
        <f t="shared" ca="1" si="66"/>
        <v/>
      </c>
      <c r="AZ441" s="96" t="str">
        <f t="shared" si="61"/>
        <v/>
      </c>
      <c r="BA441" s="99" t="str">
        <f t="shared" ca="1" si="67"/>
        <v/>
      </c>
      <c r="BB441" s="97" t="str">
        <f t="shared" si="62"/>
        <v/>
      </c>
      <c r="BC441" s="101" t="str">
        <f t="shared" ca="1" si="68"/>
        <v/>
      </c>
      <c r="BD441" s="100" t="str">
        <f t="shared" si="63"/>
        <v/>
      </c>
      <c r="BE441" s="103" t="str">
        <f t="shared" ca="1" si="69"/>
        <v/>
      </c>
      <c r="BF441" s="102" t="str">
        <f t="shared" si="64"/>
        <v/>
      </c>
    </row>
    <row r="442" spans="48:58" hidden="1" x14ac:dyDescent="0.25">
      <c r="AV442">
        <v>417</v>
      </c>
      <c r="AW442" s="94" t="str">
        <f t="shared" ca="1" si="65"/>
        <v/>
      </c>
      <c r="AX442" s="95" t="str">
        <f t="shared" si="60"/>
        <v/>
      </c>
      <c r="AY442" s="98" t="str">
        <f t="shared" ca="1" si="66"/>
        <v/>
      </c>
      <c r="AZ442" s="96" t="str">
        <f t="shared" si="61"/>
        <v/>
      </c>
      <c r="BA442" s="99" t="str">
        <f t="shared" ca="1" si="67"/>
        <v/>
      </c>
      <c r="BB442" s="97" t="str">
        <f t="shared" si="62"/>
        <v/>
      </c>
      <c r="BC442" s="101" t="str">
        <f t="shared" ca="1" si="68"/>
        <v/>
      </c>
      <c r="BD442" s="100" t="str">
        <f t="shared" si="63"/>
        <v/>
      </c>
      <c r="BE442" s="103" t="str">
        <f t="shared" ca="1" si="69"/>
        <v/>
      </c>
      <c r="BF442" s="102" t="str">
        <f t="shared" si="64"/>
        <v/>
      </c>
    </row>
    <row r="443" spans="48:58" hidden="1" x14ac:dyDescent="0.25">
      <c r="AV443">
        <v>418</v>
      </c>
      <c r="AW443" s="94" t="str">
        <f t="shared" ca="1" si="65"/>
        <v/>
      </c>
      <c r="AX443" s="95" t="str">
        <f t="shared" si="60"/>
        <v/>
      </c>
      <c r="AY443" s="98" t="str">
        <f t="shared" ca="1" si="66"/>
        <v/>
      </c>
      <c r="AZ443" s="96" t="str">
        <f t="shared" si="61"/>
        <v/>
      </c>
      <c r="BA443" s="99" t="str">
        <f t="shared" ca="1" si="67"/>
        <v/>
      </c>
      <c r="BB443" s="97" t="str">
        <f t="shared" si="62"/>
        <v/>
      </c>
      <c r="BC443" s="101" t="str">
        <f t="shared" ca="1" si="68"/>
        <v/>
      </c>
      <c r="BD443" s="100" t="str">
        <f t="shared" si="63"/>
        <v/>
      </c>
      <c r="BE443" s="103" t="str">
        <f t="shared" ca="1" si="69"/>
        <v/>
      </c>
      <c r="BF443" s="102" t="str">
        <f t="shared" si="64"/>
        <v/>
      </c>
    </row>
    <row r="444" spans="48:58" hidden="1" x14ac:dyDescent="0.25">
      <c r="AV444">
        <v>419</v>
      </c>
      <c r="AW444" s="94" t="str">
        <f t="shared" ca="1" si="65"/>
        <v/>
      </c>
      <c r="AX444" s="95" t="str">
        <f t="shared" si="60"/>
        <v/>
      </c>
      <c r="AY444" s="98" t="str">
        <f t="shared" ca="1" si="66"/>
        <v/>
      </c>
      <c r="AZ444" s="96" t="str">
        <f t="shared" si="61"/>
        <v/>
      </c>
      <c r="BA444" s="99" t="str">
        <f t="shared" ca="1" si="67"/>
        <v/>
      </c>
      <c r="BB444" s="97" t="str">
        <f t="shared" si="62"/>
        <v/>
      </c>
      <c r="BC444" s="101" t="str">
        <f t="shared" ca="1" si="68"/>
        <v/>
      </c>
      <c r="BD444" s="100" t="str">
        <f t="shared" si="63"/>
        <v/>
      </c>
      <c r="BE444" s="103" t="str">
        <f t="shared" ca="1" si="69"/>
        <v/>
      </c>
      <c r="BF444" s="102" t="str">
        <f t="shared" si="64"/>
        <v/>
      </c>
    </row>
    <row r="445" spans="48:58" hidden="1" x14ac:dyDescent="0.25">
      <c r="AV445">
        <v>420</v>
      </c>
      <c r="AW445" s="94" t="str">
        <f t="shared" ca="1" si="65"/>
        <v/>
      </c>
      <c r="AX445" s="95" t="str">
        <f t="shared" si="60"/>
        <v/>
      </c>
      <c r="AY445" s="98" t="str">
        <f t="shared" ca="1" si="66"/>
        <v/>
      </c>
      <c r="AZ445" s="96" t="str">
        <f t="shared" si="61"/>
        <v/>
      </c>
      <c r="BA445" s="99" t="str">
        <f t="shared" ca="1" si="67"/>
        <v/>
      </c>
      <c r="BB445" s="97" t="str">
        <f t="shared" si="62"/>
        <v/>
      </c>
      <c r="BC445" s="101" t="str">
        <f t="shared" ca="1" si="68"/>
        <v/>
      </c>
      <c r="BD445" s="100" t="str">
        <f t="shared" si="63"/>
        <v/>
      </c>
      <c r="BE445" s="103" t="str">
        <f t="shared" ca="1" si="69"/>
        <v/>
      </c>
      <c r="BF445" s="102" t="str">
        <f t="shared" si="64"/>
        <v/>
      </c>
    </row>
    <row r="446" spans="48:58" hidden="1" x14ac:dyDescent="0.25">
      <c r="AV446">
        <v>421</v>
      </c>
      <c r="AW446" s="94" t="str">
        <f t="shared" ca="1" si="65"/>
        <v/>
      </c>
      <c r="AX446" s="95" t="str">
        <f t="shared" si="60"/>
        <v/>
      </c>
      <c r="AY446" s="98" t="str">
        <f t="shared" ca="1" si="66"/>
        <v/>
      </c>
      <c r="AZ446" s="96" t="str">
        <f t="shared" si="61"/>
        <v/>
      </c>
      <c r="BA446" s="99" t="str">
        <f t="shared" ca="1" si="67"/>
        <v/>
      </c>
      <c r="BB446" s="97" t="str">
        <f t="shared" si="62"/>
        <v/>
      </c>
      <c r="BC446" s="101" t="str">
        <f t="shared" ca="1" si="68"/>
        <v/>
      </c>
      <c r="BD446" s="100" t="str">
        <f t="shared" si="63"/>
        <v/>
      </c>
      <c r="BE446" s="103" t="str">
        <f t="shared" ca="1" si="69"/>
        <v/>
      </c>
      <c r="BF446" s="102" t="str">
        <f t="shared" si="64"/>
        <v/>
      </c>
    </row>
    <row r="447" spans="48:58" hidden="1" x14ac:dyDescent="0.25">
      <c r="AV447">
        <v>422</v>
      </c>
      <c r="AW447" s="94" t="str">
        <f t="shared" ca="1" si="65"/>
        <v/>
      </c>
      <c r="AX447" s="95" t="str">
        <f t="shared" si="60"/>
        <v/>
      </c>
      <c r="AY447" s="98" t="str">
        <f t="shared" ca="1" si="66"/>
        <v/>
      </c>
      <c r="AZ447" s="96" t="str">
        <f t="shared" si="61"/>
        <v/>
      </c>
      <c r="BA447" s="99" t="str">
        <f t="shared" ca="1" si="67"/>
        <v/>
      </c>
      <c r="BB447" s="97" t="str">
        <f t="shared" si="62"/>
        <v/>
      </c>
      <c r="BC447" s="101" t="str">
        <f t="shared" ca="1" si="68"/>
        <v/>
      </c>
      <c r="BD447" s="100" t="str">
        <f t="shared" si="63"/>
        <v/>
      </c>
      <c r="BE447" s="103" t="str">
        <f t="shared" ca="1" si="69"/>
        <v/>
      </c>
      <c r="BF447" s="102" t="str">
        <f t="shared" si="64"/>
        <v/>
      </c>
    </row>
    <row r="448" spans="48:58" hidden="1" x14ac:dyDescent="0.25">
      <c r="AV448">
        <v>423</v>
      </c>
      <c r="AW448" s="94" t="str">
        <f t="shared" ca="1" si="65"/>
        <v/>
      </c>
      <c r="AX448" s="95" t="str">
        <f t="shared" si="60"/>
        <v/>
      </c>
      <c r="AY448" s="98" t="str">
        <f t="shared" ca="1" si="66"/>
        <v/>
      </c>
      <c r="AZ448" s="96" t="str">
        <f t="shared" si="61"/>
        <v/>
      </c>
      <c r="BA448" s="99" t="str">
        <f t="shared" ca="1" si="67"/>
        <v/>
      </c>
      <c r="BB448" s="97" t="str">
        <f t="shared" si="62"/>
        <v/>
      </c>
      <c r="BC448" s="101" t="str">
        <f t="shared" ca="1" si="68"/>
        <v/>
      </c>
      <c r="BD448" s="100" t="str">
        <f t="shared" si="63"/>
        <v/>
      </c>
      <c r="BE448" s="103" t="str">
        <f t="shared" ca="1" si="69"/>
        <v/>
      </c>
      <c r="BF448" s="102" t="str">
        <f t="shared" si="64"/>
        <v/>
      </c>
    </row>
    <row r="449" spans="48:58" hidden="1" x14ac:dyDescent="0.25">
      <c r="AV449">
        <v>424</v>
      </c>
      <c r="AW449" s="94" t="str">
        <f t="shared" ca="1" si="65"/>
        <v/>
      </c>
      <c r="AX449" s="95" t="str">
        <f t="shared" si="60"/>
        <v/>
      </c>
      <c r="AY449" s="98" t="str">
        <f t="shared" ca="1" si="66"/>
        <v/>
      </c>
      <c r="AZ449" s="96" t="str">
        <f t="shared" si="61"/>
        <v/>
      </c>
      <c r="BA449" s="99" t="str">
        <f t="shared" ca="1" si="67"/>
        <v/>
      </c>
      <c r="BB449" s="97" t="str">
        <f t="shared" si="62"/>
        <v/>
      </c>
      <c r="BC449" s="101" t="str">
        <f t="shared" ca="1" si="68"/>
        <v/>
      </c>
      <c r="BD449" s="100" t="str">
        <f t="shared" si="63"/>
        <v/>
      </c>
      <c r="BE449" s="103" t="str">
        <f t="shared" ca="1" si="69"/>
        <v/>
      </c>
      <c r="BF449" s="102" t="str">
        <f t="shared" si="64"/>
        <v/>
      </c>
    </row>
    <row r="450" spans="48:58" hidden="1" x14ac:dyDescent="0.25">
      <c r="AV450">
        <v>425</v>
      </c>
      <c r="AW450" s="94" t="str">
        <f t="shared" ca="1" si="65"/>
        <v/>
      </c>
      <c r="AX450" s="95" t="str">
        <f t="shared" si="60"/>
        <v/>
      </c>
      <c r="AY450" s="98" t="str">
        <f t="shared" ca="1" si="66"/>
        <v/>
      </c>
      <c r="AZ450" s="96" t="str">
        <f t="shared" si="61"/>
        <v/>
      </c>
      <c r="BA450" s="99" t="str">
        <f t="shared" ca="1" si="67"/>
        <v/>
      </c>
      <c r="BB450" s="97" t="str">
        <f t="shared" si="62"/>
        <v/>
      </c>
      <c r="BC450" s="101" t="str">
        <f t="shared" ca="1" si="68"/>
        <v/>
      </c>
      <c r="BD450" s="100" t="str">
        <f t="shared" si="63"/>
        <v/>
      </c>
      <c r="BE450" s="103" t="str">
        <f t="shared" ca="1" si="69"/>
        <v/>
      </c>
      <c r="BF450" s="102" t="str">
        <f t="shared" si="64"/>
        <v/>
      </c>
    </row>
    <row r="451" spans="48:58" hidden="1" x14ac:dyDescent="0.25">
      <c r="AV451">
        <v>426</v>
      </c>
      <c r="AW451" s="94" t="str">
        <f t="shared" ca="1" si="65"/>
        <v/>
      </c>
      <c r="AX451" s="95" t="str">
        <f t="shared" si="60"/>
        <v/>
      </c>
      <c r="AY451" s="98" t="str">
        <f t="shared" ca="1" si="66"/>
        <v/>
      </c>
      <c r="AZ451" s="96" t="str">
        <f t="shared" si="61"/>
        <v/>
      </c>
      <c r="BA451" s="99" t="str">
        <f t="shared" ca="1" si="67"/>
        <v/>
      </c>
      <c r="BB451" s="97" t="str">
        <f t="shared" si="62"/>
        <v/>
      </c>
      <c r="BC451" s="101" t="str">
        <f t="shared" ca="1" si="68"/>
        <v/>
      </c>
      <c r="BD451" s="100" t="str">
        <f t="shared" si="63"/>
        <v/>
      </c>
      <c r="BE451" s="103" t="str">
        <f t="shared" ca="1" si="69"/>
        <v/>
      </c>
      <c r="BF451" s="102" t="str">
        <f t="shared" si="64"/>
        <v/>
      </c>
    </row>
    <row r="452" spans="48:58" hidden="1" x14ac:dyDescent="0.25">
      <c r="AV452">
        <v>427</v>
      </c>
      <c r="AW452" s="94" t="str">
        <f t="shared" ca="1" si="65"/>
        <v/>
      </c>
      <c r="AX452" s="95" t="str">
        <f t="shared" si="60"/>
        <v/>
      </c>
      <c r="AY452" s="98" t="str">
        <f t="shared" ca="1" si="66"/>
        <v/>
      </c>
      <c r="AZ452" s="96" t="str">
        <f t="shared" si="61"/>
        <v/>
      </c>
      <c r="BA452" s="99" t="str">
        <f t="shared" ca="1" si="67"/>
        <v/>
      </c>
      <c r="BB452" s="97" t="str">
        <f t="shared" si="62"/>
        <v/>
      </c>
      <c r="BC452" s="101" t="str">
        <f t="shared" ca="1" si="68"/>
        <v/>
      </c>
      <c r="BD452" s="100" t="str">
        <f t="shared" si="63"/>
        <v/>
      </c>
      <c r="BE452" s="103" t="str">
        <f t="shared" ca="1" si="69"/>
        <v/>
      </c>
      <c r="BF452" s="102" t="str">
        <f t="shared" si="64"/>
        <v/>
      </c>
    </row>
    <row r="453" spans="48:58" hidden="1" x14ac:dyDescent="0.25">
      <c r="AV453">
        <v>428</v>
      </c>
      <c r="AW453" s="94" t="str">
        <f t="shared" ca="1" si="65"/>
        <v/>
      </c>
      <c r="AX453" s="95" t="str">
        <f t="shared" si="60"/>
        <v/>
      </c>
      <c r="AY453" s="98" t="str">
        <f t="shared" ca="1" si="66"/>
        <v/>
      </c>
      <c r="AZ453" s="96" t="str">
        <f t="shared" si="61"/>
        <v/>
      </c>
      <c r="BA453" s="99" t="str">
        <f t="shared" ca="1" si="67"/>
        <v/>
      </c>
      <c r="BB453" s="97" t="str">
        <f t="shared" si="62"/>
        <v/>
      </c>
      <c r="BC453" s="101" t="str">
        <f t="shared" ca="1" si="68"/>
        <v/>
      </c>
      <c r="BD453" s="100" t="str">
        <f t="shared" si="63"/>
        <v/>
      </c>
      <c r="BE453" s="103" t="str">
        <f t="shared" ca="1" si="69"/>
        <v/>
      </c>
      <c r="BF453" s="102" t="str">
        <f t="shared" si="64"/>
        <v/>
      </c>
    </row>
    <row r="454" spans="48:58" hidden="1" x14ac:dyDescent="0.25">
      <c r="AV454">
        <v>429</v>
      </c>
      <c r="AW454" s="94" t="str">
        <f t="shared" ca="1" si="65"/>
        <v/>
      </c>
      <c r="AX454" s="95" t="str">
        <f t="shared" si="60"/>
        <v/>
      </c>
      <c r="AY454" s="98" t="str">
        <f t="shared" ca="1" si="66"/>
        <v/>
      </c>
      <c r="AZ454" s="96" t="str">
        <f t="shared" si="61"/>
        <v/>
      </c>
      <c r="BA454" s="99" t="str">
        <f t="shared" ca="1" si="67"/>
        <v/>
      </c>
      <c r="BB454" s="97" t="str">
        <f t="shared" si="62"/>
        <v/>
      </c>
      <c r="BC454" s="101" t="str">
        <f t="shared" ca="1" si="68"/>
        <v/>
      </c>
      <c r="BD454" s="100" t="str">
        <f t="shared" si="63"/>
        <v/>
      </c>
      <c r="BE454" s="103" t="str">
        <f t="shared" ca="1" si="69"/>
        <v/>
      </c>
      <c r="BF454" s="102" t="str">
        <f t="shared" si="64"/>
        <v/>
      </c>
    </row>
    <row r="455" spans="48:58" hidden="1" x14ac:dyDescent="0.25">
      <c r="AV455">
        <v>430</v>
      </c>
      <c r="AW455" s="94" t="str">
        <f t="shared" ca="1" si="65"/>
        <v/>
      </c>
      <c r="AX455" s="95" t="str">
        <f t="shared" si="60"/>
        <v/>
      </c>
      <c r="AY455" s="98" t="str">
        <f t="shared" ca="1" si="66"/>
        <v/>
      </c>
      <c r="AZ455" s="96" t="str">
        <f t="shared" si="61"/>
        <v/>
      </c>
      <c r="BA455" s="99" t="str">
        <f t="shared" ca="1" si="67"/>
        <v/>
      </c>
      <c r="BB455" s="97" t="str">
        <f t="shared" si="62"/>
        <v/>
      </c>
      <c r="BC455" s="101" t="str">
        <f t="shared" ca="1" si="68"/>
        <v/>
      </c>
      <c r="BD455" s="100" t="str">
        <f t="shared" si="63"/>
        <v/>
      </c>
      <c r="BE455" s="103" t="str">
        <f t="shared" ca="1" si="69"/>
        <v/>
      </c>
      <c r="BF455" s="102" t="str">
        <f t="shared" si="64"/>
        <v/>
      </c>
    </row>
    <row r="456" spans="48:58" hidden="1" x14ac:dyDescent="0.25">
      <c r="AV456">
        <v>431</v>
      </c>
      <c r="AW456" s="94" t="str">
        <f t="shared" ca="1" si="65"/>
        <v/>
      </c>
      <c r="AX456" s="95" t="str">
        <f t="shared" si="60"/>
        <v/>
      </c>
      <c r="AY456" s="98" t="str">
        <f t="shared" ca="1" si="66"/>
        <v/>
      </c>
      <c r="AZ456" s="96" t="str">
        <f t="shared" si="61"/>
        <v/>
      </c>
      <c r="BA456" s="99" t="str">
        <f t="shared" ca="1" si="67"/>
        <v/>
      </c>
      <c r="BB456" s="97" t="str">
        <f t="shared" si="62"/>
        <v/>
      </c>
      <c r="BC456" s="101" t="str">
        <f t="shared" ca="1" si="68"/>
        <v/>
      </c>
      <c r="BD456" s="100" t="str">
        <f t="shared" si="63"/>
        <v/>
      </c>
      <c r="BE456" s="103" t="str">
        <f t="shared" ca="1" si="69"/>
        <v/>
      </c>
      <c r="BF456" s="102" t="str">
        <f t="shared" si="64"/>
        <v/>
      </c>
    </row>
    <row r="457" spans="48:58" hidden="1" x14ac:dyDescent="0.25">
      <c r="AV457">
        <v>432</v>
      </c>
      <c r="AW457" s="94" t="str">
        <f t="shared" ca="1" si="65"/>
        <v/>
      </c>
      <c r="AX457" s="95" t="str">
        <f t="shared" si="60"/>
        <v/>
      </c>
      <c r="AY457" s="98" t="str">
        <f t="shared" ca="1" si="66"/>
        <v/>
      </c>
      <c r="AZ457" s="96" t="str">
        <f t="shared" si="61"/>
        <v/>
      </c>
      <c r="BA457" s="99" t="str">
        <f t="shared" ca="1" si="67"/>
        <v/>
      </c>
      <c r="BB457" s="97" t="str">
        <f t="shared" si="62"/>
        <v/>
      </c>
      <c r="BC457" s="101" t="str">
        <f t="shared" ca="1" si="68"/>
        <v/>
      </c>
      <c r="BD457" s="100" t="str">
        <f t="shared" si="63"/>
        <v/>
      </c>
      <c r="BE457" s="103" t="str">
        <f t="shared" ca="1" si="69"/>
        <v/>
      </c>
      <c r="BF457" s="102" t="str">
        <f t="shared" si="64"/>
        <v/>
      </c>
    </row>
    <row r="458" spans="48:58" hidden="1" x14ac:dyDescent="0.25">
      <c r="AV458">
        <v>433</v>
      </c>
      <c r="AW458" s="94" t="str">
        <f t="shared" ca="1" si="65"/>
        <v/>
      </c>
      <c r="AX458" s="95" t="str">
        <f t="shared" si="60"/>
        <v/>
      </c>
      <c r="AY458" s="98" t="str">
        <f t="shared" ca="1" si="66"/>
        <v/>
      </c>
      <c r="AZ458" s="96" t="str">
        <f t="shared" si="61"/>
        <v/>
      </c>
      <c r="BA458" s="99" t="str">
        <f t="shared" ca="1" si="67"/>
        <v/>
      </c>
      <c r="BB458" s="97" t="str">
        <f t="shared" si="62"/>
        <v/>
      </c>
      <c r="BC458" s="101" t="str">
        <f t="shared" ca="1" si="68"/>
        <v/>
      </c>
      <c r="BD458" s="100" t="str">
        <f t="shared" si="63"/>
        <v/>
      </c>
      <c r="BE458" s="103" t="str">
        <f t="shared" ca="1" si="69"/>
        <v/>
      </c>
      <c r="BF458" s="102" t="str">
        <f t="shared" si="64"/>
        <v/>
      </c>
    </row>
    <row r="459" spans="48:58" hidden="1" x14ac:dyDescent="0.25">
      <c r="AV459">
        <v>434</v>
      </c>
      <c r="AW459" s="94" t="str">
        <f t="shared" ca="1" si="65"/>
        <v/>
      </c>
      <c r="AX459" s="95" t="str">
        <f t="shared" si="60"/>
        <v/>
      </c>
      <c r="AY459" s="98" t="str">
        <f t="shared" ca="1" si="66"/>
        <v/>
      </c>
      <c r="AZ459" s="96" t="str">
        <f t="shared" si="61"/>
        <v/>
      </c>
      <c r="BA459" s="99" t="str">
        <f t="shared" ca="1" si="67"/>
        <v/>
      </c>
      <c r="BB459" s="97" t="str">
        <f t="shared" si="62"/>
        <v/>
      </c>
      <c r="BC459" s="101" t="str">
        <f t="shared" ca="1" si="68"/>
        <v/>
      </c>
      <c r="BD459" s="100" t="str">
        <f t="shared" si="63"/>
        <v/>
      </c>
      <c r="BE459" s="103" t="str">
        <f t="shared" ca="1" si="69"/>
        <v/>
      </c>
      <c r="BF459" s="102" t="str">
        <f t="shared" si="64"/>
        <v/>
      </c>
    </row>
    <row r="460" spans="48:58" hidden="1" x14ac:dyDescent="0.25">
      <c r="AV460">
        <v>435</v>
      </c>
      <c r="AW460" s="94" t="str">
        <f t="shared" ca="1" si="65"/>
        <v/>
      </c>
      <c r="AX460" s="95" t="str">
        <f t="shared" si="60"/>
        <v/>
      </c>
      <c r="AY460" s="98" t="str">
        <f t="shared" ca="1" si="66"/>
        <v/>
      </c>
      <c r="AZ460" s="96" t="str">
        <f t="shared" si="61"/>
        <v/>
      </c>
      <c r="BA460" s="99" t="str">
        <f t="shared" ca="1" si="67"/>
        <v/>
      </c>
      <c r="BB460" s="97" t="str">
        <f t="shared" si="62"/>
        <v/>
      </c>
      <c r="BC460" s="101" t="str">
        <f t="shared" ca="1" si="68"/>
        <v/>
      </c>
      <c r="BD460" s="100" t="str">
        <f t="shared" si="63"/>
        <v/>
      </c>
      <c r="BE460" s="103" t="str">
        <f t="shared" ca="1" si="69"/>
        <v/>
      </c>
      <c r="BF460" s="102" t="str">
        <f t="shared" si="64"/>
        <v/>
      </c>
    </row>
    <row r="461" spans="48:58" hidden="1" x14ac:dyDescent="0.25">
      <c r="AV461">
        <v>436</v>
      </c>
      <c r="AW461" s="94" t="str">
        <f t="shared" ca="1" si="65"/>
        <v/>
      </c>
      <c r="AX461" s="95" t="str">
        <f t="shared" si="60"/>
        <v/>
      </c>
      <c r="AY461" s="98" t="str">
        <f t="shared" ca="1" si="66"/>
        <v/>
      </c>
      <c r="AZ461" s="96" t="str">
        <f t="shared" si="61"/>
        <v/>
      </c>
      <c r="BA461" s="99" t="str">
        <f t="shared" ca="1" si="67"/>
        <v/>
      </c>
      <c r="BB461" s="97" t="str">
        <f t="shared" si="62"/>
        <v/>
      </c>
      <c r="BC461" s="101" t="str">
        <f t="shared" ca="1" si="68"/>
        <v/>
      </c>
      <c r="BD461" s="100" t="str">
        <f t="shared" si="63"/>
        <v/>
      </c>
      <c r="BE461" s="103" t="str">
        <f t="shared" ca="1" si="69"/>
        <v/>
      </c>
      <c r="BF461" s="102" t="str">
        <f t="shared" si="64"/>
        <v/>
      </c>
    </row>
    <row r="462" spans="48:58" hidden="1" x14ac:dyDescent="0.25">
      <c r="AV462">
        <v>437</v>
      </c>
      <c r="AW462" s="94" t="str">
        <f t="shared" ca="1" si="65"/>
        <v/>
      </c>
      <c r="AX462" s="95" t="str">
        <f t="shared" si="60"/>
        <v/>
      </c>
      <c r="AY462" s="98" t="str">
        <f t="shared" ca="1" si="66"/>
        <v/>
      </c>
      <c r="AZ462" s="96" t="str">
        <f t="shared" si="61"/>
        <v/>
      </c>
      <c r="BA462" s="99" t="str">
        <f t="shared" ca="1" si="67"/>
        <v/>
      </c>
      <c r="BB462" s="97" t="str">
        <f t="shared" si="62"/>
        <v/>
      </c>
      <c r="BC462" s="101" t="str">
        <f t="shared" ca="1" si="68"/>
        <v/>
      </c>
      <c r="BD462" s="100" t="str">
        <f t="shared" si="63"/>
        <v/>
      </c>
      <c r="BE462" s="103" t="str">
        <f t="shared" ca="1" si="69"/>
        <v/>
      </c>
      <c r="BF462" s="102" t="str">
        <f t="shared" si="64"/>
        <v/>
      </c>
    </row>
    <row r="463" spans="48:58" hidden="1" x14ac:dyDescent="0.25">
      <c r="AV463">
        <v>438</v>
      </c>
      <c r="AW463" s="94" t="str">
        <f t="shared" ca="1" si="65"/>
        <v/>
      </c>
      <c r="AX463" s="95" t="str">
        <f t="shared" si="60"/>
        <v/>
      </c>
      <c r="AY463" s="98" t="str">
        <f t="shared" ca="1" si="66"/>
        <v/>
      </c>
      <c r="AZ463" s="96" t="str">
        <f t="shared" si="61"/>
        <v/>
      </c>
      <c r="BA463" s="99" t="str">
        <f t="shared" ca="1" si="67"/>
        <v/>
      </c>
      <c r="BB463" s="97" t="str">
        <f t="shared" si="62"/>
        <v/>
      </c>
      <c r="BC463" s="101" t="str">
        <f t="shared" ca="1" si="68"/>
        <v/>
      </c>
      <c r="BD463" s="100" t="str">
        <f t="shared" si="63"/>
        <v/>
      </c>
      <c r="BE463" s="103" t="str">
        <f t="shared" ca="1" si="69"/>
        <v/>
      </c>
      <c r="BF463" s="102" t="str">
        <f t="shared" si="64"/>
        <v/>
      </c>
    </row>
    <row r="464" spans="48:58" hidden="1" x14ac:dyDescent="0.25">
      <c r="AV464">
        <v>439</v>
      </c>
      <c r="AW464" s="94" t="str">
        <f t="shared" ca="1" si="65"/>
        <v/>
      </c>
      <c r="AX464" s="95" t="str">
        <f t="shared" si="60"/>
        <v/>
      </c>
      <c r="AY464" s="98" t="str">
        <f t="shared" ca="1" si="66"/>
        <v/>
      </c>
      <c r="AZ464" s="96" t="str">
        <f t="shared" si="61"/>
        <v/>
      </c>
      <c r="BA464" s="99" t="str">
        <f t="shared" ca="1" si="67"/>
        <v/>
      </c>
      <c r="BB464" s="97" t="str">
        <f t="shared" si="62"/>
        <v/>
      </c>
      <c r="BC464" s="101" t="str">
        <f t="shared" ca="1" si="68"/>
        <v/>
      </c>
      <c r="BD464" s="100" t="str">
        <f t="shared" si="63"/>
        <v/>
      </c>
      <c r="BE464" s="103" t="str">
        <f t="shared" ca="1" si="69"/>
        <v/>
      </c>
      <c r="BF464" s="102" t="str">
        <f t="shared" si="64"/>
        <v/>
      </c>
    </row>
    <row r="465" spans="48:58" hidden="1" x14ac:dyDescent="0.25">
      <c r="AV465">
        <v>440</v>
      </c>
      <c r="AW465" s="94" t="str">
        <f t="shared" ca="1" si="65"/>
        <v/>
      </c>
      <c r="AX465" s="95" t="str">
        <f t="shared" si="60"/>
        <v/>
      </c>
      <c r="AY465" s="98" t="str">
        <f t="shared" ca="1" si="66"/>
        <v/>
      </c>
      <c r="AZ465" s="96" t="str">
        <f t="shared" si="61"/>
        <v/>
      </c>
      <c r="BA465" s="99" t="str">
        <f t="shared" ca="1" si="67"/>
        <v/>
      </c>
      <c r="BB465" s="97" t="str">
        <f t="shared" si="62"/>
        <v/>
      </c>
      <c r="BC465" s="101" t="str">
        <f t="shared" ca="1" si="68"/>
        <v/>
      </c>
      <c r="BD465" s="100" t="str">
        <f t="shared" si="63"/>
        <v/>
      </c>
      <c r="BE465" s="103" t="str">
        <f t="shared" ca="1" si="69"/>
        <v/>
      </c>
      <c r="BF465" s="102" t="str">
        <f t="shared" si="64"/>
        <v/>
      </c>
    </row>
    <row r="466" spans="48:58" hidden="1" x14ac:dyDescent="0.25">
      <c r="AV466">
        <v>441</v>
      </c>
      <c r="AW466" s="94" t="str">
        <f t="shared" ca="1" si="65"/>
        <v/>
      </c>
      <c r="AX466" s="95" t="str">
        <f t="shared" si="60"/>
        <v/>
      </c>
      <c r="AY466" s="98" t="str">
        <f t="shared" ca="1" si="66"/>
        <v/>
      </c>
      <c r="AZ466" s="96" t="str">
        <f t="shared" si="61"/>
        <v/>
      </c>
      <c r="BA466" s="99" t="str">
        <f t="shared" ca="1" si="67"/>
        <v/>
      </c>
      <c r="BB466" s="97" t="str">
        <f t="shared" si="62"/>
        <v/>
      </c>
      <c r="BC466" s="101" t="str">
        <f t="shared" ca="1" si="68"/>
        <v/>
      </c>
      <c r="BD466" s="100" t="str">
        <f t="shared" si="63"/>
        <v/>
      </c>
      <c r="BE466" s="103" t="str">
        <f t="shared" ca="1" si="69"/>
        <v/>
      </c>
      <c r="BF466" s="102" t="str">
        <f t="shared" si="64"/>
        <v/>
      </c>
    </row>
    <row r="467" spans="48:58" hidden="1" x14ac:dyDescent="0.25">
      <c r="AV467">
        <v>442</v>
      </c>
      <c r="AW467" s="94" t="str">
        <f t="shared" ca="1" si="65"/>
        <v/>
      </c>
      <c r="AX467" s="95" t="str">
        <f t="shared" si="60"/>
        <v/>
      </c>
      <c r="AY467" s="98" t="str">
        <f t="shared" ca="1" si="66"/>
        <v/>
      </c>
      <c r="AZ467" s="96" t="str">
        <f t="shared" si="61"/>
        <v/>
      </c>
      <c r="BA467" s="99" t="str">
        <f t="shared" ca="1" si="67"/>
        <v/>
      </c>
      <c r="BB467" s="97" t="str">
        <f t="shared" si="62"/>
        <v/>
      </c>
      <c r="BC467" s="101" t="str">
        <f t="shared" ca="1" si="68"/>
        <v/>
      </c>
      <c r="BD467" s="100" t="str">
        <f t="shared" si="63"/>
        <v/>
      </c>
      <c r="BE467" s="103" t="str">
        <f t="shared" ca="1" si="69"/>
        <v/>
      </c>
      <c r="BF467" s="102" t="str">
        <f t="shared" si="64"/>
        <v/>
      </c>
    </row>
    <row r="468" spans="48:58" hidden="1" x14ac:dyDescent="0.25">
      <c r="AV468">
        <v>443</v>
      </c>
      <c r="AW468" s="94" t="str">
        <f t="shared" ca="1" si="65"/>
        <v/>
      </c>
      <c r="AX468" s="95" t="str">
        <f t="shared" si="60"/>
        <v/>
      </c>
      <c r="AY468" s="98" t="str">
        <f t="shared" ca="1" si="66"/>
        <v/>
      </c>
      <c r="AZ468" s="96" t="str">
        <f t="shared" si="61"/>
        <v/>
      </c>
      <c r="BA468" s="99" t="str">
        <f t="shared" ca="1" si="67"/>
        <v/>
      </c>
      <c r="BB468" s="97" t="str">
        <f t="shared" si="62"/>
        <v/>
      </c>
      <c r="BC468" s="101" t="str">
        <f t="shared" ca="1" si="68"/>
        <v/>
      </c>
      <c r="BD468" s="100" t="str">
        <f t="shared" si="63"/>
        <v/>
      </c>
      <c r="BE468" s="103" t="str">
        <f t="shared" ca="1" si="69"/>
        <v/>
      </c>
      <c r="BF468" s="102" t="str">
        <f t="shared" si="64"/>
        <v/>
      </c>
    </row>
    <row r="469" spans="48:58" hidden="1" x14ac:dyDescent="0.25">
      <c r="AV469">
        <v>444</v>
      </c>
      <c r="AW469" s="94" t="str">
        <f t="shared" ca="1" si="65"/>
        <v/>
      </c>
      <c r="AX469" s="95" t="str">
        <f t="shared" si="60"/>
        <v/>
      </c>
      <c r="AY469" s="98" t="str">
        <f t="shared" ca="1" si="66"/>
        <v/>
      </c>
      <c r="AZ469" s="96" t="str">
        <f t="shared" si="61"/>
        <v/>
      </c>
      <c r="BA469" s="99" t="str">
        <f t="shared" ca="1" si="67"/>
        <v/>
      </c>
      <c r="BB469" s="97" t="str">
        <f t="shared" si="62"/>
        <v/>
      </c>
      <c r="BC469" s="101" t="str">
        <f t="shared" ca="1" si="68"/>
        <v/>
      </c>
      <c r="BD469" s="100" t="str">
        <f t="shared" si="63"/>
        <v/>
      </c>
      <c r="BE469" s="103" t="str">
        <f t="shared" ca="1" si="69"/>
        <v/>
      </c>
      <c r="BF469" s="102" t="str">
        <f t="shared" si="64"/>
        <v/>
      </c>
    </row>
    <row r="470" spans="48:58" hidden="1" x14ac:dyDescent="0.25">
      <c r="AV470">
        <v>445</v>
      </c>
      <c r="AW470" s="94" t="str">
        <f t="shared" ca="1" si="65"/>
        <v/>
      </c>
      <c r="AX470" s="95" t="str">
        <f t="shared" si="60"/>
        <v/>
      </c>
      <c r="AY470" s="98" t="str">
        <f t="shared" ca="1" si="66"/>
        <v/>
      </c>
      <c r="AZ470" s="96" t="str">
        <f t="shared" si="61"/>
        <v/>
      </c>
      <c r="BA470" s="99" t="str">
        <f t="shared" ca="1" si="67"/>
        <v/>
      </c>
      <c r="BB470" s="97" t="str">
        <f t="shared" si="62"/>
        <v/>
      </c>
      <c r="BC470" s="101" t="str">
        <f t="shared" ca="1" si="68"/>
        <v/>
      </c>
      <c r="BD470" s="100" t="str">
        <f t="shared" si="63"/>
        <v/>
      </c>
      <c r="BE470" s="103" t="str">
        <f t="shared" ca="1" si="69"/>
        <v/>
      </c>
      <c r="BF470" s="102" t="str">
        <f t="shared" si="64"/>
        <v/>
      </c>
    </row>
    <row r="471" spans="48:58" hidden="1" x14ac:dyDescent="0.25">
      <c r="AV471">
        <v>446</v>
      </c>
      <c r="AW471" s="94" t="str">
        <f t="shared" ca="1" si="65"/>
        <v/>
      </c>
      <c r="AX471" s="95" t="str">
        <f t="shared" si="60"/>
        <v/>
      </c>
      <c r="AY471" s="98" t="str">
        <f t="shared" ca="1" si="66"/>
        <v/>
      </c>
      <c r="AZ471" s="96" t="str">
        <f t="shared" si="61"/>
        <v/>
      </c>
      <c r="BA471" s="99" t="str">
        <f t="shared" ca="1" si="67"/>
        <v/>
      </c>
      <c r="BB471" s="97" t="str">
        <f t="shared" si="62"/>
        <v/>
      </c>
      <c r="BC471" s="101" t="str">
        <f t="shared" ca="1" si="68"/>
        <v/>
      </c>
      <c r="BD471" s="100" t="str">
        <f t="shared" si="63"/>
        <v/>
      </c>
      <c r="BE471" s="103" t="str">
        <f t="shared" ca="1" si="69"/>
        <v/>
      </c>
      <c r="BF471" s="102" t="str">
        <f t="shared" si="64"/>
        <v/>
      </c>
    </row>
    <row r="472" spans="48:58" hidden="1" x14ac:dyDescent="0.25">
      <c r="AV472">
        <v>447</v>
      </c>
      <c r="AW472" s="94" t="str">
        <f t="shared" ca="1" si="65"/>
        <v/>
      </c>
      <c r="AX472" s="95" t="str">
        <f t="shared" si="60"/>
        <v/>
      </c>
      <c r="AY472" s="98" t="str">
        <f t="shared" ca="1" si="66"/>
        <v/>
      </c>
      <c r="AZ472" s="96" t="str">
        <f t="shared" si="61"/>
        <v/>
      </c>
      <c r="BA472" s="99" t="str">
        <f t="shared" ca="1" si="67"/>
        <v/>
      </c>
      <c r="BB472" s="97" t="str">
        <f t="shared" si="62"/>
        <v/>
      </c>
      <c r="BC472" s="101" t="str">
        <f t="shared" ca="1" si="68"/>
        <v/>
      </c>
      <c r="BD472" s="100" t="str">
        <f t="shared" si="63"/>
        <v/>
      </c>
      <c r="BE472" s="103" t="str">
        <f t="shared" ca="1" si="69"/>
        <v/>
      </c>
      <c r="BF472" s="102" t="str">
        <f t="shared" si="64"/>
        <v/>
      </c>
    </row>
    <row r="473" spans="48:58" hidden="1" x14ac:dyDescent="0.25">
      <c r="AV473">
        <v>448</v>
      </c>
      <c r="AW473" s="94" t="str">
        <f t="shared" ca="1" si="65"/>
        <v/>
      </c>
      <c r="AX473" s="95" t="str">
        <f t="shared" si="60"/>
        <v/>
      </c>
      <c r="AY473" s="98" t="str">
        <f t="shared" ca="1" si="66"/>
        <v/>
      </c>
      <c r="AZ473" s="96" t="str">
        <f t="shared" si="61"/>
        <v/>
      </c>
      <c r="BA473" s="99" t="str">
        <f t="shared" ca="1" si="67"/>
        <v/>
      </c>
      <c r="BB473" s="97" t="str">
        <f t="shared" si="62"/>
        <v/>
      </c>
      <c r="BC473" s="101" t="str">
        <f t="shared" ca="1" si="68"/>
        <v/>
      </c>
      <c r="BD473" s="100" t="str">
        <f t="shared" si="63"/>
        <v/>
      </c>
      <c r="BE473" s="103" t="str">
        <f t="shared" ca="1" si="69"/>
        <v/>
      </c>
      <c r="BF473" s="102" t="str">
        <f t="shared" si="64"/>
        <v/>
      </c>
    </row>
    <row r="474" spans="48:58" hidden="1" x14ac:dyDescent="0.25">
      <c r="AV474">
        <v>449</v>
      </c>
      <c r="AW474" s="94" t="str">
        <f t="shared" ca="1" si="65"/>
        <v/>
      </c>
      <c r="AX474" s="95" t="str">
        <f t="shared" ref="AX474:AX537" si="70">IF($D$15*12&gt;=AV474,-1*$H$15,IF($D$15*12+1&gt;=AV474,InfGoal1,""))</f>
        <v/>
      </c>
      <c r="AY474" s="98" t="str">
        <f t="shared" ca="1" si="66"/>
        <v/>
      </c>
      <c r="AZ474" s="96" t="str">
        <f t="shared" ref="AZ474:AZ537" si="71">IF($D$17*12&gt;=AV474,-1*$H$17,IF($D$17*12+1&gt;=AV474,InfGoal2,""))</f>
        <v/>
      </c>
      <c r="BA474" s="99" t="str">
        <f t="shared" ca="1" si="67"/>
        <v/>
      </c>
      <c r="BB474" s="97" t="str">
        <f t="shared" ref="BB474:BB537" si="72">IF($D$19*12&gt;=AV474,-1*$H$19,IF($D$19*12+1&gt;=AV474,InfGoal3,""))</f>
        <v/>
      </c>
      <c r="BC474" s="101" t="str">
        <f t="shared" ca="1" si="68"/>
        <v/>
      </c>
      <c r="BD474" s="100" t="str">
        <f t="shared" ref="BD474:BD537" si="73">IF($D$21*12&gt;=AV474,-1*$H$21,IF($D$21*12+1&gt;=AV474,InfGoal4,""))</f>
        <v/>
      </c>
      <c r="BE474" s="103" t="str">
        <f t="shared" ca="1" si="69"/>
        <v/>
      </c>
      <c r="BF474" s="102" t="str">
        <f t="shared" ref="BF474:BF537" si="74">IF($D$23*12&gt;=AV474,-1*$H$23,IF($D$23*12+1&gt;=AV474,InfGoal5,""))</f>
        <v/>
      </c>
    </row>
    <row r="475" spans="48:58" hidden="1" x14ac:dyDescent="0.25">
      <c r="AV475">
        <v>450</v>
      </c>
      <c r="AW475" s="94" t="str">
        <f t="shared" ref="AW475:AW538" ca="1" si="75">IF($D$15*12&gt;=AV475,DATE(YEAR(TODAY()),MONTH(TODAY())+AV475-1,DAY(TODAY())),IF($D$15*12+1&gt;=AV475,DATE(YEAR(TODAY()),MONTH(TODAY())+$D$15*12,DAY(TODAY())),""))</f>
        <v/>
      </c>
      <c r="AX475" s="95" t="str">
        <f t="shared" si="70"/>
        <v/>
      </c>
      <c r="AY475" s="98" t="str">
        <f t="shared" ref="AY475:AY538" ca="1" si="76">IF($D$17*12&gt;=AV475,DATE(YEAR(TODAY()),MONTH(TODAY())+AV475-1,DAY(TODAY())),IF($D$17*12+1&gt;=AV475,DATE(YEAR(TODAY()),MONTH(TODAY())+$D$17*12,DAY(TODAY())),""))</f>
        <v/>
      </c>
      <c r="AZ475" s="96" t="str">
        <f t="shared" si="71"/>
        <v/>
      </c>
      <c r="BA475" s="99" t="str">
        <f t="shared" ref="BA475:BA538" ca="1" si="77">IF($D$19*12&gt;=AV475,DATE(YEAR(TODAY()),MONTH(TODAY())+AV475-1,DAY(TODAY())),IF($D$19*12+1&gt;=AV475,DATE(YEAR(TODAY()),MONTH(TODAY())+$D$19*12,DAY(TODAY())),""))</f>
        <v/>
      </c>
      <c r="BB475" s="97" t="str">
        <f t="shared" si="72"/>
        <v/>
      </c>
      <c r="BC475" s="101" t="str">
        <f t="shared" ref="BC475:BC538" ca="1" si="78">IF($D$21*12&gt;=AV475,DATE(YEAR(TODAY()),MONTH(TODAY())+AV475-1,DAY(TODAY())),IF($D$21*12+1&gt;=AV475,DATE(YEAR(TODAY()),MONTH(TODAY())+$D$21*12,DAY(TODAY())),""))</f>
        <v/>
      </c>
      <c r="BD475" s="100" t="str">
        <f t="shared" si="73"/>
        <v/>
      </c>
      <c r="BE475" s="103" t="str">
        <f t="shared" ref="BE475:BE538" ca="1" si="79">IF($D$23*12&gt;=AV475,DATE(YEAR(TODAY()),MONTH(TODAY())+AV475-1,DAY(TODAY())),IF($D$23*12+1&gt;=AV475,DATE(YEAR(TODAY()),MONTH(TODAY())+$D$23*12,DAY(TODAY())),""))</f>
        <v/>
      </c>
      <c r="BF475" s="102" t="str">
        <f t="shared" si="74"/>
        <v/>
      </c>
    </row>
    <row r="476" spans="48:58" hidden="1" x14ac:dyDescent="0.25">
      <c r="AV476">
        <v>451</v>
      </c>
      <c r="AW476" s="94" t="str">
        <f t="shared" ca="1" si="75"/>
        <v/>
      </c>
      <c r="AX476" s="95" t="str">
        <f t="shared" si="70"/>
        <v/>
      </c>
      <c r="AY476" s="98" t="str">
        <f t="shared" ca="1" si="76"/>
        <v/>
      </c>
      <c r="AZ476" s="96" t="str">
        <f t="shared" si="71"/>
        <v/>
      </c>
      <c r="BA476" s="99" t="str">
        <f t="shared" ca="1" si="77"/>
        <v/>
      </c>
      <c r="BB476" s="97" t="str">
        <f t="shared" si="72"/>
        <v/>
      </c>
      <c r="BC476" s="101" t="str">
        <f t="shared" ca="1" si="78"/>
        <v/>
      </c>
      <c r="BD476" s="100" t="str">
        <f t="shared" si="73"/>
        <v/>
      </c>
      <c r="BE476" s="103" t="str">
        <f t="shared" ca="1" si="79"/>
        <v/>
      </c>
      <c r="BF476" s="102" t="str">
        <f t="shared" si="74"/>
        <v/>
      </c>
    </row>
    <row r="477" spans="48:58" hidden="1" x14ac:dyDescent="0.25">
      <c r="AV477">
        <v>452</v>
      </c>
      <c r="AW477" s="94" t="str">
        <f t="shared" ca="1" si="75"/>
        <v/>
      </c>
      <c r="AX477" s="95" t="str">
        <f t="shared" si="70"/>
        <v/>
      </c>
      <c r="AY477" s="98" t="str">
        <f t="shared" ca="1" si="76"/>
        <v/>
      </c>
      <c r="AZ477" s="96" t="str">
        <f t="shared" si="71"/>
        <v/>
      </c>
      <c r="BA477" s="99" t="str">
        <f t="shared" ca="1" si="77"/>
        <v/>
      </c>
      <c r="BB477" s="97" t="str">
        <f t="shared" si="72"/>
        <v/>
      </c>
      <c r="BC477" s="101" t="str">
        <f t="shared" ca="1" si="78"/>
        <v/>
      </c>
      <c r="BD477" s="100" t="str">
        <f t="shared" si="73"/>
        <v/>
      </c>
      <c r="BE477" s="103" t="str">
        <f t="shared" ca="1" si="79"/>
        <v/>
      </c>
      <c r="BF477" s="102" t="str">
        <f t="shared" si="74"/>
        <v/>
      </c>
    </row>
    <row r="478" spans="48:58" hidden="1" x14ac:dyDescent="0.25">
      <c r="AV478">
        <v>453</v>
      </c>
      <c r="AW478" s="94" t="str">
        <f t="shared" ca="1" si="75"/>
        <v/>
      </c>
      <c r="AX478" s="95" t="str">
        <f t="shared" si="70"/>
        <v/>
      </c>
      <c r="AY478" s="98" t="str">
        <f t="shared" ca="1" si="76"/>
        <v/>
      </c>
      <c r="AZ478" s="96" t="str">
        <f t="shared" si="71"/>
        <v/>
      </c>
      <c r="BA478" s="99" t="str">
        <f t="shared" ca="1" si="77"/>
        <v/>
      </c>
      <c r="BB478" s="97" t="str">
        <f t="shared" si="72"/>
        <v/>
      </c>
      <c r="BC478" s="101" t="str">
        <f t="shared" ca="1" si="78"/>
        <v/>
      </c>
      <c r="BD478" s="100" t="str">
        <f t="shared" si="73"/>
        <v/>
      </c>
      <c r="BE478" s="103" t="str">
        <f t="shared" ca="1" si="79"/>
        <v/>
      </c>
      <c r="BF478" s="102" t="str">
        <f t="shared" si="74"/>
        <v/>
      </c>
    </row>
    <row r="479" spans="48:58" hidden="1" x14ac:dyDescent="0.25">
      <c r="AV479">
        <v>454</v>
      </c>
      <c r="AW479" s="94" t="str">
        <f t="shared" ca="1" si="75"/>
        <v/>
      </c>
      <c r="AX479" s="95" t="str">
        <f t="shared" si="70"/>
        <v/>
      </c>
      <c r="AY479" s="98" t="str">
        <f t="shared" ca="1" si="76"/>
        <v/>
      </c>
      <c r="AZ479" s="96" t="str">
        <f t="shared" si="71"/>
        <v/>
      </c>
      <c r="BA479" s="99" t="str">
        <f t="shared" ca="1" si="77"/>
        <v/>
      </c>
      <c r="BB479" s="97" t="str">
        <f t="shared" si="72"/>
        <v/>
      </c>
      <c r="BC479" s="101" t="str">
        <f t="shared" ca="1" si="78"/>
        <v/>
      </c>
      <c r="BD479" s="100" t="str">
        <f t="shared" si="73"/>
        <v/>
      </c>
      <c r="BE479" s="103" t="str">
        <f t="shared" ca="1" si="79"/>
        <v/>
      </c>
      <c r="BF479" s="102" t="str">
        <f t="shared" si="74"/>
        <v/>
      </c>
    </row>
    <row r="480" spans="48:58" hidden="1" x14ac:dyDescent="0.25">
      <c r="AV480">
        <v>455</v>
      </c>
      <c r="AW480" s="94" t="str">
        <f t="shared" ca="1" si="75"/>
        <v/>
      </c>
      <c r="AX480" s="95" t="str">
        <f t="shared" si="70"/>
        <v/>
      </c>
      <c r="AY480" s="98" t="str">
        <f t="shared" ca="1" si="76"/>
        <v/>
      </c>
      <c r="AZ480" s="96" t="str">
        <f t="shared" si="71"/>
        <v/>
      </c>
      <c r="BA480" s="99" t="str">
        <f t="shared" ca="1" si="77"/>
        <v/>
      </c>
      <c r="BB480" s="97" t="str">
        <f t="shared" si="72"/>
        <v/>
      </c>
      <c r="BC480" s="101" t="str">
        <f t="shared" ca="1" si="78"/>
        <v/>
      </c>
      <c r="BD480" s="100" t="str">
        <f t="shared" si="73"/>
        <v/>
      </c>
      <c r="BE480" s="103" t="str">
        <f t="shared" ca="1" si="79"/>
        <v/>
      </c>
      <c r="BF480" s="102" t="str">
        <f t="shared" si="74"/>
        <v/>
      </c>
    </row>
    <row r="481" spans="48:58" hidden="1" x14ac:dyDescent="0.25">
      <c r="AV481">
        <v>456</v>
      </c>
      <c r="AW481" s="94" t="str">
        <f t="shared" ca="1" si="75"/>
        <v/>
      </c>
      <c r="AX481" s="95" t="str">
        <f t="shared" si="70"/>
        <v/>
      </c>
      <c r="AY481" s="98" t="str">
        <f t="shared" ca="1" si="76"/>
        <v/>
      </c>
      <c r="AZ481" s="96" t="str">
        <f t="shared" si="71"/>
        <v/>
      </c>
      <c r="BA481" s="99" t="str">
        <f t="shared" ca="1" si="77"/>
        <v/>
      </c>
      <c r="BB481" s="97" t="str">
        <f t="shared" si="72"/>
        <v/>
      </c>
      <c r="BC481" s="101" t="str">
        <f t="shared" ca="1" si="78"/>
        <v/>
      </c>
      <c r="BD481" s="100" t="str">
        <f t="shared" si="73"/>
        <v/>
      </c>
      <c r="BE481" s="103" t="str">
        <f t="shared" ca="1" si="79"/>
        <v/>
      </c>
      <c r="BF481" s="102" t="str">
        <f t="shared" si="74"/>
        <v/>
      </c>
    </row>
    <row r="482" spans="48:58" hidden="1" x14ac:dyDescent="0.25">
      <c r="AV482">
        <v>457</v>
      </c>
      <c r="AW482" s="94" t="str">
        <f t="shared" ca="1" si="75"/>
        <v/>
      </c>
      <c r="AX482" s="95" t="str">
        <f t="shared" si="70"/>
        <v/>
      </c>
      <c r="AY482" s="98" t="str">
        <f t="shared" ca="1" si="76"/>
        <v/>
      </c>
      <c r="AZ482" s="96" t="str">
        <f t="shared" si="71"/>
        <v/>
      </c>
      <c r="BA482" s="99" t="str">
        <f t="shared" ca="1" si="77"/>
        <v/>
      </c>
      <c r="BB482" s="97" t="str">
        <f t="shared" si="72"/>
        <v/>
      </c>
      <c r="BC482" s="101" t="str">
        <f t="shared" ca="1" si="78"/>
        <v/>
      </c>
      <c r="BD482" s="100" t="str">
        <f t="shared" si="73"/>
        <v/>
      </c>
      <c r="BE482" s="103" t="str">
        <f t="shared" ca="1" si="79"/>
        <v/>
      </c>
      <c r="BF482" s="102" t="str">
        <f t="shared" si="74"/>
        <v/>
      </c>
    </row>
    <row r="483" spans="48:58" hidden="1" x14ac:dyDescent="0.25">
      <c r="AV483">
        <v>458</v>
      </c>
      <c r="AW483" s="94" t="str">
        <f t="shared" ca="1" si="75"/>
        <v/>
      </c>
      <c r="AX483" s="95" t="str">
        <f t="shared" si="70"/>
        <v/>
      </c>
      <c r="AY483" s="98" t="str">
        <f t="shared" ca="1" si="76"/>
        <v/>
      </c>
      <c r="AZ483" s="96" t="str">
        <f t="shared" si="71"/>
        <v/>
      </c>
      <c r="BA483" s="99" t="str">
        <f t="shared" ca="1" si="77"/>
        <v/>
      </c>
      <c r="BB483" s="97" t="str">
        <f t="shared" si="72"/>
        <v/>
      </c>
      <c r="BC483" s="101" t="str">
        <f t="shared" ca="1" si="78"/>
        <v/>
      </c>
      <c r="BD483" s="100" t="str">
        <f t="shared" si="73"/>
        <v/>
      </c>
      <c r="BE483" s="103" t="str">
        <f t="shared" ca="1" si="79"/>
        <v/>
      </c>
      <c r="BF483" s="102" t="str">
        <f t="shared" si="74"/>
        <v/>
      </c>
    </row>
    <row r="484" spans="48:58" hidden="1" x14ac:dyDescent="0.25">
      <c r="AV484">
        <v>459</v>
      </c>
      <c r="AW484" s="94" t="str">
        <f t="shared" ca="1" si="75"/>
        <v/>
      </c>
      <c r="AX484" s="95" t="str">
        <f t="shared" si="70"/>
        <v/>
      </c>
      <c r="AY484" s="98" t="str">
        <f t="shared" ca="1" si="76"/>
        <v/>
      </c>
      <c r="AZ484" s="96" t="str">
        <f t="shared" si="71"/>
        <v/>
      </c>
      <c r="BA484" s="99" t="str">
        <f t="shared" ca="1" si="77"/>
        <v/>
      </c>
      <c r="BB484" s="97" t="str">
        <f t="shared" si="72"/>
        <v/>
      </c>
      <c r="BC484" s="101" t="str">
        <f t="shared" ca="1" si="78"/>
        <v/>
      </c>
      <c r="BD484" s="100" t="str">
        <f t="shared" si="73"/>
        <v/>
      </c>
      <c r="BE484" s="103" t="str">
        <f t="shared" ca="1" si="79"/>
        <v/>
      </c>
      <c r="BF484" s="102" t="str">
        <f t="shared" si="74"/>
        <v/>
      </c>
    </row>
    <row r="485" spans="48:58" hidden="1" x14ac:dyDescent="0.25">
      <c r="AV485">
        <v>460</v>
      </c>
      <c r="AW485" s="94" t="str">
        <f t="shared" ca="1" si="75"/>
        <v/>
      </c>
      <c r="AX485" s="95" t="str">
        <f t="shared" si="70"/>
        <v/>
      </c>
      <c r="AY485" s="98" t="str">
        <f t="shared" ca="1" si="76"/>
        <v/>
      </c>
      <c r="AZ485" s="96" t="str">
        <f t="shared" si="71"/>
        <v/>
      </c>
      <c r="BA485" s="99" t="str">
        <f t="shared" ca="1" si="77"/>
        <v/>
      </c>
      <c r="BB485" s="97" t="str">
        <f t="shared" si="72"/>
        <v/>
      </c>
      <c r="BC485" s="101" t="str">
        <f t="shared" ca="1" si="78"/>
        <v/>
      </c>
      <c r="BD485" s="100" t="str">
        <f t="shared" si="73"/>
        <v/>
      </c>
      <c r="BE485" s="103" t="str">
        <f t="shared" ca="1" si="79"/>
        <v/>
      </c>
      <c r="BF485" s="102" t="str">
        <f t="shared" si="74"/>
        <v/>
      </c>
    </row>
    <row r="486" spans="48:58" hidden="1" x14ac:dyDescent="0.25">
      <c r="AV486">
        <v>461</v>
      </c>
      <c r="AW486" s="94" t="str">
        <f t="shared" ca="1" si="75"/>
        <v/>
      </c>
      <c r="AX486" s="95" t="str">
        <f t="shared" si="70"/>
        <v/>
      </c>
      <c r="AY486" s="98" t="str">
        <f t="shared" ca="1" si="76"/>
        <v/>
      </c>
      <c r="AZ486" s="96" t="str">
        <f t="shared" si="71"/>
        <v/>
      </c>
      <c r="BA486" s="99" t="str">
        <f t="shared" ca="1" si="77"/>
        <v/>
      </c>
      <c r="BB486" s="97" t="str">
        <f t="shared" si="72"/>
        <v/>
      </c>
      <c r="BC486" s="101" t="str">
        <f t="shared" ca="1" si="78"/>
        <v/>
      </c>
      <c r="BD486" s="100" t="str">
        <f t="shared" si="73"/>
        <v/>
      </c>
      <c r="BE486" s="103" t="str">
        <f t="shared" ca="1" si="79"/>
        <v/>
      </c>
      <c r="BF486" s="102" t="str">
        <f t="shared" si="74"/>
        <v/>
      </c>
    </row>
    <row r="487" spans="48:58" hidden="1" x14ac:dyDescent="0.25">
      <c r="AV487">
        <v>462</v>
      </c>
      <c r="AW487" s="94" t="str">
        <f t="shared" ca="1" si="75"/>
        <v/>
      </c>
      <c r="AX487" s="95" t="str">
        <f t="shared" si="70"/>
        <v/>
      </c>
      <c r="AY487" s="98" t="str">
        <f t="shared" ca="1" si="76"/>
        <v/>
      </c>
      <c r="AZ487" s="96" t="str">
        <f t="shared" si="71"/>
        <v/>
      </c>
      <c r="BA487" s="99" t="str">
        <f t="shared" ca="1" si="77"/>
        <v/>
      </c>
      <c r="BB487" s="97" t="str">
        <f t="shared" si="72"/>
        <v/>
      </c>
      <c r="BC487" s="101" t="str">
        <f t="shared" ca="1" si="78"/>
        <v/>
      </c>
      <c r="BD487" s="100" t="str">
        <f t="shared" si="73"/>
        <v/>
      </c>
      <c r="BE487" s="103" t="str">
        <f t="shared" ca="1" si="79"/>
        <v/>
      </c>
      <c r="BF487" s="102" t="str">
        <f t="shared" si="74"/>
        <v/>
      </c>
    </row>
    <row r="488" spans="48:58" hidden="1" x14ac:dyDescent="0.25">
      <c r="AV488">
        <v>463</v>
      </c>
      <c r="AW488" s="94" t="str">
        <f t="shared" ca="1" si="75"/>
        <v/>
      </c>
      <c r="AX488" s="95" t="str">
        <f t="shared" si="70"/>
        <v/>
      </c>
      <c r="AY488" s="98" t="str">
        <f t="shared" ca="1" si="76"/>
        <v/>
      </c>
      <c r="AZ488" s="96" t="str">
        <f t="shared" si="71"/>
        <v/>
      </c>
      <c r="BA488" s="99" t="str">
        <f t="shared" ca="1" si="77"/>
        <v/>
      </c>
      <c r="BB488" s="97" t="str">
        <f t="shared" si="72"/>
        <v/>
      </c>
      <c r="BC488" s="101" t="str">
        <f t="shared" ca="1" si="78"/>
        <v/>
      </c>
      <c r="BD488" s="100" t="str">
        <f t="shared" si="73"/>
        <v/>
      </c>
      <c r="BE488" s="103" t="str">
        <f t="shared" ca="1" si="79"/>
        <v/>
      </c>
      <c r="BF488" s="102" t="str">
        <f t="shared" si="74"/>
        <v/>
      </c>
    </row>
    <row r="489" spans="48:58" hidden="1" x14ac:dyDescent="0.25">
      <c r="AV489">
        <v>464</v>
      </c>
      <c r="AW489" s="94" t="str">
        <f t="shared" ca="1" si="75"/>
        <v/>
      </c>
      <c r="AX489" s="95" t="str">
        <f t="shared" si="70"/>
        <v/>
      </c>
      <c r="AY489" s="98" t="str">
        <f t="shared" ca="1" si="76"/>
        <v/>
      </c>
      <c r="AZ489" s="96" t="str">
        <f t="shared" si="71"/>
        <v/>
      </c>
      <c r="BA489" s="99" t="str">
        <f t="shared" ca="1" si="77"/>
        <v/>
      </c>
      <c r="BB489" s="97" t="str">
        <f t="shared" si="72"/>
        <v/>
      </c>
      <c r="BC489" s="101" t="str">
        <f t="shared" ca="1" si="78"/>
        <v/>
      </c>
      <c r="BD489" s="100" t="str">
        <f t="shared" si="73"/>
        <v/>
      </c>
      <c r="BE489" s="103" t="str">
        <f t="shared" ca="1" si="79"/>
        <v/>
      </c>
      <c r="BF489" s="102" t="str">
        <f t="shared" si="74"/>
        <v/>
      </c>
    </row>
    <row r="490" spans="48:58" hidden="1" x14ac:dyDescent="0.25">
      <c r="AV490">
        <v>465</v>
      </c>
      <c r="AW490" s="94" t="str">
        <f t="shared" ca="1" si="75"/>
        <v/>
      </c>
      <c r="AX490" s="95" t="str">
        <f t="shared" si="70"/>
        <v/>
      </c>
      <c r="AY490" s="98" t="str">
        <f t="shared" ca="1" si="76"/>
        <v/>
      </c>
      <c r="AZ490" s="96" t="str">
        <f t="shared" si="71"/>
        <v/>
      </c>
      <c r="BA490" s="99" t="str">
        <f t="shared" ca="1" si="77"/>
        <v/>
      </c>
      <c r="BB490" s="97" t="str">
        <f t="shared" si="72"/>
        <v/>
      </c>
      <c r="BC490" s="101" t="str">
        <f t="shared" ca="1" si="78"/>
        <v/>
      </c>
      <c r="BD490" s="100" t="str">
        <f t="shared" si="73"/>
        <v/>
      </c>
      <c r="BE490" s="103" t="str">
        <f t="shared" ca="1" si="79"/>
        <v/>
      </c>
      <c r="BF490" s="102" t="str">
        <f t="shared" si="74"/>
        <v/>
      </c>
    </row>
    <row r="491" spans="48:58" hidden="1" x14ac:dyDescent="0.25">
      <c r="AV491">
        <v>466</v>
      </c>
      <c r="AW491" s="94" t="str">
        <f t="shared" ca="1" si="75"/>
        <v/>
      </c>
      <c r="AX491" s="95" t="str">
        <f t="shared" si="70"/>
        <v/>
      </c>
      <c r="AY491" s="98" t="str">
        <f t="shared" ca="1" si="76"/>
        <v/>
      </c>
      <c r="AZ491" s="96" t="str">
        <f t="shared" si="71"/>
        <v/>
      </c>
      <c r="BA491" s="99" t="str">
        <f t="shared" ca="1" si="77"/>
        <v/>
      </c>
      <c r="BB491" s="97" t="str">
        <f t="shared" si="72"/>
        <v/>
      </c>
      <c r="BC491" s="101" t="str">
        <f t="shared" ca="1" si="78"/>
        <v/>
      </c>
      <c r="BD491" s="100" t="str">
        <f t="shared" si="73"/>
        <v/>
      </c>
      <c r="BE491" s="103" t="str">
        <f t="shared" ca="1" si="79"/>
        <v/>
      </c>
      <c r="BF491" s="102" t="str">
        <f t="shared" si="74"/>
        <v/>
      </c>
    </row>
    <row r="492" spans="48:58" hidden="1" x14ac:dyDescent="0.25">
      <c r="AV492">
        <v>467</v>
      </c>
      <c r="AW492" s="94" t="str">
        <f t="shared" ca="1" si="75"/>
        <v/>
      </c>
      <c r="AX492" s="95" t="str">
        <f t="shared" si="70"/>
        <v/>
      </c>
      <c r="AY492" s="98" t="str">
        <f t="shared" ca="1" si="76"/>
        <v/>
      </c>
      <c r="AZ492" s="96" t="str">
        <f t="shared" si="71"/>
        <v/>
      </c>
      <c r="BA492" s="99" t="str">
        <f t="shared" ca="1" si="77"/>
        <v/>
      </c>
      <c r="BB492" s="97" t="str">
        <f t="shared" si="72"/>
        <v/>
      </c>
      <c r="BC492" s="101" t="str">
        <f t="shared" ca="1" si="78"/>
        <v/>
      </c>
      <c r="BD492" s="100" t="str">
        <f t="shared" si="73"/>
        <v/>
      </c>
      <c r="BE492" s="103" t="str">
        <f t="shared" ca="1" si="79"/>
        <v/>
      </c>
      <c r="BF492" s="102" t="str">
        <f t="shared" si="74"/>
        <v/>
      </c>
    </row>
    <row r="493" spans="48:58" hidden="1" x14ac:dyDescent="0.25">
      <c r="AV493">
        <v>468</v>
      </c>
      <c r="AW493" s="94" t="str">
        <f t="shared" ca="1" si="75"/>
        <v/>
      </c>
      <c r="AX493" s="95" t="str">
        <f t="shared" si="70"/>
        <v/>
      </c>
      <c r="AY493" s="98" t="str">
        <f t="shared" ca="1" si="76"/>
        <v/>
      </c>
      <c r="AZ493" s="96" t="str">
        <f t="shared" si="71"/>
        <v/>
      </c>
      <c r="BA493" s="99" t="str">
        <f t="shared" ca="1" si="77"/>
        <v/>
      </c>
      <c r="BB493" s="97" t="str">
        <f t="shared" si="72"/>
        <v/>
      </c>
      <c r="BC493" s="101" t="str">
        <f t="shared" ca="1" si="78"/>
        <v/>
      </c>
      <c r="BD493" s="100" t="str">
        <f t="shared" si="73"/>
        <v/>
      </c>
      <c r="BE493" s="103" t="str">
        <f t="shared" ca="1" si="79"/>
        <v/>
      </c>
      <c r="BF493" s="102" t="str">
        <f t="shared" si="74"/>
        <v/>
      </c>
    </row>
    <row r="494" spans="48:58" hidden="1" x14ac:dyDescent="0.25">
      <c r="AV494">
        <v>469</v>
      </c>
      <c r="AW494" s="94" t="str">
        <f t="shared" ca="1" si="75"/>
        <v/>
      </c>
      <c r="AX494" s="95" t="str">
        <f t="shared" si="70"/>
        <v/>
      </c>
      <c r="AY494" s="98" t="str">
        <f t="shared" ca="1" si="76"/>
        <v/>
      </c>
      <c r="AZ494" s="96" t="str">
        <f t="shared" si="71"/>
        <v/>
      </c>
      <c r="BA494" s="99" t="str">
        <f t="shared" ca="1" si="77"/>
        <v/>
      </c>
      <c r="BB494" s="97" t="str">
        <f t="shared" si="72"/>
        <v/>
      </c>
      <c r="BC494" s="101" t="str">
        <f t="shared" ca="1" si="78"/>
        <v/>
      </c>
      <c r="BD494" s="100" t="str">
        <f t="shared" si="73"/>
        <v/>
      </c>
      <c r="BE494" s="103" t="str">
        <f t="shared" ca="1" si="79"/>
        <v/>
      </c>
      <c r="BF494" s="102" t="str">
        <f t="shared" si="74"/>
        <v/>
      </c>
    </row>
    <row r="495" spans="48:58" hidden="1" x14ac:dyDescent="0.25">
      <c r="AV495">
        <v>470</v>
      </c>
      <c r="AW495" s="94" t="str">
        <f t="shared" ca="1" si="75"/>
        <v/>
      </c>
      <c r="AX495" s="95" t="str">
        <f t="shared" si="70"/>
        <v/>
      </c>
      <c r="AY495" s="98" t="str">
        <f t="shared" ca="1" si="76"/>
        <v/>
      </c>
      <c r="AZ495" s="96" t="str">
        <f t="shared" si="71"/>
        <v/>
      </c>
      <c r="BA495" s="99" t="str">
        <f t="shared" ca="1" si="77"/>
        <v/>
      </c>
      <c r="BB495" s="97" t="str">
        <f t="shared" si="72"/>
        <v/>
      </c>
      <c r="BC495" s="101" t="str">
        <f t="shared" ca="1" si="78"/>
        <v/>
      </c>
      <c r="BD495" s="100" t="str">
        <f t="shared" si="73"/>
        <v/>
      </c>
      <c r="BE495" s="103" t="str">
        <f t="shared" ca="1" si="79"/>
        <v/>
      </c>
      <c r="BF495" s="102" t="str">
        <f t="shared" si="74"/>
        <v/>
      </c>
    </row>
    <row r="496" spans="48:58" hidden="1" x14ac:dyDescent="0.25">
      <c r="AV496">
        <v>471</v>
      </c>
      <c r="AW496" s="94" t="str">
        <f t="shared" ca="1" si="75"/>
        <v/>
      </c>
      <c r="AX496" s="95" t="str">
        <f t="shared" si="70"/>
        <v/>
      </c>
      <c r="AY496" s="98" t="str">
        <f t="shared" ca="1" si="76"/>
        <v/>
      </c>
      <c r="AZ496" s="96" t="str">
        <f t="shared" si="71"/>
        <v/>
      </c>
      <c r="BA496" s="99" t="str">
        <f t="shared" ca="1" si="77"/>
        <v/>
      </c>
      <c r="BB496" s="97" t="str">
        <f t="shared" si="72"/>
        <v/>
      </c>
      <c r="BC496" s="101" t="str">
        <f t="shared" ca="1" si="78"/>
        <v/>
      </c>
      <c r="BD496" s="100" t="str">
        <f t="shared" si="73"/>
        <v/>
      </c>
      <c r="BE496" s="103" t="str">
        <f t="shared" ca="1" si="79"/>
        <v/>
      </c>
      <c r="BF496" s="102" t="str">
        <f t="shared" si="74"/>
        <v/>
      </c>
    </row>
    <row r="497" spans="48:58" hidden="1" x14ac:dyDescent="0.25">
      <c r="AV497">
        <v>472</v>
      </c>
      <c r="AW497" s="94" t="str">
        <f t="shared" ca="1" si="75"/>
        <v/>
      </c>
      <c r="AX497" s="95" t="str">
        <f t="shared" si="70"/>
        <v/>
      </c>
      <c r="AY497" s="98" t="str">
        <f t="shared" ca="1" si="76"/>
        <v/>
      </c>
      <c r="AZ497" s="96" t="str">
        <f t="shared" si="71"/>
        <v/>
      </c>
      <c r="BA497" s="99" t="str">
        <f t="shared" ca="1" si="77"/>
        <v/>
      </c>
      <c r="BB497" s="97" t="str">
        <f t="shared" si="72"/>
        <v/>
      </c>
      <c r="BC497" s="101" t="str">
        <f t="shared" ca="1" si="78"/>
        <v/>
      </c>
      <c r="BD497" s="100" t="str">
        <f t="shared" si="73"/>
        <v/>
      </c>
      <c r="BE497" s="103" t="str">
        <f t="shared" ca="1" si="79"/>
        <v/>
      </c>
      <c r="BF497" s="102" t="str">
        <f t="shared" si="74"/>
        <v/>
      </c>
    </row>
    <row r="498" spans="48:58" hidden="1" x14ac:dyDescent="0.25">
      <c r="AV498">
        <v>473</v>
      </c>
      <c r="AW498" s="94" t="str">
        <f t="shared" ca="1" si="75"/>
        <v/>
      </c>
      <c r="AX498" s="95" t="str">
        <f t="shared" si="70"/>
        <v/>
      </c>
      <c r="AY498" s="98" t="str">
        <f t="shared" ca="1" si="76"/>
        <v/>
      </c>
      <c r="AZ498" s="96" t="str">
        <f t="shared" si="71"/>
        <v/>
      </c>
      <c r="BA498" s="99" t="str">
        <f t="shared" ca="1" si="77"/>
        <v/>
      </c>
      <c r="BB498" s="97" t="str">
        <f t="shared" si="72"/>
        <v/>
      </c>
      <c r="BC498" s="101" t="str">
        <f t="shared" ca="1" si="78"/>
        <v/>
      </c>
      <c r="BD498" s="100" t="str">
        <f t="shared" si="73"/>
        <v/>
      </c>
      <c r="BE498" s="103" t="str">
        <f t="shared" ca="1" si="79"/>
        <v/>
      </c>
      <c r="BF498" s="102" t="str">
        <f t="shared" si="74"/>
        <v/>
      </c>
    </row>
    <row r="499" spans="48:58" hidden="1" x14ac:dyDescent="0.25">
      <c r="AV499">
        <v>474</v>
      </c>
      <c r="AW499" s="94" t="str">
        <f t="shared" ca="1" si="75"/>
        <v/>
      </c>
      <c r="AX499" s="95" t="str">
        <f t="shared" si="70"/>
        <v/>
      </c>
      <c r="AY499" s="98" t="str">
        <f t="shared" ca="1" si="76"/>
        <v/>
      </c>
      <c r="AZ499" s="96" t="str">
        <f t="shared" si="71"/>
        <v/>
      </c>
      <c r="BA499" s="99" t="str">
        <f t="shared" ca="1" si="77"/>
        <v/>
      </c>
      <c r="BB499" s="97" t="str">
        <f t="shared" si="72"/>
        <v/>
      </c>
      <c r="BC499" s="101" t="str">
        <f t="shared" ca="1" si="78"/>
        <v/>
      </c>
      <c r="BD499" s="100" t="str">
        <f t="shared" si="73"/>
        <v/>
      </c>
      <c r="BE499" s="103" t="str">
        <f t="shared" ca="1" si="79"/>
        <v/>
      </c>
      <c r="BF499" s="102" t="str">
        <f t="shared" si="74"/>
        <v/>
      </c>
    </row>
    <row r="500" spans="48:58" hidden="1" x14ac:dyDescent="0.25">
      <c r="AV500">
        <v>475</v>
      </c>
      <c r="AW500" s="94" t="str">
        <f t="shared" ca="1" si="75"/>
        <v/>
      </c>
      <c r="AX500" s="95" t="str">
        <f t="shared" si="70"/>
        <v/>
      </c>
      <c r="AY500" s="98" t="str">
        <f t="shared" ca="1" si="76"/>
        <v/>
      </c>
      <c r="AZ500" s="96" t="str">
        <f t="shared" si="71"/>
        <v/>
      </c>
      <c r="BA500" s="99" t="str">
        <f t="shared" ca="1" si="77"/>
        <v/>
      </c>
      <c r="BB500" s="97" t="str">
        <f t="shared" si="72"/>
        <v/>
      </c>
      <c r="BC500" s="101" t="str">
        <f t="shared" ca="1" si="78"/>
        <v/>
      </c>
      <c r="BD500" s="100" t="str">
        <f t="shared" si="73"/>
        <v/>
      </c>
      <c r="BE500" s="103" t="str">
        <f t="shared" ca="1" si="79"/>
        <v/>
      </c>
      <c r="BF500" s="102" t="str">
        <f t="shared" si="74"/>
        <v/>
      </c>
    </row>
    <row r="501" spans="48:58" hidden="1" x14ac:dyDescent="0.25">
      <c r="AV501">
        <v>476</v>
      </c>
      <c r="AW501" s="94" t="str">
        <f t="shared" ca="1" si="75"/>
        <v/>
      </c>
      <c r="AX501" s="95" t="str">
        <f t="shared" si="70"/>
        <v/>
      </c>
      <c r="AY501" s="98" t="str">
        <f t="shared" ca="1" si="76"/>
        <v/>
      </c>
      <c r="AZ501" s="96" t="str">
        <f t="shared" si="71"/>
        <v/>
      </c>
      <c r="BA501" s="99" t="str">
        <f t="shared" ca="1" si="77"/>
        <v/>
      </c>
      <c r="BB501" s="97" t="str">
        <f t="shared" si="72"/>
        <v/>
      </c>
      <c r="BC501" s="101" t="str">
        <f t="shared" ca="1" si="78"/>
        <v/>
      </c>
      <c r="BD501" s="100" t="str">
        <f t="shared" si="73"/>
        <v/>
      </c>
      <c r="BE501" s="103" t="str">
        <f t="shared" ca="1" si="79"/>
        <v/>
      </c>
      <c r="BF501" s="102" t="str">
        <f t="shared" si="74"/>
        <v/>
      </c>
    </row>
    <row r="502" spans="48:58" hidden="1" x14ac:dyDescent="0.25">
      <c r="AV502">
        <v>477</v>
      </c>
      <c r="AW502" s="94" t="str">
        <f t="shared" ca="1" si="75"/>
        <v/>
      </c>
      <c r="AX502" s="95" t="str">
        <f t="shared" si="70"/>
        <v/>
      </c>
      <c r="AY502" s="98" t="str">
        <f t="shared" ca="1" si="76"/>
        <v/>
      </c>
      <c r="AZ502" s="96" t="str">
        <f t="shared" si="71"/>
        <v/>
      </c>
      <c r="BA502" s="99" t="str">
        <f t="shared" ca="1" si="77"/>
        <v/>
      </c>
      <c r="BB502" s="97" t="str">
        <f t="shared" si="72"/>
        <v/>
      </c>
      <c r="BC502" s="101" t="str">
        <f t="shared" ca="1" si="78"/>
        <v/>
      </c>
      <c r="BD502" s="100" t="str">
        <f t="shared" si="73"/>
        <v/>
      </c>
      <c r="BE502" s="103" t="str">
        <f t="shared" ca="1" si="79"/>
        <v/>
      </c>
      <c r="BF502" s="102" t="str">
        <f t="shared" si="74"/>
        <v/>
      </c>
    </row>
    <row r="503" spans="48:58" hidden="1" x14ac:dyDescent="0.25">
      <c r="AV503">
        <v>478</v>
      </c>
      <c r="AW503" s="94" t="str">
        <f t="shared" ca="1" si="75"/>
        <v/>
      </c>
      <c r="AX503" s="95" t="str">
        <f t="shared" si="70"/>
        <v/>
      </c>
      <c r="AY503" s="98" t="str">
        <f t="shared" ca="1" si="76"/>
        <v/>
      </c>
      <c r="AZ503" s="96" t="str">
        <f t="shared" si="71"/>
        <v/>
      </c>
      <c r="BA503" s="99" t="str">
        <f t="shared" ca="1" si="77"/>
        <v/>
      </c>
      <c r="BB503" s="97" t="str">
        <f t="shared" si="72"/>
        <v/>
      </c>
      <c r="BC503" s="101" t="str">
        <f t="shared" ca="1" si="78"/>
        <v/>
      </c>
      <c r="BD503" s="100" t="str">
        <f t="shared" si="73"/>
        <v/>
      </c>
      <c r="BE503" s="103" t="str">
        <f t="shared" ca="1" si="79"/>
        <v/>
      </c>
      <c r="BF503" s="102" t="str">
        <f t="shared" si="74"/>
        <v/>
      </c>
    </row>
    <row r="504" spans="48:58" hidden="1" x14ac:dyDescent="0.25">
      <c r="AV504">
        <v>479</v>
      </c>
      <c r="AW504" s="94" t="str">
        <f t="shared" ca="1" si="75"/>
        <v/>
      </c>
      <c r="AX504" s="95" t="str">
        <f t="shared" si="70"/>
        <v/>
      </c>
      <c r="AY504" s="98" t="str">
        <f t="shared" ca="1" si="76"/>
        <v/>
      </c>
      <c r="AZ504" s="96" t="str">
        <f t="shared" si="71"/>
        <v/>
      </c>
      <c r="BA504" s="99" t="str">
        <f t="shared" ca="1" si="77"/>
        <v/>
      </c>
      <c r="BB504" s="97" t="str">
        <f t="shared" si="72"/>
        <v/>
      </c>
      <c r="BC504" s="101" t="str">
        <f t="shared" ca="1" si="78"/>
        <v/>
      </c>
      <c r="BD504" s="100" t="str">
        <f t="shared" si="73"/>
        <v/>
      </c>
      <c r="BE504" s="103" t="str">
        <f t="shared" ca="1" si="79"/>
        <v/>
      </c>
      <c r="BF504" s="102" t="str">
        <f t="shared" si="74"/>
        <v/>
      </c>
    </row>
    <row r="505" spans="48:58" hidden="1" x14ac:dyDescent="0.25">
      <c r="AV505">
        <v>480</v>
      </c>
      <c r="AW505" s="94" t="str">
        <f t="shared" ca="1" si="75"/>
        <v/>
      </c>
      <c r="AX505" s="95" t="str">
        <f t="shared" si="70"/>
        <v/>
      </c>
      <c r="AY505" s="98" t="str">
        <f t="shared" ca="1" si="76"/>
        <v/>
      </c>
      <c r="AZ505" s="96" t="str">
        <f t="shared" si="71"/>
        <v/>
      </c>
      <c r="BA505" s="99" t="str">
        <f t="shared" ca="1" si="77"/>
        <v/>
      </c>
      <c r="BB505" s="97" t="str">
        <f t="shared" si="72"/>
        <v/>
      </c>
      <c r="BC505" s="101" t="str">
        <f t="shared" ca="1" si="78"/>
        <v/>
      </c>
      <c r="BD505" s="100" t="str">
        <f t="shared" si="73"/>
        <v/>
      </c>
      <c r="BE505" s="103" t="str">
        <f t="shared" ca="1" si="79"/>
        <v/>
      </c>
      <c r="BF505" s="102" t="str">
        <f t="shared" si="74"/>
        <v/>
      </c>
    </row>
    <row r="506" spans="48:58" hidden="1" x14ac:dyDescent="0.25">
      <c r="AV506">
        <v>481</v>
      </c>
      <c r="AW506" s="94" t="str">
        <f t="shared" ca="1" si="75"/>
        <v/>
      </c>
      <c r="AX506" s="95" t="str">
        <f t="shared" si="70"/>
        <v/>
      </c>
      <c r="AY506" s="98" t="str">
        <f t="shared" ca="1" si="76"/>
        <v/>
      </c>
      <c r="AZ506" s="96" t="str">
        <f t="shared" si="71"/>
        <v/>
      </c>
      <c r="BA506" s="99" t="str">
        <f t="shared" ca="1" si="77"/>
        <v/>
      </c>
      <c r="BB506" s="97" t="str">
        <f t="shared" si="72"/>
        <v/>
      </c>
      <c r="BC506" s="101" t="str">
        <f t="shared" ca="1" si="78"/>
        <v/>
      </c>
      <c r="BD506" s="100" t="str">
        <f t="shared" si="73"/>
        <v/>
      </c>
      <c r="BE506" s="103" t="str">
        <f t="shared" ca="1" si="79"/>
        <v/>
      </c>
      <c r="BF506" s="102" t="str">
        <f t="shared" si="74"/>
        <v/>
      </c>
    </row>
    <row r="507" spans="48:58" hidden="1" x14ac:dyDescent="0.25">
      <c r="AV507">
        <v>482</v>
      </c>
      <c r="AW507" s="94" t="str">
        <f t="shared" ca="1" si="75"/>
        <v/>
      </c>
      <c r="AX507" s="95" t="str">
        <f t="shared" si="70"/>
        <v/>
      </c>
      <c r="AY507" s="98" t="str">
        <f t="shared" ca="1" si="76"/>
        <v/>
      </c>
      <c r="AZ507" s="96" t="str">
        <f t="shared" si="71"/>
        <v/>
      </c>
      <c r="BA507" s="99" t="str">
        <f t="shared" ca="1" si="77"/>
        <v/>
      </c>
      <c r="BB507" s="97" t="str">
        <f t="shared" si="72"/>
        <v/>
      </c>
      <c r="BC507" s="101" t="str">
        <f t="shared" ca="1" si="78"/>
        <v/>
      </c>
      <c r="BD507" s="100" t="str">
        <f t="shared" si="73"/>
        <v/>
      </c>
      <c r="BE507" s="103" t="str">
        <f t="shared" ca="1" si="79"/>
        <v/>
      </c>
      <c r="BF507" s="102" t="str">
        <f t="shared" si="74"/>
        <v/>
      </c>
    </row>
    <row r="508" spans="48:58" hidden="1" x14ac:dyDescent="0.25">
      <c r="AV508">
        <v>483</v>
      </c>
      <c r="AW508" s="94" t="str">
        <f t="shared" ca="1" si="75"/>
        <v/>
      </c>
      <c r="AX508" s="95" t="str">
        <f t="shared" si="70"/>
        <v/>
      </c>
      <c r="AY508" s="98" t="str">
        <f t="shared" ca="1" si="76"/>
        <v/>
      </c>
      <c r="AZ508" s="96" t="str">
        <f t="shared" si="71"/>
        <v/>
      </c>
      <c r="BA508" s="99" t="str">
        <f t="shared" ca="1" si="77"/>
        <v/>
      </c>
      <c r="BB508" s="97" t="str">
        <f t="shared" si="72"/>
        <v/>
      </c>
      <c r="BC508" s="101" t="str">
        <f t="shared" ca="1" si="78"/>
        <v/>
      </c>
      <c r="BD508" s="100" t="str">
        <f t="shared" si="73"/>
        <v/>
      </c>
      <c r="BE508" s="103" t="str">
        <f t="shared" ca="1" si="79"/>
        <v/>
      </c>
      <c r="BF508" s="102" t="str">
        <f t="shared" si="74"/>
        <v/>
      </c>
    </row>
    <row r="509" spans="48:58" hidden="1" x14ac:dyDescent="0.25">
      <c r="AV509">
        <v>484</v>
      </c>
      <c r="AW509" s="94" t="str">
        <f t="shared" ca="1" si="75"/>
        <v/>
      </c>
      <c r="AX509" s="95" t="str">
        <f t="shared" si="70"/>
        <v/>
      </c>
      <c r="AY509" s="98" t="str">
        <f t="shared" ca="1" si="76"/>
        <v/>
      </c>
      <c r="AZ509" s="96" t="str">
        <f t="shared" si="71"/>
        <v/>
      </c>
      <c r="BA509" s="99" t="str">
        <f t="shared" ca="1" si="77"/>
        <v/>
      </c>
      <c r="BB509" s="97" t="str">
        <f t="shared" si="72"/>
        <v/>
      </c>
      <c r="BC509" s="101" t="str">
        <f t="shared" ca="1" si="78"/>
        <v/>
      </c>
      <c r="BD509" s="100" t="str">
        <f t="shared" si="73"/>
        <v/>
      </c>
      <c r="BE509" s="103" t="str">
        <f t="shared" ca="1" si="79"/>
        <v/>
      </c>
      <c r="BF509" s="102" t="str">
        <f t="shared" si="74"/>
        <v/>
      </c>
    </row>
    <row r="510" spans="48:58" hidden="1" x14ac:dyDescent="0.25">
      <c r="AV510">
        <v>485</v>
      </c>
      <c r="AW510" s="94" t="str">
        <f t="shared" ca="1" si="75"/>
        <v/>
      </c>
      <c r="AX510" s="95" t="str">
        <f t="shared" si="70"/>
        <v/>
      </c>
      <c r="AY510" s="98" t="str">
        <f t="shared" ca="1" si="76"/>
        <v/>
      </c>
      <c r="AZ510" s="96" t="str">
        <f t="shared" si="71"/>
        <v/>
      </c>
      <c r="BA510" s="99" t="str">
        <f t="shared" ca="1" si="77"/>
        <v/>
      </c>
      <c r="BB510" s="97" t="str">
        <f t="shared" si="72"/>
        <v/>
      </c>
      <c r="BC510" s="101" t="str">
        <f t="shared" ca="1" si="78"/>
        <v/>
      </c>
      <c r="BD510" s="100" t="str">
        <f t="shared" si="73"/>
        <v/>
      </c>
      <c r="BE510" s="103" t="str">
        <f t="shared" ca="1" si="79"/>
        <v/>
      </c>
      <c r="BF510" s="102" t="str">
        <f t="shared" si="74"/>
        <v/>
      </c>
    </row>
    <row r="511" spans="48:58" hidden="1" x14ac:dyDescent="0.25">
      <c r="AV511">
        <v>486</v>
      </c>
      <c r="AW511" s="94" t="str">
        <f t="shared" ca="1" si="75"/>
        <v/>
      </c>
      <c r="AX511" s="95" t="str">
        <f t="shared" si="70"/>
        <v/>
      </c>
      <c r="AY511" s="98" t="str">
        <f t="shared" ca="1" si="76"/>
        <v/>
      </c>
      <c r="AZ511" s="96" t="str">
        <f t="shared" si="71"/>
        <v/>
      </c>
      <c r="BA511" s="99" t="str">
        <f t="shared" ca="1" si="77"/>
        <v/>
      </c>
      <c r="BB511" s="97" t="str">
        <f t="shared" si="72"/>
        <v/>
      </c>
      <c r="BC511" s="101" t="str">
        <f t="shared" ca="1" si="78"/>
        <v/>
      </c>
      <c r="BD511" s="100" t="str">
        <f t="shared" si="73"/>
        <v/>
      </c>
      <c r="BE511" s="103" t="str">
        <f t="shared" ca="1" si="79"/>
        <v/>
      </c>
      <c r="BF511" s="102" t="str">
        <f t="shared" si="74"/>
        <v/>
      </c>
    </row>
    <row r="512" spans="48:58" hidden="1" x14ac:dyDescent="0.25">
      <c r="AV512">
        <v>487</v>
      </c>
      <c r="AW512" s="94" t="str">
        <f t="shared" ca="1" si="75"/>
        <v/>
      </c>
      <c r="AX512" s="95" t="str">
        <f t="shared" si="70"/>
        <v/>
      </c>
      <c r="AY512" s="98" t="str">
        <f t="shared" ca="1" si="76"/>
        <v/>
      </c>
      <c r="AZ512" s="96" t="str">
        <f t="shared" si="71"/>
        <v/>
      </c>
      <c r="BA512" s="99" t="str">
        <f t="shared" ca="1" si="77"/>
        <v/>
      </c>
      <c r="BB512" s="97" t="str">
        <f t="shared" si="72"/>
        <v/>
      </c>
      <c r="BC512" s="101" t="str">
        <f t="shared" ca="1" si="78"/>
        <v/>
      </c>
      <c r="BD512" s="100" t="str">
        <f t="shared" si="73"/>
        <v/>
      </c>
      <c r="BE512" s="103" t="str">
        <f t="shared" ca="1" si="79"/>
        <v/>
      </c>
      <c r="BF512" s="102" t="str">
        <f t="shared" si="74"/>
        <v/>
      </c>
    </row>
    <row r="513" spans="48:58" hidden="1" x14ac:dyDescent="0.25">
      <c r="AV513">
        <v>488</v>
      </c>
      <c r="AW513" s="94" t="str">
        <f t="shared" ca="1" si="75"/>
        <v/>
      </c>
      <c r="AX513" s="95" t="str">
        <f t="shared" si="70"/>
        <v/>
      </c>
      <c r="AY513" s="98" t="str">
        <f t="shared" ca="1" si="76"/>
        <v/>
      </c>
      <c r="AZ513" s="96" t="str">
        <f t="shared" si="71"/>
        <v/>
      </c>
      <c r="BA513" s="99" t="str">
        <f t="shared" ca="1" si="77"/>
        <v/>
      </c>
      <c r="BB513" s="97" t="str">
        <f t="shared" si="72"/>
        <v/>
      </c>
      <c r="BC513" s="101" t="str">
        <f t="shared" ca="1" si="78"/>
        <v/>
      </c>
      <c r="BD513" s="100" t="str">
        <f t="shared" si="73"/>
        <v/>
      </c>
      <c r="BE513" s="103" t="str">
        <f t="shared" ca="1" si="79"/>
        <v/>
      </c>
      <c r="BF513" s="102" t="str">
        <f t="shared" si="74"/>
        <v/>
      </c>
    </row>
    <row r="514" spans="48:58" hidden="1" x14ac:dyDescent="0.25">
      <c r="AV514">
        <v>489</v>
      </c>
      <c r="AW514" s="94" t="str">
        <f t="shared" ca="1" si="75"/>
        <v/>
      </c>
      <c r="AX514" s="95" t="str">
        <f t="shared" si="70"/>
        <v/>
      </c>
      <c r="AY514" s="98" t="str">
        <f t="shared" ca="1" si="76"/>
        <v/>
      </c>
      <c r="AZ514" s="96" t="str">
        <f t="shared" si="71"/>
        <v/>
      </c>
      <c r="BA514" s="99" t="str">
        <f t="shared" ca="1" si="77"/>
        <v/>
      </c>
      <c r="BB514" s="97" t="str">
        <f t="shared" si="72"/>
        <v/>
      </c>
      <c r="BC514" s="101" t="str">
        <f t="shared" ca="1" si="78"/>
        <v/>
      </c>
      <c r="BD514" s="100" t="str">
        <f t="shared" si="73"/>
        <v/>
      </c>
      <c r="BE514" s="103" t="str">
        <f t="shared" ca="1" si="79"/>
        <v/>
      </c>
      <c r="BF514" s="102" t="str">
        <f t="shared" si="74"/>
        <v/>
      </c>
    </row>
    <row r="515" spans="48:58" hidden="1" x14ac:dyDescent="0.25">
      <c r="AV515">
        <v>490</v>
      </c>
      <c r="AW515" s="94" t="str">
        <f t="shared" ca="1" si="75"/>
        <v/>
      </c>
      <c r="AX515" s="95" t="str">
        <f t="shared" si="70"/>
        <v/>
      </c>
      <c r="AY515" s="98" t="str">
        <f t="shared" ca="1" si="76"/>
        <v/>
      </c>
      <c r="AZ515" s="96" t="str">
        <f t="shared" si="71"/>
        <v/>
      </c>
      <c r="BA515" s="99" t="str">
        <f t="shared" ca="1" si="77"/>
        <v/>
      </c>
      <c r="BB515" s="97" t="str">
        <f t="shared" si="72"/>
        <v/>
      </c>
      <c r="BC515" s="101" t="str">
        <f t="shared" ca="1" si="78"/>
        <v/>
      </c>
      <c r="BD515" s="100" t="str">
        <f t="shared" si="73"/>
        <v/>
      </c>
      <c r="BE515" s="103" t="str">
        <f t="shared" ca="1" si="79"/>
        <v/>
      </c>
      <c r="BF515" s="102" t="str">
        <f t="shared" si="74"/>
        <v/>
      </c>
    </row>
    <row r="516" spans="48:58" hidden="1" x14ac:dyDescent="0.25">
      <c r="AV516">
        <v>491</v>
      </c>
      <c r="AW516" s="94" t="str">
        <f t="shared" ca="1" si="75"/>
        <v/>
      </c>
      <c r="AX516" s="95" t="str">
        <f t="shared" si="70"/>
        <v/>
      </c>
      <c r="AY516" s="98" t="str">
        <f t="shared" ca="1" si="76"/>
        <v/>
      </c>
      <c r="AZ516" s="96" t="str">
        <f t="shared" si="71"/>
        <v/>
      </c>
      <c r="BA516" s="99" t="str">
        <f t="shared" ca="1" si="77"/>
        <v/>
      </c>
      <c r="BB516" s="97" t="str">
        <f t="shared" si="72"/>
        <v/>
      </c>
      <c r="BC516" s="101" t="str">
        <f t="shared" ca="1" si="78"/>
        <v/>
      </c>
      <c r="BD516" s="100" t="str">
        <f t="shared" si="73"/>
        <v/>
      </c>
      <c r="BE516" s="103" t="str">
        <f t="shared" ca="1" si="79"/>
        <v/>
      </c>
      <c r="BF516" s="102" t="str">
        <f t="shared" si="74"/>
        <v/>
      </c>
    </row>
    <row r="517" spans="48:58" hidden="1" x14ac:dyDescent="0.25">
      <c r="AV517">
        <v>492</v>
      </c>
      <c r="AW517" s="94" t="str">
        <f t="shared" ca="1" si="75"/>
        <v/>
      </c>
      <c r="AX517" s="95" t="str">
        <f t="shared" si="70"/>
        <v/>
      </c>
      <c r="AY517" s="98" t="str">
        <f t="shared" ca="1" si="76"/>
        <v/>
      </c>
      <c r="AZ517" s="96" t="str">
        <f t="shared" si="71"/>
        <v/>
      </c>
      <c r="BA517" s="99" t="str">
        <f t="shared" ca="1" si="77"/>
        <v/>
      </c>
      <c r="BB517" s="97" t="str">
        <f t="shared" si="72"/>
        <v/>
      </c>
      <c r="BC517" s="101" t="str">
        <f t="shared" ca="1" si="78"/>
        <v/>
      </c>
      <c r="BD517" s="100" t="str">
        <f t="shared" si="73"/>
        <v/>
      </c>
      <c r="BE517" s="103" t="str">
        <f t="shared" ca="1" si="79"/>
        <v/>
      </c>
      <c r="BF517" s="102" t="str">
        <f t="shared" si="74"/>
        <v/>
      </c>
    </row>
    <row r="518" spans="48:58" hidden="1" x14ac:dyDescent="0.25">
      <c r="AV518">
        <v>493</v>
      </c>
      <c r="AW518" s="94" t="str">
        <f t="shared" ca="1" si="75"/>
        <v/>
      </c>
      <c r="AX518" s="95" t="str">
        <f t="shared" si="70"/>
        <v/>
      </c>
      <c r="AY518" s="98" t="str">
        <f t="shared" ca="1" si="76"/>
        <v/>
      </c>
      <c r="AZ518" s="96" t="str">
        <f t="shared" si="71"/>
        <v/>
      </c>
      <c r="BA518" s="99" t="str">
        <f t="shared" ca="1" si="77"/>
        <v/>
      </c>
      <c r="BB518" s="97" t="str">
        <f t="shared" si="72"/>
        <v/>
      </c>
      <c r="BC518" s="101" t="str">
        <f t="shared" ca="1" si="78"/>
        <v/>
      </c>
      <c r="BD518" s="100" t="str">
        <f t="shared" si="73"/>
        <v/>
      </c>
      <c r="BE518" s="103" t="str">
        <f t="shared" ca="1" si="79"/>
        <v/>
      </c>
      <c r="BF518" s="102" t="str">
        <f t="shared" si="74"/>
        <v/>
      </c>
    </row>
    <row r="519" spans="48:58" hidden="1" x14ac:dyDescent="0.25">
      <c r="AV519">
        <v>494</v>
      </c>
      <c r="AW519" s="94" t="str">
        <f t="shared" ca="1" si="75"/>
        <v/>
      </c>
      <c r="AX519" s="95" t="str">
        <f t="shared" si="70"/>
        <v/>
      </c>
      <c r="AY519" s="98" t="str">
        <f t="shared" ca="1" si="76"/>
        <v/>
      </c>
      <c r="AZ519" s="96" t="str">
        <f t="shared" si="71"/>
        <v/>
      </c>
      <c r="BA519" s="99" t="str">
        <f t="shared" ca="1" si="77"/>
        <v/>
      </c>
      <c r="BB519" s="97" t="str">
        <f t="shared" si="72"/>
        <v/>
      </c>
      <c r="BC519" s="101" t="str">
        <f t="shared" ca="1" si="78"/>
        <v/>
      </c>
      <c r="BD519" s="100" t="str">
        <f t="shared" si="73"/>
        <v/>
      </c>
      <c r="BE519" s="103" t="str">
        <f t="shared" ca="1" si="79"/>
        <v/>
      </c>
      <c r="BF519" s="102" t="str">
        <f t="shared" si="74"/>
        <v/>
      </c>
    </row>
    <row r="520" spans="48:58" hidden="1" x14ac:dyDescent="0.25">
      <c r="AV520">
        <v>495</v>
      </c>
      <c r="AW520" s="94" t="str">
        <f t="shared" ca="1" si="75"/>
        <v/>
      </c>
      <c r="AX520" s="95" t="str">
        <f t="shared" si="70"/>
        <v/>
      </c>
      <c r="AY520" s="98" t="str">
        <f t="shared" ca="1" si="76"/>
        <v/>
      </c>
      <c r="AZ520" s="96" t="str">
        <f t="shared" si="71"/>
        <v/>
      </c>
      <c r="BA520" s="99" t="str">
        <f t="shared" ca="1" si="77"/>
        <v/>
      </c>
      <c r="BB520" s="97" t="str">
        <f t="shared" si="72"/>
        <v/>
      </c>
      <c r="BC520" s="101" t="str">
        <f t="shared" ca="1" si="78"/>
        <v/>
      </c>
      <c r="BD520" s="100" t="str">
        <f t="shared" si="73"/>
        <v/>
      </c>
      <c r="BE520" s="103" t="str">
        <f t="shared" ca="1" si="79"/>
        <v/>
      </c>
      <c r="BF520" s="102" t="str">
        <f t="shared" si="74"/>
        <v/>
      </c>
    </row>
    <row r="521" spans="48:58" hidden="1" x14ac:dyDescent="0.25">
      <c r="AV521">
        <v>496</v>
      </c>
      <c r="AW521" s="94" t="str">
        <f t="shared" ca="1" si="75"/>
        <v/>
      </c>
      <c r="AX521" s="95" t="str">
        <f t="shared" si="70"/>
        <v/>
      </c>
      <c r="AY521" s="98" t="str">
        <f t="shared" ca="1" si="76"/>
        <v/>
      </c>
      <c r="AZ521" s="96" t="str">
        <f t="shared" si="71"/>
        <v/>
      </c>
      <c r="BA521" s="99" t="str">
        <f t="shared" ca="1" si="77"/>
        <v/>
      </c>
      <c r="BB521" s="97" t="str">
        <f t="shared" si="72"/>
        <v/>
      </c>
      <c r="BC521" s="101" t="str">
        <f t="shared" ca="1" si="78"/>
        <v/>
      </c>
      <c r="BD521" s="100" t="str">
        <f t="shared" si="73"/>
        <v/>
      </c>
      <c r="BE521" s="103" t="str">
        <f t="shared" ca="1" si="79"/>
        <v/>
      </c>
      <c r="BF521" s="102" t="str">
        <f t="shared" si="74"/>
        <v/>
      </c>
    </row>
    <row r="522" spans="48:58" hidden="1" x14ac:dyDescent="0.25">
      <c r="AV522">
        <v>497</v>
      </c>
      <c r="AW522" s="94" t="str">
        <f t="shared" ca="1" si="75"/>
        <v/>
      </c>
      <c r="AX522" s="95" t="str">
        <f t="shared" si="70"/>
        <v/>
      </c>
      <c r="AY522" s="98" t="str">
        <f t="shared" ca="1" si="76"/>
        <v/>
      </c>
      <c r="AZ522" s="96" t="str">
        <f t="shared" si="71"/>
        <v/>
      </c>
      <c r="BA522" s="99" t="str">
        <f t="shared" ca="1" si="77"/>
        <v/>
      </c>
      <c r="BB522" s="97" t="str">
        <f t="shared" si="72"/>
        <v/>
      </c>
      <c r="BC522" s="101" t="str">
        <f t="shared" ca="1" si="78"/>
        <v/>
      </c>
      <c r="BD522" s="100" t="str">
        <f t="shared" si="73"/>
        <v/>
      </c>
      <c r="BE522" s="103" t="str">
        <f t="shared" ca="1" si="79"/>
        <v/>
      </c>
      <c r="BF522" s="102" t="str">
        <f t="shared" si="74"/>
        <v/>
      </c>
    </row>
    <row r="523" spans="48:58" hidden="1" x14ac:dyDescent="0.25">
      <c r="AV523">
        <v>498</v>
      </c>
      <c r="AW523" s="94" t="str">
        <f t="shared" ca="1" si="75"/>
        <v/>
      </c>
      <c r="AX523" s="95" t="str">
        <f t="shared" si="70"/>
        <v/>
      </c>
      <c r="AY523" s="98" t="str">
        <f t="shared" ca="1" si="76"/>
        <v/>
      </c>
      <c r="AZ523" s="96" t="str">
        <f t="shared" si="71"/>
        <v/>
      </c>
      <c r="BA523" s="99" t="str">
        <f t="shared" ca="1" si="77"/>
        <v/>
      </c>
      <c r="BB523" s="97" t="str">
        <f t="shared" si="72"/>
        <v/>
      </c>
      <c r="BC523" s="101" t="str">
        <f t="shared" ca="1" si="78"/>
        <v/>
      </c>
      <c r="BD523" s="100" t="str">
        <f t="shared" si="73"/>
        <v/>
      </c>
      <c r="BE523" s="103" t="str">
        <f t="shared" ca="1" si="79"/>
        <v/>
      </c>
      <c r="BF523" s="102" t="str">
        <f t="shared" si="74"/>
        <v/>
      </c>
    </row>
    <row r="524" spans="48:58" hidden="1" x14ac:dyDescent="0.25">
      <c r="AV524">
        <v>499</v>
      </c>
      <c r="AW524" s="94" t="str">
        <f t="shared" ca="1" si="75"/>
        <v/>
      </c>
      <c r="AX524" s="95" t="str">
        <f t="shared" si="70"/>
        <v/>
      </c>
      <c r="AY524" s="98" t="str">
        <f t="shared" ca="1" si="76"/>
        <v/>
      </c>
      <c r="AZ524" s="96" t="str">
        <f t="shared" si="71"/>
        <v/>
      </c>
      <c r="BA524" s="99" t="str">
        <f t="shared" ca="1" si="77"/>
        <v/>
      </c>
      <c r="BB524" s="97" t="str">
        <f t="shared" si="72"/>
        <v/>
      </c>
      <c r="BC524" s="101" t="str">
        <f t="shared" ca="1" si="78"/>
        <v/>
      </c>
      <c r="BD524" s="100" t="str">
        <f t="shared" si="73"/>
        <v/>
      </c>
      <c r="BE524" s="103" t="str">
        <f t="shared" ca="1" si="79"/>
        <v/>
      </c>
      <c r="BF524" s="102" t="str">
        <f t="shared" si="74"/>
        <v/>
      </c>
    </row>
    <row r="525" spans="48:58" hidden="1" x14ac:dyDescent="0.25">
      <c r="AV525">
        <v>500</v>
      </c>
      <c r="AW525" s="94" t="str">
        <f t="shared" ca="1" si="75"/>
        <v/>
      </c>
      <c r="AX525" s="95" t="str">
        <f t="shared" si="70"/>
        <v/>
      </c>
      <c r="AY525" s="98" t="str">
        <f t="shared" ca="1" si="76"/>
        <v/>
      </c>
      <c r="AZ525" s="96" t="str">
        <f t="shared" si="71"/>
        <v/>
      </c>
      <c r="BA525" s="99" t="str">
        <f t="shared" ca="1" si="77"/>
        <v/>
      </c>
      <c r="BB525" s="97" t="str">
        <f t="shared" si="72"/>
        <v/>
      </c>
      <c r="BC525" s="101" t="str">
        <f t="shared" ca="1" si="78"/>
        <v/>
      </c>
      <c r="BD525" s="100" t="str">
        <f t="shared" si="73"/>
        <v/>
      </c>
      <c r="BE525" s="103" t="str">
        <f t="shared" ca="1" si="79"/>
        <v/>
      </c>
      <c r="BF525" s="102" t="str">
        <f t="shared" si="74"/>
        <v/>
      </c>
    </row>
    <row r="526" spans="48:58" hidden="1" x14ac:dyDescent="0.25">
      <c r="AV526">
        <v>501</v>
      </c>
      <c r="AW526" s="94" t="str">
        <f t="shared" ca="1" si="75"/>
        <v/>
      </c>
      <c r="AX526" s="95" t="str">
        <f t="shared" si="70"/>
        <v/>
      </c>
      <c r="AY526" s="98" t="str">
        <f t="shared" ca="1" si="76"/>
        <v/>
      </c>
      <c r="AZ526" s="96" t="str">
        <f t="shared" si="71"/>
        <v/>
      </c>
      <c r="BA526" s="99" t="str">
        <f t="shared" ca="1" si="77"/>
        <v/>
      </c>
      <c r="BB526" s="97" t="str">
        <f t="shared" si="72"/>
        <v/>
      </c>
      <c r="BC526" s="101" t="str">
        <f t="shared" ca="1" si="78"/>
        <v/>
      </c>
      <c r="BD526" s="100" t="str">
        <f t="shared" si="73"/>
        <v/>
      </c>
      <c r="BE526" s="103" t="str">
        <f t="shared" ca="1" si="79"/>
        <v/>
      </c>
      <c r="BF526" s="102" t="str">
        <f t="shared" si="74"/>
        <v/>
      </c>
    </row>
    <row r="527" spans="48:58" hidden="1" x14ac:dyDescent="0.25">
      <c r="AV527">
        <v>502</v>
      </c>
      <c r="AW527" s="94" t="str">
        <f t="shared" ca="1" si="75"/>
        <v/>
      </c>
      <c r="AX527" s="95" t="str">
        <f t="shared" si="70"/>
        <v/>
      </c>
      <c r="AY527" s="98" t="str">
        <f t="shared" ca="1" si="76"/>
        <v/>
      </c>
      <c r="AZ527" s="96" t="str">
        <f t="shared" si="71"/>
        <v/>
      </c>
      <c r="BA527" s="99" t="str">
        <f t="shared" ca="1" si="77"/>
        <v/>
      </c>
      <c r="BB527" s="97" t="str">
        <f t="shared" si="72"/>
        <v/>
      </c>
      <c r="BC527" s="101" t="str">
        <f t="shared" ca="1" si="78"/>
        <v/>
      </c>
      <c r="BD527" s="100" t="str">
        <f t="shared" si="73"/>
        <v/>
      </c>
      <c r="BE527" s="103" t="str">
        <f t="shared" ca="1" si="79"/>
        <v/>
      </c>
      <c r="BF527" s="102" t="str">
        <f t="shared" si="74"/>
        <v/>
      </c>
    </row>
    <row r="528" spans="48:58" hidden="1" x14ac:dyDescent="0.25">
      <c r="AV528">
        <v>503</v>
      </c>
      <c r="AW528" s="94" t="str">
        <f t="shared" ca="1" si="75"/>
        <v/>
      </c>
      <c r="AX528" s="95" t="str">
        <f t="shared" si="70"/>
        <v/>
      </c>
      <c r="AY528" s="98" t="str">
        <f t="shared" ca="1" si="76"/>
        <v/>
      </c>
      <c r="AZ528" s="96" t="str">
        <f t="shared" si="71"/>
        <v/>
      </c>
      <c r="BA528" s="99" t="str">
        <f t="shared" ca="1" si="77"/>
        <v/>
      </c>
      <c r="BB528" s="97" t="str">
        <f t="shared" si="72"/>
        <v/>
      </c>
      <c r="BC528" s="101" t="str">
        <f t="shared" ca="1" si="78"/>
        <v/>
      </c>
      <c r="BD528" s="100" t="str">
        <f t="shared" si="73"/>
        <v/>
      </c>
      <c r="BE528" s="103" t="str">
        <f t="shared" ca="1" si="79"/>
        <v/>
      </c>
      <c r="BF528" s="102" t="str">
        <f t="shared" si="74"/>
        <v/>
      </c>
    </row>
    <row r="529" spans="48:58" hidden="1" x14ac:dyDescent="0.25">
      <c r="AV529">
        <v>504</v>
      </c>
      <c r="AW529" s="94" t="str">
        <f t="shared" ca="1" si="75"/>
        <v/>
      </c>
      <c r="AX529" s="95" t="str">
        <f t="shared" si="70"/>
        <v/>
      </c>
      <c r="AY529" s="98" t="str">
        <f t="shared" ca="1" si="76"/>
        <v/>
      </c>
      <c r="AZ529" s="96" t="str">
        <f t="shared" si="71"/>
        <v/>
      </c>
      <c r="BA529" s="99" t="str">
        <f t="shared" ca="1" si="77"/>
        <v/>
      </c>
      <c r="BB529" s="97" t="str">
        <f t="shared" si="72"/>
        <v/>
      </c>
      <c r="BC529" s="101" t="str">
        <f t="shared" ca="1" si="78"/>
        <v/>
      </c>
      <c r="BD529" s="100" t="str">
        <f t="shared" si="73"/>
        <v/>
      </c>
      <c r="BE529" s="103" t="str">
        <f t="shared" ca="1" si="79"/>
        <v/>
      </c>
      <c r="BF529" s="102" t="str">
        <f t="shared" si="74"/>
        <v/>
      </c>
    </row>
    <row r="530" spans="48:58" hidden="1" x14ac:dyDescent="0.25">
      <c r="AV530">
        <v>505</v>
      </c>
      <c r="AW530" s="94" t="str">
        <f t="shared" ca="1" si="75"/>
        <v/>
      </c>
      <c r="AX530" s="95" t="str">
        <f t="shared" si="70"/>
        <v/>
      </c>
      <c r="AY530" s="98" t="str">
        <f t="shared" ca="1" si="76"/>
        <v/>
      </c>
      <c r="AZ530" s="96" t="str">
        <f t="shared" si="71"/>
        <v/>
      </c>
      <c r="BA530" s="99" t="str">
        <f t="shared" ca="1" si="77"/>
        <v/>
      </c>
      <c r="BB530" s="97" t="str">
        <f t="shared" si="72"/>
        <v/>
      </c>
      <c r="BC530" s="101" t="str">
        <f t="shared" ca="1" si="78"/>
        <v/>
      </c>
      <c r="BD530" s="100" t="str">
        <f t="shared" si="73"/>
        <v/>
      </c>
      <c r="BE530" s="103" t="str">
        <f t="shared" ca="1" si="79"/>
        <v/>
      </c>
      <c r="BF530" s="102" t="str">
        <f t="shared" si="74"/>
        <v/>
      </c>
    </row>
    <row r="531" spans="48:58" hidden="1" x14ac:dyDescent="0.25">
      <c r="AV531">
        <v>506</v>
      </c>
      <c r="AW531" s="94" t="str">
        <f t="shared" ca="1" si="75"/>
        <v/>
      </c>
      <c r="AX531" s="95" t="str">
        <f t="shared" si="70"/>
        <v/>
      </c>
      <c r="AY531" s="98" t="str">
        <f t="shared" ca="1" si="76"/>
        <v/>
      </c>
      <c r="AZ531" s="96" t="str">
        <f t="shared" si="71"/>
        <v/>
      </c>
      <c r="BA531" s="99" t="str">
        <f t="shared" ca="1" si="77"/>
        <v/>
      </c>
      <c r="BB531" s="97" t="str">
        <f t="shared" si="72"/>
        <v/>
      </c>
      <c r="BC531" s="101" t="str">
        <f t="shared" ca="1" si="78"/>
        <v/>
      </c>
      <c r="BD531" s="100" t="str">
        <f t="shared" si="73"/>
        <v/>
      </c>
      <c r="BE531" s="103" t="str">
        <f t="shared" ca="1" si="79"/>
        <v/>
      </c>
      <c r="BF531" s="102" t="str">
        <f t="shared" si="74"/>
        <v/>
      </c>
    </row>
    <row r="532" spans="48:58" hidden="1" x14ac:dyDescent="0.25">
      <c r="AV532">
        <v>507</v>
      </c>
      <c r="AW532" s="94" t="str">
        <f t="shared" ca="1" si="75"/>
        <v/>
      </c>
      <c r="AX532" s="95" t="str">
        <f t="shared" si="70"/>
        <v/>
      </c>
      <c r="AY532" s="98" t="str">
        <f t="shared" ca="1" si="76"/>
        <v/>
      </c>
      <c r="AZ532" s="96" t="str">
        <f t="shared" si="71"/>
        <v/>
      </c>
      <c r="BA532" s="99" t="str">
        <f t="shared" ca="1" si="77"/>
        <v/>
      </c>
      <c r="BB532" s="97" t="str">
        <f t="shared" si="72"/>
        <v/>
      </c>
      <c r="BC532" s="101" t="str">
        <f t="shared" ca="1" si="78"/>
        <v/>
      </c>
      <c r="BD532" s="100" t="str">
        <f t="shared" si="73"/>
        <v/>
      </c>
      <c r="BE532" s="103" t="str">
        <f t="shared" ca="1" si="79"/>
        <v/>
      </c>
      <c r="BF532" s="102" t="str">
        <f t="shared" si="74"/>
        <v/>
      </c>
    </row>
    <row r="533" spans="48:58" hidden="1" x14ac:dyDescent="0.25">
      <c r="AV533">
        <v>508</v>
      </c>
      <c r="AW533" s="94" t="str">
        <f t="shared" ca="1" si="75"/>
        <v/>
      </c>
      <c r="AX533" s="95" t="str">
        <f t="shared" si="70"/>
        <v/>
      </c>
      <c r="AY533" s="98" t="str">
        <f t="shared" ca="1" si="76"/>
        <v/>
      </c>
      <c r="AZ533" s="96" t="str">
        <f t="shared" si="71"/>
        <v/>
      </c>
      <c r="BA533" s="99" t="str">
        <f t="shared" ca="1" si="77"/>
        <v/>
      </c>
      <c r="BB533" s="97" t="str">
        <f t="shared" si="72"/>
        <v/>
      </c>
      <c r="BC533" s="101" t="str">
        <f t="shared" ca="1" si="78"/>
        <v/>
      </c>
      <c r="BD533" s="100" t="str">
        <f t="shared" si="73"/>
        <v/>
      </c>
      <c r="BE533" s="103" t="str">
        <f t="shared" ca="1" si="79"/>
        <v/>
      </c>
      <c r="BF533" s="102" t="str">
        <f t="shared" si="74"/>
        <v/>
      </c>
    </row>
    <row r="534" spans="48:58" hidden="1" x14ac:dyDescent="0.25">
      <c r="AV534">
        <v>509</v>
      </c>
      <c r="AW534" s="94" t="str">
        <f t="shared" ca="1" si="75"/>
        <v/>
      </c>
      <c r="AX534" s="95" t="str">
        <f t="shared" si="70"/>
        <v/>
      </c>
      <c r="AY534" s="98" t="str">
        <f t="shared" ca="1" si="76"/>
        <v/>
      </c>
      <c r="AZ534" s="96" t="str">
        <f t="shared" si="71"/>
        <v/>
      </c>
      <c r="BA534" s="99" t="str">
        <f t="shared" ca="1" si="77"/>
        <v/>
      </c>
      <c r="BB534" s="97" t="str">
        <f t="shared" si="72"/>
        <v/>
      </c>
      <c r="BC534" s="101" t="str">
        <f t="shared" ca="1" si="78"/>
        <v/>
      </c>
      <c r="BD534" s="100" t="str">
        <f t="shared" si="73"/>
        <v/>
      </c>
      <c r="BE534" s="103" t="str">
        <f t="shared" ca="1" si="79"/>
        <v/>
      </c>
      <c r="BF534" s="102" t="str">
        <f t="shared" si="74"/>
        <v/>
      </c>
    </row>
    <row r="535" spans="48:58" hidden="1" x14ac:dyDescent="0.25">
      <c r="AV535">
        <v>510</v>
      </c>
      <c r="AW535" s="94" t="str">
        <f t="shared" ca="1" si="75"/>
        <v/>
      </c>
      <c r="AX535" s="95" t="str">
        <f t="shared" si="70"/>
        <v/>
      </c>
      <c r="AY535" s="98" t="str">
        <f t="shared" ca="1" si="76"/>
        <v/>
      </c>
      <c r="AZ535" s="96" t="str">
        <f t="shared" si="71"/>
        <v/>
      </c>
      <c r="BA535" s="99" t="str">
        <f t="shared" ca="1" si="77"/>
        <v/>
      </c>
      <c r="BB535" s="97" t="str">
        <f t="shared" si="72"/>
        <v/>
      </c>
      <c r="BC535" s="101" t="str">
        <f t="shared" ca="1" si="78"/>
        <v/>
      </c>
      <c r="BD535" s="100" t="str">
        <f t="shared" si="73"/>
        <v/>
      </c>
      <c r="BE535" s="103" t="str">
        <f t="shared" ca="1" si="79"/>
        <v/>
      </c>
      <c r="BF535" s="102" t="str">
        <f t="shared" si="74"/>
        <v/>
      </c>
    </row>
    <row r="536" spans="48:58" hidden="1" x14ac:dyDescent="0.25">
      <c r="AV536">
        <v>511</v>
      </c>
      <c r="AW536" s="94" t="str">
        <f t="shared" ca="1" si="75"/>
        <v/>
      </c>
      <c r="AX536" s="95" t="str">
        <f t="shared" si="70"/>
        <v/>
      </c>
      <c r="AY536" s="98" t="str">
        <f t="shared" ca="1" si="76"/>
        <v/>
      </c>
      <c r="AZ536" s="96" t="str">
        <f t="shared" si="71"/>
        <v/>
      </c>
      <c r="BA536" s="99" t="str">
        <f t="shared" ca="1" si="77"/>
        <v/>
      </c>
      <c r="BB536" s="97" t="str">
        <f t="shared" si="72"/>
        <v/>
      </c>
      <c r="BC536" s="101" t="str">
        <f t="shared" ca="1" si="78"/>
        <v/>
      </c>
      <c r="BD536" s="100" t="str">
        <f t="shared" si="73"/>
        <v/>
      </c>
      <c r="BE536" s="103" t="str">
        <f t="shared" ca="1" si="79"/>
        <v/>
      </c>
      <c r="BF536" s="102" t="str">
        <f t="shared" si="74"/>
        <v/>
      </c>
    </row>
    <row r="537" spans="48:58" hidden="1" x14ac:dyDescent="0.25">
      <c r="AV537">
        <v>512</v>
      </c>
      <c r="AW537" s="94" t="str">
        <f t="shared" ca="1" si="75"/>
        <v/>
      </c>
      <c r="AX537" s="95" t="str">
        <f t="shared" si="70"/>
        <v/>
      </c>
      <c r="AY537" s="98" t="str">
        <f t="shared" ca="1" si="76"/>
        <v/>
      </c>
      <c r="AZ537" s="96" t="str">
        <f t="shared" si="71"/>
        <v/>
      </c>
      <c r="BA537" s="99" t="str">
        <f t="shared" ca="1" si="77"/>
        <v/>
      </c>
      <c r="BB537" s="97" t="str">
        <f t="shared" si="72"/>
        <v/>
      </c>
      <c r="BC537" s="101" t="str">
        <f t="shared" ca="1" si="78"/>
        <v/>
      </c>
      <c r="BD537" s="100" t="str">
        <f t="shared" si="73"/>
        <v/>
      </c>
      <c r="BE537" s="103" t="str">
        <f t="shared" ca="1" si="79"/>
        <v/>
      </c>
      <c r="BF537" s="102" t="str">
        <f t="shared" si="74"/>
        <v/>
      </c>
    </row>
    <row r="538" spans="48:58" hidden="1" x14ac:dyDescent="0.25">
      <c r="AV538">
        <v>513</v>
      </c>
      <c r="AW538" s="94" t="str">
        <f t="shared" ca="1" si="75"/>
        <v/>
      </c>
      <c r="AX538" s="95" t="str">
        <f t="shared" ref="AX538:AX601" si="80">IF($D$15*12&gt;=AV538,-1*$H$15,IF($D$15*12+1&gt;=AV538,InfGoal1,""))</f>
        <v/>
      </c>
      <c r="AY538" s="98" t="str">
        <f t="shared" ca="1" si="76"/>
        <v/>
      </c>
      <c r="AZ538" s="96" t="str">
        <f t="shared" ref="AZ538:AZ601" si="81">IF($D$17*12&gt;=AV538,-1*$H$17,IF($D$17*12+1&gt;=AV538,InfGoal2,""))</f>
        <v/>
      </c>
      <c r="BA538" s="99" t="str">
        <f t="shared" ca="1" si="77"/>
        <v/>
      </c>
      <c r="BB538" s="97" t="str">
        <f t="shared" ref="BB538:BB601" si="82">IF($D$19*12&gt;=AV538,-1*$H$19,IF($D$19*12+1&gt;=AV538,InfGoal3,""))</f>
        <v/>
      </c>
      <c r="BC538" s="101" t="str">
        <f t="shared" ca="1" si="78"/>
        <v/>
      </c>
      <c r="BD538" s="100" t="str">
        <f t="shared" ref="BD538:BD601" si="83">IF($D$21*12&gt;=AV538,-1*$H$21,IF($D$21*12+1&gt;=AV538,InfGoal4,""))</f>
        <v/>
      </c>
      <c r="BE538" s="103" t="str">
        <f t="shared" ca="1" si="79"/>
        <v/>
      </c>
      <c r="BF538" s="102" t="str">
        <f t="shared" ref="BF538:BF601" si="84">IF($D$23*12&gt;=AV538,-1*$H$23,IF($D$23*12+1&gt;=AV538,InfGoal5,""))</f>
        <v/>
      </c>
    </row>
    <row r="539" spans="48:58" hidden="1" x14ac:dyDescent="0.25">
      <c r="AV539">
        <v>514</v>
      </c>
      <c r="AW539" s="94" t="str">
        <f t="shared" ref="AW539:AW602" ca="1" si="85">IF($D$15*12&gt;=AV539,DATE(YEAR(TODAY()),MONTH(TODAY())+AV539-1,DAY(TODAY())),IF($D$15*12+1&gt;=AV539,DATE(YEAR(TODAY()),MONTH(TODAY())+$D$15*12,DAY(TODAY())),""))</f>
        <v/>
      </c>
      <c r="AX539" s="95" t="str">
        <f t="shared" si="80"/>
        <v/>
      </c>
      <c r="AY539" s="98" t="str">
        <f t="shared" ref="AY539:AY602" ca="1" si="86">IF($D$17*12&gt;=AV539,DATE(YEAR(TODAY()),MONTH(TODAY())+AV539-1,DAY(TODAY())),IF($D$17*12+1&gt;=AV539,DATE(YEAR(TODAY()),MONTH(TODAY())+$D$17*12,DAY(TODAY())),""))</f>
        <v/>
      </c>
      <c r="AZ539" s="96" t="str">
        <f t="shared" si="81"/>
        <v/>
      </c>
      <c r="BA539" s="99" t="str">
        <f t="shared" ref="BA539:BA602" ca="1" si="87">IF($D$19*12&gt;=AV539,DATE(YEAR(TODAY()),MONTH(TODAY())+AV539-1,DAY(TODAY())),IF($D$19*12+1&gt;=AV539,DATE(YEAR(TODAY()),MONTH(TODAY())+$D$19*12,DAY(TODAY())),""))</f>
        <v/>
      </c>
      <c r="BB539" s="97" t="str">
        <f t="shared" si="82"/>
        <v/>
      </c>
      <c r="BC539" s="101" t="str">
        <f t="shared" ref="BC539:BC602" ca="1" si="88">IF($D$21*12&gt;=AV539,DATE(YEAR(TODAY()),MONTH(TODAY())+AV539-1,DAY(TODAY())),IF($D$21*12+1&gt;=AV539,DATE(YEAR(TODAY()),MONTH(TODAY())+$D$21*12,DAY(TODAY())),""))</f>
        <v/>
      </c>
      <c r="BD539" s="100" t="str">
        <f t="shared" si="83"/>
        <v/>
      </c>
      <c r="BE539" s="103" t="str">
        <f t="shared" ref="BE539:BE602" ca="1" si="89">IF($D$23*12&gt;=AV539,DATE(YEAR(TODAY()),MONTH(TODAY())+AV539-1,DAY(TODAY())),IF($D$23*12+1&gt;=AV539,DATE(YEAR(TODAY()),MONTH(TODAY())+$D$23*12,DAY(TODAY())),""))</f>
        <v/>
      </c>
      <c r="BF539" s="102" t="str">
        <f t="shared" si="84"/>
        <v/>
      </c>
    </row>
    <row r="540" spans="48:58" hidden="1" x14ac:dyDescent="0.25">
      <c r="AV540">
        <v>515</v>
      </c>
      <c r="AW540" s="94" t="str">
        <f t="shared" ca="1" si="85"/>
        <v/>
      </c>
      <c r="AX540" s="95" t="str">
        <f t="shared" si="80"/>
        <v/>
      </c>
      <c r="AY540" s="98" t="str">
        <f t="shared" ca="1" si="86"/>
        <v/>
      </c>
      <c r="AZ540" s="96" t="str">
        <f t="shared" si="81"/>
        <v/>
      </c>
      <c r="BA540" s="99" t="str">
        <f t="shared" ca="1" si="87"/>
        <v/>
      </c>
      <c r="BB540" s="97" t="str">
        <f t="shared" si="82"/>
        <v/>
      </c>
      <c r="BC540" s="101" t="str">
        <f t="shared" ca="1" si="88"/>
        <v/>
      </c>
      <c r="BD540" s="100" t="str">
        <f t="shared" si="83"/>
        <v/>
      </c>
      <c r="BE540" s="103" t="str">
        <f t="shared" ca="1" si="89"/>
        <v/>
      </c>
      <c r="BF540" s="102" t="str">
        <f t="shared" si="84"/>
        <v/>
      </c>
    </row>
    <row r="541" spans="48:58" hidden="1" x14ac:dyDescent="0.25">
      <c r="AV541">
        <v>516</v>
      </c>
      <c r="AW541" s="94" t="str">
        <f t="shared" ca="1" si="85"/>
        <v/>
      </c>
      <c r="AX541" s="95" t="str">
        <f t="shared" si="80"/>
        <v/>
      </c>
      <c r="AY541" s="98" t="str">
        <f t="shared" ca="1" si="86"/>
        <v/>
      </c>
      <c r="AZ541" s="96" t="str">
        <f t="shared" si="81"/>
        <v/>
      </c>
      <c r="BA541" s="99" t="str">
        <f t="shared" ca="1" si="87"/>
        <v/>
      </c>
      <c r="BB541" s="97" t="str">
        <f t="shared" si="82"/>
        <v/>
      </c>
      <c r="BC541" s="101" t="str">
        <f t="shared" ca="1" si="88"/>
        <v/>
      </c>
      <c r="BD541" s="100" t="str">
        <f t="shared" si="83"/>
        <v/>
      </c>
      <c r="BE541" s="103" t="str">
        <f t="shared" ca="1" si="89"/>
        <v/>
      </c>
      <c r="BF541" s="102" t="str">
        <f t="shared" si="84"/>
        <v/>
      </c>
    </row>
    <row r="542" spans="48:58" hidden="1" x14ac:dyDescent="0.25">
      <c r="AV542">
        <v>517</v>
      </c>
      <c r="AW542" s="94" t="str">
        <f t="shared" ca="1" si="85"/>
        <v/>
      </c>
      <c r="AX542" s="95" t="str">
        <f t="shared" si="80"/>
        <v/>
      </c>
      <c r="AY542" s="98" t="str">
        <f t="shared" ca="1" si="86"/>
        <v/>
      </c>
      <c r="AZ542" s="96" t="str">
        <f t="shared" si="81"/>
        <v/>
      </c>
      <c r="BA542" s="99" t="str">
        <f t="shared" ca="1" si="87"/>
        <v/>
      </c>
      <c r="BB542" s="97" t="str">
        <f t="shared" si="82"/>
        <v/>
      </c>
      <c r="BC542" s="101" t="str">
        <f t="shared" ca="1" si="88"/>
        <v/>
      </c>
      <c r="BD542" s="100" t="str">
        <f t="shared" si="83"/>
        <v/>
      </c>
      <c r="BE542" s="103" t="str">
        <f t="shared" ca="1" si="89"/>
        <v/>
      </c>
      <c r="BF542" s="102" t="str">
        <f t="shared" si="84"/>
        <v/>
      </c>
    </row>
    <row r="543" spans="48:58" hidden="1" x14ac:dyDescent="0.25">
      <c r="AV543">
        <v>518</v>
      </c>
      <c r="AW543" s="94" t="str">
        <f t="shared" ca="1" si="85"/>
        <v/>
      </c>
      <c r="AX543" s="95" t="str">
        <f t="shared" si="80"/>
        <v/>
      </c>
      <c r="AY543" s="98" t="str">
        <f t="shared" ca="1" si="86"/>
        <v/>
      </c>
      <c r="AZ543" s="96" t="str">
        <f t="shared" si="81"/>
        <v/>
      </c>
      <c r="BA543" s="99" t="str">
        <f t="shared" ca="1" si="87"/>
        <v/>
      </c>
      <c r="BB543" s="97" t="str">
        <f t="shared" si="82"/>
        <v/>
      </c>
      <c r="BC543" s="101" t="str">
        <f t="shared" ca="1" si="88"/>
        <v/>
      </c>
      <c r="BD543" s="100" t="str">
        <f t="shared" si="83"/>
        <v/>
      </c>
      <c r="BE543" s="103" t="str">
        <f t="shared" ca="1" si="89"/>
        <v/>
      </c>
      <c r="BF543" s="102" t="str">
        <f t="shared" si="84"/>
        <v/>
      </c>
    </row>
    <row r="544" spans="48:58" hidden="1" x14ac:dyDescent="0.25">
      <c r="AV544">
        <v>519</v>
      </c>
      <c r="AW544" s="94" t="str">
        <f t="shared" ca="1" si="85"/>
        <v/>
      </c>
      <c r="AX544" s="95" t="str">
        <f t="shared" si="80"/>
        <v/>
      </c>
      <c r="AY544" s="98" t="str">
        <f t="shared" ca="1" si="86"/>
        <v/>
      </c>
      <c r="AZ544" s="96" t="str">
        <f t="shared" si="81"/>
        <v/>
      </c>
      <c r="BA544" s="99" t="str">
        <f t="shared" ca="1" si="87"/>
        <v/>
      </c>
      <c r="BB544" s="97" t="str">
        <f t="shared" si="82"/>
        <v/>
      </c>
      <c r="BC544" s="101" t="str">
        <f t="shared" ca="1" si="88"/>
        <v/>
      </c>
      <c r="BD544" s="100" t="str">
        <f t="shared" si="83"/>
        <v/>
      </c>
      <c r="BE544" s="103" t="str">
        <f t="shared" ca="1" si="89"/>
        <v/>
      </c>
      <c r="BF544" s="102" t="str">
        <f t="shared" si="84"/>
        <v/>
      </c>
    </row>
    <row r="545" spans="48:58" hidden="1" x14ac:dyDescent="0.25">
      <c r="AV545">
        <v>520</v>
      </c>
      <c r="AW545" s="94" t="str">
        <f t="shared" ca="1" si="85"/>
        <v/>
      </c>
      <c r="AX545" s="95" t="str">
        <f t="shared" si="80"/>
        <v/>
      </c>
      <c r="AY545" s="98" t="str">
        <f t="shared" ca="1" si="86"/>
        <v/>
      </c>
      <c r="AZ545" s="96" t="str">
        <f t="shared" si="81"/>
        <v/>
      </c>
      <c r="BA545" s="99" t="str">
        <f t="shared" ca="1" si="87"/>
        <v/>
      </c>
      <c r="BB545" s="97" t="str">
        <f t="shared" si="82"/>
        <v/>
      </c>
      <c r="BC545" s="101" t="str">
        <f t="shared" ca="1" si="88"/>
        <v/>
      </c>
      <c r="BD545" s="100" t="str">
        <f t="shared" si="83"/>
        <v/>
      </c>
      <c r="BE545" s="103" t="str">
        <f t="shared" ca="1" si="89"/>
        <v/>
      </c>
      <c r="BF545" s="102" t="str">
        <f t="shared" si="84"/>
        <v/>
      </c>
    </row>
    <row r="546" spans="48:58" hidden="1" x14ac:dyDescent="0.25">
      <c r="AV546">
        <v>521</v>
      </c>
      <c r="AW546" s="94" t="str">
        <f t="shared" ca="1" si="85"/>
        <v/>
      </c>
      <c r="AX546" s="95" t="str">
        <f t="shared" si="80"/>
        <v/>
      </c>
      <c r="AY546" s="98" t="str">
        <f t="shared" ca="1" si="86"/>
        <v/>
      </c>
      <c r="AZ546" s="96" t="str">
        <f t="shared" si="81"/>
        <v/>
      </c>
      <c r="BA546" s="99" t="str">
        <f t="shared" ca="1" si="87"/>
        <v/>
      </c>
      <c r="BB546" s="97" t="str">
        <f t="shared" si="82"/>
        <v/>
      </c>
      <c r="BC546" s="101" t="str">
        <f t="shared" ca="1" si="88"/>
        <v/>
      </c>
      <c r="BD546" s="100" t="str">
        <f t="shared" si="83"/>
        <v/>
      </c>
      <c r="BE546" s="103" t="str">
        <f t="shared" ca="1" si="89"/>
        <v/>
      </c>
      <c r="BF546" s="102" t="str">
        <f t="shared" si="84"/>
        <v/>
      </c>
    </row>
    <row r="547" spans="48:58" hidden="1" x14ac:dyDescent="0.25">
      <c r="AV547">
        <v>522</v>
      </c>
      <c r="AW547" s="94" t="str">
        <f t="shared" ca="1" si="85"/>
        <v/>
      </c>
      <c r="AX547" s="95" t="str">
        <f t="shared" si="80"/>
        <v/>
      </c>
      <c r="AY547" s="98" t="str">
        <f t="shared" ca="1" si="86"/>
        <v/>
      </c>
      <c r="AZ547" s="96" t="str">
        <f t="shared" si="81"/>
        <v/>
      </c>
      <c r="BA547" s="99" t="str">
        <f t="shared" ca="1" si="87"/>
        <v/>
      </c>
      <c r="BB547" s="97" t="str">
        <f t="shared" si="82"/>
        <v/>
      </c>
      <c r="BC547" s="101" t="str">
        <f t="shared" ca="1" si="88"/>
        <v/>
      </c>
      <c r="BD547" s="100" t="str">
        <f t="shared" si="83"/>
        <v/>
      </c>
      <c r="BE547" s="103" t="str">
        <f t="shared" ca="1" si="89"/>
        <v/>
      </c>
      <c r="BF547" s="102" t="str">
        <f t="shared" si="84"/>
        <v/>
      </c>
    </row>
    <row r="548" spans="48:58" hidden="1" x14ac:dyDescent="0.25">
      <c r="AV548">
        <v>523</v>
      </c>
      <c r="AW548" s="94" t="str">
        <f t="shared" ca="1" si="85"/>
        <v/>
      </c>
      <c r="AX548" s="95" t="str">
        <f t="shared" si="80"/>
        <v/>
      </c>
      <c r="AY548" s="98" t="str">
        <f t="shared" ca="1" si="86"/>
        <v/>
      </c>
      <c r="AZ548" s="96" t="str">
        <f t="shared" si="81"/>
        <v/>
      </c>
      <c r="BA548" s="99" t="str">
        <f t="shared" ca="1" si="87"/>
        <v/>
      </c>
      <c r="BB548" s="97" t="str">
        <f t="shared" si="82"/>
        <v/>
      </c>
      <c r="BC548" s="101" t="str">
        <f t="shared" ca="1" si="88"/>
        <v/>
      </c>
      <c r="BD548" s="100" t="str">
        <f t="shared" si="83"/>
        <v/>
      </c>
      <c r="BE548" s="103" t="str">
        <f t="shared" ca="1" si="89"/>
        <v/>
      </c>
      <c r="BF548" s="102" t="str">
        <f t="shared" si="84"/>
        <v/>
      </c>
    </row>
    <row r="549" spans="48:58" hidden="1" x14ac:dyDescent="0.25">
      <c r="AV549">
        <v>524</v>
      </c>
      <c r="AW549" s="94" t="str">
        <f t="shared" ca="1" si="85"/>
        <v/>
      </c>
      <c r="AX549" s="95" t="str">
        <f t="shared" si="80"/>
        <v/>
      </c>
      <c r="AY549" s="98" t="str">
        <f t="shared" ca="1" si="86"/>
        <v/>
      </c>
      <c r="AZ549" s="96" t="str">
        <f t="shared" si="81"/>
        <v/>
      </c>
      <c r="BA549" s="99" t="str">
        <f t="shared" ca="1" si="87"/>
        <v/>
      </c>
      <c r="BB549" s="97" t="str">
        <f t="shared" si="82"/>
        <v/>
      </c>
      <c r="BC549" s="101" t="str">
        <f t="shared" ca="1" si="88"/>
        <v/>
      </c>
      <c r="BD549" s="100" t="str">
        <f t="shared" si="83"/>
        <v/>
      </c>
      <c r="BE549" s="103" t="str">
        <f t="shared" ca="1" si="89"/>
        <v/>
      </c>
      <c r="BF549" s="102" t="str">
        <f t="shared" si="84"/>
        <v/>
      </c>
    </row>
    <row r="550" spans="48:58" hidden="1" x14ac:dyDescent="0.25">
      <c r="AV550">
        <v>525</v>
      </c>
      <c r="AW550" s="94" t="str">
        <f t="shared" ca="1" si="85"/>
        <v/>
      </c>
      <c r="AX550" s="95" t="str">
        <f t="shared" si="80"/>
        <v/>
      </c>
      <c r="AY550" s="98" t="str">
        <f t="shared" ca="1" si="86"/>
        <v/>
      </c>
      <c r="AZ550" s="96" t="str">
        <f t="shared" si="81"/>
        <v/>
      </c>
      <c r="BA550" s="99" t="str">
        <f t="shared" ca="1" si="87"/>
        <v/>
      </c>
      <c r="BB550" s="97" t="str">
        <f t="shared" si="82"/>
        <v/>
      </c>
      <c r="BC550" s="101" t="str">
        <f t="shared" ca="1" si="88"/>
        <v/>
      </c>
      <c r="BD550" s="100" t="str">
        <f t="shared" si="83"/>
        <v/>
      </c>
      <c r="BE550" s="103" t="str">
        <f t="shared" ca="1" si="89"/>
        <v/>
      </c>
      <c r="BF550" s="102" t="str">
        <f t="shared" si="84"/>
        <v/>
      </c>
    </row>
    <row r="551" spans="48:58" hidden="1" x14ac:dyDescent="0.25">
      <c r="AV551">
        <v>526</v>
      </c>
      <c r="AW551" s="94" t="str">
        <f t="shared" ca="1" si="85"/>
        <v/>
      </c>
      <c r="AX551" s="95" t="str">
        <f t="shared" si="80"/>
        <v/>
      </c>
      <c r="AY551" s="98" t="str">
        <f t="shared" ca="1" si="86"/>
        <v/>
      </c>
      <c r="AZ551" s="96" t="str">
        <f t="shared" si="81"/>
        <v/>
      </c>
      <c r="BA551" s="99" t="str">
        <f t="shared" ca="1" si="87"/>
        <v/>
      </c>
      <c r="BB551" s="97" t="str">
        <f t="shared" si="82"/>
        <v/>
      </c>
      <c r="BC551" s="101" t="str">
        <f t="shared" ca="1" si="88"/>
        <v/>
      </c>
      <c r="BD551" s="100" t="str">
        <f t="shared" si="83"/>
        <v/>
      </c>
      <c r="BE551" s="103" t="str">
        <f t="shared" ca="1" si="89"/>
        <v/>
      </c>
      <c r="BF551" s="102" t="str">
        <f t="shared" si="84"/>
        <v/>
      </c>
    </row>
    <row r="552" spans="48:58" hidden="1" x14ac:dyDescent="0.25">
      <c r="AV552">
        <v>527</v>
      </c>
      <c r="AW552" s="94" t="str">
        <f t="shared" ca="1" si="85"/>
        <v/>
      </c>
      <c r="AX552" s="95" t="str">
        <f t="shared" si="80"/>
        <v/>
      </c>
      <c r="AY552" s="98" t="str">
        <f t="shared" ca="1" si="86"/>
        <v/>
      </c>
      <c r="AZ552" s="96" t="str">
        <f t="shared" si="81"/>
        <v/>
      </c>
      <c r="BA552" s="99" t="str">
        <f t="shared" ca="1" si="87"/>
        <v/>
      </c>
      <c r="BB552" s="97" t="str">
        <f t="shared" si="82"/>
        <v/>
      </c>
      <c r="BC552" s="101" t="str">
        <f t="shared" ca="1" si="88"/>
        <v/>
      </c>
      <c r="BD552" s="100" t="str">
        <f t="shared" si="83"/>
        <v/>
      </c>
      <c r="BE552" s="103" t="str">
        <f t="shared" ca="1" si="89"/>
        <v/>
      </c>
      <c r="BF552" s="102" t="str">
        <f t="shared" si="84"/>
        <v/>
      </c>
    </row>
    <row r="553" spans="48:58" hidden="1" x14ac:dyDescent="0.25">
      <c r="AV553">
        <v>528</v>
      </c>
      <c r="AW553" s="94" t="str">
        <f t="shared" ca="1" si="85"/>
        <v/>
      </c>
      <c r="AX553" s="95" t="str">
        <f t="shared" si="80"/>
        <v/>
      </c>
      <c r="AY553" s="98" t="str">
        <f t="shared" ca="1" si="86"/>
        <v/>
      </c>
      <c r="AZ553" s="96" t="str">
        <f t="shared" si="81"/>
        <v/>
      </c>
      <c r="BA553" s="99" t="str">
        <f t="shared" ca="1" si="87"/>
        <v/>
      </c>
      <c r="BB553" s="97" t="str">
        <f t="shared" si="82"/>
        <v/>
      </c>
      <c r="BC553" s="101" t="str">
        <f t="shared" ca="1" si="88"/>
        <v/>
      </c>
      <c r="BD553" s="100" t="str">
        <f t="shared" si="83"/>
        <v/>
      </c>
      <c r="BE553" s="103" t="str">
        <f t="shared" ca="1" si="89"/>
        <v/>
      </c>
      <c r="BF553" s="102" t="str">
        <f t="shared" si="84"/>
        <v/>
      </c>
    </row>
    <row r="554" spans="48:58" hidden="1" x14ac:dyDescent="0.25">
      <c r="AV554">
        <v>529</v>
      </c>
      <c r="AW554" s="94" t="str">
        <f t="shared" ca="1" si="85"/>
        <v/>
      </c>
      <c r="AX554" s="95" t="str">
        <f t="shared" si="80"/>
        <v/>
      </c>
      <c r="AY554" s="98" t="str">
        <f t="shared" ca="1" si="86"/>
        <v/>
      </c>
      <c r="AZ554" s="96" t="str">
        <f t="shared" si="81"/>
        <v/>
      </c>
      <c r="BA554" s="99" t="str">
        <f t="shared" ca="1" si="87"/>
        <v/>
      </c>
      <c r="BB554" s="97" t="str">
        <f t="shared" si="82"/>
        <v/>
      </c>
      <c r="BC554" s="101" t="str">
        <f t="shared" ca="1" si="88"/>
        <v/>
      </c>
      <c r="BD554" s="100" t="str">
        <f t="shared" si="83"/>
        <v/>
      </c>
      <c r="BE554" s="103" t="str">
        <f t="shared" ca="1" si="89"/>
        <v/>
      </c>
      <c r="BF554" s="102" t="str">
        <f t="shared" si="84"/>
        <v/>
      </c>
    </row>
    <row r="555" spans="48:58" hidden="1" x14ac:dyDescent="0.25">
      <c r="AV555">
        <v>530</v>
      </c>
      <c r="AW555" s="94" t="str">
        <f t="shared" ca="1" si="85"/>
        <v/>
      </c>
      <c r="AX555" s="95" t="str">
        <f t="shared" si="80"/>
        <v/>
      </c>
      <c r="AY555" s="98" t="str">
        <f t="shared" ca="1" si="86"/>
        <v/>
      </c>
      <c r="AZ555" s="96" t="str">
        <f t="shared" si="81"/>
        <v/>
      </c>
      <c r="BA555" s="99" t="str">
        <f t="shared" ca="1" si="87"/>
        <v/>
      </c>
      <c r="BB555" s="97" t="str">
        <f t="shared" si="82"/>
        <v/>
      </c>
      <c r="BC555" s="101" t="str">
        <f t="shared" ca="1" si="88"/>
        <v/>
      </c>
      <c r="BD555" s="100" t="str">
        <f t="shared" si="83"/>
        <v/>
      </c>
      <c r="BE555" s="103" t="str">
        <f t="shared" ca="1" si="89"/>
        <v/>
      </c>
      <c r="BF555" s="102" t="str">
        <f t="shared" si="84"/>
        <v/>
      </c>
    </row>
    <row r="556" spans="48:58" hidden="1" x14ac:dyDescent="0.25">
      <c r="AV556">
        <v>531</v>
      </c>
      <c r="AW556" s="94" t="str">
        <f t="shared" ca="1" si="85"/>
        <v/>
      </c>
      <c r="AX556" s="95" t="str">
        <f t="shared" si="80"/>
        <v/>
      </c>
      <c r="AY556" s="98" t="str">
        <f t="shared" ca="1" si="86"/>
        <v/>
      </c>
      <c r="AZ556" s="96" t="str">
        <f t="shared" si="81"/>
        <v/>
      </c>
      <c r="BA556" s="99" t="str">
        <f t="shared" ca="1" si="87"/>
        <v/>
      </c>
      <c r="BB556" s="97" t="str">
        <f t="shared" si="82"/>
        <v/>
      </c>
      <c r="BC556" s="101" t="str">
        <f t="shared" ca="1" si="88"/>
        <v/>
      </c>
      <c r="BD556" s="100" t="str">
        <f t="shared" si="83"/>
        <v/>
      </c>
      <c r="BE556" s="103" t="str">
        <f t="shared" ca="1" si="89"/>
        <v/>
      </c>
      <c r="BF556" s="102" t="str">
        <f t="shared" si="84"/>
        <v/>
      </c>
    </row>
    <row r="557" spans="48:58" hidden="1" x14ac:dyDescent="0.25">
      <c r="AV557">
        <v>532</v>
      </c>
      <c r="AW557" s="94" t="str">
        <f t="shared" ca="1" si="85"/>
        <v/>
      </c>
      <c r="AX557" s="95" t="str">
        <f t="shared" si="80"/>
        <v/>
      </c>
      <c r="AY557" s="98" t="str">
        <f t="shared" ca="1" si="86"/>
        <v/>
      </c>
      <c r="AZ557" s="96" t="str">
        <f t="shared" si="81"/>
        <v/>
      </c>
      <c r="BA557" s="99" t="str">
        <f t="shared" ca="1" si="87"/>
        <v/>
      </c>
      <c r="BB557" s="97" t="str">
        <f t="shared" si="82"/>
        <v/>
      </c>
      <c r="BC557" s="101" t="str">
        <f t="shared" ca="1" si="88"/>
        <v/>
      </c>
      <c r="BD557" s="100" t="str">
        <f t="shared" si="83"/>
        <v/>
      </c>
      <c r="BE557" s="103" t="str">
        <f t="shared" ca="1" si="89"/>
        <v/>
      </c>
      <c r="BF557" s="102" t="str">
        <f t="shared" si="84"/>
        <v/>
      </c>
    </row>
    <row r="558" spans="48:58" hidden="1" x14ac:dyDescent="0.25">
      <c r="AV558">
        <v>533</v>
      </c>
      <c r="AW558" s="94" t="str">
        <f t="shared" ca="1" si="85"/>
        <v/>
      </c>
      <c r="AX558" s="95" t="str">
        <f t="shared" si="80"/>
        <v/>
      </c>
      <c r="AY558" s="98" t="str">
        <f t="shared" ca="1" si="86"/>
        <v/>
      </c>
      <c r="AZ558" s="96" t="str">
        <f t="shared" si="81"/>
        <v/>
      </c>
      <c r="BA558" s="99" t="str">
        <f t="shared" ca="1" si="87"/>
        <v/>
      </c>
      <c r="BB558" s="97" t="str">
        <f t="shared" si="82"/>
        <v/>
      </c>
      <c r="BC558" s="101" t="str">
        <f t="shared" ca="1" si="88"/>
        <v/>
      </c>
      <c r="BD558" s="100" t="str">
        <f t="shared" si="83"/>
        <v/>
      </c>
      <c r="BE558" s="103" t="str">
        <f t="shared" ca="1" si="89"/>
        <v/>
      </c>
      <c r="BF558" s="102" t="str">
        <f t="shared" si="84"/>
        <v/>
      </c>
    </row>
    <row r="559" spans="48:58" hidden="1" x14ac:dyDescent="0.25">
      <c r="AV559">
        <v>534</v>
      </c>
      <c r="AW559" s="94" t="str">
        <f t="shared" ca="1" si="85"/>
        <v/>
      </c>
      <c r="AX559" s="95" t="str">
        <f t="shared" si="80"/>
        <v/>
      </c>
      <c r="AY559" s="98" t="str">
        <f t="shared" ca="1" si="86"/>
        <v/>
      </c>
      <c r="AZ559" s="96" t="str">
        <f t="shared" si="81"/>
        <v/>
      </c>
      <c r="BA559" s="99" t="str">
        <f t="shared" ca="1" si="87"/>
        <v/>
      </c>
      <c r="BB559" s="97" t="str">
        <f t="shared" si="82"/>
        <v/>
      </c>
      <c r="BC559" s="101" t="str">
        <f t="shared" ca="1" si="88"/>
        <v/>
      </c>
      <c r="BD559" s="100" t="str">
        <f t="shared" si="83"/>
        <v/>
      </c>
      <c r="BE559" s="103" t="str">
        <f t="shared" ca="1" si="89"/>
        <v/>
      </c>
      <c r="BF559" s="102" t="str">
        <f t="shared" si="84"/>
        <v/>
      </c>
    </row>
    <row r="560" spans="48:58" hidden="1" x14ac:dyDescent="0.25">
      <c r="AV560">
        <v>535</v>
      </c>
      <c r="AW560" s="94" t="str">
        <f t="shared" ca="1" si="85"/>
        <v/>
      </c>
      <c r="AX560" s="95" t="str">
        <f t="shared" si="80"/>
        <v/>
      </c>
      <c r="AY560" s="98" t="str">
        <f t="shared" ca="1" si="86"/>
        <v/>
      </c>
      <c r="AZ560" s="96" t="str">
        <f t="shared" si="81"/>
        <v/>
      </c>
      <c r="BA560" s="99" t="str">
        <f t="shared" ca="1" si="87"/>
        <v/>
      </c>
      <c r="BB560" s="97" t="str">
        <f t="shared" si="82"/>
        <v/>
      </c>
      <c r="BC560" s="101" t="str">
        <f t="shared" ca="1" si="88"/>
        <v/>
      </c>
      <c r="BD560" s="100" t="str">
        <f t="shared" si="83"/>
        <v/>
      </c>
      <c r="BE560" s="103" t="str">
        <f t="shared" ca="1" si="89"/>
        <v/>
      </c>
      <c r="BF560" s="102" t="str">
        <f t="shared" si="84"/>
        <v/>
      </c>
    </row>
    <row r="561" spans="48:58" hidden="1" x14ac:dyDescent="0.25">
      <c r="AV561">
        <v>536</v>
      </c>
      <c r="AW561" s="94" t="str">
        <f t="shared" ca="1" si="85"/>
        <v/>
      </c>
      <c r="AX561" s="95" t="str">
        <f t="shared" si="80"/>
        <v/>
      </c>
      <c r="AY561" s="98" t="str">
        <f t="shared" ca="1" si="86"/>
        <v/>
      </c>
      <c r="AZ561" s="96" t="str">
        <f t="shared" si="81"/>
        <v/>
      </c>
      <c r="BA561" s="99" t="str">
        <f t="shared" ca="1" si="87"/>
        <v/>
      </c>
      <c r="BB561" s="97" t="str">
        <f t="shared" si="82"/>
        <v/>
      </c>
      <c r="BC561" s="101" t="str">
        <f t="shared" ca="1" si="88"/>
        <v/>
      </c>
      <c r="BD561" s="100" t="str">
        <f t="shared" si="83"/>
        <v/>
      </c>
      <c r="BE561" s="103" t="str">
        <f t="shared" ca="1" si="89"/>
        <v/>
      </c>
      <c r="BF561" s="102" t="str">
        <f t="shared" si="84"/>
        <v/>
      </c>
    </row>
    <row r="562" spans="48:58" hidden="1" x14ac:dyDescent="0.25">
      <c r="AV562">
        <v>537</v>
      </c>
      <c r="AW562" s="94" t="str">
        <f t="shared" ca="1" si="85"/>
        <v/>
      </c>
      <c r="AX562" s="95" t="str">
        <f t="shared" si="80"/>
        <v/>
      </c>
      <c r="AY562" s="98" t="str">
        <f t="shared" ca="1" si="86"/>
        <v/>
      </c>
      <c r="AZ562" s="96" t="str">
        <f t="shared" si="81"/>
        <v/>
      </c>
      <c r="BA562" s="99" t="str">
        <f t="shared" ca="1" si="87"/>
        <v/>
      </c>
      <c r="BB562" s="97" t="str">
        <f t="shared" si="82"/>
        <v/>
      </c>
      <c r="BC562" s="101" t="str">
        <f t="shared" ca="1" si="88"/>
        <v/>
      </c>
      <c r="BD562" s="100" t="str">
        <f t="shared" si="83"/>
        <v/>
      </c>
      <c r="BE562" s="103" t="str">
        <f t="shared" ca="1" si="89"/>
        <v/>
      </c>
      <c r="BF562" s="102" t="str">
        <f t="shared" si="84"/>
        <v/>
      </c>
    </row>
    <row r="563" spans="48:58" hidden="1" x14ac:dyDescent="0.25">
      <c r="AV563">
        <v>538</v>
      </c>
      <c r="AW563" s="94" t="str">
        <f t="shared" ca="1" si="85"/>
        <v/>
      </c>
      <c r="AX563" s="95" t="str">
        <f t="shared" si="80"/>
        <v/>
      </c>
      <c r="AY563" s="98" t="str">
        <f t="shared" ca="1" si="86"/>
        <v/>
      </c>
      <c r="AZ563" s="96" t="str">
        <f t="shared" si="81"/>
        <v/>
      </c>
      <c r="BA563" s="99" t="str">
        <f t="shared" ca="1" si="87"/>
        <v/>
      </c>
      <c r="BB563" s="97" t="str">
        <f t="shared" si="82"/>
        <v/>
      </c>
      <c r="BC563" s="101" t="str">
        <f t="shared" ca="1" si="88"/>
        <v/>
      </c>
      <c r="BD563" s="100" t="str">
        <f t="shared" si="83"/>
        <v/>
      </c>
      <c r="BE563" s="103" t="str">
        <f t="shared" ca="1" si="89"/>
        <v/>
      </c>
      <c r="BF563" s="102" t="str">
        <f t="shared" si="84"/>
        <v/>
      </c>
    </row>
    <row r="564" spans="48:58" hidden="1" x14ac:dyDescent="0.25">
      <c r="AV564">
        <v>539</v>
      </c>
      <c r="AW564" s="94" t="str">
        <f t="shared" ca="1" si="85"/>
        <v/>
      </c>
      <c r="AX564" s="95" t="str">
        <f t="shared" si="80"/>
        <v/>
      </c>
      <c r="AY564" s="98" t="str">
        <f t="shared" ca="1" si="86"/>
        <v/>
      </c>
      <c r="AZ564" s="96" t="str">
        <f t="shared" si="81"/>
        <v/>
      </c>
      <c r="BA564" s="99" t="str">
        <f t="shared" ca="1" si="87"/>
        <v/>
      </c>
      <c r="BB564" s="97" t="str">
        <f t="shared" si="82"/>
        <v/>
      </c>
      <c r="BC564" s="101" t="str">
        <f t="shared" ca="1" si="88"/>
        <v/>
      </c>
      <c r="BD564" s="100" t="str">
        <f t="shared" si="83"/>
        <v/>
      </c>
      <c r="BE564" s="103" t="str">
        <f t="shared" ca="1" si="89"/>
        <v/>
      </c>
      <c r="BF564" s="102" t="str">
        <f t="shared" si="84"/>
        <v/>
      </c>
    </row>
    <row r="565" spans="48:58" hidden="1" x14ac:dyDescent="0.25">
      <c r="AV565">
        <v>540</v>
      </c>
      <c r="AW565" s="94" t="str">
        <f t="shared" ca="1" si="85"/>
        <v/>
      </c>
      <c r="AX565" s="95" t="str">
        <f t="shared" si="80"/>
        <v/>
      </c>
      <c r="AY565" s="98" t="str">
        <f t="shared" ca="1" si="86"/>
        <v/>
      </c>
      <c r="AZ565" s="96" t="str">
        <f t="shared" si="81"/>
        <v/>
      </c>
      <c r="BA565" s="99" t="str">
        <f t="shared" ca="1" si="87"/>
        <v/>
      </c>
      <c r="BB565" s="97" t="str">
        <f t="shared" si="82"/>
        <v/>
      </c>
      <c r="BC565" s="101" t="str">
        <f t="shared" ca="1" si="88"/>
        <v/>
      </c>
      <c r="BD565" s="100" t="str">
        <f t="shared" si="83"/>
        <v/>
      </c>
      <c r="BE565" s="103" t="str">
        <f t="shared" ca="1" si="89"/>
        <v/>
      </c>
      <c r="BF565" s="102" t="str">
        <f t="shared" si="84"/>
        <v/>
      </c>
    </row>
    <row r="566" spans="48:58" hidden="1" x14ac:dyDescent="0.25">
      <c r="AV566">
        <v>541</v>
      </c>
      <c r="AW566" s="94" t="str">
        <f t="shared" ca="1" si="85"/>
        <v/>
      </c>
      <c r="AX566" s="95" t="str">
        <f t="shared" si="80"/>
        <v/>
      </c>
      <c r="AY566" s="98" t="str">
        <f t="shared" ca="1" si="86"/>
        <v/>
      </c>
      <c r="AZ566" s="96" t="str">
        <f t="shared" si="81"/>
        <v/>
      </c>
      <c r="BA566" s="99" t="str">
        <f t="shared" ca="1" si="87"/>
        <v/>
      </c>
      <c r="BB566" s="97" t="str">
        <f t="shared" si="82"/>
        <v/>
      </c>
      <c r="BC566" s="101" t="str">
        <f t="shared" ca="1" si="88"/>
        <v/>
      </c>
      <c r="BD566" s="100" t="str">
        <f t="shared" si="83"/>
        <v/>
      </c>
      <c r="BE566" s="103" t="str">
        <f t="shared" ca="1" si="89"/>
        <v/>
      </c>
      <c r="BF566" s="102" t="str">
        <f t="shared" si="84"/>
        <v/>
      </c>
    </row>
    <row r="567" spans="48:58" hidden="1" x14ac:dyDescent="0.25">
      <c r="AV567">
        <v>542</v>
      </c>
      <c r="AW567" s="94" t="str">
        <f t="shared" ca="1" si="85"/>
        <v/>
      </c>
      <c r="AX567" s="95" t="str">
        <f t="shared" si="80"/>
        <v/>
      </c>
      <c r="AY567" s="98" t="str">
        <f t="shared" ca="1" si="86"/>
        <v/>
      </c>
      <c r="AZ567" s="96" t="str">
        <f t="shared" si="81"/>
        <v/>
      </c>
      <c r="BA567" s="99" t="str">
        <f t="shared" ca="1" si="87"/>
        <v/>
      </c>
      <c r="BB567" s="97" t="str">
        <f t="shared" si="82"/>
        <v/>
      </c>
      <c r="BC567" s="101" t="str">
        <f t="shared" ca="1" si="88"/>
        <v/>
      </c>
      <c r="BD567" s="100" t="str">
        <f t="shared" si="83"/>
        <v/>
      </c>
      <c r="BE567" s="103" t="str">
        <f t="shared" ca="1" si="89"/>
        <v/>
      </c>
      <c r="BF567" s="102" t="str">
        <f t="shared" si="84"/>
        <v/>
      </c>
    </row>
    <row r="568" spans="48:58" hidden="1" x14ac:dyDescent="0.25">
      <c r="AV568">
        <v>543</v>
      </c>
      <c r="AW568" s="94" t="str">
        <f t="shared" ca="1" si="85"/>
        <v/>
      </c>
      <c r="AX568" s="95" t="str">
        <f t="shared" si="80"/>
        <v/>
      </c>
      <c r="AY568" s="98" t="str">
        <f t="shared" ca="1" si="86"/>
        <v/>
      </c>
      <c r="AZ568" s="96" t="str">
        <f t="shared" si="81"/>
        <v/>
      </c>
      <c r="BA568" s="99" t="str">
        <f t="shared" ca="1" si="87"/>
        <v/>
      </c>
      <c r="BB568" s="97" t="str">
        <f t="shared" si="82"/>
        <v/>
      </c>
      <c r="BC568" s="101" t="str">
        <f t="shared" ca="1" si="88"/>
        <v/>
      </c>
      <c r="BD568" s="100" t="str">
        <f t="shared" si="83"/>
        <v/>
      </c>
      <c r="BE568" s="103" t="str">
        <f t="shared" ca="1" si="89"/>
        <v/>
      </c>
      <c r="BF568" s="102" t="str">
        <f t="shared" si="84"/>
        <v/>
      </c>
    </row>
    <row r="569" spans="48:58" hidden="1" x14ac:dyDescent="0.25">
      <c r="AV569">
        <v>544</v>
      </c>
      <c r="AW569" s="94" t="str">
        <f t="shared" ca="1" si="85"/>
        <v/>
      </c>
      <c r="AX569" s="95" t="str">
        <f t="shared" si="80"/>
        <v/>
      </c>
      <c r="AY569" s="98" t="str">
        <f t="shared" ca="1" si="86"/>
        <v/>
      </c>
      <c r="AZ569" s="96" t="str">
        <f t="shared" si="81"/>
        <v/>
      </c>
      <c r="BA569" s="99" t="str">
        <f t="shared" ca="1" si="87"/>
        <v/>
      </c>
      <c r="BB569" s="97" t="str">
        <f t="shared" si="82"/>
        <v/>
      </c>
      <c r="BC569" s="101" t="str">
        <f t="shared" ca="1" si="88"/>
        <v/>
      </c>
      <c r="BD569" s="100" t="str">
        <f t="shared" si="83"/>
        <v/>
      </c>
      <c r="BE569" s="103" t="str">
        <f t="shared" ca="1" si="89"/>
        <v/>
      </c>
      <c r="BF569" s="102" t="str">
        <f t="shared" si="84"/>
        <v/>
      </c>
    </row>
    <row r="570" spans="48:58" hidden="1" x14ac:dyDescent="0.25">
      <c r="AV570">
        <v>545</v>
      </c>
      <c r="AW570" s="94" t="str">
        <f t="shared" ca="1" si="85"/>
        <v/>
      </c>
      <c r="AX570" s="95" t="str">
        <f t="shared" si="80"/>
        <v/>
      </c>
      <c r="AY570" s="98" t="str">
        <f t="shared" ca="1" si="86"/>
        <v/>
      </c>
      <c r="AZ570" s="96" t="str">
        <f t="shared" si="81"/>
        <v/>
      </c>
      <c r="BA570" s="99" t="str">
        <f t="shared" ca="1" si="87"/>
        <v/>
      </c>
      <c r="BB570" s="97" t="str">
        <f t="shared" si="82"/>
        <v/>
      </c>
      <c r="BC570" s="101" t="str">
        <f t="shared" ca="1" si="88"/>
        <v/>
      </c>
      <c r="BD570" s="100" t="str">
        <f t="shared" si="83"/>
        <v/>
      </c>
      <c r="BE570" s="103" t="str">
        <f t="shared" ca="1" si="89"/>
        <v/>
      </c>
      <c r="BF570" s="102" t="str">
        <f t="shared" si="84"/>
        <v/>
      </c>
    </row>
    <row r="571" spans="48:58" hidden="1" x14ac:dyDescent="0.25">
      <c r="AV571">
        <v>546</v>
      </c>
      <c r="AW571" s="94" t="str">
        <f t="shared" ca="1" si="85"/>
        <v/>
      </c>
      <c r="AX571" s="95" t="str">
        <f t="shared" si="80"/>
        <v/>
      </c>
      <c r="AY571" s="98" t="str">
        <f t="shared" ca="1" si="86"/>
        <v/>
      </c>
      <c r="AZ571" s="96" t="str">
        <f t="shared" si="81"/>
        <v/>
      </c>
      <c r="BA571" s="99" t="str">
        <f t="shared" ca="1" si="87"/>
        <v/>
      </c>
      <c r="BB571" s="97" t="str">
        <f t="shared" si="82"/>
        <v/>
      </c>
      <c r="BC571" s="101" t="str">
        <f t="shared" ca="1" si="88"/>
        <v/>
      </c>
      <c r="BD571" s="100" t="str">
        <f t="shared" si="83"/>
        <v/>
      </c>
      <c r="BE571" s="103" t="str">
        <f t="shared" ca="1" si="89"/>
        <v/>
      </c>
      <c r="BF571" s="102" t="str">
        <f t="shared" si="84"/>
        <v/>
      </c>
    </row>
    <row r="572" spans="48:58" hidden="1" x14ac:dyDescent="0.25">
      <c r="AV572">
        <v>547</v>
      </c>
      <c r="AW572" s="94" t="str">
        <f t="shared" ca="1" si="85"/>
        <v/>
      </c>
      <c r="AX572" s="95" t="str">
        <f t="shared" si="80"/>
        <v/>
      </c>
      <c r="AY572" s="98" t="str">
        <f t="shared" ca="1" si="86"/>
        <v/>
      </c>
      <c r="AZ572" s="96" t="str">
        <f t="shared" si="81"/>
        <v/>
      </c>
      <c r="BA572" s="99" t="str">
        <f t="shared" ca="1" si="87"/>
        <v/>
      </c>
      <c r="BB572" s="97" t="str">
        <f t="shared" si="82"/>
        <v/>
      </c>
      <c r="BC572" s="101" t="str">
        <f t="shared" ca="1" si="88"/>
        <v/>
      </c>
      <c r="BD572" s="100" t="str">
        <f t="shared" si="83"/>
        <v/>
      </c>
      <c r="BE572" s="103" t="str">
        <f t="shared" ca="1" si="89"/>
        <v/>
      </c>
      <c r="BF572" s="102" t="str">
        <f t="shared" si="84"/>
        <v/>
      </c>
    </row>
    <row r="573" spans="48:58" hidden="1" x14ac:dyDescent="0.25">
      <c r="AV573">
        <v>548</v>
      </c>
      <c r="AW573" s="94" t="str">
        <f t="shared" ca="1" si="85"/>
        <v/>
      </c>
      <c r="AX573" s="95" t="str">
        <f t="shared" si="80"/>
        <v/>
      </c>
      <c r="AY573" s="98" t="str">
        <f t="shared" ca="1" si="86"/>
        <v/>
      </c>
      <c r="AZ573" s="96" t="str">
        <f t="shared" si="81"/>
        <v/>
      </c>
      <c r="BA573" s="99" t="str">
        <f t="shared" ca="1" si="87"/>
        <v/>
      </c>
      <c r="BB573" s="97" t="str">
        <f t="shared" si="82"/>
        <v/>
      </c>
      <c r="BC573" s="101" t="str">
        <f t="shared" ca="1" si="88"/>
        <v/>
      </c>
      <c r="BD573" s="100" t="str">
        <f t="shared" si="83"/>
        <v/>
      </c>
      <c r="BE573" s="103" t="str">
        <f t="shared" ca="1" si="89"/>
        <v/>
      </c>
      <c r="BF573" s="102" t="str">
        <f t="shared" si="84"/>
        <v/>
      </c>
    </row>
    <row r="574" spans="48:58" hidden="1" x14ac:dyDescent="0.25">
      <c r="AV574">
        <v>549</v>
      </c>
      <c r="AW574" s="94" t="str">
        <f t="shared" ca="1" si="85"/>
        <v/>
      </c>
      <c r="AX574" s="95" t="str">
        <f t="shared" si="80"/>
        <v/>
      </c>
      <c r="AY574" s="98" t="str">
        <f t="shared" ca="1" si="86"/>
        <v/>
      </c>
      <c r="AZ574" s="96" t="str">
        <f t="shared" si="81"/>
        <v/>
      </c>
      <c r="BA574" s="99" t="str">
        <f t="shared" ca="1" si="87"/>
        <v/>
      </c>
      <c r="BB574" s="97" t="str">
        <f t="shared" si="82"/>
        <v/>
      </c>
      <c r="BC574" s="101" t="str">
        <f t="shared" ca="1" si="88"/>
        <v/>
      </c>
      <c r="BD574" s="100" t="str">
        <f t="shared" si="83"/>
        <v/>
      </c>
      <c r="BE574" s="103" t="str">
        <f t="shared" ca="1" si="89"/>
        <v/>
      </c>
      <c r="BF574" s="102" t="str">
        <f t="shared" si="84"/>
        <v/>
      </c>
    </row>
    <row r="575" spans="48:58" hidden="1" x14ac:dyDescent="0.25">
      <c r="AV575">
        <v>550</v>
      </c>
      <c r="AW575" s="94" t="str">
        <f t="shared" ca="1" si="85"/>
        <v/>
      </c>
      <c r="AX575" s="95" t="str">
        <f t="shared" si="80"/>
        <v/>
      </c>
      <c r="AY575" s="98" t="str">
        <f t="shared" ca="1" si="86"/>
        <v/>
      </c>
      <c r="AZ575" s="96" t="str">
        <f t="shared" si="81"/>
        <v/>
      </c>
      <c r="BA575" s="99" t="str">
        <f t="shared" ca="1" si="87"/>
        <v/>
      </c>
      <c r="BB575" s="97" t="str">
        <f t="shared" si="82"/>
        <v/>
      </c>
      <c r="BC575" s="101" t="str">
        <f t="shared" ca="1" si="88"/>
        <v/>
      </c>
      <c r="BD575" s="100" t="str">
        <f t="shared" si="83"/>
        <v/>
      </c>
      <c r="BE575" s="103" t="str">
        <f t="shared" ca="1" si="89"/>
        <v/>
      </c>
      <c r="BF575" s="102" t="str">
        <f t="shared" si="84"/>
        <v/>
      </c>
    </row>
    <row r="576" spans="48:58" hidden="1" x14ac:dyDescent="0.25">
      <c r="AV576">
        <v>551</v>
      </c>
      <c r="AW576" s="94" t="str">
        <f t="shared" ca="1" si="85"/>
        <v/>
      </c>
      <c r="AX576" s="95" t="str">
        <f t="shared" si="80"/>
        <v/>
      </c>
      <c r="AY576" s="98" t="str">
        <f t="shared" ca="1" si="86"/>
        <v/>
      </c>
      <c r="AZ576" s="96" t="str">
        <f t="shared" si="81"/>
        <v/>
      </c>
      <c r="BA576" s="99" t="str">
        <f t="shared" ca="1" si="87"/>
        <v/>
      </c>
      <c r="BB576" s="97" t="str">
        <f t="shared" si="82"/>
        <v/>
      </c>
      <c r="BC576" s="101" t="str">
        <f t="shared" ca="1" si="88"/>
        <v/>
      </c>
      <c r="BD576" s="100" t="str">
        <f t="shared" si="83"/>
        <v/>
      </c>
      <c r="BE576" s="103" t="str">
        <f t="shared" ca="1" si="89"/>
        <v/>
      </c>
      <c r="BF576" s="102" t="str">
        <f t="shared" si="84"/>
        <v/>
      </c>
    </row>
    <row r="577" spans="48:58" hidden="1" x14ac:dyDescent="0.25">
      <c r="AV577">
        <v>552</v>
      </c>
      <c r="AW577" s="94" t="str">
        <f t="shared" ca="1" si="85"/>
        <v/>
      </c>
      <c r="AX577" s="95" t="str">
        <f t="shared" si="80"/>
        <v/>
      </c>
      <c r="AY577" s="98" t="str">
        <f t="shared" ca="1" si="86"/>
        <v/>
      </c>
      <c r="AZ577" s="96" t="str">
        <f t="shared" si="81"/>
        <v/>
      </c>
      <c r="BA577" s="99" t="str">
        <f t="shared" ca="1" si="87"/>
        <v/>
      </c>
      <c r="BB577" s="97" t="str">
        <f t="shared" si="82"/>
        <v/>
      </c>
      <c r="BC577" s="101" t="str">
        <f t="shared" ca="1" si="88"/>
        <v/>
      </c>
      <c r="BD577" s="100" t="str">
        <f t="shared" si="83"/>
        <v/>
      </c>
      <c r="BE577" s="103" t="str">
        <f t="shared" ca="1" si="89"/>
        <v/>
      </c>
      <c r="BF577" s="102" t="str">
        <f t="shared" si="84"/>
        <v/>
      </c>
    </row>
    <row r="578" spans="48:58" hidden="1" x14ac:dyDescent="0.25">
      <c r="AV578">
        <v>553</v>
      </c>
      <c r="AW578" s="94" t="str">
        <f t="shared" ca="1" si="85"/>
        <v/>
      </c>
      <c r="AX578" s="95" t="str">
        <f t="shared" si="80"/>
        <v/>
      </c>
      <c r="AY578" s="98" t="str">
        <f t="shared" ca="1" si="86"/>
        <v/>
      </c>
      <c r="AZ578" s="96" t="str">
        <f t="shared" si="81"/>
        <v/>
      </c>
      <c r="BA578" s="99" t="str">
        <f t="shared" ca="1" si="87"/>
        <v/>
      </c>
      <c r="BB578" s="97" t="str">
        <f t="shared" si="82"/>
        <v/>
      </c>
      <c r="BC578" s="101" t="str">
        <f t="shared" ca="1" si="88"/>
        <v/>
      </c>
      <c r="BD578" s="100" t="str">
        <f t="shared" si="83"/>
        <v/>
      </c>
      <c r="BE578" s="103" t="str">
        <f t="shared" ca="1" si="89"/>
        <v/>
      </c>
      <c r="BF578" s="102" t="str">
        <f t="shared" si="84"/>
        <v/>
      </c>
    </row>
    <row r="579" spans="48:58" hidden="1" x14ac:dyDescent="0.25">
      <c r="AV579">
        <v>554</v>
      </c>
      <c r="AW579" s="94" t="str">
        <f t="shared" ca="1" si="85"/>
        <v/>
      </c>
      <c r="AX579" s="95" t="str">
        <f t="shared" si="80"/>
        <v/>
      </c>
      <c r="AY579" s="98" t="str">
        <f t="shared" ca="1" si="86"/>
        <v/>
      </c>
      <c r="AZ579" s="96" t="str">
        <f t="shared" si="81"/>
        <v/>
      </c>
      <c r="BA579" s="99" t="str">
        <f t="shared" ca="1" si="87"/>
        <v/>
      </c>
      <c r="BB579" s="97" t="str">
        <f t="shared" si="82"/>
        <v/>
      </c>
      <c r="BC579" s="101" t="str">
        <f t="shared" ca="1" si="88"/>
        <v/>
      </c>
      <c r="BD579" s="100" t="str">
        <f t="shared" si="83"/>
        <v/>
      </c>
      <c r="BE579" s="103" t="str">
        <f t="shared" ca="1" si="89"/>
        <v/>
      </c>
      <c r="BF579" s="102" t="str">
        <f t="shared" si="84"/>
        <v/>
      </c>
    </row>
    <row r="580" spans="48:58" hidden="1" x14ac:dyDescent="0.25">
      <c r="AV580">
        <v>555</v>
      </c>
      <c r="AW580" s="94" t="str">
        <f t="shared" ca="1" si="85"/>
        <v/>
      </c>
      <c r="AX580" s="95" t="str">
        <f t="shared" si="80"/>
        <v/>
      </c>
      <c r="AY580" s="98" t="str">
        <f t="shared" ca="1" si="86"/>
        <v/>
      </c>
      <c r="AZ580" s="96" t="str">
        <f t="shared" si="81"/>
        <v/>
      </c>
      <c r="BA580" s="99" t="str">
        <f t="shared" ca="1" si="87"/>
        <v/>
      </c>
      <c r="BB580" s="97" t="str">
        <f t="shared" si="82"/>
        <v/>
      </c>
      <c r="BC580" s="101" t="str">
        <f t="shared" ca="1" si="88"/>
        <v/>
      </c>
      <c r="BD580" s="100" t="str">
        <f t="shared" si="83"/>
        <v/>
      </c>
      <c r="BE580" s="103" t="str">
        <f t="shared" ca="1" si="89"/>
        <v/>
      </c>
      <c r="BF580" s="102" t="str">
        <f t="shared" si="84"/>
        <v/>
      </c>
    </row>
    <row r="581" spans="48:58" hidden="1" x14ac:dyDescent="0.25">
      <c r="AV581">
        <v>556</v>
      </c>
      <c r="AW581" s="94" t="str">
        <f t="shared" ca="1" si="85"/>
        <v/>
      </c>
      <c r="AX581" s="95" t="str">
        <f t="shared" si="80"/>
        <v/>
      </c>
      <c r="AY581" s="98" t="str">
        <f t="shared" ca="1" si="86"/>
        <v/>
      </c>
      <c r="AZ581" s="96" t="str">
        <f t="shared" si="81"/>
        <v/>
      </c>
      <c r="BA581" s="99" t="str">
        <f t="shared" ca="1" si="87"/>
        <v/>
      </c>
      <c r="BB581" s="97" t="str">
        <f t="shared" si="82"/>
        <v/>
      </c>
      <c r="BC581" s="101" t="str">
        <f t="shared" ca="1" si="88"/>
        <v/>
      </c>
      <c r="BD581" s="100" t="str">
        <f t="shared" si="83"/>
        <v/>
      </c>
      <c r="BE581" s="103" t="str">
        <f t="shared" ca="1" si="89"/>
        <v/>
      </c>
      <c r="BF581" s="102" t="str">
        <f t="shared" si="84"/>
        <v/>
      </c>
    </row>
    <row r="582" spans="48:58" hidden="1" x14ac:dyDescent="0.25">
      <c r="AV582">
        <v>557</v>
      </c>
      <c r="AW582" s="94" t="str">
        <f t="shared" ca="1" si="85"/>
        <v/>
      </c>
      <c r="AX582" s="95" t="str">
        <f t="shared" si="80"/>
        <v/>
      </c>
      <c r="AY582" s="98" t="str">
        <f t="shared" ca="1" si="86"/>
        <v/>
      </c>
      <c r="AZ582" s="96" t="str">
        <f t="shared" si="81"/>
        <v/>
      </c>
      <c r="BA582" s="99" t="str">
        <f t="shared" ca="1" si="87"/>
        <v/>
      </c>
      <c r="BB582" s="97" t="str">
        <f t="shared" si="82"/>
        <v/>
      </c>
      <c r="BC582" s="101" t="str">
        <f t="shared" ca="1" si="88"/>
        <v/>
      </c>
      <c r="BD582" s="100" t="str">
        <f t="shared" si="83"/>
        <v/>
      </c>
      <c r="BE582" s="103" t="str">
        <f t="shared" ca="1" si="89"/>
        <v/>
      </c>
      <c r="BF582" s="102" t="str">
        <f t="shared" si="84"/>
        <v/>
      </c>
    </row>
    <row r="583" spans="48:58" hidden="1" x14ac:dyDescent="0.25">
      <c r="AV583">
        <v>558</v>
      </c>
      <c r="AW583" s="94" t="str">
        <f t="shared" ca="1" si="85"/>
        <v/>
      </c>
      <c r="AX583" s="95" t="str">
        <f t="shared" si="80"/>
        <v/>
      </c>
      <c r="AY583" s="98" t="str">
        <f t="shared" ca="1" si="86"/>
        <v/>
      </c>
      <c r="AZ583" s="96" t="str">
        <f t="shared" si="81"/>
        <v/>
      </c>
      <c r="BA583" s="99" t="str">
        <f t="shared" ca="1" si="87"/>
        <v/>
      </c>
      <c r="BB583" s="97" t="str">
        <f t="shared" si="82"/>
        <v/>
      </c>
      <c r="BC583" s="101" t="str">
        <f t="shared" ca="1" si="88"/>
        <v/>
      </c>
      <c r="BD583" s="100" t="str">
        <f t="shared" si="83"/>
        <v/>
      </c>
      <c r="BE583" s="103" t="str">
        <f t="shared" ca="1" si="89"/>
        <v/>
      </c>
      <c r="BF583" s="102" t="str">
        <f t="shared" si="84"/>
        <v/>
      </c>
    </row>
    <row r="584" spans="48:58" hidden="1" x14ac:dyDescent="0.25">
      <c r="AV584">
        <v>559</v>
      </c>
      <c r="AW584" s="94" t="str">
        <f t="shared" ca="1" si="85"/>
        <v/>
      </c>
      <c r="AX584" s="95" t="str">
        <f t="shared" si="80"/>
        <v/>
      </c>
      <c r="AY584" s="98" t="str">
        <f t="shared" ca="1" si="86"/>
        <v/>
      </c>
      <c r="AZ584" s="96" t="str">
        <f t="shared" si="81"/>
        <v/>
      </c>
      <c r="BA584" s="99" t="str">
        <f t="shared" ca="1" si="87"/>
        <v/>
      </c>
      <c r="BB584" s="97" t="str">
        <f t="shared" si="82"/>
        <v/>
      </c>
      <c r="BC584" s="101" t="str">
        <f t="shared" ca="1" si="88"/>
        <v/>
      </c>
      <c r="BD584" s="100" t="str">
        <f t="shared" si="83"/>
        <v/>
      </c>
      <c r="BE584" s="103" t="str">
        <f t="shared" ca="1" si="89"/>
        <v/>
      </c>
      <c r="BF584" s="102" t="str">
        <f t="shared" si="84"/>
        <v/>
      </c>
    </row>
    <row r="585" spans="48:58" hidden="1" x14ac:dyDescent="0.25">
      <c r="AV585">
        <v>560</v>
      </c>
      <c r="AW585" s="94" t="str">
        <f t="shared" ca="1" si="85"/>
        <v/>
      </c>
      <c r="AX585" s="95" t="str">
        <f t="shared" si="80"/>
        <v/>
      </c>
      <c r="AY585" s="98" t="str">
        <f t="shared" ca="1" si="86"/>
        <v/>
      </c>
      <c r="AZ585" s="96" t="str">
        <f t="shared" si="81"/>
        <v/>
      </c>
      <c r="BA585" s="99" t="str">
        <f t="shared" ca="1" si="87"/>
        <v/>
      </c>
      <c r="BB585" s="97" t="str">
        <f t="shared" si="82"/>
        <v/>
      </c>
      <c r="BC585" s="101" t="str">
        <f t="shared" ca="1" si="88"/>
        <v/>
      </c>
      <c r="BD585" s="100" t="str">
        <f t="shared" si="83"/>
        <v/>
      </c>
      <c r="BE585" s="103" t="str">
        <f t="shared" ca="1" si="89"/>
        <v/>
      </c>
      <c r="BF585" s="102" t="str">
        <f t="shared" si="84"/>
        <v/>
      </c>
    </row>
    <row r="586" spans="48:58" hidden="1" x14ac:dyDescent="0.25">
      <c r="AV586">
        <v>561</v>
      </c>
      <c r="AW586" s="94" t="str">
        <f t="shared" ca="1" si="85"/>
        <v/>
      </c>
      <c r="AX586" s="95" t="str">
        <f t="shared" si="80"/>
        <v/>
      </c>
      <c r="AY586" s="98" t="str">
        <f t="shared" ca="1" si="86"/>
        <v/>
      </c>
      <c r="AZ586" s="96" t="str">
        <f t="shared" si="81"/>
        <v/>
      </c>
      <c r="BA586" s="99" t="str">
        <f t="shared" ca="1" si="87"/>
        <v/>
      </c>
      <c r="BB586" s="97" t="str">
        <f t="shared" si="82"/>
        <v/>
      </c>
      <c r="BC586" s="101" t="str">
        <f t="shared" ca="1" si="88"/>
        <v/>
      </c>
      <c r="BD586" s="100" t="str">
        <f t="shared" si="83"/>
        <v/>
      </c>
      <c r="BE586" s="103" t="str">
        <f t="shared" ca="1" si="89"/>
        <v/>
      </c>
      <c r="BF586" s="102" t="str">
        <f t="shared" si="84"/>
        <v/>
      </c>
    </row>
    <row r="587" spans="48:58" hidden="1" x14ac:dyDescent="0.25">
      <c r="AV587">
        <v>562</v>
      </c>
      <c r="AW587" s="94" t="str">
        <f t="shared" ca="1" si="85"/>
        <v/>
      </c>
      <c r="AX587" s="95" t="str">
        <f t="shared" si="80"/>
        <v/>
      </c>
      <c r="AY587" s="98" t="str">
        <f t="shared" ca="1" si="86"/>
        <v/>
      </c>
      <c r="AZ587" s="96" t="str">
        <f t="shared" si="81"/>
        <v/>
      </c>
      <c r="BA587" s="99" t="str">
        <f t="shared" ca="1" si="87"/>
        <v/>
      </c>
      <c r="BB587" s="97" t="str">
        <f t="shared" si="82"/>
        <v/>
      </c>
      <c r="BC587" s="101" t="str">
        <f t="shared" ca="1" si="88"/>
        <v/>
      </c>
      <c r="BD587" s="100" t="str">
        <f t="shared" si="83"/>
        <v/>
      </c>
      <c r="BE587" s="103" t="str">
        <f t="shared" ca="1" si="89"/>
        <v/>
      </c>
      <c r="BF587" s="102" t="str">
        <f t="shared" si="84"/>
        <v/>
      </c>
    </row>
    <row r="588" spans="48:58" hidden="1" x14ac:dyDescent="0.25">
      <c r="AV588">
        <v>563</v>
      </c>
      <c r="AW588" s="94" t="str">
        <f t="shared" ca="1" si="85"/>
        <v/>
      </c>
      <c r="AX588" s="95" t="str">
        <f t="shared" si="80"/>
        <v/>
      </c>
      <c r="AY588" s="98" t="str">
        <f t="shared" ca="1" si="86"/>
        <v/>
      </c>
      <c r="AZ588" s="96" t="str">
        <f t="shared" si="81"/>
        <v/>
      </c>
      <c r="BA588" s="99" t="str">
        <f t="shared" ca="1" si="87"/>
        <v/>
      </c>
      <c r="BB588" s="97" t="str">
        <f t="shared" si="82"/>
        <v/>
      </c>
      <c r="BC588" s="101" t="str">
        <f t="shared" ca="1" si="88"/>
        <v/>
      </c>
      <c r="BD588" s="100" t="str">
        <f t="shared" si="83"/>
        <v/>
      </c>
      <c r="BE588" s="103" t="str">
        <f t="shared" ca="1" si="89"/>
        <v/>
      </c>
      <c r="BF588" s="102" t="str">
        <f t="shared" si="84"/>
        <v/>
      </c>
    </row>
    <row r="589" spans="48:58" hidden="1" x14ac:dyDescent="0.25">
      <c r="AV589">
        <v>564</v>
      </c>
      <c r="AW589" s="94" t="str">
        <f t="shared" ca="1" si="85"/>
        <v/>
      </c>
      <c r="AX589" s="95" t="str">
        <f t="shared" si="80"/>
        <v/>
      </c>
      <c r="AY589" s="98" t="str">
        <f t="shared" ca="1" si="86"/>
        <v/>
      </c>
      <c r="AZ589" s="96" t="str">
        <f t="shared" si="81"/>
        <v/>
      </c>
      <c r="BA589" s="99" t="str">
        <f t="shared" ca="1" si="87"/>
        <v/>
      </c>
      <c r="BB589" s="97" t="str">
        <f t="shared" si="82"/>
        <v/>
      </c>
      <c r="BC589" s="101" t="str">
        <f t="shared" ca="1" si="88"/>
        <v/>
      </c>
      <c r="BD589" s="100" t="str">
        <f t="shared" si="83"/>
        <v/>
      </c>
      <c r="BE589" s="103" t="str">
        <f t="shared" ca="1" si="89"/>
        <v/>
      </c>
      <c r="BF589" s="102" t="str">
        <f t="shared" si="84"/>
        <v/>
      </c>
    </row>
    <row r="590" spans="48:58" hidden="1" x14ac:dyDescent="0.25">
      <c r="AV590">
        <v>565</v>
      </c>
      <c r="AW590" s="94" t="str">
        <f t="shared" ca="1" si="85"/>
        <v/>
      </c>
      <c r="AX590" s="95" t="str">
        <f t="shared" si="80"/>
        <v/>
      </c>
      <c r="AY590" s="98" t="str">
        <f t="shared" ca="1" si="86"/>
        <v/>
      </c>
      <c r="AZ590" s="96" t="str">
        <f t="shared" si="81"/>
        <v/>
      </c>
      <c r="BA590" s="99" t="str">
        <f t="shared" ca="1" si="87"/>
        <v/>
      </c>
      <c r="BB590" s="97" t="str">
        <f t="shared" si="82"/>
        <v/>
      </c>
      <c r="BC590" s="101" t="str">
        <f t="shared" ca="1" si="88"/>
        <v/>
      </c>
      <c r="BD590" s="100" t="str">
        <f t="shared" si="83"/>
        <v/>
      </c>
      <c r="BE590" s="103" t="str">
        <f t="shared" ca="1" si="89"/>
        <v/>
      </c>
      <c r="BF590" s="102" t="str">
        <f t="shared" si="84"/>
        <v/>
      </c>
    </row>
    <row r="591" spans="48:58" hidden="1" x14ac:dyDescent="0.25">
      <c r="AV591">
        <v>566</v>
      </c>
      <c r="AW591" s="94" t="str">
        <f t="shared" ca="1" si="85"/>
        <v/>
      </c>
      <c r="AX591" s="95" t="str">
        <f t="shared" si="80"/>
        <v/>
      </c>
      <c r="AY591" s="98" t="str">
        <f t="shared" ca="1" si="86"/>
        <v/>
      </c>
      <c r="AZ591" s="96" t="str">
        <f t="shared" si="81"/>
        <v/>
      </c>
      <c r="BA591" s="99" t="str">
        <f t="shared" ca="1" si="87"/>
        <v/>
      </c>
      <c r="BB591" s="97" t="str">
        <f t="shared" si="82"/>
        <v/>
      </c>
      <c r="BC591" s="101" t="str">
        <f t="shared" ca="1" si="88"/>
        <v/>
      </c>
      <c r="BD591" s="100" t="str">
        <f t="shared" si="83"/>
        <v/>
      </c>
      <c r="BE591" s="103" t="str">
        <f t="shared" ca="1" si="89"/>
        <v/>
      </c>
      <c r="BF591" s="102" t="str">
        <f t="shared" si="84"/>
        <v/>
      </c>
    </row>
    <row r="592" spans="48:58" hidden="1" x14ac:dyDescent="0.25">
      <c r="AV592">
        <v>567</v>
      </c>
      <c r="AW592" s="94" t="str">
        <f t="shared" ca="1" si="85"/>
        <v/>
      </c>
      <c r="AX592" s="95" t="str">
        <f t="shared" si="80"/>
        <v/>
      </c>
      <c r="AY592" s="98" t="str">
        <f t="shared" ca="1" si="86"/>
        <v/>
      </c>
      <c r="AZ592" s="96" t="str">
        <f t="shared" si="81"/>
        <v/>
      </c>
      <c r="BA592" s="99" t="str">
        <f t="shared" ca="1" si="87"/>
        <v/>
      </c>
      <c r="BB592" s="97" t="str">
        <f t="shared" si="82"/>
        <v/>
      </c>
      <c r="BC592" s="101" t="str">
        <f t="shared" ca="1" si="88"/>
        <v/>
      </c>
      <c r="BD592" s="100" t="str">
        <f t="shared" si="83"/>
        <v/>
      </c>
      <c r="BE592" s="103" t="str">
        <f t="shared" ca="1" si="89"/>
        <v/>
      </c>
      <c r="BF592" s="102" t="str">
        <f t="shared" si="84"/>
        <v/>
      </c>
    </row>
    <row r="593" spans="48:58" hidden="1" x14ac:dyDescent="0.25">
      <c r="AV593">
        <v>568</v>
      </c>
      <c r="AW593" s="94" t="str">
        <f t="shared" ca="1" si="85"/>
        <v/>
      </c>
      <c r="AX593" s="95" t="str">
        <f t="shared" si="80"/>
        <v/>
      </c>
      <c r="AY593" s="98" t="str">
        <f t="shared" ca="1" si="86"/>
        <v/>
      </c>
      <c r="AZ593" s="96" t="str">
        <f t="shared" si="81"/>
        <v/>
      </c>
      <c r="BA593" s="99" t="str">
        <f t="shared" ca="1" si="87"/>
        <v/>
      </c>
      <c r="BB593" s="97" t="str">
        <f t="shared" si="82"/>
        <v/>
      </c>
      <c r="BC593" s="101" t="str">
        <f t="shared" ca="1" si="88"/>
        <v/>
      </c>
      <c r="BD593" s="100" t="str">
        <f t="shared" si="83"/>
        <v/>
      </c>
      <c r="BE593" s="103" t="str">
        <f t="shared" ca="1" si="89"/>
        <v/>
      </c>
      <c r="BF593" s="102" t="str">
        <f t="shared" si="84"/>
        <v/>
      </c>
    </row>
    <row r="594" spans="48:58" hidden="1" x14ac:dyDescent="0.25">
      <c r="AV594">
        <v>569</v>
      </c>
      <c r="AW594" s="94" t="str">
        <f t="shared" ca="1" si="85"/>
        <v/>
      </c>
      <c r="AX594" s="95" t="str">
        <f t="shared" si="80"/>
        <v/>
      </c>
      <c r="AY594" s="98" t="str">
        <f t="shared" ca="1" si="86"/>
        <v/>
      </c>
      <c r="AZ594" s="96" t="str">
        <f t="shared" si="81"/>
        <v/>
      </c>
      <c r="BA594" s="99" t="str">
        <f t="shared" ca="1" si="87"/>
        <v/>
      </c>
      <c r="BB594" s="97" t="str">
        <f t="shared" si="82"/>
        <v/>
      </c>
      <c r="BC594" s="101" t="str">
        <f t="shared" ca="1" si="88"/>
        <v/>
      </c>
      <c r="BD594" s="100" t="str">
        <f t="shared" si="83"/>
        <v/>
      </c>
      <c r="BE594" s="103" t="str">
        <f t="shared" ca="1" si="89"/>
        <v/>
      </c>
      <c r="BF594" s="102" t="str">
        <f t="shared" si="84"/>
        <v/>
      </c>
    </row>
    <row r="595" spans="48:58" hidden="1" x14ac:dyDescent="0.25">
      <c r="AV595">
        <v>570</v>
      </c>
      <c r="AW595" s="94" t="str">
        <f t="shared" ca="1" si="85"/>
        <v/>
      </c>
      <c r="AX595" s="95" t="str">
        <f t="shared" si="80"/>
        <v/>
      </c>
      <c r="AY595" s="98" t="str">
        <f t="shared" ca="1" si="86"/>
        <v/>
      </c>
      <c r="AZ595" s="96" t="str">
        <f t="shared" si="81"/>
        <v/>
      </c>
      <c r="BA595" s="99" t="str">
        <f t="shared" ca="1" si="87"/>
        <v/>
      </c>
      <c r="BB595" s="97" t="str">
        <f t="shared" si="82"/>
        <v/>
      </c>
      <c r="BC595" s="101" t="str">
        <f t="shared" ca="1" si="88"/>
        <v/>
      </c>
      <c r="BD595" s="100" t="str">
        <f t="shared" si="83"/>
        <v/>
      </c>
      <c r="BE595" s="103" t="str">
        <f t="shared" ca="1" si="89"/>
        <v/>
      </c>
      <c r="BF595" s="102" t="str">
        <f t="shared" si="84"/>
        <v/>
      </c>
    </row>
    <row r="596" spans="48:58" hidden="1" x14ac:dyDescent="0.25">
      <c r="AV596">
        <v>571</v>
      </c>
      <c r="AW596" s="94" t="str">
        <f t="shared" ca="1" si="85"/>
        <v/>
      </c>
      <c r="AX596" s="95" t="str">
        <f t="shared" si="80"/>
        <v/>
      </c>
      <c r="AY596" s="98" t="str">
        <f t="shared" ca="1" si="86"/>
        <v/>
      </c>
      <c r="AZ596" s="96" t="str">
        <f t="shared" si="81"/>
        <v/>
      </c>
      <c r="BA596" s="99" t="str">
        <f t="shared" ca="1" si="87"/>
        <v/>
      </c>
      <c r="BB596" s="97" t="str">
        <f t="shared" si="82"/>
        <v/>
      </c>
      <c r="BC596" s="101" t="str">
        <f t="shared" ca="1" si="88"/>
        <v/>
      </c>
      <c r="BD596" s="100" t="str">
        <f t="shared" si="83"/>
        <v/>
      </c>
      <c r="BE596" s="103" t="str">
        <f t="shared" ca="1" si="89"/>
        <v/>
      </c>
      <c r="BF596" s="102" t="str">
        <f t="shared" si="84"/>
        <v/>
      </c>
    </row>
    <row r="597" spans="48:58" hidden="1" x14ac:dyDescent="0.25">
      <c r="AV597">
        <v>572</v>
      </c>
      <c r="AW597" s="94" t="str">
        <f t="shared" ca="1" si="85"/>
        <v/>
      </c>
      <c r="AX597" s="95" t="str">
        <f t="shared" si="80"/>
        <v/>
      </c>
      <c r="AY597" s="98" t="str">
        <f t="shared" ca="1" si="86"/>
        <v/>
      </c>
      <c r="AZ597" s="96" t="str">
        <f t="shared" si="81"/>
        <v/>
      </c>
      <c r="BA597" s="99" t="str">
        <f t="shared" ca="1" si="87"/>
        <v/>
      </c>
      <c r="BB597" s="97" t="str">
        <f t="shared" si="82"/>
        <v/>
      </c>
      <c r="BC597" s="101" t="str">
        <f t="shared" ca="1" si="88"/>
        <v/>
      </c>
      <c r="BD597" s="100" t="str">
        <f t="shared" si="83"/>
        <v/>
      </c>
      <c r="BE597" s="103" t="str">
        <f t="shared" ca="1" si="89"/>
        <v/>
      </c>
      <c r="BF597" s="102" t="str">
        <f t="shared" si="84"/>
        <v/>
      </c>
    </row>
    <row r="598" spans="48:58" hidden="1" x14ac:dyDescent="0.25">
      <c r="AV598">
        <v>573</v>
      </c>
      <c r="AW598" s="94" t="str">
        <f t="shared" ca="1" si="85"/>
        <v/>
      </c>
      <c r="AX598" s="95" t="str">
        <f t="shared" si="80"/>
        <v/>
      </c>
      <c r="AY598" s="98" t="str">
        <f t="shared" ca="1" si="86"/>
        <v/>
      </c>
      <c r="AZ598" s="96" t="str">
        <f t="shared" si="81"/>
        <v/>
      </c>
      <c r="BA598" s="99" t="str">
        <f t="shared" ca="1" si="87"/>
        <v/>
      </c>
      <c r="BB598" s="97" t="str">
        <f t="shared" si="82"/>
        <v/>
      </c>
      <c r="BC598" s="101" t="str">
        <f t="shared" ca="1" si="88"/>
        <v/>
      </c>
      <c r="BD598" s="100" t="str">
        <f t="shared" si="83"/>
        <v/>
      </c>
      <c r="BE598" s="103" t="str">
        <f t="shared" ca="1" si="89"/>
        <v/>
      </c>
      <c r="BF598" s="102" t="str">
        <f t="shared" si="84"/>
        <v/>
      </c>
    </row>
    <row r="599" spans="48:58" hidden="1" x14ac:dyDescent="0.25">
      <c r="AV599">
        <v>574</v>
      </c>
      <c r="AW599" s="94" t="str">
        <f t="shared" ca="1" si="85"/>
        <v/>
      </c>
      <c r="AX599" s="95" t="str">
        <f t="shared" si="80"/>
        <v/>
      </c>
      <c r="AY599" s="98" t="str">
        <f t="shared" ca="1" si="86"/>
        <v/>
      </c>
      <c r="AZ599" s="96" t="str">
        <f t="shared" si="81"/>
        <v/>
      </c>
      <c r="BA599" s="99" t="str">
        <f t="shared" ca="1" si="87"/>
        <v/>
      </c>
      <c r="BB599" s="97" t="str">
        <f t="shared" si="82"/>
        <v/>
      </c>
      <c r="BC599" s="101" t="str">
        <f t="shared" ca="1" si="88"/>
        <v/>
      </c>
      <c r="BD599" s="100" t="str">
        <f t="shared" si="83"/>
        <v/>
      </c>
      <c r="BE599" s="103" t="str">
        <f t="shared" ca="1" si="89"/>
        <v/>
      </c>
      <c r="BF599" s="102" t="str">
        <f t="shared" si="84"/>
        <v/>
      </c>
    </row>
    <row r="600" spans="48:58" hidden="1" x14ac:dyDescent="0.25">
      <c r="AV600">
        <v>575</v>
      </c>
      <c r="AW600" s="94" t="str">
        <f t="shared" ca="1" si="85"/>
        <v/>
      </c>
      <c r="AX600" s="95" t="str">
        <f t="shared" si="80"/>
        <v/>
      </c>
      <c r="AY600" s="98" t="str">
        <f t="shared" ca="1" si="86"/>
        <v/>
      </c>
      <c r="AZ600" s="96" t="str">
        <f t="shared" si="81"/>
        <v/>
      </c>
      <c r="BA600" s="99" t="str">
        <f t="shared" ca="1" si="87"/>
        <v/>
      </c>
      <c r="BB600" s="97" t="str">
        <f t="shared" si="82"/>
        <v/>
      </c>
      <c r="BC600" s="101" t="str">
        <f t="shared" ca="1" si="88"/>
        <v/>
      </c>
      <c r="BD600" s="100" t="str">
        <f t="shared" si="83"/>
        <v/>
      </c>
      <c r="BE600" s="103" t="str">
        <f t="shared" ca="1" si="89"/>
        <v/>
      </c>
      <c r="BF600" s="102" t="str">
        <f t="shared" si="84"/>
        <v/>
      </c>
    </row>
    <row r="601" spans="48:58" hidden="1" x14ac:dyDescent="0.25">
      <c r="AV601">
        <v>576</v>
      </c>
      <c r="AW601" s="94" t="str">
        <f t="shared" ca="1" si="85"/>
        <v/>
      </c>
      <c r="AX601" s="95" t="str">
        <f t="shared" si="80"/>
        <v/>
      </c>
      <c r="AY601" s="98" t="str">
        <f t="shared" ca="1" si="86"/>
        <v/>
      </c>
      <c r="AZ601" s="96" t="str">
        <f t="shared" si="81"/>
        <v/>
      </c>
      <c r="BA601" s="99" t="str">
        <f t="shared" ca="1" si="87"/>
        <v/>
      </c>
      <c r="BB601" s="97" t="str">
        <f t="shared" si="82"/>
        <v/>
      </c>
      <c r="BC601" s="101" t="str">
        <f t="shared" ca="1" si="88"/>
        <v/>
      </c>
      <c r="BD601" s="100" t="str">
        <f t="shared" si="83"/>
        <v/>
      </c>
      <c r="BE601" s="103" t="str">
        <f t="shared" ca="1" si="89"/>
        <v/>
      </c>
      <c r="BF601" s="102" t="str">
        <f t="shared" si="84"/>
        <v/>
      </c>
    </row>
    <row r="602" spans="48:58" hidden="1" x14ac:dyDescent="0.25">
      <c r="AV602">
        <v>577</v>
      </c>
      <c r="AW602" s="94" t="str">
        <f t="shared" ca="1" si="85"/>
        <v/>
      </c>
      <c r="AX602" s="95" t="str">
        <f t="shared" ref="AX602:AX665" si="90">IF($D$15*12&gt;=AV602,-1*$H$15,IF($D$15*12+1&gt;=AV602,InfGoal1,""))</f>
        <v/>
      </c>
      <c r="AY602" s="98" t="str">
        <f t="shared" ca="1" si="86"/>
        <v/>
      </c>
      <c r="AZ602" s="96" t="str">
        <f t="shared" ref="AZ602:AZ665" si="91">IF($D$17*12&gt;=AV602,-1*$H$17,IF($D$17*12+1&gt;=AV602,InfGoal2,""))</f>
        <v/>
      </c>
      <c r="BA602" s="99" t="str">
        <f t="shared" ca="1" si="87"/>
        <v/>
      </c>
      <c r="BB602" s="97" t="str">
        <f t="shared" ref="BB602:BB665" si="92">IF($D$19*12&gt;=AV602,-1*$H$19,IF($D$19*12+1&gt;=AV602,InfGoal3,""))</f>
        <v/>
      </c>
      <c r="BC602" s="101" t="str">
        <f t="shared" ca="1" si="88"/>
        <v/>
      </c>
      <c r="BD602" s="100" t="str">
        <f t="shared" ref="BD602:BD665" si="93">IF($D$21*12&gt;=AV602,-1*$H$21,IF($D$21*12+1&gt;=AV602,InfGoal4,""))</f>
        <v/>
      </c>
      <c r="BE602" s="103" t="str">
        <f t="shared" ca="1" si="89"/>
        <v/>
      </c>
      <c r="BF602" s="102" t="str">
        <f t="shared" ref="BF602:BF665" si="94">IF($D$23*12&gt;=AV602,-1*$H$23,IF($D$23*12+1&gt;=AV602,InfGoal5,""))</f>
        <v/>
      </c>
    </row>
    <row r="603" spans="48:58" hidden="1" x14ac:dyDescent="0.25">
      <c r="AV603">
        <v>578</v>
      </c>
      <c r="AW603" s="94" t="str">
        <f t="shared" ref="AW603:AW666" ca="1" si="95">IF($D$15*12&gt;=AV603,DATE(YEAR(TODAY()),MONTH(TODAY())+AV603-1,DAY(TODAY())),IF($D$15*12+1&gt;=AV603,DATE(YEAR(TODAY()),MONTH(TODAY())+$D$15*12,DAY(TODAY())),""))</f>
        <v/>
      </c>
      <c r="AX603" s="95" t="str">
        <f t="shared" si="90"/>
        <v/>
      </c>
      <c r="AY603" s="98" t="str">
        <f t="shared" ref="AY603:AY666" ca="1" si="96">IF($D$17*12&gt;=AV603,DATE(YEAR(TODAY()),MONTH(TODAY())+AV603-1,DAY(TODAY())),IF($D$17*12+1&gt;=AV603,DATE(YEAR(TODAY()),MONTH(TODAY())+$D$17*12,DAY(TODAY())),""))</f>
        <v/>
      </c>
      <c r="AZ603" s="96" t="str">
        <f t="shared" si="91"/>
        <v/>
      </c>
      <c r="BA603" s="99" t="str">
        <f t="shared" ref="BA603:BA666" ca="1" si="97">IF($D$19*12&gt;=AV603,DATE(YEAR(TODAY()),MONTH(TODAY())+AV603-1,DAY(TODAY())),IF($D$19*12+1&gt;=AV603,DATE(YEAR(TODAY()),MONTH(TODAY())+$D$19*12,DAY(TODAY())),""))</f>
        <v/>
      </c>
      <c r="BB603" s="97" t="str">
        <f t="shared" si="92"/>
        <v/>
      </c>
      <c r="BC603" s="101" t="str">
        <f t="shared" ref="BC603:BC666" ca="1" si="98">IF($D$21*12&gt;=AV603,DATE(YEAR(TODAY()),MONTH(TODAY())+AV603-1,DAY(TODAY())),IF($D$21*12+1&gt;=AV603,DATE(YEAR(TODAY()),MONTH(TODAY())+$D$21*12,DAY(TODAY())),""))</f>
        <v/>
      </c>
      <c r="BD603" s="100" t="str">
        <f t="shared" si="93"/>
        <v/>
      </c>
      <c r="BE603" s="103" t="str">
        <f t="shared" ref="BE603:BE666" ca="1" si="99">IF($D$23*12&gt;=AV603,DATE(YEAR(TODAY()),MONTH(TODAY())+AV603-1,DAY(TODAY())),IF($D$23*12+1&gt;=AV603,DATE(YEAR(TODAY()),MONTH(TODAY())+$D$23*12,DAY(TODAY())),""))</f>
        <v/>
      </c>
      <c r="BF603" s="102" t="str">
        <f t="shared" si="94"/>
        <v/>
      </c>
    </row>
    <row r="604" spans="48:58" hidden="1" x14ac:dyDescent="0.25">
      <c r="AV604">
        <v>579</v>
      </c>
      <c r="AW604" s="94" t="str">
        <f t="shared" ca="1" si="95"/>
        <v/>
      </c>
      <c r="AX604" s="95" t="str">
        <f t="shared" si="90"/>
        <v/>
      </c>
      <c r="AY604" s="98" t="str">
        <f t="shared" ca="1" si="96"/>
        <v/>
      </c>
      <c r="AZ604" s="96" t="str">
        <f t="shared" si="91"/>
        <v/>
      </c>
      <c r="BA604" s="99" t="str">
        <f t="shared" ca="1" si="97"/>
        <v/>
      </c>
      <c r="BB604" s="97" t="str">
        <f t="shared" si="92"/>
        <v/>
      </c>
      <c r="BC604" s="101" t="str">
        <f t="shared" ca="1" si="98"/>
        <v/>
      </c>
      <c r="BD604" s="100" t="str">
        <f t="shared" si="93"/>
        <v/>
      </c>
      <c r="BE604" s="103" t="str">
        <f t="shared" ca="1" si="99"/>
        <v/>
      </c>
      <c r="BF604" s="102" t="str">
        <f t="shared" si="94"/>
        <v/>
      </c>
    </row>
    <row r="605" spans="48:58" hidden="1" x14ac:dyDescent="0.25">
      <c r="AV605">
        <v>580</v>
      </c>
      <c r="AW605" s="94" t="str">
        <f t="shared" ca="1" si="95"/>
        <v/>
      </c>
      <c r="AX605" s="95" t="str">
        <f t="shared" si="90"/>
        <v/>
      </c>
      <c r="AY605" s="98" t="str">
        <f t="shared" ca="1" si="96"/>
        <v/>
      </c>
      <c r="AZ605" s="96" t="str">
        <f t="shared" si="91"/>
        <v/>
      </c>
      <c r="BA605" s="99" t="str">
        <f t="shared" ca="1" si="97"/>
        <v/>
      </c>
      <c r="BB605" s="97" t="str">
        <f t="shared" si="92"/>
        <v/>
      </c>
      <c r="BC605" s="101" t="str">
        <f t="shared" ca="1" si="98"/>
        <v/>
      </c>
      <c r="BD605" s="100" t="str">
        <f t="shared" si="93"/>
        <v/>
      </c>
      <c r="BE605" s="103" t="str">
        <f t="shared" ca="1" si="99"/>
        <v/>
      </c>
      <c r="BF605" s="102" t="str">
        <f t="shared" si="94"/>
        <v/>
      </c>
    </row>
    <row r="606" spans="48:58" hidden="1" x14ac:dyDescent="0.25">
      <c r="AV606">
        <v>581</v>
      </c>
      <c r="AW606" s="94" t="str">
        <f t="shared" ca="1" si="95"/>
        <v/>
      </c>
      <c r="AX606" s="95" t="str">
        <f t="shared" si="90"/>
        <v/>
      </c>
      <c r="AY606" s="98" t="str">
        <f t="shared" ca="1" si="96"/>
        <v/>
      </c>
      <c r="AZ606" s="96" t="str">
        <f t="shared" si="91"/>
        <v/>
      </c>
      <c r="BA606" s="99" t="str">
        <f t="shared" ca="1" si="97"/>
        <v/>
      </c>
      <c r="BB606" s="97" t="str">
        <f t="shared" si="92"/>
        <v/>
      </c>
      <c r="BC606" s="101" t="str">
        <f t="shared" ca="1" si="98"/>
        <v/>
      </c>
      <c r="BD606" s="100" t="str">
        <f t="shared" si="93"/>
        <v/>
      </c>
      <c r="BE606" s="103" t="str">
        <f t="shared" ca="1" si="99"/>
        <v/>
      </c>
      <c r="BF606" s="102" t="str">
        <f t="shared" si="94"/>
        <v/>
      </c>
    </row>
    <row r="607" spans="48:58" hidden="1" x14ac:dyDescent="0.25">
      <c r="AV607">
        <v>582</v>
      </c>
      <c r="AW607" s="94" t="str">
        <f t="shared" ca="1" si="95"/>
        <v/>
      </c>
      <c r="AX607" s="95" t="str">
        <f t="shared" si="90"/>
        <v/>
      </c>
      <c r="AY607" s="98" t="str">
        <f t="shared" ca="1" si="96"/>
        <v/>
      </c>
      <c r="AZ607" s="96" t="str">
        <f t="shared" si="91"/>
        <v/>
      </c>
      <c r="BA607" s="99" t="str">
        <f t="shared" ca="1" si="97"/>
        <v/>
      </c>
      <c r="BB607" s="97" t="str">
        <f t="shared" si="92"/>
        <v/>
      </c>
      <c r="BC607" s="101" t="str">
        <f t="shared" ca="1" si="98"/>
        <v/>
      </c>
      <c r="BD607" s="100" t="str">
        <f t="shared" si="93"/>
        <v/>
      </c>
      <c r="BE607" s="103" t="str">
        <f t="shared" ca="1" si="99"/>
        <v/>
      </c>
      <c r="BF607" s="102" t="str">
        <f t="shared" si="94"/>
        <v/>
      </c>
    </row>
    <row r="608" spans="48:58" hidden="1" x14ac:dyDescent="0.25">
      <c r="AV608">
        <v>583</v>
      </c>
      <c r="AW608" s="94" t="str">
        <f t="shared" ca="1" si="95"/>
        <v/>
      </c>
      <c r="AX608" s="95" t="str">
        <f t="shared" si="90"/>
        <v/>
      </c>
      <c r="AY608" s="98" t="str">
        <f t="shared" ca="1" si="96"/>
        <v/>
      </c>
      <c r="AZ608" s="96" t="str">
        <f t="shared" si="91"/>
        <v/>
      </c>
      <c r="BA608" s="99" t="str">
        <f t="shared" ca="1" si="97"/>
        <v/>
      </c>
      <c r="BB608" s="97" t="str">
        <f t="shared" si="92"/>
        <v/>
      </c>
      <c r="BC608" s="101" t="str">
        <f t="shared" ca="1" si="98"/>
        <v/>
      </c>
      <c r="BD608" s="100" t="str">
        <f t="shared" si="93"/>
        <v/>
      </c>
      <c r="BE608" s="103" t="str">
        <f t="shared" ca="1" si="99"/>
        <v/>
      </c>
      <c r="BF608" s="102" t="str">
        <f t="shared" si="94"/>
        <v/>
      </c>
    </row>
    <row r="609" spans="48:58" hidden="1" x14ac:dyDescent="0.25">
      <c r="AV609">
        <v>584</v>
      </c>
      <c r="AW609" s="94" t="str">
        <f t="shared" ca="1" si="95"/>
        <v/>
      </c>
      <c r="AX609" s="95" t="str">
        <f t="shared" si="90"/>
        <v/>
      </c>
      <c r="AY609" s="98" t="str">
        <f t="shared" ca="1" si="96"/>
        <v/>
      </c>
      <c r="AZ609" s="96" t="str">
        <f t="shared" si="91"/>
        <v/>
      </c>
      <c r="BA609" s="99" t="str">
        <f t="shared" ca="1" si="97"/>
        <v/>
      </c>
      <c r="BB609" s="97" t="str">
        <f t="shared" si="92"/>
        <v/>
      </c>
      <c r="BC609" s="101" t="str">
        <f t="shared" ca="1" si="98"/>
        <v/>
      </c>
      <c r="BD609" s="100" t="str">
        <f t="shared" si="93"/>
        <v/>
      </c>
      <c r="BE609" s="103" t="str">
        <f t="shared" ca="1" si="99"/>
        <v/>
      </c>
      <c r="BF609" s="102" t="str">
        <f t="shared" si="94"/>
        <v/>
      </c>
    </row>
    <row r="610" spans="48:58" hidden="1" x14ac:dyDescent="0.25">
      <c r="AV610">
        <v>585</v>
      </c>
      <c r="AW610" s="94" t="str">
        <f t="shared" ca="1" si="95"/>
        <v/>
      </c>
      <c r="AX610" s="95" t="str">
        <f t="shared" si="90"/>
        <v/>
      </c>
      <c r="AY610" s="98" t="str">
        <f t="shared" ca="1" si="96"/>
        <v/>
      </c>
      <c r="AZ610" s="96" t="str">
        <f t="shared" si="91"/>
        <v/>
      </c>
      <c r="BA610" s="99" t="str">
        <f t="shared" ca="1" si="97"/>
        <v/>
      </c>
      <c r="BB610" s="97" t="str">
        <f t="shared" si="92"/>
        <v/>
      </c>
      <c r="BC610" s="101" t="str">
        <f t="shared" ca="1" si="98"/>
        <v/>
      </c>
      <c r="BD610" s="100" t="str">
        <f t="shared" si="93"/>
        <v/>
      </c>
      <c r="BE610" s="103" t="str">
        <f t="shared" ca="1" si="99"/>
        <v/>
      </c>
      <c r="BF610" s="102" t="str">
        <f t="shared" si="94"/>
        <v/>
      </c>
    </row>
    <row r="611" spans="48:58" hidden="1" x14ac:dyDescent="0.25">
      <c r="AV611">
        <v>586</v>
      </c>
      <c r="AW611" s="94" t="str">
        <f t="shared" ca="1" si="95"/>
        <v/>
      </c>
      <c r="AX611" s="95" t="str">
        <f t="shared" si="90"/>
        <v/>
      </c>
      <c r="AY611" s="98" t="str">
        <f t="shared" ca="1" si="96"/>
        <v/>
      </c>
      <c r="AZ611" s="96" t="str">
        <f t="shared" si="91"/>
        <v/>
      </c>
      <c r="BA611" s="99" t="str">
        <f t="shared" ca="1" si="97"/>
        <v/>
      </c>
      <c r="BB611" s="97" t="str">
        <f t="shared" si="92"/>
        <v/>
      </c>
      <c r="BC611" s="101" t="str">
        <f t="shared" ca="1" si="98"/>
        <v/>
      </c>
      <c r="BD611" s="100" t="str">
        <f t="shared" si="93"/>
        <v/>
      </c>
      <c r="BE611" s="103" t="str">
        <f t="shared" ca="1" si="99"/>
        <v/>
      </c>
      <c r="BF611" s="102" t="str">
        <f t="shared" si="94"/>
        <v/>
      </c>
    </row>
    <row r="612" spans="48:58" hidden="1" x14ac:dyDescent="0.25">
      <c r="AV612">
        <v>587</v>
      </c>
      <c r="AW612" s="94" t="str">
        <f t="shared" ca="1" si="95"/>
        <v/>
      </c>
      <c r="AX612" s="95" t="str">
        <f t="shared" si="90"/>
        <v/>
      </c>
      <c r="AY612" s="98" t="str">
        <f t="shared" ca="1" si="96"/>
        <v/>
      </c>
      <c r="AZ612" s="96" t="str">
        <f t="shared" si="91"/>
        <v/>
      </c>
      <c r="BA612" s="99" t="str">
        <f t="shared" ca="1" si="97"/>
        <v/>
      </c>
      <c r="BB612" s="97" t="str">
        <f t="shared" si="92"/>
        <v/>
      </c>
      <c r="BC612" s="101" t="str">
        <f t="shared" ca="1" si="98"/>
        <v/>
      </c>
      <c r="BD612" s="100" t="str">
        <f t="shared" si="93"/>
        <v/>
      </c>
      <c r="BE612" s="103" t="str">
        <f t="shared" ca="1" si="99"/>
        <v/>
      </c>
      <c r="BF612" s="102" t="str">
        <f t="shared" si="94"/>
        <v/>
      </c>
    </row>
    <row r="613" spans="48:58" hidden="1" x14ac:dyDescent="0.25">
      <c r="AV613">
        <v>588</v>
      </c>
      <c r="AW613" s="94" t="str">
        <f t="shared" ca="1" si="95"/>
        <v/>
      </c>
      <c r="AX613" s="95" t="str">
        <f t="shared" si="90"/>
        <v/>
      </c>
      <c r="AY613" s="98" t="str">
        <f t="shared" ca="1" si="96"/>
        <v/>
      </c>
      <c r="AZ613" s="96" t="str">
        <f t="shared" si="91"/>
        <v/>
      </c>
      <c r="BA613" s="99" t="str">
        <f t="shared" ca="1" si="97"/>
        <v/>
      </c>
      <c r="BB613" s="97" t="str">
        <f t="shared" si="92"/>
        <v/>
      </c>
      <c r="BC613" s="101" t="str">
        <f t="shared" ca="1" si="98"/>
        <v/>
      </c>
      <c r="BD613" s="100" t="str">
        <f t="shared" si="93"/>
        <v/>
      </c>
      <c r="BE613" s="103" t="str">
        <f t="shared" ca="1" si="99"/>
        <v/>
      </c>
      <c r="BF613" s="102" t="str">
        <f t="shared" si="94"/>
        <v/>
      </c>
    </row>
    <row r="614" spans="48:58" hidden="1" x14ac:dyDescent="0.25">
      <c r="AV614">
        <v>589</v>
      </c>
      <c r="AW614" s="94" t="str">
        <f t="shared" ca="1" si="95"/>
        <v/>
      </c>
      <c r="AX614" s="95" t="str">
        <f t="shared" si="90"/>
        <v/>
      </c>
      <c r="AY614" s="98" t="str">
        <f t="shared" ca="1" si="96"/>
        <v/>
      </c>
      <c r="AZ614" s="96" t="str">
        <f t="shared" si="91"/>
        <v/>
      </c>
      <c r="BA614" s="99" t="str">
        <f t="shared" ca="1" si="97"/>
        <v/>
      </c>
      <c r="BB614" s="97" t="str">
        <f t="shared" si="92"/>
        <v/>
      </c>
      <c r="BC614" s="101" t="str">
        <f t="shared" ca="1" si="98"/>
        <v/>
      </c>
      <c r="BD614" s="100" t="str">
        <f t="shared" si="93"/>
        <v/>
      </c>
      <c r="BE614" s="103" t="str">
        <f t="shared" ca="1" si="99"/>
        <v/>
      </c>
      <c r="BF614" s="102" t="str">
        <f t="shared" si="94"/>
        <v/>
      </c>
    </row>
    <row r="615" spans="48:58" hidden="1" x14ac:dyDescent="0.25">
      <c r="AV615">
        <v>590</v>
      </c>
      <c r="AW615" s="94" t="str">
        <f t="shared" ca="1" si="95"/>
        <v/>
      </c>
      <c r="AX615" s="95" t="str">
        <f t="shared" si="90"/>
        <v/>
      </c>
      <c r="AY615" s="98" t="str">
        <f t="shared" ca="1" si="96"/>
        <v/>
      </c>
      <c r="AZ615" s="96" t="str">
        <f t="shared" si="91"/>
        <v/>
      </c>
      <c r="BA615" s="99" t="str">
        <f t="shared" ca="1" si="97"/>
        <v/>
      </c>
      <c r="BB615" s="97" t="str">
        <f t="shared" si="92"/>
        <v/>
      </c>
      <c r="BC615" s="101" t="str">
        <f t="shared" ca="1" si="98"/>
        <v/>
      </c>
      <c r="BD615" s="100" t="str">
        <f t="shared" si="93"/>
        <v/>
      </c>
      <c r="BE615" s="103" t="str">
        <f t="shared" ca="1" si="99"/>
        <v/>
      </c>
      <c r="BF615" s="102" t="str">
        <f t="shared" si="94"/>
        <v/>
      </c>
    </row>
    <row r="616" spans="48:58" hidden="1" x14ac:dyDescent="0.25">
      <c r="AV616">
        <v>591</v>
      </c>
      <c r="AW616" s="94" t="str">
        <f t="shared" ca="1" si="95"/>
        <v/>
      </c>
      <c r="AX616" s="95" t="str">
        <f t="shared" si="90"/>
        <v/>
      </c>
      <c r="AY616" s="98" t="str">
        <f t="shared" ca="1" si="96"/>
        <v/>
      </c>
      <c r="AZ616" s="96" t="str">
        <f t="shared" si="91"/>
        <v/>
      </c>
      <c r="BA616" s="99" t="str">
        <f t="shared" ca="1" si="97"/>
        <v/>
      </c>
      <c r="BB616" s="97" t="str">
        <f t="shared" si="92"/>
        <v/>
      </c>
      <c r="BC616" s="101" t="str">
        <f t="shared" ca="1" si="98"/>
        <v/>
      </c>
      <c r="BD616" s="100" t="str">
        <f t="shared" si="93"/>
        <v/>
      </c>
      <c r="BE616" s="103" t="str">
        <f t="shared" ca="1" si="99"/>
        <v/>
      </c>
      <c r="BF616" s="102" t="str">
        <f t="shared" si="94"/>
        <v/>
      </c>
    </row>
    <row r="617" spans="48:58" hidden="1" x14ac:dyDescent="0.25">
      <c r="AV617">
        <v>592</v>
      </c>
      <c r="AW617" s="94" t="str">
        <f t="shared" ca="1" si="95"/>
        <v/>
      </c>
      <c r="AX617" s="95" t="str">
        <f t="shared" si="90"/>
        <v/>
      </c>
      <c r="AY617" s="98" t="str">
        <f t="shared" ca="1" si="96"/>
        <v/>
      </c>
      <c r="AZ617" s="96" t="str">
        <f t="shared" si="91"/>
        <v/>
      </c>
      <c r="BA617" s="99" t="str">
        <f t="shared" ca="1" si="97"/>
        <v/>
      </c>
      <c r="BB617" s="97" t="str">
        <f t="shared" si="92"/>
        <v/>
      </c>
      <c r="BC617" s="101" t="str">
        <f t="shared" ca="1" si="98"/>
        <v/>
      </c>
      <c r="BD617" s="100" t="str">
        <f t="shared" si="93"/>
        <v/>
      </c>
      <c r="BE617" s="103" t="str">
        <f t="shared" ca="1" si="99"/>
        <v/>
      </c>
      <c r="BF617" s="102" t="str">
        <f t="shared" si="94"/>
        <v/>
      </c>
    </row>
    <row r="618" spans="48:58" hidden="1" x14ac:dyDescent="0.25">
      <c r="AV618">
        <v>593</v>
      </c>
      <c r="AW618" s="94" t="str">
        <f t="shared" ca="1" si="95"/>
        <v/>
      </c>
      <c r="AX618" s="95" t="str">
        <f t="shared" si="90"/>
        <v/>
      </c>
      <c r="AY618" s="98" t="str">
        <f t="shared" ca="1" si="96"/>
        <v/>
      </c>
      <c r="AZ618" s="96" t="str">
        <f t="shared" si="91"/>
        <v/>
      </c>
      <c r="BA618" s="99" t="str">
        <f t="shared" ca="1" si="97"/>
        <v/>
      </c>
      <c r="BB618" s="97" t="str">
        <f t="shared" si="92"/>
        <v/>
      </c>
      <c r="BC618" s="101" t="str">
        <f t="shared" ca="1" si="98"/>
        <v/>
      </c>
      <c r="BD618" s="100" t="str">
        <f t="shared" si="93"/>
        <v/>
      </c>
      <c r="BE618" s="103" t="str">
        <f t="shared" ca="1" si="99"/>
        <v/>
      </c>
      <c r="BF618" s="102" t="str">
        <f t="shared" si="94"/>
        <v/>
      </c>
    </row>
    <row r="619" spans="48:58" hidden="1" x14ac:dyDescent="0.25">
      <c r="AV619">
        <v>594</v>
      </c>
      <c r="AW619" s="94" t="str">
        <f t="shared" ca="1" si="95"/>
        <v/>
      </c>
      <c r="AX619" s="95" t="str">
        <f t="shared" si="90"/>
        <v/>
      </c>
      <c r="AY619" s="98" t="str">
        <f t="shared" ca="1" si="96"/>
        <v/>
      </c>
      <c r="AZ619" s="96" t="str">
        <f t="shared" si="91"/>
        <v/>
      </c>
      <c r="BA619" s="99" t="str">
        <f t="shared" ca="1" si="97"/>
        <v/>
      </c>
      <c r="BB619" s="97" t="str">
        <f t="shared" si="92"/>
        <v/>
      </c>
      <c r="BC619" s="101" t="str">
        <f t="shared" ca="1" si="98"/>
        <v/>
      </c>
      <c r="BD619" s="100" t="str">
        <f t="shared" si="93"/>
        <v/>
      </c>
      <c r="BE619" s="103" t="str">
        <f t="shared" ca="1" si="99"/>
        <v/>
      </c>
      <c r="BF619" s="102" t="str">
        <f t="shared" si="94"/>
        <v/>
      </c>
    </row>
    <row r="620" spans="48:58" hidden="1" x14ac:dyDescent="0.25">
      <c r="AV620">
        <v>595</v>
      </c>
      <c r="AW620" s="94" t="str">
        <f t="shared" ca="1" si="95"/>
        <v/>
      </c>
      <c r="AX620" s="95" t="str">
        <f t="shared" si="90"/>
        <v/>
      </c>
      <c r="AY620" s="98" t="str">
        <f t="shared" ca="1" si="96"/>
        <v/>
      </c>
      <c r="AZ620" s="96" t="str">
        <f t="shared" si="91"/>
        <v/>
      </c>
      <c r="BA620" s="99" t="str">
        <f t="shared" ca="1" si="97"/>
        <v/>
      </c>
      <c r="BB620" s="97" t="str">
        <f t="shared" si="92"/>
        <v/>
      </c>
      <c r="BC620" s="101" t="str">
        <f t="shared" ca="1" si="98"/>
        <v/>
      </c>
      <c r="BD620" s="100" t="str">
        <f t="shared" si="93"/>
        <v/>
      </c>
      <c r="BE620" s="103" t="str">
        <f t="shared" ca="1" si="99"/>
        <v/>
      </c>
      <c r="BF620" s="102" t="str">
        <f t="shared" si="94"/>
        <v/>
      </c>
    </row>
    <row r="621" spans="48:58" hidden="1" x14ac:dyDescent="0.25">
      <c r="AV621">
        <v>596</v>
      </c>
      <c r="AW621" s="94" t="str">
        <f t="shared" ca="1" si="95"/>
        <v/>
      </c>
      <c r="AX621" s="95" t="str">
        <f t="shared" si="90"/>
        <v/>
      </c>
      <c r="AY621" s="98" t="str">
        <f t="shared" ca="1" si="96"/>
        <v/>
      </c>
      <c r="AZ621" s="96" t="str">
        <f t="shared" si="91"/>
        <v/>
      </c>
      <c r="BA621" s="99" t="str">
        <f t="shared" ca="1" si="97"/>
        <v/>
      </c>
      <c r="BB621" s="97" t="str">
        <f t="shared" si="92"/>
        <v/>
      </c>
      <c r="BC621" s="101" t="str">
        <f t="shared" ca="1" si="98"/>
        <v/>
      </c>
      <c r="BD621" s="100" t="str">
        <f t="shared" si="93"/>
        <v/>
      </c>
      <c r="BE621" s="103" t="str">
        <f t="shared" ca="1" si="99"/>
        <v/>
      </c>
      <c r="BF621" s="102" t="str">
        <f t="shared" si="94"/>
        <v/>
      </c>
    </row>
    <row r="622" spans="48:58" hidden="1" x14ac:dyDescent="0.25">
      <c r="AV622">
        <v>597</v>
      </c>
      <c r="AW622" s="94" t="str">
        <f t="shared" ca="1" si="95"/>
        <v/>
      </c>
      <c r="AX622" s="95" t="str">
        <f t="shared" si="90"/>
        <v/>
      </c>
      <c r="AY622" s="98" t="str">
        <f t="shared" ca="1" si="96"/>
        <v/>
      </c>
      <c r="AZ622" s="96" t="str">
        <f t="shared" si="91"/>
        <v/>
      </c>
      <c r="BA622" s="99" t="str">
        <f t="shared" ca="1" si="97"/>
        <v/>
      </c>
      <c r="BB622" s="97" t="str">
        <f t="shared" si="92"/>
        <v/>
      </c>
      <c r="BC622" s="101" t="str">
        <f t="shared" ca="1" si="98"/>
        <v/>
      </c>
      <c r="BD622" s="100" t="str">
        <f t="shared" si="93"/>
        <v/>
      </c>
      <c r="BE622" s="103" t="str">
        <f t="shared" ca="1" si="99"/>
        <v/>
      </c>
      <c r="BF622" s="102" t="str">
        <f t="shared" si="94"/>
        <v/>
      </c>
    </row>
    <row r="623" spans="48:58" hidden="1" x14ac:dyDescent="0.25">
      <c r="AV623">
        <v>598</v>
      </c>
      <c r="AW623" s="94" t="str">
        <f t="shared" ca="1" si="95"/>
        <v/>
      </c>
      <c r="AX623" s="95" t="str">
        <f t="shared" si="90"/>
        <v/>
      </c>
      <c r="AY623" s="98" t="str">
        <f t="shared" ca="1" si="96"/>
        <v/>
      </c>
      <c r="AZ623" s="96" t="str">
        <f t="shared" si="91"/>
        <v/>
      </c>
      <c r="BA623" s="99" t="str">
        <f t="shared" ca="1" si="97"/>
        <v/>
      </c>
      <c r="BB623" s="97" t="str">
        <f t="shared" si="92"/>
        <v/>
      </c>
      <c r="BC623" s="101" t="str">
        <f t="shared" ca="1" si="98"/>
        <v/>
      </c>
      <c r="BD623" s="100" t="str">
        <f t="shared" si="93"/>
        <v/>
      </c>
      <c r="BE623" s="103" t="str">
        <f t="shared" ca="1" si="99"/>
        <v/>
      </c>
      <c r="BF623" s="102" t="str">
        <f t="shared" si="94"/>
        <v/>
      </c>
    </row>
    <row r="624" spans="48:58" hidden="1" x14ac:dyDescent="0.25">
      <c r="AV624">
        <v>599</v>
      </c>
      <c r="AW624" s="94" t="str">
        <f t="shared" ca="1" si="95"/>
        <v/>
      </c>
      <c r="AX624" s="95" t="str">
        <f t="shared" si="90"/>
        <v/>
      </c>
      <c r="AY624" s="98" t="str">
        <f t="shared" ca="1" si="96"/>
        <v/>
      </c>
      <c r="AZ624" s="96" t="str">
        <f t="shared" si="91"/>
        <v/>
      </c>
      <c r="BA624" s="99" t="str">
        <f t="shared" ca="1" si="97"/>
        <v/>
      </c>
      <c r="BB624" s="97" t="str">
        <f t="shared" si="92"/>
        <v/>
      </c>
      <c r="BC624" s="101" t="str">
        <f t="shared" ca="1" si="98"/>
        <v/>
      </c>
      <c r="BD624" s="100" t="str">
        <f t="shared" si="93"/>
        <v/>
      </c>
      <c r="BE624" s="103" t="str">
        <f t="shared" ca="1" si="99"/>
        <v/>
      </c>
      <c r="BF624" s="102" t="str">
        <f t="shared" si="94"/>
        <v/>
      </c>
    </row>
    <row r="625" spans="48:58" hidden="1" x14ac:dyDescent="0.25">
      <c r="AV625">
        <v>600</v>
      </c>
      <c r="AW625" s="94" t="str">
        <f t="shared" ca="1" si="95"/>
        <v/>
      </c>
      <c r="AX625" s="95" t="str">
        <f t="shared" si="90"/>
        <v/>
      </c>
      <c r="AY625" s="98" t="str">
        <f t="shared" ca="1" si="96"/>
        <v/>
      </c>
      <c r="AZ625" s="96" t="str">
        <f t="shared" si="91"/>
        <v/>
      </c>
      <c r="BA625" s="99" t="str">
        <f t="shared" ca="1" si="97"/>
        <v/>
      </c>
      <c r="BB625" s="97" t="str">
        <f t="shared" si="92"/>
        <v/>
      </c>
      <c r="BC625" s="101" t="str">
        <f t="shared" ca="1" si="98"/>
        <v/>
      </c>
      <c r="BD625" s="100" t="str">
        <f t="shared" si="93"/>
        <v/>
      </c>
      <c r="BE625" s="103" t="str">
        <f t="shared" ca="1" si="99"/>
        <v/>
      </c>
      <c r="BF625" s="102" t="str">
        <f t="shared" si="94"/>
        <v/>
      </c>
    </row>
    <row r="626" spans="48:58" hidden="1" x14ac:dyDescent="0.25">
      <c r="AV626">
        <v>601</v>
      </c>
      <c r="AW626" s="94" t="str">
        <f t="shared" ca="1" si="95"/>
        <v/>
      </c>
      <c r="AX626" s="95" t="str">
        <f t="shared" si="90"/>
        <v/>
      </c>
      <c r="AY626" s="98" t="str">
        <f t="shared" ca="1" si="96"/>
        <v/>
      </c>
      <c r="AZ626" s="96" t="str">
        <f t="shared" si="91"/>
        <v/>
      </c>
      <c r="BA626" s="99" t="str">
        <f t="shared" ca="1" si="97"/>
        <v/>
      </c>
      <c r="BB626" s="97" t="str">
        <f t="shared" si="92"/>
        <v/>
      </c>
      <c r="BC626" s="101" t="str">
        <f t="shared" ca="1" si="98"/>
        <v/>
      </c>
      <c r="BD626" s="100" t="str">
        <f t="shared" si="93"/>
        <v/>
      </c>
      <c r="BE626" s="103" t="str">
        <f t="shared" ca="1" si="99"/>
        <v/>
      </c>
      <c r="BF626" s="102" t="str">
        <f t="shared" si="94"/>
        <v/>
      </c>
    </row>
    <row r="627" spans="48:58" hidden="1" x14ac:dyDescent="0.25">
      <c r="AV627">
        <v>602</v>
      </c>
      <c r="AW627" s="94" t="str">
        <f t="shared" ca="1" si="95"/>
        <v/>
      </c>
      <c r="AX627" s="95" t="str">
        <f t="shared" si="90"/>
        <v/>
      </c>
      <c r="AY627" s="98" t="str">
        <f t="shared" ca="1" si="96"/>
        <v/>
      </c>
      <c r="AZ627" s="96" t="str">
        <f t="shared" si="91"/>
        <v/>
      </c>
      <c r="BA627" s="99" t="str">
        <f t="shared" ca="1" si="97"/>
        <v/>
      </c>
      <c r="BB627" s="97" t="str">
        <f t="shared" si="92"/>
        <v/>
      </c>
      <c r="BC627" s="101" t="str">
        <f t="shared" ca="1" si="98"/>
        <v/>
      </c>
      <c r="BD627" s="100" t="str">
        <f t="shared" si="93"/>
        <v/>
      </c>
      <c r="BE627" s="103" t="str">
        <f t="shared" ca="1" si="99"/>
        <v/>
      </c>
      <c r="BF627" s="102" t="str">
        <f t="shared" si="94"/>
        <v/>
      </c>
    </row>
    <row r="628" spans="48:58" hidden="1" x14ac:dyDescent="0.25">
      <c r="AV628">
        <v>603</v>
      </c>
      <c r="AW628" s="94" t="str">
        <f t="shared" ca="1" si="95"/>
        <v/>
      </c>
      <c r="AX628" s="95" t="str">
        <f t="shared" si="90"/>
        <v/>
      </c>
      <c r="AY628" s="98" t="str">
        <f t="shared" ca="1" si="96"/>
        <v/>
      </c>
      <c r="AZ628" s="96" t="str">
        <f t="shared" si="91"/>
        <v/>
      </c>
      <c r="BA628" s="99" t="str">
        <f t="shared" ca="1" si="97"/>
        <v/>
      </c>
      <c r="BB628" s="97" t="str">
        <f t="shared" si="92"/>
        <v/>
      </c>
      <c r="BC628" s="101" t="str">
        <f t="shared" ca="1" si="98"/>
        <v/>
      </c>
      <c r="BD628" s="100" t="str">
        <f t="shared" si="93"/>
        <v/>
      </c>
      <c r="BE628" s="103" t="str">
        <f t="shared" ca="1" si="99"/>
        <v/>
      </c>
      <c r="BF628" s="102" t="str">
        <f t="shared" si="94"/>
        <v/>
      </c>
    </row>
    <row r="629" spans="48:58" hidden="1" x14ac:dyDescent="0.25">
      <c r="AV629">
        <v>604</v>
      </c>
      <c r="AW629" s="94" t="str">
        <f t="shared" ca="1" si="95"/>
        <v/>
      </c>
      <c r="AX629" s="95" t="str">
        <f t="shared" si="90"/>
        <v/>
      </c>
      <c r="AY629" s="98" t="str">
        <f t="shared" ca="1" si="96"/>
        <v/>
      </c>
      <c r="AZ629" s="96" t="str">
        <f t="shared" si="91"/>
        <v/>
      </c>
      <c r="BA629" s="99" t="str">
        <f t="shared" ca="1" si="97"/>
        <v/>
      </c>
      <c r="BB629" s="97" t="str">
        <f t="shared" si="92"/>
        <v/>
      </c>
      <c r="BC629" s="101" t="str">
        <f t="shared" ca="1" si="98"/>
        <v/>
      </c>
      <c r="BD629" s="100" t="str">
        <f t="shared" si="93"/>
        <v/>
      </c>
      <c r="BE629" s="103" t="str">
        <f t="shared" ca="1" si="99"/>
        <v/>
      </c>
      <c r="BF629" s="102" t="str">
        <f t="shared" si="94"/>
        <v/>
      </c>
    </row>
    <row r="630" spans="48:58" hidden="1" x14ac:dyDescent="0.25">
      <c r="AV630">
        <v>605</v>
      </c>
      <c r="AW630" s="94" t="str">
        <f t="shared" ca="1" si="95"/>
        <v/>
      </c>
      <c r="AX630" s="95" t="str">
        <f t="shared" si="90"/>
        <v/>
      </c>
      <c r="AY630" s="98" t="str">
        <f t="shared" ca="1" si="96"/>
        <v/>
      </c>
      <c r="AZ630" s="96" t="str">
        <f t="shared" si="91"/>
        <v/>
      </c>
      <c r="BA630" s="99" t="str">
        <f t="shared" ca="1" si="97"/>
        <v/>
      </c>
      <c r="BB630" s="97" t="str">
        <f t="shared" si="92"/>
        <v/>
      </c>
      <c r="BC630" s="101" t="str">
        <f t="shared" ca="1" si="98"/>
        <v/>
      </c>
      <c r="BD630" s="100" t="str">
        <f t="shared" si="93"/>
        <v/>
      </c>
      <c r="BE630" s="103" t="str">
        <f t="shared" ca="1" si="99"/>
        <v/>
      </c>
      <c r="BF630" s="102" t="str">
        <f t="shared" si="94"/>
        <v/>
      </c>
    </row>
    <row r="631" spans="48:58" hidden="1" x14ac:dyDescent="0.25">
      <c r="AV631">
        <v>606</v>
      </c>
      <c r="AW631" s="94" t="str">
        <f t="shared" ca="1" si="95"/>
        <v/>
      </c>
      <c r="AX631" s="95" t="str">
        <f t="shared" si="90"/>
        <v/>
      </c>
      <c r="AY631" s="98" t="str">
        <f t="shared" ca="1" si="96"/>
        <v/>
      </c>
      <c r="AZ631" s="96" t="str">
        <f t="shared" si="91"/>
        <v/>
      </c>
      <c r="BA631" s="99" t="str">
        <f t="shared" ca="1" si="97"/>
        <v/>
      </c>
      <c r="BB631" s="97" t="str">
        <f t="shared" si="92"/>
        <v/>
      </c>
      <c r="BC631" s="101" t="str">
        <f t="shared" ca="1" si="98"/>
        <v/>
      </c>
      <c r="BD631" s="100" t="str">
        <f t="shared" si="93"/>
        <v/>
      </c>
      <c r="BE631" s="103" t="str">
        <f t="shared" ca="1" si="99"/>
        <v/>
      </c>
      <c r="BF631" s="102" t="str">
        <f t="shared" si="94"/>
        <v/>
      </c>
    </row>
    <row r="632" spans="48:58" hidden="1" x14ac:dyDescent="0.25">
      <c r="AV632">
        <v>607</v>
      </c>
      <c r="AW632" s="94" t="str">
        <f t="shared" ca="1" si="95"/>
        <v/>
      </c>
      <c r="AX632" s="95" t="str">
        <f t="shared" si="90"/>
        <v/>
      </c>
      <c r="AY632" s="98" t="str">
        <f t="shared" ca="1" si="96"/>
        <v/>
      </c>
      <c r="AZ632" s="96" t="str">
        <f t="shared" si="91"/>
        <v/>
      </c>
      <c r="BA632" s="99" t="str">
        <f t="shared" ca="1" si="97"/>
        <v/>
      </c>
      <c r="BB632" s="97" t="str">
        <f t="shared" si="92"/>
        <v/>
      </c>
      <c r="BC632" s="101" t="str">
        <f t="shared" ca="1" si="98"/>
        <v/>
      </c>
      <c r="BD632" s="100" t="str">
        <f t="shared" si="93"/>
        <v/>
      </c>
      <c r="BE632" s="103" t="str">
        <f t="shared" ca="1" si="99"/>
        <v/>
      </c>
      <c r="BF632" s="102" t="str">
        <f t="shared" si="94"/>
        <v/>
      </c>
    </row>
    <row r="633" spans="48:58" hidden="1" x14ac:dyDescent="0.25">
      <c r="AV633">
        <v>608</v>
      </c>
      <c r="AW633" s="94" t="str">
        <f t="shared" ca="1" si="95"/>
        <v/>
      </c>
      <c r="AX633" s="95" t="str">
        <f t="shared" si="90"/>
        <v/>
      </c>
      <c r="AY633" s="98" t="str">
        <f t="shared" ca="1" si="96"/>
        <v/>
      </c>
      <c r="AZ633" s="96" t="str">
        <f t="shared" si="91"/>
        <v/>
      </c>
      <c r="BA633" s="99" t="str">
        <f t="shared" ca="1" si="97"/>
        <v/>
      </c>
      <c r="BB633" s="97" t="str">
        <f t="shared" si="92"/>
        <v/>
      </c>
      <c r="BC633" s="101" t="str">
        <f t="shared" ca="1" si="98"/>
        <v/>
      </c>
      <c r="BD633" s="100" t="str">
        <f t="shared" si="93"/>
        <v/>
      </c>
      <c r="BE633" s="103" t="str">
        <f t="shared" ca="1" si="99"/>
        <v/>
      </c>
      <c r="BF633" s="102" t="str">
        <f t="shared" si="94"/>
        <v/>
      </c>
    </row>
    <row r="634" spans="48:58" hidden="1" x14ac:dyDescent="0.25">
      <c r="AV634">
        <v>609</v>
      </c>
      <c r="AW634" s="94" t="str">
        <f t="shared" ca="1" si="95"/>
        <v/>
      </c>
      <c r="AX634" s="95" t="str">
        <f t="shared" si="90"/>
        <v/>
      </c>
      <c r="AY634" s="98" t="str">
        <f t="shared" ca="1" si="96"/>
        <v/>
      </c>
      <c r="AZ634" s="96" t="str">
        <f t="shared" si="91"/>
        <v/>
      </c>
      <c r="BA634" s="99" t="str">
        <f t="shared" ca="1" si="97"/>
        <v/>
      </c>
      <c r="BB634" s="97" t="str">
        <f t="shared" si="92"/>
        <v/>
      </c>
      <c r="BC634" s="101" t="str">
        <f t="shared" ca="1" si="98"/>
        <v/>
      </c>
      <c r="BD634" s="100" t="str">
        <f t="shared" si="93"/>
        <v/>
      </c>
      <c r="BE634" s="103" t="str">
        <f t="shared" ca="1" si="99"/>
        <v/>
      </c>
      <c r="BF634" s="102" t="str">
        <f t="shared" si="94"/>
        <v/>
      </c>
    </row>
    <row r="635" spans="48:58" hidden="1" x14ac:dyDescent="0.25">
      <c r="AV635">
        <v>610</v>
      </c>
      <c r="AW635" s="94" t="str">
        <f t="shared" ca="1" si="95"/>
        <v/>
      </c>
      <c r="AX635" s="95" t="str">
        <f t="shared" si="90"/>
        <v/>
      </c>
      <c r="AY635" s="98" t="str">
        <f t="shared" ca="1" si="96"/>
        <v/>
      </c>
      <c r="AZ635" s="96" t="str">
        <f t="shared" si="91"/>
        <v/>
      </c>
      <c r="BA635" s="99" t="str">
        <f t="shared" ca="1" si="97"/>
        <v/>
      </c>
      <c r="BB635" s="97" t="str">
        <f t="shared" si="92"/>
        <v/>
      </c>
      <c r="BC635" s="101" t="str">
        <f t="shared" ca="1" si="98"/>
        <v/>
      </c>
      <c r="BD635" s="100" t="str">
        <f t="shared" si="93"/>
        <v/>
      </c>
      <c r="BE635" s="103" t="str">
        <f t="shared" ca="1" si="99"/>
        <v/>
      </c>
      <c r="BF635" s="102" t="str">
        <f t="shared" si="94"/>
        <v/>
      </c>
    </row>
    <row r="636" spans="48:58" hidden="1" x14ac:dyDescent="0.25">
      <c r="AV636">
        <v>611</v>
      </c>
      <c r="AW636" s="94" t="str">
        <f t="shared" ca="1" si="95"/>
        <v/>
      </c>
      <c r="AX636" s="95" t="str">
        <f t="shared" si="90"/>
        <v/>
      </c>
      <c r="AY636" s="98" t="str">
        <f t="shared" ca="1" si="96"/>
        <v/>
      </c>
      <c r="AZ636" s="96" t="str">
        <f t="shared" si="91"/>
        <v/>
      </c>
      <c r="BA636" s="99" t="str">
        <f t="shared" ca="1" si="97"/>
        <v/>
      </c>
      <c r="BB636" s="97" t="str">
        <f t="shared" si="92"/>
        <v/>
      </c>
      <c r="BC636" s="101" t="str">
        <f t="shared" ca="1" si="98"/>
        <v/>
      </c>
      <c r="BD636" s="100" t="str">
        <f t="shared" si="93"/>
        <v/>
      </c>
      <c r="BE636" s="103" t="str">
        <f t="shared" ca="1" si="99"/>
        <v/>
      </c>
      <c r="BF636" s="102" t="str">
        <f t="shared" si="94"/>
        <v/>
      </c>
    </row>
    <row r="637" spans="48:58" hidden="1" x14ac:dyDescent="0.25">
      <c r="AV637">
        <v>612</v>
      </c>
      <c r="AW637" s="94" t="str">
        <f t="shared" ca="1" si="95"/>
        <v/>
      </c>
      <c r="AX637" s="95" t="str">
        <f t="shared" si="90"/>
        <v/>
      </c>
      <c r="AY637" s="98" t="str">
        <f t="shared" ca="1" si="96"/>
        <v/>
      </c>
      <c r="AZ637" s="96" t="str">
        <f t="shared" si="91"/>
        <v/>
      </c>
      <c r="BA637" s="99" t="str">
        <f t="shared" ca="1" si="97"/>
        <v/>
      </c>
      <c r="BB637" s="97" t="str">
        <f t="shared" si="92"/>
        <v/>
      </c>
      <c r="BC637" s="101" t="str">
        <f t="shared" ca="1" si="98"/>
        <v/>
      </c>
      <c r="BD637" s="100" t="str">
        <f t="shared" si="93"/>
        <v/>
      </c>
      <c r="BE637" s="103" t="str">
        <f t="shared" ca="1" si="99"/>
        <v/>
      </c>
      <c r="BF637" s="102" t="str">
        <f t="shared" si="94"/>
        <v/>
      </c>
    </row>
    <row r="638" spans="48:58" hidden="1" x14ac:dyDescent="0.25">
      <c r="AV638">
        <v>613</v>
      </c>
      <c r="AW638" s="94" t="str">
        <f t="shared" ca="1" si="95"/>
        <v/>
      </c>
      <c r="AX638" s="95" t="str">
        <f t="shared" si="90"/>
        <v/>
      </c>
      <c r="AY638" s="98" t="str">
        <f t="shared" ca="1" si="96"/>
        <v/>
      </c>
      <c r="AZ638" s="96" t="str">
        <f t="shared" si="91"/>
        <v/>
      </c>
      <c r="BA638" s="99" t="str">
        <f t="shared" ca="1" si="97"/>
        <v/>
      </c>
      <c r="BB638" s="97" t="str">
        <f t="shared" si="92"/>
        <v/>
      </c>
      <c r="BC638" s="101" t="str">
        <f t="shared" ca="1" si="98"/>
        <v/>
      </c>
      <c r="BD638" s="100" t="str">
        <f t="shared" si="93"/>
        <v/>
      </c>
      <c r="BE638" s="103" t="str">
        <f t="shared" ca="1" si="99"/>
        <v/>
      </c>
      <c r="BF638" s="102" t="str">
        <f t="shared" si="94"/>
        <v/>
      </c>
    </row>
    <row r="639" spans="48:58" hidden="1" x14ac:dyDescent="0.25">
      <c r="AV639">
        <v>614</v>
      </c>
      <c r="AW639" s="94" t="str">
        <f t="shared" ca="1" si="95"/>
        <v/>
      </c>
      <c r="AX639" s="95" t="str">
        <f t="shared" si="90"/>
        <v/>
      </c>
      <c r="AY639" s="98" t="str">
        <f t="shared" ca="1" si="96"/>
        <v/>
      </c>
      <c r="AZ639" s="96" t="str">
        <f t="shared" si="91"/>
        <v/>
      </c>
      <c r="BA639" s="99" t="str">
        <f t="shared" ca="1" si="97"/>
        <v/>
      </c>
      <c r="BB639" s="97" t="str">
        <f t="shared" si="92"/>
        <v/>
      </c>
      <c r="BC639" s="101" t="str">
        <f t="shared" ca="1" si="98"/>
        <v/>
      </c>
      <c r="BD639" s="100" t="str">
        <f t="shared" si="93"/>
        <v/>
      </c>
      <c r="BE639" s="103" t="str">
        <f t="shared" ca="1" si="99"/>
        <v/>
      </c>
      <c r="BF639" s="102" t="str">
        <f t="shared" si="94"/>
        <v/>
      </c>
    </row>
    <row r="640" spans="48:58" hidden="1" x14ac:dyDescent="0.25">
      <c r="AV640">
        <v>615</v>
      </c>
      <c r="AW640" s="94" t="str">
        <f t="shared" ca="1" si="95"/>
        <v/>
      </c>
      <c r="AX640" s="95" t="str">
        <f t="shared" si="90"/>
        <v/>
      </c>
      <c r="AY640" s="98" t="str">
        <f t="shared" ca="1" si="96"/>
        <v/>
      </c>
      <c r="AZ640" s="96" t="str">
        <f t="shared" si="91"/>
        <v/>
      </c>
      <c r="BA640" s="99" t="str">
        <f t="shared" ca="1" si="97"/>
        <v/>
      </c>
      <c r="BB640" s="97" t="str">
        <f t="shared" si="92"/>
        <v/>
      </c>
      <c r="BC640" s="101" t="str">
        <f t="shared" ca="1" si="98"/>
        <v/>
      </c>
      <c r="BD640" s="100" t="str">
        <f t="shared" si="93"/>
        <v/>
      </c>
      <c r="BE640" s="103" t="str">
        <f t="shared" ca="1" si="99"/>
        <v/>
      </c>
      <c r="BF640" s="102" t="str">
        <f t="shared" si="94"/>
        <v/>
      </c>
    </row>
    <row r="641" spans="48:58" hidden="1" x14ac:dyDescent="0.25">
      <c r="AV641">
        <v>616</v>
      </c>
      <c r="AW641" s="94" t="str">
        <f t="shared" ca="1" si="95"/>
        <v/>
      </c>
      <c r="AX641" s="95" t="str">
        <f t="shared" si="90"/>
        <v/>
      </c>
      <c r="AY641" s="98" t="str">
        <f t="shared" ca="1" si="96"/>
        <v/>
      </c>
      <c r="AZ641" s="96" t="str">
        <f t="shared" si="91"/>
        <v/>
      </c>
      <c r="BA641" s="99" t="str">
        <f t="shared" ca="1" si="97"/>
        <v/>
      </c>
      <c r="BB641" s="97" t="str">
        <f t="shared" si="92"/>
        <v/>
      </c>
      <c r="BC641" s="101" t="str">
        <f t="shared" ca="1" si="98"/>
        <v/>
      </c>
      <c r="BD641" s="100" t="str">
        <f t="shared" si="93"/>
        <v/>
      </c>
      <c r="BE641" s="103" t="str">
        <f t="shared" ca="1" si="99"/>
        <v/>
      </c>
      <c r="BF641" s="102" t="str">
        <f t="shared" si="94"/>
        <v/>
      </c>
    </row>
    <row r="642" spans="48:58" hidden="1" x14ac:dyDescent="0.25">
      <c r="AV642">
        <v>617</v>
      </c>
      <c r="AW642" s="94" t="str">
        <f t="shared" ca="1" si="95"/>
        <v/>
      </c>
      <c r="AX642" s="95" t="str">
        <f t="shared" si="90"/>
        <v/>
      </c>
      <c r="AY642" s="98" t="str">
        <f t="shared" ca="1" si="96"/>
        <v/>
      </c>
      <c r="AZ642" s="96" t="str">
        <f t="shared" si="91"/>
        <v/>
      </c>
      <c r="BA642" s="99" t="str">
        <f t="shared" ca="1" si="97"/>
        <v/>
      </c>
      <c r="BB642" s="97" t="str">
        <f t="shared" si="92"/>
        <v/>
      </c>
      <c r="BC642" s="101" t="str">
        <f t="shared" ca="1" si="98"/>
        <v/>
      </c>
      <c r="BD642" s="100" t="str">
        <f t="shared" si="93"/>
        <v/>
      </c>
      <c r="BE642" s="103" t="str">
        <f t="shared" ca="1" si="99"/>
        <v/>
      </c>
      <c r="BF642" s="102" t="str">
        <f t="shared" si="94"/>
        <v/>
      </c>
    </row>
    <row r="643" spans="48:58" hidden="1" x14ac:dyDescent="0.25">
      <c r="AV643">
        <v>618</v>
      </c>
      <c r="AW643" s="94" t="str">
        <f t="shared" ca="1" si="95"/>
        <v/>
      </c>
      <c r="AX643" s="95" t="str">
        <f t="shared" si="90"/>
        <v/>
      </c>
      <c r="AY643" s="98" t="str">
        <f t="shared" ca="1" si="96"/>
        <v/>
      </c>
      <c r="AZ643" s="96" t="str">
        <f t="shared" si="91"/>
        <v/>
      </c>
      <c r="BA643" s="99" t="str">
        <f t="shared" ca="1" si="97"/>
        <v/>
      </c>
      <c r="BB643" s="97" t="str">
        <f t="shared" si="92"/>
        <v/>
      </c>
      <c r="BC643" s="101" t="str">
        <f t="shared" ca="1" si="98"/>
        <v/>
      </c>
      <c r="BD643" s="100" t="str">
        <f t="shared" si="93"/>
        <v/>
      </c>
      <c r="BE643" s="103" t="str">
        <f t="shared" ca="1" si="99"/>
        <v/>
      </c>
      <c r="BF643" s="102" t="str">
        <f t="shared" si="94"/>
        <v/>
      </c>
    </row>
    <row r="644" spans="48:58" hidden="1" x14ac:dyDescent="0.25">
      <c r="AV644">
        <v>619</v>
      </c>
      <c r="AW644" s="94" t="str">
        <f t="shared" ca="1" si="95"/>
        <v/>
      </c>
      <c r="AX644" s="95" t="str">
        <f t="shared" si="90"/>
        <v/>
      </c>
      <c r="AY644" s="98" t="str">
        <f t="shared" ca="1" si="96"/>
        <v/>
      </c>
      <c r="AZ644" s="96" t="str">
        <f t="shared" si="91"/>
        <v/>
      </c>
      <c r="BA644" s="99" t="str">
        <f t="shared" ca="1" si="97"/>
        <v/>
      </c>
      <c r="BB644" s="97" t="str">
        <f t="shared" si="92"/>
        <v/>
      </c>
      <c r="BC644" s="101" t="str">
        <f t="shared" ca="1" si="98"/>
        <v/>
      </c>
      <c r="BD644" s="100" t="str">
        <f t="shared" si="93"/>
        <v/>
      </c>
      <c r="BE644" s="103" t="str">
        <f t="shared" ca="1" si="99"/>
        <v/>
      </c>
      <c r="BF644" s="102" t="str">
        <f t="shared" si="94"/>
        <v/>
      </c>
    </row>
    <row r="645" spans="48:58" hidden="1" x14ac:dyDescent="0.25">
      <c r="AV645">
        <v>620</v>
      </c>
      <c r="AW645" s="94" t="str">
        <f t="shared" ca="1" si="95"/>
        <v/>
      </c>
      <c r="AX645" s="95" t="str">
        <f t="shared" si="90"/>
        <v/>
      </c>
      <c r="AY645" s="98" t="str">
        <f t="shared" ca="1" si="96"/>
        <v/>
      </c>
      <c r="AZ645" s="96" t="str">
        <f t="shared" si="91"/>
        <v/>
      </c>
      <c r="BA645" s="99" t="str">
        <f t="shared" ca="1" si="97"/>
        <v/>
      </c>
      <c r="BB645" s="97" t="str">
        <f t="shared" si="92"/>
        <v/>
      </c>
      <c r="BC645" s="101" t="str">
        <f t="shared" ca="1" si="98"/>
        <v/>
      </c>
      <c r="BD645" s="100" t="str">
        <f t="shared" si="93"/>
        <v/>
      </c>
      <c r="BE645" s="103" t="str">
        <f t="shared" ca="1" si="99"/>
        <v/>
      </c>
      <c r="BF645" s="102" t="str">
        <f t="shared" si="94"/>
        <v/>
      </c>
    </row>
    <row r="646" spans="48:58" hidden="1" x14ac:dyDescent="0.25">
      <c r="AV646">
        <v>621</v>
      </c>
      <c r="AW646" s="94" t="str">
        <f t="shared" ca="1" si="95"/>
        <v/>
      </c>
      <c r="AX646" s="95" t="str">
        <f t="shared" si="90"/>
        <v/>
      </c>
      <c r="AY646" s="98" t="str">
        <f t="shared" ca="1" si="96"/>
        <v/>
      </c>
      <c r="AZ646" s="96" t="str">
        <f t="shared" si="91"/>
        <v/>
      </c>
      <c r="BA646" s="99" t="str">
        <f t="shared" ca="1" si="97"/>
        <v/>
      </c>
      <c r="BB646" s="97" t="str">
        <f t="shared" si="92"/>
        <v/>
      </c>
      <c r="BC646" s="101" t="str">
        <f t="shared" ca="1" si="98"/>
        <v/>
      </c>
      <c r="BD646" s="100" t="str">
        <f t="shared" si="93"/>
        <v/>
      </c>
      <c r="BE646" s="103" t="str">
        <f t="shared" ca="1" si="99"/>
        <v/>
      </c>
      <c r="BF646" s="102" t="str">
        <f t="shared" si="94"/>
        <v/>
      </c>
    </row>
    <row r="647" spans="48:58" hidden="1" x14ac:dyDescent="0.25">
      <c r="AV647">
        <v>622</v>
      </c>
      <c r="AW647" s="94" t="str">
        <f t="shared" ca="1" si="95"/>
        <v/>
      </c>
      <c r="AX647" s="95" t="str">
        <f t="shared" si="90"/>
        <v/>
      </c>
      <c r="AY647" s="98" t="str">
        <f t="shared" ca="1" si="96"/>
        <v/>
      </c>
      <c r="AZ647" s="96" t="str">
        <f t="shared" si="91"/>
        <v/>
      </c>
      <c r="BA647" s="99" t="str">
        <f t="shared" ca="1" si="97"/>
        <v/>
      </c>
      <c r="BB647" s="97" t="str">
        <f t="shared" si="92"/>
        <v/>
      </c>
      <c r="BC647" s="101" t="str">
        <f t="shared" ca="1" si="98"/>
        <v/>
      </c>
      <c r="BD647" s="100" t="str">
        <f t="shared" si="93"/>
        <v/>
      </c>
      <c r="BE647" s="103" t="str">
        <f t="shared" ca="1" si="99"/>
        <v/>
      </c>
      <c r="BF647" s="102" t="str">
        <f t="shared" si="94"/>
        <v/>
      </c>
    </row>
    <row r="648" spans="48:58" hidden="1" x14ac:dyDescent="0.25">
      <c r="AV648">
        <v>623</v>
      </c>
      <c r="AW648" s="94" t="str">
        <f t="shared" ca="1" si="95"/>
        <v/>
      </c>
      <c r="AX648" s="95" t="str">
        <f t="shared" si="90"/>
        <v/>
      </c>
      <c r="AY648" s="98" t="str">
        <f t="shared" ca="1" si="96"/>
        <v/>
      </c>
      <c r="AZ648" s="96" t="str">
        <f t="shared" si="91"/>
        <v/>
      </c>
      <c r="BA648" s="99" t="str">
        <f t="shared" ca="1" si="97"/>
        <v/>
      </c>
      <c r="BB648" s="97" t="str">
        <f t="shared" si="92"/>
        <v/>
      </c>
      <c r="BC648" s="101" t="str">
        <f t="shared" ca="1" si="98"/>
        <v/>
      </c>
      <c r="BD648" s="100" t="str">
        <f t="shared" si="93"/>
        <v/>
      </c>
      <c r="BE648" s="103" t="str">
        <f t="shared" ca="1" si="99"/>
        <v/>
      </c>
      <c r="BF648" s="102" t="str">
        <f t="shared" si="94"/>
        <v/>
      </c>
    </row>
    <row r="649" spans="48:58" hidden="1" x14ac:dyDescent="0.25">
      <c r="AV649">
        <v>624</v>
      </c>
      <c r="AW649" s="94" t="str">
        <f t="shared" ca="1" si="95"/>
        <v/>
      </c>
      <c r="AX649" s="95" t="str">
        <f t="shared" si="90"/>
        <v/>
      </c>
      <c r="AY649" s="98" t="str">
        <f t="shared" ca="1" si="96"/>
        <v/>
      </c>
      <c r="AZ649" s="96" t="str">
        <f t="shared" si="91"/>
        <v/>
      </c>
      <c r="BA649" s="99" t="str">
        <f t="shared" ca="1" si="97"/>
        <v/>
      </c>
      <c r="BB649" s="97" t="str">
        <f t="shared" si="92"/>
        <v/>
      </c>
      <c r="BC649" s="101" t="str">
        <f t="shared" ca="1" si="98"/>
        <v/>
      </c>
      <c r="BD649" s="100" t="str">
        <f t="shared" si="93"/>
        <v/>
      </c>
      <c r="BE649" s="103" t="str">
        <f t="shared" ca="1" si="99"/>
        <v/>
      </c>
      <c r="BF649" s="102" t="str">
        <f t="shared" si="94"/>
        <v/>
      </c>
    </row>
    <row r="650" spans="48:58" hidden="1" x14ac:dyDescent="0.25">
      <c r="AV650">
        <v>625</v>
      </c>
      <c r="AW650" s="94" t="str">
        <f t="shared" ca="1" si="95"/>
        <v/>
      </c>
      <c r="AX650" s="95" t="str">
        <f t="shared" si="90"/>
        <v/>
      </c>
      <c r="AY650" s="98" t="str">
        <f t="shared" ca="1" si="96"/>
        <v/>
      </c>
      <c r="AZ650" s="96" t="str">
        <f t="shared" si="91"/>
        <v/>
      </c>
      <c r="BA650" s="99" t="str">
        <f t="shared" ca="1" si="97"/>
        <v/>
      </c>
      <c r="BB650" s="97" t="str">
        <f t="shared" si="92"/>
        <v/>
      </c>
      <c r="BC650" s="101" t="str">
        <f t="shared" ca="1" si="98"/>
        <v/>
      </c>
      <c r="BD650" s="100" t="str">
        <f t="shared" si="93"/>
        <v/>
      </c>
      <c r="BE650" s="103" t="str">
        <f t="shared" ca="1" si="99"/>
        <v/>
      </c>
      <c r="BF650" s="102" t="str">
        <f t="shared" si="94"/>
        <v/>
      </c>
    </row>
    <row r="651" spans="48:58" hidden="1" x14ac:dyDescent="0.25">
      <c r="AV651">
        <v>626</v>
      </c>
      <c r="AW651" s="94" t="str">
        <f t="shared" ca="1" si="95"/>
        <v/>
      </c>
      <c r="AX651" s="95" t="str">
        <f t="shared" si="90"/>
        <v/>
      </c>
      <c r="AY651" s="98" t="str">
        <f t="shared" ca="1" si="96"/>
        <v/>
      </c>
      <c r="AZ651" s="96" t="str">
        <f t="shared" si="91"/>
        <v/>
      </c>
      <c r="BA651" s="99" t="str">
        <f t="shared" ca="1" si="97"/>
        <v/>
      </c>
      <c r="BB651" s="97" t="str">
        <f t="shared" si="92"/>
        <v/>
      </c>
      <c r="BC651" s="101" t="str">
        <f t="shared" ca="1" si="98"/>
        <v/>
      </c>
      <c r="BD651" s="100" t="str">
        <f t="shared" si="93"/>
        <v/>
      </c>
      <c r="BE651" s="103" t="str">
        <f t="shared" ca="1" si="99"/>
        <v/>
      </c>
      <c r="BF651" s="102" t="str">
        <f t="shared" si="94"/>
        <v/>
      </c>
    </row>
    <row r="652" spans="48:58" hidden="1" x14ac:dyDescent="0.25">
      <c r="AV652">
        <v>627</v>
      </c>
      <c r="AW652" s="94" t="str">
        <f t="shared" ca="1" si="95"/>
        <v/>
      </c>
      <c r="AX652" s="95" t="str">
        <f t="shared" si="90"/>
        <v/>
      </c>
      <c r="AY652" s="98" t="str">
        <f t="shared" ca="1" si="96"/>
        <v/>
      </c>
      <c r="AZ652" s="96" t="str">
        <f t="shared" si="91"/>
        <v/>
      </c>
      <c r="BA652" s="99" t="str">
        <f t="shared" ca="1" si="97"/>
        <v/>
      </c>
      <c r="BB652" s="97" t="str">
        <f t="shared" si="92"/>
        <v/>
      </c>
      <c r="BC652" s="101" t="str">
        <f t="shared" ca="1" si="98"/>
        <v/>
      </c>
      <c r="BD652" s="100" t="str">
        <f t="shared" si="93"/>
        <v/>
      </c>
      <c r="BE652" s="103" t="str">
        <f t="shared" ca="1" si="99"/>
        <v/>
      </c>
      <c r="BF652" s="102" t="str">
        <f t="shared" si="94"/>
        <v/>
      </c>
    </row>
    <row r="653" spans="48:58" hidden="1" x14ac:dyDescent="0.25">
      <c r="AV653">
        <v>628</v>
      </c>
      <c r="AW653" s="94" t="str">
        <f t="shared" ca="1" si="95"/>
        <v/>
      </c>
      <c r="AX653" s="95" t="str">
        <f t="shared" si="90"/>
        <v/>
      </c>
      <c r="AY653" s="98" t="str">
        <f t="shared" ca="1" si="96"/>
        <v/>
      </c>
      <c r="AZ653" s="96" t="str">
        <f t="shared" si="91"/>
        <v/>
      </c>
      <c r="BA653" s="99" t="str">
        <f t="shared" ca="1" si="97"/>
        <v/>
      </c>
      <c r="BB653" s="97" t="str">
        <f t="shared" si="92"/>
        <v/>
      </c>
      <c r="BC653" s="101" t="str">
        <f t="shared" ca="1" si="98"/>
        <v/>
      </c>
      <c r="BD653" s="100" t="str">
        <f t="shared" si="93"/>
        <v/>
      </c>
      <c r="BE653" s="103" t="str">
        <f t="shared" ca="1" si="99"/>
        <v/>
      </c>
      <c r="BF653" s="102" t="str">
        <f t="shared" si="94"/>
        <v/>
      </c>
    </row>
    <row r="654" spans="48:58" hidden="1" x14ac:dyDescent="0.25">
      <c r="AV654">
        <v>629</v>
      </c>
      <c r="AW654" s="94" t="str">
        <f t="shared" ca="1" si="95"/>
        <v/>
      </c>
      <c r="AX654" s="95" t="str">
        <f t="shared" si="90"/>
        <v/>
      </c>
      <c r="AY654" s="98" t="str">
        <f t="shared" ca="1" si="96"/>
        <v/>
      </c>
      <c r="AZ654" s="96" t="str">
        <f t="shared" si="91"/>
        <v/>
      </c>
      <c r="BA654" s="99" t="str">
        <f t="shared" ca="1" si="97"/>
        <v/>
      </c>
      <c r="BB654" s="97" t="str">
        <f t="shared" si="92"/>
        <v/>
      </c>
      <c r="BC654" s="101" t="str">
        <f t="shared" ca="1" si="98"/>
        <v/>
      </c>
      <c r="BD654" s="100" t="str">
        <f t="shared" si="93"/>
        <v/>
      </c>
      <c r="BE654" s="103" t="str">
        <f t="shared" ca="1" si="99"/>
        <v/>
      </c>
      <c r="BF654" s="102" t="str">
        <f t="shared" si="94"/>
        <v/>
      </c>
    </row>
    <row r="655" spans="48:58" hidden="1" x14ac:dyDescent="0.25">
      <c r="AV655">
        <v>630</v>
      </c>
      <c r="AW655" s="94" t="str">
        <f t="shared" ca="1" si="95"/>
        <v/>
      </c>
      <c r="AX655" s="95" t="str">
        <f t="shared" si="90"/>
        <v/>
      </c>
      <c r="AY655" s="98" t="str">
        <f t="shared" ca="1" si="96"/>
        <v/>
      </c>
      <c r="AZ655" s="96" t="str">
        <f t="shared" si="91"/>
        <v/>
      </c>
      <c r="BA655" s="99" t="str">
        <f t="shared" ca="1" si="97"/>
        <v/>
      </c>
      <c r="BB655" s="97" t="str">
        <f t="shared" si="92"/>
        <v/>
      </c>
      <c r="BC655" s="101" t="str">
        <f t="shared" ca="1" si="98"/>
        <v/>
      </c>
      <c r="BD655" s="100" t="str">
        <f t="shared" si="93"/>
        <v/>
      </c>
      <c r="BE655" s="103" t="str">
        <f t="shared" ca="1" si="99"/>
        <v/>
      </c>
      <c r="BF655" s="102" t="str">
        <f t="shared" si="94"/>
        <v/>
      </c>
    </row>
    <row r="656" spans="48:58" hidden="1" x14ac:dyDescent="0.25">
      <c r="AV656">
        <v>631</v>
      </c>
      <c r="AW656" s="94" t="str">
        <f t="shared" ca="1" si="95"/>
        <v/>
      </c>
      <c r="AX656" s="95" t="str">
        <f t="shared" si="90"/>
        <v/>
      </c>
      <c r="AY656" s="98" t="str">
        <f t="shared" ca="1" si="96"/>
        <v/>
      </c>
      <c r="AZ656" s="96" t="str">
        <f t="shared" si="91"/>
        <v/>
      </c>
      <c r="BA656" s="99" t="str">
        <f t="shared" ca="1" si="97"/>
        <v/>
      </c>
      <c r="BB656" s="97" t="str">
        <f t="shared" si="92"/>
        <v/>
      </c>
      <c r="BC656" s="101" t="str">
        <f t="shared" ca="1" si="98"/>
        <v/>
      </c>
      <c r="BD656" s="100" t="str">
        <f t="shared" si="93"/>
        <v/>
      </c>
      <c r="BE656" s="103" t="str">
        <f t="shared" ca="1" si="99"/>
        <v/>
      </c>
      <c r="BF656" s="102" t="str">
        <f t="shared" si="94"/>
        <v/>
      </c>
    </row>
    <row r="657" spans="48:58" hidden="1" x14ac:dyDescent="0.25">
      <c r="AV657">
        <v>632</v>
      </c>
      <c r="AW657" s="94" t="str">
        <f t="shared" ca="1" si="95"/>
        <v/>
      </c>
      <c r="AX657" s="95" t="str">
        <f t="shared" si="90"/>
        <v/>
      </c>
      <c r="AY657" s="98" t="str">
        <f t="shared" ca="1" si="96"/>
        <v/>
      </c>
      <c r="AZ657" s="96" t="str">
        <f t="shared" si="91"/>
        <v/>
      </c>
      <c r="BA657" s="99" t="str">
        <f t="shared" ca="1" si="97"/>
        <v/>
      </c>
      <c r="BB657" s="97" t="str">
        <f t="shared" si="92"/>
        <v/>
      </c>
      <c r="BC657" s="101" t="str">
        <f t="shared" ca="1" si="98"/>
        <v/>
      </c>
      <c r="BD657" s="100" t="str">
        <f t="shared" si="93"/>
        <v/>
      </c>
      <c r="BE657" s="103" t="str">
        <f t="shared" ca="1" si="99"/>
        <v/>
      </c>
      <c r="BF657" s="102" t="str">
        <f t="shared" si="94"/>
        <v/>
      </c>
    </row>
    <row r="658" spans="48:58" hidden="1" x14ac:dyDescent="0.25">
      <c r="AV658">
        <v>633</v>
      </c>
      <c r="AW658" s="94" t="str">
        <f t="shared" ca="1" si="95"/>
        <v/>
      </c>
      <c r="AX658" s="95" t="str">
        <f t="shared" si="90"/>
        <v/>
      </c>
      <c r="AY658" s="98" t="str">
        <f t="shared" ca="1" si="96"/>
        <v/>
      </c>
      <c r="AZ658" s="96" t="str">
        <f t="shared" si="91"/>
        <v/>
      </c>
      <c r="BA658" s="99" t="str">
        <f t="shared" ca="1" si="97"/>
        <v/>
      </c>
      <c r="BB658" s="97" t="str">
        <f t="shared" si="92"/>
        <v/>
      </c>
      <c r="BC658" s="101" t="str">
        <f t="shared" ca="1" si="98"/>
        <v/>
      </c>
      <c r="BD658" s="100" t="str">
        <f t="shared" si="93"/>
        <v/>
      </c>
      <c r="BE658" s="103" t="str">
        <f t="shared" ca="1" si="99"/>
        <v/>
      </c>
      <c r="BF658" s="102" t="str">
        <f t="shared" si="94"/>
        <v/>
      </c>
    </row>
    <row r="659" spans="48:58" hidden="1" x14ac:dyDescent="0.25">
      <c r="AV659">
        <v>634</v>
      </c>
      <c r="AW659" s="94" t="str">
        <f t="shared" ca="1" si="95"/>
        <v/>
      </c>
      <c r="AX659" s="95" t="str">
        <f t="shared" si="90"/>
        <v/>
      </c>
      <c r="AY659" s="98" t="str">
        <f t="shared" ca="1" si="96"/>
        <v/>
      </c>
      <c r="AZ659" s="96" t="str">
        <f t="shared" si="91"/>
        <v/>
      </c>
      <c r="BA659" s="99" t="str">
        <f t="shared" ca="1" si="97"/>
        <v/>
      </c>
      <c r="BB659" s="97" t="str">
        <f t="shared" si="92"/>
        <v/>
      </c>
      <c r="BC659" s="101" t="str">
        <f t="shared" ca="1" si="98"/>
        <v/>
      </c>
      <c r="BD659" s="100" t="str">
        <f t="shared" si="93"/>
        <v/>
      </c>
      <c r="BE659" s="103" t="str">
        <f t="shared" ca="1" si="99"/>
        <v/>
      </c>
      <c r="BF659" s="102" t="str">
        <f t="shared" si="94"/>
        <v/>
      </c>
    </row>
    <row r="660" spans="48:58" hidden="1" x14ac:dyDescent="0.25">
      <c r="AV660">
        <v>635</v>
      </c>
      <c r="AW660" s="94" t="str">
        <f t="shared" ca="1" si="95"/>
        <v/>
      </c>
      <c r="AX660" s="95" t="str">
        <f t="shared" si="90"/>
        <v/>
      </c>
      <c r="AY660" s="98" t="str">
        <f t="shared" ca="1" si="96"/>
        <v/>
      </c>
      <c r="AZ660" s="96" t="str">
        <f t="shared" si="91"/>
        <v/>
      </c>
      <c r="BA660" s="99" t="str">
        <f t="shared" ca="1" si="97"/>
        <v/>
      </c>
      <c r="BB660" s="97" t="str">
        <f t="shared" si="92"/>
        <v/>
      </c>
      <c r="BC660" s="101" t="str">
        <f t="shared" ca="1" si="98"/>
        <v/>
      </c>
      <c r="BD660" s="100" t="str">
        <f t="shared" si="93"/>
        <v/>
      </c>
      <c r="BE660" s="103" t="str">
        <f t="shared" ca="1" si="99"/>
        <v/>
      </c>
      <c r="BF660" s="102" t="str">
        <f t="shared" si="94"/>
        <v/>
      </c>
    </row>
    <row r="661" spans="48:58" hidden="1" x14ac:dyDescent="0.25">
      <c r="AV661">
        <v>636</v>
      </c>
      <c r="AW661" s="94" t="str">
        <f t="shared" ca="1" si="95"/>
        <v/>
      </c>
      <c r="AX661" s="95" t="str">
        <f t="shared" si="90"/>
        <v/>
      </c>
      <c r="AY661" s="98" t="str">
        <f t="shared" ca="1" si="96"/>
        <v/>
      </c>
      <c r="AZ661" s="96" t="str">
        <f t="shared" si="91"/>
        <v/>
      </c>
      <c r="BA661" s="99" t="str">
        <f t="shared" ca="1" si="97"/>
        <v/>
      </c>
      <c r="BB661" s="97" t="str">
        <f t="shared" si="92"/>
        <v/>
      </c>
      <c r="BC661" s="101" t="str">
        <f t="shared" ca="1" si="98"/>
        <v/>
      </c>
      <c r="BD661" s="100" t="str">
        <f t="shared" si="93"/>
        <v/>
      </c>
      <c r="BE661" s="103" t="str">
        <f t="shared" ca="1" si="99"/>
        <v/>
      </c>
      <c r="BF661" s="102" t="str">
        <f t="shared" si="94"/>
        <v/>
      </c>
    </row>
    <row r="662" spans="48:58" hidden="1" x14ac:dyDescent="0.25">
      <c r="AV662">
        <v>637</v>
      </c>
      <c r="AW662" s="94" t="str">
        <f t="shared" ca="1" si="95"/>
        <v/>
      </c>
      <c r="AX662" s="95" t="str">
        <f t="shared" si="90"/>
        <v/>
      </c>
      <c r="AY662" s="98" t="str">
        <f t="shared" ca="1" si="96"/>
        <v/>
      </c>
      <c r="AZ662" s="96" t="str">
        <f t="shared" si="91"/>
        <v/>
      </c>
      <c r="BA662" s="99" t="str">
        <f t="shared" ca="1" si="97"/>
        <v/>
      </c>
      <c r="BB662" s="97" t="str">
        <f t="shared" si="92"/>
        <v/>
      </c>
      <c r="BC662" s="101" t="str">
        <f t="shared" ca="1" si="98"/>
        <v/>
      </c>
      <c r="BD662" s="100" t="str">
        <f t="shared" si="93"/>
        <v/>
      </c>
      <c r="BE662" s="103" t="str">
        <f t="shared" ca="1" si="99"/>
        <v/>
      </c>
      <c r="BF662" s="102" t="str">
        <f t="shared" si="94"/>
        <v/>
      </c>
    </row>
    <row r="663" spans="48:58" hidden="1" x14ac:dyDescent="0.25">
      <c r="AV663">
        <v>638</v>
      </c>
      <c r="AW663" s="94" t="str">
        <f t="shared" ca="1" si="95"/>
        <v/>
      </c>
      <c r="AX663" s="95" t="str">
        <f t="shared" si="90"/>
        <v/>
      </c>
      <c r="AY663" s="98" t="str">
        <f t="shared" ca="1" si="96"/>
        <v/>
      </c>
      <c r="AZ663" s="96" t="str">
        <f t="shared" si="91"/>
        <v/>
      </c>
      <c r="BA663" s="99" t="str">
        <f t="shared" ca="1" si="97"/>
        <v/>
      </c>
      <c r="BB663" s="97" t="str">
        <f t="shared" si="92"/>
        <v/>
      </c>
      <c r="BC663" s="101" t="str">
        <f t="shared" ca="1" si="98"/>
        <v/>
      </c>
      <c r="BD663" s="100" t="str">
        <f t="shared" si="93"/>
        <v/>
      </c>
      <c r="BE663" s="103" t="str">
        <f t="shared" ca="1" si="99"/>
        <v/>
      </c>
      <c r="BF663" s="102" t="str">
        <f t="shared" si="94"/>
        <v/>
      </c>
    </row>
    <row r="664" spans="48:58" hidden="1" x14ac:dyDescent="0.25">
      <c r="AV664">
        <v>639</v>
      </c>
      <c r="AW664" s="94" t="str">
        <f t="shared" ca="1" si="95"/>
        <v/>
      </c>
      <c r="AX664" s="95" t="str">
        <f t="shared" si="90"/>
        <v/>
      </c>
      <c r="AY664" s="98" t="str">
        <f t="shared" ca="1" si="96"/>
        <v/>
      </c>
      <c r="AZ664" s="96" t="str">
        <f t="shared" si="91"/>
        <v/>
      </c>
      <c r="BA664" s="99" t="str">
        <f t="shared" ca="1" si="97"/>
        <v/>
      </c>
      <c r="BB664" s="97" t="str">
        <f t="shared" si="92"/>
        <v/>
      </c>
      <c r="BC664" s="101" t="str">
        <f t="shared" ca="1" si="98"/>
        <v/>
      </c>
      <c r="BD664" s="100" t="str">
        <f t="shared" si="93"/>
        <v/>
      </c>
      <c r="BE664" s="103" t="str">
        <f t="shared" ca="1" si="99"/>
        <v/>
      </c>
      <c r="BF664" s="102" t="str">
        <f t="shared" si="94"/>
        <v/>
      </c>
    </row>
    <row r="665" spans="48:58" hidden="1" x14ac:dyDescent="0.25">
      <c r="AV665">
        <v>640</v>
      </c>
      <c r="AW665" s="94" t="str">
        <f t="shared" ca="1" si="95"/>
        <v/>
      </c>
      <c r="AX665" s="95" t="str">
        <f t="shared" si="90"/>
        <v/>
      </c>
      <c r="AY665" s="98" t="str">
        <f t="shared" ca="1" si="96"/>
        <v/>
      </c>
      <c r="AZ665" s="96" t="str">
        <f t="shared" si="91"/>
        <v/>
      </c>
      <c r="BA665" s="99" t="str">
        <f t="shared" ca="1" si="97"/>
        <v/>
      </c>
      <c r="BB665" s="97" t="str">
        <f t="shared" si="92"/>
        <v/>
      </c>
      <c r="BC665" s="101" t="str">
        <f t="shared" ca="1" si="98"/>
        <v/>
      </c>
      <c r="BD665" s="100" t="str">
        <f t="shared" si="93"/>
        <v/>
      </c>
      <c r="BE665" s="103" t="str">
        <f t="shared" ca="1" si="99"/>
        <v/>
      </c>
      <c r="BF665" s="102" t="str">
        <f t="shared" si="94"/>
        <v/>
      </c>
    </row>
    <row r="666" spans="48:58" hidden="1" x14ac:dyDescent="0.25">
      <c r="AV666">
        <v>641</v>
      </c>
      <c r="AW666" s="94" t="str">
        <f t="shared" ca="1" si="95"/>
        <v/>
      </c>
      <c r="AX666" s="95" t="str">
        <f t="shared" ref="AX666:AX729" si="100">IF($D$15*12&gt;=AV666,-1*$H$15,IF($D$15*12+1&gt;=AV666,InfGoal1,""))</f>
        <v/>
      </c>
      <c r="AY666" s="98" t="str">
        <f t="shared" ca="1" si="96"/>
        <v/>
      </c>
      <c r="AZ666" s="96" t="str">
        <f t="shared" ref="AZ666:AZ729" si="101">IF($D$17*12&gt;=AV666,-1*$H$17,IF($D$17*12+1&gt;=AV666,InfGoal2,""))</f>
        <v/>
      </c>
      <c r="BA666" s="99" t="str">
        <f t="shared" ca="1" si="97"/>
        <v/>
      </c>
      <c r="BB666" s="97" t="str">
        <f t="shared" ref="BB666:BB729" si="102">IF($D$19*12&gt;=AV666,-1*$H$19,IF($D$19*12+1&gt;=AV666,InfGoal3,""))</f>
        <v/>
      </c>
      <c r="BC666" s="101" t="str">
        <f t="shared" ca="1" si="98"/>
        <v/>
      </c>
      <c r="BD666" s="100" t="str">
        <f t="shared" ref="BD666:BD729" si="103">IF($D$21*12&gt;=AV666,-1*$H$21,IF($D$21*12+1&gt;=AV666,InfGoal4,""))</f>
        <v/>
      </c>
      <c r="BE666" s="103" t="str">
        <f t="shared" ca="1" si="99"/>
        <v/>
      </c>
      <c r="BF666" s="102" t="str">
        <f t="shared" ref="BF666:BF729" si="104">IF($D$23*12&gt;=AV666,-1*$H$23,IF($D$23*12+1&gt;=AV666,InfGoal5,""))</f>
        <v/>
      </c>
    </row>
    <row r="667" spans="48:58" hidden="1" x14ac:dyDescent="0.25">
      <c r="AV667">
        <v>642</v>
      </c>
      <c r="AW667" s="94" t="str">
        <f t="shared" ref="AW667:AW730" ca="1" si="105">IF($D$15*12&gt;=AV667,DATE(YEAR(TODAY()),MONTH(TODAY())+AV667-1,DAY(TODAY())),IF($D$15*12+1&gt;=AV667,DATE(YEAR(TODAY()),MONTH(TODAY())+$D$15*12,DAY(TODAY())),""))</f>
        <v/>
      </c>
      <c r="AX667" s="95" t="str">
        <f t="shared" si="100"/>
        <v/>
      </c>
      <c r="AY667" s="98" t="str">
        <f t="shared" ref="AY667:AY730" ca="1" si="106">IF($D$17*12&gt;=AV667,DATE(YEAR(TODAY()),MONTH(TODAY())+AV667-1,DAY(TODAY())),IF($D$17*12+1&gt;=AV667,DATE(YEAR(TODAY()),MONTH(TODAY())+$D$17*12,DAY(TODAY())),""))</f>
        <v/>
      </c>
      <c r="AZ667" s="96" t="str">
        <f t="shared" si="101"/>
        <v/>
      </c>
      <c r="BA667" s="99" t="str">
        <f t="shared" ref="BA667:BA730" ca="1" si="107">IF($D$19*12&gt;=AV667,DATE(YEAR(TODAY()),MONTH(TODAY())+AV667-1,DAY(TODAY())),IF($D$19*12+1&gt;=AV667,DATE(YEAR(TODAY()),MONTH(TODAY())+$D$19*12,DAY(TODAY())),""))</f>
        <v/>
      </c>
      <c r="BB667" s="97" t="str">
        <f t="shared" si="102"/>
        <v/>
      </c>
      <c r="BC667" s="101" t="str">
        <f t="shared" ref="BC667:BC730" ca="1" si="108">IF($D$21*12&gt;=AV667,DATE(YEAR(TODAY()),MONTH(TODAY())+AV667-1,DAY(TODAY())),IF($D$21*12+1&gt;=AV667,DATE(YEAR(TODAY()),MONTH(TODAY())+$D$21*12,DAY(TODAY())),""))</f>
        <v/>
      </c>
      <c r="BD667" s="100" t="str">
        <f t="shared" si="103"/>
        <v/>
      </c>
      <c r="BE667" s="103" t="str">
        <f t="shared" ref="BE667:BE730" ca="1" si="109">IF($D$23*12&gt;=AV667,DATE(YEAR(TODAY()),MONTH(TODAY())+AV667-1,DAY(TODAY())),IF($D$23*12+1&gt;=AV667,DATE(YEAR(TODAY()),MONTH(TODAY())+$D$23*12,DAY(TODAY())),""))</f>
        <v/>
      </c>
      <c r="BF667" s="102" t="str">
        <f t="shared" si="104"/>
        <v/>
      </c>
    </row>
    <row r="668" spans="48:58" hidden="1" x14ac:dyDescent="0.25">
      <c r="AV668">
        <v>643</v>
      </c>
      <c r="AW668" s="94" t="str">
        <f t="shared" ca="1" si="105"/>
        <v/>
      </c>
      <c r="AX668" s="95" t="str">
        <f t="shared" si="100"/>
        <v/>
      </c>
      <c r="AY668" s="98" t="str">
        <f t="shared" ca="1" si="106"/>
        <v/>
      </c>
      <c r="AZ668" s="96" t="str">
        <f t="shared" si="101"/>
        <v/>
      </c>
      <c r="BA668" s="99" t="str">
        <f t="shared" ca="1" si="107"/>
        <v/>
      </c>
      <c r="BB668" s="97" t="str">
        <f t="shared" si="102"/>
        <v/>
      </c>
      <c r="BC668" s="101" t="str">
        <f t="shared" ca="1" si="108"/>
        <v/>
      </c>
      <c r="BD668" s="100" t="str">
        <f t="shared" si="103"/>
        <v/>
      </c>
      <c r="BE668" s="103" t="str">
        <f t="shared" ca="1" si="109"/>
        <v/>
      </c>
      <c r="BF668" s="102" t="str">
        <f t="shared" si="104"/>
        <v/>
      </c>
    </row>
    <row r="669" spans="48:58" hidden="1" x14ac:dyDescent="0.25">
      <c r="AV669">
        <v>644</v>
      </c>
      <c r="AW669" s="94" t="str">
        <f t="shared" ca="1" si="105"/>
        <v/>
      </c>
      <c r="AX669" s="95" t="str">
        <f t="shared" si="100"/>
        <v/>
      </c>
      <c r="AY669" s="98" t="str">
        <f t="shared" ca="1" si="106"/>
        <v/>
      </c>
      <c r="AZ669" s="96" t="str">
        <f t="shared" si="101"/>
        <v/>
      </c>
      <c r="BA669" s="99" t="str">
        <f t="shared" ca="1" si="107"/>
        <v/>
      </c>
      <c r="BB669" s="97" t="str">
        <f t="shared" si="102"/>
        <v/>
      </c>
      <c r="BC669" s="101" t="str">
        <f t="shared" ca="1" si="108"/>
        <v/>
      </c>
      <c r="BD669" s="100" t="str">
        <f t="shared" si="103"/>
        <v/>
      </c>
      <c r="BE669" s="103" t="str">
        <f t="shared" ca="1" si="109"/>
        <v/>
      </c>
      <c r="BF669" s="102" t="str">
        <f t="shared" si="104"/>
        <v/>
      </c>
    </row>
    <row r="670" spans="48:58" hidden="1" x14ac:dyDescent="0.25">
      <c r="AV670">
        <v>645</v>
      </c>
      <c r="AW670" s="94" t="str">
        <f t="shared" ca="1" si="105"/>
        <v/>
      </c>
      <c r="AX670" s="95" t="str">
        <f t="shared" si="100"/>
        <v/>
      </c>
      <c r="AY670" s="98" t="str">
        <f t="shared" ca="1" si="106"/>
        <v/>
      </c>
      <c r="AZ670" s="96" t="str">
        <f t="shared" si="101"/>
        <v/>
      </c>
      <c r="BA670" s="99" t="str">
        <f t="shared" ca="1" si="107"/>
        <v/>
      </c>
      <c r="BB670" s="97" t="str">
        <f t="shared" si="102"/>
        <v/>
      </c>
      <c r="BC670" s="101" t="str">
        <f t="shared" ca="1" si="108"/>
        <v/>
      </c>
      <c r="BD670" s="100" t="str">
        <f t="shared" si="103"/>
        <v/>
      </c>
      <c r="BE670" s="103" t="str">
        <f t="shared" ca="1" si="109"/>
        <v/>
      </c>
      <c r="BF670" s="102" t="str">
        <f t="shared" si="104"/>
        <v/>
      </c>
    </row>
    <row r="671" spans="48:58" hidden="1" x14ac:dyDescent="0.25">
      <c r="AV671">
        <v>646</v>
      </c>
      <c r="AW671" s="94" t="str">
        <f t="shared" ca="1" si="105"/>
        <v/>
      </c>
      <c r="AX671" s="95" t="str">
        <f t="shared" si="100"/>
        <v/>
      </c>
      <c r="AY671" s="98" t="str">
        <f t="shared" ca="1" si="106"/>
        <v/>
      </c>
      <c r="AZ671" s="96" t="str">
        <f t="shared" si="101"/>
        <v/>
      </c>
      <c r="BA671" s="99" t="str">
        <f t="shared" ca="1" si="107"/>
        <v/>
      </c>
      <c r="BB671" s="97" t="str">
        <f t="shared" si="102"/>
        <v/>
      </c>
      <c r="BC671" s="101" t="str">
        <f t="shared" ca="1" si="108"/>
        <v/>
      </c>
      <c r="BD671" s="100" t="str">
        <f t="shared" si="103"/>
        <v/>
      </c>
      <c r="BE671" s="103" t="str">
        <f t="shared" ca="1" si="109"/>
        <v/>
      </c>
      <c r="BF671" s="102" t="str">
        <f t="shared" si="104"/>
        <v/>
      </c>
    </row>
    <row r="672" spans="48:58" hidden="1" x14ac:dyDescent="0.25">
      <c r="AV672">
        <v>647</v>
      </c>
      <c r="AW672" s="94" t="str">
        <f t="shared" ca="1" si="105"/>
        <v/>
      </c>
      <c r="AX672" s="95" t="str">
        <f t="shared" si="100"/>
        <v/>
      </c>
      <c r="AY672" s="98" t="str">
        <f t="shared" ca="1" si="106"/>
        <v/>
      </c>
      <c r="AZ672" s="96" t="str">
        <f t="shared" si="101"/>
        <v/>
      </c>
      <c r="BA672" s="99" t="str">
        <f t="shared" ca="1" si="107"/>
        <v/>
      </c>
      <c r="BB672" s="97" t="str">
        <f t="shared" si="102"/>
        <v/>
      </c>
      <c r="BC672" s="101" t="str">
        <f t="shared" ca="1" si="108"/>
        <v/>
      </c>
      <c r="BD672" s="100" t="str">
        <f t="shared" si="103"/>
        <v/>
      </c>
      <c r="BE672" s="103" t="str">
        <f t="shared" ca="1" si="109"/>
        <v/>
      </c>
      <c r="BF672" s="102" t="str">
        <f t="shared" si="104"/>
        <v/>
      </c>
    </row>
    <row r="673" spans="48:58" hidden="1" x14ac:dyDescent="0.25">
      <c r="AV673">
        <v>648</v>
      </c>
      <c r="AW673" s="94" t="str">
        <f t="shared" ca="1" si="105"/>
        <v/>
      </c>
      <c r="AX673" s="95" t="str">
        <f t="shared" si="100"/>
        <v/>
      </c>
      <c r="AY673" s="98" t="str">
        <f t="shared" ca="1" si="106"/>
        <v/>
      </c>
      <c r="AZ673" s="96" t="str">
        <f t="shared" si="101"/>
        <v/>
      </c>
      <c r="BA673" s="99" t="str">
        <f t="shared" ca="1" si="107"/>
        <v/>
      </c>
      <c r="BB673" s="97" t="str">
        <f t="shared" si="102"/>
        <v/>
      </c>
      <c r="BC673" s="101" t="str">
        <f t="shared" ca="1" si="108"/>
        <v/>
      </c>
      <c r="BD673" s="100" t="str">
        <f t="shared" si="103"/>
        <v/>
      </c>
      <c r="BE673" s="103" t="str">
        <f t="shared" ca="1" si="109"/>
        <v/>
      </c>
      <c r="BF673" s="102" t="str">
        <f t="shared" si="104"/>
        <v/>
      </c>
    </row>
    <row r="674" spans="48:58" hidden="1" x14ac:dyDescent="0.25">
      <c r="AV674">
        <v>649</v>
      </c>
      <c r="AW674" s="94" t="str">
        <f t="shared" ca="1" si="105"/>
        <v/>
      </c>
      <c r="AX674" s="95" t="str">
        <f t="shared" si="100"/>
        <v/>
      </c>
      <c r="AY674" s="98" t="str">
        <f t="shared" ca="1" si="106"/>
        <v/>
      </c>
      <c r="AZ674" s="96" t="str">
        <f t="shared" si="101"/>
        <v/>
      </c>
      <c r="BA674" s="99" t="str">
        <f t="shared" ca="1" si="107"/>
        <v/>
      </c>
      <c r="BB674" s="97" t="str">
        <f t="shared" si="102"/>
        <v/>
      </c>
      <c r="BC674" s="101" t="str">
        <f t="shared" ca="1" si="108"/>
        <v/>
      </c>
      <c r="BD674" s="100" t="str">
        <f t="shared" si="103"/>
        <v/>
      </c>
      <c r="BE674" s="103" t="str">
        <f t="shared" ca="1" si="109"/>
        <v/>
      </c>
      <c r="BF674" s="102" t="str">
        <f t="shared" si="104"/>
        <v/>
      </c>
    </row>
    <row r="675" spans="48:58" hidden="1" x14ac:dyDescent="0.25">
      <c r="AV675">
        <v>650</v>
      </c>
      <c r="AW675" s="94" t="str">
        <f t="shared" ca="1" si="105"/>
        <v/>
      </c>
      <c r="AX675" s="95" t="str">
        <f t="shared" si="100"/>
        <v/>
      </c>
      <c r="AY675" s="98" t="str">
        <f t="shared" ca="1" si="106"/>
        <v/>
      </c>
      <c r="AZ675" s="96" t="str">
        <f t="shared" si="101"/>
        <v/>
      </c>
      <c r="BA675" s="99" t="str">
        <f t="shared" ca="1" si="107"/>
        <v/>
      </c>
      <c r="BB675" s="97" t="str">
        <f t="shared" si="102"/>
        <v/>
      </c>
      <c r="BC675" s="101" t="str">
        <f t="shared" ca="1" si="108"/>
        <v/>
      </c>
      <c r="BD675" s="100" t="str">
        <f t="shared" si="103"/>
        <v/>
      </c>
      <c r="BE675" s="103" t="str">
        <f t="shared" ca="1" si="109"/>
        <v/>
      </c>
      <c r="BF675" s="102" t="str">
        <f t="shared" si="104"/>
        <v/>
      </c>
    </row>
    <row r="676" spans="48:58" hidden="1" x14ac:dyDescent="0.25">
      <c r="AV676">
        <v>651</v>
      </c>
      <c r="AW676" s="94" t="str">
        <f t="shared" ca="1" si="105"/>
        <v/>
      </c>
      <c r="AX676" s="95" t="str">
        <f t="shared" si="100"/>
        <v/>
      </c>
      <c r="AY676" s="98" t="str">
        <f t="shared" ca="1" si="106"/>
        <v/>
      </c>
      <c r="AZ676" s="96" t="str">
        <f t="shared" si="101"/>
        <v/>
      </c>
      <c r="BA676" s="99" t="str">
        <f t="shared" ca="1" si="107"/>
        <v/>
      </c>
      <c r="BB676" s="97" t="str">
        <f t="shared" si="102"/>
        <v/>
      </c>
      <c r="BC676" s="101" t="str">
        <f t="shared" ca="1" si="108"/>
        <v/>
      </c>
      <c r="BD676" s="100" t="str">
        <f t="shared" si="103"/>
        <v/>
      </c>
      <c r="BE676" s="103" t="str">
        <f t="shared" ca="1" si="109"/>
        <v/>
      </c>
      <c r="BF676" s="102" t="str">
        <f t="shared" si="104"/>
        <v/>
      </c>
    </row>
    <row r="677" spans="48:58" hidden="1" x14ac:dyDescent="0.25">
      <c r="AV677">
        <v>652</v>
      </c>
      <c r="AW677" s="94" t="str">
        <f t="shared" ca="1" si="105"/>
        <v/>
      </c>
      <c r="AX677" s="95" t="str">
        <f t="shared" si="100"/>
        <v/>
      </c>
      <c r="AY677" s="98" t="str">
        <f t="shared" ca="1" si="106"/>
        <v/>
      </c>
      <c r="AZ677" s="96" t="str">
        <f t="shared" si="101"/>
        <v/>
      </c>
      <c r="BA677" s="99" t="str">
        <f t="shared" ca="1" si="107"/>
        <v/>
      </c>
      <c r="BB677" s="97" t="str">
        <f t="shared" si="102"/>
        <v/>
      </c>
      <c r="BC677" s="101" t="str">
        <f t="shared" ca="1" si="108"/>
        <v/>
      </c>
      <c r="BD677" s="100" t="str">
        <f t="shared" si="103"/>
        <v/>
      </c>
      <c r="BE677" s="103" t="str">
        <f t="shared" ca="1" si="109"/>
        <v/>
      </c>
      <c r="BF677" s="102" t="str">
        <f t="shared" si="104"/>
        <v/>
      </c>
    </row>
    <row r="678" spans="48:58" hidden="1" x14ac:dyDescent="0.25">
      <c r="AV678">
        <v>653</v>
      </c>
      <c r="AW678" s="94" t="str">
        <f t="shared" ca="1" si="105"/>
        <v/>
      </c>
      <c r="AX678" s="95" t="str">
        <f t="shared" si="100"/>
        <v/>
      </c>
      <c r="AY678" s="98" t="str">
        <f t="shared" ca="1" si="106"/>
        <v/>
      </c>
      <c r="AZ678" s="96" t="str">
        <f t="shared" si="101"/>
        <v/>
      </c>
      <c r="BA678" s="99" t="str">
        <f t="shared" ca="1" si="107"/>
        <v/>
      </c>
      <c r="BB678" s="97" t="str">
        <f t="shared" si="102"/>
        <v/>
      </c>
      <c r="BC678" s="101" t="str">
        <f t="shared" ca="1" si="108"/>
        <v/>
      </c>
      <c r="BD678" s="100" t="str">
        <f t="shared" si="103"/>
        <v/>
      </c>
      <c r="BE678" s="103" t="str">
        <f t="shared" ca="1" si="109"/>
        <v/>
      </c>
      <c r="BF678" s="102" t="str">
        <f t="shared" si="104"/>
        <v/>
      </c>
    </row>
    <row r="679" spans="48:58" hidden="1" x14ac:dyDescent="0.25">
      <c r="AV679">
        <v>654</v>
      </c>
      <c r="AW679" s="94" t="str">
        <f t="shared" ca="1" si="105"/>
        <v/>
      </c>
      <c r="AX679" s="95" t="str">
        <f t="shared" si="100"/>
        <v/>
      </c>
      <c r="AY679" s="98" t="str">
        <f t="shared" ca="1" si="106"/>
        <v/>
      </c>
      <c r="AZ679" s="96" t="str">
        <f t="shared" si="101"/>
        <v/>
      </c>
      <c r="BA679" s="99" t="str">
        <f t="shared" ca="1" si="107"/>
        <v/>
      </c>
      <c r="BB679" s="97" t="str">
        <f t="shared" si="102"/>
        <v/>
      </c>
      <c r="BC679" s="101" t="str">
        <f t="shared" ca="1" si="108"/>
        <v/>
      </c>
      <c r="BD679" s="100" t="str">
        <f t="shared" si="103"/>
        <v/>
      </c>
      <c r="BE679" s="103" t="str">
        <f t="shared" ca="1" si="109"/>
        <v/>
      </c>
      <c r="BF679" s="102" t="str">
        <f t="shared" si="104"/>
        <v/>
      </c>
    </row>
    <row r="680" spans="48:58" hidden="1" x14ac:dyDescent="0.25">
      <c r="AV680">
        <v>655</v>
      </c>
      <c r="AW680" s="94" t="str">
        <f t="shared" ca="1" si="105"/>
        <v/>
      </c>
      <c r="AX680" s="95" t="str">
        <f t="shared" si="100"/>
        <v/>
      </c>
      <c r="AY680" s="98" t="str">
        <f t="shared" ca="1" si="106"/>
        <v/>
      </c>
      <c r="AZ680" s="96" t="str">
        <f t="shared" si="101"/>
        <v/>
      </c>
      <c r="BA680" s="99" t="str">
        <f t="shared" ca="1" si="107"/>
        <v/>
      </c>
      <c r="BB680" s="97" t="str">
        <f t="shared" si="102"/>
        <v/>
      </c>
      <c r="BC680" s="101" t="str">
        <f t="shared" ca="1" si="108"/>
        <v/>
      </c>
      <c r="BD680" s="100" t="str">
        <f t="shared" si="103"/>
        <v/>
      </c>
      <c r="BE680" s="103" t="str">
        <f t="shared" ca="1" si="109"/>
        <v/>
      </c>
      <c r="BF680" s="102" t="str">
        <f t="shared" si="104"/>
        <v/>
      </c>
    </row>
    <row r="681" spans="48:58" hidden="1" x14ac:dyDescent="0.25">
      <c r="AV681">
        <v>656</v>
      </c>
      <c r="AW681" s="94" t="str">
        <f t="shared" ca="1" si="105"/>
        <v/>
      </c>
      <c r="AX681" s="95" t="str">
        <f t="shared" si="100"/>
        <v/>
      </c>
      <c r="AY681" s="98" t="str">
        <f t="shared" ca="1" si="106"/>
        <v/>
      </c>
      <c r="AZ681" s="96" t="str">
        <f t="shared" si="101"/>
        <v/>
      </c>
      <c r="BA681" s="99" t="str">
        <f t="shared" ca="1" si="107"/>
        <v/>
      </c>
      <c r="BB681" s="97" t="str">
        <f t="shared" si="102"/>
        <v/>
      </c>
      <c r="BC681" s="101" t="str">
        <f t="shared" ca="1" si="108"/>
        <v/>
      </c>
      <c r="BD681" s="100" t="str">
        <f t="shared" si="103"/>
        <v/>
      </c>
      <c r="BE681" s="103" t="str">
        <f t="shared" ca="1" si="109"/>
        <v/>
      </c>
      <c r="BF681" s="102" t="str">
        <f t="shared" si="104"/>
        <v/>
      </c>
    </row>
    <row r="682" spans="48:58" hidden="1" x14ac:dyDescent="0.25">
      <c r="AV682">
        <v>657</v>
      </c>
      <c r="AW682" s="94" t="str">
        <f t="shared" ca="1" si="105"/>
        <v/>
      </c>
      <c r="AX682" s="95" t="str">
        <f t="shared" si="100"/>
        <v/>
      </c>
      <c r="AY682" s="98" t="str">
        <f t="shared" ca="1" si="106"/>
        <v/>
      </c>
      <c r="AZ682" s="96" t="str">
        <f t="shared" si="101"/>
        <v/>
      </c>
      <c r="BA682" s="99" t="str">
        <f t="shared" ca="1" si="107"/>
        <v/>
      </c>
      <c r="BB682" s="97" t="str">
        <f t="shared" si="102"/>
        <v/>
      </c>
      <c r="BC682" s="101" t="str">
        <f t="shared" ca="1" si="108"/>
        <v/>
      </c>
      <c r="BD682" s="100" t="str">
        <f t="shared" si="103"/>
        <v/>
      </c>
      <c r="BE682" s="103" t="str">
        <f t="shared" ca="1" si="109"/>
        <v/>
      </c>
      <c r="BF682" s="102" t="str">
        <f t="shared" si="104"/>
        <v/>
      </c>
    </row>
    <row r="683" spans="48:58" hidden="1" x14ac:dyDescent="0.25">
      <c r="AV683">
        <v>658</v>
      </c>
      <c r="AW683" s="94" t="str">
        <f t="shared" ca="1" si="105"/>
        <v/>
      </c>
      <c r="AX683" s="95" t="str">
        <f t="shared" si="100"/>
        <v/>
      </c>
      <c r="AY683" s="98" t="str">
        <f t="shared" ca="1" si="106"/>
        <v/>
      </c>
      <c r="AZ683" s="96" t="str">
        <f t="shared" si="101"/>
        <v/>
      </c>
      <c r="BA683" s="99" t="str">
        <f t="shared" ca="1" si="107"/>
        <v/>
      </c>
      <c r="BB683" s="97" t="str">
        <f t="shared" si="102"/>
        <v/>
      </c>
      <c r="BC683" s="101" t="str">
        <f t="shared" ca="1" si="108"/>
        <v/>
      </c>
      <c r="BD683" s="100" t="str">
        <f t="shared" si="103"/>
        <v/>
      </c>
      <c r="BE683" s="103" t="str">
        <f t="shared" ca="1" si="109"/>
        <v/>
      </c>
      <c r="BF683" s="102" t="str">
        <f t="shared" si="104"/>
        <v/>
      </c>
    </row>
    <row r="684" spans="48:58" hidden="1" x14ac:dyDescent="0.25">
      <c r="AV684">
        <v>659</v>
      </c>
      <c r="AW684" s="94" t="str">
        <f t="shared" ca="1" si="105"/>
        <v/>
      </c>
      <c r="AX684" s="95" t="str">
        <f t="shared" si="100"/>
        <v/>
      </c>
      <c r="AY684" s="98" t="str">
        <f t="shared" ca="1" si="106"/>
        <v/>
      </c>
      <c r="AZ684" s="96" t="str">
        <f t="shared" si="101"/>
        <v/>
      </c>
      <c r="BA684" s="99" t="str">
        <f t="shared" ca="1" si="107"/>
        <v/>
      </c>
      <c r="BB684" s="97" t="str">
        <f t="shared" si="102"/>
        <v/>
      </c>
      <c r="BC684" s="101" t="str">
        <f t="shared" ca="1" si="108"/>
        <v/>
      </c>
      <c r="BD684" s="100" t="str">
        <f t="shared" si="103"/>
        <v/>
      </c>
      <c r="BE684" s="103" t="str">
        <f t="shared" ca="1" si="109"/>
        <v/>
      </c>
      <c r="BF684" s="102" t="str">
        <f t="shared" si="104"/>
        <v/>
      </c>
    </row>
    <row r="685" spans="48:58" hidden="1" x14ac:dyDescent="0.25">
      <c r="AV685">
        <v>660</v>
      </c>
      <c r="AW685" s="94" t="str">
        <f t="shared" ca="1" si="105"/>
        <v/>
      </c>
      <c r="AX685" s="95" t="str">
        <f t="shared" si="100"/>
        <v/>
      </c>
      <c r="AY685" s="98" t="str">
        <f t="shared" ca="1" si="106"/>
        <v/>
      </c>
      <c r="AZ685" s="96" t="str">
        <f t="shared" si="101"/>
        <v/>
      </c>
      <c r="BA685" s="99" t="str">
        <f t="shared" ca="1" si="107"/>
        <v/>
      </c>
      <c r="BB685" s="97" t="str">
        <f t="shared" si="102"/>
        <v/>
      </c>
      <c r="BC685" s="101" t="str">
        <f t="shared" ca="1" si="108"/>
        <v/>
      </c>
      <c r="BD685" s="100" t="str">
        <f t="shared" si="103"/>
        <v/>
      </c>
      <c r="BE685" s="103" t="str">
        <f t="shared" ca="1" si="109"/>
        <v/>
      </c>
      <c r="BF685" s="102" t="str">
        <f t="shared" si="104"/>
        <v/>
      </c>
    </row>
    <row r="686" spans="48:58" hidden="1" x14ac:dyDescent="0.25">
      <c r="AV686">
        <v>661</v>
      </c>
      <c r="AW686" s="94" t="str">
        <f t="shared" ca="1" si="105"/>
        <v/>
      </c>
      <c r="AX686" s="95" t="str">
        <f t="shared" si="100"/>
        <v/>
      </c>
      <c r="AY686" s="98" t="str">
        <f t="shared" ca="1" si="106"/>
        <v/>
      </c>
      <c r="AZ686" s="96" t="str">
        <f t="shared" si="101"/>
        <v/>
      </c>
      <c r="BA686" s="99" t="str">
        <f t="shared" ca="1" si="107"/>
        <v/>
      </c>
      <c r="BB686" s="97" t="str">
        <f t="shared" si="102"/>
        <v/>
      </c>
      <c r="BC686" s="101" t="str">
        <f t="shared" ca="1" si="108"/>
        <v/>
      </c>
      <c r="BD686" s="100" t="str">
        <f t="shared" si="103"/>
        <v/>
      </c>
      <c r="BE686" s="103" t="str">
        <f t="shared" ca="1" si="109"/>
        <v/>
      </c>
      <c r="BF686" s="102" t="str">
        <f t="shared" si="104"/>
        <v/>
      </c>
    </row>
    <row r="687" spans="48:58" hidden="1" x14ac:dyDescent="0.25">
      <c r="AV687">
        <v>662</v>
      </c>
      <c r="AW687" s="94" t="str">
        <f t="shared" ca="1" si="105"/>
        <v/>
      </c>
      <c r="AX687" s="95" t="str">
        <f t="shared" si="100"/>
        <v/>
      </c>
      <c r="AY687" s="98" t="str">
        <f t="shared" ca="1" si="106"/>
        <v/>
      </c>
      <c r="AZ687" s="96" t="str">
        <f t="shared" si="101"/>
        <v/>
      </c>
      <c r="BA687" s="99" t="str">
        <f t="shared" ca="1" si="107"/>
        <v/>
      </c>
      <c r="BB687" s="97" t="str">
        <f t="shared" si="102"/>
        <v/>
      </c>
      <c r="BC687" s="101" t="str">
        <f t="shared" ca="1" si="108"/>
        <v/>
      </c>
      <c r="BD687" s="100" t="str">
        <f t="shared" si="103"/>
        <v/>
      </c>
      <c r="BE687" s="103" t="str">
        <f t="shared" ca="1" si="109"/>
        <v/>
      </c>
      <c r="BF687" s="102" t="str">
        <f t="shared" si="104"/>
        <v/>
      </c>
    </row>
    <row r="688" spans="48:58" hidden="1" x14ac:dyDescent="0.25">
      <c r="AV688">
        <v>663</v>
      </c>
      <c r="AW688" s="94" t="str">
        <f t="shared" ca="1" si="105"/>
        <v/>
      </c>
      <c r="AX688" s="95" t="str">
        <f t="shared" si="100"/>
        <v/>
      </c>
      <c r="AY688" s="98" t="str">
        <f t="shared" ca="1" si="106"/>
        <v/>
      </c>
      <c r="AZ688" s="96" t="str">
        <f t="shared" si="101"/>
        <v/>
      </c>
      <c r="BA688" s="99" t="str">
        <f t="shared" ca="1" si="107"/>
        <v/>
      </c>
      <c r="BB688" s="97" t="str">
        <f t="shared" si="102"/>
        <v/>
      </c>
      <c r="BC688" s="101" t="str">
        <f t="shared" ca="1" si="108"/>
        <v/>
      </c>
      <c r="BD688" s="100" t="str">
        <f t="shared" si="103"/>
        <v/>
      </c>
      <c r="BE688" s="103" t="str">
        <f t="shared" ca="1" si="109"/>
        <v/>
      </c>
      <c r="BF688" s="102" t="str">
        <f t="shared" si="104"/>
        <v/>
      </c>
    </row>
    <row r="689" spans="48:58" hidden="1" x14ac:dyDescent="0.25">
      <c r="AV689">
        <v>664</v>
      </c>
      <c r="AW689" s="94" t="str">
        <f t="shared" ca="1" si="105"/>
        <v/>
      </c>
      <c r="AX689" s="95" t="str">
        <f t="shared" si="100"/>
        <v/>
      </c>
      <c r="AY689" s="98" t="str">
        <f t="shared" ca="1" si="106"/>
        <v/>
      </c>
      <c r="AZ689" s="96" t="str">
        <f t="shared" si="101"/>
        <v/>
      </c>
      <c r="BA689" s="99" t="str">
        <f t="shared" ca="1" si="107"/>
        <v/>
      </c>
      <c r="BB689" s="97" t="str">
        <f t="shared" si="102"/>
        <v/>
      </c>
      <c r="BC689" s="101" t="str">
        <f t="shared" ca="1" si="108"/>
        <v/>
      </c>
      <c r="BD689" s="100" t="str">
        <f t="shared" si="103"/>
        <v/>
      </c>
      <c r="BE689" s="103" t="str">
        <f t="shared" ca="1" si="109"/>
        <v/>
      </c>
      <c r="BF689" s="102" t="str">
        <f t="shared" si="104"/>
        <v/>
      </c>
    </row>
    <row r="690" spans="48:58" hidden="1" x14ac:dyDescent="0.25">
      <c r="AV690">
        <v>665</v>
      </c>
      <c r="AW690" s="94" t="str">
        <f t="shared" ca="1" si="105"/>
        <v/>
      </c>
      <c r="AX690" s="95" t="str">
        <f t="shared" si="100"/>
        <v/>
      </c>
      <c r="AY690" s="98" t="str">
        <f t="shared" ca="1" si="106"/>
        <v/>
      </c>
      <c r="AZ690" s="96" t="str">
        <f t="shared" si="101"/>
        <v/>
      </c>
      <c r="BA690" s="99" t="str">
        <f t="shared" ca="1" si="107"/>
        <v/>
      </c>
      <c r="BB690" s="97" t="str">
        <f t="shared" si="102"/>
        <v/>
      </c>
      <c r="BC690" s="101" t="str">
        <f t="shared" ca="1" si="108"/>
        <v/>
      </c>
      <c r="BD690" s="100" t="str">
        <f t="shared" si="103"/>
        <v/>
      </c>
      <c r="BE690" s="103" t="str">
        <f t="shared" ca="1" si="109"/>
        <v/>
      </c>
      <c r="BF690" s="102" t="str">
        <f t="shared" si="104"/>
        <v/>
      </c>
    </row>
    <row r="691" spans="48:58" hidden="1" x14ac:dyDescent="0.25">
      <c r="AV691">
        <v>666</v>
      </c>
      <c r="AW691" s="94" t="str">
        <f t="shared" ca="1" si="105"/>
        <v/>
      </c>
      <c r="AX691" s="95" t="str">
        <f t="shared" si="100"/>
        <v/>
      </c>
      <c r="AY691" s="98" t="str">
        <f t="shared" ca="1" si="106"/>
        <v/>
      </c>
      <c r="AZ691" s="96" t="str">
        <f t="shared" si="101"/>
        <v/>
      </c>
      <c r="BA691" s="99" t="str">
        <f t="shared" ca="1" si="107"/>
        <v/>
      </c>
      <c r="BB691" s="97" t="str">
        <f t="shared" si="102"/>
        <v/>
      </c>
      <c r="BC691" s="101" t="str">
        <f t="shared" ca="1" si="108"/>
        <v/>
      </c>
      <c r="BD691" s="100" t="str">
        <f t="shared" si="103"/>
        <v/>
      </c>
      <c r="BE691" s="103" t="str">
        <f t="shared" ca="1" si="109"/>
        <v/>
      </c>
      <c r="BF691" s="102" t="str">
        <f t="shared" si="104"/>
        <v/>
      </c>
    </row>
    <row r="692" spans="48:58" hidden="1" x14ac:dyDescent="0.25">
      <c r="AV692">
        <v>667</v>
      </c>
      <c r="AW692" s="94" t="str">
        <f t="shared" ca="1" si="105"/>
        <v/>
      </c>
      <c r="AX692" s="95" t="str">
        <f t="shared" si="100"/>
        <v/>
      </c>
      <c r="AY692" s="98" t="str">
        <f t="shared" ca="1" si="106"/>
        <v/>
      </c>
      <c r="AZ692" s="96" t="str">
        <f t="shared" si="101"/>
        <v/>
      </c>
      <c r="BA692" s="99" t="str">
        <f t="shared" ca="1" si="107"/>
        <v/>
      </c>
      <c r="BB692" s="97" t="str">
        <f t="shared" si="102"/>
        <v/>
      </c>
      <c r="BC692" s="101" t="str">
        <f t="shared" ca="1" si="108"/>
        <v/>
      </c>
      <c r="BD692" s="100" t="str">
        <f t="shared" si="103"/>
        <v/>
      </c>
      <c r="BE692" s="103" t="str">
        <f t="shared" ca="1" si="109"/>
        <v/>
      </c>
      <c r="BF692" s="102" t="str">
        <f t="shared" si="104"/>
        <v/>
      </c>
    </row>
    <row r="693" spans="48:58" hidden="1" x14ac:dyDescent="0.25">
      <c r="AV693">
        <v>668</v>
      </c>
      <c r="AW693" s="94" t="str">
        <f t="shared" ca="1" si="105"/>
        <v/>
      </c>
      <c r="AX693" s="95" t="str">
        <f t="shared" si="100"/>
        <v/>
      </c>
      <c r="AY693" s="98" t="str">
        <f t="shared" ca="1" si="106"/>
        <v/>
      </c>
      <c r="AZ693" s="96" t="str">
        <f t="shared" si="101"/>
        <v/>
      </c>
      <c r="BA693" s="99" t="str">
        <f t="shared" ca="1" si="107"/>
        <v/>
      </c>
      <c r="BB693" s="97" t="str">
        <f t="shared" si="102"/>
        <v/>
      </c>
      <c r="BC693" s="101" t="str">
        <f t="shared" ca="1" si="108"/>
        <v/>
      </c>
      <c r="BD693" s="100" t="str">
        <f t="shared" si="103"/>
        <v/>
      </c>
      <c r="BE693" s="103" t="str">
        <f t="shared" ca="1" si="109"/>
        <v/>
      </c>
      <c r="BF693" s="102" t="str">
        <f t="shared" si="104"/>
        <v/>
      </c>
    </row>
    <row r="694" spans="48:58" hidden="1" x14ac:dyDescent="0.25">
      <c r="AV694">
        <v>669</v>
      </c>
      <c r="AW694" s="94" t="str">
        <f t="shared" ca="1" si="105"/>
        <v/>
      </c>
      <c r="AX694" s="95" t="str">
        <f t="shared" si="100"/>
        <v/>
      </c>
      <c r="AY694" s="98" t="str">
        <f t="shared" ca="1" si="106"/>
        <v/>
      </c>
      <c r="AZ694" s="96" t="str">
        <f t="shared" si="101"/>
        <v/>
      </c>
      <c r="BA694" s="99" t="str">
        <f t="shared" ca="1" si="107"/>
        <v/>
      </c>
      <c r="BB694" s="97" t="str">
        <f t="shared" si="102"/>
        <v/>
      </c>
      <c r="BC694" s="101" t="str">
        <f t="shared" ca="1" si="108"/>
        <v/>
      </c>
      <c r="BD694" s="100" t="str">
        <f t="shared" si="103"/>
        <v/>
      </c>
      <c r="BE694" s="103" t="str">
        <f t="shared" ca="1" si="109"/>
        <v/>
      </c>
      <c r="BF694" s="102" t="str">
        <f t="shared" si="104"/>
        <v/>
      </c>
    </row>
    <row r="695" spans="48:58" hidden="1" x14ac:dyDescent="0.25">
      <c r="AV695">
        <v>670</v>
      </c>
      <c r="AW695" s="94" t="str">
        <f t="shared" ca="1" si="105"/>
        <v/>
      </c>
      <c r="AX695" s="95" t="str">
        <f t="shared" si="100"/>
        <v/>
      </c>
      <c r="AY695" s="98" t="str">
        <f t="shared" ca="1" si="106"/>
        <v/>
      </c>
      <c r="AZ695" s="96" t="str">
        <f t="shared" si="101"/>
        <v/>
      </c>
      <c r="BA695" s="99" t="str">
        <f t="shared" ca="1" si="107"/>
        <v/>
      </c>
      <c r="BB695" s="97" t="str">
        <f t="shared" si="102"/>
        <v/>
      </c>
      <c r="BC695" s="101" t="str">
        <f t="shared" ca="1" si="108"/>
        <v/>
      </c>
      <c r="BD695" s="100" t="str">
        <f t="shared" si="103"/>
        <v/>
      </c>
      <c r="BE695" s="103" t="str">
        <f t="shared" ca="1" si="109"/>
        <v/>
      </c>
      <c r="BF695" s="102" t="str">
        <f t="shared" si="104"/>
        <v/>
      </c>
    </row>
    <row r="696" spans="48:58" hidden="1" x14ac:dyDescent="0.25">
      <c r="AV696">
        <v>671</v>
      </c>
      <c r="AW696" s="94" t="str">
        <f t="shared" ca="1" si="105"/>
        <v/>
      </c>
      <c r="AX696" s="95" t="str">
        <f t="shared" si="100"/>
        <v/>
      </c>
      <c r="AY696" s="98" t="str">
        <f t="shared" ca="1" si="106"/>
        <v/>
      </c>
      <c r="AZ696" s="96" t="str">
        <f t="shared" si="101"/>
        <v/>
      </c>
      <c r="BA696" s="99" t="str">
        <f t="shared" ca="1" si="107"/>
        <v/>
      </c>
      <c r="BB696" s="97" t="str">
        <f t="shared" si="102"/>
        <v/>
      </c>
      <c r="BC696" s="101" t="str">
        <f t="shared" ca="1" si="108"/>
        <v/>
      </c>
      <c r="BD696" s="100" t="str">
        <f t="shared" si="103"/>
        <v/>
      </c>
      <c r="BE696" s="103" t="str">
        <f t="shared" ca="1" si="109"/>
        <v/>
      </c>
      <c r="BF696" s="102" t="str">
        <f t="shared" si="104"/>
        <v/>
      </c>
    </row>
    <row r="697" spans="48:58" hidden="1" x14ac:dyDescent="0.25">
      <c r="AV697">
        <v>672</v>
      </c>
      <c r="AW697" s="94" t="str">
        <f t="shared" ca="1" si="105"/>
        <v/>
      </c>
      <c r="AX697" s="95" t="str">
        <f t="shared" si="100"/>
        <v/>
      </c>
      <c r="AY697" s="98" t="str">
        <f t="shared" ca="1" si="106"/>
        <v/>
      </c>
      <c r="AZ697" s="96" t="str">
        <f t="shared" si="101"/>
        <v/>
      </c>
      <c r="BA697" s="99" t="str">
        <f t="shared" ca="1" si="107"/>
        <v/>
      </c>
      <c r="BB697" s="97" t="str">
        <f t="shared" si="102"/>
        <v/>
      </c>
      <c r="BC697" s="101" t="str">
        <f t="shared" ca="1" si="108"/>
        <v/>
      </c>
      <c r="BD697" s="100" t="str">
        <f t="shared" si="103"/>
        <v/>
      </c>
      <c r="BE697" s="103" t="str">
        <f t="shared" ca="1" si="109"/>
        <v/>
      </c>
      <c r="BF697" s="102" t="str">
        <f t="shared" si="104"/>
        <v/>
      </c>
    </row>
    <row r="698" spans="48:58" hidden="1" x14ac:dyDescent="0.25">
      <c r="AV698">
        <v>673</v>
      </c>
      <c r="AW698" s="94" t="str">
        <f t="shared" ca="1" si="105"/>
        <v/>
      </c>
      <c r="AX698" s="95" t="str">
        <f t="shared" si="100"/>
        <v/>
      </c>
      <c r="AY698" s="98" t="str">
        <f t="shared" ca="1" si="106"/>
        <v/>
      </c>
      <c r="AZ698" s="96" t="str">
        <f t="shared" si="101"/>
        <v/>
      </c>
      <c r="BA698" s="99" t="str">
        <f t="shared" ca="1" si="107"/>
        <v/>
      </c>
      <c r="BB698" s="97" t="str">
        <f t="shared" si="102"/>
        <v/>
      </c>
      <c r="BC698" s="101" t="str">
        <f t="shared" ca="1" si="108"/>
        <v/>
      </c>
      <c r="BD698" s="100" t="str">
        <f t="shared" si="103"/>
        <v/>
      </c>
      <c r="BE698" s="103" t="str">
        <f t="shared" ca="1" si="109"/>
        <v/>
      </c>
      <c r="BF698" s="102" t="str">
        <f t="shared" si="104"/>
        <v/>
      </c>
    </row>
    <row r="699" spans="48:58" hidden="1" x14ac:dyDescent="0.25">
      <c r="AV699">
        <v>674</v>
      </c>
      <c r="AW699" s="94" t="str">
        <f t="shared" ca="1" si="105"/>
        <v/>
      </c>
      <c r="AX699" s="95" t="str">
        <f t="shared" si="100"/>
        <v/>
      </c>
      <c r="AY699" s="98" t="str">
        <f t="shared" ca="1" si="106"/>
        <v/>
      </c>
      <c r="AZ699" s="96" t="str">
        <f t="shared" si="101"/>
        <v/>
      </c>
      <c r="BA699" s="99" t="str">
        <f t="shared" ca="1" si="107"/>
        <v/>
      </c>
      <c r="BB699" s="97" t="str">
        <f t="shared" si="102"/>
        <v/>
      </c>
      <c r="BC699" s="101" t="str">
        <f t="shared" ca="1" si="108"/>
        <v/>
      </c>
      <c r="BD699" s="100" t="str">
        <f t="shared" si="103"/>
        <v/>
      </c>
      <c r="BE699" s="103" t="str">
        <f t="shared" ca="1" si="109"/>
        <v/>
      </c>
      <c r="BF699" s="102" t="str">
        <f t="shared" si="104"/>
        <v/>
      </c>
    </row>
    <row r="700" spans="48:58" hidden="1" x14ac:dyDescent="0.25">
      <c r="AV700">
        <v>675</v>
      </c>
      <c r="AW700" s="94" t="str">
        <f t="shared" ca="1" si="105"/>
        <v/>
      </c>
      <c r="AX700" s="95" t="str">
        <f t="shared" si="100"/>
        <v/>
      </c>
      <c r="AY700" s="98" t="str">
        <f t="shared" ca="1" si="106"/>
        <v/>
      </c>
      <c r="AZ700" s="96" t="str">
        <f t="shared" si="101"/>
        <v/>
      </c>
      <c r="BA700" s="99" t="str">
        <f t="shared" ca="1" si="107"/>
        <v/>
      </c>
      <c r="BB700" s="97" t="str">
        <f t="shared" si="102"/>
        <v/>
      </c>
      <c r="BC700" s="101" t="str">
        <f t="shared" ca="1" si="108"/>
        <v/>
      </c>
      <c r="BD700" s="100" t="str">
        <f t="shared" si="103"/>
        <v/>
      </c>
      <c r="BE700" s="103" t="str">
        <f t="shared" ca="1" si="109"/>
        <v/>
      </c>
      <c r="BF700" s="102" t="str">
        <f t="shared" si="104"/>
        <v/>
      </c>
    </row>
    <row r="701" spans="48:58" hidden="1" x14ac:dyDescent="0.25">
      <c r="AV701">
        <v>676</v>
      </c>
      <c r="AW701" s="94" t="str">
        <f t="shared" ca="1" si="105"/>
        <v/>
      </c>
      <c r="AX701" s="95" t="str">
        <f t="shared" si="100"/>
        <v/>
      </c>
      <c r="AY701" s="98" t="str">
        <f t="shared" ca="1" si="106"/>
        <v/>
      </c>
      <c r="AZ701" s="96" t="str">
        <f t="shared" si="101"/>
        <v/>
      </c>
      <c r="BA701" s="99" t="str">
        <f t="shared" ca="1" si="107"/>
        <v/>
      </c>
      <c r="BB701" s="97" t="str">
        <f t="shared" si="102"/>
        <v/>
      </c>
      <c r="BC701" s="101" t="str">
        <f t="shared" ca="1" si="108"/>
        <v/>
      </c>
      <c r="BD701" s="100" t="str">
        <f t="shared" si="103"/>
        <v/>
      </c>
      <c r="BE701" s="103" t="str">
        <f t="shared" ca="1" si="109"/>
        <v/>
      </c>
      <c r="BF701" s="102" t="str">
        <f t="shared" si="104"/>
        <v/>
      </c>
    </row>
    <row r="702" spans="48:58" hidden="1" x14ac:dyDescent="0.25">
      <c r="AV702">
        <v>677</v>
      </c>
      <c r="AW702" s="94" t="str">
        <f t="shared" ca="1" si="105"/>
        <v/>
      </c>
      <c r="AX702" s="95" t="str">
        <f t="shared" si="100"/>
        <v/>
      </c>
      <c r="AY702" s="98" t="str">
        <f t="shared" ca="1" si="106"/>
        <v/>
      </c>
      <c r="AZ702" s="96" t="str">
        <f t="shared" si="101"/>
        <v/>
      </c>
      <c r="BA702" s="99" t="str">
        <f t="shared" ca="1" si="107"/>
        <v/>
      </c>
      <c r="BB702" s="97" t="str">
        <f t="shared" si="102"/>
        <v/>
      </c>
      <c r="BC702" s="101" t="str">
        <f t="shared" ca="1" si="108"/>
        <v/>
      </c>
      <c r="BD702" s="100" t="str">
        <f t="shared" si="103"/>
        <v/>
      </c>
      <c r="BE702" s="103" t="str">
        <f t="shared" ca="1" si="109"/>
        <v/>
      </c>
      <c r="BF702" s="102" t="str">
        <f t="shared" si="104"/>
        <v/>
      </c>
    </row>
    <row r="703" spans="48:58" hidden="1" x14ac:dyDescent="0.25">
      <c r="AV703">
        <v>678</v>
      </c>
      <c r="AW703" s="94" t="str">
        <f t="shared" ca="1" si="105"/>
        <v/>
      </c>
      <c r="AX703" s="95" t="str">
        <f t="shared" si="100"/>
        <v/>
      </c>
      <c r="AY703" s="98" t="str">
        <f t="shared" ca="1" si="106"/>
        <v/>
      </c>
      <c r="AZ703" s="96" t="str">
        <f t="shared" si="101"/>
        <v/>
      </c>
      <c r="BA703" s="99" t="str">
        <f t="shared" ca="1" si="107"/>
        <v/>
      </c>
      <c r="BB703" s="97" t="str">
        <f t="shared" si="102"/>
        <v/>
      </c>
      <c r="BC703" s="101" t="str">
        <f t="shared" ca="1" si="108"/>
        <v/>
      </c>
      <c r="BD703" s="100" t="str">
        <f t="shared" si="103"/>
        <v/>
      </c>
      <c r="BE703" s="103" t="str">
        <f t="shared" ca="1" si="109"/>
        <v/>
      </c>
      <c r="BF703" s="102" t="str">
        <f t="shared" si="104"/>
        <v/>
      </c>
    </row>
    <row r="704" spans="48:58" hidden="1" x14ac:dyDescent="0.25">
      <c r="AV704">
        <v>679</v>
      </c>
      <c r="AW704" s="94" t="str">
        <f t="shared" ca="1" si="105"/>
        <v/>
      </c>
      <c r="AX704" s="95" t="str">
        <f t="shared" si="100"/>
        <v/>
      </c>
      <c r="AY704" s="98" t="str">
        <f t="shared" ca="1" si="106"/>
        <v/>
      </c>
      <c r="AZ704" s="96" t="str">
        <f t="shared" si="101"/>
        <v/>
      </c>
      <c r="BA704" s="99" t="str">
        <f t="shared" ca="1" si="107"/>
        <v/>
      </c>
      <c r="BB704" s="97" t="str">
        <f t="shared" si="102"/>
        <v/>
      </c>
      <c r="BC704" s="101" t="str">
        <f t="shared" ca="1" si="108"/>
        <v/>
      </c>
      <c r="BD704" s="100" t="str">
        <f t="shared" si="103"/>
        <v/>
      </c>
      <c r="BE704" s="103" t="str">
        <f t="shared" ca="1" si="109"/>
        <v/>
      </c>
      <c r="BF704" s="102" t="str">
        <f t="shared" si="104"/>
        <v/>
      </c>
    </row>
    <row r="705" spans="48:58" hidden="1" x14ac:dyDescent="0.25">
      <c r="AV705">
        <v>680</v>
      </c>
      <c r="AW705" s="94" t="str">
        <f t="shared" ca="1" si="105"/>
        <v/>
      </c>
      <c r="AX705" s="95" t="str">
        <f t="shared" si="100"/>
        <v/>
      </c>
      <c r="AY705" s="98" t="str">
        <f t="shared" ca="1" si="106"/>
        <v/>
      </c>
      <c r="AZ705" s="96" t="str">
        <f t="shared" si="101"/>
        <v/>
      </c>
      <c r="BA705" s="99" t="str">
        <f t="shared" ca="1" si="107"/>
        <v/>
      </c>
      <c r="BB705" s="97" t="str">
        <f t="shared" si="102"/>
        <v/>
      </c>
      <c r="BC705" s="101" t="str">
        <f t="shared" ca="1" si="108"/>
        <v/>
      </c>
      <c r="BD705" s="100" t="str">
        <f t="shared" si="103"/>
        <v/>
      </c>
      <c r="BE705" s="103" t="str">
        <f t="shared" ca="1" si="109"/>
        <v/>
      </c>
      <c r="BF705" s="102" t="str">
        <f t="shared" si="104"/>
        <v/>
      </c>
    </row>
    <row r="706" spans="48:58" hidden="1" x14ac:dyDescent="0.25">
      <c r="AV706">
        <v>681</v>
      </c>
      <c r="AW706" s="94" t="str">
        <f t="shared" ca="1" si="105"/>
        <v/>
      </c>
      <c r="AX706" s="95" t="str">
        <f t="shared" si="100"/>
        <v/>
      </c>
      <c r="AY706" s="98" t="str">
        <f t="shared" ca="1" si="106"/>
        <v/>
      </c>
      <c r="AZ706" s="96" t="str">
        <f t="shared" si="101"/>
        <v/>
      </c>
      <c r="BA706" s="99" t="str">
        <f t="shared" ca="1" si="107"/>
        <v/>
      </c>
      <c r="BB706" s="97" t="str">
        <f t="shared" si="102"/>
        <v/>
      </c>
      <c r="BC706" s="101" t="str">
        <f t="shared" ca="1" si="108"/>
        <v/>
      </c>
      <c r="BD706" s="100" t="str">
        <f t="shared" si="103"/>
        <v/>
      </c>
      <c r="BE706" s="103" t="str">
        <f t="shared" ca="1" si="109"/>
        <v/>
      </c>
      <c r="BF706" s="102" t="str">
        <f t="shared" si="104"/>
        <v/>
      </c>
    </row>
    <row r="707" spans="48:58" hidden="1" x14ac:dyDescent="0.25">
      <c r="AV707">
        <v>682</v>
      </c>
      <c r="AW707" s="94" t="str">
        <f t="shared" ca="1" si="105"/>
        <v/>
      </c>
      <c r="AX707" s="95" t="str">
        <f t="shared" si="100"/>
        <v/>
      </c>
      <c r="AY707" s="98" t="str">
        <f t="shared" ca="1" si="106"/>
        <v/>
      </c>
      <c r="AZ707" s="96" t="str">
        <f t="shared" si="101"/>
        <v/>
      </c>
      <c r="BA707" s="99" t="str">
        <f t="shared" ca="1" si="107"/>
        <v/>
      </c>
      <c r="BB707" s="97" t="str">
        <f t="shared" si="102"/>
        <v/>
      </c>
      <c r="BC707" s="101" t="str">
        <f t="shared" ca="1" si="108"/>
        <v/>
      </c>
      <c r="BD707" s="100" t="str">
        <f t="shared" si="103"/>
        <v/>
      </c>
      <c r="BE707" s="103" t="str">
        <f t="shared" ca="1" si="109"/>
        <v/>
      </c>
      <c r="BF707" s="102" t="str">
        <f t="shared" si="104"/>
        <v/>
      </c>
    </row>
    <row r="708" spans="48:58" hidden="1" x14ac:dyDescent="0.25">
      <c r="AV708">
        <v>683</v>
      </c>
      <c r="AW708" s="94" t="str">
        <f t="shared" ca="1" si="105"/>
        <v/>
      </c>
      <c r="AX708" s="95" t="str">
        <f t="shared" si="100"/>
        <v/>
      </c>
      <c r="AY708" s="98" t="str">
        <f t="shared" ca="1" si="106"/>
        <v/>
      </c>
      <c r="AZ708" s="96" t="str">
        <f t="shared" si="101"/>
        <v/>
      </c>
      <c r="BA708" s="99" t="str">
        <f t="shared" ca="1" si="107"/>
        <v/>
      </c>
      <c r="BB708" s="97" t="str">
        <f t="shared" si="102"/>
        <v/>
      </c>
      <c r="BC708" s="101" t="str">
        <f t="shared" ca="1" si="108"/>
        <v/>
      </c>
      <c r="BD708" s="100" t="str">
        <f t="shared" si="103"/>
        <v/>
      </c>
      <c r="BE708" s="103" t="str">
        <f t="shared" ca="1" si="109"/>
        <v/>
      </c>
      <c r="BF708" s="102" t="str">
        <f t="shared" si="104"/>
        <v/>
      </c>
    </row>
    <row r="709" spans="48:58" hidden="1" x14ac:dyDescent="0.25">
      <c r="AV709">
        <v>684</v>
      </c>
      <c r="AW709" s="94" t="str">
        <f t="shared" ca="1" si="105"/>
        <v/>
      </c>
      <c r="AX709" s="95" t="str">
        <f t="shared" si="100"/>
        <v/>
      </c>
      <c r="AY709" s="98" t="str">
        <f t="shared" ca="1" si="106"/>
        <v/>
      </c>
      <c r="AZ709" s="96" t="str">
        <f t="shared" si="101"/>
        <v/>
      </c>
      <c r="BA709" s="99" t="str">
        <f t="shared" ca="1" si="107"/>
        <v/>
      </c>
      <c r="BB709" s="97" t="str">
        <f t="shared" si="102"/>
        <v/>
      </c>
      <c r="BC709" s="101" t="str">
        <f t="shared" ca="1" si="108"/>
        <v/>
      </c>
      <c r="BD709" s="100" t="str">
        <f t="shared" si="103"/>
        <v/>
      </c>
      <c r="BE709" s="103" t="str">
        <f t="shared" ca="1" si="109"/>
        <v/>
      </c>
      <c r="BF709" s="102" t="str">
        <f t="shared" si="104"/>
        <v/>
      </c>
    </row>
    <row r="710" spans="48:58" hidden="1" x14ac:dyDescent="0.25">
      <c r="AV710">
        <v>685</v>
      </c>
      <c r="AW710" s="94" t="str">
        <f t="shared" ca="1" si="105"/>
        <v/>
      </c>
      <c r="AX710" s="95" t="str">
        <f t="shared" si="100"/>
        <v/>
      </c>
      <c r="AY710" s="98" t="str">
        <f t="shared" ca="1" si="106"/>
        <v/>
      </c>
      <c r="AZ710" s="96" t="str">
        <f t="shared" si="101"/>
        <v/>
      </c>
      <c r="BA710" s="99" t="str">
        <f t="shared" ca="1" si="107"/>
        <v/>
      </c>
      <c r="BB710" s="97" t="str">
        <f t="shared" si="102"/>
        <v/>
      </c>
      <c r="BC710" s="101" t="str">
        <f t="shared" ca="1" si="108"/>
        <v/>
      </c>
      <c r="BD710" s="100" t="str">
        <f t="shared" si="103"/>
        <v/>
      </c>
      <c r="BE710" s="103" t="str">
        <f t="shared" ca="1" si="109"/>
        <v/>
      </c>
      <c r="BF710" s="102" t="str">
        <f t="shared" si="104"/>
        <v/>
      </c>
    </row>
    <row r="711" spans="48:58" hidden="1" x14ac:dyDescent="0.25">
      <c r="AV711">
        <v>686</v>
      </c>
      <c r="AW711" s="94" t="str">
        <f t="shared" ca="1" si="105"/>
        <v/>
      </c>
      <c r="AX711" s="95" t="str">
        <f t="shared" si="100"/>
        <v/>
      </c>
      <c r="AY711" s="98" t="str">
        <f t="shared" ca="1" si="106"/>
        <v/>
      </c>
      <c r="AZ711" s="96" t="str">
        <f t="shared" si="101"/>
        <v/>
      </c>
      <c r="BA711" s="99" t="str">
        <f t="shared" ca="1" si="107"/>
        <v/>
      </c>
      <c r="BB711" s="97" t="str">
        <f t="shared" si="102"/>
        <v/>
      </c>
      <c r="BC711" s="101" t="str">
        <f t="shared" ca="1" si="108"/>
        <v/>
      </c>
      <c r="BD711" s="100" t="str">
        <f t="shared" si="103"/>
        <v/>
      </c>
      <c r="BE711" s="103" t="str">
        <f t="shared" ca="1" si="109"/>
        <v/>
      </c>
      <c r="BF711" s="102" t="str">
        <f t="shared" si="104"/>
        <v/>
      </c>
    </row>
    <row r="712" spans="48:58" hidden="1" x14ac:dyDescent="0.25">
      <c r="AV712">
        <v>687</v>
      </c>
      <c r="AW712" s="94" t="str">
        <f t="shared" ca="1" si="105"/>
        <v/>
      </c>
      <c r="AX712" s="95" t="str">
        <f t="shared" si="100"/>
        <v/>
      </c>
      <c r="AY712" s="98" t="str">
        <f t="shared" ca="1" si="106"/>
        <v/>
      </c>
      <c r="AZ712" s="96" t="str">
        <f t="shared" si="101"/>
        <v/>
      </c>
      <c r="BA712" s="99" t="str">
        <f t="shared" ca="1" si="107"/>
        <v/>
      </c>
      <c r="BB712" s="97" t="str">
        <f t="shared" si="102"/>
        <v/>
      </c>
      <c r="BC712" s="101" t="str">
        <f t="shared" ca="1" si="108"/>
        <v/>
      </c>
      <c r="BD712" s="100" t="str">
        <f t="shared" si="103"/>
        <v/>
      </c>
      <c r="BE712" s="103" t="str">
        <f t="shared" ca="1" si="109"/>
        <v/>
      </c>
      <c r="BF712" s="102" t="str">
        <f t="shared" si="104"/>
        <v/>
      </c>
    </row>
    <row r="713" spans="48:58" hidden="1" x14ac:dyDescent="0.25">
      <c r="AV713">
        <v>688</v>
      </c>
      <c r="AW713" s="94" t="str">
        <f t="shared" ca="1" si="105"/>
        <v/>
      </c>
      <c r="AX713" s="95" t="str">
        <f t="shared" si="100"/>
        <v/>
      </c>
      <c r="AY713" s="98" t="str">
        <f t="shared" ca="1" si="106"/>
        <v/>
      </c>
      <c r="AZ713" s="96" t="str">
        <f t="shared" si="101"/>
        <v/>
      </c>
      <c r="BA713" s="99" t="str">
        <f t="shared" ca="1" si="107"/>
        <v/>
      </c>
      <c r="BB713" s="97" t="str">
        <f t="shared" si="102"/>
        <v/>
      </c>
      <c r="BC713" s="101" t="str">
        <f t="shared" ca="1" si="108"/>
        <v/>
      </c>
      <c r="BD713" s="100" t="str">
        <f t="shared" si="103"/>
        <v/>
      </c>
      <c r="BE713" s="103" t="str">
        <f t="shared" ca="1" si="109"/>
        <v/>
      </c>
      <c r="BF713" s="102" t="str">
        <f t="shared" si="104"/>
        <v/>
      </c>
    </row>
    <row r="714" spans="48:58" hidden="1" x14ac:dyDescent="0.25">
      <c r="AV714">
        <v>689</v>
      </c>
      <c r="AW714" s="94" t="str">
        <f t="shared" ca="1" si="105"/>
        <v/>
      </c>
      <c r="AX714" s="95" t="str">
        <f t="shared" si="100"/>
        <v/>
      </c>
      <c r="AY714" s="98" t="str">
        <f t="shared" ca="1" si="106"/>
        <v/>
      </c>
      <c r="AZ714" s="96" t="str">
        <f t="shared" si="101"/>
        <v/>
      </c>
      <c r="BA714" s="99" t="str">
        <f t="shared" ca="1" si="107"/>
        <v/>
      </c>
      <c r="BB714" s="97" t="str">
        <f t="shared" si="102"/>
        <v/>
      </c>
      <c r="BC714" s="101" t="str">
        <f t="shared" ca="1" si="108"/>
        <v/>
      </c>
      <c r="BD714" s="100" t="str">
        <f t="shared" si="103"/>
        <v/>
      </c>
      <c r="BE714" s="103" t="str">
        <f t="shared" ca="1" si="109"/>
        <v/>
      </c>
      <c r="BF714" s="102" t="str">
        <f t="shared" si="104"/>
        <v/>
      </c>
    </row>
    <row r="715" spans="48:58" hidden="1" x14ac:dyDescent="0.25">
      <c r="AV715">
        <v>690</v>
      </c>
      <c r="AW715" s="94" t="str">
        <f t="shared" ca="1" si="105"/>
        <v/>
      </c>
      <c r="AX715" s="95" t="str">
        <f t="shared" si="100"/>
        <v/>
      </c>
      <c r="AY715" s="98" t="str">
        <f t="shared" ca="1" si="106"/>
        <v/>
      </c>
      <c r="AZ715" s="96" t="str">
        <f t="shared" si="101"/>
        <v/>
      </c>
      <c r="BA715" s="99" t="str">
        <f t="shared" ca="1" si="107"/>
        <v/>
      </c>
      <c r="BB715" s="97" t="str">
        <f t="shared" si="102"/>
        <v/>
      </c>
      <c r="BC715" s="101" t="str">
        <f t="shared" ca="1" si="108"/>
        <v/>
      </c>
      <c r="BD715" s="100" t="str">
        <f t="shared" si="103"/>
        <v/>
      </c>
      <c r="BE715" s="103" t="str">
        <f t="shared" ca="1" si="109"/>
        <v/>
      </c>
      <c r="BF715" s="102" t="str">
        <f t="shared" si="104"/>
        <v/>
      </c>
    </row>
    <row r="716" spans="48:58" hidden="1" x14ac:dyDescent="0.25">
      <c r="AV716">
        <v>691</v>
      </c>
      <c r="AW716" s="94" t="str">
        <f t="shared" ca="1" si="105"/>
        <v/>
      </c>
      <c r="AX716" s="95" t="str">
        <f t="shared" si="100"/>
        <v/>
      </c>
      <c r="AY716" s="98" t="str">
        <f t="shared" ca="1" si="106"/>
        <v/>
      </c>
      <c r="AZ716" s="96" t="str">
        <f t="shared" si="101"/>
        <v/>
      </c>
      <c r="BA716" s="99" t="str">
        <f t="shared" ca="1" si="107"/>
        <v/>
      </c>
      <c r="BB716" s="97" t="str">
        <f t="shared" si="102"/>
        <v/>
      </c>
      <c r="BC716" s="101" t="str">
        <f t="shared" ca="1" si="108"/>
        <v/>
      </c>
      <c r="BD716" s="100" t="str">
        <f t="shared" si="103"/>
        <v/>
      </c>
      <c r="BE716" s="103" t="str">
        <f t="shared" ca="1" si="109"/>
        <v/>
      </c>
      <c r="BF716" s="102" t="str">
        <f t="shared" si="104"/>
        <v/>
      </c>
    </row>
    <row r="717" spans="48:58" hidden="1" x14ac:dyDescent="0.25">
      <c r="AV717">
        <v>692</v>
      </c>
      <c r="AW717" s="94" t="str">
        <f t="shared" ca="1" si="105"/>
        <v/>
      </c>
      <c r="AX717" s="95" t="str">
        <f t="shared" si="100"/>
        <v/>
      </c>
      <c r="AY717" s="98" t="str">
        <f t="shared" ca="1" si="106"/>
        <v/>
      </c>
      <c r="AZ717" s="96" t="str">
        <f t="shared" si="101"/>
        <v/>
      </c>
      <c r="BA717" s="99" t="str">
        <f t="shared" ca="1" si="107"/>
        <v/>
      </c>
      <c r="BB717" s="97" t="str">
        <f t="shared" si="102"/>
        <v/>
      </c>
      <c r="BC717" s="101" t="str">
        <f t="shared" ca="1" si="108"/>
        <v/>
      </c>
      <c r="BD717" s="100" t="str">
        <f t="shared" si="103"/>
        <v/>
      </c>
      <c r="BE717" s="103" t="str">
        <f t="shared" ca="1" si="109"/>
        <v/>
      </c>
      <c r="BF717" s="102" t="str">
        <f t="shared" si="104"/>
        <v/>
      </c>
    </row>
    <row r="718" spans="48:58" hidden="1" x14ac:dyDescent="0.25">
      <c r="AV718">
        <v>693</v>
      </c>
      <c r="AW718" s="94" t="str">
        <f t="shared" ca="1" si="105"/>
        <v/>
      </c>
      <c r="AX718" s="95" t="str">
        <f t="shared" si="100"/>
        <v/>
      </c>
      <c r="AY718" s="98" t="str">
        <f t="shared" ca="1" si="106"/>
        <v/>
      </c>
      <c r="AZ718" s="96" t="str">
        <f t="shared" si="101"/>
        <v/>
      </c>
      <c r="BA718" s="99" t="str">
        <f t="shared" ca="1" si="107"/>
        <v/>
      </c>
      <c r="BB718" s="97" t="str">
        <f t="shared" si="102"/>
        <v/>
      </c>
      <c r="BC718" s="101" t="str">
        <f t="shared" ca="1" si="108"/>
        <v/>
      </c>
      <c r="BD718" s="100" t="str">
        <f t="shared" si="103"/>
        <v/>
      </c>
      <c r="BE718" s="103" t="str">
        <f t="shared" ca="1" si="109"/>
        <v/>
      </c>
      <c r="BF718" s="102" t="str">
        <f t="shared" si="104"/>
        <v/>
      </c>
    </row>
    <row r="719" spans="48:58" hidden="1" x14ac:dyDescent="0.25">
      <c r="AV719">
        <v>694</v>
      </c>
      <c r="AW719" s="94" t="str">
        <f t="shared" ca="1" si="105"/>
        <v/>
      </c>
      <c r="AX719" s="95" t="str">
        <f t="shared" si="100"/>
        <v/>
      </c>
      <c r="AY719" s="98" t="str">
        <f t="shared" ca="1" si="106"/>
        <v/>
      </c>
      <c r="AZ719" s="96" t="str">
        <f t="shared" si="101"/>
        <v/>
      </c>
      <c r="BA719" s="99" t="str">
        <f t="shared" ca="1" si="107"/>
        <v/>
      </c>
      <c r="BB719" s="97" t="str">
        <f t="shared" si="102"/>
        <v/>
      </c>
      <c r="BC719" s="101" t="str">
        <f t="shared" ca="1" si="108"/>
        <v/>
      </c>
      <c r="BD719" s="100" t="str">
        <f t="shared" si="103"/>
        <v/>
      </c>
      <c r="BE719" s="103" t="str">
        <f t="shared" ca="1" si="109"/>
        <v/>
      </c>
      <c r="BF719" s="102" t="str">
        <f t="shared" si="104"/>
        <v/>
      </c>
    </row>
    <row r="720" spans="48:58" hidden="1" x14ac:dyDescent="0.25">
      <c r="AV720">
        <v>695</v>
      </c>
      <c r="AW720" s="94" t="str">
        <f t="shared" ca="1" si="105"/>
        <v/>
      </c>
      <c r="AX720" s="95" t="str">
        <f t="shared" si="100"/>
        <v/>
      </c>
      <c r="AY720" s="98" t="str">
        <f t="shared" ca="1" si="106"/>
        <v/>
      </c>
      <c r="AZ720" s="96" t="str">
        <f t="shared" si="101"/>
        <v/>
      </c>
      <c r="BA720" s="99" t="str">
        <f t="shared" ca="1" si="107"/>
        <v/>
      </c>
      <c r="BB720" s="97" t="str">
        <f t="shared" si="102"/>
        <v/>
      </c>
      <c r="BC720" s="101" t="str">
        <f t="shared" ca="1" si="108"/>
        <v/>
      </c>
      <c r="BD720" s="100" t="str">
        <f t="shared" si="103"/>
        <v/>
      </c>
      <c r="BE720" s="103" t="str">
        <f t="shared" ca="1" si="109"/>
        <v/>
      </c>
      <c r="BF720" s="102" t="str">
        <f t="shared" si="104"/>
        <v/>
      </c>
    </row>
    <row r="721" spans="48:58" hidden="1" x14ac:dyDescent="0.25">
      <c r="AV721">
        <v>696</v>
      </c>
      <c r="AW721" s="94" t="str">
        <f t="shared" ca="1" si="105"/>
        <v/>
      </c>
      <c r="AX721" s="95" t="str">
        <f t="shared" si="100"/>
        <v/>
      </c>
      <c r="AY721" s="98" t="str">
        <f t="shared" ca="1" si="106"/>
        <v/>
      </c>
      <c r="AZ721" s="96" t="str">
        <f t="shared" si="101"/>
        <v/>
      </c>
      <c r="BA721" s="99" t="str">
        <f t="shared" ca="1" si="107"/>
        <v/>
      </c>
      <c r="BB721" s="97" t="str">
        <f t="shared" si="102"/>
        <v/>
      </c>
      <c r="BC721" s="101" t="str">
        <f t="shared" ca="1" si="108"/>
        <v/>
      </c>
      <c r="BD721" s="100" t="str">
        <f t="shared" si="103"/>
        <v/>
      </c>
      <c r="BE721" s="103" t="str">
        <f t="shared" ca="1" si="109"/>
        <v/>
      </c>
      <c r="BF721" s="102" t="str">
        <f t="shared" si="104"/>
        <v/>
      </c>
    </row>
    <row r="722" spans="48:58" hidden="1" x14ac:dyDescent="0.25">
      <c r="AV722">
        <v>697</v>
      </c>
      <c r="AW722" s="94" t="str">
        <f t="shared" ca="1" si="105"/>
        <v/>
      </c>
      <c r="AX722" s="95" t="str">
        <f t="shared" si="100"/>
        <v/>
      </c>
      <c r="AY722" s="98" t="str">
        <f t="shared" ca="1" si="106"/>
        <v/>
      </c>
      <c r="AZ722" s="96" t="str">
        <f t="shared" si="101"/>
        <v/>
      </c>
      <c r="BA722" s="99" t="str">
        <f t="shared" ca="1" si="107"/>
        <v/>
      </c>
      <c r="BB722" s="97" t="str">
        <f t="shared" si="102"/>
        <v/>
      </c>
      <c r="BC722" s="101" t="str">
        <f t="shared" ca="1" si="108"/>
        <v/>
      </c>
      <c r="BD722" s="100" t="str">
        <f t="shared" si="103"/>
        <v/>
      </c>
      <c r="BE722" s="103" t="str">
        <f t="shared" ca="1" si="109"/>
        <v/>
      </c>
      <c r="BF722" s="102" t="str">
        <f t="shared" si="104"/>
        <v/>
      </c>
    </row>
    <row r="723" spans="48:58" hidden="1" x14ac:dyDescent="0.25">
      <c r="AV723">
        <v>698</v>
      </c>
      <c r="AW723" s="94" t="str">
        <f t="shared" ca="1" si="105"/>
        <v/>
      </c>
      <c r="AX723" s="95" t="str">
        <f t="shared" si="100"/>
        <v/>
      </c>
      <c r="AY723" s="98" t="str">
        <f t="shared" ca="1" si="106"/>
        <v/>
      </c>
      <c r="AZ723" s="96" t="str">
        <f t="shared" si="101"/>
        <v/>
      </c>
      <c r="BA723" s="99" t="str">
        <f t="shared" ca="1" si="107"/>
        <v/>
      </c>
      <c r="BB723" s="97" t="str">
        <f t="shared" si="102"/>
        <v/>
      </c>
      <c r="BC723" s="101" t="str">
        <f t="shared" ca="1" si="108"/>
        <v/>
      </c>
      <c r="BD723" s="100" t="str">
        <f t="shared" si="103"/>
        <v/>
      </c>
      <c r="BE723" s="103" t="str">
        <f t="shared" ca="1" si="109"/>
        <v/>
      </c>
      <c r="BF723" s="102" t="str">
        <f t="shared" si="104"/>
        <v/>
      </c>
    </row>
    <row r="724" spans="48:58" hidden="1" x14ac:dyDescent="0.25">
      <c r="AV724">
        <v>699</v>
      </c>
      <c r="AW724" s="94" t="str">
        <f t="shared" ca="1" si="105"/>
        <v/>
      </c>
      <c r="AX724" s="95" t="str">
        <f t="shared" si="100"/>
        <v/>
      </c>
      <c r="AY724" s="98" t="str">
        <f t="shared" ca="1" si="106"/>
        <v/>
      </c>
      <c r="AZ724" s="96" t="str">
        <f t="shared" si="101"/>
        <v/>
      </c>
      <c r="BA724" s="99" t="str">
        <f t="shared" ca="1" si="107"/>
        <v/>
      </c>
      <c r="BB724" s="97" t="str">
        <f t="shared" si="102"/>
        <v/>
      </c>
      <c r="BC724" s="101" t="str">
        <f t="shared" ca="1" si="108"/>
        <v/>
      </c>
      <c r="BD724" s="100" t="str">
        <f t="shared" si="103"/>
        <v/>
      </c>
      <c r="BE724" s="103" t="str">
        <f t="shared" ca="1" si="109"/>
        <v/>
      </c>
      <c r="BF724" s="102" t="str">
        <f t="shared" si="104"/>
        <v/>
      </c>
    </row>
    <row r="725" spans="48:58" hidden="1" x14ac:dyDescent="0.25">
      <c r="AV725">
        <v>700</v>
      </c>
      <c r="AW725" s="94" t="str">
        <f t="shared" ca="1" si="105"/>
        <v/>
      </c>
      <c r="AX725" s="95" t="str">
        <f t="shared" si="100"/>
        <v/>
      </c>
      <c r="AY725" s="98" t="str">
        <f t="shared" ca="1" si="106"/>
        <v/>
      </c>
      <c r="AZ725" s="96" t="str">
        <f t="shared" si="101"/>
        <v/>
      </c>
      <c r="BA725" s="99" t="str">
        <f t="shared" ca="1" si="107"/>
        <v/>
      </c>
      <c r="BB725" s="97" t="str">
        <f t="shared" si="102"/>
        <v/>
      </c>
      <c r="BC725" s="101" t="str">
        <f t="shared" ca="1" si="108"/>
        <v/>
      </c>
      <c r="BD725" s="100" t="str">
        <f t="shared" si="103"/>
        <v/>
      </c>
      <c r="BE725" s="103" t="str">
        <f t="shared" ca="1" si="109"/>
        <v/>
      </c>
      <c r="BF725" s="102" t="str">
        <f t="shared" si="104"/>
        <v/>
      </c>
    </row>
    <row r="726" spans="48:58" hidden="1" x14ac:dyDescent="0.25">
      <c r="AV726">
        <v>701</v>
      </c>
      <c r="AW726" s="94" t="str">
        <f t="shared" ca="1" si="105"/>
        <v/>
      </c>
      <c r="AX726" s="95" t="str">
        <f t="shared" si="100"/>
        <v/>
      </c>
      <c r="AY726" s="98" t="str">
        <f t="shared" ca="1" si="106"/>
        <v/>
      </c>
      <c r="AZ726" s="96" t="str">
        <f t="shared" si="101"/>
        <v/>
      </c>
      <c r="BA726" s="99" t="str">
        <f t="shared" ca="1" si="107"/>
        <v/>
      </c>
      <c r="BB726" s="97" t="str">
        <f t="shared" si="102"/>
        <v/>
      </c>
      <c r="BC726" s="101" t="str">
        <f t="shared" ca="1" si="108"/>
        <v/>
      </c>
      <c r="BD726" s="100" t="str">
        <f t="shared" si="103"/>
        <v/>
      </c>
      <c r="BE726" s="103" t="str">
        <f t="shared" ca="1" si="109"/>
        <v/>
      </c>
      <c r="BF726" s="102" t="str">
        <f t="shared" si="104"/>
        <v/>
      </c>
    </row>
    <row r="727" spans="48:58" hidden="1" x14ac:dyDescent="0.25">
      <c r="AV727">
        <v>702</v>
      </c>
      <c r="AW727" s="94" t="str">
        <f t="shared" ca="1" si="105"/>
        <v/>
      </c>
      <c r="AX727" s="95" t="str">
        <f t="shared" si="100"/>
        <v/>
      </c>
      <c r="AY727" s="98" t="str">
        <f t="shared" ca="1" si="106"/>
        <v/>
      </c>
      <c r="AZ727" s="96" t="str">
        <f t="shared" si="101"/>
        <v/>
      </c>
      <c r="BA727" s="99" t="str">
        <f t="shared" ca="1" si="107"/>
        <v/>
      </c>
      <c r="BB727" s="97" t="str">
        <f t="shared" si="102"/>
        <v/>
      </c>
      <c r="BC727" s="101" t="str">
        <f t="shared" ca="1" si="108"/>
        <v/>
      </c>
      <c r="BD727" s="100" t="str">
        <f t="shared" si="103"/>
        <v/>
      </c>
      <c r="BE727" s="103" t="str">
        <f t="shared" ca="1" si="109"/>
        <v/>
      </c>
      <c r="BF727" s="102" t="str">
        <f t="shared" si="104"/>
        <v/>
      </c>
    </row>
    <row r="728" spans="48:58" hidden="1" x14ac:dyDescent="0.25">
      <c r="AV728">
        <v>703</v>
      </c>
      <c r="AW728" s="94" t="str">
        <f t="shared" ca="1" si="105"/>
        <v/>
      </c>
      <c r="AX728" s="95" t="str">
        <f t="shared" si="100"/>
        <v/>
      </c>
      <c r="AY728" s="98" t="str">
        <f t="shared" ca="1" si="106"/>
        <v/>
      </c>
      <c r="AZ728" s="96" t="str">
        <f t="shared" si="101"/>
        <v/>
      </c>
      <c r="BA728" s="99" t="str">
        <f t="shared" ca="1" si="107"/>
        <v/>
      </c>
      <c r="BB728" s="97" t="str">
        <f t="shared" si="102"/>
        <v/>
      </c>
      <c r="BC728" s="101" t="str">
        <f t="shared" ca="1" si="108"/>
        <v/>
      </c>
      <c r="BD728" s="100" t="str">
        <f t="shared" si="103"/>
        <v/>
      </c>
      <c r="BE728" s="103" t="str">
        <f t="shared" ca="1" si="109"/>
        <v/>
      </c>
      <c r="BF728" s="102" t="str">
        <f t="shared" si="104"/>
        <v/>
      </c>
    </row>
    <row r="729" spans="48:58" hidden="1" x14ac:dyDescent="0.25">
      <c r="AV729">
        <v>704</v>
      </c>
      <c r="AW729" s="94" t="str">
        <f t="shared" ca="1" si="105"/>
        <v/>
      </c>
      <c r="AX729" s="95" t="str">
        <f t="shared" si="100"/>
        <v/>
      </c>
      <c r="AY729" s="98" t="str">
        <f t="shared" ca="1" si="106"/>
        <v/>
      </c>
      <c r="AZ729" s="96" t="str">
        <f t="shared" si="101"/>
        <v/>
      </c>
      <c r="BA729" s="99" t="str">
        <f t="shared" ca="1" si="107"/>
        <v/>
      </c>
      <c r="BB729" s="97" t="str">
        <f t="shared" si="102"/>
        <v/>
      </c>
      <c r="BC729" s="101" t="str">
        <f t="shared" ca="1" si="108"/>
        <v/>
      </c>
      <c r="BD729" s="100" t="str">
        <f t="shared" si="103"/>
        <v/>
      </c>
      <c r="BE729" s="103" t="str">
        <f t="shared" ca="1" si="109"/>
        <v/>
      </c>
      <c r="BF729" s="102" t="str">
        <f t="shared" si="104"/>
        <v/>
      </c>
    </row>
    <row r="730" spans="48:58" hidden="1" x14ac:dyDescent="0.25">
      <c r="AV730">
        <v>705</v>
      </c>
      <c r="AW730" s="94" t="str">
        <f t="shared" ca="1" si="105"/>
        <v/>
      </c>
      <c r="AX730" s="95" t="str">
        <f t="shared" ref="AX730:AX793" si="110">IF($D$15*12&gt;=AV730,-1*$H$15,IF($D$15*12+1&gt;=AV730,InfGoal1,""))</f>
        <v/>
      </c>
      <c r="AY730" s="98" t="str">
        <f t="shared" ca="1" si="106"/>
        <v/>
      </c>
      <c r="AZ730" s="96" t="str">
        <f t="shared" ref="AZ730:AZ793" si="111">IF($D$17*12&gt;=AV730,-1*$H$17,IF($D$17*12+1&gt;=AV730,InfGoal2,""))</f>
        <v/>
      </c>
      <c r="BA730" s="99" t="str">
        <f t="shared" ca="1" si="107"/>
        <v/>
      </c>
      <c r="BB730" s="97" t="str">
        <f t="shared" ref="BB730:BB793" si="112">IF($D$19*12&gt;=AV730,-1*$H$19,IF($D$19*12+1&gt;=AV730,InfGoal3,""))</f>
        <v/>
      </c>
      <c r="BC730" s="101" t="str">
        <f t="shared" ca="1" si="108"/>
        <v/>
      </c>
      <c r="BD730" s="100" t="str">
        <f t="shared" ref="BD730:BD793" si="113">IF($D$21*12&gt;=AV730,-1*$H$21,IF($D$21*12+1&gt;=AV730,InfGoal4,""))</f>
        <v/>
      </c>
      <c r="BE730" s="103" t="str">
        <f t="shared" ca="1" si="109"/>
        <v/>
      </c>
      <c r="BF730" s="102" t="str">
        <f t="shared" ref="BF730:BF793" si="114">IF($D$23*12&gt;=AV730,-1*$H$23,IF($D$23*12+1&gt;=AV730,InfGoal5,""))</f>
        <v/>
      </c>
    </row>
    <row r="731" spans="48:58" hidden="1" x14ac:dyDescent="0.25">
      <c r="AV731">
        <v>706</v>
      </c>
      <c r="AW731" s="94" t="str">
        <f t="shared" ref="AW731:AW794" ca="1" si="115">IF($D$15*12&gt;=AV731,DATE(YEAR(TODAY()),MONTH(TODAY())+AV731-1,DAY(TODAY())),IF($D$15*12+1&gt;=AV731,DATE(YEAR(TODAY()),MONTH(TODAY())+$D$15*12,DAY(TODAY())),""))</f>
        <v/>
      </c>
      <c r="AX731" s="95" t="str">
        <f t="shared" si="110"/>
        <v/>
      </c>
      <c r="AY731" s="98" t="str">
        <f t="shared" ref="AY731:AY794" ca="1" si="116">IF($D$17*12&gt;=AV731,DATE(YEAR(TODAY()),MONTH(TODAY())+AV731-1,DAY(TODAY())),IF($D$17*12+1&gt;=AV731,DATE(YEAR(TODAY()),MONTH(TODAY())+$D$17*12,DAY(TODAY())),""))</f>
        <v/>
      </c>
      <c r="AZ731" s="96" t="str">
        <f t="shared" si="111"/>
        <v/>
      </c>
      <c r="BA731" s="99" t="str">
        <f t="shared" ref="BA731:BA794" ca="1" si="117">IF($D$19*12&gt;=AV731,DATE(YEAR(TODAY()),MONTH(TODAY())+AV731-1,DAY(TODAY())),IF($D$19*12+1&gt;=AV731,DATE(YEAR(TODAY()),MONTH(TODAY())+$D$19*12,DAY(TODAY())),""))</f>
        <v/>
      </c>
      <c r="BB731" s="97" t="str">
        <f t="shared" si="112"/>
        <v/>
      </c>
      <c r="BC731" s="101" t="str">
        <f t="shared" ref="BC731:BC794" ca="1" si="118">IF($D$21*12&gt;=AV731,DATE(YEAR(TODAY()),MONTH(TODAY())+AV731-1,DAY(TODAY())),IF($D$21*12+1&gt;=AV731,DATE(YEAR(TODAY()),MONTH(TODAY())+$D$21*12,DAY(TODAY())),""))</f>
        <v/>
      </c>
      <c r="BD731" s="100" t="str">
        <f t="shared" si="113"/>
        <v/>
      </c>
      <c r="BE731" s="103" t="str">
        <f t="shared" ref="BE731:BE794" ca="1" si="119">IF($D$23*12&gt;=AV731,DATE(YEAR(TODAY()),MONTH(TODAY())+AV731-1,DAY(TODAY())),IF($D$23*12+1&gt;=AV731,DATE(YEAR(TODAY()),MONTH(TODAY())+$D$23*12,DAY(TODAY())),""))</f>
        <v/>
      </c>
      <c r="BF731" s="102" t="str">
        <f t="shared" si="114"/>
        <v/>
      </c>
    </row>
    <row r="732" spans="48:58" hidden="1" x14ac:dyDescent="0.25">
      <c r="AV732">
        <v>707</v>
      </c>
      <c r="AW732" s="94" t="str">
        <f t="shared" ca="1" si="115"/>
        <v/>
      </c>
      <c r="AX732" s="95" t="str">
        <f t="shared" si="110"/>
        <v/>
      </c>
      <c r="AY732" s="98" t="str">
        <f t="shared" ca="1" si="116"/>
        <v/>
      </c>
      <c r="AZ732" s="96" t="str">
        <f t="shared" si="111"/>
        <v/>
      </c>
      <c r="BA732" s="99" t="str">
        <f t="shared" ca="1" si="117"/>
        <v/>
      </c>
      <c r="BB732" s="97" t="str">
        <f t="shared" si="112"/>
        <v/>
      </c>
      <c r="BC732" s="101" t="str">
        <f t="shared" ca="1" si="118"/>
        <v/>
      </c>
      <c r="BD732" s="100" t="str">
        <f t="shared" si="113"/>
        <v/>
      </c>
      <c r="BE732" s="103" t="str">
        <f t="shared" ca="1" si="119"/>
        <v/>
      </c>
      <c r="BF732" s="102" t="str">
        <f t="shared" si="114"/>
        <v/>
      </c>
    </row>
    <row r="733" spans="48:58" hidden="1" x14ac:dyDescent="0.25">
      <c r="AV733">
        <v>708</v>
      </c>
      <c r="AW733" s="94" t="str">
        <f t="shared" ca="1" si="115"/>
        <v/>
      </c>
      <c r="AX733" s="95" t="str">
        <f t="shared" si="110"/>
        <v/>
      </c>
      <c r="AY733" s="98" t="str">
        <f t="shared" ca="1" si="116"/>
        <v/>
      </c>
      <c r="AZ733" s="96" t="str">
        <f t="shared" si="111"/>
        <v/>
      </c>
      <c r="BA733" s="99" t="str">
        <f t="shared" ca="1" si="117"/>
        <v/>
      </c>
      <c r="BB733" s="97" t="str">
        <f t="shared" si="112"/>
        <v/>
      </c>
      <c r="BC733" s="101" t="str">
        <f t="shared" ca="1" si="118"/>
        <v/>
      </c>
      <c r="BD733" s="100" t="str">
        <f t="shared" si="113"/>
        <v/>
      </c>
      <c r="BE733" s="103" t="str">
        <f t="shared" ca="1" si="119"/>
        <v/>
      </c>
      <c r="BF733" s="102" t="str">
        <f t="shared" si="114"/>
        <v/>
      </c>
    </row>
    <row r="734" spans="48:58" hidden="1" x14ac:dyDescent="0.25">
      <c r="AV734">
        <v>709</v>
      </c>
      <c r="AW734" s="94" t="str">
        <f t="shared" ca="1" si="115"/>
        <v/>
      </c>
      <c r="AX734" s="95" t="str">
        <f t="shared" si="110"/>
        <v/>
      </c>
      <c r="AY734" s="98" t="str">
        <f t="shared" ca="1" si="116"/>
        <v/>
      </c>
      <c r="AZ734" s="96" t="str">
        <f t="shared" si="111"/>
        <v/>
      </c>
      <c r="BA734" s="99" t="str">
        <f t="shared" ca="1" si="117"/>
        <v/>
      </c>
      <c r="BB734" s="97" t="str">
        <f t="shared" si="112"/>
        <v/>
      </c>
      <c r="BC734" s="101" t="str">
        <f t="shared" ca="1" si="118"/>
        <v/>
      </c>
      <c r="BD734" s="100" t="str">
        <f t="shared" si="113"/>
        <v/>
      </c>
      <c r="BE734" s="103" t="str">
        <f t="shared" ca="1" si="119"/>
        <v/>
      </c>
      <c r="BF734" s="102" t="str">
        <f t="shared" si="114"/>
        <v/>
      </c>
    </row>
    <row r="735" spans="48:58" hidden="1" x14ac:dyDescent="0.25">
      <c r="AV735">
        <v>710</v>
      </c>
      <c r="AW735" s="94" t="str">
        <f t="shared" ca="1" si="115"/>
        <v/>
      </c>
      <c r="AX735" s="95" t="str">
        <f t="shared" si="110"/>
        <v/>
      </c>
      <c r="AY735" s="98" t="str">
        <f t="shared" ca="1" si="116"/>
        <v/>
      </c>
      <c r="AZ735" s="96" t="str">
        <f t="shared" si="111"/>
        <v/>
      </c>
      <c r="BA735" s="99" t="str">
        <f t="shared" ca="1" si="117"/>
        <v/>
      </c>
      <c r="BB735" s="97" t="str">
        <f t="shared" si="112"/>
        <v/>
      </c>
      <c r="BC735" s="101" t="str">
        <f t="shared" ca="1" si="118"/>
        <v/>
      </c>
      <c r="BD735" s="100" t="str">
        <f t="shared" si="113"/>
        <v/>
      </c>
      <c r="BE735" s="103" t="str">
        <f t="shared" ca="1" si="119"/>
        <v/>
      </c>
      <c r="BF735" s="102" t="str">
        <f t="shared" si="114"/>
        <v/>
      </c>
    </row>
    <row r="736" spans="48:58" hidden="1" x14ac:dyDescent="0.25">
      <c r="AV736">
        <v>711</v>
      </c>
      <c r="AW736" s="94" t="str">
        <f t="shared" ca="1" si="115"/>
        <v/>
      </c>
      <c r="AX736" s="95" t="str">
        <f t="shared" si="110"/>
        <v/>
      </c>
      <c r="AY736" s="98" t="str">
        <f t="shared" ca="1" si="116"/>
        <v/>
      </c>
      <c r="AZ736" s="96" t="str">
        <f t="shared" si="111"/>
        <v/>
      </c>
      <c r="BA736" s="99" t="str">
        <f t="shared" ca="1" si="117"/>
        <v/>
      </c>
      <c r="BB736" s="97" t="str">
        <f t="shared" si="112"/>
        <v/>
      </c>
      <c r="BC736" s="101" t="str">
        <f t="shared" ca="1" si="118"/>
        <v/>
      </c>
      <c r="BD736" s="100" t="str">
        <f t="shared" si="113"/>
        <v/>
      </c>
      <c r="BE736" s="103" t="str">
        <f t="shared" ca="1" si="119"/>
        <v/>
      </c>
      <c r="BF736" s="102" t="str">
        <f t="shared" si="114"/>
        <v/>
      </c>
    </row>
    <row r="737" spans="48:58" hidden="1" x14ac:dyDescent="0.25">
      <c r="AV737">
        <v>712</v>
      </c>
      <c r="AW737" s="94" t="str">
        <f t="shared" ca="1" si="115"/>
        <v/>
      </c>
      <c r="AX737" s="95" t="str">
        <f t="shared" si="110"/>
        <v/>
      </c>
      <c r="AY737" s="98" t="str">
        <f t="shared" ca="1" si="116"/>
        <v/>
      </c>
      <c r="AZ737" s="96" t="str">
        <f t="shared" si="111"/>
        <v/>
      </c>
      <c r="BA737" s="99" t="str">
        <f t="shared" ca="1" si="117"/>
        <v/>
      </c>
      <c r="BB737" s="97" t="str">
        <f t="shared" si="112"/>
        <v/>
      </c>
      <c r="BC737" s="101" t="str">
        <f t="shared" ca="1" si="118"/>
        <v/>
      </c>
      <c r="BD737" s="100" t="str">
        <f t="shared" si="113"/>
        <v/>
      </c>
      <c r="BE737" s="103" t="str">
        <f t="shared" ca="1" si="119"/>
        <v/>
      </c>
      <c r="BF737" s="102" t="str">
        <f t="shared" si="114"/>
        <v/>
      </c>
    </row>
    <row r="738" spans="48:58" hidden="1" x14ac:dyDescent="0.25">
      <c r="AV738">
        <v>713</v>
      </c>
      <c r="AW738" s="94" t="str">
        <f t="shared" ca="1" si="115"/>
        <v/>
      </c>
      <c r="AX738" s="95" t="str">
        <f t="shared" si="110"/>
        <v/>
      </c>
      <c r="AY738" s="98" t="str">
        <f t="shared" ca="1" si="116"/>
        <v/>
      </c>
      <c r="AZ738" s="96" t="str">
        <f t="shared" si="111"/>
        <v/>
      </c>
      <c r="BA738" s="99" t="str">
        <f t="shared" ca="1" si="117"/>
        <v/>
      </c>
      <c r="BB738" s="97" t="str">
        <f t="shared" si="112"/>
        <v/>
      </c>
      <c r="BC738" s="101" t="str">
        <f t="shared" ca="1" si="118"/>
        <v/>
      </c>
      <c r="BD738" s="100" t="str">
        <f t="shared" si="113"/>
        <v/>
      </c>
      <c r="BE738" s="103" t="str">
        <f t="shared" ca="1" si="119"/>
        <v/>
      </c>
      <c r="BF738" s="102" t="str">
        <f t="shared" si="114"/>
        <v/>
      </c>
    </row>
    <row r="739" spans="48:58" hidden="1" x14ac:dyDescent="0.25">
      <c r="AV739">
        <v>714</v>
      </c>
      <c r="AW739" s="94" t="str">
        <f t="shared" ca="1" si="115"/>
        <v/>
      </c>
      <c r="AX739" s="95" t="str">
        <f t="shared" si="110"/>
        <v/>
      </c>
      <c r="AY739" s="98" t="str">
        <f t="shared" ca="1" si="116"/>
        <v/>
      </c>
      <c r="AZ739" s="96" t="str">
        <f t="shared" si="111"/>
        <v/>
      </c>
      <c r="BA739" s="99" t="str">
        <f t="shared" ca="1" si="117"/>
        <v/>
      </c>
      <c r="BB739" s="97" t="str">
        <f t="shared" si="112"/>
        <v/>
      </c>
      <c r="BC739" s="101" t="str">
        <f t="shared" ca="1" si="118"/>
        <v/>
      </c>
      <c r="BD739" s="100" t="str">
        <f t="shared" si="113"/>
        <v/>
      </c>
      <c r="BE739" s="103" t="str">
        <f t="shared" ca="1" si="119"/>
        <v/>
      </c>
      <c r="BF739" s="102" t="str">
        <f t="shared" si="114"/>
        <v/>
      </c>
    </row>
    <row r="740" spans="48:58" hidden="1" x14ac:dyDescent="0.25">
      <c r="AV740">
        <v>715</v>
      </c>
      <c r="AW740" s="94" t="str">
        <f t="shared" ca="1" si="115"/>
        <v/>
      </c>
      <c r="AX740" s="95" t="str">
        <f t="shared" si="110"/>
        <v/>
      </c>
      <c r="AY740" s="98" t="str">
        <f t="shared" ca="1" si="116"/>
        <v/>
      </c>
      <c r="AZ740" s="96" t="str">
        <f t="shared" si="111"/>
        <v/>
      </c>
      <c r="BA740" s="99" t="str">
        <f t="shared" ca="1" si="117"/>
        <v/>
      </c>
      <c r="BB740" s="97" t="str">
        <f t="shared" si="112"/>
        <v/>
      </c>
      <c r="BC740" s="101" t="str">
        <f t="shared" ca="1" si="118"/>
        <v/>
      </c>
      <c r="BD740" s="100" t="str">
        <f t="shared" si="113"/>
        <v/>
      </c>
      <c r="BE740" s="103" t="str">
        <f t="shared" ca="1" si="119"/>
        <v/>
      </c>
      <c r="BF740" s="102" t="str">
        <f t="shared" si="114"/>
        <v/>
      </c>
    </row>
    <row r="741" spans="48:58" hidden="1" x14ac:dyDescent="0.25">
      <c r="AV741">
        <v>716</v>
      </c>
      <c r="AW741" s="94" t="str">
        <f t="shared" ca="1" si="115"/>
        <v/>
      </c>
      <c r="AX741" s="95" t="str">
        <f t="shared" si="110"/>
        <v/>
      </c>
      <c r="AY741" s="98" t="str">
        <f t="shared" ca="1" si="116"/>
        <v/>
      </c>
      <c r="AZ741" s="96" t="str">
        <f t="shared" si="111"/>
        <v/>
      </c>
      <c r="BA741" s="99" t="str">
        <f t="shared" ca="1" si="117"/>
        <v/>
      </c>
      <c r="BB741" s="97" t="str">
        <f t="shared" si="112"/>
        <v/>
      </c>
      <c r="BC741" s="101" t="str">
        <f t="shared" ca="1" si="118"/>
        <v/>
      </c>
      <c r="BD741" s="100" t="str">
        <f t="shared" si="113"/>
        <v/>
      </c>
      <c r="BE741" s="103" t="str">
        <f t="shared" ca="1" si="119"/>
        <v/>
      </c>
      <c r="BF741" s="102" t="str">
        <f t="shared" si="114"/>
        <v/>
      </c>
    </row>
    <row r="742" spans="48:58" hidden="1" x14ac:dyDescent="0.25">
      <c r="AV742">
        <v>717</v>
      </c>
      <c r="AW742" s="94" t="str">
        <f t="shared" ca="1" si="115"/>
        <v/>
      </c>
      <c r="AX742" s="95" t="str">
        <f t="shared" si="110"/>
        <v/>
      </c>
      <c r="AY742" s="98" t="str">
        <f t="shared" ca="1" si="116"/>
        <v/>
      </c>
      <c r="AZ742" s="96" t="str">
        <f t="shared" si="111"/>
        <v/>
      </c>
      <c r="BA742" s="99" t="str">
        <f t="shared" ca="1" si="117"/>
        <v/>
      </c>
      <c r="BB742" s="97" t="str">
        <f t="shared" si="112"/>
        <v/>
      </c>
      <c r="BC742" s="101" t="str">
        <f t="shared" ca="1" si="118"/>
        <v/>
      </c>
      <c r="BD742" s="100" t="str">
        <f t="shared" si="113"/>
        <v/>
      </c>
      <c r="BE742" s="103" t="str">
        <f t="shared" ca="1" si="119"/>
        <v/>
      </c>
      <c r="BF742" s="102" t="str">
        <f t="shared" si="114"/>
        <v/>
      </c>
    </row>
    <row r="743" spans="48:58" hidden="1" x14ac:dyDescent="0.25">
      <c r="AV743">
        <v>718</v>
      </c>
      <c r="AW743" s="94" t="str">
        <f t="shared" ca="1" si="115"/>
        <v/>
      </c>
      <c r="AX743" s="95" t="str">
        <f t="shared" si="110"/>
        <v/>
      </c>
      <c r="AY743" s="98" t="str">
        <f t="shared" ca="1" si="116"/>
        <v/>
      </c>
      <c r="AZ743" s="96" t="str">
        <f t="shared" si="111"/>
        <v/>
      </c>
      <c r="BA743" s="99" t="str">
        <f t="shared" ca="1" si="117"/>
        <v/>
      </c>
      <c r="BB743" s="97" t="str">
        <f t="shared" si="112"/>
        <v/>
      </c>
      <c r="BC743" s="101" t="str">
        <f t="shared" ca="1" si="118"/>
        <v/>
      </c>
      <c r="BD743" s="100" t="str">
        <f t="shared" si="113"/>
        <v/>
      </c>
      <c r="BE743" s="103" t="str">
        <f t="shared" ca="1" si="119"/>
        <v/>
      </c>
      <c r="BF743" s="102" t="str">
        <f t="shared" si="114"/>
        <v/>
      </c>
    </row>
    <row r="744" spans="48:58" hidden="1" x14ac:dyDescent="0.25">
      <c r="AV744">
        <v>719</v>
      </c>
      <c r="AW744" s="94" t="str">
        <f t="shared" ca="1" si="115"/>
        <v/>
      </c>
      <c r="AX744" s="95" t="str">
        <f t="shared" si="110"/>
        <v/>
      </c>
      <c r="AY744" s="98" t="str">
        <f t="shared" ca="1" si="116"/>
        <v/>
      </c>
      <c r="AZ744" s="96" t="str">
        <f t="shared" si="111"/>
        <v/>
      </c>
      <c r="BA744" s="99" t="str">
        <f t="shared" ca="1" si="117"/>
        <v/>
      </c>
      <c r="BB744" s="97" t="str">
        <f t="shared" si="112"/>
        <v/>
      </c>
      <c r="BC744" s="101" t="str">
        <f t="shared" ca="1" si="118"/>
        <v/>
      </c>
      <c r="BD744" s="100" t="str">
        <f t="shared" si="113"/>
        <v/>
      </c>
      <c r="BE744" s="103" t="str">
        <f t="shared" ca="1" si="119"/>
        <v/>
      </c>
      <c r="BF744" s="102" t="str">
        <f t="shared" si="114"/>
        <v/>
      </c>
    </row>
    <row r="745" spans="48:58" hidden="1" x14ac:dyDescent="0.25">
      <c r="AV745">
        <v>720</v>
      </c>
      <c r="AW745" s="94" t="str">
        <f t="shared" ca="1" si="115"/>
        <v/>
      </c>
      <c r="AX745" s="95" t="str">
        <f t="shared" si="110"/>
        <v/>
      </c>
      <c r="AY745" s="98" t="str">
        <f t="shared" ca="1" si="116"/>
        <v/>
      </c>
      <c r="AZ745" s="96" t="str">
        <f t="shared" si="111"/>
        <v/>
      </c>
      <c r="BA745" s="99" t="str">
        <f t="shared" ca="1" si="117"/>
        <v/>
      </c>
      <c r="BB745" s="97" t="str">
        <f t="shared" si="112"/>
        <v/>
      </c>
      <c r="BC745" s="101" t="str">
        <f t="shared" ca="1" si="118"/>
        <v/>
      </c>
      <c r="BD745" s="100" t="str">
        <f t="shared" si="113"/>
        <v/>
      </c>
      <c r="BE745" s="103" t="str">
        <f t="shared" ca="1" si="119"/>
        <v/>
      </c>
      <c r="BF745" s="102" t="str">
        <f t="shared" si="114"/>
        <v/>
      </c>
    </row>
    <row r="746" spans="48:58" hidden="1" x14ac:dyDescent="0.25">
      <c r="AV746">
        <v>721</v>
      </c>
      <c r="AW746" s="94" t="str">
        <f t="shared" ca="1" si="115"/>
        <v/>
      </c>
      <c r="AX746" s="95" t="str">
        <f t="shared" si="110"/>
        <v/>
      </c>
      <c r="AY746" s="98" t="str">
        <f t="shared" ca="1" si="116"/>
        <v/>
      </c>
      <c r="AZ746" s="96" t="str">
        <f t="shared" si="111"/>
        <v/>
      </c>
      <c r="BA746" s="99" t="str">
        <f t="shared" ca="1" si="117"/>
        <v/>
      </c>
      <c r="BB746" s="97" t="str">
        <f t="shared" si="112"/>
        <v/>
      </c>
      <c r="BC746" s="101" t="str">
        <f t="shared" ca="1" si="118"/>
        <v/>
      </c>
      <c r="BD746" s="100" t="str">
        <f t="shared" si="113"/>
        <v/>
      </c>
      <c r="BE746" s="103" t="str">
        <f t="shared" ca="1" si="119"/>
        <v/>
      </c>
      <c r="BF746" s="102" t="str">
        <f t="shared" si="114"/>
        <v/>
      </c>
    </row>
    <row r="747" spans="48:58" hidden="1" x14ac:dyDescent="0.25">
      <c r="AV747">
        <v>722</v>
      </c>
      <c r="AW747" s="94" t="str">
        <f t="shared" ca="1" si="115"/>
        <v/>
      </c>
      <c r="AX747" s="95" t="str">
        <f t="shared" si="110"/>
        <v/>
      </c>
      <c r="AY747" s="98" t="str">
        <f t="shared" ca="1" si="116"/>
        <v/>
      </c>
      <c r="AZ747" s="96" t="str">
        <f t="shared" si="111"/>
        <v/>
      </c>
      <c r="BA747" s="99" t="str">
        <f t="shared" ca="1" si="117"/>
        <v/>
      </c>
      <c r="BB747" s="97" t="str">
        <f t="shared" si="112"/>
        <v/>
      </c>
      <c r="BC747" s="101" t="str">
        <f t="shared" ca="1" si="118"/>
        <v/>
      </c>
      <c r="BD747" s="100" t="str">
        <f t="shared" si="113"/>
        <v/>
      </c>
      <c r="BE747" s="103" t="str">
        <f t="shared" ca="1" si="119"/>
        <v/>
      </c>
      <c r="BF747" s="102" t="str">
        <f t="shared" si="114"/>
        <v/>
      </c>
    </row>
    <row r="748" spans="48:58" hidden="1" x14ac:dyDescent="0.25">
      <c r="AV748">
        <v>723</v>
      </c>
      <c r="AW748" s="94" t="str">
        <f t="shared" ca="1" si="115"/>
        <v/>
      </c>
      <c r="AX748" s="95" t="str">
        <f t="shared" si="110"/>
        <v/>
      </c>
      <c r="AY748" s="98" t="str">
        <f t="shared" ca="1" si="116"/>
        <v/>
      </c>
      <c r="AZ748" s="96" t="str">
        <f t="shared" si="111"/>
        <v/>
      </c>
      <c r="BA748" s="99" t="str">
        <f t="shared" ca="1" si="117"/>
        <v/>
      </c>
      <c r="BB748" s="97" t="str">
        <f t="shared" si="112"/>
        <v/>
      </c>
      <c r="BC748" s="101" t="str">
        <f t="shared" ca="1" si="118"/>
        <v/>
      </c>
      <c r="BD748" s="100" t="str">
        <f t="shared" si="113"/>
        <v/>
      </c>
      <c r="BE748" s="103" t="str">
        <f t="shared" ca="1" si="119"/>
        <v/>
      </c>
      <c r="BF748" s="102" t="str">
        <f t="shared" si="114"/>
        <v/>
      </c>
    </row>
    <row r="749" spans="48:58" hidden="1" x14ac:dyDescent="0.25">
      <c r="AV749">
        <v>724</v>
      </c>
      <c r="AW749" s="94" t="str">
        <f t="shared" ca="1" si="115"/>
        <v/>
      </c>
      <c r="AX749" s="95" t="str">
        <f t="shared" si="110"/>
        <v/>
      </c>
      <c r="AY749" s="98" t="str">
        <f t="shared" ca="1" si="116"/>
        <v/>
      </c>
      <c r="AZ749" s="96" t="str">
        <f t="shared" si="111"/>
        <v/>
      </c>
      <c r="BA749" s="99" t="str">
        <f t="shared" ca="1" si="117"/>
        <v/>
      </c>
      <c r="BB749" s="97" t="str">
        <f t="shared" si="112"/>
        <v/>
      </c>
      <c r="BC749" s="101" t="str">
        <f t="shared" ca="1" si="118"/>
        <v/>
      </c>
      <c r="BD749" s="100" t="str">
        <f t="shared" si="113"/>
        <v/>
      </c>
      <c r="BE749" s="103" t="str">
        <f t="shared" ca="1" si="119"/>
        <v/>
      </c>
      <c r="BF749" s="102" t="str">
        <f t="shared" si="114"/>
        <v/>
      </c>
    </row>
    <row r="750" spans="48:58" hidden="1" x14ac:dyDescent="0.25">
      <c r="AV750">
        <v>725</v>
      </c>
      <c r="AW750" s="94" t="str">
        <f t="shared" ca="1" si="115"/>
        <v/>
      </c>
      <c r="AX750" s="95" t="str">
        <f t="shared" si="110"/>
        <v/>
      </c>
      <c r="AY750" s="98" t="str">
        <f t="shared" ca="1" si="116"/>
        <v/>
      </c>
      <c r="AZ750" s="96" t="str">
        <f t="shared" si="111"/>
        <v/>
      </c>
      <c r="BA750" s="99" t="str">
        <f t="shared" ca="1" si="117"/>
        <v/>
      </c>
      <c r="BB750" s="97" t="str">
        <f t="shared" si="112"/>
        <v/>
      </c>
      <c r="BC750" s="101" t="str">
        <f t="shared" ca="1" si="118"/>
        <v/>
      </c>
      <c r="BD750" s="100" t="str">
        <f t="shared" si="113"/>
        <v/>
      </c>
      <c r="BE750" s="103" t="str">
        <f t="shared" ca="1" si="119"/>
        <v/>
      </c>
      <c r="BF750" s="102" t="str">
        <f t="shared" si="114"/>
        <v/>
      </c>
    </row>
    <row r="751" spans="48:58" hidden="1" x14ac:dyDescent="0.25">
      <c r="AV751">
        <v>726</v>
      </c>
      <c r="AW751" s="94" t="str">
        <f t="shared" ca="1" si="115"/>
        <v/>
      </c>
      <c r="AX751" s="95" t="str">
        <f t="shared" si="110"/>
        <v/>
      </c>
      <c r="AY751" s="98" t="str">
        <f t="shared" ca="1" si="116"/>
        <v/>
      </c>
      <c r="AZ751" s="96" t="str">
        <f t="shared" si="111"/>
        <v/>
      </c>
      <c r="BA751" s="99" t="str">
        <f t="shared" ca="1" si="117"/>
        <v/>
      </c>
      <c r="BB751" s="97" t="str">
        <f t="shared" si="112"/>
        <v/>
      </c>
      <c r="BC751" s="101" t="str">
        <f t="shared" ca="1" si="118"/>
        <v/>
      </c>
      <c r="BD751" s="100" t="str">
        <f t="shared" si="113"/>
        <v/>
      </c>
      <c r="BE751" s="103" t="str">
        <f t="shared" ca="1" si="119"/>
        <v/>
      </c>
      <c r="BF751" s="102" t="str">
        <f t="shared" si="114"/>
        <v/>
      </c>
    </row>
    <row r="752" spans="48:58" hidden="1" x14ac:dyDescent="0.25">
      <c r="AV752">
        <v>727</v>
      </c>
      <c r="AW752" s="94" t="str">
        <f t="shared" ca="1" si="115"/>
        <v/>
      </c>
      <c r="AX752" s="95" t="str">
        <f t="shared" si="110"/>
        <v/>
      </c>
      <c r="AY752" s="98" t="str">
        <f t="shared" ca="1" si="116"/>
        <v/>
      </c>
      <c r="AZ752" s="96" t="str">
        <f t="shared" si="111"/>
        <v/>
      </c>
      <c r="BA752" s="99" t="str">
        <f t="shared" ca="1" si="117"/>
        <v/>
      </c>
      <c r="BB752" s="97" t="str">
        <f t="shared" si="112"/>
        <v/>
      </c>
      <c r="BC752" s="101" t="str">
        <f t="shared" ca="1" si="118"/>
        <v/>
      </c>
      <c r="BD752" s="100" t="str">
        <f t="shared" si="113"/>
        <v/>
      </c>
      <c r="BE752" s="103" t="str">
        <f t="shared" ca="1" si="119"/>
        <v/>
      </c>
      <c r="BF752" s="102" t="str">
        <f t="shared" si="114"/>
        <v/>
      </c>
    </row>
    <row r="753" spans="48:58" hidden="1" x14ac:dyDescent="0.25">
      <c r="AV753">
        <v>728</v>
      </c>
      <c r="AW753" s="94" t="str">
        <f t="shared" ca="1" si="115"/>
        <v/>
      </c>
      <c r="AX753" s="95" t="str">
        <f t="shared" si="110"/>
        <v/>
      </c>
      <c r="AY753" s="98" t="str">
        <f t="shared" ca="1" si="116"/>
        <v/>
      </c>
      <c r="AZ753" s="96" t="str">
        <f t="shared" si="111"/>
        <v/>
      </c>
      <c r="BA753" s="99" t="str">
        <f t="shared" ca="1" si="117"/>
        <v/>
      </c>
      <c r="BB753" s="97" t="str">
        <f t="shared" si="112"/>
        <v/>
      </c>
      <c r="BC753" s="101" t="str">
        <f t="shared" ca="1" si="118"/>
        <v/>
      </c>
      <c r="BD753" s="100" t="str">
        <f t="shared" si="113"/>
        <v/>
      </c>
      <c r="BE753" s="103" t="str">
        <f t="shared" ca="1" si="119"/>
        <v/>
      </c>
      <c r="BF753" s="102" t="str">
        <f t="shared" si="114"/>
        <v/>
      </c>
    </row>
    <row r="754" spans="48:58" hidden="1" x14ac:dyDescent="0.25">
      <c r="AV754">
        <v>729</v>
      </c>
      <c r="AW754" s="94" t="str">
        <f t="shared" ca="1" si="115"/>
        <v/>
      </c>
      <c r="AX754" s="95" t="str">
        <f t="shared" si="110"/>
        <v/>
      </c>
      <c r="AY754" s="98" t="str">
        <f t="shared" ca="1" si="116"/>
        <v/>
      </c>
      <c r="AZ754" s="96" t="str">
        <f t="shared" si="111"/>
        <v/>
      </c>
      <c r="BA754" s="99" t="str">
        <f t="shared" ca="1" si="117"/>
        <v/>
      </c>
      <c r="BB754" s="97" t="str">
        <f t="shared" si="112"/>
        <v/>
      </c>
      <c r="BC754" s="101" t="str">
        <f t="shared" ca="1" si="118"/>
        <v/>
      </c>
      <c r="BD754" s="100" t="str">
        <f t="shared" si="113"/>
        <v/>
      </c>
      <c r="BE754" s="103" t="str">
        <f t="shared" ca="1" si="119"/>
        <v/>
      </c>
      <c r="BF754" s="102" t="str">
        <f t="shared" si="114"/>
        <v/>
      </c>
    </row>
    <row r="755" spans="48:58" hidden="1" x14ac:dyDescent="0.25">
      <c r="AV755">
        <v>730</v>
      </c>
      <c r="AW755" s="94" t="str">
        <f t="shared" ca="1" si="115"/>
        <v/>
      </c>
      <c r="AX755" s="95" t="str">
        <f t="shared" si="110"/>
        <v/>
      </c>
      <c r="AY755" s="98" t="str">
        <f t="shared" ca="1" si="116"/>
        <v/>
      </c>
      <c r="AZ755" s="96" t="str">
        <f t="shared" si="111"/>
        <v/>
      </c>
      <c r="BA755" s="99" t="str">
        <f t="shared" ca="1" si="117"/>
        <v/>
      </c>
      <c r="BB755" s="97" t="str">
        <f t="shared" si="112"/>
        <v/>
      </c>
      <c r="BC755" s="101" t="str">
        <f t="shared" ca="1" si="118"/>
        <v/>
      </c>
      <c r="BD755" s="100" t="str">
        <f t="shared" si="113"/>
        <v/>
      </c>
      <c r="BE755" s="103" t="str">
        <f t="shared" ca="1" si="119"/>
        <v/>
      </c>
      <c r="BF755" s="102" t="str">
        <f t="shared" si="114"/>
        <v/>
      </c>
    </row>
    <row r="756" spans="48:58" hidden="1" x14ac:dyDescent="0.25">
      <c r="AV756">
        <v>731</v>
      </c>
      <c r="AW756" s="94" t="str">
        <f t="shared" ca="1" si="115"/>
        <v/>
      </c>
      <c r="AX756" s="95" t="str">
        <f t="shared" si="110"/>
        <v/>
      </c>
      <c r="AY756" s="98" t="str">
        <f t="shared" ca="1" si="116"/>
        <v/>
      </c>
      <c r="AZ756" s="96" t="str">
        <f t="shared" si="111"/>
        <v/>
      </c>
      <c r="BA756" s="99" t="str">
        <f t="shared" ca="1" si="117"/>
        <v/>
      </c>
      <c r="BB756" s="97" t="str">
        <f t="shared" si="112"/>
        <v/>
      </c>
      <c r="BC756" s="101" t="str">
        <f t="shared" ca="1" si="118"/>
        <v/>
      </c>
      <c r="BD756" s="100" t="str">
        <f t="shared" si="113"/>
        <v/>
      </c>
      <c r="BE756" s="103" t="str">
        <f t="shared" ca="1" si="119"/>
        <v/>
      </c>
      <c r="BF756" s="102" t="str">
        <f t="shared" si="114"/>
        <v/>
      </c>
    </row>
    <row r="757" spans="48:58" hidden="1" x14ac:dyDescent="0.25">
      <c r="AV757">
        <v>732</v>
      </c>
      <c r="AW757" s="94" t="str">
        <f t="shared" ca="1" si="115"/>
        <v/>
      </c>
      <c r="AX757" s="95" t="str">
        <f t="shared" si="110"/>
        <v/>
      </c>
      <c r="AY757" s="98" t="str">
        <f t="shared" ca="1" si="116"/>
        <v/>
      </c>
      <c r="AZ757" s="96" t="str">
        <f t="shared" si="111"/>
        <v/>
      </c>
      <c r="BA757" s="99" t="str">
        <f t="shared" ca="1" si="117"/>
        <v/>
      </c>
      <c r="BB757" s="97" t="str">
        <f t="shared" si="112"/>
        <v/>
      </c>
      <c r="BC757" s="101" t="str">
        <f t="shared" ca="1" si="118"/>
        <v/>
      </c>
      <c r="BD757" s="100" t="str">
        <f t="shared" si="113"/>
        <v/>
      </c>
      <c r="BE757" s="103" t="str">
        <f t="shared" ca="1" si="119"/>
        <v/>
      </c>
      <c r="BF757" s="102" t="str">
        <f t="shared" si="114"/>
        <v/>
      </c>
    </row>
    <row r="758" spans="48:58" hidden="1" x14ac:dyDescent="0.25">
      <c r="AV758">
        <v>733</v>
      </c>
      <c r="AW758" s="94" t="str">
        <f t="shared" ca="1" si="115"/>
        <v/>
      </c>
      <c r="AX758" s="95" t="str">
        <f t="shared" si="110"/>
        <v/>
      </c>
      <c r="AY758" s="98" t="str">
        <f t="shared" ca="1" si="116"/>
        <v/>
      </c>
      <c r="AZ758" s="96" t="str">
        <f t="shared" si="111"/>
        <v/>
      </c>
      <c r="BA758" s="99" t="str">
        <f t="shared" ca="1" si="117"/>
        <v/>
      </c>
      <c r="BB758" s="97" t="str">
        <f t="shared" si="112"/>
        <v/>
      </c>
      <c r="BC758" s="101" t="str">
        <f t="shared" ca="1" si="118"/>
        <v/>
      </c>
      <c r="BD758" s="100" t="str">
        <f t="shared" si="113"/>
        <v/>
      </c>
      <c r="BE758" s="103" t="str">
        <f t="shared" ca="1" si="119"/>
        <v/>
      </c>
      <c r="BF758" s="102" t="str">
        <f t="shared" si="114"/>
        <v/>
      </c>
    </row>
    <row r="759" spans="48:58" hidden="1" x14ac:dyDescent="0.25">
      <c r="AV759">
        <v>734</v>
      </c>
      <c r="AW759" s="94" t="str">
        <f t="shared" ca="1" si="115"/>
        <v/>
      </c>
      <c r="AX759" s="95" t="str">
        <f t="shared" si="110"/>
        <v/>
      </c>
      <c r="AY759" s="98" t="str">
        <f t="shared" ca="1" si="116"/>
        <v/>
      </c>
      <c r="AZ759" s="96" t="str">
        <f t="shared" si="111"/>
        <v/>
      </c>
      <c r="BA759" s="99" t="str">
        <f t="shared" ca="1" si="117"/>
        <v/>
      </c>
      <c r="BB759" s="97" t="str">
        <f t="shared" si="112"/>
        <v/>
      </c>
      <c r="BC759" s="101" t="str">
        <f t="shared" ca="1" si="118"/>
        <v/>
      </c>
      <c r="BD759" s="100" t="str">
        <f t="shared" si="113"/>
        <v/>
      </c>
      <c r="BE759" s="103" t="str">
        <f t="shared" ca="1" si="119"/>
        <v/>
      </c>
      <c r="BF759" s="102" t="str">
        <f t="shared" si="114"/>
        <v/>
      </c>
    </row>
    <row r="760" spans="48:58" hidden="1" x14ac:dyDescent="0.25">
      <c r="AV760">
        <v>735</v>
      </c>
      <c r="AW760" s="94" t="str">
        <f t="shared" ca="1" si="115"/>
        <v/>
      </c>
      <c r="AX760" s="95" t="str">
        <f t="shared" si="110"/>
        <v/>
      </c>
      <c r="AY760" s="98" t="str">
        <f t="shared" ca="1" si="116"/>
        <v/>
      </c>
      <c r="AZ760" s="96" t="str">
        <f t="shared" si="111"/>
        <v/>
      </c>
      <c r="BA760" s="99" t="str">
        <f t="shared" ca="1" si="117"/>
        <v/>
      </c>
      <c r="BB760" s="97" t="str">
        <f t="shared" si="112"/>
        <v/>
      </c>
      <c r="BC760" s="101" t="str">
        <f t="shared" ca="1" si="118"/>
        <v/>
      </c>
      <c r="BD760" s="100" t="str">
        <f t="shared" si="113"/>
        <v/>
      </c>
      <c r="BE760" s="103" t="str">
        <f t="shared" ca="1" si="119"/>
        <v/>
      </c>
      <c r="BF760" s="102" t="str">
        <f t="shared" si="114"/>
        <v/>
      </c>
    </row>
    <row r="761" spans="48:58" hidden="1" x14ac:dyDescent="0.25">
      <c r="AV761">
        <v>736</v>
      </c>
      <c r="AW761" s="94" t="str">
        <f t="shared" ca="1" si="115"/>
        <v/>
      </c>
      <c r="AX761" s="95" t="str">
        <f t="shared" si="110"/>
        <v/>
      </c>
      <c r="AY761" s="98" t="str">
        <f t="shared" ca="1" si="116"/>
        <v/>
      </c>
      <c r="AZ761" s="96" t="str">
        <f t="shared" si="111"/>
        <v/>
      </c>
      <c r="BA761" s="99" t="str">
        <f t="shared" ca="1" si="117"/>
        <v/>
      </c>
      <c r="BB761" s="97" t="str">
        <f t="shared" si="112"/>
        <v/>
      </c>
      <c r="BC761" s="101" t="str">
        <f t="shared" ca="1" si="118"/>
        <v/>
      </c>
      <c r="BD761" s="100" t="str">
        <f t="shared" si="113"/>
        <v/>
      </c>
      <c r="BE761" s="103" t="str">
        <f t="shared" ca="1" si="119"/>
        <v/>
      </c>
      <c r="BF761" s="102" t="str">
        <f t="shared" si="114"/>
        <v/>
      </c>
    </row>
    <row r="762" spans="48:58" hidden="1" x14ac:dyDescent="0.25">
      <c r="AV762">
        <v>737</v>
      </c>
      <c r="AW762" s="94" t="str">
        <f t="shared" ca="1" si="115"/>
        <v/>
      </c>
      <c r="AX762" s="95" t="str">
        <f t="shared" si="110"/>
        <v/>
      </c>
      <c r="AY762" s="98" t="str">
        <f t="shared" ca="1" si="116"/>
        <v/>
      </c>
      <c r="AZ762" s="96" t="str">
        <f t="shared" si="111"/>
        <v/>
      </c>
      <c r="BA762" s="99" t="str">
        <f t="shared" ca="1" si="117"/>
        <v/>
      </c>
      <c r="BB762" s="97" t="str">
        <f t="shared" si="112"/>
        <v/>
      </c>
      <c r="BC762" s="101" t="str">
        <f t="shared" ca="1" si="118"/>
        <v/>
      </c>
      <c r="BD762" s="100" t="str">
        <f t="shared" si="113"/>
        <v/>
      </c>
      <c r="BE762" s="103" t="str">
        <f t="shared" ca="1" si="119"/>
        <v/>
      </c>
      <c r="BF762" s="102" t="str">
        <f t="shared" si="114"/>
        <v/>
      </c>
    </row>
    <row r="763" spans="48:58" hidden="1" x14ac:dyDescent="0.25">
      <c r="AV763">
        <v>738</v>
      </c>
      <c r="AW763" s="94" t="str">
        <f t="shared" ca="1" si="115"/>
        <v/>
      </c>
      <c r="AX763" s="95" t="str">
        <f t="shared" si="110"/>
        <v/>
      </c>
      <c r="AY763" s="98" t="str">
        <f t="shared" ca="1" si="116"/>
        <v/>
      </c>
      <c r="AZ763" s="96" t="str">
        <f t="shared" si="111"/>
        <v/>
      </c>
      <c r="BA763" s="99" t="str">
        <f t="shared" ca="1" si="117"/>
        <v/>
      </c>
      <c r="BB763" s="97" t="str">
        <f t="shared" si="112"/>
        <v/>
      </c>
      <c r="BC763" s="101" t="str">
        <f t="shared" ca="1" si="118"/>
        <v/>
      </c>
      <c r="BD763" s="100" t="str">
        <f t="shared" si="113"/>
        <v/>
      </c>
      <c r="BE763" s="103" t="str">
        <f t="shared" ca="1" si="119"/>
        <v/>
      </c>
      <c r="BF763" s="102" t="str">
        <f t="shared" si="114"/>
        <v/>
      </c>
    </row>
    <row r="764" spans="48:58" hidden="1" x14ac:dyDescent="0.25">
      <c r="AV764">
        <v>739</v>
      </c>
      <c r="AW764" s="94" t="str">
        <f t="shared" ca="1" si="115"/>
        <v/>
      </c>
      <c r="AX764" s="95" t="str">
        <f t="shared" si="110"/>
        <v/>
      </c>
      <c r="AY764" s="98" t="str">
        <f t="shared" ca="1" si="116"/>
        <v/>
      </c>
      <c r="AZ764" s="96" t="str">
        <f t="shared" si="111"/>
        <v/>
      </c>
      <c r="BA764" s="99" t="str">
        <f t="shared" ca="1" si="117"/>
        <v/>
      </c>
      <c r="BB764" s="97" t="str">
        <f t="shared" si="112"/>
        <v/>
      </c>
      <c r="BC764" s="101" t="str">
        <f t="shared" ca="1" si="118"/>
        <v/>
      </c>
      <c r="BD764" s="100" t="str">
        <f t="shared" si="113"/>
        <v/>
      </c>
      <c r="BE764" s="103" t="str">
        <f t="shared" ca="1" si="119"/>
        <v/>
      </c>
      <c r="BF764" s="102" t="str">
        <f t="shared" si="114"/>
        <v/>
      </c>
    </row>
    <row r="765" spans="48:58" hidden="1" x14ac:dyDescent="0.25">
      <c r="AV765">
        <v>740</v>
      </c>
      <c r="AW765" s="94" t="str">
        <f t="shared" ca="1" si="115"/>
        <v/>
      </c>
      <c r="AX765" s="95" t="str">
        <f t="shared" si="110"/>
        <v/>
      </c>
      <c r="AY765" s="98" t="str">
        <f t="shared" ca="1" si="116"/>
        <v/>
      </c>
      <c r="AZ765" s="96" t="str">
        <f t="shared" si="111"/>
        <v/>
      </c>
      <c r="BA765" s="99" t="str">
        <f t="shared" ca="1" si="117"/>
        <v/>
      </c>
      <c r="BB765" s="97" t="str">
        <f t="shared" si="112"/>
        <v/>
      </c>
      <c r="BC765" s="101" t="str">
        <f t="shared" ca="1" si="118"/>
        <v/>
      </c>
      <c r="BD765" s="100" t="str">
        <f t="shared" si="113"/>
        <v/>
      </c>
      <c r="BE765" s="103" t="str">
        <f t="shared" ca="1" si="119"/>
        <v/>
      </c>
      <c r="BF765" s="102" t="str">
        <f t="shared" si="114"/>
        <v/>
      </c>
    </row>
    <row r="766" spans="48:58" hidden="1" x14ac:dyDescent="0.25">
      <c r="AV766">
        <v>741</v>
      </c>
      <c r="AW766" s="94" t="str">
        <f t="shared" ca="1" si="115"/>
        <v/>
      </c>
      <c r="AX766" s="95" t="str">
        <f t="shared" si="110"/>
        <v/>
      </c>
      <c r="AY766" s="98" t="str">
        <f t="shared" ca="1" si="116"/>
        <v/>
      </c>
      <c r="AZ766" s="96" t="str">
        <f t="shared" si="111"/>
        <v/>
      </c>
      <c r="BA766" s="99" t="str">
        <f t="shared" ca="1" si="117"/>
        <v/>
      </c>
      <c r="BB766" s="97" t="str">
        <f t="shared" si="112"/>
        <v/>
      </c>
      <c r="BC766" s="101" t="str">
        <f t="shared" ca="1" si="118"/>
        <v/>
      </c>
      <c r="BD766" s="100" t="str">
        <f t="shared" si="113"/>
        <v/>
      </c>
      <c r="BE766" s="103" t="str">
        <f t="shared" ca="1" si="119"/>
        <v/>
      </c>
      <c r="BF766" s="102" t="str">
        <f t="shared" si="114"/>
        <v/>
      </c>
    </row>
    <row r="767" spans="48:58" hidden="1" x14ac:dyDescent="0.25">
      <c r="AV767">
        <v>742</v>
      </c>
      <c r="AW767" s="94" t="str">
        <f t="shared" ca="1" si="115"/>
        <v/>
      </c>
      <c r="AX767" s="95" t="str">
        <f t="shared" si="110"/>
        <v/>
      </c>
      <c r="AY767" s="98" t="str">
        <f t="shared" ca="1" si="116"/>
        <v/>
      </c>
      <c r="AZ767" s="96" t="str">
        <f t="shared" si="111"/>
        <v/>
      </c>
      <c r="BA767" s="99" t="str">
        <f t="shared" ca="1" si="117"/>
        <v/>
      </c>
      <c r="BB767" s="97" t="str">
        <f t="shared" si="112"/>
        <v/>
      </c>
      <c r="BC767" s="101" t="str">
        <f t="shared" ca="1" si="118"/>
        <v/>
      </c>
      <c r="BD767" s="100" t="str">
        <f t="shared" si="113"/>
        <v/>
      </c>
      <c r="BE767" s="103" t="str">
        <f t="shared" ca="1" si="119"/>
        <v/>
      </c>
      <c r="BF767" s="102" t="str">
        <f t="shared" si="114"/>
        <v/>
      </c>
    </row>
    <row r="768" spans="48:58" hidden="1" x14ac:dyDescent="0.25">
      <c r="AV768">
        <v>743</v>
      </c>
      <c r="AW768" s="94" t="str">
        <f t="shared" ca="1" si="115"/>
        <v/>
      </c>
      <c r="AX768" s="95" t="str">
        <f t="shared" si="110"/>
        <v/>
      </c>
      <c r="AY768" s="98" t="str">
        <f t="shared" ca="1" si="116"/>
        <v/>
      </c>
      <c r="AZ768" s="96" t="str">
        <f t="shared" si="111"/>
        <v/>
      </c>
      <c r="BA768" s="99" t="str">
        <f t="shared" ca="1" si="117"/>
        <v/>
      </c>
      <c r="BB768" s="97" t="str">
        <f t="shared" si="112"/>
        <v/>
      </c>
      <c r="BC768" s="101" t="str">
        <f t="shared" ca="1" si="118"/>
        <v/>
      </c>
      <c r="BD768" s="100" t="str">
        <f t="shared" si="113"/>
        <v/>
      </c>
      <c r="BE768" s="103" t="str">
        <f t="shared" ca="1" si="119"/>
        <v/>
      </c>
      <c r="BF768" s="102" t="str">
        <f t="shared" si="114"/>
        <v/>
      </c>
    </row>
    <row r="769" spans="48:58" hidden="1" x14ac:dyDescent="0.25">
      <c r="AV769">
        <v>744</v>
      </c>
      <c r="AW769" s="94" t="str">
        <f t="shared" ca="1" si="115"/>
        <v/>
      </c>
      <c r="AX769" s="95" t="str">
        <f t="shared" si="110"/>
        <v/>
      </c>
      <c r="AY769" s="98" t="str">
        <f t="shared" ca="1" si="116"/>
        <v/>
      </c>
      <c r="AZ769" s="96" t="str">
        <f t="shared" si="111"/>
        <v/>
      </c>
      <c r="BA769" s="99" t="str">
        <f t="shared" ca="1" si="117"/>
        <v/>
      </c>
      <c r="BB769" s="97" t="str">
        <f t="shared" si="112"/>
        <v/>
      </c>
      <c r="BC769" s="101" t="str">
        <f t="shared" ca="1" si="118"/>
        <v/>
      </c>
      <c r="BD769" s="100" t="str">
        <f t="shared" si="113"/>
        <v/>
      </c>
      <c r="BE769" s="103" t="str">
        <f t="shared" ca="1" si="119"/>
        <v/>
      </c>
      <c r="BF769" s="102" t="str">
        <f t="shared" si="114"/>
        <v/>
      </c>
    </row>
    <row r="770" spans="48:58" hidden="1" x14ac:dyDescent="0.25">
      <c r="AV770">
        <v>745</v>
      </c>
      <c r="AW770" s="94" t="str">
        <f t="shared" ca="1" si="115"/>
        <v/>
      </c>
      <c r="AX770" s="95" t="str">
        <f t="shared" si="110"/>
        <v/>
      </c>
      <c r="AY770" s="98" t="str">
        <f t="shared" ca="1" si="116"/>
        <v/>
      </c>
      <c r="AZ770" s="96" t="str">
        <f t="shared" si="111"/>
        <v/>
      </c>
      <c r="BA770" s="99" t="str">
        <f t="shared" ca="1" si="117"/>
        <v/>
      </c>
      <c r="BB770" s="97" t="str">
        <f t="shared" si="112"/>
        <v/>
      </c>
      <c r="BC770" s="101" t="str">
        <f t="shared" ca="1" si="118"/>
        <v/>
      </c>
      <c r="BD770" s="100" t="str">
        <f t="shared" si="113"/>
        <v/>
      </c>
      <c r="BE770" s="103" t="str">
        <f t="shared" ca="1" si="119"/>
        <v/>
      </c>
      <c r="BF770" s="102" t="str">
        <f t="shared" si="114"/>
        <v/>
      </c>
    </row>
    <row r="771" spans="48:58" hidden="1" x14ac:dyDescent="0.25">
      <c r="AV771">
        <v>746</v>
      </c>
      <c r="AW771" s="94" t="str">
        <f t="shared" ca="1" si="115"/>
        <v/>
      </c>
      <c r="AX771" s="95" t="str">
        <f t="shared" si="110"/>
        <v/>
      </c>
      <c r="AY771" s="98" t="str">
        <f t="shared" ca="1" si="116"/>
        <v/>
      </c>
      <c r="AZ771" s="96" t="str">
        <f t="shared" si="111"/>
        <v/>
      </c>
      <c r="BA771" s="99" t="str">
        <f t="shared" ca="1" si="117"/>
        <v/>
      </c>
      <c r="BB771" s="97" t="str">
        <f t="shared" si="112"/>
        <v/>
      </c>
      <c r="BC771" s="101" t="str">
        <f t="shared" ca="1" si="118"/>
        <v/>
      </c>
      <c r="BD771" s="100" t="str">
        <f t="shared" si="113"/>
        <v/>
      </c>
      <c r="BE771" s="103" t="str">
        <f t="shared" ca="1" si="119"/>
        <v/>
      </c>
      <c r="BF771" s="102" t="str">
        <f t="shared" si="114"/>
        <v/>
      </c>
    </row>
    <row r="772" spans="48:58" hidden="1" x14ac:dyDescent="0.25">
      <c r="AV772">
        <v>747</v>
      </c>
      <c r="AW772" s="94" t="str">
        <f t="shared" ca="1" si="115"/>
        <v/>
      </c>
      <c r="AX772" s="95" t="str">
        <f t="shared" si="110"/>
        <v/>
      </c>
      <c r="AY772" s="98" t="str">
        <f t="shared" ca="1" si="116"/>
        <v/>
      </c>
      <c r="AZ772" s="96" t="str">
        <f t="shared" si="111"/>
        <v/>
      </c>
      <c r="BA772" s="99" t="str">
        <f t="shared" ca="1" si="117"/>
        <v/>
      </c>
      <c r="BB772" s="97" t="str">
        <f t="shared" si="112"/>
        <v/>
      </c>
      <c r="BC772" s="101" t="str">
        <f t="shared" ca="1" si="118"/>
        <v/>
      </c>
      <c r="BD772" s="100" t="str">
        <f t="shared" si="113"/>
        <v/>
      </c>
      <c r="BE772" s="103" t="str">
        <f t="shared" ca="1" si="119"/>
        <v/>
      </c>
      <c r="BF772" s="102" t="str">
        <f t="shared" si="114"/>
        <v/>
      </c>
    </row>
    <row r="773" spans="48:58" hidden="1" x14ac:dyDescent="0.25">
      <c r="AV773">
        <v>748</v>
      </c>
      <c r="AW773" s="94" t="str">
        <f t="shared" ca="1" si="115"/>
        <v/>
      </c>
      <c r="AX773" s="95" t="str">
        <f t="shared" si="110"/>
        <v/>
      </c>
      <c r="AY773" s="98" t="str">
        <f t="shared" ca="1" si="116"/>
        <v/>
      </c>
      <c r="AZ773" s="96" t="str">
        <f t="shared" si="111"/>
        <v/>
      </c>
      <c r="BA773" s="99" t="str">
        <f t="shared" ca="1" si="117"/>
        <v/>
      </c>
      <c r="BB773" s="97" t="str">
        <f t="shared" si="112"/>
        <v/>
      </c>
      <c r="BC773" s="101" t="str">
        <f t="shared" ca="1" si="118"/>
        <v/>
      </c>
      <c r="BD773" s="100" t="str">
        <f t="shared" si="113"/>
        <v/>
      </c>
      <c r="BE773" s="103" t="str">
        <f t="shared" ca="1" si="119"/>
        <v/>
      </c>
      <c r="BF773" s="102" t="str">
        <f t="shared" si="114"/>
        <v/>
      </c>
    </row>
    <row r="774" spans="48:58" hidden="1" x14ac:dyDescent="0.25">
      <c r="AV774">
        <v>749</v>
      </c>
      <c r="AW774" s="94" t="str">
        <f t="shared" ca="1" si="115"/>
        <v/>
      </c>
      <c r="AX774" s="95" t="str">
        <f t="shared" si="110"/>
        <v/>
      </c>
      <c r="AY774" s="98" t="str">
        <f t="shared" ca="1" si="116"/>
        <v/>
      </c>
      <c r="AZ774" s="96" t="str">
        <f t="shared" si="111"/>
        <v/>
      </c>
      <c r="BA774" s="99" t="str">
        <f t="shared" ca="1" si="117"/>
        <v/>
      </c>
      <c r="BB774" s="97" t="str">
        <f t="shared" si="112"/>
        <v/>
      </c>
      <c r="BC774" s="101" t="str">
        <f t="shared" ca="1" si="118"/>
        <v/>
      </c>
      <c r="BD774" s="100" t="str">
        <f t="shared" si="113"/>
        <v/>
      </c>
      <c r="BE774" s="103" t="str">
        <f t="shared" ca="1" si="119"/>
        <v/>
      </c>
      <c r="BF774" s="102" t="str">
        <f t="shared" si="114"/>
        <v/>
      </c>
    </row>
    <row r="775" spans="48:58" hidden="1" x14ac:dyDescent="0.25">
      <c r="AV775">
        <v>750</v>
      </c>
      <c r="AW775" s="94" t="str">
        <f t="shared" ca="1" si="115"/>
        <v/>
      </c>
      <c r="AX775" s="95" t="str">
        <f t="shared" si="110"/>
        <v/>
      </c>
      <c r="AY775" s="98" t="str">
        <f t="shared" ca="1" si="116"/>
        <v/>
      </c>
      <c r="AZ775" s="96" t="str">
        <f t="shared" si="111"/>
        <v/>
      </c>
      <c r="BA775" s="99" t="str">
        <f t="shared" ca="1" si="117"/>
        <v/>
      </c>
      <c r="BB775" s="97" t="str">
        <f t="shared" si="112"/>
        <v/>
      </c>
      <c r="BC775" s="101" t="str">
        <f t="shared" ca="1" si="118"/>
        <v/>
      </c>
      <c r="BD775" s="100" t="str">
        <f t="shared" si="113"/>
        <v/>
      </c>
      <c r="BE775" s="103" t="str">
        <f t="shared" ca="1" si="119"/>
        <v/>
      </c>
      <c r="BF775" s="102" t="str">
        <f t="shared" si="114"/>
        <v/>
      </c>
    </row>
    <row r="776" spans="48:58" hidden="1" x14ac:dyDescent="0.25">
      <c r="AV776">
        <v>751</v>
      </c>
      <c r="AW776" s="94" t="str">
        <f t="shared" ca="1" si="115"/>
        <v/>
      </c>
      <c r="AX776" s="95" t="str">
        <f t="shared" si="110"/>
        <v/>
      </c>
      <c r="AY776" s="98" t="str">
        <f t="shared" ca="1" si="116"/>
        <v/>
      </c>
      <c r="AZ776" s="96" t="str">
        <f t="shared" si="111"/>
        <v/>
      </c>
      <c r="BA776" s="99" t="str">
        <f t="shared" ca="1" si="117"/>
        <v/>
      </c>
      <c r="BB776" s="97" t="str">
        <f t="shared" si="112"/>
        <v/>
      </c>
      <c r="BC776" s="101" t="str">
        <f t="shared" ca="1" si="118"/>
        <v/>
      </c>
      <c r="BD776" s="100" t="str">
        <f t="shared" si="113"/>
        <v/>
      </c>
      <c r="BE776" s="103" t="str">
        <f t="shared" ca="1" si="119"/>
        <v/>
      </c>
      <c r="BF776" s="102" t="str">
        <f t="shared" si="114"/>
        <v/>
      </c>
    </row>
    <row r="777" spans="48:58" hidden="1" x14ac:dyDescent="0.25">
      <c r="AV777">
        <v>752</v>
      </c>
      <c r="AW777" s="94" t="str">
        <f t="shared" ca="1" si="115"/>
        <v/>
      </c>
      <c r="AX777" s="95" t="str">
        <f t="shared" si="110"/>
        <v/>
      </c>
      <c r="AY777" s="98" t="str">
        <f t="shared" ca="1" si="116"/>
        <v/>
      </c>
      <c r="AZ777" s="96" t="str">
        <f t="shared" si="111"/>
        <v/>
      </c>
      <c r="BA777" s="99" t="str">
        <f t="shared" ca="1" si="117"/>
        <v/>
      </c>
      <c r="BB777" s="97" t="str">
        <f t="shared" si="112"/>
        <v/>
      </c>
      <c r="BC777" s="101" t="str">
        <f t="shared" ca="1" si="118"/>
        <v/>
      </c>
      <c r="BD777" s="100" t="str">
        <f t="shared" si="113"/>
        <v/>
      </c>
      <c r="BE777" s="103" t="str">
        <f t="shared" ca="1" si="119"/>
        <v/>
      </c>
      <c r="BF777" s="102" t="str">
        <f t="shared" si="114"/>
        <v/>
      </c>
    </row>
    <row r="778" spans="48:58" hidden="1" x14ac:dyDescent="0.25">
      <c r="AV778">
        <v>753</v>
      </c>
      <c r="AW778" s="94" t="str">
        <f t="shared" ca="1" si="115"/>
        <v/>
      </c>
      <c r="AX778" s="95" t="str">
        <f t="shared" si="110"/>
        <v/>
      </c>
      <c r="AY778" s="98" t="str">
        <f t="shared" ca="1" si="116"/>
        <v/>
      </c>
      <c r="AZ778" s="96" t="str">
        <f t="shared" si="111"/>
        <v/>
      </c>
      <c r="BA778" s="99" t="str">
        <f t="shared" ca="1" si="117"/>
        <v/>
      </c>
      <c r="BB778" s="97" t="str">
        <f t="shared" si="112"/>
        <v/>
      </c>
      <c r="BC778" s="101" t="str">
        <f t="shared" ca="1" si="118"/>
        <v/>
      </c>
      <c r="BD778" s="100" t="str">
        <f t="shared" si="113"/>
        <v/>
      </c>
      <c r="BE778" s="103" t="str">
        <f t="shared" ca="1" si="119"/>
        <v/>
      </c>
      <c r="BF778" s="102" t="str">
        <f t="shared" si="114"/>
        <v/>
      </c>
    </row>
    <row r="779" spans="48:58" hidden="1" x14ac:dyDescent="0.25">
      <c r="AV779">
        <v>754</v>
      </c>
      <c r="AW779" s="94" t="str">
        <f t="shared" ca="1" si="115"/>
        <v/>
      </c>
      <c r="AX779" s="95" t="str">
        <f t="shared" si="110"/>
        <v/>
      </c>
      <c r="AY779" s="98" t="str">
        <f t="shared" ca="1" si="116"/>
        <v/>
      </c>
      <c r="AZ779" s="96" t="str">
        <f t="shared" si="111"/>
        <v/>
      </c>
      <c r="BA779" s="99" t="str">
        <f t="shared" ca="1" si="117"/>
        <v/>
      </c>
      <c r="BB779" s="97" t="str">
        <f t="shared" si="112"/>
        <v/>
      </c>
      <c r="BC779" s="101" t="str">
        <f t="shared" ca="1" si="118"/>
        <v/>
      </c>
      <c r="BD779" s="100" t="str">
        <f t="shared" si="113"/>
        <v/>
      </c>
      <c r="BE779" s="103" t="str">
        <f t="shared" ca="1" si="119"/>
        <v/>
      </c>
      <c r="BF779" s="102" t="str">
        <f t="shared" si="114"/>
        <v/>
      </c>
    </row>
    <row r="780" spans="48:58" hidden="1" x14ac:dyDescent="0.25">
      <c r="AV780">
        <v>755</v>
      </c>
      <c r="AW780" s="94" t="str">
        <f t="shared" ca="1" si="115"/>
        <v/>
      </c>
      <c r="AX780" s="95" t="str">
        <f t="shared" si="110"/>
        <v/>
      </c>
      <c r="AY780" s="98" t="str">
        <f t="shared" ca="1" si="116"/>
        <v/>
      </c>
      <c r="AZ780" s="96" t="str">
        <f t="shared" si="111"/>
        <v/>
      </c>
      <c r="BA780" s="99" t="str">
        <f t="shared" ca="1" si="117"/>
        <v/>
      </c>
      <c r="BB780" s="97" t="str">
        <f t="shared" si="112"/>
        <v/>
      </c>
      <c r="BC780" s="101" t="str">
        <f t="shared" ca="1" si="118"/>
        <v/>
      </c>
      <c r="BD780" s="100" t="str">
        <f t="shared" si="113"/>
        <v/>
      </c>
      <c r="BE780" s="103" t="str">
        <f t="shared" ca="1" si="119"/>
        <v/>
      </c>
      <c r="BF780" s="102" t="str">
        <f t="shared" si="114"/>
        <v/>
      </c>
    </row>
    <row r="781" spans="48:58" hidden="1" x14ac:dyDescent="0.25">
      <c r="AV781">
        <v>756</v>
      </c>
      <c r="AW781" s="94" t="str">
        <f t="shared" ca="1" si="115"/>
        <v/>
      </c>
      <c r="AX781" s="95" t="str">
        <f t="shared" si="110"/>
        <v/>
      </c>
      <c r="AY781" s="98" t="str">
        <f t="shared" ca="1" si="116"/>
        <v/>
      </c>
      <c r="AZ781" s="96" t="str">
        <f t="shared" si="111"/>
        <v/>
      </c>
      <c r="BA781" s="99" t="str">
        <f t="shared" ca="1" si="117"/>
        <v/>
      </c>
      <c r="BB781" s="97" t="str">
        <f t="shared" si="112"/>
        <v/>
      </c>
      <c r="BC781" s="101" t="str">
        <f t="shared" ca="1" si="118"/>
        <v/>
      </c>
      <c r="BD781" s="100" t="str">
        <f t="shared" si="113"/>
        <v/>
      </c>
      <c r="BE781" s="103" t="str">
        <f t="shared" ca="1" si="119"/>
        <v/>
      </c>
      <c r="BF781" s="102" t="str">
        <f t="shared" si="114"/>
        <v/>
      </c>
    </row>
    <row r="782" spans="48:58" hidden="1" x14ac:dyDescent="0.25">
      <c r="AV782">
        <v>757</v>
      </c>
      <c r="AW782" s="94" t="str">
        <f t="shared" ca="1" si="115"/>
        <v/>
      </c>
      <c r="AX782" s="95" t="str">
        <f t="shared" si="110"/>
        <v/>
      </c>
      <c r="AY782" s="98" t="str">
        <f t="shared" ca="1" si="116"/>
        <v/>
      </c>
      <c r="AZ782" s="96" t="str">
        <f t="shared" si="111"/>
        <v/>
      </c>
      <c r="BA782" s="99" t="str">
        <f t="shared" ca="1" si="117"/>
        <v/>
      </c>
      <c r="BB782" s="97" t="str">
        <f t="shared" si="112"/>
        <v/>
      </c>
      <c r="BC782" s="101" t="str">
        <f t="shared" ca="1" si="118"/>
        <v/>
      </c>
      <c r="BD782" s="100" t="str">
        <f t="shared" si="113"/>
        <v/>
      </c>
      <c r="BE782" s="103" t="str">
        <f t="shared" ca="1" si="119"/>
        <v/>
      </c>
      <c r="BF782" s="102" t="str">
        <f t="shared" si="114"/>
        <v/>
      </c>
    </row>
    <row r="783" spans="48:58" hidden="1" x14ac:dyDescent="0.25">
      <c r="AV783">
        <v>758</v>
      </c>
      <c r="AW783" s="94" t="str">
        <f t="shared" ca="1" si="115"/>
        <v/>
      </c>
      <c r="AX783" s="95" t="str">
        <f t="shared" si="110"/>
        <v/>
      </c>
      <c r="AY783" s="98" t="str">
        <f t="shared" ca="1" si="116"/>
        <v/>
      </c>
      <c r="AZ783" s="96" t="str">
        <f t="shared" si="111"/>
        <v/>
      </c>
      <c r="BA783" s="99" t="str">
        <f t="shared" ca="1" si="117"/>
        <v/>
      </c>
      <c r="BB783" s="97" t="str">
        <f t="shared" si="112"/>
        <v/>
      </c>
      <c r="BC783" s="101" t="str">
        <f t="shared" ca="1" si="118"/>
        <v/>
      </c>
      <c r="BD783" s="100" t="str">
        <f t="shared" si="113"/>
        <v/>
      </c>
      <c r="BE783" s="103" t="str">
        <f t="shared" ca="1" si="119"/>
        <v/>
      </c>
      <c r="BF783" s="102" t="str">
        <f t="shared" si="114"/>
        <v/>
      </c>
    </row>
    <row r="784" spans="48:58" hidden="1" x14ac:dyDescent="0.25">
      <c r="AV784">
        <v>759</v>
      </c>
      <c r="AW784" s="94" t="str">
        <f t="shared" ca="1" si="115"/>
        <v/>
      </c>
      <c r="AX784" s="95" t="str">
        <f t="shared" si="110"/>
        <v/>
      </c>
      <c r="AY784" s="98" t="str">
        <f t="shared" ca="1" si="116"/>
        <v/>
      </c>
      <c r="AZ784" s="96" t="str">
        <f t="shared" si="111"/>
        <v/>
      </c>
      <c r="BA784" s="99" t="str">
        <f t="shared" ca="1" si="117"/>
        <v/>
      </c>
      <c r="BB784" s="97" t="str">
        <f t="shared" si="112"/>
        <v/>
      </c>
      <c r="BC784" s="101" t="str">
        <f t="shared" ca="1" si="118"/>
        <v/>
      </c>
      <c r="BD784" s="100" t="str">
        <f t="shared" si="113"/>
        <v/>
      </c>
      <c r="BE784" s="103" t="str">
        <f t="shared" ca="1" si="119"/>
        <v/>
      </c>
      <c r="BF784" s="102" t="str">
        <f t="shared" si="114"/>
        <v/>
      </c>
    </row>
    <row r="785" spans="48:58" hidden="1" x14ac:dyDescent="0.25">
      <c r="AV785">
        <v>760</v>
      </c>
      <c r="AW785" s="94" t="str">
        <f t="shared" ca="1" si="115"/>
        <v/>
      </c>
      <c r="AX785" s="95" t="str">
        <f t="shared" si="110"/>
        <v/>
      </c>
      <c r="AY785" s="98" t="str">
        <f t="shared" ca="1" si="116"/>
        <v/>
      </c>
      <c r="AZ785" s="96" t="str">
        <f t="shared" si="111"/>
        <v/>
      </c>
      <c r="BA785" s="99" t="str">
        <f t="shared" ca="1" si="117"/>
        <v/>
      </c>
      <c r="BB785" s="97" t="str">
        <f t="shared" si="112"/>
        <v/>
      </c>
      <c r="BC785" s="101" t="str">
        <f t="shared" ca="1" si="118"/>
        <v/>
      </c>
      <c r="BD785" s="100" t="str">
        <f t="shared" si="113"/>
        <v/>
      </c>
      <c r="BE785" s="103" t="str">
        <f t="shared" ca="1" si="119"/>
        <v/>
      </c>
      <c r="BF785" s="102" t="str">
        <f t="shared" si="114"/>
        <v/>
      </c>
    </row>
    <row r="786" spans="48:58" hidden="1" x14ac:dyDescent="0.25">
      <c r="AV786">
        <v>761</v>
      </c>
      <c r="AW786" s="94" t="str">
        <f t="shared" ca="1" si="115"/>
        <v/>
      </c>
      <c r="AX786" s="95" t="str">
        <f t="shared" si="110"/>
        <v/>
      </c>
      <c r="AY786" s="98" t="str">
        <f t="shared" ca="1" si="116"/>
        <v/>
      </c>
      <c r="AZ786" s="96" t="str">
        <f t="shared" si="111"/>
        <v/>
      </c>
      <c r="BA786" s="99" t="str">
        <f t="shared" ca="1" si="117"/>
        <v/>
      </c>
      <c r="BB786" s="97" t="str">
        <f t="shared" si="112"/>
        <v/>
      </c>
      <c r="BC786" s="101" t="str">
        <f t="shared" ca="1" si="118"/>
        <v/>
      </c>
      <c r="BD786" s="100" t="str">
        <f t="shared" si="113"/>
        <v/>
      </c>
      <c r="BE786" s="103" t="str">
        <f t="shared" ca="1" si="119"/>
        <v/>
      </c>
      <c r="BF786" s="102" t="str">
        <f t="shared" si="114"/>
        <v/>
      </c>
    </row>
    <row r="787" spans="48:58" hidden="1" x14ac:dyDescent="0.25">
      <c r="AV787">
        <v>762</v>
      </c>
      <c r="AW787" s="94" t="str">
        <f t="shared" ca="1" si="115"/>
        <v/>
      </c>
      <c r="AX787" s="95" t="str">
        <f t="shared" si="110"/>
        <v/>
      </c>
      <c r="AY787" s="98" t="str">
        <f t="shared" ca="1" si="116"/>
        <v/>
      </c>
      <c r="AZ787" s="96" t="str">
        <f t="shared" si="111"/>
        <v/>
      </c>
      <c r="BA787" s="99" t="str">
        <f t="shared" ca="1" si="117"/>
        <v/>
      </c>
      <c r="BB787" s="97" t="str">
        <f t="shared" si="112"/>
        <v/>
      </c>
      <c r="BC787" s="101" t="str">
        <f t="shared" ca="1" si="118"/>
        <v/>
      </c>
      <c r="BD787" s="100" t="str">
        <f t="shared" si="113"/>
        <v/>
      </c>
      <c r="BE787" s="103" t="str">
        <f t="shared" ca="1" si="119"/>
        <v/>
      </c>
      <c r="BF787" s="102" t="str">
        <f t="shared" si="114"/>
        <v/>
      </c>
    </row>
    <row r="788" spans="48:58" hidden="1" x14ac:dyDescent="0.25">
      <c r="AV788">
        <v>763</v>
      </c>
      <c r="AW788" s="94" t="str">
        <f t="shared" ca="1" si="115"/>
        <v/>
      </c>
      <c r="AX788" s="95" t="str">
        <f t="shared" si="110"/>
        <v/>
      </c>
      <c r="AY788" s="98" t="str">
        <f t="shared" ca="1" si="116"/>
        <v/>
      </c>
      <c r="AZ788" s="96" t="str">
        <f t="shared" si="111"/>
        <v/>
      </c>
      <c r="BA788" s="99" t="str">
        <f t="shared" ca="1" si="117"/>
        <v/>
      </c>
      <c r="BB788" s="97" t="str">
        <f t="shared" si="112"/>
        <v/>
      </c>
      <c r="BC788" s="101" t="str">
        <f t="shared" ca="1" si="118"/>
        <v/>
      </c>
      <c r="BD788" s="100" t="str">
        <f t="shared" si="113"/>
        <v/>
      </c>
      <c r="BE788" s="103" t="str">
        <f t="shared" ca="1" si="119"/>
        <v/>
      </c>
      <c r="BF788" s="102" t="str">
        <f t="shared" si="114"/>
        <v/>
      </c>
    </row>
    <row r="789" spans="48:58" hidden="1" x14ac:dyDescent="0.25">
      <c r="AV789">
        <v>764</v>
      </c>
      <c r="AW789" s="94" t="str">
        <f t="shared" ca="1" si="115"/>
        <v/>
      </c>
      <c r="AX789" s="95" t="str">
        <f t="shared" si="110"/>
        <v/>
      </c>
      <c r="AY789" s="98" t="str">
        <f t="shared" ca="1" si="116"/>
        <v/>
      </c>
      <c r="AZ789" s="96" t="str">
        <f t="shared" si="111"/>
        <v/>
      </c>
      <c r="BA789" s="99" t="str">
        <f t="shared" ca="1" si="117"/>
        <v/>
      </c>
      <c r="BB789" s="97" t="str">
        <f t="shared" si="112"/>
        <v/>
      </c>
      <c r="BC789" s="101" t="str">
        <f t="shared" ca="1" si="118"/>
        <v/>
      </c>
      <c r="BD789" s="100" t="str">
        <f t="shared" si="113"/>
        <v/>
      </c>
      <c r="BE789" s="103" t="str">
        <f t="shared" ca="1" si="119"/>
        <v/>
      </c>
      <c r="BF789" s="102" t="str">
        <f t="shared" si="114"/>
        <v/>
      </c>
    </row>
    <row r="790" spans="48:58" hidden="1" x14ac:dyDescent="0.25">
      <c r="AV790">
        <v>765</v>
      </c>
      <c r="AW790" s="94" t="str">
        <f t="shared" ca="1" si="115"/>
        <v/>
      </c>
      <c r="AX790" s="95" t="str">
        <f t="shared" si="110"/>
        <v/>
      </c>
      <c r="AY790" s="98" t="str">
        <f t="shared" ca="1" si="116"/>
        <v/>
      </c>
      <c r="AZ790" s="96" t="str">
        <f t="shared" si="111"/>
        <v/>
      </c>
      <c r="BA790" s="99" t="str">
        <f t="shared" ca="1" si="117"/>
        <v/>
      </c>
      <c r="BB790" s="97" t="str">
        <f t="shared" si="112"/>
        <v/>
      </c>
      <c r="BC790" s="101" t="str">
        <f t="shared" ca="1" si="118"/>
        <v/>
      </c>
      <c r="BD790" s="100" t="str">
        <f t="shared" si="113"/>
        <v/>
      </c>
      <c r="BE790" s="103" t="str">
        <f t="shared" ca="1" si="119"/>
        <v/>
      </c>
      <c r="BF790" s="102" t="str">
        <f t="shared" si="114"/>
        <v/>
      </c>
    </row>
    <row r="791" spans="48:58" hidden="1" x14ac:dyDescent="0.25">
      <c r="AV791">
        <v>766</v>
      </c>
      <c r="AW791" s="94" t="str">
        <f t="shared" ca="1" si="115"/>
        <v/>
      </c>
      <c r="AX791" s="95" t="str">
        <f t="shared" si="110"/>
        <v/>
      </c>
      <c r="AY791" s="98" t="str">
        <f t="shared" ca="1" si="116"/>
        <v/>
      </c>
      <c r="AZ791" s="96" t="str">
        <f t="shared" si="111"/>
        <v/>
      </c>
      <c r="BA791" s="99" t="str">
        <f t="shared" ca="1" si="117"/>
        <v/>
      </c>
      <c r="BB791" s="97" t="str">
        <f t="shared" si="112"/>
        <v/>
      </c>
      <c r="BC791" s="101" t="str">
        <f t="shared" ca="1" si="118"/>
        <v/>
      </c>
      <c r="BD791" s="100" t="str">
        <f t="shared" si="113"/>
        <v/>
      </c>
      <c r="BE791" s="103" t="str">
        <f t="shared" ca="1" si="119"/>
        <v/>
      </c>
      <c r="BF791" s="102" t="str">
        <f t="shared" si="114"/>
        <v/>
      </c>
    </row>
    <row r="792" spans="48:58" hidden="1" x14ac:dyDescent="0.25">
      <c r="AV792">
        <v>767</v>
      </c>
      <c r="AW792" s="94" t="str">
        <f t="shared" ca="1" si="115"/>
        <v/>
      </c>
      <c r="AX792" s="95" t="str">
        <f t="shared" si="110"/>
        <v/>
      </c>
      <c r="AY792" s="98" t="str">
        <f t="shared" ca="1" si="116"/>
        <v/>
      </c>
      <c r="AZ792" s="96" t="str">
        <f t="shared" si="111"/>
        <v/>
      </c>
      <c r="BA792" s="99" t="str">
        <f t="shared" ca="1" si="117"/>
        <v/>
      </c>
      <c r="BB792" s="97" t="str">
        <f t="shared" si="112"/>
        <v/>
      </c>
      <c r="BC792" s="101" t="str">
        <f t="shared" ca="1" si="118"/>
        <v/>
      </c>
      <c r="BD792" s="100" t="str">
        <f t="shared" si="113"/>
        <v/>
      </c>
      <c r="BE792" s="103" t="str">
        <f t="shared" ca="1" si="119"/>
        <v/>
      </c>
      <c r="BF792" s="102" t="str">
        <f t="shared" si="114"/>
        <v/>
      </c>
    </row>
    <row r="793" spans="48:58" hidden="1" x14ac:dyDescent="0.25">
      <c r="AV793">
        <v>768</v>
      </c>
      <c r="AW793" s="94" t="str">
        <f t="shared" ca="1" si="115"/>
        <v/>
      </c>
      <c r="AX793" s="95" t="str">
        <f t="shared" si="110"/>
        <v/>
      </c>
      <c r="AY793" s="98" t="str">
        <f t="shared" ca="1" si="116"/>
        <v/>
      </c>
      <c r="AZ793" s="96" t="str">
        <f t="shared" si="111"/>
        <v/>
      </c>
      <c r="BA793" s="99" t="str">
        <f t="shared" ca="1" si="117"/>
        <v/>
      </c>
      <c r="BB793" s="97" t="str">
        <f t="shared" si="112"/>
        <v/>
      </c>
      <c r="BC793" s="101" t="str">
        <f t="shared" ca="1" si="118"/>
        <v/>
      </c>
      <c r="BD793" s="100" t="str">
        <f t="shared" si="113"/>
        <v/>
      </c>
      <c r="BE793" s="103" t="str">
        <f t="shared" ca="1" si="119"/>
        <v/>
      </c>
      <c r="BF793" s="102" t="str">
        <f t="shared" si="114"/>
        <v/>
      </c>
    </row>
    <row r="794" spans="48:58" hidden="1" x14ac:dyDescent="0.25">
      <c r="AV794">
        <v>769</v>
      </c>
      <c r="AW794" s="94" t="str">
        <f t="shared" ca="1" si="115"/>
        <v/>
      </c>
      <c r="AX794" s="95" t="str">
        <f t="shared" ref="AX794:AX857" si="120">IF($D$15*12&gt;=AV794,-1*$H$15,IF($D$15*12+1&gt;=AV794,InfGoal1,""))</f>
        <v/>
      </c>
      <c r="AY794" s="98" t="str">
        <f t="shared" ca="1" si="116"/>
        <v/>
      </c>
      <c r="AZ794" s="96" t="str">
        <f t="shared" ref="AZ794:AZ857" si="121">IF($D$17*12&gt;=AV794,-1*$H$17,IF($D$17*12+1&gt;=AV794,InfGoal2,""))</f>
        <v/>
      </c>
      <c r="BA794" s="99" t="str">
        <f t="shared" ca="1" si="117"/>
        <v/>
      </c>
      <c r="BB794" s="97" t="str">
        <f t="shared" ref="BB794:BB857" si="122">IF($D$19*12&gt;=AV794,-1*$H$19,IF($D$19*12+1&gt;=AV794,InfGoal3,""))</f>
        <v/>
      </c>
      <c r="BC794" s="101" t="str">
        <f t="shared" ca="1" si="118"/>
        <v/>
      </c>
      <c r="BD794" s="100" t="str">
        <f t="shared" ref="BD794:BD857" si="123">IF($D$21*12&gt;=AV794,-1*$H$21,IF($D$21*12+1&gt;=AV794,InfGoal4,""))</f>
        <v/>
      </c>
      <c r="BE794" s="103" t="str">
        <f t="shared" ca="1" si="119"/>
        <v/>
      </c>
      <c r="BF794" s="102" t="str">
        <f t="shared" ref="BF794:BF857" si="124">IF($D$23*12&gt;=AV794,-1*$H$23,IF($D$23*12+1&gt;=AV794,InfGoal5,""))</f>
        <v/>
      </c>
    </row>
    <row r="795" spans="48:58" hidden="1" x14ac:dyDescent="0.25">
      <c r="AV795">
        <v>770</v>
      </c>
      <c r="AW795" s="94" t="str">
        <f t="shared" ref="AW795:AW858" ca="1" si="125">IF($D$15*12&gt;=AV795,DATE(YEAR(TODAY()),MONTH(TODAY())+AV795-1,DAY(TODAY())),IF($D$15*12+1&gt;=AV795,DATE(YEAR(TODAY()),MONTH(TODAY())+$D$15*12,DAY(TODAY())),""))</f>
        <v/>
      </c>
      <c r="AX795" s="95" t="str">
        <f t="shared" si="120"/>
        <v/>
      </c>
      <c r="AY795" s="98" t="str">
        <f t="shared" ref="AY795:AY858" ca="1" si="126">IF($D$17*12&gt;=AV795,DATE(YEAR(TODAY()),MONTH(TODAY())+AV795-1,DAY(TODAY())),IF($D$17*12+1&gt;=AV795,DATE(YEAR(TODAY()),MONTH(TODAY())+$D$17*12,DAY(TODAY())),""))</f>
        <v/>
      </c>
      <c r="AZ795" s="96" t="str">
        <f t="shared" si="121"/>
        <v/>
      </c>
      <c r="BA795" s="99" t="str">
        <f t="shared" ref="BA795:BA858" ca="1" si="127">IF($D$19*12&gt;=AV795,DATE(YEAR(TODAY()),MONTH(TODAY())+AV795-1,DAY(TODAY())),IF($D$19*12+1&gt;=AV795,DATE(YEAR(TODAY()),MONTH(TODAY())+$D$19*12,DAY(TODAY())),""))</f>
        <v/>
      </c>
      <c r="BB795" s="97" t="str">
        <f t="shared" si="122"/>
        <v/>
      </c>
      <c r="BC795" s="101" t="str">
        <f t="shared" ref="BC795:BC858" ca="1" si="128">IF($D$21*12&gt;=AV795,DATE(YEAR(TODAY()),MONTH(TODAY())+AV795-1,DAY(TODAY())),IF($D$21*12+1&gt;=AV795,DATE(YEAR(TODAY()),MONTH(TODAY())+$D$21*12,DAY(TODAY())),""))</f>
        <v/>
      </c>
      <c r="BD795" s="100" t="str">
        <f t="shared" si="123"/>
        <v/>
      </c>
      <c r="BE795" s="103" t="str">
        <f t="shared" ref="BE795:BE858" ca="1" si="129">IF($D$23*12&gt;=AV795,DATE(YEAR(TODAY()),MONTH(TODAY())+AV795-1,DAY(TODAY())),IF($D$23*12+1&gt;=AV795,DATE(YEAR(TODAY()),MONTH(TODAY())+$D$23*12,DAY(TODAY())),""))</f>
        <v/>
      </c>
      <c r="BF795" s="102" t="str">
        <f t="shared" si="124"/>
        <v/>
      </c>
    </row>
    <row r="796" spans="48:58" hidden="1" x14ac:dyDescent="0.25">
      <c r="AV796">
        <v>771</v>
      </c>
      <c r="AW796" s="94" t="str">
        <f t="shared" ca="1" si="125"/>
        <v/>
      </c>
      <c r="AX796" s="95" t="str">
        <f t="shared" si="120"/>
        <v/>
      </c>
      <c r="AY796" s="98" t="str">
        <f t="shared" ca="1" si="126"/>
        <v/>
      </c>
      <c r="AZ796" s="96" t="str">
        <f t="shared" si="121"/>
        <v/>
      </c>
      <c r="BA796" s="99" t="str">
        <f t="shared" ca="1" si="127"/>
        <v/>
      </c>
      <c r="BB796" s="97" t="str">
        <f t="shared" si="122"/>
        <v/>
      </c>
      <c r="BC796" s="101" t="str">
        <f t="shared" ca="1" si="128"/>
        <v/>
      </c>
      <c r="BD796" s="100" t="str">
        <f t="shared" si="123"/>
        <v/>
      </c>
      <c r="BE796" s="103" t="str">
        <f t="shared" ca="1" si="129"/>
        <v/>
      </c>
      <c r="BF796" s="102" t="str">
        <f t="shared" si="124"/>
        <v/>
      </c>
    </row>
    <row r="797" spans="48:58" hidden="1" x14ac:dyDescent="0.25">
      <c r="AV797">
        <v>772</v>
      </c>
      <c r="AW797" s="94" t="str">
        <f t="shared" ca="1" si="125"/>
        <v/>
      </c>
      <c r="AX797" s="95" t="str">
        <f t="shared" si="120"/>
        <v/>
      </c>
      <c r="AY797" s="98" t="str">
        <f t="shared" ca="1" si="126"/>
        <v/>
      </c>
      <c r="AZ797" s="96" t="str">
        <f t="shared" si="121"/>
        <v/>
      </c>
      <c r="BA797" s="99" t="str">
        <f t="shared" ca="1" si="127"/>
        <v/>
      </c>
      <c r="BB797" s="97" t="str">
        <f t="shared" si="122"/>
        <v/>
      </c>
      <c r="BC797" s="101" t="str">
        <f t="shared" ca="1" si="128"/>
        <v/>
      </c>
      <c r="BD797" s="100" t="str">
        <f t="shared" si="123"/>
        <v/>
      </c>
      <c r="BE797" s="103" t="str">
        <f t="shared" ca="1" si="129"/>
        <v/>
      </c>
      <c r="BF797" s="102" t="str">
        <f t="shared" si="124"/>
        <v/>
      </c>
    </row>
    <row r="798" spans="48:58" hidden="1" x14ac:dyDescent="0.25">
      <c r="AV798">
        <v>773</v>
      </c>
      <c r="AW798" s="94" t="str">
        <f t="shared" ca="1" si="125"/>
        <v/>
      </c>
      <c r="AX798" s="95" t="str">
        <f t="shared" si="120"/>
        <v/>
      </c>
      <c r="AY798" s="98" t="str">
        <f t="shared" ca="1" si="126"/>
        <v/>
      </c>
      <c r="AZ798" s="96" t="str">
        <f t="shared" si="121"/>
        <v/>
      </c>
      <c r="BA798" s="99" t="str">
        <f t="shared" ca="1" si="127"/>
        <v/>
      </c>
      <c r="BB798" s="97" t="str">
        <f t="shared" si="122"/>
        <v/>
      </c>
      <c r="BC798" s="101" t="str">
        <f t="shared" ca="1" si="128"/>
        <v/>
      </c>
      <c r="BD798" s="100" t="str">
        <f t="shared" si="123"/>
        <v/>
      </c>
      <c r="BE798" s="103" t="str">
        <f t="shared" ca="1" si="129"/>
        <v/>
      </c>
      <c r="BF798" s="102" t="str">
        <f t="shared" si="124"/>
        <v/>
      </c>
    </row>
    <row r="799" spans="48:58" hidden="1" x14ac:dyDescent="0.25">
      <c r="AV799">
        <v>774</v>
      </c>
      <c r="AW799" s="94" t="str">
        <f t="shared" ca="1" si="125"/>
        <v/>
      </c>
      <c r="AX799" s="95" t="str">
        <f t="shared" si="120"/>
        <v/>
      </c>
      <c r="AY799" s="98" t="str">
        <f t="shared" ca="1" si="126"/>
        <v/>
      </c>
      <c r="AZ799" s="96" t="str">
        <f t="shared" si="121"/>
        <v/>
      </c>
      <c r="BA799" s="99" t="str">
        <f t="shared" ca="1" si="127"/>
        <v/>
      </c>
      <c r="BB799" s="97" t="str">
        <f t="shared" si="122"/>
        <v/>
      </c>
      <c r="BC799" s="101" t="str">
        <f t="shared" ca="1" si="128"/>
        <v/>
      </c>
      <c r="BD799" s="100" t="str">
        <f t="shared" si="123"/>
        <v/>
      </c>
      <c r="BE799" s="103" t="str">
        <f t="shared" ca="1" si="129"/>
        <v/>
      </c>
      <c r="BF799" s="102" t="str">
        <f t="shared" si="124"/>
        <v/>
      </c>
    </row>
    <row r="800" spans="48:58" hidden="1" x14ac:dyDescent="0.25">
      <c r="AV800">
        <v>775</v>
      </c>
      <c r="AW800" s="94" t="str">
        <f t="shared" ca="1" si="125"/>
        <v/>
      </c>
      <c r="AX800" s="95" t="str">
        <f t="shared" si="120"/>
        <v/>
      </c>
      <c r="AY800" s="98" t="str">
        <f t="shared" ca="1" si="126"/>
        <v/>
      </c>
      <c r="AZ800" s="96" t="str">
        <f t="shared" si="121"/>
        <v/>
      </c>
      <c r="BA800" s="99" t="str">
        <f t="shared" ca="1" si="127"/>
        <v/>
      </c>
      <c r="BB800" s="97" t="str">
        <f t="shared" si="122"/>
        <v/>
      </c>
      <c r="BC800" s="101" t="str">
        <f t="shared" ca="1" si="128"/>
        <v/>
      </c>
      <c r="BD800" s="100" t="str">
        <f t="shared" si="123"/>
        <v/>
      </c>
      <c r="BE800" s="103" t="str">
        <f t="shared" ca="1" si="129"/>
        <v/>
      </c>
      <c r="BF800" s="102" t="str">
        <f t="shared" si="124"/>
        <v/>
      </c>
    </row>
    <row r="801" spans="48:58" hidden="1" x14ac:dyDescent="0.25">
      <c r="AV801">
        <v>776</v>
      </c>
      <c r="AW801" s="94" t="str">
        <f t="shared" ca="1" si="125"/>
        <v/>
      </c>
      <c r="AX801" s="95" t="str">
        <f t="shared" si="120"/>
        <v/>
      </c>
      <c r="AY801" s="98" t="str">
        <f t="shared" ca="1" si="126"/>
        <v/>
      </c>
      <c r="AZ801" s="96" t="str">
        <f t="shared" si="121"/>
        <v/>
      </c>
      <c r="BA801" s="99" t="str">
        <f t="shared" ca="1" si="127"/>
        <v/>
      </c>
      <c r="BB801" s="97" t="str">
        <f t="shared" si="122"/>
        <v/>
      </c>
      <c r="BC801" s="101" t="str">
        <f t="shared" ca="1" si="128"/>
        <v/>
      </c>
      <c r="BD801" s="100" t="str">
        <f t="shared" si="123"/>
        <v/>
      </c>
      <c r="BE801" s="103" t="str">
        <f t="shared" ca="1" si="129"/>
        <v/>
      </c>
      <c r="BF801" s="102" t="str">
        <f t="shared" si="124"/>
        <v/>
      </c>
    </row>
    <row r="802" spans="48:58" hidden="1" x14ac:dyDescent="0.25">
      <c r="AV802">
        <v>777</v>
      </c>
      <c r="AW802" s="94" t="str">
        <f t="shared" ca="1" si="125"/>
        <v/>
      </c>
      <c r="AX802" s="95" t="str">
        <f t="shared" si="120"/>
        <v/>
      </c>
      <c r="AY802" s="98" t="str">
        <f t="shared" ca="1" si="126"/>
        <v/>
      </c>
      <c r="AZ802" s="96" t="str">
        <f t="shared" si="121"/>
        <v/>
      </c>
      <c r="BA802" s="99" t="str">
        <f t="shared" ca="1" si="127"/>
        <v/>
      </c>
      <c r="BB802" s="97" t="str">
        <f t="shared" si="122"/>
        <v/>
      </c>
      <c r="BC802" s="101" t="str">
        <f t="shared" ca="1" si="128"/>
        <v/>
      </c>
      <c r="BD802" s="100" t="str">
        <f t="shared" si="123"/>
        <v/>
      </c>
      <c r="BE802" s="103" t="str">
        <f t="shared" ca="1" si="129"/>
        <v/>
      </c>
      <c r="BF802" s="102" t="str">
        <f t="shared" si="124"/>
        <v/>
      </c>
    </row>
    <row r="803" spans="48:58" hidden="1" x14ac:dyDescent="0.25">
      <c r="AV803">
        <v>778</v>
      </c>
      <c r="AW803" s="94" t="str">
        <f t="shared" ca="1" si="125"/>
        <v/>
      </c>
      <c r="AX803" s="95" t="str">
        <f t="shared" si="120"/>
        <v/>
      </c>
      <c r="AY803" s="98" t="str">
        <f t="shared" ca="1" si="126"/>
        <v/>
      </c>
      <c r="AZ803" s="96" t="str">
        <f t="shared" si="121"/>
        <v/>
      </c>
      <c r="BA803" s="99" t="str">
        <f t="shared" ca="1" si="127"/>
        <v/>
      </c>
      <c r="BB803" s="97" t="str">
        <f t="shared" si="122"/>
        <v/>
      </c>
      <c r="BC803" s="101" t="str">
        <f t="shared" ca="1" si="128"/>
        <v/>
      </c>
      <c r="BD803" s="100" t="str">
        <f t="shared" si="123"/>
        <v/>
      </c>
      <c r="BE803" s="103" t="str">
        <f t="shared" ca="1" si="129"/>
        <v/>
      </c>
      <c r="BF803" s="102" t="str">
        <f t="shared" si="124"/>
        <v/>
      </c>
    </row>
    <row r="804" spans="48:58" hidden="1" x14ac:dyDescent="0.25">
      <c r="AV804">
        <v>779</v>
      </c>
      <c r="AW804" s="94" t="str">
        <f t="shared" ca="1" si="125"/>
        <v/>
      </c>
      <c r="AX804" s="95" t="str">
        <f t="shared" si="120"/>
        <v/>
      </c>
      <c r="AY804" s="98" t="str">
        <f t="shared" ca="1" si="126"/>
        <v/>
      </c>
      <c r="AZ804" s="96" t="str">
        <f t="shared" si="121"/>
        <v/>
      </c>
      <c r="BA804" s="99" t="str">
        <f t="shared" ca="1" si="127"/>
        <v/>
      </c>
      <c r="BB804" s="97" t="str">
        <f t="shared" si="122"/>
        <v/>
      </c>
      <c r="BC804" s="101" t="str">
        <f t="shared" ca="1" si="128"/>
        <v/>
      </c>
      <c r="BD804" s="100" t="str">
        <f t="shared" si="123"/>
        <v/>
      </c>
      <c r="BE804" s="103" t="str">
        <f t="shared" ca="1" si="129"/>
        <v/>
      </c>
      <c r="BF804" s="102" t="str">
        <f t="shared" si="124"/>
        <v/>
      </c>
    </row>
    <row r="805" spans="48:58" hidden="1" x14ac:dyDescent="0.25">
      <c r="AV805">
        <v>780</v>
      </c>
      <c r="AW805" s="94" t="str">
        <f t="shared" ca="1" si="125"/>
        <v/>
      </c>
      <c r="AX805" s="95" t="str">
        <f t="shared" si="120"/>
        <v/>
      </c>
      <c r="AY805" s="98" t="str">
        <f t="shared" ca="1" si="126"/>
        <v/>
      </c>
      <c r="AZ805" s="96" t="str">
        <f t="shared" si="121"/>
        <v/>
      </c>
      <c r="BA805" s="99" t="str">
        <f t="shared" ca="1" si="127"/>
        <v/>
      </c>
      <c r="BB805" s="97" t="str">
        <f t="shared" si="122"/>
        <v/>
      </c>
      <c r="BC805" s="101" t="str">
        <f t="shared" ca="1" si="128"/>
        <v/>
      </c>
      <c r="BD805" s="100" t="str">
        <f t="shared" si="123"/>
        <v/>
      </c>
      <c r="BE805" s="103" t="str">
        <f t="shared" ca="1" si="129"/>
        <v/>
      </c>
      <c r="BF805" s="102" t="str">
        <f t="shared" si="124"/>
        <v/>
      </c>
    </row>
    <row r="806" spans="48:58" hidden="1" x14ac:dyDescent="0.25">
      <c r="AV806">
        <v>781</v>
      </c>
      <c r="AW806" s="94" t="str">
        <f t="shared" ca="1" si="125"/>
        <v/>
      </c>
      <c r="AX806" s="95" t="str">
        <f t="shared" si="120"/>
        <v/>
      </c>
      <c r="AY806" s="98" t="str">
        <f t="shared" ca="1" si="126"/>
        <v/>
      </c>
      <c r="AZ806" s="96" t="str">
        <f t="shared" si="121"/>
        <v/>
      </c>
      <c r="BA806" s="99" t="str">
        <f t="shared" ca="1" si="127"/>
        <v/>
      </c>
      <c r="BB806" s="97" t="str">
        <f t="shared" si="122"/>
        <v/>
      </c>
      <c r="BC806" s="101" t="str">
        <f t="shared" ca="1" si="128"/>
        <v/>
      </c>
      <c r="BD806" s="100" t="str">
        <f t="shared" si="123"/>
        <v/>
      </c>
      <c r="BE806" s="103" t="str">
        <f t="shared" ca="1" si="129"/>
        <v/>
      </c>
      <c r="BF806" s="102" t="str">
        <f t="shared" si="124"/>
        <v/>
      </c>
    </row>
    <row r="807" spans="48:58" hidden="1" x14ac:dyDescent="0.25">
      <c r="AV807">
        <v>782</v>
      </c>
      <c r="AW807" s="94" t="str">
        <f t="shared" ca="1" si="125"/>
        <v/>
      </c>
      <c r="AX807" s="95" t="str">
        <f t="shared" si="120"/>
        <v/>
      </c>
      <c r="AY807" s="98" t="str">
        <f t="shared" ca="1" si="126"/>
        <v/>
      </c>
      <c r="AZ807" s="96" t="str">
        <f t="shared" si="121"/>
        <v/>
      </c>
      <c r="BA807" s="99" t="str">
        <f t="shared" ca="1" si="127"/>
        <v/>
      </c>
      <c r="BB807" s="97" t="str">
        <f t="shared" si="122"/>
        <v/>
      </c>
      <c r="BC807" s="101" t="str">
        <f t="shared" ca="1" si="128"/>
        <v/>
      </c>
      <c r="BD807" s="100" t="str">
        <f t="shared" si="123"/>
        <v/>
      </c>
      <c r="BE807" s="103" t="str">
        <f t="shared" ca="1" si="129"/>
        <v/>
      </c>
      <c r="BF807" s="102" t="str">
        <f t="shared" si="124"/>
        <v/>
      </c>
    </row>
    <row r="808" spans="48:58" hidden="1" x14ac:dyDescent="0.25">
      <c r="AV808">
        <v>783</v>
      </c>
      <c r="AW808" s="94" t="str">
        <f t="shared" ca="1" si="125"/>
        <v/>
      </c>
      <c r="AX808" s="95" t="str">
        <f t="shared" si="120"/>
        <v/>
      </c>
      <c r="AY808" s="98" t="str">
        <f t="shared" ca="1" si="126"/>
        <v/>
      </c>
      <c r="AZ808" s="96" t="str">
        <f t="shared" si="121"/>
        <v/>
      </c>
      <c r="BA808" s="99" t="str">
        <f t="shared" ca="1" si="127"/>
        <v/>
      </c>
      <c r="BB808" s="97" t="str">
        <f t="shared" si="122"/>
        <v/>
      </c>
      <c r="BC808" s="101" t="str">
        <f t="shared" ca="1" si="128"/>
        <v/>
      </c>
      <c r="BD808" s="100" t="str">
        <f t="shared" si="123"/>
        <v/>
      </c>
      <c r="BE808" s="103" t="str">
        <f t="shared" ca="1" si="129"/>
        <v/>
      </c>
      <c r="BF808" s="102" t="str">
        <f t="shared" si="124"/>
        <v/>
      </c>
    </row>
    <row r="809" spans="48:58" hidden="1" x14ac:dyDescent="0.25">
      <c r="AV809">
        <v>784</v>
      </c>
      <c r="AW809" s="94" t="str">
        <f t="shared" ca="1" si="125"/>
        <v/>
      </c>
      <c r="AX809" s="95" t="str">
        <f t="shared" si="120"/>
        <v/>
      </c>
      <c r="AY809" s="98" t="str">
        <f t="shared" ca="1" si="126"/>
        <v/>
      </c>
      <c r="AZ809" s="96" t="str">
        <f t="shared" si="121"/>
        <v/>
      </c>
      <c r="BA809" s="99" t="str">
        <f t="shared" ca="1" si="127"/>
        <v/>
      </c>
      <c r="BB809" s="97" t="str">
        <f t="shared" si="122"/>
        <v/>
      </c>
      <c r="BC809" s="101" t="str">
        <f t="shared" ca="1" si="128"/>
        <v/>
      </c>
      <c r="BD809" s="100" t="str">
        <f t="shared" si="123"/>
        <v/>
      </c>
      <c r="BE809" s="103" t="str">
        <f t="shared" ca="1" si="129"/>
        <v/>
      </c>
      <c r="BF809" s="102" t="str">
        <f t="shared" si="124"/>
        <v/>
      </c>
    </row>
    <row r="810" spans="48:58" hidden="1" x14ac:dyDescent="0.25">
      <c r="AV810">
        <v>785</v>
      </c>
      <c r="AW810" s="94" t="str">
        <f t="shared" ca="1" si="125"/>
        <v/>
      </c>
      <c r="AX810" s="95" t="str">
        <f t="shared" si="120"/>
        <v/>
      </c>
      <c r="AY810" s="98" t="str">
        <f t="shared" ca="1" si="126"/>
        <v/>
      </c>
      <c r="AZ810" s="96" t="str">
        <f t="shared" si="121"/>
        <v/>
      </c>
      <c r="BA810" s="99" t="str">
        <f t="shared" ca="1" si="127"/>
        <v/>
      </c>
      <c r="BB810" s="97" t="str">
        <f t="shared" si="122"/>
        <v/>
      </c>
      <c r="BC810" s="101" t="str">
        <f t="shared" ca="1" si="128"/>
        <v/>
      </c>
      <c r="BD810" s="100" t="str">
        <f t="shared" si="123"/>
        <v/>
      </c>
      <c r="BE810" s="103" t="str">
        <f t="shared" ca="1" si="129"/>
        <v/>
      </c>
      <c r="BF810" s="102" t="str">
        <f t="shared" si="124"/>
        <v/>
      </c>
    </row>
    <row r="811" spans="48:58" hidden="1" x14ac:dyDescent="0.25">
      <c r="AV811">
        <v>786</v>
      </c>
      <c r="AW811" s="94" t="str">
        <f t="shared" ca="1" si="125"/>
        <v/>
      </c>
      <c r="AX811" s="95" t="str">
        <f t="shared" si="120"/>
        <v/>
      </c>
      <c r="AY811" s="98" t="str">
        <f t="shared" ca="1" si="126"/>
        <v/>
      </c>
      <c r="AZ811" s="96" t="str">
        <f t="shared" si="121"/>
        <v/>
      </c>
      <c r="BA811" s="99" t="str">
        <f t="shared" ca="1" si="127"/>
        <v/>
      </c>
      <c r="BB811" s="97" t="str">
        <f t="shared" si="122"/>
        <v/>
      </c>
      <c r="BC811" s="101" t="str">
        <f t="shared" ca="1" si="128"/>
        <v/>
      </c>
      <c r="BD811" s="100" t="str">
        <f t="shared" si="123"/>
        <v/>
      </c>
      <c r="BE811" s="103" t="str">
        <f t="shared" ca="1" si="129"/>
        <v/>
      </c>
      <c r="BF811" s="102" t="str">
        <f t="shared" si="124"/>
        <v/>
      </c>
    </row>
    <row r="812" spans="48:58" hidden="1" x14ac:dyDescent="0.25">
      <c r="AV812">
        <v>787</v>
      </c>
      <c r="AW812" s="94" t="str">
        <f t="shared" ca="1" si="125"/>
        <v/>
      </c>
      <c r="AX812" s="95" t="str">
        <f t="shared" si="120"/>
        <v/>
      </c>
      <c r="AY812" s="98" t="str">
        <f t="shared" ca="1" si="126"/>
        <v/>
      </c>
      <c r="AZ812" s="96" t="str">
        <f t="shared" si="121"/>
        <v/>
      </c>
      <c r="BA812" s="99" t="str">
        <f t="shared" ca="1" si="127"/>
        <v/>
      </c>
      <c r="BB812" s="97" t="str">
        <f t="shared" si="122"/>
        <v/>
      </c>
      <c r="BC812" s="101" t="str">
        <f t="shared" ca="1" si="128"/>
        <v/>
      </c>
      <c r="BD812" s="100" t="str">
        <f t="shared" si="123"/>
        <v/>
      </c>
      <c r="BE812" s="103" t="str">
        <f t="shared" ca="1" si="129"/>
        <v/>
      </c>
      <c r="BF812" s="102" t="str">
        <f t="shared" si="124"/>
        <v/>
      </c>
    </row>
    <row r="813" spans="48:58" hidden="1" x14ac:dyDescent="0.25">
      <c r="AV813">
        <v>788</v>
      </c>
      <c r="AW813" s="94" t="str">
        <f t="shared" ca="1" si="125"/>
        <v/>
      </c>
      <c r="AX813" s="95" t="str">
        <f t="shared" si="120"/>
        <v/>
      </c>
      <c r="AY813" s="98" t="str">
        <f t="shared" ca="1" si="126"/>
        <v/>
      </c>
      <c r="AZ813" s="96" t="str">
        <f t="shared" si="121"/>
        <v/>
      </c>
      <c r="BA813" s="99" t="str">
        <f t="shared" ca="1" si="127"/>
        <v/>
      </c>
      <c r="BB813" s="97" t="str">
        <f t="shared" si="122"/>
        <v/>
      </c>
      <c r="BC813" s="101" t="str">
        <f t="shared" ca="1" si="128"/>
        <v/>
      </c>
      <c r="BD813" s="100" t="str">
        <f t="shared" si="123"/>
        <v/>
      </c>
      <c r="BE813" s="103" t="str">
        <f t="shared" ca="1" si="129"/>
        <v/>
      </c>
      <c r="BF813" s="102" t="str">
        <f t="shared" si="124"/>
        <v/>
      </c>
    </row>
    <row r="814" spans="48:58" hidden="1" x14ac:dyDescent="0.25">
      <c r="AV814">
        <v>789</v>
      </c>
      <c r="AW814" s="94" t="str">
        <f t="shared" ca="1" si="125"/>
        <v/>
      </c>
      <c r="AX814" s="95" t="str">
        <f t="shared" si="120"/>
        <v/>
      </c>
      <c r="AY814" s="98" t="str">
        <f t="shared" ca="1" si="126"/>
        <v/>
      </c>
      <c r="AZ814" s="96" t="str">
        <f t="shared" si="121"/>
        <v/>
      </c>
      <c r="BA814" s="99" t="str">
        <f t="shared" ca="1" si="127"/>
        <v/>
      </c>
      <c r="BB814" s="97" t="str">
        <f t="shared" si="122"/>
        <v/>
      </c>
      <c r="BC814" s="101" t="str">
        <f t="shared" ca="1" si="128"/>
        <v/>
      </c>
      <c r="BD814" s="100" t="str">
        <f t="shared" si="123"/>
        <v/>
      </c>
      <c r="BE814" s="103" t="str">
        <f t="shared" ca="1" si="129"/>
        <v/>
      </c>
      <c r="BF814" s="102" t="str">
        <f t="shared" si="124"/>
        <v/>
      </c>
    </row>
    <row r="815" spans="48:58" hidden="1" x14ac:dyDescent="0.25">
      <c r="AV815">
        <v>790</v>
      </c>
      <c r="AW815" s="94" t="str">
        <f t="shared" ca="1" si="125"/>
        <v/>
      </c>
      <c r="AX815" s="95" t="str">
        <f t="shared" si="120"/>
        <v/>
      </c>
      <c r="AY815" s="98" t="str">
        <f t="shared" ca="1" si="126"/>
        <v/>
      </c>
      <c r="AZ815" s="96" t="str">
        <f t="shared" si="121"/>
        <v/>
      </c>
      <c r="BA815" s="99" t="str">
        <f t="shared" ca="1" si="127"/>
        <v/>
      </c>
      <c r="BB815" s="97" t="str">
        <f t="shared" si="122"/>
        <v/>
      </c>
      <c r="BC815" s="101" t="str">
        <f t="shared" ca="1" si="128"/>
        <v/>
      </c>
      <c r="BD815" s="100" t="str">
        <f t="shared" si="123"/>
        <v/>
      </c>
      <c r="BE815" s="103" t="str">
        <f t="shared" ca="1" si="129"/>
        <v/>
      </c>
      <c r="BF815" s="102" t="str">
        <f t="shared" si="124"/>
        <v/>
      </c>
    </row>
    <row r="816" spans="48:58" hidden="1" x14ac:dyDescent="0.25">
      <c r="AV816">
        <v>791</v>
      </c>
      <c r="AW816" s="94" t="str">
        <f t="shared" ca="1" si="125"/>
        <v/>
      </c>
      <c r="AX816" s="95" t="str">
        <f t="shared" si="120"/>
        <v/>
      </c>
      <c r="AY816" s="98" t="str">
        <f t="shared" ca="1" si="126"/>
        <v/>
      </c>
      <c r="AZ816" s="96" t="str">
        <f t="shared" si="121"/>
        <v/>
      </c>
      <c r="BA816" s="99" t="str">
        <f t="shared" ca="1" si="127"/>
        <v/>
      </c>
      <c r="BB816" s="97" t="str">
        <f t="shared" si="122"/>
        <v/>
      </c>
      <c r="BC816" s="101" t="str">
        <f t="shared" ca="1" si="128"/>
        <v/>
      </c>
      <c r="BD816" s="100" t="str">
        <f t="shared" si="123"/>
        <v/>
      </c>
      <c r="BE816" s="103" t="str">
        <f t="shared" ca="1" si="129"/>
        <v/>
      </c>
      <c r="BF816" s="102" t="str">
        <f t="shared" si="124"/>
        <v/>
      </c>
    </row>
    <row r="817" spans="48:58" hidden="1" x14ac:dyDescent="0.25">
      <c r="AV817">
        <v>792</v>
      </c>
      <c r="AW817" s="94" t="str">
        <f t="shared" ca="1" si="125"/>
        <v/>
      </c>
      <c r="AX817" s="95" t="str">
        <f t="shared" si="120"/>
        <v/>
      </c>
      <c r="AY817" s="98" t="str">
        <f t="shared" ca="1" si="126"/>
        <v/>
      </c>
      <c r="AZ817" s="96" t="str">
        <f t="shared" si="121"/>
        <v/>
      </c>
      <c r="BA817" s="99" t="str">
        <f t="shared" ca="1" si="127"/>
        <v/>
      </c>
      <c r="BB817" s="97" t="str">
        <f t="shared" si="122"/>
        <v/>
      </c>
      <c r="BC817" s="101" t="str">
        <f t="shared" ca="1" si="128"/>
        <v/>
      </c>
      <c r="BD817" s="100" t="str">
        <f t="shared" si="123"/>
        <v/>
      </c>
      <c r="BE817" s="103" t="str">
        <f t="shared" ca="1" si="129"/>
        <v/>
      </c>
      <c r="BF817" s="102" t="str">
        <f t="shared" si="124"/>
        <v/>
      </c>
    </row>
    <row r="818" spans="48:58" hidden="1" x14ac:dyDescent="0.25">
      <c r="AV818">
        <v>793</v>
      </c>
      <c r="AW818" s="94" t="str">
        <f t="shared" ca="1" si="125"/>
        <v/>
      </c>
      <c r="AX818" s="95" t="str">
        <f t="shared" si="120"/>
        <v/>
      </c>
      <c r="AY818" s="98" t="str">
        <f t="shared" ca="1" si="126"/>
        <v/>
      </c>
      <c r="AZ818" s="96" t="str">
        <f t="shared" si="121"/>
        <v/>
      </c>
      <c r="BA818" s="99" t="str">
        <f t="shared" ca="1" si="127"/>
        <v/>
      </c>
      <c r="BB818" s="97" t="str">
        <f t="shared" si="122"/>
        <v/>
      </c>
      <c r="BC818" s="101" t="str">
        <f t="shared" ca="1" si="128"/>
        <v/>
      </c>
      <c r="BD818" s="100" t="str">
        <f t="shared" si="123"/>
        <v/>
      </c>
      <c r="BE818" s="103" t="str">
        <f t="shared" ca="1" si="129"/>
        <v/>
      </c>
      <c r="BF818" s="102" t="str">
        <f t="shared" si="124"/>
        <v/>
      </c>
    </row>
    <row r="819" spans="48:58" hidden="1" x14ac:dyDescent="0.25">
      <c r="AV819">
        <v>794</v>
      </c>
      <c r="AW819" s="94" t="str">
        <f t="shared" ca="1" si="125"/>
        <v/>
      </c>
      <c r="AX819" s="95" t="str">
        <f t="shared" si="120"/>
        <v/>
      </c>
      <c r="AY819" s="98" t="str">
        <f t="shared" ca="1" si="126"/>
        <v/>
      </c>
      <c r="AZ819" s="96" t="str">
        <f t="shared" si="121"/>
        <v/>
      </c>
      <c r="BA819" s="99" t="str">
        <f t="shared" ca="1" si="127"/>
        <v/>
      </c>
      <c r="BB819" s="97" t="str">
        <f t="shared" si="122"/>
        <v/>
      </c>
      <c r="BC819" s="101" t="str">
        <f t="shared" ca="1" si="128"/>
        <v/>
      </c>
      <c r="BD819" s="100" t="str">
        <f t="shared" si="123"/>
        <v/>
      </c>
      <c r="BE819" s="103" t="str">
        <f t="shared" ca="1" si="129"/>
        <v/>
      </c>
      <c r="BF819" s="102" t="str">
        <f t="shared" si="124"/>
        <v/>
      </c>
    </row>
    <row r="820" spans="48:58" hidden="1" x14ac:dyDescent="0.25">
      <c r="AV820">
        <v>795</v>
      </c>
      <c r="AW820" s="94" t="str">
        <f t="shared" ca="1" si="125"/>
        <v/>
      </c>
      <c r="AX820" s="95" t="str">
        <f t="shared" si="120"/>
        <v/>
      </c>
      <c r="AY820" s="98" t="str">
        <f t="shared" ca="1" si="126"/>
        <v/>
      </c>
      <c r="AZ820" s="96" t="str">
        <f t="shared" si="121"/>
        <v/>
      </c>
      <c r="BA820" s="99" t="str">
        <f t="shared" ca="1" si="127"/>
        <v/>
      </c>
      <c r="BB820" s="97" t="str">
        <f t="shared" si="122"/>
        <v/>
      </c>
      <c r="BC820" s="101" t="str">
        <f t="shared" ca="1" si="128"/>
        <v/>
      </c>
      <c r="BD820" s="100" t="str">
        <f t="shared" si="123"/>
        <v/>
      </c>
      <c r="BE820" s="103" t="str">
        <f t="shared" ca="1" si="129"/>
        <v/>
      </c>
      <c r="BF820" s="102" t="str">
        <f t="shared" si="124"/>
        <v/>
      </c>
    </row>
    <row r="821" spans="48:58" hidden="1" x14ac:dyDescent="0.25">
      <c r="AV821">
        <v>796</v>
      </c>
      <c r="AW821" s="94" t="str">
        <f t="shared" ca="1" si="125"/>
        <v/>
      </c>
      <c r="AX821" s="95" t="str">
        <f t="shared" si="120"/>
        <v/>
      </c>
      <c r="AY821" s="98" t="str">
        <f t="shared" ca="1" si="126"/>
        <v/>
      </c>
      <c r="AZ821" s="96" t="str">
        <f t="shared" si="121"/>
        <v/>
      </c>
      <c r="BA821" s="99" t="str">
        <f t="shared" ca="1" si="127"/>
        <v/>
      </c>
      <c r="BB821" s="97" t="str">
        <f t="shared" si="122"/>
        <v/>
      </c>
      <c r="BC821" s="101" t="str">
        <f t="shared" ca="1" si="128"/>
        <v/>
      </c>
      <c r="BD821" s="100" t="str">
        <f t="shared" si="123"/>
        <v/>
      </c>
      <c r="BE821" s="103" t="str">
        <f t="shared" ca="1" si="129"/>
        <v/>
      </c>
      <c r="BF821" s="102" t="str">
        <f t="shared" si="124"/>
        <v/>
      </c>
    </row>
    <row r="822" spans="48:58" hidden="1" x14ac:dyDescent="0.25">
      <c r="AV822">
        <v>797</v>
      </c>
      <c r="AW822" s="94" t="str">
        <f t="shared" ca="1" si="125"/>
        <v/>
      </c>
      <c r="AX822" s="95" t="str">
        <f t="shared" si="120"/>
        <v/>
      </c>
      <c r="AY822" s="98" t="str">
        <f t="shared" ca="1" si="126"/>
        <v/>
      </c>
      <c r="AZ822" s="96" t="str">
        <f t="shared" si="121"/>
        <v/>
      </c>
      <c r="BA822" s="99" t="str">
        <f t="shared" ca="1" si="127"/>
        <v/>
      </c>
      <c r="BB822" s="97" t="str">
        <f t="shared" si="122"/>
        <v/>
      </c>
      <c r="BC822" s="101" t="str">
        <f t="shared" ca="1" si="128"/>
        <v/>
      </c>
      <c r="BD822" s="100" t="str">
        <f t="shared" si="123"/>
        <v/>
      </c>
      <c r="BE822" s="103" t="str">
        <f t="shared" ca="1" si="129"/>
        <v/>
      </c>
      <c r="BF822" s="102" t="str">
        <f t="shared" si="124"/>
        <v/>
      </c>
    </row>
    <row r="823" spans="48:58" hidden="1" x14ac:dyDescent="0.25">
      <c r="AV823">
        <v>798</v>
      </c>
      <c r="AW823" s="94" t="str">
        <f t="shared" ca="1" si="125"/>
        <v/>
      </c>
      <c r="AX823" s="95" t="str">
        <f t="shared" si="120"/>
        <v/>
      </c>
      <c r="AY823" s="98" t="str">
        <f t="shared" ca="1" si="126"/>
        <v/>
      </c>
      <c r="AZ823" s="96" t="str">
        <f t="shared" si="121"/>
        <v/>
      </c>
      <c r="BA823" s="99" t="str">
        <f t="shared" ca="1" si="127"/>
        <v/>
      </c>
      <c r="BB823" s="97" t="str">
        <f t="shared" si="122"/>
        <v/>
      </c>
      <c r="BC823" s="101" t="str">
        <f t="shared" ca="1" si="128"/>
        <v/>
      </c>
      <c r="BD823" s="100" t="str">
        <f t="shared" si="123"/>
        <v/>
      </c>
      <c r="BE823" s="103" t="str">
        <f t="shared" ca="1" si="129"/>
        <v/>
      </c>
      <c r="BF823" s="102" t="str">
        <f t="shared" si="124"/>
        <v/>
      </c>
    </row>
    <row r="824" spans="48:58" hidden="1" x14ac:dyDescent="0.25">
      <c r="AV824">
        <v>799</v>
      </c>
      <c r="AW824" s="94" t="str">
        <f t="shared" ca="1" si="125"/>
        <v/>
      </c>
      <c r="AX824" s="95" t="str">
        <f t="shared" si="120"/>
        <v/>
      </c>
      <c r="AY824" s="98" t="str">
        <f t="shared" ca="1" si="126"/>
        <v/>
      </c>
      <c r="AZ824" s="96" t="str">
        <f t="shared" si="121"/>
        <v/>
      </c>
      <c r="BA824" s="99" t="str">
        <f t="shared" ca="1" si="127"/>
        <v/>
      </c>
      <c r="BB824" s="97" t="str">
        <f t="shared" si="122"/>
        <v/>
      </c>
      <c r="BC824" s="101" t="str">
        <f t="shared" ca="1" si="128"/>
        <v/>
      </c>
      <c r="BD824" s="100" t="str">
        <f t="shared" si="123"/>
        <v/>
      </c>
      <c r="BE824" s="103" t="str">
        <f t="shared" ca="1" si="129"/>
        <v/>
      </c>
      <c r="BF824" s="102" t="str">
        <f t="shared" si="124"/>
        <v/>
      </c>
    </row>
    <row r="825" spans="48:58" hidden="1" x14ac:dyDescent="0.25">
      <c r="AV825">
        <v>800</v>
      </c>
      <c r="AW825" s="94" t="str">
        <f t="shared" ca="1" si="125"/>
        <v/>
      </c>
      <c r="AX825" s="95" t="str">
        <f t="shared" si="120"/>
        <v/>
      </c>
      <c r="AY825" s="98" t="str">
        <f t="shared" ca="1" si="126"/>
        <v/>
      </c>
      <c r="AZ825" s="96" t="str">
        <f t="shared" si="121"/>
        <v/>
      </c>
      <c r="BA825" s="99" t="str">
        <f t="shared" ca="1" si="127"/>
        <v/>
      </c>
      <c r="BB825" s="97" t="str">
        <f t="shared" si="122"/>
        <v/>
      </c>
      <c r="BC825" s="101" t="str">
        <f t="shared" ca="1" si="128"/>
        <v/>
      </c>
      <c r="BD825" s="100" t="str">
        <f t="shared" si="123"/>
        <v/>
      </c>
      <c r="BE825" s="103" t="str">
        <f t="shared" ca="1" si="129"/>
        <v/>
      </c>
      <c r="BF825" s="102" t="str">
        <f t="shared" si="124"/>
        <v/>
      </c>
    </row>
    <row r="826" spans="48:58" hidden="1" x14ac:dyDescent="0.25">
      <c r="AV826">
        <v>801</v>
      </c>
      <c r="AW826" s="94" t="str">
        <f t="shared" ca="1" si="125"/>
        <v/>
      </c>
      <c r="AX826" s="95" t="str">
        <f t="shared" si="120"/>
        <v/>
      </c>
      <c r="AY826" s="98" t="str">
        <f t="shared" ca="1" si="126"/>
        <v/>
      </c>
      <c r="AZ826" s="96" t="str">
        <f t="shared" si="121"/>
        <v/>
      </c>
      <c r="BA826" s="99" t="str">
        <f t="shared" ca="1" si="127"/>
        <v/>
      </c>
      <c r="BB826" s="97" t="str">
        <f t="shared" si="122"/>
        <v/>
      </c>
      <c r="BC826" s="101" t="str">
        <f t="shared" ca="1" si="128"/>
        <v/>
      </c>
      <c r="BD826" s="100" t="str">
        <f t="shared" si="123"/>
        <v/>
      </c>
      <c r="BE826" s="103" t="str">
        <f t="shared" ca="1" si="129"/>
        <v/>
      </c>
      <c r="BF826" s="102" t="str">
        <f t="shared" si="124"/>
        <v/>
      </c>
    </row>
    <row r="827" spans="48:58" hidden="1" x14ac:dyDescent="0.25">
      <c r="AV827">
        <v>802</v>
      </c>
      <c r="AW827" s="94" t="str">
        <f t="shared" ca="1" si="125"/>
        <v/>
      </c>
      <c r="AX827" s="95" t="str">
        <f t="shared" si="120"/>
        <v/>
      </c>
      <c r="AY827" s="98" t="str">
        <f t="shared" ca="1" si="126"/>
        <v/>
      </c>
      <c r="AZ827" s="96" t="str">
        <f t="shared" si="121"/>
        <v/>
      </c>
      <c r="BA827" s="99" t="str">
        <f t="shared" ca="1" si="127"/>
        <v/>
      </c>
      <c r="BB827" s="97" t="str">
        <f t="shared" si="122"/>
        <v/>
      </c>
      <c r="BC827" s="101" t="str">
        <f t="shared" ca="1" si="128"/>
        <v/>
      </c>
      <c r="BD827" s="100" t="str">
        <f t="shared" si="123"/>
        <v/>
      </c>
      <c r="BE827" s="103" t="str">
        <f t="shared" ca="1" si="129"/>
        <v/>
      </c>
      <c r="BF827" s="102" t="str">
        <f t="shared" si="124"/>
        <v/>
      </c>
    </row>
    <row r="828" spans="48:58" hidden="1" x14ac:dyDescent="0.25">
      <c r="AV828">
        <v>803</v>
      </c>
      <c r="AW828" s="94" t="str">
        <f t="shared" ca="1" si="125"/>
        <v/>
      </c>
      <c r="AX828" s="95" t="str">
        <f t="shared" si="120"/>
        <v/>
      </c>
      <c r="AY828" s="98" t="str">
        <f t="shared" ca="1" si="126"/>
        <v/>
      </c>
      <c r="AZ828" s="96" t="str">
        <f t="shared" si="121"/>
        <v/>
      </c>
      <c r="BA828" s="99" t="str">
        <f t="shared" ca="1" si="127"/>
        <v/>
      </c>
      <c r="BB828" s="97" t="str">
        <f t="shared" si="122"/>
        <v/>
      </c>
      <c r="BC828" s="101" t="str">
        <f t="shared" ca="1" si="128"/>
        <v/>
      </c>
      <c r="BD828" s="100" t="str">
        <f t="shared" si="123"/>
        <v/>
      </c>
      <c r="BE828" s="103" t="str">
        <f t="shared" ca="1" si="129"/>
        <v/>
      </c>
      <c r="BF828" s="102" t="str">
        <f t="shared" si="124"/>
        <v/>
      </c>
    </row>
    <row r="829" spans="48:58" hidden="1" x14ac:dyDescent="0.25">
      <c r="AV829">
        <v>804</v>
      </c>
      <c r="AW829" s="94" t="str">
        <f t="shared" ca="1" si="125"/>
        <v/>
      </c>
      <c r="AX829" s="95" t="str">
        <f t="shared" si="120"/>
        <v/>
      </c>
      <c r="AY829" s="98" t="str">
        <f t="shared" ca="1" si="126"/>
        <v/>
      </c>
      <c r="AZ829" s="96" t="str">
        <f t="shared" si="121"/>
        <v/>
      </c>
      <c r="BA829" s="99" t="str">
        <f t="shared" ca="1" si="127"/>
        <v/>
      </c>
      <c r="BB829" s="97" t="str">
        <f t="shared" si="122"/>
        <v/>
      </c>
      <c r="BC829" s="101" t="str">
        <f t="shared" ca="1" si="128"/>
        <v/>
      </c>
      <c r="BD829" s="100" t="str">
        <f t="shared" si="123"/>
        <v/>
      </c>
      <c r="BE829" s="103" t="str">
        <f t="shared" ca="1" si="129"/>
        <v/>
      </c>
      <c r="BF829" s="102" t="str">
        <f t="shared" si="124"/>
        <v/>
      </c>
    </row>
    <row r="830" spans="48:58" hidden="1" x14ac:dyDescent="0.25">
      <c r="AV830">
        <v>805</v>
      </c>
      <c r="AW830" s="94" t="str">
        <f t="shared" ca="1" si="125"/>
        <v/>
      </c>
      <c r="AX830" s="95" t="str">
        <f t="shared" si="120"/>
        <v/>
      </c>
      <c r="AY830" s="98" t="str">
        <f t="shared" ca="1" si="126"/>
        <v/>
      </c>
      <c r="AZ830" s="96" t="str">
        <f t="shared" si="121"/>
        <v/>
      </c>
      <c r="BA830" s="99" t="str">
        <f t="shared" ca="1" si="127"/>
        <v/>
      </c>
      <c r="BB830" s="97" t="str">
        <f t="shared" si="122"/>
        <v/>
      </c>
      <c r="BC830" s="101" t="str">
        <f t="shared" ca="1" si="128"/>
        <v/>
      </c>
      <c r="BD830" s="100" t="str">
        <f t="shared" si="123"/>
        <v/>
      </c>
      <c r="BE830" s="103" t="str">
        <f t="shared" ca="1" si="129"/>
        <v/>
      </c>
      <c r="BF830" s="102" t="str">
        <f t="shared" si="124"/>
        <v/>
      </c>
    </row>
    <row r="831" spans="48:58" hidden="1" x14ac:dyDescent="0.25">
      <c r="AV831">
        <v>806</v>
      </c>
      <c r="AW831" s="94" t="str">
        <f t="shared" ca="1" si="125"/>
        <v/>
      </c>
      <c r="AX831" s="95" t="str">
        <f t="shared" si="120"/>
        <v/>
      </c>
      <c r="AY831" s="98" t="str">
        <f t="shared" ca="1" si="126"/>
        <v/>
      </c>
      <c r="AZ831" s="96" t="str">
        <f t="shared" si="121"/>
        <v/>
      </c>
      <c r="BA831" s="99" t="str">
        <f t="shared" ca="1" si="127"/>
        <v/>
      </c>
      <c r="BB831" s="97" t="str">
        <f t="shared" si="122"/>
        <v/>
      </c>
      <c r="BC831" s="101" t="str">
        <f t="shared" ca="1" si="128"/>
        <v/>
      </c>
      <c r="BD831" s="100" t="str">
        <f t="shared" si="123"/>
        <v/>
      </c>
      <c r="BE831" s="103" t="str">
        <f t="shared" ca="1" si="129"/>
        <v/>
      </c>
      <c r="BF831" s="102" t="str">
        <f t="shared" si="124"/>
        <v/>
      </c>
    </row>
    <row r="832" spans="48:58" hidden="1" x14ac:dyDescent="0.25">
      <c r="AV832">
        <v>807</v>
      </c>
      <c r="AW832" s="94" t="str">
        <f t="shared" ca="1" si="125"/>
        <v/>
      </c>
      <c r="AX832" s="95" t="str">
        <f t="shared" si="120"/>
        <v/>
      </c>
      <c r="AY832" s="98" t="str">
        <f t="shared" ca="1" si="126"/>
        <v/>
      </c>
      <c r="AZ832" s="96" t="str">
        <f t="shared" si="121"/>
        <v/>
      </c>
      <c r="BA832" s="99" t="str">
        <f t="shared" ca="1" si="127"/>
        <v/>
      </c>
      <c r="BB832" s="97" t="str">
        <f t="shared" si="122"/>
        <v/>
      </c>
      <c r="BC832" s="101" t="str">
        <f t="shared" ca="1" si="128"/>
        <v/>
      </c>
      <c r="BD832" s="100" t="str">
        <f t="shared" si="123"/>
        <v/>
      </c>
      <c r="BE832" s="103" t="str">
        <f t="shared" ca="1" si="129"/>
        <v/>
      </c>
      <c r="BF832" s="102" t="str">
        <f t="shared" si="124"/>
        <v/>
      </c>
    </row>
    <row r="833" spans="48:58" hidden="1" x14ac:dyDescent="0.25">
      <c r="AV833">
        <v>808</v>
      </c>
      <c r="AW833" s="94" t="str">
        <f t="shared" ca="1" si="125"/>
        <v/>
      </c>
      <c r="AX833" s="95" t="str">
        <f t="shared" si="120"/>
        <v/>
      </c>
      <c r="AY833" s="98" t="str">
        <f t="shared" ca="1" si="126"/>
        <v/>
      </c>
      <c r="AZ833" s="96" t="str">
        <f t="shared" si="121"/>
        <v/>
      </c>
      <c r="BA833" s="99" t="str">
        <f t="shared" ca="1" si="127"/>
        <v/>
      </c>
      <c r="BB833" s="97" t="str">
        <f t="shared" si="122"/>
        <v/>
      </c>
      <c r="BC833" s="101" t="str">
        <f t="shared" ca="1" si="128"/>
        <v/>
      </c>
      <c r="BD833" s="100" t="str">
        <f t="shared" si="123"/>
        <v/>
      </c>
      <c r="BE833" s="103" t="str">
        <f t="shared" ca="1" si="129"/>
        <v/>
      </c>
      <c r="BF833" s="102" t="str">
        <f t="shared" si="124"/>
        <v/>
      </c>
    </row>
    <row r="834" spans="48:58" hidden="1" x14ac:dyDescent="0.25">
      <c r="AV834">
        <v>809</v>
      </c>
      <c r="AW834" s="94" t="str">
        <f t="shared" ca="1" si="125"/>
        <v/>
      </c>
      <c r="AX834" s="95" t="str">
        <f t="shared" si="120"/>
        <v/>
      </c>
      <c r="AY834" s="98" t="str">
        <f t="shared" ca="1" si="126"/>
        <v/>
      </c>
      <c r="AZ834" s="96" t="str">
        <f t="shared" si="121"/>
        <v/>
      </c>
      <c r="BA834" s="99" t="str">
        <f t="shared" ca="1" si="127"/>
        <v/>
      </c>
      <c r="BB834" s="97" t="str">
        <f t="shared" si="122"/>
        <v/>
      </c>
      <c r="BC834" s="101" t="str">
        <f t="shared" ca="1" si="128"/>
        <v/>
      </c>
      <c r="BD834" s="100" t="str">
        <f t="shared" si="123"/>
        <v/>
      </c>
      <c r="BE834" s="103" t="str">
        <f t="shared" ca="1" si="129"/>
        <v/>
      </c>
      <c r="BF834" s="102" t="str">
        <f t="shared" si="124"/>
        <v/>
      </c>
    </row>
    <row r="835" spans="48:58" hidden="1" x14ac:dyDescent="0.25">
      <c r="AV835">
        <v>810</v>
      </c>
      <c r="AW835" s="94" t="str">
        <f t="shared" ca="1" si="125"/>
        <v/>
      </c>
      <c r="AX835" s="95" t="str">
        <f t="shared" si="120"/>
        <v/>
      </c>
      <c r="AY835" s="98" t="str">
        <f t="shared" ca="1" si="126"/>
        <v/>
      </c>
      <c r="AZ835" s="96" t="str">
        <f t="shared" si="121"/>
        <v/>
      </c>
      <c r="BA835" s="99" t="str">
        <f t="shared" ca="1" si="127"/>
        <v/>
      </c>
      <c r="BB835" s="97" t="str">
        <f t="shared" si="122"/>
        <v/>
      </c>
      <c r="BC835" s="101" t="str">
        <f t="shared" ca="1" si="128"/>
        <v/>
      </c>
      <c r="BD835" s="100" t="str">
        <f t="shared" si="123"/>
        <v/>
      </c>
      <c r="BE835" s="103" t="str">
        <f t="shared" ca="1" si="129"/>
        <v/>
      </c>
      <c r="BF835" s="102" t="str">
        <f t="shared" si="124"/>
        <v/>
      </c>
    </row>
    <row r="836" spans="48:58" hidden="1" x14ac:dyDescent="0.25">
      <c r="AV836">
        <v>811</v>
      </c>
      <c r="AW836" s="94" t="str">
        <f t="shared" ca="1" si="125"/>
        <v/>
      </c>
      <c r="AX836" s="95" t="str">
        <f t="shared" si="120"/>
        <v/>
      </c>
      <c r="AY836" s="98" t="str">
        <f t="shared" ca="1" si="126"/>
        <v/>
      </c>
      <c r="AZ836" s="96" t="str">
        <f t="shared" si="121"/>
        <v/>
      </c>
      <c r="BA836" s="99" t="str">
        <f t="shared" ca="1" si="127"/>
        <v/>
      </c>
      <c r="BB836" s="97" t="str">
        <f t="shared" si="122"/>
        <v/>
      </c>
      <c r="BC836" s="101" t="str">
        <f t="shared" ca="1" si="128"/>
        <v/>
      </c>
      <c r="BD836" s="100" t="str">
        <f t="shared" si="123"/>
        <v/>
      </c>
      <c r="BE836" s="103" t="str">
        <f t="shared" ca="1" si="129"/>
        <v/>
      </c>
      <c r="BF836" s="102" t="str">
        <f t="shared" si="124"/>
        <v/>
      </c>
    </row>
    <row r="837" spans="48:58" hidden="1" x14ac:dyDescent="0.25">
      <c r="AV837">
        <v>812</v>
      </c>
      <c r="AW837" s="94" t="str">
        <f t="shared" ca="1" si="125"/>
        <v/>
      </c>
      <c r="AX837" s="95" t="str">
        <f t="shared" si="120"/>
        <v/>
      </c>
      <c r="AY837" s="98" t="str">
        <f t="shared" ca="1" si="126"/>
        <v/>
      </c>
      <c r="AZ837" s="96" t="str">
        <f t="shared" si="121"/>
        <v/>
      </c>
      <c r="BA837" s="99" t="str">
        <f t="shared" ca="1" si="127"/>
        <v/>
      </c>
      <c r="BB837" s="97" t="str">
        <f t="shared" si="122"/>
        <v/>
      </c>
      <c r="BC837" s="101" t="str">
        <f t="shared" ca="1" si="128"/>
        <v/>
      </c>
      <c r="BD837" s="100" t="str">
        <f t="shared" si="123"/>
        <v/>
      </c>
      <c r="BE837" s="103" t="str">
        <f t="shared" ca="1" si="129"/>
        <v/>
      </c>
      <c r="BF837" s="102" t="str">
        <f t="shared" si="124"/>
        <v/>
      </c>
    </row>
    <row r="838" spans="48:58" hidden="1" x14ac:dyDescent="0.25">
      <c r="AV838">
        <v>813</v>
      </c>
      <c r="AW838" s="94" t="str">
        <f t="shared" ca="1" si="125"/>
        <v/>
      </c>
      <c r="AX838" s="95" t="str">
        <f t="shared" si="120"/>
        <v/>
      </c>
      <c r="AY838" s="98" t="str">
        <f t="shared" ca="1" si="126"/>
        <v/>
      </c>
      <c r="AZ838" s="96" t="str">
        <f t="shared" si="121"/>
        <v/>
      </c>
      <c r="BA838" s="99" t="str">
        <f t="shared" ca="1" si="127"/>
        <v/>
      </c>
      <c r="BB838" s="97" t="str">
        <f t="shared" si="122"/>
        <v/>
      </c>
      <c r="BC838" s="101" t="str">
        <f t="shared" ca="1" si="128"/>
        <v/>
      </c>
      <c r="BD838" s="100" t="str">
        <f t="shared" si="123"/>
        <v/>
      </c>
      <c r="BE838" s="103" t="str">
        <f t="shared" ca="1" si="129"/>
        <v/>
      </c>
      <c r="BF838" s="102" t="str">
        <f t="shared" si="124"/>
        <v/>
      </c>
    </row>
    <row r="839" spans="48:58" hidden="1" x14ac:dyDescent="0.25">
      <c r="AV839">
        <v>814</v>
      </c>
      <c r="AW839" s="94" t="str">
        <f t="shared" ca="1" si="125"/>
        <v/>
      </c>
      <c r="AX839" s="95" t="str">
        <f t="shared" si="120"/>
        <v/>
      </c>
      <c r="AY839" s="98" t="str">
        <f t="shared" ca="1" si="126"/>
        <v/>
      </c>
      <c r="AZ839" s="96" t="str">
        <f t="shared" si="121"/>
        <v/>
      </c>
      <c r="BA839" s="99" t="str">
        <f t="shared" ca="1" si="127"/>
        <v/>
      </c>
      <c r="BB839" s="97" t="str">
        <f t="shared" si="122"/>
        <v/>
      </c>
      <c r="BC839" s="101" t="str">
        <f t="shared" ca="1" si="128"/>
        <v/>
      </c>
      <c r="BD839" s="100" t="str">
        <f t="shared" si="123"/>
        <v/>
      </c>
      <c r="BE839" s="103" t="str">
        <f t="shared" ca="1" si="129"/>
        <v/>
      </c>
      <c r="BF839" s="102" t="str">
        <f t="shared" si="124"/>
        <v/>
      </c>
    </row>
    <row r="840" spans="48:58" hidden="1" x14ac:dyDescent="0.25">
      <c r="AV840">
        <v>815</v>
      </c>
      <c r="AW840" s="94" t="str">
        <f t="shared" ca="1" si="125"/>
        <v/>
      </c>
      <c r="AX840" s="95" t="str">
        <f t="shared" si="120"/>
        <v/>
      </c>
      <c r="AY840" s="98" t="str">
        <f t="shared" ca="1" si="126"/>
        <v/>
      </c>
      <c r="AZ840" s="96" t="str">
        <f t="shared" si="121"/>
        <v/>
      </c>
      <c r="BA840" s="99" t="str">
        <f t="shared" ca="1" si="127"/>
        <v/>
      </c>
      <c r="BB840" s="97" t="str">
        <f t="shared" si="122"/>
        <v/>
      </c>
      <c r="BC840" s="101" t="str">
        <f t="shared" ca="1" si="128"/>
        <v/>
      </c>
      <c r="BD840" s="100" t="str">
        <f t="shared" si="123"/>
        <v/>
      </c>
      <c r="BE840" s="103" t="str">
        <f t="shared" ca="1" si="129"/>
        <v/>
      </c>
      <c r="BF840" s="102" t="str">
        <f t="shared" si="124"/>
        <v/>
      </c>
    </row>
    <row r="841" spans="48:58" hidden="1" x14ac:dyDescent="0.25">
      <c r="AV841">
        <v>816</v>
      </c>
      <c r="AW841" s="94" t="str">
        <f t="shared" ca="1" si="125"/>
        <v/>
      </c>
      <c r="AX841" s="95" t="str">
        <f t="shared" si="120"/>
        <v/>
      </c>
      <c r="AY841" s="98" t="str">
        <f t="shared" ca="1" si="126"/>
        <v/>
      </c>
      <c r="AZ841" s="96" t="str">
        <f t="shared" si="121"/>
        <v/>
      </c>
      <c r="BA841" s="99" t="str">
        <f t="shared" ca="1" si="127"/>
        <v/>
      </c>
      <c r="BB841" s="97" t="str">
        <f t="shared" si="122"/>
        <v/>
      </c>
      <c r="BC841" s="101" t="str">
        <f t="shared" ca="1" si="128"/>
        <v/>
      </c>
      <c r="BD841" s="100" t="str">
        <f t="shared" si="123"/>
        <v/>
      </c>
      <c r="BE841" s="103" t="str">
        <f t="shared" ca="1" si="129"/>
        <v/>
      </c>
      <c r="BF841" s="102" t="str">
        <f t="shared" si="124"/>
        <v/>
      </c>
    </row>
    <row r="842" spans="48:58" hidden="1" x14ac:dyDescent="0.25">
      <c r="AV842">
        <v>817</v>
      </c>
      <c r="AW842" s="94" t="str">
        <f t="shared" ca="1" si="125"/>
        <v/>
      </c>
      <c r="AX842" s="95" t="str">
        <f t="shared" si="120"/>
        <v/>
      </c>
      <c r="AY842" s="98" t="str">
        <f t="shared" ca="1" si="126"/>
        <v/>
      </c>
      <c r="AZ842" s="96" t="str">
        <f t="shared" si="121"/>
        <v/>
      </c>
      <c r="BA842" s="99" t="str">
        <f t="shared" ca="1" si="127"/>
        <v/>
      </c>
      <c r="BB842" s="97" t="str">
        <f t="shared" si="122"/>
        <v/>
      </c>
      <c r="BC842" s="101" t="str">
        <f t="shared" ca="1" si="128"/>
        <v/>
      </c>
      <c r="BD842" s="100" t="str">
        <f t="shared" si="123"/>
        <v/>
      </c>
      <c r="BE842" s="103" t="str">
        <f t="shared" ca="1" si="129"/>
        <v/>
      </c>
      <c r="BF842" s="102" t="str">
        <f t="shared" si="124"/>
        <v/>
      </c>
    </row>
    <row r="843" spans="48:58" hidden="1" x14ac:dyDescent="0.25">
      <c r="AV843">
        <v>818</v>
      </c>
      <c r="AW843" s="94" t="str">
        <f t="shared" ca="1" si="125"/>
        <v/>
      </c>
      <c r="AX843" s="95" t="str">
        <f t="shared" si="120"/>
        <v/>
      </c>
      <c r="AY843" s="98" t="str">
        <f t="shared" ca="1" si="126"/>
        <v/>
      </c>
      <c r="AZ843" s="96" t="str">
        <f t="shared" si="121"/>
        <v/>
      </c>
      <c r="BA843" s="99" t="str">
        <f t="shared" ca="1" si="127"/>
        <v/>
      </c>
      <c r="BB843" s="97" t="str">
        <f t="shared" si="122"/>
        <v/>
      </c>
      <c r="BC843" s="101" t="str">
        <f t="shared" ca="1" si="128"/>
        <v/>
      </c>
      <c r="BD843" s="100" t="str">
        <f t="shared" si="123"/>
        <v/>
      </c>
      <c r="BE843" s="103" t="str">
        <f t="shared" ca="1" si="129"/>
        <v/>
      </c>
      <c r="BF843" s="102" t="str">
        <f t="shared" si="124"/>
        <v/>
      </c>
    </row>
    <row r="844" spans="48:58" hidden="1" x14ac:dyDescent="0.25">
      <c r="AV844">
        <v>819</v>
      </c>
      <c r="AW844" s="94" t="str">
        <f t="shared" ca="1" si="125"/>
        <v/>
      </c>
      <c r="AX844" s="95" t="str">
        <f t="shared" si="120"/>
        <v/>
      </c>
      <c r="AY844" s="98" t="str">
        <f t="shared" ca="1" si="126"/>
        <v/>
      </c>
      <c r="AZ844" s="96" t="str">
        <f t="shared" si="121"/>
        <v/>
      </c>
      <c r="BA844" s="99" t="str">
        <f t="shared" ca="1" si="127"/>
        <v/>
      </c>
      <c r="BB844" s="97" t="str">
        <f t="shared" si="122"/>
        <v/>
      </c>
      <c r="BC844" s="101" t="str">
        <f t="shared" ca="1" si="128"/>
        <v/>
      </c>
      <c r="BD844" s="100" t="str">
        <f t="shared" si="123"/>
        <v/>
      </c>
      <c r="BE844" s="103" t="str">
        <f t="shared" ca="1" si="129"/>
        <v/>
      </c>
      <c r="BF844" s="102" t="str">
        <f t="shared" si="124"/>
        <v/>
      </c>
    </row>
    <row r="845" spans="48:58" hidden="1" x14ac:dyDescent="0.25">
      <c r="AV845">
        <v>820</v>
      </c>
      <c r="AW845" s="94" t="str">
        <f t="shared" ca="1" si="125"/>
        <v/>
      </c>
      <c r="AX845" s="95" t="str">
        <f t="shared" si="120"/>
        <v/>
      </c>
      <c r="AY845" s="98" t="str">
        <f t="shared" ca="1" si="126"/>
        <v/>
      </c>
      <c r="AZ845" s="96" t="str">
        <f t="shared" si="121"/>
        <v/>
      </c>
      <c r="BA845" s="99" t="str">
        <f t="shared" ca="1" si="127"/>
        <v/>
      </c>
      <c r="BB845" s="97" t="str">
        <f t="shared" si="122"/>
        <v/>
      </c>
      <c r="BC845" s="101" t="str">
        <f t="shared" ca="1" si="128"/>
        <v/>
      </c>
      <c r="BD845" s="100" t="str">
        <f t="shared" si="123"/>
        <v/>
      </c>
      <c r="BE845" s="103" t="str">
        <f t="shared" ca="1" si="129"/>
        <v/>
      </c>
      <c r="BF845" s="102" t="str">
        <f t="shared" si="124"/>
        <v/>
      </c>
    </row>
    <row r="846" spans="48:58" hidden="1" x14ac:dyDescent="0.25">
      <c r="AV846">
        <v>821</v>
      </c>
      <c r="AW846" s="94" t="str">
        <f t="shared" ca="1" si="125"/>
        <v/>
      </c>
      <c r="AX846" s="95" t="str">
        <f t="shared" si="120"/>
        <v/>
      </c>
      <c r="AY846" s="98" t="str">
        <f t="shared" ca="1" si="126"/>
        <v/>
      </c>
      <c r="AZ846" s="96" t="str">
        <f t="shared" si="121"/>
        <v/>
      </c>
      <c r="BA846" s="99" t="str">
        <f t="shared" ca="1" si="127"/>
        <v/>
      </c>
      <c r="BB846" s="97" t="str">
        <f t="shared" si="122"/>
        <v/>
      </c>
      <c r="BC846" s="101" t="str">
        <f t="shared" ca="1" si="128"/>
        <v/>
      </c>
      <c r="BD846" s="100" t="str">
        <f t="shared" si="123"/>
        <v/>
      </c>
      <c r="BE846" s="103" t="str">
        <f t="shared" ca="1" si="129"/>
        <v/>
      </c>
      <c r="BF846" s="102" t="str">
        <f t="shared" si="124"/>
        <v/>
      </c>
    </row>
    <row r="847" spans="48:58" hidden="1" x14ac:dyDescent="0.25">
      <c r="AV847">
        <v>822</v>
      </c>
      <c r="AW847" s="94" t="str">
        <f t="shared" ca="1" si="125"/>
        <v/>
      </c>
      <c r="AX847" s="95" t="str">
        <f t="shared" si="120"/>
        <v/>
      </c>
      <c r="AY847" s="98" t="str">
        <f t="shared" ca="1" si="126"/>
        <v/>
      </c>
      <c r="AZ847" s="96" t="str">
        <f t="shared" si="121"/>
        <v/>
      </c>
      <c r="BA847" s="99" t="str">
        <f t="shared" ca="1" si="127"/>
        <v/>
      </c>
      <c r="BB847" s="97" t="str">
        <f t="shared" si="122"/>
        <v/>
      </c>
      <c r="BC847" s="101" t="str">
        <f t="shared" ca="1" si="128"/>
        <v/>
      </c>
      <c r="BD847" s="100" t="str">
        <f t="shared" si="123"/>
        <v/>
      </c>
      <c r="BE847" s="103" t="str">
        <f t="shared" ca="1" si="129"/>
        <v/>
      </c>
      <c r="BF847" s="102" t="str">
        <f t="shared" si="124"/>
        <v/>
      </c>
    </row>
    <row r="848" spans="48:58" hidden="1" x14ac:dyDescent="0.25">
      <c r="AV848">
        <v>823</v>
      </c>
      <c r="AW848" s="94" t="str">
        <f t="shared" ca="1" si="125"/>
        <v/>
      </c>
      <c r="AX848" s="95" t="str">
        <f t="shared" si="120"/>
        <v/>
      </c>
      <c r="AY848" s="98" t="str">
        <f t="shared" ca="1" si="126"/>
        <v/>
      </c>
      <c r="AZ848" s="96" t="str">
        <f t="shared" si="121"/>
        <v/>
      </c>
      <c r="BA848" s="99" t="str">
        <f t="shared" ca="1" si="127"/>
        <v/>
      </c>
      <c r="BB848" s="97" t="str">
        <f t="shared" si="122"/>
        <v/>
      </c>
      <c r="BC848" s="101" t="str">
        <f t="shared" ca="1" si="128"/>
        <v/>
      </c>
      <c r="BD848" s="100" t="str">
        <f t="shared" si="123"/>
        <v/>
      </c>
      <c r="BE848" s="103" t="str">
        <f t="shared" ca="1" si="129"/>
        <v/>
      </c>
      <c r="BF848" s="102" t="str">
        <f t="shared" si="124"/>
        <v/>
      </c>
    </row>
    <row r="849" spans="48:58" hidden="1" x14ac:dyDescent="0.25">
      <c r="AV849">
        <v>824</v>
      </c>
      <c r="AW849" s="94" t="str">
        <f t="shared" ca="1" si="125"/>
        <v/>
      </c>
      <c r="AX849" s="95" t="str">
        <f t="shared" si="120"/>
        <v/>
      </c>
      <c r="AY849" s="98" t="str">
        <f t="shared" ca="1" si="126"/>
        <v/>
      </c>
      <c r="AZ849" s="96" t="str">
        <f t="shared" si="121"/>
        <v/>
      </c>
      <c r="BA849" s="99" t="str">
        <f t="shared" ca="1" si="127"/>
        <v/>
      </c>
      <c r="BB849" s="97" t="str">
        <f t="shared" si="122"/>
        <v/>
      </c>
      <c r="BC849" s="101" t="str">
        <f t="shared" ca="1" si="128"/>
        <v/>
      </c>
      <c r="BD849" s="100" t="str">
        <f t="shared" si="123"/>
        <v/>
      </c>
      <c r="BE849" s="103" t="str">
        <f t="shared" ca="1" si="129"/>
        <v/>
      </c>
      <c r="BF849" s="102" t="str">
        <f t="shared" si="124"/>
        <v/>
      </c>
    </row>
    <row r="850" spans="48:58" hidden="1" x14ac:dyDescent="0.25">
      <c r="AV850">
        <v>825</v>
      </c>
      <c r="AW850" s="94" t="str">
        <f t="shared" ca="1" si="125"/>
        <v/>
      </c>
      <c r="AX850" s="95" t="str">
        <f t="shared" si="120"/>
        <v/>
      </c>
      <c r="AY850" s="98" t="str">
        <f t="shared" ca="1" si="126"/>
        <v/>
      </c>
      <c r="AZ850" s="96" t="str">
        <f t="shared" si="121"/>
        <v/>
      </c>
      <c r="BA850" s="99" t="str">
        <f t="shared" ca="1" si="127"/>
        <v/>
      </c>
      <c r="BB850" s="97" t="str">
        <f t="shared" si="122"/>
        <v/>
      </c>
      <c r="BC850" s="101" t="str">
        <f t="shared" ca="1" si="128"/>
        <v/>
      </c>
      <c r="BD850" s="100" t="str">
        <f t="shared" si="123"/>
        <v/>
      </c>
      <c r="BE850" s="103" t="str">
        <f t="shared" ca="1" si="129"/>
        <v/>
      </c>
      <c r="BF850" s="102" t="str">
        <f t="shared" si="124"/>
        <v/>
      </c>
    </row>
    <row r="851" spans="48:58" hidden="1" x14ac:dyDescent="0.25">
      <c r="AV851">
        <v>826</v>
      </c>
      <c r="AW851" s="94" t="str">
        <f t="shared" ca="1" si="125"/>
        <v/>
      </c>
      <c r="AX851" s="95" t="str">
        <f t="shared" si="120"/>
        <v/>
      </c>
      <c r="AY851" s="98" t="str">
        <f t="shared" ca="1" si="126"/>
        <v/>
      </c>
      <c r="AZ851" s="96" t="str">
        <f t="shared" si="121"/>
        <v/>
      </c>
      <c r="BA851" s="99" t="str">
        <f t="shared" ca="1" si="127"/>
        <v/>
      </c>
      <c r="BB851" s="97" t="str">
        <f t="shared" si="122"/>
        <v/>
      </c>
      <c r="BC851" s="101" t="str">
        <f t="shared" ca="1" si="128"/>
        <v/>
      </c>
      <c r="BD851" s="100" t="str">
        <f t="shared" si="123"/>
        <v/>
      </c>
      <c r="BE851" s="103" t="str">
        <f t="shared" ca="1" si="129"/>
        <v/>
      </c>
      <c r="BF851" s="102" t="str">
        <f t="shared" si="124"/>
        <v/>
      </c>
    </row>
    <row r="852" spans="48:58" hidden="1" x14ac:dyDescent="0.25">
      <c r="AV852">
        <v>827</v>
      </c>
      <c r="AW852" s="94" t="str">
        <f t="shared" ca="1" si="125"/>
        <v/>
      </c>
      <c r="AX852" s="95" t="str">
        <f t="shared" si="120"/>
        <v/>
      </c>
      <c r="AY852" s="98" t="str">
        <f t="shared" ca="1" si="126"/>
        <v/>
      </c>
      <c r="AZ852" s="96" t="str">
        <f t="shared" si="121"/>
        <v/>
      </c>
      <c r="BA852" s="99" t="str">
        <f t="shared" ca="1" si="127"/>
        <v/>
      </c>
      <c r="BB852" s="97" t="str">
        <f t="shared" si="122"/>
        <v/>
      </c>
      <c r="BC852" s="101" t="str">
        <f t="shared" ca="1" si="128"/>
        <v/>
      </c>
      <c r="BD852" s="100" t="str">
        <f t="shared" si="123"/>
        <v/>
      </c>
      <c r="BE852" s="103" t="str">
        <f t="shared" ca="1" si="129"/>
        <v/>
      </c>
      <c r="BF852" s="102" t="str">
        <f t="shared" si="124"/>
        <v/>
      </c>
    </row>
    <row r="853" spans="48:58" hidden="1" x14ac:dyDescent="0.25">
      <c r="AV853">
        <v>828</v>
      </c>
      <c r="AW853" s="94" t="str">
        <f t="shared" ca="1" si="125"/>
        <v/>
      </c>
      <c r="AX853" s="95" t="str">
        <f t="shared" si="120"/>
        <v/>
      </c>
      <c r="AY853" s="98" t="str">
        <f t="shared" ca="1" si="126"/>
        <v/>
      </c>
      <c r="AZ853" s="96" t="str">
        <f t="shared" si="121"/>
        <v/>
      </c>
      <c r="BA853" s="99" t="str">
        <f t="shared" ca="1" si="127"/>
        <v/>
      </c>
      <c r="BB853" s="97" t="str">
        <f t="shared" si="122"/>
        <v/>
      </c>
      <c r="BC853" s="101" t="str">
        <f t="shared" ca="1" si="128"/>
        <v/>
      </c>
      <c r="BD853" s="100" t="str">
        <f t="shared" si="123"/>
        <v/>
      </c>
      <c r="BE853" s="103" t="str">
        <f t="shared" ca="1" si="129"/>
        <v/>
      </c>
      <c r="BF853" s="102" t="str">
        <f t="shared" si="124"/>
        <v/>
      </c>
    </row>
    <row r="854" spans="48:58" hidden="1" x14ac:dyDescent="0.25">
      <c r="AV854">
        <v>829</v>
      </c>
      <c r="AW854" s="94" t="str">
        <f t="shared" ca="1" si="125"/>
        <v/>
      </c>
      <c r="AX854" s="95" t="str">
        <f t="shared" si="120"/>
        <v/>
      </c>
      <c r="AY854" s="98" t="str">
        <f t="shared" ca="1" si="126"/>
        <v/>
      </c>
      <c r="AZ854" s="96" t="str">
        <f t="shared" si="121"/>
        <v/>
      </c>
      <c r="BA854" s="99" t="str">
        <f t="shared" ca="1" si="127"/>
        <v/>
      </c>
      <c r="BB854" s="97" t="str">
        <f t="shared" si="122"/>
        <v/>
      </c>
      <c r="BC854" s="101" t="str">
        <f t="shared" ca="1" si="128"/>
        <v/>
      </c>
      <c r="BD854" s="100" t="str">
        <f t="shared" si="123"/>
        <v/>
      </c>
      <c r="BE854" s="103" t="str">
        <f t="shared" ca="1" si="129"/>
        <v/>
      </c>
      <c r="BF854" s="102" t="str">
        <f t="shared" si="124"/>
        <v/>
      </c>
    </row>
    <row r="855" spans="48:58" hidden="1" x14ac:dyDescent="0.25">
      <c r="AV855">
        <v>830</v>
      </c>
      <c r="AW855" s="94" t="str">
        <f t="shared" ca="1" si="125"/>
        <v/>
      </c>
      <c r="AX855" s="95" t="str">
        <f t="shared" si="120"/>
        <v/>
      </c>
      <c r="AY855" s="98" t="str">
        <f t="shared" ca="1" si="126"/>
        <v/>
      </c>
      <c r="AZ855" s="96" t="str">
        <f t="shared" si="121"/>
        <v/>
      </c>
      <c r="BA855" s="99" t="str">
        <f t="shared" ca="1" si="127"/>
        <v/>
      </c>
      <c r="BB855" s="97" t="str">
        <f t="shared" si="122"/>
        <v/>
      </c>
      <c r="BC855" s="101" t="str">
        <f t="shared" ca="1" si="128"/>
        <v/>
      </c>
      <c r="BD855" s="100" t="str">
        <f t="shared" si="123"/>
        <v/>
      </c>
      <c r="BE855" s="103" t="str">
        <f t="shared" ca="1" si="129"/>
        <v/>
      </c>
      <c r="BF855" s="102" t="str">
        <f t="shared" si="124"/>
        <v/>
      </c>
    </row>
    <row r="856" spans="48:58" hidden="1" x14ac:dyDescent="0.25">
      <c r="AV856">
        <v>831</v>
      </c>
      <c r="AW856" s="94" t="str">
        <f t="shared" ca="1" si="125"/>
        <v/>
      </c>
      <c r="AX856" s="95" t="str">
        <f t="shared" si="120"/>
        <v/>
      </c>
      <c r="AY856" s="98" t="str">
        <f t="shared" ca="1" si="126"/>
        <v/>
      </c>
      <c r="AZ856" s="96" t="str">
        <f t="shared" si="121"/>
        <v/>
      </c>
      <c r="BA856" s="99" t="str">
        <f t="shared" ca="1" si="127"/>
        <v/>
      </c>
      <c r="BB856" s="97" t="str">
        <f t="shared" si="122"/>
        <v/>
      </c>
      <c r="BC856" s="101" t="str">
        <f t="shared" ca="1" si="128"/>
        <v/>
      </c>
      <c r="BD856" s="100" t="str">
        <f t="shared" si="123"/>
        <v/>
      </c>
      <c r="BE856" s="103" t="str">
        <f t="shared" ca="1" si="129"/>
        <v/>
      </c>
      <c r="BF856" s="102" t="str">
        <f t="shared" si="124"/>
        <v/>
      </c>
    </row>
    <row r="857" spans="48:58" hidden="1" x14ac:dyDescent="0.25">
      <c r="AV857">
        <v>832</v>
      </c>
      <c r="AW857" s="94" t="str">
        <f t="shared" ca="1" si="125"/>
        <v/>
      </c>
      <c r="AX857" s="95" t="str">
        <f t="shared" si="120"/>
        <v/>
      </c>
      <c r="AY857" s="98" t="str">
        <f t="shared" ca="1" si="126"/>
        <v/>
      </c>
      <c r="AZ857" s="96" t="str">
        <f t="shared" si="121"/>
        <v/>
      </c>
      <c r="BA857" s="99" t="str">
        <f t="shared" ca="1" si="127"/>
        <v/>
      </c>
      <c r="BB857" s="97" t="str">
        <f t="shared" si="122"/>
        <v/>
      </c>
      <c r="BC857" s="101" t="str">
        <f t="shared" ca="1" si="128"/>
        <v/>
      </c>
      <c r="BD857" s="100" t="str">
        <f t="shared" si="123"/>
        <v/>
      </c>
      <c r="BE857" s="103" t="str">
        <f t="shared" ca="1" si="129"/>
        <v/>
      </c>
      <c r="BF857" s="102" t="str">
        <f t="shared" si="124"/>
        <v/>
      </c>
    </row>
    <row r="858" spans="48:58" hidden="1" x14ac:dyDescent="0.25">
      <c r="AV858">
        <v>833</v>
      </c>
      <c r="AW858" s="94" t="str">
        <f t="shared" ca="1" si="125"/>
        <v/>
      </c>
      <c r="AX858" s="95" t="str">
        <f t="shared" ref="AX858:AX921" si="130">IF($D$15*12&gt;=AV858,-1*$H$15,IF($D$15*12+1&gt;=AV858,InfGoal1,""))</f>
        <v/>
      </c>
      <c r="AY858" s="98" t="str">
        <f t="shared" ca="1" si="126"/>
        <v/>
      </c>
      <c r="AZ858" s="96" t="str">
        <f t="shared" ref="AZ858:AZ921" si="131">IF($D$17*12&gt;=AV858,-1*$H$17,IF($D$17*12+1&gt;=AV858,InfGoal2,""))</f>
        <v/>
      </c>
      <c r="BA858" s="99" t="str">
        <f t="shared" ca="1" si="127"/>
        <v/>
      </c>
      <c r="BB858" s="97" t="str">
        <f t="shared" ref="BB858:BB921" si="132">IF($D$19*12&gt;=AV858,-1*$H$19,IF($D$19*12+1&gt;=AV858,InfGoal3,""))</f>
        <v/>
      </c>
      <c r="BC858" s="101" t="str">
        <f t="shared" ca="1" si="128"/>
        <v/>
      </c>
      <c r="BD858" s="100" t="str">
        <f t="shared" ref="BD858:BD921" si="133">IF($D$21*12&gt;=AV858,-1*$H$21,IF($D$21*12+1&gt;=AV858,InfGoal4,""))</f>
        <v/>
      </c>
      <c r="BE858" s="103" t="str">
        <f t="shared" ca="1" si="129"/>
        <v/>
      </c>
      <c r="BF858" s="102" t="str">
        <f t="shared" ref="BF858:BF921" si="134">IF($D$23*12&gt;=AV858,-1*$H$23,IF($D$23*12+1&gt;=AV858,InfGoal5,""))</f>
        <v/>
      </c>
    </row>
    <row r="859" spans="48:58" hidden="1" x14ac:dyDescent="0.25">
      <c r="AV859">
        <v>834</v>
      </c>
      <c r="AW859" s="94" t="str">
        <f t="shared" ref="AW859:AW922" ca="1" si="135">IF($D$15*12&gt;=AV859,DATE(YEAR(TODAY()),MONTH(TODAY())+AV859-1,DAY(TODAY())),IF($D$15*12+1&gt;=AV859,DATE(YEAR(TODAY()),MONTH(TODAY())+$D$15*12,DAY(TODAY())),""))</f>
        <v/>
      </c>
      <c r="AX859" s="95" t="str">
        <f t="shared" si="130"/>
        <v/>
      </c>
      <c r="AY859" s="98" t="str">
        <f t="shared" ref="AY859:AY922" ca="1" si="136">IF($D$17*12&gt;=AV859,DATE(YEAR(TODAY()),MONTH(TODAY())+AV859-1,DAY(TODAY())),IF($D$17*12+1&gt;=AV859,DATE(YEAR(TODAY()),MONTH(TODAY())+$D$17*12,DAY(TODAY())),""))</f>
        <v/>
      </c>
      <c r="AZ859" s="96" t="str">
        <f t="shared" si="131"/>
        <v/>
      </c>
      <c r="BA859" s="99" t="str">
        <f t="shared" ref="BA859:BA922" ca="1" si="137">IF($D$19*12&gt;=AV859,DATE(YEAR(TODAY()),MONTH(TODAY())+AV859-1,DAY(TODAY())),IF($D$19*12+1&gt;=AV859,DATE(YEAR(TODAY()),MONTH(TODAY())+$D$19*12,DAY(TODAY())),""))</f>
        <v/>
      </c>
      <c r="BB859" s="97" t="str">
        <f t="shared" si="132"/>
        <v/>
      </c>
      <c r="BC859" s="101" t="str">
        <f t="shared" ref="BC859:BC922" ca="1" si="138">IF($D$21*12&gt;=AV859,DATE(YEAR(TODAY()),MONTH(TODAY())+AV859-1,DAY(TODAY())),IF($D$21*12+1&gt;=AV859,DATE(YEAR(TODAY()),MONTH(TODAY())+$D$21*12,DAY(TODAY())),""))</f>
        <v/>
      </c>
      <c r="BD859" s="100" t="str">
        <f t="shared" si="133"/>
        <v/>
      </c>
      <c r="BE859" s="103" t="str">
        <f t="shared" ref="BE859:BE922" ca="1" si="139">IF($D$23*12&gt;=AV859,DATE(YEAR(TODAY()),MONTH(TODAY())+AV859-1,DAY(TODAY())),IF($D$23*12+1&gt;=AV859,DATE(YEAR(TODAY()),MONTH(TODAY())+$D$23*12,DAY(TODAY())),""))</f>
        <v/>
      </c>
      <c r="BF859" s="102" t="str">
        <f t="shared" si="134"/>
        <v/>
      </c>
    </row>
    <row r="860" spans="48:58" hidden="1" x14ac:dyDescent="0.25">
      <c r="AV860">
        <v>835</v>
      </c>
      <c r="AW860" s="94" t="str">
        <f t="shared" ca="1" si="135"/>
        <v/>
      </c>
      <c r="AX860" s="95" t="str">
        <f t="shared" si="130"/>
        <v/>
      </c>
      <c r="AY860" s="98" t="str">
        <f t="shared" ca="1" si="136"/>
        <v/>
      </c>
      <c r="AZ860" s="96" t="str">
        <f t="shared" si="131"/>
        <v/>
      </c>
      <c r="BA860" s="99" t="str">
        <f t="shared" ca="1" si="137"/>
        <v/>
      </c>
      <c r="BB860" s="97" t="str">
        <f t="shared" si="132"/>
        <v/>
      </c>
      <c r="BC860" s="101" t="str">
        <f t="shared" ca="1" si="138"/>
        <v/>
      </c>
      <c r="BD860" s="100" t="str">
        <f t="shared" si="133"/>
        <v/>
      </c>
      <c r="BE860" s="103" t="str">
        <f t="shared" ca="1" si="139"/>
        <v/>
      </c>
      <c r="BF860" s="102" t="str">
        <f t="shared" si="134"/>
        <v/>
      </c>
    </row>
    <row r="861" spans="48:58" hidden="1" x14ac:dyDescent="0.25">
      <c r="AV861">
        <v>836</v>
      </c>
      <c r="AW861" s="94" t="str">
        <f t="shared" ca="1" si="135"/>
        <v/>
      </c>
      <c r="AX861" s="95" t="str">
        <f t="shared" si="130"/>
        <v/>
      </c>
      <c r="AY861" s="98" t="str">
        <f t="shared" ca="1" si="136"/>
        <v/>
      </c>
      <c r="AZ861" s="96" t="str">
        <f t="shared" si="131"/>
        <v/>
      </c>
      <c r="BA861" s="99" t="str">
        <f t="shared" ca="1" si="137"/>
        <v/>
      </c>
      <c r="BB861" s="97" t="str">
        <f t="shared" si="132"/>
        <v/>
      </c>
      <c r="BC861" s="101" t="str">
        <f t="shared" ca="1" si="138"/>
        <v/>
      </c>
      <c r="BD861" s="100" t="str">
        <f t="shared" si="133"/>
        <v/>
      </c>
      <c r="BE861" s="103" t="str">
        <f t="shared" ca="1" si="139"/>
        <v/>
      </c>
      <c r="BF861" s="102" t="str">
        <f t="shared" si="134"/>
        <v/>
      </c>
    </row>
    <row r="862" spans="48:58" hidden="1" x14ac:dyDescent="0.25">
      <c r="AV862">
        <v>837</v>
      </c>
      <c r="AW862" s="94" t="str">
        <f t="shared" ca="1" si="135"/>
        <v/>
      </c>
      <c r="AX862" s="95" t="str">
        <f t="shared" si="130"/>
        <v/>
      </c>
      <c r="AY862" s="98" t="str">
        <f t="shared" ca="1" si="136"/>
        <v/>
      </c>
      <c r="AZ862" s="96" t="str">
        <f t="shared" si="131"/>
        <v/>
      </c>
      <c r="BA862" s="99" t="str">
        <f t="shared" ca="1" si="137"/>
        <v/>
      </c>
      <c r="BB862" s="97" t="str">
        <f t="shared" si="132"/>
        <v/>
      </c>
      <c r="BC862" s="101" t="str">
        <f t="shared" ca="1" si="138"/>
        <v/>
      </c>
      <c r="BD862" s="100" t="str">
        <f t="shared" si="133"/>
        <v/>
      </c>
      <c r="BE862" s="103" t="str">
        <f t="shared" ca="1" si="139"/>
        <v/>
      </c>
      <c r="BF862" s="102" t="str">
        <f t="shared" si="134"/>
        <v/>
      </c>
    </row>
    <row r="863" spans="48:58" hidden="1" x14ac:dyDescent="0.25">
      <c r="AV863">
        <v>838</v>
      </c>
      <c r="AW863" s="94" t="str">
        <f t="shared" ca="1" si="135"/>
        <v/>
      </c>
      <c r="AX863" s="95" t="str">
        <f t="shared" si="130"/>
        <v/>
      </c>
      <c r="AY863" s="98" t="str">
        <f t="shared" ca="1" si="136"/>
        <v/>
      </c>
      <c r="AZ863" s="96" t="str">
        <f t="shared" si="131"/>
        <v/>
      </c>
      <c r="BA863" s="99" t="str">
        <f t="shared" ca="1" si="137"/>
        <v/>
      </c>
      <c r="BB863" s="97" t="str">
        <f t="shared" si="132"/>
        <v/>
      </c>
      <c r="BC863" s="101" t="str">
        <f t="shared" ca="1" si="138"/>
        <v/>
      </c>
      <c r="BD863" s="100" t="str">
        <f t="shared" si="133"/>
        <v/>
      </c>
      <c r="BE863" s="103" t="str">
        <f t="shared" ca="1" si="139"/>
        <v/>
      </c>
      <c r="BF863" s="102" t="str">
        <f t="shared" si="134"/>
        <v/>
      </c>
    </row>
    <row r="864" spans="48:58" hidden="1" x14ac:dyDescent="0.25">
      <c r="AV864">
        <v>839</v>
      </c>
      <c r="AW864" s="94" t="str">
        <f t="shared" ca="1" si="135"/>
        <v/>
      </c>
      <c r="AX864" s="95" t="str">
        <f t="shared" si="130"/>
        <v/>
      </c>
      <c r="AY864" s="98" t="str">
        <f t="shared" ca="1" si="136"/>
        <v/>
      </c>
      <c r="AZ864" s="96" t="str">
        <f t="shared" si="131"/>
        <v/>
      </c>
      <c r="BA864" s="99" t="str">
        <f t="shared" ca="1" si="137"/>
        <v/>
      </c>
      <c r="BB864" s="97" t="str">
        <f t="shared" si="132"/>
        <v/>
      </c>
      <c r="BC864" s="101" t="str">
        <f t="shared" ca="1" si="138"/>
        <v/>
      </c>
      <c r="BD864" s="100" t="str">
        <f t="shared" si="133"/>
        <v/>
      </c>
      <c r="BE864" s="103" t="str">
        <f t="shared" ca="1" si="139"/>
        <v/>
      </c>
      <c r="BF864" s="102" t="str">
        <f t="shared" si="134"/>
        <v/>
      </c>
    </row>
    <row r="865" spans="48:58" hidden="1" x14ac:dyDescent="0.25">
      <c r="AV865">
        <v>840</v>
      </c>
      <c r="AW865" s="94" t="str">
        <f t="shared" ca="1" si="135"/>
        <v/>
      </c>
      <c r="AX865" s="95" t="str">
        <f t="shared" si="130"/>
        <v/>
      </c>
      <c r="AY865" s="98" t="str">
        <f t="shared" ca="1" si="136"/>
        <v/>
      </c>
      <c r="AZ865" s="96" t="str">
        <f t="shared" si="131"/>
        <v/>
      </c>
      <c r="BA865" s="99" t="str">
        <f t="shared" ca="1" si="137"/>
        <v/>
      </c>
      <c r="BB865" s="97" t="str">
        <f t="shared" si="132"/>
        <v/>
      </c>
      <c r="BC865" s="101" t="str">
        <f t="shared" ca="1" si="138"/>
        <v/>
      </c>
      <c r="BD865" s="100" t="str">
        <f t="shared" si="133"/>
        <v/>
      </c>
      <c r="BE865" s="103" t="str">
        <f t="shared" ca="1" si="139"/>
        <v/>
      </c>
      <c r="BF865" s="102" t="str">
        <f t="shared" si="134"/>
        <v/>
      </c>
    </row>
    <row r="866" spans="48:58" hidden="1" x14ac:dyDescent="0.25">
      <c r="AV866">
        <v>841</v>
      </c>
      <c r="AW866" s="94" t="str">
        <f t="shared" ca="1" si="135"/>
        <v/>
      </c>
      <c r="AX866" s="95" t="str">
        <f t="shared" si="130"/>
        <v/>
      </c>
      <c r="AY866" s="98" t="str">
        <f t="shared" ca="1" si="136"/>
        <v/>
      </c>
      <c r="AZ866" s="96" t="str">
        <f t="shared" si="131"/>
        <v/>
      </c>
      <c r="BA866" s="99" t="str">
        <f t="shared" ca="1" si="137"/>
        <v/>
      </c>
      <c r="BB866" s="97" t="str">
        <f t="shared" si="132"/>
        <v/>
      </c>
      <c r="BC866" s="101" t="str">
        <f t="shared" ca="1" si="138"/>
        <v/>
      </c>
      <c r="BD866" s="100" t="str">
        <f t="shared" si="133"/>
        <v/>
      </c>
      <c r="BE866" s="103" t="str">
        <f t="shared" ca="1" si="139"/>
        <v/>
      </c>
      <c r="BF866" s="102" t="str">
        <f t="shared" si="134"/>
        <v/>
      </c>
    </row>
    <row r="867" spans="48:58" hidden="1" x14ac:dyDescent="0.25">
      <c r="AV867">
        <v>842</v>
      </c>
      <c r="AW867" s="94" t="str">
        <f t="shared" ca="1" si="135"/>
        <v/>
      </c>
      <c r="AX867" s="95" t="str">
        <f t="shared" si="130"/>
        <v/>
      </c>
      <c r="AY867" s="98" t="str">
        <f t="shared" ca="1" si="136"/>
        <v/>
      </c>
      <c r="AZ867" s="96" t="str">
        <f t="shared" si="131"/>
        <v/>
      </c>
      <c r="BA867" s="99" t="str">
        <f t="shared" ca="1" si="137"/>
        <v/>
      </c>
      <c r="BB867" s="97" t="str">
        <f t="shared" si="132"/>
        <v/>
      </c>
      <c r="BC867" s="101" t="str">
        <f t="shared" ca="1" si="138"/>
        <v/>
      </c>
      <c r="BD867" s="100" t="str">
        <f t="shared" si="133"/>
        <v/>
      </c>
      <c r="BE867" s="103" t="str">
        <f t="shared" ca="1" si="139"/>
        <v/>
      </c>
      <c r="BF867" s="102" t="str">
        <f t="shared" si="134"/>
        <v/>
      </c>
    </row>
    <row r="868" spans="48:58" hidden="1" x14ac:dyDescent="0.25">
      <c r="AV868">
        <v>843</v>
      </c>
      <c r="AW868" s="94" t="str">
        <f t="shared" ca="1" si="135"/>
        <v/>
      </c>
      <c r="AX868" s="95" t="str">
        <f t="shared" si="130"/>
        <v/>
      </c>
      <c r="AY868" s="98" t="str">
        <f t="shared" ca="1" si="136"/>
        <v/>
      </c>
      <c r="AZ868" s="96" t="str">
        <f t="shared" si="131"/>
        <v/>
      </c>
      <c r="BA868" s="99" t="str">
        <f t="shared" ca="1" si="137"/>
        <v/>
      </c>
      <c r="BB868" s="97" t="str">
        <f t="shared" si="132"/>
        <v/>
      </c>
      <c r="BC868" s="101" t="str">
        <f t="shared" ca="1" si="138"/>
        <v/>
      </c>
      <c r="BD868" s="100" t="str">
        <f t="shared" si="133"/>
        <v/>
      </c>
      <c r="BE868" s="103" t="str">
        <f t="shared" ca="1" si="139"/>
        <v/>
      </c>
      <c r="BF868" s="102" t="str">
        <f t="shared" si="134"/>
        <v/>
      </c>
    </row>
    <row r="869" spans="48:58" hidden="1" x14ac:dyDescent="0.25">
      <c r="AV869">
        <v>844</v>
      </c>
      <c r="AW869" s="94" t="str">
        <f t="shared" ca="1" si="135"/>
        <v/>
      </c>
      <c r="AX869" s="95" t="str">
        <f t="shared" si="130"/>
        <v/>
      </c>
      <c r="AY869" s="98" t="str">
        <f t="shared" ca="1" si="136"/>
        <v/>
      </c>
      <c r="AZ869" s="96" t="str">
        <f t="shared" si="131"/>
        <v/>
      </c>
      <c r="BA869" s="99" t="str">
        <f t="shared" ca="1" si="137"/>
        <v/>
      </c>
      <c r="BB869" s="97" t="str">
        <f t="shared" si="132"/>
        <v/>
      </c>
      <c r="BC869" s="101" t="str">
        <f t="shared" ca="1" si="138"/>
        <v/>
      </c>
      <c r="BD869" s="100" t="str">
        <f t="shared" si="133"/>
        <v/>
      </c>
      <c r="BE869" s="103" t="str">
        <f t="shared" ca="1" si="139"/>
        <v/>
      </c>
      <c r="BF869" s="102" t="str">
        <f t="shared" si="134"/>
        <v/>
      </c>
    </row>
    <row r="870" spans="48:58" hidden="1" x14ac:dyDescent="0.25">
      <c r="AV870">
        <v>845</v>
      </c>
      <c r="AW870" s="94" t="str">
        <f t="shared" ca="1" si="135"/>
        <v/>
      </c>
      <c r="AX870" s="95" t="str">
        <f t="shared" si="130"/>
        <v/>
      </c>
      <c r="AY870" s="98" t="str">
        <f t="shared" ca="1" si="136"/>
        <v/>
      </c>
      <c r="AZ870" s="96" t="str">
        <f t="shared" si="131"/>
        <v/>
      </c>
      <c r="BA870" s="99" t="str">
        <f t="shared" ca="1" si="137"/>
        <v/>
      </c>
      <c r="BB870" s="97" t="str">
        <f t="shared" si="132"/>
        <v/>
      </c>
      <c r="BC870" s="101" t="str">
        <f t="shared" ca="1" si="138"/>
        <v/>
      </c>
      <c r="BD870" s="100" t="str">
        <f t="shared" si="133"/>
        <v/>
      </c>
      <c r="BE870" s="103" t="str">
        <f t="shared" ca="1" si="139"/>
        <v/>
      </c>
      <c r="BF870" s="102" t="str">
        <f t="shared" si="134"/>
        <v/>
      </c>
    </row>
    <row r="871" spans="48:58" hidden="1" x14ac:dyDescent="0.25">
      <c r="AV871">
        <v>846</v>
      </c>
      <c r="AW871" s="94" t="str">
        <f t="shared" ca="1" si="135"/>
        <v/>
      </c>
      <c r="AX871" s="95" t="str">
        <f t="shared" si="130"/>
        <v/>
      </c>
      <c r="AY871" s="98" t="str">
        <f t="shared" ca="1" si="136"/>
        <v/>
      </c>
      <c r="AZ871" s="96" t="str">
        <f t="shared" si="131"/>
        <v/>
      </c>
      <c r="BA871" s="99" t="str">
        <f t="shared" ca="1" si="137"/>
        <v/>
      </c>
      <c r="BB871" s="97" t="str">
        <f t="shared" si="132"/>
        <v/>
      </c>
      <c r="BC871" s="101" t="str">
        <f t="shared" ca="1" si="138"/>
        <v/>
      </c>
      <c r="BD871" s="100" t="str">
        <f t="shared" si="133"/>
        <v/>
      </c>
      <c r="BE871" s="103" t="str">
        <f t="shared" ca="1" si="139"/>
        <v/>
      </c>
      <c r="BF871" s="102" t="str">
        <f t="shared" si="134"/>
        <v/>
      </c>
    </row>
    <row r="872" spans="48:58" hidden="1" x14ac:dyDescent="0.25">
      <c r="AV872">
        <v>847</v>
      </c>
      <c r="AW872" s="94" t="str">
        <f t="shared" ca="1" si="135"/>
        <v/>
      </c>
      <c r="AX872" s="95" t="str">
        <f t="shared" si="130"/>
        <v/>
      </c>
      <c r="AY872" s="98" t="str">
        <f t="shared" ca="1" si="136"/>
        <v/>
      </c>
      <c r="AZ872" s="96" t="str">
        <f t="shared" si="131"/>
        <v/>
      </c>
      <c r="BA872" s="99" t="str">
        <f t="shared" ca="1" si="137"/>
        <v/>
      </c>
      <c r="BB872" s="97" t="str">
        <f t="shared" si="132"/>
        <v/>
      </c>
      <c r="BC872" s="101" t="str">
        <f t="shared" ca="1" si="138"/>
        <v/>
      </c>
      <c r="BD872" s="100" t="str">
        <f t="shared" si="133"/>
        <v/>
      </c>
      <c r="BE872" s="103" t="str">
        <f t="shared" ca="1" si="139"/>
        <v/>
      </c>
      <c r="BF872" s="102" t="str">
        <f t="shared" si="134"/>
        <v/>
      </c>
    </row>
    <row r="873" spans="48:58" hidden="1" x14ac:dyDescent="0.25">
      <c r="AV873">
        <v>848</v>
      </c>
      <c r="AW873" s="94" t="str">
        <f t="shared" ca="1" si="135"/>
        <v/>
      </c>
      <c r="AX873" s="95" t="str">
        <f t="shared" si="130"/>
        <v/>
      </c>
      <c r="AY873" s="98" t="str">
        <f t="shared" ca="1" si="136"/>
        <v/>
      </c>
      <c r="AZ873" s="96" t="str">
        <f t="shared" si="131"/>
        <v/>
      </c>
      <c r="BA873" s="99" t="str">
        <f t="shared" ca="1" si="137"/>
        <v/>
      </c>
      <c r="BB873" s="97" t="str">
        <f t="shared" si="132"/>
        <v/>
      </c>
      <c r="BC873" s="101" t="str">
        <f t="shared" ca="1" si="138"/>
        <v/>
      </c>
      <c r="BD873" s="100" t="str">
        <f t="shared" si="133"/>
        <v/>
      </c>
      <c r="BE873" s="103" t="str">
        <f t="shared" ca="1" si="139"/>
        <v/>
      </c>
      <c r="BF873" s="102" t="str">
        <f t="shared" si="134"/>
        <v/>
      </c>
    </row>
    <row r="874" spans="48:58" hidden="1" x14ac:dyDescent="0.25">
      <c r="AV874">
        <v>849</v>
      </c>
      <c r="AW874" s="94" t="str">
        <f t="shared" ca="1" si="135"/>
        <v/>
      </c>
      <c r="AX874" s="95" t="str">
        <f t="shared" si="130"/>
        <v/>
      </c>
      <c r="AY874" s="98" t="str">
        <f t="shared" ca="1" si="136"/>
        <v/>
      </c>
      <c r="AZ874" s="96" t="str">
        <f t="shared" si="131"/>
        <v/>
      </c>
      <c r="BA874" s="99" t="str">
        <f t="shared" ca="1" si="137"/>
        <v/>
      </c>
      <c r="BB874" s="97" t="str">
        <f t="shared" si="132"/>
        <v/>
      </c>
      <c r="BC874" s="101" t="str">
        <f t="shared" ca="1" si="138"/>
        <v/>
      </c>
      <c r="BD874" s="100" t="str">
        <f t="shared" si="133"/>
        <v/>
      </c>
      <c r="BE874" s="103" t="str">
        <f t="shared" ca="1" si="139"/>
        <v/>
      </c>
      <c r="BF874" s="102" t="str">
        <f t="shared" si="134"/>
        <v/>
      </c>
    </row>
    <row r="875" spans="48:58" hidden="1" x14ac:dyDescent="0.25">
      <c r="AV875">
        <v>850</v>
      </c>
      <c r="AW875" s="94" t="str">
        <f t="shared" ca="1" si="135"/>
        <v/>
      </c>
      <c r="AX875" s="95" t="str">
        <f t="shared" si="130"/>
        <v/>
      </c>
      <c r="AY875" s="98" t="str">
        <f t="shared" ca="1" si="136"/>
        <v/>
      </c>
      <c r="AZ875" s="96" t="str">
        <f t="shared" si="131"/>
        <v/>
      </c>
      <c r="BA875" s="99" t="str">
        <f t="shared" ca="1" si="137"/>
        <v/>
      </c>
      <c r="BB875" s="97" t="str">
        <f t="shared" si="132"/>
        <v/>
      </c>
      <c r="BC875" s="101" t="str">
        <f t="shared" ca="1" si="138"/>
        <v/>
      </c>
      <c r="BD875" s="100" t="str">
        <f t="shared" si="133"/>
        <v/>
      </c>
      <c r="BE875" s="103" t="str">
        <f t="shared" ca="1" si="139"/>
        <v/>
      </c>
      <c r="BF875" s="102" t="str">
        <f t="shared" si="134"/>
        <v/>
      </c>
    </row>
    <row r="876" spans="48:58" hidden="1" x14ac:dyDescent="0.25">
      <c r="AV876">
        <v>851</v>
      </c>
      <c r="AW876" s="94" t="str">
        <f t="shared" ca="1" si="135"/>
        <v/>
      </c>
      <c r="AX876" s="95" t="str">
        <f t="shared" si="130"/>
        <v/>
      </c>
      <c r="AY876" s="98" t="str">
        <f t="shared" ca="1" si="136"/>
        <v/>
      </c>
      <c r="AZ876" s="96" t="str">
        <f t="shared" si="131"/>
        <v/>
      </c>
      <c r="BA876" s="99" t="str">
        <f t="shared" ca="1" si="137"/>
        <v/>
      </c>
      <c r="BB876" s="97" t="str">
        <f t="shared" si="132"/>
        <v/>
      </c>
      <c r="BC876" s="101" t="str">
        <f t="shared" ca="1" si="138"/>
        <v/>
      </c>
      <c r="BD876" s="100" t="str">
        <f t="shared" si="133"/>
        <v/>
      </c>
      <c r="BE876" s="103" t="str">
        <f t="shared" ca="1" si="139"/>
        <v/>
      </c>
      <c r="BF876" s="102" t="str">
        <f t="shared" si="134"/>
        <v/>
      </c>
    </row>
    <row r="877" spans="48:58" hidden="1" x14ac:dyDescent="0.25">
      <c r="AV877">
        <v>852</v>
      </c>
      <c r="AW877" s="94" t="str">
        <f t="shared" ca="1" si="135"/>
        <v/>
      </c>
      <c r="AX877" s="95" t="str">
        <f t="shared" si="130"/>
        <v/>
      </c>
      <c r="AY877" s="98" t="str">
        <f t="shared" ca="1" si="136"/>
        <v/>
      </c>
      <c r="AZ877" s="96" t="str">
        <f t="shared" si="131"/>
        <v/>
      </c>
      <c r="BA877" s="99" t="str">
        <f t="shared" ca="1" si="137"/>
        <v/>
      </c>
      <c r="BB877" s="97" t="str">
        <f t="shared" si="132"/>
        <v/>
      </c>
      <c r="BC877" s="101" t="str">
        <f t="shared" ca="1" si="138"/>
        <v/>
      </c>
      <c r="BD877" s="100" t="str">
        <f t="shared" si="133"/>
        <v/>
      </c>
      <c r="BE877" s="103" t="str">
        <f t="shared" ca="1" si="139"/>
        <v/>
      </c>
      <c r="BF877" s="102" t="str">
        <f t="shared" si="134"/>
        <v/>
      </c>
    </row>
    <row r="878" spans="48:58" hidden="1" x14ac:dyDescent="0.25">
      <c r="AV878">
        <v>853</v>
      </c>
      <c r="AW878" s="94" t="str">
        <f t="shared" ca="1" si="135"/>
        <v/>
      </c>
      <c r="AX878" s="95" t="str">
        <f t="shared" si="130"/>
        <v/>
      </c>
      <c r="AY878" s="98" t="str">
        <f t="shared" ca="1" si="136"/>
        <v/>
      </c>
      <c r="AZ878" s="96" t="str">
        <f t="shared" si="131"/>
        <v/>
      </c>
      <c r="BA878" s="99" t="str">
        <f t="shared" ca="1" si="137"/>
        <v/>
      </c>
      <c r="BB878" s="97" t="str">
        <f t="shared" si="132"/>
        <v/>
      </c>
      <c r="BC878" s="101" t="str">
        <f t="shared" ca="1" si="138"/>
        <v/>
      </c>
      <c r="BD878" s="100" t="str">
        <f t="shared" si="133"/>
        <v/>
      </c>
      <c r="BE878" s="103" t="str">
        <f t="shared" ca="1" si="139"/>
        <v/>
      </c>
      <c r="BF878" s="102" t="str">
        <f t="shared" si="134"/>
        <v/>
      </c>
    </row>
    <row r="879" spans="48:58" hidden="1" x14ac:dyDescent="0.25">
      <c r="AV879">
        <v>854</v>
      </c>
      <c r="AW879" s="94" t="str">
        <f t="shared" ca="1" si="135"/>
        <v/>
      </c>
      <c r="AX879" s="95" t="str">
        <f t="shared" si="130"/>
        <v/>
      </c>
      <c r="AY879" s="98" t="str">
        <f t="shared" ca="1" si="136"/>
        <v/>
      </c>
      <c r="AZ879" s="96" t="str">
        <f t="shared" si="131"/>
        <v/>
      </c>
      <c r="BA879" s="99" t="str">
        <f t="shared" ca="1" si="137"/>
        <v/>
      </c>
      <c r="BB879" s="97" t="str">
        <f t="shared" si="132"/>
        <v/>
      </c>
      <c r="BC879" s="101" t="str">
        <f t="shared" ca="1" si="138"/>
        <v/>
      </c>
      <c r="BD879" s="100" t="str">
        <f t="shared" si="133"/>
        <v/>
      </c>
      <c r="BE879" s="103" t="str">
        <f t="shared" ca="1" si="139"/>
        <v/>
      </c>
      <c r="BF879" s="102" t="str">
        <f t="shared" si="134"/>
        <v/>
      </c>
    </row>
    <row r="880" spans="48:58" hidden="1" x14ac:dyDescent="0.25">
      <c r="AV880">
        <v>855</v>
      </c>
      <c r="AW880" s="94" t="str">
        <f t="shared" ca="1" si="135"/>
        <v/>
      </c>
      <c r="AX880" s="95" t="str">
        <f t="shared" si="130"/>
        <v/>
      </c>
      <c r="AY880" s="98" t="str">
        <f t="shared" ca="1" si="136"/>
        <v/>
      </c>
      <c r="AZ880" s="96" t="str">
        <f t="shared" si="131"/>
        <v/>
      </c>
      <c r="BA880" s="99" t="str">
        <f t="shared" ca="1" si="137"/>
        <v/>
      </c>
      <c r="BB880" s="97" t="str">
        <f t="shared" si="132"/>
        <v/>
      </c>
      <c r="BC880" s="101" t="str">
        <f t="shared" ca="1" si="138"/>
        <v/>
      </c>
      <c r="BD880" s="100" t="str">
        <f t="shared" si="133"/>
        <v/>
      </c>
      <c r="BE880" s="103" t="str">
        <f t="shared" ca="1" si="139"/>
        <v/>
      </c>
      <c r="BF880" s="102" t="str">
        <f t="shared" si="134"/>
        <v/>
      </c>
    </row>
    <row r="881" spans="48:58" hidden="1" x14ac:dyDescent="0.25">
      <c r="AV881">
        <v>856</v>
      </c>
      <c r="AW881" s="94" t="str">
        <f t="shared" ca="1" si="135"/>
        <v/>
      </c>
      <c r="AX881" s="95" t="str">
        <f t="shared" si="130"/>
        <v/>
      </c>
      <c r="AY881" s="98" t="str">
        <f t="shared" ca="1" si="136"/>
        <v/>
      </c>
      <c r="AZ881" s="96" t="str">
        <f t="shared" si="131"/>
        <v/>
      </c>
      <c r="BA881" s="99" t="str">
        <f t="shared" ca="1" si="137"/>
        <v/>
      </c>
      <c r="BB881" s="97" t="str">
        <f t="shared" si="132"/>
        <v/>
      </c>
      <c r="BC881" s="101" t="str">
        <f t="shared" ca="1" si="138"/>
        <v/>
      </c>
      <c r="BD881" s="100" t="str">
        <f t="shared" si="133"/>
        <v/>
      </c>
      <c r="BE881" s="103" t="str">
        <f t="shared" ca="1" si="139"/>
        <v/>
      </c>
      <c r="BF881" s="102" t="str">
        <f t="shared" si="134"/>
        <v/>
      </c>
    </row>
    <row r="882" spans="48:58" hidden="1" x14ac:dyDescent="0.25">
      <c r="AV882">
        <v>857</v>
      </c>
      <c r="AW882" s="94" t="str">
        <f t="shared" ca="1" si="135"/>
        <v/>
      </c>
      <c r="AX882" s="95" t="str">
        <f t="shared" si="130"/>
        <v/>
      </c>
      <c r="AY882" s="98" t="str">
        <f t="shared" ca="1" si="136"/>
        <v/>
      </c>
      <c r="AZ882" s="96" t="str">
        <f t="shared" si="131"/>
        <v/>
      </c>
      <c r="BA882" s="99" t="str">
        <f t="shared" ca="1" si="137"/>
        <v/>
      </c>
      <c r="BB882" s="97" t="str">
        <f t="shared" si="132"/>
        <v/>
      </c>
      <c r="BC882" s="101" t="str">
        <f t="shared" ca="1" si="138"/>
        <v/>
      </c>
      <c r="BD882" s="100" t="str">
        <f t="shared" si="133"/>
        <v/>
      </c>
      <c r="BE882" s="103" t="str">
        <f t="shared" ca="1" si="139"/>
        <v/>
      </c>
      <c r="BF882" s="102" t="str">
        <f t="shared" si="134"/>
        <v/>
      </c>
    </row>
    <row r="883" spans="48:58" hidden="1" x14ac:dyDescent="0.25">
      <c r="AV883">
        <v>858</v>
      </c>
      <c r="AW883" s="94" t="str">
        <f t="shared" ca="1" si="135"/>
        <v/>
      </c>
      <c r="AX883" s="95" t="str">
        <f t="shared" si="130"/>
        <v/>
      </c>
      <c r="AY883" s="98" t="str">
        <f t="shared" ca="1" si="136"/>
        <v/>
      </c>
      <c r="AZ883" s="96" t="str">
        <f t="shared" si="131"/>
        <v/>
      </c>
      <c r="BA883" s="99" t="str">
        <f t="shared" ca="1" si="137"/>
        <v/>
      </c>
      <c r="BB883" s="97" t="str">
        <f t="shared" si="132"/>
        <v/>
      </c>
      <c r="BC883" s="101" t="str">
        <f t="shared" ca="1" si="138"/>
        <v/>
      </c>
      <c r="BD883" s="100" t="str">
        <f t="shared" si="133"/>
        <v/>
      </c>
      <c r="BE883" s="103" t="str">
        <f t="shared" ca="1" si="139"/>
        <v/>
      </c>
      <c r="BF883" s="102" t="str">
        <f t="shared" si="134"/>
        <v/>
      </c>
    </row>
    <row r="884" spans="48:58" hidden="1" x14ac:dyDescent="0.25">
      <c r="AV884">
        <v>859</v>
      </c>
      <c r="AW884" s="94" t="str">
        <f t="shared" ca="1" si="135"/>
        <v/>
      </c>
      <c r="AX884" s="95" t="str">
        <f t="shared" si="130"/>
        <v/>
      </c>
      <c r="AY884" s="98" t="str">
        <f t="shared" ca="1" si="136"/>
        <v/>
      </c>
      <c r="AZ884" s="96" t="str">
        <f t="shared" si="131"/>
        <v/>
      </c>
      <c r="BA884" s="99" t="str">
        <f t="shared" ca="1" si="137"/>
        <v/>
      </c>
      <c r="BB884" s="97" t="str">
        <f t="shared" si="132"/>
        <v/>
      </c>
      <c r="BC884" s="101" t="str">
        <f t="shared" ca="1" si="138"/>
        <v/>
      </c>
      <c r="BD884" s="100" t="str">
        <f t="shared" si="133"/>
        <v/>
      </c>
      <c r="BE884" s="103" t="str">
        <f t="shared" ca="1" si="139"/>
        <v/>
      </c>
      <c r="BF884" s="102" t="str">
        <f t="shared" si="134"/>
        <v/>
      </c>
    </row>
    <row r="885" spans="48:58" hidden="1" x14ac:dyDescent="0.25">
      <c r="AV885">
        <v>860</v>
      </c>
      <c r="AW885" s="94" t="str">
        <f t="shared" ca="1" si="135"/>
        <v/>
      </c>
      <c r="AX885" s="95" t="str">
        <f t="shared" si="130"/>
        <v/>
      </c>
      <c r="AY885" s="98" t="str">
        <f t="shared" ca="1" si="136"/>
        <v/>
      </c>
      <c r="AZ885" s="96" t="str">
        <f t="shared" si="131"/>
        <v/>
      </c>
      <c r="BA885" s="99" t="str">
        <f t="shared" ca="1" si="137"/>
        <v/>
      </c>
      <c r="BB885" s="97" t="str">
        <f t="shared" si="132"/>
        <v/>
      </c>
      <c r="BC885" s="101" t="str">
        <f t="shared" ca="1" si="138"/>
        <v/>
      </c>
      <c r="BD885" s="100" t="str">
        <f t="shared" si="133"/>
        <v/>
      </c>
      <c r="BE885" s="103" t="str">
        <f t="shared" ca="1" si="139"/>
        <v/>
      </c>
      <c r="BF885" s="102" t="str">
        <f t="shared" si="134"/>
        <v/>
      </c>
    </row>
    <row r="886" spans="48:58" hidden="1" x14ac:dyDescent="0.25">
      <c r="AV886">
        <v>861</v>
      </c>
      <c r="AW886" s="94" t="str">
        <f t="shared" ca="1" si="135"/>
        <v/>
      </c>
      <c r="AX886" s="95" t="str">
        <f t="shared" si="130"/>
        <v/>
      </c>
      <c r="AY886" s="98" t="str">
        <f t="shared" ca="1" si="136"/>
        <v/>
      </c>
      <c r="AZ886" s="96" t="str">
        <f t="shared" si="131"/>
        <v/>
      </c>
      <c r="BA886" s="99" t="str">
        <f t="shared" ca="1" si="137"/>
        <v/>
      </c>
      <c r="BB886" s="97" t="str">
        <f t="shared" si="132"/>
        <v/>
      </c>
      <c r="BC886" s="101" t="str">
        <f t="shared" ca="1" si="138"/>
        <v/>
      </c>
      <c r="BD886" s="100" t="str">
        <f t="shared" si="133"/>
        <v/>
      </c>
      <c r="BE886" s="103" t="str">
        <f t="shared" ca="1" si="139"/>
        <v/>
      </c>
      <c r="BF886" s="102" t="str">
        <f t="shared" si="134"/>
        <v/>
      </c>
    </row>
    <row r="887" spans="48:58" hidden="1" x14ac:dyDescent="0.25">
      <c r="AV887">
        <v>862</v>
      </c>
      <c r="AW887" s="94" t="str">
        <f t="shared" ca="1" si="135"/>
        <v/>
      </c>
      <c r="AX887" s="95" t="str">
        <f t="shared" si="130"/>
        <v/>
      </c>
      <c r="AY887" s="98" t="str">
        <f t="shared" ca="1" si="136"/>
        <v/>
      </c>
      <c r="AZ887" s="96" t="str">
        <f t="shared" si="131"/>
        <v/>
      </c>
      <c r="BA887" s="99" t="str">
        <f t="shared" ca="1" si="137"/>
        <v/>
      </c>
      <c r="BB887" s="97" t="str">
        <f t="shared" si="132"/>
        <v/>
      </c>
      <c r="BC887" s="101" t="str">
        <f t="shared" ca="1" si="138"/>
        <v/>
      </c>
      <c r="BD887" s="100" t="str">
        <f t="shared" si="133"/>
        <v/>
      </c>
      <c r="BE887" s="103" t="str">
        <f t="shared" ca="1" si="139"/>
        <v/>
      </c>
      <c r="BF887" s="102" t="str">
        <f t="shared" si="134"/>
        <v/>
      </c>
    </row>
    <row r="888" spans="48:58" hidden="1" x14ac:dyDescent="0.25">
      <c r="AV888">
        <v>863</v>
      </c>
      <c r="AW888" s="94" t="str">
        <f t="shared" ca="1" si="135"/>
        <v/>
      </c>
      <c r="AX888" s="95" t="str">
        <f t="shared" si="130"/>
        <v/>
      </c>
      <c r="AY888" s="98" t="str">
        <f t="shared" ca="1" si="136"/>
        <v/>
      </c>
      <c r="AZ888" s="96" t="str">
        <f t="shared" si="131"/>
        <v/>
      </c>
      <c r="BA888" s="99" t="str">
        <f t="shared" ca="1" si="137"/>
        <v/>
      </c>
      <c r="BB888" s="97" t="str">
        <f t="shared" si="132"/>
        <v/>
      </c>
      <c r="BC888" s="101" t="str">
        <f t="shared" ca="1" si="138"/>
        <v/>
      </c>
      <c r="BD888" s="100" t="str">
        <f t="shared" si="133"/>
        <v/>
      </c>
      <c r="BE888" s="103" t="str">
        <f t="shared" ca="1" si="139"/>
        <v/>
      </c>
      <c r="BF888" s="102" t="str">
        <f t="shared" si="134"/>
        <v/>
      </c>
    </row>
    <row r="889" spans="48:58" hidden="1" x14ac:dyDescent="0.25">
      <c r="AV889">
        <v>864</v>
      </c>
      <c r="AW889" s="94" t="str">
        <f t="shared" ca="1" si="135"/>
        <v/>
      </c>
      <c r="AX889" s="95" t="str">
        <f t="shared" si="130"/>
        <v/>
      </c>
      <c r="AY889" s="98" t="str">
        <f t="shared" ca="1" si="136"/>
        <v/>
      </c>
      <c r="AZ889" s="96" t="str">
        <f t="shared" si="131"/>
        <v/>
      </c>
      <c r="BA889" s="99" t="str">
        <f t="shared" ca="1" si="137"/>
        <v/>
      </c>
      <c r="BB889" s="97" t="str">
        <f t="shared" si="132"/>
        <v/>
      </c>
      <c r="BC889" s="101" t="str">
        <f t="shared" ca="1" si="138"/>
        <v/>
      </c>
      <c r="BD889" s="100" t="str">
        <f t="shared" si="133"/>
        <v/>
      </c>
      <c r="BE889" s="103" t="str">
        <f t="shared" ca="1" si="139"/>
        <v/>
      </c>
      <c r="BF889" s="102" t="str">
        <f t="shared" si="134"/>
        <v/>
      </c>
    </row>
    <row r="890" spans="48:58" hidden="1" x14ac:dyDescent="0.25">
      <c r="AV890">
        <v>865</v>
      </c>
      <c r="AW890" s="94" t="str">
        <f t="shared" ca="1" si="135"/>
        <v/>
      </c>
      <c r="AX890" s="95" t="str">
        <f t="shared" si="130"/>
        <v/>
      </c>
      <c r="AY890" s="98" t="str">
        <f t="shared" ca="1" si="136"/>
        <v/>
      </c>
      <c r="AZ890" s="96" t="str">
        <f t="shared" si="131"/>
        <v/>
      </c>
      <c r="BA890" s="99" t="str">
        <f t="shared" ca="1" si="137"/>
        <v/>
      </c>
      <c r="BB890" s="97" t="str">
        <f t="shared" si="132"/>
        <v/>
      </c>
      <c r="BC890" s="101" t="str">
        <f t="shared" ca="1" si="138"/>
        <v/>
      </c>
      <c r="BD890" s="100" t="str">
        <f t="shared" si="133"/>
        <v/>
      </c>
      <c r="BE890" s="103" t="str">
        <f t="shared" ca="1" si="139"/>
        <v/>
      </c>
      <c r="BF890" s="102" t="str">
        <f t="shared" si="134"/>
        <v/>
      </c>
    </row>
    <row r="891" spans="48:58" hidden="1" x14ac:dyDescent="0.25">
      <c r="AV891">
        <v>866</v>
      </c>
      <c r="AW891" s="94" t="str">
        <f t="shared" ca="1" si="135"/>
        <v/>
      </c>
      <c r="AX891" s="95" t="str">
        <f t="shared" si="130"/>
        <v/>
      </c>
      <c r="AY891" s="98" t="str">
        <f t="shared" ca="1" si="136"/>
        <v/>
      </c>
      <c r="AZ891" s="96" t="str">
        <f t="shared" si="131"/>
        <v/>
      </c>
      <c r="BA891" s="99" t="str">
        <f t="shared" ca="1" si="137"/>
        <v/>
      </c>
      <c r="BB891" s="97" t="str">
        <f t="shared" si="132"/>
        <v/>
      </c>
      <c r="BC891" s="101" t="str">
        <f t="shared" ca="1" si="138"/>
        <v/>
      </c>
      <c r="BD891" s="100" t="str">
        <f t="shared" si="133"/>
        <v/>
      </c>
      <c r="BE891" s="103" t="str">
        <f t="shared" ca="1" si="139"/>
        <v/>
      </c>
      <c r="BF891" s="102" t="str">
        <f t="shared" si="134"/>
        <v/>
      </c>
    </row>
    <row r="892" spans="48:58" hidden="1" x14ac:dyDescent="0.25">
      <c r="AV892">
        <v>867</v>
      </c>
      <c r="AW892" s="94" t="str">
        <f t="shared" ca="1" si="135"/>
        <v/>
      </c>
      <c r="AX892" s="95" t="str">
        <f t="shared" si="130"/>
        <v/>
      </c>
      <c r="AY892" s="98" t="str">
        <f t="shared" ca="1" si="136"/>
        <v/>
      </c>
      <c r="AZ892" s="96" t="str">
        <f t="shared" si="131"/>
        <v/>
      </c>
      <c r="BA892" s="99" t="str">
        <f t="shared" ca="1" si="137"/>
        <v/>
      </c>
      <c r="BB892" s="97" t="str">
        <f t="shared" si="132"/>
        <v/>
      </c>
      <c r="BC892" s="101" t="str">
        <f t="shared" ca="1" si="138"/>
        <v/>
      </c>
      <c r="BD892" s="100" t="str">
        <f t="shared" si="133"/>
        <v/>
      </c>
      <c r="BE892" s="103" t="str">
        <f t="shared" ca="1" si="139"/>
        <v/>
      </c>
      <c r="BF892" s="102" t="str">
        <f t="shared" si="134"/>
        <v/>
      </c>
    </row>
    <row r="893" spans="48:58" hidden="1" x14ac:dyDescent="0.25">
      <c r="AV893">
        <v>868</v>
      </c>
      <c r="AW893" s="94" t="str">
        <f t="shared" ca="1" si="135"/>
        <v/>
      </c>
      <c r="AX893" s="95" t="str">
        <f t="shared" si="130"/>
        <v/>
      </c>
      <c r="AY893" s="98" t="str">
        <f t="shared" ca="1" si="136"/>
        <v/>
      </c>
      <c r="AZ893" s="96" t="str">
        <f t="shared" si="131"/>
        <v/>
      </c>
      <c r="BA893" s="99" t="str">
        <f t="shared" ca="1" si="137"/>
        <v/>
      </c>
      <c r="BB893" s="97" t="str">
        <f t="shared" si="132"/>
        <v/>
      </c>
      <c r="BC893" s="101" t="str">
        <f t="shared" ca="1" si="138"/>
        <v/>
      </c>
      <c r="BD893" s="100" t="str">
        <f t="shared" si="133"/>
        <v/>
      </c>
      <c r="BE893" s="103" t="str">
        <f t="shared" ca="1" si="139"/>
        <v/>
      </c>
      <c r="BF893" s="102" t="str">
        <f t="shared" si="134"/>
        <v/>
      </c>
    </row>
    <row r="894" spans="48:58" hidden="1" x14ac:dyDescent="0.25">
      <c r="AV894">
        <v>869</v>
      </c>
      <c r="AW894" s="94" t="str">
        <f t="shared" ca="1" si="135"/>
        <v/>
      </c>
      <c r="AX894" s="95" t="str">
        <f t="shared" si="130"/>
        <v/>
      </c>
      <c r="AY894" s="98" t="str">
        <f t="shared" ca="1" si="136"/>
        <v/>
      </c>
      <c r="AZ894" s="96" t="str">
        <f t="shared" si="131"/>
        <v/>
      </c>
      <c r="BA894" s="99" t="str">
        <f t="shared" ca="1" si="137"/>
        <v/>
      </c>
      <c r="BB894" s="97" t="str">
        <f t="shared" si="132"/>
        <v/>
      </c>
      <c r="BC894" s="101" t="str">
        <f t="shared" ca="1" si="138"/>
        <v/>
      </c>
      <c r="BD894" s="100" t="str">
        <f t="shared" si="133"/>
        <v/>
      </c>
      <c r="BE894" s="103" t="str">
        <f t="shared" ca="1" si="139"/>
        <v/>
      </c>
      <c r="BF894" s="102" t="str">
        <f t="shared" si="134"/>
        <v/>
      </c>
    </row>
    <row r="895" spans="48:58" hidden="1" x14ac:dyDescent="0.25">
      <c r="AV895">
        <v>870</v>
      </c>
      <c r="AW895" s="94" t="str">
        <f t="shared" ca="1" si="135"/>
        <v/>
      </c>
      <c r="AX895" s="95" t="str">
        <f t="shared" si="130"/>
        <v/>
      </c>
      <c r="AY895" s="98" t="str">
        <f t="shared" ca="1" si="136"/>
        <v/>
      </c>
      <c r="AZ895" s="96" t="str">
        <f t="shared" si="131"/>
        <v/>
      </c>
      <c r="BA895" s="99" t="str">
        <f t="shared" ca="1" si="137"/>
        <v/>
      </c>
      <c r="BB895" s="97" t="str">
        <f t="shared" si="132"/>
        <v/>
      </c>
      <c r="BC895" s="101" t="str">
        <f t="shared" ca="1" si="138"/>
        <v/>
      </c>
      <c r="BD895" s="100" t="str">
        <f t="shared" si="133"/>
        <v/>
      </c>
      <c r="BE895" s="103" t="str">
        <f t="shared" ca="1" si="139"/>
        <v/>
      </c>
      <c r="BF895" s="102" t="str">
        <f t="shared" si="134"/>
        <v/>
      </c>
    </row>
    <row r="896" spans="48:58" hidden="1" x14ac:dyDescent="0.25">
      <c r="AV896">
        <v>871</v>
      </c>
      <c r="AW896" s="94" t="str">
        <f t="shared" ca="1" si="135"/>
        <v/>
      </c>
      <c r="AX896" s="95" t="str">
        <f t="shared" si="130"/>
        <v/>
      </c>
      <c r="AY896" s="98" t="str">
        <f t="shared" ca="1" si="136"/>
        <v/>
      </c>
      <c r="AZ896" s="96" t="str">
        <f t="shared" si="131"/>
        <v/>
      </c>
      <c r="BA896" s="99" t="str">
        <f t="shared" ca="1" si="137"/>
        <v/>
      </c>
      <c r="BB896" s="97" t="str">
        <f t="shared" si="132"/>
        <v/>
      </c>
      <c r="BC896" s="101" t="str">
        <f t="shared" ca="1" si="138"/>
        <v/>
      </c>
      <c r="BD896" s="100" t="str">
        <f t="shared" si="133"/>
        <v/>
      </c>
      <c r="BE896" s="103" t="str">
        <f t="shared" ca="1" si="139"/>
        <v/>
      </c>
      <c r="BF896" s="102" t="str">
        <f t="shared" si="134"/>
        <v/>
      </c>
    </row>
    <row r="897" spans="48:58" hidden="1" x14ac:dyDescent="0.25">
      <c r="AV897">
        <v>872</v>
      </c>
      <c r="AW897" s="94" t="str">
        <f t="shared" ca="1" si="135"/>
        <v/>
      </c>
      <c r="AX897" s="95" t="str">
        <f t="shared" si="130"/>
        <v/>
      </c>
      <c r="AY897" s="98" t="str">
        <f t="shared" ca="1" si="136"/>
        <v/>
      </c>
      <c r="AZ897" s="96" t="str">
        <f t="shared" si="131"/>
        <v/>
      </c>
      <c r="BA897" s="99" t="str">
        <f t="shared" ca="1" si="137"/>
        <v/>
      </c>
      <c r="BB897" s="97" t="str">
        <f t="shared" si="132"/>
        <v/>
      </c>
      <c r="BC897" s="101" t="str">
        <f t="shared" ca="1" si="138"/>
        <v/>
      </c>
      <c r="BD897" s="100" t="str">
        <f t="shared" si="133"/>
        <v/>
      </c>
      <c r="BE897" s="103" t="str">
        <f t="shared" ca="1" si="139"/>
        <v/>
      </c>
      <c r="BF897" s="102" t="str">
        <f t="shared" si="134"/>
        <v/>
      </c>
    </row>
    <row r="898" spans="48:58" hidden="1" x14ac:dyDescent="0.25">
      <c r="AV898">
        <v>873</v>
      </c>
      <c r="AW898" s="94" t="str">
        <f t="shared" ca="1" si="135"/>
        <v/>
      </c>
      <c r="AX898" s="95" t="str">
        <f t="shared" si="130"/>
        <v/>
      </c>
      <c r="AY898" s="98" t="str">
        <f t="shared" ca="1" si="136"/>
        <v/>
      </c>
      <c r="AZ898" s="96" t="str">
        <f t="shared" si="131"/>
        <v/>
      </c>
      <c r="BA898" s="99" t="str">
        <f t="shared" ca="1" si="137"/>
        <v/>
      </c>
      <c r="BB898" s="97" t="str">
        <f t="shared" si="132"/>
        <v/>
      </c>
      <c r="BC898" s="101" t="str">
        <f t="shared" ca="1" si="138"/>
        <v/>
      </c>
      <c r="BD898" s="100" t="str">
        <f t="shared" si="133"/>
        <v/>
      </c>
      <c r="BE898" s="103" t="str">
        <f t="shared" ca="1" si="139"/>
        <v/>
      </c>
      <c r="BF898" s="102" t="str">
        <f t="shared" si="134"/>
        <v/>
      </c>
    </row>
    <row r="899" spans="48:58" hidden="1" x14ac:dyDescent="0.25">
      <c r="AV899">
        <v>874</v>
      </c>
      <c r="AW899" s="94" t="str">
        <f t="shared" ca="1" si="135"/>
        <v/>
      </c>
      <c r="AX899" s="95" t="str">
        <f t="shared" si="130"/>
        <v/>
      </c>
      <c r="AY899" s="98" t="str">
        <f t="shared" ca="1" si="136"/>
        <v/>
      </c>
      <c r="AZ899" s="96" t="str">
        <f t="shared" si="131"/>
        <v/>
      </c>
      <c r="BA899" s="99" t="str">
        <f t="shared" ca="1" si="137"/>
        <v/>
      </c>
      <c r="BB899" s="97" t="str">
        <f t="shared" si="132"/>
        <v/>
      </c>
      <c r="BC899" s="101" t="str">
        <f t="shared" ca="1" si="138"/>
        <v/>
      </c>
      <c r="BD899" s="100" t="str">
        <f t="shared" si="133"/>
        <v/>
      </c>
      <c r="BE899" s="103" t="str">
        <f t="shared" ca="1" si="139"/>
        <v/>
      </c>
      <c r="BF899" s="102" t="str">
        <f t="shared" si="134"/>
        <v/>
      </c>
    </row>
    <row r="900" spans="48:58" hidden="1" x14ac:dyDescent="0.25">
      <c r="AV900">
        <v>875</v>
      </c>
      <c r="AW900" s="94" t="str">
        <f t="shared" ca="1" si="135"/>
        <v/>
      </c>
      <c r="AX900" s="95" t="str">
        <f t="shared" si="130"/>
        <v/>
      </c>
      <c r="AY900" s="98" t="str">
        <f t="shared" ca="1" si="136"/>
        <v/>
      </c>
      <c r="AZ900" s="96" t="str">
        <f t="shared" si="131"/>
        <v/>
      </c>
      <c r="BA900" s="99" t="str">
        <f t="shared" ca="1" si="137"/>
        <v/>
      </c>
      <c r="BB900" s="97" t="str">
        <f t="shared" si="132"/>
        <v/>
      </c>
      <c r="BC900" s="101" t="str">
        <f t="shared" ca="1" si="138"/>
        <v/>
      </c>
      <c r="BD900" s="100" t="str">
        <f t="shared" si="133"/>
        <v/>
      </c>
      <c r="BE900" s="103" t="str">
        <f t="shared" ca="1" si="139"/>
        <v/>
      </c>
      <c r="BF900" s="102" t="str">
        <f t="shared" si="134"/>
        <v/>
      </c>
    </row>
    <row r="901" spans="48:58" hidden="1" x14ac:dyDescent="0.25">
      <c r="AV901">
        <v>876</v>
      </c>
      <c r="AW901" s="94" t="str">
        <f t="shared" ca="1" si="135"/>
        <v/>
      </c>
      <c r="AX901" s="95" t="str">
        <f t="shared" si="130"/>
        <v/>
      </c>
      <c r="AY901" s="98" t="str">
        <f t="shared" ca="1" si="136"/>
        <v/>
      </c>
      <c r="AZ901" s="96" t="str">
        <f t="shared" si="131"/>
        <v/>
      </c>
      <c r="BA901" s="99" t="str">
        <f t="shared" ca="1" si="137"/>
        <v/>
      </c>
      <c r="BB901" s="97" t="str">
        <f t="shared" si="132"/>
        <v/>
      </c>
      <c r="BC901" s="101" t="str">
        <f t="shared" ca="1" si="138"/>
        <v/>
      </c>
      <c r="BD901" s="100" t="str">
        <f t="shared" si="133"/>
        <v/>
      </c>
      <c r="BE901" s="103" t="str">
        <f t="shared" ca="1" si="139"/>
        <v/>
      </c>
      <c r="BF901" s="102" t="str">
        <f t="shared" si="134"/>
        <v/>
      </c>
    </row>
    <row r="902" spans="48:58" hidden="1" x14ac:dyDescent="0.25">
      <c r="AV902">
        <v>877</v>
      </c>
      <c r="AW902" s="94" t="str">
        <f t="shared" ca="1" si="135"/>
        <v/>
      </c>
      <c r="AX902" s="95" t="str">
        <f t="shared" si="130"/>
        <v/>
      </c>
      <c r="AY902" s="98" t="str">
        <f t="shared" ca="1" si="136"/>
        <v/>
      </c>
      <c r="AZ902" s="96" t="str">
        <f t="shared" si="131"/>
        <v/>
      </c>
      <c r="BA902" s="99" t="str">
        <f t="shared" ca="1" si="137"/>
        <v/>
      </c>
      <c r="BB902" s="97" t="str">
        <f t="shared" si="132"/>
        <v/>
      </c>
      <c r="BC902" s="101" t="str">
        <f t="shared" ca="1" si="138"/>
        <v/>
      </c>
      <c r="BD902" s="100" t="str">
        <f t="shared" si="133"/>
        <v/>
      </c>
      <c r="BE902" s="103" t="str">
        <f t="shared" ca="1" si="139"/>
        <v/>
      </c>
      <c r="BF902" s="102" t="str">
        <f t="shared" si="134"/>
        <v/>
      </c>
    </row>
    <row r="903" spans="48:58" hidden="1" x14ac:dyDescent="0.25">
      <c r="AV903">
        <v>878</v>
      </c>
      <c r="AW903" s="94" t="str">
        <f t="shared" ca="1" si="135"/>
        <v/>
      </c>
      <c r="AX903" s="95" t="str">
        <f t="shared" si="130"/>
        <v/>
      </c>
      <c r="AY903" s="98" t="str">
        <f t="shared" ca="1" si="136"/>
        <v/>
      </c>
      <c r="AZ903" s="96" t="str">
        <f t="shared" si="131"/>
        <v/>
      </c>
      <c r="BA903" s="99" t="str">
        <f t="shared" ca="1" si="137"/>
        <v/>
      </c>
      <c r="BB903" s="97" t="str">
        <f t="shared" si="132"/>
        <v/>
      </c>
      <c r="BC903" s="101" t="str">
        <f t="shared" ca="1" si="138"/>
        <v/>
      </c>
      <c r="BD903" s="100" t="str">
        <f t="shared" si="133"/>
        <v/>
      </c>
      <c r="BE903" s="103" t="str">
        <f t="shared" ca="1" si="139"/>
        <v/>
      </c>
      <c r="BF903" s="102" t="str">
        <f t="shared" si="134"/>
        <v/>
      </c>
    </row>
    <row r="904" spans="48:58" hidden="1" x14ac:dyDescent="0.25">
      <c r="AV904">
        <v>879</v>
      </c>
      <c r="AW904" s="94" t="str">
        <f t="shared" ca="1" si="135"/>
        <v/>
      </c>
      <c r="AX904" s="95" t="str">
        <f t="shared" si="130"/>
        <v/>
      </c>
      <c r="AY904" s="98" t="str">
        <f t="shared" ca="1" si="136"/>
        <v/>
      </c>
      <c r="AZ904" s="96" t="str">
        <f t="shared" si="131"/>
        <v/>
      </c>
      <c r="BA904" s="99" t="str">
        <f t="shared" ca="1" si="137"/>
        <v/>
      </c>
      <c r="BB904" s="97" t="str">
        <f t="shared" si="132"/>
        <v/>
      </c>
      <c r="BC904" s="101" t="str">
        <f t="shared" ca="1" si="138"/>
        <v/>
      </c>
      <c r="BD904" s="100" t="str">
        <f t="shared" si="133"/>
        <v/>
      </c>
      <c r="BE904" s="103" t="str">
        <f t="shared" ca="1" si="139"/>
        <v/>
      </c>
      <c r="BF904" s="102" t="str">
        <f t="shared" si="134"/>
        <v/>
      </c>
    </row>
    <row r="905" spans="48:58" hidden="1" x14ac:dyDescent="0.25">
      <c r="AV905">
        <v>880</v>
      </c>
      <c r="AW905" s="94" t="str">
        <f t="shared" ca="1" si="135"/>
        <v/>
      </c>
      <c r="AX905" s="95" t="str">
        <f t="shared" si="130"/>
        <v/>
      </c>
      <c r="AY905" s="98" t="str">
        <f t="shared" ca="1" si="136"/>
        <v/>
      </c>
      <c r="AZ905" s="96" t="str">
        <f t="shared" si="131"/>
        <v/>
      </c>
      <c r="BA905" s="99" t="str">
        <f t="shared" ca="1" si="137"/>
        <v/>
      </c>
      <c r="BB905" s="97" t="str">
        <f t="shared" si="132"/>
        <v/>
      </c>
      <c r="BC905" s="101" t="str">
        <f t="shared" ca="1" si="138"/>
        <v/>
      </c>
      <c r="BD905" s="100" t="str">
        <f t="shared" si="133"/>
        <v/>
      </c>
      <c r="BE905" s="103" t="str">
        <f t="shared" ca="1" si="139"/>
        <v/>
      </c>
      <c r="BF905" s="102" t="str">
        <f t="shared" si="134"/>
        <v/>
      </c>
    </row>
    <row r="906" spans="48:58" hidden="1" x14ac:dyDescent="0.25">
      <c r="AV906">
        <v>881</v>
      </c>
      <c r="AW906" s="94" t="str">
        <f t="shared" ca="1" si="135"/>
        <v/>
      </c>
      <c r="AX906" s="95" t="str">
        <f t="shared" si="130"/>
        <v/>
      </c>
      <c r="AY906" s="98" t="str">
        <f t="shared" ca="1" si="136"/>
        <v/>
      </c>
      <c r="AZ906" s="96" t="str">
        <f t="shared" si="131"/>
        <v/>
      </c>
      <c r="BA906" s="99" t="str">
        <f t="shared" ca="1" si="137"/>
        <v/>
      </c>
      <c r="BB906" s="97" t="str">
        <f t="shared" si="132"/>
        <v/>
      </c>
      <c r="BC906" s="101" t="str">
        <f t="shared" ca="1" si="138"/>
        <v/>
      </c>
      <c r="BD906" s="100" t="str">
        <f t="shared" si="133"/>
        <v/>
      </c>
      <c r="BE906" s="103" t="str">
        <f t="shared" ca="1" si="139"/>
        <v/>
      </c>
      <c r="BF906" s="102" t="str">
        <f t="shared" si="134"/>
        <v/>
      </c>
    </row>
    <row r="907" spans="48:58" hidden="1" x14ac:dyDescent="0.25">
      <c r="AV907">
        <v>882</v>
      </c>
      <c r="AW907" s="94" t="str">
        <f t="shared" ca="1" si="135"/>
        <v/>
      </c>
      <c r="AX907" s="95" t="str">
        <f t="shared" si="130"/>
        <v/>
      </c>
      <c r="AY907" s="98" t="str">
        <f t="shared" ca="1" si="136"/>
        <v/>
      </c>
      <c r="AZ907" s="96" t="str">
        <f t="shared" si="131"/>
        <v/>
      </c>
      <c r="BA907" s="99" t="str">
        <f t="shared" ca="1" si="137"/>
        <v/>
      </c>
      <c r="BB907" s="97" t="str">
        <f t="shared" si="132"/>
        <v/>
      </c>
      <c r="BC907" s="101" t="str">
        <f t="shared" ca="1" si="138"/>
        <v/>
      </c>
      <c r="BD907" s="100" t="str">
        <f t="shared" si="133"/>
        <v/>
      </c>
      <c r="BE907" s="103" t="str">
        <f t="shared" ca="1" si="139"/>
        <v/>
      </c>
      <c r="BF907" s="102" t="str">
        <f t="shared" si="134"/>
        <v/>
      </c>
    </row>
    <row r="908" spans="48:58" hidden="1" x14ac:dyDescent="0.25">
      <c r="AV908">
        <v>883</v>
      </c>
      <c r="AW908" s="94" t="str">
        <f t="shared" ca="1" si="135"/>
        <v/>
      </c>
      <c r="AX908" s="95" t="str">
        <f t="shared" si="130"/>
        <v/>
      </c>
      <c r="AY908" s="98" t="str">
        <f t="shared" ca="1" si="136"/>
        <v/>
      </c>
      <c r="AZ908" s="96" t="str">
        <f t="shared" si="131"/>
        <v/>
      </c>
      <c r="BA908" s="99" t="str">
        <f t="shared" ca="1" si="137"/>
        <v/>
      </c>
      <c r="BB908" s="97" t="str">
        <f t="shared" si="132"/>
        <v/>
      </c>
      <c r="BC908" s="101" t="str">
        <f t="shared" ca="1" si="138"/>
        <v/>
      </c>
      <c r="BD908" s="100" t="str">
        <f t="shared" si="133"/>
        <v/>
      </c>
      <c r="BE908" s="103" t="str">
        <f t="shared" ca="1" si="139"/>
        <v/>
      </c>
      <c r="BF908" s="102" t="str">
        <f t="shared" si="134"/>
        <v/>
      </c>
    </row>
    <row r="909" spans="48:58" hidden="1" x14ac:dyDescent="0.25">
      <c r="AV909">
        <v>884</v>
      </c>
      <c r="AW909" s="94" t="str">
        <f t="shared" ca="1" si="135"/>
        <v/>
      </c>
      <c r="AX909" s="95" t="str">
        <f t="shared" si="130"/>
        <v/>
      </c>
      <c r="AY909" s="98" t="str">
        <f t="shared" ca="1" si="136"/>
        <v/>
      </c>
      <c r="AZ909" s="96" t="str">
        <f t="shared" si="131"/>
        <v/>
      </c>
      <c r="BA909" s="99" t="str">
        <f t="shared" ca="1" si="137"/>
        <v/>
      </c>
      <c r="BB909" s="97" t="str">
        <f t="shared" si="132"/>
        <v/>
      </c>
      <c r="BC909" s="101" t="str">
        <f t="shared" ca="1" si="138"/>
        <v/>
      </c>
      <c r="BD909" s="100" t="str">
        <f t="shared" si="133"/>
        <v/>
      </c>
      <c r="BE909" s="103" t="str">
        <f t="shared" ca="1" si="139"/>
        <v/>
      </c>
      <c r="BF909" s="102" t="str">
        <f t="shared" si="134"/>
        <v/>
      </c>
    </row>
    <row r="910" spans="48:58" hidden="1" x14ac:dyDescent="0.25">
      <c r="AV910">
        <v>885</v>
      </c>
      <c r="AW910" s="94" t="str">
        <f t="shared" ca="1" si="135"/>
        <v/>
      </c>
      <c r="AX910" s="95" t="str">
        <f t="shared" si="130"/>
        <v/>
      </c>
      <c r="AY910" s="98" t="str">
        <f t="shared" ca="1" si="136"/>
        <v/>
      </c>
      <c r="AZ910" s="96" t="str">
        <f t="shared" si="131"/>
        <v/>
      </c>
      <c r="BA910" s="99" t="str">
        <f t="shared" ca="1" si="137"/>
        <v/>
      </c>
      <c r="BB910" s="97" t="str">
        <f t="shared" si="132"/>
        <v/>
      </c>
      <c r="BC910" s="101" t="str">
        <f t="shared" ca="1" si="138"/>
        <v/>
      </c>
      <c r="BD910" s="100" t="str">
        <f t="shared" si="133"/>
        <v/>
      </c>
      <c r="BE910" s="103" t="str">
        <f t="shared" ca="1" si="139"/>
        <v/>
      </c>
      <c r="BF910" s="102" t="str">
        <f t="shared" si="134"/>
        <v/>
      </c>
    </row>
    <row r="911" spans="48:58" hidden="1" x14ac:dyDescent="0.25">
      <c r="AV911">
        <v>886</v>
      </c>
      <c r="AW911" s="94" t="str">
        <f t="shared" ca="1" si="135"/>
        <v/>
      </c>
      <c r="AX911" s="95" t="str">
        <f t="shared" si="130"/>
        <v/>
      </c>
      <c r="AY911" s="98" t="str">
        <f t="shared" ca="1" si="136"/>
        <v/>
      </c>
      <c r="AZ911" s="96" t="str">
        <f t="shared" si="131"/>
        <v/>
      </c>
      <c r="BA911" s="99" t="str">
        <f t="shared" ca="1" si="137"/>
        <v/>
      </c>
      <c r="BB911" s="97" t="str">
        <f t="shared" si="132"/>
        <v/>
      </c>
      <c r="BC911" s="101" t="str">
        <f t="shared" ca="1" si="138"/>
        <v/>
      </c>
      <c r="BD911" s="100" t="str">
        <f t="shared" si="133"/>
        <v/>
      </c>
      <c r="BE911" s="103" t="str">
        <f t="shared" ca="1" si="139"/>
        <v/>
      </c>
      <c r="BF911" s="102" t="str">
        <f t="shared" si="134"/>
        <v/>
      </c>
    </row>
    <row r="912" spans="48:58" hidden="1" x14ac:dyDescent="0.25">
      <c r="AV912">
        <v>887</v>
      </c>
      <c r="AW912" s="94" t="str">
        <f t="shared" ca="1" si="135"/>
        <v/>
      </c>
      <c r="AX912" s="95" t="str">
        <f t="shared" si="130"/>
        <v/>
      </c>
      <c r="AY912" s="98" t="str">
        <f t="shared" ca="1" si="136"/>
        <v/>
      </c>
      <c r="AZ912" s="96" t="str">
        <f t="shared" si="131"/>
        <v/>
      </c>
      <c r="BA912" s="99" t="str">
        <f t="shared" ca="1" si="137"/>
        <v/>
      </c>
      <c r="BB912" s="97" t="str">
        <f t="shared" si="132"/>
        <v/>
      </c>
      <c r="BC912" s="101" t="str">
        <f t="shared" ca="1" si="138"/>
        <v/>
      </c>
      <c r="BD912" s="100" t="str">
        <f t="shared" si="133"/>
        <v/>
      </c>
      <c r="BE912" s="103" t="str">
        <f t="shared" ca="1" si="139"/>
        <v/>
      </c>
      <c r="BF912" s="102" t="str">
        <f t="shared" si="134"/>
        <v/>
      </c>
    </row>
    <row r="913" spans="48:58" hidden="1" x14ac:dyDescent="0.25">
      <c r="AV913">
        <v>888</v>
      </c>
      <c r="AW913" s="94" t="str">
        <f t="shared" ca="1" si="135"/>
        <v/>
      </c>
      <c r="AX913" s="95" t="str">
        <f t="shared" si="130"/>
        <v/>
      </c>
      <c r="AY913" s="98" t="str">
        <f t="shared" ca="1" si="136"/>
        <v/>
      </c>
      <c r="AZ913" s="96" t="str">
        <f t="shared" si="131"/>
        <v/>
      </c>
      <c r="BA913" s="99" t="str">
        <f t="shared" ca="1" si="137"/>
        <v/>
      </c>
      <c r="BB913" s="97" t="str">
        <f t="shared" si="132"/>
        <v/>
      </c>
      <c r="BC913" s="101" t="str">
        <f t="shared" ca="1" si="138"/>
        <v/>
      </c>
      <c r="BD913" s="100" t="str">
        <f t="shared" si="133"/>
        <v/>
      </c>
      <c r="BE913" s="103" t="str">
        <f t="shared" ca="1" si="139"/>
        <v/>
      </c>
      <c r="BF913" s="102" t="str">
        <f t="shared" si="134"/>
        <v/>
      </c>
    </row>
    <row r="914" spans="48:58" hidden="1" x14ac:dyDescent="0.25">
      <c r="AV914">
        <v>889</v>
      </c>
      <c r="AW914" s="94" t="str">
        <f t="shared" ca="1" si="135"/>
        <v/>
      </c>
      <c r="AX914" s="95" t="str">
        <f t="shared" si="130"/>
        <v/>
      </c>
      <c r="AY914" s="98" t="str">
        <f t="shared" ca="1" si="136"/>
        <v/>
      </c>
      <c r="AZ914" s="96" t="str">
        <f t="shared" si="131"/>
        <v/>
      </c>
      <c r="BA914" s="99" t="str">
        <f t="shared" ca="1" si="137"/>
        <v/>
      </c>
      <c r="BB914" s="97" t="str">
        <f t="shared" si="132"/>
        <v/>
      </c>
      <c r="BC914" s="101" t="str">
        <f t="shared" ca="1" si="138"/>
        <v/>
      </c>
      <c r="BD914" s="100" t="str">
        <f t="shared" si="133"/>
        <v/>
      </c>
      <c r="BE914" s="103" t="str">
        <f t="shared" ca="1" si="139"/>
        <v/>
      </c>
      <c r="BF914" s="102" t="str">
        <f t="shared" si="134"/>
        <v/>
      </c>
    </row>
    <row r="915" spans="48:58" hidden="1" x14ac:dyDescent="0.25">
      <c r="AV915">
        <v>890</v>
      </c>
      <c r="AW915" s="94" t="str">
        <f t="shared" ca="1" si="135"/>
        <v/>
      </c>
      <c r="AX915" s="95" t="str">
        <f t="shared" si="130"/>
        <v/>
      </c>
      <c r="AY915" s="98" t="str">
        <f t="shared" ca="1" si="136"/>
        <v/>
      </c>
      <c r="AZ915" s="96" t="str">
        <f t="shared" si="131"/>
        <v/>
      </c>
      <c r="BA915" s="99" t="str">
        <f t="shared" ca="1" si="137"/>
        <v/>
      </c>
      <c r="BB915" s="97" t="str">
        <f t="shared" si="132"/>
        <v/>
      </c>
      <c r="BC915" s="101" t="str">
        <f t="shared" ca="1" si="138"/>
        <v/>
      </c>
      <c r="BD915" s="100" t="str">
        <f t="shared" si="133"/>
        <v/>
      </c>
      <c r="BE915" s="103" t="str">
        <f t="shared" ca="1" si="139"/>
        <v/>
      </c>
      <c r="BF915" s="102" t="str">
        <f t="shared" si="134"/>
        <v/>
      </c>
    </row>
    <row r="916" spans="48:58" hidden="1" x14ac:dyDescent="0.25">
      <c r="AV916">
        <v>891</v>
      </c>
      <c r="AW916" s="94" t="str">
        <f t="shared" ca="1" si="135"/>
        <v/>
      </c>
      <c r="AX916" s="95" t="str">
        <f t="shared" si="130"/>
        <v/>
      </c>
      <c r="AY916" s="98" t="str">
        <f t="shared" ca="1" si="136"/>
        <v/>
      </c>
      <c r="AZ916" s="96" t="str">
        <f t="shared" si="131"/>
        <v/>
      </c>
      <c r="BA916" s="99" t="str">
        <f t="shared" ca="1" si="137"/>
        <v/>
      </c>
      <c r="BB916" s="97" t="str">
        <f t="shared" si="132"/>
        <v/>
      </c>
      <c r="BC916" s="101" t="str">
        <f t="shared" ca="1" si="138"/>
        <v/>
      </c>
      <c r="BD916" s="100" t="str">
        <f t="shared" si="133"/>
        <v/>
      </c>
      <c r="BE916" s="103" t="str">
        <f t="shared" ca="1" si="139"/>
        <v/>
      </c>
      <c r="BF916" s="102" t="str">
        <f t="shared" si="134"/>
        <v/>
      </c>
    </row>
    <row r="917" spans="48:58" hidden="1" x14ac:dyDescent="0.25">
      <c r="AV917">
        <v>892</v>
      </c>
      <c r="AW917" s="94" t="str">
        <f t="shared" ca="1" si="135"/>
        <v/>
      </c>
      <c r="AX917" s="95" t="str">
        <f t="shared" si="130"/>
        <v/>
      </c>
      <c r="AY917" s="98" t="str">
        <f t="shared" ca="1" si="136"/>
        <v/>
      </c>
      <c r="AZ917" s="96" t="str">
        <f t="shared" si="131"/>
        <v/>
      </c>
      <c r="BA917" s="99" t="str">
        <f t="shared" ca="1" si="137"/>
        <v/>
      </c>
      <c r="BB917" s="97" t="str">
        <f t="shared" si="132"/>
        <v/>
      </c>
      <c r="BC917" s="101" t="str">
        <f t="shared" ca="1" si="138"/>
        <v/>
      </c>
      <c r="BD917" s="100" t="str">
        <f t="shared" si="133"/>
        <v/>
      </c>
      <c r="BE917" s="103" t="str">
        <f t="shared" ca="1" si="139"/>
        <v/>
      </c>
      <c r="BF917" s="102" t="str">
        <f t="shared" si="134"/>
        <v/>
      </c>
    </row>
    <row r="918" spans="48:58" hidden="1" x14ac:dyDescent="0.25">
      <c r="AV918">
        <v>893</v>
      </c>
      <c r="AW918" s="94" t="str">
        <f t="shared" ca="1" si="135"/>
        <v/>
      </c>
      <c r="AX918" s="95" t="str">
        <f t="shared" si="130"/>
        <v/>
      </c>
      <c r="AY918" s="98" t="str">
        <f t="shared" ca="1" si="136"/>
        <v/>
      </c>
      <c r="AZ918" s="96" t="str">
        <f t="shared" si="131"/>
        <v/>
      </c>
      <c r="BA918" s="99" t="str">
        <f t="shared" ca="1" si="137"/>
        <v/>
      </c>
      <c r="BB918" s="97" t="str">
        <f t="shared" si="132"/>
        <v/>
      </c>
      <c r="BC918" s="101" t="str">
        <f t="shared" ca="1" si="138"/>
        <v/>
      </c>
      <c r="BD918" s="100" t="str">
        <f t="shared" si="133"/>
        <v/>
      </c>
      <c r="BE918" s="103" t="str">
        <f t="shared" ca="1" si="139"/>
        <v/>
      </c>
      <c r="BF918" s="102" t="str">
        <f t="shared" si="134"/>
        <v/>
      </c>
    </row>
    <row r="919" spans="48:58" hidden="1" x14ac:dyDescent="0.25">
      <c r="AV919">
        <v>894</v>
      </c>
      <c r="AW919" s="94" t="str">
        <f t="shared" ca="1" si="135"/>
        <v/>
      </c>
      <c r="AX919" s="95" t="str">
        <f t="shared" si="130"/>
        <v/>
      </c>
      <c r="AY919" s="98" t="str">
        <f t="shared" ca="1" si="136"/>
        <v/>
      </c>
      <c r="AZ919" s="96" t="str">
        <f t="shared" si="131"/>
        <v/>
      </c>
      <c r="BA919" s="99" t="str">
        <f t="shared" ca="1" si="137"/>
        <v/>
      </c>
      <c r="BB919" s="97" t="str">
        <f t="shared" si="132"/>
        <v/>
      </c>
      <c r="BC919" s="101" t="str">
        <f t="shared" ca="1" si="138"/>
        <v/>
      </c>
      <c r="BD919" s="100" t="str">
        <f t="shared" si="133"/>
        <v/>
      </c>
      <c r="BE919" s="103" t="str">
        <f t="shared" ca="1" si="139"/>
        <v/>
      </c>
      <c r="BF919" s="102" t="str">
        <f t="shared" si="134"/>
        <v/>
      </c>
    </row>
    <row r="920" spans="48:58" hidden="1" x14ac:dyDescent="0.25">
      <c r="AV920">
        <v>895</v>
      </c>
      <c r="AW920" s="94" t="str">
        <f t="shared" ca="1" si="135"/>
        <v/>
      </c>
      <c r="AX920" s="95" t="str">
        <f t="shared" si="130"/>
        <v/>
      </c>
      <c r="AY920" s="98" t="str">
        <f t="shared" ca="1" si="136"/>
        <v/>
      </c>
      <c r="AZ920" s="96" t="str">
        <f t="shared" si="131"/>
        <v/>
      </c>
      <c r="BA920" s="99" t="str">
        <f t="shared" ca="1" si="137"/>
        <v/>
      </c>
      <c r="BB920" s="97" t="str">
        <f t="shared" si="132"/>
        <v/>
      </c>
      <c r="BC920" s="101" t="str">
        <f t="shared" ca="1" si="138"/>
        <v/>
      </c>
      <c r="BD920" s="100" t="str">
        <f t="shared" si="133"/>
        <v/>
      </c>
      <c r="BE920" s="103" t="str">
        <f t="shared" ca="1" si="139"/>
        <v/>
      </c>
      <c r="BF920" s="102" t="str">
        <f t="shared" si="134"/>
        <v/>
      </c>
    </row>
    <row r="921" spans="48:58" hidden="1" x14ac:dyDescent="0.25">
      <c r="AV921">
        <v>896</v>
      </c>
      <c r="AW921" s="94" t="str">
        <f t="shared" ca="1" si="135"/>
        <v/>
      </c>
      <c r="AX921" s="95" t="str">
        <f t="shared" si="130"/>
        <v/>
      </c>
      <c r="AY921" s="98" t="str">
        <f t="shared" ca="1" si="136"/>
        <v/>
      </c>
      <c r="AZ921" s="96" t="str">
        <f t="shared" si="131"/>
        <v/>
      </c>
      <c r="BA921" s="99" t="str">
        <f t="shared" ca="1" si="137"/>
        <v/>
      </c>
      <c r="BB921" s="97" t="str">
        <f t="shared" si="132"/>
        <v/>
      </c>
      <c r="BC921" s="101" t="str">
        <f t="shared" ca="1" si="138"/>
        <v/>
      </c>
      <c r="BD921" s="100" t="str">
        <f t="shared" si="133"/>
        <v/>
      </c>
      <c r="BE921" s="103" t="str">
        <f t="shared" ca="1" si="139"/>
        <v/>
      </c>
      <c r="BF921" s="102" t="str">
        <f t="shared" si="134"/>
        <v/>
      </c>
    </row>
    <row r="922" spans="48:58" hidden="1" x14ac:dyDescent="0.25">
      <c r="AV922">
        <v>897</v>
      </c>
      <c r="AW922" s="94" t="str">
        <f t="shared" ca="1" si="135"/>
        <v/>
      </c>
      <c r="AX922" s="95" t="str">
        <f t="shared" ref="AX922:AX985" si="140">IF($D$15*12&gt;=AV922,-1*$H$15,IF($D$15*12+1&gt;=AV922,InfGoal1,""))</f>
        <v/>
      </c>
      <c r="AY922" s="98" t="str">
        <f t="shared" ca="1" si="136"/>
        <v/>
      </c>
      <c r="AZ922" s="96" t="str">
        <f t="shared" ref="AZ922:AZ985" si="141">IF($D$17*12&gt;=AV922,-1*$H$17,IF($D$17*12+1&gt;=AV922,InfGoal2,""))</f>
        <v/>
      </c>
      <c r="BA922" s="99" t="str">
        <f t="shared" ca="1" si="137"/>
        <v/>
      </c>
      <c r="BB922" s="97" t="str">
        <f t="shared" ref="BB922:BB985" si="142">IF($D$19*12&gt;=AV922,-1*$H$19,IF($D$19*12+1&gt;=AV922,InfGoal3,""))</f>
        <v/>
      </c>
      <c r="BC922" s="101" t="str">
        <f t="shared" ca="1" si="138"/>
        <v/>
      </c>
      <c r="BD922" s="100" t="str">
        <f t="shared" ref="BD922:BD985" si="143">IF($D$21*12&gt;=AV922,-1*$H$21,IF($D$21*12+1&gt;=AV922,InfGoal4,""))</f>
        <v/>
      </c>
      <c r="BE922" s="103" t="str">
        <f t="shared" ca="1" si="139"/>
        <v/>
      </c>
      <c r="BF922" s="102" t="str">
        <f t="shared" ref="BF922:BF985" si="144">IF($D$23*12&gt;=AV922,-1*$H$23,IF($D$23*12+1&gt;=AV922,InfGoal5,""))</f>
        <v/>
      </c>
    </row>
    <row r="923" spans="48:58" hidden="1" x14ac:dyDescent="0.25">
      <c r="AV923">
        <v>898</v>
      </c>
      <c r="AW923" s="94" t="str">
        <f t="shared" ref="AW923:AW986" ca="1" si="145">IF($D$15*12&gt;=AV923,DATE(YEAR(TODAY()),MONTH(TODAY())+AV923-1,DAY(TODAY())),IF($D$15*12+1&gt;=AV923,DATE(YEAR(TODAY()),MONTH(TODAY())+$D$15*12,DAY(TODAY())),""))</f>
        <v/>
      </c>
      <c r="AX923" s="95" t="str">
        <f t="shared" si="140"/>
        <v/>
      </c>
      <c r="AY923" s="98" t="str">
        <f t="shared" ref="AY923:AY986" ca="1" si="146">IF($D$17*12&gt;=AV923,DATE(YEAR(TODAY()),MONTH(TODAY())+AV923-1,DAY(TODAY())),IF($D$17*12+1&gt;=AV923,DATE(YEAR(TODAY()),MONTH(TODAY())+$D$17*12,DAY(TODAY())),""))</f>
        <v/>
      </c>
      <c r="AZ923" s="96" t="str">
        <f t="shared" si="141"/>
        <v/>
      </c>
      <c r="BA923" s="99" t="str">
        <f t="shared" ref="BA923:BA986" ca="1" si="147">IF($D$19*12&gt;=AV923,DATE(YEAR(TODAY()),MONTH(TODAY())+AV923-1,DAY(TODAY())),IF($D$19*12+1&gt;=AV923,DATE(YEAR(TODAY()),MONTH(TODAY())+$D$19*12,DAY(TODAY())),""))</f>
        <v/>
      </c>
      <c r="BB923" s="97" t="str">
        <f t="shared" si="142"/>
        <v/>
      </c>
      <c r="BC923" s="101" t="str">
        <f t="shared" ref="BC923:BC986" ca="1" si="148">IF($D$21*12&gt;=AV923,DATE(YEAR(TODAY()),MONTH(TODAY())+AV923-1,DAY(TODAY())),IF($D$21*12+1&gt;=AV923,DATE(YEAR(TODAY()),MONTH(TODAY())+$D$21*12,DAY(TODAY())),""))</f>
        <v/>
      </c>
      <c r="BD923" s="100" t="str">
        <f t="shared" si="143"/>
        <v/>
      </c>
      <c r="BE923" s="103" t="str">
        <f t="shared" ref="BE923:BE986" ca="1" si="149">IF($D$23*12&gt;=AV923,DATE(YEAR(TODAY()),MONTH(TODAY())+AV923-1,DAY(TODAY())),IF($D$23*12+1&gt;=AV923,DATE(YEAR(TODAY()),MONTH(TODAY())+$D$23*12,DAY(TODAY())),""))</f>
        <v/>
      </c>
      <c r="BF923" s="102" t="str">
        <f t="shared" si="144"/>
        <v/>
      </c>
    </row>
    <row r="924" spans="48:58" hidden="1" x14ac:dyDescent="0.25">
      <c r="AV924">
        <v>899</v>
      </c>
      <c r="AW924" s="94" t="str">
        <f t="shared" ca="1" si="145"/>
        <v/>
      </c>
      <c r="AX924" s="95" t="str">
        <f t="shared" si="140"/>
        <v/>
      </c>
      <c r="AY924" s="98" t="str">
        <f t="shared" ca="1" si="146"/>
        <v/>
      </c>
      <c r="AZ924" s="96" t="str">
        <f t="shared" si="141"/>
        <v/>
      </c>
      <c r="BA924" s="99" t="str">
        <f t="shared" ca="1" si="147"/>
        <v/>
      </c>
      <c r="BB924" s="97" t="str">
        <f t="shared" si="142"/>
        <v/>
      </c>
      <c r="BC924" s="101" t="str">
        <f t="shared" ca="1" si="148"/>
        <v/>
      </c>
      <c r="BD924" s="100" t="str">
        <f t="shared" si="143"/>
        <v/>
      </c>
      <c r="BE924" s="103" t="str">
        <f t="shared" ca="1" si="149"/>
        <v/>
      </c>
      <c r="BF924" s="102" t="str">
        <f t="shared" si="144"/>
        <v/>
      </c>
    </row>
    <row r="925" spans="48:58" hidden="1" x14ac:dyDescent="0.25">
      <c r="AV925">
        <v>900</v>
      </c>
      <c r="AW925" s="94" t="str">
        <f t="shared" ca="1" si="145"/>
        <v/>
      </c>
      <c r="AX925" s="95" t="str">
        <f t="shared" si="140"/>
        <v/>
      </c>
      <c r="AY925" s="98" t="str">
        <f t="shared" ca="1" si="146"/>
        <v/>
      </c>
      <c r="AZ925" s="96" t="str">
        <f t="shared" si="141"/>
        <v/>
      </c>
      <c r="BA925" s="99" t="str">
        <f t="shared" ca="1" si="147"/>
        <v/>
      </c>
      <c r="BB925" s="97" t="str">
        <f t="shared" si="142"/>
        <v/>
      </c>
      <c r="BC925" s="101" t="str">
        <f t="shared" ca="1" si="148"/>
        <v/>
      </c>
      <c r="BD925" s="100" t="str">
        <f t="shared" si="143"/>
        <v/>
      </c>
      <c r="BE925" s="103" t="str">
        <f t="shared" ca="1" si="149"/>
        <v/>
      </c>
      <c r="BF925" s="102" t="str">
        <f t="shared" si="144"/>
        <v/>
      </c>
    </row>
    <row r="926" spans="48:58" hidden="1" x14ac:dyDescent="0.25">
      <c r="AV926">
        <v>901</v>
      </c>
      <c r="AW926" s="94" t="str">
        <f t="shared" ca="1" si="145"/>
        <v/>
      </c>
      <c r="AX926" s="95" t="str">
        <f t="shared" si="140"/>
        <v/>
      </c>
      <c r="AY926" s="98" t="str">
        <f t="shared" ca="1" si="146"/>
        <v/>
      </c>
      <c r="AZ926" s="96" t="str">
        <f t="shared" si="141"/>
        <v/>
      </c>
      <c r="BA926" s="99" t="str">
        <f t="shared" ca="1" si="147"/>
        <v/>
      </c>
      <c r="BB926" s="97" t="str">
        <f t="shared" si="142"/>
        <v/>
      </c>
      <c r="BC926" s="101" t="str">
        <f t="shared" ca="1" si="148"/>
        <v/>
      </c>
      <c r="BD926" s="100" t="str">
        <f t="shared" si="143"/>
        <v/>
      </c>
      <c r="BE926" s="103" t="str">
        <f t="shared" ca="1" si="149"/>
        <v/>
      </c>
      <c r="BF926" s="102" t="str">
        <f t="shared" si="144"/>
        <v/>
      </c>
    </row>
    <row r="927" spans="48:58" hidden="1" x14ac:dyDescent="0.25">
      <c r="AV927">
        <v>902</v>
      </c>
      <c r="AW927" s="94" t="str">
        <f t="shared" ca="1" si="145"/>
        <v/>
      </c>
      <c r="AX927" s="95" t="str">
        <f t="shared" si="140"/>
        <v/>
      </c>
      <c r="AY927" s="98" t="str">
        <f t="shared" ca="1" si="146"/>
        <v/>
      </c>
      <c r="AZ927" s="96" t="str">
        <f t="shared" si="141"/>
        <v/>
      </c>
      <c r="BA927" s="99" t="str">
        <f t="shared" ca="1" si="147"/>
        <v/>
      </c>
      <c r="BB927" s="97" t="str">
        <f t="shared" si="142"/>
        <v/>
      </c>
      <c r="BC927" s="101" t="str">
        <f t="shared" ca="1" si="148"/>
        <v/>
      </c>
      <c r="BD927" s="100" t="str">
        <f t="shared" si="143"/>
        <v/>
      </c>
      <c r="BE927" s="103" t="str">
        <f t="shared" ca="1" si="149"/>
        <v/>
      </c>
      <c r="BF927" s="102" t="str">
        <f t="shared" si="144"/>
        <v/>
      </c>
    </row>
    <row r="928" spans="48:58" hidden="1" x14ac:dyDescent="0.25">
      <c r="AV928">
        <v>903</v>
      </c>
      <c r="AW928" s="94" t="str">
        <f t="shared" ca="1" si="145"/>
        <v/>
      </c>
      <c r="AX928" s="95" t="str">
        <f t="shared" si="140"/>
        <v/>
      </c>
      <c r="AY928" s="98" t="str">
        <f t="shared" ca="1" si="146"/>
        <v/>
      </c>
      <c r="AZ928" s="96" t="str">
        <f t="shared" si="141"/>
        <v/>
      </c>
      <c r="BA928" s="99" t="str">
        <f t="shared" ca="1" si="147"/>
        <v/>
      </c>
      <c r="BB928" s="97" t="str">
        <f t="shared" si="142"/>
        <v/>
      </c>
      <c r="BC928" s="101" t="str">
        <f t="shared" ca="1" si="148"/>
        <v/>
      </c>
      <c r="BD928" s="100" t="str">
        <f t="shared" si="143"/>
        <v/>
      </c>
      <c r="BE928" s="103" t="str">
        <f t="shared" ca="1" si="149"/>
        <v/>
      </c>
      <c r="BF928" s="102" t="str">
        <f t="shared" si="144"/>
        <v/>
      </c>
    </row>
    <row r="929" spans="48:58" hidden="1" x14ac:dyDescent="0.25">
      <c r="AV929">
        <v>904</v>
      </c>
      <c r="AW929" s="94" t="str">
        <f t="shared" ca="1" si="145"/>
        <v/>
      </c>
      <c r="AX929" s="95" t="str">
        <f t="shared" si="140"/>
        <v/>
      </c>
      <c r="AY929" s="98" t="str">
        <f t="shared" ca="1" si="146"/>
        <v/>
      </c>
      <c r="AZ929" s="96" t="str">
        <f t="shared" si="141"/>
        <v/>
      </c>
      <c r="BA929" s="99" t="str">
        <f t="shared" ca="1" si="147"/>
        <v/>
      </c>
      <c r="BB929" s="97" t="str">
        <f t="shared" si="142"/>
        <v/>
      </c>
      <c r="BC929" s="101" t="str">
        <f t="shared" ca="1" si="148"/>
        <v/>
      </c>
      <c r="BD929" s="100" t="str">
        <f t="shared" si="143"/>
        <v/>
      </c>
      <c r="BE929" s="103" t="str">
        <f t="shared" ca="1" si="149"/>
        <v/>
      </c>
      <c r="BF929" s="102" t="str">
        <f t="shared" si="144"/>
        <v/>
      </c>
    </row>
    <row r="930" spans="48:58" hidden="1" x14ac:dyDescent="0.25">
      <c r="AV930">
        <v>905</v>
      </c>
      <c r="AW930" s="94" t="str">
        <f t="shared" ca="1" si="145"/>
        <v/>
      </c>
      <c r="AX930" s="95" t="str">
        <f t="shared" si="140"/>
        <v/>
      </c>
      <c r="AY930" s="98" t="str">
        <f t="shared" ca="1" si="146"/>
        <v/>
      </c>
      <c r="AZ930" s="96" t="str">
        <f t="shared" si="141"/>
        <v/>
      </c>
      <c r="BA930" s="99" t="str">
        <f t="shared" ca="1" si="147"/>
        <v/>
      </c>
      <c r="BB930" s="97" t="str">
        <f t="shared" si="142"/>
        <v/>
      </c>
      <c r="BC930" s="101" t="str">
        <f t="shared" ca="1" si="148"/>
        <v/>
      </c>
      <c r="BD930" s="100" t="str">
        <f t="shared" si="143"/>
        <v/>
      </c>
      <c r="BE930" s="103" t="str">
        <f t="shared" ca="1" si="149"/>
        <v/>
      </c>
      <c r="BF930" s="102" t="str">
        <f t="shared" si="144"/>
        <v/>
      </c>
    </row>
    <row r="931" spans="48:58" hidden="1" x14ac:dyDescent="0.25">
      <c r="AV931">
        <v>906</v>
      </c>
      <c r="AW931" s="94" t="str">
        <f t="shared" ca="1" si="145"/>
        <v/>
      </c>
      <c r="AX931" s="95" t="str">
        <f t="shared" si="140"/>
        <v/>
      </c>
      <c r="AY931" s="98" t="str">
        <f t="shared" ca="1" si="146"/>
        <v/>
      </c>
      <c r="AZ931" s="96" t="str">
        <f t="shared" si="141"/>
        <v/>
      </c>
      <c r="BA931" s="99" t="str">
        <f t="shared" ca="1" si="147"/>
        <v/>
      </c>
      <c r="BB931" s="97" t="str">
        <f t="shared" si="142"/>
        <v/>
      </c>
      <c r="BC931" s="101" t="str">
        <f t="shared" ca="1" si="148"/>
        <v/>
      </c>
      <c r="BD931" s="100" t="str">
        <f t="shared" si="143"/>
        <v/>
      </c>
      <c r="BE931" s="103" t="str">
        <f t="shared" ca="1" si="149"/>
        <v/>
      </c>
      <c r="BF931" s="102" t="str">
        <f t="shared" si="144"/>
        <v/>
      </c>
    </row>
    <row r="932" spans="48:58" hidden="1" x14ac:dyDescent="0.25">
      <c r="AV932">
        <v>907</v>
      </c>
      <c r="AW932" s="94" t="str">
        <f t="shared" ca="1" si="145"/>
        <v/>
      </c>
      <c r="AX932" s="95" t="str">
        <f t="shared" si="140"/>
        <v/>
      </c>
      <c r="AY932" s="98" t="str">
        <f t="shared" ca="1" si="146"/>
        <v/>
      </c>
      <c r="AZ932" s="96" t="str">
        <f t="shared" si="141"/>
        <v/>
      </c>
      <c r="BA932" s="99" t="str">
        <f t="shared" ca="1" si="147"/>
        <v/>
      </c>
      <c r="BB932" s="97" t="str">
        <f t="shared" si="142"/>
        <v/>
      </c>
      <c r="BC932" s="101" t="str">
        <f t="shared" ca="1" si="148"/>
        <v/>
      </c>
      <c r="BD932" s="100" t="str">
        <f t="shared" si="143"/>
        <v/>
      </c>
      <c r="BE932" s="103" t="str">
        <f t="shared" ca="1" si="149"/>
        <v/>
      </c>
      <c r="BF932" s="102" t="str">
        <f t="shared" si="144"/>
        <v/>
      </c>
    </row>
    <row r="933" spans="48:58" hidden="1" x14ac:dyDescent="0.25">
      <c r="AV933">
        <v>908</v>
      </c>
      <c r="AW933" s="94" t="str">
        <f t="shared" ca="1" si="145"/>
        <v/>
      </c>
      <c r="AX933" s="95" t="str">
        <f t="shared" si="140"/>
        <v/>
      </c>
      <c r="AY933" s="98" t="str">
        <f t="shared" ca="1" si="146"/>
        <v/>
      </c>
      <c r="AZ933" s="96" t="str">
        <f t="shared" si="141"/>
        <v/>
      </c>
      <c r="BA933" s="99" t="str">
        <f t="shared" ca="1" si="147"/>
        <v/>
      </c>
      <c r="BB933" s="97" t="str">
        <f t="shared" si="142"/>
        <v/>
      </c>
      <c r="BC933" s="101" t="str">
        <f t="shared" ca="1" si="148"/>
        <v/>
      </c>
      <c r="BD933" s="100" t="str">
        <f t="shared" si="143"/>
        <v/>
      </c>
      <c r="BE933" s="103" t="str">
        <f t="shared" ca="1" si="149"/>
        <v/>
      </c>
      <c r="BF933" s="102" t="str">
        <f t="shared" si="144"/>
        <v/>
      </c>
    </row>
    <row r="934" spans="48:58" hidden="1" x14ac:dyDescent="0.25">
      <c r="AV934">
        <v>909</v>
      </c>
      <c r="AW934" s="94" t="str">
        <f t="shared" ca="1" si="145"/>
        <v/>
      </c>
      <c r="AX934" s="95" t="str">
        <f t="shared" si="140"/>
        <v/>
      </c>
      <c r="AY934" s="98" t="str">
        <f t="shared" ca="1" si="146"/>
        <v/>
      </c>
      <c r="AZ934" s="96" t="str">
        <f t="shared" si="141"/>
        <v/>
      </c>
      <c r="BA934" s="99" t="str">
        <f t="shared" ca="1" si="147"/>
        <v/>
      </c>
      <c r="BB934" s="97" t="str">
        <f t="shared" si="142"/>
        <v/>
      </c>
      <c r="BC934" s="101" t="str">
        <f t="shared" ca="1" si="148"/>
        <v/>
      </c>
      <c r="BD934" s="100" t="str">
        <f t="shared" si="143"/>
        <v/>
      </c>
      <c r="BE934" s="103" t="str">
        <f t="shared" ca="1" si="149"/>
        <v/>
      </c>
      <c r="BF934" s="102" t="str">
        <f t="shared" si="144"/>
        <v/>
      </c>
    </row>
    <row r="935" spans="48:58" hidden="1" x14ac:dyDescent="0.25">
      <c r="AV935">
        <v>910</v>
      </c>
      <c r="AW935" s="94" t="str">
        <f t="shared" ca="1" si="145"/>
        <v/>
      </c>
      <c r="AX935" s="95" t="str">
        <f t="shared" si="140"/>
        <v/>
      </c>
      <c r="AY935" s="98" t="str">
        <f t="shared" ca="1" si="146"/>
        <v/>
      </c>
      <c r="AZ935" s="96" t="str">
        <f t="shared" si="141"/>
        <v/>
      </c>
      <c r="BA935" s="99" t="str">
        <f t="shared" ca="1" si="147"/>
        <v/>
      </c>
      <c r="BB935" s="97" t="str">
        <f t="shared" si="142"/>
        <v/>
      </c>
      <c r="BC935" s="101" t="str">
        <f t="shared" ca="1" si="148"/>
        <v/>
      </c>
      <c r="BD935" s="100" t="str">
        <f t="shared" si="143"/>
        <v/>
      </c>
      <c r="BE935" s="103" t="str">
        <f t="shared" ca="1" si="149"/>
        <v/>
      </c>
      <c r="BF935" s="102" t="str">
        <f t="shared" si="144"/>
        <v/>
      </c>
    </row>
    <row r="936" spans="48:58" hidden="1" x14ac:dyDescent="0.25">
      <c r="AV936">
        <v>911</v>
      </c>
      <c r="AW936" s="94" t="str">
        <f t="shared" ca="1" si="145"/>
        <v/>
      </c>
      <c r="AX936" s="95" t="str">
        <f t="shared" si="140"/>
        <v/>
      </c>
      <c r="AY936" s="98" t="str">
        <f t="shared" ca="1" si="146"/>
        <v/>
      </c>
      <c r="AZ936" s="96" t="str">
        <f t="shared" si="141"/>
        <v/>
      </c>
      <c r="BA936" s="99" t="str">
        <f t="shared" ca="1" si="147"/>
        <v/>
      </c>
      <c r="BB936" s="97" t="str">
        <f t="shared" si="142"/>
        <v/>
      </c>
      <c r="BC936" s="101" t="str">
        <f t="shared" ca="1" si="148"/>
        <v/>
      </c>
      <c r="BD936" s="100" t="str">
        <f t="shared" si="143"/>
        <v/>
      </c>
      <c r="BE936" s="103" t="str">
        <f t="shared" ca="1" si="149"/>
        <v/>
      </c>
      <c r="BF936" s="102" t="str">
        <f t="shared" si="144"/>
        <v/>
      </c>
    </row>
    <row r="937" spans="48:58" hidden="1" x14ac:dyDescent="0.25">
      <c r="AV937">
        <v>912</v>
      </c>
      <c r="AW937" s="94" t="str">
        <f t="shared" ca="1" si="145"/>
        <v/>
      </c>
      <c r="AX937" s="95" t="str">
        <f t="shared" si="140"/>
        <v/>
      </c>
      <c r="AY937" s="98" t="str">
        <f t="shared" ca="1" si="146"/>
        <v/>
      </c>
      <c r="AZ937" s="96" t="str">
        <f t="shared" si="141"/>
        <v/>
      </c>
      <c r="BA937" s="99" t="str">
        <f t="shared" ca="1" si="147"/>
        <v/>
      </c>
      <c r="BB937" s="97" t="str">
        <f t="shared" si="142"/>
        <v/>
      </c>
      <c r="BC937" s="101" t="str">
        <f t="shared" ca="1" si="148"/>
        <v/>
      </c>
      <c r="BD937" s="100" t="str">
        <f t="shared" si="143"/>
        <v/>
      </c>
      <c r="BE937" s="103" t="str">
        <f t="shared" ca="1" si="149"/>
        <v/>
      </c>
      <c r="BF937" s="102" t="str">
        <f t="shared" si="144"/>
        <v/>
      </c>
    </row>
    <row r="938" spans="48:58" hidden="1" x14ac:dyDescent="0.25">
      <c r="AV938">
        <v>913</v>
      </c>
      <c r="AW938" s="94" t="str">
        <f t="shared" ca="1" si="145"/>
        <v/>
      </c>
      <c r="AX938" s="95" t="str">
        <f t="shared" si="140"/>
        <v/>
      </c>
      <c r="AY938" s="98" t="str">
        <f t="shared" ca="1" si="146"/>
        <v/>
      </c>
      <c r="AZ938" s="96" t="str">
        <f t="shared" si="141"/>
        <v/>
      </c>
      <c r="BA938" s="99" t="str">
        <f t="shared" ca="1" si="147"/>
        <v/>
      </c>
      <c r="BB938" s="97" t="str">
        <f t="shared" si="142"/>
        <v/>
      </c>
      <c r="BC938" s="101" t="str">
        <f t="shared" ca="1" si="148"/>
        <v/>
      </c>
      <c r="BD938" s="100" t="str">
        <f t="shared" si="143"/>
        <v/>
      </c>
      <c r="BE938" s="103" t="str">
        <f t="shared" ca="1" si="149"/>
        <v/>
      </c>
      <c r="BF938" s="102" t="str">
        <f t="shared" si="144"/>
        <v/>
      </c>
    </row>
    <row r="939" spans="48:58" hidden="1" x14ac:dyDescent="0.25">
      <c r="AV939">
        <v>914</v>
      </c>
      <c r="AW939" s="94" t="str">
        <f t="shared" ca="1" si="145"/>
        <v/>
      </c>
      <c r="AX939" s="95" t="str">
        <f t="shared" si="140"/>
        <v/>
      </c>
      <c r="AY939" s="98" t="str">
        <f t="shared" ca="1" si="146"/>
        <v/>
      </c>
      <c r="AZ939" s="96" t="str">
        <f t="shared" si="141"/>
        <v/>
      </c>
      <c r="BA939" s="99" t="str">
        <f t="shared" ca="1" si="147"/>
        <v/>
      </c>
      <c r="BB939" s="97" t="str">
        <f t="shared" si="142"/>
        <v/>
      </c>
      <c r="BC939" s="101" t="str">
        <f t="shared" ca="1" si="148"/>
        <v/>
      </c>
      <c r="BD939" s="100" t="str">
        <f t="shared" si="143"/>
        <v/>
      </c>
      <c r="BE939" s="103" t="str">
        <f t="shared" ca="1" si="149"/>
        <v/>
      </c>
      <c r="BF939" s="102" t="str">
        <f t="shared" si="144"/>
        <v/>
      </c>
    </row>
    <row r="940" spans="48:58" hidden="1" x14ac:dyDescent="0.25">
      <c r="AV940">
        <v>915</v>
      </c>
      <c r="AW940" s="94" t="str">
        <f t="shared" ca="1" si="145"/>
        <v/>
      </c>
      <c r="AX940" s="95" t="str">
        <f t="shared" si="140"/>
        <v/>
      </c>
      <c r="AY940" s="98" t="str">
        <f t="shared" ca="1" si="146"/>
        <v/>
      </c>
      <c r="AZ940" s="96" t="str">
        <f t="shared" si="141"/>
        <v/>
      </c>
      <c r="BA940" s="99" t="str">
        <f t="shared" ca="1" si="147"/>
        <v/>
      </c>
      <c r="BB940" s="97" t="str">
        <f t="shared" si="142"/>
        <v/>
      </c>
      <c r="BC940" s="101" t="str">
        <f t="shared" ca="1" si="148"/>
        <v/>
      </c>
      <c r="BD940" s="100" t="str">
        <f t="shared" si="143"/>
        <v/>
      </c>
      <c r="BE940" s="103" t="str">
        <f t="shared" ca="1" si="149"/>
        <v/>
      </c>
      <c r="BF940" s="102" t="str">
        <f t="shared" si="144"/>
        <v/>
      </c>
    </row>
    <row r="941" spans="48:58" hidden="1" x14ac:dyDescent="0.25">
      <c r="AV941">
        <v>916</v>
      </c>
      <c r="AW941" s="94" t="str">
        <f t="shared" ca="1" si="145"/>
        <v/>
      </c>
      <c r="AX941" s="95" t="str">
        <f t="shared" si="140"/>
        <v/>
      </c>
      <c r="AY941" s="98" t="str">
        <f t="shared" ca="1" si="146"/>
        <v/>
      </c>
      <c r="AZ941" s="96" t="str">
        <f t="shared" si="141"/>
        <v/>
      </c>
      <c r="BA941" s="99" t="str">
        <f t="shared" ca="1" si="147"/>
        <v/>
      </c>
      <c r="BB941" s="97" t="str">
        <f t="shared" si="142"/>
        <v/>
      </c>
      <c r="BC941" s="101" t="str">
        <f t="shared" ca="1" si="148"/>
        <v/>
      </c>
      <c r="BD941" s="100" t="str">
        <f t="shared" si="143"/>
        <v/>
      </c>
      <c r="BE941" s="103" t="str">
        <f t="shared" ca="1" si="149"/>
        <v/>
      </c>
      <c r="BF941" s="102" t="str">
        <f t="shared" si="144"/>
        <v/>
      </c>
    </row>
    <row r="942" spans="48:58" hidden="1" x14ac:dyDescent="0.25">
      <c r="AV942">
        <v>917</v>
      </c>
      <c r="AW942" s="94" t="str">
        <f t="shared" ca="1" si="145"/>
        <v/>
      </c>
      <c r="AX942" s="95" t="str">
        <f t="shared" si="140"/>
        <v/>
      </c>
      <c r="AY942" s="98" t="str">
        <f t="shared" ca="1" si="146"/>
        <v/>
      </c>
      <c r="AZ942" s="96" t="str">
        <f t="shared" si="141"/>
        <v/>
      </c>
      <c r="BA942" s="99" t="str">
        <f t="shared" ca="1" si="147"/>
        <v/>
      </c>
      <c r="BB942" s="97" t="str">
        <f t="shared" si="142"/>
        <v/>
      </c>
      <c r="BC942" s="101" t="str">
        <f t="shared" ca="1" si="148"/>
        <v/>
      </c>
      <c r="BD942" s="100" t="str">
        <f t="shared" si="143"/>
        <v/>
      </c>
      <c r="BE942" s="103" t="str">
        <f t="shared" ca="1" si="149"/>
        <v/>
      </c>
      <c r="BF942" s="102" t="str">
        <f t="shared" si="144"/>
        <v/>
      </c>
    </row>
    <row r="943" spans="48:58" hidden="1" x14ac:dyDescent="0.25">
      <c r="AV943">
        <v>918</v>
      </c>
      <c r="AW943" s="94" t="str">
        <f t="shared" ca="1" si="145"/>
        <v/>
      </c>
      <c r="AX943" s="95" t="str">
        <f t="shared" si="140"/>
        <v/>
      </c>
      <c r="AY943" s="98" t="str">
        <f t="shared" ca="1" si="146"/>
        <v/>
      </c>
      <c r="AZ943" s="96" t="str">
        <f t="shared" si="141"/>
        <v/>
      </c>
      <c r="BA943" s="99" t="str">
        <f t="shared" ca="1" si="147"/>
        <v/>
      </c>
      <c r="BB943" s="97" t="str">
        <f t="shared" si="142"/>
        <v/>
      </c>
      <c r="BC943" s="101" t="str">
        <f t="shared" ca="1" si="148"/>
        <v/>
      </c>
      <c r="BD943" s="100" t="str">
        <f t="shared" si="143"/>
        <v/>
      </c>
      <c r="BE943" s="103" t="str">
        <f t="shared" ca="1" si="149"/>
        <v/>
      </c>
      <c r="BF943" s="102" t="str">
        <f t="shared" si="144"/>
        <v/>
      </c>
    </row>
    <row r="944" spans="48:58" hidden="1" x14ac:dyDescent="0.25">
      <c r="AV944">
        <v>919</v>
      </c>
      <c r="AW944" s="94" t="str">
        <f t="shared" ca="1" si="145"/>
        <v/>
      </c>
      <c r="AX944" s="95" t="str">
        <f t="shared" si="140"/>
        <v/>
      </c>
      <c r="AY944" s="98" t="str">
        <f t="shared" ca="1" si="146"/>
        <v/>
      </c>
      <c r="AZ944" s="96" t="str">
        <f t="shared" si="141"/>
        <v/>
      </c>
      <c r="BA944" s="99" t="str">
        <f t="shared" ca="1" si="147"/>
        <v/>
      </c>
      <c r="BB944" s="97" t="str">
        <f t="shared" si="142"/>
        <v/>
      </c>
      <c r="BC944" s="101" t="str">
        <f t="shared" ca="1" si="148"/>
        <v/>
      </c>
      <c r="BD944" s="100" t="str">
        <f t="shared" si="143"/>
        <v/>
      </c>
      <c r="BE944" s="103" t="str">
        <f t="shared" ca="1" si="149"/>
        <v/>
      </c>
      <c r="BF944" s="102" t="str">
        <f t="shared" si="144"/>
        <v/>
      </c>
    </row>
    <row r="945" spans="48:58" hidden="1" x14ac:dyDescent="0.25">
      <c r="AV945">
        <v>920</v>
      </c>
      <c r="AW945" s="94" t="str">
        <f t="shared" ca="1" si="145"/>
        <v/>
      </c>
      <c r="AX945" s="95" t="str">
        <f t="shared" si="140"/>
        <v/>
      </c>
      <c r="AY945" s="98" t="str">
        <f t="shared" ca="1" si="146"/>
        <v/>
      </c>
      <c r="AZ945" s="96" t="str">
        <f t="shared" si="141"/>
        <v/>
      </c>
      <c r="BA945" s="99" t="str">
        <f t="shared" ca="1" si="147"/>
        <v/>
      </c>
      <c r="BB945" s="97" t="str">
        <f t="shared" si="142"/>
        <v/>
      </c>
      <c r="BC945" s="101" t="str">
        <f t="shared" ca="1" si="148"/>
        <v/>
      </c>
      <c r="BD945" s="100" t="str">
        <f t="shared" si="143"/>
        <v/>
      </c>
      <c r="BE945" s="103" t="str">
        <f t="shared" ca="1" si="149"/>
        <v/>
      </c>
      <c r="BF945" s="102" t="str">
        <f t="shared" si="144"/>
        <v/>
      </c>
    </row>
    <row r="946" spans="48:58" hidden="1" x14ac:dyDescent="0.25">
      <c r="AV946">
        <v>921</v>
      </c>
      <c r="AW946" s="94" t="str">
        <f t="shared" ca="1" si="145"/>
        <v/>
      </c>
      <c r="AX946" s="95" t="str">
        <f t="shared" si="140"/>
        <v/>
      </c>
      <c r="AY946" s="98" t="str">
        <f t="shared" ca="1" si="146"/>
        <v/>
      </c>
      <c r="AZ946" s="96" t="str">
        <f t="shared" si="141"/>
        <v/>
      </c>
      <c r="BA946" s="99" t="str">
        <f t="shared" ca="1" si="147"/>
        <v/>
      </c>
      <c r="BB946" s="97" t="str">
        <f t="shared" si="142"/>
        <v/>
      </c>
      <c r="BC946" s="101" t="str">
        <f t="shared" ca="1" si="148"/>
        <v/>
      </c>
      <c r="BD946" s="100" t="str">
        <f t="shared" si="143"/>
        <v/>
      </c>
      <c r="BE946" s="103" t="str">
        <f t="shared" ca="1" si="149"/>
        <v/>
      </c>
      <c r="BF946" s="102" t="str">
        <f t="shared" si="144"/>
        <v/>
      </c>
    </row>
    <row r="947" spans="48:58" hidden="1" x14ac:dyDescent="0.25">
      <c r="AV947">
        <v>922</v>
      </c>
      <c r="AW947" s="94" t="str">
        <f t="shared" ca="1" si="145"/>
        <v/>
      </c>
      <c r="AX947" s="95" t="str">
        <f t="shared" si="140"/>
        <v/>
      </c>
      <c r="AY947" s="98" t="str">
        <f t="shared" ca="1" si="146"/>
        <v/>
      </c>
      <c r="AZ947" s="96" t="str">
        <f t="shared" si="141"/>
        <v/>
      </c>
      <c r="BA947" s="99" t="str">
        <f t="shared" ca="1" si="147"/>
        <v/>
      </c>
      <c r="BB947" s="97" t="str">
        <f t="shared" si="142"/>
        <v/>
      </c>
      <c r="BC947" s="101" t="str">
        <f t="shared" ca="1" si="148"/>
        <v/>
      </c>
      <c r="BD947" s="100" t="str">
        <f t="shared" si="143"/>
        <v/>
      </c>
      <c r="BE947" s="103" t="str">
        <f t="shared" ca="1" si="149"/>
        <v/>
      </c>
      <c r="BF947" s="102" t="str">
        <f t="shared" si="144"/>
        <v/>
      </c>
    </row>
    <row r="948" spans="48:58" hidden="1" x14ac:dyDescent="0.25">
      <c r="AV948">
        <v>923</v>
      </c>
      <c r="AW948" s="94" t="str">
        <f t="shared" ca="1" si="145"/>
        <v/>
      </c>
      <c r="AX948" s="95" t="str">
        <f t="shared" si="140"/>
        <v/>
      </c>
      <c r="AY948" s="98" t="str">
        <f t="shared" ca="1" si="146"/>
        <v/>
      </c>
      <c r="AZ948" s="96" t="str">
        <f t="shared" si="141"/>
        <v/>
      </c>
      <c r="BA948" s="99" t="str">
        <f t="shared" ca="1" si="147"/>
        <v/>
      </c>
      <c r="BB948" s="97" t="str">
        <f t="shared" si="142"/>
        <v/>
      </c>
      <c r="BC948" s="101" t="str">
        <f t="shared" ca="1" si="148"/>
        <v/>
      </c>
      <c r="BD948" s="100" t="str">
        <f t="shared" si="143"/>
        <v/>
      </c>
      <c r="BE948" s="103" t="str">
        <f t="shared" ca="1" si="149"/>
        <v/>
      </c>
      <c r="BF948" s="102" t="str">
        <f t="shared" si="144"/>
        <v/>
      </c>
    </row>
    <row r="949" spans="48:58" hidden="1" x14ac:dyDescent="0.25">
      <c r="AV949">
        <v>924</v>
      </c>
      <c r="AW949" s="94" t="str">
        <f t="shared" ca="1" si="145"/>
        <v/>
      </c>
      <c r="AX949" s="95" t="str">
        <f t="shared" si="140"/>
        <v/>
      </c>
      <c r="AY949" s="98" t="str">
        <f t="shared" ca="1" si="146"/>
        <v/>
      </c>
      <c r="AZ949" s="96" t="str">
        <f t="shared" si="141"/>
        <v/>
      </c>
      <c r="BA949" s="99" t="str">
        <f t="shared" ca="1" si="147"/>
        <v/>
      </c>
      <c r="BB949" s="97" t="str">
        <f t="shared" si="142"/>
        <v/>
      </c>
      <c r="BC949" s="101" t="str">
        <f t="shared" ca="1" si="148"/>
        <v/>
      </c>
      <c r="BD949" s="100" t="str">
        <f t="shared" si="143"/>
        <v/>
      </c>
      <c r="BE949" s="103" t="str">
        <f t="shared" ca="1" si="149"/>
        <v/>
      </c>
      <c r="BF949" s="102" t="str">
        <f t="shared" si="144"/>
        <v/>
      </c>
    </row>
    <row r="950" spans="48:58" hidden="1" x14ac:dyDescent="0.25">
      <c r="AV950">
        <v>925</v>
      </c>
      <c r="AW950" s="94" t="str">
        <f t="shared" ca="1" si="145"/>
        <v/>
      </c>
      <c r="AX950" s="95" t="str">
        <f t="shared" si="140"/>
        <v/>
      </c>
      <c r="AY950" s="98" t="str">
        <f t="shared" ca="1" si="146"/>
        <v/>
      </c>
      <c r="AZ950" s="96" t="str">
        <f t="shared" si="141"/>
        <v/>
      </c>
      <c r="BA950" s="99" t="str">
        <f t="shared" ca="1" si="147"/>
        <v/>
      </c>
      <c r="BB950" s="97" t="str">
        <f t="shared" si="142"/>
        <v/>
      </c>
      <c r="BC950" s="101" t="str">
        <f t="shared" ca="1" si="148"/>
        <v/>
      </c>
      <c r="BD950" s="100" t="str">
        <f t="shared" si="143"/>
        <v/>
      </c>
      <c r="BE950" s="103" t="str">
        <f t="shared" ca="1" si="149"/>
        <v/>
      </c>
      <c r="BF950" s="102" t="str">
        <f t="shared" si="144"/>
        <v/>
      </c>
    </row>
    <row r="951" spans="48:58" hidden="1" x14ac:dyDescent="0.25">
      <c r="AV951">
        <v>926</v>
      </c>
      <c r="AW951" s="94" t="str">
        <f t="shared" ca="1" si="145"/>
        <v/>
      </c>
      <c r="AX951" s="95" t="str">
        <f t="shared" si="140"/>
        <v/>
      </c>
      <c r="AY951" s="98" t="str">
        <f t="shared" ca="1" si="146"/>
        <v/>
      </c>
      <c r="AZ951" s="96" t="str">
        <f t="shared" si="141"/>
        <v/>
      </c>
      <c r="BA951" s="99" t="str">
        <f t="shared" ca="1" si="147"/>
        <v/>
      </c>
      <c r="BB951" s="97" t="str">
        <f t="shared" si="142"/>
        <v/>
      </c>
      <c r="BC951" s="101" t="str">
        <f t="shared" ca="1" si="148"/>
        <v/>
      </c>
      <c r="BD951" s="100" t="str">
        <f t="shared" si="143"/>
        <v/>
      </c>
      <c r="BE951" s="103" t="str">
        <f t="shared" ca="1" si="149"/>
        <v/>
      </c>
      <c r="BF951" s="102" t="str">
        <f t="shared" si="144"/>
        <v/>
      </c>
    </row>
    <row r="952" spans="48:58" hidden="1" x14ac:dyDescent="0.25">
      <c r="AV952">
        <v>927</v>
      </c>
      <c r="AW952" s="94" t="str">
        <f t="shared" ca="1" si="145"/>
        <v/>
      </c>
      <c r="AX952" s="95" t="str">
        <f t="shared" si="140"/>
        <v/>
      </c>
      <c r="AY952" s="98" t="str">
        <f t="shared" ca="1" si="146"/>
        <v/>
      </c>
      <c r="AZ952" s="96" t="str">
        <f t="shared" si="141"/>
        <v/>
      </c>
      <c r="BA952" s="99" t="str">
        <f t="shared" ca="1" si="147"/>
        <v/>
      </c>
      <c r="BB952" s="97" t="str">
        <f t="shared" si="142"/>
        <v/>
      </c>
      <c r="BC952" s="101" t="str">
        <f t="shared" ca="1" si="148"/>
        <v/>
      </c>
      <c r="BD952" s="100" t="str">
        <f t="shared" si="143"/>
        <v/>
      </c>
      <c r="BE952" s="103" t="str">
        <f t="shared" ca="1" si="149"/>
        <v/>
      </c>
      <c r="BF952" s="102" t="str">
        <f t="shared" si="144"/>
        <v/>
      </c>
    </row>
    <row r="953" spans="48:58" hidden="1" x14ac:dyDescent="0.25">
      <c r="AV953">
        <v>928</v>
      </c>
      <c r="AW953" s="94" t="str">
        <f t="shared" ca="1" si="145"/>
        <v/>
      </c>
      <c r="AX953" s="95" t="str">
        <f t="shared" si="140"/>
        <v/>
      </c>
      <c r="AY953" s="98" t="str">
        <f t="shared" ca="1" si="146"/>
        <v/>
      </c>
      <c r="AZ953" s="96" t="str">
        <f t="shared" si="141"/>
        <v/>
      </c>
      <c r="BA953" s="99" t="str">
        <f t="shared" ca="1" si="147"/>
        <v/>
      </c>
      <c r="BB953" s="97" t="str">
        <f t="shared" si="142"/>
        <v/>
      </c>
      <c r="BC953" s="101" t="str">
        <f t="shared" ca="1" si="148"/>
        <v/>
      </c>
      <c r="BD953" s="100" t="str">
        <f t="shared" si="143"/>
        <v/>
      </c>
      <c r="BE953" s="103" t="str">
        <f t="shared" ca="1" si="149"/>
        <v/>
      </c>
      <c r="BF953" s="102" t="str">
        <f t="shared" si="144"/>
        <v/>
      </c>
    </row>
    <row r="954" spans="48:58" hidden="1" x14ac:dyDescent="0.25">
      <c r="AV954">
        <v>929</v>
      </c>
      <c r="AW954" s="94" t="str">
        <f t="shared" ca="1" si="145"/>
        <v/>
      </c>
      <c r="AX954" s="95" t="str">
        <f t="shared" si="140"/>
        <v/>
      </c>
      <c r="AY954" s="98" t="str">
        <f t="shared" ca="1" si="146"/>
        <v/>
      </c>
      <c r="AZ954" s="96" t="str">
        <f t="shared" si="141"/>
        <v/>
      </c>
      <c r="BA954" s="99" t="str">
        <f t="shared" ca="1" si="147"/>
        <v/>
      </c>
      <c r="BB954" s="97" t="str">
        <f t="shared" si="142"/>
        <v/>
      </c>
      <c r="BC954" s="101" t="str">
        <f t="shared" ca="1" si="148"/>
        <v/>
      </c>
      <c r="BD954" s="100" t="str">
        <f t="shared" si="143"/>
        <v/>
      </c>
      <c r="BE954" s="103" t="str">
        <f t="shared" ca="1" si="149"/>
        <v/>
      </c>
      <c r="BF954" s="102" t="str">
        <f t="shared" si="144"/>
        <v/>
      </c>
    </row>
    <row r="955" spans="48:58" hidden="1" x14ac:dyDescent="0.25">
      <c r="AV955">
        <v>930</v>
      </c>
      <c r="AW955" s="94" t="str">
        <f t="shared" ca="1" si="145"/>
        <v/>
      </c>
      <c r="AX955" s="95" t="str">
        <f t="shared" si="140"/>
        <v/>
      </c>
      <c r="AY955" s="98" t="str">
        <f t="shared" ca="1" si="146"/>
        <v/>
      </c>
      <c r="AZ955" s="96" t="str">
        <f t="shared" si="141"/>
        <v/>
      </c>
      <c r="BA955" s="99" t="str">
        <f t="shared" ca="1" si="147"/>
        <v/>
      </c>
      <c r="BB955" s="97" t="str">
        <f t="shared" si="142"/>
        <v/>
      </c>
      <c r="BC955" s="101" t="str">
        <f t="shared" ca="1" si="148"/>
        <v/>
      </c>
      <c r="BD955" s="100" t="str">
        <f t="shared" si="143"/>
        <v/>
      </c>
      <c r="BE955" s="103" t="str">
        <f t="shared" ca="1" si="149"/>
        <v/>
      </c>
      <c r="BF955" s="102" t="str">
        <f t="shared" si="144"/>
        <v/>
      </c>
    </row>
    <row r="956" spans="48:58" hidden="1" x14ac:dyDescent="0.25">
      <c r="AV956">
        <v>931</v>
      </c>
      <c r="AW956" s="94" t="str">
        <f t="shared" ca="1" si="145"/>
        <v/>
      </c>
      <c r="AX956" s="95" t="str">
        <f t="shared" si="140"/>
        <v/>
      </c>
      <c r="AY956" s="98" t="str">
        <f t="shared" ca="1" si="146"/>
        <v/>
      </c>
      <c r="AZ956" s="96" t="str">
        <f t="shared" si="141"/>
        <v/>
      </c>
      <c r="BA956" s="99" t="str">
        <f t="shared" ca="1" si="147"/>
        <v/>
      </c>
      <c r="BB956" s="97" t="str">
        <f t="shared" si="142"/>
        <v/>
      </c>
      <c r="BC956" s="101" t="str">
        <f t="shared" ca="1" si="148"/>
        <v/>
      </c>
      <c r="BD956" s="100" t="str">
        <f t="shared" si="143"/>
        <v/>
      </c>
      <c r="BE956" s="103" t="str">
        <f t="shared" ca="1" si="149"/>
        <v/>
      </c>
      <c r="BF956" s="102" t="str">
        <f t="shared" si="144"/>
        <v/>
      </c>
    </row>
    <row r="957" spans="48:58" hidden="1" x14ac:dyDescent="0.25">
      <c r="AV957">
        <v>932</v>
      </c>
      <c r="AW957" s="94" t="str">
        <f t="shared" ca="1" si="145"/>
        <v/>
      </c>
      <c r="AX957" s="95" t="str">
        <f t="shared" si="140"/>
        <v/>
      </c>
      <c r="AY957" s="98" t="str">
        <f t="shared" ca="1" si="146"/>
        <v/>
      </c>
      <c r="AZ957" s="96" t="str">
        <f t="shared" si="141"/>
        <v/>
      </c>
      <c r="BA957" s="99" t="str">
        <f t="shared" ca="1" si="147"/>
        <v/>
      </c>
      <c r="BB957" s="97" t="str">
        <f t="shared" si="142"/>
        <v/>
      </c>
      <c r="BC957" s="101" t="str">
        <f t="shared" ca="1" si="148"/>
        <v/>
      </c>
      <c r="BD957" s="100" t="str">
        <f t="shared" si="143"/>
        <v/>
      </c>
      <c r="BE957" s="103" t="str">
        <f t="shared" ca="1" si="149"/>
        <v/>
      </c>
      <c r="BF957" s="102" t="str">
        <f t="shared" si="144"/>
        <v/>
      </c>
    </row>
    <row r="958" spans="48:58" hidden="1" x14ac:dyDescent="0.25">
      <c r="AV958">
        <v>933</v>
      </c>
      <c r="AW958" s="94" t="str">
        <f t="shared" ca="1" si="145"/>
        <v/>
      </c>
      <c r="AX958" s="95" t="str">
        <f t="shared" si="140"/>
        <v/>
      </c>
      <c r="AY958" s="98" t="str">
        <f t="shared" ca="1" si="146"/>
        <v/>
      </c>
      <c r="AZ958" s="96" t="str">
        <f t="shared" si="141"/>
        <v/>
      </c>
      <c r="BA958" s="99" t="str">
        <f t="shared" ca="1" si="147"/>
        <v/>
      </c>
      <c r="BB958" s="97" t="str">
        <f t="shared" si="142"/>
        <v/>
      </c>
      <c r="BC958" s="101" t="str">
        <f t="shared" ca="1" si="148"/>
        <v/>
      </c>
      <c r="BD958" s="100" t="str">
        <f t="shared" si="143"/>
        <v/>
      </c>
      <c r="BE958" s="103" t="str">
        <f t="shared" ca="1" si="149"/>
        <v/>
      </c>
      <c r="BF958" s="102" t="str">
        <f t="shared" si="144"/>
        <v/>
      </c>
    </row>
    <row r="959" spans="48:58" hidden="1" x14ac:dyDescent="0.25">
      <c r="AV959">
        <v>934</v>
      </c>
      <c r="AW959" s="94" t="str">
        <f t="shared" ca="1" si="145"/>
        <v/>
      </c>
      <c r="AX959" s="95" t="str">
        <f t="shared" si="140"/>
        <v/>
      </c>
      <c r="AY959" s="98" t="str">
        <f t="shared" ca="1" si="146"/>
        <v/>
      </c>
      <c r="AZ959" s="96" t="str">
        <f t="shared" si="141"/>
        <v/>
      </c>
      <c r="BA959" s="99" t="str">
        <f t="shared" ca="1" si="147"/>
        <v/>
      </c>
      <c r="BB959" s="97" t="str">
        <f t="shared" si="142"/>
        <v/>
      </c>
      <c r="BC959" s="101" t="str">
        <f t="shared" ca="1" si="148"/>
        <v/>
      </c>
      <c r="BD959" s="100" t="str">
        <f t="shared" si="143"/>
        <v/>
      </c>
      <c r="BE959" s="103" t="str">
        <f t="shared" ca="1" si="149"/>
        <v/>
      </c>
      <c r="BF959" s="102" t="str">
        <f t="shared" si="144"/>
        <v/>
      </c>
    </row>
    <row r="960" spans="48:58" hidden="1" x14ac:dyDescent="0.25">
      <c r="AV960">
        <v>935</v>
      </c>
      <c r="AW960" s="94" t="str">
        <f t="shared" ca="1" si="145"/>
        <v/>
      </c>
      <c r="AX960" s="95" t="str">
        <f t="shared" si="140"/>
        <v/>
      </c>
      <c r="AY960" s="98" t="str">
        <f t="shared" ca="1" si="146"/>
        <v/>
      </c>
      <c r="AZ960" s="96" t="str">
        <f t="shared" si="141"/>
        <v/>
      </c>
      <c r="BA960" s="99" t="str">
        <f t="shared" ca="1" si="147"/>
        <v/>
      </c>
      <c r="BB960" s="97" t="str">
        <f t="shared" si="142"/>
        <v/>
      </c>
      <c r="BC960" s="101" t="str">
        <f t="shared" ca="1" si="148"/>
        <v/>
      </c>
      <c r="BD960" s="100" t="str">
        <f t="shared" si="143"/>
        <v/>
      </c>
      <c r="BE960" s="103" t="str">
        <f t="shared" ca="1" si="149"/>
        <v/>
      </c>
      <c r="BF960" s="102" t="str">
        <f t="shared" si="144"/>
        <v/>
      </c>
    </row>
    <row r="961" spans="48:58" hidden="1" x14ac:dyDescent="0.25">
      <c r="AV961">
        <v>936</v>
      </c>
      <c r="AW961" s="94" t="str">
        <f t="shared" ca="1" si="145"/>
        <v/>
      </c>
      <c r="AX961" s="95" t="str">
        <f t="shared" si="140"/>
        <v/>
      </c>
      <c r="AY961" s="98" t="str">
        <f t="shared" ca="1" si="146"/>
        <v/>
      </c>
      <c r="AZ961" s="96" t="str">
        <f t="shared" si="141"/>
        <v/>
      </c>
      <c r="BA961" s="99" t="str">
        <f t="shared" ca="1" si="147"/>
        <v/>
      </c>
      <c r="BB961" s="97" t="str">
        <f t="shared" si="142"/>
        <v/>
      </c>
      <c r="BC961" s="101" t="str">
        <f t="shared" ca="1" si="148"/>
        <v/>
      </c>
      <c r="BD961" s="100" t="str">
        <f t="shared" si="143"/>
        <v/>
      </c>
      <c r="BE961" s="103" t="str">
        <f t="shared" ca="1" si="149"/>
        <v/>
      </c>
      <c r="BF961" s="102" t="str">
        <f t="shared" si="144"/>
        <v/>
      </c>
    </row>
    <row r="962" spans="48:58" hidden="1" x14ac:dyDescent="0.25">
      <c r="AV962">
        <v>937</v>
      </c>
      <c r="AW962" s="94" t="str">
        <f t="shared" ca="1" si="145"/>
        <v/>
      </c>
      <c r="AX962" s="95" t="str">
        <f t="shared" si="140"/>
        <v/>
      </c>
      <c r="AY962" s="98" t="str">
        <f t="shared" ca="1" si="146"/>
        <v/>
      </c>
      <c r="AZ962" s="96" t="str">
        <f t="shared" si="141"/>
        <v/>
      </c>
      <c r="BA962" s="99" t="str">
        <f t="shared" ca="1" si="147"/>
        <v/>
      </c>
      <c r="BB962" s="97" t="str">
        <f t="shared" si="142"/>
        <v/>
      </c>
      <c r="BC962" s="101" t="str">
        <f t="shared" ca="1" si="148"/>
        <v/>
      </c>
      <c r="BD962" s="100" t="str">
        <f t="shared" si="143"/>
        <v/>
      </c>
      <c r="BE962" s="103" t="str">
        <f t="shared" ca="1" si="149"/>
        <v/>
      </c>
      <c r="BF962" s="102" t="str">
        <f t="shared" si="144"/>
        <v/>
      </c>
    </row>
    <row r="963" spans="48:58" hidden="1" x14ac:dyDescent="0.25">
      <c r="AV963">
        <v>938</v>
      </c>
      <c r="AW963" s="94" t="str">
        <f t="shared" ca="1" si="145"/>
        <v/>
      </c>
      <c r="AX963" s="95" t="str">
        <f t="shared" si="140"/>
        <v/>
      </c>
      <c r="AY963" s="98" t="str">
        <f t="shared" ca="1" si="146"/>
        <v/>
      </c>
      <c r="AZ963" s="96" t="str">
        <f t="shared" si="141"/>
        <v/>
      </c>
      <c r="BA963" s="99" t="str">
        <f t="shared" ca="1" si="147"/>
        <v/>
      </c>
      <c r="BB963" s="97" t="str">
        <f t="shared" si="142"/>
        <v/>
      </c>
      <c r="BC963" s="101" t="str">
        <f t="shared" ca="1" si="148"/>
        <v/>
      </c>
      <c r="BD963" s="100" t="str">
        <f t="shared" si="143"/>
        <v/>
      </c>
      <c r="BE963" s="103" t="str">
        <f t="shared" ca="1" si="149"/>
        <v/>
      </c>
      <c r="BF963" s="102" t="str">
        <f t="shared" si="144"/>
        <v/>
      </c>
    </row>
    <row r="964" spans="48:58" hidden="1" x14ac:dyDescent="0.25">
      <c r="AV964">
        <v>939</v>
      </c>
      <c r="AW964" s="94" t="str">
        <f t="shared" ca="1" si="145"/>
        <v/>
      </c>
      <c r="AX964" s="95" t="str">
        <f t="shared" si="140"/>
        <v/>
      </c>
      <c r="AY964" s="98" t="str">
        <f t="shared" ca="1" si="146"/>
        <v/>
      </c>
      <c r="AZ964" s="96" t="str">
        <f t="shared" si="141"/>
        <v/>
      </c>
      <c r="BA964" s="99" t="str">
        <f t="shared" ca="1" si="147"/>
        <v/>
      </c>
      <c r="BB964" s="97" t="str">
        <f t="shared" si="142"/>
        <v/>
      </c>
      <c r="BC964" s="101" t="str">
        <f t="shared" ca="1" si="148"/>
        <v/>
      </c>
      <c r="BD964" s="100" t="str">
        <f t="shared" si="143"/>
        <v/>
      </c>
      <c r="BE964" s="103" t="str">
        <f t="shared" ca="1" si="149"/>
        <v/>
      </c>
      <c r="BF964" s="102" t="str">
        <f t="shared" si="144"/>
        <v/>
      </c>
    </row>
    <row r="965" spans="48:58" hidden="1" x14ac:dyDescent="0.25">
      <c r="AV965">
        <v>940</v>
      </c>
      <c r="AW965" s="94" t="str">
        <f t="shared" ca="1" si="145"/>
        <v/>
      </c>
      <c r="AX965" s="95" t="str">
        <f t="shared" si="140"/>
        <v/>
      </c>
      <c r="AY965" s="98" t="str">
        <f t="shared" ca="1" si="146"/>
        <v/>
      </c>
      <c r="AZ965" s="96" t="str">
        <f t="shared" si="141"/>
        <v/>
      </c>
      <c r="BA965" s="99" t="str">
        <f t="shared" ca="1" si="147"/>
        <v/>
      </c>
      <c r="BB965" s="97" t="str">
        <f t="shared" si="142"/>
        <v/>
      </c>
      <c r="BC965" s="101" t="str">
        <f t="shared" ca="1" si="148"/>
        <v/>
      </c>
      <c r="BD965" s="100" t="str">
        <f t="shared" si="143"/>
        <v/>
      </c>
      <c r="BE965" s="103" t="str">
        <f t="shared" ca="1" si="149"/>
        <v/>
      </c>
      <c r="BF965" s="102" t="str">
        <f t="shared" si="144"/>
        <v/>
      </c>
    </row>
    <row r="966" spans="48:58" hidden="1" x14ac:dyDescent="0.25">
      <c r="AV966">
        <v>941</v>
      </c>
      <c r="AW966" s="94" t="str">
        <f t="shared" ca="1" si="145"/>
        <v/>
      </c>
      <c r="AX966" s="95" t="str">
        <f t="shared" si="140"/>
        <v/>
      </c>
      <c r="AY966" s="98" t="str">
        <f t="shared" ca="1" si="146"/>
        <v/>
      </c>
      <c r="AZ966" s="96" t="str">
        <f t="shared" si="141"/>
        <v/>
      </c>
      <c r="BA966" s="99" t="str">
        <f t="shared" ca="1" si="147"/>
        <v/>
      </c>
      <c r="BB966" s="97" t="str">
        <f t="shared" si="142"/>
        <v/>
      </c>
      <c r="BC966" s="101" t="str">
        <f t="shared" ca="1" si="148"/>
        <v/>
      </c>
      <c r="BD966" s="100" t="str">
        <f t="shared" si="143"/>
        <v/>
      </c>
      <c r="BE966" s="103" t="str">
        <f t="shared" ca="1" si="149"/>
        <v/>
      </c>
      <c r="BF966" s="102" t="str">
        <f t="shared" si="144"/>
        <v/>
      </c>
    </row>
    <row r="967" spans="48:58" hidden="1" x14ac:dyDescent="0.25">
      <c r="AV967">
        <v>942</v>
      </c>
      <c r="AW967" s="94" t="str">
        <f t="shared" ca="1" si="145"/>
        <v/>
      </c>
      <c r="AX967" s="95" t="str">
        <f t="shared" si="140"/>
        <v/>
      </c>
      <c r="AY967" s="98" t="str">
        <f t="shared" ca="1" si="146"/>
        <v/>
      </c>
      <c r="AZ967" s="96" t="str">
        <f t="shared" si="141"/>
        <v/>
      </c>
      <c r="BA967" s="99" t="str">
        <f t="shared" ca="1" si="147"/>
        <v/>
      </c>
      <c r="BB967" s="97" t="str">
        <f t="shared" si="142"/>
        <v/>
      </c>
      <c r="BC967" s="101" t="str">
        <f t="shared" ca="1" si="148"/>
        <v/>
      </c>
      <c r="BD967" s="100" t="str">
        <f t="shared" si="143"/>
        <v/>
      </c>
      <c r="BE967" s="103" t="str">
        <f t="shared" ca="1" si="149"/>
        <v/>
      </c>
      <c r="BF967" s="102" t="str">
        <f t="shared" si="144"/>
        <v/>
      </c>
    </row>
    <row r="968" spans="48:58" hidden="1" x14ac:dyDescent="0.25">
      <c r="AV968">
        <v>943</v>
      </c>
      <c r="AW968" s="94" t="str">
        <f t="shared" ca="1" si="145"/>
        <v/>
      </c>
      <c r="AX968" s="95" t="str">
        <f t="shared" si="140"/>
        <v/>
      </c>
      <c r="AY968" s="98" t="str">
        <f t="shared" ca="1" si="146"/>
        <v/>
      </c>
      <c r="AZ968" s="96" t="str">
        <f t="shared" si="141"/>
        <v/>
      </c>
      <c r="BA968" s="99" t="str">
        <f t="shared" ca="1" si="147"/>
        <v/>
      </c>
      <c r="BB968" s="97" t="str">
        <f t="shared" si="142"/>
        <v/>
      </c>
      <c r="BC968" s="101" t="str">
        <f t="shared" ca="1" si="148"/>
        <v/>
      </c>
      <c r="BD968" s="100" t="str">
        <f t="shared" si="143"/>
        <v/>
      </c>
      <c r="BE968" s="103" t="str">
        <f t="shared" ca="1" si="149"/>
        <v/>
      </c>
      <c r="BF968" s="102" t="str">
        <f t="shared" si="144"/>
        <v/>
      </c>
    </row>
    <row r="969" spans="48:58" hidden="1" x14ac:dyDescent="0.25">
      <c r="AV969">
        <v>944</v>
      </c>
      <c r="AW969" s="94" t="str">
        <f t="shared" ca="1" si="145"/>
        <v/>
      </c>
      <c r="AX969" s="95" t="str">
        <f t="shared" si="140"/>
        <v/>
      </c>
      <c r="AY969" s="98" t="str">
        <f t="shared" ca="1" si="146"/>
        <v/>
      </c>
      <c r="AZ969" s="96" t="str">
        <f t="shared" si="141"/>
        <v/>
      </c>
      <c r="BA969" s="99" t="str">
        <f t="shared" ca="1" si="147"/>
        <v/>
      </c>
      <c r="BB969" s="97" t="str">
        <f t="shared" si="142"/>
        <v/>
      </c>
      <c r="BC969" s="101" t="str">
        <f t="shared" ca="1" si="148"/>
        <v/>
      </c>
      <c r="BD969" s="100" t="str">
        <f t="shared" si="143"/>
        <v/>
      </c>
      <c r="BE969" s="103" t="str">
        <f t="shared" ca="1" si="149"/>
        <v/>
      </c>
      <c r="BF969" s="102" t="str">
        <f t="shared" si="144"/>
        <v/>
      </c>
    </row>
    <row r="970" spans="48:58" hidden="1" x14ac:dyDescent="0.25">
      <c r="AV970">
        <v>945</v>
      </c>
      <c r="AW970" s="94" t="str">
        <f t="shared" ca="1" si="145"/>
        <v/>
      </c>
      <c r="AX970" s="95" t="str">
        <f t="shared" si="140"/>
        <v/>
      </c>
      <c r="AY970" s="98" t="str">
        <f t="shared" ca="1" si="146"/>
        <v/>
      </c>
      <c r="AZ970" s="96" t="str">
        <f t="shared" si="141"/>
        <v/>
      </c>
      <c r="BA970" s="99" t="str">
        <f t="shared" ca="1" si="147"/>
        <v/>
      </c>
      <c r="BB970" s="97" t="str">
        <f t="shared" si="142"/>
        <v/>
      </c>
      <c r="BC970" s="101" t="str">
        <f t="shared" ca="1" si="148"/>
        <v/>
      </c>
      <c r="BD970" s="100" t="str">
        <f t="shared" si="143"/>
        <v/>
      </c>
      <c r="BE970" s="103" t="str">
        <f t="shared" ca="1" si="149"/>
        <v/>
      </c>
      <c r="BF970" s="102" t="str">
        <f t="shared" si="144"/>
        <v/>
      </c>
    </row>
    <row r="971" spans="48:58" hidden="1" x14ac:dyDescent="0.25">
      <c r="AV971">
        <v>946</v>
      </c>
      <c r="AW971" s="94" t="str">
        <f t="shared" ca="1" si="145"/>
        <v/>
      </c>
      <c r="AX971" s="95" t="str">
        <f t="shared" si="140"/>
        <v/>
      </c>
      <c r="AY971" s="98" t="str">
        <f t="shared" ca="1" si="146"/>
        <v/>
      </c>
      <c r="AZ971" s="96" t="str">
        <f t="shared" si="141"/>
        <v/>
      </c>
      <c r="BA971" s="99" t="str">
        <f t="shared" ca="1" si="147"/>
        <v/>
      </c>
      <c r="BB971" s="97" t="str">
        <f t="shared" si="142"/>
        <v/>
      </c>
      <c r="BC971" s="101" t="str">
        <f t="shared" ca="1" si="148"/>
        <v/>
      </c>
      <c r="BD971" s="100" t="str">
        <f t="shared" si="143"/>
        <v/>
      </c>
      <c r="BE971" s="103" t="str">
        <f t="shared" ca="1" si="149"/>
        <v/>
      </c>
      <c r="BF971" s="102" t="str">
        <f t="shared" si="144"/>
        <v/>
      </c>
    </row>
    <row r="972" spans="48:58" hidden="1" x14ac:dyDescent="0.25">
      <c r="AV972">
        <v>947</v>
      </c>
      <c r="AW972" s="94" t="str">
        <f t="shared" ca="1" si="145"/>
        <v/>
      </c>
      <c r="AX972" s="95" t="str">
        <f t="shared" si="140"/>
        <v/>
      </c>
      <c r="AY972" s="98" t="str">
        <f t="shared" ca="1" si="146"/>
        <v/>
      </c>
      <c r="AZ972" s="96" t="str">
        <f t="shared" si="141"/>
        <v/>
      </c>
      <c r="BA972" s="99" t="str">
        <f t="shared" ca="1" si="147"/>
        <v/>
      </c>
      <c r="BB972" s="97" t="str">
        <f t="shared" si="142"/>
        <v/>
      </c>
      <c r="BC972" s="101" t="str">
        <f t="shared" ca="1" si="148"/>
        <v/>
      </c>
      <c r="BD972" s="100" t="str">
        <f t="shared" si="143"/>
        <v/>
      </c>
      <c r="BE972" s="103" t="str">
        <f t="shared" ca="1" si="149"/>
        <v/>
      </c>
      <c r="BF972" s="102" t="str">
        <f t="shared" si="144"/>
        <v/>
      </c>
    </row>
    <row r="973" spans="48:58" hidden="1" x14ac:dyDescent="0.25">
      <c r="AV973">
        <v>948</v>
      </c>
      <c r="AW973" s="94" t="str">
        <f t="shared" ca="1" si="145"/>
        <v/>
      </c>
      <c r="AX973" s="95" t="str">
        <f t="shared" si="140"/>
        <v/>
      </c>
      <c r="AY973" s="98" t="str">
        <f t="shared" ca="1" si="146"/>
        <v/>
      </c>
      <c r="AZ973" s="96" t="str">
        <f t="shared" si="141"/>
        <v/>
      </c>
      <c r="BA973" s="99" t="str">
        <f t="shared" ca="1" si="147"/>
        <v/>
      </c>
      <c r="BB973" s="97" t="str">
        <f t="shared" si="142"/>
        <v/>
      </c>
      <c r="BC973" s="101" t="str">
        <f t="shared" ca="1" si="148"/>
        <v/>
      </c>
      <c r="BD973" s="100" t="str">
        <f t="shared" si="143"/>
        <v/>
      </c>
      <c r="BE973" s="103" t="str">
        <f t="shared" ca="1" si="149"/>
        <v/>
      </c>
      <c r="BF973" s="102" t="str">
        <f t="shared" si="144"/>
        <v/>
      </c>
    </row>
    <row r="974" spans="48:58" hidden="1" x14ac:dyDescent="0.25">
      <c r="AV974">
        <v>949</v>
      </c>
      <c r="AW974" s="94" t="str">
        <f t="shared" ca="1" si="145"/>
        <v/>
      </c>
      <c r="AX974" s="95" t="str">
        <f t="shared" si="140"/>
        <v/>
      </c>
      <c r="AY974" s="98" t="str">
        <f t="shared" ca="1" si="146"/>
        <v/>
      </c>
      <c r="AZ974" s="96" t="str">
        <f t="shared" si="141"/>
        <v/>
      </c>
      <c r="BA974" s="99" t="str">
        <f t="shared" ca="1" si="147"/>
        <v/>
      </c>
      <c r="BB974" s="97" t="str">
        <f t="shared" si="142"/>
        <v/>
      </c>
      <c r="BC974" s="101" t="str">
        <f t="shared" ca="1" si="148"/>
        <v/>
      </c>
      <c r="BD974" s="100" t="str">
        <f t="shared" si="143"/>
        <v/>
      </c>
      <c r="BE974" s="103" t="str">
        <f t="shared" ca="1" si="149"/>
        <v/>
      </c>
      <c r="BF974" s="102" t="str">
        <f t="shared" si="144"/>
        <v/>
      </c>
    </row>
    <row r="975" spans="48:58" hidden="1" x14ac:dyDescent="0.25">
      <c r="AV975">
        <v>950</v>
      </c>
      <c r="AW975" s="94" t="str">
        <f t="shared" ca="1" si="145"/>
        <v/>
      </c>
      <c r="AX975" s="95" t="str">
        <f t="shared" si="140"/>
        <v/>
      </c>
      <c r="AY975" s="98" t="str">
        <f t="shared" ca="1" si="146"/>
        <v/>
      </c>
      <c r="AZ975" s="96" t="str">
        <f t="shared" si="141"/>
        <v/>
      </c>
      <c r="BA975" s="99" t="str">
        <f t="shared" ca="1" si="147"/>
        <v/>
      </c>
      <c r="BB975" s="97" t="str">
        <f t="shared" si="142"/>
        <v/>
      </c>
      <c r="BC975" s="101" t="str">
        <f t="shared" ca="1" si="148"/>
        <v/>
      </c>
      <c r="BD975" s="100" t="str">
        <f t="shared" si="143"/>
        <v/>
      </c>
      <c r="BE975" s="103" t="str">
        <f t="shared" ca="1" si="149"/>
        <v/>
      </c>
      <c r="BF975" s="102" t="str">
        <f t="shared" si="144"/>
        <v/>
      </c>
    </row>
    <row r="976" spans="48:58" hidden="1" x14ac:dyDescent="0.25">
      <c r="AV976">
        <v>951</v>
      </c>
      <c r="AW976" s="94" t="str">
        <f t="shared" ca="1" si="145"/>
        <v/>
      </c>
      <c r="AX976" s="95" t="str">
        <f t="shared" si="140"/>
        <v/>
      </c>
      <c r="AY976" s="98" t="str">
        <f t="shared" ca="1" si="146"/>
        <v/>
      </c>
      <c r="AZ976" s="96" t="str">
        <f t="shared" si="141"/>
        <v/>
      </c>
      <c r="BA976" s="99" t="str">
        <f t="shared" ca="1" si="147"/>
        <v/>
      </c>
      <c r="BB976" s="97" t="str">
        <f t="shared" si="142"/>
        <v/>
      </c>
      <c r="BC976" s="101" t="str">
        <f t="shared" ca="1" si="148"/>
        <v/>
      </c>
      <c r="BD976" s="100" t="str">
        <f t="shared" si="143"/>
        <v/>
      </c>
      <c r="BE976" s="103" t="str">
        <f t="shared" ca="1" si="149"/>
        <v/>
      </c>
      <c r="BF976" s="102" t="str">
        <f t="shared" si="144"/>
        <v/>
      </c>
    </row>
    <row r="977" spans="48:58" hidden="1" x14ac:dyDescent="0.25">
      <c r="AV977">
        <v>952</v>
      </c>
      <c r="AW977" s="94" t="str">
        <f t="shared" ca="1" si="145"/>
        <v/>
      </c>
      <c r="AX977" s="95" t="str">
        <f t="shared" si="140"/>
        <v/>
      </c>
      <c r="AY977" s="98" t="str">
        <f t="shared" ca="1" si="146"/>
        <v/>
      </c>
      <c r="AZ977" s="96" t="str">
        <f t="shared" si="141"/>
        <v/>
      </c>
      <c r="BA977" s="99" t="str">
        <f t="shared" ca="1" si="147"/>
        <v/>
      </c>
      <c r="BB977" s="97" t="str">
        <f t="shared" si="142"/>
        <v/>
      </c>
      <c r="BC977" s="101" t="str">
        <f t="shared" ca="1" si="148"/>
        <v/>
      </c>
      <c r="BD977" s="100" t="str">
        <f t="shared" si="143"/>
        <v/>
      </c>
      <c r="BE977" s="103" t="str">
        <f t="shared" ca="1" si="149"/>
        <v/>
      </c>
      <c r="BF977" s="102" t="str">
        <f t="shared" si="144"/>
        <v/>
      </c>
    </row>
    <row r="978" spans="48:58" hidden="1" x14ac:dyDescent="0.25">
      <c r="AV978">
        <v>953</v>
      </c>
      <c r="AW978" s="94" t="str">
        <f t="shared" ca="1" si="145"/>
        <v/>
      </c>
      <c r="AX978" s="95" t="str">
        <f t="shared" si="140"/>
        <v/>
      </c>
      <c r="AY978" s="98" t="str">
        <f t="shared" ca="1" si="146"/>
        <v/>
      </c>
      <c r="AZ978" s="96" t="str">
        <f t="shared" si="141"/>
        <v/>
      </c>
      <c r="BA978" s="99" t="str">
        <f t="shared" ca="1" si="147"/>
        <v/>
      </c>
      <c r="BB978" s="97" t="str">
        <f t="shared" si="142"/>
        <v/>
      </c>
      <c r="BC978" s="101" t="str">
        <f t="shared" ca="1" si="148"/>
        <v/>
      </c>
      <c r="BD978" s="100" t="str">
        <f t="shared" si="143"/>
        <v/>
      </c>
      <c r="BE978" s="103" t="str">
        <f t="shared" ca="1" si="149"/>
        <v/>
      </c>
      <c r="BF978" s="102" t="str">
        <f t="shared" si="144"/>
        <v/>
      </c>
    </row>
    <row r="979" spans="48:58" hidden="1" x14ac:dyDescent="0.25">
      <c r="AV979">
        <v>954</v>
      </c>
      <c r="AW979" s="94" t="str">
        <f t="shared" ca="1" si="145"/>
        <v/>
      </c>
      <c r="AX979" s="95" t="str">
        <f t="shared" si="140"/>
        <v/>
      </c>
      <c r="AY979" s="98" t="str">
        <f t="shared" ca="1" si="146"/>
        <v/>
      </c>
      <c r="AZ979" s="96" t="str">
        <f t="shared" si="141"/>
        <v/>
      </c>
      <c r="BA979" s="99" t="str">
        <f t="shared" ca="1" si="147"/>
        <v/>
      </c>
      <c r="BB979" s="97" t="str">
        <f t="shared" si="142"/>
        <v/>
      </c>
      <c r="BC979" s="101" t="str">
        <f t="shared" ca="1" si="148"/>
        <v/>
      </c>
      <c r="BD979" s="100" t="str">
        <f t="shared" si="143"/>
        <v/>
      </c>
      <c r="BE979" s="103" t="str">
        <f t="shared" ca="1" si="149"/>
        <v/>
      </c>
      <c r="BF979" s="102" t="str">
        <f t="shared" si="144"/>
        <v/>
      </c>
    </row>
    <row r="980" spans="48:58" hidden="1" x14ac:dyDescent="0.25">
      <c r="AV980">
        <v>955</v>
      </c>
      <c r="AW980" s="94" t="str">
        <f t="shared" ca="1" si="145"/>
        <v/>
      </c>
      <c r="AX980" s="95" t="str">
        <f t="shared" si="140"/>
        <v/>
      </c>
      <c r="AY980" s="98" t="str">
        <f t="shared" ca="1" si="146"/>
        <v/>
      </c>
      <c r="AZ980" s="96" t="str">
        <f t="shared" si="141"/>
        <v/>
      </c>
      <c r="BA980" s="99" t="str">
        <f t="shared" ca="1" si="147"/>
        <v/>
      </c>
      <c r="BB980" s="97" t="str">
        <f t="shared" si="142"/>
        <v/>
      </c>
      <c r="BC980" s="101" t="str">
        <f t="shared" ca="1" si="148"/>
        <v/>
      </c>
      <c r="BD980" s="100" t="str">
        <f t="shared" si="143"/>
        <v/>
      </c>
      <c r="BE980" s="103" t="str">
        <f t="shared" ca="1" si="149"/>
        <v/>
      </c>
      <c r="BF980" s="102" t="str">
        <f t="shared" si="144"/>
        <v/>
      </c>
    </row>
    <row r="981" spans="48:58" hidden="1" x14ac:dyDescent="0.25">
      <c r="AV981">
        <v>956</v>
      </c>
      <c r="AW981" s="94" t="str">
        <f t="shared" ca="1" si="145"/>
        <v/>
      </c>
      <c r="AX981" s="95" t="str">
        <f t="shared" si="140"/>
        <v/>
      </c>
      <c r="AY981" s="98" t="str">
        <f t="shared" ca="1" si="146"/>
        <v/>
      </c>
      <c r="AZ981" s="96" t="str">
        <f t="shared" si="141"/>
        <v/>
      </c>
      <c r="BA981" s="99" t="str">
        <f t="shared" ca="1" si="147"/>
        <v/>
      </c>
      <c r="BB981" s="97" t="str">
        <f t="shared" si="142"/>
        <v/>
      </c>
      <c r="BC981" s="101" t="str">
        <f t="shared" ca="1" si="148"/>
        <v/>
      </c>
      <c r="BD981" s="100" t="str">
        <f t="shared" si="143"/>
        <v/>
      </c>
      <c r="BE981" s="103" t="str">
        <f t="shared" ca="1" si="149"/>
        <v/>
      </c>
      <c r="BF981" s="102" t="str">
        <f t="shared" si="144"/>
        <v/>
      </c>
    </row>
    <row r="982" spans="48:58" hidden="1" x14ac:dyDescent="0.25">
      <c r="AV982">
        <v>957</v>
      </c>
      <c r="AW982" s="94" t="str">
        <f t="shared" ca="1" si="145"/>
        <v/>
      </c>
      <c r="AX982" s="95" t="str">
        <f t="shared" si="140"/>
        <v/>
      </c>
      <c r="AY982" s="98" t="str">
        <f t="shared" ca="1" si="146"/>
        <v/>
      </c>
      <c r="AZ982" s="96" t="str">
        <f t="shared" si="141"/>
        <v/>
      </c>
      <c r="BA982" s="99" t="str">
        <f t="shared" ca="1" si="147"/>
        <v/>
      </c>
      <c r="BB982" s="97" t="str">
        <f t="shared" si="142"/>
        <v/>
      </c>
      <c r="BC982" s="101" t="str">
        <f t="shared" ca="1" si="148"/>
        <v/>
      </c>
      <c r="BD982" s="100" t="str">
        <f t="shared" si="143"/>
        <v/>
      </c>
      <c r="BE982" s="103" t="str">
        <f t="shared" ca="1" si="149"/>
        <v/>
      </c>
      <c r="BF982" s="102" t="str">
        <f t="shared" si="144"/>
        <v/>
      </c>
    </row>
    <row r="983" spans="48:58" hidden="1" x14ac:dyDescent="0.25">
      <c r="AV983">
        <v>958</v>
      </c>
      <c r="AW983" s="94" t="str">
        <f t="shared" ca="1" si="145"/>
        <v/>
      </c>
      <c r="AX983" s="95" t="str">
        <f t="shared" si="140"/>
        <v/>
      </c>
      <c r="AY983" s="98" t="str">
        <f t="shared" ca="1" si="146"/>
        <v/>
      </c>
      <c r="AZ983" s="96" t="str">
        <f t="shared" si="141"/>
        <v/>
      </c>
      <c r="BA983" s="99" t="str">
        <f t="shared" ca="1" si="147"/>
        <v/>
      </c>
      <c r="BB983" s="97" t="str">
        <f t="shared" si="142"/>
        <v/>
      </c>
      <c r="BC983" s="101" t="str">
        <f t="shared" ca="1" si="148"/>
        <v/>
      </c>
      <c r="BD983" s="100" t="str">
        <f t="shared" si="143"/>
        <v/>
      </c>
      <c r="BE983" s="103" t="str">
        <f t="shared" ca="1" si="149"/>
        <v/>
      </c>
      <c r="BF983" s="102" t="str">
        <f t="shared" si="144"/>
        <v/>
      </c>
    </row>
    <row r="984" spans="48:58" hidden="1" x14ac:dyDescent="0.25">
      <c r="AV984">
        <v>959</v>
      </c>
      <c r="AW984" s="94" t="str">
        <f t="shared" ca="1" si="145"/>
        <v/>
      </c>
      <c r="AX984" s="95" t="str">
        <f t="shared" si="140"/>
        <v/>
      </c>
      <c r="AY984" s="98" t="str">
        <f t="shared" ca="1" si="146"/>
        <v/>
      </c>
      <c r="AZ984" s="96" t="str">
        <f t="shared" si="141"/>
        <v/>
      </c>
      <c r="BA984" s="99" t="str">
        <f t="shared" ca="1" si="147"/>
        <v/>
      </c>
      <c r="BB984" s="97" t="str">
        <f t="shared" si="142"/>
        <v/>
      </c>
      <c r="BC984" s="101" t="str">
        <f t="shared" ca="1" si="148"/>
        <v/>
      </c>
      <c r="BD984" s="100" t="str">
        <f t="shared" si="143"/>
        <v/>
      </c>
      <c r="BE984" s="103" t="str">
        <f t="shared" ca="1" si="149"/>
        <v/>
      </c>
      <c r="BF984" s="102" t="str">
        <f t="shared" si="144"/>
        <v/>
      </c>
    </row>
    <row r="985" spans="48:58" hidden="1" x14ac:dyDescent="0.25">
      <c r="AV985">
        <v>960</v>
      </c>
      <c r="AW985" s="94" t="str">
        <f t="shared" ca="1" si="145"/>
        <v/>
      </c>
      <c r="AX985" s="95" t="str">
        <f t="shared" si="140"/>
        <v/>
      </c>
      <c r="AY985" s="98" t="str">
        <f t="shared" ca="1" si="146"/>
        <v/>
      </c>
      <c r="AZ985" s="96" t="str">
        <f t="shared" si="141"/>
        <v/>
      </c>
      <c r="BA985" s="99" t="str">
        <f t="shared" ca="1" si="147"/>
        <v/>
      </c>
      <c r="BB985" s="97" t="str">
        <f t="shared" si="142"/>
        <v/>
      </c>
      <c r="BC985" s="101" t="str">
        <f t="shared" ca="1" si="148"/>
        <v/>
      </c>
      <c r="BD985" s="100" t="str">
        <f t="shared" si="143"/>
        <v/>
      </c>
      <c r="BE985" s="103" t="str">
        <f t="shared" ca="1" si="149"/>
        <v/>
      </c>
      <c r="BF985" s="102" t="str">
        <f t="shared" si="144"/>
        <v/>
      </c>
    </row>
    <row r="986" spans="48:58" hidden="1" x14ac:dyDescent="0.25">
      <c r="AV986">
        <v>961</v>
      </c>
      <c r="AW986" s="94" t="str">
        <f t="shared" ca="1" si="145"/>
        <v/>
      </c>
      <c r="AX986" s="95" t="str">
        <f t="shared" ref="AX986:AX1049" si="150">IF($D$15*12&gt;=AV986,-1*$H$15,IF($D$15*12+1&gt;=AV986,InfGoal1,""))</f>
        <v/>
      </c>
      <c r="AY986" s="98" t="str">
        <f t="shared" ca="1" si="146"/>
        <v/>
      </c>
      <c r="AZ986" s="96" t="str">
        <f t="shared" ref="AZ986:AZ1049" si="151">IF($D$17*12&gt;=AV986,-1*$H$17,IF($D$17*12+1&gt;=AV986,InfGoal2,""))</f>
        <v/>
      </c>
      <c r="BA986" s="99" t="str">
        <f t="shared" ca="1" si="147"/>
        <v/>
      </c>
      <c r="BB986" s="97" t="str">
        <f t="shared" ref="BB986:BB1049" si="152">IF($D$19*12&gt;=AV986,-1*$H$19,IF($D$19*12+1&gt;=AV986,InfGoal3,""))</f>
        <v/>
      </c>
      <c r="BC986" s="101" t="str">
        <f t="shared" ca="1" si="148"/>
        <v/>
      </c>
      <c r="BD986" s="100" t="str">
        <f t="shared" ref="BD986:BD1049" si="153">IF($D$21*12&gt;=AV986,-1*$H$21,IF($D$21*12+1&gt;=AV986,InfGoal4,""))</f>
        <v/>
      </c>
      <c r="BE986" s="103" t="str">
        <f t="shared" ca="1" si="149"/>
        <v/>
      </c>
      <c r="BF986" s="102" t="str">
        <f t="shared" ref="BF986:BF1049" si="154">IF($D$23*12&gt;=AV986,-1*$H$23,IF($D$23*12+1&gt;=AV986,InfGoal5,""))</f>
        <v/>
      </c>
    </row>
    <row r="987" spans="48:58" hidden="1" x14ac:dyDescent="0.25">
      <c r="AV987">
        <v>962</v>
      </c>
      <c r="AW987" s="94" t="str">
        <f t="shared" ref="AW987:AW1050" ca="1" si="155">IF($D$15*12&gt;=AV987,DATE(YEAR(TODAY()),MONTH(TODAY())+AV987-1,DAY(TODAY())),IF($D$15*12+1&gt;=AV987,DATE(YEAR(TODAY()),MONTH(TODAY())+$D$15*12,DAY(TODAY())),""))</f>
        <v/>
      </c>
      <c r="AX987" s="95" t="str">
        <f t="shared" si="150"/>
        <v/>
      </c>
      <c r="AY987" s="98" t="str">
        <f t="shared" ref="AY987:AY1050" ca="1" si="156">IF($D$17*12&gt;=AV987,DATE(YEAR(TODAY()),MONTH(TODAY())+AV987-1,DAY(TODAY())),IF($D$17*12+1&gt;=AV987,DATE(YEAR(TODAY()),MONTH(TODAY())+$D$17*12,DAY(TODAY())),""))</f>
        <v/>
      </c>
      <c r="AZ987" s="96" t="str">
        <f t="shared" si="151"/>
        <v/>
      </c>
      <c r="BA987" s="99" t="str">
        <f t="shared" ref="BA987:BA1050" ca="1" si="157">IF($D$19*12&gt;=AV987,DATE(YEAR(TODAY()),MONTH(TODAY())+AV987-1,DAY(TODAY())),IF($D$19*12+1&gt;=AV987,DATE(YEAR(TODAY()),MONTH(TODAY())+$D$19*12,DAY(TODAY())),""))</f>
        <v/>
      </c>
      <c r="BB987" s="97" t="str">
        <f t="shared" si="152"/>
        <v/>
      </c>
      <c r="BC987" s="101" t="str">
        <f t="shared" ref="BC987:BC1050" ca="1" si="158">IF($D$21*12&gt;=AV987,DATE(YEAR(TODAY()),MONTH(TODAY())+AV987-1,DAY(TODAY())),IF($D$21*12+1&gt;=AV987,DATE(YEAR(TODAY()),MONTH(TODAY())+$D$21*12,DAY(TODAY())),""))</f>
        <v/>
      </c>
      <c r="BD987" s="100" t="str">
        <f t="shared" si="153"/>
        <v/>
      </c>
      <c r="BE987" s="103" t="str">
        <f t="shared" ref="BE987:BE1050" ca="1" si="159">IF($D$23*12&gt;=AV987,DATE(YEAR(TODAY()),MONTH(TODAY())+AV987-1,DAY(TODAY())),IF($D$23*12+1&gt;=AV987,DATE(YEAR(TODAY()),MONTH(TODAY())+$D$23*12,DAY(TODAY())),""))</f>
        <v/>
      </c>
      <c r="BF987" s="102" t="str">
        <f t="shared" si="154"/>
        <v/>
      </c>
    </row>
    <row r="988" spans="48:58" hidden="1" x14ac:dyDescent="0.25">
      <c r="AV988">
        <v>963</v>
      </c>
      <c r="AW988" s="94" t="str">
        <f t="shared" ca="1" si="155"/>
        <v/>
      </c>
      <c r="AX988" s="95" t="str">
        <f t="shared" si="150"/>
        <v/>
      </c>
      <c r="AY988" s="98" t="str">
        <f t="shared" ca="1" si="156"/>
        <v/>
      </c>
      <c r="AZ988" s="96" t="str">
        <f t="shared" si="151"/>
        <v/>
      </c>
      <c r="BA988" s="99" t="str">
        <f t="shared" ca="1" si="157"/>
        <v/>
      </c>
      <c r="BB988" s="97" t="str">
        <f t="shared" si="152"/>
        <v/>
      </c>
      <c r="BC988" s="101" t="str">
        <f t="shared" ca="1" si="158"/>
        <v/>
      </c>
      <c r="BD988" s="100" t="str">
        <f t="shared" si="153"/>
        <v/>
      </c>
      <c r="BE988" s="103" t="str">
        <f t="shared" ca="1" si="159"/>
        <v/>
      </c>
      <c r="BF988" s="102" t="str">
        <f t="shared" si="154"/>
        <v/>
      </c>
    </row>
    <row r="989" spans="48:58" hidden="1" x14ac:dyDescent="0.25">
      <c r="AV989">
        <v>964</v>
      </c>
      <c r="AW989" s="94" t="str">
        <f t="shared" ca="1" si="155"/>
        <v/>
      </c>
      <c r="AX989" s="95" t="str">
        <f t="shared" si="150"/>
        <v/>
      </c>
      <c r="AY989" s="98" t="str">
        <f t="shared" ca="1" si="156"/>
        <v/>
      </c>
      <c r="AZ989" s="96" t="str">
        <f t="shared" si="151"/>
        <v/>
      </c>
      <c r="BA989" s="99" t="str">
        <f t="shared" ca="1" si="157"/>
        <v/>
      </c>
      <c r="BB989" s="97" t="str">
        <f t="shared" si="152"/>
        <v/>
      </c>
      <c r="BC989" s="101" t="str">
        <f t="shared" ca="1" si="158"/>
        <v/>
      </c>
      <c r="BD989" s="100" t="str">
        <f t="shared" si="153"/>
        <v/>
      </c>
      <c r="BE989" s="103" t="str">
        <f t="shared" ca="1" si="159"/>
        <v/>
      </c>
      <c r="BF989" s="102" t="str">
        <f t="shared" si="154"/>
        <v/>
      </c>
    </row>
    <row r="990" spans="48:58" hidden="1" x14ac:dyDescent="0.25">
      <c r="AV990">
        <v>965</v>
      </c>
      <c r="AW990" s="94" t="str">
        <f t="shared" ca="1" si="155"/>
        <v/>
      </c>
      <c r="AX990" s="95" t="str">
        <f t="shared" si="150"/>
        <v/>
      </c>
      <c r="AY990" s="98" t="str">
        <f t="shared" ca="1" si="156"/>
        <v/>
      </c>
      <c r="AZ990" s="96" t="str">
        <f t="shared" si="151"/>
        <v/>
      </c>
      <c r="BA990" s="99" t="str">
        <f t="shared" ca="1" si="157"/>
        <v/>
      </c>
      <c r="BB990" s="97" t="str">
        <f t="shared" si="152"/>
        <v/>
      </c>
      <c r="BC990" s="101" t="str">
        <f t="shared" ca="1" si="158"/>
        <v/>
      </c>
      <c r="BD990" s="100" t="str">
        <f t="shared" si="153"/>
        <v/>
      </c>
      <c r="BE990" s="103" t="str">
        <f t="shared" ca="1" si="159"/>
        <v/>
      </c>
      <c r="BF990" s="102" t="str">
        <f t="shared" si="154"/>
        <v/>
      </c>
    </row>
    <row r="991" spans="48:58" hidden="1" x14ac:dyDescent="0.25">
      <c r="AV991">
        <v>966</v>
      </c>
      <c r="AW991" s="94" t="str">
        <f t="shared" ca="1" si="155"/>
        <v/>
      </c>
      <c r="AX991" s="95" t="str">
        <f t="shared" si="150"/>
        <v/>
      </c>
      <c r="AY991" s="98" t="str">
        <f t="shared" ca="1" si="156"/>
        <v/>
      </c>
      <c r="AZ991" s="96" t="str">
        <f t="shared" si="151"/>
        <v/>
      </c>
      <c r="BA991" s="99" t="str">
        <f t="shared" ca="1" si="157"/>
        <v/>
      </c>
      <c r="BB991" s="97" t="str">
        <f t="shared" si="152"/>
        <v/>
      </c>
      <c r="BC991" s="101" t="str">
        <f t="shared" ca="1" si="158"/>
        <v/>
      </c>
      <c r="BD991" s="100" t="str">
        <f t="shared" si="153"/>
        <v/>
      </c>
      <c r="BE991" s="103" t="str">
        <f t="shared" ca="1" si="159"/>
        <v/>
      </c>
      <c r="BF991" s="102" t="str">
        <f t="shared" si="154"/>
        <v/>
      </c>
    </row>
    <row r="992" spans="48:58" hidden="1" x14ac:dyDescent="0.25">
      <c r="AV992">
        <v>967</v>
      </c>
      <c r="AW992" s="94" t="str">
        <f t="shared" ca="1" si="155"/>
        <v/>
      </c>
      <c r="AX992" s="95" t="str">
        <f t="shared" si="150"/>
        <v/>
      </c>
      <c r="AY992" s="98" t="str">
        <f t="shared" ca="1" si="156"/>
        <v/>
      </c>
      <c r="AZ992" s="96" t="str">
        <f t="shared" si="151"/>
        <v/>
      </c>
      <c r="BA992" s="99" t="str">
        <f t="shared" ca="1" si="157"/>
        <v/>
      </c>
      <c r="BB992" s="97" t="str">
        <f t="shared" si="152"/>
        <v/>
      </c>
      <c r="BC992" s="101" t="str">
        <f t="shared" ca="1" si="158"/>
        <v/>
      </c>
      <c r="BD992" s="100" t="str">
        <f t="shared" si="153"/>
        <v/>
      </c>
      <c r="BE992" s="103" t="str">
        <f t="shared" ca="1" si="159"/>
        <v/>
      </c>
      <c r="BF992" s="102" t="str">
        <f t="shared" si="154"/>
        <v/>
      </c>
    </row>
    <row r="993" spans="48:58" hidden="1" x14ac:dyDescent="0.25">
      <c r="AV993">
        <v>968</v>
      </c>
      <c r="AW993" s="94" t="str">
        <f t="shared" ca="1" si="155"/>
        <v/>
      </c>
      <c r="AX993" s="95" t="str">
        <f t="shared" si="150"/>
        <v/>
      </c>
      <c r="AY993" s="98" t="str">
        <f t="shared" ca="1" si="156"/>
        <v/>
      </c>
      <c r="AZ993" s="96" t="str">
        <f t="shared" si="151"/>
        <v/>
      </c>
      <c r="BA993" s="99" t="str">
        <f t="shared" ca="1" si="157"/>
        <v/>
      </c>
      <c r="BB993" s="97" t="str">
        <f t="shared" si="152"/>
        <v/>
      </c>
      <c r="BC993" s="101" t="str">
        <f t="shared" ca="1" si="158"/>
        <v/>
      </c>
      <c r="BD993" s="100" t="str">
        <f t="shared" si="153"/>
        <v/>
      </c>
      <c r="BE993" s="103" t="str">
        <f t="shared" ca="1" si="159"/>
        <v/>
      </c>
      <c r="BF993" s="102" t="str">
        <f t="shared" si="154"/>
        <v/>
      </c>
    </row>
    <row r="994" spans="48:58" hidden="1" x14ac:dyDescent="0.25">
      <c r="AV994">
        <v>969</v>
      </c>
      <c r="AW994" s="94" t="str">
        <f t="shared" ca="1" si="155"/>
        <v/>
      </c>
      <c r="AX994" s="95" t="str">
        <f t="shared" si="150"/>
        <v/>
      </c>
      <c r="AY994" s="98" t="str">
        <f t="shared" ca="1" si="156"/>
        <v/>
      </c>
      <c r="AZ994" s="96" t="str">
        <f t="shared" si="151"/>
        <v/>
      </c>
      <c r="BA994" s="99" t="str">
        <f t="shared" ca="1" si="157"/>
        <v/>
      </c>
      <c r="BB994" s="97" t="str">
        <f t="shared" si="152"/>
        <v/>
      </c>
      <c r="BC994" s="101" t="str">
        <f t="shared" ca="1" si="158"/>
        <v/>
      </c>
      <c r="BD994" s="100" t="str">
        <f t="shared" si="153"/>
        <v/>
      </c>
      <c r="BE994" s="103" t="str">
        <f t="shared" ca="1" si="159"/>
        <v/>
      </c>
      <c r="BF994" s="102" t="str">
        <f t="shared" si="154"/>
        <v/>
      </c>
    </row>
    <row r="995" spans="48:58" hidden="1" x14ac:dyDescent="0.25">
      <c r="AV995">
        <v>970</v>
      </c>
      <c r="AW995" s="94" t="str">
        <f t="shared" ca="1" si="155"/>
        <v/>
      </c>
      <c r="AX995" s="95" t="str">
        <f t="shared" si="150"/>
        <v/>
      </c>
      <c r="AY995" s="98" t="str">
        <f t="shared" ca="1" si="156"/>
        <v/>
      </c>
      <c r="AZ995" s="96" t="str">
        <f t="shared" si="151"/>
        <v/>
      </c>
      <c r="BA995" s="99" t="str">
        <f t="shared" ca="1" si="157"/>
        <v/>
      </c>
      <c r="BB995" s="97" t="str">
        <f t="shared" si="152"/>
        <v/>
      </c>
      <c r="BC995" s="101" t="str">
        <f t="shared" ca="1" si="158"/>
        <v/>
      </c>
      <c r="BD995" s="100" t="str">
        <f t="shared" si="153"/>
        <v/>
      </c>
      <c r="BE995" s="103" t="str">
        <f t="shared" ca="1" si="159"/>
        <v/>
      </c>
      <c r="BF995" s="102" t="str">
        <f t="shared" si="154"/>
        <v/>
      </c>
    </row>
    <row r="996" spans="48:58" hidden="1" x14ac:dyDescent="0.25">
      <c r="AV996">
        <v>971</v>
      </c>
      <c r="AW996" s="94" t="str">
        <f t="shared" ca="1" si="155"/>
        <v/>
      </c>
      <c r="AX996" s="95" t="str">
        <f t="shared" si="150"/>
        <v/>
      </c>
      <c r="AY996" s="98" t="str">
        <f t="shared" ca="1" si="156"/>
        <v/>
      </c>
      <c r="AZ996" s="96" t="str">
        <f t="shared" si="151"/>
        <v/>
      </c>
      <c r="BA996" s="99" t="str">
        <f t="shared" ca="1" si="157"/>
        <v/>
      </c>
      <c r="BB996" s="97" t="str">
        <f t="shared" si="152"/>
        <v/>
      </c>
      <c r="BC996" s="101" t="str">
        <f t="shared" ca="1" si="158"/>
        <v/>
      </c>
      <c r="BD996" s="100" t="str">
        <f t="shared" si="153"/>
        <v/>
      </c>
      <c r="BE996" s="103" t="str">
        <f t="shared" ca="1" si="159"/>
        <v/>
      </c>
      <c r="BF996" s="102" t="str">
        <f t="shared" si="154"/>
        <v/>
      </c>
    </row>
    <row r="997" spans="48:58" hidden="1" x14ac:dyDescent="0.25">
      <c r="AV997">
        <v>972</v>
      </c>
      <c r="AW997" s="94" t="str">
        <f t="shared" ca="1" si="155"/>
        <v/>
      </c>
      <c r="AX997" s="95" t="str">
        <f t="shared" si="150"/>
        <v/>
      </c>
      <c r="AY997" s="98" t="str">
        <f t="shared" ca="1" si="156"/>
        <v/>
      </c>
      <c r="AZ997" s="96" t="str">
        <f t="shared" si="151"/>
        <v/>
      </c>
      <c r="BA997" s="99" t="str">
        <f t="shared" ca="1" si="157"/>
        <v/>
      </c>
      <c r="BB997" s="97" t="str">
        <f t="shared" si="152"/>
        <v/>
      </c>
      <c r="BC997" s="101" t="str">
        <f t="shared" ca="1" si="158"/>
        <v/>
      </c>
      <c r="BD997" s="100" t="str">
        <f t="shared" si="153"/>
        <v/>
      </c>
      <c r="BE997" s="103" t="str">
        <f t="shared" ca="1" si="159"/>
        <v/>
      </c>
      <c r="BF997" s="102" t="str">
        <f t="shared" si="154"/>
        <v/>
      </c>
    </row>
    <row r="998" spans="48:58" hidden="1" x14ac:dyDescent="0.25">
      <c r="AV998">
        <v>973</v>
      </c>
      <c r="AW998" s="94" t="str">
        <f t="shared" ca="1" si="155"/>
        <v/>
      </c>
      <c r="AX998" s="95" t="str">
        <f t="shared" si="150"/>
        <v/>
      </c>
      <c r="AY998" s="98" t="str">
        <f t="shared" ca="1" si="156"/>
        <v/>
      </c>
      <c r="AZ998" s="96" t="str">
        <f t="shared" si="151"/>
        <v/>
      </c>
      <c r="BA998" s="99" t="str">
        <f t="shared" ca="1" si="157"/>
        <v/>
      </c>
      <c r="BB998" s="97" t="str">
        <f t="shared" si="152"/>
        <v/>
      </c>
      <c r="BC998" s="101" t="str">
        <f t="shared" ca="1" si="158"/>
        <v/>
      </c>
      <c r="BD998" s="100" t="str">
        <f t="shared" si="153"/>
        <v/>
      </c>
      <c r="BE998" s="103" t="str">
        <f t="shared" ca="1" si="159"/>
        <v/>
      </c>
      <c r="BF998" s="102" t="str">
        <f t="shared" si="154"/>
        <v/>
      </c>
    </row>
    <row r="999" spans="48:58" hidden="1" x14ac:dyDescent="0.25">
      <c r="AV999">
        <v>974</v>
      </c>
      <c r="AW999" s="94" t="str">
        <f t="shared" ca="1" si="155"/>
        <v/>
      </c>
      <c r="AX999" s="95" t="str">
        <f t="shared" si="150"/>
        <v/>
      </c>
      <c r="AY999" s="98" t="str">
        <f t="shared" ca="1" si="156"/>
        <v/>
      </c>
      <c r="AZ999" s="96" t="str">
        <f t="shared" si="151"/>
        <v/>
      </c>
      <c r="BA999" s="99" t="str">
        <f t="shared" ca="1" si="157"/>
        <v/>
      </c>
      <c r="BB999" s="97" t="str">
        <f t="shared" si="152"/>
        <v/>
      </c>
      <c r="BC999" s="101" t="str">
        <f t="shared" ca="1" si="158"/>
        <v/>
      </c>
      <c r="BD999" s="100" t="str">
        <f t="shared" si="153"/>
        <v/>
      </c>
      <c r="BE999" s="103" t="str">
        <f t="shared" ca="1" si="159"/>
        <v/>
      </c>
      <c r="BF999" s="102" t="str">
        <f t="shared" si="154"/>
        <v/>
      </c>
    </row>
    <row r="1000" spans="48:58" hidden="1" x14ac:dyDescent="0.25">
      <c r="AV1000">
        <v>975</v>
      </c>
      <c r="AW1000" s="94" t="str">
        <f t="shared" ca="1" si="155"/>
        <v/>
      </c>
      <c r="AX1000" s="95" t="str">
        <f t="shared" si="150"/>
        <v/>
      </c>
      <c r="AY1000" s="98" t="str">
        <f t="shared" ca="1" si="156"/>
        <v/>
      </c>
      <c r="AZ1000" s="96" t="str">
        <f t="shared" si="151"/>
        <v/>
      </c>
      <c r="BA1000" s="99" t="str">
        <f t="shared" ca="1" si="157"/>
        <v/>
      </c>
      <c r="BB1000" s="97" t="str">
        <f t="shared" si="152"/>
        <v/>
      </c>
      <c r="BC1000" s="101" t="str">
        <f t="shared" ca="1" si="158"/>
        <v/>
      </c>
      <c r="BD1000" s="100" t="str">
        <f t="shared" si="153"/>
        <v/>
      </c>
      <c r="BE1000" s="103" t="str">
        <f t="shared" ca="1" si="159"/>
        <v/>
      </c>
      <c r="BF1000" s="102" t="str">
        <f t="shared" si="154"/>
        <v/>
      </c>
    </row>
    <row r="1001" spans="48:58" hidden="1" x14ac:dyDescent="0.25">
      <c r="AV1001">
        <v>976</v>
      </c>
      <c r="AW1001" s="94" t="str">
        <f t="shared" ca="1" si="155"/>
        <v/>
      </c>
      <c r="AX1001" s="95" t="str">
        <f t="shared" si="150"/>
        <v/>
      </c>
      <c r="AY1001" s="98" t="str">
        <f t="shared" ca="1" si="156"/>
        <v/>
      </c>
      <c r="AZ1001" s="96" t="str">
        <f t="shared" si="151"/>
        <v/>
      </c>
      <c r="BA1001" s="99" t="str">
        <f t="shared" ca="1" si="157"/>
        <v/>
      </c>
      <c r="BB1001" s="97" t="str">
        <f t="shared" si="152"/>
        <v/>
      </c>
      <c r="BC1001" s="101" t="str">
        <f t="shared" ca="1" si="158"/>
        <v/>
      </c>
      <c r="BD1001" s="100" t="str">
        <f t="shared" si="153"/>
        <v/>
      </c>
      <c r="BE1001" s="103" t="str">
        <f t="shared" ca="1" si="159"/>
        <v/>
      </c>
      <c r="BF1001" s="102" t="str">
        <f t="shared" si="154"/>
        <v/>
      </c>
    </row>
    <row r="1002" spans="48:58" hidden="1" x14ac:dyDescent="0.25">
      <c r="AV1002">
        <v>977</v>
      </c>
      <c r="AW1002" s="94" t="str">
        <f t="shared" ca="1" si="155"/>
        <v/>
      </c>
      <c r="AX1002" s="95" t="str">
        <f t="shared" si="150"/>
        <v/>
      </c>
      <c r="AY1002" s="98" t="str">
        <f t="shared" ca="1" si="156"/>
        <v/>
      </c>
      <c r="AZ1002" s="96" t="str">
        <f t="shared" si="151"/>
        <v/>
      </c>
      <c r="BA1002" s="99" t="str">
        <f t="shared" ca="1" si="157"/>
        <v/>
      </c>
      <c r="BB1002" s="97" t="str">
        <f t="shared" si="152"/>
        <v/>
      </c>
      <c r="BC1002" s="101" t="str">
        <f t="shared" ca="1" si="158"/>
        <v/>
      </c>
      <c r="BD1002" s="100" t="str">
        <f t="shared" si="153"/>
        <v/>
      </c>
      <c r="BE1002" s="103" t="str">
        <f t="shared" ca="1" si="159"/>
        <v/>
      </c>
      <c r="BF1002" s="102" t="str">
        <f t="shared" si="154"/>
        <v/>
      </c>
    </row>
    <row r="1003" spans="48:58" hidden="1" x14ac:dyDescent="0.25">
      <c r="AV1003">
        <v>978</v>
      </c>
      <c r="AW1003" s="94" t="str">
        <f t="shared" ca="1" si="155"/>
        <v/>
      </c>
      <c r="AX1003" s="95" t="str">
        <f t="shared" si="150"/>
        <v/>
      </c>
      <c r="AY1003" s="98" t="str">
        <f t="shared" ca="1" si="156"/>
        <v/>
      </c>
      <c r="AZ1003" s="96" t="str">
        <f t="shared" si="151"/>
        <v/>
      </c>
      <c r="BA1003" s="99" t="str">
        <f t="shared" ca="1" si="157"/>
        <v/>
      </c>
      <c r="BB1003" s="97" t="str">
        <f t="shared" si="152"/>
        <v/>
      </c>
      <c r="BC1003" s="101" t="str">
        <f t="shared" ca="1" si="158"/>
        <v/>
      </c>
      <c r="BD1003" s="100" t="str">
        <f t="shared" si="153"/>
        <v/>
      </c>
      <c r="BE1003" s="103" t="str">
        <f t="shared" ca="1" si="159"/>
        <v/>
      </c>
      <c r="BF1003" s="102" t="str">
        <f t="shared" si="154"/>
        <v/>
      </c>
    </row>
    <row r="1004" spans="48:58" hidden="1" x14ac:dyDescent="0.25">
      <c r="AV1004">
        <v>979</v>
      </c>
      <c r="AW1004" s="94" t="str">
        <f t="shared" ca="1" si="155"/>
        <v/>
      </c>
      <c r="AX1004" s="95" t="str">
        <f t="shared" si="150"/>
        <v/>
      </c>
      <c r="AY1004" s="98" t="str">
        <f t="shared" ca="1" si="156"/>
        <v/>
      </c>
      <c r="AZ1004" s="96" t="str">
        <f t="shared" si="151"/>
        <v/>
      </c>
      <c r="BA1004" s="99" t="str">
        <f t="shared" ca="1" si="157"/>
        <v/>
      </c>
      <c r="BB1004" s="97" t="str">
        <f t="shared" si="152"/>
        <v/>
      </c>
      <c r="BC1004" s="101" t="str">
        <f t="shared" ca="1" si="158"/>
        <v/>
      </c>
      <c r="BD1004" s="100" t="str">
        <f t="shared" si="153"/>
        <v/>
      </c>
      <c r="BE1004" s="103" t="str">
        <f t="shared" ca="1" si="159"/>
        <v/>
      </c>
      <c r="BF1004" s="102" t="str">
        <f t="shared" si="154"/>
        <v/>
      </c>
    </row>
    <row r="1005" spans="48:58" hidden="1" x14ac:dyDescent="0.25">
      <c r="AV1005">
        <v>980</v>
      </c>
      <c r="AW1005" s="94" t="str">
        <f t="shared" ca="1" si="155"/>
        <v/>
      </c>
      <c r="AX1005" s="95" t="str">
        <f t="shared" si="150"/>
        <v/>
      </c>
      <c r="AY1005" s="98" t="str">
        <f t="shared" ca="1" si="156"/>
        <v/>
      </c>
      <c r="AZ1005" s="96" t="str">
        <f t="shared" si="151"/>
        <v/>
      </c>
      <c r="BA1005" s="99" t="str">
        <f t="shared" ca="1" si="157"/>
        <v/>
      </c>
      <c r="BB1005" s="97" t="str">
        <f t="shared" si="152"/>
        <v/>
      </c>
      <c r="BC1005" s="101" t="str">
        <f t="shared" ca="1" si="158"/>
        <v/>
      </c>
      <c r="BD1005" s="100" t="str">
        <f t="shared" si="153"/>
        <v/>
      </c>
      <c r="BE1005" s="103" t="str">
        <f t="shared" ca="1" si="159"/>
        <v/>
      </c>
      <c r="BF1005" s="102" t="str">
        <f t="shared" si="154"/>
        <v/>
      </c>
    </row>
    <row r="1006" spans="48:58" hidden="1" x14ac:dyDescent="0.25">
      <c r="AV1006">
        <v>981</v>
      </c>
      <c r="AW1006" s="94" t="str">
        <f t="shared" ca="1" si="155"/>
        <v/>
      </c>
      <c r="AX1006" s="95" t="str">
        <f t="shared" si="150"/>
        <v/>
      </c>
      <c r="AY1006" s="98" t="str">
        <f t="shared" ca="1" si="156"/>
        <v/>
      </c>
      <c r="AZ1006" s="96" t="str">
        <f t="shared" si="151"/>
        <v/>
      </c>
      <c r="BA1006" s="99" t="str">
        <f t="shared" ca="1" si="157"/>
        <v/>
      </c>
      <c r="BB1006" s="97" t="str">
        <f t="shared" si="152"/>
        <v/>
      </c>
      <c r="BC1006" s="101" t="str">
        <f t="shared" ca="1" si="158"/>
        <v/>
      </c>
      <c r="BD1006" s="100" t="str">
        <f t="shared" si="153"/>
        <v/>
      </c>
      <c r="BE1006" s="103" t="str">
        <f t="shared" ca="1" si="159"/>
        <v/>
      </c>
      <c r="BF1006" s="102" t="str">
        <f t="shared" si="154"/>
        <v/>
      </c>
    </row>
    <row r="1007" spans="48:58" hidden="1" x14ac:dyDescent="0.25">
      <c r="AV1007">
        <v>982</v>
      </c>
      <c r="AW1007" s="94" t="str">
        <f t="shared" ca="1" si="155"/>
        <v/>
      </c>
      <c r="AX1007" s="95" t="str">
        <f t="shared" si="150"/>
        <v/>
      </c>
      <c r="AY1007" s="98" t="str">
        <f t="shared" ca="1" si="156"/>
        <v/>
      </c>
      <c r="AZ1007" s="96" t="str">
        <f t="shared" si="151"/>
        <v/>
      </c>
      <c r="BA1007" s="99" t="str">
        <f t="shared" ca="1" si="157"/>
        <v/>
      </c>
      <c r="BB1007" s="97" t="str">
        <f t="shared" si="152"/>
        <v/>
      </c>
      <c r="BC1007" s="101" t="str">
        <f t="shared" ca="1" si="158"/>
        <v/>
      </c>
      <c r="BD1007" s="100" t="str">
        <f t="shared" si="153"/>
        <v/>
      </c>
      <c r="BE1007" s="103" t="str">
        <f t="shared" ca="1" si="159"/>
        <v/>
      </c>
      <c r="BF1007" s="102" t="str">
        <f t="shared" si="154"/>
        <v/>
      </c>
    </row>
    <row r="1008" spans="48:58" hidden="1" x14ac:dyDescent="0.25">
      <c r="AV1008">
        <v>983</v>
      </c>
      <c r="AW1008" s="94" t="str">
        <f t="shared" ca="1" si="155"/>
        <v/>
      </c>
      <c r="AX1008" s="95" t="str">
        <f t="shared" si="150"/>
        <v/>
      </c>
      <c r="AY1008" s="98" t="str">
        <f t="shared" ca="1" si="156"/>
        <v/>
      </c>
      <c r="AZ1008" s="96" t="str">
        <f t="shared" si="151"/>
        <v/>
      </c>
      <c r="BA1008" s="99" t="str">
        <f t="shared" ca="1" si="157"/>
        <v/>
      </c>
      <c r="BB1008" s="97" t="str">
        <f t="shared" si="152"/>
        <v/>
      </c>
      <c r="BC1008" s="101" t="str">
        <f t="shared" ca="1" si="158"/>
        <v/>
      </c>
      <c r="BD1008" s="100" t="str">
        <f t="shared" si="153"/>
        <v/>
      </c>
      <c r="BE1008" s="103" t="str">
        <f t="shared" ca="1" si="159"/>
        <v/>
      </c>
      <c r="BF1008" s="102" t="str">
        <f t="shared" si="154"/>
        <v/>
      </c>
    </row>
    <row r="1009" spans="48:58" hidden="1" x14ac:dyDescent="0.25">
      <c r="AV1009">
        <v>984</v>
      </c>
      <c r="AW1009" s="94" t="str">
        <f t="shared" ca="1" si="155"/>
        <v/>
      </c>
      <c r="AX1009" s="95" t="str">
        <f t="shared" si="150"/>
        <v/>
      </c>
      <c r="AY1009" s="98" t="str">
        <f t="shared" ca="1" si="156"/>
        <v/>
      </c>
      <c r="AZ1009" s="96" t="str">
        <f t="shared" si="151"/>
        <v/>
      </c>
      <c r="BA1009" s="99" t="str">
        <f t="shared" ca="1" si="157"/>
        <v/>
      </c>
      <c r="BB1009" s="97" t="str">
        <f t="shared" si="152"/>
        <v/>
      </c>
      <c r="BC1009" s="101" t="str">
        <f t="shared" ca="1" si="158"/>
        <v/>
      </c>
      <c r="BD1009" s="100" t="str">
        <f t="shared" si="153"/>
        <v/>
      </c>
      <c r="BE1009" s="103" t="str">
        <f t="shared" ca="1" si="159"/>
        <v/>
      </c>
      <c r="BF1009" s="102" t="str">
        <f t="shared" si="154"/>
        <v/>
      </c>
    </row>
    <row r="1010" spans="48:58" hidden="1" x14ac:dyDescent="0.25">
      <c r="AV1010">
        <v>985</v>
      </c>
      <c r="AW1010" s="94" t="str">
        <f t="shared" ca="1" si="155"/>
        <v/>
      </c>
      <c r="AX1010" s="95" t="str">
        <f t="shared" si="150"/>
        <v/>
      </c>
      <c r="AY1010" s="98" t="str">
        <f t="shared" ca="1" si="156"/>
        <v/>
      </c>
      <c r="AZ1010" s="96" t="str">
        <f t="shared" si="151"/>
        <v/>
      </c>
      <c r="BA1010" s="99" t="str">
        <f t="shared" ca="1" si="157"/>
        <v/>
      </c>
      <c r="BB1010" s="97" t="str">
        <f t="shared" si="152"/>
        <v/>
      </c>
      <c r="BC1010" s="101" t="str">
        <f t="shared" ca="1" si="158"/>
        <v/>
      </c>
      <c r="BD1010" s="100" t="str">
        <f t="shared" si="153"/>
        <v/>
      </c>
      <c r="BE1010" s="103" t="str">
        <f t="shared" ca="1" si="159"/>
        <v/>
      </c>
      <c r="BF1010" s="102" t="str">
        <f t="shared" si="154"/>
        <v/>
      </c>
    </row>
    <row r="1011" spans="48:58" hidden="1" x14ac:dyDescent="0.25">
      <c r="AV1011">
        <v>986</v>
      </c>
      <c r="AW1011" s="94" t="str">
        <f t="shared" ca="1" si="155"/>
        <v/>
      </c>
      <c r="AX1011" s="95" t="str">
        <f t="shared" si="150"/>
        <v/>
      </c>
      <c r="AY1011" s="98" t="str">
        <f t="shared" ca="1" si="156"/>
        <v/>
      </c>
      <c r="AZ1011" s="96" t="str">
        <f t="shared" si="151"/>
        <v/>
      </c>
      <c r="BA1011" s="99" t="str">
        <f t="shared" ca="1" si="157"/>
        <v/>
      </c>
      <c r="BB1011" s="97" t="str">
        <f t="shared" si="152"/>
        <v/>
      </c>
      <c r="BC1011" s="101" t="str">
        <f t="shared" ca="1" si="158"/>
        <v/>
      </c>
      <c r="BD1011" s="100" t="str">
        <f t="shared" si="153"/>
        <v/>
      </c>
      <c r="BE1011" s="103" t="str">
        <f t="shared" ca="1" si="159"/>
        <v/>
      </c>
      <c r="BF1011" s="102" t="str">
        <f t="shared" si="154"/>
        <v/>
      </c>
    </row>
    <row r="1012" spans="48:58" hidden="1" x14ac:dyDescent="0.25">
      <c r="AV1012">
        <v>987</v>
      </c>
      <c r="AW1012" s="94" t="str">
        <f t="shared" ca="1" si="155"/>
        <v/>
      </c>
      <c r="AX1012" s="95" t="str">
        <f t="shared" si="150"/>
        <v/>
      </c>
      <c r="AY1012" s="98" t="str">
        <f t="shared" ca="1" si="156"/>
        <v/>
      </c>
      <c r="AZ1012" s="96" t="str">
        <f t="shared" si="151"/>
        <v/>
      </c>
      <c r="BA1012" s="99" t="str">
        <f t="shared" ca="1" si="157"/>
        <v/>
      </c>
      <c r="BB1012" s="97" t="str">
        <f t="shared" si="152"/>
        <v/>
      </c>
      <c r="BC1012" s="101" t="str">
        <f t="shared" ca="1" si="158"/>
        <v/>
      </c>
      <c r="BD1012" s="100" t="str">
        <f t="shared" si="153"/>
        <v/>
      </c>
      <c r="BE1012" s="103" t="str">
        <f t="shared" ca="1" si="159"/>
        <v/>
      </c>
      <c r="BF1012" s="102" t="str">
        <f t="shared" si="154"/>
        <v/>
      </c>
    </row>
    <row r="1013" spans="48:58" hidden="1" x14ac:dyDescent="0.25">
      <c r="AV1013">
        <v>988</v>
      </c>
      <c r="AW1013" s="94" t="str">
        <f t="shared" ca="1" si="155"/>
        <v/>
      </c>
      <c r="AX1013" s="95" t="str">
        <f t="shared" si="150"/>
        <v/>
      </c>
      <c r="AY1013" s="98" t="str">
        <f t="shared" ca="1" si="156"/>
        <v/>
      </c>
      <c r="AZ1013" s="96" t="str">
        <f t="shared" si="151"/>
        <v/>
      </c>
      <c r="BA1013" s="99" t="str">
        <f t="shared" ca="1" si="157"/>
        <v/>
      </c>
      <c r="BB1013" s="97" t="str">
        <f t="shared" si="152"/>
        <v/>
      </c>
      <c r="BC1013" s="101" t="str">
        <f t="shared" ca="1" si="158"/>
        <v/>
      </c>
      <c r="BD1013" s="100" t="str">
        <f t="shared" si="153"/>
        <v/>
      </c>
      <c r="BE1013" s="103" t="str">
        <f t="shared" ca="1" si="159"/>
        <v/>
      </c>
      <c r="BF1013" s="102" t="str">
        <f t="shared" si="154"/>
        <v/>
      </c>
    </row>
    <row r="1014" spans="48:58" hidden="1" x14ac:dyDescent="0.25">
      <c r="AV1014">
        <v>989</v>
      </c>
      <c r="AW1014" s="94" t="str">
        <f t="shared" ca="1" si="155"/>
        <v/>
      </c>
      <c r="AX1014" s="95" t="str">
        <f t="shared" si="150"/>
        <v/>
      </c>
      <c r="AY1014" s="98" t="str">
        <f t="shared" ca="1" si="156"/>
        <v/>
      </c>
      <c r="AZ1014" s="96" t="str">
        <f t="shared" si="151"/>
        <v/>
      </c>
      <c r="BA1014" s="99" t="str">
        <f t="shared" ca="1" si="157"/>
        <v/>
      </c>
      <c r="BB1014" s="97" t="str">
        <f t="shared" si="152"/>
        <v/>
      </c>
      <c r="BC1014" s="101" t="str">
        <f t="shared" ca="1" si="158"/>
        <v/>
      </c>
      <c r="BD1014" s="100" t="str">
        <f t="shared" si="153"/>
        <v/>
      </c>
      <c r="BE1014" s="103" t="str">
        <f t="shared" ca="1" si="159"/>
        <v/>
      </c>
      <c r="BF1014" s="102" t="str">
        <f t="shared" si="154"/>
        <v/>
      </c>
    </row>
    <row r="1015" spans="48:58" hidden="1" x14ac:dyDescent="0.25">
      <c r="AV1015">
        <v>990</v>
      </c>
      <c r="AW1015" s="94" t="str">
        <f t="shared" ca="1" si="155"/>
        <v/>
      </c>
      <c r="AX1015" s="95" t="str">
        <f t="shared" si="150"/>
        <v/>
      </c>
      <c r="AY1015" s="98" t="str">
        <f t="shared" ca="1" si="156"/>
        <v/>
      </c>
      <c r="AZ1015" s="96" t="str">
        <f t="shared" si="151"/>
        <v/>
      </c>
      <c r="BA1015" s="99" t="str">
        <f t="shared" ca="1" si="157"/>
        <v/>
      </c>
      <c r="BB1015" s="97" t="str">
        <f t="shared" si="152"/>
        <v/>
      </c>
      <c r="BC1015" s="101" t="str">
        <f t="shared" ca="1" si="158"/>
        <v/>
      </c>
      <c r="BD1015" s="100" t="str">
        <f t="shared" si="153"/>
        <v/>
      </c>
      <c r="BE1015" s="103" t="str">
        <f t="shared" ca="1" si="159"/>
        <v/>
      </c>
      <c r="BF1015" s="102" t="str">
        <f t="shared" si="154"/>
        <v/>
      </c>
    </row>
    <row r="1016" spans="48:58" hidden="1" x14ac:dyDescent="0.25">
      <c r="AV1016">
        <v>991</v>
      </c>
      <c r="AW1016" s="94" t="str">
        <f t="shared" ca="1" si="155"/>
        <v/>
      </c>
      <c r="AX1016" s="95" t="str">
        <f t="shared" si="150"/>
        <v/>
      </c>
      <c r="AY1016" s="98" t="str">
        <f t="shared" ca="1" si="156"/>
        <v/>
      </c>
      <c r="AZ1016" s="96" t="str">
        <f t="shared" si="151"/>
        <v/>
      </c>
      <c r="BA1016" s="99" t="str">
        <f t="shared" ca="1" si="157"/>
        <v/>
      </c>
      <c r="BB1016" s="97" t="str">
        <f t="shared" si="152"/>
        <v/>
      </c>
      <c r="BC1016" s="101" t="str">
        <f t="shared" ca="1" si="158"/>
        <v/>
      </c>
      <c r="BD1016" s="100" t="str">
        <f t="shared" si="153"/>
        <v/>
      </c>
      <c r="BE1016" s="103" t="str">
        <f t="shared" ca="1" si="159"/>
        <v/>
      </c>
      <c r="BF1016" s="102" t="str">
        <f t="shared" si="154"/>
        <v/>
      </c>
    </row>
    <row r="1017" spans="48:58" hidden="1" x14ac:dyDescent="0.25">
      <c r="AV1017">
        <v>992</v>
      </c>
      <c r="AW1017" s="94" t="str">
        <f t="shared" ca="1" si="155"/>
        <v/>
      </c>
      <c r="AX1017" s="95" t="str">
        <f t="shared" si="150"/>
        <v/>
      </c>
      <c r="AY1017" s="98" t="str">
        <f t="shared" ca="1" si="156"/>
        <v/>
      </c>
      <c r="AZ1017" s="96" t="str">
        <f t="shared" si="151"/>
        <v/>
      </c>
      <c r="BA1017" s="99" t="str">
        <f t="shared" ca="1" si="157"/>
        <v/>
      </c>
      <c r="BB1017" s="97" t="str">
        <f t="shared" si="152"/>
        <v/>
      </c>
      <c r="BC1017" s="101" t="str">
        <f t="shared" ca="1" si="158"/>
        <v/>
      </c>
      <c r="BD1017" s="100" t="str">
        <f t="shared" si="153"/>
        <v/>
      </c>
      <c r="BE1017" s="103" t="str">
        <f t="shared" ca="1" si="159"/>
        <v/>
      </c>
      <c r="BF1017" s="102" t="str">
        <f t="shared" si="154"/>
        <v/>
      </c>
    </row>
    <row r="1018" spans="48:58" hidden="1" x14ac:dyDescent="0.25">
      <c r="AV1018">
        <v>993</v>
      </c>
      <c r="AW1018" s="94" t="str">
        <f t="shared" ca="1" si="155"/>
        <v/>
      </c>
      <c r="AX1018" s="95" t="str">
        <f t="shared" si="150"/>
        <v/>
      </c>
      <c r="AY1018" s="98" t="str">
        <f t="shared" ca="1" si="156"/>
        <v/>
      </c>
      <c r="AZ1018" s="96" t="str">
        <f t="shared" si="151"/>
        <v/>
      </c>
      <c r="BA1018" s="99" t="str">
        <f t="shared" ca="1" si="157"/>
        <v/>
      </c>
      <c r="BB1018" s="97" t="str">
        <f t="shared" si="152"/>
        <v/>
      </c>
      <c r="BC1018" s="101" t="str">
        <f t="shared" ca="1" si="158"/>
        <v/>
      </c>
      <c r="BD1018" s="100" t="str">
        <f t="shared" si="153"/>
        <v/>
      </c>
      <c r="BE1018" s="103" t="str">
        <f t="shared" ca="1" si="159"/>
        <v/>
      </c>
      <c r="BF1018" s="102" t="str">
        <f t="shared" si="154"/>
        <v/>
      </c>
    </row>
    <row r="1019" spans="48:58" hidden="1" x14ac:dyDescent="0.25">
      <c r="AV1019">
        <v>994</v>
      </c>
      <c r="AW1019" s="94" t="str">
        <f t="shared" ca="1" si="155"/>
        <v/>
      </c>
      <c r="AX1019" s="95" t="str">
        <f t="shared" si="150"/>
        <v/>
      </c>
      <c r="AY1019" s="98" t="str">
        <f t="shared" ca="1" si="156"/>
        <v/>
      </c>
      <c r="AZ1019" s="96" t="str">
        <f t="shared" si="151"/>
        <v/>
      </c>
      <c r="BA1019" s="99" t="str">
        <f t="shared" ca="1" si="157"/>
        <v/>
      </c>
      <c r="BB1019" s="97" t="str">
        <f t="shared" si="152"/>
        <v/>
      </c>
      <c r="BC1019" s="101" t="str">
        <f t="shared" ca="1" si="158"/>
        <v/>
      </c>
      <c r="BD1019" s="100" t="str">
        <f t="shared" si="153"/>
        <v/>
      </c>
      <c r="BE1019" s="103" t="str">
        <f t="shared" ca="1" si="159"/>
        <v/>
      </c>
      <c r="BF1019" s="102" t="str">
        <f t="shared" si="154"/>
        <v/>
      </c>
    </row>
    <row r="1020" spans="48:58" hidden="1" x14ac:dyDescent="0.25">
      <c r="AV1020">
        <v>995</v>
      </c>
      <c r="AW1020" s="94" t="str">
        <f t="shared" ca="1" si="155"/>
        <v/>
      </c>
      <c r="AX1020" s="95" t="str">
        <f t="shared" si="150"/>
        <v/>
      </c>
      <c r="AY1020" s="98" t="str">
        <f t="shared" ca="1" si="156"/>
        <v/>
      </c>
      <c r="AZ1020" s="96" t="str">
        <f t="shared" si="151"/>
        <v/>
      </c>
      <c r="BA1020" s="99" t="str">
        <f t="shared" ca="1" si="157"/>
        <v/>
      </c>
      <c r="BB1020" s="97" t="str">
        <f t="shared" si="152"/>
        <v/>
      </c>
      <c r="BC1020" s="101" t="str">
        <f t="shared" ca="1" si="158"/>
        <v/>
      </c>
      <c r="BD1020" s="100" t="str">
        <f t="shared" si="153"/>
        <v/>
      </c>
      <c r="BE1020" s="103" t="str">
        <f t="shared" ca="1" si="159"/>
        <v/>
      </c>
      <c r="BF1020" s="102" t="str">
        <f t="shared" si="154"/>
        <v/>
      </c>
    </row>
    <row r="1021" spans="48:58" hidden="1" x14ac:dyDescent="0.25">
      <c r="AV1021">
        <v>996</v>
      </c>
      <c r="AW1021" s="94" t="str">
        <f t="shared" ca="1" si="155"/>
        <v/>
      </c>
      <c r="AX1021" s="95" t="str">
        <f t="shared" si="150"/>
        <v/>
      </c>
      <c r="AY1021" s="98" t="str">
        <f t="shared" ca="1" si="156"/>
        <v/>
      </c>
      <c r="AZ1021" s="96" t="str">
        <f t="shared" si="151"/>
        <v/>
      </c>
      <c r="BA1021" s="99" t="str">
        <f t="shared" ca="1" si="157"/>
        <v/>
      </c>
      <c r="BB1021" s="97" t="str">
        <f t="shared" si="152"/>
        <v/>
      </c>
      <c r="BC1021" s="101" t="str">
        <f t="shared" ca="1" si="158"/>
        <v/>
      </c>
      <c r="BD1021" s="100" t="str">
        <f t="shared" si="153"/>
        <v/>
      </c>
      <c r="BE1021" s="103" t="str">
        <f t="shared" ca="1" si="159"/>
        <v/>
      </c>
      <c r="BF1021" s="102" t="str">
        <f t="shared" si="154"/>
        <v/>
      </c>
    </row>
    <row r="1022" spans="48:58" hidden="1" x14ac:dyDescent="0.25">
      <c r="AV1022">
        <v>997</v>
      </c>
      <c r="AW1022" s="94" t="str">
        <f t="shared" ca="1" si="155"/>
        <v/>
      </c>
      <c r="AX1022" s="95" t="str">
        <f t="shared" si="150"/>
        <v/>
      </c>
      <c r="AY1022" s="98" t="str">
        <f t="shared" ca="1" si="156"/>
        <v/>
      </c>
      <c r="AZ1022" s="96" t="str">
        <f t="shared" si="151"/>
        <v/>
      </c>
      <c r="BA1022" s="99" t="str">
        <f t="shared" ca="1" si="157"/>
        <v/>
      </c>
      <c r="BB1022" s="97" t="str">
        <f t="shared" si="152"/>
        <v/>
      </c>
      <c r="BC1022" s="101" t="str">
        <f t="shared" ca="1" si="158"/>
        <v/>
      </c>
      <c r="BD1022" s="100" t="str">
        <f t="shared" si="153"/>
        <v/>
      </c>
      <c r="BE1022" s="103" t="str">
        <f t="shared" ca="1" si="159"/>
        <v/>
      </c>
      <c r="BF1022" s="102" t="str">
        <f t="shared" si="154"/>
        <v/>
      </c>
    </row>
    <row r="1023" spans="48:58" hidden="1" x14ac:dyDescent="0.25">
      <c r="AV1023">
        <v>998</v>
      </c>
      <c r="AW1023" s="94" t="str">
        <f t="shared" ca="1" si="155"/>
        <v/>
      </c>
      <c r="AX1023" s="95" t="str">
        <f t="shared" si="150"/>
        <v/>
      </c>
      <c r="AY1023" s="98" t="str">
        <f t="shared" ca="1" si="156"/>
        <v/>
      </c>
      <c r="AZ1023" s="96" t="str">
        <f t="shared" si="151"/>
        <v/>
      </c>
      <c r="BA1023" s="99" t="str">
        <f t="shared" ca="1" si="157"/>
        <v/>
      </c>
      <c r="BB1023" s="97" t="str">
        <f t="shared" si="152"/>
        <v/>
      </c>
      <c r="BC1023" s="101" t="str">
        <f t="shared" ca="1" si="158"/>
        <v/>
      </c>
      <c r="BD1023" s="100" t="str">
        <f t="shared" si="153"/>
        <v/>
      </c>
      <c r="BE1023" s="103" t="str">
        <f t="shared" ca="1" si="159"/>
        <v/>
      </c>
      <c r="BF1023" s="102" t="str">
        <f t="shared" si="154"/>
        <v/>
      </c>
    </row>
    <row r="1024" spans="48:58" hidden="1" x14ac:dyDescent="0.25">
      <c r="AV1024">
        <v>999</v>
      </c>
      <c r="AW1024" s="94" t="str">
        <f t="shared" ca="1" si="155"/>
        <v/>
      </c>
      <c r="AX1024" s="95" t="str">
        <f t="shared" si="150"/>
        <v/>
      </c>
      <c r="AY1024" s="98" t="str">
        <f t="shared" ca="1" si="156"/>
        <v/>
      </c>
      <c r="AZ1024" s="96" t="str">
        <f t="shared" si="151"/>
        <v/>
      </c>
      <c r="BA1024" s="99" t="str">
        <f t="shared" ca="1" si="157"/>
        <v/>
      </c>
      <c r="BB1024" s="97" t="str">
        <f t="shared" si="152"/>
        <v/>
      </c>
      <c r="BC1024" s="101" t="str">
        <f t="shared" ca="1" si="158"/>
        <v/>
      </c>
      <c r="BD1024" s="100" t="str">
        <f t="shared" si="153"/>
        <v/>
      </c>
      <c r="BE1024" s="103" t="str">
        <f t="shared" ca="1" si="159"/>
        <v/>
      </c>
      <c r="BF1024" s="102" t="str">
        <f t="shared" si="154"/>
        <v/>
      </c>
    </row>
    <row r="1025" spans="48:58" hidden="1" x14ac:dyDescent="0.25">
      <c r="AV1025">
        <v>1000</v>
      </c>
      <c r="AW1025" s="94" t="str">
        <f t="shared" ca="1" si="155"/>
        <v/>
      </c>
      <c r="AX1025" s="95" t="str">
        <f t="shared" si="150"/>
        <v/>
      </c>
      <c r="AY1025" s="98" t="str">
        <f t="shared" ca="1" si="156"/>
        <v/>
      </c>
      <c r="AZ1025" s="96" t="str">
        <f t="shared" si="151"/>
        <v/>
      </c>
      <c r="BA1025" s="99" t="str">
        <f t="shared" ca="1" si="157"/>
        <v/>
      </c>
      <c r="BB1025" s="97" t="str">
        <f t="shared" si="152"/>
        <v/>
      </c>
      <c r="BC1025" s="101" t="str">
        <f t="shared" ca="1" si="158"/>
        <v/>
      </c>
      <c r="BD1025" s="100" t="str">
        <f t="shared" si="153"/>
        <v/>
      </c>
      <c r="BE1025" s="103" t="str">
        <f t="shared" ca="1" si="159"/>
        <v/>
      </c>
      <c r="BF1025" s="102" t="str">
        <f t="shared" si="154"/>
        <v/>
      </c>
    </row>
    <row r="1026" spans="48:58" hidden="1" x14ac:dyDescent="0.25">
      <c r="AV1026">
        <v>1001</v>
      </c>
      <c r="AW1026" s="94" t="str">
        <f t="shared" ca="1" si="155"/>
        <v/>
      </c>
      <c r="AX1026" s="95" t="str">
        <f t="shared" si="150"/>
        <v/>
      </c>
      <c r="AY1026" s="98" t="str">
        <f t="shared" ca="1" si="156"/>
        <v/>
      </c>
      <c r="AZ1026" s="96" t="str">
        <f t="shared" si="151"/>
        <v/>
      </c>
      <c r="BA1026" s="99" t="str">
        <f t="shared" ca="1" si="157"/>
        <v/>
      </c>
      <c r="BB1026" s="97" t="str">
        <f t="shared" si="152"/>
        <v/>
      </c>
      <c r="BC1026" s="101" t="str">
        <f t="shared" ca="1" si="158"/>
        <v/>
      </c>
      <c r="BD1026" s="100" t="str">
        <f t="shared" si="153"/>
        <v/>
      </c>
      <c r="BE1026" s="103" t="str">
        <f t="shared" ca="1" si="159"/>
        <v/>
      </c>
      <c r="BF1026" s="102" t="str">
        <f t="shared" si="154"/>
        <v/>
      </c>
    </row>
    <row r="1027" spans="48:58" hidden="1" x14ac:dyDescent="0.25">
      <c r="AV1027">
        <v>1002</v>
      </c>
      <c r="AW1027" s="94" t="str">
        <f t="shared" ca="1" si="155"/>
        <v/>
      </c>
      <c r="AX1027" s="95" t="str">
        <f t="shared" si="150"/>
        <v/>
      </c>
      <c r="AY1027" s="98" t="str">
        <f t="shared" ca="1" si="156"/>
        <v/>
      </c>
      <c r="AZ1027" s="96" t="str">
        <f t="shared" si="151"/>
        <v/>
      </c>
      <c r="BA1027" s="99" t="str">
        <f t="shared" ca="1" si="157"/>
        <v/>
      </c>
      <c r="BB1027" s="97" t="str">
        <f t="shared" si="152"/>
        <v/>
      </c>
      <c r="BC1027" s="101" t="str">
        <f t="shared" ca="1" si="158"/>
        <v/>
      </c>
      <c r="BD1027" s="100" t="str">
        <f t="shared" si="153"/>
        <v/>
      </c>
      <c r="BE1027" s="103" t="str">
        <f t="shared" ca="1" si="159"/>
        <v/>
      </c>
      <c r="BF1027" s="102" t="str">
        <f t="shared" si="154"/>
        <v/>
      </c>
    </row>
    <row r="1028" spans="48:58" hidden="1" x14ac:dyDescent="0.25">
      <c r="AV1028">
        <v>1003</v>
      </c>
      <c r="AW1028" s="94" t="str">
        <f t="shared" ca="1" si="155"/>
        <v/>
      </c>
      <c r="AX1028" s="95" t="str">
        <f t="shared" si="150"/>
        <v/>
      </c>
      <c r="AY1028" s="98" t="str">
        <f t="shared" ca="1" si="156"/>
        <v/>
      </c>
      <c r="AZ1028" s="96" t="str">
        <f t="shared" si="151"/>
        <v/>
      </c>
      <c r="BA1028" s="99" t="str">
        <f t="shared" ca="1" si="157"/>
        <v/>
      </c>
      <c r="BB1028" s="97" t="str">
        <f t="shared" si="152"/>
        <v/>
      </c>
      <c r="BC1028" s="101" t="str">
        <f t="shared" ca="1" si="158"/>
        <v/>
      </c>
      <c r="BD1028" s="100" t="str">
        <f t="shared" si="153"/>
        <v/>
      </c>
      <c r="BE1028" s="103" t="str">
        <f t="shared" ca="1" si="159"/>
        <v/>
      </c>
      <c r="BF1028" s="102" t="str">
        <f t="shared" si="154"/>
        <v/>
      </c>
    </row>
    <row r="1029" spans="48:58" hidden="1" x14ac:dyDescent="0.25">
      <c r="AV1029">
        <v>1004</v>
      </c>
      <c r="AW1029" s="94" t="str">
        <f t="shared" ca="1" si="155"/>
        <v/>
      </c>
      <c r="AX1029" s="95" t="str">
        <f t="shared" si="150"/>
        <v/>
      </c>
      <c r="AY1029" s="98" t="str">
        <f t="shared" ca="1" si="156"/>
        <v/>
      </c>
      <c r="AZ1029" s="96" t="str">
        <f t="shared" si="151"/>
        <v/>
      </c>
      <c r="BA1029" s="99" t="str">
        <f t="shared" ca="1" si="157"/>
        <v/>
      </c>
      <c r="BB1029" s="97" t="str">
        <f t="shared" si="152"/>
        <v/>
      </c>
      <c r="BC1029" s="101" t="str">
        <f t="shared" ca="1" si="158"/>
        <v/>
      </c>
      <c r="BD1029" s="100" t="str">
        <f t="shared" si="153"/>
        <v/>
      </c>
      <c r="BE1029" s="103" t="str">
        <f t="shared" ca="1" si="159"/>
        <v/>
      </c>
      <c r="BF1029" s="102" t="str">
        <f t="shared" si="154"/>
        <v/>
      </c>
    </row>
    <row r="1030" spans="48:58" hidden="1" x14ac:dyDescent="0.25">
      <c r="AV1030">
        <v>1005</v>
      </c>
      <c r="AW1030" s="94" t="str">
        <f t="shared" ca="1" si="155"/>
        <v/>
      </c>
      <c r="AX1030" s="95" t="str">
        <f t="shared" si="150"/>
        <v/>
      </c>
      <c r="AY1030" s="98" t="str">
        <f t="shared" ca="1" si="156"/>
        <v/>
      </c>
      <c r="AZ1030" s="96" t="str">
        <f t="shared" si="151"/>
        <v/>
      </c>
      <c r="BA1030" s="99" t="str">
        <f t="shared" ca="1" si="157"/>
        <v/>
      </c>
      <c r="BB1030" s="97" t="str">
        <f t="shared" si="152"/>
        <v/>
      </c>
      <c r="BC1030" s="101" t="str">
        <f t="shared" ca="1" si="158"/>
        <v/>
      </c>
      <c r="BD1030" s="100" t="str">
        <f t="shared" si="153"/>
        <v/>
      </c>
      <c r="BE1030" s="103" t="str">
        <f t="shared" ca="1" si="159"/>
        <v/>
      </c>
      <c r="BF1030" s="102" t="str">
        <f t="shared" si="154"/>
        <v/>
      </c>
    </row>
    <row r="1031" spans="48:58" hidden="1" x14ac:dyDescent="0.25">
      <c r="AV1031">
        <v>1006</v>
      </c>
      <c r="AW1031" s="94" t="str">
        <f t="shared" ca="1" si="155"/>
        <v/>
      </c>
      <c r="AX1031" s="95" t="str">
        <f t="shared" si="150"/>
        <v/>
      </c>
      <c r="AY1031" s="98" t="str">
        <f t="shared" ca="1" si="156"/>
        <v/>
      </c>
      <c r="AZ1031" s="96" t="str">
        <f t="shared" si="151"/>
        <v/>
      </c>
      <c r="BA1031" s="99" t="str">
        <f t="shared" ca="1" si="157"/>
        <v/>
      </c>
      <c r="BB1031" s="97" t="str">
        <f t="shared" si="152"/>
        <v/>
      </c>
      <c r="BC1031" s="101" t="str">
        <f t="shared" ca="1" si="158"/>
        <v/>
      </c>
      <c r="BD1031" s="100" t="str">
        <f t="shared" si="153"/>
        <v/>
      </c>
      <c r="BE1031" s="103" t="str">
        <f t="shared" ca="1" si="159"/>
        <v/>
      </c>
      <c r="BF1031" s="102" t="str">
        <f t="shared" si="154"/>
        <v/>
      </c>
    </row>
    <row r="1032" spans="48:58" hidden="1" x14ac:dyDescent="0.25">
      <c r="AV1032">
        <v>1007</v>
      </c>
      <c r="AW1032" s="94" t="str">
        <f t="shared" ca="1" si="155"/>
        <v/>
      </c>
      <c r="AX1032" s="95" t="str">
        <f t="shared" si="150"/>
        <v/>
      </c>
      <c r="AY1032" s="98" t="str">
        <f t="shared" ca="1" si="156"/>
        <v/>
      </c>
      <c r="AZ1032" s="96" t="str">
        <f t="shared" si="151"/>
        <v/>
      </c>
      <c r="BA1032" s="99" t="str">
        <f t="shared" ca="1" si="157"/>
        <v/>
      </c>
      <c r="BB1032" s="97" t="str">
        <f t="shared" si="152"/>
        <v/>
      </c>
      <c r="BC1032" s="101" t="str">
        <f t="shared" ca="1" si="158"/>
        <v/>
      </c>
      <c r="BD1032" s="100" t="str">
        <f t="shared" si="153"/>
        <v/>
      </c>
      <c r="BE1032" s="103" t="str">
        <f t="shared" ca="1" si="159"/>
        <v/>
      </c>
      <c r="BF1032" s="102" t="str">
        <f t="shared" si="154"/>
        <v/>
      </c>
    </row>
    <row r="1033" spans="48:58" hidden="1" x14ac:dyDescent="0.25">
      <c r="AV1033">
        <v>1008</v>
      </c>
      <c r="AW1033" s="94" t="str">
        <f t="shared" ca="1" si="155"/>
        <v/>
      </c>
      <c r="AX1033" s="95" t="str">
        <f t="shared" si="150"/>
        <v/>
      </c>
      <c r="AY1033" s="98" t="str">
        <f t="shared" ca="1" si="156"/>
        <v/>
      </c>
      <c r="AZ1033" s="96" t="str">
        <f t="shared" si="151"/>
        <v/>
      </c>
      <c r="BA1033" s="99" t="str">
        <f t="shared" ca="1" si="157"/>
        <v/>
      </c>
      <c r="BB1033" s="97" t="str">
        <f t="shared" si="152"/>
        <v/>
      </c>
      <c r="BC1033" s="101" t="str">
        <f t="shared" ca="1" si="158"/>
        <v/>
      </c>
      <c r="BD1033" s="100" t="str">
        <f t="shared" si="153"/>
        <v/>
      </c>
      <c r="BE1033" s="103" t="str">
        <f t="shared" ca="1" si="159"/>
        <v/>
      </c>
      <c r="BF1033" s="102" t="str">
        <f t="shared" si="154"/>
        <v/>
      </c>
    </row>
    <row r="1034" spans="48:58" hidden="1" x14ac:dyDescent="0.25">
      <c r="AV1034">
        <v>1009</v>
      </c>
      <c r="AW1034" s="94" t="str">
        <f t="shared" ca="1" si="155"/>
        <v/>
      </c>
      <c r="AX1034" s="95" t="str">
        <f t="shared" si="150"/>
        <v/>
      </c>
      <c r="AY1034" s="98" t="str">
        <f t="shared" ca="1" si="156"/>
        <v/>
      </c>
      <c r="AZ1034" s="96" t="str">
        <f t="shared" si="151"/>
        <v/>
      </c>
      <c r="BA1034" s="99" t="str">
        <f t="shared" ca="1" si="157"/>
        <v/>
      </c>
      <c r="BB1034" s="97" t="str">
        <f t="shared" si="152"/>
        <v/>
      </c>
      <c r="BC1034" s="101" t="str">
        <f t="shared" ca="1" si="158"/>
        <v/>
      </c>
      <c r="BD1034" s="100" t="str">
        <f t="shared" si="153"/>
        <v/>
      </c>
      <c r="BE1034" s="103" t="str">
        <f t="shared" ca="1" si="159"/>
        <v/>
      </c>
      <c r="BF1034" s="102" t="str">
        <f t="shared" si="154"/>
        <v/>
      </c>
    </row>
    <row r="1035" spans="48:58" hidden="1" x14ac:dyDescent="0.25">
      <c r="AV1035">
        <v>1010</v>
      </c>
      <c r="AW1035" s="94" t="str">
        <f t="shared" ca="1" si="155"/>
        <v/>
      </c>
      <c r="AX1035" s="95" t="str">
        <f t="shared" si="150"/>
        <v/>
      </c>
      <c r="AY1035" s="98" t="str">
        <f t="shared" ca="1" si="156"/>
        <v/>
      </c>
      <c r="AZ1035" s="96" t="str">
        <f t="shared" si="151"/>
        <v/>
      </c>
      <c r="BA1035" s="99" t="str">
        <f t="shared" ca="1" si="157"/>
        <v/>
      </c>
      <c r="BB1035" s="97" t="str">
        <f t="shared" si="152"/>
        <v/>
      </c>
      <c r="BC1035" s="101" t="str">
        <f t="shared" ca="1" si="158"/>
        <v/>
      </c>
      <c r="BD1035" s="100" t="str">
        <f t="shared" si="153"/>
        <v/>
      </c>
      <c r="BE1035" s="103" t="str">
        <f t="shared" ca="1" si="159"/>
        <v/>
      </c>
      <c r="BF1035" s="102" t="str">
        <f t="shared" si="154"/>
        <v/>
      </c>
    </row>
    <row r="1036" spans="48:58" hidden="1" x14ac:dyDescent="0.25">
      <c r="AV1036">
        <v>1011</v>
      </c>
      <c r="AW1036" s="94" t="str">
        <f t="shared" ca="1" si="155"/>
        <v/>
      </c>
      <c r="AX1036" s="95" t="str">
        <f t="shared" si="150"/>
        <v/>
      </c>
      <c r="AY1036" s="98" t="str">
        <f t="shared" ca="1" si="156"/>
        <v/>
      </c>
      <c r="AZ1036" s="96" t="str">
        <f t="shared" si="151"/>
        <v/>
      </c>
      <c r="BA1036" s="99" t="str">
        <f t="shared" ca="1" si="157"/>
        <v/>
      </c>
      <c r="BB1036" s="97" t="str">
        <f t="shared" si="152"/>
        <v/>
      </c>
      <c r="BC1036" s="101" t="str">
        <f t="shared" ca="1" si="158"/>
        <v/>
      </c>
      <c r="BD1036" s="100" t="str">
        <f t="shared" si="153"/>
        <v/>
      </c>
      <c r="BE1036" s="103" t="str">
        <f t="shared" ca="1" si="159"/>
        <v/>
      </c>
      <c r="BF1036" s="102" t="str">
        <f t="shared" si="154"/>
        <v/>
      </c>
    </row>
    <row r="1037" spans="48:58" hidden="1" x14ac:dyDescent="0.25">
      <c r="AV1037">
        <v>1012</v>
      </c>
      <c r="AW1037" s="94" t="str">
        <f t="shared" ca="1" si="155"/>
        <v/>
      </c>
      <c r="AX1037" s="95" t="str">
        <f t="shared" si="150"/>
        <v/>
      </c>
      <c r="AY1037" s="98" t="str">
        <f t="shared" ca="1" si="156"/>
        <v/>
      </c>
      <c r="AZ1037" s="96" t="str">
        <f t="shared" si="151"/>
        <v/>
      </c>
      <c r="BA1037" s="99" t="str">
        <f t="shared" ca="1" si="157"/>
        <v/>
      </c>
      <c r="BB1037" s="97" t="str">
        <f t="shared" si="152"/>
        <v/>
      </c>
      <c r="BC1037" s="101" t="str">
        <f t="shared" ca="1" si="158"/>
        <v/>
      </c>
      <c r="BD1037" s="100" t="str">
        <f t="shared" si="153"/>
        <v/>
      </c>
      <c r="BE1037" s="103" t="str">
        <f t="shared" ca="1" si="159"/>
        <v/>
      </c>
      <c r="BF1037" s="102" t="str">
        <f t="shared" si="154"/>
        <v/>
      </c>
    </row>
    <row r="1038" spans="48:58" hidden="1" x14ac:dyDescent="0.25">
      <c r="AV1038">
        <v>1013</v>
      </c>
      <c r="AW1038" s="94" t="str">
        <f t="shared" ca="1" si="155"/>
        <v/>
      </c>
      <c r="AX1038" s="95" t="str">
        <f t="shared" si="150"/>
        <v/>
      </c>
      <c r="AY1038" s="98" t="str">
        <f t="shared" ca="1" si="156"/>
        <v/>
      </c>
      <c r="AZ1038" s="96" t="str">
        <f t="shared" si="151"/>
        <v/>
      </c>
      <c r="BA1038" s="99" t="str">
        <f t="shared" ca="1" si="157"/>
        <v/>
      </c>
      <c r="BB1038" s="97" t="str">
        <f t="shared" si="152"/>
        <v/>
      </c>
      <c r="BC1038" s="101" t="str">
        <f t="shared" ca="1" si="158"/>
        <v/>
      </c>
      <c r="BD1038" s="100" t="str">
        <f t="shared" si="153"/>
        <v/>
      </c>
      <c r="BE1038" s="103" t="str">
        <f t="shared" ca="1" si="159"/>
        <v/>
      </c>
      <c r="BF1038" s="102" t="str">
        <f t="shared" si="154"/>
        <v/>
      </c>
    </row>
    <row r="1039" spans="48:58" hidden="1" x14ac:dyDescent="0.25">
      <c r="AV1039">
        <v>1014</v>
      </c>
      <c r="AW1039" s="94" t="str">
        <f t="shared" ca="1" si="155"/>
        <v/>
      </c>
      <c r="AX1039" s="95" t="str">
        <f t="shared" si="150"/>
        <v/>
      </c>
      <c r="AY1039" s="98" t="str">
        <f t="shared" ca="1" si="156"/>
        <v/>
      </c>
      <c r="AZ1039" s="96" t="str">
        <f t="shared" si="151"/>
        <v/>
      </c>
      <c r="BA1039" s="99" t="str">
        <f t="shared" ca="1" si="157"/>
        <v/>
      </c>
      <c r="BB1039" s="97" t="str">
        <f t="shared" si="152"/>
        <v/>
      </c>
      <c r="BC1039" s="101" t="str">
        <f t="shared" ca="1" si="158"/>
        <v/>
      </c>
      <c r="BD1039" s="100" t="str">
        <f t="shared" si="153"/>
        <v/>
      </c>
      <c r="BE1039" s="103" t="str">
        <f t="shared" ca="1" si="159"/>
        <v/>
      </c>
      <c r="BF1039" s="102" t="str">
        <f t="shared" si="154"/>
        <v/>
      </c>
    </row>
    <row r="1040" spans="48:58" hidden="1" x14ac:dyDescent="0.25">
      <c r="AV1040">
        <v>1015</v>
      </c>
      <c r="AW1040" s="94" t="str">
        <f t="shared" ca="1" si="155"/>
        <v/>
      </c>
      <c r="AX1040" s="95" t="str">
        <f t="shared" si="150"/>
        <v/>
      </c>
      <c r="AY1040" s="98" t="str">
        <f t="shared" ca="1" si="156"/>
        <v/>
      </c>
      <c r="AZ1040" s="96" t="str">
        <f t="shared" si="151"/>
        <v/>
      </c>
      <c r="BA1040" s="99" t="str">
        <f t="shared" ca="1" si="157"/>
        <v/>
      </c>
      <c r="BB1040" s="97" t="str">
        <f t="shared" si="152"/>
        <v/>
      </c>
      <c r="BC1040" s="101" t="str">
        <f t="shared" ca="1" si="158"/>
        <v/>
      </c>
      <c r="BD1040" s="100" t="str">
        <f t="shared" si="153"/>
        <v/>
      </c>
      <c r="BE1040" s="103" t="str">
        <f t="shared" ca="1" si="159"/>
        <v/>
      </c>
      <c r="BF1040" s="102" t="str">
        <f t="shared" si="154"/>
        <v/>
      </c>
    </row>
    <row r="1041" spans="48:58" hidden="1" x14ac:dyDescent="0.25">
      <c r="AV1041">
        <v>1016</v>
      </c>
      <c r="AW1041" s="94" t="str">
        <f t="shared" ca="1" si="155"/>
        <v/>
      </c>
      <c r="AX1041" s="95" t="str">
        <f t="shared" si="150"/>
        <v/>
      </c>
      <c r="AY1041" s="98" t="str">
        <f t="shared" ca="1" si="156"/>
        <v/>
      </c>
      <c r="AZ1041" s="96" t="str">
        <f t="shared" si="151"/>
        <v/>
      </c>
      <c r="BA1041" s="99" t="str">
        <f t="shared" ca="1" si="157"/>
        <v/>
      </c>
      <c r="BB1041" s="97" t="str">
        <f t="shared" si="152"/>
        <v/>
      </c>
      <c r="BC1041" s="101" t="str">
        <f t="shared" ca="1" si="158"/>
        <v/>
      </c>
      <c r="BD1041" s="100" t="str">
        <f t="shared" si="153"/>
        <v/>
      </c>
      <c r="BE1041" s="103" t="str">
        <f t="shared" ca="1" si="159"/>
        <v/>
      </c>
      <c r="BF1041" s="102" t="str">
        <f t="shared" si="154"/>
        <v/>
      </c>
    </row>
    <row r="1042" spans="48:58" hidden="1" x14ac:dyDescent="0.25">
      <c r="AV1042">
        <v>1017</v>
      </c>
      <c r="AW1042" s="94" t="str">
        <f t="shared" ca="1" si="155"/>
        <v/>
      </c>
      <c r="AX1042" s="95" t="str">
        <f t="shared" si="150"/>
        <v/>
      </c>
      <c r="AY1042" s="98" t="str">
        <f t="shared" ca="1" si="156"/>
        <v/>
      </c>
      <c r="AZ1042" s="96" t="str">
        <f t="shared" si="151"/>
        <v/>
      </c>
      <c r="BA1042" s="99" t="str">
        <f t="shared" ca="1" si="157"/>
        <v/>
      </c>
      <c r="BB1042" s="97" t="str">
        <f t="shared" si="152"/>
        <v/>
      </c>
      <c r="BC1042" s="101" t="str">
        <f t="shared" ca="1" si="158"/>
        <v/>
      </c>
      <c r="BD1042" s="100" t="str">
        <f t="shared" si="153"/>
        <v/>
      </c>
      <c r="BE1042" s="103" t="str">
        <f t="shared" ca="1" si="159"/>
        <v/>
      </c>
      <c r="BF1042" s="102" t="str">
        <f t="shared" si="154"/>
        <v/>
      </c>
    </row>
    <row r="1043" spans="48:58" hidden="1" x14ac:dyDescent="0.25">
      <c r="AV1043">
        <v>1018</v>
      </c>
      <c r="AW1043" s="94" t="str">
        <f t="shared" ca="1" si="155"/>
        <v/>
      </c>
      <c r="AX1043" s="95" t="str">
        <f t="shared" si="150"/>
        <v/>
      </c>
      <c r="AY1043" s="98" t="str">
        <f t="shared" ca="1" si="156"/>
        <v/>
      </c>
      <c r="AZ1043" s="96" t="str">
        <f t="shared" si="151"/>
        <v/>
      </c>
      <c r="BA1043" s="99" t="str">
        <f t="shared" ca="1" si="157"/>
        <v/>
      </c>
      <c r="BB1043" s="97" t="str">
        <f t="shared" si="152"/>
        <v/>
      </c>
      <c r="BC1043" s="101" t="str">
        <f t="shared" ca="1" si="158"/>
        <v/>
      </c>
      <c r="BD1043" s="100" t="str">
        <f t="shared" si="153"/>
        <v/>
      </c>
      <c r="BE1043" s="103" t="str">
        <f t="shared" ca="1" si="159"/>
        <v/>
      </c>
      <c r="BF1043" s="102" t="str">
        <f t="shared" si="154"/>
        <v/>
      </c>
    </row>
    <row r="1044" spans="48:58" hidden="1" x14ac:dyDescent="0.25">
      <c r="AV1044">
        <v>1019</v>
      </c>
      <c r="AW1044" s="94" t="str">
        <f t="shared" ca="1" si="155"/>
        <v/>
      </c>
      <c r="AX1044" s="95" t="str">
        <f t="shared" si="150"/>
        <v/>
      </c>
      <c r="AY1044" s="98" t="str">
        <f t="shared" ca="1" si="156"/>
        <v/>
      </c>
      <c r="AZ1044" s="96" t="str">
        <f t="shared" si="151"/>
        <v/>
      </c>
      <c r="BA1044" s="99" t="str">
        <f t="shared" ca="1" si="157"/>
        <v/>
      </c>
      <c r="BB1044" s="97" t="str">
        <f t="shared" si="152"/>
        <v/>
      </c>
      <c r="BC1044" s="101" t="str">
        <f t="shared" ca="1" si="158"/>
        <v/>
      </c>
      <c r="BD1044" s="100" t="str">
        <f t="shared" si="153"/>
        <v/>
      </c>
      <c r="BE1044" s="103" t="str">
        <f t="shared" ca="1" si="159"/>
        <v/>
      </c>
      <c r="BF1044" s="102" t="str">
        <f t="shared" si="154"/>
        <v/>
      </c>
    </row>
    <row r="1045" spans="48:58" hidden="1" x14ac:dyDescent="0.25">
      <c r="AV1045">
        <v>1020</v>
      </c>
      <c r="AW1045" s="94" t="str">
        <f t="shared" ca="1" si="155"/>
        <v/>
      </c>
      <c r="AX1045" s="95" t="str">
        <f t="shared" si="150"/>
        <v/>
      </c>
      <c r="AY1045" s="98" t="str">
        <f t="shared" ca="1" si="156"/>
        <v/>
      </c>
      <c r="AZ1045" s="96" t="str">
        <f t="shared" si="151"/>
        <v/>
      </c>
      <c r="BA1045" s="99" t="str">
        <f t="shared" ca="1" si="157"/>
        <v/>
      </c>
      <c r="BB1045" s="97" t="str">
        <f t="shared" si="152"/>
        <v/>
      </c>
      <c r="BC1045" s="101" t="str">
        <f t="shared" ca="1" si="158"/>
        <v/>
      </c>
      <c r="BD1045" s="100" t="str">
        <f t="shared" si="153"/>
        <v/>
      </c>
      <c r="BE1045" s="103" t="str">
        <f t="shared" ca="1" si="159"/>
        <v/>
      </c>
      <c r="BF1045" s="102" t="str">
        <f t="shared" si="154"/>
        <v/>
      </c>
    </row>
    <row r="1046" spans="48:58" hidden="1" x14ac:dyDescent="0.25">
      <c r="AV1046">
        <v>1021</v>
      </c>
      <c r="AW1046" s="94" t="str">
        <f t="shared" ca="1" si="155"/>
        <v/>
      </c>
      <c r="AX1046" s="95" t="str">
        <f t="shared" si="150"/>
        <v/>
      </c>
      <c r="AY1046" s="98" t="str">
        <f t="shared" ca="1" si="156"/>
        <v/>
      </c>
      <c r="AZ1046" s="96" t="str">
        <f t="shared" si="151"/>
        <v/>
      </c>
      <c r="BA1046" s="99" t="str">
        <f t="shared" ca="1" si="157"/>
        <v/>
      </c>
      <c r="BB1046" s="97" t="str">
        <f t="shared" si="152"/>
        <v/>
      </c>
      <c r="BC1046" s="101" t="str">
        <f t="shared" ca="1" si="158"/>
        <v/>
      </c>
      <c r="BD1046" s="100" t="str">
        <f t="shared" si="153"/>
        <v/>
      </c>
      <c r="BE1046" s="103" t="str">
        <f t="shared" ca="1" si="159"/>
        <v/>
      </c>
      <c r="BF1046" s="102" t="str">
        <f t="shared" si="154"/>
        <v/>
      </c>
    </row>
    <row r="1047" spans="48:58" hidden="1" x14ac:dyDescent="0.25">
      <c r="AV1047">
        <v>1022</v>
      </c>
      <c r="AW1047" s="94" t="str">
        <f t="shared" ca="1" si="155"/>
        <v/>
      </c>
      <c r="AX1047" s="95" t="str">
        <f t="shared" si="150"/>
        <v/>
      </c>
      <c r="AY1047" s="98" t="str">
        <f t="shared" ca="1" si="156"/>
        <v/>
      </c>
      <c r="AZ1047" s="96" t="str">
        <f t="shared" si="151"/>
        <v/>
      </c>
      <c r="BA1047" s="99" t="str">
        <f t="shared" ca="1" si="157"/>
        <v/>
      </c>
      <c r="BB1047" s="97" t="str">
        <f t="shared" si="152"/>
        <v/>
      </c>
      <c r="BC1047" s="101" t="str">
        <f t="shared" ca="1" si="158"/>
        <v/>
      </c>
      <c r="BD1047" s="100" t="str">
        <f t="shared" si="153"/>
        <v/>
      </c>
      <c r="BE1047" s="103" t="str">
        <f t="shared" ca="1" si="159"/>
        <v/>
      </c>
      <c r="BF1047" s="102" t="str">
        <f t="shared" si="154"/>
        <v/>
      </c>
    </row>
    <row r="1048" spans="48:58" hidden="1" x14ac:dyDescent="0.25">
      <c r="AV1048">
        <v>1023</v>
      </c>
      <c r="AW1048" s="94" t="str">
        <f t="shared" ca="1" si="155"/>
        <v/>
      </c>
      <c r="AX1048" s="95" t="str">
        <f t="shared" si="150"/>
        <v/>
      </c>
      <c r="AY1048" s="98" t="str">
        <f t="shared" ca="1" si="156"/>
        <v/>
      </c>
      <c r="AZ1048" s="96" t="str">
        <f t="shared" si="151"/>
        <v/>
      </c>
      <c r="BA1048" s="99" t="str">
        <f t="shared" ca="1" si="157"/>
        <v/>
      </c>
      <c r="BB1048" s="97" t="str">
        <f t="shared" si="152"/>
        <v/>
      </c>
      <c r="BC1048" s="101" t="str">
        <f t="shared" ca="1" si="158"/>
        <v/>
      </c>
      <c r="BD1048" s="100" t="str">
        <f t="shared" si="153"/>
        <v/>
      </c>
      <c r="BE1048" s="103" t="str">
        <f t="shared" ca="1" si="159"/>
        <v/>
      </c>
      <c r="BF1048" s="102" t="str">
        <f t="shared" si="154"/>
        <v/>
      </c>
    </row>
    <row r="1049" spans="48:58" hidden="1" x14ac:dyDescent="0.25">
      <c r="AV1049">
        <v>1024</v>
      </c>
      <c r="AW1049" s="94" t="str">
        <f t="shared" ca="1" si="155"/>
        <v/>
      </c>
      <c r="AX1049" s="95" t="str">
        <f t="shared" si="150"/>
        <v/>
      </c>
      <c r="AY1049" s="98" t="str">
        <f t="shared" ca="1" si="156"/>
        <v/>
      </c>
      <c r="AZ1049" s="96" t="str">
        <f t="shared" si="151"/>
        <v/>
      </c>
      <c r="BA1049" s="99" t="str">
        <f t="shared" ca="1" si="157"/>
        <v/>
      </c>
      <c r="BB1049" s="97" t="str">
        <f t="shared" si="152"/>
        <v/>
      </c>
      <c r="BC1049" s="101" t="str">
        <f t="shared" ca="1" si="158"/>
        <v/>
      </c>
      <c r="BD1049" s="100" t="str">
        <f t="shared" si="153"/>
        <v/>
      </c>
      <c r="BE1049" s="103" t="str">
        <f t="shared" ca="1" si="159"/>
        <v/>
      </c>
      <c r="BF1049" s="102" t="str">
        <f t="shared" si="154"/>
        <v/>
      </c>
    </row>
    <row r="1050" spans="48:58" hidden="1" x14ac:dyDescent="0.25">
      <c r="AV1050">
        <v>1025</v>
      </c>
      <c r="AW1050" s="94" t="str">
        <f t="shared" ca="1" si="155"/>
        <v/>
      </c>
      <c r="AX1050" s="95" t="str">
        <f t="shared" ref="AX1050:AX1113" si="160">IF($D$15*12&gt;=AV1050,-1*$H$15,IF($D$15*12+1&gt;=AV1050,InfGoal1,""))</f>
        <v/>
      </c>
      <c r="AY1050" s="98" t="str">
        <f t="shared" ca="1" si="156"/>
        <v/>
      </c>
      <c r="AZ1050" s="96" t="str">
        <f t="shared" ref="AZ1050:AZ1113" si="161">IF($D$17*12&gt;=AV1050,-1*$H$17,IF($D$17*12+1&gt;=AV1050,InfGoal2,""))</f>
        <v/>
      </c>
      <c r="BA1050" s="99" t="str">
        <f t="shared" ca="1" si="157"/>
        <v/>
      </c>
      <c r="BB1050" s="97" t="str">
        <f t="shared" ref="BB1050:BB1113" si="162">IF($D$19*12&gt;=AV1050,-1*$H$19,IF($D$19*12+1&gt;=AV1050,InfGoal3,""))</f>
        <v/>
      </c>
      <c r="BC1050" s="101" t="str">
        <f t="shared" ca="1" si="158"/>
        <v/>
      </c>
      <c r="BD1050" s="100" t="str">
        <f t="shared" ref="BD1050:BD1113" si="163">IF($D$21*12&gt;=AV1050,-1*$H$21,IF($D$21*12+1&gt;=AV1050,InfGoal4,""))</f>
        <v/>
      </c>
      <c r="BE1050" s="103" t="str">
        <f t="shared" ca="1" si="159"/>
        <v/>
      </c>
      <c r="BF1050" s="102" t="str">
        <f t="shared" ref="BF1050:BF1113" si="164">IF($D$23*12&gt;=AV1050,-1*$H$23,IF($D$23*12+1&gt;=AV1050,InfGoal5,""))</f>
        <v/>
      </c>
    </row>
    <row r="1051" spans="48:58" hidden="1" x14ac:dyDescent="0.25">
      <c r="AV1051">
        <v>1026</v>
      </c>
      <c r="AW1051" s="94" t="str">
        <f t="shared" ref="AW1051:AW1114" ca="1" si="165">IF($D$15*12&gt;=AV1051,DATE(YEAR(TODAY()),MONTH(TODAY())+AV1051-1,DAY(TODAY())),IF($D$15*12+1&gt;=AV1051,DATE(YEAR(TODAY()),MONTH(TODAY())+$D$15*12,DAY(TODAY())),""))</f>
        <v/>
      </c>
      <c r="AX1051" s="95" t="str">
        <f t="shared" si="160"/>
        <v/>
      </c>
      <c r="AY1051" s="98" t="str">
        <f t="shared" ref="AY1051:AY1114" ca="1" si="166">IF($D$17*12&gt;=AV1051,DATE(YEAR(TODAY()),MONTH(TODAY())+AV1051-1,DAY(TODAY())),IF($D$17*12+1&gt;=AV1051,DATE(YEAR(TODAY()),MONTH(TODAY())+$D$17*12,DAY(TODAY())),""))</f>
        <v/>
      </c>
      <c r="AZ1051" s="96" t="str">
        <f t="shared" si="161"/>
        <v/>
      </c>
      <c r="BA1051" s="99" t="str">
        <f t="shared" ref="BA1051:BA1114" ca="1" si="167">IF($D$19*12&gt;=AV1051,DATE(YEAR(TODAY()),MONTH(TODAY())+AV1051-1,DAY(TODAY())),IF($D$19*12+1&gt;=AV1051,DATE(YEAR(TODAY()),MONTH(TODAY())+$D$19*12,DAY(TODAY())),""))</f>
        <v/>
      </c>
      <c r="BB1051" s="97" t="str">
        <f t="shared" si="162"/>
        <v/>
      </c>
      <c r="BC1051" s="101" t="str">
        <f t="shared" ref="BC1051:BC1114" ca="1" si="168">IF($D$21*12&gt;=AV1051,DATE(YEAR(TODAY()),MONTH(TODAY())+AV1051-1,DAY(TODAY())),IF($D$21*12+1&gt;=AV1051,DATE(YEAR(TODAY()),MONTH(TODAY())+$D$21*12,DAY(TODAY())),""))</f>
        <v/>
      </c>
      <c r="BD1051" s="100" t="str">
        <f t="shared" si="163"/>
        <v/>
      </c>
      <c r="BE1051" s="103" t="str">
        <f t="shared" ref="BE1051:BE1114" ca="1" si="169">IF($D$23*12&gt;=AV1051,DATE(YEAR(TODAY()),MONTH(TODAY())+AV1051-1,DAY(TODAY())),IF($D$23*12+1&gt;=AV1051,DATE(YEAR(TODAY()),MONTH(TODAY())+$D$23*12,DAY(TODAY())),""))</f>
        <v/>
      </c>
      <c r="BF1051" s="102" t="str">
        <f t="shared" si="164"/>
        <v/>
      </c>
    </row>
    <row r="1052" spans="48:58" hidden="1" x14ac:dyDescent="0.25">
      <c r="AV1052">
        <v>1027</v>
      </c>
      <c r="AW1052" s="94" t="str">
        <f t="shared" ca="1" si="165"/>
        <v/>
      </c>
      <c r="AX1052" s="95" t="str">
        <f t="shared" si="160"/>
        <v/>
      </c>
      <c r="AY1052" s="98" t="str">
        <f t="shared" ca="1" si="166"/>
        <v/>
      </c>
      <c r="AZ1052" s="96" t="str">
        <f t="shared" si="161"/>
        <v/>
      </c>
      <c r="BA1052" s="99" t="str">
        <f t="shared" ca="1" si="167"/>
        <v/>
      </c>
      <c r="BB1052" s="97" t="str">
        <f t="shared" si="162"/>
        <v/>
      </c>
      <c r="BC1052" s="101" t="str">
        <f t="shared" ca="1" si="168"/>
        <v/>
      </c>
      <c r="BD1052" s="100" t="str">
        <f t="shared" si="163"/>
        <v/>
      </c>
      <c r="BE1052" s="103" t="str">
        <f t="shared" ca="1" si="169"/>
        <v/>
      </c>
      <c r="BF1052" s="102" t="str">
        <f t="shared" si="164"/>
        <v/>
      </c>
    </row>
    <row r="1053" spans="48:58" hidden="1" x14ac:dyDescent="0.25">
      <c r="AV1053">
        <v>1028</v>
      </c>
      <c r="AW1053" s="94" t="str">
        <f t="shared" ca="1" si="165"/>
        <v/>
      </c>
      <c r="AX1053" s="95" t="str">
        <f t="shared" si="160"/>
        <v/>
      </c>
      <c r="AY1053" s="98" t="str">
        <f t="shared" ca="1" si="166"/>
        <v/>
      </c>
      <c r="AZ1053" s="96" t="str">
        <f t="shared" si="161"/>
        <v/>
      </c>
      <c r="BA1053" s="99" t="str">
        <f t="shared" ca="1" si="167"/>
        <v/>
      </c>
      <c r="BB1053" s="97" t="str">
        <f t="shared" si="162"/>
        <v/>
      </c>
      <c r="BC1053" s="101" t="str">
        <f t="shared" ca="1" si="168"/>
        <v/>
      </c>
      <c r="BD1053" s="100" t="str">
        <f t="shared" si="163"/>
        <v/>
      </c>
      <c r="BE1053" s="103" t="str">
        <f t="shared" ca="1" si="169"/>
        <v/>
      </c>
      <c r="BF1053" s="102" t="str">
        <f t="shared" si="164"/>
        <v/>
      </c>
    </row>
    <row r="1054" spans="48:58" hidden="1" x14ac:dyDescent="0.25">
      <c r="AV1054">
        <v>1029</v>
      </c>
      <c r="AW1054" s="94" t="str">
        <f t="shared" ca="1" si="165"/>
        <v/>
      </c>
      <c r="AX1054" s="95" t="str">
        <f t="shared" si="160"/>
        <v/>
      </c>
      <c r="AY1054" s="98" t="str">
        <f t="shared" ca="1" si="166"/>
        <v/>
      </c>
      <c r="AZ1054" s="96" t="str">
        <f t="shared" si="161"/>
        <v/>
      </c>
      <c r="BA1054" s="99" t="str">
        <f t="shared" ca="1" si="167"/>
        <v/>
      </c>
      <c r="BB1054" s="97" t="str">
        <f t="shared" si="162"/>
        <v/>
      </c>
      <c r="BC1054" s="101" t="str">
        <f t="shared" ca="1" si="168"/>
        <v/>
      </c>
      <c r="BD1054" s="100" t="str">
        <f t="shared" si="163"/>
        <v/>
      </c>
      <c r="BE1054" s="103" t="str">
        <f t="shared" ca="1" si="169"/>
        <v/>
      </c>
      <c r="BF1054" s="102" t="str">
        <f t="shared" si="164"/>
        <v/>
      </c>
    </row>
    <row r="1055" spans="48:58" hidden="1" x14ac:dyDescent="0.25">
      <c r="AV1055">
        <v>1030</v>
      </c>
      <c r="AW1055" s="94" t="str">
        <f t="shared" ca="1" si="165"/>
        <v/>
      </c>
      <c r="AX1055" s="95" t="str">
        <f t="shared" si="160"/>
        <v/>
      </c>
      <c r="AY1055" s="98" t="str">
        <f t="shared" ca="1" si="166"/>
        <v/>
      </c>
      <c r="AZ1055" s="96" t="str">
        <f t="shared" si="161"/>
        <v/>
      </c>
      <c r="BA1055" s="99" t="str">
        <f t="shared" ca="1" si="167"/>
        <v/>
      </c>
      <c r="BB1055" s="97" t="str">
        <f t="shared" si="162"/>
        <v/>
      </c>
      <c r="BC1055" s="101" t="str">
        <f t="shared" ca="1" si="168"/>
        <v/>
      </c>
      <c r="BD1055" s="100" t="str">
        <f t="shared" si="163"/>
        <v/>
      </c>
      <c r="BE1055" s="103" t="str">
        <f t="shared" ca="1" si="169"/>
        <v/>
      </c>
      <c r="BF1055" s="102" t="str">
        <f t="shared" si="164"/>
        <v/>
      </c>
    </row>
    <row r="1056" spans="48:58" hidden="1" x14ac:dyDescent="0.25">
      <c r="AV1056">
        <v>1031</v>
      </c>
      <c r="AW1056" s="94" t="str">
        <f t="shared" ca="1" si="165"/>
        <v/>
      </c>
      <c r="AX1056" s="95" t="str">
        <f t="shared" si="160"/>
        <v/>
      </c>
      <c r="AY1056" s="98" t="str">
        <f t="shared" ca="1" si="166"/>
        <v/>
      </c>
      <c r="AZ1056" s="96" t="str">
        <f t="shared" si="161"/>
        <v/>
      </c>
      <c r="BA1056" s="99" t="str">
        <f t="shared" ca="1" si="167"/>
        <v/>
      </c>
      <c r="BB1056" s="97" t="str">
        <f t="shared" si="162"/>
        <v/>
      </c>
      <c r="BC1056" s="101" t="str">
        <f t="shared" ca="1" si="168"/>
        <v/>
      </c>
      <c r="BD1056" s="100" t="str">
        <f t="shared" si="163"/>
        <v/>
      </c>
      <c r="BE1056" s="103" t="str">
        <f t="shared" ca="1" si="169"/>
        <v/>
      </c>
      <c r="BF1056" s="102" t="str">
        <f t="shared" si="164"/>
        <v/>
      </c>
    </row>
    <row r="1057" spans="48:58" hidden="1" x14ac:dyDescent="0.25">
      <c r="AV1057">
        <v>1032</v>
      </c>
      <c r="AW1057" s="94" t="str">
        <f t="shared" ca="1" si="165"/>
        <v/>
      </c>
      <c r="AX1057" s="95" t="str">
        <f t="shared" si="160"/>
        <v/>
      </c>
      <c r="AY1057" s="98" t="str">
        <f t="shared" ca="1" si="166"/>
        <v/>
      </c>
      <c r="AZ1057" s="96" t="str">
        <f t="shared" si="161"/>
        <v/>
      </c>
      <c r="BA1057" s="99" t="str">
        <f t="shared" ca="1" si="167"/>
        <v/>
      </c>
      <c r="BB1057" s="97" t="str">
        <f t="shared" si="162"/>
        <v/>
      </c>
      <c r="BC1057" s="101" t="str">
        <f t="shared" ca="1" si="168"/>
        <v/>
      </c>
      <c r="BD1057" s="100" t="str">
        <f t="shared" si="163"/>
        <v/>
      </c>
      <c r="BE1057" s="103" t="str">
        <f t="shared" ca="1" si="169"/>
        <v/>
      </c>
      <c r="BF1057" s="102" t="str">
        <f t="shared" si="164"/>
        <v/>
      </c>
    </row>
    <row r="1058" spans="48:58" hidden="1" x14ac:dyDescent="0.25">
      <c r="AV1058">
        <v>1033</v>
      </c>
      <c r="AW1058" s="94" t="str">
        <f t="shared" ca="1" si="165"/>
        <v/>
      </c>
      <c r="AX1058" s="95" t="str">
        <f t="shared" si="160"/>
        <v/>
      </c>
      <c r="AY1058" s="98" t="str">
        <f t="shared" ca="1" si="166"/>
        <v/>
      </c>
      <c r="AZ1058" s="96" t="str">
        <f t="shared" si="161"/>
        <v/>
      </c>
      <c r="BA1058" s="99" t="str">
        <f t="shared" ca="1" si="167"/>
        <v/>
      </c>
      <c r="BB1058" s="97" t="str">
        <f t="shared" si="162"/>
        <v/>
      </c>
      <c r="BC1058" s="101" t="str">
        <f t="shared" ca="1" si="168"/>
        <v/>
      </c>
      <c r="BD1058" s="100" t="str">
        <f t="shared" si="163"/>
        <v/>
      </c>
      <c r="BE1058" s="103" t="str">
        <f t="shared" ca="1" si="169"/>
        <v/>
      </c>
      <c r="BF1058" s="102" t="str">
        <f t="shared" si="164"/>
        <v/>
      </c>
    </row>
    <row r="1059" spans="48:58" hidden="1" x14ac:dyDescent="0.25">
      <c r="AV1059">
        <v>1034</v>
      </c>
      <c r="AW1059" s="94" t="str">
        <f t="shared" ca="1" si="165"/>
        <v/>
      </c>
      <c r="AX1059" s="95" t="str">
        <f t="shared" si="160"/>
        <v/>
      </c>
      <c r="AY1059" s="98" t="str">
        <f t="shared" ca="1" si="166"/>
        <v/>
      </c>
      <c r="AZ1059" s="96" t="str">
        <f t="shared" si="161"/>
        <v/>
      </c>
      <c r="BA1059" s="99" t="str">
        <f t="shared" ca="1" si="167"/>
        <v/>
      </c>
      <c r="BB1059" s="97" t="str">
        <f t="shared" si="162"/>
        <v/>
      </c>
      <c r="BC1059" s="101" t="str">
        <f t="shared" ca="1" si="168"/>
        <v/>
      </c>
      <c r="BD1059" s="100" t="str">
        <f t="shared" si="163"/>
        <v/>
      </c>
      <c r="BE1059" s="103" t="str">
        <f t="shared" ca="1" si="169"/>
        <v/>
      </c>
      <c r="BF1059" s="102" t="str">
        <f t="shared" si="164"/>
        <v/>
      </c>
    </row>
    <row r="1060" spans="48:58" hidden="1" x14ac:dyDescent="0.25">
      <c r="AV1060">
        <v>1035</v>
      </c>
      <c r="AW1060" s="94" t="str">
        <f t="shared" ca="1" si="165"/>
        <v/>
      </c>
      <c r="AX1060" s="95" t="str">
        <f t="shared" si="160"/>
        <v/>
      </c>
      <c r="AY1060" s="98" t="str">
        <f t="shared" ca="1" si="166"/>
        <v/>
      </c>
      <c r="AZ1060" s="96" t="str">
        <f t="shared" si="161"/>
        <v/>
      </c>
      <c r="BA1060" s="99" t="str">
        <f t="shared" ca="1" si="167"/>
        <v/>
      </c>
      <c r="BB1060" s="97" t="str">
        <f t="shared" si="162"/>
        <v/>
      </c>
      <c r="BC1060" s="101" t="str">
        <f t="shared" ca="1" si="168"/>
        <v/>
      </c>
      <c r="BD1060" s="100" t="str">
        <f t="shared" si="163"/>
        <v/>
      </c>
      <c r="BE1060" s="103" t="str">
        <f t="shared" ca="1" si="169"/>
        <v/>
      </c>
      <c r="BF1060" s="102" t="str">
        <f t="shared" si="164"/>
        <v/>
      </c>
    </row>
    <row r="1061" spans="48:58" hidden="1" x14ac:dyDescent="0.25">
      <c r="AV1061">
        <v>1036</v>
      </c>
      <c r="AW1061" s="94" t="str">
        <f t="shared" ca="1" si="165"/>
        <v/>
      </c>
      <c r="AX1061" s="95" t="str">
        <f t="shared" si="160"/>
        <v/>
      </c>
      <c r="AY1061" s="98" t="str">
        <f t="shared" ca="1" si="166"/>
        <v/>
      </c>
      <c r="AZ1061" s="96" t="str">
        <f t="shared" si="161"/>
        <v/>
      </c>
      <c r="BA1061" s="99" t="str">
        <f t="shared" ca="1" si="167"/>
        <v/>
      </c>
      <c r="BB1061" s="97" t="str">
        <f t="shared" si="162"/>
        <v/>
      </c>
      <c r="BC1061" s="101" t="str">
        <f t="shared" ca="1" si="168"/>
        <v/>
      </c>
      <c r="BD1061" s="100" t="str">
        <f t="shared" si="163"/>
        <v/>
      </c>
      <c r="BE1061" s="103" t="str">
        <f t="shared" ca="1" si="169"/>
        <v/>
      </c>
      <c r="BF1061" s="102" t="str">
        <f t="shared" si="164"/>
        <v/>
      </c>
    </row>
    <row r="1062" spans="48:58" hidden="1" x14ac:dyDescent="0.25">
      <c r="AV1062">
        <v>1037</v>
      </c>
      <c r="AW1062" s="94" t="str">
        <f t="shared" ca="1" si="165"/>
        <v/>
      </c>
      <c r="AX1062" s="95" t="str">
        <f t="shared" si="160"/>
        <v/>
      </c>
      <c r="AY1062" s="98" t="str">
        <f t="shared" ca="1" si="166"/>
        <v/>
      </c>
      <c r="AZ1062" s="96" t="str">
        <f t="shared" si="161"/>
        <v/>
      </c>
      <c r="BA1062" s="99" t="str">
        <f t="shared" ca="1" si="167"/>
        <v/>
      </c>
      <c r="BB1062" s="97" t="str">
        <f t="shared" si="162"/>
        <v/>
      </c>
      <c r="BC1062" s="101" t="str">
        <f t="shared" ca="1" si="168"/>
        <v/>
      </c>
      <c r="BD1062" s="100" t="str">
        <f t="shared" si="163"/>
        <v/>
      </c>
      <c r="BE1062" s="103" t="str">
        <f t="shared" ca="1" si="169"/>
        <v/>
      </c>
      <c r="BF1062" s="102" t="str">
        <f t="shared" si="164"/>
        <v/>
      </c>
    </row>
    <row r="1063" spans="48:58" hidden="1" x14ac:dyDescent="0.25">
      <c r="AV1063">
        <v>1038</v>
      </c>
      <c r="AW1063" s="94" t="str">
        <f t="shared" ca="1" si="165"/>
        <v/>
      </c>
      <c r="AX1063" s="95" t="str">
        <f t="shared" si="160"/>
        <v/>
      </c>
      <c r="AY1063" s="98" t="str">
        <f t="shared" ca="1" si="166"/>
        <v/>
      </c>
      <c r="AZ1063" s="96" t="str">
        <f t="shared" si="161"/>
        <v/>
      </c>
      <c r="BA1063" s="99" t="str">
        <f t="shared" ca="1" si="167"/>
        <v/>
      </c>
      <c r="BB1063" s="97" t="str">
        <f t="shared" si="162"/>
        <v/>
      </c>
      <c r="BC1063" s="101" t="str">
        <f t="shared" ca="1" si="168"/>
        <v/>
      </c>
      <c r="BD1063" s="100" t="str">
        <f t="shared" si="163"/>
        <v/>
      </c>
      <c r="BE1063" s="103" t="str">
        <f t="shared" ca="1" si="169"/>
        <v/>
      </c>
      <c r="BF1063" s="102" t="str">
        <f t="shared" si="164"/>
        <v/>
      </c>
    </row>
    <row r="1064" spans="48:58" hidden="1" x14ac:dyDescent="0.25">
      <c r="AV1064">
        <v>1039</v>
      </c>
      <c r="AW1064" s="94" t="str">
        <f t="shared" ca="1" si="165"/>
        <v/>
      </c>
      <c r="AX1064" s="95" t="str">
        <f t="shared" si="160"/>
        <v/>
      </c>
      <c r="AY1064" s="98" t="str">
        <f t="shared" ca="1" si="166"/>
        <v/>
      </c>
      <c r="AZ1064" s="96" t="str">
        <f t="shared" si="161"/>
        <v/>
      </c>
      <c r="BA1064" s="99" t="str">
        <f t="shared" ca="1" si="167"/>
        <v/>
      </c>
      <c r="BB1064" s="97" t="str">
        <f t="shared" si="162"/>
        <v/>
      </c>
      <c r="BC1064" s="101" t="str">
        <f t="shared" ca="1" si="168"/>
        <v/>
      </c>
      <c r="BD1064" s="100" t="str">
        <f t="shared" si="163"/>
        <v/>
      </c>
      <c r="BE1064" s="103" t="str">
        <f t="shared" ca="1" si="169"/>
        <v/>
      </c>
      <c r="BF1064" s="102" t="str">
        <f t="shared" si="164"/>
        <v/>
      </c>
    </row>
    <row r="1065" spans="48:58" hidden="1" x14ac:dyDescent="0.25">
      <c r="AV1065">
        <v>1040</v>
      </c>
      <c r="AW1065" s="94" t="str">
        <f t="shared" ca="1" si="165"/>
        <v/>
      </c>
      <c r="AX1065" s="95" t="str">
        <f t="shared" si="160"/>
        <v/>
      </c>
      <c r="AY1065" s="98" t="str">
        <f t="shared" ca="1" si="166"/>
        <v/>
      </c>
      <c r="AZ1065" s="96" t="str">
        <f t="shared" si="161"/>
        <v/>
      </c>
      <c r="BA1065" s="99" t="str">
        <f t="shared" ca="1" si="167"/>
        <v/>
      </c>
      <c r="BB1065" s="97" t="str">
        <f t="shared" si="162"/>
        <v/>
      </c>
      <c r="BC1065" s="101" t="str">
        <f t="shared" ca="1" si="168"/>
        <v/>
      </c>
      <c r="BD1065" s="100" t="str">
        <f t="shared" si="163"/>
        <v/>
      </c>
      <c r="BE1065" s="103" t="str">
        <f t="shared" ca="1" si="169"/>
        <v/>
      </c>
      <c r="BF1065" s="102" t="str">
        <f t="shared" si="164"/>
        <v/>
      </c>
    </row>
    <row r="1066" spans="48:58" hidden="1" x14ac:dyDescent="0.25">
      <c r="AV1066">
        <v>1041</v>
      </c>
      <c r="AW1066" s="94" t="str">
        <f t="shared" ca="1" si="165"/>
        <v/>
      </c>
      <c r="AX1066" s="95" t="str">
        <f t="shared" si="160"/>
        <v/>
      </c>
      <c r="AY1066" s="98" t="str">
        <f t="shared" ca="1" si="166"/>
        <v/>
      </c>
      <c r="AZ1066" s="96" t="str">
        <f t="shared" si="161"/>
        <v/>
      </c>
      <c r="BA1066" s="99" t="str">
        <f t="shared" ca="1" si="167"/>
        <v/>
      </c>
      <c r="BB1066" s="97" t="str">
        <f t="shared" si="162"/>
        <v/>
      </c>
      <c r="BC1066" s="101" t="str">
        <f t="shared" ca="1" si="168"/>
        <v/>
      </c>
      <c r="BD1066" s="100" t="str">
        <f t="shared" si="163"/>
        <v/>
      </c>
      <c r="BE1066" s="103" t="str">
        <f t="shared" ca="1" si="169"/>
        <v/>
      </c>
      <c r="BF1066" s="102" t="str">
        <f t="shared" si="164"/>
        <v/>
      </c>
    </row>
    <row r="1067" spans="48:58" hidden="1" x14ac:dyDescent="0.25">
      <c r="AV1067">
        <v>1042</v>
      </c>
      <c r="AW1067" s="94" t="str">
        <f t="shared" ca="1" si="165"/>
        <v/>
      </c>
      <c r="AX1067" s="95" t="str">
        <f t="shared" si="160"/>
        <v/>
      </c>
      <c r="AY1067" s="98" t="str">
        <f t="shared" ca="1" si="166"/>
        <v/>
      </c>
      <c r="AZ1067" s="96" t="str">
        <f t="shared" si="161"/>
        <v/>
      </c>
      <c r="BA1067" s="99" t="str">
        <f t="shared" ca="1" si="167"/>
        <v/>
      </c>
      <c r="BB1067" s="97" t="str">
        <f t="shared" si="162"/>
        <v/>
      </c>
      <c r="BC1067" s="101" t="str">
        <f t="shared" ca="1" si="168"/>
        <v/>
      </c>
      <c r="BD1067" s="100" t="str">
        <f t="shared" si="163"/>
        <v/>
      </c>
      <c r="BE1067" s="103" t="str">
        <f t="shared" ca="1" si="169"/>
        <v/>
      </c>
      <c r="BF1067" s="102" t="str">
        <f t="shared" si="164"/>
        <v/>
      </c>
    </row>
    <row r="1068" spans="48:58" hidden="1" x14ac:dyDescent="0.25">
      <c r="AV1068">
        <v>1043</v>
      </c>
      <c r="AW1068" s="94" t="str">
        <f t="shared" ca="1" si="165"/>
        <v/>
      </c>
      <c r="AX1068" s="95" t="str">
        <f t="shared" si="160"/>
        <v/>
      </c>
      <c r="AY1068" s="98" t="str">
        <f t="shared" ca="1" si="166"/>
        <v/>
      </c>
      <c r="AZ1068" s="96" t="str">
        <f t="shared" si="161"/>
        <v/>
      </c>
      <c r="BA1068" s="99" t="str">
        <f t="shared" ca="1" si="167"/>
        <v/>
      </c>
      <c r="BB1068" s="97" t="str">
        <f t="shared" si="162"/>
        <v/>
      </c>
      <c r="BC1068" s="101" t="str">
        <f t="shared" ca="1" si="168"/>
        <v/>
      </c>
      <c r="BD1068" s="100" t="str">
        <f t="shared" si="163"/>
        <v/>
      </c>
      <c r="BE1068" s="103" t="str">
        <f t="shared" ca="1" si="169"/>
        <v/>
      </c>
      <c r="BF1068" s="102" t="str">
        <f t="shared" si="164"/>
        <v/>
      </c>
    </row>
    <row r="1069" spans="48:58" hidden="1" x14ac:dyDescent="0.25">
      <c r="AV1069">
        <v>1044</v>
      </c>
      <c r="AW1069" s="94" t="str">
        <f t="shared" ca="1" si="165"/>
        <v/>
      </c>
      <c r="AX1069" s="95" t="str">
        <f t="shared" si="160"/>
        <v/>
      </c>
      <c r="AY1069" s="98" t="str">
        <f t="shared" ca="1" si="166"/>
        <v/>
      </c>
      <c r="AZ1069" s="96" t="str">
        <f t="shared" si="161"/>
        <v/>
      </c>
      <c r="BA1069" s="99" t="str">
        <f t="shared" ca="1" si="167"/>
        <v/>
      </c>
      <c r="BB1069" s="97" t="str">
        <f t="shared" si="162"/>
        <v/>
      </c>
      <c r="BC1069" s="101" t="str">
        <f t="shared" ca="1" si="168"/>
        <v/>
      </c>
      <c r="BD1069" s="100" t="str">
        <f t="shared" si="163"/>
        <v/>
      </c>
      <c r="BE1069" s="103" t="str">
        <f t="shared" ca="1" si="169"/>
        <v/>
      </c>
      <c r="BF1069" s="102" t="str">
        <f t="shared" si="164"/>
        <v/>
      </c>
    </row>
    <row r="1070" spans="48:58" hidden="1" x14ac:dyDescent="0.25">
      <c r="AV1070">
        <v>1045</v>
      </c>
      <c r="AW1070" s="94" t="str">
        <f t="shared" ca="1" si="165"/>
        <v/>
      </c>
      <c r="AX1070" s="95" t="str">
        <f t="shared" si="160"/>
        <v/>
      </c>
      <c r="AY1070" s="98" t="str">
        <f t="shared" ca="1" si="166"/>
        <v/>
      </c>
      <c r="AZ1070" s="96" t="str">
        <f t="shared" si="161"/>
        <v/>
      </c>
      <c r="BA1070" s="99" t="str">
        <f t="shared" ca="1" si="167"/>
        <v/>
      </c>
      <c r="BB1070" s="97" t="str">
        <f t="shared" si="162"/>
        <v/>
      </c>
      <c r="BC1070" s="101" t="str">
        <f t="shared" ca="1" si="168"/>
        <v/>
      </c>
      <c r="BD1070" s="100" t="str">
        <f t="shared" si="163"/>
        <v/>
      </c>
      <c r="BE1070" s="103" t="str">
        <f t="shared" ca="1" si="169"/>
        <v/>
      </c>
      <c r="BF1070" s="102" t="str">
        <f t="shared" si="164"/>
        <v/>
      </c>
    </row>
    <row r="1071" spans="48:58" hidden="1" x14ac:dyDescent="0.25">
      <c r="AV1071">
        <v>1046</v>
      </c>
      <c r="AW1071" s="94" t="str">
        <f t="shared" ca="1" si="165"/>
        <v/>
      </c>
      <c r="AX1071" s="95" t="str">
        <f t="shared" si="160"/>
        <v/>
      </c>
      <c r="AY1071" s="98" t="str">
        <f t="shared" ca="1" si="166"/>
        <v/>
      </c>
      <c r="AZ1071" s="96" t="str">
        <f t="shared" si="161"/>
        <v/>
      </c>
      <c r="BA1071" s="99" t="str">
        <f t="shared" ca="1" si="167"/>
        <v/>
      </c>
      <c r="BB1071" s="97" t="str">
        <f t="shared" si="162"/>
        <v/>
      </c>
      <c r="BC1071" s="101" t="str">
        <f t="shared" ca="1" si="168"/>
        <v/>
      </c>
      <c r="BD1071" s="100" t="str">
        <f t="shared" si="163"/>
        <v/>
      </c>
      <c r="BE1071" s="103" t="str">
        <f t="shared" ca="1" si="169"/>
        <v/>
      </c>
      <c r="BF1071" s="102" t="str">
        <f t="shared" si="164"/>
        <v/>
      </c>
    </row>
    <row r="1072" spans="48:58" hidden="1" x14ac:dyDescent="0.25">
      <c r="AV1072">
        <v>1047</v>
      </c>
      <c r="AW1072" s="94" t="str">
        <f t="shared" ca="1" si="165"/>
        <v/>
      </c>
      <c r="AX1072" s="95" t="str">
        <f t="shared" si="160"/>
        <v/>
      </c>
      <c r="AY1072" s="98" t="str">
        <f t="shared" ca="1" si="166"/>
        <v/>
      </c>
      <c r="AZ1072" s="96" t="str">
        <f t="shared" si="161"/>
        <v/>
      </c>
      <c r="BA1072" s="99" t="str">
        <f t="shared" ca="1" si="167"/>
        <v/>
      </c>
      <c r="BB1072" s="97" t="str">
        <f t="shared" si="162"/>
        <v/>
      </c>
      <c r="BC1072" s="101" t="str">
        <f t="shared" ca="1" si="168"/>
        <v/>
      </c>
      <c r="BD1072" s="100" t="str">
        <f t="shared" si="163"/>
        <v/>
      </c>
      <c r="BE1072" s="103" t="str">
        <f t="shared" ca="1" si="169"/>
        <v/>
      </c>
      <c r="BF1072" s="102" t="str">
        <f t="shared" si="164"/>
        <v/>
      </c>
    </row>
    <row r="1073" spans="48:58" hidden="1" x14ac:dyDescent="0.25">
      <c r="AV1073">
        <v>1048</v>
      </c>
      <c r="AW1073" s="94" t="str">
        <f t="shared" ca="1" si="165"/>
        <v/>
      </c>
      <c r="AX1073" s="95" t="str">
        <f t="shared" si="160"/>
        <v/>
      </c>
      <c r="AY1073" s="98" t="str">
        <f t="shared" ca="1" si="166"/>
        <v/>
      </c>
      <c r="AZ1073" s="96" t="str">
        <f t="shared" si="161"/>
        <v/>
      </c>
      <c r="BA1073" s="99" t="str">
        <f t="shared" ca="1" si="167"/>
        <v/>
      </c>
      <c r="BB1073" s="97" t="str">
        <f t="shared" si="162"/>
        <v/>
      </c>
      <c r="BC1073" s="101" t="str">
        <f t="shared" ca="1" si="168"/>
        <v/>
      </c>
      <c r="BD1073" s="100" t="str">
        <f t="shared" si="163"/>
        <v/>
      </c>
      <c r="BE1073" s="103" t="str">
        <f t="shared" ca="1" si="169"/>
        <v/>
      </c>
      <c r="BF1073" s="102" t="str">
        <f t="shared" si="164"/>
        <v/>
      </c>
    </row>
    <row r="1074" spans="48:58" hidden="1" x14ac:dyDescent="0.25">
      <c r="AV1074">
        <v>1049</v>
      </c>
      <c r="AW1074" s="94" t="str">
        <f t="shared" ca="1" si="165"/>
        <v/>
      </c>
      <c r="AX1074" s="95" t="str">
        <f t="shared" si="160"/>
        <v/>
      </c>
      <c r="AY1074" s="98" t="str">
        <f t="shared" ca="1" si="166"/>
        <v/>
      </c>
      <c r="AZ1074" s="96" t="str">
        <f t="shared" si="161"/>
        <v/>
      </c>
      <c r="BA1074" s="99" t="str">
        <f t="shared" ca="1" si="167"/>
        <v/>
      </c>
      <c r="BB1074" s="97" t="str">
        <f t="shared" si="162"/>
        <v/>
      </c>
      <c r="BC1074" s="101" t="str">
        <f t="shared" ca="1" si="168"/>
        <v/>
      </c>
      <c r="BD1074" s="100" t="str">
        <f t="shared" si="163"/>
        <v/>
      </c>
      <c r="BE1074" s="103" t="str">
        <f t="shared" ca="1" si="169"/>
        <v/>
      </c>
      <c r="BF1074" s="102" t="str">
        <f t="shared" si="164"/>
        <v/>
      </c>
    </row>
    <row r="1075" spans="48:58" hidden="1" x14ac:dyDescent="0.25">
      <c r="AV1075">
        <v>1050</v>
      </c>
      <c r="AW1075" s="94" t="str">
        <f t="shared" ca="1" si="165"/>
        <v/>
      </c>
      <c r="AX1075" s="95" t="str">
        <f t="shared" si="160"/>
        <v/>
      </c>
      <c r="AY1075" s="98" t="str">
        <f t="shared" ca="1" si="166"/>
        <v/>
      </c>
      <c r="AZ1075" s="96" t="str">
        <f t="shared" si="161"/>
        <v/>
      </c>
      <c r="BA1075" s="99" t="str">
        <f t="shared" ca="1" si="167"/>
        <v/>
      </c>
      <c r="BB1075" s="97" t="str">
        <f t="shared" si="162"/>
        <v/>
      </c>
      <c r="BC1075" s="101" t="str">
        <f t="shared" ca="1" si="168"/>
        <v/>
      </c>
      <c r="BD1075" s="100" t="str">
        <f t="shared" si="163"/>
        <v/>
      </c>
      <c r="BE1075" s="103" t="str">
        <f t="shared" ca="1" si="169"/>
        <v/>
      </c>
      <c r="BF1075" s="102" t="str">
        <f t="shared" si="164"/>
        <v/>
      </c>
    </row>
    <row r="1076" spans="48:58" hidden="1" x14ac:dyDescent="0.25">
      <c r="AV1076">
        <v>1051</v>
      </c>
      <c r="AW1076" s="94" t="str">
        <f t="shared" ca="1" si="165"/>
        <v/>
      </c>
      <c r="AX1076" s="95" t="str">
        <f t="shared" si="160"/>
        <v/>
      </c>
      <c r="AY1076" s="98" t="str">
        <f t="shared" ca="1" si="166"/>
        <v/>
      </c>
      <c r="AZ1076" s="96" t="str">
        <f t="shared" si="161"/>
        <v/>
      </c>
      <c r="BA1076" s="99" t="str">
        <f t="shared" ca="1" si="167"/>
        <v/>
      </c>
      <c r="BB1076" s="97" t="str">
        <f t="shared" si="162"/>
        <v/>
      </c>
      <c r="BC1076" s="101" t="str">
        <f t="shared" ca="1" si="168"/>
        <v/>
      </c>
      <c r="BD1076" s="100" t="str">
        <f t="shared" si="163"/>
        <v/>
      </c>
      <c r="BE1076" s="103" t="str">
        <f t="shared" ca="1" si="169"/>
        <v/>
      </c>
      <c r="BF1076" s="102" t="str">
        <f t="shared" si="164"/>
        <v/>
      </c>
    </row>
    <row r="1077" spans="48:58" hidden="1" x14ac:dyDescent="0.25">
      <c r="AV1077">
        <v>1052</v>
      </c>
      <c r="AW1077" s="94" t="str">
        <f t="shared" ca="1" si="165"/>
        <v/>
      </c>
      <c r="AX1077" s="95" t="str">
        <f t="shared" si="160"/>
        <v/>
      </c>
      <c r="AY1077" s="98" t="str">
        <f t="shared" ca="1" si="166"/>
        <v/>
      </c>
      <c r="AZ1077" s="96" t="str">
        <f t="shared" si="161"/>
        <v/>
      </c>
      <c r="BA1077" s="99" t="str">
        <f t="shared" ca="1" si="167"/>
        <v/>
      </c>
      <c r="BB1077" s="97" t="str">
        <f t="shared" si="162"/>
        <v/>
      </c>
      <c r="BC1077" s="101" t="str">
        <f t="shared" ca="1" si="168"/>
        <v/>
      </c>
      <c r="BD1077" s="100" t="str">
        <f t="shared" si="163"/>
        <v/>
      </c>
      <c r="BE1077" s="103" t="str">
        <f t="shared" ca="1" si="169"/>
        <v/>
      </c>
      <c r="BF1077" s="102" t="str">
        <f t="shared" si="164"/>
        <v/>
      </c>
    </row>
    <row r="1078" spans="48:58" hidden="1" x14ac:dyDescent="0.25">
      <c r="AV1078">
        <v>1053</v>
      </c>
      <c r="AW1078" s="94" t="str">
        <f t="shared" ca="1" si="165"/>
        <v/>
      </c>
      <c r="AX1078" s="95" t="str">
        <f t="shared" si="160"/>
        <v/>
      </c>
      <c r="AY1078" s="98" t="str">
        <f t="shared" ca="1" si="166"/>
        <v/>
      </c>
      <c r="AZ1078" s="96" t="str">
        <f t="shared" si="161"/>
        <v/>
      </c>
      <c r="BA1078" s="99" t="str">
        <f t="shared" ca="1" si="167"/>
        <v/>
      </c>
      <c r="BB1078" s="97" t="str">
        <f t="shared" si="162"/>
        <v/>
      </c>
      <c r="BC1078" s="101" t="str">
        <f t="shared" ca="1" si="168"/>
        <v/>
      </c>
      <c r="BD1078" s="100" t="str">
        <f t="shared" si="163"/>
        <v/>
      </c>
      <c r="BE1078" s="103" t="str">
        <f t="shared" ca="1" si="169"/>
        <v/>
      </c>
      <c r="BF1078" s="102" t="str">
        <f t="shared" si="164"/>
        <v/>
      </c>
    </row>
    <row r="1079" spans="48:58" hidden="1" x14ac:dyDescent="0.25">
      <c r="AV1079">
        <v>1054</v>
      </c>
      <c r="AW1079" s="94" t="str">
        <f t="shared" ca="1" si="165"/>
        <v/>
      </c>
      <c r="AX1079" s="95" t="str">
        <f t="shared" si="160"/>
        <v/>
      </c>
      <c r="AY1079" s="98" t="str">
        <f t="shared" ca="1" si="166"/>
        <v/>
      </c>
      <c r="AZ1079" s="96" t="str">
        <f t="shared" si="161"/>
        <v/>
      </c>
      <c r="BA1079" s="99" t="str">
        <f t="shared" ca="1" si="167"/>
        <v/>
      </c>
      <c r="BB1079" s="97" t="str">
        <f t="shared" si="162"/>
        <v/>
      </c>
      <c r="BC1079" s="101" t="str">
        <f t="shared" ca="1" si="168"/>
        <v/>
      </c>
      <c r="BD1079" s="100" t="str">
        <f t="shared" si="163"/>
        <v/>
      </c>
      <c r="BE1079" s="103" t="str">
        <f t="shared" ca="1" si="169"/>
        <v/>
      </c>
      <c r="BF1079" s="102" t="str">
        <f t="shared" si="164"/>
        <v/>
      </c>
    </row>
    <row r="1080" spans="48:58" hidden="1" x14ac:dyDescent="0.25">
      <c r="AV1080">
        <v>1055</v>
      </c>
      <c r="AW1080" s="94" t="str">
        <f t="shared" ca="1" si="165"/>
        <v/>
      </c>
      <c r="AX1080" s="95" t="str">
        <f t="shared" si="160"/>
        <v/>
      </c>
      <c r="AY1080" s="98" t="str">
        <f t="shared" ca="1" si="166"/>
        <v/>
      </c>
      <c r="AZ1080" s="96" t="str">
        <f t="shared" si="161"/>
        <v/>
      </c>
      <c r="BA1080" s="99" t="str">
        <f t="shared" ca="1" si="167"/>
        <v/>
      </c>
      <c r="BB1080" s="97" t="str">
        <f t="shared" si="162"/>
        <v/>
      </c>
      <c r="BC1080" s="101" t="str">
        <f t="shared" ca="1" si="168"/>
        <v/>
      </c>
      <c r="BD1080" s="100" t="str">
        <f t="shared" si="163"/>
        <v/>
      </c>
      <c r="BE1080" s="103" t="str">
        <f t="shared" ca="1" si="169"/>
        <v/>
      </c>
      <c r="BF1080" s="102" t="str">
        <f t="shared" si="164"/>
        <v/>
      </c>
    </row>
    <row r="1081" spans="48:58" hidden="1" x14ac:dyDescent="0.25">
      <c r="AV1081">
        <v>1056</v>
      </c>
      <c r="AW1081" s="94" t="str">
        <f t="shared" ca="1" si="165"/>
        <v/>
      </c>
      <c r="AX1081" s="95" t="str">
        <f t="shared" si="160"/>
        <v/>
      </c>
      <c r="AY1081" s="98" t="str">
        <f t="shared" ca="1" si="166"/>
        <v/>
      </c>
      <c r="AZ1081" s="96" t="str">
        <f t="shared" si="161"/>
        <v/>
      </c>
      <c r="BA1081" s="99" t="str">
        <f t="shared" ca="1" si="167"/>
        <v/>
      </c>
      <c r="BB1081" s="97" t="str">
        <f t="shared" si="162"/>
        <v/>
      </c>
      <c r="BC1081" s="101" t="str">
        <f t="shared" ca="1" si="168"/>
        <v/>
      </c>
      <c r="BD1081" s="100" t="str">
        <f t="shared" si="163"/>
        <v/>
      </c>
      <c r="BE1081" s="103" t="str">
        <f t="shared" ca="1" si="169"/>
        <v/>
      </c>
      <c r="BF1081" s="102" t="str">
        <f t="shared" si="164"/>
        <v/>
      </c>
    </row>
    <row r="1082" spans="48:58" hidden="1" x14ac:dyDescent="0.25">
      <c r="AV1082">
        <v>1057</v>
      </c>
      <c r="AW1082" s="94" t="str">
        <f t="shared" ca="1" si="165"/>
        <v/>
      </c>
      <c r="AX1082" s="95" t="str">
        <f t="shared" si="160"/>
        <v/>
      </c>
      <c r="AY1082" s="98" t="str">
        <f t="shared" ca="1" si="166"/>
        <v/>
      </c>
      <c r="AZ1082" s="96" t="str">
        <f t="shared" si="161"/>
        <v/>
      </c>
      <c r="BA1082" s="99" t="str">
        <f t="shared" ca="1" si="167"/>
        <v/>
      </c>
      <c r="BB1082" s="97" t="str">
        <f t="shared" si="162"/>
        <v/>
      </c>
      <c r="BC1082" s="101" t="str">
        <f t="shared" ca="1" si="168"/>
        <v/>
      </c>
      <c r="BD1082" s="100" t="str">
        <f t="shared" si="163"/>
        <v/>
      </c>
      <c r="BE1082" s="103" t="str">
        <f t="shared" ca="1" si="169"/>
        <v/>
      </c>
      <c r="BF1082" s="102" t="str">
        <f t="shared" si="164"/>
        <v/>
      </c>
    </row>
    <row r="1083" spans="48:58" hidden="1" x14ac:dyDescent="0.25">
      <c r="AV1083">
        <v>1058</v>
      </c>
      <c r="AW1083" s="94" t="str">
        <f t="shared" ca="1" si="165"/>
        <v/>
      </c>
      <c r="AX1083" s="95" t="str">
        <f t="shared" si="160"/>
        <v/>
      </c>
      <c r="AY1083" s="98" t="str">
        <f t="shared" ca="1" si="166"/>
        <v/>
      </c>
      <c r="AZ1083" s="96" t="str">
        <f t="shared" si="161"/>
        <v/>
      </c>
      <c r="BA1083" s="99" t="str">
        <f t="shared" ca="1" si="167"/>
        <v/>
      </c>
      <c r="BB1083" s="97" t="str">
        <f t="shared" si="162"/>
        <v/>
      </c>
      <c r="BC1083" s="101" t="str">
        <f t="shared" ca="1" si="168"/>
        <v/>
      </c>
      <c r="BD1083" s="100" t="str">
        <f t="shared" si="163"/>
        <v/>
      </c>
      <c r="BE1083" s="103" t="str">
        <f t="shared" ca="1" si="169"/>
        <v/>
      </c>
      <c r="BF1083" s="102" t="str">
        <f t="shared" si="164"/>
        <v/>
      </c>
    </row>
    <row r="1084" spans="48:58" hidden="1" x14ac:dyDescent="0.25">
      <c r="AV1084">
        <v>1059</v>
      </c>
      <c r="AW1084" s="94" t="str">
        <f t="shared" ca="1" si="165"/>
        <v/>
      </c>
      <c r="AX1084" s="95" t="str">
        <f t="shared" si="160"/>
        <v/>
      </c>
      <c r="AY1084" s="98" t="str">
        <f t="shared" ca="1" si="166"/>
        <v/>
      </c>
      <c r="AZ1084" s="96" t="str">
        <f t="shared" si="161"/>
        <v/>
      </c>
      <c r="BA1084" s="99" t="str">
        <f t="shared" ca="1" si="167"/>
        <v/>
      </c>
      <c r="BB1084" s="97" t="str">
        <f t="shared" si="162"/>
        <v/>
      </c>
      <c r="BC1084" s="101" t="str">
        <f t="shared" ca="1" si="168"/>
        <v/>
      </c>
      <c r="BD1084" s="100" t="str">
        <f t="shared" si="163"/>
        <v/>
      </c>
      <c r="BE1084" s="103" t="str">
        <f t="shared" ca="1" si="169"/>
        <v/>
      </c>
      <c r="BF1084" s="102" t="str">
        <f t="shared" si="164"/>
        <v/>
      </c>
    </row>
    <row r="1085" spans="48:58" hidden="1" x14ac:dyDescent="0.25">
      <c r="AV1085">
        <v>1060</v>
      </c>
      <c r="AW1085" s="94" t="str">
        <f t="shared" ca="1" si="165"/>
        <v/>
      </c>
      <c r="AX1085" s="95" t="str">
        <f t="shared" si="160"/>
        <v/>
      </c>
      <c r="AY1085" s="98" t="str">
        <f t="shared" ca="1" si="166"/>
        <v/>
      </c>
      <c r="AZ1085" s="96" t="str">
        <f t="shared" si="161"/>
        <v/>
      </c>
      <c r="BA1085" s="99" t="str">
        <f t="shared" ca="1" si="167"/>
        <v/>
      </c>
      <c r="BB1085" s="97" t="str">
        <f t="shared" si="162"/>
        <v/>
      </c>
      <c r="BC1085" s="101" t="str">
        <f t="shared" ca="1" si="168"/>
        <v/>
      </c>
      <c r="BD1085" s="100" t="str">
        <f t="shared" si="163"/>
        <v/>
      </c>
      <c r="BE1085" s="103" t="str">
        <f t="shared" ca="1" si="169"/>
        <v/>
      </c>
      <c r="BF1085" s="102" t="str">
        <f t="shared" si="164"/>
        <v/>
      </c>
    </row>
    <row r="1086" spans="48:58" hidden="1" x14ac:dyDescent="0.25">
      <c r="AV1086">
        <v>1061</v>
      </c>
      <c r="AW1086" s="94" t="str">
        <f t="shared" ca="1" si="165"/>
        <v/>
      </c>
      <c r="AX1086" s="95" t="str">
        <f t="shared" si="160"/>
        <v/>
      </c>
      <c r="AY1086" s="98" t="str">
        <f t="shared" ca="1" si="166"/>
        <v/>
      </c>
      <c r="AZ1086" s="96" t="str">
        <f t="shared" si="161"/>
        <v/>
      </c>
      <c r="BA1086" s="99" t="str">
        <f t="shared" ca="1" si="167"/>
        <v/>
      </c>
      <c r="BB1086" s="97" t="str">
        <f t="shared" si="162"/>
        <v/>
      </c>
      <c r="BC1086" s="101" t="str">
        <f t="shared" ca="1" si="168"/>
        <v/>
      </c>
      <c r="BD1086" s="100" t="str">
        <f t="shared" si="163"/>
        <v/>
      </c>
      <c r="BE1086" s="103" t="str">
        <f t="shared" ca="1" si="169"/>
        <v/>
      </c>
      <c r="BF1086" s="102" t="str">
        <f t="shared" si="164"/>
        <v/>
      </c>
    </row>
    <row r="1087" spans="48:58" hidden="1" x14ac:dyDescent="0.25">
      <c r="AV1087">
        <v>1062</v>
      </c>
      <c r="AW1087" s="94" t="str">
        <f t="shared" ca="1" si="165"/>
        <v/>
      </c>
      <c r="AX1087" s="95" t="str">
        <f t="shared" si="160"/>
        <v/>
      </c>
      <c r="AY1087" s="98" t="str">
        <f t="shared" ca="1" si="166"/>
        <v/>
      </c>
      <c r="AZ1087" s="96" t="str">
        <f t="shared" si="161"/>
        <v/>
      </c>
      <c r="BA1087" s="99" t="str">
        <f t="shared" ca="1" si="167"/>
        <v/>
      </c>
      <c r="BB1087" s="97" t="str">
        <f t="shared" si="162"/>
        <v/>
      </c>
      <c r="BC1087" s="101" t="str">
        <f t="shared" ca="1" si="168"/>
        <v/>
      </c>
      <c r="BD1087" s="100" t="str">
        <f t="shared" si="163"/>
        <v/>
      </c>
      <c r="BE1087" s="103" t="str">
        <f t="shared" ca="1" si="169"/>
        <v/>
      </c>
      <c r="BF1087" s="102" t="str">
        <f t="shared" si="164"/>
        <v/>
      </c>
    </row>
    <row r="1088" spans="48:58" hidden="1" x14ac:dyDescent="0.25">
      <c r="AV1088">
        <v>1063</v>
      </c>
      <c r="AW1088" s="94" t="str">
        <f t="shared" ca="1" si="165"/>
        <v/>
      </c>
      <c r="AX1088" s="95" t="str">
        <f t="shared" si="160"/>
        <v/>
      </c>
      <c r="AY1088" s="98" t="str">
        <f t="shared" ca="1" si="166"/>
        <v/>
      </c>
      <c r="AZ1088" s="96" t="str">
        <f t="shared" si="161"/>
        <v/>
      </c>
      <c r="BA1088" s="99" t="str">
        <f t="shared" ca="1" si="167"/>
        <v/>
      </c>
      <c r="BB1088" s="97" t="str">
        <f t="shared" si="162"/>
        <v/>
      </c>
      <c r="BC1088" s="101" t="str">
        <f t="shared" ca="1" si="168"/>
        <v/>
      </c>
      <c r="BD1088" s="100" t="str">
        <f t="shared" si="163"/>
        <v/>
      </c>
      <c r="BE1088" s="103" t="str">
        <f t="shared" ca="1" si="169"/>
        <v/>
      </c>
      <c r="BF1088" s="102" t="str">
        <f t="shared" si="164"/>
        <v/>
      </c>
    </row>
    <row r="1089" spans="48:58" hidden="1" x14ac:dyDescent="0.25">
      <c r="AV1089">
        <v>1064</v>
      </c>
      <c r="AW1089" s="94" t="str">
        <f t="shared" ca="1" si="165"/>
        <v/>
      </c>
      <c r="AX1089" s="95" t="str">
        <f t="shared" si="160"/>
        <v/>
      </c>
      <c r="AY1089" s="98" t="str">
        <f t="shared" ca="1" si="166"/>
        <v/>
      </c>
      <c r="AZ1089" s="96" t="str">
        <f t="shared" si="161"/>
        <v/>
      </c>
      <c r="BA1089" s="99" t="str">
        <f t="shared" ca="1" si="167"/>
        <v/>
      </c>
      <c r="BB1089" s="97" t="str">
        <f t="shared" si="162"/>
        <v/>
      </c>
      <c r="BC1089" s="101" t="str">
        <f t="shared" ca="1" si="168"/>
        <v/>
      </c>
      <c r="BD1089" s="100" t="str">
        <f t="shared" si="163"/>
        <v/>
      </c>
      <c r="BE1089" s="103" t="str">
        <f t="shared" ca="1" si="169"/>
        <v/>
      </c>
      <c r="BF1089" s="102" t="str">
        <f t="shared" si="164"/>
        <v/>
      </c>
    </row>
    <row r="1090" spans="48:58" hidden="1" x14ac:dyDescent="0.25">
      <c r="AV1090">
        <v>1065</v>
      </c>
      <c r="AW1090" s="94" t="str">
        <f t="shared" ca="1" si="165"/>
        <v/>
      </c>
      <c r="AX1090" s="95" t="str">
        <f t="shared" si="160"/>
        <v/>
      </c>
      <c r="AY1090" s="98" t="str">
        <f t="shared" ca="1" si="166"/>
        <v/>
      </c>
      <c r="AZ1090" s="96" t="str">
        <f t="shared" si="161"/>
        <v/>
      </c>
      <c r="BA1090" s="99" t="str">
        <f t="shared" ca="1" si="167"/>
        <v/>
      </c>
      <c r="BB1090" s="97" t="str">
        <f t="shared" si="162"/>
        <v/>
      </c>
      <c r="BC1090" s="101" t="str">
        <f t="shared" ca="1" si="168"/>
        <v/>
      </c>
      <c r="BD1090" s="100" t="str">
        <f t="shared" si="163"/>
        <v/>
      </c>
      <c r="BE1090" s="103" t="str">
        <f t="shared" ca="1" si="169"/>
        <v/>
      </c>
      <c r="BF1090" s="102" t="str">
        <f t="shared" si="164"/>
        <v/>
      </c>
    </row>
    <row r="1091" spans="48:58" hidden="1" x14ac:dyDescent="0.25">
      <c r="AV1091">
        <v>1066</v>
      </c>
      <c r="AW1091" s="94" t="str">
        <f t="shared" ca="1" si="165"/>
        <v/>
      </c>
      <c r="AX1091" s="95" t="str">
        <f t="shared" si="160"/>
        <v/>
      </c>
      <c r="AY1091" s="98" t="str">
        <f t="shared" ca="1" si="166"/>
        <v/>
      </c>
      <c r="AZ1091" s="96" t="str">
        <f t="shared" si="161"/>
        <v/>
      </c>
      <c r="BA1091" s="99" t="str">
        <f t="shared" ca="1" si="167"/>
        <v/>
      </c>
      <c r="BB1091" s="97" t="str">
        <f t="shared" si="162"/>
        <v/>
      </c>
      <c r="BC1091" s="101" t="str">
        <f t="shared" ca="1" si="168"/>
        <v/>
      </c>
      <c r="BD1091" s="100" t="str">
        <f t="shared" si="163"/>
        <v/>
      </c>
      <c r="BE1091" s="103" t="str">
        <f t="shared" ca="1" si="169"/>
        <v/>
      </c>
      <c r="BF1091" s="102" t="str">
        <f t="shared" si="164"/>
        <v/>
      </c>
    </row>
    <row r="1092" spans="48:58" hidden="1" x14ac:dyDescent="0.25">
      <c r="AV1092">
        <v>1067</v>
      </c>
      <c r="AW1092" s="94" t="str">
        <f t="shared" ca="1" si="165"/>
        <v/>
      </c>
      <c r="AX1092" s="95" t="str">
        <f t="shared" si="160"/>
        <v/>
      </c>
      <c r="AY1092" s="98" t="str">
        <f t="shared" ca="1" si="166"/>
        <v/>
      </c>
      <c r="AZ1092" s="96" t="str">
        <f t="shared" si="161"/>
        <v/>
      </c>
      <c r="BA1092" s="99" t="str">
        <f t="shared" ca="1" si="167"/>
        <v/>
      </c>
      <c r="BB1092" s="97" t="str">
        <f t="shared" si="162"/>
        <v/>
      </c>
      <c r="BC1092" s="101" t="str">
        <f t="shared" ca="1" si="168"/>
        <v/>
      </c>
      <c r="BD1092" s="100" t="str">
        <f t="shared" si="163"/>
        <v/>
      </c>
      <c r="BE1092" s="103" t="str">
        <f t="shared" ca="1" si="169"/>
        <v/>
      </c>
      <c r="BF1092" s="102" t="str">
        <f t="shared" si="164"/>
        <v/>
      </c>
    </row>
    <row r="1093" spans="48:58" hidden="1" x14ac:dyDescent="0.25">
      <c r="AV1093">
        <v>1068</v>
      </c>
      <c r="AW1093" s="94" t="str">
        <f t="shared" ca="1" si="165"/>
        <v/>
      </c>
      <c r="AX1093" s="95" t="str">
        <f t="shared" si="160"/>
        <v/>
      </c>
      <c r="AY1093" s="98" t="str">
        <f t="shared" ca="1" si="166"/>
        <v/>
      </c>
      <c r="AZ1093" s="96" t="str">
        <f t="shared" si="161"/>
        <v/>
      </c>
      <c r="BA1093" s="99" t="str">
        <f t="shared" ca="1" si="167"/>
        <v/>
      </c>
      <c r="BB1093" s="97" t="str">
        <f t="shared" si="162"/>
        <v/>
      </c>
      <c r="BC1093" s="101" t="str">
        <f t="shared" ca="1" si="168"/>
        <v/>
      </c>
      <c r="BD1093" s="100" t="str">
        <f t="shared" si="163"/>
        <v/>
      </c>
      <c r="BE1093" s="103" t="str">
        <f t="shared" ca="1" si="169"/>
        <v/>
      </c>
      <c r="BF1093" s="102" t="str">
        <f t="shared" si="164"/>
        <v/>
      </c>
    </row>
    <row r="1094" spans="48:58" hidden="1" x14ac:dyDescent="0.25">
      <c r="AV1094">
        <v>1069</v>
      </c>
      <c r="AW1094" s="94" t="str">
        <f t="shared" ca="1" si="165"/>
        <v/>
      </c>
      <c r="AX1094" s="95" t="str">
        <f t="shared" si="160"/>
        <v/>
      </c>
      <c r="AY1094" s="98" t="str">
        <f t="shared" ca="1" si="166"/>
        <v/>
      </c>
      <c r="AZ1094" s="96" t="str">
        <f t="shared" si="161"/>
        <v/>
      </c>
      <c r="BA1094" s="99" t="str">
        <f t="shared" ca="1" si="167"/>
        <v/>
      </c>
      <c r="BB1094" s="97" t="str">
        <f t="shared" si="162"/>
        <v/>
      </c>
      <c r="BC1094" s="101" t="str">
        <f t="shared" ca="1" si="168"/>
        <v/>
      </c>
      <c r="BD1094" s="100" t="str">
        <f t="shared" si="163"/>
        <v/>
      </c>
      <c r="BE1094" s="103" t="str">
        <f t="shared" ca="1" si="169"/>
        <v/>
      </c>
      <c r="BF1094" s="102" t="str">
        <f t="shared" si="164"/>
        <v/>
      </c>
    </row>
    <row r="1095" spans="48:58" hidden="1" x14ac:dyDescent="0.25">
      <c r="AV1095">
        <v>1070</v>
      </c>
      <c r="AW1095" s="94" t="str">
        <f t="shared" ca="1" si="165"/>
        <v/>
      </c>
      <c r="AX1095" s="95" t="str">
        <f t="shared" si="160"/>
        <v/>
      </c>
      <c r="AY1095" s="98" t="str">
        <f t="shared" ca="1" si="166"/>
        <v/>
      </c>
      <c r="AZ1095" s="96" t="str">
        <f t="shared" si="161"/>
        <v/>
      </c>
      <c r="BA1095" s="99" t="str">
        <f t="shared" ca="1" si="167"/>
        <v/>
      </c>
      <c r="BB1095" s="97" t="str">
        <f t="shared" si="162"/>
        <v/>
      </c>
      <c r="BC1095" s="101" t="str">
        <f t="shared" ca="1" si="168"/>
        <v/>
      </c>
      <c r="BD1095" s="100" t="str">
        <f t="shared" si="163"/>
        <v/>
      </c>
      <c r="BE1095" s="103" t="str">
        <f t="shared" ca="1" si="169"/>
        <v/>
      </c>
      <c r="BF1095" s="102" t="str">
        <f t="shared" si="164"/>
        <v/>
      </c>
    </row>
    <row r="1096" spans="48:58" hidden="1" x14ac:dyDescent="0.25">
      <c r="AV1096">
        <v>1071</v>
      </c>
      <c r="AW1096" s="94" t="str">
        <f t="shared" ca="1" si="165"/>
        <v/>
      </c>
      <c r="AX1096" s="95" t="str">
        <f t="shared" si="160"/>
        <v/>
      </c>
      <c r="AY1096" s="98" t="str">
        <f t="shared" ca="1" si="166"/>
        <v/>
      </c>
      <c r="AZ1096" s="96" t="str">
        <f t="shared" si="161"/>
        <v/>
      </c>
      <c r="BA1096" s="99" t="str">
        <f t="shared" ca="1" si="167"/>
        <v/>
      </c>
      <c r="BB1096" s="97" t="str">
        <f t="shared" si="162"/>
        <v/>
      </c>
      <c r="BC1096" s="101" t="str">
        <f t="shared" ca="1" si="168"/>
        <v/>
      </c>
      <c r="BD1096" s="100" t="str">
        <f t="shared" si="163"/>
        <v/>
      </c>
      <c r="BE1096" s="103" t="str">
        <f t="shared" ca="1" si="169"/>
        <v/>
      </c>
      <c r="BF1096" s="102" t="str">
        <f t="shared" si="164"/>
        <v/>
      </c>
    </row>
    <row r="1097" spans="48:58" hidden="1" x14ac:dyDescent="0.25">
      <c r="AV1097">
        <v>1072</v>
      </c>
      <c r="AW1097" s="94" t="str">
        <f t="shared" ca="1" si="165"/>
        <v/>
      </c>
      <c r="AX1097" s="95" t="str">
        <f t="shared" si="160"/>
        <v/>
      </c>
      <c r="AY1097" s="98" t="str">
        <f t="shared" ca="1" si="166"/>
        <v/>
      </c>
      <c r="AZ1097" s="96" t="str">
        <f t="shared" si="161"/>
        <v/>
      </c>
      <c r="BA1097" s="99" t="str">
        <f t="shared" ca="1" si="167"/>
        <v/>
      </c>
      <c r="BB1097" s="97" t="str">
        <f t="shared" si="162"/>
        <v/>
      </c>
      <c r="BC1097" s="101" t="str">
        <f t="shared" ca="1" si="168"/>
        <v/>
      </c>
      <c r="BD1097" s="100" t="str">
        <f t="shared" si="163"/>
        <v/>
      </c>
      <c r="BE1097" s="103" t="str">
        <f t="shared" ca="1" si="169"/>
        <v/>
      </c>
      <c r="BF1097" s="102" t="str">
        <f t="shared" si="164"/>
        <v/>
      </c>
    </row>
    <row r="1098" spans="48:58" hidden="1" x14ac:dyDescent="0.25">
      <c r="AV1098">
        <v>1073</v>
      </c>
      <c r="AW1098" s="94" t="str">
        <f t="shared" ca="1" si="165"/>
        <v/>
      </c>
      <c r="AX1098" s="95" t="str">
        <f t="shared" si="160"/>
        <v/>
      </c>
      <c r="AY1098" s="98" t="str">
        <f t="shared" ca="1" si="166"/>
        <v/>
      </c>
      <c r="AZ1098" s="96" t="str">
        <f t="shared" si="161"/>
        <v/>
      </c>
      <c r="BA1098" s="99" t="str">
        <f t="shared" ca="1" si="167"/>
        <v/>
      </c>
      <c r="BB1098" s="97" t="str">
        <f t="shared" si="162"/>
        <v/>
      </c>
      <c r="BC1098" s="101" t="str">
        <f t="shared" ca="1" si="168"/>
        <v/>
      </c>
      <c r="BD1098" s="100" t="str">
        <f t="shared" si="163"/>
        <v/>
      </c>
      <c r="BE1098" s="103" t="str">
        <f t="shared" ca="1" si="169"/>
        <v/>
      </c>
      <c r="BF1098" s="102" t="str">
        <f t="shared" si="164"/>
        <v/>
      </c>
    </row>
    <row r="1099" spans="48:58" hidden="1" x14ac:dyDescent="0.25">
      <c r="AV1099">
        <v>1074</v>
      </c>
      <c r="AW1099" s="94" t="str">
        <f t="shared" ca="1" si="165"/>
        <v/>
      </c>
      <c r="AX1099" s="95" t="str">
        <f t="shared" si="160"/>
        <v/>
      </c>
      <c r="AY1099" s="98" t="str">
        <f t="shared" ca="1" si="166"/>
        <v/>
      </c>
      <c r="AZ1099" s="96" t="str">
        <f t="shared" si="161"/>
        <v/>
      </c>
      <c r="BA1099" s="99" t="str">
        <f t="shared" ca="1" si="167"/>
        <v/>
      </c>
      <c r="BB1099" s="97" t="str">
        <f t="shared" si="162"/>
        <v/>
      </c>
      <c r="BC1099" s="101" t="str">
        <f t="shared" ca="1" si="168"/>
        <v/>
      </c>
      <c r="BD1099" s="100" t="str">
        <f t="shared" si="163"/>
        <v/>
      </c>
      <c r="BE1099" s="103" t="str">
        <f t="shared" ca="1" si="169"/>
        <v/>
      </c>
      <c r="BF1099" s="102" t="str">
        <f t="shared" si="164"/>
        <v/>
      </c>
    </row>
    <row r="1100" spans="48:58" hidden="1" x14ac:dyDescent="0.25">
      <c r="AV1100">
        <v>1075</v>
      </c>
      <c r="AW1100" s="94" t="str">
        <f t="shared" ca="1" si="165"/>
        <v/>
      </c>
      <c r="AX1100" s="95" t="str">
        <f t="shared" si="160"/>
        <v/>
      </c>
      <c r="AY1100" s="98" t="str">
        <f t="shared" ca="1" si="166"/>
        <v/>
      </c>
      <c r="AZ1100" s="96" t="str">
        <f t="shared" si="161"/>
        <v/>
      </c>
      <c r="BA1100" s="99" t="str">
        <f t="shared" ca="1" si="167"/>
        <v/>
      </c>
      <c r="BB1100" s="97" t="str">
        <f t="shared" si="162"/>
        <v/>
      </c>
      <c r="BC1100" s="101" t="str">
        <f t="shared" ca="1" si="168"/>
        <v/>
      </c>
      <c r="BD1100" s="100" t="str">
        <f t="shared" si="163"/>
        <v/>
      </c>
      <c r="BE1100" s="103" t="str">
        <f t="shared" ca="1" si="169"/>
        <v/>
      </c>
      <c r="BF1100" s="102" t="str">
        <f t="shared" si="164"/>
        <v/>
      </c>
    </row>
    <row r="1101" spans="48:58" hidden="1" x14ac:dyDescent="0.25">
      <c r="AV1101">
        <v>1076</v>
      </c>
      <c r="AW1101" s="94" t="str">
        <f t="shared" ca="1" si="165"/>
        <v/>
      </c>
      <c r="AX1101" s="95" t="str">
        <f t="shared" si="160"/>
        <v/>
      </c>
      <c r="AY1101" s="98" t="str">
        <f t="shared" ca="1" si="166"/>
        <v/>
      </c>
      <c r="AZ1101" s="96" t="str">
        <f t="shared" si="161"/>
        <v/>
      </c>
      <c r="BA1101" s="99" t="str">
        <f t="shared" ca="1" si="167"/>
        <v/>
      </c>
      <c r="BB1101" s="97" t="str">
        <f t="shared" si="162"/>
        <v/>
      </c>
      <c r="BC1101" s="101" t="str">
        <f t="shared" ca="1" si="168"/>
        <v/>
      </c>
      <c r="BD1101" s="100" t="str">
        <f t="shared" si="163"/>
        <v/>
      </c>
      <c r="BE1101" s="103" t="str">
        <f t="shared" ca="1" si="169"/>
        <v/>
      </c>
      <c r="BF1101" s="102" t="str">
        <f t="shared" si="164"/>
        <v/>
      </c>
    </row>
    <row r="1102" spans="48:58" hidden="1" x14ac:dyDescent="0.25">
      <c r="AV1102">
        <v>1077</v>
      </c>
      <c r="AW1102" s="94" t="str">
        <f t="shared" ca="1" si="165"/>
        <v/>
      </c>
      <c r="AX1102" s="95" t="str">
        <f t="shared" si="160"/>
        <v/>
      </c>
      <c r="AY1102" s="98" t="str">
        <f t="shared" ca="1" si="166"/>
        <v/>
      </c>
      <c r="AZ1102" s="96" t="str">
        <f t="shared" si="161"/>
        <v/>
      </c>
      <c r="BA1102" s="99" t="str">
        <f t="shared" ca="1" si="167"/>
        <v/>
      </c>
      <c r="BB1102" s="97" t="str">
        <f t="shared" si="162"/>
        <v/>
      </c>
      <c r="BC1102" s="101" t="str">
        <f t="shared" ca="1" si="168"/>
        <v/>
      </c>
      <c r="BD1102" s="100" t="str">
        <f t="shared" si="163"/>
        <v/>
      </c>
      <c r="BE1102" s="103" t="str">
        <f t="shared" ca="1" si="169"/>
        <v/>
      </c>
      <c r="BF1102" s="102" t="str">
        <f t="shared" si="164"/>
        <v/>
      </c>
    </row>
    <row r="1103" spans="48:58" hidden="1" x14ac:dyDescent="0.25">
      <c r="AV1103">
        <v>1078</v>
      </c>
      <c r="AW1103" s="94" t="str">
        <f t="shared" ca="1" si="165"/>
        <v/>
      </c>
      <c r="AX1103" s="95" t="str">
        <f t="shared" si="160"/>
        <v/>
      </c>
      <c r="AY1103" s="98" t="str">
        <f t="shared" ca="1" si="166"/>
        <v/>
      </c>
      <c r="AZ1103" s="96" t="str">
        <f t="shared" si="161"/>
        <v/>
      </c>
      <c r="BA1103" s="99" t="str">
        <f t="shared" ca="1" si="167"/>
        <v/>
      </c>
      <c r="BB1103" s="97" t="str">
        <f t="shared" si="162"/>
        <v/>
      </c>
      <c r="BC1103" s="101" t="str">
        <f t="shared" ca="1" si="168"/>
        <v/>
      </c>
      <c r="BD1103" s="100" t="str">
        <f t="shared" si="163"/>
        <v/>
      </c>
      <c r="BE1103" s="103" t="str">
        <f t="shared" ca="1" si="169"/>
        <v/>
      </c>
      <c r="BF1103" s="102" t="str">
        <f t="shared" si="164"/>
        <v/>
      </c>
    </row>
    <row r="1104" spans="48:58" hidden="1" x14ac:dyDescent="0.25">
      <c r="AV1104">
        <v>1079</v>
      </c>
      <c r="AW1104" s="94" t="str">
        <f t="shared" ca="1" si="165"/>
        <v/>
      </c>
      <c r="AX1104" s="95" t="str">
        <f t="shared" si="160"/>
        <v/>
      </c>
      <c r="AY1104" s="98" t="str">
        <f t="shared" ca="1" si="166"/>
        <v/>
      </c>
      <c r="AZ1104" s="96" t="str">
        <f t="shared" si="161"/>
        <v/>
      </c>
      <c r="BA1104" s="99" t="str">
        <f t="shared" ca="1" si="167"/>
        <v/>
      </c>
      <c r="BB1104" s="97" t="str">
        <f t="shared" si="162"/>
        <v/>
      </c>
      <c r="BC1104" s="101" t="str">
        <f t="shared" ca="1" si="168"/>
        <v/>
      </c>
      <c r="BD1104" s="100" t="str">
        <f t="shared" si="163"/>
        <v/>
      </c>
      <c r="BE1104" s="103" t="str">
        <f t="shared" ca="1" si="169"/>
        <v/>
      </c>
      <c r="BF1104" s="102" t="str">
        <f t="shared" si="164"/>
        <v/>
      </c>
    </row>
    <row r="1105" spans="48:58" hidden="1" x14ac:dyDescent="0.25">
      <c r="AV1105">
        <v>1080</v>
      </c>
      <c r="AW1105" s="94" t="str">
        <f t="shared" ca="1" si="165"/>
        <v/>
      </c>
      <c r="AX1105" s="95" t="str">
        <f t="shared" si="160"/>
        <v/>
      </c>
      <c r="AY1105" s="98" t="str">
        <f t="shared" ca="1" si="166"/>
        <v/>
      </c>
      <c r="AZ1105" s="96" t="str">
        <f t="shared" si="161"/>
        <v/>
      </c>
      <c r="BA1105" s="99" t="str">
        <f t="shared" ca="1" si="167"/>
        <v/>
      </c>
      <c r="BB1105" s="97" t="str">
        <f t="shared" si="162"/>
        <v/>
      </c>
      <c r="BC1105" s="101" t="str">
        <f t="shared" ca="1" si="168"/>
        <v/>
      </c>
      <c r="BD1105" s="100" t="str">
        <f t="shared" si="163"/>
        <v/>
      </c>
      <c r="BE1105" s="103" t="str">
        <f t="shared" ca="1" si="169"/>
        <v/>
      </c>
      <c r="BF1105" s="102" t="str">
        <f t="shared" si="164"/>
        <v/>
      </c>
    </row>
    <row r="1106" spans="48:58" hidden="1" x14ac:dyDescent="0.25">
      <c r="AV1106">
        <v>1081</v>
      </c>
      <c r="AW1106" s="94" t="str">
        <f t="shared" ca="1" si="165"/>
        <v/>
      </c>
      <c r="AX1106" s="95" t="str">
        <f t="shared" si="160"/>
        <v/>
      </c>
      <c r="AY1106" s="98" t="str">
        <f t="shared" ca="1" si="166"/>
        <v/>
      </c>
      <c r="AZ1106" s="96" t="str">
        <f t="shared" si="161"/>
        <v/>
      </c>
      <c r="BA1106" s="99" t="str">
        <f t="shared" ca="1" si="167"/>
        <v/>
      </c>
      <c r="BB1106" s="97" t="str">
        <f t="shared" si="162"/>
        <v/>
      </c>
      <c r="BC1106" s="101" t="str">
        <f t="shared" ca="1" si="168"/>
        <v/>
      </c>
      <c r="BD1106" s="100" t="str">
        <f t="shared" si="163"/>
        <v/>
      </c>
      <c r="BE1106" s="103" t="str">
        <f t="shared" ca="1" si="169"/>
        <v/>
      </c>
      <c r="BF1106" s="102" t="str">
        <f t="shared" si="164"/>
        <v/>
      </c>
    </row>
    <row r="1107" spans="48:58" hidden="1" x14ac:dyDescent="0.25">
      <c r="AV1107">
        <v>1082</v>
      </c>
      <c r="AW1107" s="94" t="str">
        <f t="shared" ca="1" si="165"/>
        <v/>
      </c>
      <c r="AX1107" s="95" t="str">
        <f t="shared" si="160"/>
        <v/>
      </c>
      <c r="AY1107" s="98" t="str">
        <f t="shared" ca="1" si="166"/>
        <v/>
      </c>
      <c r="AZ1107" s="96" t="str">
        <f t="shared" si="161"/>
        <v/>
      </c>
      <c r="BA1107" s="99" t="str">
        <f t="shared" ca="1" si="167"/>
        <v/>
      </c>
      <c r="BB1107" s="97" t="str">
        <f t="shared" si="162"/>
        <v/>
      </c>
      <c r="BC1107" s="101" t="str">
        <f t="shared" ca="1" si="168"/>
        <v/>
      </c>
      <c r="BD1107" s="100" t="str">
        <f t="shared" si="163"/>
        <v/>
      </c>
      <c r="BE1107" s="103" t="str">
        <f t="shared" ca="1" si="169"/>
        <v/>
      </c>
      <c r="BF1107" s="102" t="str">
        <f t="shared" si="164"/>
        <v/>
      </c>
    </row>
    <row r="1108" spans="48:58" hidden="1" x14ac:dyDescent="0.25">
      <c r="AV1108">
        <v>1083</v>
      </c>
      <c r="AW1108" s="94" t="str">
        <f t="shared" ca="1" si="165"/>
        <v/>
      </c>
      <c r="AX1108" s="95" t="str">
        <f t="shared" si="160"/>
        <v/>
      </c>
      <c r="AY1108" s="98" t="str">
        <f t="shared" ca="1" si="166"/>
        <v/>
      </c>
      <c r="AZ1108" s="96" t="str">
        <f t="shared" si="161"/>
        <v/>
      </c>
      <c r="BA1108" s="99" t="str">
        <f t="shared" ca="1" si="167"/>
        <v/>
      </c>
      <c r="BB1108" s="97" t="str">
        <f t="shared" si="162"/>
        <v/>
      </c>
      <c r="BC1108" s="101" t="str">
        <f t="shared" ca="1" si="168"/>
        <v/>
      </c>
      <c r="BD1108" s="100" t="str">
        <f t="shared" si="163"/>
        <v/>
      </c>
      <c r="BE1108" s="103" t="str">
        <f t="shared" ca="1" si="169"/>
        <v/>
      </c>
      <c r="BF1108" s="102" t="str">
        <f t="shared" si="164"/>
        <v/>
      </c>
    </row>
    <row r="1109" spans="48:58" hidden="1" x14ac:dyDescent="0.25">
      <c r="AV1109">
        <v>1084</v>
      </c>
      <c r="AW1109" s="94" t="str">
        <f t="shared" ca="1" si="165"/>
        <v/>
      </c>
      <c r="AX1109" s="95" t="str">
        <f t="shared" si="160"/>
        <v/>
      </c>
      <c r="AY1109" s="98" t="str">
        <f t="shared" ca="1" si="166"/>
        <v/>
      </c>
      <c r="AZ1109" s="96" t="str">
        <f t="shared" si="161"/>
        <v/>
      </c>
      <c r="BA1109" s="99" t="str">
        <f t="shared" ca="1" si="167"/>
        <v/>
      </c>
      <c r="BB1109" s="97" t="str">
        <f t="shared" si="162"/>
        <v/>
      </c>
      <c r="BC1109" s="101" t="str">
        <f t="shared" ca="1" si="168"/>
        <v/>
      </c>
      <c r="BD1109" s="100" t="str">
        <f t="shared" si="163"/>
        <v/>
      </c>
      <c r="BE1109" s="103" t="str">
        <f t="shared" ca="1" si="169"/>
        <v/>
      </c>
      <c r="BF1109" s="102" t="str">
        <f t="shared" si="164"/>
        <v/>
      </c>
    </row>
    <row r="1110" spans="48:58" hidden="1" x14ac:dyDescent="0.25">
      <c r="AV1110">
        <v>1085</v>
      </c>
      <c r="AW1110" s="94" t="str">
        <f t="shared" ca="1" si="165"/>
        <v/>
      </c>
      <c r="AX1110" s="95" t="str">
        <f t="shared" si="160"/>
        <v/>
      </c>
      <c r="AY1110" s="98" t="str">
        <f t="shared" ca="1" si="166"/>
        <v/>
      </c>
      <c r="AZ1110" s="96" t="str">
        <f t="shared" si="161"/>
        <v/>
      </c>
      <c r="BA1110" s="99" t="str">
        <f t="shared" ca="1" si="167"/>
        <v/>
      </c>
      <c r="BB1110" s="97" t="str">
        <f t="shared" si="162"/>
        <v/>
      </c>
      <c r="BC1110" s="101" t="str">
        <f t="shared" ca="1" si="168"/>
        <v/>
      </c>
      <c r="BD1110" s="100" t="str">
        <f t="shared" si="163"/>
        <v/>
      </c>
      <c r="BE1110" s="103" t="str">
        <f t="shared" ca="1" si="169"/>
        <v/>
      </c>
      <c r="BF1110" s="102" t="str">
        <f t="shared" si="164"/>
        <v/>
      </c>
    </row>
    <row r="1111" spans="48:58" hidden="1" x14ac:dyDescent="0.25">
      <c r="AV1111">
        <v>1086</v>
      </c>
      <c r="AW1111" s="94" t="str">
        <f t="shared" ca="1" si="165"/>
        <v/>
      </c>
      <c r="AX1111" s="95" t="str">
        <f t="shared" si="160"/>
        <v/>
      </c>
      <c r="AY1111" s="98" t="str">
        <f t="shared" ca="1" si="166"/>
        <v/>
      </c>
      <c r="AZ1111" s="96" t="str">
        <f t="shared" si="161"/>
        <v/>
      </c>
      <c r="BA1111" s="99" t="str">
        <f t="shared" ca="1" si="167"/>
        <v/>
      </c>
      <c r="BB1111" s="97" t="str">
        <f t="shared" si="162"/>
        <v/>
      </c>
      <c r="BC1111" s="101" t="str">
        <f t="shared" ca="1" si="168"/>
        <v/>
      </c>
      <c r="BD1111" s="100" t="str">
        <f t="shared" si="163"/>
        <v/>
      </c>
      <c r="BE1111" s="103" t="str">
        <f t="shared" ca="1" si="169"/>
        <v/>
      </c>
      <c r="BF1111" s="102" t="str">
        <f t="shared" si="164"/>
        <v/>
      </c>
    </row>
    <row r="1112" spans="48:58" hidden="1" x14ac:dyDescent="0.25">
      <c r="AV1112">
        <v>1087</v>
      </c>
      <c r="AW1112" s="94" t="str">
        <f t="shared" ca="1" si="165"/>
        <v/>
      </c>
      <c r="AX1112" s="95" t="str">
        <f t="shared" si="160"/>
        <v/>
      </c>
      <c r="AY1112" s="98" t="str">
        <f t="shared" ca="1" si="166"/>
        <v/>
      </c>
      <c r="AZ1112" s="96" t="str">
        <f t="shared" si="161"/>
        <v/>
      </c>
      <c r="BA1112" s="99" t="str">
        <f t="shared" ca="1" si="167"/>
        <v/>
      </c>
      <c r="BB1112" s="97" t="str">
        <f t="shared" si="162"/>
        <v/>
      </c>
      <c r="BC1112" s="101" t="str">
        <f t="shared" ca="1" si="168"/>
        <v/>
      </c>
      <c r="BD1112" s="100" t="str">
        <f t="shared" si="163"/>
        <v/>
      </c>
      <c r="BE1112" s="103" t="str">
        <f t="shared" ca="1" si="169"/>
        <v/>
      </c>
      <c r="BF1112" s="102" t="str">
        <f t="shared" si="164"/>
        <v/>
      </c>
    </row>
    <row r="1113" spans="48:58" hidden="1" x14ac:dyDescent="0.25">
      <c r="AV1113">
        <v>1088</v>
      </c>
      <c r="AW1113" s="94" t="str">
        <f t="shared" ca="1" si="165"/>
        <v/>
      </c>
      <c r="AX1113" s="95" t="str">
        <f t="shared" si="160"/>
        <v/>
      </c>
      <c r="AY1113" s="98" t="str">
        <f t="shared" ca="1" si="166"/>
        <v/>
      </c>
      <c r="AZ1113" s="96" t="str">
        <f t="shared" si="161"/>
        <v/>
      </c>
      <c r="BA1113" s="99" t="str">
        <f t="shared" ca="1" si="167"/>
        <v/>
      </c>
      <c r="BB1113" s="97" t="str">
        <f t="shared" si="162"/>
        <v/>
      </c>
      <c r="BC1113" s="101" t="str">
        <f t="shared" ca="1" si="168"/>
        <v/>
      </c>
      <c r="BD1113" s="100" t="str">
        <f t="shared" si="163"/>
        <v/>
      </c>
      <c r="BE1113" s="103" t="str">
        <f t="shared" ca="1" si="169"/>
        <v/>
      </c>
      <c r="BF1113" s="102" t="str">
        <f t="shared" si="164"/>
        <v/>
      </c>
    </row>
    <row r="1114" spans="48:58" hidden="1" x14ac:dyDescent="0.25">
      <c r="AV1114">
        <v>1089</v>
      </c>
      <c r="AW1114" s="94" t="str">
        <f t="shared" ca="1" si="165"/>
        <v/>
      </c>
      <c r="AX1114" s="95" t="str">
        <f t="shared" ref="AX1114:AX1177" si="170">IF($D$15*12&gt;=AV1114,-1*$H$15,IF($D$15*12+1&gt;=AV1114,InfGoal1,""))</f>
        <v/>
      </c>
      <c r="AY1114" s="98" t="str">
        <f t="shared" ca="1" si="166"/>
        <v/>
      </c>
      <c r="AZ1114" s="96" t="str">
        <f t="shared" ref="AZ1114:AZ1177" si="171">IF($D$17*12&gt;=AV1114,-1*$H$17,IF($D$17*12+1&gt;=AV1114,InfGoal2,""))</f>
        <v/>
      </c>
      <c r="BA1114" s="99" t="str">
        <f t="shared" ca="1" si="167"/>
        <v/>
      </c>
      <c r="BB1114" s="97" t="str">
        <f t="shared" ref="BB1114:BB1177" si="172">IF($D$19*12&gt;=AV1114,-1*$H$19,IF($D$19*12+1&gt;=AV1114,InfGoal3,""))</f>
        <v/>
      </c>
      <c r="BC1114" s="101" t="str">
        <f t="shared" ca="1" si="168"/>
        <v/>
      </c>
      <c r="BD1114" s="100" t="str">
        <f t="shared" ref="BD1114:BD1177" si="173">IF($D$21*12&gt;=AV1114,-1*$H$21,IF($D$21*12+1&gt;=AV1114,InfGoal4,""))</f>
        <v/>
      </c>
      <c r="BE1114" s="103" t="str">
        <f t="shared" ca="1" si="169"/>
        <v/>
      </c>
      <c r="BF1114" s="102" t="str">
        <f t="shared" ref="BF1114:BF1177" si="174">IF($D$23*12&gt;=AV1114,-1*$H$23,IF($D$23*12+1&gt;=AV1114,InfGoal5,""))</f>
        <v/>
      </c>
    </row>
    <row r="1115" spans="48:58" hidden="1" x14ac:dyDescent="0.25">
      <c r="AV1115">
        <v>1090</v>
      </c>
      <c r="AW1115" s="94" t="str">
        <f t="shared" ref="AW1115:AW1178" ca="1" si="175">IF($D$15*12&gt;=AV1115,DATE(YEAR(TODAY()),MONTH(TODAY())+AV1115-1,DAY(TODAY())),IF($D$15*12+1&gt;=AV1115,DATE(YEAR(TODAY()),MONTH(TODAY())+$D$15*12,DAY(TODAY())),""))</f>
        <v/>
      </c>
      <c r="AX1115" s="95" t="str">
        <f t="shared" si="170"/>
        <v/>
      </c>
      <c r="AY1115" s="98" t="str">
        <f t="shared" ref="AY1115:AY1178" ca="1" si="176">IF($D$17*12&gt;=AV1115,DATE(YEAR(TODAY()),MONTH(TODAY())+AV1115-1,DAY(TODAY())),IF($D$17*12+1&gt;=AV1115,DATE(YEAR(TODAY()),MONTH(TODAY())+$D$17*12,DAY(TODAY())),""))</f>
        <v/>
      </c>
      <c r="AZ1115" s="96" t="str">
        <f t="shared" si="171"/>
        <v/>
      </c>
      <c r="BA1115" s="99" t="str">
        <f t="shared" ref="BA1115:BA1178" ca="1" si="177">IF($D$19*12&gt;=AV1115,DATE(YEAR(TODAY()),MONTH(TODAY())+AV1115-1,DAY(TODAY())),IF($D$19*12+1&gt;=AV1115,DATE(YEAR(TODAY()),MONTH(TODAY())+$D$19*12,DAY(TODAY())),""))</f>
        <v/>
      </c>
      <c r="BB1115" s="97" t="str">
        <f t="shared" si="172"/>
        <v/>
      </c>
      <c r="BC1115" s="101" t="str">
        <f t="shared" ref="BC1115:BC1178" ca="1" si="178">IF($D$21*12&gt;=AV1115,DATE(YEAR(TODAY()),MONTH(TODAY())+AV1115-1,DAY(TODAY())),IF($D$21*12+1&gt;=AV1115,DATE(YEAR(TODAY()),MONTH(TODAY())+$D$21*12,DAY(TODAY())),""))</f>
        <v/>
      </c>
      <c r="BD1115" s="100" t="str">
        <f t="shared" si="173"/>
        <v/>
      </c>
      <c r="BE1115" s="103" t="str">
        <f t="shared" ref="BE1115:BE1178" ca="1" si="179">IF($D$23*12&gt;=AV1115,DATE(YEAR(TODAY()),MONTH(TODAY())+AV1115-1,DAY(TODAY())),IF($D$23*12+1&gt;=AV1115,DATE(YEAR(TODAY()),MONTH(TODAY())+$D$23*12,DAY(TODAY())),""))</f>
        <v/>
      </c>
      <c r="BF1115" s="102" t="str">
        <f t="shared" si="174"/>
        <v/>
      </c>
    </row>
    <row r="1116" spans="48:58" hidden="1" x14ac:dyDescent="0.25">
      <c r="AV1116">
        <v>1091</v>
      </c>
      <c r="AW1116" s="94" t="str">
        <f t="shared" ca="1" si="175"/>
        <v/>
      </c>
      <c r="AX1116" s="95" t="str">
        <f t="shared" si="170"/>
        <v/>
      </c>
      <c r="AY1116" s="98" t="str">
        <f t="shared" ca="1" si="176"/>
        <v/>
      </c>
      <c r="AZ1116" s="96" t="str">
        <f t="shared" si="171"/>
        <v/>
      </c>
      <c r="BA1116" s="99" t="str">
        <f t="shared" ca="1" si="177"/>
        <v/>
      </c>
      <c r="BB1116" s="97" t="str">
        <f t="shared" si="172"/>
        <v/>
      </c>
      <c r="BC1116" s="101" t="str">
        <f t="shared" ca="1" si="178"/>
        <v/>
      </c>
      <c r="BD1116" s="100" t="str">
        <f t="shared" si="173"/>
        <v/>
      </c>
      <c r="BE1116" s="103" t="str">
        <f t="shared" ca="1" si="179"/>
        <v/>
      </c>
      <c r="BF1116" s="102" t="str">
        <f t="shared" si="174"/>
        <v/>
      </c>
    </row>
    <row r="1117" spans="48:58" hidden="1" x14ac:dyDescent="0.25">
      <c r="AV1117">
        <v>1092</v>
      </c>
      <c r="AW1117" s="94" t="str">
        <f t="shared" ca="1" si="175"/>
        <v/>
      </c>
      <c r="AX1117" s="95" t="str">
        <f t="shared" si="170"/>
        <v/>
      </c>
      <c r="AY1117" s="98" t="str">
        <f t="shared" ca="1" si="176"/>
        <v/>
      </c>
      <c r="AZ1117" s="96" t="str">
        <f t="shared" si="171"/>
        <v/>
      </c>
      <c r="BA1117" s="99" t="str">
        <f t="shared" ca="1" si="177"/>
        <v/>
      </c>
      <c r="BB1117" s="97" t="str">
        <f t="shared" si="172"/>
        <v/>
      </c>
      <c r="BC1117" s="101" t="str">
        <f t="shared" ca="1" si="178"/>
        <v/>
      </c>
      <c r="BD1117" s="100" t="str">
        <f t="shared" si="173"/>
        <v/>
      </c>
      <c r="BE1117" s="103" t="str">
        <f t="shared" ca="1" si="179"/>
        <v/>
      </c>
      <c r="BF1117" s="102" t="str">
        <f t="shared" si="174"/>
        <v/>
      </c>
    </row>
    <row r="1118" spans="48:58" hidden="1" x14ac:dyDescent="0.25">
      <c r="AV1118">
        <v>1093</v>
      </c>
      <c r="AW1118" s="94" t="str">
        <f t="shared" ca="1" si="175"/>
        <v/>
      </c>
      <c r="AX1118" s="95" t="str">
        <f t="shared" si="170"/>
        <v/>
      </c>
      <c r="AY1118" s="98" t="str">
        <f t="shared" ca="1" si="176"/>
        <v/>
      </c>
      <c r="AZ1118" s="96" t="str">
        <f t="shared" si="171"/>
        <v/>
      </c>
      <c r="BA1118" s="99" t="str">
        <f t="shared" ca="1" si="177"/>
        <v/>
      </c>
      <c r="BB1118" s="97" t="str">
        <f t="shared" si="172"/>
        <v/>
      </c>
      <c r="BC1118" s="101" t="str">
        <f t="shared" ca="1" si="178"/>
        <v/>
      </c>
      <c r="BD1118" s="100" t="str">
        <f t="shared" si="173"/>
        <v/>
      </c>
      <c r="BE1118" s="103" t="str">
        <f t="shared" ca="1" si="179"/>
        <v/>
      </c>
      <c r="BF1118" s="102" t="str">
        <f t="shared" si="174"/>
        <v/>
      </c>
    </row>
    <row r="1119" spans="48:58" hidden="1" x14ac:dyDescent="0.25">
      <c r="AV1119">
        <v>1094</v>
      </c>
      <c r="AW1119" s="94" t="str">
        <f t="shared" ca="1" si="175"/>
        <v/>
      </c>
      <c r="AX1119" s="95" t="str">
        <f t="shared" si="170"/>
        <v/>
      </c>
      <c r="AY1119" s="98" t="str">
        <f t="shared" ca="1" si="176"/>
        <v/>
      </c>
      <c r="AZ1119" s="96" t="str">
        <f t="shared" si="171"/>
        <v/>
      </c>
      <c r="BA1119" s="99" t="str">
        <f t="shared" ca="1" si="177"/>
        <v/>
      </c>
      <c r="BB1119" s="97" t="str">
        <f t="shared" si="172"/>
        <v/>
      </c>
      <c r="BC1119" s="101" t="str">
        <f t="shared" ca="1" si="178"/>
        <v/>
      </c>
      <c r="BD1119" s="100" t="str">
        <f t="shared" si="173"/>
        <v/>
      </c>
      <c r="BE1119" s="103" t="str">
        <f t="shared" ca="1" si="179"/>
        <v/>
      </c>
      <c r="BF1119" s="102" t="str">
        <f t="shared" si="174"/>
        <v/>
      </c>
    </row>
    <row r="1120" spans="48:58" hidden="1" x14ac:dyDescent="0.25">
      <c r="AV1120">
        <v>1095</v>
      </c>
      <c r="AW1120" s="94" t="str">
        <f t="shared" ca="1" si="175"/>
        <v/>
      </c>
      <c r="AX1120" s="95" t="str">
        <f t="shared" si="170"/>
        <v/>
      </c>
      <c r="AY1120" s="98" t="str">
        <f t="shared" ca="1" si="176"/>
        <v/>
      </c>
      <c r="AZ1120" s="96" t="str">
        <f t="shared" si="171"/>
        <v/>
      </c>
      <c r="BA1120" s="99" t="str">
        <f t="shared" ca="1" si="177"/>
        <v/>
      </c>
      <c r="BB1120" s="97" t="str">
        <f t="shared" si="172"/>
        <v/>
      </c>
      <c r="BC1120" s="101" t="str">
        <f t="shared" ca="1" si="178"/>
        <v/>
      </c>
      <c r="BD1120" s="100" t="str">
        <f t="shared" si="173"/>
        <v/>
      </c>
      <c r="BE1120" s="103" t="str">
        <f t="shared" ca="1" si="179"/>
        <v/>
      </c>
      <c r="BF1120" s="102" t="str">
        <f t="shared" si="174"/>
        <v/>
      </c>
    </row>
    <row r="1121" spans="48:58" hidden="1" x14ac:dyDescent="0.25">
      <c r="AV1121">
        <v>1096</v>
      </c>
      <c r="AW1121" s="94" t="str">
        <f t="shared" ca="1" si="175"/>
        <v/>
      </c>
      <c r="AX1121" s="95" t="str">
        <f t="shared" si="170"/>
        <v/>
      </c>
      <c r="AY1121" s="98" t="str">
        <f t="shared" ca="1" si="176"/>
        <v/>
      </c>
      <c r="AZ1121" s="96" t="str">
        <f t="shared" si="171"/>
        <v/>
      </c>
      <c r="BA1121" s="99" t="str">
        <f t="shared" ca="1" si="177"/>
        <v/>
      </c>
      <c r="BB1121" s="97" t="str">
        <f t="shared" si="172"/>
        <v/>
      </c>
      <c r="BC1121" s="101" t="str">
        <f t="shared" ca="1" si="178"/>
        <v/>
      </c>
      <c r="BD1121" s="100" t="str">
        <f t="shared" si="173"/>
        <v/>
      </c>
      <c r="BE1121" s="103" t="str">
        <f t="shared" ca="1" si="179"/>
        <v/>
      </c>
      <c r="BF1121" s="102" t="str">
        <f t="shared" si="174"/>
        <v/>
      </c>
    </row>
    <row r="1122" spans="48:58" hidden="1" x14ac:dyDescent="0.25">
      <c r="AV1122">
        <v>1097</v>
      </c>
      <c r="AW1122" s="94" t="str">
        <f t="shared" ca="1" si="175"/>
        <v/>
      </c>
      <c r="AX1122" s="95" t="str">
        <f t="shared" si="170"/>
        <v/>
      </c>
      <c r="AY1122" s="98" t="str">
        <f t="shared" ca="1" si="176"/>
        <v/>
      </c>
      <c r="AZ1122" s="96" t="str">
        <f t="shared" si="171"/>
        <v/>
      </c>
      <c r="BA1122" s="99" t="str">
        <f t="shared" ca="1" si="177"/>
        <v/>
      </c>
      <c r="BB1122" s="97" t="str">
        <f t="shared" si="172"/>
        <v/>
      </c>
      <c r="BC1122" s="101" t="str">
        <f t="shared" ca="1" si="178"/>
        <v/>
      </c>
      <c r="BD1122" s="100" t="str">
        <f t="shared" si="173"/>
        <v/>
      </c>
      <c r="BE1122" s="103" t="str">
        <f t="shared" ca="1" si="179"/>
        <v/>
      </c>
      <c r="BF1122" s="102" t="str">
        <f t="shared" si="174"/>
        <v/>
      </c>
    </row>
    <row r="1123" spans="48:58" hidden="1" x14ac:dyDescent="0.25">
      <c r="AV1123">
        <v>1098</v>
      </c>
      <c r="AW1123" s="94" t="str">
        <f t="shared" ca="1" si="175"/>
        <v/>
      </c>
      <c r="AX1123" s="95" t="str">
        <f t="shared" si="170"/>
        <v/>
      </c>
      <c r="AY1123" s="98" t="str">
        <f t="shared" ca="1" si="176"/>
        <v/>
      </c>
      <c r="AZ1123" s="96" t="str">
        <f t="shared" si="171"/>
        <v/>
      </c>
      <c r="BA1123" s="99" t="str">
        <f t="shared" ca="1" si="177"/>
        <v/>
      </c>
      <c r="BB1123" s="97" t="str">
        <f t="shared" si="172"/>
        <v/>
      </c>
      <c r="BC1123" s="101" t="str">
        <f t="shared" ca="1" si="178"/>
        <v/>
      </c>
      <c r="BD1123" s="100" t="str">
        <f t="shared" si="173"/>
        <v/>
      </c>
      <c r="BE1123" s="103" t="str">
        <f t="shared" ca="1" si="179"/>
        <v/>
      </c>
      <c r="BF1123" s="102" t="str">
        <f t="shared" si="174"/>
        <v/>
      </c>
    </row>
    <row r="1124" spans="48:58" hidden="1" x14ac:dyDescent="0.25">
      <c r="AV1124">
        <v>1099</v>
      </c>
      <c r="AW1124" s="94" t="str">
        <f t="shared" ca="1" si="175"/>
        <v/>
      </c>
      <c r="AX1124" s="95" t="str">
        <f t="shared" si="170"/>
        <v/>
      </c>
      <c r="AY1124" s="98" t="str">
        <f t="shared" ca="1" si="176"/>
        <v/>
      </c>
      <c r="AZ1124" s="96" t="str">
        <f t="shared" si="171"/>
        <v/>
      </c>
      <c r="BA1124" s="99" t="str">
        <f t="shared" ca="1" si="177"/>
        <v/>
      </c>
      <c r="BB1124" s="97" t="str">
        <f t="shared" si="172"/>
        <v/>
      </c>
      <c r="BC1124" s="101" t="str">
        <f t="shared" ca="1" si="178"/>
        <v/>
      </c>
      <c r="BD1124" s="100" t="str">
        <f t="shared" si="173"/>
        <v/>
      </c>
      <c r="BE1124" s="103" t="str">
        <f t="shared" ca="1" si="179"/>
        <v/>
      </c>
      <c r="BF1124" s="102" t="str">
        <f t="shared" si="174"/>
        <v/>
      </c>
    </row>
    <row r="1125" spans="48:58" hidden="1" x14ac:dyDescent="0.25">
      <c r="AV1125">
        <v>1100</v>
      </c>
      <c r="AW1125" s="94" t="str">
        <f t="shared" ca="1" si="175"/>
        <v/>
      </c>
      <c r="AX1125" s="95" t="str">
        <f t="shared" si="170"/>
        <v/>
      </c>
      <c r="AY1125" s="98" t="str">
        <f t="shared" ca="1" si="176"/>
        <v/>
      </c>
      <c r="AZ1125" s="96" t="str">
        <f t="shared" si="171"/>
        <v/>
      </c>
      <c r="BA1125" s="99" t="str">
        <f t="shared" ca="1" si="177"/>
        <v/>
      </c>
      <c r="BB1125" s="97" t="str">
        <f t="shared" si="172"/>
        <v/>
      </c>
      <c r="BC1125" s="101" t="str">
        <f t="shared" ca="1" si="178"/>
        <v/>
      </c>
      <c r="BD1125" s="100" t="str">
        <f t="shared" si="173"/>
        <v/>
      </c>
      <c r="BE1125" s="103" t="str">
        <f t="shared" ca="1" si="179"/>
        <v/>
      </c>
      <c r="BF1125" s="102" t="str">
        <f t="shared" si="174"/>
        <v/>
      </c>
    </row>
    <row r="1126" spans="48:58" hidden="1" x14ac:dyDescent="0.25">
      <c r="AV1126">
        <v>1101</v>
      </c>
      <c r="AW1126" s="94" t="str">
        <f t="shared" ca="1" si="175"/>
        <v/>
      </c>
      <c r="AX1126" s="95" t="str">
        <f t="shared" si="170"/>
        <v/>
      </c>
      <c r="AY1126" s="98" t="str">
        <f t="shared" ca="1" si="176"/>
        <v/>
      </c>
      <c r="AZ1126" s="96" t="str">
        <f t="shared" si="171"/>
        <v/>
      </c>
      <c r="BA1126" s="99" t="str">
        <f t="shared" ca="1" si="177"/>
        <v/>
      </c>
      <c r="BB1126" s="97" t="str">
        <f t="shared" si="172"/>
        <v/>
      </c>
      <c r="BC1126" s="101" t="str">
        <f t="shared" ca="1" si="178"/>
        <v/>
      </c>
      <c r="BD1126" s="100" t="str">
        <f t="shared" si="173"/>
        <v/>
      </c>
      <c r="BE1126" s="103" t="str">
        <f t="shared" ca="1" si="179"/>
        <v/>
      </c>
      <c r="BF1126" s="102" t="str">
        <f t="shared" si="174"/>
        <v/>
      </c>
    </row>
    <row r="1127" spans="48:58" hidden="1" x14ac:dyDescent="0.25">
      <c r="AV1127">
        <v>1102</v>
      </c>
      <c r="AW1127" s="94" t="str">
        <f t="shared" ca="1" si="175"/>
        <v/>
      </c>
      <c r="AX1127" s="95" t="str">
        <f t="shared" si="170"/>
        <v/>
      </c>
      <c r="AY1127" s="98" t="str">
        <f t="shared" ca="1" si="176"/>
        <v/>
      </c>
      <c r="AZ1127" s="96" t="str">
        <f t="shared" si="171"/>
        <v/>
      </c>
      <c r="BA1127" s="99" t="str">
        <f t="shared" ca="1" si="177"/>
        <v/>
      </c>
      <c r="BB1127" s="97" t="str">
        <f t="shared" si="172"/>
        <v/>
      </c>
      <c r="BC1127" s="101" t="str">
        <f t="shared" ca="1" si="178"/>
        <v/>
      </c>
      <c r="BD1127" s="100" t="str">
        <f t="shared" si="173"/>
        <v/>
      </c>
      <c r="BE1127" s="103" t="str">
        <f t="shared" ca="1" si="179"/>
        <v/>
      </c>
      <c r="BF1127" s="102" t="str">
        <f t="shared" si="174"/>
        <v/>
      </c>
    </row>
    <row r="1128" spans="48:58" hidden="1" x14ac:dyDescent="0.25">
      <c r="AV1128">
        <v>1103</v>
      </c>
      <c r="AW1128" s="94" t="str">
        <f t="shared" ca="1" si="175"/>
        <v/>
      </c>
      <c r="AX1128" s="95" t="str">
        <f t="shared" si="170"/>
        <v/>
      </c>
      <c r="AY1128" s="98" t="str">
        <f t="shared" ca="1" si="176"/>
        <v/>
      </c>
      <c r="AZ1128" s="96" t="str">
        <f t="shared" si="171"/>
        <v/>
      </c>
      <c r="BA1128" s="99" t="str">
        <f t="shared" ca="1" si="177"/>
        <v/>
      </c>
      <c r="BB1128" s="97" t="str">
        <f t="shared" si="172"/>
        <v/>
      </c>
      <c r="BC1128" s="101" t="str">
        <f t="shared" ca="1" si="178"/>
        <v/>
      </c>
      <c r="BD1128" s="100" t="str">
        <f t="shared" si="173"/>
        <v/>
      </c>
      <c r="BE1128" s="103" t="str">
        <f t="shared" ca="1" si="179"/>
        <v/>
      </c>
      <c r="BF1128" s="102" t="str">
        <f t="shared" si="174"/>
        <v/>
      </c>
    </row>
    <row r="1129" spans="48:58" hidden="1" x14ac:dyDescent="0.25">
      <c r="AV1129">
        <v>1104</v>
      </c>
      <c r="AW1129" s="94" t="str">
        <f t="shared" ca="1" si="175"/>
        <v/>
      </c>
      <c r="AX1129" s="95" t="str">
        <f t="shared" si="170"/>
        <v/>
      </c>
      <c r="AY1129" s="98" t="str">
        <f t="shared" ca="1" si="176"/>
        <v/>
      </c>
      <c r="AZ1129" s="96" t="str">
        <f t="shared" si="171"/>
        <v/>
      </c>
      <c r="BA1129" s="99" t="str">
        <f t="shared" ca="1" si="177"/>
        <v/>
      </c>
      <c r="BB1129" s="97" t="str">
        <f t="shared" si="172"/>
        <v/>
      </c>
      <c r="BC1129" s="101" t="str">
        <f t="shared" ca="1" si="178"/>
        <v/>
      </c>
      <c r="BD1129" s="100" t="str">
        <f t="shared" si="173"/>
        <v/>
      </c>
      <c r="BE1129" s="103" t="str">
        <f t="shared" ca="1" si="179"/>
        <v/>
      </c>
      <c r="BF1129" s="102" t="str">
        <f t="shared" si="174"/>
        <v/>
      </c>
    </row>
    <row r="1130" spans="48:58" hidden="1" x14ac:dyDescent="0.25">
      <c r="AV1130">
        <v>1105</v>
      </c>
      <c r="AW1130" s="94" t="str">
        <f t="shared" ca="1" si="175"/>
        <v/>
      </c>
      <c r="AX1130" s="95" t="str">
        <f t="shared" si="170"/>
        <v/>
      </c>
      <c r="AY1130" s="98" t="str">
        <f t="shared" ca="1" si="176"/>
        <v/>
      </c>
      <c r="AZ1130" s="96" t="str">
        <f t="shared" si="171"/>
        <v/>
      </c>
      <c r="BA1130" s="99" t="str">
        <f t="shared" ca="1" si="177"/>
        <v/>
      </c>
      <c r="BB1130" s="97" t="str">
        <f t="shared" si="172"/>
        <v/>
      </c>
      <c r="BC1130" s="101" t="str">
        <f t="shared" ca="1" si="178"/>
        <v/>
      </c>
      <c r="BD1130" s="100" t="str">
        <f t="shared" si="173"/>
        <v/>
      </c>
      <c r="BE1130" s="103" t="str">
        <f t="shared" ca="1" si="179"/>
        <v/>
      </c>
      <c r="BF1130" s="102" t="str">
        <f t="shared" si="174"/>
        <v/>
      </c>
    </row>
    <row r="1131" spans="48:58" hidden="1" x14ac:dyDescent="0.25">
      <c r="AV1131">
        <v>1106</v>
      </c>
      <c r="AW1131" s="94" t="str">
        <f t="shared" ca="1" si="175"/>
        <v/>
      </c>
      <c r="AX1131" s="95" t="str">
        <f t="shared" si="170"/>
        <v/>
      </c>
      <c r="AY1131" s="98" t="str">
        <f t="shared" ca="1" si="176"/>
        <v/>
      </c>
      <c r="AZ1131" s="96" t="str">
        <f t="shared" si="171"/>
        <v/>
      </c>
      <c r="BA1131" s="99" t="str">
        <f t="shared" ca="1" si="177"/>
        <v/>
      </c>
      <c r="BB1131" s="97" t="str">
        <f t="shared" si="172"/>
        <v/>
      </c>
      <c r="BC1131" s="101" t="str">
        <f t="shared" ca="1" si="178"/>
        <v/>
      </c>
      <c r="BD1131" s="100" t="str">
        <f t="shared" si="173"/>
        <v/>
      </c>
      <c r="BE1131" s="103" t="str">
        <f t="shared" ca="1" si="179"/>
        <v/>
      </c>
      <c r="BF1131" s="102" t="str">
        <f t="shared" si="174"/>
        <v/>
      </c>
    </row>
    <row r="1132" spans="48:58" hidden="1" x14ac:dyDescent="0.25">
      <c r="AV1132">
        <v>1107</v>
      </c>
      <c r="AW1132" s="94" t="str">
        <f t="shared" ca="1" si="175"/>
        <v/>
      </c>
      <c r="AX1132" s="95" t="str">
        <f t="shared" si="170"/>
        <v/>
      </c>
      <c r="AY1132" s="98" t="str">
        <f t="shared" ca="1" si="176"/>
        <v/>
      </c>
      <c r="AZ1132" s="96" t="str">
        <f t="shared" si="171"/>
        <v/>
      </c>
      <c r="BA1132" s="99" t="str">
        <f t="shared" ca="1" si="177"/>
        <v/>
      </c>
      <c r="BB1132" s="97" t="str">
        <f t="shared" si="172"/>
        <v/>
      </c>
      <c r="BC1132" s="101" t="str">
        <f t="shared" ca="1" si="178"/>
        <v/>
      </c>
      <c r="BD1132" s="100" t="str">
        <f t="shared" si="173"/>
        <v/>
      </c>
      <c r="BE1132" s="103" t="str">
        <f t="shared" ca="1" si="179"/>
        <v/>
      </c>
      <c r="BF1132" s="102" t="str">
        <f t="shared" si="174"/>
        <v/>
      </c>
    </row>
    <row r="1133" spans="48:58" hidden="1" x14ac:dyDescent="0.25">
      <c r="AV1133">
        <v>1108</v>
      </c>
      <c r="AW1133" s="94" t="str">
        <f t="shared" ca="1" si="175"/>
        <v/>
      </c>
      <c r="AX1133" s="95" t="str">
        <f t="shared" si="170"/>
        <v/>
      </c>
      <c r="AY1133" s="98" t="str">
        <f t="shared" ca="1" si="176"/>
        <v/>
      </c>
      <c r="AZ1133" s="96" t="str">
        <f t="shared" si="171"/>
        <v/>
      </c>
      <c r="BA1133" s="99" t="str">
        <f t="shared" ca="1" si="177"/>
        <v/>
      </c>
      <c r="BB1133" s="97" t="str">
        <f t="shared" si="172"/>
        <v/>
      </c>
      <c r="BC1133" s="101" t="str">
        <f t="shared" ca="1" si="178"/>
        <v/>
      </c>
      <c r="BD1133" s="100" t="str">
        <f t="shared" si="173"/>
        <v/>
      </c>
      <c r="BE1133" s="103" t="str">
        <f t="shared" ca="1" si="179"/>
        <v/>
      </c>
      <c r="BF1133" s="102" t="str">
        <f t="shared" si="174"/>
        <v/>
      </c>
    </row>
    <row r="1134" spans="48:58" hidden="1" x14ac:dyDescent="0.25">
      <c r="AV1134">
        <v>1109</v>
      </c>
      <c r="AW1134" s="94" t="str">
        <f t="shared" ca="1" si="175"/>
        <v/>
      </c>
      <c r="AX1134" s="95" t="str">
        <f t="shared" si="170"/>
        <v/>
      </c>
      <c r="AY1134" s="98" t="str">
        <f t="shared" ca="1" si="176"/>
        <v/>
      </c>
      <c r="AZ1134" s="96" t="str">
        <f t="shared" si="171"/>
        <v/>
      </c>
      <c r="BA1134" s="99" t="str">
        <f t="shared" ca="1" si="177"/>
        <v/>
      </c>
      <c r="BB1134" s="97" t="str">
        <f t="shared" si="172"/>
        <v/>
      </c>
      <c r="BC1134" s="101" t="str">
        <f t="shared" ca="1" si="178"/>
        <v/>
      </c>
      <c r="BD1134" s="100" t="str">
        <f t="shared" si="173"/>
        <v/>
      </c>
      <c r="BE1134" s="103" t="str">
        <f t="shared" ca="1" si="179"/>
        <v/>
      </c>
      <c r="BF1134" s="102" t="str">
        <f t="shared" si="174"/>
        <v/>
      </c>
    </row>
    <row r="1135" spans="48:58" hidden="1" x14ac:dyDescent="0.25">
      <c r="AV1135">
        <v>1110</v>
      </c>
      <c r="AW1135" s="94" t="str">
        <f t="shared" ca="1" si="175"/>
        <v/>
      </c>
      <c r="AX1135" s="95" t="str">
        <f t="shared" si="170"/>
        <v/>
      </c>
      <c r="AY1135" s="98" t="str">
        <f t="shared" ca="1" si="176"/>
        <v/>
      </c>
      <c r="AZ1135" s="96" t="str">
        <f t="shared" si="171"/>
        <v/>
      </c>
      <c r="BA1135" s="99" t="str">
        <f t="shared" ca="1" si="177"/>
        <v/>
      </c>
      <c r="BB1135" s="97" t="str">
        <f t="shared" si="172"/>
        <v/>
      </c>
      <c r="BC1135" s="101" t="str">
        <f t="shared" ca="1" si="178"/>
        <v/>
      </c>
      <c r="BD1135" s="100" t="str">
        <f t="shared" si="173"/>
        <v/>
      </c>
      <c r="BE1135" s="103" t="str">
        <f t="shared" ca="1" si="179"/>
        <v/>
      </c>
      <c r="BF1135" s="102" t="str">
        <f t="shared" si="174"/>
        <v/>
      </c>
    </row>
    <row r="1136" spans="48:58" hidden="1" x14ac:dyDescent="0.25">
      <c r="AV1136">
        <v>1111</v>
      </c>
      <c r="AW1136" s="94" t="str">
        <f t="shared" ca="1" si="175"/>
        <v/>
      </c>
      <c r="AX1136" s="95" t="str">
        <f t="shared" si="170"/>
        <v/>
      </c>
      <c r="AY1136" s="98" t="str">
        <f t="shared" ca="1" si="176"/>
        <v/>
      </c>
      <c r="AZ1136" s="96" t="str">
        <f t="shared" si="171"/>
        <v/>
      </c>
      <c r="BA1136" s="99" t="str">
        <f t="shared" ca="1" si="177"/>
        <v/>
      </c>
      <c r="BB1136" s="97" t="str">
        <f t="shared" si="172"/>
        <v/>
      </c>
      <c r="BC1136" s="101" t="str">
        <f t="shared" ca="1" si="178"/>
        <v/>
      </c>
      <c r="BD1136" s="100" t="str">
        <f t="shared" si="173"/>
        <v/>
      </c>
      <c r="BE1136" s="103" t="str">
        <f t="shared" ca="1" si="179"/>
        <v/>
      </c>
      <c r="BF1136" s="102" t="str">
        <f t="shared" si="174"/>
        <v/>
      </c>
    </row>
    <row r="1137" spans="48:58" hidden="1" x14ac:dyDescent="0.25">
      <c r="AV1137">
        <v>1112</v>
      </c>
      <c r="AW1137" s="94" t="str">
        <f t="shared" ca="1" si="175"/>
        <v/>
      </c>
      <c r="AX1137" s="95" t="str">
        <f t="shared" si="170"/>
        <v/>
      </c>
      <c r="AY1137" s="98" t="str">
        <f t="shared" ca="1" si="176"/>
        <v/>
      </c>
      <c r="AZ1137" s="96" t="str">
        <f t="shared" si="171"/>
        <v/>
      </c>
      <c r="BA1137" s="99" t="str">
        <f t="shared" ca="1" si="177"/>
        <v/>
      </c>
      <c r="BB1137" s="97" t="str">
        <f t="shared" si="172"/>
        <v/>
      </c>
      <c r="BC1137" s="101" t="str">
        <f t="shared" ca="1" si="178"/>
        <v/>
      </c>
      <c r="BD1137" s="100" t="str">
        <f t="shared" si="173"/>
        <v/>
      </c>
      <c r="BE1137" s="103" t="str">
        <f t="shared" ca="1" si="179"/>
        <v/>
      </c>
      <c r="BF1137" s="102" t="str">
        <f t="shared" si="174"/>
        <v/>
      </c>
    </row>
    <row r="1138" spans="48:58" hidden="1" x14ac:dyDescent="0.25">
      <c r="AV1138">
        <v>1113</v>
      </c>
      <c r="AW1138" s="94" t="str">
        <f t="shared" ca="1" si="175"/>
        <v/>
      </c>
      <c r="AX1138" s="95" t="str">
        <f t="shared" si="170"/>
        <v/>
      </c>
      <c r="AY1138" s="98" t="str">
        <f t="shared" ca="1" si="176"/>
        <v/>
      </c>
      <c r="AZ1138" s="96" t="str">
        <f t="shared" si="171"/>
        <v/>
      </c>
      <c r="BA1138" s="99" t="str">
        <f t="shared" ca="1" si="177"/>
        <v/>
      </c>
      <c r="BB1138" s="97" t="str">
        <f t="shared" si="172"/>
        <v/>
      </c>
      <c r="BC1138" s="101" t="str">
        <f t="shared" ca="1" si="178"/>
        <v/>
      </c>
      <c r="BD1138" s="100" t="str">
        <f t="shared" si="173"/>
        <v/>
      </c>
      <c r="BE1138" s="103" t="str">
        <f t="shared" ca="1" si="179"/>
        <v/>
      </c>
      <c r="BF1138" s="102" t="str">
        <f t="shared" si="174"/>
        <v/>
      </c>
    </row>
    <row r="1139" spans="48:58" hidden="1" x14ac:dyDescent="0.25">
      <c r="AV1139">
        <v>1114</v>
      </c>
      <c r="AW1139" s="94" t="str">
        <f t="shared" ca="1" si="175"/>
        <v/>
      </c>
      <c r="AX1139" s="95" t="str">
        <f t="shared" si="170"/>
        <v/>
      </c>
      <c r="AY1139" s="98" t="str">
        <f t="shared" ca="1" si="176"/>
        <v/>
      </c>
      <c r="AZ1139" s="96" t="str">
        <f t="shared" si="171"/>
        <v/>
      </c>
      <c r="BA1139" s="99" t="str">
        <f t="shared" ca="1" si="177"/>
        <v/>
      </c>
      <c r="BB1139" s="97" t="str">
        <f t="shared" si="172"/>
        <v/>
      </c>
      <c r="BC1139" s="101" t="str">
        <f t="shared" ca="1" si="178"/>
        <v/>
      </c>
      <c r="BD1139" s="100" t="str">
        <f t="shared" si="173"/>
        <v/>
      </c>
      <c r="BE1139" s="103" t="str">
        <f t="shared" ca="1" si="179"/>
        <v/>
      </c>
      <c r="BF1139" s="102" t="str">
        <f t="shared" si="174"/>
        <v/>
      </c>
    </row>
    <row r="1140" spans="48:58" hidden="1" x14ac:dyDescent="0.25">
      <c r="AV1140">
        <v>1115</v>
      </c>
      <c r="AW1140" s="94" t="str">
        <f t="shared" ca="1" si="175"/>
        <v/>
      </c>
      <c r="AX1140" s="95" t="str">
        <f t="shared" si="170"/>
        <v/>
      </c>
      <c r="AY1140" s="98" t="str">
        <f t="shared" ca="1" si="176"/>
        <v/>
      </c>
      <c r="AZ1140" s="96" t="str">
        <f t="shared" si="171"/>
        <v/>
      </c>
      <c r="BA1140" s="99" t="str">
        <f t="shared" ca="1" si="177"/>
        <v/>
      </c>
      <c r="BB1140" s="97" t="str">
        <f t="shared" si="172"/>
        <v/>
      </c>
      <c r="BC1140" s="101" t="str">
        <f t="shared" ca="1" si="178"/>
        <v/>
      </c>
      <c r="BD1140" s="100" t="str">
        <f t="shared" si="173"/>
        <v/>
      </c>
      <c r="BE1140" s="103" t="str">
        <f t="shared" ca="1" si="179"/>
        <v/>
      </c>
      <c r="BF1140" s="102" t="str">
        <f t="shared" si="174"/>
        <v/>
      </c>
    </row>
    <row r="1141" spans="48:58" hidden="1" x14ac:dyDescent="0.25">
      <c r="AV1141">
        <v>1116</v>
      </c>
      <c r="AW1141" s="94" t="str">
        <f t="shared" ca="1" si="175"/>
        <v/>
      </c>
      <c r="AX1141" s="95" t="str">
        <f t="shared" si="170"/>
        <v/>
      </c>
      <c r="AY1141" s="98" t="str">
        <f t="shared" ca="1" si="176"/>
        <v/>
      </c>
      <c r="AZ1141" s="96" t="str">
        <f t="shared" si="171"/>
        <v/>
      </c>
      <c r="BA1141" s="99" t="str">
        <f t="shared" ca="1" si="177"/>
        <v/>
      </c>
      <c r="BB1141" s="97" t="str">
        <f t="shared" si="172"/>
        <v/>
      </c>
      <c r="BC1141" s="101" t="str">
        <f t="shared" ca="1" si="178"/>
        <v/>
      </c>
      <c r="BD1141" s="100" t="str">
        <f t="shared" si="173"/>
        <v/>
      </c>
      <c r="BE1141" s="103" t="str">
        <f t="shared" ca="1" si="179"/>
        <v/>
      </c>
      <c r="BF1141" s="102" t="str">
        <f t="shared" si="174"/>
        <v/>
      </c>
    </row>
    <row r="1142" spans="48:58" hidden="1" x14ac:dyDescent="0.25">
      <c r="AV1142">
        <v>1117</v>
      </c>
      <c r="AW1142" s="94" t="str">
        <f t="shared" ca="1" si="175"/>
        <v/>
      </c>
      <c r="AX1142" s="95" t="str">
        <f t="shared" si="170"/>
        <v/>
      </c>
      <c r="AY1142" s="98" t="str">
        <f t="shared" ca="1" si="176"/>
        <v/>
      </c>
      <c r="AZ1142" s="96" t="str">
        <f t="shared" si="171"/>
        <v/>
      </c>
      <c r="BA1142" s="99" t="str">
        <f t="shared" ca="1" si="177"/>
        <v/>
      </c>
      <c r="BB1142" s="97" t="str">
        <f t="shared" si="172"/>
        <v/>
      </c>
      <c r="BC1142" s="101" t="str">
        <f t="shared" ca="1" si="178"/>
        <v/>
      </c>
      <c r="BD1142" s="100" t="str">
        <f t="shared" si="173"/>
        <v/>
      </c>
      <c r="BE1142" s="103" t="str">
        <f t="shared" ca="1" si="179"/>
        <v/>
      </c>
      <c r="BF1142" s="102" t="str">
        <f t="shared" si="174"/>
        <v/>
      </c>
    </row>
    <row r="1143" spans="48:58" hidden="1" x14ac:dyDescent="0.25">
      <c r="AV1143">
        <v>1118</v>
      </c>
      <c r="AW1143" s="94" t="str">
        <f t="shared" ca="1" si="175"/>
        <v/>
      </c>
      <c r="AX1143" s="95" t="str">
        <f t="shared" si="170"/>
        <v/>
      </c>
      <c r="AY1143" s="98" t="str">
        <f t="shared" ca="1" si="176"/>
        <v/>
      </c>
      <c r="AZ1143" s="96" t="str">
        <f t="shared" si="171"/>
        <v/>
      </c>
      <c r="BA1143" s="99" t="str">
        <f t="shared" ca="1" si="177"/>
        <v/>
      </c>
      <c r="BB1143" s="97" t="str">
        <f t="shared" si="172"/>
        <v/>
      </c>
      <c r="BC1143" s="101" t="str">
        <f t="shared" ca="1" si="178"/>
        <v/>
      </c>
      <c r="BD1143" s="100" t="str">
        <f t="shared" si="173"/>
        <v/>
      </c>
      <c r="BE1143" s="103" t="str">
        <f t="shared" ca="1" si="179"/>
        <v/>
      </c>
      <c r="BF1143" s="102" t="str">
        <f t="shared" si="174"/>
        <v/>
      </c>
    </row>
    <row r="1144" spans="48:58" hidden="1" x14ac:dyDescent="0.25">
      <c r="AV1144">
        <v>1119</v>
      </c>
      <c r="AW1144" s="94" t="str">
        <f t="shared" ca="1" si="175"/>
        <v/>
      </c>
      <c r="AX1144" s="95" t="str">
        <f t="shared" si="170"/>
        <v/>
      </c>
      <c r="AY1144" s="98" t="str">
        <f t="shared" ca="1" si="176"/>
        <v/>
      </c>
      <c r="AZ1144" s="96" t="str">
        <f t="shared" si="171"/>
        <v/>
      </c>
      <c r="BA1144" s="99" t="str">
        <f t="shared" ca="1" si="177"/>
        <v/>
      </c>
      <c r="BB1144" s="97" t="str">
        <f t="shared" si="172"/>
        <v/>
      </c>
      <c r="BC1144" s="101" t="str">
        <f t="shared" ca="1" si="178"/>
        <v/>
      </c>
      <c r="BD1144" s="100" t="str">
        <f t="shared" si="173"/>
        <v/>
      </c>
      <c r="BE1144" s="103" t="str">
        <f t="shared" ca="1" si="179"/>
        <v/>
      </c>
      <c r="BF1144" s="102" t="str">
        <f t="shared" si="174"/>
        <v/>
      </c>
    </row>
    <row r="1145" spans="48:58" hidden="1" x14ac:dyDescent="0.25">
      <c r="AV1145">
        <v>1120</v>
      </c>
      <c r="AW1145" s="94" t="str">
        <f t="shared" ca="1" si="175"/>
        <v/>
      </c>
      <c r="AX1145" s="95" t="str">
        <f t="shared" si="170"/>
        <v/>
      </c>
      <c r="AY1145" s="98" t="str">
        <f t="shared" ca="1" si="176"/>
        <v/>
      </c>
      <c r="AZ1145" s="96" t="str">
        <f t="shared" si="171"/>
        <v/>
      </c>
      <c r="BA1145" s="99" t="str">
        <f t="shared" ca="1" si="177"/>
        <v/>
      </c>
      <c r="BB1145" s="97" t="str">
        <f t="shared" si="172"/>
        <v/>
      </c>
      <c r="BC1145" s="101" t="str">
        <f t="shared" ca="1" si="178"/>
        <v/>
      </c>
      <c r="BD1145" s="100" t="str">
        <f t="shared" si="173"/>
        <v/>
      </c>
      <c r="BE1145" s="103" t="str">
        <f t="shared" ca="1" si="179"/>
        <v/>
      </c>
      <c r="BF1145" s="102" t="str">
        <f t="shared" si="174"/>
        <v/>
      </c>
    </row>
    <row r="1146" spans="48:58" hidden="1" x14ac:dyDescent="0.25">
      <c r="AV1146">
        <v>1121</v>
      </c>
      <c r="AW1146" s="94" t="str">
        <f t="shared" ca="1" si="175"/>
        <v/>
      </c>
      <c r="AX1146" s="95" t="str">
        <f t="shared" si="170"/>
        <v/>
      </c>
      <c r="AY1146" s="98" t="str">
        <f t="shared" ca="1" si="176"/>
        <v/>
      </c>
      <c r="AZ1146" s="96" t="str">
        <f t="shared" si="171"/>
        <v/>
      </c>
      <c r="BA1146" s="99" t="str">
        <f t="shared" ca="1" si="177"/>
        <v/>
      </c>
      <c r="BB1146" s="97" t="str">
        <f t="shared" si="172"/>
        <v/>
      </c>
      <c r="BC1146" s="101" t="str">
        <f t="shared" ca="1" si="178"/>
        <v/>
      </c>
      <c r="BD1146" s="100" t="str">
        <f t="shared" si="173"/>
        <v/>
      </c>
      <c r="BE1146" s="103" t="str">
        <f t="shared" ca="1" si="179"/>
        <v/>
      </c>
      <c r="BF1146" s="102" t="str">
        <f t="shared" si="174"/>
        <v/>
      </c>
    </row>
    <row r="1147" spans="48:58" hidden="1" x14ac:dyDescent="0.25">
      <c r="AV1147">
        <v>1122</v>
      </c>
      <c r="AW1147" s="94" t="str">
        <f t="shared" ca="1" si="175"/>
        <v/>
      </c>
      <c r="AX1147" s="95" t="str">
        <f t="shared" si="170"/>
        <v/>
      </c>
      <c r="AY1147" s="98" t="str">
        <f t="shared" ca="1" si="176"/>
        <v/>
      </c>
      <c r="AZ1147" s="96" t="str">
        <f t="shared" si="171"/>
        <v/>
      </c>
      <c r="BA1147" s="99" t="str">
        <f t="shared" ca="1" si="177"/>
        <v/>
      </c>
      <c r="BB1147" s="97" t="str">
        <f t="shared" si="172"/>
        <v/>
      </c>
      <c r="BC1147" s="101" t="str">
        <f t="shared" ca="1" si="178"/>
        <v/>
      </c>
      <c r="BD1147" s="100" t="str">
        <f t="shared" si="173"/>
        <v/>
      </c>
      <c r="BE1147" s="103" t="str">
        <f t="shared" ca="1" si="179"/>
        <v/>
      </c>
      <c r="BF1147" s="102" t="str">
        <f t="shared" si="174"/>
        <v/>
      </c>
    </row>
    <row r="1148" spans="48:58" hidden="1" x14ac:dyDescent="0.25">
      <c r="AV1148">
        <v>1123</v>
      </c>
      <c r="AW1148" s="94" t="str">
        <f t="shared" ca="1" si="175"/>
        <v/>
      </c>
      <c r="AX1148" s="95" t="str">
        <f t="shared" si="170"/>
        <v/>
      </c>
      <c r="AY1148" s="98" t="str">
        <f t="shared" ca="1" si="176"/>
        <v/>
      </c>
      <c r="AZ1148" s="96" t="str">
        <f t="shared" si="171"/>
        <v/>
      </c>
      <c r="BA1148" s="99" t="str">
        <f t="shared" ca="1" si="177"/>
        <v/>
      </c>
      <c r="BB1148" s="97" t="str">
        <f t="shared" si="172"/>
        <v/>
      </c>
      <c r="BC1148" s="101" t="str">
        <f t="shared" ca="1" si="178"/>
        <v/>
      </c>
      <c r="BD1148" s="100" t="str">
        <f t="shared" si="173"/>
        <v/>
      </c>
      <c r="BE1148" s="103" t="str">
        <f t="shared" ca="1" si="179"/>
        <v/>
      </c>
      <c r="BF1148" s="102" t="str">
        <f t="shared" si="174"/>
        <v/>
      </c>
    </row>
    <row r="1149" spans="48:58" hidden="1" x14ac:dyDescent="0.25">
      <c r="AV1149">
        <v>1124</v>
      </c>
      <c r="AW1149" s="94" t="str">
        <f t="shared" ca="1" si="175"/>
        <v/>
      </c>
      <c r="AX1149" s="95" t="str">
        <f t="shared" si="170"/>
        <v/>
      </c>
      <c r="AY1149" s="98" t="str">
        <f t="shared" ca="1" si="176"/>
        <v/>
      </c>
      <c r="AZ1149" s="96" t="str">
        <f t="shared" si="171"/>
        <v/>
      </c>
      <c r="BA1149" s="99" t="str">
        <f t="shared" ca="1" si="177"/>
        <v/>
      </c>
      <c r="BB1149" s="97" t="str">
        <f t="shared" si="172"/>
        <v/>
      </c>
      <c r="BC1149" s="101" t="str">
        <f t="shared" ca="1" si="178"/>
        <v/>
      </c>
      <c r="BD1149" s="100" t="str">
        <f t="shared" si="173"/>
        <v/>
      </c>
      <c r="BE1149" s="103" t="str">
        <f t="shared" ca="1" si="179"/>
        <v/>
      </c>
      <c r="BF1149" s="102" t="str">
        <f t="shared" si="174"/>
        <v/>
      </c>
    </row>
    <row r="1150" spans="48:58" hidden="1" x14ac:dyDescent="0.25">
      <c r="AV1150">
        <v>1125</v>
      </c>
      <c r="AW1150" s="94" t="str">
        <f t="shared" ca="1" si="175"/>
        <v/>
      </c>
      <c r="AX1150" s="95" t="str">
        <f t="shared" si="170"/>
        <v/>
      </c>
      <c r="AY1150" s="98" t="str">
        <f t="shared" ca="1" si="176"/>
        <v/>
      </c>
      <c r="AZ1150" s="96" t="str">
        <f t="shared" si="171"/>
        <v/>
      </c>
      <c r="BA1150" s="99" t="str">
        <f t="shared" ca="1" si="177"/>
        <v/>
      </c>
      <c r="BB1150" s="97" t="str">
        <f t="shared" si="172"/>
        <v/>
      </c>
      <c r="BC1150" s="101" t="str">
        <f t="shared" ca="1" si="178"/>
        <v/>
      </c>
      <c r="BD1150" s="100" t="str">
        <f t="shared" si="173"/>
        <v/>
      </c>
      <c r="BE1150" s="103" t="str">
        <f t="shared" ca="1" si="179"/>
        <v/>
      </c>
      <c r="BF1150" s="102" t="str">
        <f t="shared" si="174"/>
        <v/>
      </c>
    </row>
    <row r="1151" spans="48:58" hidden="1" x14ac:dyDescent="0.25">
      <c r="AV1151">
        <v>1126</v>
      </c>
      <c r="AW1151" s="94" t="str">
        <f t="shared" ca="1" si="175"/>
        <v/>
      </c>
      <c r="AX1151" s="95" t="str">
        <f t="shared" si="170"/>
        <v/>
      </c>
      <c r="AY1151" s="98" t="str">
        <f t="shared" ca="1" si="176"/>
        <v/>
      </c>
      <c r="AZ1151" s="96" t="str">
        <f t="shared" si="171"/>
        <v/>
      </c>
      <c r="BA1151" s="99" t="str">
        <f t="shared" ca="1" si="177"/>
        <v/>
      </c>
      <c r="BB1151" s="97" t="str">
        <f t="shared" si="172"/>
        <v/>
      </c>
      <c r="BC1151" s="101" t="str">
        <f t="shared" ca="1" si="178"/>
        <v/>
      </c>
      <c r="BD1151" s="100" t="str">
        <f t="shared" si="173"/>
        <v/>
      </c>
      <c r="BE1151" s="103" t="str">
        <f t="shared" ca="1" si="179"/>
        <v/>
      </c>
      <c r="BF1151" s="102" t="str">
        <f t="shared" si="174"/>
        <v/>
      </c>
    </row>
    <row r="1152" spans="48:58" hidden="1" x14ac:dyDescent="0.25">
      <c r="AV1152">
        <v>1127</v>
      </c>
      <c r="AW1152" s="94" t="str">
        <f t="shared" ca="1" si="175"/>
        <v/>
      </c>
      <c r="AX1152" s="95" t="str">
        <f t="shared" si="170"/>
        <v/>
      </c>
      <c r="AY1152" s="98" t="str">
        <f t="shared" ca="1" si="176"/>
        <v/>
      </c>
      <c r="AZ1152" s="96" t="str">
        <f t="shared" si="171"/>
        <v/>
      </c>
      <c r="BA1152" s="99" t="str">
        <f t="shared" ca="1" si="177"/>
        <v/>
      </c>
      <c r="BB1152" s="97" t="str">
        <f t="shared" si="172"/>
        <v/>
      </c>
      <c r="BC1152" s="101" t="str">
        <f t="shared" ca="1" si="178"/>
        <v/>
      </c>
      <c r="BD1152" s="100" t="str">
        <f t="shared" si="173"/>
        <v/>
      </c>
      <c r="BE1152" s="103" t="str">
        <f t="shared" ca="1" si="179"/>
        <v/>
      </c>
      <c r="BF1152" s="102" t="str">
        <f t="shared" si="174"/>
        <v/>
      </c>
    </row>
    <row r="1153" spans="48:58" hidden="1" x14ac:dyDescent="0.25">
      <c r="AV1153">
        <v>1128</v>
      </c>
      <c r="AW1153" s="94" t="str">
        <f t="shared" ca="1" si="175"/>
        <v/>
      </c>
      <c r="AX1153" s="95" t="str">
        <f t="shared" si="170"/>
        <v/>
      </c>
      <c r="AY1153" s="98" t="str">
        <f t="shared" ca="1" si="176"/>
        <v/>
      </c>
      <c r="AZ1153" s="96" t="str">
        <f t="shared" si="171"/>
        <v/>
      </c>
      <c r="BA1153" s="99" t="str">
        <f t="shared" ca="1" si="177"/>
        <v/>
      </c>
      <c r="BB1153" s="97" t="str">
        <f t="shared" si="172"/>
        <v/>
      </c>
      <c r="BC1153" s="101" t="str">
        <f t="shared" ca="1" si="178"/>
        <v/>
      </c>
      <c r="BD1153" s="100" t="str">
        <f t="shared" si="173"/>
        <v/>
      </c>
      <c r="BE1153" s="103" t="str">
        <f t="shared" ca="1" si="179"/>
        <v/>
      </c>
      <c r="BF1153" s="102" t="str">
        <f t="shared" si="174"/>
        <v/>
      </c>
    </row>
    <row r="1154" spans="48:58" hidden="1" x14ac:dyDescent="0.25">
      <c r="AV1154">
        <v>1129</v>
      </c>
      <c r="AW1154" s="94" t="str">
        <f t="shared" ca="1" si="175"/>
        <v/>
      </c>
      <c r="AX1154" s="95" t="str">
        <f t="shared" si="170"/>
        <v/>
      </c>
      <c r="AY1154" s="98" t="str">
        <f t="shared" ca="1" si="176"/>
        <v/>
      </c>
      <c r="AZ1154" s="96" t="str">
        <f t="shared" si="171"/>
        <v/>
      </c>
      <c r="BA1154" s="99" t="str">
        <f t="shared" ca="1" si="177"/>
        <v/>
      </c>
      <c r="BB1154" s="97" t="str">
        <f t="shared" si="172"/>
        <v/>
      </c>
      <c r="BC1154" s="101" t="str">
        <f t="shared" ca="1" si="178"/>
        <v/>
      </c>
      <c r="BD1154" s="100" t="str">
        <f t="shared" si="173"/>
        <v/>
      </c>
      <c r="BE1154" s="103" t="str">
        <f t="shared" ca="1" si="179"/>
        <v/>
      </c>
      <c r="BF1154" s="102" t="str">
        <f t="shared" si="174"/>
        <v/>
      </c>
    </row>
    <row r="1155" spans="48:58" hidden="1" x14ac:dyDescent="0.25">
      <c r="AV1155">
        <v>1130</v>
      </c>
      <c r="AW1155" s="94" t="str">
        <f t="shared" ca="1" si="175"/>
        <v/>
      </c>
      <c r="AX1155" s="95" t="str">
        <f t="shared" si="170"/>
        <v/>
      </c>
      <c r="AY1155" s="98" t="str">
        <f t="shared" ca="1" si="176"/>
        <v/>
      </c>
      <c r="AZ1155" s="96" t="str">
        <f t="shared" si="171"/>
        <v/>
      </c>
      <c r="BA1155" s="99" t="str">
        <f t="shared" ca="1" si="177"/>
        <v/>
      </c>
      <c r="BB1155" s="97" t="str">
        <f t="shared" si="172"/>
        <v/>
      </c>
      <c r="BC1155" s="101" t="str">
        <f t="shared" ca="1" si="178"/>
        <v/>
      </c>
      <c r="BD1155" s="100" t="str">
        <f t="shared" si="173"/>
        <v/>
      </c>
      <c r="BE1155" s="103" t="str">
        <f t="shared" ca="1" si="179"/>
        <v/>
      </c>
      <c r="BF1155" s="102" t="str">
        <f t="shared" si="174"/>
        <v/>
      </c>
    </row>
    <row r="1156" spans="48:58" hidden="1" x14ac:dyDescent="0.25">
      <c r="AV1156">
        <v>1131</v>
      </c>
      <c r="AW1156" s="94" t="str">
        <f t="shared" ca="1" si="175"/>
        <v/>
      </c>
      <c r="AX1156" s="95" t="str">
        <f t="shared" si="170"/>
        <v/>
      </c>
      <c r="AY1156" s="98" t="str">
        <f t="shared" ca="1" si="176"/>
        <v/>
      </c>
      <c r="AZ1156" s="96" t="str">
        <f t="shared" si="171"/>
        <v/>
      </c>
      <c r="BA1156" s="99" t="str">
        <f t="shared" ca="1" si="177"/>
        <v/>
      </c>
      <c r="BB1156" s="97" t="str">
        <f t="shared" si="172"/>
        <v/>
      </c>
      <c r="BC1156" s="101" t="str">
        <f t="shared" ca="1" si="178"/>
        <v/>
      </c>
      <c r="BD1156" s="100" t="str">
        <f t="shared" si="173"/>
        <v/>
      </c>
      <c r="BE1156" s="103" t="str">
        <f t="shared" ca="1" si="179"/>
        <v/>
      </c>
      <c r="BF1156" s="102" t="str">
        <f t="shared" si="174"/>
        <v/>
      </c>
    </row>
    <row r="1157" spans="48:58" hidden="1" x14ac:dyDescent="0.25">
      <c r="AV1157">
        <v>1132</v>
      </c>
      <c r="AW1157" s="94" t="str">
        <f t="shared" ca="1" si="175"/>
        <v/>
      </c>
      <c r="AX1157" s="95" t="str">
        <f t="shared" si="170"/>
        <v/>
      </c>
      <c r="AY1157" s="98" t="str">
        <f t="shared" ca="1" si="176"/>
        <v/>
      </c>
      <c r="AZ1157" s="96" t="str">
        <f t="shared" si="171"/>
        <v/>
      </c>
      <c r="BA1157" s="99" t="str">
        <f t="shared" ca="1" si="177"/>
        <v/>
      </c>
      <c r="BB1157" s="97" t="str">
        <f t="shared" si="172"/>
        <v/>
      </c>
      <c r="BC1157" s="101" t="str">
        <f t="shared" ca="1" si="178"/>
        <v/>
      </c>
      <c r="BD1157" s="100" t="str">
        <f t="shared" si="173"/>
        <v/>
      </c>
      <c r="BE1157" s="103" t="str">
        <f t="shared" ca="1" si="179"/>
        <v/>
      </c>
      <c r="BF1157" s="102" t="str">
        <f t="shared" si="174"/>
        <v/>
      </c>
    </row>
    <row r="1158" spans="48:58" hidden="1" x14ac:dyDescent="0.25">
      <c r="AV1158">
        <v>1133</v>
      </c>
      <c r="AW1158" s="94" t="str">
        <f t="shared" ca="1" si="175"/>
        <v/>
      </c>
      <c r="AX1158" s="95" t="str">
        <f t="shared" si="170"/>
        <v/>
      </c>
      <c r="AY1158" s="98" t="str">
        <f t="shared" ca="1" si="176"/>
        <v/>
      </c>
      <c r="AZ1158" s="96" t="str">
        <f t="shared" si="171"/>
        <v/>
      </c>
      <c r="BA1158" s="99" t="str">
        <f t="shared" ca="1" si="177"/>
        <v/>
      </c>
      <c r="BB1158" s="97" t="str">
        <f t="shared" si="172"/>
        <v/>
      </c>
      <c r="BC1158" s="101" t="str">
        <f t="shared" ca="1" si="178"/>
        <v/>
      </c>
      <c r="BD1158" s="100" t="str">
        <f t="shared" si="173"/>
        <v/>
      </c>
      <c r="BE1158" s="103" t="str">
        <f t="shared" ca="1" si="179"/>
        <v/>
      </c>
      <c r="BF1158" s="102" t="str">
        <f t="shared" si="174"/>
        <v/>
      </c>
    </row>
    <row r="1159" spans="48:58" hidden="1" x14ac:dyDescent="0.25">
      <c r="AV1159">
        <v>1134</v>
      </c>
      <c r="AW1159" s="94" t="str">
        <f t="shared" ca="1" si="175"/>
        <v/>
      </c>
      <c r="AX1159" s="95" t="str">
        <f t="shared" si="170"/>
        <v/>
      </c>
      <c r="AY1159" s="98" t="str">
        <f t="shared" ca="1" si="176"/>
        <v/>
      </c>
      <c r="AZ1159" s="96" t="str">
        <f t="shared" si="171"/>
        <v/>
      </c>
      <c r="BA1159" s="99" t="str">
        <f t="shared" ca="1" si="177"/>
        <v/>
      </c>
      <c r="BB1159" s="97" t="str">
        <f t="shared" si="172"/>
        <v/>
      </c>
      <c r="BC1159" s="101" t="str">
        <f t="shared" ca="1" si="178"/>
        <v/>
      </c>
      <c r="BD1159" s="100" t="str">
        <f t="shared" si="173"/>
        <v/>
      </c>
      <c r="BE1159" s="103" t="str">
        <f t="shared" ca="1" si="179"/>
        <v/>
      </c>
      <c r="BF1159" s="102" t="str">
        <f t="shared" si="174"/>
        <v/>
      </c>
    </row>
    <row r="1160" spans="48:58" hidden="1" x14ac:dyDescent="0.25">
      <c r="AV1160">
        <v>1135</v>
      </c>
      <c r="AW1160" s="94" t="str">
        <f t="shared" ca="1" si="175"/>
        <v/>
      </c>
      <c r="AX1160" s="95" t="str">
        <f t="shared" si="170"/>
        <v/>
      </c>
      <c r="AY1160" s="98" t="str">
        <f t="shared" ca="1" si="176"/>
        <v/>
      </c>
      <c r="AZ1160" s="96" t="str">
        <f t="shared" si="171"/>
        <v/>
      </c>
      <c r="BA1160" s="99" t="str">
        <f t="shared" ca="1" si="177"/>
        <v/>
      </c>
      <c r="BB1160" s="97" t="str">
        <f t="shared" si="172"/>
        <v/>
      </c>
      <c r="BC1160" s="101" t="str">
        <f t="shared" ca="1" si="178"/>
        <v/>
      </c>
      <c r="BD1160" s="100" t="str">
        <f t="shared" si="173"/>
        <v/>
      </c>
      <c r="BE1160" s="103" t="str">
        <f t="shared" ca="1" si="179"/>
        <v/>
      </c>
      <c r="BF1160" s="102" t="str">
        <f t="shared" si="174"/>
        <v/>
      </c>
    </row>
    <row r="1161" spans="48:58" hidden="1" x14ac:dyDescent="0.25">
      <c r="AV1161">
        <v>1136</v>
      </c>
      <c r="AW1161" s="94" t="str">
        <f t="shared" ca="1" si="175"/>
        <v/>
      </c>
      <c r="AX1161" s="95" t="str">
        <f t="shared" si="170"/>
        <v/>
      </c>
      <c r="AY1161" s="98" t="str">
        <f t="shared" ca="1" si="176"/>
        <v/>
      </c>
      <c r="AZ1161" s="96" t="str">
        <f t="shared" si="171"/>
        <v/>
      </c>
      <c r="BA1161" s="99" t="str">
        <f t="shared" ca="1" si="177"/>
        <v/>
      </c>
      <c r="BB1161" s="97" t="str">
        <f t="shared" si="172"/>
        <v/>
      </c>
      <c r="BC1161" s="101" t="str">
        <f t="shared" ca="1" si="178"/>
        <v/>
      </c>
      <c r="BD1161" s="100" t="str">
        <f t="shared" si="173"/>
        <v/>
      </c>
      <c r="BE1161" s="103" t="str">
        <f t="shared" ca="1" si="179"/>
        <v/>
      </c>
      <c r="BF1161" s="102" t="str">
        <f t="shared" si="174"/>
        <v/>
      </c>
    </row>
    <row r="1162" spans="48:58" hidden="1" x14ac:dyDescent="0.25">
      <c r="AV1162">
        <v>1137</v>
      </c>
      <c r="AW1162" s="94" t="str">
        <f t="shared" ca="1" si="175"/>
        <v/>
      </c>
      <c r="AX1162" s="95" t="str">
        <f t="shared" si="170"/>
        <v/>
      </c>
      <c r="AY1162" s="98" t="str">
        <f t="shared" ca="1" si="176"/>
        <v/>
      </c>
      <c r="AZ1162" s="96" t="str">
        <f t="shared" si="171"/>
        <v/>
      </c>
      <c r="BA1162" s="99" t="str">
        <f t="shared" ca="1" si="177"/>
        <v/>
      </c>
      <c r="BB1162" s="97" t="str">
        <f t="shared" si="172"/>
        <v/>
      </c>
      <c r="BC1162" s="101" t="str">
        <f t="shared" ca="1" si="178"/>
        <v/>
      </c>
      <c r="BD1162" s="100" t="str">
        <f t="shared" si="173"/>
        <v/>
      </c>
      <c r="BE1162" s="103" t="str">
        <f t="shared" ca="1" si="179"/>
        <v/>
      </c>
      <c r="BF1162" s="102" t="str">
        <f t="shared" si="174"/>
        <v/>
      </c>
    </row>
    <row r="1163" spans="48:58" hidden="1" x14ac:dyDescent="0.25">
      <c r="AV1163">
        <v>1138</v>
      </c>
      <c r="AW1163" s="94" t="str">
        <f t="shared" ca="1" si="175"/>
        <v/>
      </c>
      <c r="AX1163" s="95" t="str">
        <f t="shared" si="170"/>
        <v/>
      </c>
      <c r="AY1163" s="98" t="str">
        <f t="shared" ca="1" si="176"/>
        <v/>
      </c>
      <c r="AZ1163" s="96" t="str">
        <f t="shared" si="171"/>
        <v/>
      </c>
      <c r="BA1163" s="99" t="str">
        <f t="shared" ca="1" si="177"/>
        <v/>
      </c>
      <c r="BB1163" s="97" t="str">
        <f t="shared" si="172"/>
        <v/>
      </c>
      <c r="BC1163" s="101" t="str">
        <f t="shared" ca="1" si="178"/>
        <v/>
      </c>
      <c r="BD1163" s="100" t="str">
        <f t="shared" si="173"/>
        <v/>
      </c>
      <c r="BE1163" s="103" t="str">
        <f t="shared" ca="1" si="179"/>
        <v/>
      </c>
      <c r="BF1163" s="102" t="str">
        <f t="shared" si="174"/>
        <v/>
      </c>
    </row>
    <row r="1164" spans="48:58" hidden="1" x14ac:dyDescent="0.25">
      <c r="AV1164">
        <v>1139</v>
      </c>
      <c r="AW1164" s="94" t="str">
        <f t="shared" ca="1" si="175"/>
        <v/>
      </c>
      <c r="AX1164" s="95" t="str">
        <f t="shared" si="170"/>
        <v/>
      </c>
      <c r="AY1164" s="98" t="str">
        <f t="shared" ca="1" si="176"/>
        <v/>
      </c>
      <c r="AZ1164" s="96" t="str">
        <f t="shared" si="171"/>
        <v/>
      </c>
      <c r="BA1164" s="99" t="str">
        <f t="shared" ca="1" si="177"/>
        <v/>
      </c>
      <c r="BB1164" s="97" t="str">
        <f t="shared" si="172"/>
        <v/>
      </c>
      <c r="BC1164" s="101" t="str">
        <f t="shared" ca="1" si="178"/>
        <v/>
      </c>
      <c r="BD1164" s="100" t="str">
        <f t="shared" si="173"/>
        <v/>
      </c>
      <c r="BE1164" s="103" t="str">
        <f t="shared" ca="1" si="179"/>
        <v/>
      </c>
      <c r="BF1164" s="102" t="str">
        <f t="shared" si="174"/>
        <v/>
      </c>
    </row>
    <row r="1165" spans="48:58" hidden="1" x14ac:dyDescent="0.25">
      <c r="AV1165">
        <v>1140</v>
      </c>
      <c r="AW1165" s="94" t="str">
        <f t="shared" ca="1" si="175"/>
        <v/>
      </c>
      <c r="AX1165" s="95" t="str">
        <f t="shared" si="170"/>
        <v/>
      </c>
      <c r="AY1165" s="98" t="str">
        <f t="shared" ca="1" si="176"/>
        <v/>
      </c>
      <c r="AZ1165" s="96" t="str">
        <f t="shared" si="171"/>
        <v/>
      </c>
      <c r="BA1165" s="99" t="str">
        <f t="shared" ca="1" si="177"/>
        <v/>
      </c>
      <c r="BB1165" s="97" t="str">
        <f t="shared" si="172"/>
        <v/>
      </c>
      <c r="BC1165" s="101" t="str">
        <f t="shared" ca="1" si="178"/>
        <v/>
      </c>
      <c r="BD1165" s="100" t="str">
        <f t="shared" si="173"/>
        <v/>
      </c>
      <c r="BE1165" s="103" t="str">
        <f t="shared" ca="1" si="179"/>
        <v/>
      </c>
      <c r="BF1165" s="102" t="str">
        <f t="shared" si="174"/>
        <v/>
      </c>
    </row>
    <row r="1166" spans="48:58" hidden="1" x14ac:dyDescent="0.25">
      <c r="AV1166">
        <v>1141</v>
      </c>
      <c r="AW1166" s="94" t="str">
        <f t="shared" ca="1" si="175"/>
        <v/>
      </c>
      <c r="AX1166" s="95" t="str">
        <f t="shared" si="170"/>
        <v/>
      </c>
      <c r="AY1166" s="98" t="str">
        <f t="shared" ca="1" si="176"/>
        <v/>
      </c>
      <c r="AZ1166" s="96" t="str">
        <f t="shared" si="171"/>
        <v/>
      </c>
      <c r="BA1166" s="99" t="str">
        <f t="shared" ca="1" si="177"/>
        <v/>
      </c>
      <c r="BB1166" s="97" t="str">
        <f t="shared" si="172"/>
        <v/>
      </c>
      <c r="BC1166" s="101" t="str">
        <f t="shared" ca="1" si="178"/>
        <v/>
      </c>
      <c r="BD1166" s="100" t="str">
        <f t="shared" si="173"/>
        <v/>
      </c>
      <c r="BE1166" s="103" t="str">
        <f t="shared" ca="1" si="179"/>
        <v/>
      </c>
      <c r="BF1166" s="102" t="str">
        <f t="shared" si="174"/>
        <v/>
      </c>
    </row>
    <row r="1167" spans="48:58" hidden="1" x14ac:dyDescent="0.25">
      <c r="AV1167">
        <v>1142</v>
      </c>
      <c r="AW1167" s="94" t="str">
        <f t="shared" ca="1" si="175"/>
        <v/>
      </c>
      <c r="AX1167" s="95" t="str">
        <f t="shared" si="170"/>
        <v/>
      </c>
      <c r="AY1167" s="98" t="str">
        <f t="shared" ca="1" si="176"/>
        <v/>
      </c>
      <c r="AZ1167" s="96" t="str">
        <f t="shared" si="171"/>
        <v/>
      </c>
      <c r="BA1167" s="99" t="str">
        <f t="shared" ca="1" si="177"/>
        <v/>
      </c>
      <c r="BB1167" s="97" t="str">
        <f t="shared" si="172"/>
        <v/>
      </c>
      <c r="BC1167" s="101" t="str">
        <f t="shared" ca="1" si="178"/>
        <v/>
      </c>
      <c r="BD1167" s="100" t="str">
        <f t="shared" si="173"/>
        <v/>
      </c>
      <c r="BE1167" s="103" t="str">
        <f t="shared" ca="1" si="179"/>
        <v/>
      </c>
      <c r="BF1167" s="102" t="str">
        <f t="shared" si="174"/>
        <v/>
      </c>
    </row>
    <row r="1168" spans="48:58" hidden="1" x14ac:dyDescent="0.25">
      <c r="AV1168">
        <v>1143</v>
      </c>
      <c r="AW1168" s="94" t="str">
        <f t="shared" ca="1" si="175"/>
        <v/>
      </c>
      <c r="AX1168" s="95" t="str">
        <f t="shared" si="170"/>
        <v/>
      </c>
      <c r="AY1168" s="98" t="str">
        <f t="shared" ca="1" si="176"/>
        <v/>
      </c>
      <c r="AZ1168" s="96" t="str">
        <f t="shared" si="171"/>
        <v/>
      </c>
      <c r="BA1168" s="99" t="str">
        <f t="shared" ca="1" si="177"/>
        <v/>
      </c>
      <c r="BB1168" s="97" t="str">
        <f t="shared" si="172"/>
        <v/>
      </c>
      <c r="BC1168" s="101" t="str">
        <f t="shared" ca="1" si="178"/>
        <v/>
      </c>
      <c r="BD1168" s="100" t="str">
        <f t="shared" si="173"/>
        <v/>
      </c>
      <c r="BE1168" s="103" t="str">
        <f t="shared" ca="1" si="179"/>
        <v/>
      </c>
      <c r="BF1168" s="102" t="str">
        <f t="shared" si="174"/>
        <v/>
      </c>
    </row>
    <row r="1169" spans="48:58" hidden="1" x14ac:dyDescent="0.25">
      <c r="AV1169">
        <v>1144</v>
      </c>
      <c r="AW1169" s="94" t="str">
        <f t="shared" ca="1" si="175"/>
        <v/>
      </c>
      <c r="AX1169" s="95" t="str">
        <f t="shared" si="170"/>
        <v/>
      </c>
      <c r="AY1169" s="98" t="str">
        <f t="shared" ca="1" si="176"/>
        <v/>
      </c>
      <c r="AZ1169" s="96" t="str">
        <f t="shared" si="171"/>
        <v/>
      </c>
      <c r="BA1169" s="99" t="str">
        <f t="shared" ca="1" si="177"/>
        <v/>
      </c>
      <c r="BB1169" s="97" t="str">
        <f t="shared" si="172"/>
        <v/>
      </c>
      <c r="BC1169" s="101" t="str">
        <f t="shared" ca="1" si="178"/>
        <v/>
      </c>
      <c r="BD1169" s="100" t="str">
        <f t="shared" si="173"/>
        <v/>
      </c>
      <c r="BE1169" s="103" t="str">
        <f t="shared" ca="1" si="179"/>
        <v/>
      </c>
      <c r="BF1169" s="102" t="str">
        <f t="shared" si="174"/>
        <v/>
      </c>
    </row>
    <row r="1170" spans="48:58" hidden="1" x14ac:dyDescent="0.25">
      <c r="AV1170">
        <v>1145</v>
      </c>
      <c r="AW1170" s="94" t="str">
        <f t="shared" ca="1" si="175"/>
        <v/>
      </c>
      <c r="AX1170" s="95" t="str">
        <f t="shared" si="170"/>
        <v/>
      </c>
      <c r="AY1170" s="98" t="str">
        <f t="shared" ca="1" si="176"/>
        <v/>
      </c>
      <c r="AZ1170" s="96" t="str">
        <f t="shared" si="171"/>
        <v/>
      </c>
      <c r="BA1170" s="99" t="str">
        <f t="shared" ca="1" si="177"/>
        <v/>
      </c>
      <c r="BB1170" s="97" t="str">
        <f t="shared" si="172"/>
        <v/>
      </c>
      <c r="BC1170" s="101" t="str">
        <f t="shared" ca="1" si="178"/>
        <v/>
      </c>
      <c r="BD1170" s="100" t="str">
        <f t="shared" si="173"/>
        <v/>
      </c>
      <c r="BE1170" s="103" t="str">
        <f t="shared" ca="1" si="179"/>
        <v/>
      </c>
      <c r="BF1170" s="102" t="str">
        <f t="shared" si="174"/>
        <v/>
      </c>
    </row>
    <row r="1171" spans="48:58" hidden="1" x14ac:dyDescent="0.25">
      <c r="AV1171">
        <v>1146</v>
      </c>
      <c r="AW1171" s="94" t="str">
        <f t="shared" ca="1" si="175"/>
        <v/>
      </c>
      <c r="AX1171" s="95" t="str">
        <f t="shared" si="170"/>
        <v/>
      </c>
      <c r="AY1171" s="98" t="str">
        <f t="shared" ca="1" si="176"/>
        <v/>
      </c>
      <c r="AZ1171" s="96" t="str">
        <f t="shared" si="171"/>
        <v/>
      </c>
      <c r="BA1171" s="99" t="str">
        <f t="shared" ca="1" si="177"/>
        <v/>
      </c>
      <c r="BB1171" s="97" t="str">
        <f t="shared" si="172"/>
        <v/>
      </c>
      <c r="BC1171" s="101" t="str">
        <f t="shared" ca="1" si="178"/>
        <v/>
      </c>
      <c r="BD1171" s="100" t="str">
        <f t="shared" si="173"/>
        <v/>
      </c>
      <c r="BE1171" s="103" t="str">
        <f t="shared" ca="1" si="179"/>
        <v/>
      </c>
      <c r="BF1171" s="102" t="str">
        <f t="shared" si="174"/>
        <v/>
      </c>
    </row>
    <row r="1172" spans="48:58" hidden="1" x14ac:dyDescent="0.25">
      <c r="AV1172">
        <v>1147</v>
      </c>
      <c r="AW1172" s="94" t="str">
        <f t="shared" ca="1" si="175"/>
        <v/>
      </c>
      <c r="AX1172" s="95" t="str">
        <f t="shared" si="170"/>
        <v/>
      </c>
      <c r="AY1172" s="98" t="str">
        <f t="shared" ca="1" si="176"/>
        <v/>
      </c>
      <c r="AZ1172" s="96" t="str">
        <f t="shared" si="171"/>
        <v/>
      </c>
      <c r="BA1172" s="99" t="str">
        <f t="shared" ca="1" si="177"/>
        <v/>
      </c>
      <c r="BB1172" s="97" t="str">
        <f t="shared" si="172"/>
        <v/>
      </c>
      <c r="BC1172" s="101" t="str">
        <f t="shared" ca="1" si="178"/>
        <v/>
      </c>
      <c r="BD1172" s="100" t="str">
        <f t="shared" si="173"/>
        <v/>
      </c>
      <c r="BE1172" s="103" t="str">
        <f t="shared" ca="1" si="179"/>
        <v/>
      </c>
      <c r="BF1172" s="102" t="str">
        <f t="shared" si="174"/>
        <v/>
      </c>
    </row>
    <row r="1173" spans="48:58" hidden="1" x14ac:dyDescent="0.25">
      <c r="AV1173">
        <v>1148</v>
      </c>
      <c r="AW1173" s="94" t="str">
        <f t="shared" ca="1" si="175"/>
        <v/>
      </c>
      <c r="AX1173" s="95" t="str">
        <f t="shared" si="170"/>
        <v/>
      </c>
      <c r="AY1173" s="98" t="str">
        <f t="shared" ca="1" si="176"/>
        <v/>
      </c>
      <c r="AZ1173" s="96" t="str">
        <f t="shared" si="171"/>
        <v/>
      </c>
      <c r="BA1173" s="99" t="str">
        <f t="shared" ca="1" si="177"/>
        <v/>
      </c>
      <c r="BB1173" s="97" t="str">
        <f t="shared" si="172"/>
        <v/>
      </c>
      <c r="BC1173" s="101" t="str">
        <f t="shared" ca="1" si="178"/>
        <v/>
      </c>
      <c r="BD1173" s="100" t="str">
        <f t="shared" si="173"/>
        <v/>
      </c>
      <c r="BE1173" s="103" t="str">
        <f t="shared" ca="1" si="179"/>
        <v/>
      </c>
      <c r="BF1173" s="102" t="str">
        <f t="shared" si="174"/>
        <v/>
      </c>
    </row>
    <row r="1174" spans="48:58" hidden="1" x14ac:dyDescent="0.25">
      <c r="AV1174">
        <v>1149</v>
      </c>
      <c r="AW1174" s="94" t="str">
        <f t="shared" ca="1" si="175"/>
        <v/>
      </c>
      <c r="AX1174" s="95" t="str">
        <f t="shared" si="170"/>
        <v/>
      </c>
      <c r="AY1174" s="98" t="str">
        <f t="shared" ca="1" si="176"/>
        <v/>
      </c>
      <c r="AZ1174" s="96" t="str">
        <f t="shared" si="171"/>
        <v/>
      </c>
      <c r="BA1174" s="99" t="str">
        <f t="shared" ca="1" si="177"/>
        <v/>
      </c>
      <c r="BB1174" s="97" t="str">
        <f t="shared" si="172"/>
        <v/>
      </c>
      <c r="BC1174" s="101" t="str">
        <f t="shared" ca="1" si="178"/>
        <v/>
      </c>
      <c r="BD1174" s="100" t="str">
        <f t="shared" si="173"/>
        <v/>
      </c>
      <c r="BE1174" s="103" t="str">
        <f t="shared" ca="1" si="179"/>
        <v/>
      </c>
      <c r="BF1174" s="102" t="str">
        <f t="shared" si="174"/>
        <v/>
      </c>
    </row>
    <row r="1175" spans="48:58" hidden="1" x14ac:dyDescent="0.25">
      <c r="AV1175">
        <v>1150</v>
      </c>
      <c r="AW1175" s="94" t="str">
        <f t="shared" ca="1" si="175"/>
        <v/>
      </c>
      <c r="AX1175" s="95" t="str">
        <f t="shared" si="170"/>
        <v/>
      </c>
      <c r="AY1175" s="98" t="str">
        <f t="shared" ca="1" si="176"/>
        <v/>
      </c>
      <c r="AZ1175" s="96" t="str">
        <f t="shared" si="171"/>
        <v/>
      </c>
      <c r="BA1175" s="99" t="str">
        <f t="shared" ca="1" si="177"/>
        <v/>
      </c>
      <c r="BB1175" s="97" t="str">
        <f t="shared" si="172"/>
        <v/>
      </c>
      <c r="BC1175" s="101" t="str">
        <f t="shared" ca="1" si="178"/>
        <v/>
      </c>
      <c r="BD1175" s="100" t="str">
        <f t="shared" si="173"/>
        <v/>
      </c>
      <c r="BE1175" s="103" t="str">
        <f t="shared" ca="1" si="179"/>
        <v/>
      </c>
      <c r="BF1175" s="102" t="str">
        <f t="shared" si="174"/>
        <v/>
      </c>
    </row>
    <row r="1176" spans="48:58" hidden="1" x14ac:dyDescent="0.25">
      <c r="AV1176">
        <v>1151</v>
      </c>
      <c r="AW1176" s="94" t="str">
        <f t="shared" ca="1" si="175"/>
        <v/>
      </c>
      <c r="AX1176" s="95" t="str">
        <f t="shared" si="170"/>
        <v/>
      </c>
      <c r="AY1176" s="98" t="str">
        <f t="shared" ca="1" si="176"/>
        <v/>
      </c>
      <c r="AZ1176" s="96" t="str">
        <f t="shared" si="171"/>
        <v/>
      </c>
      <c r="BA1176" s="99" t="str">
        <f t="shared" ca="1" si="177"/>
        <v/>
      </c>
      <c r="BB1176" s="97" t="str">
        <f t="shared" si="172"/>
        <v/>
      </c>
      <c r="BC1176" s="101" t="str">
        <f t="shared" ca="1" si="178"/>
        <v/>
      </c>
      <c r="BD1176" s="100" t="str">
        <f t="shared" si="173"/>
        <v/>
      </c>
      <c r="BE1176" s="103" t="str">
        <f t="shared" ca="1" si="179"/>
        <v/>
      </c>
      <c r="BF1176" s="102" t="str">
        <f t="shared" si="174"/>
        <v/>
      </c>
    </row>
    <row r="1177" spans="48:58" hidden="1" x14ac:dyDescent="0.25">
      <c r="AV1177">
        <v>1152</v>
      </c>
      <c r="AW1177" s="94" t="str">
        <f t="shared" ca="1" si="175"/>
        <v/>
      </c>
      <c r="AX1177" s="95" t="str">
        <f t="shared" si="170"/>
        <v/>
      </c>
      <c r="AY1177" s="98" t="str">
        <f t="shared" ca="1" si="176"/>
        <v/>
      </c>
      <c r="AZ1177" s="96" t="str">
        <f t="shared" si="171"/>
        <v/>
      </c>
      <c r="BA1177" s="99" t="str">
        <f t="shared" ca="1" si="177"/>
        <v/>
      </c>
      <c r="BB1177" s="97" t="str">
        <f t="shared" si="172"/>
        <v/>
      </c>
      <c r="BC1177" s="101" t="str">
        <f t="shared" ca="1" si="178"/>
        <v/>
      </c>
      <c r="BD1177" s="100" t="str">
        <f t="shared" si="173"/>
        <v/>
      </c>
      <c r="BE1177" s="103" t="str">
        <f t="shared" ca="1" si="179"/>
        <v/>
      </c>
      <c r="BF1177" s="102" t="str">
        <f t="shared" si="174"/>
        <v/>
      </c>
    </row>
    <row r="1178" spans="48:58" hidden="1" x14ac:dyDescent="0.25">
      <c r="AV1178">
        <v>1153</v>
      </c>
      <c r="AW1178" s="94" t="str">
        <f t="shared" ca="1" si="175"/>
        <v/>
      </c>
      <c r="AX1178" s="95" t="str">
        <f t="shared" ref="AX1178:AX1225" si="180">IF($D$15*12&gt;=AV1178,-1*$H$15,IF($D$15*12+1&gt;=AV1178,InfGoal1,""))</f>
        <v/>
      </c>
      <c r="AY1178" s="98" t="str">
        <f t="shared" ca="1" si="176"/>
        <v/>
      </c>
      <c r="AZ1178" s="96" t="str">
        <f t="shared" ref="AZ1178:AZ1225" si="181">IF($D$17*12&gt;=AV1178,-1*$H$17,IF($D$17*12+1&gt;=AV1178,InfGoal2,""))</f>
        <v/>
      </c>
      <c r="BA1178" s="99" t="str">
        <f t="shared" ca="1" si="177"/>
        <v/>
      </c>
      <c r="BB1178" s="97" t="str">
        <f t="shared" ref="BB1178:BB1225" si="182">IF($D$19*12&gt;=AV1178,-1*$H$19,IF($D$19*12+1&gt;=AV1178,InfGoal3,""))</f>
        <v/>
      </c>
      <c r="BC1178" s="101" t="str">
        <f t="shared" ca="1" si="178"/>
        <v/>
      </c>
      <c r="BD1178" s="100" t="str">
        <f t="shared" ref="BD1178:BD1225" si="183">IF($D$21*12&gt;=AV1178,-1*$H$21,IF($D$21*12+1&gt;=AV1178,InfGoal4,""))</f>
        <v/>
      </c>
      <c r="BE1178" s="103" t="str">
        <f t="shared" ca="1" si="179"/>
        <v/>
      </c>
      <c r="BF1178" s="102" t="str">
        <f t="shared" ref="BF1178:BF1225" si="184">IF($D$23*12&gt;=AV1178,-1*$H$23,IF($D$23*12+1&gt;=AV1178,InfGoal5,""))</f>
        <v/>
      </c>
    </row>
    <row r="1179" spans="48:58" hidden="1" x14ac:dyDescent="0.25">
      <c r="AV1179">
        <v>1154</v>
      </c>
      <c r="AW1179" s="94" t="str">
        <f t="shared" ref="AW1179:AW1225" ca="1" si="185">IF($D$15*12&gt;=AV1179,DATE(YEAR(TODAY()),MONTH(TODAY())+AV1179-1,DAY(TODAY())),IF($D$15*12+1&gt;=AV1179,DATE(YEAR(TODAY()),MONTH(TODAY())+$D$15*12,DAY(TODAY())),""))</f>
        <v/>
      </c>
      <c r="AX1179" s="95" t="str">
        <f t="shared" si="180"/>
        <v/>
      </c>
      <c r="AY1179" s="98" t="str">
        <f t="shared" ref="AY1179:AY1225" ca="1" si="186">IF($D$17*12&gt;=AV1179,DATE(YEAR(TODAY()),MONTH(TODAY())+AV1179-1,DAY(TODAY())),IF($D$17*12+1&gt;=AV1179,DATE(YEAR(TODAY()),MONTH(TODAY())+$D$17*12,DAY(TODAY())),""))</f>
        <v/>
      </c>
      <c r="AZ1179" s="96" t="str">
        <f t="shared" si="181"/>
        <v/>
      </c>
      <c r="BA1179" s="99" t="str">
        <f t="shared" ref="BA1179:BA1225" ca="1" si="187">IF($D$19*12&gt;=AV1179,DATE(YEAR(TODAY()),MONTH(TODAY())+AV1179-1,DAY(TODAY())),IF($D$19*12+1&gt;=AV1179,DATE(YEAR(TODAY()),MONTH(TODAY())+$D$19*12,DAY(TODAY())),""))</f>
        <v/>
      </c>
      <c r="BB1179" s="97" t="str">
        <f t="shared" si="182"/>
        <v/>
      </c>
      <c r="BC1179" s="101" t="str">
        <f t="shared" ref="BC1179:BC1225" ca="1" si="188">IF($D$21*12&gt;=AV1179,DATE(YEAR(TODAY()),MONTH(TODAY())+AV1179-1,DAY(TODAY())),IF($D$21*12+1&gt;=AV1179,DATE(YEAR(TODAY()),MONTH(TODAY())+$D$21*12,DAY(TODAY())),""))</f>
        <v/>
      </c>
      <c r="BD1179" s="100" t="str">
        <f t="shared" si="183"/>
        <v/>
      </c>
      <c r="BE1179" s="103" t="str">
        <f t="shared" ref="BE1179:BE1225" ca="1" si="189">IF($D$23*12&gt;=AV1179,DATE(YEAR(TODAY()),MONTH(TODAY())+AV1179-1,DAY(TODAY())),IF($D$23*12+1&gt;=AV1179,DATE(YEAR(TODAY()),MONTH(TODAY())+$D$23*12,DAY(TODAY())),""))</f>
        <v/>
      </c>
      <c r="BF1179" s="102" t="str">
        <f t="shared" si="184"/>
        <v/>
      </c>
    </row>
    <row r="1180" spans="48:58" hidden="1" x14ac:dyDescent="0.25">
      <c r="AV1180">
        <v>1155</v>
      </c>
      <c r="AW1180" s="94" t="str">
        <f t="shared" ca="1" si="185"/>
        <v/>
      </c>
      <c r="AX1180" s="95" t="str">
        <f t="shared" si="180"/>
        <v/>
      </c>
      <c r="AY1180" s="98" t="str">
        <f t="shared" ca="1" si="186"/>
        <v/>
      </c>
      <c r="AZ1180" s="96" t="str">
        <f t="shared" si="181"/>
        <v/>
      </c>
      <c r="BA1180" s="99" t="str">
        <f t="shared" ca="1" si="187"/>
        <v/>
      </c>
      <c r="BB1180" s="97" t="str">
        <f t="shared" si="182"/>
        <v/>
      </c>
      <c r="BC1180" s="101" t="str">
        <f t="shared" ca="1" si="188"/>
        <v/>
      </c>
      <c r="BD1180" s="100" t="str">
        <f t="shared" si="183"/>
        <v/>
      </c>
      <c r="BE1180" s="103" t="str">
        <f t="shared" ca="1" si="189"/>
        <v/>
      </c>
      <c r="BF1180" s="102" t="str">
        <f t="shared" si="184"/>
        <v/>
      </c>
    </row>
    <row r="1181" spans="48:58" hidden="1" x14ac:dyDescent="0.25">
      <c r="AV1181">
        <v>1156</v>
      </c>
      <c r="AW1181" s="94" t="str">
        <f t="shared" ca="1" si="185"/>
        <v/>
      </c>
      <c r="AX1181" s="95" t="str">
        <f t="shared" si="180"/>
        <v/>
      </c>
      <c r="AY1181" s="98" t="str">
        <f t="shared" ca="1" si="186"/>
        <v/>
      </c>
      <c r="AZ1181" s="96" t="str">
        <f t="shared" si="181"/>
        <v/>
      </c>
      <c r="BA1181" s="99" t="str">
        <f t="shared" ca="1" si="187"/>
        <v/>
      </c>
      <c r="BB1181" s="97" t="str">
        <f t="shared" si="182"/>
        <v/>
      </c>
      <c r="BC1181" s="101" t="str">
        <f t="shared" ca="1" si="188"/>
        <v/>
      </c>
      <c r="BD1181" s="100" t="str">
        <f t="shared" si="183"/>
        <v/>
      </c>
      <c r="BE1181" s="103" t="str">
        <f t="shared" ca="1" si="189"/>
        <v/>
      </c>
      <c r="BF1181" s="102" t="str">
        <f t="shared" si="184"/>
        <v/>
      </c>
    </row>
    <row r="1182" spans="48:58" hidden="1" x14ac:dyDescent="0.25">
      <c r="AV1182">
        <v>1157</v>
      </c>
      <c r="AW1182" s="94" t="str">
        <f t="shared" ca="1" si="185"/>
        <v/>
      </c>
      <c r="AX1182" s="95" t="str">
        <f t="shared" si="180"/>
        <v/>
      </c>
      <c r="AY1182" s="98" t="str">
        <f t="shared" ca="1" si="186"/>
        <v/>
      </c>
      <c r="AZ1182" s="96" t="str">
        <f t="shared" si="181"/>
        <v/>
      </c>
      <c r="BA1182" s="99" t="str">
        <f t="shared" ca="1" si="187"/>
        <v/>
      </c>
      <c r="BB1182" s="97" t="str">
        <f t="shared" si="182"/>
        <v/>
      </c>
      <c r="BC1182" s="101" t="str">
        <f t="shared" ca="1" si="188"/>
        <v/>
      </c>
      <c r="BD1182" s="100" t="str">
        <f t="shared" si="183"/>
        <v/>
      </c>
      <c r="BE1182" s="103" t="str">
        <f t="shared" ca="1" si="189"/>
        <v/>
      </c>
      <c r="BF1182" s="102" t="str">
        <f t="shared" si="184"/>
        <v/>
      </c>
    </row>
    <row r="1183" spans="48:58" hidden="1" x14ac:dyDescent="0.25">
      <c r="AV1183">
        <v>1158</v>
      </c>
      <c r="AW1183" s="94" t="str">
        <f t="shared" ca="1" si="185"/>
        <v/>
      </c>
      <c r="AX1183" s="95" t="str">
        <f t="shared" si="180"/>
        <v/>
      </c>
      <c r="AY1183" s="98" t="str">
        <f t="shared" ca="1" si="186"/>
        <v/>
      </c>
      <c r="AZ1183" s="96" t="str">
        <f t="shared" si="181"/>
        <v/>
      </c>
      <c r="BA1183" s="99" t="str">
        <f t="shared" ca="1" si="187"/>
        <v/>
      </c>
      <c r="BB1183" s="97" t="str">
        <f t="shared" si="182"/>
        <v/>
      </c>
      <c r="BC1183" s="101" t="str">
        <f t="shared" ca="1" si="188"/>
        <v/>
      </c>
      <c r="BD1183" s="100" t="str">
        <f t="shared" si="183"/>
        <v/>
      </c>
      <c r="BE1183" s="103" t="str">
        <f t="shared" ca="1" si="189"/>
        <v/>
      </c>
      <c r="BF1183" s="102" t="str">
        <f t="shared" si="184"/>
        <v/>
      </c>
    </row>
    <row r="1184" spans="48:58" hidden="1" x14ac:dyDescent="0.25">
      <c r="AV1184">
        <v>1159</v>
      </c>
      <c r="AW1184" s="94" t="str">
        <f t="shared" ca="1" si="185"/>
        <v/>
      </c>
      <c r="AX1184" s="95" t="str">
        <f t="shared" si="180"/>
        <v/>
      </c>
      <c r="AY1184" s="98" t="str">
        <f t="shared" ca="1" si="186"/>
        <v/>
      </c>
      <c r="AZ1184" s="96" t="str">
        <f t="shared" si="181"/>
        <v/>
      </c>
      <c r="BA1184" s="99" t="str">
        <f t="shared" ca="1" si="187"/>
        <v/>
      </c>
      <c r="BB1184" s="97" t="str">
        <f t="shared" si="182"/>
        <v/>
      </c>
      <c r="BC1184" s="101" t="str">
        <f t="shared" ca="1" si="188"/>
        <v/>
      </c>
      <c r="BD1184" s="100" t="str">
        <f t="shared" si="183"/>
        <v/>
      </c>
      <c r="BE1184" s="103" t="str">
        <f t="shared" ca="1" si="189"/>
        <v/>
      </c>
      <c r="BF1184" s="102" t="str">
        <f t="shared" si="184"/>
        <v/>
      </c>
    </row>
    <row r="1185" spans="48:58" hidden="1" x14ac:dyDescent="0.25">
      <c r="AV1185">
        <v>1160</v>
      </c>
      <c r="AW1185" s="94" t="str">
        <f t="shared" ca="1" si="185"/>
        <v/>
      </c>
      <c r="AX1185" s="95" t="str">
        <f t="shared" si="180"/>
        <v/>
      </c>
      <c r="AY1185" s="98" t="str">
        <f t="shared" ca="1" si="186"/>
        <v/>
      </c>
      <c r="AZ1185" s="96" t="str">
        <f t="shared" si="181"/>
        <v/>
      </c>
      <c r="BA1185" s="99" t="str">
        <f t="shared" ca="1" si="187"/>
        <v/>
      </c>
      <c r="BB1185" s="97" t="str">
        <f t="shared" si="182"/>
        <v/>
      </c>
      <c r="BC1185" s="101" t="str">
        <f t="shared" ca="1" si="188"/>
        <v/>
      </c>
      <c r="BD1185" s="100" t="str">
        <f t="shared" si="183"/>
        <v/>
      </c>
      <c r="BE1185" s="103" t="str">
        <f t="shared" ca="1" si="189"/>
        <v/>
      </c>
      <c r="BF1185" s="102" t="str">
        <f t="shared" si="184"/>
        <v/>
      </c>
    </row>
    <row r="1186" spans="48:58" hidden="1" x14ac:dyDescent="0.25">
      <c r="AV1186">
        <v>1161</v>
      </c>
      <c r="AW1186" s="94" t="str">
        <f t="shared" ca="1" si="185"/>
        <v/>
      </c>
      <c r="AX1186" s="95" t="str">
        <f t="shared" si="180"/>
        <v/>
      </c>
      <c r="AY1186" s="98" t="str">
        <f t="shared" ca="1" si="186"/>
        <v/>
      </c>
      <c r="AZ1186" s="96" t="str">
        <f t="shared" si="181"/>
        <v/>
      </c>
      <c r="BA1186" s="99" t="str">
        <f t="shared" ca="1" si="187"/>
        <v/>
      </c>
      <c r="BB1186" s="97" t="str">
        <f t="shared" si="182"/>
        <v/>
      </c>
      <c r="BC1186" s="101" t="str">
        <f t="shared" ca="1" si="188"/>
        <v/>
      </c>
      <c r="BD1186" s="100" t="str">
        <f t="shared" si="183"/>
        <v/>
      </c>
      <c r="BE1186" s="103" t="str">
        <f t="shared" ca="1" si="189"/>
        <v/>
      </c>
      <c r="BF1186" s="102" t="str">
        <f t="shared" si="184"/>
        <v/>
      </c>
    </row>
    <row r="1187" spans="48:58" hidden="1" x14ac:dyDescent="0.25">
      <c r="AV1187">
        <v>1162</v>
      </c>
      <c r="AW1187" s="94" t="str">
        <f t="shared" ca="1" si="185"/>
        <v/>
      </c>
      <c r="AX1187" s="95" t="str">
        <f t="shared" si="180"/>
        <v/>
      </c>
      <c r="AY1187" s="98" t="str">
        <f t="shared" ca="1" si="186"/>
        <v/>
      </c>
      <c r="AZ1187" s="96" t="str">
        <f t="shared" si="181"/>
        <v/>
      </c>
      <c r="BA1187" s="99" t="str">
        <f t="shared" ca="1" si="187"/>
        <v/>
      </c>
      <c r="BB1187" s="97" t="str">
        <f t="shared" si="182"/>
        <v/>
      </c>
      <c r="BC1187" s="101" t="str">
        <f t="shared" ca="1" si="188"/>
        <v/>
      </c>
      <c r="BD1187" s="100" t="str">
        <f t="shared" si="183"/>
        <v/>
      </c>
      <c r="BE1187" s="103" t="str">
        <f t="shared" ca="1" si="189"/>
        <v/>
      </c>
      <c r="BF1187" s="102" t="str">
        <f t="shared" si="184"/>
        <v/>
      </c>
    </row>
    <row r="1188" spans="48:58" hidden="1" x14ac:dyDescent="0.25">
      <c r="AV1188">
        <v>1163</v>
      </c>
      <c r="AW1188" s="94" t="str">
        <f t="shared" ca="1" si="185"/>
        <v/>
      </c>
      <c r="AX1188" s="95" t="str">
        <f t="shared" si="180"/>
        <v/>
      </c>
      <c r="AY1188" s="98" t="str">
        <f t="shared" ca="1" si="186"/>
        <v/>
      </c>
      <c r="AZ1188" s="96" t="str">
        <f t="shared" si="181"/>
        <v/>
      </c>
      <c r="BA1188" s="99" t="str">
        <f t="shared" ca="1" si="187"/>
        <v/>
      </c>
      <c r="BB1188" s="97" t="str">
        <f t="shared" si="182"/>
        <v/>
      </c>
      <c r="BC1188" s="101" t="str">
        <f t="shared" ca="1" si="188"/>
        <v/>
      </c>
      <c r="BD1188" s="100" t="str">
        <f t="shared" si="183"/>
        <v/>
      </c>
      <c r="BE1188" s="103" t="str">
        <f t="shared" ca="1" si="189"/>
        <v/>
      </c>
      <c r="BF1188" s="102" t="str">
        <f t="shared" si="184"/>
        <v/>
      </c>
    </row>
    <row r="1189" spans="48:58" hidden="1" x14ac:dyDescent="0.25">
      <c r="AV1189">
        <v>1164</v>
      </c>
      <c r="AW1189" s="94" t="str">
        <f t="shared" ca="1" si="185"/>
        <v/>
      </c>
      <c r="AX1189" s="95" t="str">
        <f t="shared" si="180"/>
        <v/>
      </c>
      <c r="AY1189" s="98" t="str">
        <f t="shared" ca="1" si="186"/>
        <v/>
      </c>
      <c r="AZ1189" s="96" t="str">
        <f t="shared" si="181"/>
        <v/>
      </c>
      <c r="BA1189" s="99" t="str">
        <f t="shared" ca="1" si="187"/>
        <v/>
      </c>
      <c r="BB1189" s="97" t="str">
        <f t="shared" si="182"/>
        <v/>
      </c>
      <c r="BC1189" s="101" t="str">
        <f t="shared" ca="1" si="188"/>
        <v/>
      </c>
      <c r="BD1189" s="100" t="str">
        <f t="shared" si="183"/>
        <v/>
      </c>
      <c r="BE1189" s="103" t="str">
        <f t="shared" ca="1" si="189"/>
        <v/>
      </c>
      <c r="BF1189" s="102" t="str">
        <f t="shared" si="184"/>
        <v/>
      </c>
    </row>
    <row r="1190" spans="48:58" hidden="1" x14ac:dyDescent="0.25">
      <c r="AV1190">
        <v>1165</v>
      </c>
      <c r="AW1190" s="94" t="str">
        <f t="shared" ca="1" si="185"/>
        <v/>
      </c>
      <c r="AX1190" s="95" t="str">
        <f t="shared" si="180"/>
        <v/>
      </c>
      <c r="AY1190" s="98" t="str">
        <f t="shared" ca="1" si="186"/>
        <v/>
      </c>
      <c r="AZ1190" s="96" t="str">
        <f t="shared" si="181"/>
        <v/>
      </c>
      <c r="BA1190" s="99" t="str">
        <f t="shared" ca="1" si="187"/>
        <v/>
      </c>
      <c r="BB1190" s="97" t="str">
        <f t="shared" si="182"/>
        <v/>
      </c>
      <c r="BC1190" s="101" t="str">
        <f t="shared" ca="1" si="188"/>
        <v/>
      </c>
      <c r="BD1190" s="100" t="str">
        <f t="shared" si="183"/>
        <v/>
      </c>
      <c r="BE1190" s="103" t="str">
        <f t="shared" ca="1" si="189"/>
        <v/>
      </c>
      <c r="BF1190" s="102" t="str">
        <f t="shared" si="184"/>
        <v/>
      </c>
    </row>
    <row r="1191" spans="48:58" hidden="1" x14ac:dyDescent="0.25">
      <c r="AV1191">
        <v>1166</v>
      </c>
      <c r="AW1191" s="94" t="str">
        <f t="shared" ca="1" si="185"/>
        <v/>
      </c>
      <c r="AX1191" s="95" t="str">
        <f t="shared" si="180"/>
        <v/>
      </c>
      <c r="AY1191" s="98" t="str">
        <f t="shared" ca="1" si="186"/>
        <v/>
      </c>
      <c r="AZ1191" s="96" t="str">
        <f t="shared" si="181"/>
        <v/>
      </c>
      <c r="BA1191" s="99" t="str">
        <f t="shared" ca="1" si="187"/>
        <v/>
      </c>
      <c r="BB1191" s="97" t="str">
        <f t="shared" si="182"/>
        <v/>
      </c>
      <c r="BC1191" s="101" t="str">
        <f t="shared" ca="1" si="188"/>
        <v/>
      </c>
      <c r="BD1191" s="100" t="str">
        <f t="shared" si="183"/>
        <v/>
      </c>
      <c r="BE1191" s="103" t="str">
        <f t="shared" ca="1" si="189"/>
        <v/>
      </c>
      <c r="BF1191" s="102" t="str">
        <f t="shared" si="184"/>
        <v/>
      </c>
    </row>
    <row r="1192" spans="48:58" hidden="1" x14ac:dyDescent="0.25">
      <c r="AV1192">
        <v>1167</v>
      </c>
      <c r="AW1192" s="94" t="str">
        <f t="shared" ca="1" si="185"/>
        <v/>
      </c>
      <c r="AX1192" s="95" t="str">
        <f t="shared" si="180"/>
        <v/>
      </c>
      <c r="AY1192" s="98" t="str">
        <f t="shared" ca="1" si="186"/>
        <v/>
      </c>
      <c r="AZ1192" s="96" t="str">
        <f t="shared" si="181"/>
        <v/>
      </c>
      <c r="BA1192" s="99" t="str">
        <f t="shared" ca="1" si="187"/>
        <v/>
      </c>
      <c r="BB1192" s="97" t="str">
        <f t="shared" si="182"/>
        <v/>
      </c>
      <c r="BC1192" s="101" t="str">
        <f t="shared" ca="1" si="188"/>
        <v/>
      </c>
      <c r="BD1192" s="100" t="str">
        <f t="shared" si="183"/>
        <v/>
      </c>
      <c r="BE1192" s="103" t="str">
        <f t="shared" ca="1" si="189"/>
        <v/>
      </c>
      <c r="BF1192" s="102" t="str">
        <f t="shared" si="184"/>
        <v/>
      </c>
    </row>
    <row r="1193" spans="48:58" hidden="1" x14ac:dyDescent="0.25">
      <c r="AV1193">
        <v>1168</v>
      </c>
      <c r="AW1193" s="94" t="str">
        <f t="shared" ca="1" si="185"/>
        <v/>
      </c>
      <c r="AX1193" s="95" t="str">
        <f t="shared" si="180"/>
        <v/>
      </c>
      <c r="AY1193" s="98" t="str">
        <f t="shared" ca="1" si="186"/>
        <v/>
      </c>
      <c r="AZ1193" s="96" t="str">
        <f t="shared" si="181"/>
        <v/>
      </c>
      <c r="BA1193" s="99" t="str">
        <f t="shared" ca="1" si="187"/>
        <v/>
      </c>
      <c r="BB1193" s="97" t="str">
        <f t="shared" si="182"/>
        <v/>
      </c>
      <c r="BC1193" s="101" t="str">
        <f t="shared" ca="1" si="188"/>
        <v/>
      </c>
      <c r="BD1193" s="100" t="str">
        <f t="shared" si="183"/>
        <v/>
      </c>
      <c r="BE1193" s="103" t="str">
        <f t="shared" ca="1" si="189"/>
        <v/>
      </c>
      <c r="BF1193" s="102" t="str">
        <f t="shared" si="184"/>
        <v/>
      </c>
    </row>
    <row r="1194" spans="48:58" hidden="1" x14ac:dyDescent="0.25">
      <c r="AV1194">
        <v>1169</v>
      </c>
      <c r="AW1194" s="94" t="str">
        <f t="shared" ca="1" si="185"/>
        <v/>
      </c>
      <c r="AX1194" s="95" t="str">
        <f t="shared" si="180"/>
        <v/>
      </c>
      <c r="AY1194" s="98" t="str">
        <f t="shared" ca="1" si="186"/>
        <v/>
      </c>
      <c r="AZ1194" s="96" t="str">
        <f t="shared" si="181"/>
        <v/>
      </c>
      <c r="BA1194" s="99" t="str">
        <f t="shared" ca="1" si="187"/>
        <v/>
      </c>
      <c r="BB1194" s="97" t="str">
        <f t="shared" si="182"/>
        <v/>
      </c>
      <c r="BC1194" s="101" t="str">
        <f t="shared" ca="1" si="188"/>
        <v/>
      </c>
      <c r="BD1194" s="100" t="str">
        <f t="shared" si="183"/>
        <v/>
      </c>
      <c r="BE1194" s="103" t="str">
        <f t="shared" ca="1" si="189"/>
        <v/>
      </c>
      <c r="BF1194" s="102" t="str">
        <f t="shared" si="184"/>
        <v/>
      </c>
    </row>
    <row r="1195" spans="48:58" hidden="1" x14ac:dyDescent="0.25">
      <c r="AV1195">
        <v>1170</v>
      </c>
      <c r="AW1195" s="94" t="str">
        <f t="shared" ca="1" si="185"/>
        <v/>
      </c>
      <c r="AX1195" s="95" t="str">
        <f t="shared" si="180"/>
        <v/>
      </c>
      <c r="AY1195" s="98" t="str">
        <f t="shared" ca="1" si="186"/>
        <v/>
      </c>
      <c r="AZ1195" s="96" t="str">
        <f t="shared" si="181"/>
        <v/>
      </c>
      <c r="BA1195" s="99" t="str">
        <f t="shared" ca="1" si="187"/>
        <v/>
      </c>
      <c r="BB1195" s="97" t="str">
        <f t="shared" si="182"/>
        <v/>
      </c>
      <c r="BC1195" s="101" t="str">
        <f t="shared" ca="1" si="188"/>
        <v/>
      </c>
      <c r="BD1195" s="100" t="str">
        <f t="shared" si="183"/>
        <v/>
      </c>
      <c r="BE1195" s="103" t="str">
        <f t="shared" ca="1" si="189"/>
        <v/>
      </c>
      <c r="BF1195" s="102" t="str">
        <f t="shared" si="184"/>
        <v/>
      </c>
    </row>
    <row r="1196" spans="48:58" hidden="1" x14ac:dyDescent="0.25">
      <c r="AV1196">
        <v>1171</v>
      </c>
      <c r="AW1196" s="94" t="str">
        <f t="shared" ca="1" si="185"/>
        <v/>
      </c>
      <c r="AX1196" s="95" t="str">
        <f t="shared" si="180"/>
        <v/>
      </c>
      <c r="AY1196" s="98" t="str">
        <f t="shared" ca="1" si="186"/>
        <v/>
      </c>
      <c r="AZ1196" s="96" t="str">
        <f t="shared" si="181"/>
        <v/>
      </c>
      <c r="BA1196" s="99" t="str">
        <f t="shared" ca="1" si="187"/>
        <v/>
      </c>
      <c r="BB1196" s="97" t="str">
        <f t="shared" si="182"/>
        <v/>
      </c>
      <c r="BC1196" s="101" t="str">
        <f t="shared" ca="1" si="188"/>
        <v/>
      </c>
      <c r="BD1196" s="100" t="str">
        <f t="shared" si="183"/>
        <v/>
      </c>
      <c r="BE1196" s="103" t="str">
        <f t="shared" ca="1" si="189"/>
        <v/>
      </c>
      <c r="BF1196" s="102" t="str">
        <f t="shared" si="184"/>
        <v/>
      </c>
    </row>
    <row r="1197" spans="48:58" hidden="1" x14ac:dyDescent="0.25">
      <c r="AV1197">
        <v>1172</v>
      </c>
      <c r="AW1197" s="94" t="str">
        <f t="shared" ca="1" si="185"/>
        <v/>
      </c>
      <c r="AX1197" s="95" t="str">
        <f t="shared" si="180"/>
        <v/>
      </c>
      <c r="AY1197" s="98" t="str">
        <f t="shared" ca="1" si="186"/>
        <v/>
      </c>
      <c r="AZ1197" s="96" t="str">
        <f t="shared" si="181"/>
        <v/>
      </c>
      <c r="BA1197" s="99" t="str">
        <f t="shared" ca="1" si="187"/>
        <v/>
      </c>
      <c r="BB1197" s="97" t="str">
        <f t="shared" si="182"/>
        <v/>
      </c>
      <c r="BC1197" s="101" t="str">
        <f t="shared" ca="1" si="188"/>
        <v/>
      </c>
      <c r="BD1197" s="100" t="str">
        <f t="shared" si="183"/>
        <v/>
      </c>
      <c r="BE1197" s="103" t="str">
        <f t="shared" ca="1" si="189"/>
        <v/>
      </c>
      <c r="BF1197" s="102" t="str">
        <f t="shared" si="184"/>
        <v/>
      </c>
    </row>
    <row r="1198" spans="48:58" hidden="1" x14ac:dyDescent="0.25">
      <c r="AV1198">
        <v>1173</v>
      </c>
      <c r="AW1198" s="94" t="str">
        <f t="shared" ca="1" si="185"/>
        <v/>
      </c>
      <c r="AX1198" s="95" t="str">
        <f t="shared" si="180"/>
        <v/>
      </c>
      <c r="AY1198" s="98" t="str">
        <f t="shared" ca="1" si="186"/>
        <v/>
      </c>
      <c r="AZ1198" s="96" t="str">
        <f t="shared" si="181"/>
        <v/>
      </c>
      <c r="BA1198" s="99" t="str">
        <f t="shared" ca="1" si="187"/>
        <v/>
      </c>
      <c r="BB1198" s="97" t="str">
        <f t="shared" si="182"/>
        <v/>
      </c>
      <c r="BC1198" s="101" t="str">
        <f t="shared" ca="1" si="188"/>
        <v/>
      </c>
      <c r="BD1198" s="100" t="str">
        <f t="shared" si="183"/>
        <v/>
      </c>
      <c r="BE1198" s="103" t="str">
        <f t="shared" ca="1" si="189"/>
        <v/>
      </c>
      <c r="BF1198" s="102" t="str">
        <f t="shared" si="184"/>
        <v/>
      </c>
    </row>
    <row r="1199" spans="48:58" hidden="1" x14ac:dyDescent="0.25">
      <c r="AV1199">
        <v>1174</v>
      </c>
      <c r="AW1199" s="94" t="str">
        <f t="shared" ca="1" si="185"/>
        <v/>
      </c>
      <c r="AX1199" s="95" t="str">
        <f t="shared" si="180"/>
        <v/>
      </c>
      <c r="AY1199" s="98" t="str">
        <f t="shared" ca="1" si="186"/>
        <v/>
      </c>
      <c r="AZ1199" s="96" t="str">
        <f t="shared" si="181"/>
        <v/>
      </c>
      <c r="BA1199" s="99" t="str">
        <f t="shared" ca="1" si="187"/>
        <v/>
      </c>
      <c r="BB1199" s="97" t="str">
        <f t="shared" si="182"/>
        <v/>
      </c>
      <c r="BC1199" s="101" t="str">
        <f t="shared" ca="1" si="188"/>
        <v/>
      </c>
      <c r="BD1199" s="100" t="str">
        <f t="shared" si="183"/>
        <v/>
      </c>
      <c r="BE1199" s="103" t="str">
        <f t="shared" ca="1" si="189"/>
        <v/>
      </c>
      <c r="BF1199" s="102" t="str">
        <f t="shared" si="184"/>
        <v/>
      </c>
    </row>
    <row r="1200" spans="48:58" hidden="1" x14ac:dyDescent="0.25">
      <c r="AV1200">
        <v>1175</v>
      </c>
      <c r="AW1200" s="94" t="str">
        <f t="shared" ca="1" si="185"/>
        <v/>
      </c>
      <c r="AX1200" s="95" t="str">
        <f t="shared" si="180"/>
        <v/>
      </c>
      <c r="AY1200" s="98" t="str">
        <f t="shared" ca="1" si="186"/>
        <v/>
      </c>
      <c r="AZ1200" s="96" t="str">
        <f t="shared" si="181"/>
        <v/>
      </c>
      <c r="BA1200" s="99" t="str">
        <f t="shared" ca="1" si="187"/>
        <v/>
      </c>
      <c r="BB1200" s="97" t="str">
        <f t="shared" si="182"/>
        <v/>
      </c>
      <c r="BC1200" s="101" t="str">
        <f t="shared" ca="1" si="188"/>
        <v/>
      </c>
      <c r="BD1200" s="100" t="str">
        <f t="shared" si="183"/>
        <v/>
      </c>
      <c r="BE1200" s="103" t="str">
        <f t="shared" ca="1" si="189"/>
        <v/>
      </c>
      <c r="BF1200" s="102" t="str">
        <f t="shared" si="184"/>
        <v/>
      </c>
    </row>
    <row r="1201" spans="48:58" hidden="1" x14ac:dyDescent="0.25">
      <c r="AV1201">
        <v>1176</v>
      </c>
      <c r="AW1201" s="94" t="str">
        <f t="shared" ca="1" si="185"/>
        <v/>
      </c>
      <c r="AX1201" s="95" t="str">
        <f t="shared" si="180"/>
        <v/>
      </c>
      <c r="AY1201" s="98" t="str">
        <f t="shared" ca="1" si="186"/>
        <v/>
      </c>
      <c r="AZ1201" s="96" t="str">
        <f t="shared" si="181"/>
        <v/>
      </c>
      <c r="BA1201" s="99" t="str">
        <f t="shared" ca="1" si="187"/>
        <v/>
      </c>
      <c r="BB1201" s="97" t="str">
        <f t="shared" si="182"/>
        <v/>
      </c>
      <c r="BC1201" s="101" t="str">
        <f t="shared" ca="1" si="188"/>
        <v/>
      </c>
      <c r="BD1201" s="100" t="str">
        <f t="shared" si="183"/>
        <v/>
      </c>
      <c r="BE1201" s="103" t="str">
        <f t="shared" ca="1" si="189"/>
        <v/>
      </c>
      <c r="BF1201" s="102" t="str">
        <f t="shared" si="184"/>
        <v/>
      </c>
    </row>
    <row r="1202" spans="48:58" hidden="1" x14ac:dyDescent="0.25">
      <c r="AV1202">
        <v>1177</v>
      </c>
      <c r="AW1202" s="94" t="str">
        <f t="shared" ca="1" si="185"/>
        <v/>
      </c>
      <c r="AX1202" s="95" t="str">
        <f t="shared" si="180"/>
        <v/>
      </c>
      <c r="AY1202" s="98" t="str">
        <f t="shared" ca="1" si="186"/>
        <v/>
      </c>
      <c r="AZ1202" s="96" t="str">
        <f t="shared" si="181"/>
        <v/>
      </c>
      <c r="BA1202" s="99" t="str">
        <f t="shared" ca="1" si="187"/>
        <v/>
      </c>
      <c r="BB1202" s="97" t="str">
        <f t="shared" si="182"/>
        <v/>
      </c>
      <c r="BC1202" s="101" t="str">
        <f t="shared" ca="1" si="188"/>
        <v/>
      </c>
      <c r="BD1202" s="100" t="str">
        <f t="shared" si="183"/>
        <v/>
      </c>
      <c r="BE1202" s="103" t="str">
        <f t="shared" ca="1" si="189"/>
        <v/>
      </c>
      <c r="BF1202" s="102" t="str">
        <f t="shared" si="184"/>
        <v/>
      </c>
    </row>
    <row r="1203" spans="48:58" hidden="1" x14ac:dyDescent="0.25">
      <c r="AV1203">
        <v>1178</v>
      </c>
      <c r="AW1203" s="94" t="str">
        <f t="shared" ca="1" si="185"/>
        <v/>
      </c>
      <c r="AX1203" s="95" t="str">
        <f t="shared" si="180"/>
        <v/>
      </c>
      <c r="AY1203" s="98" t="str">
        <f t="shared" ca="1" si="186"/>
        <v/>
      </c>
      <c r="AZ1203" s="96" t="str">
        <f t="shared" si="181"/>
        <v/>
      </c>
      <c r="BA1203" s="99" t="str">
        <f t="shared" ca="1" si="187"/>
        <v/>
      </c>
      <c r="BB1203" s="97" t="str">
        <f t="shared" si="182"/>
        <v/>
      </c>
      <c r="BC1203" s="101" t="str">
        <f t="shared" ca="1" si="188"/>
        <v/>
      </c>
      <c r="BD1203" s="100" t="str">
        <f t="shared" si="183"/>
        <v/>
      </c>
      <c r="BE1203" s="103" t="str">
        <f t="shared" ca="1" si="189"/>
        <v/>
      </c>
      <c r="BF1203" s="102" t="str">
        <f t="shared" si="184"/>
        <v/>
      </c>
    </row>
    <row r="1204" spans="48:58" hidden="1" x14ac:dyDescent="0.25">
      <c r="AV1204">
        <v>1179</v>
      </c>
      <c r="AW1204" s="94" t="str">
        <f t="shared" ca="1" si="185"/>
        <v/>
      </c>
      <c r="AX1204" s="95" t="str">
        <f t="shared" si="180"/>
        <v/>
      </c>
      <c r="AY1204" s="98" t="str">
        <f t="shared" ca="1" si="186"/>
        <v/>
      </c>
      <c r="AZ1204" s="96" t="str">
        <f t="shared" si="181"/>
        <v/>
      </c>
      <c r="BA1204" s="99" t="str">
        <f t="shared" ca="1" si="187"/>
        <v/>
      </c>
      <c r="BB1204" s="97" t="str">
        <f t="shared" si="182"/>
        <v/>
      </c>
      <c r="BC1204" s="101" t="str">
        <f t="shared" ca="1" si="188"/>
        <v/>
      </c>
      <c r="BD1204" s="100" t="str">
        <f t="shared" si="183"/>
        <v/>
      </c>
      <c r="BE1204" s="103" t="str">
        <f t="shared" ca="1" si="189"/>
        <v/>
      </c>
      <c r="BF1204" s="102" t="str">
        <f t="shared" si="184"/>
        <v/>
      </c>
    </row>
    <row r="1205" spans="48:58" hidden="1" x14ac:dyDescent="0.25">
      <c r="AV1205">
        <v>1180</v>
      </c>
      <c r="AW1205" s="94" t="str">
        <f t="shared" ca="1" si="185"/>
        <v/>
      </c>
      <c r="AX1205" s="95" t="str">
        <f t="shared" si="180"/>
        <v/>
      </c>
      <c r="AY1205" s="98" t="str">
        <f t="shared" ca="1" si="186"/>
        <v/>
      </c>
      <c r="AZ1205" s="96" t="str">
        <f t="shared" si="181"/>
        <v/>
      </c>
      <c r="BA1205" s="99" t="str">
        <f t="shared" ca="1" si="187"/>
        <v/>
      </c>
      <c r="BB1205" s="97" t="str">
        <f t="shared" si="182"/>
        <v/>
      </c>
      <c r="BC1205" s="101" t="str">
        <f t="shared" ca="1" si="188"/>
        <v/>
      </c>
      <c r="BD1205" s="100" t="str">
        <f t="shared" si="183"/>
        <v/>
      </c>
      <c r="BE1205" s="103" t="str">
        <f t="shared" ca="1" si="189"/>
        <v/>
      </c>
      <c r="BF1205" s="102" t="str">
        <f t="shared" si="184"/>
        <v/>
      </c>
    </row>
    <row r="1206" spans="48:58" hidden="1" x14ac:dyDescent="0.25">
      <c r="AV1206">
        <v>1181</v>
      </c>
      <c r="AW1206" s="94" t="str">
        <f t="shared" ca="1" si="185"/>
        <v/>
      </c>
      <c r="AX1206" s="95" t="str">
        <f t="shared" si="180"/>
        <v/>
      </c>
      <c r="AY1206" s="98" t="str">
        <f t="shared" ca="1" si="186"/>
        <v/>
      </c>
      <c r="AZ1206" s="96" t="str">
        <f t="shared" si="181"/>
        <v/>
      </c>
      <c r="BA1206" s="99" t="str">
        <f t="shared" ca="1" si="187"/>
        <v/>
      </c>
      <c r="BB1206" s="97" t="str">
        <f t="shared" si="182"/>
        <v/>
      </c>
      <c r="BC1206" s="101" t="str">
        <f t="shared" ca="1" si="188"/>
        <v/>
      </c>
      <c r="BD1206" s="100" t="str">
        <f t="shared" si="183"/>
        <v/>
      </c>
      <c r="BE1206" s="103" t="str">
        <f t="shared" ca="1" si="189"/>
        <v/>
      </c>
      <c r="BF1206" s="102" t="str">
        <f t="shared" si="184"/>
        <v/>
      </c>
    </row>
    <row r="1207" spans="48:58" hidden="1" x14ac:dyDescent="0.25">
      <c r="AV1207">
        <v>1182</v>
      </c>
      <c r="AW1207" s="94" t="str">
        <f t="shared" ca="1" si="185"/>
        <v/>
      </c>
      <c r="AX1207" s="95" t="str">
        <f t="shared" si="180"/>
        <v/>
      </c>
      <c r="AY1207" s="98" t="str">
        <f t="shared" ca="1" si="186"/>
        <v/>
      </c>
      <c r="AZ1207" s="96" t="str">
        <f t="shared" si="181"/>
        <v/>
      </c>
      <c r="BA1207" s="99" t="str">
        <f t="shared" ca="1" si="187"/>
        <v/>
      </c>
      <c r="BB1207" s="97" t="str">
        <f t="shared" si="182"/>
        <v/>
      </c>
      <c r="BC1207" s="101" t="str">
        <f t="shared" ca="1" si="188"/>
        <v/>
      </c>
      <c r="BD1207" s="100" t="str">
        <f t="shared" si="183"/>
        <v/>
      </c>
      <c r="BE1207" s="103" t="str">
        <f t="shared" ca="1" si="189"/>
        <v/>
      </c>
      <c r="BF1207" s="102" t="str">
        <f t="shared" si="184"/>
        <v/>
      </c>
    </row>
    <row r="1208" spans="48:58" hidden="1" x14ac:dyDescent="0.25">
      <c r="AV1208">
        <v>1183</v>
      </c>
      <c r="AW1208" s="94" t="str">
        <f t="shared" ca="1" si="185"/>
        <v/>
      </c>
      <c r="AX1208" s="95" t="str">
        <f t="shared" si="180"/>
        <v/>
      </c>
      <c r="AY1208" s="98" t="str">
        <f t="shared" ca="1" si="186"/>
        <v/>
      </c>
      <c r="AZ1208" s="96" t="str">
        <f t="shared" si="181"/>
        <v/>
      </c>
      <c r="BA1208" s="99" t="str">
        <f t="shared" ca="1" si="187"/>
        <v/>
      </c>
      <c r="BB1208" s="97" t="str">
        <f t="shared" si="182"/>
        <v/>
      </c>
      <c r="BC1208" s="101" t="str">
        <f t="shared" ca="1" si="188"/>
        <v/>
      </c>
      <c r="BD1208" s="100" t="str">
        <f t="shared" si="183"/>
        <v/>
      </c>
      <c r="BE1208" s="103" t="str">
        <f t="shared" ca="1" si="189"/>
        <v/>
      </c>
      <c r="BF1208" s="102" t="str">
        <f t="shared" si="184"/>
        <v/>
      </c>
    </row>
    <row r="1209" spans="48:58" hidden="1" x14ac:dyDescent="0.25">
      <c r="AV1209">
        <v>1184</v>
      </c>
      <c r="AW1209" s="94" t="str">
        <f t="shared" ca="1" si="185"/>
        <v/>
      </c>
      <c r="AX1209" s="95" t="str">
        <f t="shared" si="180"/>
        <v/>
      </c>
      <c r="AY1209" s="98" t="str">
        <f t="shared" ca="1" si="186"/>
        <v/>
      </c>
      <c r="AZ1209" s="96" t="str">
        <f t="shared" si="181"/>
        <v/>
      </c>
      <c r="BA1209" s="99" t="str">
        <f t="shared" ca="1" si="187"/>
        <v/>
      </c>
      <c r="BB1209" s="97" t="str">
        <f t="shared" si="182"/>
        <v/>
      </c>
      <c r="BC1209" s="101" t="str">
        <f t="shared" ca="1" si="188"/>
        <v/>
      </c>
      <c r="BD1209" s="100" t="str">
        <f t="shared" si="183"/>
        <v/>
      </c>
      <c r="BE1209" s="103" t="str">
        <f t="shared" ca="1" si="189"/>
        <v/>
      </c>
      <c r="BF1209" s="102" t="str">
        <f t="shared" si="184"/>
        <v/>
      </c>
    </row>
    <row r="1210" spans="48:58" hidden="1" x14ac:dyDescent="0.25">
      <c r="AV1210">
        <v>1185</v>
      </c>
      <c r="AW1210" s="94" t="str">
        <f t="shared" ca="1" si="185"/>
        <v/>
      </c>
      <c r="AX1210" s="95" t="str">
        <f t="shared" si="180"/>
        <v/>
      </c>
      <c r="AY1210" s="98" t="str">
        <f t="shared" ca="1" si="186"/>
        <v/>
      </c>
      <c r="AZ1210" s="96" t="str">
        <f t="shared" si="181"/>
        <v/>
      </c>
      <c r="BA1210" s="99" t="str">
        <f t="shared" ca="1" si="187"/>
        <v/>
      </c>
      <c r="BB1210" s="97" t="str">
        <f t="shared" si="182"/>
        <v/>
      </c>
      <c r="BC1210" s="101" t="str">
        <f t="shared" ca="1" si="188"/>
        <v/>
      </c>
      <c r="BD1210" s="100" t="str">
        <f t="shared" si="183"/>
        <v/>
      </c>
      <c r="BE1210" s="103" t="str">
        <f t="shared" ca="1" si="189"/>
        <v/>
      </c>
      <c r="BF1210" s="102" t="str">
        <f t="shared" si="184"/>
        <v/>
      </c>
    </row>
    <row r="1211" spans="48:58" hidden="1" x14ac:dyDescent="0.25">
      <c r="AV1211">
        <v>1186</v>
      </c>
      <c r="AW1211" s="94" t="str">
        <f t="shared" ca="1" si="185"/>
        <v/>
      </c>
      <c r="AX1211" s="95" t="str">
        <f t="shared" si="180"/>
        <v/>
      </c>
      <c r="AY1211" s="98" t="str">
        <f t="shared" ca="1" si="186"/>
        <v/>
      </c>
      <c r="AZ1211" s="96" t="str">
        <f t="shared" si="181"/>
        <v/>
      </c>
      <c r="BA1211" s="99" t="str">
        <f t="shared" ca="1" si="187"/>
        <v/>
      </c>
      <c r="BB1211" s="97" t="str">
        <f t="shared" si="182"/>
        <v/>
      </c>
      <c r="BC1211" s="101" t="str">
        <f t="shared" ca="1" si="188"/>
        <v/>
      </c>
      <c r="BD1211" s="100" t="str">
        <f t="shared" si="183"/>
        <v/>
      </c>
      <c r="BE1211" s="103" t="str">
        <f t="shared" ca="1" si="189"/>
        <v/>
      </c>
      <c r="BF1211" s="102" t="str">
        <f t="shared" si="184"/>
        <v/>
      </c>
    </row>
    <row r="1212" spans="48:58" hidden="1" x14ac:dyDescent="0.25">
      <c r="AV1212">
        <v>1187</v>
      </c>
      <c r="AW1212" s="94" t="str">
        <f t="shared" ca="1" si="185"/>
        <v/>
      </c>
      <c r="AX1212" s="95" t="str">
        <f t="shared" si="180"/>
        <v/>
      </c>
      <c r="AY1212" s="98" t="str">
        <f t="shared" ca="1" si="186"/>
        <v/>
      </c>
      <c r="AZ1212" s="96" t="str">
        <f t="shared" si="181"/>
        <v/>
      </c>
      <c r="BA1212" s="99" t="str">
        <f t="shared" ca="1" si="187"/>
        <v/>
      </c>
      <c r="BB1212" s="97" t="str">
        <f t="shared" si="182"/>
        <v/>
      </c>
      <c r="BC1212" s="101" t="str">
        <f t="shared" ca="1" si="188"/>
        <v/>
      </c>
      <c r="BD1212" s="100" t="str">
        <f t="shared" si="183"/>
        <v/>
      </c>
      <c r="BE1212" s="103" t="str">
        <f t="shared" ca="1" si="189"/>
        <v/>
      </c>
      <c r="BF1212" s="102" t="str">
        <f t="shared" si="184"/>
        <v/>
      </c>
    </row>
    <row r="1213" spans="48:58" hidden="1" x14ac:dyDescent="0.25">
      <c r="AV1213">
        <v>1188</v>
      </c>
      <c r="AW1213" s="94" t="str">
        <f t="shared" ca="1" si="185"/>
        <v/>
      </c>
      <c r="AX1213" s="95" t="str">
        <f t="shared" si="180"/>
        <v/>
      </c>
      <c r="AY1213" s="98" t="str">
        <f t="shared" ca="1" si="186"/>
        <v/>
      </c>
      <c r="AZ1213" s="96" t="str">
        <f t="shared" si="181"/>
        <v/>
      </c>
      <c r="BA1213" s="99" t="str">
        <f t="shared" ca="1" si="187"/>
        <v/>
      </c>
      <c r="BB1213" s="97" t="str">
        <f t="shared" si="182"/>
        <v/>
      </c>
      <c r="BC1213" s="101" t="str">
        <f t="shared" ca="1" si="188"/>
        <v/>
      </c>
      <c r="BD1213" s="100" t="str">
        <f t="shared" si="183"/>
        <v/>
      </c>
      <c r="BE1213" s="103" t="str">
        <f t="shared" ca="1" si="189"/>
        <v/>
      </c>
      <c r="BF1213" s="102" t="str">
        <f t="shared" si="184"/>
        <v/>
      </c>
    </row>
    <row r="1214" spans="48:58" hidden="1" x14ac:dyDescent="0.25">
      <c r="AV1214">
        <v>1189</v>
      </c>
      <c r="AW1214" s="94" t="str">
        <f t="shared" ca="1" si="185"/>
        <v/>
      </c>
      <c r="AX1214" s="95" t="str">
        <f t="shared" si="180"/>
        <v/>
      </c>
      <c r="AY1214" s="98" t="str">
        <f t="shared" ca="1" si="186"/>
        <v/>
      </c>
      <c r="AZ1214" s="96" t="str">
        <f t="shared" si="181"/>
        <v/>
      </c>
      <c r="BA1214" s="99" t="str">
        <f t="shared" ca="1" si="187"/>
        <v/>
      </c>
      <c r="BB1214" s="97" t="str">
        <f t="shared" si="182"/>
        <v/>
      </c>
      <c r="BC1214" s="101" t="str">
        <f t="shared" ca="1" si="188"/>
        <v/>
      </c>
      <c r="BD1214" s="100" t="str">
        <f t="shared" si="183"/>
        <v/>
      </c>
      <c r="BE1214" s="103" t="str">
        <f t="shared" ca="1" si="189"/>
        <v/>
      </c>
      <c r="BF1214" s="102" t="str">
        <f t="shared" si="184"/>
        <v/>
      </c>
    </row>
    <row r="1215" spans="48:58" hidden="1" x14ac:dyDescent="0.25">
      <c r="AV1215">
        <v>1190</v>
      </c>
      <c r="AW1215" s="94" t="str">
        <f t="shared" ca="1" si="185"/>
        <v/>
      </c>
      <c r="AX1215" s="95" t="str">
        <f t="shared" si="180"/>
        <v/>
      </c>
      <c r="AY1215" s="98" t="str">
        <f t="shared" ca="1" si="186"/>
        <v/>
      </c>
      <c r="AZ1215" s="96" t="str">
        <f t="shared" si="181"/>
        <v/>
      </c>
      <c r="BA1215" s="99" t="str">
        <f t="shared" ca="1" si="187"/>
        <v/>
      </c>
      <c r="BB1215" s="97" t="str">
        <f t="shared" si="182"/>
        <v/>
      </c>
      <c r="BC1215" s="101" t="str">
        <f t="shared" ca="1" si="188"/>
        <v/>
      </c>
      <c r="BD1215" s="100" t="str">
        <f t="shared" si="183"/>
        <v/>
      </c>
      <c r="BE1215" s="103" t="str">
        <f t="shared" ca="1" si="189"/>
        <v/>
      </c>
      <c r="BF1215" s="102" t="str">
        <f t="shared" si="184"/>
        <v/>
      </c>
    </row>
    <row r="1216" spans="48:58" hidden="1" x14ac:dyDescent="0.25">
      <c r="AV1216">
        <v>1191</v>
      </c>
      <c r="AW1216" s="94" t="str">
        <f t="shared" ca="1" si="185"/>
        <v/>
      </c>
      <c r="AX1216" s="95" t="str">
        <f t="shared" si="180"/>
        <v/>
      </c>
      <c r="AY1216" s="98" t="str">
        <f t="shared" ca="1" si="186"/>
        <v/>
      </c>
      <c r="AZ1216" s="96" t="str">
        <f t="shared" si="181"/>
        <v/>
      </c>
      <c r="BA1216" s="99" t="str">
        <f t="shared" ca="1" si="187"/>
        <v/>
      </c>
      <c r="BB1216" s="97" t="str">
        <f t="shared" si="182"/>
        <v/>
      </c>
      <c r="BC1216" s="101" t="str">
        <f t="shared" ca="1" si="188"/>
        <v/>
      </c>
      <c r="BD1216" s="100" t="str">
        <f t="shared" si="183"/>
        <v/>
      </c>
      <c r="BE1216" s="103" t="str">
        <f t="shared" ca="1" si="189"/>
        <v/>
      </c>
      <c r="BF1216" s="102" t="str">
        <f t="shared" si="184"/>
        <v/>
      </c>
    </row>
    <row r="1217" spans="48:58" hidden="1" x14ac:dyDescent="0.25">
      <c r="AV1217">
        <v>1192</v>
      </c>
      <c r="AW1217" s="94" t="str">
        <f t="shared" ca="1" si="185"/>
        <v/>
      </c>
      <c r="AX1217" s="95" t="str">
        <f t="shared" si="180"/>
        <v/>
      </c>
      <c r="AY1217" s="98" t="str">
        <f t="shared" ca="1" si="186"/>
        <v/>
      </c>
      <c r="AZ1217" s="96" t="str">
        <f t="shared" si="181"/>
        <v/>
      </c>
      <c r="BA1217" s="99" t="str">
        <f t="shared" ca="1" si="187"/>
        <v/>
      </c>
      <c r="BB1217" s="97" t="str">
        <f t="shared" si="182"/>
        <v/>
      </c>
      <c r="BC1217" s="101" t="str">
        <f t="shared" ca="1" si="188"/>
        <v/>
      </c>
      <c r="BD1217" s="100" t="str">
        <f t="shared" si="183"/>
        <v/>
      </c>
      <c r="BE1217" s="103" t="str">
        <f t="shared" ca="1" si="189"/>
        <v/>
      </c>
      <c r="BF1217" s="102" t="str">
        <f t="shared" si="184"/>
        <v/>
      </c>
    </row>
    <row r="1218" spans="48:58" hidden="1" x14ac:dyDescent="0.25">
      <c r="AV1218">
        <v>1193</v>
      </c>
      <c r="AW1218" s="94" t="str">
        <f t="shared" ca="1" si="185"/>
        <v/>
      </c>
      <c r="AX1218" s="95" t="str">
        <f t="shared" si="180"/>
        <v/>
      </c>
      <c r="AY1218" s="98" t="str">
        <f t="shared" ca="1" si="186"/>
        <v/>
      </c>
      <c r="AZ1218" s="96" t="str">
        <f t="shared" si="181"/>
        <v/>
      </c>
      <c r="BA1218" s="99" t="str">
        <f t="shared" ca="1" si="187"/>
        <v/>
      </c>
      <c r="BB1218" s="97" t="str">
        <f t="shared" si="182"/>
        <v/>
      </c>
      <c r="BC1218" s="101" t="str">
        <f t="shared" ca="1" si="188"/>
        <v/>
      </c>
      <c r="BD1218" s="100" t="str">
        <f t="shared" si="183"/>
        <v/>
      </c>
      <c r="BE1218" s="103" t="str">
        <f t="shared" ca="1" si="189"/>
        <v/>
      </c>
      <c r="BF1218" s="102" t="str">
        <f t="shared" si="184"/>
        <v/>
      </c>
    </row>
    <row r="1219" spans="48:58" hidden="1" x14ac:dyDescent="0.25">
      <c r="AV1219">
        <v>1194</v>
      </c>
      <c r="AW1219" s="94" t="str">
        <f t="shared" ca="1" si="185"/>
        <v/>
      </c>
      <c r="AX1219" s="95" t="str">
        <f t="shared" si="180"/>
        <v/>
      </c>
      <c r="AY1219" s="98" t="str">
        <f t="shared" ca="1" si="186"/>
        <v/>
      </c>
      <c r="AZ1219" s="96" t="str">
        <f t="shared" si="181"/>
        <v/>
      </c>
      <c r="BA1219" s="99" t="str">
        <f t="shared" ca="1" si="187"/>
        <v/>
      </c>
      <c r="BB1219" s="97" t="str">
        <f t="shared" si="182"/>
        <v/>
      </c>
      <c r="BC1219" s="101" t="str">
        <f t="shared" ca="1" si="188"/>
        <v/>
      </c>
      <c r="BD1219" s="100" t="str">
        <f t="shared" si="183"/>
        <v/>
      </c>
      <c r="BE1219" s="103" t="str">
        <f t="shared" ca="1" si="189"/>
        <v/>
      </c>
      <c r="BF1219" s="102" t="str">
        <f t="shared" si="184"/>
        <v/>
      </c>
    </row>
    <row r="1220" spans="48:58" hidden="1" x14ac:dyDescent="0.25">
      <c r="AV1220">
        <v>1195</v>
      </c>
      <c r="AW1220" s="94" t="str">
        <f t="shared" ca="1" si="185"/>
        <v/>
      </c>
      <c r="AX1220" s="95" t="str">
        <f t="shared" si="180"/>
        <v/>
      </c>
      <c r="AY1220" s="98" t="str">
        <f t="shared" ca="1" si="186"/>
        <v/>
      </c>
      <c r="AZ1220" s="96" t="str">
        <f t="shared" si="181"/>
        <v/>
      </c>
      <c r="BA1220" s="99" t="str">
        <f t="shared" ca="1" si="187"/>
        <v/>
      </c>
      <c r="BB1220" s="97" t="str">
        <f t="shared" si="182"/>
        <v/>
      </c>
      <c r="BC1220" s="101" t="str">
        <f t="shared" ca="1" si="188"/>
        <v/>
      </c>
      <c r="BD1220" s="100" t="str">
        <f t="shared" si="183"/>
        <v/>
      </c>
      <c r="BE1220" s="103" t="str">
        <f t="shared" ca="1" si="189"/>
        <v/>
      </c>
      <c r="BF1220" s="102" t="str">
        <f t="shared" si="184"/>
        <v/>
      </c>
    </row>
    <row r="1221" spans="48:58" hidden="1" x14ac:dyDescent="0.25">
      <c r="AV1221">
        <v>1196</v>
      </c>
      <c r="AW1221" s="94" t="str">
        <f t="shared" ca="1" si="185"/>
        <v/>
      </c>
      <c r="AX1221" s="95" t="str">
        <f t="shared" si="180"/>
        <v/>
      </c>
      <c r="AY1221" s="98" t="str">
        <f t="shared" ca="1" si="186"/>
        <v/>
      </c>
      <c r="AZ1221" s="96" t="str">
        <f t="shared" si="181"/>
        <v/>
      </c>
      <c r="BA1221" s="99" t="str">
        <f t="shared" ca="1" si="187"/>
        <v/>
      </c>
      <c r="BB1221" s="97" t="str">
        <f t="shared" si="182"/>
        <v/>
      </c>
      <c r="BC1221" s="101" t="str">
        <f t="shared" ca="1" si="188"/>
        <v/>
      </c>
      <c r="BD1221" s="100" t="str">
        <f t="shared" si="183"/>
        <v/>
      </c>
      <c r="BE1221" s="103" t="str">
        <f t="shared" ca="1" si="189"/>
        <v/>
      </c>
      <c r="BF1221" s="102" t="str">
        <f t="shared" si="184"/>
        <v/>
      </c>
    </row>
    <row r="1222" spans="48:58" hidden="1" x14ac:dyDescent="0.25">
      <c r="AV1222">
        <v>1197</v>
      </c>
      <c r="AW1222" s="94" t="str">
        <f t="shared" ca="1" si="185"/>
        <v/>
      </c>
      <c r="AX1222" s="95" t="str">
        <f t="shared" si="180"/>
        <v/>
      </c>
      <c r="AY1222" s="98" t="str">
        <f t="shared" ca="1" si="186"/>
        <v/>
      </c>
      <c r="AZ1222" s="96" t="str">
        <f t="shared" si="181"/>
        <v/>
      </c>
      <c r="BA1222" s="99" t="str">
        <f t="shared" ca="1" si="187"/>
        <v/>
      </c>
      <c r="BB1222" s="97" t="str">
        <f t="shared" si="182"/>
        <v/>
      </c>
      <c r="BC1222" s="101" t="str">
        <f t="shared" ca="1" si="188"/>
        <v/>
      </c>
      <c r="BD1222" s="100" t="str">
        <f t="shared" si="183"/>
        <v/>
      </c>
      <c r="BE1222" s="103" t="str">
        <f t="shared" ca="1" si="189"/>
        <v/>
      </c>
      <c r="BF1222" s="102" t="str">
        <f t="shared" si="184"/>
        <v/>
      </c>
    </row>
    <row r="1223" spans="48:58" hidden="1" x14ac:dyDescent="0.25">
      <c r="AV1223">
        <v>1198</v>
      </c>
      <c r="AW1223" s="94" t="str">
        <f t="shared" ca="1" si="185"/>
        <v/>
      </c>
      <c r="AX1223" s="95" t="str">
        <f t="shared" si="180"/>
        <v/>
      </c>
      <c r="AY1223" s="98" t="str">
        <f t="shared" ca="1" si="186"/>
        <v/>
      </c>
      <c r="AZ1223" s="96" t="str">
        <f t="shared" si="181"/>
        <v/>
      </c>
      <c r="BA1223" s="99" t="str">
        <f t="shared" ca="1" si="187"/>
        <v/>
      </c>
      <c r="BB1223" s="97" t="str">
        <f t="shared" si="182"/>
        <v/>
      </c>
      <c r="BC1223" s="101" t="str">
        <f t="shared" ca="1" si="188"/>
        <v/>
      </c>
      <c r="BD1223" s="100" t="str">
        <f t="shared" si="183"/>
        <v/>
      </c>
      <c r="BE1223" s="103" t="str">
        <f t="shared" ca="1" si="189"/>
        <v/>
      </c>
      <c r="BF1223" s="102" t="str">
        <f t="shared" si="184"/>
        <v/>
      </c>
    </row>
    <row r="1224" spans="48:58" hidden="1" x14ac:dyDescent="0.25">
      <c r="AV1224">
        <v>1199</v>
      </c>
      <c r="AW1224" s="94" t="str">
        <f t="shared" ca="1" si="185"/>
        <v/>
      </c>
      <c r="AX1224" s="95" t="str">
        <f t="shared" si="180"/>
        <v/>
      </c>
      <c r="AY1224" s="98" t="str">
        <f t="shared" ca="1" si="186"/>
        <v/>
      </c>
      <c r="AZ1224" s="96" t="str">
        <f t="shared" si="181"/>
        <v/>
      </c>
      <c r="BA1224" s="99" t="str">
        <f t="shared" ca="1" si="187"/>
        <v/>
      </c>
      <c r="BB1224" s="97" t="str">
        <f t="shared" si="182"/>
        <v/>
      </c>
      <c r="BC1224" s="101" t="str">
        <f t="shared" ca="1" si="188"/>
        <v/>
      </c>
      <c r="BD1224" s="100" t="str">
        <f t="shared" si="183"/>
        <v/>
      </c>
      <c r="BE1224" s="103" t="str">
        <f t="shared" ca="1" si="189"/>
        <v/>
      </c>
      <c r="BF1224" s="102" t="str">
        <f t="shared" si="184"/>
        <v/>
      </c>
    </row>
    <row r="1225" spans="48:58" hidden="1" x14ac:dyDescent="0.25">
      <c r="AV1225">
        <v>1200</v>
      </c>
      <c r="AW1225" s="94" t="str">
        <f t="shared" ca="1" si="185"/>
        <v/>
      </c>
      <c r="AX1225" s="95" t="str">
        <f t="shared" si="180"/>
        <v/>
      </c>
      <c r="AY1225" s="98" t="str">
        <f t="shared" ca="1" si="186"/>
        <v/>
      </c>
      <c r="AZ1225" s="96" t="str">
        <f t="shared" si="181"/>
        <v/>
      </c>
      <c r="BA1225" s="99" t="str">
        <f t="shared" ca="1" si="187"/>
        <v/>
      </c>
      <c r="BB1225" s="97" t="str">
        <f t="shared" si="182"/>
        <v/>
      </c>
      <c r="BC1225" s="101" t="str">
        <f t="shared" ca="1" si="188"/>
        <v/>
      </c>
      <c r="BD1225" s="100" t="str">
        <f t="shared" si="183"/>
        <v/>
      </c>
      <c r="BE1225" s="103" t="str">
        <f t="shared" ca="1" si="189"/>
        <v/>
      </c>
      <c r="BF1225" s="102" t="str">
        <f t="shared" si="184"/>
        <v/>
      </c>
    </row>
  </sheetData>
  <sheetProtection algorithmName="SHA-512" hashValue="YoZZt3l01Rf9ekSsz/MAilcvgtKpDQ/hesY2IX7CHkma+P+Z4pS/320Xhb+qz04sOGEjInJ+ue31cA+ewjs7DA==" saltValue="YtAprIUgGE2TE8GUVS7xXQ==" spinCount="100000" sheet="1" formatCells="0" selectLockedCells="1" sort="0"/>
  <sortState xmlns:xlrd2="http://schemas.microsoft.com/office/spreadsheetml/2017/richdata2" ref="R3:W7">
    <sortCondition descending="1" ref="R1"/>
  </sortState>
  <dataConsolidate/>
  <mergeCells count="17">
    <mergeCell ref="A26:F26"/>
    <mergeCell ref="A25:F25"/>
    <mergeCell ref="C11:C13"/>
    <mergeCell ref="D11:D13"/>
    <mergeCell ref="F11:F13"/>
    <mergeCell ref="H11:H13"/>
    <mergeCell ref="B6:C6"/>
    <mergeCell ref="B8:C8"/>
    <mergeCell ref="A2:M2"/>
    <mergeCell ref="J11:J13"/>
    <mergeCell ref="L11:L13"/>
    <mergeCell ref="B4:C4"/>
    <mergeCell ref="D4:F4"/>
    <mergeCell ref="B7:C7"/>
    <mergeCell ref="G6:H6"/>
    <mergeCell ref="G7:H7"/>
    <mergeCell ref="B9:C9"/>
  </mergeCells>
  <printOptions horizontalCentered="1"/>
  <pageMargins left="0.35433070866141736" right="0.27559055118110237" top="1.1023622047244095" bottom="0.43307086614173229" header="0.27559055118110237" footer="0.23622047244094491"/>
  <pageSetup paperSize="9" scale="67" orientation="landscape" r:id="rId1"/>
  <headerFooter alignWithMargins="0">
    <oddHeader>&amp;L&amp;G&amp;R&amp;"Arial,Bold"&amp;12Date:  &amp;D</oddHeader>
    <oddFooter>&amp;L&amp;"Arial,Bold Italic"&amp;9&amp;KFF0000Confidential and Proprietary&amp;R&amp;"Arial,Bold"&amp;K0070C0Start Investing Today For Financial Freedom and follow your Passion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7412" r:id="rId5" name="DelayMonths">
          <controlPr locked="0" defaultSize="0" print="0" autoLine="0" linkedCell="J7" r:id="rId6">
            <anchor moveWithCells="1">
              <from>
                <xdr:col>9</xdr:col>
                <xdr:colOff>30480</xdr:colOff>
                <xdr:row>7</xdr:row>
                <xdr:rowOff>30480</xdr:rowOff>
              </from>
              <to>
                <xdr:col>9</xdr:col>
                <xdr:colOff>1219200</xdr:colOff>
                <xdr:row>7</xdr:row>
                <xdr:rowOff>175260</xdr:rowOff>
              </to>
            </anchor>
          </controlPr>
        </control>
      </mc:Choice>
      <mc:Fallback>
        <control shapeId="17412" r:id="rId5" name="DelayMonths"/>
      </mc:Fallback>
    </mc:AlternateContent>
    <mc:AlternateContent xmlns:mc="http://schemas.openxmlformats.org/markup-compatibility/2006">
      <mc:Choice Requires="x14">
        <control shapeId="17410" r:id="rId7" name="InfPercent">
          <controlPr locked="0" defaultSize="0" print="0" autoLine="0" linkedCell="O8" r:id="rId8">
            <anchor moveWithCells="1">
              <from>
                <xdr:col>4</xdr:col>
                <xdr:colOff>38100</xdr:colOff>
                <xdr:row>7</xdr:row>
                <xdr:rowOff>30480</xdr:rowOff>
              </from>
              <to>
                <xdr:col>5</xdr:col>
                <xdr:colOff>922020</xdr:colOff>
                <xdr:row>7</xdr:row>
                <xdr:rowOff>175260</xdr:rowOff>
              </to>
            </anchor>
          </controlPr>
        </control>
      </mc:Choice>
      <mc:Fallback>
        <control shapeId="17410" r:id="rId7" name="InfPercent"/>
      </mc:Fallback>
    </mc:AlternateContent>
    <mc:AlternateContent xmlns:mc="http://schemas.openxmlformats.org/markup-compatibility/2006">
      <mc:Choice Requires="x14">
        <control shapeId="17409" r:id="rId9" name="sbYieldST">
          <controlPr locked="0" defaultSize="0" print="0" autoLine="0" linkedCell="O6" r:id="rId10">
            <anchor moveWithCells="1">
              <from>
                <xdr:col>4</xdr:col>
                <xdr:colOff>38100</xdr:colOff>
                <xdr:row>5</xdr:row>
                <xdr:rowOff>38100</xdr:rowOff>
              </from>
              <to>
                <xdr:col>5</xdr:col>
                <xdr:colOff>922020</xdr:colOff>
                <xdr:row>5</xdr:row>
                <xdr:rowOff>182880</xdr:rowOff>
              </to>
            </anchor>
          </controlPr>
        </control>
      </mc:Choice>
      <mc:Fallback>
        <control shapeId="17409" r:id="rId9" name="sbYieldST"/>
      </mc:Fallback>
    </mc:AlternateContent>
    <mc:AlternateContent xmlns:mc="http://schemas.openxmlformats.org/markup-compatibility/2006">
      <mc:Choice Requires="x14">
        <control shapeId="17416" r:id="rId11" name="sbYieldLT">
          <controlPr locked="0" defaultSize="0" print="0" autoLine="0" linkedCell="O7" r:id="rId12">
            <anchor moveWithCells="1">
              <from>
                <xdr:col>4</xdr:col>
                <xdr:colOff>38100</xdr:colOff>
                <xdr:row>6</xdr:row>
                <xdr:rowOff>30480</xdr:rowOff>
              </from>
              <to>
                <xdr:col>5</xdr:col>
                <xdr:colOff>922020</xdr:colOff>
                <xdr:row>6</xdr:row>
                <xdr:rowOff>175260</xdr:rowOff>
              </to>
            </anchor>
          </controlPr>
        </control>
      </mc:Choice>
      <mc:Fallback>
        <control shapeId="17416" r:id="rId11" name="sbYieldLT"/>
      </mc:Fallback>
    </mc:AlternateContent>
    <mc:AlternateContent xmlns:mc="http://schemas.openxmlformats.org/markup-compatibility/2006">
      <mc:Choice Requires="x14">
        <control shapeId="17411" r:id="rId13" name="btnClear">
          <controlPr defaultSize="0" print="0" autoFill="0" autoPict="0" macro="[0]!ClearAllGoalCalc">
            <anchor moveWithCells="1" sizeWithCells="1">
              <from>
                <xdr:col>1</xdr:col>
                <xdr:colOff>45720</xdr:colOff>
                <xdr:row>10</xdr:row>
                <xdr:rowOff>175260</xdr:rowOff>
              </from>
              <to>
                <xdr:col>1</xdr:col>
                <xdr:colOff>640080</xdr:colOff>
                <xdr:row>11</xdr:row>
                <xdr:rowOff>129540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3" r:id="rId14" name="btnPublish">
          <controlPr defaultSize="0" print="0" autoFill="0" autoPict="0" macro="[0]!GenReport_Click">
            <anchor moveWithCells="1">
              <from>
                <xdr:col>11</xdr:col>
                <xdr:colOff>472440</xdr:colOff>
                <xdr:row>25</xdr:row>
                <xdr:rowOff>190500</xdr:rowOff>
              </from>
              <to>
                <xdr:col>12</xdr:col>
                <xdr:colOff>22860</xdr:colOff>
                <xdr:row>26</xdr:row>
                <xdr:rowOff>205740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7" r:id="rId15" name="btnPrint">
          <controlPr defaultSize="0" print="0" autoFill="0" autoPict="0" macro="[0]!printGoalPlan">
            <anchor moveWithCells="1">
              <from>
                <xdr:col>11</xdr:col>
                <xdr:colOff>472440</xdr:colOff>
                <xdr:row>27</xdr:row>
                <xdr:rowOff>45720</xdr:rowOff>
              </from>
              <to>
                <xdr:col>12</xdr:col>
                <xdr:colOff>22860</xdr:colOff>
                <xdr:row>28</xdr:row>
                <xdr:rowOff>60960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4" tint="-0.249977111117893"/>
    <pageSetUpPr fitToPage="1"/>
  </sheetPr>
  <dimension ref="A1:CE1230"/>
  <sheetViews>
    <sheetView showGridLines="0" zoomScale="85" zoomScaleNormal="85" workbookViewId="0">
      <selection activeCell="AA2" sqref="AA2"/>
    </sheetView>
  </sheetViews>
  <sheetFormatPr defaultColWidth="0" defaultRowHeight="13.2" zeroHeight="1" x14ac:dyDescent="0.25"/>
  <cols>
    <col min="1" max="1" width="1.88671875" style="1" customWidth="1"/>
    <col min="2" max="2" width="11.33203125" style="1" customWidth="1"/>
    <col min="3" max="3" width="18" style="1" customWidth="1"/>
    <col min="4" max="4" width="9.5546875" style="1" customWidth="1"/>
    <col min="5" max="5" width="0.5546875" style="1" customWidth="1"/>
    <col min="6" max="6" width="4.6640625" style="1" customWidth="1"/>
    <col min="7" max="7" width="12.6640625" style="1" customWidth="1"/>
    <col min="8" max="8" width="0.5546875" style="1" customWidth="1"/>
    <col min="9" max="9" width="18" style="1" customWidth="1"/>
    <col min="10" max="10" width="0.5546875" style="1" customWidth="1"/>
    <col min="11" max="11" width="18" style="1" customWidth="1"/>
    <col min="12" max="12" width="2.88671875" style="1" customWidth="1"/>
    <col min="13" max="13" width="18" style="1" customWidth="1"/>
    <col min="14" max="14" width="1.109375" style="1" customWidth="1"/>
    <col min="15" max="15" width="17.21875" style="1" hidden="1" customWidth="1"/>
    <col min="16" max="16" width="20.21875" style="1" hidden="1" customWidth="1"/>
    <col min="17" max="17" width="12" style="1" hidden="1" customWidth="1"/>
    <col min="18" max="22" width="14.5546875" style="1" hidden="1" customWidth="1"/>
    <col min="23" max="23" width="12" style="1" hidden="1" customWidth="1"/>
    <col min="24" max="24" width="17.6640625" style="1" hidden="1" customWidth="1"/>
    <col min="25" max="25" width="15.6640625" style="1" hidden="1" customWidth="1"/>
    <col min="26" max="26" width="13.88671875" style="1" hidden="1" customWidth="1"/>
    <col min="27" max="27" width="4.109375" style="1" customWidth="1"/>
    <col min="28" max="28" width="22.5546875" style="1" customWidth="1"/>
    <col min="29" max="31" width="2.5546875" style="1" customWidth="1"/>
    <col min="32" max="36" width="3.44140625" style="1" customWidth="1"/>
    <col min="37" max="38" width="6" style="1" customWidth="1"/>
    <col min="39" max="39" width="8.88671875" style="1" customWidth="1"/>
    <col min="40" max="40" width="10.44140625" style="1" customWidth="1"/>
    <col min="41" max="41" width="7.6640625" style="1" customWidth="1"/>
    <col min="42" max="42" width="2" style="1" customWidth="1"/>
    <col min="43" max="46" width="6" style="1" hidden="1" customWidth="1"/>
    <col min="47" max="47" width="22.88671875" style="1" hidden="1" customWidth="1"/>
    <col min="48" max="48" width="8.21875" style="1" hidden="1" customWidth="1"/>
    <col min="49" max="49" width="10.33203125" style="1" hidden="1" customWidth="1"/>
    <col min="50" max="50" width="14.5546875" style="1" hidden="1" customWidth="1"/>
    <col min="51" max="51" width="10.33203125" style="1" hidden="1" customWidth="1"/>
    <col min="52" max="52" width="12.44140625" style="1" hidden="1" customWidth="1"/>
    <col min="53" max="53" width="10.33203125" style="1" hidden="1" customWidth="1"/>
    <col min="54" max="59" width="13.6640625" style="1" hidden="1" customWidth="1"/>
    <col min="60" max="60" width="6" style="1" hidden="1" customWidth="1"/>
    <col min="61" max="61" width="11.5546875" style="1" hidden="1" customWidth="1"/>
    <col min="62" max="62" width="14.6640625" style="1" hidden="1" customWidth="1"/>
    <col min="63" max="63" width="6" style="1" hidden="1" customWidth="1"/>
    <col min="64" max="64" width="9.21875" style="1" hidden="1" customWidth="1"/>
    <col min="65" max="65" width="18.109375" style="117" hidden="1" customWidth="1"/>
    <col min="66" max="66" width="13.6640625" style="117" hidden="1" customWidth="1"/>
    <col min="67" max="67" width="14.77734375" style="117" hidden="1" customWidth="1"/>
    <col min="68" max="68" width="18.6640625" style="117" hidden="1" customWidth="1"/>
    <col min="69" max="69" width="6" style="117" hidden="1" customWidth="1"/>
    <col min="70" max="70" width="12.77734375" style="117" hidden="1" customWidth="1"/>
    <col min="71" max="72" width="6" style="1" hidden="1" customWidth="1"/>
    <col min="73" max="74" width="14.44140625" style="1" hidden="1" customWidth="1"/>
    <col min="75" max="75" width="15.44140625" style="1" hidden="1" customWidth="1"/>
    <col min="76" max="78" width="17" style="1" hidden="1" customWidth="1"/>
    <col min="79" max="79" width="15.44140625" style="1" hidden="1" customWidth="1"/>
    <col min="80" max="82" width="17" style="1" hidden="1" customWidth="1"/>
    <col min="83" max="83" width="15.44140625" style="1" hidden="1" customWidth="1"/>
    <col min="84" max="16384" width="6" style="1" hidden="1"/>
  </cols>
  <sheetData>
    <row r="1" spans="1:83" ht="4.2" customHeight="1" thickBo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</row>
    <row r="2" spans="1:83" ht="34.5" customHeight="1" x14ac:dyDescent="0.25">
      <c r="A2" s="188" t="s">
        <v>3</v>
      </c>
      <c r="B2" s="188"/>
      <c r="C2" s="188"/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88"/>
      <c r="O2" s="188"/>
      <c r="P2" s="3"/>
      <c r="Q2" s="3"/>
      <c r="R2" s="167" t="s">
        <v>85</v>
      </c>
      <c r="S2" s="46"/>
      <c r="T2" s="46"/>
      <c r="U2" s="46"/>
      <c r="V2" s="46"/>
      <c r="W2" s="46"/>
      <c r="X2" s="46"/>
      <c r="Y2" s="46"/>
      <c r="Z2" s="46"/>
      <c r="AA2" s="10"/>
      <c r="AB2" s="52" t="s">
        <v>23</v>
      </c>
      <c r="AC2" s="11"/>
      <c r="AD2" s="11"/>
      <c r="AE2" s="11"/>
      <c r="AF2" s="11"/>
      <c r="AG2" s="11"/>
      <c r="AH2" s="23"/>
      <c r="AI2" s="23"/>
      <c r="AJ2" s="42" t="s">
        <v>10</v>
      </c>
      <c r="AK2" s="11"/>
      <c r="AL2" s="23"/>
      <c r="AM2" s="23"/>
      <c r="AN2" s="23"/>
      <c r="AO2" s="24"/>
      <c r="AP2" s="2"/>
      <c r="AU2" s="120" t="s">
        <v>35</v>
      </c>
      <c r="AX2" s="1" t="s">
        <v>54</v>
      </c>
    </row>
    <row r="3" spans="1:83" ht="15.6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Q3" s="3"/>
      <c r="R3" s="140">
        <f>IF(G_5&lt;=0,0,T_5)</f>
        <v>25</v>
      </c>
      <c r="S3" s="140" t="str">
        <f>$B$23</f>
        <v>Retirement</v>
      </c>
      <c r="T3" s="163">
        <f>InfG_5</f>
        <v>104688896.48271069</v>
      </c>
      <c r="U3" s="163">
        <f>$I$23</f>
        <v>68561.653092635141</v>
      </c>
      <c r="V3" s="163">
        <f>$K$23</f>
        <v>6979233.5441556377</v>
      </c>
      <c r="W3" s="163">
        <f>$M$23</f>
        <v>0</v>
      </c>
      <c r="X3" s="46"/>
      <c r="Y3" s="46"/>
      <c r="Z3" s="46"/>
      <c r="AA3" s="12"/>
      <c r="AB3" s="9"/>
      <c r="AC3" s="9"/>
      <c r="AD3" s="9"/>
      <c r="AE3" s="9"/>
      <c r="AF3" s="9"/>
      <c r="AG3" s="9"/>
      <c r="AH3" s="8"/>
      <c r="AI3" s="8"/>
      <c r="AJ3" s="8" t="s">
        <v>57</v>
      </c>
      <c r="AK3" s="9"/>
      <c r="AL3" s="8"/>
      <c r="AM3" s="8"/>
      <c r="AN3" s="8"/>
      <c r="AO3" s="25"/>
      <c r="AP3" s="2"/>
      <c r="AS3" s="117">
        <v>1</v>
      </c>
      <c r="AT3" s="1">
        <f>IF(G_1&lt;=0,0,T_1)</f>
        <v>6</v>
      </c>
      <c r="AU3" s="119" cm="1">
        <f t="array" ref="AU3">IFERROR(_xlfn.AGGREGATE(15,6,(ROW($AT$3:$AT$7)-ROW($AT$3)+1)/($AT$3:$AT$7&lt;&gt;0),ROWS($AV$3:AV3)),"")</f>
        <v>1</v>
      </c>
      <c r="AV3" s="118" cm="1">
        <f t="array" ref="AV3">IFERROR(INDEX($AT$3:$AT$7,_xlfn.AGGREGATE(15,6,(ROW($AT$3:$AT$7)-ROW($AT$3)+1)/($AT$3:$AT$7&lt;&gt;0),ROWS($AV$3:AV3))),"")</f>
        <v>6</v>
      </c>
      <c r="AW3"/>
      <c r="AX3" s="130" cm="1">
        <f t="array" ref="AX3:AY7">_xlfn._xlws.SORT($AU$3:$AV$7,2,1,FALSE)</f>
        <v>4</v>
      </c>
      <c r="AY3" s="131">
        <v>5</v>
      </c>
      <c r="BB3" s="1">
        <f>GCwithCorpus!Z17</f>
        <v>25</v>
      </c>
      <c r="BC3" s="1" t="s">
        <v>50</v>
      </c>
    </row>
    <row r="4" spans="1:83" ht="15.6" x14ac:dyDescent="0.25">
      <c r="A4" s="2"/>
      <c r="B4" s="189" t="s">
        <v>12</v>
      </c>
      <c r="C4" s="189"/>
      <c r="D4" s="190" t="s">
        <v>97</v>
      </c>
      <c r="E4" s="190"/>
      <c r="F4" s="190"/>
      <c r="G4" s="190"/>
      <c r="H4" s="34"/>
      <c r="I4" s="50">
        <v>43</v>
      </c>
      <c r="J4" s="2"/>
      <c r="K4" s="2" t="s">
        <v>13</v>
      </c>
      <c r="L4" s="2"/>
      <c r="M4" s="2"/>
      <c r="N4" s="2"/>
      <c r="O4" s="2"/>
      <c r="P4" s="2">
        <f>H6</f>
        <v>5</v>
      </c>
      <c r="Q4" s="3"/>
      <c r="R4" s="140">
        <f>IF(G_2&lt;=0,0,T_2)</f>
        <v>11</v>
      </c>
      <c r="S4" s="140" t="str">
        <f>$B$17</f>
        <v>Masters</v>
      </c>
      <c r="T4" s="140">
        <f>InfG_2</f>
        <v>609062903.11875606</v>
      </c>
      <c r="U4" s="140">
        <f>$I$17</f>
        <v>2463589.0008846913</v>
      </c>
      <c r="V4" s="140">
        <f>$K$17</f>
        <v>192210337.88773784</v>
      </c>
      <c r="W4" s="140">
        <f>$M$17</f>
        <v>0</v>
      </c>
      <c r="X4" s="46"/>
      <c r="Y4" s="46"/>
      <c r="Z4" s="46"/>
      <c r="AA4" s="12"/>
      <c r="AB4" s="9"/>
      <c r="AC4" s="9"/>
      <c r="AD4" s="9"/>
      <c r="AE4" s="9"/>
      <c r="AF4" s="9"/>
      <c r="AG4" s="9"/>
      <c r="AH4" s="8"/>
      <c r="AI4" s="8"/>
      <c r="AJ4" s="8" t="s">
        <v>119</v>
      </c>
      <c r="AK4" s="9"/>
      <c r="AL4" s="8"/>
      <c r="AM4" s="8"/>
      <c r="AN4" s="8"/>
      <c r="AO4" s="25"/>
      <c r="AP4" s="2"/>
      <c r="AS4" s="117">
        <v>2</v>
      </c>
      <c r="AT4" s="1">
        <f>IF(G_2&lt;=0,0,T_2)</f>
        <v>11</v>
      </c>
      <c r="AU4" s="119" cm="1">
        <f t="array" ref="AU4">IFERROR(_xlfn.AGGREGATE(15,6,(ROW($AT$3:$AT$7)-ROW($AT$3)+1)/($AT$3:$AT$7&lt;&gt;0),ROWS($AV$3:AV4)),"")</f>
        <v>2</v>
      </c>
      <c r="AV4" s="118" cm="1">
        <f t="array" ref="AV4">IFERROR(INDEX($AT$3:$AT$7,_xlfn.AGGREGATE(15,6,(ROW($AT$3:$AT$7)-ROW($AT$3)+1)/($AT$3:$AT$7&lt;&gt;0),ROWS($AV$3:AV4))),"")</f>
        <v>11</v>
      </c>
      <c r="AX4" s="131">
        <v>1</v>
      </c>
      <c r="AY4" s="131">
        <v>6</v>
      </c>
      <c r="BB4" s="126">
        <f>GCwithCorpus!Z18</f>
        <v>1083470594</v>
      </c>
      <c r="BC4" s="1" t="s">
        <v>51</v>
      </c>
    </row>
    <row r="5" spans="1:83" ht="16.2" thickBot="1" x14ac:dyDescent="0.3">
      <c r="A5" s="2"/>
      <c r="B5" s="4"/>
      <c r="C5" s="4"/>
      <c r="D5" s="4"/>
      <c r="E5" s="3"/>
      <c r="F5" s="3"/>
      <c r="G5" s="3"/>
      <c r="H5" s="3"/>
      <c r="I5" s="3"/>
      <c r="J5" s="3"/>
      <c r="K5" s="3"/>
      <c r="L5" s="3"/>
      <c r="M5" s="3"/>
      <c r="N5" s="2"/>
      <c r="O5" s="3"/>
      <c r="P5" s="3"/>
      <c r="Q5" s="3"/>
      <c r="R5" s="140">
        <f>IF(G_3&lt;=0,0,T_3)</f>
        <v>10</v>
      </c>
      <c r="S5" s="140" t="str">
        <f>$B$19</f>
        <v>House</v>
      </c>
      <c r="T5" s="140">
        <f>InfG_3</f>
        <v>2687832758.6882434</v>
      </c>
      <c r="U5" s="140">
        <f>$I$19</f>
        <v>12736648.270519795</v>
      </c>
      <c r="V5" s="140">
        <f>$K$19</f>
        <v>945548621.67981458</v>
      </c>
      <c r="W5" s="140">
        <f>$M$19</f>
        <v>0</v>
      </c>
      <c r="X5" s="46"/>
      <c r="Y5" s="46"/>
      <c r="Z5" s="46"/>
      <c r="AA5" s="12"/>
      <c r="AB5" s="8"/>
      <c r="AC5" s="9"/>
      <c r="AD5" s="9"/>
      <c r="AE5" s="9"/>
      <c r="AF5" s="9"/>
      <c r="AG5" s="9"/>
      <c r="AH5" s="8"/>
      <c r="AI5" s="8"/>
      <c r="AJ5" s="8" t="s">
        <v>120</v>
      </c>
      <c r="AK5" s="9"/>
      <c r="AL5" s="8"/>
      <c r="AM5" s="8"/>
      <c r="AN5" s="8"/>
      <c r="AO5" s="25"/>
      <c r="AP5" s="2"/>
      <c r="AS5" s="117">
        <v>3</v>
      </c>
      <c r="AT5" s="1">
        <f>IF(G_3&lt;=0,0,T_3)</f>
        <v>10</v>
      </c>
      <c r="AU5" s="119" cm="1">
        <f t="array" ref="AU5">IFERROR(_xlfn.AGGREGATE(15,6,(ROW($AT$3:$AT$7)-ROW($AT$3)+1)/($AT$3:$AT$7&lt;&gt;0),ROWS($AV$3:AV5)),"")</f>
        <v>3</v>
      </c>
      <c r="AV5" s="118" cm="1">
        <f t="array" ref="AV5">IFERROR(INDEX($AT$3:$AT$7,_xlfn.AGGREGATE(15,6,(ROW($AT$3:$AT$7)-ROW($AT$3)+1)/($AT$3:$AT$7&lt;&gt;0),ROWS($AV$3:AV5))),"")</f>
        <v>10</v>
      </c>
      <c r="AX5" s="131">
        <v>3</v>
      </c>
      <c r="AY5" s="131">
        <v>10</v>
      </c>
      <c r="BB5" s="126" t="str">
        <f>TEXT(ROUND(Z19,0),"[&gt;10000000] #\,##\,##\,##0;[&gt;100000] #\,##\,##0;##,##0")</f>
        <v xml:space="preserve"> 108,34,70,594</v>
      </c>
      <c r="CC5" s="117" t="s">
        <v>75</v>
      </c>
      <c r="CD5" s="117" t="s">
        <v>76</v>
      </c>
      <c r="CE5" s="117" t="s">
        <v>76</v>
      </c>
    </row>
    <row r="6" spans="1:83" ht="15.6" customHeight="1" thickBot="1" x14ac:dyDescent="0.3">
      <c r="A6" s="2"/>
      <c r="B6" s="193" t="s">
        <v>21</v>
      </c>
      <c r="C6" s="193"/>
      <c r="D6" s="70">
        <v>7.0000000000000007E-2</v>
      </c>
      <c r="E6" s="3"/>
      <c r="F6" s="3"/>
      <c r="G6" s="3"/>
      <c r="H6" s="197">
        <f>STTerm</f>
        <v>5</v>
      </c>
      <c r="I6" s="197"/>
      <c r="J6" s="194" t="s">
        <v>14</v>
      </c>
      <c r="K6" s="194"/>
      <c r="L6" s="194"/>
      <c r="M6" s="74">
        <v>100000000</v>
      </c>
      <c r="N6" s="2"/>
      <c r="O6" s="3"/>
      <c r="P6" s="32">
        <v>1500</v>
      </c>
      <c r="Q6" s="54"/>
      <c r="R6" s="140">
        <f>IF(G_1&lt;=0,0,T_1)</f>
        <v>6</v>
      </c>
      <c r="S6" s="164" t="str">
        <f>B$15</f>
        <v>Education</v>
      </c>
      <c r="T6" s="140">
        <f>InfG_1</f>
        <v>4776209.1861159997</v>
      </c>
      <c r="U6" s="140">
        <f>$I$15</f>
        <v>47928.775704264226</v>
      </c>
      <c r="V6" s="140">
        <f>$K$15</f>
        <v>2578814.5716795055</v>
      </c>
      <c r="W6" s="140">
        <f>$M$15</f>
        <v>0</v>
      </c>
      <c r="X6" s="46"/>
      <c r="Y6" s="46"/>
      <c r="Z6" s="46"/>
      <c r="AA6" s="12"/>
      <c r="AB6" s="111" t="s">
        <v>19</v>
      </c>
      <c r="AC6" s="9"/>
      <c r="AD6" s="9"/>
      <c r="AE6" s="9"/>
      <c r="AF6" s="9"/>
      <c r="AG6" s="9"/>
      <c r="AH6" s="8"/>
      <c r="AI6" s="8"/>
      <c r="AJ6" s="8" t="s">
        <v>121</v>
      </c>
      <c r="AK6" s="9"/>
      <c r="AL6" s="8"/>
      <c r="AM6" s="8"/>
      <c r="AN6" s="8"/>
      <c r="AO6" s="25"/>
      <c r="AP6" s="2"/>
      <c r="AS6" s="117">
        <v>4</v>
      </c>
      <c r="AT6" s="1">
        <f>IF(G_4&lt;=0,0,T_4)</f>
        <v>5</v>
      </c>
      <c r="AU6" s="119" cm="1">
        <f t="array" ref="AU6">IFERROR(_xlfn.AGGREGATE(15,6,(ROW($AT$3:$AT$7)-ROW($AT$3)+1)/($AT$3:$AT$7&lt;&gt;0),ROWS($AV$3:AV6)),"")</f>
        <v>4</v>
      </c>
      <c r="AV6" s="118" cm="1">
        <f t="array" ref="AV6">IFERROR(INDEX($AT$3:$AT$7,_xlfn.AGGREGATE(15,6,(ROW($AT$3:$AT$7)-ROW($AT$3)+1)/($AT$3:$AT$7&lt;&gt;0),ROWS($AV$3:AV6))),"")</f>
        <v>5</v>
      </c>
      <c r="AX6" s="131">
        <v>2</v>
      </c>
      <c r="AY6" s="131">
        <v>11</v>
      </c>
      <c r="BB6" s="127" t="str">
        <f>TEXT(ROUND(Z19,0),"[&gt;1000000000] #\,##\,##\,##\,##0;[&gt;10000000] #\,##\,##\,##0")</f>
        <v xml:space="preserve"> 1,08,34,70,594</v>
      </c>
      <c r="BN6" s="147" t="s">
        <v>63</v>
      </c>
      <c r="BU6" s="153" t="s">
        <v>45</v>
      </c>
      <c r="BV6" s="153" t="s">
        <v>45</v>
      </c>
      <c r="BW6" s="153" t="s">
        <v>45</v>
      </c>
      <c r="BX6" s="153" t="s">
        <v>45</v>
      </c>
      <c r="BY6" s="151" t="s">
        <v>77</v>
      </c>
      <c r="BZ6" s="151" t="s">
        <v>72</v>
      </c>
      <c r="CA6" s="151" t="s">
        <v>72</v>
      </c>
      <c r="CB6" s="151" t="s">
        <v>72</v>
      </c>
      <c r="CC6" s="117" t="s">
        <v>46</v>
      </c>
      <c r="CD6" s="117" t="s">
        <v>74</v>
      </c>
      <c r="CE6" s="117" t="s">
        <v>73</v>
      </c>
    </row>
    <row r="7" spans="1:83" ht="15.6" customHeight="1" x14ac:dyDescent="0.25">
      <c r="A7" s="2"/>
      <c r="B7" s="191" t="s">
        <v>20</v>
      </c>
      <c r="C7" s="191"/>
      <c r="D7" s="70">
        <v>0.12</v>
      </c>
      <c r="E7" s="3"/>
      <c r="F7" s="3"/>
      <c r="G7" s="3"/>
      <c r="H7" s="198" t="str">
        <f>"&gt; " &amp; H6 &amp; " years"</f>
        <v>&gt; 5 years</v>
      </c>
      <c r="I7" s="198"/>
      <c r="J7" s="195" t="s">
        <v>22</v>
      </c>
      <c r="K7" s="195"/>
      <c r="L7" s="195"/>
      <c r="M7" s="75">
        <v>0.1</v>
      </c>
      <c r="N7" s="2"/>
      <c r="O7" s="3"/>
      <c r="P7" s="32">
        <v>1200</v>
      </c>
      <c r="Q7" s="8">
        <v>680</v>
      </c>
      <c r="R7" s="140">
        <f>IF(G_4&lt;=0,0,T_4)</f>
        <v>5</v>
      </c>
      <c r="S7" s="140" t="str">
        <f>$B$21</f>
        <v>Marriage</v>
      </c>
      <c r="T7" s="163">
        <f>InfG_4</f>
        <v>5564515.5566399992</v>
      </c>
      <c r="U7" s="140">
        <f>$I$21</f>
        <v>79324.675026834477</v>
      </c>
      <c r="V7" s="163">
        <f>$K$21</f>
        <v>4115057.4836598844</v>
      </c>
      <c r="W7" s="163">
        <f>$M$21</f>
        <v>0</v>
      </c>
      <c r="X7" s="46"/>
      <c r="Y7" s="46"/>
      <c r="Z7" s="46"/>
      <c r="AA7" s="12"/>
      <c r="AB7" s="9" t="s">
        <v>58</v>
      </c>
      <c r="AC7" s="9"/>
      <c r="AD7" s="9"/>
      <c r="AE7" s="9"/>
      <c r="AF7" s="9"/>
      <c r="AG7" s="9"/>
      <c r="AH7" s="9"/>
      <c r="AI7" s="8"/>
      <c r="AJ7" s="8"/>
      <c r="AK7" s="9"/>
      <c r="AL7" s="8"/>
      <c r="AM7" s="8"/>
      <c r="AN7" s="8"/>
      <c r="AO7" s="25"/>
      <c r="AP7" s="2"/>
      <c r="AS7" s="117">
        <v>5</v>
      </c>
      <c r="AT7" s="1">
        <f>IF(G_5&lt;=0,0,T_5)</f>
        <v>25</v>
      </c>
      <c r="AU7" s="119" cm="1">
        <f t="array" ref="AU7">IFERROR(_xlfn.AGGREGATE(15,6,(ROW($AT$3:$AT$7)-ROW($AT$3)+1)/($AT$3:$AT$7&lt;&gt;0),ROWS($AV$3:AV7)),"")</f>
        <v>5</v>
      </c>
      <c r="AV7" s="118" cm="1">
        <f t="array" ref="AV7">IFERROR(INDEX($AT$3:$AT$7,_xlfn.AGGREGATE(15,6,(ROW($AT$3:$AT$7)-ROW($AT$3)+1)/($AT$3:$AT$7&lt;&gt;0),ROWS($AV$3:AV7))),"")</f>
        <v>25</v>
      </c>
      <c r="AX7" s="131">
        <v>5</v>
      </c>
      <c r="AY7" s="131">
        <v>25</v>
      </c>
      <c r="BB7"/>
      <c r="BC7" s="56"/>
      <c r="BD7" s="56" t="s">
        <v>46</v>
      </c>
      <c r="BE7" s="56" t="s">
        <v>43</v>
      </c>
      <c r="BF7" s="56" t="s">
        <v>44</v>
      </c>
      <c r="BG7" s="55" t="s">
        <v>45</v>
      </c>
      <c r="BI7" s="139" t="s">
        <v>59</v>
      </c>
      <c r="BJ7" s="139" t="s">
        <v>60</v>
      </c>
      <c r="BM7" s="117" t="s">
        <v>66</v>
      </c>
      <c r="BN7" s="147" t="s">
        <v>62</v>
      </c>
      <c r="BO7" s="117" t="s">
        <v>64</v>
      </c>
      <c r="BP7" s="117" t="s">
        <v>65</v>
      </c>
      <c r="BR7" s="117" t="s">
        <v>67</v>
      </c>
      <c r="BU7" s="153" t="s">
        <v>69</v>
      </c>
      <c r="BV7" s="153" t="s">
        <v>68</v>
      </c>
      <c r="BW7" s="153" t="s">
        <v>70</v>
      </c>
      <c r="BX7" s="153" t="s">
        <v>71</v>
      </c>
      <c r="BY7" s="151" t="s">
        <v>69</v>
      </c>
      <c r="BZ7" s="151" t="s">
        <v>68</v>
      </c>
      <c r="CA7" s="151" t="s">
        <v>70</v>
      </c>
      <c r="CB7" s="151" t="s">
        <v>71</v>
      </c>
      <c r="CC7" s="117"/>
      <c r="CD7" s="117"/>
      <c r="CE7" s="117" t="s">
        <v>70</v>
      </c>
    </row>
    <row r="8" spans="1:83" s="6" customFormat="1" ht="15.6" customHeight="1" x14ac:dyDescent="0.25">
      <c r="A8" s="2"/>
      <c r="B8" s="192" t="s">
        <v>2</v>
      </c>
      <c r="C8" s="192"/>
      <c r="D8" s="71">
        <v>0.03</v>
      </c>
      <c r="E8" s="3"/>
      <c r="F8" s="3"/>
      <c r="G8" s="3"/>
      <c r="H8" s="3"/>
      <c r="I8" s="3"/>
      <c r="J8" s="196" t="s">
        <v>15</v>
      </c>
      <c r="K8" s="196"/>
      <c r="L8" s="196"/>
      <c r="M8" s="76">
        <v>100000000</v>
      </c>
      <c r="N8" s="2"/>
      <c r="O8" s="3"/>
      <c r="P8" s="32">
        <v>300</v>
      </c>
      <c r="Q8" s="54"/>
      <c r="R8" s="46"/>
      <c r="S8" s="46"/>
      <c r="T8" s="46"/>
      <c r="U8" s="46"/>
      <c r="V8" s="46"/>
      <c r="W8" s="46"/>
      <c r="X8" s="46"/>
      <c r="Y8" s="46"/>
      <c r="Z8" s="46"/>
      <c r="AA8" s="12"/>
      <c r="AB8" s="19" t="s">
        <v>122</v>
      </c>
      <c r="AC8" s="16"/>
      <c r="AD8" s="9"/>
      <c r="AE8" s="9"/>
      <c r="AF8" s="9"/>
      <c r="AG8" s="9"/>
      <c r="AH8" s="9"/>
      <c r="AI8" s="9"/>
      <c r="AJ8" s="9"/>
      <c r="AK8" s="9"/>
      <c r="AL8" s="8"/>
      <c r="AM8" s="8"/>
      <c r="AN8" s="26"/>
      <c r="AO8" s="27"/>
      <c r="AP8" s="2"/>
      <c r="BB8" s="141">
        <f>GCwithCorpus!R3</f>
        <v>25</v>
      </c>
      <c r="BC8" s="142" t="str">
        <f>GCwithCorpus!S3</f>
        <v>Retirement</v>
      </c>
      <c r="BD8" s="143">
        <f>GCwithCorpus!T3</f>
        <v>104688896.48271069</v>
      </c>
      <c r="BE8" s="143">
        <f>GCwithCorpus!U3</f>
        <v>68561.653092635141</v>
      </c>
      <c r="BF8" s="143">
        <f>GCwithCorpus!V3</f>
        <v>6979233.5441556377</v>
      </c>
      <c r="BG8" s="143">
        <f>GCwithCorpus!W3</f>
        <v>0</v>
      </c>
      <c r="BI8" s="143">
        <f>(InfG_1)/(((((1+SYld_1)^(T_1*12)-1)/SYld_1)*(1+SYld_1))  - ((((((1+SYld_1)^(T_1*12)-1)/SYld_1)*(1+SYld_1))-(T_1*12))*T_Rate))</f>
        <v>47928.775704264226</v>
      </c>
      <c r="BJ8" s="143">
        <f>InfG_1/( ((1+CYld1)^(T_1))-((((1+CYld1)^(T_1))-1)*T_Rate))</f>
        <v>2578814.5716795055</v>
      </c>
      <c r="BL8" s="144"/>
      <c r="BM8" s="144">
        <f>ACorpus1</f>
        <v>0</v>
      </c>
      <c r="BN8" s="146">
        <f>ACorpus1 *( ((1+C_EffYld)^(T_1))-((((1+C_EffYld)^(T_1))-1)*T_Rate))</f>
        <v>0</v>
      </c>
      <c r="BO8" s="150">
        <f>InfG_1-BN8</f>
        <v>4776209.1861159997</v>
      </c>
      <c r="BP8" s="145">
        <f>BO8/( ((1+CYld1)^(T_1))-((((1+CYld1)^(T_1))-1)*T_Rate))</f>
        <v>2578814.5716795055</v>
      </c>
      <c r="BR8" s="148">
        <f>BO8/(((((1+SYld_1)^(T_1*12)-1)/SYld_1)*(1+SYld_1))  - ((((((1+SYld_1)^(T_1*12)-1)/SYld_1)*(1+SYld_1))-(T_1*12))*T_Rate))</f>
        <v>47928.775704264226</v>
      </c>
      <c r="BU8" s="154">
        <f>ACorpus1 * ((1+C_EffYld)^(T_1))</f>
        <v>0</v>
      </c>
      <c r="BV8" s="155">
        <f>BU8-BM8</f>
        <v>0</v>
      </c>
      <c r="BW8" s="156">
        <f>BV8*T_Rate</f>
        <v>0</v>
      </c>
      <c r="BX8" s="156">
        <f>BU8-BW8</f>
        <v>0</v>
      </c>
      <c r="BY8" s="152">
        <f>BP8 * ((1+CYld1)^(T_1))</f>
        <v>5090122.7024640702</v>
      </c>
      <c r="BZ8" s="152">
        <f>BY8-BP8</f>
        <v>2511308.1307845647</v>
      </c>
      <c r="CA8" s="152">
        <f>BZ8*T_Rate</f>
        <v>313913.51634807058</v>
      </c>
      <c r="CB8" s="152">
        <f>BY8-CA8</f>
        <v>4776209.1861159997</v>
      </c>
      <c r="CC8" s="148">
        <f>CB8+BX8</f>
        <v>4776209.1861159997</v>
      </c>
      <c r="CD8" s="148">
        <f>BV8+BZ8</f>
        <v>2511308.1307845647</v>
      </c>
      <c r="CE8" s="148">
        <f>BW8+CA8</f>
        <v>313913.51634807058</v>
      </c>
    </row>
    <row r="9" spans="1:83" s="6" customFormat="1" ht="15.6" customHeight="1" x14ac:dyDescent="0.25">
      <c r="A9" s="2"/>
      <c r="B9" s="202" t="s">
        <v>55</v>
      </c>
      <c r="C9" s="202"/>
      <c r="D9" s="135">
        <v>0.125</v>
      </c>
      <c r="E9" s="3"/>
      <c r="F9" s="3"/>
      <c r="G9" s="3"/>
      <c r="H9" s="3"/>
      <c r="I9" s="3"/>
      <c r="J9" s="134"/>
      <c r="K9" s="134"/>
      <c r="L9" s="134"/>
      <c r="M9" s="134"/>
      <c r="N9" s="2"/>
      <c r="O9" s="3"/>
      <c r="P9" s="48"/>
      <c r="Q9" s="48"/>
      <c r="R9" s="168">
        <f>COUNTIF(R3:R7,"&gt;0")</f>
        <v>5</v>
      </c>
      <c r="S9" s="46"/>
      <c r="T9" s="46"/>
      <c r="U9" s="46"/>
      <c r="V9" s="46"/>
      <c r="W9" s="46"/>
      <c r="X9" s="46"/>
      <c r="Y9" s="46"/>
      <c r="Z9" s="46"/>
      <c r="AA9" s="12"/>
      <c r="AB9" s="9" t="s">
        <v>123</v>
      </c>
      <c r="AC9" s="16"/>
      <c r="AD9" s="9"/>
      <c r="AE9" s="9"/>
      <c r="AF9" s="9"/>
      <c r="AG9" s="9"/>
      <c r="AH9" s="9"/>
      <c r="AI9" s="9"/>
      <c r="AJ9" s="9"/>
      <c r="AK9" s="9"/>
      <c r="AL9" s="8"/>
      <c r="AM9" s="8"/>
      <c r="AN9" s="26"/>
      <c r="AO9" s="27"/>
      <c r="AP9" s="2"/>
      <c r="AU9" s="115" t="s">
        <v>33</v>
      </c>
      <c r="AV9" s="115">
        <f>COUNTIFS($AV$3:$AV$7,"&lt;=5")</f>
        <v>1</v>
      </c>
      <c r="BB9" s="141">
        <f>GCwithCorpus!R4</f>
        <v>11</v>
      </c>
      <c r="BC9" s="142" t="str">
        <f>GCwithCorpus!S4</f>
        <v>Masters</v>
      </c>
      <c r="BD9" s="143">
        <f>GCwithCorpus!T4</f>
        <v>609062903.11875606</v>
      </c>
      <c r="BE9" s="143">
        <f>GCwithCorpus!U4</f>
        <v>2463589.0008846913</v>
      </c>
      <c r="BF9" s="143">
        <f>GCwithCorpus!V4</f>
        <v>192210337.88773784</v>
      </c>
      <c r="BG9" s="143">
        <f>GCwithCorpus!W4</f>
        <v>0</v>
      </c>
      <c r="BI9" s="143">
        <f>(InfG_2)/(((((1+LTSRate)^(T_2*12)-1)/LTSRate)*(1+LTSRate))  - ((((((1+LTSRate)^(T_2*12)-1)/LTSRate)*(1+LTSRate))-(T_2*12))*T_Rate))</f>
        <v>2463589.0008846913</v>
      </c>
      <c r="BJ9" s="143">
        <f>InfG_2/(   ((1+G_EffYieldLT)^(T_2))-((((1+G_EffYieldLT)^(T_2))-1)*T_Rate))</f>
        <v>192210337.88773784</v>
      </c>
      <c r="BM9" s="144">
        <f>ACorpus2</f>
        <v>0</v>
      </c>
      <c r="BN9" s="146">
        <f>ACorpus2 *( ((1+C_EffYld)^(T_2))-((((1+C_EffYld)^(T_2))-1)*T_Rate))</f>
        <v>0</v>
      </c>
      <c r="BO9" s="150">
        <f>InfG_2-BN9</f>
        <v>609062903.11875606</v>
      </c>
      <c r="BP9" s="145">
        <f>BO9/( ((1+CYld2)^(T_2))-((((1+CYld2)^(T_2))-1)*T_Rate))</f>
        <v>192210337.88773784</v>
      </c>
      <c r="BR9" s="148">
        <f>BO9/(((((1+SYld_2)^(T_2*12)-1)/SYld_2)*(1+SYld_2))  - ((((((1+SYld_2)^(T_2*12)-1)/SYld_2)*(1+SYld_2))-(T_2*12))*T_Rate))</f>
        <v>2463589.0008846913</v>
      </c>
      <c r="BU9" s="154">
        <f>ACorpus2 * ((1+C_EffYld)^(T_2))</f>
        <v>0</v>
      </c>
      <c r="BV9" s="155">
        <f t="shared" ref="BV9:BV12" si="0">BU9-BM9</f>
        <v>0</v>
      </c>
      <c r="BW9" s="156">
        <f>BV9*T_Rate</f>
        <v>0</v>
      </c>
      <c r="BX9" s="156">
        <f t="shared" ref="BX9:BX12" si="1">BU9-BW9</f>
        <v>0</v>
      </c>
      <c r="BY9" s="152">
        <f>BP9 * ((1+CYld2)^(T_2))</f>
        <v>668613269.58033001</v>
      </c>
      <c r="BZ9" s="152">
        <f t="shared" ref="BZ9:BZ12" si="2">BY9-BP9</f>
        <v>476402931.69259214</v>
      </c>
      <c r="CA9" s="152">
        <f>BZ9*T_Rate</f>
        <v>59550366.461574018</v>
      </c>
      <c r="CB9" s="152">
        <f t="shared" ref="CB9:CB12" si="3">BY9-CA9</f>
        <v>609062903.11875606</v>
      </c>
      <c r="CC9" s="148">
        <f t="shared" ref="CC9:CC12" si="4">CB9+BX9</f>
        <v>609062903.11875606</v>
      </c>
      <c r="CD9" s="148">
        <f t="shared" ref="CD9:CD12" si="5">BV9+BZ9</f>
        <v>476402931.69259214</v>
      </c>
      <c r="CE9" s="148">
        <f t="shared" ref="CE9:CE12" si="6">BW9+CA9</f>
        <v>59550366.461574018</v>
      </c>
    </row>
    <row r="10" spans="1:83" s="6" customFormat="1" ht="15.75" customHeight="1" x14ac:dyDescent="0.25">
      <c r="A10" s="5"/>
      <c r="B10" s="4"/>
      <c r="C10" s="4"/>
      <c r="D10" s="4"/>
      <c r="E10" s="3"/>
      <c r="F10" s="3"/>
      <c r="G10" s="3"/>
      <c r="H10" s="3"/>
      <c r="I10" s="3"/>
      <c r="J10" s="3"/>
      <c r="K10" s="3"/>
      <c r="L10" s="3"/>
      <c r="M10" s="3"/>
      <c r="N10" s="2"/>
      <c r="O10" s="3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12"/>
      <c r="AB10" s="9" t="s">
        <v>124</v>
      </c>
      <c r="AC10" s="9"/>
      <c r="AD10" s="9"/>
      <c r="AE10" s="9"/>
      <c r="AF10" s="9"/>
      <c r="AG10" s="9"/>
      <c r="AH10" s="9"/>
      <c r="AI10" s="9"/>
      <c r="AJ10" s="9"/>
      <c r="AK10" s="9"/>
      <c r="AL10" s="17" t="s">
        <v>18</v>
      </c>
      <c r="AM10" s="8"/>
      <c r="AN10" s="26"/>
      <c r="AO10" s="27"/>
      <c r="AP10" s="2"/>
      <c r="AU10" s="116" t="s">
        <v>34</v>
      </c>
      <c r="AV10" s="116">
        <f>COUNTIFS($AV$3:$AV$7,"&gt;5")</f>
        <v>4</v>
      </c>
      <c r="BB10" s="141">
        <f>GCwithCorpus!R5</f>
        <v>10</v>
      </c>
      <c r="BC10" s="142" t="str">
        <f>GCwithCorpus!S5</f>
        <v>House</v>
      </c>
      <c r="BD10" s="143">
        <f>GCwithCorpus!T5</f>
        <v>2687832758.6882434</v>
      </c>
      <c r="BE10" s="143">
        <f>GCwithCorpus!U5</f>
        <v>12736648.270519795</v>
      </c>
      <c r="BF10" s="143">
        <f>GCwithCorpus!V5</f>
        <v>945548621.67981458</v>
      </c>
      <c r="BG10" s="143">
        <f>GCwithCorpus!W5</f>
        <v>0</v>
      </c>
      <c r="BI10" s="143">
        <f>(InfG_3)/(((((1+LTSRate)^(T_3*12)-1)/LTSRate)*(1+LTSRate))  - ((((((1+LTSRate)^(T_3*12)-1)/LTSRate)*(1+LTSRate))-(T_3*12))*T_Rate))</f>
        <v>12736648.270519795</v>
      </c>
      <c r="BJ10" s="143">
        <f>InfG_3/(   ((1+G_EffYieldLT)^(T_3))-((((1+G_EffYieldLT)^(T_3))-1)*T_Rate))</f>
        <v>945548621.67981458</v>
      </c>
      <c r="BM10" s="144">
        <f>ACorpus3</f>
        <v>0</v>
      </c>
      <c r="BN10" s="146">
        <f>ACorpus3 *( ((1+C_EffYld)^(T_3))-((((1+C_EffYld)^(T_3))-1)*T_Rate))</f>
        <v>0</v>
      </c>
      <c r="BO10" s="150">
        <f>InfG_3-BN10</f>
        <v>2687832758.6882434</v>
      </c>
      <c r="BP10" s="145">
        <f>BO10/( ((1+CYld3)^(T_3))-((((1+CYld3)^(T_3))-1)*T_Rate))</f>
        <v>945548621.67981458</v>
      </c>
      <c r="BR10" s="148">
        <f>BO10/(((((1+SYld_3)^(T_3*12)-1)/SYld_3)*(1+SYld_3))  - ((((((1+SYld_3)^(T_3*12)-1)/SYld_3)*(1+SYld_3))-(T_3*12))*T_Rate))</f>
        <v>12736648.270519795</v>
      </c>
      <c r="BU10" s="154">
        <f>ACorpus3 * ((1+C_EffYld)^(T_3))</f>
        <v>0</v>
      </c>
      <c r="BV10" s="155">
        <f t="shared" si="0"/>
        <v>0</v>
      </c>
      <c r="BW10" s="156">
        <f>BV10*T_Rate</f>
        <v>0</v>
      </c>
      <c r="BX10" s="156">
        <f t="shared" si="1"/>
        <v>0</v>
      </c>
      <c r="BY10" s="152">
        <f>BP10 * ((1+CYld3)^(T_3))</f>
        <v>2936730492.5465903</v>
      </c>
      <c r="BZ10" s="152">
        <f t="shared" si="2"/>
        <v>1991181870.8667758</v>
      </c>
      <c r="CA10" s="152">
        <f>BZ10*T_Rate</f>
        <v>248897733.85834697</v>
      </c>
      <c r="CB10" s="152">
        <f t="shared" si="3"/>
        <v>2687832758.6882434</v>
      </c>
      <c r="CC10" s="148">
        <f t="shared" si="4"/>
        <v>2687832758.6882434</v>
      </c>
      <c r="CD10" s="148">
        <f t="shared" si="5"/>
        <v>1991181870.8667758</v>
      </c>
      <c r="CE10" s="148">
        <f t="shared" si="6"/>
        <v>248897733.85834697</v>
      </c>
    </row>
    <row r="11" spans="1:83" ht="15.6" x14ac:dyDescent="0.25">
      <c r="A11" s="5"/>
      <c r="B11" s="5"/>
      <c r="C11" s="199" t="s">
        <v>4</v>
      </c>
      <c r="D11" s="199" t="s">
        <v>1</v>
      </c>
      <c r="E11" s="3"/>
      <c r="F11" s="200" t="s">
        <v>8</v>
      </c>
      <c r="G11" s="200"/>
      <c r="H11" s="3"/>
      <c r="I11" s="199" t="s">
        <v>6</v>
      </c>
      <c r="J11" s="3"/>
      <c r="K11" s="199" t="s">
        <v>11</v>
      </c>
      <c r="L11" s="3"/>
      <c r="M11" s="200" t="s">
        <v>16</v>
      </c>
      <c r="N11" s="2"/>
      <c r="O11" s="3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12"/>
      <c r="AB11" s="39"/>
      <c r="AC11" s="9"/>
      <c r="AD11" s="9"/>
      <c r="AE11" s="9"/>
      <c r="AF11" s="9"/>
      <c r="AG11" s="9"/>
      <c r="AH11" s="9"/>
      <c r="AI11" s="31"/>
      <c r="AJ11" s="9"/>
      <c r="AK11" s="9"/>
      <c r="AL11" s="8" t="s">
        <v>31</v>
      </c>
      <c r="AM11" s="8"/>
      <c r="AN11" s="8"/>
      <c r="AO11" s="25"/>
      <c r="AP11" s="2"/>
      <c r="AU11" s="121" t="s">
        <v>36</v>
      </c>
      <c r="AV11" s="121">
        <f>SUM(AV9:AV10)</f>
        <v>5</v>
      </c>
      <c r="BB11" s="141">
        <f>GCwithCorpus!R6</f>
        <v>6</v>
      </c>
      <c r="BC11" s="142" t="str">
        <f>GCwithCorpus!S6</f>
        <v>Education</v>
      </c>
      <c r="BD11" s="143">
        <f>GCwithCorpus!T6</f>
        <v>4776209.1861159997</v>
      </c>
      <c r="BE11" s="143">
        <f>GCwithCorpus!U6</f>
        <v>47928.775704264226</v>
      </c>
      <c r="BF11" s="143">
        <f>GCwithCorpus!V6</f>
        <v>2578814.5716795055</v>
      </c>
      <c r="BG11" s="143">
        <f>GCwithCorpus!W6</f>
        <v>0</v>
      </c>
      <c r="BI11" s="143">
        <f>(InfG_4)/(((((1+LTSRate)^(T_4*12)-1)/LTSRate)*(1+LTSRate))  - ((((((1+LTSRate)^(T_4*12)-1)/LTSRate)*(1+LTSRate))-(T_4*12))*T_Rate))</f>
        <v>70916.570230534737</v>
      </c>
      <c r="BJ11" s="143">
        <f>InfG_4/(   ((1+G_EffYieldLT)^(T_4))-((((1+G_EffYieldLT)^(T_4))-1)*T_Rate))</f>
        <v>3337943.6641826755</v>
      </c>
      <c r="BM11" s="144">
        <f>ACorpus4</f>
        <v>0</v>
      </c>
      <c r="BN11" s="146">
        <f>ACorpus4 *( ((1+C_EffYld)^(T_4))-((((1+C_EffYld)^(T_4))-1)*T_Rate))</f>
        <v>0</v>
      </c>
      <c r="BO11" s="150">
        <f>InfG_4-BN11</f>
        <v>5564515.5566399992</v>
      </c>
      <c r="BP11" s="145">
        <f>BO11/( ((1+CYld4)^(T_4))-((((1+CYld4)^(T_4))-1)*T_Rate))</f>
        <v>4115057.4836598844</v>
      </c>
      <c r="BQ11" s="6"/>
      <c r="BR11" s="148">
        <f>BO11/(((((1+SYld_4)^(T_4*12)-1)/SYld_4)*(1+SYld_4))  - ((((((1+SYld_4)^(T_4*12)-1)/SYld_4)*(1+SYld_4))-(T_4*12))*T_Rate))</f>
        <v>79324.675026834477</v>
      </c>
      <c r="BU11" s="154">
        <f>ACorpus4 * ((1+C_EffYld)^(T_4))</f>
        <v>0</v>
      </c>
      <c r="BV11" s="155">
        <f t="shared" si="0"/>
        <v>0</v>
      </c>
      <c r="BW11" s="156">
        <f>BV11*T_Rate</f>
        <v>0</v>
      </c>
      <c r="BX11" s="156">
        <f t="shared" si="1"/>
        <v>0</v>
      </c>
      <c r="BY11" s="152">
        <f>BP11 * ((1+CYld4)^(T_4))</f>
        <v>5771580.9956371589</v>
      </c>
      <c r="BZ11" s="152">
        <f t="shared" si="2"/>
        <v>1656523.5119772744</v>
      </c>
      <c r="CA11" s="152">
        <f>BZ11*T_Rate</f>
        <v>207065.4389971593</v>
      </c>
      <c r="CB11" s="152">
        <f t="shared" si="3"/>
        <v>5564515.5566399992</v>
      </c>
      <c r="CC11" s="148">
        <f t="shared" si="4"/>
        <v>5564515.5566399992</v>
      </c>
      <c r="CD11" s="148">
        <f t="shared" si="5"/>
        <v>1656523.5119772744</v>
      </c>
      <c r="CE11" s="148">
        <f t="shared" si="6"/>
        <v>207065.4389971593</v>
      </c>
    </row>
    <row r="12" spans="1:83" ht="15.6" x14ac:dyDescent="0.25">
      <c r="A12" s="5"/>
      <c r="B12" s="5"/>
      <c r="C12" s="200"/>
      <c r="D12" s="200"/>
      <c r="E12" s="3"/>
      <c r="F12" s="200"/>
      <c r="G12" s="200"/>
      <c r="H12" s="3"/>
      <c r="I12" s="200"/>
      <c r="J12" s="3"/>
      <c r="K12" s="200"/>
      <c r="L12" s="3"/>
      <c r="M12" s="200"/>
      <c r="N12" s="2"/>
      <c r="O12" s="3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12"/>
      <c r="AB12" s="9"/>
      <c r="AC12" s="9"/>
      <c r="AD12" s="9"/>
      <c r="AE12" s="9"/>
      <c r="AF12" s="9"/>
      <c r="AG12" s="9"/>
      <c r="AH12" s="9"/>
      <c r="AI12" s="8"/>
      <c r="AJ12" s="9"/>
      <c r="AK12" s="9"/>
      <c r="AL12" s="9" t="s">
        <v>125</v>
      </c>
      <c r="AM12" s="8"/>
      <c r="AN12" s="8"/>
      <c r="AO12" s="25"/>
      <c r="AP12" s="2"/>
      <c r="BB12" s="141">
        <f>GCwithCorpus!R7</f>
        <v>5</v>
      </c>
      <c r="BC12" s="142" t="str">
        <f>GCwithCorpus!S7</f>
        <v>Marriage</v>
      </c>
      <c r="BD12" s="143">
        <f>GCwithCorpus!T7</f>
        <v>5564515.5566399992</v>
      </c>
      <c r="BE12" s="143">
        <f>GCwithCorpus!U7</f>
        <v>79324.675026834477</v>
      </c>
      <c r="BF12" s="143">
        <f>GCwithCorpus!V7</f>
        <v>4115057.4836598844</v>
      </c>
      <c r="BG12" s="143">
        <f>GCwithCorpus!W7</f>
        <v>0</v>
      </c>
      <c r="BI12" s="143">
        <f>(InfG_5)/(((((1+LTSRate)^(T_5*12)-1)/LTSRate)*(1+LTSRate))  - ((((((1+LTSRate)^(T_5*12)-1)/LTSRate)*(1+LTSRate))-(T_5*12))*T_Rate))</f>
        <v>68561.653092635141</v>
      </c>
      <c r="BJ12" s="143">
        <f>InfG_5/(   ((1+G_EffYieldLT)^(T_5))-((((1+G_EffYieldLT)^(T_5))-1)*T_Rate))</f>
        <v>6979233.5441556377</v>
      </c>
      <c r="BM12" s="144">
        <f>ACorpus5</f>
        <v>0</v>
      </c>
      <c r="BN12" s="146">
        <f>ACorpus5 *( ((1+C_EffYld)^(T_5))-((((1+C_EffYld)^(T_5))-1)*T_Rate))</f>
        <v>0</v>
      </c>
      <c r="BO12" s="150">
        <f>InfG_5-BN12</f>
        <v>104688896.48271069</v>
      </c>
      <c r="BP12" s="145">
        <f>BO12/( ((1+CYld5)^(T_5))-((((1+CYld5)^(T_5))-1)*T_Rate))</f>
        <v>6979233.5441556377</v>
      </c>
      <c r="BQ12" s="6"/>
      <c r="BR12" s="148">
        <f>BO12/(((((1+SYld_5)^(T_5*12)-1)/SYld_5)*(1+SYld_5))  - ((((((1+SYld_5)^(T_5*12)-1)/SYld_5)*(1+SYld_5))-(T_5*12))*T_Rate))</f>
        <v>68561.653092635141</v>
      </c>
      <c r="BU12" s="154">
        <f>ACorpus5 * ((1+C_EffYld)^(T_5))</f>
        <v>0</v>
      </c>
      <c r="BV12" s="155">
        <f t="shared" si="0"/>
        <v>0</v>
      </c>
      <c r="BW12" s="156">
        <f>BV12*T_Rate</f>
        <v>0</v>
      </c>
      <c r="BX12" s="156">
        <f t="shared" si="1"/>
        <v>0</v>
      </c>
      <c r="BY12" s="152">
        <f>BP12 * ((1+CYld5)^(T_5))</f>
        <v>118647419.75964712</v>
      </c>
      <c r="BZ12" s="152">
        <f t="shared" si="2"/>
        <v>111668186.21549147</v>
      </c>
      <c r="CA12" s="152">
        <f>BZ12*T_Rate</f>
        <v>13958523.276936434</v>
      </c>
      <c r="CB12" s="152">
        <f t="shared" si="3"/>
        <v>104688896.48271069</v>
      </c>
      <c r="CC12" s="148">
        <f t="shared" si="4"/>
        <v>104688896.48271069</v>
      </c>
      <c r="CD12" s="148">
        <f t="shared" si="5"/>
        <v>111668186.21549147</v>
      </c>
      <c r="CE12" s="148">
        <f t="shared" si="6"/>
        <v>13958523.276936434</v>
      </c>
    </row>
    <row r="13" spans="1:83" ht="15.6" x14ac:dyDescent="0.25">
      <c r="A13" s="5"/>
      <c r="B13" s="5"/>
      <c r="C13" s="200"/>
      <c r="D13" s="200"/>
      <c r="E13" s="3"/>
      <c r="F13" s="200"/>
      <c r="G13" s="200"/>
      <c r="H13" s="3"/>
      <c r="I13" s="200"/>
      <c r="J13" s="3"/>
      <c r="K13" s="200"/>
      <c r="L13" s="3"/>
      <c r="M13" s="200"/>
      <c r="N13" s="2"/>
      <c r="O13" s="3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12"/>
      <c r="AB13" s="9"/>
      <c r="AC13" s="9"/>
      <c r="AD13" s="9"/>
      <c r="AE13" s="9"/>
      <c r="AF13" s="9"/>
      <c r="AG13" s="9"/>
      <c r="AH13" s="9"/>
      <c r="AI13" s="8"/>
      <c r="AJ13" s="9"/>
      <c r="AK13" s="9"/>
      <c r="AL13" s="19" t="s">
        <v>126</v>
      </c>
      <c r="AM13" s="8"/>
      <c r="AN13" s="8"/>
      <c r="AO13" s="25"/>
      <c r="AP13" s="2"/>
      <c r="AQ13" s="55" t="s">
        <v>86</v>
      </c>
      <c r="AR13" s="55" t="s">
        <v>87</v>
      </c>
      <c r="BB13" s="8"/>
      <c r="BC13" s="8"/>
      <c r="BD13" s="8"/>
      <c r="BE13" s="8"/>
      <c r="BF13" s="8"/>
      <c r="BG13" s="8"/>
    </row>
    <row r="14" spans="1:83" ht="15.6" x14ac:dyDescent="0.25">
      <c r="A14" s="2"/>
      <c r="B14" s="3"/>
      <c r="C14" s="3"/>
      <c r="D14" s="3"/>
      <c r="E14" s="3"/>
      <c r="F14" s="201"/>
      <c r="G14" s="201"/>
      <c r="H14" s="3"/>
      <c r="I14" s="3"/>
      <c r="J14" s="3"/>
      <c r="K14" s="128">
        <f>IF(ABS(InfG_1-Q15)&lt;5,0,InfG_1-Q15)</f>
        <v>4776209.1861159997</v>
      </c>
      <c r="L14" s="3"/>
      <c r="M14" s="3"/>
      <c r="N14" s="2"/>
      <c r="O14" s="158" t="s">
        <v>79</v>
      </c>
      <c r="P14" s="159" t="s">
        <v>24</v>
      </c>
      <c r="Q14" s="160" t="s">
        <v>61</v>
      </c>
      <c r="R14" s="161" t="s">
        <v>80</v>
      </c>
      <c r="S14" s="161" t="s">
        <v>81</v>
      </c>
      <c r="T14" s="161" t="s">
        <v>82</v>
      </c>
      <c r="U14" s="161" t="s">
        <v>70</v>
      </c>
      <c r="V14" s="161" t="s">
        <v>84</v>
      </c>
      <c r="W14" s="162" t="s">
        <v>70</v>
      </c>
      <c r="X14" s="185" t="s">
        <v>96</v>
      </c>
      <c r="Y14" s="133"/>
      <c r="Z14" s="46" t="s">
        <v>83</v>
      </c>
      <c r="AA14" s="12"/>
      <c r="AB14" s="9"/>
      <c r="AC14" s="9"/>
      <c r="AD14" s="9"/>
      <c r="AE14" s="9"/>
      <c r="AF14" s="9"/>
      <c r="AG14" s="9"/>
      <c r="AH14" s="9"/>
      <c r="AI14" s="8"/>
      <c r="AJ14" s="9"/>
      <c r="AK14" s="9"/>
      <c r="AL14" s="9" t="s">
        <v>127</v>
      </c>
      <c r="AM14" s="8"/>
      <c r="AN14" s="8"/>
      <c r="AO14" s="25"/>
      <c r="AP14" s="2"/>
      <c r="AT14" s="1" t="s">
        <v>47</v>
      </c>
      <c r="AU14" s="14">
        <f>(1+G_RateST)-1</f>
        <v>7.0000000000000062E-2</v>
      </c>
      <c r="AV14" s="54"/>
      <c r="AX14" s="138">
        <f>(1+G_EffYieldST)^(1/12)-1</f>
        <v>5.6541453874052738E-3</v>
      </c>
      <c r="BU14" s="153" t="s">
        <v>43</v>
      </c>
      <c r="BV14" s="153" t="s">
        <v>43</v>
      </c>
      <c r="BW14" s="153" t="s">
        <v>43</v>
      </c>
      <c r="BX14" s="153" t="s">
        <v>43</v>
      </c>
      <c r="CC14" s="148" t="s">
        <v>43</v>
      </c>
      <c r="CD14" s="148"/>
      <c r="CE14" s="148"/>
    </row>
    <row r="15" spans="1:83" ht="15.6" x14ac:dyDescent="0.25">
      <c r="A15" s="2"/>
      <c r="B15" s="78" t="s">
        <v>17</v>
      </c>
      <c r="C15" s="74">
        <v>4000000</v>
      </c>
      <c r="D15" s="79">
        <v>6</v>
      </c>
      <c r="E15" s="3"/>
      <c r="F15" s="206">
        <f>G_1*(1+G_InfRate)^T_1</f>
        <v>4776209.1861159997</v>
      </c>
      <c r="G15" s="206"/>
      <c r="H15" s="3"/>
      <c r="I15" s="89">
        <f>IF(OR(G_1=0,G_1="",T_1=0,T_1=""),0,OT_1/(((((1+SYld_1)^(T_1*12)-1)/SYld_1)*(1+SYld_1)) - ((((((1+SYld_1)^(T_1*12)-1)/SYld_1)*(1+SYld_1))-(T_1*12))*T_Rate)))</f>
        <v>47928.775704264226</v>
      </c>
      <c r="J15" s="3"/>
      <c r="K15" s="89">
        <f>(InfG_1-Q15)/( ((1+CYld1)^(T_1))-((((1+CYld1)^(T_1))-1)*T_Rate))</f>
        <v>2578814.5716795055</v>
      </c>
      <c r="L15" s="3"/>
      <c r="M15" s="77">
        <v>0</v>
      </c>
      <c r="N15" s="2"/>
      <c r="O15" s="47">
        <f>(InfG_1-Q15)/(((1+CYld1)^(T_1))-((((1+CYld1)^(T_1))-1)*T_Rate))</f>
        <v>2578814.5716795055</v>
      </c>
      <c r="P15" s="46">
        <f>InfG_1-Q15</f>
        <v>4776209.1861159997</v>
      </c>
      <c r="Q15" s="46">
        <f>ACorpus1 *( ((1+C_EffYld)^(T_1))-((((1+C_EffYld)^(T_1))-1)*T_Rate))</f>
        <v>0</v>
      </c>
      <c r="R15" s="143">
        <f>CT_1 * ((1+CYld1)^(T_1))-CT_1</f>
        <v>2511308.1307845647</v>
      </c>
      <c r="S15" s="143">
        <f>R15*T_Rate</f>
        <v>313913.51634807058</v>
      </c>
      <c r="T15" s="165">
        <f>I15*((((1+SYld_1)^(T_1*12)-1)/SYld_1)*(1+SYld_1)) - (I15*T_1*12)</f>
        <v>1514671.2404674003</v>
      </c>
      <c r="U15" s="165">
        <f>T15*T_Rate</f>
        <v>189333.90505842504</v>
      </c>
      <c r="V15" s="165">
        <f>ACorpus1 * ((1+C_EffYld)^(T_1))-ACorpus1</f>
        <v>0</v>
      </c>
      <c r="W15" s="165">
        <f>V15*T_Rate</f>
        <v>0</v>
      </c>
      <c r="X15" s="184">
        <f>(InfG_1)/(((1+C_EffYld)^(T_1))-((((1+C_EffYld)^(T_1))-1)*T_Rate))</f>
        <v>2851270.9224464828</v>
      </c>
      <c r="Y15" s="166"/>
      <c r="Z15" s="38">
        <f>SUM(ACorpus1+ACorpus2+ACorpus3+ACorpus4+ACorpus5)</f>
        <v>0</v>
      </c>
      <c r="AA15" s="12"/>
      <c r="AB15" s="9"/>
      <c r="AC15" s="9"/>
      <c r="AD15" s="9"/>
      <c r="AE15" s="9"/>
      <c r="AF15" s="9"/>
      <c r="AG15" s="9"/>
      <c r="AH15" s="9"/>
      <c r="AI15" s="41"/>
      <c r="AJ15" s="33"/>
      <c r="AK15" s="9"/>
      <c r="AL15" s="9"/>
      <c r="AM15" s="8"/>
      <c r="AN15" s="8"/>
      <c r="AO15" s="25"/>
      <c r="AP15" s="2"/>
      <c r="AQ15" s="1">
        <f>(1+CYld1)^(1/12)-1</f>
        <v>9.4887929345830457E-3</v>
      </c>
      <c r="AR15" s="38">
        <f>IF(T_1&lt;=STTerm,G_EffYieldST,G_EffYieldLT)</f>
        <v>0.12000000000000011</v>
      </c>
      <c r="AT15" s="1" t="s">
        <v>48</v>
      </c>
      <c r="AU15" s="137">
        <f>(1+G_RateLT)-1</f>
        <v>0.12000000000000011</v>
      </c>
      <c r="AV15" s="8">
        <f>(1+C_IntRate)-1</f>
        <v>0.10000000000000009</v>
      </c>
      <c r="AW15" s="1" t="s">
        <v>49</v>
      </c>
      <c r="AX15" s="136">
        <f>(1+G_EffYieldLT)^(1/12)-1</f>
        <v>9.4887929345830457E-3</v>
      </c>
      <c r="BU15" s="153" t="s">
        <v>69</v>
      </c>
      <c r="BV15" s="153" t="s">
        <v>68</v>
      </c>
      <c r="BW15" s="153" t="s">
        <v>70</v>
      </c>
      <c r="BX15" s="153" t="s">
        <v>71</v>
      </c>
      <c r="BY15" s="1" t="s">
        <v>78</v>
      </c>
    </row>
    <row r="16" spans="1:83" ht="15.6" x14ac:dyDescent="0.25">
      <c r="A16" s="2"/>
      <c r="B16" s="2"/>
      <c r="C16" s="2"/>
      <c r="D16" s="91" t="str">
        <f>IF(T_1&lt;=$H$6,"ST","")</f>
        <v/>
      </c>
      <c r="E16" s="3"/>
      <c r="F16" s="201"/>
      <c r="G16" s="201"/>
      <c r="H16" s="3"/>
      <c r="I16" s="92">
        <f>IFERROR(I15*T_1*12,"")</f>
        <v>3450871.8507070243</v>
      </c>
      <c r="J16" s="3"/>
      <c r="K16" s="128">
        <f>IF(ABS(InfG_2-Q17)&lt;5,0,InfG_2-Q17)</f>
        <v>609062903.11875606</v>
      </c>
      <c r="L16" s="3"/>
      <c r="M16" s="3"/>
      <c r="N16" s="2"/>
      <c r="O16" s="3"/>
      <c r="P16" s="46"/>
      <c r="Q16" s="46"/>
      <c r="R16" s="143"/>
      <c r="S16" s="165"/>
      <c r="T16" s="165"/>
      <c r="U16" s="165"/>
      <c r="V16" s="165"/>
      <c r="W16" s="165"/>
      <c r="X16" s="184"/>
      <c r="Y16" s="48"/>
      <c r="Z16" s="46"/>
      <c r="AA16" s="12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8"/>
      <c r="AM16" s="8"/>
      <c r="AN16" s="8"/>
      <c r="AO16" s="25"/>
      <c r="AP16" s="2"/>
      <c r="AR16" s="38"/>
      <c r="BU16" s="154">
        <f>BR8*((((1+SYld_1)^(T_1*12)-1)/SYld_1)*(1+SYld_1))</f>
        <v>4965543.0911744246</v>
      </c>
      <c r="BV16" s="155">
        <f>BU16-BR8*T_1*12</f>
        <v>1514671.2404674003</v>
      </c>
      <c r="BW16" s="156">
        <f>BV16*T_Rate</f>
        <v>189333.90505842504</v>
      </c>
      <c r="BX16" s="156">
        <f>BU16-BW16</f>
        <v>4776209.1861159997</v>
      </c>
      <c r="BY16" s="157">
        <f>BR8*12*T_1</f>
        <v>3450871.8507070243</v>
      </c>
      <c r="CC16" s="148">
        <f>BX8+BX16</f>
        <v>4776209.1861159997</v>
      </c>
      <c r="CD16" s="148">
        <f>BV16+BV8</f>
        <v>1514671.2404674003</v>
      </c>
      <c r="CE16" s="148">
        <f>BW16+BW8</f>
        <v>189333.90505842504</v>
      </c>
    </row>
    <row r="17" spans="1:83" ht="15.6" x14ac:dyDescent="0.25">
      <c r="A17" s="2"/>
      <c r="B17" s="80" t="s">
        <v>19</v>
      </c>
      <c r="C17" s="74">
        <v>440000000</v>
      </c>
      <c r="D17" s="79">
        <v>11</v>
      </c>
      <c r="E17" s="3"/>
      <c r="F17" s="209">
        <f>G_2*(1+G_InfRate)^T_2</f>
        <v>609062903.11875606</v>
      </c>
      <c r="G17" s="209"/>
      <c r="H17" s="3"/>
      <c r="I17" s="88">
        <f>IF(OR(G_2=0,G_2="",T_2=0,T_2=""),0,OT_2/(((((1+SYld_2)^(T_2*12)-1)/SYld_2)*(1+SYld_2)) - ((((((1+SYld_2)^(T_2*12)-1)/SYld_2)*(1+SYld_2))-(T_2*12))*T_Rate)))</f>
        <v>2463589.0008846913</v>
      </c>
      <c r="J17" s="3"/>
      <c r="K17" s="88">
        <f>(InfG_2-Q17)/( ((1+CYld2)^(T_2))-((((1+CYld2)^(T_2))-1)*T_Rate))</f>
        <v>192210337.88773784</v>
      </c>
      <c r="L17" s="3"/>
      <c r="M17" s="77">
        <v>0</v>
      </c>
      <c r="N17" s="2"/>
      <c r="O17" s="47">
        <f>(InfG_2-Q17)/( ((1+CYld2)^(T_2))-((((1+CYld2)^(T_2))-1)*T_Rate))</f>
        <v>192210337.88773784</v>
      </c>
      <c r="P17" s="46">
        <f>InfG_2-Q17</f>
        <v>609062903.11875606</v>
      </c>
      <c r="Q17" s="46">
        <f>ACorpus2 *( ((1+C_EffYld)^(T_2))-((((1+C_EffYld)^(T_2))-1)*T_Rate))</f>
        <v>0</v>
      </c>
      <c r="R17" s="143">
        <f>CT_2 * ((1+CYld2)^(T_2))-CT_2</f>
        <v>476402931.69259214</v>
      </c>
      <c r="S17" s="143">
        <f>R17*T_Rate</f>
        <v>59550366.461574018</v>
      </c>
      <c r="T17" s="165">
        <f>I17*((((1+SYld_2)^(T_2*12)-1)/SYld_2)*(1+SYld_2)) - (I17*T_2*12)</f>
        <v>324421891.43083054</v>
      </c>
      <c r="U17" s="165">
        <f>T17*T_Rate</f>
        <v>40552736.428853817</v>
      </c>
      <c r="V17" s="165">
        <f>ACorpus2 * ((1+C_EffYld)^(T_2))-ACorpus2</f>
        <v>0</v>
      </c>
      <c r="W17" s="165">
        <f>V17*T_Rate</f>
        <v>0</v>
      </c>
      <c r="X17" s="184">
        <f>(InfG_2)/(((1+C_EffYld)^(T_2))-((((1+C_EffYld)^(T_2))-1)*T_Rate))</f>
        <v>232335769.39216188</v>
      </c>
      <c r="Y17" s="166"/>
      <c r="Z17" s="38">
        <f>MAX(D15:D23)</f>
        <v>25</v>
      </c>
      <c r="AA17" s="12"/>
      <c r="AB17" s="9"/>
      <c r="AC17" s="9"/>
      <c r="AD17" s="9"/>
      <c r="AE17" s="9"/>
      <c r="AF17" s="9"/>
      <c r="AG17" s="9"/>
      <c r="AH17" s="9"/>
      <c r="AI17" s="15" t="s">
        <v>17</v>
      </c>
      <c r="AJ17" s="9"/>
      <c r="AK17" s="9"/>
      <c r="AL17" s="8"/>
      <c r="AM17" s="30"/>
      <c r="AN17" s="8"/>
      <c r="AO17" s="25"/>
      <c r="AP17" s="2"/>
      <c r="AQ17" s="1">
        <f>(1+CYld2)^(1/12)-1</f>
        <v>9.4887929345830457E-3</v>
      </c>
      <c r="AR17" s="38">
        <f>IF(T_2&lt;=STTerm,G_EffYieldST,G_EffYieldLT)</f>
        <v>0.12000000000000011</v>
      </c>
      <c r="BU17" s="154">
        <f>BR9*((((1+SYld_2)^(T_2*12)-1)/SYld_2)*(1+SYld_2))</f>
        <v>649615639.54760981</v>
      </c>
      <c r="BV17" s="155">
        <f>BU17-BR9*T_2*12</f>
        <v>324421891.43083054</v>
      </c>
      <c r="BW17" s="156">
        <f>BV17*T_Rate</f>
        <v>40552736.428853817</v>
      </c>
      <c r="BX17" s="156">
        <f t="shared" ref="BX17:BX20" si="7">BU17-BW17</f>
        <v>609062903.11875594</v>
      </c>
      <c r="BY17" s="157">
        <f>BR9*12*T_2</f>
        <v>325193748.11677927</v>
      </c>
      <c r="CC17" s="148">
        <f t="shared" ref="CC17:CC19" si="8">BX9+BX17</f>
        <v>609062903.11875594</v>
      </c>
      <c r="CD17" s="148">
        <f t="shared" ref="CD17:CE17" si="9">BV17+BV9</f>
        <v>324421891.43083054</v>
      </c>
      <c r="CE17" s="148">
        <f t="shared" si="9"/>
        <v>40552736.428853817</v>
      </c>
    </row>
    <row r="18" spans="1:83" ht="15.6" x14ac:dyDescent="0.25">
      <c r="A18" s="2"/>
      <c r="B18" s="2"/>
      <c r="C18" s="2"/>
      <c r="D18" s="91" t="str">
        <f>IF(T_2&lt;=$H$6,"ST","")</f>
        <v/>
      </c>
      <c r="E18" s="3"/>
      <c r="F18" s="201"/>
      <c r="G18" s="201"/>
      <c r="H18" s="3"/>
      <c r="I18" s="92">
        <f>IFERROR(I17*T_2*12,"")</f>
        <v>325193748.11677927</v>
      </c>
      <c r="J18" s="3"/>
      <c r="K18" s="128">
        <f>IF(ABS(InfG_3-Q19)&lt;5,0,InfG_3-Q19)</f>
        <v>2687832758.6882434</v>
      </c>
      <c r="L18" s="3"/>
      <c r="M18" s="2"/>
      <c r="N18" s="2"/>
      <c r="O18" s="3"/>
      <c r="P18" s="46"/>
      <c r="Q18" s="46"/>
      <c r="R18" s="143"/>
      <c r="S18" s="165"/>
      <c r="T18" s="165"/>
      <c r="U18" s="165"/>
      <c r="V18" s="165"/>
      <c r="W18" s="165"/>
      <c r="X18" s="184"/>
      <c r="Y18" s="48"/>
      <c r="Z18" s="38">
        <f>ROUND(B_Corpus*(1+C_EffYld)^MAX(D15:D23),0)</f>
        <v>1083470594</v>
      </c>
      <c r="AA18" s="12"/>
      <c r="AB18" s="9"/>
      <c r="AC18" s="9"/>
      <c r="AD18" s="9"/>
      <c r="AE18" s="9"/>
      <c r="AF18" s="9"/>
      <c r="AG18" s="8"/>
      <c r="AH18" s="9"/>
      <c r="AI18" s="9" t="s">
        <v>88</v>
      </c>
      <c r="AJ18" s="9"/>
      <c r="AK18" s="9"/>
      <c r="AL18" s="8"/>
      <c r="AM18" s="8"/>
      <c r="AN18" s="8"/>
      <c r="AO18" s="25"/>
      <c r="AP18" s="2"/>
      <c r="AR18" s="38"/>
      <c r="BU18" s="154">
        <f>BR10*((((1+SYld_3)^(T_3*12)-1)/SYld_3)*(1+SYld_3))</f>
        <v>2853466325.2919388</v>
      </c>
      <c r="BV18" s="155">
        <f>BU18-BR10*T_3*12</f>
        <v>1325068532.8295634</v>
      </c>
      <c r="BW18" s="156">
        <f>BV18*T_Rate</f>
        <v>165633566.60369542</v>
      </c>
      <c r="BX18" s="156">
        <f t="shared" si="7"/>
        <v>2687832758.6882434</v>
      </c>
      <c r="BY18" s="157">
        <f>BR10*12*T_3</f>
        <v>1528397792.4623754</v>
      </c>
      <c r="CC18" s="148">
        <f t="shared" si="8"/>
        <v>2687832758.6882434</v>
      </c>
      <c r="CD18" s="148">
        <f t="shared" ref="CD18:CE18" si="10">BV18+BV10</f>
        <v>1325068532.8295634</v>
      </c>
      <c r="CE18" s="148">
        <f t="shared" si="10"/>
        <v>165633566.60369542</v>
      </c>
    </row>
    <row r="19" spans="1:83" ht="16.2" thickBot="1" x14ac:dyDescent="0.3">
      <c r="A19" s="2"/>
      <c r="B19" s="81" t="s">
        <v>18</v>
      </c>
      <c r="C19" s="74">
        <v>2000000000</v>
      </c>
      <c r="D19" s="79">
        <v>10</v>
      </c>
      <c r="E19" s="3"/>
      <c r="F19" s="204">
        <f>G_3*(1+G_InfRate)^T_3</f>
        <v>2687832758.6882434</v>
      </c>
      <c r="G19" s="204"/>
      <c r="H19" s="3"/>
      <c r="I19" s="87">
        <f>IF(OR(G_3=0,G_3="",T_3=0,T_3=""),0,OT_3/(((((1+SYld_3)^(T_3*12)-1)/SYld_3)*(1+SYld_3)) - ((((((1+SYld_3)^(T_3*12)-1)/SYld_3)*(1+SYld_3))-(T_3*12))*T_Rate)))</f>
        <v>12736648.270519795</v>
      </c>
      <c r="J19" s="3"/>
      <c r="K19" s="87">
        <f>(InfG_3-Q19)/( ((1+CYld3)^(T_3))-((((1+CYld3)^(T_3))-1)*T_Rate))</f>
        <v>945548621.67981458</v>
      </c>
      <c r="L19" s="3"/>
      <c r="M19" s="77">
        <v>0</v>
      </c>
      <c r="N19" s="2"/>
      <c r="O19" s="47">
        <f>(InfG_3-Q19)/( ((1+CYld3)^(T_3))-((((1+CYld3)^(T_3))-1)*T_Rate))</f>
        <v>945548621.67981458</v>
      </c>
      <c r="P19" s="46">
        <f>InfG_3-Q19</f>
        <v>2687832758.6882434</v>
      </c>
      <c r="Q19" s="46">
        <f>ACorpus3 *( ((1+C_EffYld)^(T_3))-((((1+C_EffYld)^(T_3))-1)*T_Rate))</f>
        <v>0</v>
      </c>
      <c r="R19" s="143">
        <f>CT_3 * ((1+CYld3)^(T_3))-CT_3</f>
        <v>1991181870.8667758</v>
      </c>
      <c r="S19" s="143">
        <f>R19*T_Rate</f>
        <v>248897733.85834697</v>
      </c>
      <c r="T19" s="165">
        <f>I19*((((1+SYld_3)^(T_3*12)-1)/SYld_3)*(1+SYld_3)) - (I19*T_3*12)</f>
        <v>1325068532.8295634</v>
      </c>
      <c r="U19" s="165">
        <f>T19*T_Rate</f>
        <v>165633566.60369542</v>
      </c>
      <c r="V19" s="165">
        <f>ACorpus3 * ((1+C_EffYld)^(T_3))-ACorpus3</f>
        <v>0</v>
      </c>
      <c r="W19" s="165">
        <f>V19*T_Rate</f>
        <v>0</v>
      </c>
      <c r="X19" s="184">
        <f>(InfG_3)/(((1+C_EffYld)^(T_3))-((((1+C_EffYld)^(T_3))-1)*T_Rate))</f>
        <v>1122491161.5688717</v>
      </c>
      <c r="Y19" s="166"/>
      <c r="Z19" s="38" t="str">
        <f>TEXT(ROUND(Z18,0),"[&gt;10000000] #\,##\,##\,##0;[&gt;100000] #\,##\,##0;##,##0")</f>
        <v xml:space="preserve"> 108,34,70,594</v>
      </c>
      <c r="AA19" s="12"/>
      <c r="AB19" s="8"/>
      <c r="AC19" s="9"/>
      <c r="AD19" s="9"/>
      <c r="AE19" s="9"/>
      <c r="AF19" s="9"/>
      <c r="AG19" s="8"/>
      <c r="AH19" s="15"/>
      <c r="AI19" s="19" t="s">
        <v>128</v>
      </c>
      <c r="AJ19" s="9"/>
      <c r="AK19" s="9"/>
      <c r="AL19" s="8"/>
      <c r="AM19" s="8"/>
      <c r="AN19" s="8"/>
      <c r="AO19" s="25"/>
      <c r="AP19" s="2"/>
      <c r="AQ19" s="1">
        <f>(1+CYld3)^(1/12)-1</f>
        <v>9.4887929345830457E-3</v>
      </c>
      <c r="AR19" s="38">
        <f>IF(T_3&lt;=STTerm,G_EffYieldST,G_EffYieldLT)</f>
        <v>0.12000000000000011</v>
      </c>
      <c r="BU19" s="154">
        <f>BR11*((((1+SYld_4)^(T_4*12)-1)/SYld_4)*(1+SYld_4))</f>
        <v>5679520.5645014187</v>
      </c>
      <c r="BV19" s="155">
        <f>BU19-BR11*T_4*12</f>
        <v>920040.06289135013</v>
      </c>
      <c r="BW19" s="156">
        <f>BV19*T_Rate</f>
        <v>115005.00786141877</v>
      </c>
      <c r="BX19" s="156">
        <f t="shared" si="7"/>
        <v>5564515.5566400001</v>
      </c>
      <c r="BY19" s="157">
        <f>BR11*12*T_4</f>
        <v>4759480.5016100686</v>
      </c>
      <c r="CC19" s="148">
        <f t="shared" si="8"/>
        <v>5564515.5566400001</v>
      </c>
      <c r="CD19" s="148">
        <f t="shared" ref="CD19:CE19" si="11">BV19+BV11</f>
        <v>920040.06289135013</v>
      </c>
      <c r="CE19" s="148">
        <f t="shared" si="11"/>
        <v>115005.00786141877</v>
      </c>
    </row>
    <row r="20" spans="1:83" ht="16.2" thickBot="1" x14ac:dyDescent="0.3">
      <c r="A20" s="2"/>
      <c r="B20" s="2"/>
      <c r="C20" s="2"/>
      <c r="D20" s="91" t="str">
        <f>IF(T_3&lt;=$H$6,"ST","")</f>
        <v/>
      </c>
      <c r="E20" s="3"/>
      <c r="F20" s="201"/>
      <c r="G20" s="201"/>
      <c r="H20" s="3"/>
      <c r="I20" s="92">
        <f>IFERROR(I19*T_3*12,"")</f>
        <v>1528397792.4623754</v>
      </c>
      <c r="J20" s="3"/>
      <c r="K20" s="128">
        <f>IF(ABS(InfG_4-Q21)&lt;5,0,InfG_4-Q21)</f>
        <v>5564515.5566399992</v>
      </c>
      <c r="L20" s="3"/>
      <c r="M20" s="2"/>
      <c r="N20" s="2"/>
      <c r="O20" s="3"/>
      <c r="P20" s="46"/>
      <c r="Q20" s="46"/>
      <c r="R20" s="143"/>
      <c r="S20" s="165"/>
      <c r="T20" s="165"/>
      <c r="U20" s="165"/>
      <c r="V20" s="165"/>
      <c r="W20" s="165"/>
      <c r="X20" s="184"/>
      <c r="Y20" s="48"/>
      <c r="Z20" s="49" t="str">
        <f>TEXT(ROUND(Z18,0),"[&gt;1000000000] #\,##\,##\,##\,##0;[&gt;10000000] #\,##\,##\,##0")</f>
        <v xml:space="preserve"> 1,08,34,70,594</v>
      </c>
      <c r="AA20" s="12"/>
      <c r="AB20" s="40" t="s">
        <v>9</v>
      </c>
      <c r="AC20" s="9"/>
      <c r="AD20" s="9"/>
      <c r="AE20" s="9"/>
      <c r="AF20" s="9"/>
      <c r="AG20" s="8"/>
      <c r="AH20" s="9"/>
      <c r="AI20" s="9" t="s">
        <v>129</v>
      </c>
      <c r="AJ20" s="9"/>
      <c r="AK20" s="9"/>
      <c r="AL20" s="8"/>
      <c r="AM20" s="8"/>
      <c r="AN20" s="8"/>
      <c r="AO20" s="25"/>
      <c r="AP20" s="2"/>
      <c r="AR20" s="38"/>
      <c r="BU20" s="154">
        <f>BR12*((((1+SYld_5)^(T_5*12)-1)/SYld_5)*(1+SYld_5))</f>
        <v>116706096.56198499</v>
      </c>
      <c r="BV20" s="155">
        <f>BU20-BR12*T_5*12</f>
        <v>96137600.634194434</v>
      </c>
      <c r="BW20" s="156">
        <f>BV20*T_Rate</f>
        <v>12017200.079274304</v>
      </c>
      <c r="BX20" s="156">
        <f t="shared" si="7"/>
        <v>104688896.48271069</v>
      </c>
      <c r="BY20" s="157">
        <f>BR12*12*T_5</f>
        <v>20568495.927790541</v>
      </c>
      <c r="CC20" s="148">
        <f>BX12+BX20</f>
        <v>104688896.48271069</v>
      </c>
      <c r="CD20" s="148">
        <f t="shared" ref="CD20:CE20" si="12">BV20+BV12</f>
        <v>96137600.634194434</v>
      </c>
      <c r="CE20" s="148">
        <f t="shared" si="12"/>
        <v>12017200.079274304</v>
      </c>
    </row>
    <row r="21" spans="1:83" customFormat="1" ht="15.6" x14ac:dyDescent="0.25">
      <c r="A21" s="2"/>
      <c r="B21" s="82" t="s">
        <v>9</v>
      </c>
      <c r="C21" s="74">
        <v>4800000</v>
      </c>
      <c r="D21" s="79">
        <v>5</v>
      </c>
      <c r="E21" s="3"/>
      <c r="F21" s="207">
        <f>G_4*(1+G_InfRate)^T_4</f>
        <v>5564515.5566399992</v>
      </c>
      <c r="G21" s="207"/>
      <c r="H21" s="3"/>
      <c r="I21" s="86">
        <f>IF(OR(G_4=0,G_4="",T_4=0,T_4=""),0,OT_4/(((((1+SYld_4)^(T_4*12)-1)/SYld_4)*(1+SYld_4)) - ((((((1+SYld_4)^(T_4*12)-1)/SYld_4)*(1+SYld_4))-(T_4*12))*T_Rate)))</f>
        <v>79324.675026834477</v>
      </c>
      <c r="J21" s="85"/>
      <c r="K21" s="86">
        <f>(InfG_4-Q21)/( ((1+CYld4)^(T_4))-((((1+CYld4)^(T_4))-1)*T_Rate))</f>
        <v>4115057.4836598844</v>
      </c>
      <c r="L21" s="3"/>
      <c r="M21" s="77">
        <v>0</v>
      </c>
      <c r="N21" s="2"/>
      <c r="O21" s="47">
        <f>(InfG_4-Q21)/( ((1+CYld4)^(T_4))-((((1+CYld4)^(T_4))-1)*T_Rate))</f>
        <v>4115057.4836598844</v>
      </c>
      <c r="P21" s="46">
        <f>InfG_4-Q21</f>
        <v>5564515.5566399992</v>
      </c>
      <c r="Q21" s="46">
        <f>ACorpus4 *( ((1+C_EffYld)^(T_4))-((((1+C_EffYld)^(T_4))-1)*T_Rate))</f>
        <v>0</v>
      </c>
      <c r="R21" s="143">
        <f>CT_4 * ((1+CYld4)^(T_4))-CT_4</f>
        <v>1656523.5119772744</v>
      </c>
      <c r="S21" s="143">
        <f>R21*T_Rate</f>
        <v>207065.4389971593</v>
      </c>
      <c r="T21" s="165">
        <f>I21*((((1+SYld_4)^(T_4*12)-1)/SYld_4)*(1+SYld_4)) - (I21*T_4*12)</f>
        <v>920040.06289135013</v>
      </c>
      <c r="U21" s="165">
        <f>T21*T_Rate</f>
        <v>115005.00786141877</v>
      </c>
      <c r="V21" s="165">
        <f>ACorpus4 * ((1+C_EffYld)^(T_4))-ACorpus4</f>
        <v>0</v>
      </c>
      <c r="W21" s="165">
        <f>V21*T_Rate</f>
        <v>0</v>
      </c>
      <c r="X21" s="184">
        <f>(InfG_4)/(((1+C_EffYld)^(T_4))-((((1+C_EffYld)^(T_4))-1)*T_Rate))</f>
        <v>3626990.7168916608</v>
      </c>
      <c r="Y21" s="166"/>
      <c r="Z21" s="48"/>
      <c r="AA21" s="12"/>
      <c r="AB21" s="22" t="s">
        <v>52</v>
      </c>
      <c r="AC21" s="9"/>
      <c r="AD21" s="9"/>
      <c r="AE21" s="9"/>
      <c r="AF21" s="9"/>
      <c r="AG21" s="8"/>
      <c r="AH21" s="9"/>
      <c r="AI21" s="9" t="s">
        <v>130</v>
      </c>
      <c r="AJ21" s="9"/>
      <c r="AK21" s="9"/>
      <c r="AL21" s="8"/>
      <c r="AM21" s="8"/>
      <c r="AN21" s="9"/>
      <c r="AO21" s="28"/>
      <c r="AP21" s="2"/>
      <c r="AQ21">
        <f>(1+CYld4)^(1/12)-1</f>
        <v>5.6541453874052738E-3</v>
      </c>
      <c r="AR21" s="38">
        <f>IF(T_4&lt;=STTerm,G_EffYieldST,G_EffYieldLT)</f>
        <v>7.0000000000000062E-2</v>
      </c>
      <c r="BM21" s="149"/>
      <c r="BN21" s="149"/>
      <c r="BO21" s="149"/>
      <c r="BP21" s="149"/>
      <c r="BQ21" s="149"/>
      <c r="BR21" s="149"/>
    </row>
    <row r="22" spans="1:83" customFormat="1" ht="15.6" x14ac:dyDescent="0.25">
      <c r="A22" s="2"/>
      <c r="B22" s="2"/>
      <c r="C22" s="2"/>
      <c r="D22" s="91" t="str">
        <f>IF(T_4&lt;=$H$6,"ST","")</f>
        <v>ST</v>
      </c>
      <c r="E22" s="3"/>
      <c r="F22" s="201"/>
      <c r="G22" s="201"/>
      <c r="H22" s="3"/>
      <c r="I22" s="92">
        <f>IFERROR(I21*T_4*12,"")</f>
        <v>4759480.5016100686</v>
      </c>
      <c r="J22" s="3"/>
      <c r="K22" s="128">
        <f>IF(ABS(InfG_5-Q23)&lt;5,0,InfG_5-Q23)</f>
        <v>104688896.48271069</v>
      </c>
      <c r="L22" s="3"/>
      <c r="M22" s="2"/>
      <c r="N22" s="2"/>
      <c r="O22" s="3"/>
      <c r="P22" s="46"/>
      <c r="Q22" s="46"/>
      <c r="R22" s="143"/>
      <c r="S22" s="143"/>
      <c r="T22" s="143"/>
      <c r="U22" s="143"/>
      <c r="V22" s="143"/>
      <c r="W22" s="143"/>
      <c r="X22" s="184"/>
      <c r="Y22" s="48"/>
      <c r="Z22" s="48"/>
      <c r="AA22" s="12"/>
      <c r="AB22" s="9" t="s">
        <v>131</v>
      </c>
      <c r="AC22" s="9"/>
      <c r="AD22" s="9"/>
      <c r="AE22" s="9"/>
      <c r="AF22" s="9"/>
      <c r="AG22" s="8"/>
      <c r="AH22" s="9"/>
      <c r="AI22" s="8"/>
      <c r="AJ22" s="9"/>
      <c r="AK22" s="9"/>
      <c r="AL22" s="8"/>
      <c r="AM22" s="8"/>
      <c r="AN22" s="9"/>
      <c r="AO22" s="28"/>
      <c r="AP22" s="2"/>
      <c r="AR22" s="9"/>
      <c r="BM22" s="149"/>
      <c r="BN22" s="149"/>
      <c r="BO22" s="149"/>
      <c r="BP22" s="149"/>
      <c r="BQ22" s="149"/>
      <c r="BR22" s="149"/>
    </row>
    <row r="23" spans="1:83" customFormat="1" ht="15.6" customHeight="1" x14ac:dyDescent="0.25">
      <c r="A23" s="2"/>
      <c r="B23" s="83" t="s">
        <v>10</v>
      </c>
      <c r="C23" s="74">
        <v>50000000</v>
      </c>
      <c r="D23" s="79">
        <v>25</v>
      </c>
      <c r="E23" s="3"/>
      <c r="F23" s="208">
        <f>G_5*(1+G_InfRate)^T_5</f>
        <v>104688896.48271069</v>
      </c>
      <c r="G23" s="208"/>
      <c r="H23" s="3"/>
      <c r="I23" s="84">
        <f>IF(OR(G_5=0,G_5="",T_5=0,T_5=""),0,OT_5/(((((1+SYld_5)^(T_5*12)-1)/SYld_5)*(1+SYld_5)) - ((((((1+SYld_5)^(T_5*12)-1)/SYld_5)*(1+SYld_5))-(T_5*12))*T_Rate)))</f>
        <v>68561.653092635141</v>
      </c>
      <c r="J23" s="3"/>
      <c r="K23" s="84">
        <f>(InfG_5-Q23)/( ((1+CYld5)^(T_5))-((((1+CYld5)^(T_5))-1)*T_Rate))</f>
        <v>6979233.5441556377</v>
      </c>
      <c r="L23" s="3"/>
      <c r="M23" s="77">
        <v>0</v>
      </c>
      <c r="N23" s="2"/>
      <c r="O23" s="47">
        <f>(InfG_5-Q23)/( ((1+CYld5)^(T_5))-((((1+CYld5)^(T_5))-1)*T_Rate))</f>
        <v>6979233.5441556377</v>
      </c>
      <c r="P23" s="46">
        <f>InfG_5-Q23</f>
        <v>104688896.48271069</v>
      </c>
      <c r="Q23" s="46">
        <f>ACorpus5 *( ((1+C_EffYld)^(T_5))-((((1+C_EffYld)^(T_5))-1)*T_Rate))</f>
        <v>0</v>
      </c>
      <c r="R23" s="143">
        <f>CT_5 * ((1+CYld5)^(T_5))-CT_5</f>
        <v>111668186.21549147</v>
      </c>
      <c r="S23" s="143">
        <f>R23*T_Rate</f>
        <v>13958523.276936434</v>
      </c>
      <c r="T23" s="165">
        <f>I23*((((1+SYld_5)^(T_5*12)-1)/SYld_5)*(1+SYld_5)) - (I23*T_5*12)</f>
        <v>96137600.634194434</v>
      </c>
      <c r="U23" s="165">
        <f>T23*T_Rate</f>
        <v>12017200.079274304</v>
      </c>
      <c r="V23" s="165">
        <f>ACorpus5 * ((1+C_EffYld)^(T_5))-ACorpus5</f>
        <v>0</v>
      </c>
      <c r="W23" s="165">
        <f>V23*T_Rate</f>
        <v>0</v>
      </c>
      <c r="X23" s="184">
        <f>(InfG_5)/(((1+C_EffYld)^(T_5))-((((1+C_EffYld)^(T_5))-1)*T_Rate))</f>
        <v>10898999.366535896</v>
      </c>
      <c r="Y23" s="166"/>
      <c r="Z23" s="48"/>
      <c r="AA23" s="12"/>
      <c r="AB23" s="9" t="s">
        <v>132</v>
      </c>
      <c r="AC23" s="9"/>
      <c r="AD23" s="9"/>
      <c r="AE23" s="9"/>
      <c r="AF23" s="9"/>
      <c r="AG23" s="9"/>
      <c r="AH23" s="9"/>
      <c r="AI23" s="9"/>
      <c r="AJ23" s="9"/>
      <c r="AK23" s="9"/>
      <c r="AL23" s="8"/>
      <c r="AM23" s="8"/>
      <c r="AN23" s="9"/>
      <c r="AO23" s="28"/>
      <c r="AP23" s="2"/>
      <c r="AQ23">
        <f>(1+CYld5)^(1/12)-1</f>
        <v>9.4887929345830457E-3</v>
      </c>
      <c r="AR23" s="9">
        <f>IF(T_5&lt;=STTerm,G_EffYieldST,G_EffYieldLT)</f>
        <v>0.12000000000000011</v>
      </c>
      <c r="AW23" s="109" t="s">
        <v>30</v>
      </c>
      <c r="AX23" s="93">
        <f>COUNT(AX31:AX1231)</f>
        <v>73</v>
      </c>
      <c r="AY23" s="96"/>
      <c r="AZ23" s="96">
        <f>COUNT(AZ31:AZ1231)</f>
        <v>133</v>
      </c>
      <c r="BA23" s="97"/>
      <c r="BB23" s="97">
        <f>COUNT(BB31:BB1231)</f>
        <v>121</v>
      </c>
      <c r="BC23" s="100"/>
      <c r="BD23" s="100">
        <f>COUNT(BD31:BD1231)</f>
        <v>61</v>
      </c>
      <c r="BE23" s="102"/>
      <c r="BF23" s="102">
        <f>COUNT(BF31:BF1231)</f>
        <v>301</v>
      </c>
      <c r="BM23" s="149"/>
      <c r="BN23" s="149"/>
      <c r="BO23" s="149"/>
      <c r="BP23" s="149"/>
      <c r="BQ23" s="149"/>
      <c r="BR23" s="149"/>
    </row>
    <row r="24" spans="1:83" customFormat="1" ht="16.2" thickBot="1" x14ac:dyDescent="0.3">
      <c r="A24" s="132"/>
      <c r="B24" s="2"/>
      <c r="C24" s="2"/>
      <c r="D24" s="91" t="str">
        <f>IF(T_5&lt;=$H$6,"ST","")</f>
        <v/>
      </c>
      <c r="E24" s="3"/>
      <c r="F24" s="3"/>
      <c r="G24" s="3"/>
      <c r="H24" s="3"/>
      <c r="I24" s="92">
        <f>IFERROR(I23*T_5*12,"")</f>
        <v>20568495.927790545</v>
      </c>
      <c r="J24" s="3"/>
      <c r="K24" s="2"/>
      <c r="L24" s="2"/>
      <c r="M24" s="2"/>
      <c r="N24" s="2"/>
      <c r="O24" s="2"/>
      <c r="P24" s="46"/>
      <c r="Q24" s="46"/>
      <c r="R24" s="1"/>
      <c r="S24" s="1"/>
      <c r="T24" s="1"/>
      <c r="U24" s="1"/>
      <c r="V24" s="1"/>
      <c r="W24" s="1"/>
      <c r="X24" s="48"/>
      <c r="Y24" s="32"/>
      <c r="Z24" s="48"/>
      <c r="AA24" s="12"/>
      <c r="AB24" s="39" t="s">
        <v>133</v>
      </c>
      <c r="AC24" s="8"/>
      <c r="AD24" s="8"/>
      <c r="AE24" s="8"/>
      <c r="AF24" s="9"/>
      <c r="AG24" s="9"/>
      <c r="AH24" s="9"/>
      <c r="AI24" s="9"/>
      <c r="AJ24" s="9"/>
      <c r="AK24" s="9"/>
      <c r="AL24" s="8"/>
      <c r="AM24" s="8"/>
      <c r="AN24" s="9"/>
      <c r="AO24" s="28"/>
      <c r="AP24" s="2"/>
      <c r="AV24" s="110">
        <f ca="1">IFERROR(AW25,"")</f>
        <v>0.10703819394111636</v>
      </c>
      <c r="AW24" s="93"/>
      <c r="AX24" s="93"/>
      <c r="AY24" s="96"/>
      <c r="AZ24" s="96"/>
      <c r="BA24" s="97"/>
      <c r="BB24" s="97"/>
      <c r="BC24" s="100"/>
      <c r="BD24" s="100"/>
      <c r="BE24" s="102"/>
      <c r="BF24" s="102"/>
      <c r="BM24" s="149"/>
      <c r="BN24" s="149"/>
      <c r="BO24" s="149"/>
      <c r="BP24" s="149"/>
      <c r="BQ24" s="149"/>
      <c r="BR24" s="149"/>
    </row>
    <row r="25" spans="1:83" ht="16.2" thickBot="1" x14ac:dyDescent="0.3">
      <c r="A25" s="132"/>
      <c r="B25" s="210" t="s">
        <v>7</v>
      </c>
      <c r="C25" s="210"/>
      <c r="D25" s="210"/>
      <c r="E25" s="210"/>
      <c r="F25" s="210"/>
      <c r="G25" s="210"/>
      <c r="H25" s="3"/>
      <c r="I25" s="186">
        <f>SUM(I16,I18,I20,I22,I24)</f>
        <v>1882370388.8592622</v>
      </c>
      <c r="J25" s="20"/>
      <c r="K25" s="43">
        <f>SUM(K15,K17,K19,K21,K23)</f>
        <v>1151432065.1670475</v>
      </c>
      <c r="L25" s="3"/>
      <c r="M25" s="2"/>
      <c r="N25" s="2"/>
      <c r="O25" s="2"/>
      <c r="P25" s="46"/>
      <c r="Q25" s="46">
        <f>Q23+Q21+Q19+Q17+Q15</f>
        <v>0</v>
      </c>
      <c r="R25" s="46">
        <f t="shared" ref="R25:W25" si="13">R23+R21+R19+R17+R15</f>
        <v>2583420820.4176211</v>
      </c>
      <c r="S25" s="46">
        <f t="shared" si="13"/>
        <v>322927602.55220264</v>
      </c>
      <c r="T25" s="46">
        <f t="shared" si="13"/>
        <v>1748062736.197947</v>
      </c>
      <c r="U25" s="46">
        <f t="shared" si="13"/>
        <v>218507842.02474338</v>
      </c>
      <c r="V25" s="46">
        <f t="shared" si="13"/>
        <v>0</v>
      </c>
      <c r="W25" s="46">
        <f t="shared" si="13"/>
        <v>0</v>
      </c>
      <c r="X25" s="46"/>
      <c r="Y25" s="46"/>
      <c r="Z25" s="48">
        <f>(Z18-B_Corpus)*T_Rate</f>
        <v>122933824.25</v>
      </c>
      <c r="AA25" s="12"/>
      <c r="AB25" s="8"/>
      <c r="AC25" s="8"/>
      <c r="AD25" s="8"/>
      <c r="AE25" s="8"/>
      <c r="AF25" s="9"/>
      <c r="AG25" s="9"/>
      <c r="AH25" s="9"/>
      <c r="AI25" s="9"/>
      <c r="AJ25" s="9"/>
      <c r="AK25" s="9"/>
      <c r="AL25" s="45" t="s">
        <v>95</v>
      </c>
      <c r="AM25" s="8"/>
      <c r="AN25" s="8"/>
      <c r="AO25" s="25"/>
      <c r="AP25" s="2"/>
      <c r="AV25" s="110">
        <f ca="1">IFERROR(AY25,"")</f>
        <v>0.10906239151954647</v>
      </c>
      <c r="AW25" s="104">
        <f ca="1">XIRR(AX31:INDEX(AX31:AX1231,T_1*12+1,0),AW31:INDEX(AW31:AW1231,T_1*12+1,0))</f>
        <v>0.10703819394111636</v>
      </c>
      <c r="AX25" s="104"/>
      <c r="AY25" s="105">
        <f ca="1">XIRR(AZ31:INDEX(AZ31:AZ1231,T_2*12+1,0),AY31:INDEX(AY31:AY1231,T_2*12+1,0))</f>
        <v>0.10906239151954647</v>
      </c>
      <c r="AZ25" s="105"/>
      <c r="BA25" s="105">
        <f ca="1">XIRR(BB31:INDEX(BB31:BB1231,T_3*12+1,0),BA31:INDEX(BA31:BA1231,T_3*12+1,0))</f>
        <v>0.10867461562156677</v>
      </c>
      <c r="BB25" s="106"/>
      <c r="BC25" s="105">
        <f ca="1">XIRR(BD31:INDEX(BD31:BD1231,T_4*12+1,0),BC31:INDEX(BC31:BC1231,T_4*12+1,0))</f>
        <v>6.1848786473274242E-2</v>
      </c>
      <c r="BD25" s="107"/>
      <c r="BE25" s="105">
        <f ca="1">XIRR(BF31:INDEX(BF31:BF1231,T_5*12+1,0),BE31:INDEX(BE31:BE1231,T_5*12+1,0))</f>
        <v>0.11306386590003967</v>
      </c>
      <c r="BF25" s="102"/>
    </row>
    <row r="26" spans="1:83" ht="16.2" thickBot="1" x14ac:dyDescent="0.3">
      <c r="A26" s="2"/>
      <c r="B26" s="210" t="s">
        <v>40</v>
      </c>
      <c r="C26" s="210"/>
      <c r="D26" s="210"/>
      <c r="E26" s="210"/>
      <c r="F26" s="210"/>
      <c r="G26" s="210"/>
      <c r="H26" s="3"/>
      <c r="I26" s="187">
        <f>SUM(I15,I17,I19,I21,I23)</f>
        <v>15396052.375228221</v>
      </c>
      <c r="J26" s="3"/>
      <c r="K26" s="2"/>
      <c r="L26" s="2"/>
      <c r="M26" s="2"/>
      <c r="N26" s="2"/>
      <c r="O26" s="3"/>
      <c r="P26" s="46"/>
      <c r="Q26" s="46"/>
      <c r="R26" s="46"/>
      <c r="S26" s="46"/>
      <c r="T26" s="46"/>
      <c r="U26" s="46"/>
      <c r="V26" s="46"/>
      <c r="W26" s="46"/>
      <c r="X26" s="48"/>
      <c r="Y26" s="48"/>
      <c r="Z26" s="48"/>
      <c r="AA26" s="12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 t="s">
        <v>134</v>
      </c>
      <c r="AM26" s="8"/>
      <c r="AN26" s="8"/>
      <c r="AO26" s="25"/>
      <c r="AP26" s="2"/>
      <c r="AV26" s="110">
        <f ca="1">IFERROR(BA25,"")</f>
        <v>0.10867461562156677</v>
      </c>
      <c r="AW26" s="93"/>
      <c r="AX26" s="93"/>
      <c r="AY26" s="96"/>
      <c r="AZ26" s="96"/>
      <c r="BA26" s="97"/>
      <c r="BB26" s="97"/>
      <c r="BC26" s="100"/>
      <c r="BD26" s="100"/>
      <c r="BE26" s="102"/>
      <c r="BF26" s="102"/>
    </row>
    <row r="27" spans="1:83" ht="16.2" thickBot="1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129"/>
      <c r="P27" s="46"/>
      <c r="Q27" s="46"/>
      <c r="R27" s="46"/>
      <c r="S27" s="46"/>
      <c r="T27" s="46"/>
      <c r="U27" s="46"/>
      <c r="V27" s="46"/>
      <c r="W27" s="46"/>
      <c r="X27" s="48"/>
      <c r="Y27" s="46"/>
      <c r="Z27" s="2"/>
      <c r="AA27" s="53"/>
      <c r="AB27" s="13"/>
      <c r="AC27" s="13"/>
      <c r="AD27" s="13"/>
      <c r="AE27" s="13"/>
      <c r="AF27" s="21"/>
      <c r="AG27" s="21"/>
      <c r="AH27" s="21"/>
      <c r="AI27" s="21"/>
      <c r="AJ27" s="21"/>
      <c r="AK27" s="21"/>
      <c r="AL27" s="13"/>
      <c r="AM27" s="13"/>
      <c r="AN27" s="13"/>
      <c r="AO27" s="29"/>
      <c r="AP27" s="2"/>
      <c r="AV27" s="110">
        <f ca="1">IFERROR(BC25,"")</f>
        <v>6.1848786473274242E-2</v>
      </c>
      <c r="AW27" s="93"/>
      <c r="AX27" s="93"/>
      <c r="AY27" s="96"/>
      <c r="AZ27" s="96"/>
      <c r="BA27" s="97"/>
      <c r="BB27" s="97"/>
      <c r="BC27" s="100"/>
      <c r="BD27" s="100"/>
      <c r="BE27" s="102"/>
      <c r="BF27" s="102"/>
    </row>
    <row r="28" spans="1:83" ht="15.6" x14ac:dyDescent="0.25">
      <c r="A28" s="2"/>
      <c r="B28" s="2"/>
      <c r="C28" s="2"/>
      <c r="D28" s="205" t="str">
        <f>IF(Z18&gt;0,"Balance Corpus Value after "&amp;MAX(D15:D23)&amp;" years: Rs. "&amp;IF(Z19&gt;10000000,Z19,Z20),"")</f>
        <v>Balance Corpus Value after 25 years: Rs.  108,34,70,594</v>
      </c>
      <c r="E28" s="205"/>
      <c r="F28" s="205"/>
      <c r="G28" s="205"/>
      <c r="H28" s="205"/>
      <c r="I28" s="205"/>
      <c r="J28" s="205"/>
      <c r="K28" s="205"/>
      <c r="L28" s="2"/>
      <c r="M28" s="2"/>
      <c r="N28" s="2"/>
      <c r="O28" s="129"/>
      <c r="P28" s="46"/>
      <c r="Q28" s="46"/>
      <c r="R28" s="46"/>
      <c r="S28" s="46"/>
      <c r="T28" s="46"/>
      <c r="U28" s="46"/>
      <c r="V28" s="46"/>
      <c r="W28" s="46"/>
      <c r="X28" s="48"/>
      <c r="Y28" s="46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V28" s="110">
        <f ca="1">IFERROR(BE25,"")</f>
        <v>0.11306386590003967</v>
      </c>
      <c r="AW28" s="93" t="s">
        <v>25</v>
      </c>
      <c r="AX28" s="93"/>
      <c r="AY28" s="96" t="s">
        <v>26</v>
      </c>
      <c r="AZ28" s="96"/>
      <c r="BA28" s="97" t="s">
        <v>27</v>
      </c>
      <c r="BB28" s="97"/>
      <c r="BC28" s="100" t="s">
        <v>28</v>
      </c>
      <c r="BD28" s="100"/>
      <c r="BE28" s="102" t="s">
        <v>29</v>
      </c>
      <c r="BF28" s="102"/>
    </row>
    <row r="29" spans="1:83" ht="10.199999999999999" customHeight="1" x14ac:dyDescent="0.25">
      <c r="A29" s="2"/>
      <c r="B29" s="2"/>
      <c r="C29" s="2"/>
      <c r="D29" s="203" t="str" cm="1">
        <f t="array" ref="D29">IF(AND(T_Rate&gt;0,Z25&gt;0),"Tax on Balance Corpus : Rs. "&amp; convertIndiaFormat(ROUND(Z25,0)),"")</f>
        <v>Tax on Balance Corpus : Rs. 12,29,33,824</v>
      </c>
      <c r="E29" s="203"/>
      <c r="F29" s="203"/>
      <c r="G29" s="203"/>
      <c r="H29" s="203"/>
      <c r="I29" s="203"/>
      <c r="J29" s="203"/>
      <c r="K29" s="203"/>
      <c r="L29" s="2"/>
      <c r="M29" s="2"/>
      <c r="N29" s="2"/>
      <c r="O29" s="129"/>
      <c r="P29" s="46"/>
      <c r="Q29" s="46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V29"/>
      <c r="AW29" s="93"/>
      <c r="AX29" s="93"/>
      <c r="AY29" s="96"/>
      <c r="AZ29" s="96"/>
      <c r="BA29" s="97"/>
      <c r="BB29" s="97"/>
      <c r="BC29" s="100"/>
      <c r="BD29" s="100"/>
      <c r="BE29" s="102"/>
      <c r="BF29" s="102"/>
    </row>
    <row r="30" spans="1:83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51" t="s">
        <v>42</v>
      </c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V30"/>
      <c r="AW30" s="93"/>
      <c r="AX30" s="93"/>
      <c r="AY30" s="96"/>
      <c r="AZ30" s="96"/>
      <c r="BA30" s="97"/>
      <c r="BB30" s="97"/>
      <c r="BC30" s="100"/>
      <c r="BD30" s="100"/>
      <c r="BE30" s="102"/>
      <c r="BF30" s="102"/>
    </row>
    <row r="31" spans="1:83" ht="15.6" x14ac:dyDescent="0.25">
      <c r="A31" s="2"/>
      <c r="B31" s="7" t="s">
        <v>136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129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V31">
        <v>1</v>
      </c>
      <c r="AW31" s="94">
        <f t="shared" ref="AW31:AW94" ca="1" si="14">IF(T_1*12&gt;=AV31,DATE(YEAR(TODAY()),MONTH(TODAY())+AV31-1,DAY(TODAY())),IF(T_1*12+1&gt;=AV31,DATE(YEAR(TODAY()),MONTH(TODAY())+T_1*12,DAY(TODAY())),""))</f>
        <v>46119</v>
      </c>
      <c r="AX31" s="95">
        <f>IF(T_1*12&gt;=AV31,-1*$I$15,IF(T_1*12+1&gt;=AV31,InfG_1,""))-ACorpus1</f>
        <v>-47928.775704264226</v>
      </c>
      <c r="AY31" s="98">
        <f t="shared" ref="AY31:AY94" ca="1" si="15">IF(T_2*12&gt;=$AV31,DATE(YEAR(TODAY()),MONTH(TODAY())+$AV31-1,DAY(TODAY())),IF(T_2*12+1&gt;=$AV31,DATE(YEAR(TODAY()),MONTH(TODAY())+T_2*12,DAY(TODAY())),""))</f>
        <v>46119</v>
      </c>
      <c r="AZ31" s="95">
        <f>IF(T_2*12&gt;=$AV31,-1*$I$17,IF(T_2*12+1&gt;=$AV31,InfG_2,""))-ACorpus2</f>
        <v>-2463589.0008846913</v>
      </c>
      <c r="BA31" s="99">
        <f t="shared" ref="BA31:BA94" ca="1" si="16">IF(T_3*12&gt;=$AV31,DATE(YEAR(TODAY()),MONTH(TODAY())+$AV31-1,DAY(TODAY())),IF(T_3*12+1&gt;=$AV31,DATE(YEAR(TODAY()),MONTH(TODAY())+T_3*12,DAY(TODAY())),""))</f>
        <v>46119</v>
      </c>
      <c r="BB31" s="97">
        <f>IF(T_3*12&gt;=$AV31,-1*$I$19,IF(T_3*12+1&gt;=$AV31,InfG_3,""))-ACorpus3</f>
        <v>-12736648.270519795</v>
      </c>
      <c r="BC31" s="101">
        <f ca="1">IF(T_4*12&gt;=$AV31,DATE(YEAR(TODAY()),MONTH(TODAY())+$AV31-1,DAY(TODAY())),IF(T_4*12+1&gt;=$AV31,DATE(YEAR(TODAY()),MONTH(TODAY())+T_4*12,DAY(TODAY())),""))</f>
        <v>46119</v>
      </c>
      <c r="BD31" s="100">
        <f>IF(T_4*12&gt;=$AV31,-1*$I$21,IF(T_4*12+1&gt;=$AV31,InfG_4,""))-ACorpus4</f>
        <v>-79324.675026834477</v>
      </c>
      <c r="BE31" s="103">
        <f t="shared" ref="BE31:BE94" ca="1" si="17">IF(T_5*12&gt;=$AV31,DATE(YEAR(TODAY()),MONTH(TODAY())+$AV31-1,DAY(TODAY())),IF(T_5*12+1&gt;=$AV31,DATE(YEAR(TODAY()),MONTH(TODAY())+T_5*12,DAY(TODAY())),""))</f>
        <v>46119</v>
      </c>
      <c r="BF31" s="102">
        <f>IF(T_5*12&gt;=$AV31,-1*$I$23,IF(T_5*12+1&gt;=$AV31,InfG_5,""))-ACorpus5</f>
        <v>-68561.653092635141</v>
      </c>
    </row>
    <row r="32" spans="1:83" ht="15.6" x14ac:dyDescent="0.25">
      <c r="A32" s="2"/>
      <c r="B32" s="2"/>
      <c r="C32" s="37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129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V32">
        <v>2</v>
      </c>
      <c r="AW32" s="94">
        <f t="shared" ca="1" si="14"/>
        <v>46149</v>
      </c>
      <c r="AX32" s="95">
        <f t="shared" ref="AX32:AX95" si="18">IF(T_1*12&gt;=AV32,-1*$I$15,IF(T_1*12+1&gt;=AV32,InfG_1,""))</f>
        <v>-47928.775704264226</v>
      </c>
      <c r="AY32" s="98">
        <f t="shared" ca="1" si="15"/>
        <v>46149</v>
      </c>
      <c r="AZ32" s="95">
        <f t="shared" ref="AZ32:AZ95" si="19">IF(T_2*12&gt;=$AV32,-1*$I$17,IF(T_2*12+1&gt;=$AV32,InfG_2,""))</f>
        <v>-2463589.0008846913</v>
      </c>
      <c r="BA32" s="99">
        <f t="shared" ca="1" si="16"/>
        <v>46149</v>
      </c>
      <c r="BB32" s="97">
        <f t="shared" ref="BB32:BB95" si="20">IF(T_3*12&gt;=$AV32,-1*$I$19,IF(T_3*12+1&gt;=$AV32,InfG_3,""))</f>
        <v>-12736648.270519795</v>
      </c>
      <c r="BC32" s="101">
        <f ca="1">IF(T_4*12&gt;=$AV32,DATE(YEAR(TODAY()),MONTH(TODAY())+$AV32-1,DAY(TODAY())),IF(T_4*12+1&gt;=$AV32,DATE(YEAR(TODAY()),MONTH(TODAY())+T_4*12,DAY(TODAY())),""))</f>
        <v>46149</v>
      </c>
      <c r="BD32" s="100">
        <f t="shared" ref="BD32:BD95" si="21">IF(T_4*12&gt;=$AV32,-1*$I$21,IF(T_4*12+1&gt;=$AV32,InfG_4,""))</f>
        <v>-79324.675026834477</v>
      </c>
      <c r="BE32" s="103">
        <f t="shared" ca="1" si="17"/>
        <v>46149</v>
      </c>
      <c r="BF32" s="102">
        <f t="shared" ref="BF32:BF95" si="22">IF(T_5*12&gt;=$AV32,-1*$I$23,IF(T_5*12+1&gt;=$AV32,InfG_5,""))</f>
        <v>-68561.653092635141</v>
      </c>
    </row>
    <row r="33" spans="1:58" ht="15.6" hidden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129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V33">
        <v>3</v>
      </c>
      <c r="AW33" s="94">
        <f t="shared" ca="1" si="14"/>
        <v>46180</v>
      </c>
      <c r="AX33" s="95">
        <f t="shared" si="18"/>
        <v>-47928.775704264226</v>
      </c>
      <c r="AY33" s="98">
        <f t="shared" ca="1" si="15"/>
        <v>46180</v>
      </c>
      <c r="AZ33" s="95">
        <f t="shared" si="19"/>
        <v>-2463589.0008846913</v>
      </c>
      <c r="BA33" s="99">
        <f t="shared" ca="1" si="16"/>
        <v>46180</v>
      </c>
      <c r="BB33" s="97">
        <f t="shared" si="20"/>
        <v>-12736648.270519795</v>
      </c>
      <c r="BC33" s="101">
        <f t="shared" ref="BC33:BC96" ca="1" si="23">IF(T_4*12&gt;=AV33,DATE(YEAR(TODAY()),MONTH(TODAY())+AV33-1,DAY(TODAY())),IF(T_4*12+1&gt;=AV33,DATE(YEAR(TODAY()),MONTH(TODAY())+T_4*12,DAY(TODAY())),""))</f>
        <v>46180</v>
      </c>
      <c r="BD33" s="100">
        <f t="shared" si="21"/>
        <v>-79324.675026834477</v>
      </c>
      <c r="BE33" s="103">
        <f t="shared" ca="1" si="17"/>
        <v>46180</v>
      </c>
      <c r="BF33" s="102">
        <f t="shared" si="22"/>
        <v>-68561.653092635141</v>
      </c>
    </row>
    <row r="34" spans="1:58" ht="15.6" hidden="1" x14ac:dyDescent="0.25">
      <c r="A34" s="2"/>
      <c r="B34" s="2"/>
      <c r="C34" s="36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129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V34">
        <v>4</v>
      </c>
      <c r="AW34" s="94">
        <f t="shared" ca="1" si="14"/>
        <v>46210</v>
      </c>
      <c r="AX34" s="95">
        <f t="shared" si="18"/>
        <v>-47928.775704264226</v>
      </c>
      <c r="AY34" s="98">
        <f t="shared" ca="1" si="15"/>
        <v>46210</v>
      </c>
      <c r="AZ34" s="95">
        <f t="shared" si="19"/>
        <v>-2463589.0008846913</v>
      </c>
      <c r="BA34" s="99">
        <f t="shared" ca="1" si="16"/>
        <v>46210</v>
      </c>
      <c r="BB34" s="97">
        <f t="shared" si="20"/>
        <v>-12736648.270519795</v>
      </c>
      <c r="BC34" s="101">
        <f t="shared" ca="1" si="23"/>
        <v>46210</v>
      </c>
      <c r="BD34" s="100">
        <f t="shared" si="21"/>
        <v>-79324.675026834477</v>
      </c>
      <c r="BE34" s="103">
        <f t="shared" ca="1" si="17"/>
        <v>46210</v>
      </c>
      <c r="BF34" s="102">
        <f t="shared" si="22"/>
        <v>-68561.653092635141</v>
      </c>
    </row>
    <row r="35" spans="1:58" ht="15.6" hidden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129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V35">
        <v>5</v>
      </c>
      <c r="AW35" s="94">
        <f t="shared" ca="1" si="14"/>
        <v>46241</v>
      </c>
      <c r="AX35" s="95">
        <f t="shared" si="18"/>
        <v>-47928.775704264226</v>
      </c>
      <c r="AY35" s="98">
        <f t="shared" ca="1" si="15"/>
        <v>46241</v>
      </c>
      <c r="AZ35" s="95">
        <f t="shared" si="19"/>
        <v>-2463589.0008846913</v>
      </c>
      <c r="BA35" s="99">
        <f t="shared" ca="1" si="16"/>
        <v>46241</v>
      </c>
      <c r="BB35" s="97">
        <f t="shared" si="20"/>
        <v>-12736648.270519795</v>
      </c>
      <c r="BC35" s="101">
        <f t="shared" ca="1" si="23"/>
        <v>46241</v>
      </c>
      <c r="BD35" s="100">
        <f t="shared" si="21"/>
        <v>-79324.675026834477</v>
      </c>
      <c r="BE35" s="103">
        <f t="shared" ca="1" si="17"/>
        <v>46241</v>
      </c>
      <c r="BF35" s="102">
        <f t="shared" si="22"/>
        <v>-68561.653092635141</v>
      </c>
    </row>
    <row r="36" spans="1:58" hidden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V36">
        <v>6</v>
      </c>
      <c r="AW36" s="94">
        <f t="shared" ca="1" si="14"/>
        <v>46272</v>
      </c>
      <c r="AX36" s="95">
        <f t="shared" si="18"/>
        <v>-47928.775704264226</v>
      </c>
      <c r="AY36" s="98">
        <f t="shared" ca="1" si="15"/>
        <v>46272</v>
      </c>
      <c r="AZ36" s="95">
        <f t="shared" si="19"/>
        <v>-2463589.0008846913</v>
      </c>
      <c r="BA36" s="99">
        <f t="shared" ca="1" si="16"/>
        <v>46272</v>
      </c>
      <c r="BB36" s="97">
        <f t="shared" si="20"/>
        <v>-12736648.270519795</v>
      </c>
      <c r="BC36" s="101">
        <f t="shared" ca="1" si="23"/>
        <v>46272</v>
      </c>
      <c r="BD36" s="100">
        <f t="shared" si="21"/>
        <v>-79324.675026834477</v>
      </c>
      <c r="BE36" s="103">
        <f t="shared" ca="1" si="17"/>
        <v>46272</v>
      </c>
      <c r="BF36" s="102">
        <f t="shared" si="22"/>
        <v>-68561.653092635141</v>
      </c>
    </row>
    <row r="37" spans="1:58" hidden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36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V37">
        <v>7</v>
      </c>
      <c r="AW37" s="94">
        <f t="shared" ca="1" si="14"/>
        <v>46302</v>
      </c>
      <c r="AX37" s="95">
        <f t="shared" si="18"/>
        <v>-47928.775704264226</v>
      </c>
      <c r="AY37" s="98">
        <f t="shared" ca="1" si="15"/>
        <v>46302</v>
      </c>
      <c r="AZ37" s="95">
        <f t="shared" si="19"/>
        <v>-2463589.0008846913</v>
      </c>
      <c r="BA37" s="99">
        <f t="shared" ca="1" si="16"/>
        <v>46302</v>
      </c>
      <c r="BB37" s="97">
        <f t="shared" si="20"/>
        <v>-12736648.270519795</v>
      </c>
      <c r="BC37" s="101">
        <f t="shared" ca="1" si="23"/>
        <v>46302</v>
      </c>
      <c r="BD37" s="100">
        <f t="shared" si="21"/>
        <v>-79324.675026834477</v>
      </c>
      <c r="BE37" s="103">
        <f t="shared" ca="1" si="17"/>
        <v>46302</v>
      </c>
      <c r="BF37" s="102">
        <f t="shared" si="22"/>
        <v>-68561.653092635141</v>
      </c>
    </row>
    <row r="38" spans="1:58" hidden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V38">
        <v>8</v>
      </c>
      <c r="AW38" s="94">
        <f t="shared" ca="1" si="14"/>
        <v>46333</v>
      </c>
      <c r="AX38" s="95">
        <f t="shared" si="18"/>
        <v>-47928.775704264226</v>
      </c>
      <c r="AY38" s="98">
        <f t="shared" ca="1" si="15"/>
        <v>46333</v>
      </c>
      <c r="AZ38" s="95">
        <f t="shared" si="19"/>
        <v>-2463589.0008846913</v>
      </c>
      <c r="BA38" s="99">
        <f t="shared" ca="1" si="16"/>
        <v>46333</v>
      </c>
      <c r="BB38" s="97">
        <f t="shared" si="20"/>
        <v>-12736648.270519795</v>
      </c>
      <c r="BC38" s="101">
        <f t="shared" ca="1" si="23"/>
        <v>46333</v>
      </c>
      <c r="BD38" s="100">
        <f t="shared" si="21"/>
        <v>-79324.675026834477</v>
      </c>
      <c r="BE38" s="103">
        <f t="shared" ca="1" si="17"/>
        <v>46333</v>
      </c>
      <c r="BF38" s="102">
        <f t="shared" si="22"/>
        <v>-68561.653092635141</v>
      </c>
    </row>
    <row r="39" spans="1:58" hidden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V39">
        <v>9</v>
      </c>
      <c r="AW39" s="94">
        <f t="shared" ca="1" si="14"/>
        <v>46363</v>
      </c>
      <c r="AX39" s="95">
        <f t="shared" si="18"/>
        <v>-47928.775704264226</v>
      </c>
      <c r="AY39" s="98">
        <f t="shared" ca="1" si="15"/>
        <v>46363</v>
      </c>
      <c r="AZ39" s="95">
        <f t="shared" si="19"/>
        <v>-2463589.0008846913</v>
      </c>
      <c r="BA39" s="99">
        <f t="shared" ca="1" si="16"/>
        <v>46363</v>
      </c>
      <c r="BB39" s="97">
        <f t="shared" si="20"/>
        <v>-12736648.270519795</v>
      </c>
      <c r="BC39" s="101">
        <f t="shared" ca="1" si="23"/>
        <v>46363</v>
      </c>
      <c r="BD39" s="100">
        <f t="shared" si="21"/>
        <v>-79324.675026834477</v>
      </c>
      <c r="BE39" s="103">
        <f t="shared" ca="1" si="17"/>
        <v>46363</v>
      </c>
      <c r="BF39" s="102">
        <f t="shared" si="22"/>
        <v>-68561.653092635141</v>
      </c>
    </row>
    <row r="40" spans="1:58" hidden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V40">
        <v>10</v>
      </c>
      <c r="AW40" s="94">
        <f t="shared" ca="1" si="14"/>
        <v>46394</v>
      </c>
      <c r="AX40" s="95">
        <f t="shared" si="18"/>
        <v>-47928.775704264226</v>
      </c>
      <c r="AY40" s="98">
        <f t="shared" ca="1" si="15"/>
        <v>46394</v>
      </c>
      <c r="AZ40" s="95">
        <f t="shared" si="19"/>
        <v>-2463589.0008846913</v>
      </c>
      <c r="BA40" s="99">
        <f t="shared" ca="1" si="16"/>
        <v>46394</v>
      </c>
      <c r="BB40" s="97">
        <f t="shared" si="20"/>
        <v>-12736648.270519795</v>
      </c>
      <c r="BC40" s="101">
        <f t="shared" ca="1" si="23"/>
        <v>46394</v>
      </c>
      <c r="BD40" s="100">
        <f t="shared" si="21"/>
        <v>-79324.675026834477</v>
      </c>
      <c r="BE40" s="103">
        <f t="shared" ca="1" si="17"/>
        <v>46394</v>
      </c>
      <c r="BF40" s="102">
        <f t="shared" si="22"/>
        <v>-68561.653092635141</v>
      </c>
    </row>
    <row r="41" spans="1:58" hidden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37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V41">
        <v>11</v>
      </c>
      <c r="AW41" s="94">
        <f t="shared" ca="1" si="14"/>
        <v>46425</v>
      </c>
      <c r="AX41" s="95">
        <f t="shared" si="18"/>
        <v>-47928.775704264226</v>
      </c>
      <c r="AY41" s="98">
        <f t="shared" ca="1" si="15"/>
        <v>46425</v>
      </c>
      <c r="AZ41" s="95">
        <f t="shared" si="19"/>
        <v>-2463589.0008846913</v>
      </c>
      <c r="BA41" s="99">
        <f t="shared" ca="1" si="16"/>
        <v>46425</v>
      </c>
      <c r="BB41" s="97">
        <f t="shared" si="20"/>
        <v>-12736648.270519795</v>
      </c>
      <c r="BC41" s="101">
        <f t="shared" ca="1" si="23"/>
        <v>46425</v>
      </c>
      <c r="BD41" s="100">
        <f t="shared" si="21"/>
        <v>-79324.675026834477</v>
      </c>
      <c r="BE41" s="103">
        <f t="shared" ca="1" si="17"/>
        <v>46425</v>
      </c>
      <c r="BF41" s="102">
        <f t="shared" si="22"/>
        <v>-68561.653092635141</v>
      </c>
    </row>
    <row r="42" spans="1:58" hidden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V42">
        <v>12</v>
      </c>
      <c r="AW42" s="94">
        <f t="shared" ca="1" si="14"/>
        <v>46453</v>
      </c>
      <c r="AX42" s="95">
        <f t="shared" si="18"/>
        <v>-47928.775704264226</v>
      </c>
      <c r="AY42" s="98">
        <f t="shared" ca="1" si="15"/>
        <v>46453</v>
      </c>
      <c r="AZ42" s="95">
        <f t="shared" si="19"/>
        <v>-2463589.0008846913</v>
      </c>
      <c r="BA42" s="99">
        <f t="shared" ca="1" si="16"/>
        <v>46453</v>
      </c>
      <c r="BB42" s="97">
        <f t="shared" si="20"/>
        <v>-12736648.270519795</v>
      </c>
      <c r="BC42" s="101">
        <f t="shared" ca="1" si="23"/>
        <v>46453</v>
      </c>
      <c r="BD42" s="100">
        <f t="shared" si="21"/>
        <v>-79324.675026834477</v>
      </c>
      <c r="BE42" s="103">
        <f t="shared" ca="1" si="17"/>
        <v>46453</v>
      </c>
      <c r="BF42" s="102">
        <f t="shared" si="22"/>
        <v>-68561.653092635141</v>
      </c>
    </row>
    <row r="43" spans="1:58" hidden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V43">
        <v>13</v>
      </c>
      <c r="AW43" s="94">
        <f t="shared" ca="1" si="14"/>
        <v>46484</v>
      </c>
      <c r="AX43" s="95">
        <f t="shared" si="18"/>
        <v>-47928.775704264226</v>
      </c>
      <c r="AY43" s="98">
        <f t="shared" ca="1" si="15"/>
        <v>46484</v>
      </c>
      <c r="AZ43" s="95">
        <f t="shared" si="19"/>
        <v>-2463589.0008846913</v>
      </c>
      <c r="BA43" s="99">
        <f t="shared" ca="1" si="16"/>
        <v>46484</v>
      </c>
      <c r="BB43" s="97">
        <f t="shared" si="20"/>
        <v>-12736648.270519795</v>
      </c>
      <c r="BC43" s="101">
        <f t="shared" ca="1" si="23"/>
        <v>46484</v>
      </c>
      <c r="BD43" s="100">
        <f t="shared" si="21"/>
        <v>-79324.675026834477</v>
      </c>
      <c r="BE43" s="103">
        <f t="shared" ca="1" si="17"/>
        <v>46484</v>
      </c>
      <c r="BF43" s="102">
        <f t="shared" si="22"/>
        <v>-68561.653092635141</v>
      </c>
    </row>
    <row r="44" spans="1:58" hidden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V44">
        <v>14</v>
      </c>
      <c r="AW44" s="94">
        <f t="shared" ca="1" si="14"/>
        <v>46514</v>
      </c>
      <c r="AX44" s="95">
        <f t="shared" si="18"/>
        <v>-47928.775704264226</v>
      </c>
      <c r="AY44" s="98">
        <f t="shared" ca="1" si="15"/>
        <v>46514</v>
      </c>
      <c r="AZ44" s="95">
        <f t="shared" si="19"/>
        <v>-2463589.0008846913</v>
      </c>
      <c r="BA44" s="99">
        <f t="shared" ca="1" si="16"/>
        <v>46514</v>
      </c>
      <c r="BB44" s="97">
        <f t="shared" si="20"/>
        <v>-12736648.270519795</v>
      </c>
      <c r="BC44" s="101">
        <f t="shared" ca="1" si="23"/>
        <v>46514</v>
      </c>
      <c r="BD44" s="100">
        <f t="shared" si="21"/>
        <v>-79324.675026834477</v>
      </c>
      <c r="BE44" s="103">
        <f t="shared" ca="1" si="17"/>
        <v>46514</v>
      </c>
      <c r="BF44" s="102">
        <f t="shared" si="22"/>
        <v>-68561.653092635141</v>
      </c>
    </row>
    <row r="45" spans="1:58" hidden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V45">
        <v>15</v>
      </c>
      <c r="AW45" s="94">
        <f t="shared" ca="1" si="14"/>
        <v>46545</v>
      </c>
      <c r="AX45" s="95">
        <f t="shared" si="18"/>
        <v>-47928.775704264226</v>
      </c>
      <c r="AY45" s="98">
        <f t="shared" ca="1" si="15"/>
        <v>46545</v>
      </c>
      <c r="AZ45" s="95">
        <f t="shared" si="19"/>
        <v>-2463589.0008846913</v>
      </c>
      <c r="BA45" s="99">
        <f t="shared" ca="1" si="16"/>
        <v>46545</v>
      </c>
      <c r="BB45" s="97">
        <f t="shared" si="20"/>
        <v>-12736648.270519795</v>
      </c>
      <c r="BC45" s="101">
        <f t="shared" ca="1" si="23"/>
        <v>46545</v>
      </c>
      <c r="BD45" s="100">
        <f t="shared" si="21"/>
        <v>-79324.675026834477</v>
      </c>
      <c r="BE45" s="103">
        <f t="shared" ca="1" si="17"/>
        <v>46545</v>
      </c>
      <c r="BF45" s="102">
        <f t="shared" si="22"/>
        <v>-68561.653092635141</v>
      </c>
    </row>
    <row r="46" spans="1:58" hidden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V46">
        <v>16</v>
      </c>
      <c r="AW46" s="94">
        <f t="shared" ca="1" si="14"/>
        <v>46575</v>
      </c>
      <c r="AX46" s="95">
        <f t="shared" si="18"/>
        <v>-47928.775704264226</v>
      </c>
      <c r="AY46" s="98">
        <f t="shared" ca="1" si="15"/>
        <v>46575</v>
      </c>
      <c r="AZ46" s="95">
        <f t="shared" si="19"/>
        <v>-2463589.0008846913</v>
      </c>
      <c r="BA46" s="99">
        <f t="shared" ca="1" si="16"/>
        <v>46575</v>
      </c>
      <c r="BB46" s="97">
        <f t="shared" si="20"/>
        <v>-12736648.270519795</v>
      </c>
      <c r="BC46" s="101">
        <f t="shared" ca="1" si="23"/>
        <v>46575</v>
      </c>
      <c r="BD46" s="100">
        <f t="shared" si="21"/>
        <v>-79324.675026834477</v>
      </c>
      <c r="BE46" s="103">
        <f t="shared" ca="1" si="17"/>
        <v>46575</v>
      </c>
      <c r="BF46" s="102">
        <f t="shared" si="22"/>
        <v>-68561.653092635141</v>
      </c>
    </row>
    <row r="47" spans="1:58" hidden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V47">
        <v>17</v>
      </c>
      <c r="AW47" s="94">
        <f t="shared" ca="1" si="14"/>
        <v>46606</v>
      </c>
      <c r="AX47" s="95">
        <f t="shared" si="18"/>
        <v>-47928.775704264226</v>
      </c>
      <c r="AY47" s="98">
        <f t="shared" ca="1" si="15"/>
        <v>46606</v>
      </c>
      <c r="AZ47" s="95">
        <f t="shared" si="19"/>
        <v>-2463589.0008846913</v>
      </c>
      <c r="BA47" s="99">
        <f t="shared" ca="1" si="16"/>
        <v>46606</v>
      </c>
      <c r="BB47" s="97">
        <f t="shared" si="20"/>
        <v>-12736648.270519795</v>
      </c>
      <c r="BC47" s="101">
        <f t="shared" ca="1" si="23"/>
        <v>46606</v>
      </c>
      <c r="BD47" s="100">
        <f t="shared" si="21"/>
        <v>-79324.675026834477</v>
      </c>
      <c r="BE47" s="103">
        <f t="shared" ca="1" si="17"/>
        <v>46606</v>
      </c>
      <c r="BF47" s="102">
        <f t="shared" si="22"/>
        <v>-68561.653092635141</v>
      </c>
    </row>
    <row r="48" spans="1:58" hidden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V48">
        <v>18</v>
      </c>
      <c r="AW48" s="94">
        <f t="shared" ca="1" si="14"/>
        <v>46637</v>
      </c>
      <c r="AX48" s="95">
        <f t="shared" si="18"/>
        <v>-47928.775704264226</v>
      </c>
      <c r="AY48" s="98">
        <f t="shared" ca="1" si="15"/>
        <v>46637</v>
      </c>
      <c r="AZ48" s="95">
        <f t="shared" si="19"/>
        <v>-2463589.0008846913</v>
      </c>
      <c r="BA48" s="99">
        <f t="shared" ca="1" si="16"/>
        <v>46637</v>
      </c>
      <c r="BB48" s="97">
        <f t="shared" si="20"/>
        <v>-12736648.270519795</v>
      </c>
      <c r="BC48" s="101">
        <f t="shared" ca="1" si="23"/>
        <v>46637</v>
      </c>
      <c r="BD48" s="100">
        <f t="shared" si="21"/>
        <v>-79324.675026834477</v>
      </c>
      <c r="BE48" s="103">
        <f t="shared" ca="1" si="17"/>
        <v>46637</v>
      </c>
      <c r="BF48" s="102">
        <f t="shared" si="22"/>
        <v>-68561.653092635141</v>
      </c>
    </row>
    <row r="49" spans="1:58" hidden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V49">
        <v>19</v>
      </c>
      <c r="AW49" s="94">
        <f t="shared" ca="1" si="14"/>
        <v>46667</v>
      </c>
      <c r="AX49" s="95">
        <f t="shared" si="18"/>
        <v>-47928.775704264226</v>
      </c>
      <c r="AY49" s="98">
        <f t="shared" ca="1" si="15"/>
        <v>46667</v>
      </c>
      <c r="AZ49" s="95">
        <f t="shared" si="19"/>
        <v>-2463589.0008846913</v>
      </c>
      <c r="BA49" s="99">
        <f t="shared" ca="1" si="16"/>
        <v>46667</v>
      </c>
      <c r="BB49" s="97">
        <f t="shared" si="20"/>
        <v>-12736648.270519795</v>
      </c>
      <c r="BC49" s="101">
        <f t="shared" ca="1" si="23"/>
        <v>46667</v>
      </c>
      <c r="BD49" s="100">
        <f t="shared" si="21"/>
        <v>-79324.675026834477</v>
      </c>
      <c r="BE49" s="103">
        <f t="shared" ca="1" si="17"/>
        <v>46667</v>
      </c>
      <c r="BF49" s="102">
        <f t="shared" si="22"/>
        <v>-68561.653092635141</v>
      </c>
    </row>
    <row r="50" spans="1:58" hidden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V50">
        <v>20</v>
      </c>
      <c r="AW50" s="94">
        <f t="shared" ca="1" si="14"/>
        <v>46698</v>
      </c>
      <c r="AX50" s="95">
        <f t="shared" si="18"/>
        <v>-47928.775704264226</v>
      </c>
      <c r="AY50" s="98">
        <f t="shared" ca="1" si="15"/>
        <v>46698</v>
      </c>
      <c r="AZ50" s="95">
        <f t="shared" si="19"/>
        <v>-2463589.0008846913</v>
      </c>
      <c r="BA50" s="99">
        <f t="shared" ca="1" si="16"/>
        <v>46698</v>
      </c>
      <c r="BB50" s="97">
        <f t="shared" si="20"/>
        <v>-12736648.270519795</v>
      </c>
      <c r="BC50" s="101">
        <f t="shared" ca="1" si="23"/>
        <v>46698</v>
      </c>
      <c r="BD50" s="100">
        <f t="shared" si="21"/>
        <v>-79324.675026834477</v>
      </c>
      <c r="BE50" s="103">
        <f t="shared" ca="1" si="17"/>
        <v>46698</v>
      </c>
      <c r="BF50" s="102">
        <f t="shared" si="22"/>
        <v>-68561.653092635141</v>
      </c>
    </row>
    <row r="51" spans="1:58" hidden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V51">
        <v>21</v>
      </c>
      <c r="AW51" s="94">
        <f t="shared" ca="1" si="14"/>
        <v>46728</v>
      </c>
      <c r="AX51" s="95">
        <f t="shared" si="18"/>
        <v>-47928.775704264226</v>
      </c>
      <c r="AY51" s="98">
        <f t="shared" ca="1" si="15"/>
        <v>46728</v>
      </c>
      <c r="AZ51" s="95">
        <f t="shared" si="19"/>
        <v>-2463589.0008846913</v>
      </c>
      <c r="BA51" s="99">
        <f t="shared" ca="1" si="16"/>
        <v>46728</v>
      </c>
      <c r="BB51" s="97">
        <f t="shared" si="20"/>
        <v>-12736648.270519795</v>
      </c>
      <c r="BC51" s="101">
        <f t="shared" ca="1" si="23"/>
        <v>46728</v>
      </c>
      <c r="BD51" s="100">
        <f t="shared" si="21"/>
        <v>-79324.675026834477</v>
      </c>
      <c r="BE51" s="103">
        <f t="shared" ca="1" si="17"/>
        <v>46728</v>
      </c>
      <c r="BF51" s="102">
        <f t="shared" si="22"/>
        <v>-68561.653092635141</v>
      </c>
    </row>
    <row r="52" spans="1:58" hidden="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V52">
        <v>22</v>
      </c>
      <c r="AW52" s="94">
        <f t="shared" ca="1" si="14"/>
        <v>46759</v>
      </c>
      <c r="AX52" s="95">
        <f t="shared" si="18"/>
        <v>-47928.775704264226</v>
      </c>
      <c r="AY52" s="98">
        <f t="shared" ca="1" si="15"/>
        <v>46759</v>
      </c>
      <c r="AZ52" s="95">
        <f t="shared" si="19"/>
        <v>-2463589.0008846913</v>
      </c>
      <c r="BA52" s="99">
        <f t="shared" ca="1" si="16"/>
        <v>46759</v>
      </c>
      <c r="BB52" s="97">
        <f t="shared" si="20"/>
        <v>-12736648.270519795</v>
      </c>
      <c r="BC52" s="101">
        <f t="shared" ca="1" si="23"/>
        <v>46759</v>
      </c>
      <c r="BD52" s="100">
        <f t="shared" si="21"/>
        <v>-79324.675026834477</v>
      </c>
      <c r="BE52" s="103">
        <f t="shared" ca="1" si="17"/>
        <v>46759</v>
      </c>
      <c r="BF52" s="102">
        <f t="shared" si="22"/>
        <v>-68561.653092635141</v>
      </c>
    </row>
    <row r="53" spans="1:58" hidden="1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V53">
        <v>23</v>
      </c>
      <c r="AW53" s="94">
        <f t="shared" ca="1" si="14"/>
        <v>46790</v>
      </c>
      <c r="AX53" s="95">
        <f t="shared" si="18"/>
        <v>-47928.775704264226</v>
      </c>
      <c r="AY53" s="98">
        <f t="shared" ca="1" si="15"/>
        <v>46790</v>
      </c>
      <c r="AZ53" s="95">
        <f t="shared" si="19"/>
        <v>-2463589.0008846913</v>
      </c>
      <c r="BA53" s="99">
        <f t="shared" ca="1" si="16"/>
        <v>46790</v>
      </c>
      <c r="BB53" s="97">
        <f t="shared" si="20"/>
        <v>-12736648.270519795</v>
      </c>
      <c r="BC53" s="101">
        <f t="shared" ca="1" si="23"/>
        <v>46790</v>
      </c>
      <c r="BD53" s="100">
        <f t="shared" si="21"/>
        <v>-79324.675026834477</v>
      </c>
      <c r="BE53" s="103">
        <f t="shared" ca="1" si="17"/>
        <v>46790</v>
      </c>
      <c r="BF53" s="102">
        <f t="shared" si="22"/>
        <v>-68561.653092635141</v>
      </c>
    </row>
    <row r="54" spans="1:58" hidden="1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V54">
        <v>24</v>
      </c>
      <c r="AW54" s="94">
        <f t="shared" ca="1" si="14"/>
        <v>46819</v>
      </c>
      <c r="AX54" s="95">
        <f t="shared" si="18"/>
        <v>-47928.775704264226</v>
      </c>
      <c r="AY54" s="98">
        <f t="shared" ca="1" si="15"/>
        <v>46819</v>
      </c>
      <c r="AZ54" s="95">
        <f t="shared" si="19"/>
        <v>-2463589.0008846913</v>
      </c>
      <c r="BA54" s="99">
        <f t="shared" ca="1" si="16"/>
        <v>46819</v>
      </c>
      <c r="BB54" s="97">
        <f t="shared" si="20"/>
        <v>-12736648.270519795</v>
      </c>
      <c r="BC54" s="101">
        <f t="shared" ca="1" si="23"/>
        <v>46819</v>
      </c>
      <c r="BD54" s="100">
        <f t="shared" si="21"/>
        <v>-79324.675026834477</v>
      </c>
      <c r="BE54" s="103">
        <f t="shared" ca="1" si="17"/>
        <v>46819</v>
      </c>
      <c r="BF54" s="102">
        <f t="shared" si="22"/>
        <v>-68561.653092635141</v>
      </c>
    </row>
    <row r="55" spans="1:58" hidden="1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V55">
        <v>25</v>
      </c>
      <c r="AW55" s="94">
        <f t="shared" ca="1" si="14"/>
        <v>46850</v>
      </c>
      <c r="AX55" s="95">
        <f t="shared" si="18"/>
        <v>-47928.775704264226</v>
      </c>
      <c r="AY55" s="98">
        <f t="shared" ca="1" si="15"/>
        <v>46850</v>
      </c>
      <c r="AZ55" s="95">
        <f t="shared" si="19"/>
        <v>-2463589.0008846913</v>
      </c>
      <c r="BA55" s="99">
        <f t="shared" ca="1" si="16"/>
        <v>46850</v>
      </c>
      <c r="BB55" s="97">
        <f t="shared" si="20"/>
        <v>-12736648.270519795</v>
      </c>
      <c r="BC55" s="101">
        <f t="shared" ca="1" si="23"/>
        <v>46850</v>
      </c>
      <c r="BD55" s="100">
        <f t="shared" si="21"/>
        <v>-79324.675026834477</v>
      </c>
      <c r="BE55" s="103">
        <f t="shared" ca="1" si="17"/>
        <v>46850</v>
      </c>
      <c r="BF55" s="102">
        <f t="shared" si="22"/>
        <v>-68561.653092635141</v>
      </c>
    </row>
    <row r="56" spans="1:58" hidden="1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V56">
        <v>26</v>
      </c>
      <c r="AW56" s="94">
        <f t="shared" ca="1" si="14"/>
        <v>46880</v>
      </c>
      <c r="AX56" s="95">
        <f t="shared" si="18"/>
        <v>-47928.775704264226</v>
      </c>
      <c r="AY56" s="98">
        <f t="shared" ca="1" si="15"/>
        <v>46880</v>
      </c>
      <c r="AZ56" s="95">
        <f t="shared" si="19"/>
        <v>-2463589.0008846913</v>
      </c>
      <c r="BA56" s="99">
        <f t="shared" ca="1" si="16"/>
        <v>46880</v>
      </c>
      <c r="BB56" s="97">
        <f t="shared" si="20"/>
        <v>-12736648.270519795</v>
      </c>
      <c r="BC56" s="101">
        <f t="shared" ca="1" si="23"/>
        <v>46880</v>
      </c>
      <c r="BD56" s="100">
        <f t="shared" si="21"/>
        <v>-79324.675026834477</v>
      </c>
      <c r="BE56" s="103">
        <f t="shared" ca="1" si="17"/>
        <v>46880</v>
      </c>
      <c r="BF56" s="102">
        <f t="shared" si="22"/>
        <v>-68561.653092635141</v>
      </c>
    </row>
    <row r="57" spans="1:58" hidden="1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V57">
        <v>27</v>
      </c>
      <c r="AW57" s="94">
        <f t="shared" ca="1" si="14"/>
        <v>46911</v>
      </c>
      <c r="AX57" s="95">
        <f t="shared" si="18"/>
        <v>-47928.775704264226</v>
      </c>
      <c r="AY57" s="98">
        <f t="shared" ca="1" si="15"/>
        <v>46911</v>
      </c>
      <c r="AZ57" s="95">
        <f t="shared" si="19"/>
        <v>-2463589.0008846913</v>
      </c>
      <c r="BA57" s="99">
        <f t="shared" ca="1" si="16"/>
        <v>46911</v>
      </c>
      <c r="BB57" s="97">
        <f t="shared" si="20"/>
        <v>-12736648.270519795</v>
      </c>
      <c r="BC57" s="101">
        <f t="shared" ca="1" si="23"/>
        <v>46911</v>
      </c>
      <c r="BD57" s="100">
        <f t="shared" si="21"/>
        <v>-79324.675026834477</v>
      </c>
      <c r="BE57" s="103">
        <f t="shared" ca="1" si="17"/>
        <v>46911</v>
      </c>
      <c r="BF57" s="102">
        <f t="shared" si="22"/>
        <v>-68561.653092635141</v>
      </c>
    </row>
    <row r="58" spans="1:58" hidden="1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V58">
        <v>28</v>
      </c>
      <c r="AW58" s="94">
        <f t="shared" ca="1" si="14"/>
        <v>46941</v>
      </c>
      <c r="AX58" s="95">
        <f t="shared" si="18"/>
        <v>-47928.775704264226</v>
      </c>
      <c r="AY58" s="98">
        <f t="shared" ca="1" si="15"/>
        <v>46941</v>
      </c>
      <c r="AZ58" s="95">
        <f t="shared" si="19"/>
        <v>-2463589.0008846913</v>
      </c>
      <c r="BA58" s="99">
        <f t="shared" ca="1" si="16"/>
        <v>46941</v>
      </c>
      <c r="BB58" s="97">
        <f t="shared" si="20"/>
        <v>-12736648.270519795</v>
      </c>
      <c r="BC58" s="101">
        <f t="shared" ca="1" si="23"/>
        <v>46941</v>
      </c>
      <c r="BD58" s="100">
        <f t="shared" si="21"/>
        <v>-79324.675026834477</v>
      </c>
      <c r="BE58" s="103">
        <f t="shared" ca="1" si="17"/>
        <v>46941</v>
      </c>
      <c r="BF58" s="102">
        <f t="shared" si="22"/>
        <v>-68561.653092635141</v>
      </c>
    </row>
    <row r="59" spans="1:58" hidden="1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V59">
        <v>29</v>
      </c>
      <c r="AW59" s="94">
        <f t="shared" ca="1" si="14"/>
        <v>46972</v>
      </c>
      <c r="AX59" s="95">
        <f t="shared" si="18"/>
        <v>-47928.775704264226</v>
      </c>
      <c r="AY59" s="98">
        <f t="shared" ca="1" si="15"/>
        <v>46972</v>
      </c>
      <c r="AZ59" s="95">
        <f t="shared" si="19"/>
        <v>-2463589.0008846913</v>
      </c>
      <c r="BA59" s="99">
        <f t="shared" ca="1" si="16"/>
        <v>46972</v>
      </c>
      <c r="BB59" s="97">
        <f t="shared" si="20"/>
        <v>-12736648.270519795</v>
      </c>
      <c r="BC59" s="101">
        <f t="shared" ca="1" si="23"/>
        <v>46972</v>
      </c>
      <c r="BD59" s="100">
        <f t="shared" si="21"/>
        <v>-79324.675026834477</v>
      </c>
      <c r="BE59" s="103">
        <f t="shared" ca="1" si="17"/>
        <v>46972</v>
      </c>
      <c r="BF59" s="102">
        <f t="shared" si="22"/>
        <v>-68561.653092635141</v>
      </c>
    </row>
    <row r="60" spans="1:58" hidden="1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>
        <f>COUNTIF(S54:S58,"&gt;0")</f>
        <v>0</v>
      </c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V60">
        <v>30</v>
      </c>
      <c r="AW60" s="94">
        <f t="shared" ca="1" si="14"/>
        <v>47003</v>
      </c>
      <c r="AX60" s="95">
        <f t="shared" si="18"/>
        <v>-47928.775704264226</v>
      </c>
      <c r="AY60" s="98">
        <f t="shared" ca="1" si="15"/>
        <v>47003</v>
      </c>
      <c r="AZ60" s="95">
        <f t="shared" si="19"/>
        <v>-2463589.0008846913</v>
      </c>
      <c r="BA60" s="99">
        <f t="shared" ca="1" si="16"/>
        <v>47003</v>
      </c>
      <c r="BB60" s="97">
        <f t="shared" si="20"/>
        <v>-12736648.270519795</v>
      </c>
      <c r="BC60" s="101">
        <f t="shared" ca="1" si="23"/>
        <v>47003</v>
      </c>
      <c r="BD60" s="100">
        <f t="shared" si="21"/>
        <v>-79324.675026834477</v>
      </c>
      <c r="BE60" s="103">
        <f t="shared" ca="1" si="17"/>
        <v>47003</v>
      </c>
      <c r="BF60" s="102">
        <f t="shared" si="22"/>
        <v>-68561.653092635141</v>
      </c>
    </row>
    <row r="61" spans="1:58" hidden="1" x14ac:dyDescent="0.25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O61" s="2"/>
      <c r="P61" s="2"/>
      <c r="Q61" s="2"/>
      <c r="AV61">
        <v>31</v>
      </c>
      <c r="AW61" s="94">
        <f t="shared" ca="1" si="14"/>
        <v>47033</v>
      </c>
      <c r="AX61" s="95">
        <f t="shared" si="18"/>
        <v>-47928.775704264226</v>
      </c>
      <c r="AY61" s="98">
        <f t="shared" ca="1" si="15"/>
        <v>47033</v>
      </c>
      <c r="AZ61" s="95">
        <f t="shared" si="19"/>
        <v>-2463589.0008846913</v>
      </c>
      <c r="BA61" s="99">
        <f t="shared" ca="1" si="16"/>
        <v>47033</v>
      </c>
      <c r="BB61" s="97">
        <f t="shared" si="20"/>
        <v>-12736648.270519795</v>
      </c>
      <c r="BC61" s="101">
        <f t="shared" ca="1" si="23"/>
        <v>47033</v>
      </c>
      <c r="BD61" s="100">
        <f t="shared" si="21"/>
        <v>-79324.675026834477</v>
      </c>
      <c r="BE61" s="103">
        <f t="shared" ca="1" si="17"/>
        <v>47033</v>
      </c>
      <c r="BF61" s="102">
        <f t="shared" si="22"/>
        <v>-68561.653092635141</v>
      </c>
    </row>
    <row r="62" spans="1:58" hidden="1" x14ac:dyDescent="0.25">
      <c r="AV62">
        <v>32</v>
      </c>
      <c r="AW62" s="94">
        <f t="shared" ca="1" si="14"/>
        <v>47064</v>
      </c>
      <c r="AX62" s="95">
        <f t="shared" si="18"/>
        <v>-47928.775704264226</v>
      </c>
      <c r="AY62" s="98">
        <f t="shared" ca="1" si="15"/>
        <v>47064</v>
      </c>
      <c r="AZ62" s="95">
        <f t="shared" si="19"/>
        <v>-2463589.0008846913</v>
      </c>
      <c r="BA62" s="99">
        <f t="shared" ca="1" si="16"/>
        <v>47064</v>
      </c>
      <c r="BB62" s="97">
        <f t="shared" si="20"/>
        <v>-12736648.270519795</v>
      </c>
      <c r="BC62" s="101">
        <f t="shared" ca="1" si="23"/>
        <v>47064</v>
      </c>
      <c r="BD62" s="100">
        <f t="shared" si="21"/>
        <v>-79324.675026834477</v>
      </c>
      <c r="BE62" s="103">
        <f t="shared" ca="1" si="17"/>
        <v>47064</v>
      </c>
      <c r="BF62" s="102">
        <f t="shared" si="22"/>
        <v>-68561.653092635141</v>
      </c>
    </row>
    <row r="63" spans="1:58" hidden="1" x14ac:dyDescent="0.25">
      <c r="AV63">
        <v>33</v>
      </c>
      <c r="AW63" s="94">
        <f t="shared" ca="1" si="14"/>
        <v>47094</v>
      </c>
      <c r="AX63" s="95">
        <f t="shared" si="18"/>
        <v>-47928.775704264226</v>
      </c>
      <c r="AY63" s="98">
        <f t="shared" ca="1" si="15"/>
        <v>47094</v>
      </c>
      <c r="AZ63" s="95">
        <f t="shared" si="19"/>
        <v>-2463589.0008846913</v>
      </c>
      <c r="BA63" s="99">
        <f t="shared" ca="1" si="16"/>
        <v>47094</v>
      </c>
      <c r="BB63" s="97">
        <f t="shared" si="20"/>
        <v>-12736648.270519795</v>
      </c>
      <c r="BC63" s="101">
        <f t="shared" ca="1" si="23"/>
        <v>47094</v>
      </c>
      <c r="BD63" s="100">
        <f t="shared" si="21"/>
        <v>-79324.675026834477</v>
      </c>
      <c r="BE63" s="103">
        <f t="shared" ca="1" si="17"/>
        <v>47094</v>
      </c>
      <c r="BF63" s="102">
        <f t="shared" si="22"/>
        <v>-68561.653092635141</v>
      </c>
    </row>
    <row r="64" spans="1:58" hidden="1" x14ac:dyDescent="0.25">
      <c r="AV64">
        <v>34</v>
      </c>
      <c r="AW64" s="94">
        <f t="shared" ca="1" si="14"/>
        <v>47125</v>
      </c>
      <c r="AX64" s="95">
        <f t="shared" si="18"/>
        <v>-47928.775704264226</v>
      </c>
      <c r="AY64" s="98">
        <f t="shared" ca="1" si="15"/>
        <v>47125</v>
      </c>
      <c r="AZ64" s="95">
        <f t="shared" si="19"/>
        <v>-2463589.0008846913</v>
      </c>
      <c r="BA64" s="99">
        <f t="shared" ca="1" si="16"/>
        <v>47125</v>
      </c>
      <c r="BB64" s="97">
        <f t="shared" si="20"/>
        <v>-12736648.270519795</v>
      </c>
      <c r="BC64" s="101">
        <f t="shared" ca="1" si="23"/>
        <v>47125</v>
      </c>
      <c r="BD64" s="100">
        <f t="shared" si="21"/>
        <v>-79324.675026834477</v>
      </c>
      <c r="BE64" s="103">
        <f t="shared" ca="1" si="17"/>
        <v>47125</v>
      </c>
      <c r="BF64" s="102">
        <f t="shared" si="22"/>
        <v>-68561.653092635141</v>
      </c>
    </row>
    <row r="65" spans="48:58" hidden="1" x14ac:dyDescent="0.25">
      <c r="AV65">
        <v>35</v>
      </c>
      <c r="AW65" s="94">
        <f t="shared" ca="1" si="14"/>
        <v>47156</v>
      </c>
      <c r="AX65" s="95">
        <f t="shared" si="18"/>
        <v>-47928.775704264226</v>
      </c>
      <c r="AY65" s="98">
        <f t="shared" ca="1" si="15"/>
        <v>47156</v>
      </c>
      <c r="AZ65" s="95">
        <f t="shared" si="19"/>
        <v>-2463589.0008846913</v>
      </c>
      <c r="BA65" s="99">
        <f t="shared" ca="1" si="16"/>
        <v>47156</v>
      </c>
      <c r="BB65" s="97">
        <f t="shared" si="20"/>
        <v>-12736648.270519795</v>
      </c>
      <c r="BC65" s="101">
        <f t="shared" ca="1" si="23"/>
        <v>47156</v>
      </c>
      <c r="BD65" s="100">
        <f t="shared" si="21"/>
        <v>-79324.675026834477</v>
      </c>
      <c r="BE65" s="103">
        <f t="shared" ca="1" si="17"/>
        <v>47156</v>
      </c>
      <c r="BF65" s="102">
        <f t="shared" si="22"/>
        <v>-68561.653092635141</v>
      </c>
    </row>
    <row r="66" spans="48:58" hidden="1" x14ac:dyDescent="0.25">
      <c r="AV66">
        <v>36</v>
      </c>
      <c r="AW66" s="94">
        <f t="shared" ca="1" si="14"/>
        <v>47184</v>
      </c>
      <c r="AX66" s="95">
        <f t="shared" si="18"/>
        <v>-47928.775704264226</v>
      </c>
      <c r="AY66" s="98">
        <f t="shared" ca="1" si="15"/>
        <v>47184</v>
      </c>
      <c r="AZ66" s="95">
        <f t="shared" si="19"/>
        <v>-2463589.0008846913</v>
      </c>
      <c r="BA66" s="99">
        <f t="shared" ca="1" si="16"/>
        <v>47184</v>
      </c>
      <c r="BB66" s="97">
        <f t="shared" si="20"/>
        <v>-12736648.270519795</v>
      </c>
      <c r="BC66" s="101">
        <f t="shared" ca="1" si="23"/>
        <v>47184</v>
      </c>
      <c r="BD66" s="100">
        <f t="shared" si="21"/>
        <v>-79324.675026834477</v>
      </c>
      <c r="BE66" s="103">
        <f t="shared" ca="1" si="17"/>
        <v>47184</v>
      </c>
      <c r="BF66" s="102">
        <f t="shared" si="22"/>
        <v>-68561.653092635141</v>
      </c>
    </row>
    <row r="67" spans="48:58" hidden="1" x14ac:dyDescent="0.25">
      <c r="AV67">
        <v>37</v>
      </c>
      <c r="AW67" s="94">
        <f t="shared" ca="1" si="14"/>
        <v>47215</v>
      </c>
      <c r="AX67" s="95">
        <f t="shared" si="18"/>
        <v>-47928.775704264226</v>
      </c>
      <c r="AY67" s="98">
        <f t="shared" ca="1" si="15"/>
        <v>47215</v>
      </c>
      <c r="AZ67" s="95">
        <f t="shared" si="19"/>
        <v>-2463589.0008846913</v>
      </c>
      <c r="BA67" s="99">
        <f t="shared" ca="1" si="16"/>
        <v>47215</v>
      </c>
      <c r="BB67" s="97">
        <f t="shared" si="20"/>
        <v>-12736648.270519795</v>
      </c>
      <c r="BC67" s="101">
        <f t="shared" ca="1" si="23"/>
        <v>47215</v>
      </c>
      <c r="BD67" s="100">
        <f t="shared" si="21"/>
        <v>-79324.675026834477</v>
      </c>
      <c r="BE67" s="103">
        <f t="shared" ca="1" si="17"/>
        <v>47215</v>
      </c>
      <c r="BF67" s="102">
        <f t="shared" si="22"/>
        <v>-68561.653092635141</v>
      </c>
    </row>
    <row r="68" spans="48:58" hidden="1" x14ac:dyDescent="0.25">
      <c r="AV68">
        <v>38</v>
      </c>
      <c r="AW68" s="94">
        <f t="shared" ca="1" si="14"/>
        <v>47245</v>
      </c>
      <c r="AX68" s="95">
        <f t="shared" si="18"/>
        <v>-47928.775704264226</v>
      </c>
      <c r="AY68" s="98">
        <f t="shared" ca="1" si="15"/>
        <v>47245</v>
      </c>
      <c r="AZ68" s="95">
        <f t="shared" si="19"/>
        <v>-2463589.0008846913</v>
      </c>
      <c r="BA68" s="99">
        <f t="shared" ca="1" si="16"/>
        <v>47245</v>
      </c>
      <c r="BB68" s="97">
        <f t="shared" si="20"/>
        <v>-12736648.270519795</v>
      </c>
      <c r="BC68" s="101">
        <f t="shared" ca="1" si="23"/>
        <v>47245</v>
      </c>
      <c r="BD68" s="100">
        <f t="shared" si="21"/>
        <v>-79324.675026834477</v>
      </c>
      <c r="BE68" s="103">
        <f t="shared" ca="1" si="17"/>
        <v>47245</v>
      </c>
      <c r="BF68" s="102">
        <f t="shared" si="22"/>
        <v>-68561.653092635141</v>
      </c>
    </row>
    <row r="69" spans="48:58" hidden="1" x14ac:dyDescent="0.25">
      <c r="AV69">
        <v>39</v>
      </c>
      <c r="AW69" s="94">
        <f t="shared" ca="1" si="14"/>
        <v>47276</v>
      </c>
      <c r="AX69" s="95">
        <f t="shared" si="18"/>
        <v>-47928.775704264226</v>
      </c>
      <c r="AY69" s="98">
        <f t="shared" ca="1" si="15"/>
        <v>47276</v>
      </c>
      <c r="AZ69" s="95">
        <f t="shared" si="19"/>
        <v>-2463589.0008846913</v>
      </c>
      <c r="BA69" s="99">
        <f t="shared" ca="1" si="16"/>
        <v>47276</v>
      </c>
      <c r="BB69" s="97">
        <f t="shared" si="20"/>
        <v>-12736648.270519795</v>
      </c>
      <c r="BC69" s="101">
        <f t="shared" ca="1" si="23"/>
        <v>47276</v>
      </c>
      <c r="BD69" s="100">
        <f t="shared" si="21"/>
        <v>-79324.675026834477</v>
      </c>
      <c r="BE69" s="103">
        <f t="shared" ca="1" si="17"/>
        <v>47276</v>
      </c>
      <c r="BF69" s="102">
        <f t="shared" si="22"/>
        <v>-68561.653092635141</v>
      </c>
    </row>
    <row r="70" spans="48:58" hidden="1" x14ac:dyDescent="0.25">
      <c r="AV70">
        <v>40</v>
      </c>
      <c r="AW70" s="94">
        <f t="shared" ca="1" si="14"/>
        <v>47306</v>
      </c>
      <c r="AX70" s="95">
        <f t="shared" si="18"/>
        <v>-47928.775704264226</v>
      </c>
      <c r="AY70" s="98">
        <f t="shared" ca="1" si="15"/>
        <v>47306</v>
      </c>
      <c r="AZ70" s="95">
        <f t="shared" si="19"/>
        <v>-2463589.0008846913</v>
      </c>
      <c r="BA70" s="99">
        <f t="shared" ca="1" si="16"/>
        <v>47306</v>
      </c>
      <c r="BB70" s="97">
        <f t="shared" si="20"/>
        <v>-12736648.270519795</v>
      </c>
      <c r="BC70" s="101">
        <f t="shared" ca="1" si="23"/>
        <v>47306</v>
      </c>
      <c r="BD70" s="100">
        <f t="shared" si="21"/>
        <v>-79324.675026834477</v>
      </c>
      <c r="BE70" s="103">
        <f t="shared" ca="1" si="17"/>
        <v>47306</v>
      </c>
      <c r="BF70" s="102">
        <f t="shared" si="22"/>
        <v>-68561.653092635141</v>
      </c>
    </row>
    <row r="71" spans="48:58" hidden="1" x14ac:dyDescent="0.25">
      <c r="AV71">
        <v>41</v>
      </c>
      <c r="AW71" s="94">
        <f t="shared" ca="1" si="14"/>
        <v>47337</v>
      </c>
      <c r="AX71" s="95">
        <f t="shared" si="18"/>
        <v>-47928.775704264226</v>
      </c>
      <c r="AY71" s="98">
        <f t="shared" ca="1" si="15"/>
        <v>47337</v>
      </c>
      <c r="AZ71" s="95">
        <f t="shared" si="19"/>
        <v>-2463589.0008846913</v>
      </c>
      <c r="BA71" s="99">
        <f t="shared" ca="1" si="16"/>
        <v>47337</v>
      </c>
      <c r="BB71" s="97">
        <f t="shared" si="20"/>
        <v>-12736648.270519795</v>
      </c>
      <c r="BC71" s="101">
        <f t="shared" ca="1" si="23"/>
        <v>47337</v>
      </c>
      <c r="BD71" s="100">
        <f t="shared" si="21"/>
        <v>-79324.675026834477</v>
      </c>
      <c r="BE71" s="103">
        <f t="shared" ca="1" si="17"/>
        <v>47337</v>
      </c>
      <c r="BF71" s="102">
        <f t="shared" si="22"/>
        <v>-68561.653092635141</v>
      </c>
    </row>
    <row r="72" spans="48:58" hidden="1" x14ac:dyDescent="0.25">
      <c r="AV72">
        <v>42</v>
      </c>
      <c r="AW72" s="94">
        <f t="shared" ca="1" si="14"/>
        <v>47368</v>
      </c>
      <c r="AX72" s="95">
        <f t="shared" si="18"/>
        <v>-47928.775704264226</v>
      </c>
      <c r="AY72" s="98">
        <f t="shared" ca="1" si="15"/>
        <v>47368</v>
      </c>
      <c r="AZ72" s="95">
        <f t="shared" si="19"/>
        <v>-2463589.0008846913</v>
      </c>
      <c r="BA72" s="99">
        <f t="shared" ca="1" si="16"/>
        <v>47368</v>
      </c>
      <c r="BB72" s="97">
        <f t="shared" si="20"/>
        <v>-12736648.270519795</v>
      </c>
      <c r="BC72" s="101">
        <f t="shared" ca="1" si="23"/>
        <v>47368</v>
      </c>
      <c r="BD72" s="100">
        <f t="shared" si="21"/>
        <v>-79324.675026834477</v>
      </c>
      <c r="BE72" s="103">
        <f t="shared" ca="1" si="17"/>
        <v>47368</v>
      </c>
      <c r="BF72" s="102">
        <f t="shared" si="22"/>
        <v>-68561.653092635141</v>
      </c>
    </row>
    <row r="73" spans="48:58" hidden="1" x14ac:dyDescent="0.25">
      <c r="AV73">
        <v>43</v>
      </c>
      <c r="AW73" s="94">
        <f t="shared" ca="1" si="14"/>
        <v>47398</v>
      </c>
      <c r="AX73" s="95">
        <f t="shared" si="18"/>
        <v>-47928.775704264226</v>
      </c>
      <c r="AY73" s="98">
        <f t="shared" ca="1" si="15"/>
        <v>47398</v>
      </c>
      <c r="AZ73" s="95">
        <f t="shared" si="19"/>
        <v>-2463589.0008846913</v>
      </c>
      <c r="BA73" s="99">
        <f t="shared" ca="1" si="16"/>
        <v>47398</v>
      </c>
      <c r="BB73" s="97">
        <f t="shared" si="20"/>
        <v>-12736648.270519795</v>
      </c>
      <c r="BC73" s="101">
        <f t="shared" ca="1" si="23"/>
        <v>47398</v>
      </c>
      <c r="BD73" s="100">
        <f t="shared" si="21"/>
        <v>-79324.675026834477</v>
      </c>
      <c r="BE73" s="103">
        <f t="shared" ca="1" si="17"/>
        <v>47398</v>
      </c>
      <c r="BF73" s="102">
        <f t="shared" si="22"/>
        <v>-68561.653092635141</v>
      </c>
    </row>
    <row r="74" spans="48:58" hidden="1" x14ac:dyDescent="0.25">
      <c r="AV74">
        <v>44</v>
      </c>
      <c r="AW74" s="94">
        <f t="shared" ca="1" si="14"/>
        <v>47429</v>
      </c>
      <c r="AX74" s="95">
        <f t="shared" si="18"/>
        <v>-47928.775704264226</v>
      </c>
      <c r="AY74" s="98">
        <f t="shared" ca="1" si="15"/>
        <v>47429</v>
      </c>
      <c r="AZ74" s="95">
        <f t="shared" si="19"/>
        <v>-2463589.0008846913</v>
      </c>
      <c r="BA74" s="99">
        <f t="shared" ca="1" si="16"/>
        <v>47429</v>
      </c>
      <c r="BB74" s="97">
        <f t="shared" si="20"/>
        <v>-12736648.270519795</v>
      </c>
      <c r="BC74" s="101">
        <f t="shared" ca="1" si="23"/>
        <v>47429</v>
      </c>
      <c r="BD74" s="100">
        <f t="shared" si="21"/>
        <v>-79324.675026834477</v>
      </c>
      <c r="BE74" s="103">
        <f t="shared" ca="1" si="17"/>
        <v>47429</v>
      </c>
      <c r="BF74" s="102">
        <f t="shared" si="22"/>
        <v>-68561.653092635141</v>
      </c>
    </row>
    <row r="75" spans="48:58" hidden="1" x14ac:dyDescent="0.25">
      <c r="AV75">
        <v>45</v>
      </c>
      <c r="AW75" s="94">
        <f t="shared" ca="1" si="14"/>
        <v>47459</v>
      </c>
      <c r="AX75" s="95">
        <f t="shared" si="18"/>
        <v>-47928.775704264226</v>
      </c>
      <c r="AY75" s="98">
        <f t="shared" ca="1" si="15"/>
        <v>47459</v>
      </c>
      <c r="AZ75" s="95">
        <f t="shared" si="19"/>
        <v>-2463589.0008846913</v>
      </c>
      <c r="BA75" s="99">
        <f t="shared" ca="1" si="16"/>
        <v>47459</v>
      </c>
      <c r="BB75" s="97">
        <f t="shared" si="20"/>
        <v>-12736648.270519795</v>
      </c>
      <c r="BC75" s="101">
        <f t="shared" ca="1" si="23"/>
        <v>47459</v>
      </c>
      <c r="BD75" s="100">
        <f t="shared" si="21"/>
        <v>-79324.675026834477</v>
      </c>
      <c r="BE75" s="103">
        <f t="shared" ca="1" si="17"/>
        <v>47459</v>
      </c>
      <c r="BF75" s="102">
        <f t="shared" si="22"/>
        <v>-68561.653092635141</v>
      </c>
    </row>
    <row r="76" spans="48:58" hidden="1" x14ac:dyDescent="0.25">
      <c r="AV76">
        <v>46</v>
      </c>
      <c r="AW76" s="94">
        <f t="shared" ca="1" si="14"/>
        <v>47490</v>
      </c>
      <c r="AX76" s="95">
        <f t="shared" si="18"/>
        <v>-47928.775704264226</v>
      </c>
      <c r="AY76" s="98">
        <f t="shared" ca="1" si="15"/>
        <v>47490</v>
      </c>
      <c r="AZ76" s="95">
        <f t="shared" si="19"/>
        <v>-2463589.0008846913</v>
      </c>
      <c r="BA76" s="99">
        <f t="shared" ca="1" si="16"/>
        <v>47490</v>
      </c>
      <c r="BB76" s="97">
        <f t="shared" si="20"/>
        <v>-12736648.270519795</v>
      </c>
      <c r="BC76" s="101">
        <f t="shared" ca="1" si="23"/>
        <v>47490</v>
      </c>
      <c r="BD76" s="100">
        <f t="shared" si="21"/>
        <v>-79324.675026834477</v>
      </c>
      <c r="BE76" s="103">
        <f t="shared" ca="1" si="17"/>
        <v>47490</v>
      </c>
      <c r="BF76" s="102">
        <f t="shared" si="22"/>
        <v>-68561.653092635141</v>
      </c>
    </row>
    <row r="77" spans="48:58" hidden="1" x14ac:dyDescent="0.25">
      <c r="AV77">
        <v>47</v>
      </c>
      <c r="AW77" s="94">
        <f t="shared" ca="1" si="14"/>
        <v>47521</v>
      </c>
      <c r="AX77" s="95">
        <f t="shared" si="18"/>
        <v>-47928.775704264226</v>
      </c>
      <c r="AY77" s="98">
        <f t="shared" ca="1" si="15"/>
        <v>47521</v>
      </c>
      <c r="AZ77" s="95">
        <f t="shared" si="19"/>
        <v>-2463589.0008846913</v>
      </c>
      <c r="BA77" s="99">
        <f t="shared" ca="1" si="16"/>
        <v>47521</v>
      </c>
      <c r="BB77" s="97">
        <f t="shared" si="20"/>
        <v>-12736648.270519795</v>
      </c>
      <c r="BC77" s="101">
        <f t="shared" ca="1" si="23"/>
        <v>47521</v>
      </c>
      <c r="BD77" s="100">
        <f t="shared" si="21"/>
        <v>-79324.675026834477</v>
      </c>
      <c r="BE77" s="103">
        <f t="shared" ca="1" si="17"/>
        <v>47521</v>
      </c>
      <c r="BF77" s="102">
        <f t="shared" si="22"/>
        <v>-68561.653092635141</v>
      </c>
    </row>
    <row r="78" spans="48:58" hidden="1" x14ac:dyDescent="0.25">
      <c r="AV78">
        <v>48</v>
      </c>
      <c r="AW78" s="94">
        <f t="shared" ca="1" si="14"/>
        <v>47549</v>
      </c>
      <c r="AX78" s="95">
        <f t="shared" si="18"/>
        <v>-47928.775704264226</v>
      </c>
      <c r="AY78" s="98">
        <f t="shared" ca="1" si="15"/>
        <v>47549</v>
      </c>
      <c r="AZ78" s="95">
        <f t="shared" si="19"/>
        <v>-2463589.0008846913</v>
      </c>
      <c r="BA78" s="99">
        <f t="shared" ca="1" si="16"/>
        <v>47549</v>
      </c>
      <c r="BB78" s="97">
        <f t="shared" si="20"/>
        <v>-12736648.270519795</v>
      </c>
      <c r="BC78" s="101">
        <f t="shared" ca="1" si="23"/>
        <v>47549</v>
      </c>
      <c r="BD78" s="100">
        <f t="shared" si="21"/>
        <v>-79324.675026834477</v>
      </c>
      <c r="BE78" s="103">
        <f t="shared" ca="1" si="17"/>
        <v>47549</v>
      </c>
      <c r="BF78" s="102">
        <f t="shared" si="22"/>
        <v>-68561.653092635141</v>
      </c>
    </row>
    <row r="79" spans="48:58" hidden="1" x14ac:dyDescent="0.25">
      <c r="AV79">
        <v>49</v>
      </c>
      <c r="AW79" s="94">
        <f t="shared" ca="1" si="14"/>
        <v>47580</v>
      </c>
      <c r="AX79" s="95">
        <f t="shared" si="18"/>
        <v>-47928.775704264226</v>
      </c>
      <c r="AY79" s="98">
        <f t="shared" ca="1" si="15"/>
        <v>47580</v>
      </c>
      <c r="AZ79" s="95">
        <f t="shared" si="19"/>
        <v>-2463589.0008846913</v>
      </c>
      <c r="BA79" s="99">
        <f t="shared" ca="1" si="16"/>
        <v>47580</v>
      </c>
      <c r="BB79" s="97">
        <f t="shared" si="20"/>
        <v>-12736648.270519795</v>
      </c>
      <c r="BC79" s="101">
        <f t="shared" ca="1" si="23"/>
        <v>47580</v>
      </c>
      <c r="BD79" s="100">
        <f t="shared" si="21"/>
        <v>-79324.675026834477</v>
      </c>
      <c r="BE79" s="103">
        <f t="shared" ca="1" si="17"/>
        <v>47580</v>
      </c>
      <c r="BF79" s="102">
        <f t="shared" si="22"/>
        <v>-68561.653092635141</v>
      </c>
    </row>
    <row r="80" spans="48:58" hidden="1" x14ac:dyDescent="0.25">
      <c r="AV80">
        <v>50</v>
      </c>
      <c r="AW80" s="94">
        <f t="shared" ca="1" si="14"/>
        <v>47610</v>
      </c>
      <c r="AX80" s="95">
        <f t="shared" si="18"/>
        <v>-47928.775704264226</v>
      </c>
      <c r="AY80" s="98">
        <f t="shared" ca="1" si="15"/>
        <v>47610</v>
      </c>
      <c r="AZ80" s="95">
        <f t="shared" si="19"/>
        <v>-2463589.0008846913</v>
      </c>
      <c r="BA80" s="99">
        <f t="shared" ca="1" si="16"/>
        <v>47610</v>
      </c>
      <c r="BB80" s="97">
        <f t="shared" si="20"/>
        <v>-12736648.270519795</v>
      </c>
      <c r="BC80" s="101">
        <f t="shared" ca="1" si="23"/>
        <v>47610</v>
      </c>
      <c r="BD80" s="100">
        <f t="shared" si="21"/>
        <v>-79324.675026834477</v>
      </c>
      <c r="BE80" s="103">
        <f t="shared" ca="1" si="17"/>
        <v>47610</v>
      </c>
      <c r="BF80" s="102">
        <f t="shared" si="22"/>
        <v>-68561.653092635141</v>
      </c>
    </row>
    <row r="81" spans="48:58" hidden="1" x14ac:dyDescent="0.25">
      <c r="AV81">
        <v>51</v>
      </c>
      <c r="AW81" s="94">
        <f t="shared" ca="1" si="14"/>
        <v>47641</v>
      </c>
      <c r="AX81" s="95">
        <f t="shared" si="18"/>
        <v>-47928.775704264226</v>
      </c>
      <c r="AY81" s="98">
        <f t="shared" ca="1" si="15"/>
        <v>47641</v>
      </c>
      <c r="AZ81" s="95">
        <f t="shared" si="19"/>
        <v>-2463589.0008846913</v>
      </c>
      <c r="BA81" s="99">
        <f t="shared" ca="1" si="16"/>
        <v>47641</v>
      </c>
      <c r="BB81" s="97">
        <f t="shared" si="20"/>
        <v>-12736648.270519795</v>
      </c>
      <c r="BC81" s="101">
        <f t="shared" ca="1" si="23"/>
        <v>47641</v>
      </c>
      <c r="BD81" s="100">
        <f t="shared" si="21"/>
        <v>-79324.675026834477</v>
      </c>
      <c r="BE81" s="103">
        <f t="shared" ca="1" si="17"/>
        <v>47641</v>
      </c>
      <c r="BF81" s="102">
        <f t="shared" si="22"/>
        <v>-68561.653092635141</v>
      </c>
    </row>
    <row r="82" spans="48:58" hidden="1" x14ac:dyDescent="0.25">
      <c r="AV82">
        <v>52</v>
      </c>
      <c r="AW82" s="94">
        <f t="shared" ca="1" si="14"/>
        <v>47671</v>
      </c>
      <c r="AX82" s="95">
        <f t="shared" si="18"/>
        <v>-47928.775704264226</v>
      </c>
      <c r="AY82" s="98">
        <f t="shared" ca="1" si="15"/>
        <v>47671</v>
      </c>
      <c r="AZ82" s="95">
        <f t="shared" si="19"/>
        <v>-2463589.0008846913</v>
      </c>
      <c r="BA82" s="99">
        <f t="shared" ca="1" si="16"/>
        <v>47671</v>
      </c>
      <c r="BB82" s="97">
        <f t="shared" si="20"/>
        <v>-12736648.270519795</v>
      </c>
      <c r="BC82" s="101">
        <f t="shared" ca="1" si="23"/>
        <v>47671</v>
      </c>
      <c r="BD82" s="100">
        <f t="shared" si="21"/>
        <v>-79324.675026834477</v>
      </c>
      <c r="BE82" s="103">
        <f t="shared" ca="1" si="17"/>
        <v>47671</v>
      </c>
      <c r="BF82" s="102">
        <f t="shared" si="22"/>
        <v>-68561.653092635141</v>
      </c>
    </row>
    <row r="83" spans="48:58" hidden="1" x14ac:dyDescent="0.25">
      <c r="AV83">
        <v>53</v>
      </c>
      <c r="AW83" s="94">
        <f t="shared" ca="1" si="14"/>
        <v>47702</v>
      </c>
      <c r="AX83" s="95">
        <f t="shared" si="18"/>
        <v>-47928.775704264226</v>
      </c>
      <c r="AY83" s="98">
        <f t="shared" ca="1" si="15"/>
        <v>47702</v>
      </c>
      <c r="AZ83" s="95">
        <f t="shared" si="19"/>
        <v>-2463589.0008846913</v>
      </c>
      <c r="BA83" s="99">
        <f t="shared" ca="1" si="16"/>
        <v>47702</v>
      </c>
      <c r="BB83" s="97">
        <f t="shared" si="20"/>
        <v>-12736648.270519795</v>
      </c>
      <c r="BC83" s="101">
        <f t="shared" ca="1" si="23"/>
        <v>47702</v>
      </c>
      <c r="BD83" s="100">
        <f t="shared" si="21"/>
        <v>-79324.675026834477</v>
      </c>
      <c r="BE83" s="103">
        <f t="shared" ca="1" si="17"/>
        <v>47702</v>
      </c>
      <c r="BF83" s="102">
        <f t="shared" si="22"/>
        <v>-68561.653092635141</v>
      </c>
    </row>
    <row r="84" spans="48:58" hidden="1" x14ac:dyDescent="0.25">
      <c r="AV84">
        <v>54</v>
      </c>
      <c r="AW84" s="94">
        <f t="shared" ca="1" si="14"/>
        <v>47733</v>
      </c>
      <c r="AX84" s="95">
        <f t="shared" si="18"/>
        <v>-47928.775704264226</v>
      </c>
      <c r="AY84" s="98">
        <f t="shared" ca="1" si="15"/>
        <v>47733</v>
      </c>
      <c r="AZ84" s="95">
        <f t="shared" si="19"/>
        <v>-2463589.0008846913</v>
      </c>
      <c r="BA84" s="99">
        <f t="shared" ca="1" si="16"/>
        <v>47733</v>
      </c>
      <c r="BB84" s="97">
        <f t="shared" si="20"/>
        <v>-12736648.270519795</v>
      </c>
      <c r="BC84" s="101">
        <f t="shared" ca="1" si="23"/>
        <v>47733</v>
      </c>
      <c r="BD84" s="100">
        <f t="shared" si="21"/>
        <v>-79324.675026834477</v>
      </c>
      <c r="BE84" s="103">
        <f t="shared" ca="1" si="17"/>
        <v>47733</v>
      </c>
      <c r="BF84" s="102">
        <f t="shared" si="22"/>
        <v>-68561.653092635141</v>
      </c>
    </row>
    <row r="85" spans="48:58" hidden="1" x14ac:dyDescent="0.25">
      <c r="AV85">
        <v>55</v>
      </c>
      <c r="AW85" s="94">
        <f t="shared" ca="1" si="14"/>
        <v>47763</v>
      </c>
      <c r="AX85" s="95">
        <f t="shared" si="18"/>
        <v>-47928.775704264226</v>
      </c>
      <c r="AY85" s="98">
        <f t="shared" ca="1" si="15"/>
        <v>47763</v>
      </c>
      <c r="AZ85" s="95">
        <f t="shared" si="19"/>
        <v>-2463589.0008846913</v>
      </c>
      <c r="BA85" s="99">
        <f t="shared" ca="1" si="16"/>
        <v>47763</v>
      </c>
      <c r="BB85" s="97">
        <f t="shared" si="20"/>
        <v>-12736648.270519795</v>
      </c>
      <c r="BC85" s="101">
        <f t="shared" ca="1" si="23"/>
        <v>47763</v>
      </c>
      <c r="BD85" s="100">
        <f t="shared" si="21"/>
        <v>-79324.675026834477</v>
      </c>
      <c r="BE85" s="103">
        <f t="shared" ca="1" si="17"/>
        <v>47763</v>
      </c>
      <c r="BF85" s="102">
        <f t="shared" si="22"/>
        <v>-68561.653092635141</v>
      </c>
    </row>
    <row r="86" spans="48:58" hidden="1" x14ac:dyDescent="0.25">
      <c r="AV86">
        <v>56</v>
      </c>
      <c r="AW86" s="94">
        <f t="shared" ca="1" si="14"/>
        <v>47794</v>
      </c>
      <c r="AX86" s="95">
        <f t="shared" si="18"/>
        <v>-47928.775704264226</v>
      </c>
      <c r="AY86" s="98">
        <f t="shared" ca="1" si="15"/>
        <v>47794</v>
      </c>
      <c r="AZ86" s="95">
        <f t="shared" si="19"/>
        <v>-2463589.0008846913</v>
      </c>
      <c r="BA86" s="99">
        <f t="shared" ca="1" si="16"/>
        <v>47794</v>
      </c>
      <c r="BB86" s="97">
        <f t="shared" si="20"/>
        <v>-12736648.270519795</v>
      </c>
      <c r="BC86" s="101">
        <f t="shared" ca="1" si="23"/>
        <v>47794</v>
      </c>
      <c r="BD86" s="100">
        <f t="shared" si="21"/>
        <v>-79324.675026834477</v>
      </c>
      <c r="BE86" s="103">
        <f t="shared" ca="1" si="17"/>
        <v>47794</v>
      </c>
      <c r="BF86" s="102">
        <f t="shared" si="22"/>
        <v>-68561.653092635141</v>
      </c>
    </row>
    <row r="87" spans="48:58" hidden="1" x14ac:dyDescent="0.25">
      <c r="AV87">
        <v>57</v>
      </c>
      <c r="AW87" s="94">
        <f t="shared" ca="1" si="14"/>
        <v>47824</v>
      </c>
      <c r="AX87" s="95">
        <f t="shared" si="18"/>
        <v>-47928.775704264226</v>
      </c>
      <c r="AY87" s="98">
        <f t="shared" ca="1" si="15"/>
        <v>47824</v>
      </c>
      <c r="AZ87" s="95">
        <f t="shared" si="19"/>
        <v>-2463589.0008846913</v>
      </c>
      <c r="BA87" s="99">
        <f t="shared" ca="1" si="16"/>
        <v>47824</v>
      </c>
      <c r="BB87" s="97">
        <f t="shared" si="20"/>
        <v>-12736648.270519795</v>
      </c>
      <c r="BC87" s="101">
        <f t="shared" ca="1" si="23"/>
        <v>47824</v>
      </c>
      <c r="BD87" s="100">
        <f t="shared" si="21"/>
        <v>-79324.675026834477</v>
      </c>
      <c r="BE87" s="103">
        <f t="shared" ca="1" si="17"/>
        <v>47824</v>
      </c>
      <c r="BF87" s="102">
        <f t="shared" si="22"/>
        <v>-68561.653092635141</v>
      </c>
    </row>
    <row r="88" spans="48:58" hidden="1" x14ac:dyDescent="0.25">
      <c r="AV88">
        <v>58</v>
      </c>
      <c r="AW88" s="94">
        <f t="shared" ca="1" si="14"/>
        <v>47855</v>
      </c>
      <c r="AX88" s="95">
        <f t="shared" si="18"/>
        <v>-47928.775704264226</v>
      </c>
      <c r="AY88" s="98">
        <f t="shared" ca="1" si="15"/>
        <v>47855</v>
      </c>
      <c r="AZ88" s="95">
        <f t="shared" si="19"/>
        <v>-2463589.0008846913</v>
      </c>
      <c r="BA88" s="99">
        <f t="shared" ca="1" si="16"/>
        <v>47855</v>
      </c>
      <c r="BB88" s="97">
        <f t="shared" si="20"/>
        <v>-12736648.270519795</v>
      </c>
      <c r="BC88" s="101">
        <f t="shared" ca="1" si="23"/>
        <v>47855</v>
      </c>
      <c r="BD88" s="100">
        <f t="shared" si="21"/>
        <v>-79324.675026834477</v>
      </c>
      <c r="BE88" s="103">
        <f t="shared" ca="1" si="17"/>
        <v>47855</v>
      </c>
      <c r="BF88" s="102">
        <f t="shared" si="22"/>
        <v>-68561.653092635141</v>
      </c>
    </row>
    <row r="89" spans="48:58" hidden="1" x14ac:dyDescent="0.25">
      <c r="AV89">
        <v>59</v>
      </c>
      <c r="AW89" s="94">
        <f t="shared" ca="1" si="14"/>
        <v>47886</v>
      </c>
      <c r="AX89" s="95">
        <f t="shared" si="18"/>
        <v>-47928.775704264226</v>
      </c>
      <c r="AY89" s="98">
        <f t="shared" ca="1" si="15"/>
        <v>47886</v>
      </c>
      <c r="AZ89" s="95">
        <f t="shared" si="19"/>
        <v>-2463589.0008846913</v>
      </c>
      <c r="BA89" s="99">
        <f t="shared" ca="1" si="16"/>
        <v>47886</v>
      </c>
      <c r="BB89" s="97">
        <f t="shared" si="20"/>
        <v>-12736648.270519795</v>
      </c>
      <c r="BC89" s="101">
        <f t="shared" ca="1" si="23"/>
        <v>47886</v>
      </c>
      <c r="BD89" s="100">
        <f t="shared" si="21"/>
        <v>-79324.675026834477</v>
      </c>
      <c r="BE89" s="103">
        <f t="shared" ca="1" si="17"/>
        <v>47886</v>
      </c>
      <c r="BF89" s="102">
        <f t="shared" si="22"/>
        <v>-68561.653092635141</v>
      </c>
    </row>
    <row r="90" spans="48:58" hidden="1" x14ac:dyDescent="0.25">
      <c r="AV90">
        <v>60</v>
      </c>
      <c r="AW90" s="94">
        <f t="shared" ca="1" si="14"/>
        <v>47914</v>
      </c>
      <c r="AX90" s="95">
        <f t="shared" si="18"/>
        <v>-47928.775704264226</v>
      </c>
      <c r="AY90" s="98">
        <f t="shared" ca="1" si="15"/>
        <v>47914</v>
      </c>
      <c r="AZ90" s="95">
        <f t="shared" si="19"/>
        <v>-2463589.0008846913</v>
      </c>
      <c r="BA90" s="99">
        <f t="shared" ca="1" si="16"/>
        <v>47914</v>
      </c>
      <c r="BB90" s="97">
        <f t="shared" si="20"/>
        <v>-12736648.270519795</v>
      </c>
      <c r="BC90" s="101">
        <f t="shared" ca="1" si="23"/>
        <v>47914</v>
      </c>
      <c r="BD90" s="100">
        <f t="shared" si="21"/>
        <v>-79324.675026834477</v>
      </c>
      <c r="BE90" s="103">
        <f t="shared" ca="1" si="17"/>
        <v>47914</v>
      </c>
      <c r="BF90" s="102">
        <f t="shared" si="22"/>
        <v>-68561.653092635141</v>
      </c>
    </row>
    <row r="91" spans="48:58" hidden="1" x14ac:dyDescent="0.25">
      <c r="AV91">
        <v>61</v>
      </c>
      <c r="AW91" s="94">
        <f t="shared" ca="1" si="14"/>
        <v>47945</v>
      </c>
      <c r="AX91" s="95">
        <f t="shared" si="18"/>
        <v>-47928.775704264226</v>
      </c>
      <c r="AY91" s="98">
        <f t="shared" ca="1" si="15"/>
        <v>47945</v>
      </c>
      <c r="AZ91" s="95">
        <f t="shared" si="19"/>
        <v>-2463589.0008846913</v>
      </c>
      <c r="BA91" s="99">
        <f t="shared" ca="1" si="16"/>
        <v>47945</v>
      </c>
      <c r="BB91" s="97">
        <f t="shared" si="20"/>
        <v>-12736648.270519795</v>
      </c>
      <c r="BC91" s="101">
        <f t="shared" ca="1" si="23"/>
        <v>47945</v>
      </c>
      <c r="BD91" s="100">
        <f t="shared" si="21"/>
        <v>5564515.5566399992</v>
      </c>
      <c r="BE91" s="103">
        <f t="shared" ca="1" si="17"/>
        <v>47945</v>
      </c>
      <c r="BF91" s="102">
        <f t="shared" si="22"/>
        <v>-68561.653092635141</v>
      </c>
    </row>
    <row r="92" spans="48:58" hidden="1" x14ac:dyDescent="0.25">
      <c r="AV92">
        <v>62</v>
      </c>
      <c r="AW92" s="94">
        <f t="shared" ca="1" si="14"/>
        <v>47975</v>
      </c>
      <c r="AX92" s="95">
        <f t="shared" si="18"/>
        <v>-47928.775704264226</v>
      </c>
      <c r="AY92" s="98">
        <f t="shared" ca="1" si="15"/>
        <v>47975</v>
      </c>
      <c r="AZ92" s="95">
        <f t="shared" si="19"/>
        <v>-2463589.0008846913</v>
      </c>
      <c r="BA92" s="99">
        <f t="shared" ca="1" si="16"/>
        <v>47975</v>
      </c>
      <c r="BB92" s="97">
        <f t="shared" si="20"/>
        <v>-12736648.270519795</v>
      </c>
      <c r="BC92" s="101" t="str">
        <f t="shared" ca="1" si="23"/>
        <v/>
      </c>
      <c r="BD92" s="100" t="str">
        <f t="shared" si="21"/>
        <v/>
      </c>
      <c r="BE92" s="103">
        <f t="shared" ca="1" si="17"/>
        <v>47975</v>
      </c>
      <c r="BF92" s="102">
        <f t="shared" si="22"/>
        <v>-68561.653092635141</v>
      </c>
    </row>
    <row r="93" spans="48:58" hidden="1" x14ac:dyDescent="0.25">
      <c r="AV93">
        <v>63</v>
      </c>
      <c r="AW93" s="94">
        <f t="shared" ca="1" si="14"/>
        <v>48006</v>
      </c>
      <c r="AX93" s="95">
        <f t="shared" si="18"/>
        <v>-47928.775704264226</v>
      </c>
      <c r="AY93" s="98">
        <f t="shared" ca="1" si="15"/>
        <v>48006</v>
      </c>
      <c r="AZ93" s="95">
        <f t="shared" si="19"/>
        <v>-2463589.0008846913</v>
      </c>
      <c r="BA93" s="99">
        <f t="shared" ca="1" si="16"/>
        <v>48006</v>
      </c>
      <c r="BB93" s="97">
        <f t="shared" si="20"/>
        <v>-12736648.270519795</v>
      </c>
      <c r="BC93" s="101" t="str">
        <f t="shared" ca="1" si="23"/>
        <v/>
      </c>
      <c r="BD93" s="100" t="str">
        <f t="shared" si="21"/>
        <v/>
      </c>
      <c r="BE93" s="103">
        <f t="shared" ca="1" si="17"/>
        <v>48006</v>
      </c>
      <c r="BF93" s="102">
        <f t="shared" si="22"/>
        <v>-68561.653092635141</v>
      </c>
    </row>
    <row r="94" spans="48:58" hidden="1" x14ac:dyDescent="0.25">
      <c r="AV94">
        <v>64</v>
      </c>
      <c r="AW94" s="94">
        <f t="shared" ca="1" si="14"/>
        <v>48036</v>
      </c>
      <c r="AX94" s="95">
        <f t="shared" si="18"/>
        <v>-47928.775704264226</v>
      </c>
      <c r="AY94" s="98">
        <f t="shared" ca="1" si="15"/>
        <v>48036</v>
      </c>
      <c r="AZ94" s="95">
        <f t="shared" si="19"/>
        <v>-2463589.0008846913</v>
      </c>
      <c r="BA94" s="99">
        <f t="shared" ca="1" si="16"/>
        <v>48036</v>
      </c>
      <c r="BB94" s="97">
        <f t="shared" si="20"/>
        <v>-12736648.270519795</v>
      </c>
      <c r="BC94" s="101" t="str">
        <f t="shared" ca="1" si="23"/>
        <v/>
      </c>
      <c r="BD94" s="100" t="str">
        <f t="shared" si="21"/>
        <v/>
      </c>
      <c r="BE94" s="103">
        <f t="shared" ca="1" si="17"/>
        <v>48036</v>
      </c>
      <c r="BF94" s="102">
        <f t="shared" si="22"/>
        <v>-68561.653092635141</v>
      </c>
    </row>
    <row r="95" spans="48:58" hidden="1" x14ac:dyDescent="0.25">
      <c r="AV95">
        <v>65</v>
      </c>
      <c r="AW95" s="94">
        <f t="shared" ref="AW95:AW158" ca="1" si="24">IF(T_1*12&gt;=AV95,DATE(YEAR(TODAY()),MONTH(TODAY())+AV95-1,DAY(TODAY())),IF(T_1*12+1&gt;=AV95,DATE(YEAR(TODAY()),MONTH(TODAY())+T_1*12,DAY(TODAY())),""))</f>
        <v>48067</v>
      </c>
      <c r="AX95" s="95">
        <f t="shared" si="18"/>
        <v>-47928.775704264226</v>
      </c>
      <c r="AY95" s="98">
        <f t="shared" ref="AY95:AY158" ca="1" si="25">IF(T_2*12&gt;=$AV95,DATE(YEAR(TODAY()),MONTH(TODAY())+$AV95-1,DAY(TODAY())),IF(T_2*12+1&gt;=$AV95,DATE(YEAR(TODAY()),MONTH(TODAY())+T_2*12,DAY(TODAY())),""))</f>
        <v>48067</v>
      </c>
      <c r="AZ95" s="95">
        <f t="shared" si="19"/>
        <v>-2463589.0008846913</v>
      </c>
      <c r="BA95" s="99">
        <f t="shared" ref="BA95:BA158" ca="1" si="26">IF(T_3*12&gt;=$AV95,DATE(YEAR(TODAY()),MONTH(TODAY())+$AV95-1,DAY(TODAY())),IF(T_3*12+1&gt;=$AV95,DATE(YEAR(TODAY()),MONTH(TODAY())+T_3*12,DAY(TODAY())),""))</f>
        <v>48067</v>
      </c>
      <c r="BB95" s="97">
        <f t="shared" si="20"/>
        <v>-12736648.270519795</v>
      </c>
      <c r="BC95" s="101" t="str">
        <f t="shared" ca="1" si="23"/>
        <v/>
      </c>
      <c r="BD95" s="100" t="str">
        <f t="shared" si="21"/>
        <v/>
      </c>
      <c r="BE95" s="103">
        <f t="shared" ref="BE95:BE158" ca="1" si="27">IF(T_5*12&gt;=$AV95,DATE(YEAR(TODAY()),MONTH(TODAY())+$AV95-1,DAY(TODAY())),IF(T_5*12+1&gt;=$AV95,DATE(YEAR(TODAY()),MONTH(TODAY())+T_5*12,DAY(TODAY())),""))</f>
        <v>48067</v>
      </c>
      <c r="BF95" s="102">
        <f t="shared" si="22"/>
        <v>-68561.653092635141</v>
      </c>
    </row>
    <row r="96" spans="48:58" hidden="1" x14ac:dyDescent="0.25">
      <c r="AV96">
        <v>66</v>
      </c>
      <c r="AW96" s="94">
        <f t="shared" ca="1" si="24"/>
        <v>48098</v>
      </c>
      <c r="AX96" s="95">
        <f t="shared" ref="AX96:AX159" si="28">IF(T_1*12&gt;=AV96,-1*$I$15,IF(T_1*12+1&gt;=AV96,InfG_1,""))</f>
        <v>-47928.775704264226</v>
      </c>
      <c r="AY96" s="98">
        <f t="shared" ca="1" si="25"/>
        <v>48098</v>
      </c>
      <c r="AZ96" s="95">
        <f t="shared" ref="AZ96:AZ159" si="29">IF(T_2*12&gt;=$AV96,-1*$I$17,IF(T_2*12+1&gt;=$AV96,InfG_2,""))</f>
        <v>-2463589.0008846913</v>
      </c>
      <c r="BA96" s="99">
        <f t="shared" ca="1" si="26"/>
        <v>48098</v>
      </c>
      <c r="BB96" s="97">
        <f t="shared" ref="BB96:BB159" si="30">IF(T_3*12&gt;=$AV96,-1*$I$19,IF(T_3*12+1&gt;=$AV96,InfG_3,""))</f>
        <v>-12736648.270519795</v>
      </c>
      <c r="BC96" s="101" t="str">
        <f t="shared" ca="1" si="23"/>
        <v/>
      </c>
      <c r="BD96" s="100" t="str">
        <f t="shared" ref="BD96:BD159" si="31">IF(T_4*12&gt;=$AV96,-1*$I$21,IF(T_4*12+1&gt;=$AV96,InfG_4,""))</f>
        <v/>
      </c>
      <c r="BE96" s="103">
        <f t="shared" ca="1" si="27"/>
        <v>48098</v>
      </c>
      <c r="BF96" s="102">
        <f t="shared" ref="BF96:BF159" si="32">IF(T_5*12&gt;=$AV96,-1*$I$23,IF(T_5*12+1&gt;=$AV96,InfG_5,""))</f>
        <v>-68561.653092635141</v>
      </c>
    </row>
    <row r="97" spans="48:58" hidden="1" x14ac:dyDescent="0.25">
      <c r="AV97">
        <v>67</v>
      </c>
      <c r="AW97" s="94">
        <f t="shared" ca="1" si="24"/>
        <v>48128</v>
      </c>
      <c r="AX97" s="95">
        <f t="shared" si="28"/>
        <v>-47928.775704264226</v>
      </c>
      <c r="AY97" s="98">
        <f t="shared" ca="1" si="25"/>
        <v>48128</v>
      </c>
      <c r="AZ97" s="95">
        <f t="shared" si="29"/>
        <v>-2463589.0008846913</v>
      </c>
      <c r="BA97" s="99">
        <f t="shared" ca="1" si="26"/>
        <v>48128</v>
      </c>
      <c r="BB97" s="97">
        <f t="shared" si="30"/>
        <v>-12736648.270519795</v>
      </c>
      <c r="BC97" s="101" t="str">
        <f t="shared" ref="BC97:BC160" ca="1" si="33">IF(T_4*12&gt;=AV97,DATE(YEAR(TODAY()),MONTH(TODAY())+AV97-1,DAY(TODAY())),IF(T_4*12+1&gt;=AV97,DATE(YEAR(TODAY()),MONTH(TODAY())+T_4*12,DAY(TODAY())),""))</f>
        <v/>
      </c>
      <c r="BD97" s="100" t="str">
        <f t="shared" si="31"/>
        <v/>
      </c>
      <c r="BE97" s="103">
        <f t="shared" ca="1" si="27"/>
        <v>48128</v>
      </c>
      <c r="BF97" s="102">
        <f t="shared" si="32"/>
        <v>-68561.653092635141</v>
      </c>
    </row>
    <row r="98" spans="48:58" hidden="1" x14ac:dyDescent="0.25">
      <c r="AV98">
        <v>68</v>
      </c>
      <c r="AW98" s="94">
        <f t="shared" ca="1" si="24"/>
        <v>48159</v>
      </c>
      <c r="AX98" s="95">
        <f t="shared" si="28"/>
        <v>-47928.775704264226</v>
      </c>
      <c r="AY98" s="98">
        <f t="shared" ca="1" si="25"/>
        <v>48159</v>
      </c>
      <c r="AZ98" s="95">
        <f t="shared" si="29"/>
        <v>-2463589.0008846913</v>
      </c>
      <c r="BA98" s="99">
        <f t="shared" ca="1" si="26"/>
        <v>48159</v>
      </c>
      <c r="BB98" s="97">
        <f t="shared" si="30"/>
        <v>-12736648.270519795</v>
      </c>
      <c r="BC98" s="101" t="str">
        <f t="shared" ca="1" si="33"/>
        <v/>
      </c>
      <c r="BD98" s="100" t="str">
        <f t="shared" si="31"/>
        <v/>
      </c>
      <c r="BE98" s="103">
        <f t="shared" ca="1" si="27"/>
        <v>48159</v>
      </c>
      <c r="BF98" s="102">
        <f t="shared" si="32"/>
        <v>-68561.653092635141</v>
      </c>
    </row>
    <row r="99" spans="48:58" hidden="1" x14ac:dyDescent="0.25">
      <c r="AV99">
        <v>69</v>
      </c>
      <c r="AW99" s="94">
        <f t="shared" ca="1" si="24"/>
        <v>48189</v>
      </c>
      <c r="AX99" s="95">
        <f t="shared" si="28"/>
        <v>-47928.775704264226</v>
      </c>
      <c r="AY99" s="98">
        <f t="shared" ca="1" si="25"/>
        <v>48189</v>
      </c>
      <c r="AZ99" s="95">
        <f t="shared" si="29"/>
        <v>-2463589.0008846913</v>
      </c>
      <c r="BA99" s="99">
        <f t="shared" ca="1" si="26"/>
        <v>48189</v>
      </c>
      <c r="BB99" s="97">
        <f t="shared" si="30"/>
        <v>-12736648.270519795</v>
      </c>
      <c r="BC99" s="101" t="str">
        <f t="shared" ca="1" si="33"/>
        <v/>
      </c>
      <c r="BD99" s="100" t="str">
        <f t="shared" si="31"/>
        <v/>
      </c>
      <c r="BE99" s="103">
        <f t="shared" ca="1" si="27"/>
        <v>48189</v>
      </c>
      <c r="BF99" s="102">
        <f t="shared" si="32"/>
        <v>-68561.653092635141</v>
      </c>
    </row>
    <row r="100" spans="48:58" hidden="1" x14ac:dyDescent="0.25">
      <c r="AV100">
        <v>70</v>
      </c>
      <c r="AW100" s="94">
        <f t="shared" ca="1" si="24"/>
        <v>48220</v>
      </c>
      <c r="AX100" s="95">
        <f t="shared" si="28"/>
        <v>-47928.775704264226</v>
      </c>
      <c r="AY100" s="98">
        <f t="shared" ca="1" si="25"/>
        <v>48220</v>
      </c>
      <c r="AZ100" s="95">
        <f t="shared" si="29"/>
        <v>-2463589.0008846913</v>
      </c>
      <c r="BA100" s="99">
        <f t="shared" ca="1" si="26"/>
        <v>48220</v>
      </c>
      <c r="BB100" s="97">
        <f t="shared" si="30"/>
        <v>-12736648.270519795</v>
      </c>
      <c r="BC100" s="101" t="str">
        <f t="shared" ca="1" si="33"/>
        <v/>
      </c>
      <c r="BD100" s="100" t="str">
        <f t="shared" si="31"/>
        <v/>
      </c>
      <c r="BE100" s="103">
        <f t="shared" ca="1" si="27"/>
        <v>48220</v>
      </c>
      <c r="BF100" s="102">
        <f t="shared" si="32"/>
        <v>-68561.653092635141</v>
      </c>
    </row>
    <row r="101" spans="48:58" hidden="1" x14ac:dyDescent="0.25">
      <c r="AV101">
        <v>71</v>
      </c>
      <c r="AW101" s="94">
        <f t="shared" ca="1" si="24"/>
        <v>48251</v>
      </c>
      <c r="AX101" s="95">
        <f t="shared" si="28"/>
        <v>-47928.775704264226</v>
      </c>
      <c r="AY101" s="98">
        <f t="shared" ca="1" si="25"/>
        <v>48251</v>
      </c>
      <c r="AZ101" s="95">
        <f t="shared" si="29"/>
        <v>-2463589.0008846913</v>
      </c>
      <c r="BA101" s="99">
        <f t="shared" ca="1" si="26"/>
        <v>48251</v>
      </c>
      <c r="BB101" s="97">
        <f t="shared" si="30"/>
        <v>-12736648.270519795</v>
      </c>
      <c r="BC101" s="101" t="str">
        <f t="shared" ca="1" si="33"/>
        <v/>
      </c>
      <c r="BD101" s="100" t="str">
        <f t="shared" si="31"/>
        <v/>
      </c>
      <c r="BE101" s="103">
        <f t="shared" ca="1" si="27"/>
        <v>48251</v>
      </c>
      <c r="BF101" s="102">
        <f t="shared" si="32"/>
        <v>-68561.653092635141</v>
      </c>
    </row>
    <row r="102" spans="48:58" hidden="1" x14ac:dyDescent="0.25">
      <c r="AV102">
        <v>72</v>
      </c>
      <c r="AW102" s="94">
        <f t="shared" ca="1" si="24"/>
        <v>48280</v>
      </c>
      <c r="AX102" s="95">
        <f t="shared" si="28"/>
        <v>-47928.775704264226</v>
      </c>
      <c r="AY102" s="98">
        <f t="shared" ca="1" si="25"/>
        <v>48280</v>
      </c>
      <c r="AZ102" s="95">
        <f t="shared" si="29"/>
        <v>-2463589.0008846913</v>
      </c>
      <c r="BA102" s="99">
        <f t="shared" ca="1" si="26"/>
        <v>48280</v>
      </c>
      <c r="BB102" s="97">
        <f t="shared" si="30"/>
        <v>-12736648.270519795</v>
      </c>
      <c r="BC102" s="101" t="str">
        <f t="shared" ca="1" si="33"/>
        <v/>
      </c>
      <c r="BD102" s="100" t="str">
        <f t="shared" si="31"/>
        <v/>
      </c>
      <c r="BE102" s="103">
        <f t="shared" ca="1" si="27"/>
        <v>48280</v>
      </c>
      <c r="BF102" s="102">
        <f t="shared" si="32"/>
        <v>-68561.653092635141</v>
      </c>
    </row>
    <row r="103" spans="48:58" hidden="1" x14ac:dyDescent="0.25">
      <c r="AV103">
        <v>73</v>
      </c>
      <c r="AW103" s="94">
        <f t="shared" ca="1" si="24"/>
        <v>48311</v>
      </c>
      <c r="AX103" s="95">
        <f t="shared" si="28"/>
        <v>4776209.1861159997</v>
      </c>
      <c r="AY103" s="98">
        <f t="shared" ca="1" si="25"/>
        <v>48311</v>
      </c>
      <c r="AZ103" s="95">
        <f t="shared" si="29"/>
        <v>-2463589.0008846913</v>
      </c>
      <c r="BA103" s="99">
        <f t="shared" ca="1" si="26"/>
        <v>48311</v>
      </c>
      <c r="BB103" s="97">
        <f t="shared" si="30"/>
        <v>-12736648.270519795</v>
      </c>
      <c r="BC103" s="101" t="str">
        <f t="shared" ca="1" si="33"/>
        <v/>
      </c>
      <c r="BD103" s="100" t="str">
        <f t="shared" si="31"/>
        <v/>
      </c>
      <c r="BE103" s="103">
        <f t="shared" ca="1" si="27"/>
        <v>48311</v>
      </c>
      <c r="BF103" s="102">
        <f t="shared" si="32"/>
        <v>-68561.653092635141</v>
      </c>
    </row>
    <row r="104" spans="48:58" hidden="1" x14ac:dyDescent="0.25">
      <c r="AV104">
        <v>74</v>
      </c>
      <c r="AW104" s="94" t="str">
        <f t="shared" ca="1" si="24"/>
        <v/>
      </c>
      <c r="AX104" s="95" t="str">
        <f t="shared" si="28"/>
        <v/>
      </c>
      <c r="AY104" s="98">
        <f t="shared" ca="1" si="25"/>
        <v>48341</v>
      </c>
      <c r="AZ104" s="95">
        <f t="shared" si="29"/>
        <v>-2463589.0008846913</v>
      </c>
      <c r="BA104" s="99">
        <f t="shared" ca="1" si="26"/>
        <v>48341</v>
      </c>
      <c r="BB104" s="97">
        <f t="shared" si="30"/>
        <v>-12736648.270519795</v>
      </c>
      <c r="BC104" s="101" t="str">
        <f t="shared" ca="1" si="33"/>
        <v/>
      </c>
      <c r="BD104" s="100" t="str">
        <f t="shared" si="31"/>
        <v/>
      </c>
      <c r="BE104" s="103">
        <f t="shared" ca="1" si="27"/>
        <v>48341</v>
      </c>
      <c r="BF104" s="102">
        <f t="shared" si="32"/>
        <v>-68561.653092635141</v>
      </c>
    </row>
    <row r="105" spans="48:58" hidden="1" x14ac:dyDescent="0.25">
      <c r="AV105">
        <v>75</v>
      </c>
      <c r="AW105" s="94" t="str">
        <f t="shared" ca="1" si="24"/>
        <v/>
      </c>
      <c r="AX105" s="95" t="str">
        <f t="shared" si="28"/>
        <v/>
      </c>
      <c r="AY105" s="98">
        <f t="shared" ca="1" si="25"/>
        <v>48372</v>
      </c>
      <c r="AZ105" s="95">
        <f t="shared" si="29"/>
        <v>-2463589.0008846913</v>
      </c>
      <c r="BA105" s="99">
        <f t="shared" ca="1" si="26"/>
        <v>48372</v>
      </c>
      <c r="BB105" s="97">
        <f t="shared" si="30"/>
        <v>-12736648.270519795</v>
      </c>
      <c r="BC105" s="101" t="str">
        <f t="shared" ca="1" si="33"/>
        <v/>
      </c>
      <c r="BD105" s="100" t="str">
        <f t="shared" si="31"/>
        <v/>
      </c>
      <c r="BE105" s="103">
        <f t="shared" ca="1" si="27"/>
        <v>48372</v>
      </c>
      <c r="BF105" s="102">
        <f t="shared" si="32"/>
        <v>-68561.653092635141</v>
      </c>
    </row>
    <row r="106" spans="48:58" hidden="1" x14ac:dyDescent="0.25">
      <c r="AV106">
        <v>76</v>
      </c>
      <c r="AW106" s="94" t="str">
        <f t="shared" ca="1" si="24"/>
        <v/>
      </c>
      <c r="AX106" s="95" t="str">
        <f t="shared" si="28"/>
        <v/>
      </c>
      <c r="AY106" s="98">
        <f t="shared" ca="1" si="25"/>
        <v>48402</v>
      </c>
      <c r="AZ106" s="95">
        <f t="shared" si="29"/>
        <v>-2463589.0008846913</v>
      </c>
      <c r="BA106" s="99">
        <f t="shared" ca="1" si="26"/>
        <v>48402</v>
      </c>
      <c r="BB106" s="97">
        <f t="shared" si="30"/>
        <v>-12736648.270519795</v>
      </c>
      <c r="BC106" s="101" t="str">
        <f t="shared" ca="1" si="33"/>
        <v/>
      </c>
      <c r="BD106" s="100" t="str">
        <f t="shared" si="31"/>
        <v/>
      </c>
      <c r="BE106" s="103">
        <f t="shared" ca="1" si="27"/>
        <v>48402</v>
      </c>
      <c r="BF106" s="102">
        <f t="shared" si="32"/>
        <v>-68561.653092635141</v>
      </c>
    </row>
    <row r="107" spans="48:58" hidden="1" x14ac:dyDescent="0.25">
      <c r="AV107">
        <v>77</v>
      </c>
      <c r="AW107" s="94" t="str">
        <f t="shared" ca="1" si="24"/>
        <v/>
      </c>
      <c r="AX107" s="95" t="str">
        <f t="shared" si="28"/>
        <v/>
      </c>
      <c r="AY107" s="98">
        <f t="shared" ca="1" si="25"/>
        <v>48433</v>
      </c>
      <c r="AZ107" s="95">
        <f t="shared" si="29"/>
        <v>-2463589.0008846913</v>
      </c>
      <c r="BA107" s="99">
        <f t="shared" ca="1" si="26"/>
        <v>48433</v>
      </c>
      <c r="BB107" s="97">
        <f t="shared" si="30"/>
        <v>-12736648.270519795</v>
      </c>
      <c r="BC107" s="101" t="str">
        <f t="shared" ca="1" si="33"/>
        <v/>
      </c>
      <c r="BD107" s="100" t="str">
        <f t="shared" si="31"/>
        <v/>
      </c>
      <c r="BE107" s="103">
        <f t="shared" ca="1" si="27"/>
        <v>48433</v>
      </c>
      <c r="BF107" s="102">
        <f t="shared" si="32"/>
        <v>-68561.653092635141</v>
      </c>
    </row>
    <row r="108" spans="48:58" hidden="1" x14ac:dyDescent="0.25">
      <c r="AV108">
        <v>78</v>
      </c>
      <c r="AW108" s="94" t="str">
        <f t="shared" ca="1" si="24"/>
        <v/>
      </c>
      <c r="AX108" s="95" t="str">
        <f t="shared" si="28"/>
        <v/>
      </c>
      <c r="AY108" s="98">
        <f t="shared" ca="1" si="25"/>
        <v>48464</v>
      </c>
      <c r="AZ108" s="95">
        <f t="shared" si="29"/>
        <v>-2463589.0008846913</v>
      </c>
      <c r="BA108" s="99">
        <f t="shared" ca="1" si="26"/>
        <v>48464</v>
      </c>
      <c r="BB108" s="97">
        <f t="shared" si="30"/>
        <v>-12736648.270519795</v>
      </c>
      <c r="BC108" s="101" t="str">
        <f t="shared" ca="1" si="33"/>
        <v/>
      </c>
      <c r="BD108" s="100" t="str">
        <f t="shared" si="31"/>
        <v/>
      </c>
      <c r="BE108" s="103">
        <f t="shared" ca="1" si="27"/>
        <v>48464</v>
      </c>
      <c r="BF108" s="102">
        <f t="shared" si="32"/>
        <v>-68561.653092635141</v>
      </c>
    </row>
    <row r="109" spans="48:58" hidden="1" x14ac:dyDescent="0.25">
      <c r="AV109">
        <v>79</v>
      </c>
      <c r="AW109" s="94" t="str">
        <f t="shared" ca="1" si="24"/>
        <v/>
      </c>
      <c r="AX109" s="95" t="str">
        <f t="shared" si="28"/>
        <v/>
      </c>
      <c r="AY109" s="98">
        <f t="shared" ca="1" si="25"/>
        <v>48494</v>
      </c>
      <c r="AZ109" s="95">
        <f t="shared" si="29"/>
        <v>-2463589.0008846913</v>
      </c>
      <c r="BA109" s="99">
        <f t="shared" ca="1" si="26"/>
        <v>48494</v>
      </c>
      <c r="BB109" s="97">
        <f t="shared" si="30"/>
        <v>-12736648.270519795</v>
      </c>
      <c r="BC109" s="101" t="str">
        <f t="shared" ca="1" si="33"/>
        <v/>
      </c>
      <c r="BD109" s="100" t="str">
        <f t="shared" si="31"/>
        <v/>
      </c>
      <c r="BE109" s="103">
        <f t="shared" ca="1" si="27"/>
        <v>48494</v>
      </c>
      <c r="BF109" s="102">
        <f t="shared" si="32"/>
        <v>-68561.653092635141</v>
      </c>
    </row>
    <row r="110" spans="48:58" hidden="1" x14ac:dyDescent="0.25">
      <c r="AV110">
        <v>80</v>
      </c>
      <c r="AW110" s="94" t="str">
        <f t="shared" ca="1" si="24"/>
        <v/>
      </c>
      <c r="AX110" s="95" t="str">
        <f t="shared" si="28"/>
        <v/>
      </c>
      <c r="AY110" s="98">
        <f t="shared" ca="1" si="25"/>
        <v>48525</v>
      </c>
      <c r="AZ110" s="95">
        <f t="shared" si="29"/>
        <v>-2463589.0008846913</v>
      </c>
      <c r="BA110" s="99">
        <f t="shared" ca="1" si="26"/>
        <v>48525</v>
      </c>
      <c r="BB110" s="97">
        <f t="shared" si="30"/>
        <v>-12736648.270519795</v>
      </c>
      <c r="BC110" s="101" t="str">
        <f t="shared" ca="1" si="33"/>
        <v/>
      </c>
      <c r="BD110" s="100" t="str">
        <f t="shared" si="31"/>
        <v/>
      </c>
      <c r="BE110" s="103">
        <f t="shared" ca="1" si="27"/>
        <v>48525</v>
      </c>
      <c r="BF110" s="102">
        <f t="shared" si="32"/>
        <v>-68561.653092635141</v>
      </c>
    </row>
    <row r="111" spans="48:58" hidden="1" x14ac:dyDescent="0.25">
      <c r="AV111">
        <v>81</v>
      </c>
      <c r="AW111" s="94" t="str">
        <f t="shared" ca="1" si="24"/>
        <v/>
      </c>
      <c r="AX111" s="95" t="str">
        <f t="shared" si="28"/>
        <v/>
      </c>
      <c r="AY111" s="98">
        <f t="shared" ca="1" si="25"/>
        <v>48555</v>
      </c>
      <c r="AZ111" s="95">
        <f t="shared" si="29"/>
        <v>-2463589.0008846913</v>
      </c>
      <c r="BA111" s="99">
        <f t="shared" ca="1" si="26"/>
        <v>48555</v>
      </c>
      <c r="BB111" s="97">
        <f t="shared" si="30"/>
        <v>-12736648.270519795</v>
      </c>
      <c r="BC111" s="101" t="str">
        <f t="shared" ca="1" si="33"/>
        <v/>
      </c>
      <c r="BD111" s="100" t="str">
        <f t="shared" si="31"/>
        <v/>
      </c>
      <c r="BE111" s="103">
        <f t="shared" ca="1" si="27"/>
        <v>48555</v>
      </c>
      <c r="BF111" s="102">
        <f t="shared" si="32"/>
        <v>-68561.653092635141</v>
      </c>
    </row>
    <row r="112" spans="48:58" hidden="1" x14ac:dyDescent="0.25">
      <c r="AV112">
        <v>82</v>
      </c>
      <c r="AW112" s="94" t="str">
        <f t="shared" ca="1" si="24"/>
        <v/>
      </c>
      <c r="AX112" s="95" t="str">
        <f t="shared" si="28"/>
        <v/>
      </c>
      <c r="AY112" s="98">
        <f t="shared" ca="1" si="25"/>
        <v>48586</v>
      </c>
      <c r="AZ112" s="95">
        <f t="shared" si="29"/>
        <v>-2463589.0008846913</v>
      </c>
      <c r="BA112" s="99">
        <f t="shared" ca="1" si="26"/>
        <v>48586</v>
      </c>
      <c r="BB112" s="97">
        <f t="shared" si="30"/>
        <v>-12736648.270519795</v>
      </c>
      <c r="BC112" s="101" t="str">
        <f t="shared" ca="1" si="33"/>
        <v/>
      </c>
      <c r="BD112" s="100" t="str">
        <f t="shared" si="31"/>
        <v/>
      </c>
      <c r="BE112" s="103">
        <f t="shared" ca="1" si="27"/>
        <v>48586</v>
      </c>
      <c r="BF112" s="102">
        <f t="shared" si="32"/>
        <v>-68561.653092635141</v>
      </c>
    </row>
    <row r="113" spans="48:58" hidden="1" x14ac:dyDescent="0.25">
      <c r="AV113">
        <v>83</v>
      </c>
      <c r="AW113" s="94" t="str">
        <f t="shared" ca="1" si="24"/>
        <v/>
      </c>
      <c r="AX113" s="95" t="str">
        <f t="shared" si="28"/>
        <v/>
      </c>
      <c r="AY113" s="98">
        <f t="shared" ca="1" si="25"/>
        <v>48617</v>
      </c>
      <c r="AZ113" s="95">
        <f t="shared" si="29"/>
        <v>-2463589.0008846913</v>
      </c>
      <c r="BA113" s="99">
        <f t="shared" ca="1" si="26"/>
        <v>48617</v>
      </c>
      <c r="BB113" s="97">
        <f t="shared" si="30"/>
        <v>-12736648.270519795</v>
      </c>
      <c r="BC113" s="101" t="str">
        <f t="shared" ca="1" si="33"/>
        <v/>
      </c>
      <c r="BD113" s="100" t="str">
        <f t="shared" si="31"/>
        <v/>
      </c>
      <c r="BE113" s="103">
        <f t="shared" ca="1" si="27"/>
        <v>48617</v>
      </c>
      <c r="BF113" s="102">
        <f t="shared" si="32"/>
        <v>-68561.653092635141</v>
      </c>
    </row>
    <row r="114" spans="48:58" hidden="1" x14ac:dyDescent="0.25">
      <c r="AV114">
        <v>84</v>
      </c>
      <c r="AW114" s="94" t="str">
        <f t="shared" ca="1" si="24"/>
        <v/>
      </c>
      <c r="AX114" s="95" t="str">
        <f t="shared" si="28"/>
        <v/>
      </c>
      <c r="AY114" s="98">
        <f t="shared" ca="1" si="25"/>
        <v>48645</v>
      </c>
      <c r="AZ114" s="95">
        <f t="shared" si="29"/>
        <v>-2463589.0008846913</v>
      </c>
      <c r="BA114" s="99">
        <f t="shared" ca="1" si="26"/>
        <v>48645</v>
      </c>
      <c r="BB114" s="97">
        <f t="shared" si="30"/>
        <v>-12736648.270519795</v>
      </c>
      <c r="BC114" s="101" t="str">
        <f t="shared" ca="1" si="33"/>
        <v/>
      </c>
      <c r="BD114" s="100" t="str">
        <f t="shared" si="31"/>
        <v/>
      </c>
      <c r="BE114" s="103">
        <f t="shared" ca="1" si="27"/>
        <v>48645</v>
      </c>
      <c r="BF114" s="102">
        <f t="shared" si="32"/>
        <v>-68561.653092635141</v>
      </c>
    </row>
    <row r="115" spans="48:58" hidden="1" x14ac:dyDescent="0.25">
      <c r="AV115">
        <v>85</v>
      </c>
      <c r="AW115" s="94" t="str">
        <f t="shared" ca="1" si="24"/>
        <v/>
      </c>
      <c r="AX115" s="95" t="str">
        <f t="shared" si="28"/>
        <v/>
      </c>
      <c r="AY115" s="98">
        <f t="shared" ca="1" si="25"/>
        <v>48676</v>
      </c>
      <c r="AZ115" s="95">
        <f t="shared" si="29"/>
        <v>-2463589.0008846913</v>
      </c>
      <c r="BA115" s="99">
        <f t="shared" ca="1" si="26"/>
        <v>48676</v>
      </c>
      <c r="BB115" s="97">
        <f t="shared" si="30"/>
        <v>-12736648.270519795</v>
      </c>
      <c r="BC115" s="101" t="str">
        <f t="shared" ca="1" si="33"/>
        <v/>
      </c>
      <c r="BD115" s="100" t="str">
        <f t="shared" si="31"/>
        <v/>
      </c>
      <c r="BE115" s="103">
        <f t="shared" ca="1" si="27"/>
        <v>48676</v>
      </c>
      <c r="BF115" s="102">
        <f t="shared" si="32"/>
        <v>-68561.653092635141</v>
      </c>
    </row>
    <row r="116" spans="48:58" hidden="1" x14ac:dyDescent="0.25">
      <c r="AV116">
        <v>86</v>
      </c>
      <c r="AW116" s="94" t="str">
        <f t="shared" ca="1" si="24"/>
        <v/>
      </c>
      <c r="AX116" s="95" t="str">
        <f t="shared" si="28"/>
        <v/>
      </c>
      <c r="AY116" s="98">
        <f t="shared" ca="1" si="25"/>
        <v>48706</v>
      </c>
      <c r="AZ116" s="95">
        <f t="shared" si="29"/>
        <v>-2463589.0008846913</v>
      </c>
      <c r="BA116" s="99">
        <f t="shared" ca="1" si="26"/>
        <v>48706</v>
      </c>
      <c r="BB116" s="97">
        <f t="shared" si="30"/>
        <v>-12736648.270519795</v>
      </c>
      <c r="BC116" s="101" t="str">
        <f t="shared" ca="1" si="33"/>
        <v/>
      </c>
      <c r="BD116" s="100" t="str">
        <f t="shared" si="31"/>
        <v/>
      </c>
      <c r="BE116" s="103">
        <f t="shared" ca="1" si="27"/>
        <v>48706</v>
      </c>
      <c r="BF116" s="102">
        <f t="shared" si="32"/>
        <v>-68561.653092635141</v>
      </c>
    </row>
    <row r="117" spans="48:58" hidden="1" x14ac:dyDescent="0.25">
      <c r="AV117">
        <v>87</v>
      </c>
      <c r="AW117" s="94" t="str">
        <f t="shared" ca="1" si="24"/>
        <v/>
      </c>
      <c r="AX117" s="95" t="str">
        <f t="shared" si="28"/>
        <v/>
      </c>
      <c r="AY117" s="98">
        <f t="shared" ca="1" si="25"/>
        <v>48737</v>
      </c>
      <c r="AZ117" s="95">
        <f t="shared" si="29"/>
        <v>-2463589.0008846913</v>
      </c>
      <c r="BA117" s="99">
        <f t="shared" ca="1" si="26"/>
        <v>48737</v>
      </c>
      <c r="BB117" s="97">
        <f t="shared" si="30"/>
        <v>-12736648.270519795</v>
      </c>
      <c r="BC117" s="101" t="str">
        <f t="shared" ca="1" si="33"/>
        <v/>
      </c>
      <c r="BD117" s="100" t="str">
        <f t="shared" si="31"/>
        <v/>
      </c>
      <c r="BE117" s="103">
        <f t="shared" ca="1" si="27"/>
        <v>48737</v>
      </c>
      <c r="BF117" s="102">
        <f t="shared" si="32"/>
        <v>-68561.653092635141</v>
      </c>
    </row>
    <row r="118" spans="48:58" hidden="1" x14ac:dyDescent="0.25">
      <c r="AV118">
        <v>88</v>
      </c>
      <c r="AW118" s="94" t="str">
        <f t="shared" ca="1" si="24"/>
        <v/>
      </c>
      <c r="AX118" s="95" t="str">
        <f t="shared" si="28"/>
        <v/>
      </c>
      <c r="AY118" s="98">
        <f t="shared" ca="1" si="25"/>
        <v>48767</v>
      </c>
      <c r="AZ118" s="95">
        <f t="shared" si="29"/>
        <v>-2463589.0008846913</v>
      </c>
      <c r="BA118" s="99">
        <f t="shared" ca="1" si="26"/>
        <v>48767</v>
      </c>
      <c r="BB118" s="97">
        <f t="shared" si="30"/>
        <v>-12736648.270519795</v>
      </c>
      <c r="BC118" s="101" t="str">
        <f t="shared" ca="1" si="33"/>
        <v/>
      </c>
      <c r="BD118" s="100" t="str">
        <f t="shared" si="31"/>
        <v/>
      </c>
      <c r="BE118" s="103">
        <f t="shared" ca="1" si="27"/>
        <v>48767</v>
      </c>
      <c r="BF118" s="102">
        <f t="shared" si="32"/>
        <v>-68561.653092635141</v>
      </c>
    </row>
    <row r="119" spans="48:58" hidden="1" x14ac:dyDescent="0.25">
      <c r="AV119">
        <v>89</v>
      </c>
      <c r="AW119" s="94" t="str">
        <f t="shared" ca="1" si="24"/>
        <v/>
      </c>
      <c r="AX119" s="95" t="str">
        <f t="shared" si="28"/>
        <v/>
      </c>
      <c r="AY119" s="98">
        <f t="shared" ca="1" si="25"/>
        <v>48798</v>
      </c>
      <c r="AZ119" s="95">
        <f t="shared" si="29"/>
        <v>-2463589.0008846913</v>
      </c>
      <c r="BA119" s="99">
        <f t="shared" ca="1" si="26"/>
        <v>48798</v>
      </c>
      <c r="BB119" s="97">
        <f t="shared" si="30"/>
        <v>-12736648.270519795</v>
      </c>
      <c r="BC119" s="101" t="str">
        <f t="shared" ca="1" si="33"/>
        <v/>
      </c>
      <c r="BD119" s="100" t="str">
        <f t="shared" si="31"/>
        <v/>
      </c>
      <c r="BE119" s="103">
        <f t="shared" ca="1" si="27"/>
        <v>48798</v>
      </c>
      <c r="BF119" s="102">
        <f t="shared" si="32"/>
        <v>-68561.653092635141</v>
      </c>
    </row>
    <row r="120" spans="48:58" hidden="1" x14ac:dyDescent="0.25">
      <c r="AV120">
        <v>90</v>
      </c>
      <c r="AW120" s="94" t="str">
        <f t="shared" ca="1" si="24"/>
        <v/>
      </c>
      <c r="AX120" s="95" t="str">
        <f t="shared" si="28"/>
        <v/>
      </c>
      <c r="AY120" s="98">
        <f t="shared" ca="1" si="25"/>
        <v>48829</v>
      </c>
      <c r="AZ120" s="95">
        <f t="shared" si="29"/>
        <v>-2463589.0008846913</v>
      </c>
      <c r="BA120" s="99">
        <f t="shared" ca="1" si="26"/>
        <v>48829</v>
      </c>
      <c r="BB120" s="97">
        <f t="shared" si="30"/>
        <v>-12736648.270519795</v>
      </c>
      <c r="BC120" s="101" t="str">
        <f t="shared" ca="1" si="33"/>
        <v/>
      </c>
      <c r="BD120" s="100" t="str">
        <f t="shared" si="31"/>
        <v/>
      </c>
      <c r="BE120" s="103">
        <f t="shared" ca="1" si="27"/>
        <v>48829</v>
      </c>
      <c r="BF120" s="102">
        <f t="shared" si="32"/>
        <v>-68561.653092635141</v>
      </c>
    </row>
    <row r="121" spans="48:58" hidden="1" x14ac:dyDescent="0.25">
      <c r="AV121">
        <v>91</v>
      </c>
      <c r="AW121" s="94" t="str">
        <f t="shared" ca="1" si="24"/>
        <v/>
      </c>
      <c r="AX121" s="95" t="str">
        <f t="shared" si="28"/>
        <v/>
      </c>
      <c r="AY121" s="98">
        <f t="shared" ca="1" si="25"/>
        <v>48859</v>
      </c>
      <c r="AZ121" s="95">
        <f t="shared" si="29"/>
        <v>-2463589.0008846913</v>
      </c>
      <c r="BA121" s="99">
        <f t="shared" ca="1" si="26"/>
        <v>48859</v>
      </c>
      <c r="BB121" s="97">
        <f t="shared" si="30"/>
        <v>-12736648.270519795</v>
      </c>
      <c r="BC121" s="101" t="str">
        <f t="shared" ca="1" si="33"/>
        <v/>
      </c>
      <c r="BD121" s="100" t="str">
        <f t="shared" si="31"/>
        <v/>
      </c>
      <c r="BE121" s="103">
        <f t="shared" ca="1" si="27"/>
        <v>48859</v>
      </c>
      <c r="BF121" s="102">
        <f t="shared" si="32"/>
        <v>-68561.653092635141</v>
      </c>
    </row>
    <row r="122" spans="48:58" hidden="1" x14ac:dyDescent="0.25">
      <c r="AV122">
        <v>92</v>
      </c>
      <c r="AW122" s="94" t="str">
        <f t="shared" ca="1" si="24"/>
        <v/>
      </c>
      <c r="AX122" s="95" t="str">
        <f t="shared" si="28"/>
        <v/>
      </c>
      <c r="AY122" s="98">
        <f t="shared" ca="1" si="25"/>
        <v>48890</v>
      </c>
      <c r="AZ122" s="95">
        <f t="shared" si="29"/>
        <v>-2463589.0008846913</v>
      </c>
      <c r="BA122" s="99">
        <f t="shared" ca="1" si="26"/>
        <v>48890</v>
      </c>
      <c r="BB122" s="97">
        <f t="shared" si="30"/>
        <v>-12736648.270519795</v>
      </c>
      <c r="BC122" s="101" t="str">
        <f t="shared" ca="1" si="33"/>
        <v/>
      </c>
      <c r="BD122" s="100" t="str">
        <f t="shared" si="31"/>
        <v/>
      </c>
      <c r="BE122" s="103">
        <f t="shared" ca="1" si="27"/>
        <v>48890</v>
      </c>
      <c r="BF122" s="102">
        <f t="shared" si="32"/>
        <v>-68561.653092635141</v>
      </c>
    </row>
    <row r="123" spans="48:58" hidden="1" x14ac:dyDescent="0.25">
      <c r="AV123">
        <v>93</v>
      </c>
      <c r="AW123" s="94" t="str">
        <f t="shared" ca="1" si="24"/>
        <v/>
      </c>
      <c r="AX123" s="95" t="str">
        <f t="shared" si="28"/>
        <v/>
      </c>
      <c r="AY123" s="98">
        <f t="shared" ca="1" si="25"/>
        <v>48920</v>
      </c>
      <c r="AZ123" s="95">
        <f t="shared" si="29"/>
        <v>-2463589.0008846913</v>
      </c>
      <c r="BA123" s="99">
        <f t="shared" ca="1" si="26"/>
        <v>48920</v>
      </c>
      <c r="BB123" s="97">
        <f t="shared" si="30"/>
        <v>-12736648.270519795</v>
      </c>
      <c r="BC123" s="101" t="str">
        <f t="shared" ca="1" si="33"/>
        <v/>
      </c>
      <c r="BD123" s="100" t="str">
        <f t="shared" si="31"/>
        <v/>
      </c>
      <c r="BE123" s="103">
        <f t="shared" ca="1" si="27"/>
        <v>48920</v>
      </c>
      <c r="BF123" s="102">
        <f t="shared" si="32"/>
        <v>-68561.653092635141</v>
      </c>
    </row>
    <row r="124" spans="48:58" hidden="1" x14ac:dyDescent="0.25">
      <c r="AV124">
        <v>94</v>
      </c>
      <c r="AW124" s="94" t="str">
        <f t="shared" ca="1" si="24"/>
        <v/>
      </c>
      <c r="AX124" s="95" t="str">
        <f t="shared" si="28"/>
        <v/>
      </c>
      <c r="AY124" s="98">
        <f t="shared" ca="1" si="25"/>
        <v>48951</v>
      </c>
      <c r="AZ124" s="95">
        <f t="shared" si="29"/>
        <v>-2463589.0008846913</v>
      </c>
      <c r="BA124" s="99">
        <f t="shared" ca="1" si="26"/>
        <v>48951</v>
      </c>
      <c r="BB124" s="97">
        <f t="shared" si="30"/>
        <v>-12736648.270519795</v>
      </c>
      <c r="BC124" s="101" t="str">
        <f t="shared" ca="1" si="33"/>
        <v/>
      </c>
      <c r="BD124" s="100" t="str">
        <f t="shared" si="31"/>
        <v/>
      </c>
      <c r="BE124" s="103">
        <f t="shared" ca="1" si="27"/>
        <v>48951</v>
      </c>
      <c r="BF124" s="102">
        <f t="shared" si="32"/>
        <v>-68561.653092635141</v>
      </c>
    </row>
    <row r="125" spans="48:58" hidden="1" x14ac:dyDescent="0.25">
      <c r="AV125">
        <v>95</v>
      </c>
      <c r="AW125" s="94" t="str">
        <f t="shared" ca="1" si="24"/>
        <v/>
      </c>
      <c r="AX125" s="95" t="str">
        <f t="shared" si="28"/>
        <v/>
      </c>
      <c r="AY125" s="98">
        <f t="shared" ca="1" si="25"/>
        <v>48982</v>
      </c>
      <c r="AZ125" s="95">
        <f t="shared" si="29"/>
        <v>-2463589.0008846913</v>
      </c>
      <c r="BA125" s="99">
        <f t="shared" ca="1" si="26"/>
        <v>48982</v>
      </c>
      <c r="BB125" s="97">
        <f t="shared" si="30"/>
        <v>-12736648.270519795</v>
      </c>
      <c r="BC125" s="101" t="str">
        <f t="shared" ca="1" si="33"/>
        <v/>
      </c>
      <c r="BD125" s="100" t="str">
        <f t="shared" si="31"/>
        <v/>
      </c>
      <c r="BE125" s="103">
        <f t="shared" ca="1" si="27"/>
        <v>48982</v>
      </c>
      <c r="BF125" s="102">
        <f t="shared" si="32"/>
        <v>-68561.653092635141</v>
      </c>
    </row>
    <row r="126" spans="48:58" hidden="1" x14ac:dyDescent="0.25">
      <c r="AV126">
        <v>96</v>
      </c>
      <c r="AW126" s="94" t="str">
        <f t="shared" ca="1" si="24"/>
        <v/>
      </c>
      <c r="AX126" s="95" t="str">
        <f t="shared" si="28"/>
        <v/>
      </c>
      <c r="AY126" s="98">
        <f t="shared" ca="1" si="25"/>
        <v>49010</v>
      </c>
      <c r="AZ126" s="95">
        <f t="shared" si="29"/>
        <v>-2463589.0008846913</v>
      </c>
      <c r="BA126" s="99">
        <f t="shared" ca="1" si="26"/>
        <v>49010</v>
      </c>
      <c r="BB126" s="97">
        <f t="shared" si="30"/>
        <v>-12736648.270519795</v>
      </c>
      <c r="BC126" s="101" t="str">
        <f t="shared" ca="1" si="33"/>
        <v/>
      </c>
      <c r="BD126" s="100" t="str">
        <f t="shared" si="31"/>
        <v/>
      </c>
      <c r="BE126" s="103">
        <f t="shared" ca="1" si="27"/>
        <v>49010</v>
      </c>
      <c r="BF126" s="102">
        <f t="shared" si="32"/>
        <v>-68561.653092635141</v>
      </c>
    </row>
    <row r="127" spans="48:58" hidden="1" x14ac:dyDescent="0.25">
      <c r="AV127">
        <v>97</v>
      </c>
      <c r="AW127" s="94" t="str">
        <f t="shared" ca="1" si="24"/>
        <v/>
      </c>
      <c r="AX127" s="95" t="str">
        <f t="shared" si="28"/>
        <v/>
      </c>
      <c r="AY127" s="98">
        <f t="shared" ca="1" si="25"/>
        <v>49041</v>
      </c>
      <c r="AZ127" s="95">
        <f t="shared" si="29"/>
        <v>-2463589.0008846913</v>
      </c>
      <c r="BA127" s="99">
        <f t="shared" ca="1" si="26"/>
        <v>49041</v>
      </c>
      <c r="BB127" s="97">
        <f t="shared" si="30"/>
        <v>-12736648.270519795</v>
      </c>
      <c r="BC127" s="101" t="str">
        <f t="shared" ca="1" si="33"/>
        <v/>
      </c>
      <c r="BD127" s="100" t="str">
        <f t="shared" si="31"/>
        <v/>
      </c>
      <c r="BE127" s="103">
        <f t="shared" ca="1" si="27"/>
        <v>49041</v>
      </c>
      <c r="BF127" s="102">
        <f t="shared" si="32"/>
        <v>-68561.653092635141</v>
      </c>
    </row>
    <row r="128" spans="48:58" hidden="1" x14ac:dyDescent="0.25">
      <c r="AV128">
        <v>98</v>
      </c>
      <c r="AW128" s="94" t="str">
        <f t="shared" ca="1" si="24"/>
        <v/>
      </c>
      <c r="AX128" s="95" t="str">
        <f t="shared" si="28"/>
        <v/>
      </c>
      <c r="AY128" s="98">
        <f t="shared" ca="1" si="25"/>
        <v>49071</v>
      </c>
      <c r="AZ128" s="95">
        <f t="shared" si="29"/>
        <v>-2463589.0008846913</v>
      </c>
      <c r="BA128" s="99">
        <f t="shared" ca="1" si="26"/>
        <v>49071</v>
      </c>
      <c r="BB128" s="97">
        <f t="shared" si="30"/>
        <v>-12736648.270519795</v>
      </c>
      <c r="BC128" s="101" t="str">
        <f t="shared" ca="1" si="33"/>
        <v/>
      </c>
      <c r="BD128" s="100" t="str">
        <f t="shared" si="31"/>
        <v/>
      </c>
      <c r="BE128" s="103">
        <f t="shared" ca="1" si="27"/>
        <v>49071</v>
      </c>
      <c r="BF128" s="102">
        <f t="shared" si="32"/>
        <v>-68561.653092635141</v>
      </c>
    </row>
    <row r="129" spans="48:58" hidden="1" x14ac:dyDescent="0.25">
      <c r="AV129">
        <v>99</v>
      </c>
      <c r="AW129" s="94" t="str">
        <f t="shared" ca="1" si="24"/>
        <v/>
      </c>
      <c r="AX129" s="95" t="str">
        <f t="shared" si="28"/>
        <v/>
      </c>
      <c r="AY129" s="98">
        <f t="shared" ca="1" si="25"/>
        <v>49102</v>
      </c>
      <c r="AZ129" s="95">
        <f t="shared" si="29"/>
        <v>-2463589.0008846913</v>
      </c>
      <c r="BA129" s="99">
        <f t="shared" ca="1" si="26"/>
        <v>49102</v>
      </c>
      <c r="BB129" s="97">
        <f t="shared" si="30"/>
        <v>-12736648.270519795</v>
      </c>
      <c r="BC129" s="101" t="str">
        <f t="shared" ca="1" si="33"/>
        <v/>
      </c>
      <c r="BD129" s="100" t="str">
        <f t="shared" si="31"/>
        <v/>
      </c>
      <c r="BE129" s="103">
        <f t="shared" ca="1" si="27"/>
        <v>49102</v>
      </c>
      <c r="BF129" s="102">
        <f t="shared" si="32"/>
        <v>-68561.653092635141</v>
      </c>
    </row>
    <row r="130" spans="48:58" hidden="1" x14ac:dyDescent="0.25">
      <c r="AV130">
        <v>100</v>
      </c>
      <c r="AW130" s="94" t="str">
        <f t="shared" ca="1" si="24"/>
        <v/>
      </c>
      <c r="AX130" s="95" t="str">
        <f t="shared" si="28"/>
        <v/>
      </c>
      <c r="AY130" s="98">
        <f t="shared" ca="1" si="25"/>
        <v>49132</v>
      </c>
      <c r="AZ130" s="95">
        <f t="shared" si="29"/>
        <v>-2463589.0008846913</v>
      </c>
      <c r="BA130" s="99">
        <f t="shared" ca="1" si="26"/>
        <v>49132</v>
      </c>
      <c r="BB130" s="97">
        <f t="shared" si="30"/>
        <v>-12736648.270519795</v>
      </c>
      <c r="BC130" s="101" t="str">
        <f t="shared" ca="1" si="33"/>
        <v/>
      </c>
      <c r="BD130" s="100" t="str">
        <f t="shared" si="31"/>
        <v/>
      </c>
      <c r="BE130" s="103">
        <f t="shared" ca="1" si="27"/>
        <v>49132</v>
      </c>
      <c r="BF130" s="102">
        <f t="shared" si="32"/>
        <v>-68561.653092635141</v>
      </c>
    </row>
    <row r="131" spans="48:58" hidden="1" x14ac:dyDescent="0.25">
      <c r="AV131">
        <v>101</v>
      </c>
      <c r="AW131" s="94" t="str">
        <f t="shared" ca="1" si="24"/>
        <v/>
      </c>
      <c r="AX131" s="95" t="str">
        <f t="shared" si="28"/>
        <v/>
      </c>
      <c r="AY131" s="98">
        <f t="shared" ca="1" si="25"/>
        <v>49163</v>
      </c>
      <c r="AZ131" s="95">
        <f t="shared" si="29"/>
        <v>-2463589.0008846913</v>
      </c>
      <c r="BA131" s="99">
        <f t="shared" ca="1" si="26"/>
        <v>49163</v>
      </c>
      <c r="BB131" s="97">
        <f t="shared" si="30"/>
        <v>-12736648.270519795</v>
      </c>
      <c r="BC131" s="101" t="str">
        <f t="shared" ca="1" si="33"/>
        <v/>
      </c>
      <c r="BD131" s="100" t="str">
        <f t="shared" si="31"/>
        <v/>
      </c>
      <c r="BE131" s="103">
        <f t="shared" ca="1" si="27"/>
        <v>49163</v>
      </c>
      <c r="BF131" s="102">
        <f t="shared" si="32"/>
        <v>-68561.653092635141</v>
      </c>
    </row>
    <row r="132" spans="48:58" hidden="1" x14ac:dyDescent="0.25">
      <c r="AV132">
        <v>102</v>
      </c>
      <c r="AW132" s="94" t="str">
        <f t="shared" ca="1" si="24"/>
        <v/>
      </c>
      <c r="AX132" s="95" t="str">
        <f t="shared" si="28"/>
        <v/>
      </c>
      <c r="AY132" s="98">
        <f t="shared" ca="1" si="25"/>
        <v>49194</v>
      </c>
      <c r="AZ132" s="95">
        <f t="shared" si="29"/>
        <v>-2463589.0008846913</v>
      </c>
      <c r="BA132" s="99">
        <f t="shared" ca="1" si="26"/>
        <v>49194</v>
      </c>
      <c r="BB132" s="97">
        <f t="shared" si="30"/>
        <v>-12736648.270519795</v>
      </c>
      <c r="BC132" s="101" t="str">
        <f t="shared" ca="1" si="33"/>
        <v/>
      </c>
      <c r="BD132" s="100" t="str">
        <f t="shared" si="31"/>
        <v/>
      </c>
      <c r="BE132" s="103">
        <f t="shared" ca="1" si="27"/>
        <v>49194</v>
      </c>
      <c r="BF132" s="102">
        <f t="shared" si="32"/>
        <v>-68561.653092635141</v>
      </c>
    </row>
    <row r="133" spans="48:58" hidden="1" x14ac:dyDescent="0.25">
      <c r="AV133">
        <v>103</v>
      </c>
      <c r="AW133" s="94" t="str">
        <f t="shared" ca="1" si="24"/>
        <v/>
      </c>
      <c r="AX133" s="95" t="str">
        <f t="shared" si="28"/>
        <v/>
      </c>
      <c r="AY133" s="98">
        <f t="shared" ca="1" si="25"/>
        <v>49224</v>
      </c>
      <c r="AZ133" s="95">
        <f t="shared" si="29"/>
        <v>-2463589.0008846913</v>
      </c>
      <c r="BA133" s="99">
        <f t="shared" ca="1" si="26"/>
        <v>49224</v>
      </c>
      <c r="BB133" s="97">
        <f t="shared" si="30"/>
        <v>-12736648.270519795</v>
      </c>
      <c r="BC133" s="101" t="str">
        <f t="shared" ca="1" si="33"/>
        <v/>
      </c>
      <c r="BD133" s="100" t="str">
        <f t="shared" si="31"/>
        <v/>
      </c>
      <c r="BE133" s="103">
        <f t="shared" ca="1" si="27"/>
        <v>49224</v>
      </c>
      <c r="BF133" s="102">
        <f t="shared" si="32"/>
        <v>-68561.653092635141</v>
      </c>
    </row>
    <row r="134" spans="48:58" hidden="1" x14ac:dyDescent="0.25">
      <c r="AV134">
        <v>104</v>
      </c>
      <c r="AW134" s="94" t="str">
        <f t="shared" ca="1" si="24"/>
        <v/>
      </c>
      <c r="AX134" s="95" t="str">
        <f t="shared" si="28"/>
        <v/>
      </c>
      <c r="AY134" s="98">
        <f t="shared" ca="1" si="25"/>
        <v>49255</v>
      </c>
      <c r="AZ134" s="95">
        <f t="shared" si="29"/>
        <v>-2463589.0008846913</v>
      </c>
      <c r="BA134" s="99">
        <f t="shared" ca="1" si="26"/>
        <v>49255</v>
      </c>
      <c r="BB134" s="97">
        <f t="shared" si="30"/>
        <v>-12736648.270519795</v>
      </c>
      <c r="BC134" s="101" t="str">
        <f t="shared" ca="1" si="33"/>
        <v/>
      </c>
      <c r="BD134" s="100" t="str">
        <f t="shared" si="31"/>
        <v/>
      </c>
      <c r="BE134" s="103">
        <f t="shared" ca="1" si="27"/>
        <v>49255</v>
      </c>
      <c r="BF134" s="102">
        <f t="shared" si="32"/>
        <v>-68561.653092635141</v>
      </c>
    </row>
    <row r="135" spans="48:58" hidden="1" x14ac:dyDescent="0.25">
      <c r="AV135">
        <v>105</v>
      </c>
      <c r="AW135" s="94" t="str">
        <f t="shared" ca="1" si="24"/>
        <v/>
      </c>
      <c r="AX135" s="95" t="str">
        <f t="shared" si="28"/>
        <v/>
      </c>
      <c r="AY135" s="98">
        <f t="shared" ca="1" si="25"/>
        <v>49285</v>
      </c>
      <c r="AZ135" s="95">
        <f t="shared" si="29"/>
        <v>-2463589.0008846913</v>
      </c>
      <c r="BA135" s="99">
        <f t="shared" ca="1" si="26"/>
        <v>49285</v>
      </c>
      <c r="BB135" s="97">
        <f t="shared" si="30"/>
        <v>-12736648.270519795</v>
      </c>
      <c r="BC135" s="101" t="str">
        <f t="shared" ca="1" si="33"/>
        <v/>
      </c>
      <c r="BD135" s="100" t="str">
        <f t="shared" si="31"/>
        <v/>
      </c>
      <c r="BE135" s="103">
        <f t="shared" ca="1" si="27"/>
        <v>49285</v>
      </c>
      <c r="BF135" s="102">
        <f t="shared" si="32"/>
        <v>-68561.653092635141</v>
      </c>
    </row>
    <row r="136" spans="48:58" hidden="1" x14ac:dyDescent="0.25">
      <c r="AV136">
        <v>106</v>
      </c>
      <c r="AW136" s="94" t="str">
        <f t="shared" ca="1" si="24"/>
        <v/>
      </c>
      <c r="AX136" s="95" t="str">
        <f t="shared" si="28"/>
        <v/>
      </c>
      <c r="AY136" s="98">
        <f t="shared" ca="1" si="25"/>
        <v>49316</v>
      </c>
      <c r="AZ136" s="95">
        <f t="shared" si="29"/>
        <v>-2463589.0008846913</v>
      </c>
      <c r="BA136" s="99">
        <f t="shared" ca="1" si="26"/>
        <v>49316</v>
      </c>
      <c r="BB136" s="97">
        <f t="shared" si="30"/>
        <v>-12736648.270519795</v>
      </c>
      <c r="BC136" s="101" t="str">
        <f t="shared" ca="1" si="33"/>
        <v/>
      </c>
      <c r="BD136" s="100" t="str">
        <f t="shared" si="31"/>
        <v/>
      </c>
      <c r="BE136" s="103">
        <f t="shared" ca="1" si="27"/>
        <v>49316</v>
      </c>
      <c r="BF136" s="102">
        <f t="shared" si="32"/>
        <v>-68561.653092635141</v>
      </c>
    </row>
    <row r="137" spans="48:58" hidden="1" x14ac:dyDescent="0.25">
      <c r="AV137">
        <v>107</v>
      </c>
      <c r="AW137" s="94" t="str">
        <f t="shared" ca="1" si="24"/>
        <v/>
      </c>
      <c r="AX137" s="95" t="str">
        <f t="shared" si="28"/>
        <v/>
      </c>
      <c r="AY137" s="98">
        <f t="shared" ca="1" si="25"/>
        <v>49347</v>
      </c>
      <c r="AZ137" s="95">
        <f t="shared" si="29"/>
        <v>-2463589.0008846913</v>
      </c>
      <c r="BA137" s="99">
        <f t="shared" ca="1" si="26"/>
        <v>49347</v>
      </c>
      <c r="BB137" s="97">
        <f t="shared" si="30"/>
        <v>-12736648.270519795</v>
      </c>
      <c r="BC137" s="101" t="str">
        <f t="shared" ca="1" si="33"/>
        <v/>
      </c>
      <c r="BD137" s="100" t="str">
        <f t="shared" si="31"/>
        <v/>
      </c>
      <c r="BE137" s="103">
        <f t="shared" ca="1" si="27"/>
        <v>49347</v>
      </c>
      <c r="BF137" s="102">
        <f t="shared" si="32"/>
        <v>-68561.653092635141</v>
      </c>
    </row>
    <row r="138" spans="48:58" hidden="1" x14ac:dyDescent="0.25">
      <c r="AV138">
        <v>108</v>
      </c>
      <c r="AW138" s="94" t="str">
        <f t="shared" ca="1" si="24"/>
        <v/>
      </c>
      <c r="AX138" s="95" t="str">
        <f t="shared" si="28"/>
        <v/>
      </c>
      <c r="AY138" s="98">
        <f t="shared" ca="1" si="25"/>
        <v>49375</v>
      </c>
      <c r="AZ138" s="95">
        <f t="shared" si="29"/>
        <v>-2463589.0008846913</v>
      </c>
      <c r="BA138" s="99">
        <f t="shared" ca="1" si="26"/>
        <v>49375</v>
      </c>
      <c r="BB138" s="97">
        <f t="shared" si="30"/>
        <v>-12736648.270519795</v>
      </c>
      <c r="BC138" s="101" t="str">
        <f t="shared" ca="1" si="33"/>
        <v/>
      </c>
      <c r="BD138" s="100" t="str">
        <f t="shared" si="31"/>
        <v/>
      </c>
      <c r="BE138" s="103">
        <f t="shared" ca="1" si="27"/>
        <v>49375</v>
      </c>
      <c r="BF138" s="102">
        <f t="shared" si="32"/>
        <v>-68561.653092635141</v>
      </c>
    </row>
    <row r="139" spans="48:58" hidden="1" x14ac:dyDescent="0.25">
      <c r="AV139">
        <v>109</v>
      </c>
      <c r="AW139" s="94" t="str">
        <f t="shared" ca="1" si="24"/>
        <v/>
      </c>
      <c r="AX139" s="95" t="str">
        <f t="shared" si="28"/>
        <v/>
      </c>
      <c r="AY139" s="98">
        <f t="shared" ca="1" si="25"/>
        <v>49406</v>
      </c>
      <c r="AZ139" s="95">
        <f t="shared" si="29"/>
        <v>-2463589.0008846913</v>
      </c>
      <c r="BA139" s="99">
        <f t="shared" ca="1" si="26"/>
        <v>49406</v>
      </c>
      <c r="BB139" s="97">
        <f t="shared" si="30"/>
        <v>-12736648.270519795</v>
      </c>
      <c r="BC139" s="101" t="str">
        <f t="shared" ca="1" si="33"/>
        <v/>
      </c>
      <c r="BD139" s="100" t="str">
        <f t="shared" si="31"/>
        <v/>
      </c>
      <c r="BE139" s="103">
        <f t="shared" ca="1" si="27"/>
        <v>49406</v>
      </c>
      <c r="BF139" s="102">
        <f t="shared" si="32"/>
        <v>-68561.653092635141</v>
      </c>
    </row>
    <row r="140" spans="48:58" hidden="1" x14ac:dyDescent="0.25">
      <c r="AV140">
        <v>110</v>
      </c>
      <c r="AW140" s="94" t="str">
        <f t="shared" ca="1" si="24"/>
        <v/>
      </c>
      <c r="AX140" s="95" t="str">
        <f t="shared" si="28"/>
        <v/>
      </c>
      <c r="AY140" s="98">
        <f t="shared" ca="1" si="25"/>
        <v>49436</v>
      </c>
      <c r="AZ140" s="95">
        <f t="shared" si="29"/>
        <v>-2463589.0008846913</v>
      </c>
      <c r="BA140" s="99">
        <f t="shared" ca="1" si="26"/>
        <v>49436</v>
      </c>
      <c r="BB140" s="97">
        <f t="shared" si="30"/>
        <v>-12736648.270519795</v>
      </c>
      <c r="BC140" s="101" t="str">
        <f t="shared" ca="1" si="33"/>
        <v/>
      </c>
      <c r="BD140" s="100" t="str">
        <f t="shared" si="31"/>
        <v/>
      </c>
      <c r="BE140" s="103">
        <f t="shared" ca="1" si="27"/>
        <v>49436</v>
      </c>
      <c r="BF140" s="102">
        <f t="shared" si="32"/>
        <v>-68561.653092635141</v>
      </c>
    </row>
    <row r="141" spans="48:58" hidden="1" x14ac:dyDescent="0.25">
      <c r="AV141">
        <v>111</v>
      </c>
      <c r="AW141" s="94" t="str">
        <f t="shared" ca="1" si="24"/>
        <v/>
      </c>
      <c r="AX141" s="95" t="str">
        <f t="shared" si="28"/>
        <v/>
      </c>
      <c r="AY141" s="98">
        <f t="shared" ca="1" si="25"/>
        <v>49467</v>
      </c>
      <c r="AZ141" s="95">
        <f t="shared" si="29"/>
        <v>-2463589.0008846913</v>
      </c>
      <c r="BA141" s="99">
        <f t="shared" ca="1" si="26"/>
        <v>49467</v>
      </c>
      <c r="BB141" s="97">
        <f t="shared" si="30"/>
        <v>-12736648.270519795</v>
      </c>
      <c r="BC141" s="101" t="str">
        <f t="shared" ca="1" si="33"/>
        <v/>
      </c>
      <c r="BD141" s="100" t="str">
        <f t="shared" si="31"/>
        <v/>
      </c>
      <c r="BE141" s="103">
        <f t="shared" ca="1" si="27"/>
        <v>49467</v>
      </c>
      <c r="BF141" s="102">
        <f t="shared" si="32"/>
        <v>-68561.653092635141</v>
      </c>
    </row>
    <row r="142" spans="48:58" hidden="1" x14ac:dyDescent="0.25">
      <c r="AV142">
        <v>112</v>
      </c>
      <c r="AW142" s="94" t="str">
        <f t="shared" ca="1" si="24"/>
        <v/>
      </c>
      <c r="AX142" s="95" t="str">
        <f t="shared" si="28"/>
        <v/>
      </c>
      <c r="AY142" s="98">
        <f t="shared" ca="1" si="25"/>
        <v>49497</v>
      </c>
      <c r="AZ142" s="95">
        <f t="shared" si="29"/>
        <v>-2463589.0008846913</v>
      </c>
      <c r="BA142" s="99">
        <f t="shared" ca="1" si="26"/>
        <v>49497</v>
      </c>
      <c r="BB142" s="97">
        <f t="shared" si="30"/>
        <v>-12736648.270519795</v>
      </c>
      <c r="BC142" s="101" t="str">
        <f t="shared" ca="1" si="33"/>
        <v/>
      </c>
      <c r="BD142" s="100" t="str">
        <f t="shared" si="31"/>
        <v/>
      </c>
      <c r="BE142" s="103">
        <f t="shared" ca="1" si="27"/>
        <v>49497</v>
      </c>
      <c r="BF142" s="102">
        <f t="shared" si="32"/>
        <v>-68561.653092635141</v>
      </c>
    </row>
    <row r="143" spans="48:58" hidden="1" x14ac:dyDescent="0.25">
      <c r="AV143">
        <v>113</v>
      </c>
      <c r="AW143" s="94" t="str">
        <f t="shared" ca="1" si="24"/>
        <v/>
      </c>
      <c r="AX143" s="95" t="str">
        <f t="shared" si="28"/>
        <v/>
      </c>
      <c r="AY143" s="98">
        <f t="shared" ca="1" si="25"/>
        <v>49528</v>
      </c>
      <c r="AZ143" s="95">
        <f t="shared" si="29"/>
        <v>-2463589.0008846913</v>
      </c>
      <c r="BA143" s="99">
        <f t="shared" ca="1" si="26"/>
        <v>49528</v>
      </c>
      <c r="BB143" s="97">
        <f t="shared" si="30"/>
        <v>-12736648.270519795</v>
      </c>
      <c r="BC143" s="101" t="str">
        <f t="shared" ca="1" si="33"/>
        <v/>
      </c>
      <c r="BD143" s="100" t="str">
        <f t="shared" si="31"/>
        <v/>
      </c>
      <c r="BE143" s="103">
        <f t="shared" ca="1" si="27"/>
        <v>49528</v>
      </c>
      <c r="BF143" s="102">
        <f t="shared" si="32"/>
        <v>-68561.653092635141</v>
      </c>
    </row>
    <row r="144" spans="48:58" hidden="1" x14ac:dyDescent="0.25">
      <c r="AV144">
        <v>114</v>
      </c>
      <c r="AW144" s="94" t="str">
        <f t="shared" ca="1" si="24"/>
        <v/>
      </c>
      <c r="AX144" s="95" t="str">
        <f t="shared" si="28"/>
        <v/>
      </c>
      <c r="AY144" s="98">
        <f t="shared" ca="1" si="25"/>
        <v>49559</v>
      </c>
      <c r="AZ144" s="95">
        <f t="shared" si="29"/>
        <v>-2463589.0008846913</v>
      </c>
      <c r="BA144" s="99">
        <f t="shared" ca="1" si="26"/>
        <v>49559</v>
      </c>
      <c r="BB144" s="97">
        <f t="shared" si="30"/>
        <v>-12736648.270519795</v>
      </c>
      <c r="BC144" s="101" t="str">
        <f t="shared" ca="1" si="33"/>
        <v/>
      </c>
      <c r="BD144" s="100" t="str">
        <f t="shared" si="31"/>
        <v/>
      </c>
      <c r="BE144" s="103">
        <f t="shared" ca="1" si="27"/>
        <v>49559</v>
      </c>
      <c r="BF144" s="102">
        <f t="shared" si="32"/>
        <v>-68561.653092635141</v>
      </c>
    </row>
    <row r="145" spans="48:58" hidden="1" x14ac:dyDescent="0.25">
      <c r="AV145">
        <v>115</v>
      </c>
      <c r="AW145" s="94" t="str">
        <f t="shared" ca="1" si="24"/>
        <v/>
      </c>
      <c r="AX145" s="95" t="str">
        <f t="shared" si="28"/>
        <v/>
      </c>
      <c r="AY145" s="98">
        <f t="shared" ca="1" si="25"/>
        <v>49589</v>
      </c>
      <c r="AZ145" s="95">
        <f t="shared" si="29"/>
        <v>-2463589.0008846913</v>
      </c>
      <c r="BA145" s="99">
        <f t="shared" ca="1" si="26"/>
        <v>49589</v>
      </c>
      <c r="BB145" s="97">
        <f t="shared" si="30"/>
        <v>-12736648.270519795</v>
      </c>
      <c r="BC145" s="101" t="str">
        <f t="shared" ca="1" si="33"/>
        <v/>
      </c>
      <c r="BD145" s="100" t="str">
        <f t="shared" si="31"/>
        <v/>
      </c>
      <c r="BE145" s="103">
        <f t="shared" ca="1" si="27"/>
        <v>49589</v>
      </c>
      <c r="BF145" s="102">
        <f t="shared" si="32"/>
        <v>-68561.653092635141</v>
      </c>
    </row>
    <row r="146" spans="48:58" hidden="1" x14ac:dyDescent="0.25">
      <c r="AV146">
        <v>116</v>
      </c>
      <c r="AW146" s="94" t="str">
        <f t="shared" ca="1" si="24"/>
        <v/>
      </c>
      <c r="AX146" s="95" t="str">
        <f t="shared" si="28"/>
        <v/>
      </c>
      <c r="AY146" s="98">
        <f t="shared" ca="1" si="25"/>
        <v>49620</v>
      </c>
      <c r="AZ146" s="95">
        <f t="shared" si="29"/>
        <v>-2463589.0008846913</v>
      </c>
      <c r="BA146" s="99">
        <f t="shared" ca="1" si="26"/>
        <v>49620</v>
      </c>
      <c r="BB146" s="97">
        <f t="shared" si="30"/>
        <v>-12736648.270519795</v>
      </c>
      <c r="BC146" s="101" t="str">
        <f t="shared" ca="1" si="33"/>
        <v/>
      </c>
      <c r="BD146" s="100" t="str">
        <f t="shared" si="31"/>
        <v/>
      </c>
      <c r="BE146" s="103">
        <f t="shared" ca="1" si="27"/>
        <v>49620</v>
      </c>
      <c r="BF146" s="102">
        <f t="shared" si="32"/>
        <v>-68561.653092635141</v>
      </c>
    </row>
    <row r="147" spans="48:58" hidden="1" x14ac:dyDescent="0.25">
      <c r="AV147">
        <v>117</v>
      </c>
      <c r="AW147" s="94" t="str">
        <f t="shared" ca="1" si="24"/>
        <v/>
      </c>
      <c r="AX147" s="95" t="str">
        <f t="shared" si="28"/>
        <v/>
      </c>
      <c r="AY147" s="98">
        <f t="shared" ca="1" si="25"/>
        <v>49650</v>
      </c>
      <c r="AZ147" s="95">
        <f t="shared" si="29"/>
        <v>-2463589.0008846913</v>
      </c>
      <c r="BA147" s="99">
        <f t="shared" ca="1" si="26"/>
        <v>49650</v>
      </c>
      <c r="BB147" s="97">
        <f t="shared" si="30"/>
        <v>-12736648.270519795</v>
      </c>
      <c r="BC147" s="101" t="str">
        <f t="shared" ca="1" si="33"/>
        <v/>
      </c>
      <c r="BD147" s="100" t="str">
        <f t="shared" si="31"/>
        <v/>
      </c>
      <c r="BE147" s="103">
        <f t="shared" ca="1" si="27"/>
        <v>49650</v>
      </c>
      <c r="BF147" s="102">
        <f t="shared" si="32"/>
        <v>-68561.653092635141</v>
      </c>
    </row>
    <row r="148" spans="48:58" hidden="1" x14ac:dyDescent="0.25">
      <c r="AV148">
        <v>118</v>
      </c>
      <c r="AW148" s="94" t="str">
        <f t="shared" ca="1" si="24"/>
        <v/>
      </c>
      <c r="AX148" s="95" t="str">
        <f t="shared" si="28"/>
        <v/>
      </c>
      <c r="AY148" s="98">
        <f t="shared" ca="1" si="25"/>
        <v>49681</v>
      </c>
      <c r="AZ148" s="95">
        <f t="shared" si="29"/>
        <v>-2463589.0008846913</v>
      </c>
      <c r="BA148" s="99">
        <f t="shared" ca="1" si="26"/>
        <v>49681</v>
      </c>
      <c r="BB148" s="97">
        <f t="shared" si="30"/>
        <v>-12736648.270519795</v>
      </c>
      <c r="BC148" s="101" t="str">
        <f t="shared" ca="1" si="33"/>
        <v/>
      </c>
      <c r="BD148" s="100" t="str">
        <f t="shared" si="31"/>
        <v/>
      </c>
      <c r="BE148" s="103">
        <f t="shared" ca="1" si="27"/>
        <v>49681</v>
      </c>
      <c r="BF148" s="102">
        <f t="shared" si="32"/>
        <v>-68561.653092635141</v>
      </c>
    </row>
    <row r="149" spans="48:58" hidden="1" x14ac:dyDescent="0.25">
      <c r="AV149">
        <v>119</v>
      </c>
      <c r="AW149" s="94" t="str">
        <f t="shared" ca="1" si="24"/>
        <v/>
      </c>
      <c r="AX149" s="95" t="str">
        <f t="shared" si="28"/>
        <v/>
      </c>
      <c r="AY149" s="98">
        <f t="shared" ca="1" si="25"/>
        <v>49712</v>
      </c>
      <c r="AZ149" s="95">
        <f t="shared" si="29"/>
        <v>-2463589.0008846913</v>
      </c>
      <c r="BA149" s="99">
        <f t="shared" ca="1" si="26"/>
        <v>49712</v>
      </c>
      <c r="BB149" s="97">
        <f t="shared" si="30"/>
        <v>-12736648.270519795</v>
      </c>
      <c r="BC149" s="101" t="str">
        <f t="shared" ca="1" si="33"/>
        <v/>
      </c>
      <c r="BD149" s="100" t="str">
        <f t="shared" si="31"/>
        <v/>
      </c>
      <c r="BE149" s="103">
        <f t="shared" ca="1" si="27"/>
        <v>49712</v>
      </c>
      <c r="BF149" s="102">
        <f t="shared" si="32"/>
        <v>-68561.653092635141</v>
      </c>
    </row>
    <row r="150" spans="48:58" hidden="1" x14ac:dyDescent="0.25">
      <c r="AV150">
        <v>120</v>
      </c>
      <c r="AW150" s="94" t="str">
        <f t="shared" ca="1" si="24"/>
        <v/>
      </c>
      <c r="AX150" s="95" t="str">
        <f t="shared" si="28"/>
        <v/>
      </c>
      <c r="AY150" s="98">
        <f t="shared" ca="1" si="25"/>
        <v>49741</v>
      </c>
      <c r="AZ150" s="95">
        <f t="shared" si="29"/>
        <v>-2463589.0008846913</v>
      </c>
      <c r="BA150" s="99">
        <f t="shared" ca="1" si="26"/>
        <v>49741</v>
      </c>
      <c r="BB150" s="97">
        <f t="shared" si="30"/>
        <v>-12736648.270519795</v>
      </c>
      <c r="BC150" s="101" t="str">
        <f t="shared" ca="1" si="33"/>
        <v/>
      </c>
      <c r="BD150" s="100" t="str">
        <f t="shared" si="31"/>
        <v/>
      </c>
      <c r="BE150" s="103">
        <f t="shared" ca="1" si="27"/>
        <v>49741</v>
      </c>
      <c r="BF150" s="102">
        <f t="shared" si="32"/>
        <v>-68561.653092635141</v>
      </c>
    </row>
    <row r="151" spans="48:58" hidden="1" x14ac:dyDescent="0.25">
      <c r="AV151">
        <v>121</v>
      </c>
      <c r="AW151" s="94" t="str">
        <f t="shared" ca="1" si="24"/>
        <v/>
      </c>
      <c r="AX151" s="95" t="str">
        <f t="shared" si="28"/>
        <v/>
      </c>
      <c r="AY151" s="98">
        <f t="shared" ca="1" si="25"/>
        <v>49772</v>
      </c>
      <c r="AZ151" s="95">
        <f t="shared" si="29"/>
        <v>-2463589.0008846913</v>
      </c>
      <c r="BA151" s="99">
        <f t="shared" ca="1" si="26"/>
        <v>49772</v>
      </c>
      <c r="BB151" s="97">
        <f t="shared" si="30"/>
        <v>2687832758.6882434</v>
      </c>
      <c r="BC151" s="101" t="str">
        <f t="shared" ca="1" si="33"/>
        <v/>
      </c>
      <c r="BD151" s="100" t="str">
        <f t="shared" si="31"/>
        <v/>
      </c>
      <c r="BE151" s="103">
        <f t="shared" ca="1" si="27"/>
        <v>49772</v>
      </c>
      <c r="BF151" s="102">
        <f t="shared" si="32"/>
        <v>-68561.653092635141</v>
      </c>
    </row>
    <row r="152" spans="48:58" hidden="1" x14ac:dyDescent="0.25">
      <c r="AV152">
        <v>122</v>
      </c>
      <c r="AW152" s="94" t="str">
        <f t="shared" ca="1" si="24"/>
        <v/>
      </c>
      <c r="AX152" s="95" t="str">
        <f t="shared" si="28"/>
        <v/>
      </c>
      <c r="AY152" s="98">
        <f t="shared" ca="1" si="25"/>
        <v>49802</v>
      </c>
      <c r="AZ152" s="95">
        <f t="shared" si="29"/>
        <v>-2463589.0008846913</v>
      </c>
      <c r="BA152" s="99" t="str">
        <f t="shared" ca="1" si="26"/>
        <v/>
      </c>
      <c r="BB152" s="97" t="str">
        <f t="shared" si="30"/>
        <v/>
      </c>
      <c r="BC152" s="101" t="str">
        <f t="shared" ca="1" si="33"/>
        <v/>
      </c>
      <c r="BD152" s="100" t="str">
        <f t="shared" si="31"/>
        <v/>
      </c>
      <c r="BE152" s="103">
        <f t="shared" ca="1" si="27"/>
        <v>49802</v>
      </c>
      <c r="BF152" s="102">
        <f t="shared" si="32"/>
        <v>-68561.653092635141</v>
      </c>
    </row>
    <row r="153" spans="48:58" hidden="1" x14ac:dyDescent="0.25">
      <c r="AV153">
        <v>123</v>
      </c>
      <c r="AW153" s="94" t="str">
        <f t="shared" ca="1" si="24"/>
        <v/>
      </c>
      <c r="AX153" s="95" t="str">
        <f t="shared" si="28"/>
        <v/>
      </c>
      <c r="AY153" s="98">
        <f t="shared" ca="1" si="25"/>
        <v>49833</v>
      </c>
      <c r="AZ153" s="95">
        <f t="shared" si="29"/>
        <v>-2463589.0008846913</v>
      </c>
      <c r="BA153" s="99" t="str">
        <f t="shared" ca="1" si="26"/>
        <v/>
      </c>
      <c r="BB153" s="97" t="str">
        <f t="shared" si="30"/>
        <v/>
      </c>
      <c r="BC153" s="101" t="str">
        <f t="shared" ca="1" si="33"/>
        <v/>
      </c>
      <c r="BD153" s="100" t="str">
        <f t="shared" si="31"/>
        <v/>
      </c>
      <c r="BE153" s="103">
        <f t="shared" ca="1" si="27"/>
        <v>49833</v>
      </c>
      <c r="BF153" s="102">
        <f t="shared" si="32"/>
        <v>-68561.653092635141</v>
      </c>
    </row>
    <row r="154" spans="48:58" hidden="1" x14ac:dyDescent="0.25">
      <c r="AV154">
        <v>124</v>
      </c>
      <c r="AW154" s="94" t="str">
        <f t="shared" ca="1" si="24"/>
        <v/>
      </c>
      <c r="AX154" s="95" t="str">
        <f t="shared" si="28"/>
        <v/>
      </c>
      <c r="AY154" s="98">
        <f t="shared" ca="1" si="25"/>
        <v>49863</v>
      </c>
      <c r="AZ154" s="95">
        <f t="shared" si="29"/>
        <v>-2463589.0008846913</v>
      </c>
      <c r="BA154" s="99" t="str">
        <f t="shared" ca="1" si="26"/>
        <v/>
      </c>
      <c r="BB154" s="97" t="str">
        <f t="shared" si="30"/>
        <v/>
      </c>
      <c r="BC154" s="101" t="str">
        <f t="shared" ca="1" si="33"/>
        <v/>
      </c>
      <c r="BD154" s="100" t="str">
        <f t="shared" si="31"/>
        <v/>
      </c>
      <c r="BE154" s="103">
        <f t="shared" ca="1" si="27"/>
        <v>49863</v>
      </c>
      <c r="BF154" s="102">
        <f t="shared" si="32"/>
        <v>-68561.653092635141</v>
      </c>
    </row>
    <row r="155" spans="48:58" hidden="1" x14ac:dyDescent="0.25">
      <c r="AV155">
        <v>125</v>
      </c>
      <c r="AW155" s="94" t="str">
        <f t="shared" ca="1" si="24"/>
        <v/>
      </c>
      <c r="AX155" s="95" t="str">
        <f t="shared" si="28"/>
        <v/>
      </c>
      <c r="AY155" s="98">
        <f t="shared" ca="1" si="25"/>
        <v>49894</v>
      </c>
      <c r="AZ155" s="95">
        <f t="shared" si="29"/>
        <v>-2463589.0008846913</v>
      </c>
      <c r="BA155" s="99" t="str">
        <f t="shared" ca="1" si="26"/>
        <v/>
      </c>
      <c r="BB155" s="97" t="str">
        <f t="shared" si="30"/>
        <v/>
      </c>
      <c r="BC155" s="101" t="str">
        <f t="shared" ca="1" si="33"/>
        <v/>
      </c>
      <c r="BD155" s="100" t="str">
        <f t="shared" si="31"/>
        <v/>
      </c>
      <c r="BE155" s="103">
        <f t="shared" ca="1" si="27"/>
        <v>49894</v>
      </c>
      <c r="BF155" s="102">
        <f t="shared" si="32"/>
        <v>-68561.653092635141</v>
      </c>
    </row>
    <row r="156" spans="48:58" hidden="1" x14ac:dyDescent="0.25">
      <c r="AV156">
        <v>126</v>
      </c>
      <c r="AW156" s="94" t="str">
        <f t="shared" ca="1" si="24"/>
        <v/>
      </c>
      <c r="AX156" s="95" t="str">
        <f t="shared" si="28"/>
        <v/>
      </c>
      <c r="AY156" s="98">
        <f t="shared" ca="1" si="25"/>
        <v>49925</v>
      </c>
      <c r="AZ156" s="95">
        <f t="shared" si="29"/>
        <v>-2463589.0008846913</v>
      </c>
      <c r="BA156" s="99" t="str">
        <f t="shared" ca="1" si="26"/>
        <v/>
      </c>
      <c r="BB156" s="97" t="str">
        <f t="shared" si="30"/>
        <v/>
      </c>
      <c r="BC156" s="101" t="str">
        <f t="shared" ca="1" si="33"/>
        <v/>
      </c>
      <c r="BD156" s="100" t="str">
        <f t="shared" si="31"/>
        <v/>
      </c>
      <c r="BE156" s="103">
        <f t="shared" ca="1" si="27"/>
        <v>49925</v>
      </c>
      <c r="BF156" s="102">
        <f t="shared" si="32"/>
        <v>-68561.653092635141</v>
      </c>
    </row>
    <row r="157" spans="48:58" hidden="1" x14ac:dyDescent="0.25">
      <c r="AV157">
        <v>127</v>
      </c>
      <c r="AW157" s="94" t="str">
        <f t="shared" ca="1" si="24"/>
        <v/>
      </c>
      <c r="AX157" s="95" t="str">
        <f t="shared" si="28"/>
        <v/>
      </c>
      <c r="AY157" s="98">
        <f t="shared" ca="1" si="25"/>
        <v>49955</v>
      </c>
      <c r="AZ157" s="95">
        <f t="shared" si="29"/>
        <v>-2463589.0008846913</v>
      </c>
      <c r="BA157" s="99" t="str">
        <f t="shared" ca="1" si="26"/>
        <v/>
      </c>
      <c r="BB157" s="97" t="str">
        <f t="shared" si="30"/>
        <v/>
      </c>
      <c r="BC157" s="101" t="str">
        <f t="shared" ca="1" si="33"/>
        <v/>
      </c>
      <c r="BD157" s="100" t="str">
        <f t="shared" si="31"/>
        <v/>
      </c>
      <c r="BE157" s="103">
        <f t="shared" ca="1" si="27"/>
        <v>49955</v>
      </c>
      <c r="BF157" s="102">
        <f t="shared" si="32"/>
        <v>-68561.653092635141</v>
      </c>
    </row>
    <row r="158" spans="48:58" hidden="1" x14ac:dyDescent="0.25">
      <c r="AV158">
        <v>128</v>
      </c>
      <c r="AW158" s="94" t="str">
        <f t="shared" ca="1" si="24"/>
        <v/>
      </c>
      <c r="AX158" s="95" t="str">
        <f t="shared" si="28"/>
        <v/>
      </c>
      <c r="AY158" s="98">
        <f t="shared" ca="1" si="25"/>
        <v>49986</v>
      </c>
      <c r="AZ158" s="95">
        <f t="shared" si="29"/>
        <v>-2463589.0008846913</v>
      </c>
      <c r="BA158" s="99" t="str">
        <f t="shared" ca="1" si="26"/>
        <v/>
      </c>
      <c r="BB158" s="97" t="str">
        <f t="shared" si="30"/>
        <v/>
      </c>
      <c r="BC158" s="101" t="str">
        <f t="shared" ca="1" si="33"/>
        <v/>
      </c>
      <c r="BD158" s="100" t="str">
        <f t="shared" si="31"/>
        <v/>
      </c>
      <c r="BE158" s="103">
        <f t="shared" ca="1" si="27"/>
        <v>49986</v>
      </c>
      <c r="BF158" s="102">
        <f t="shared" si="32"/>
        <v>-68561.653092635141</v>
      </c>
    </row>
    <row r="159" spans="48:58" hidden="1" x14ac:dyDescent="0.25">
      <c r="AV159">
        <v>129</v>
      </c>
      <c r="AW159" s="94" t="str">
        <f t="shared" ref="AW159:AW222" ca="1" si="34">IF(T_1*12&gt;=AV159,DATE(YEAR(TODAY()),MONTH(TODAY())+AV159-1,DAY(TODAY())),IF(T_1*12+1&gt;=AV159,DATE(YEAR(TODAY()),MONTH(TODAY())+T_1*12,DAY(TODAY())),""))</f>
        <v/>
      </c>
      <c r="AX159" s="95" t="str">
        <f t="shared" si="28"/>
        <v/>
      </c>
      <c r="AY159" s="98">
        <f t="shared" ref="AY159:AY222" ca="1" si="35">IF(T_2*12&gt;=$AV159,DATE(YEAR(TODAY()),MONTH(TODAY())+$AV159-1,DAY(TODAY())),IF(T_2*12+1&gt;=$AV159,DATE(YEAR(TODAY()),MONTH(TODAY())+T_2*12,DAY(TODAY())),""))</f>
        <v>50016</v>
      </c>
      <c r="AZ159" s="95">
        <f t="shared" si="29"/>
        <v>-2463589.0008846913</v>
      </c>
      <c r="BA159" s="99" t="str">
        <f t="shared" ref="BA159:BA222" ca="1" si="36">IF(T_3*12&gt;=$AV159,DATE(YEAR(TODAY()),MONTH(TODAY())+$AV159-1,DAY(TODAY())),IF(T_3*12+1&gt;=$AV159,DATE(YEAR(TODAY()),MONTH(TODAY())+T_3*12,DAY(TODAY())),""))</f>
        <v/>
      </c>
      <c r="BB159" s="97" t="str">
        <f t="shared" si="30"/>
        <v/>
      </c>
      <c r="BC159" s="101" t="str">
        <f t="shared" ca="1" si="33"/>
        <v/>
      </c>
      <c r="BD159" s="100" t="str">
        <f t="shared" si="31"/>
        <v/>
      </c>
      <c r="BE159" s="103">
        <f t="shared" ref="BE159:BE222" ca="1" si="37">IF(T_5*12&gt;=$AV159,DATE(YEAR(TODAY()),MONTH(TODAY())+$AV159-1,DAY(TODAY())),IF(T_5*12+1&gt;=$AV159,DATE(YEAR(TODAY()),MONTH(TODAY())+T_5*12,DAY(TODAY())),""))</f>
        <v>50016</v>
      </c>
      <c r="BF159" s="102">
        <f t="shared" si="32"/>
        <v>-68561.653092635141</v>
      </c>
    </row>
    <row r="160" spans="48:58" hidden="1" x14ac:dyDescent="0.25">
      <c r="AV160">
        <v>130</v>
      </c>
      <c r="AW160" s="94" t="str">
        <f t="shared" ca="1" si="34"/>
        <v/>
      </c>
      <c r="AX160" s="95" t="str">
        <f t="shared" ref="AX160:AX223" si="38">IF(T_1*12&gt;=AV160,-1*$I$15,IF(T_1*12+1&gt;=AV160,InfG_1,""))</f>
        <v/>
      </c>
      <c r="AY160" s="98">
        <f t="shared" ca="1" si="35"/>
        <v>50047</v>
      </c>
      <c r="AZ160" s="95">
        <f t="shared" ref="AZ160:AZ223" si="39">IF(T_2*12&gt;=$AV160,-1*$I$17,IF(T_2*12+1&gt;=$AV160,InfG_2,""))</f>
        <v>-2463589.0008846913</v>
      </c>
      <c r="BA160" s="99" t="str">
        <f t="shared" ca="1" si="36"/>
        <v/>
      </c>
      <c r="BB160" s="97" t="str">
        <f t="shared" ref="BB160:BB223" si="40">IF(T_3*12&gt;=$AV160,-1*$I$19,IF(T_3*12+1&gt;=$AV160,InfG_3,""))</f>
        <v/>
      </c>
      <c r="BC160" s="101" t="str">
        <f t="shared" ca="1" si="33"/>
        <v/>
      </c>
      <c r="BD160" s="100" t="str">
        <f t="shared" ref="BD160:BD223" si="41">IF(T_4*12&gt;=$AV160,-1*$I$21,IF(T_4*12+1&gt;=$AV160,InfG_4,""))</f>
        <v/>
      </c>
      <c r="BE160" s="103">
        <f t="shared" ca="1" si="37"/>
        <v>50047</v>
      </c>
      <c r="BF160" s="102">
        <f t="shared" ref="BF160:BF223" si="42">IF(T_5*12&gt;=$AV160,-1*$I$23,IF(T_5*12+1&gt;=$AV160,InfG_5,""))</f>
        <v>-68561.653092635141</v>
      </c>
    </row>
    <row r="161" spans="48:58" hidden="1" x14ac:dyDescent="0.25">
      <c r="AV161">
        <v>131</v>
      </c>
      <c r="AW161" s="94" t="str">
        <f t="shared" ca="1" si="34"/>
        <v/>
      </c>
      <c r="AX161" s="95" t="str">
        <f t="shared" si="38"/>
        <v/>
      </c>
      <c r="AY161" s="98">
        <f t="shared" ca="1" si="35"/>
        <v>50078</v>
      </c>
      <c r="AZ161" s="95">
        <f t="shared" si="39"/>
        <v>-2463589.0008846913</v>
      </c>
      <c r="BA161" s="99" t="str">
        <f t="shared" ca="1" si="36"/>
        <v/>
      </c>
      <c r="BB161" s="97" t="str">
        <f t="shared" si="40"/>
        <v/>
      </c>
      <c r="BC161" s="101" t="str">
        <f t="shared" ref="BC161:BC224" ca="1" si="43">IF(T_4*12&gt;=AV161,DATE(YEAR(TODAY()),MONTH(TODAY())+AV161-1,DAY(TODAY())),IF(T_4*12+1&gt;=AV161,DATE(YEAR(TODAY()),MONTH(TODAY())+T_4*12,DAY(TODAY())),""))</f>
        <v/>
      </c>
      <c r="BD161" s="100" t="str">
        <f t="shared" si="41"/>
        <v/>
      </c>
      <c r="BE161" s="103">
        <f t="shared" ca="1" si="37"/>
        <v>50078</v>
      </c>
      <c r="BF161" s="102">
        <f t="shared" si="42"/>
        <v>-68561.653092635141</v>
      </c>
    </row>
    <row r="162" spans="48:58" hidden="1" x14ac:dyDescent="0.25">
      <c r="AV162">
        <v>132</v>
      </c>
      <c r="AW162" s="94" t="str">
        <f t="shared" ca="1" si="34"/>
        <v/>
      </c>
      <c r="AX162" s="95" t="str">
        <f t="shared" si="38"/>
        <v/>
      </c>
      <c r="AY162" s="98">
        <f t="shared" ca="1" si="35"/>
        <v>50106</v>
      </c>
      <c r="AZ162" s="95">
        <f t="shared" si="39"/>
        <v>-2463589.0008846913</v>
      </c>
      <c r="BA162" s="99" t="str">
        <f t="shared" ca="1" si="36"/>
        <v/>
      </c>
      <c r="BB162" s="97" t="str">
        <f t="shared" si="40"/>
        <v/>
      </c>
      <c r="BC162" s="101" t="str">
        <f t="shared" ca="1" si="43"/>
        <v/>
      </c>
      <c r="BD162" s="100" t="str">
        <f t="shared" si="41"/>
        <v/>
      </c>
      <c r="BE162" s="103">
        <f t="shared" ca="1" si="37"/>
        <v>50106</v>
      </c>
      <c r="BF162" s="102">
        <f t="shared" si="42"/>
        <v>-68561.653092635141</v>
      </c>
    </row>
    <row r="163" spans="48:58" hidden="1" x14ac:dyDescent="0.25">
      <c r="AV163">
        <v>133</v>
      </c>
      <c r="AW163" s="94" t="str">
        <f t="shared" ca="1" si="34"/>
        <v/>
      </c>
      <c r="AX163" s="95" t="str">
        <f t="shared" si="38"/>
        <v/>
      </c>
      <c r="AY163" s="98">
        <f t="shared" ca="1" si="35"/>
        <v>50137</v>
      </c>
      <c r="AZ163" s="95">
        <f t="shared" si="39"/>
        <v>609062903.11875606</v>
      </c>
      <c r="BA163" s="99" t="str">
        <f t="shared" ca="1" si="36"/>
        <v/>
      </c>
      <c r="BB163" s="97" t="str">
        <f t="shared" si="40"/>
        <v/>
      </c>
      <c r="BC163" s="101" t="str">
        <f t="shared" ca="1" si="43"/>
        <v/>
      </c>
      <c r="BD163" s="100" t="str">
        <f t="shared" si="41"/>
        <v/>
      </c>
      <c r="BE163" s="103">
        <f t="shared" ca="1" si="37"/>
        <v>50137</v>
      </c>
      <c r="BF163" s="102">
        <f t="shared" si="42"/>
        <v>-68561.653092635141</v>
      </c>
    </row>
    <row r="164" spans="48:58" hidden="1" x14ac:dyDescent="0.25">
      <c r="AV164">
        <v>134</v>
      </c>
      <c r="AW164" s="94" t="str">
        <f t="shared" ca="1" si="34"/>
        <v/>
      </c>
      <c r="AX164" s="95" t="str">
        <f t="shared" si="38"/>
        <v/>
      </c>
      <c r="AY164" s="98" t="str">
        <f t="shared" ca="1" si="35"/>
        <v/>
      </c>
      <c r="AZ164" s="95" t="str">
        <f t="shared" si="39"/>
        <v/>
      </c>
      <c r="BA164" s="99" t="str">
        <f t="shared" ca="1" si="36"/>
        <v/>
      </c>
      <c r="BB164" s="97" t="str">
        <f t="shared" si="40"/>
        <v/>
      </c>
      <c r="BC164" s="101" t="str">
        <f t="shared" ca="1" si="43"/>
        <v/>
      </c>
      <c r="BD164" s="100" t="str">
        <f t="shared" si="41"/>
        <v/>
      </c>
      <c r="BE164" s="103">
        <f t="shared" ca="1" si="37"/>
        <v>50167</v>
      </c>
      <c r="BF164" s="102">
        <f t="shared" si="42"/>
        <v>-68561.653092635141</v>
      </c>
    </row>
    <row r="165" spans="48:58" hidden="1" x14ac:dyDescent="0.25">
      <c r="AV165">
        <v>135</v>
      </c>
      <c r="AW165" s="94" t="str">
        <f t="shared" ca="1" si="34"/>
        <v/>
      </c>
      <c r="AX165" s="95" t="str">
        <f t="shared" si="38"/>
        <v/>
      </c>
      <c r="AY165" s="98" t="str">
        <f t="shared" ca="1" si="35"/>
        <v/>
      </c>
      <c r="AZ165" s="95" t="str">
        <f t="shared" si="39"/>
        <v/>
      </c>
      <c r="BA165" s="99" t="str">
        <f t="shared" ca="1" si="36"/>
        <v/>
      </c>
      <c r="BB165" s="97" t="str">
        <f t="shared" si="40"/>
        <v/>
      </c>
      <c r="BC165" s="101" t="str">
        <f t="shared" ca="1" si="43"/>
        <v/>
      </c>
      <c r="BD165" s="100" t="str">
        <f t="shared" si="41"/>
        <v/>
      </c>
      <c r="BE165" s="103">
        <f t="shared" ca="1" si="37"/>
        <v>50198</v>
      </c>
      <c r="BF165" s="102">
        <f t="shared" si="42"/>
        <v>-68561.653092635141</v>
      </c>
    </row>
    <row r="166" spans="48:58" hidden="1" x14ac:dyDescent="0.25">
      <c r="AV166">
        <v>136</v>
      </c>
      <c r="AW166" s="94" t="str">
        <f t="shared" ca="1" si="34"/>
        <v/>
      </c>
      <c r="AX166" s="95" t="str">
        <f t="shared" si="38"/>
        <v/>
      </c>
      <c r="AY166" s="98" t="str">
        <f t="shared" ca="1" si="35"/>
        <v/>
      </c>
      <c r="AZ166" s="95" t="str">
        <f t="shared" si="39"/>
        <v/>
      </c>
      <c r="BA166" s="99" t="str">
        <f t="shared" ca="1" si="36"/>
        <v/>
      </c>
      <c r="BB166" s="97" t="str">
        <f t="shared" si="40"/>
        <v/>
      </c>
      <c r="BC166" s="101" t="str">
        <f t="shared" ca="1" si="43"/>
        <v/>
      </c>
      <c r="BD166" s="100" t="str">
        <f t="shared" si="41"/>
        <v/>
      </c>
      <c r="BE166" s="103">
        <f t="shared" ca="1" si="37"/>
        <v>50228</v>
      </c>
      <c r="BF166" s="102">
        <f t="shared" si="42"/>
        <v>-68561.653092635141</v>
      </c>
    </row>
    <row r="167" spans="48:58" hidden="1" x14ac:dyDescent="0.25">
      <c r="AV167">
        <v>137</v>
      </c>
      <c r="AW167" s="94" t="str">
        <f t="shared" ca="1" si="34"/>
        <v/>
      </c>
      <c r="AX167" s="95" t="str">
        <f t="shared" si="38"/>
        <v/>
      </c>
      <c r="AY167" s="98" t="str">
        <f t="shared" ca="1" si="35"/>
        <v/>
      </c>
      <c r="AZ167" s="95" t="str">
        <f t="shared" si="39"/>
        <v/>
      </c>
      <c r="BA167" s="99" t="str">
        <f t="shared" ca="1" si="36"/>
        <v/>
      </c>
      <c r="BB167" s="97" t="str">
        <f t="shared" si="40"/>
        <v/>
      </c>
      <c r="BC167" s="101" t="str">
        <f t="shared" ca="1" si="43"/>
        <v/>
      </c>
      <c r="BD167" s="100" t="str">
        <f t="shared" si="41"/>
        <v/>
      </c>
      <c r="BE167" s="103">
        <f t="shared" ca="1" si="37"/>
        <v>50259</v>
      </c>
      <c r="BF167" s="102">
        <f t="shared" si="42"/>
        <v>-68561.653092635141</v>
      </c>
    </row>
    <row r="168" spans="48:58" hidden="1" x14ac:dyDescent="0.25">
      <c r="AV168">
        <v>138</v>
      </c>
      <c r="AW168" s="94" t="str">
        <f t="shared" ca="1" si="34"/>
        <v/>
      </c>
      <c r="AX168" s="95" t="str">
        <f t="shared" si="38"/>
        <v/>
      </c>
      <c r="AY168" s="98" t="str">
        <f t="shared" ca="1" si="35"/>
        <v/>
      </c>
      <c r="AZ168" s="95" t="str">
        <f t="shared" si="39"/>
        <v/>
      </c>
      <c r="BA168" s="99" t="str">
        <f t="shared" ca="1" si="36"/>
        <v/>
      </c>
      <c r="BB168" s="97" t="str">
        <f t="shared" si="40"/>
        <v/>
      </c>
      <c r="BC168" s="101" t="str">
        <f t="shared" ca="1" si="43"/>
        <v/>
      </c>
      <c r="BD168" s="100" t="str">
        <f t="shared" si="41"/>
        <v/>
      </c>
      <c r="BE168" s="103">
        <f t="shared" ca="1" si="37"/>
        <v>50290</v>
      </c>
      <c r="BF168" s="102">
        <f t="shared" si="42"/>
        <v>-68561.653092635141</v>
      </c>
    </row>
    <row r="169" spans="48:58" hidden="1" x14ac:dyDescent="0.25">
      <c r="AV169">
        <v>139</v>
      </c>
      <c r="AW169" s="94" t="str">
        <f t="shared" ca="1" si="34"/>
        <v/>
      </c>
      <c r="AX169" s="95" t="str">
        <f t="shared" si="38"/>
        <v/>
      </c>
      <c r="AY169" s="98" t="str">
        <f t="shared" ca="1" si="35"/>
        <v/>
      </c>
      <c r="AZ169" s="95" t="str">
        <f t="shared" si="39"/>
        <v/>
      </c>
      <c r="BA169" s="99" t="str">
        <f t="shared" ca="1" si="36"/>
        <v/>
      </c>
      <c r="BB169" s="97" t="str">
        <f t="shared" si="40"/>
        <v/>
      </c>
      <c r="BC169" s="101" t="str">
        <f t="shared" ca="1" si="43"/>
        <v/>
      </c>
      <c r="BD169" s="100" t="str">
        <f t="shared" si="41"/>
        <v/>
      </c>
      <c r="BE169" s="103">
        <f t="shared" ca="1" si="37"/>
        <v>50320</v>
      </c>
      <c r="BF169" s="102">
        <f t="shared" si="42"/>
        <v>-68561.653092635141</v>
      </c>
    </row>
    <row r="170" spans="48:58" hidden="1" x14ac:dyDescent="0.25">
      <c r="AV170">
        <v>140</v>
      </c>
      <c r="AW170" s="94" t="str">
        <f t="shared" ca="1" si="34"/>
        <v/>
      </c>
      <c r="AX170" s="95" t="str">
        <f t="shared" si="38"/>
        <v/>
      </c>
      <c r="AY170" s="98" t="str">
        <f t="shared" ca="1" si="35"/>
        <v/>
      </c>
      <c r="AZ170" s="95" t="str">
        <f t="shared" si="39"/>
        <v/>
      </c>
      <c r="BA170" s="99" t="str">
        <f t="shared" ca="1" si="36"/>
        <v/>
      </c>
      <c r="BB170" s="97" t="str">
        <f t="shared" si="40"/>
        <v/>
      </c>
      <c r="BC170" s="101" t="str">
        <f t="shared" ca="1" si="43"/>
        <v/>
      </c>
      <c r="BD170" s="100" t="str">
        <f t="shared" si="41"/>
        <v/>
      </c>
      <c r="BE170" s="103">
        <f t="shared" ca="1" si="37"/>
        <v>50351</v>
      </c>
      <c r="BF170" s="102">
        <f t="shared" si="42"/>
        <v>-68561.653092635141</v>
      </c>
    </row>
    <row r="171" spans="48:58" hidden="1" x14ac:dyDescent="0.25">
      <c r="AV171">
        <v>141</v>
      </c>
      <c r="AW171" s="94" t="str">
        <f t="shared" ca="1" si="34"/>
        <v/>
      </c>
      <c r="AX171" s="95" t="str">
        <f t="shared" si="38"/>
        <v/>
      </c>
      <c r="AY171" s="98" t="str">
        <f t="shared" ca="1" si="35"/>
        <v/>
      </c>
      <c r="AZ171" s="95" t="str">
        <f t="shared" si="39"/>
        <v/>
      </c>
      <c r="BA171" s="99" t="str">
        <f t="shared" ca="1" si="36"/>
        <v/>
      </c>
      <c r="BB171" s="97" t="str">
        <f t="shared" si="40"/>
        <v/>
      </c>
      <c r="BC171" s="101" t="str">
        <f t="shared" ca="1" si="43"/>
        <v/>
      </c>
      <c r="BD171" s="100" t="str">
        <f t="shared" si="41"/>
        <v/>
      </c>
      <c r="BE171" s="103">
        <f t="shared" ca="1" si="37"/>
        <v>50381</v>
      </c>
      <c r="BF171" s="102">
        <f t="shared" si="42"/>
        <v>-68561.653092635141</v>
      </c>
    </row>
    <row r="172" spans="48:58" hidden="1" x14ac:dyDescent="0.25">
      <c r="AV172">
        <v>142</v>
      </c>
      <c r="AW172" s="94" t="str">
        <f t="shared" ca="1" si="34"/>
        <v/>
      </c>
      <c r="AX172" s="95" t="str">
        <f t="shared" si="38"/>
        <v/>
      </c>
      <c r="AY172" s="98" t="str">
        <f t="shared" ca="1" si="35"/>
        <v/>
      </c>
      <c r="AZ172" s="95" t="str">
        <f t="shared" si="39"/>
        <v/>
      </c>
      <c r="BA172" s="99" t="str">
        <f t="shared" ca="1" si="36"/>
        <v/>
      </c>
      <c r="BB172" s="97" t="str">
        <f t="shared" si="40"/>
        <v/>
      </c>
      <c r="BC172" s="101" t="str">
        <f t="shared" ca="1" si="43"/>
        <v/>
      </c>
      <c r="BD172" s="100" t="str">
        <f t="shared" si="41"/>
        <v/>
      </c>
      <c r="BE172" s="103">
        <f t="shared" ca="1" si="37"/>
        <v>50412</v>
      </c>
      <c r="BF172" s="102">
        <f t="shared" si="42"/>
        <v>-68561.653092635141</v>
      </c>
    </row>
    <row r="173" spans="48:58" hidden="1" x14ac:dyDescent="0.25">
      <c r="AV173">
        <v>143</v>
      </c>
      <c r="AW173" s="94" t="str">
        <f t="shared" ca="1" si="34"/>
        <v/>
      </c>
      <c r="AX173" s="95" t="str">
        <f t="shared" si="38"/>
        <v/>
      </c>
      <c r="AY173" s="98" t="str">
        <f t="shared" ca="1" si="35"/>
        <v/>
      </c>
      <c r="AZ173" s="95" t="str">
        <f t="shared" si="39"/>
        <v/>
      </c>
      <c r="BA173" s="99" t="str">
        <f t="shared" ca="1" si="36"/>
        <v/>
      </c>
      <c r="BB173" s="97" t="str">
        <f t="shared" si="40"/>
        <v/>
      </c>
      <c r="BC173" s="101" t="str">
        <f t="shared" ca="1" si="43"/>
        <v/>
      </c>
      <c r="BD173" s="100" t="str">
        <f t="shared" si="41"/>
        <v/>
      </c>
      <c r="BE173" s="103">
        <f t="shared" ca="1" si="37"/>
        <v>50443</v>
      </c>
      <c r="BF173" s="102">
        <f t="shared" si="42"/>
        <v>-68561.653092635141</v>
      </c>
    </row>
    <row r="174" spans="48:58" hidden="1" x14ac:dyDescent="0.25">
      <c r="AV174">
        <v>144</v>
      </c>
      <c r="AW174" s="94" t="str">
        <f t="shared" ca="1" si="34"/>
        <v/>
      </c>
      <c r="AX174" s="95" t="str">
        <f t="shared" si="38"/>
        <v/>
      </c>
      <c r="AY174" s="98" t="str">
        <f t="shared" ca="1" si="35"/>
        <v/>
      </c>
      <c r="AZ174" s="95" t="str">
        <f t="shared" si="39"/>
        <v/>
      </c>
      <c r="BA174" s="99" t="str">
        <f t="shared" ca="1" si="36"/>
        <v/>
      </c>
      <c r="BB174" s="97" t="str">
        <f t="shared" si="40"/>
        <v/>
      </c>
      <c r="BC174" s="101" t="str">
        <f t="shared" ca="1" si="43"/>
        <v/>
      </c>
      <c r="BD174" s="100" t="str">
        <f t="shared" si="41"/>
        <v/>
      </c>
      <c r="BE174" s="103">
        <f t="shared" ca="1" si="37"/>
        <v>50471</v>
      </c>
      <c r="BF174" s="102">
        <f t="shared" si="42"/>
        <v>-68561.653092635141</v>
      </c>
    </row>
    <row r="175" spans="48:58" hidden="1" x14ac:dyDescent="0.25">
      <c r="AV175">
        <v>145</v>
      </c>
      <c r="AW175" s="94" t="str">
        <f t="shared" ca="1" si="34"/>
        <v/>
      </c>
      <c r="AX175" s="95" t="str">
        <f t="shared" si="38"/>
        <v/>
      </c>
      <c r="AY175" s="98" t="str">
        <f t="shared" ca="1" si="35"/>
        <v/>
      </c>
      <c r="AZ175" s="95" t="str">
        <f t="shared" si="39"/>
        <v/>
      </c>
      <c r="BA175" s="99" t="str">
        <f t="shared" ca="1" si="36"/>
        <v/>
      </c>
      <c r="BB175" s="97" t="str">
        <f t="shared" si="40"/>
        <v/>
      </c>
      <c r="BC175" s="101" t="str">
        <f t="shared" ca="1" si="43"/>
        <v/>
      </c>
      <c r="BD175" s="100" t="str">
        <f t="shared" si="41"/>
        <v/>
      </c>
      <c r="BE175" s="103">
        <f t="shared" ca="1" si="37"/>
        <v>50502</v>
      </c>
      <c r="BF175" s="102">
        <f t="shared" si="42"/>
        <v>-68561.653092635141</v>
      </c>
    </row>
    <row r="176" spans="48:58" hidden="1" x14ac:dyDescent="0.25">
      <c r="AV176">
        <v>146</v>
      </c>
      <c r="AW176" s="94" t="str">
        <f t="shared" ca="1" si="34"/>
        <v/>
      </c>
      <c r="AX176" s="95" t="str">
        <f t="shared" si="38"/>
        <v/>
      </c>
      <c r="AY176" s="98" t="str">
        <f t="shared" ca="1" si="35"/>
        <v/>
      </c>
      <c r="AZ176" s="95" t="str">
        <f t="shared" si="39"/>
        <v/>
      </c>
      <c r="BA176" s="99" t="str">
        <f t="shared" ca="1" si="36"/>
        <v/>
      </c>
      <c r="BB176" s="97" t="str">
        <f t="shared" si="40"/>
        <v/>
      </c>
      <c r="BC176" s="101" t="str">
        <f t="shared" ca="1" si="43"/>
        <v/>
      </c>
      <c r="BD176" s="100" t="str">
        <f t="shared" si="41"/>
        <v/>
      </c>
      <c r="BE176" s="103">
        <f t="shared" ca="1" si="37"/>
        <v>50532</v>
      </c>
      <c r="BF176" s="102">
        <f t="shared" si="42"/>
        <v>-68561.653092635141</v>
      </c>
    </row>
    <row r="177" spans="48:58" hidden="1" x14ac:dyDescent="0.25">
      <c r="AV177">
        <v>147</v>
      </c>
      <c r="AW177" s="94" t="str">
        <f t="shared" ca="1" si="34"/>
        <v/>
      </c>
      <c r="AX177" s="95" t="str">
        <f t="shared" si="38"/>
        <v/>
      </c>
      <c r="AY177" s="98" t="str">
        <f t="shared" ca="1" si="35"/>
        <v/>
      </c>
      <c r="AZ177" s="95" t="str">
        <f t="shared" si="39"/>
        <v/>
      </c>
      <c r="BA177" s="99" t="str">
        <f t="shared" ca="1" si="36"/>
        <v/>
      </c>
      <c r="BB177" s="97" t="str">
        <f t="shared" si="40"/>
        <v/>
      </c>
      <c r="BC177" s="101" t="str">
        <f t="shared" ca="1" si="43"/>
        <v/>
      </c>
      <c r="BD177" s="100" t="str">
        <f t="shared" si="41"/>
        <v/>
      </c>
      <c r="BE177" s="103">
        <f t="shared" ca="1" si="37"/>
        <v>50563</v>
      </c>
      <c r="BF177" s="102">
        <f t="shared" si="42"/>
        <v>-68561.653092635141</v>
      </c>
    </row>
    <row r="178" spans="48:58" hidden="1" x14ac:dyDescent="0.25">
      <c r="AV178">
        <v>148</v>
      </c>
      <c r="AW178" s="94" t="str">
        <f t="shared" ca="1" si="34"/>
        <v/>
      </c>
      <c r="AX178" s="95" t="str">
        <f t="shared" si="38"/>
        <v/>
      </c>
      <c r="AY178" s="98" t="str">
        <f t="shared" ca="1" si="35"/>
        <v/>
      </c>
      <c r="AZ178" s="95" t="str">
        <f t="shared" si="39"/>
        <v/>
      </c>
      <c r="BA178" s="99" t="str">
        <f t="shared" ca="1" si="36"/>
        <v/>
      </c>
      <c r="BB178" s="97" t="str">
        <f t="shared" si="40"/>
        <v/>
      </c>
      <c r="BC178" s="101" t="str">
        <f t="shared" ca="1" si="43"/>
        <v/>
      </c>
      <c r="BD178" s="100" t="str">
        <f t="shared" si="41"/>
        <v/>
      </c>
      <c r="BE178" s="103">
        <f t="shared" ca="1" si="37"/>
        <v>50593</v>
      </c>
      <c r="BF178" s="102">
        <f t="shared" si="42"/>
        <v>-68561.653092635141</v>
      </c>
    </row>
    <row r="179" spans="48:58" hidden="1" x14ac:dyDescent="0.25">
      <c r="AV179">
        <v>149</v>
      </c>
      <c r="AW179" s="94" t="str">
        <f t="shared" ca="1" si="34"/>
        <v/>
      </c>
      <c r="AX179" s="95" t="str">
        <f t="shared" si="38"/>
        <v/>
      </c>
      <c r="AY179" s="98" t="str">
        <f t="shared" ca="1" si="35"/>
        <v/>
      </c>
      <c r="AZ179" s="95" t="str">
        <f t="shared" si="39"/>
        <v/>
      </c>
      <c r="BA179" s="99" t="str">
        <f t="shared" ca="1" si="36"/>
        <v/>
      </c>
      <c r="BB179" s="97" t="str">
        <f t="shared" si="40"/>
        <v/>
      </c>
      <c r="BC179" s="101" t="str">
        <f t="shared" ca="1" si="43"/>
        <v/>
      </c>
      <c r="BD179" s="100" t="str">
        <f t="shared" si="41"/>
        <v/>
      </c>
      <c r="BE179" s="103">
        <f t="shared" ca="1" si="37"/>
        <v>50624</v>
      </c>
      <c r="BF179" s="102">
        <f t="shared" si="42"/>
        <v>-68561.653092635141</v>
      </c>
    </row>
    <row r="180" spans="48:58" hidden="1" x14ac:dyDescent="0.25">
      <c r="AV180">
        <v>150</v>
      </c>
      <c r="AW180" s="94" t="str">
        <f t="shared" ca="1" si="34"/>
        <v/>
      </c>
      <c r="AX180" s="95" t="str">
        <f t="shared" si="38"/>
        <v/>
      </c>
      <c r="AY180" s="98" t="str">
        <f t="shared" ca="1" si="35"/>
        <v/>
      </c>
      <c r="AZ180" s="95" t="str">
        <f t="shared" si="39"/>
        <v/>
      </c>
      <c r="BA180" s="99" t="str">
        <f t="shared" ca="1" si="36"/>
        <v/>
      </c>
      <c r="BB180" s="97" t="str">
        <f t="shared" si="40"/>
        <v/>
      </c>
      <c r="BC180" s="101" t="str">
        <f t="shared" ca="1" si="43"/>
        <v/>
      </c>
      <c r="BD180" s="100" t="str">
        <f t="shared" si="41"/>
        <v/>
      </c>
      <c r="BE180" s="103">
        <f t="shared" ca="1" si="37"/>
        <v>50655</v>
      </c>
      <c r="BF180" s="102">
        <f t="shared" si="42"/>
        <v>-68561.653092635141</v>
      </c>
    </row>
    <row r="181" spans="48:58" hidden="1" x14ac:dyDescent="0.25">
      <c r="AV181">
        <v>151</v>
      </c>
      <c r="AW181" s="94" t="str">
        <f t="shared" ca="1" si="34"/>
        <v/>
      </c>
      <c r="AX181" s="95" t="str">
        <f t="shared" si="38"/>
        <v/>
      </c>
      <c r="AY181" s="98" t="str">
        <f t="shared" ca="1" si="35"/>
        <v/>
      </c>
      <c r="AZ181" s="95" t="str">
        <f t="shared" si="39"/>
        <v/>
      </c>
      <c r="BA181" s="99" t="str">
        <f t="shared" ca="1" si="36"/>
        <v/>
      </c>
      <c r="BB181" s="97" t="str">
        <f t="shared" si="40"/>
        <v/>
      </c>
      <c r="BC181" s="101" t="str">
        <f t="shared" ca="1" si="43"/>
        <v/>
      </c>
      <c r="BD181" s="100" t="str">
        <f t="shared" si="41"/>
        <v/>
      </c>
      <c r="BE181" s="103">
        <f t="shared" ca="1" si="37"/>
        <v>50685</v>
      </c>
      <c r="BF181" s="102">
        <f t="shared" si="42"/>
        <v>-68561.653092635141</v>
      </c>
    </row>
    <row r="182" spans="48:58" hidden="1" x14ac:dyDescent="0.25">
      <c r="AV182">
        <v>152</v>
      </c>
      <c r="AW182" s="94" t="str">
        <f t="shared" ca="1" si="34"/>
        <v/>
      </c>
      <c r="AX182" s="95" t="str">
        <f t="shared" si="38"/>
        <v/>
      </c>
      <c r="AY182" s="98" t="str">
        <f t="shared" ca="1" si="35"/>
        <v/>
      </c>
      <c r="AZ182" s="95" t="str">
        <f t="shared" si="39"/>
        <v/>
      </c>
      <c r="BA182" s="99" t="str">
        <f t="shared" ca="1" si="36"/>
        <v/>
      </c>
      <c r="BB182" s="97" t="str">
        <f t="shared" si="40"/>
        <v/>
      </c>
      <c r="BC182" s="101" t="str">
        <f t="shared" ca="1" si="43"/>
        <v/>
      </c>
      <c r="BD182" s="100" t="str">
        <f t="shared" si="41"/>
        <v/>
      </c>
      <c r="BE182" s="103">
        <f t="shared" ca="1" si="37"/>
        <v>50716</v>
      </c>
      <c r="BF182" s="102">
        <f t="shared" si="42"/>
        <v>-68561.653092635141</v>
      </c>
    </row>
    <row r="183" spans="48:58" hidden="1" x14ac:dyDescent="0.25">
      <c r="AV183">
        <v>153</v>
      </c>
      <c r="AW183" s="94" t="str">
        <f t="shared" ca="1" si="34"/>
        <v/>
      </c>
      <c r="AX183" s="95" t="str">
        <f t="shared" si="38"/>
        <v/>
      </c>
      <c r="AY183" s="98" t="str">
        <f t="shared" ca="1" si="35"/>
        <v/>
      </c>
      <c r="AZ183" s="95" t="str">
        <f t="shared" si="39"/>
        <v/>
      </c>
      <c r="BA183" s="99" t="str">
        <f t="shared" ca="1" si="36"/>
        <v/>
      </c>
      <c r="BB183" s="97" t="str">
        <f t="shared" si="40"/>
        <v/>
      </c>
      <c r="BC183" s="101" t="str">
        <f t="shared" ca="1" si="43"/>
        <v/>
      </c>
      <c r="BD183" s="100" t="str">
        <f t="shared" si="41"/>
        <v/>
      </c>
      <c r="BE183" s="103">
        <f t="shared" ca="1" si="37"/>
        <v>50746</v>
      </c>
      <c r="BF183" s="102">
        <f t="shared" si="42"/>
        <v>-68561.653092635141</v>
      </c>
    </row>
    <row r="184" spans="48:58" hidden="1" x14ac:dyDescent="0.25">
      <c r="AV184">
        <v>154</v>
      </c>
      <c r="AW184" s="94" t="str">
        <f t="shared" ca="1" si="34"/>
        <v/>
      </c>
      <c r="AX184" s="95" t="str">
        <f t="shared" si="38"/>
        <v/>
      </c>
      <c r="AY184" s="98" t="str">
        <f t="shared" ca="1" si="35"/>
        <v/>
      </c>
      <c r="AZ184" s="95" t="str">
        <f t="shared" si="39"/>
        <v/>
      </c>
      <c r="BA184" s="99" t="str">
        <f t="shared" ca="1" si="36"/>
        <v/>
      </c>
      <c r="BB184" s="97" t="str">
        <f t="shared" si="40"/>
        <v/>
      </c>
      <c r="BC184" s="101" t="str">
        <f t="shared" ca="1" si="43"/>
        <v/>
      </c>
      <c r="BD184" s="100" t="str">
        <f t="shared" si="41"/>
        <v/>
      </c>
      <c r="BE184" s="103">
        <f t="shared" ca="1" si="37"/>
        <v>50777</v>
      </c>
      <c r="BF184" s="102">
        <f t="shared" si="42"/>
        <v>-68561.653092635141</v>
      </c>
    </row>
    <row r="185" spans="48:58" hidden="1" x14ac:dyDescent="0.25">
      <c r="AV185">
        <v>155</v>
      </c>
      <c r="AW185" s="94" t="str">
        <f t="shared" ca="1" si="34"/>
        <v/>
      </c>
      <c r="AX185" s="95" t="str">
        <f t="shared" si="38"/>
        <v/>
      </c>
      <c r="AY185" s="98" t="str">
        <f t="shared" ca="1" si="35"/>
        <v/>
      </c>
      <c r="AZ185" s="95" t="str">
        <f t="shared" si="39"/>
        <v/>
      </c>
      <c r="BA185" s="99" t="str">
        <f t="shared" ca="1" si="36"/>
        <v/>
      </c>
      <c r="BB185" s="97" t="str">
        <f t="shared" si="40"/>
        <v/>
      </c>
      <c r="BC185" s="101" t="str">
        <f t="shared" ca="1" si="43"/>
        <v/>
      </c>
      <c r="BD185" s="100" t="str">
        <f t="shared" si="41"/>
        <v/>
      </c>
      <c r="BE185" s="103">
        <f t="shared" ca="1" si="37"/>
        <v>50808</v>
      </c>
      <c r="BF185" s="102">
        <f t="shared" si="42"/>
        <v>-68561.653092635141</v>
      </c>
    </row>
    <row r="186" spans="48:58" hidden="1" x14ac:dyDescent="0.25">
      <c r="AV186">
        <v>156</v>
      </c>
      <c r="AW186" s="94" t="str">
        <f t="shared" ca="1" si="34"/>
        <v/>
      </c>
      <c r="AX186" s="95" t="str">
        <f t="shared" si="38"/>
        <v/>
      </c>
      <c r="AY186" s="98" t="str">
        <f t="shared" ca="1" si="35"/>
        <v/>
      </c>
      <c r="AZ186" s="95" t="str">
        <f t="shared" si="39"/>
        <v/>
      </c>
      <c r="BA186" s="99" t="str">
        <f t="shared" ca="1" si="36"/>
        <v/>
      </c>
      <c r="BB186" s="97" t="str">
        <f t="shared" si="40"/>
        <v/>
      </c>
      <c r="BC186" s="101" t="str">
        <f t="shared" ca="1" si="43"/>
        <v/>
      </c>
      <c r="BD186" s="100" t="str">
        <f t="shared" si="41"/>
        <v/>
      </c>
      <c r="BE186" s="103">
        <f t="shared" ca="1" si="37"/>
        <v>50836</v>
      </c>
      <c r="BF186" s="102">
        <f t="shared" si="42"/>
        <v>-68561.653092635141</v>
      </c>
    </row>
    <row r="187" spans="48:58" hidden="1" x14ac:dyDescent="0.25">
      <c r="AV187">
        <v>157</v>
      </c>
      <c r="AW187" s="94" t="str">
        <f t="shared" ca="1" si="34"/>
        <v/>
      </c>
      <c r="AX187" s="95" t="str">
        <f t="shared" si="38"/>
        <v/>
      </c>
      <c r="AY187" s="98" t="str">
        <f t="shared" ca="1" si="35"/>
        <v/>
      </c>
      <c r="AZ187" s="95" t="str">
        <f t="shared" si="39"/>
        <v/>
      </c>
      <c r="BA187" s="99" t="str">
        <f t="shared" ca="1" si="36"/>
        <v/>
      </c>
      <c r="BB187" s="97" t="str">
        <f t="shared" si="40"/>
        <v/>
      </c>
      <c r="BC187" s="101" t="str">
        <f t="shared" ca="1" si="43"/>
        <v/>
      </c>
      <c r="BD187" s="100" t="str">
        <f t="shared" si="41"/>
        <v/>
      </c>
      <c r="BE187" s="103">
        <f t="shared" ca="1" si="37"/>
        <v>50867</v>
      </c>
      <c r="BF187" s="102">
        <f t="shared" si="42"/>
        <v>-68561.653092635141</v>
      </c>
    </row>
    <row r="188" spans="48:58" hidden="1" x14ac:dyDescent="0.25">
      <c r="AV188">
        <v>158</v>
      </c>
      <c r="AW188" s="94" t="str">
        <f t="shared" ca="1" si="34"/>
        <v/>
      </c>
      <c r="AX188" s="95" t="str">
        <f t="shared" si="38"/>
        <v/>
      </c>
      <c r="AY188" s="98" t="str">
        <f t="shared" ca="1" si="35"/>
        <v/>
      </c>
      <c r="AZ188" s="95" t="str">
        <f t="shared" si="39"/>
        <v/>
      </c>
      <c r="BA188" s="99" t="str">
        <f t="shared" ca="1" si="36"/>
        <v/>
      </c>
      <c r="BB188" s="97" t="str">
        <f t="shared" si="40"/>
        <v/>
      </c>
      <c r="BC188" s="101" t="str">
        <f t="shared" ca="1" si="43"/>
        <v/>
      </c>
      <c r="BD188" s="100" t="str">
        <f t="shared" si="41"/>
        <v/>
      </c>
      <c r="BE188" s="103">
        <f t="shared" ca="1" si="37"/>
        <v>50897</v>
      </c>
      <c r="BF188" s="102">
        <f t="shared" si="42"/>
        <v>-68561.653092635141</v>
      </c>
    </row>
    <row r="189" spans="48:58" hidden="1" x14ac:dyDescent="0.25">
      <c r="AV189">
        <v>159</v>
      </c>
      <c r="AW189" s="94" t="str">
        <f t="shared" ca="1" si="34"/>
        <v/>
      </c>
      <c r="AX189" s="95" t="str">
        <f t="shared" si="38"/>
        <v/>
      </c>
      <c r="AY189" s="98" t="str">
        <f t="shared" ca="1" si="35"/>
        <v/>
      </c>
      <c r="AZ189" s="95" t="str">
        <f t="shared" si="39"/>
        <v/>
      </c>
      <c r="BA189" s="99" t="str">
        <f t="shared" ca="1" si="36"/>
        <v/>
      </c>
      <c r="BB189" s="97" t="str">
        <f t="shared" si="40"/>
        <v/>
      </c>
      <c r="BC189" s="101" t="str">
        <f t="shared" ca="1" si="43"/>
        <v/>
      </c>
      <c r="BD189" s="100" t="str">
        <f t="shared" si="41"/>
        <v/>
      </c>
      <c r="BE189" s="103">
        <f t="shared" ca="1" si="37"/>
        <v>50928</v>
      </c>
      <c r="BF189" s="102">
        <f t="shared" si="42"/>
        <v>-68561.653092635141</v>
      </c>
    </row>
    <row r="190" spans="48:58" hidden="1" x14ac:dyDescent="0.25">
      <c r="AV190">
        <v>160</v>
      </c>
      <c r="AW190" s="94" t="str">
        <f t="shared" ca="1" si="34"/>
        <v/>
      </c>
      <c r="AX190" s="95" t="str">
        <f t="shared" si="38"/>
        <v/>
      </c>
      <c r="AY190" s="98" t="str">
        <f t="shared" ca="1" si="35"/>
        <v/>
      </c>
      <c r="AZ190" s="95" t="str">
        <f t="shared" si="39"/>
        <v/>
      </c>
      <c r="BA190" s="99" t="str">
        <f t="shared" ca="1" si="36"/>
        <v/>
      </c>
      <c r="BB190" s="97" t="str">
        <f t="shared" si="40"/>
        <v/>
      </c>
      <c r="BC190" s="101" t="str">
        <f t="shared" ca="1" si="43"/>
        <v/>
      </c>
      <c r="BD190" s="100" t="str">
        <f t="shared" si="41"/>
        <v/>
      </c>
      <c r="BE190" s="103">
        <f t="shared" ca="1" si="37"/>
        <v>50958</v>
      </c>
      <c r="BF190" s="102">
        <f t="shared" si="42"/>
        <v>-68561.653092635141</v>
      </c>
    </row>
    <row r="191" spans="48:58" hidden="1" x14ac:dyDescent="0.25">
      <c r="AV191">
        <v>161</v>
      </c>
      <c r="AW191" s="94" t="str">
        <f t="shared" ca="1" si="34"/>
        <v/>
      </c>
      <c r="AX191" s="95" t="str">
        <f t="shared" si="38"/>
        <v/>
      </c>
      <c r="AY191" s="98" t="str">
        <f t="shared" ca="1" si="35"/>
        <v/>
      </c>
      <c r="AZ191" s="95" t="str">
        <f t="shared" si="39"/>
        <v/>
      </c>
      <c r="BA191" s="99" t="str">
        <f t="shared" ca="1" si="36"/>
        <v/>
      </c>
      <c r="BB191" s="97" t="str">
        <f t="shared" si="40"/>
        <v/>
      </c>
      <c r="BC191" s="101" t="str">
        <f t="shared" ca="1" si="43"/>
        <v/>
      </c>
      <c r="BD191" s="100" t="str">
        <f t="shared" si="41"/>
        <v/>
      </c>
      <c r="BE191" s="103">
        <f t="shared" ca="1" si="37"/>
        <v>50989</v>
      </c>
      <c r="BF191" s="102">
        <f t="shared" si="42"/>
        <v>-68561.653092635141</v>
      </c>
    </row>
    <row r="192" spans="48:58" hidden="1" x14ac:dyDescent="0.25">
      <c r="AV192">
        <v>162</v>
      </c>
      <c r="AW192" s="94" t="str">
        <f t="shared" ca="1" si="34"/>
        <v/>
      </c>
      <c r="AX192" s="95" t="str">
        <f t="shared" si="38"/>
        <v/>
      </c>
      <c r="AY192" s="98" t="str">
        <f t="shared" ca="1" si="35"/>
        <v/>
      </c>
      <c r="AZ192" s="95" t="str">
        <f t="shared" si="39"/>
        <v/>
      </c>
      <c r="BA192" s="99" t="str">
        <f t="shared" ca="1" si="36"/>
        <v/>
      </c>
      <c r="BB192" s="97" t="str">
        <f t="shared" si="40"/>
        <v/>
      </c>
      <c r="BC192" s="101" t="str">
        <f t="shared" ca="1" si="43"/>
        <v/>
      </c>
      <c r="BD192" s="100" t="str">
        <f t="shared" si="41"/>
        <v/>
      </c>
      <c r="BE192" s="103">
        <f t="shared" ca="1" si="37"/>
        <v>51020</v>
      </c>
      <c r="BF192" s="102">
        <f t="shared" si="42"/>
        <v>-68561.653092635141</v>
      </c>
    </row>
    <row r="193" spans="48:58" hidden="1" x14ac:dyDescent="0.25">
      <c r="AV193">
        <v>163</v>
      </c>
      <c r="AW193" s="94" t="str">
        <f t="shared" ca="1" si="34"/>
        <v/>
      </c>
      <c r="AX193" s="95" t="str">
        <f t="shared" si="38"/>
        <v/>
      </c>
      <c r="AY193" s="98" t="str">
        <f t="shared" ca="1" si="35"/>
        <v/>
      </c>
      <c r="AZ193" s="95" t="str">
        <f t="shared" si="39"/>
        <v/>
      </c>
      <c r="BA193" s="99" t="str">
        <f t="shared" ca="1" si="36"/>
        <v/>
      </c>
      <c r="BB193" s="97" t="str">
        <f t="shared" si="40"/>
        <v/>
      </c>
      <c r="BC193" s="101" t="str">
        <f t="shared" ca="1" si="43"/>
        <v/>
      </c>
      <c r="BD193" s="100" t="str">
        <f t="shared" si="41"/>
        <v/>
      </c>
      <c r="BE193" s="103">
        <f t="shared" ca="1" si="37"/>
        <v>51050</v>
      </c>
      <c r="BF193" s="102">
        <f t="shared" si="42"/>
        <v>-68561.653092635141</v>
      </c>
    </row>
    <row r="194" spans="48:58" hidden="1" x14ac:dyDescent="0.25">
      <c r="AV194">
        <v>164</v>
      </c>
      <c r="AW194" s="94" t="str">
        <f t="shared" ca="1" si="34"/>
        <v/>
      </c>
      <c r="AX194" s="95" t="str">
        <f t="shared" si="38"/>
        <v/>
      </c>
      <c r="AY194" s="98" t="str">
        <f t="shared" ca="1" si="35"/>
        <v/>
      </c>
      <c r="AZ194" s="95" t="str">
        <f t="shared" si="39"/>
        <v/>
      </c>
      <c r="BA194" s="99" t="str">
        <f t="shared" ca="1" si="36"/>
        <v/>
      </c>
      <c r="BB194" s="97" t="str">
        <f t="shared" si="40"/>
        <v/>
      </c>
      <c r="BC194" s="101" t="str">
        <f t="shared" ca="1" si="43"/>
        <v/>
      </c>
      <c r="BD194" s="100" t="str">
        <f t="shared" si="41"/>
        <v/>
      </c>
      <c r="BE194" s="103">
        <f t="shared" ca="1" si="37"/>
        <v>51081</v>
      </c>
      <c r="BF194" s="102">
        <f t="shared" si="42"/>
        <v>-68561.653092635141</v>
      </c>
    </row>
    <row r="195" spans="48:58" hidden="1" x14ac:dyDescent="0.25">
      <c r="AV195">
        <v>165</v>
      </c>
      <c r="AW195" s="94" t="str">
        <f t="shared" ca="1" si="34"/>
        <v/>
      </c>
      <c r="AX195" s="95" t="str">
        <f t="shared" si="38"/>
        <v/>
      </c>
      <c r="AY195" s="98" t="str">
        <f t="shared" ca="1" si="35"/>
        <v/>
      </c>
      <c r="AZ195" s="95" t="str">
        <f t="shared" si="39"/>
        <v/>
      </c>
      <c r="BA195" s="99" t="str">
        <f t="shared" ca="1" si="36"/>
        <v/>
      </c>
      <c r="BB195" s="97" t="str">
        <f t="shared" si="40"/>
        <v/>
      </c>
      <c r="BC195" s="101" t="str">
        <f t="shared" ca="1" si="43"/>
        <v/>
      </c>
      <c r="BD195" s="100" t="str">
        <f t="shared" si="41"/>
        <v/>
      </c>
      <c r="BE195" s="103">
        <f t="shared" ca="1" si="37"/>
        <v>51111</v>
      </c>
      <c r="BF195" s="102">
        <f t="shared" si="42"/>
        <v>-68561.653092635141</v>
      </c>
    </row>
    <row r="196" spans="48:58" hidden="1" x14ac:dyDescent="0.25">
      <c r="AV196">
        <v>166</v>
      </c>
      <c r="AW196" s="94" t="str">
        <f t="shared" ca="1" si="34"/>
        <v/>
      </c>
      <c r="AX196" s="95" t="str">
        <f t="shared" si="38"/>
        <v/>
      </c>
      <c r="AY196" s="98" t="str">
        <f t="shared" ca="1" si="35"/>
        <v/>
      </c>
      <c r="AZ196" s="95" t="str">
        <f t="shared" si="39"/>
        <v/>
      </c>
      <c r="BA196" s="99" t="str">
        <f t="shared" ca="1" si="36"/>
        <v/>
      </c>
      <c r="BB196" s="97" t="str">
        <f t="shared" si="40"/>
        <v/>
      </c>
      <c r="BC196" s="101" t="str">
        <f t="shared" ca="1" si="43"/>
        <v/>
      </c>
      <c r="BD196" s="100" t="str">
        <f t="shared" si="41"/>
        <v/>
      </c>
      <c r="BE196" s="103">
        <f t="shared" ca="1" si="37"/>
        <v>51142</v>
      </c>
      <c r="BF196" s="102">
        <f t="shared" si="42"/>
        <v>-68561.653092635141</v>
      </c>
    </row>
    <row r="197" spans="48:58" hidden="1" x14ac:dyDescent="0.25">
      <c r="AV197">
        <v>167</v>
      </c>
      <c r="AW197" s="94" t="str">
        <f t="shared" ca="1" si="34"/>
        <v/>
      </c>
      <c r="AX197" s="95" t="str">
        <f t="shared" si="38"/>
        <v/>
      </c>
      <c r="AY197" s="98" t="str">
        <f t="shared" ca="1" si="35"/>
        <v/>
      </c>
      <c r="AZ197" s="95" t="str">
        <f t="shared" si="39"/>
        <v/>
      </c>
      <c r="BA197" s="99" t="str">
        <f t="shared" ca="1" si="36"/>
        <v/>
      </c>
      <c r="BB197" s="97" t="str">
        <f t="shared" si="40"/>
        <v/>
      </c>
      <c r="BC197" s="101" t="str">
        <f t="shared" ca="1" si="43"/>
        <v/>
      </c>
      <c r="BD197" s="100" t="str">
        <f t="shared" si="41"/>
        <v/>
      </c>
      <c r="BE197" s="103">
        <f t="shared" ca="1" si="37"/>
        <v>51173</v>
      </c>
      <c r="BF197" s="102">
        <f t="shared" si="42"/>
        <v>-68561.653092635141</v>
      </c>
    </row>
    <row r="198" spans="48:58" hidden="1" x14ac:dyDescent="0.25">
      <c r="AV198">
        <v>168</v>
      </c>
      <c r="AW198" s="94" t="str">
        <f t="shared" ca="1" si="34"/>
        <v/>
      </c>
      <c r="AX198" s="95" t="str">
        <f t="shared" si="38"/>
        <v/>
      </c>
      <c r="AY198" s="98" t="str">
        <f t="shared" ca="1" si="35"/>
        <v/>
      </c>
      <c r="AZ198" s="95" t="str">
        <f t="shared" si="39"/>
        <v/>
      </c>
      <c r="BA198" s="99" t="str">
        <f t="shared" ca="1" si="36"/>
        <v/>
      </c>
      <c r="BB198" s="97" t="str">
        <f t="shared" si="40"/>
        <v/>
      </c>
      <c r="BC198" s="101" t="str">
        <f t="shared" ca="1" si="43"/>
        <v/>
      </c>
      <c r="BD198" s="100" t="str">
        <f t="shared" si="41"/>
        <v/>
      </c>
      <c r="BE198" s="103">
        <f t="shared" ca="1" si="37"/>
        <v>51202</v>
      </c>
      <c r="BF198" s="102">
        <f t="shared" si="42"/>
        <v>-68561.653092635141</v>
      </c>
    </row>
    <row r="199" spans="48:58" hidden="1" x14ac:dyDescent="0.25">
      <c r="AV199">
        <v>169</v>
      </c>
      <c r="AW199" s="94" t="str">
        <f t="shared" ca="1" si="34"/>
        <v/>
      </c>
      <c r="AX199" s="95" t="str">
        <f t="shared" si="38"/>
        <v/>
      </c>
      <c r="AY199" s="98" t="str">
        <f t="shared" ca="1" si="35"/>
        <v/>
      </c>
      <c r="AZ199" s="95" t="str">
        <f t="shared" si="39"/>
        <v/>
      </c>
      <c r="BA199" s="99" t="str">
        <f t="shared" ca="1" si="36"/>
        <v/>
      </c>
      <c r="BB199" s="97" t="str">
        <f t="shared" si="40"/>
        <v/>
      </c>
      <c r="BC199" s="101" t="str">
        <f t="shared" ca="1" si="43"/>
        <v/>
      </c>
      <c r="BD199" s="100" t="str">
        <f t="shared" si="41"/>
        <v/>
      </c>
      <c r="BE199" s="103">
        <f t="shared" ca="1" si="37"/>
        <v>51233</v>
      </c>
      <c r="BF199" s="102">
        <f t="shared" si="42"/>
        <v>-68561.653092635141</v>
      </c>
    </row>
    <row r="200" spans="48:58" hidden="1" x14ac:dyDescent="0.25">
      <c r="AV200">
        <v>170</v>
      </c>
      <c r="AW200" s="94" t="str">
        <f t="shared" ca="1" si="34"/>
        <v/>
      </c>
      <c r="AX200" s="95" t="str">
        <f t="shared" si="38"/>
        <v/>
      </c>
      <c r="AY200" s="98" t="str">
        <f t="shared" ca="1" si="35"/>
        <v/>
      </c>
      <c r="AZ200" s="95" t="str">
        <f t="shared" si="39"/>
        <v/>
      </c>
      <c r="BA200" s="99" t="str">
        <f t="shared" ca="1" si="36"/>
        <v/>
      </c>
      <c r="BB200" s="97" t="str">
        <f t="shared" si="40"/>
        <v/>
      </c>
      <c r="BC200" s="101" t="str">
        <f t="shared" ca="1" si="43"/>
        <v/>
      </c>
      <c r="BD200" s="100" t="str">
        <f t="shared" si="41"/>
        <v/>
      </c>
      <c r="BE200" s="103">
        <f t="shared" ca="1" si="37"/>
        <v>51263</v>
      </c>
      <c r="BF200" s="102">
        <f t="shared" si="42"/>
        <v>-68561.653092635141</v>
      </c>
    </row>
    <row r="201" spans="48:58" hidden="1" x14ac:dyDescent="0.25">
      <c r="AV201">
        <v>171</v>
      </c>
      <c r="AW201" s="94" t="str">
        <f t="shared" ca="1" si="34"/>
        <v/>
      </c>
      <c r="AX201" s="95" t="str">
        <f t="shared" si="38"/>
        <v/>
      </c>
      <c r="AY201" s="98" t="str">
        <f t="shared" ca="1" si="35"/>
        <v/>
      </c>
      <c r="AZ201" s="95" t="str">
        <f t="shared" si="39"/>
        <v/>
      </c>
      <c r="BA201" s="99" t="str">
        <f t="shared" ca="1" si="36"/>
        <v/>
      </c>
      <c r="BB201" s="97" t="str">
        <f t="shared" si="40"/>
        <v/>
      </c>
      <c r="BC201" s="101" t="str">
        <f t="shared" ca="1" si="43"/>
        <v/>
      </c>
      <c r="BD201" s="100" t="str">
        <f t="shared" si="41"/>
        <v/>
      </c>
      <c r="BE201" s="103">
        <f t="shared" ca="1" si="37"/>
        <v>51294</v>
      </c>
      <c r="BF201" s="102">
        <f t="shared" si="42"/>
        <v>-68561.653092635141</v>
      </c>
    </row>
    <row r="202" spans="48:58" hidden="1" x14ac:dyDescent="0.25">
      <c r="AV202">
        <v>172</v>
      </c>
      <c r="AW202" s="94" t="str">
        <f t="shared" ca="1" si="34"/>
        <v/>
      </c>
      <c r="AX202" s="95" t="str">
        <f t="shared" si="38"/>
        <v/>
      </c>
      <c r="AY202" s="98" t="str">
        <f t="shared" ca="1" si="35"/>
        <v/>
      </c>
      <c r="AZ202" s="95" t="str">
        <f t="shared" si="39"/>
        <v/>
      </c>
      <c r="BA202" s="99" t="str">
        <f t="shared" ca="1" si="36"/>
        <v/>
      </c>
      <c r="BB202" s="97" t="str">
        <f t="shared" si="40"/>
        <v/>
      </c>
      <c r="BC202" s="101" t="str">
        <f t="shared" ca="1" si="43"/>
        <v/>
      </c>
      <c r="BD202" s="100" t="str">
        <f t="shared" si="41"/>
        <v/>
      </c>
      <c r="BE202" s="103">
        <f t="shared" ca="1" si="37"/>
        <v>51324</v>
      </c>
      <c r="BF202" s="102">
        <f t="shared" si="42"/>
        <v>-68561.653092635141</v>
      </c>
    </row>
    <row r="203" spans="48:58" hidden="1" x14ac:dyDescent="0.25">
      <c r="AV203">
        <v>173</v>
      </c>
      <c r="AW203" s="94" t="str">
        <f t="shared" ca="1" si="34"/>
        <v/>
      </c>
      <c r="AX203" s="95" t="str">
        <f t="shared" si="38"/>
        <v/>
      </c>
      <c r="AY203" s="98" t="str">
        <f t="shared" ca="1" si="35"/>
        <v/>
      </c>
      <c r="AZ203" s="95" t="str">
        <f t="shared" si="39"/>
        <v/>
      </c>
      <c r="BA203" s="99" t="str">
        <f t="shared" ca="1" si="36"/>
        <v/>
      </c>
      <c r="BB203" s="97" t="str">
        <f t="shared" si="40"/>
        <v/>
      </c>
      <c r="BC203" s="101" t="str">
        <f t="shared" ca="1" si="43"/>
        <v/>
      </c>
      <c r="BD203" s="100" t="str">
        <f t="shared" si="41"/>
        <v/>
      </c>
      <c r="BE203" s="103">
        <f t="shared" ca="1" si="37"/>
        <v>51355</v>
      </c>
      <c r="BF203" s="102">
        <f t="shared" si="42"/>
        <v>-68561.653092635141</v>
      </c>
    </row>
    <row r="204" spans="48:58" hidden="1" x14ac:dyDescent="0.25">
      <c r="AV204">
        <v>174</v>
      </c>
      <c r="AW204" s="94" t="str">
        <f t="shared" ca="1" si="34"/>
        <v/>
      </c>
      <c r="AX204" s="95" t="str">
        <f t="shared" si="38"/>
        <v/>
      </c>
      <c r="AY204" s="98" t="str">
        <f t="shared" ca="1" si="35"/>
        <v/>
      </c>
      <c r="AZ204" s="95" t="str">
        <f t="shared" si="39"/>
        <v/>
      </c>
      <c r="BA204" s="99" t="str">
        <f t="shared" ca="1" si="36"/>
        <v/>
      </c>
      <c r="BB204" s="97" t="str">
        <f t="shared" si="40"/>
        <v/>
      </c>
      <c r="BC204" s="101" t="str">
        <f t="shared" ca="1" si="43"/>
        <v/>
      </c>
      <c r="BD204" s="100" t="str">
        <f t="shared" si="41"/>
        <v/>
      </c>
      <c r="BE204" s="103">
        <f t="shared" ca="1" si="37"/>
        <v>51386</v>
      </c>
      <c r="BF204" s="102">
        <f t="shared" si="42"/>
        <v>-68561.653092635141</v>
      </c>
    </row>
    <row r="205" spans="48:58" hidden="1" x14ac:dyDescent="0.25">
      <c r="AV205">
        <v>175</v>
      </c>
      <c r="AW205" s="94" t="str">
        <f t="shared" ca="1" si="34"/>
        <v/>
      </c>
      <c r="AX205" s="95" t="str">
        <f t="shared" si="38"/>
        <v/>
      </c>
      <c r="AY205" s="98" t="str">
        <f t="shared" ca="1" si="35"/>
        <v/>
      </c>
      <c r="AZ205" s="95" t="str">
        <f t="shared" si="39"/>
        <v/>
      </c>
      <c r="BA205" s="99" t="str">
        <f t="shared" ca="1" si="36"/>
        <v/>
      </c>
      <c r="BB205" s="97" t="str">
        <f t="shared" si="40"/>
        <v/>
      </c>
      <c r="BC205" s="101" t="str">
        <f t="shared" ca="1" si="43"/>
        <v/>
      </c>
      <c r="BD205" s="100" t="str">
        <f t="shared" si="41"/>
        <v/>
      </c>
      <c r="BE205" s="103">
        <f t="shared" ca="1" si="37"/>
        <v>51416</v>
      </c>
      <c r="BF205" s="102">
        <f t="shared" si="42"/>
        <v>-68561.653092635141</v>
      </c>
    </row>
    <row r="206" spans="48:58" hidden="1" x14ac:dyDescent="0.25">
      <c r="AV206">
        <v>176</v>
      </c>
      <c r="AW206" s="94" t="str">
        <f t="shared" ca="1" si="34"/>
        <v/>
      </c>
      <c r="AX206" s="95" t="str">
        <f t="shared" si="38"/>
        <v/>
      </c>
      <c r="AY206" s="98" t="str">
        <f t="shared" ca="1" si="35"/>
        <v/>
      </c>
      <c r="AZ206" s="95" t="str">
        <f t="shared" si="39"/>
        <v/>
      </c>
      <c r="BA206" s="99" t="str">
        <f t="shared" ca="1" si="36"/>
        <v/>
      </c>
      <c r="BB206" s="97" t="str">
        <f t="shared" si="40"/>
        <v/>
      </c>
      <c r="BC206" s="101" t="str">
        <f t="shared" ca="1" si="43"/>
        <v/>
      </c>
      <c r="BD206" s="100" t="str">
        <f t="shared" si="41"/>
        <v/>
      </c>
      <c r="BE206" s="103">
        <f t="shared" ca="1" si="37"/>
        <v>51447</v>
      </c>
      <c r="BF206" s="102">
        <f t="shared" si="42"/>
        <v>-68561.653092635141</v>
      </c>
    </row>
    <row r="207" spans="48:58" hidden="1" x14ac:dyDescent="0.25">
      <c r="AV207">
        <v>177</v>
      </c>
      <c r="AW207" s="94" t="str">
        <f t="shared" ca="1" si="34"/>
        <v/>
      </c>
      <c r="AX207" s="95" t="str">
        <f t="shared" si="38"/>
        <v/>
      </c>
      <c r="AY207" s="98" t="str">
        <f t="shared" ca="1" si="35"/>
        <v/>
      </c>
      <c r="AZ207" s="95" t="str">
        <f t="shared" si="39"/>
        <v/>
      </c>
      <c r="BA207" s="99" t="str">
        <f t="shared" ca="1" si="36"/>
        <v/>
      </c>
      <c r="BB207" s="97" t="str">
        <f t="shared" si="40"/>
        <v/>
      </c>
      <c r="BC207" s="101" t="str">
        <f t="shared" ca="1" si="43"/>
        <v/>
      </c>
      <c r="BD207" s="100" t="str">
        <f t="shared" si="41"/>
        <v/>
      </c>
      <c r="BE207" s="103">
        <f t="shared" ca="1" si="37"/>
        <v>51477</v>
      </c>
      <c r="BF207" s="102">
        <f t="shared" si="42"/>
        <v>-68561.653092635141</v>
      </c>
    </row>
    <row r="208" spans="48:58" hidden="1" x14ac:dyDescent="0.25">
      <c r="AV208">
        <v>178</v>
      </c>
      <c r="AW208" s="94" t="str">
        <f t="shared" ca="1" si="34"/>
        <v/>
      </c>
      <c r="AX208" s="95" t="str">
        <f t="shared" si="38"/>
        <v/>
      </c>
      <c r="AY208" s="98" t="str">
        <f t="shared" ca="1" si="35"/>
        <v/>
      </c>
      <c r="AZ208" s="95" t="str">
        <f t="shared" si="39"/>
        <v/>
      </c>
      <c r="BA208" s="99" t="str">
        <f t="shared" ca="1" si="36"/>
        <v/>
      </c>
      <c r="BB208" s="97" t="str">
        <f t="shared" si="40"/>
        <v/>
      </c>
      <c r="BC208" s="101" t="str">
        <f t="shared" ca="1" si="43"/>
        <v/>
      </c>
      <c r="BD208" s="100" t="str">
        <f t="shared" si="41"/>
        <v/>
      </c>
      <c r="BE208" s="103">
        <f t="shared" ca="1" si="37"/>
        <v>51508</v>
      </c>
      <c r="BF208" s="102">
        <f t="shared" si="42"/>
        <v>-68561.653092635141</v>
      </c>
    </row>
    <row r="209" spans="48:58" hidden="1" x14ac:dyDescent="0.25">
      <c r="AV209">
        <v>179</v>
      </c>
      <c r="AW209" s="94" t="str">
        <f t="shared" ca="1" si="34"/>
        <v/>
      </c>
      <c r="AX209" s="95" t="str">
        <f t="shared" si="38"/>
        <v/>
      </c>
      <c r="AY209" s="98" t="str">
        <f t="shared" ca="1" si="35"/>
        <v/>
      </c>
      <c r="AZ209" s="95" t="str">
        <f t="shared" si="39"/>
        <v/>
      </c>
      <c r="BA209" s="99" t="str">
        <f t="shared" ca="1" si="36"/>
        <v/>
      </c>
      <c r="BB209" s="97" t="str">
        <f t="shared" si="40"/>
        <v/>
      </c>
      <c r="BC209" s="101" t="str">
        <f t="shared" ca="1" si="43"/>
        <v/>
      </c>
      <c r="BD209" s="100" t="str">
        <f t="shared" si="41"/>
        <v/>
      </c>
      <c r="BE209" s="103">
        <f t="shared" ca="1" si="37"/>
        <v>51539</v>
      </c>
      <c r="BF209" s="102">
        <f t="shared" si="42"/>
        <v>-68561.653092635141</v>
      </c>
    </row>
    <row r="210" spans="48:58" hidden="1" x14ac:dyDescent="0.25">
      <c r="AV210">
        <v>180</v>
      </c>
      <c r="AW210" s="94" t="str">
        <f t="shared" ca="1" si="34"/>
        <v/>
      </c>
      <c r="AX210" s="95" t="str">
        <f t="shared" si="38"/>
        <v/>
      </c>
      <c r="AY210" s="98" t="str">
        <f t="shared" ca="1" si="35"/>
        <v/>
      </c>
      <c r="AZ210" s="95" t="str">
        <f t="shared" si="39"/>
        <v/>
      </c>
      <c r="BA210" s="99" t="str">
        <f t="shared" ca="1" si="36"/>
        <v/>
      </c>
      <c r="BB210" s="97" t="str">
        <f t="shared" si="40"/>
        <v/>
      </c>
      <c r="BC210" s="101" t="str">
        <f t="shared" ca="1" si="43"/>
        <v/>
      </c>
      <c r="BD210" s="100" t="str">
        <f t="shared" si="41"/>
        <v/>
      </c>
      <c r="BE210" s="103">
        <f t="shared" ca="1" si="37"/>
        <v>51567</v>
      </c>
      <c r="BF210" s="102">
        <f t="shared" si="42"/>
        <v>-68561.653092635141</v>
      </c>
    </row>
    <row r="211" spans="48:58" hidden="1" x14ac:dyDescent="0.25">
      <c r="AV211">
        <v>181</v>
      </c>
      <c r="AW211" s="94" t="str">
        <f t="shared" ca="1" si="34"/>
        <v/>
      </c>
      <c r="AX211" s="95" t="str">
        <f t="shared" si="38"/>
        <v/>
      </c>
      <c r="AY211" s="98" t="str">
        <f t="shared" ca="1" si="35"/>
        <v/>
      </c>
      <c r="AZ211" s="95" t="str">
        <f t="shared" si="39"/>
        <v/>
      </c>
      <c r="BA211" s="99" t="str">
        <f t="shared" ca="1" si="36"/>
        <v/>
      </c>
      <c r="BB211" s="97" t="str">
        <f t="shared" si="40"/>
        <v/>
      </c>
      <c r="BC211" s="101" t="str">
        <f t="shared" ca="1" si="43"/>
        <v/>
      </c>
      <c r="BD211" s="100" t="str">
        <f t="shared" si="41"/>
        <v/>
      </c>
      <c r="BE211" s="103">
        <f t="shared" ca="1" si="37"/>
        <v>51598</v>
      </c>
      <c r="BF211" s="102">
        <f t="shared" si="42"/>
        <v>-68561.653092635141</v>
      </c>
    </row>
    <row r="212" spans="48:58" hidden="1" x14ac:dyDescent="0.25">
      <c r="AV212">
        <v>182</v>
      </c>
      <c r="AW212" s="94" t="str">
        <f t="shared" ca="1" si="34"/>
        <v/>
      </c>
      <c r="AX212" s="95" t="str">
        <f t="shared" si="38"/>
        <v/>
      </c>
      <c r="AY212" s="98" t="str">
        <f t="shared" ca="1" si="35"/>
        <v/>
      </c>
      <c r="AZ212" s="95" t="str">
        <f t="shared" si="39"/>
        <v/>
      </c>
      <c r="BA212" s="99" t="str">
        <f t="shared" ca="1" si="36"/>
        <v/>
      </c>
      <c r="BB212" s="97" t="str">
        <f t="shared" si="40"/>
        <v/>
      </c>
      <c r="BC212" s="101" t="str">
        <f t="shared" ca="1" si="43"/>
        <v/>
      </c>
      <c r="BD212" s="100" t="str">
        <f t="shared" si="41"/>
        <v/>
      </c>
      <c r="BE212" s="103">
        <f t="shared" ca="1" si="37"/>
        <v>51628</v>
      </c>
      <c r="BF212" s="102">
        <f t="shared" si="42"/>
        <v>-68561.653092635141</v>
      </c>
    </row>
    <row r="213" spans="48:58" hidden="1" x14ac:dyDescent="0.25">
      <c r="AV213">
        <v>183</v>
      </c>
      <c r="AW213" s="94" t="str">
        <f t="shared" ca="1" si="34"/>
        <v/>
      </c>
      <c r="AX213" s="95" t="str">
        <f t="shared" si="38"/>
        <v/>
      </c>
      <c r="AY213" s="98" t="str">
        <f t="shared" ca="1" si="35"/>
        <v/>
      </c>
      <c r="AZ213" s="95" t="str">
        <f t="shared" si="39"/>
        <v/>
      </c>
      <c r="BA213" s="99" t="str">
        <f t="shared" ca="1" si="36"/>
        <v/>
      </c>
      <c r="BB213" s="97" t="str">
        <f t="shared" si="40"/>
        <v/>
      </c>
      <c r="BC213" s="101" t="str">
        <f t="shared" ca="1" si="43"/>
        <v/>
      </c>
      <c r="BD213" s="100" t="str">
        <f t="shared" si="41"/>
        <v/>
      </c>
      <c r="BE213" s="103">
        <f t="shared" ca="1" si="37"/>
        <v>51659</v>
      </c>
      <c r="BF213" s="102">
        <f t="shared" si="42"/>
        <v>-68561.653092635141</v>
      </c>
    </row>
    <row r="214" spans="48:58" hidden="1" x14ac:dyDescent="0.25">
      <c r="AV214">
        <v>184</v>
      </c>
      <c r="AW214" s="94" t="str">
        <f t="shared" ca="1" si="34"/>
        <v/>
      </c>
      <c r="AX214" s="95" t="str">
        <f t="shared" si="38"/>
        <v/>
      </c>
      <c r="AY214" s="98" t="str">
        <f t="shared" ca="1" si="35"/>
        <v/>
      </c>
      <c r="AZ214" s="95" t="str">
        <f t="shared" si="39"/>
        <v/>
      </c>
      <c r="BA214" s="99" t="str">
        <f t="shared" ca="1" si="36"/>
        <v/>
      </c>
      <c r="BB214" s="97" t="str">
        <f t="shared" si="40"/>
        <v/>
      </c>
      <c r="BC214" s="101" t="str">
        <f t="shared" ca="1" si="43"/>
        <v/>
      </c>
      <c r="BD214" s="100" t="str">
        <f t="shared" si="41"/>
        <v/>
      </c>
      <c r="BE214" s="103">
        <f t="shared" ca="1" si="37"/>
        <v>51689</v>
      </c>
      <c r="BF214" s="102">
        <f t="shared" si="42"/>
        <v>-68561.653092635141</v>
      </c>
    </row>
    <row r="215" spans="48:58" hidden="1" x14ac:dyDescent="0.25">
      <c r="AV215">
        <v>185</v>
      </c>
      <c r="AW215" s="94" t="str">
        <f t="shared" ca="1" si="34"/>
        <v/>
      </c>
      <c r="AX215" s="95" t="str">
        <f t="shared" si="38"/>
        <v/>
      </c>
      <c r="AY215" s="98" t="str">
        <f t="shared" ca="1" si="35"/>
        <v/>
      </c>
      <c r="AZ215" s="95" t="str">
        <f t="shared" si="39"/>
        <v/>
      </c>
      <c r="BA215" s="99" t="str">
        <f t="shared" ca="1" si="36"/>
        <v/>
      </c>
      <c r="BB215" s="97" t="str">
        <f t="shared" si="40"/>
        <v/>
      </c>
      <c r="BC215" s="101" t="str">
        <f t="shared" ca="1" si="43"/>
        <v/>
      </c>
      <c r="BD215" s="100" t="str">
        <f t="shared" si="41"/>
        <v/>
      </c>
      <c r="BE215" s="103">
        <f t="shared" ca="1" si="37"/>
        <v>51720</v>
      </c>
      <c r="BF215" s="102">
        <f t="shared" si="42"/>
        <v>-68561.653092635141</v>
      </c>
    </row>
    <row r="216" spans="48:58" hidden="1" x14ac:dyDescent="0.25">
      <c r="AV216">
        <v>186</v>
      </c>
      <c r="AW216" s="94" t="str">
        <f t="shared" ca="1" si="34"/>
        <v/>
      </c>
      <c r="AX216" s="95" t="str">
        <f t="shared" si="38"/>
        <v/>
      </c>
      <c r="AY216" s="98" t="str">
        <f t="shared" ca="1" si="35"/>
        <v/>
      </c>
      <c r="AZ216" s="95" t="str">
        <f t="shared" si="39"/>
        <v/>
      </c>
      <c r="BA216" s="99" t="str">
        <f t="shared" ca="1" si="36"/>
        <v/>
      </c>
      <c r="BB216" s="97" t="str">
        <f t="shared" si="40"/>
        <v/>
      </c>
      <c r="BC216" s="101" t="str">
        <f t="shared" ca="1" si="43"/>
        <v/>
      </c>
      <c r="BD216" s="100" t="str">
        <f t="shared" si="41"/>
        <v/>
      </c>
      <c r="BE216" s="103">
        <f t="shared" ca="1" si="37"/>
        <v>51751</v>
      </c>
      <c r="BF216" s="102">
        <f t="shared" si="42"/>
        <v>-68561.653092635141</v>
      </c>
    </row>
    <row r="217" spans="48:58" hidden="1" x14ac:dyDescent="0.25">
      <c r="AV217">
        <v>187</v>
      </c>
      <c r="AW217" s="94" t="str">
        <f t="shared" ca="1" si="34"/>
        <v/>
      </c>
      <c r="AX217" s="95" t="str">
        <f t="shared" si="38"/>
        <v/>
      </c>
      <c r="AY217" s="98" t="str">
        <f t="shared" ca="1" si="35"/>
        <v/>
      </c>
      <c r="AZ217" s="95" t="str">
        <f t="shared" si="39"/>
        <v/>
      </c>
      <c r="BA217" s="99" t="str">
        <f t="shared" ca="1" si="36"/>
        <v/>
      </c>
      <c r="BB217" s="97" t="str">
        <f t="shared" si="40"/>
        <v/>
      </c>
      <c r="BC217" s="101" t="str">
        <f t="shared" ca="1" si="43"/>
        <v/>
      </c>
      <c r="BD217" s="100" t="str">
        <f t="shared" si="41"/>
        <v/>
      </c>
      <c r="BE217" s="103">
        <f t="shared" ca="1" si="37"/>
        <v>51781</v>
      </c>
      <c r="BF217" s="102">
        <f t="shared" si="42"/>
        <v>-68561.653092635141</v>
      </c>
    </row>
    <row r="218" spans="48:58" hidden="1" x14ac:dyDescent="0.25">
      <c r="AV218">
        <v>188</v>
      </c>
      <c r="AW218" s="94" t="str">
        <f t="shared" ca="1" si="34"/>
        <v/>
      </c>
      <c r="AX218" s="95" t="str">
        <f t="shared" si="38"/>
        <v/>
      </c>
      <c r="AY218" s="98" t="str">
        <f t="shared" ca="1" si="35"/>
        <v/>
      </c>
      <c r="AZ218" s="95" t="str">
        <f t="shared" si="39"/>
        <v/>
      </c>
      <c r="BA218" s="99" t="str">
        <f t="shared" ca="1" si="36"/>
        <v/>
      </c>
      <c r="BB218" s="97" t="str">
        <f t="shared" si="40"/>
        <v/>
      </c>
      <c r="BC218" s="101" t="str">
        <f t="shared" ca="1" si="43"/>
        <v/>
      </c>
      <c r="BD218" s="100" t="str">
        <f t="shared" si="41"/>
        <v/>
      </c>
      <c r="BE218" s="103">
        <f t="shared" ca="1" si="37"/>
        <v>51812</v>
      </c>
      <c r="BF218" s="102">
        <f t="shared" si="42"/>
        <v>-68561.653092635141</v>
      </c>
    </row>
    <row r="219" spans="48:58" hidden="1" x14ac:dyDescent="0.25">
      <c r="AV219">
        <v>189</v>
      </c>
      <c r="AW219" s="94" t="str">
        <f t="shared" ca="1" si="34"/>
        <v/>
      </c>
      <c r="AX219" s="95" t="str">
        <f t="shared" si="38"/>
        <v/>
      </c>
      <c r="AY219" s="98" t="str">
        <f t="shared" ca="1" si="35"/>
        <v/>
      </c>
      <c r="AZ219" s="95" t="str">
        <f t="shared" si="39"/>
        <v/>
      </c>
      <c r="BA219" s="99" t="str">
        <f t="shared" ca="1" si="36"/>
        <v/>
      </c>
      <c r="BB219" s="97" t="str">
        <f t="shared" si="40"/>
        <v/>
      </c>
      <c r="BC219" s="101" t="str">
        <f t="shared" ca="1" si="43"/>
        <v/>
      </c>
      <c r="BD219" s="100" t="str">
        <f t="shared" si="41"/>
        <v/>
      </c>
      <c r="BE219" s="103">
        <f t="shared" ca="1" si="37"/>
        <v>51842</v>
      </c>
      <c r="BF219" s="102">
        <f t="shared" si="42"/>
        <v>-68561.653092635141</v>
      </c>
    </row>
    <row r="220" spans="48:58" hidden="1" x14ac:dyDescent="0.25">
      <c r="AV220">
        <v>190</v>
      </c>
      <c r="AW220" s="94" t="str">
        <f t="shared" ca="1" si="34"/>
        <v/>
      </c>
      <c r="AX220" s="95" t="str">
        <f t="shared" si="38"/>
        <v/>
      </c>
      <c r="AY220" s="98" t="str">
        <f t="shared" ca="1" si="35"/>
        <v/>
      </c>
      <c r="AZ220" s="95" t="str">
        <f t="shared" si="39"/>
        <v/>
      </c>
      <c r="BA220" s="99" t="str">
        <f t="shared" ca="1" si="36"/>
        <v/>
      </c>
      <c r="BB220" s="97" t="str">
        <f t="shared" si="40"/>
        <v/>
      </c>
      <c r="BC220" s="101" t="str">
        <f t="shared" ca="1" si="43"/>
        <v/>
      </c>
      <c r="BD220" s="100" t="str">
        <f t="shared" si="41"/>
        <v/>
      </c>
      <c r="BE220" s="103">
        <f t="shared" ca="1" si="37"/>
        <v>51873</v>
      </c>
      <c r="BF220" s="102">
        <f t="shared" si="42"/>
        <v>-68561.653092635141</v>
      </c>
    </row>
    <row r="221" spans="48:58" hidden="1" x14ac:dyDescent="0.25">
      <c r="AV221">
        <v>191</v>
      </c>
      <c r="AW221" s="94" t="str">
        <f t="shared" ca="1" si="34"/>
        <v/>
      </c>
      <c r="AX221" s="95" t="str">
        <f t="shared" si="38"/>
        <v/>
      </c>
      <c r="AY221" s="98" t="str">
        <f t="shared" ca="1" si="35"/>
        <v/>
      </c>
      <c r="AZ221" s="95" t="str">
        <f t="shared" si="39"/>
        <v/>
      </c>
      <c r="BA221" s="99" t="str">
        <f t="shared" ca="1" si="36"/>
        <v/>
      </c>
      <c r="BB221" s="97" t="str">
        <f t="shared" si="40"/>
        <v/>
      </c>
      <c r="BC221" s="101" t="str">
        <f t="shared" ca="1" si="43"/>
        <v/>
      </c>
      <c r="BD221" s="100" t="str">
        <f t="shared" si="41"/>
        <v/>
      </c>
      <c r="BE221" s="103">
        <f t="shared" ca="1" si="37"/>
        <v>51904</v>
      </c>
      <c r="BF221" s="102">
        <f t="shared" si="42"/>
        <v>-68561.653092635141</v>
      </c>
    </row>
    <row r="222" spans="48:58" hidden="1" x14ac:dyDescent="0.25">
      <c r="AV222">
        <v>192</v>
      </c>
      <c r="AW222" s="94" t="str">
        <f t="shared" ca="1" si="34"/>
        <v/>
      </c>
      <c r="AX222" s="95" t="str">
        <f t="shared" si="38"/>
        <v/>
      </c>
      <c r="AY222" s="98" t="str">
        <f t="shared" ca="1" si="35"/>
        <v/>
      </c>
      <c r="AZ222" s="95" t="str">
        <f t="shared" si="39"/>
        <v/>
      </c>
      <c r="BA222" s="99" t="str">
        <f t="shared" ca="1" si="36"/>
        <v/>
      </c>
      <c r="BB222" s="97" t="str">
        <f t="shared" si="40"/>
        <v/>
      </c>
      <c r="BC222" s="101" t="str">
        <f t="shared" ca="1" si="43"/>
        <v/>
      </c>
      <c r="BD222" s="100" t="str">
        <f t="shared" si="41"/>
        <v/>
      </c>
      <c r="BE222" s="103">
        <f t="shared" ca="1" si="37"/>
        <v>51932</v>
      </c>
      <c r="BF222" s="102">
        <f t="shared" si="42"/>
        <v>-68561.653092635141</v>
      </c>
    </row>
    <row r="223" spans="48:58" hidden="1" x14ac:dyDescent="0.25">
      <c r="AV223">
        <v>193</v>
      </c>
      <c r="AW223" s="94" t="str">
        <f t="shared" ref="AW223:AW286" ca="1" si="44">IF(T_1*12&gt;=AV223,DATE(YEAR(TODAY()),MONTH(TODAY())+AV223-1,DAY(TODAY())),IF(T_1*12+1&gt;=AV223,DATE(YEAR(TODAY()),MONTH(TODAY())+T_1*12,DAY(TODAY())),""))</f>
        <v/>
      </c>
      <c r="AX223" s="95" t="str">
        <f t="shared" si="38"/>
        <v/>
      </c>
      <c r="AY223" s="98" t="str">
        <f t="shared" ref="AY223:AY286" ca="1" si="45">IF(T_2*12&gt;=$AV223,DATE(YEAR(TODAY()),MONTH(TODAY())+$AV223-1,DAY(TODAY())),IF(T_2*12+1&gt;=$AV223,DATE(YEAR(TODAY()),MONTH(TODAY())+T_2*12,DAY(TODAY())),""))</f>
        <v/>
      </c>
      <c r="AZ223" s="95" t="str">
        <f t="shared" si="39"/>
        <v/>
      </c>
      <c r="BA223" s="99" t="str">
        <f t="shared" ref="BA223:BA286" ca="1" si="46">IF(T_3*12&gt;=$AV223,DATE(YEAR(TODAY()),MONTH(TODAY())+$AV223-1,DAY(TODAY())),IF(T_3*12+1&gt;=$AV223,DATE(YEAR(TODAY()),MONTH(TODAY())+T_3*12,DAY(TODAY())),""))</f>
        <v/>
      </c>
      <c r="BB223" s="97" t="str">
        <f t="shared" si="40"/>
        <v/>
      </c>
      <c r="BC223" s="101" t="str">
        <f t="shared" ca="1" si="43"/>
        <v/>
      </c>
      <c r="BD223" s="100" t="str">
        <f t="shared" si="41"/>
        <v/>
      </c>
      <c r="BE223" s="103">
        <f t="shared" ref="BE223:BE286" ca="1" si="47">IF(T_5*12&gt;=$AV223,DATE(YEAR(TODAY()),MONTH(TODAY())+$AV223-1,DAY(TODAY())),IF(T_5*12+1&gt;=$AV223,DATE(YEAR(TODAY()),MONTH(TODAY())+T_5*12,DAY(TODAY())),""))</f>
        <v>51963</v>
      </c>
      <c r="BF223" s="102">
        <f t="shared" si="42"/>
        <v>-68561.653092635141</v>
      </c>
    </row>
    <row r="224" spans="48:58" hidden="1" x14ac:dyDescent="0.25">
      <c r="AV224">
        <v>194</v>
      </c>
      <c r="AW224" s="94" t="str">
        <f t="shared" ca="1" si="44"/>
        <v/>
      </c>
      <c r="AX224" s="95" t="str">
        <f t="shared" ref="AX224:AX287" si="48">IF(T_1*12&gt;=AV224,-1*$I$15,IF(T_1*12+1&gt;=AV224,InfG_1,""))</f>
        <v/>
      </c>
      <c r="AY224" s="98" t="str">
        <f t="shared" ca="1" si="45"/>
        <v/>
      </c>
      <c r="AZ224" s="95" t="str">
        <f t="shared" ref="AZ224:AZ287" si="49">IF(T_2*12&gt;=$AV224,-1*$I$17,IF(T_2*12+1&gt;=$AV224,InfG_2,""))</f>
        <v/>
      </c>
      <c r="BA224" s="99" t="str">
        <f t="shared" ca="1" si="46"/>
        <v/>
      </c>
      <c r="BB224" s="97" t="str">
        <f t="shared" ref="BB224:BB287" si="50">IF(T_3*12&gt;=$AV224,-1*$I$19,IF(T_3*12+1&gt;=$AV224,InfG_3,""))</f>
        <v/>
      </c>
      <c r="BC224" s="101" t="str">
        <f t="shared" ca="1" si="43"/>
        <v/>
      </c>
      <c r="BD224" s="100" t="str">
        <f t="shared" ref="BD224:BD287" si="51">IF(T_4*12&gt;=$AV224,-1*$I$21,IF(T_4*12+1&gt;=$AV224,InfG_4,""))</f>
        <v/>
      </c>
      <c r="BE224" s="103">
        <f t="shared" ca="1" si="47"/>
        <v>51993</v>
      </c>
      <c r="BF224" s="102">
        <f t="shared" ref="BF224:BF287" si="52">IF(T_5*12&gt;=$AV224,-1*$I$23,IF(T_5*12+1&gt;=$AV224,InfG_5,""))</f>
        <v>-68561.653092635141</v>
      </c>
    </row>
    <row r="225" spans="48:58" hidden="1" x14ac:dyDescent="0.25">
      <c r="AV225">
        <v>195</v>
      </c>
      <c r="AW225" s="94" t="str">
        <f t="shared" ca="1" si="44"/>
        <v/>
      </c>
      <c r="AX225" s="95" t="str">
        <f t="shared" si="48"/>
        <v/>
      </c>
      <c r="AY225" s="98" t="str">
        <f t="shared" ca="1" si="45"/>
        <v/>
      </c>
      <c r="AZ225" s="95" t="str">
        <f t="shared" si="49"/>
        <v/>
      </c>
      <c r="BA225" s="99" t="str">
        <f t="shared" ca="1" si="46"/>
        <v/>
      </c>
      <c r="BB225" s="97" t="str">
        <f t="shared" si="50"/>
        <v/>
      </c>
      <c r="BC225" s="101" t="str">
        <f t="shared" ref="BC225:BC288" ca="1" si="53">IF(T_4*12&gt;=AV225,DATE(YEAR(TODAY()),MONTH(TODAY())+AV225-1,DAY(TODAY())),IF(T_4*12+1&gt;=AV225,DATE(YEAR(TODAY()),MONTH(TODAY())+T_4*12,DAY(TODAY())),""))</f>
        <v/>
      </c>
      <c r="BD225" s="100" t="str">
        <f t="shared" si="51"/>
        <v/>
      </c>
      <c r="BE225" s="103">
        <f t="shared" ca="1" si="47"/>
        <v>52024</v>
      </c>
      <c r="BF225" s="102">
        <f t="shared" si="52"/>
        <v>-68561.653092635141</v>
      </c>
    </row>
    <row r="226" spans="48:58" hidden="1" x14ac:dyDescent="0.25">
      <c r="AV226">
        <v>196</v>
      </c>
      <c r="AW226" s="94" t="str">
        <f t="shared" ca="1" si="44"/>
        <v/>
      </c>
      <c r="AX226" s="95" t="str">
        <f t="shared" si="48"/>
        <v/>
      </c>
      <c r="AY226" s="98" t="str">
        <f t="shared" ca="1" si="45"/>
        <v/>
      </c>
      <c r="AZ226" s="95" t="str">
        <f t="shared" si="49"/>
        <v/>
      </c>
      <c r="BA226" s="99" t="str">
        <f t="shared" ca="1" si="46"/>
        <v/>
      </c>
      <c r="BB226" s="97" t="str">
        <f t="shared" si="50"/>
        <v/>
      </c>
      <c r="BC226" s="101" t="str">
        <f t="shared" ca="1" si="53"/>
        <v/>
      </c>
      <c r="BD226" s="100" t="str">
        <f t="shared" si="51"/>
        <v/>
      </c>
      <c r="BE226" s="103">
        <f t="shared" ca="1" si="47"/>
        <v>52054</v>
      </c>
      <c r="BF226" s="102">
        <f t="shared" si="52"/>
        <v>-68561.653092635141</v>
      </c>
    </row>
    <row r="227" spans="48:58" hidden="1" x14ac:dyDescent="0.25">
      <c r="AV227">
        <v>197</v>
      </c>
      <c r="AW227" s="94" t="str">
        <f t="shared" ca="1" si="44"/>
        <v/>
      </c>
      <c r="AX227" s="95" t="str">
        <f t="shared" si="48"/>
        <v/>
      </c>
      <c r="AY227" s="98" t="str">
        <f t="shared" ca="1" si="45"/>
        <v/>
      </c>
      <c r="AZ227" s="95" t="str">
        <f t="shared" si="49"/>
        <v/>
      </c>
      <c r="BA227" s="99" t="str">
        <f t="shared" ca="1" si="46"/>
        <v/>
      </c>
      <c r="BB227" s="97" t="str">
        <f t="shared" si="50"/>
        <v/>
      </c>
      <c r="BC227" s="101" t="str">
        <f t="shared" ca="1" si="53"/>
        <v/>
      </c>
      <c r="BD227" s="100" t="str">
        <f t="shared" si="51"/>
        <v/>
      </c>
      <c r="BE227" s="103">
        <f t="shared" ca="1" si="47"/>
        <v>52085</v>
      </c>
      <c r="BF227" s="102">
        <f t="shared" si="52"/>
        <v>-68561.653092635141</v>
      </c>
    </row>
    <row r="228" spans="48:58" hidden="1" x14ac:dyDescent="0.25">
      <c r="AV228">
        <v>198</v>
      </c>
      <c r="AW228" s="94" t="str">
        <f t="shared" ca="1" si="44"/>
        <v/>
      </c>
      <c r="AX228" s="95" t="str">
        <f t="shared" si="48"/>
        <v/>
      </c>
      <c r="AY228" s="98" t="str">
        <f t="shared" ca="1" si="45"/>
        <v/>
      </c>
      <c r="AZ228" s="95" t="str">
        <f t="shared" si="49"/>
        <v/>
      </c>
      <c r="BA228" s="99" t="str">
        <f t="shared" ca="1" si="46"/>
        <v/>
      </c>
      <c r="BB228" s="97" t="str">
        <f t="shared" si="50"/>
        <v/>
      </c>
      <c r="BC228" s="101" t="str">
        <f t="shared" ca="1" si="53"/>
        <v/>
      </c>
      <c r="BD228" s="100" t="str">
        <f t="shared" si="51"/>
        <v/>
      </c>
      <c r="BE228" s="103">
        <f t="shared" ca="1" si="47"/>
        <v>52116</v>
      </c>
      <c r="BF228" s="102">
        <f t="shared" si="52"/>
        <v>-68561.653092635141</v>
      </c>
    </row>
    <row r="229" spans="48:58" hidden="1" x14ac:dyDescent="0.25">
      <c r="AV229">
        <v>199</v>
      </c>
      <c r="AW229" s="94" t="str">
        <f t="shared" ca="1" si="44"/>
        <v/>
      </c>
      <c r="AX229" s="95" t="str">
        <f t="shared" si="48"/>
        <v/>
      </c>
      <c r="AY229" s="98" t="str">
        <f t="shared" ca="1" si="45"/>
        <v/>
      </c>
      <c r="AZ229" s="95" t="str">
        <f t="shared" si="49"/>
        <v/>
      </c>
      <c r="BA229" s="99" t="str">
        <f t="shared" ca="1" si="46"/>
        <v/>
      </c>
      <c r="BB229" s="97" t="str">
        <f t="shared" si="50"/>
        <v/>
      </c>
      <c r="BC229" s="101" t="str">
        <f t="shared" ca="1" si="53"/>
        <v/>
      </c>
      <c r="BD229" s="100" t="str">
        <f t="shared" si="51"/>
        <v/>
      </c>
      <c r="BE229" s="103">
        <f t="shared" ca="1" si="47"/>
        <v>52146</v>
      </c>
      <c r="BF229" s="102">
        <f t="shared" si="52"/>
        <v>-68561.653092635141</v>
      </c>
    </row>
    <row r="230" spans="48:58" hidden="1" x14ac:dyDescent="0.25">
      <c r="AV230">
        <v>200</v>
      </c>
      <c r="AW230" s="94" t="str">
        <f t="shared" ca="1" si="44"/>
        <v/>
      </c>
      <c r="AX230" s="95" t="str">
        <f t="shared" si="48"/>
        <v/>
      </c>
      <c r="AY230" s="98" t="str">
        <f t="shared" ca="1" si="45"/>
        <v/>
      </c>
      <c r="AZ230" s="95" t="str">
        <f t="shared" si="49"/>
        <v/>
      </c>
      <c r="BA230" s="99" t="str">
        <f t="shared" ca="1" si="46"/>
        <v/>
      </c>
      <c r="BB230" s="97" t="str">
        <f t="shared" si="50"/>
        <v/>
      </c>
      <c r="BC230" s="101" t="str">
        <f t="shared" ca="1" si="53"/>
        <v/>
      </c>
      <c r="BD230" s="100" t="str">
        <f t="shared" si="51"/>
        <v/>
      </c>
      <c r="BE230" s="103">
        <f t="shared" ca="1" si="47"/>
        <v>52177</v>
      </c>
      <c r="BF230" s="102">
        <f t="shared" si="52"/>
        <v>-68561.653092635141</v>
      </c>
    </row>
    <row r="231" spans="48:58" hidden="1" x14ac:dyDescent="0.25">
      <c r="AV231">
        <v>201</v>
      </c>
      <c r="AW231" s="94" t="str">
        <f t="shared" ca="1" si="44"/>
        <v/>
      </c>
      <c r="AX231" s="95" t="str">
        <f t="shared" si="48"/>
        <v/>
      </c>
      <c r="AY231" s="98" t="str">
        <f t="shared" ca="1" si="45"/>
        <v/>
      </c>
      <c r="AZ231" s="95" t="str">
        <f t="shared" si="49"/>
        <v/>
      </c>
      <c r="BA231" s="99" t="str">
        <f t="shared" ca="1" si="46"/>
        <v/>
      </c>
      <c r="BB231" s="97" t="str">
        <f t="shared" si="50"/>
        <v/>
      </c>
      <c r="BC231" s="101" t="str">
        <f t="shared" ca="1" si="53"/>
        <v/>
      </c>
      <c r="BD231" s="100" t="str">
        <f t="shared" si="51"/>
        <v/>
      </c>
      <c r="BE231" s="103">
        <f t="shared" ca="1" si="47"/>
        <v>52207</v>
      </c>
      <c r="BF231" s="102">
        <f t="shared" si="52"/>
        <v>-68561.653092635141</v>
      </c>
    </row>
    <row r="232" spans="48:58" hidden="1" x14ac:dyDescent="0.25">
      <c r="AV232">
        <v>202</v>
      </c>
      <c r="AW232" s="94" t="str">
        <f t="shared" ca="1" si="44"/>
        <v/>
      </c>
      <c r="AX232" s="95" t="str">
        <f t="shared" si="48"/>
        <v/>
      </c>
      <c r="AY232" s="98" t="str">
        <f t="shared" ca="1" si="45"/>
        <v/>
      </c>
      <c r="AZ232" s="95" t="str">
        <f t="shared" si="49"/>
        <v/>
      </c>
      <c r="BA232" s="99" t="str">
        <f t="shared" ca="1" si="46"/>
        <v/>
      </c>
      <c r="BB232" s="97" t="str">
        <f t="shared" si="50"/>
        <v/>
      </c>
      <c r="BC232" s="101" t="str">
        <f t="shared" ca="1" si="53"/>
        <v/>
      </c>
      <c r="BD232" s="100" t="str">
        <f t="shared" si="51"/>
        <v/>
      </c>
      <c r="BE232" s="103">
        <f t="shared" ca="1" si="47"/>
        <v>52238</v>
      </c>
      <c r="BF232" s="102">
        <f t="shared" si="52"/>
        <v>-68561.653092635141</v>
      </c>
    </row>
    <row r="233" spans="48:58" hidden="1" x14ac:dyDescent="0.25">
      <c r="AV233">
        <v>203</v>
      </c>
      <c r="AW233" s="94" t="str">
        <f t="shared" ca="1" si="44"/>
        <v/>
      </c>
      <c r="AX233" s="95" t="str">
        <f t="shared" si="48"/>
        <v/>
      </c>
      <c r="AY233" s="98" t="str">
        <f t="shared" ca="1" si="45"/>
        <v/>
      </c>
      <c r="AZ233" s="95" t="str">
        <f t="shared" si="49"/>
        <v/>
      </c>
      <c r="BA233" s="99" t="str">
        <f t="shared" ca="1" si="46"/>
        <v/>
      </c>
      <c r="BB233" s="97" t="str">
        <f t="shared" si="50"/>
        <v/>
      </c>
      <c r="BC233" s="101" t="str">
        <f t="shared" ca="1" si="53"/>
        <v/>
      </c>
      <c r="BD233" s="100" t="str">
        <f t="shared" si="51"/>
        <v/>
      </c>
      <c r="BE233" s="103">
        <f t="shared" ca="1" si="47"/>
        <v>52269</v>
      </c>
      <c r="BF233" s="102">
        <f t="shared" si="52"/>
        <v>-68561.653092635141</v>
      </c>
    </row>
    <row r="234" spans="48:58" hidden="1" x14ac:dyDescent="0.25">
      <c r="AV234">
        <v>204</v>
      </c>
      <c r="AW234" s="94" t="str">
        <f t="shared" ca="1" si="44"/>
        <v/>
      </c>
      <c r="AX234" s="95" t="str">
        <f t="shared" si="48"/>
        <v/>
      </c>
      <c r="AY234" s="98" t="str">
        <f t="shared" ca="1" si="45"/>
        <v/>
      </c>
      <c r="AZ234" s="95" t="str">
        <f t="shared" si="49"/>
        <v/>
      </c>
      <c r="BA234" s="99" t="str">
        <f t="shared" ca="1" si="46"/>
        <v/>
      </c>
      <c r="BB234" s="97" t="str">
        <f t="shared" si="50"/>
        <v/>
      </c>
      <c r="BC234" s="101" t="str">
        <f t="shared" ca="1" si="53"/>
        <v/>
      </c>
      <c r="BD234" s="100" t="str">
        <f t="shared" si="51"/>
        <v/>
      </c>
      <c r="BE234" s="103">
        <f t="shared" ca="1" si="47"/>
        <v>52297</v>
      </c>
      <c r="BF234" s="102">
        <f t="shared" si="52"/>
        <v>-68561.653092635141</v>
      </c>
    </row>
    <row r="235" spans="48:58" hidden="1" x14ac:dyDescent="0.25">
      <c r="AV235">
        <v>205</v>
      </c>
      <c r="AW235" s="94" t="str">
        <f t="shared" ca="1" si="44"/>
        <v/>
      </c>
      <c r="AX235" s="95" t="str">
        <f t="shared" si="48"/>
        <v/>
      </c>
      <c r="AY235" s="98" t="str">
        <f t="shared" ca="1" si="45"/>
        <v/>
      </c>
      <c r="AZ235" s="95" t="str">
        <f t="shared" si="49"/>
        <v/>
      </c>
      <c r="BA235" s="99" t="str">
        <f t="shared" ca="1" si="46"/>
        <v/>
      </c>
      <c r="BB235" s="97" t="str">
        <f t="shared" si="50"/>
        <v/>
      </c>
      <c r="BC235" s="101" t="str">
        <f t="shared" ca="1" si="53"/>
        <v/>
      </c>
      <c r="BD235" s="100" t="str">
        <f t="shared" si="51"/>
        <v/>
      </c>
      <c r="BE235" s="103">
        <f t="shared" ca="1" si="47"/>
        <v>52328</v>
      </c>
      <c r="BF235" s="102">
        <f t="shared" si="52"/>
        <v>-68561.653092635141</v>
      </c>
    </row>
    <row r="236" spans="48:58" hidden="1" x14ac:dyDescent="0.25">
      <c r="AV236">
        <v>206</v>
      </c>
      <c r="AW236" s="94" t="str">
        <f t="shared" ca="1" si="44"/>
        <v/>
      </c>
      <c r="AX236" s="95" t="str">
        <f t="shared" si="48"/>
        <v/>
      </c>
      <c r="AY236" s="98" t="str">
        <f t="shared" ca="1" si="45"/>
        <v/>
      </c>
      <c r="AZ236" s="95" t="str">
        <f t="shared" si="49"/>
        <v/>
      </c>
      <c r="BA236" s="99" t="str">
        <f t="shared" ca="1" si="46"/>
        <v/>
      </c>
      <c r="BB236" s="97" t="str">
        <f t="shared" si="50"/>
        <v/>
      </c>
      <c r="BC236" s="101" t="str">
        <f t="shared" ca="1" si="53"/>
        <v/>
      </c>
      <c r="BD236" s="100" t="str">
        <f t="shared" si="51"/>
        <v/>
      </c>
      <c r="BE236" s="103">
        <f t="shared" ca="1" si="47"/>
        <v>52358</v>
      </c>
      <c r="BF236" s="102">
        <f t="shared" si="52"/>
        <v>-68561.653092635141</v>
      </c>
    </row>
    <row r="237" spans="48:58" hidden="1" x14ac:dyDescent="0.25">
      <c r="AV237">
        <v>207</v>
      </c>
      <c r="AW237" s="94" t="str">
        <f t="shared" ca="1" si="44"/>
        <v/>
      </c>
      <c r="AX237" s="95" t="str">
        <f t="shared" si="48"/>
        <v/>
      </c>
      <c r="AY237" s="98" t="str">
        <f t="shared" ca="1" si="45"/>
        <v/>
      </c>
      <c r="AZ237" s="95" t="str">
        <f t="shared" si="49"/>
        <v/>
      </c>
      <c r="BA237" s="99" t="str">
        <f t="shared" ca="1" si="46"/>
        <v/>
      </c>
      <c r="BB237" s="97" t="str">
        <f t="shared" si="50"/>
        <v/>
      </c>
      <c r="BC237" s="101" t="str">
        <f t="shared" ca="1" si="53"/>
        <v/>
      </c>
      <c r="BD237" s="100" t="str">
        <f t="shared" si="51"/>
        <v/>
      </c>
      <c r="BE237" s="103">
        <f t="shared" ca="1" si="47"/>
        <v>52389</v>
      </c>
      <c r="BF237" s="102">
        <f t="shared" si="52"/>
        <v>-68561.653092635141</v>
      </c>
    </row>
    <row r="238" spans="48:58" hidden="1" x14ac:dyDescent="0.25">
      <c r="AV238">
        <v>208</v>
      </c>
      <c r="AW238" s="94" t="str">
        <f t="shared" ca="1" si="44"/>
        <v/>
      </c>
      <c r="AX238" s="95" t="str">
        <f t="shared" si="48"/>
        <v/>
      </c>
      <c r="AY238" s="98" t="str">
        <f t="shared" ca="1" si="45"/>
        <v/>
      </c>
      <c r="AZ238" s="95" t="str">
        <f t="shared" si="49"/>
        <v/>
      </c>
      <c r="BA238" s="99" t="str">
        <f t="shared" ca="1" si="46"/>
        <v/>
      </c>
      <c r="BB238" s="97" t="str">
        <f t="shared" si="50"/>
        <v/>
      </c>
      <c r="BC238" s="101" t="str">
        <f t="shared" ca="1" si="53"/>
        <v/>
      </c>
      <c r="BD238" s="100" t="str">
        <f t="shared" si="51"/>
        <v/>
      </c>
      <c r="BE238" s="103">
        <f t="shared" ca="1" si="47"/>
        <v>52419</v>
      </c>
      <c r="BF238" s="102">
        <f t="shared" si="52"/>
        <v>-68561.653092635141</v>
      </c>
    </row>
    <row r="239" spans="48:58" hidden="1" x14ac:dyDescent="0.25">
      <c r="AV239">
        <v>209</v>
      </c>
      <c r="AW239" s="94" t="str">
        <f t="shared" ca="1" si="44"/>
        <v/>
      </c>
      <c r="AX239" s="95" t="str">
        <f t="shared" si="48"/>
        <v/>
      </c>
      <c r="AY239" s="98" t="str">
        <f t="shared" ca="1" si="45"/>
        <v/>
      </c>
      <c r="AZ239" s="95" t="str">
        <f t="shared" si="49"/>
        <v/>
      </c>
      <c r="BA239" s="99" t="str">
        <f t="shared" ca="1" si="46"/>
        <v/>
      </c>
      <c r="BB239" s="97" t="str">
        <f t="shared" si="50"/>
        <v/>
      </c>
      <c r="BC239" s="101" t="str">
        <f t="shared" ca="1" si="53"/>
        <v/>
      </c>
      <c r="BD239" s="100" t="str">
        <f t="shared" si="51"/>
        <v/>
      </c>
      <c r="BE239" s="103">
        <f t="shared" ca="1" si="47"/>
        <v>52450</v>
      </c>
      <c r="BF239" s="102">
        <f t="shared" si="52"/>
        <v>-68561.653092635141</v>
      </c>
    </row>
    <row r="240" spans="48:58" hidden="1" x14ac:dyDescent="0.25">
      <c r="AV240">
        <v>210</v>
      </c>
      <c r="AW240" s="94" t="str">
        <f t="shared" ca="1" si="44"/>
        <v/>
      </c>
      <c r="AX240" s="95" t="str">
        <f t="shared" si="48"/>
        <v/>
      </c>
      <c r="AY240" s="98" t="str">
        <f t="shared" ca="1" si="45"/>
        <v/>
      </c>
      <c r="AZ240" s="95" t="str">
        <f t="shared" si="49"/>
        <v/>
      </c>
      <c r="BA240" s="99" t="str">
        <f t="shared" ca="1" si="46"/>
        <v/>
      </c>
      <c r="BB240" s="97" t="str">
        <f t="shared" si="50"/>
        <v/>
      </c>
      <c r="BC240" s="101" t="str">
        <f t="shared" ca="1" si="53"/>
        <v/>
      </c>
      <c r="BD240" s="100" t="str">
        <f t="shared" si="51"/>
        <v/>
      </c>
      <c r="BE240" s="103">
        <f t="shared" ca="1" si="47"/>
        <v>52481</v>
      </c>
      <c r="BF240" s="102">
        <f t="shared" si="52"/>
        <v>-68561.653092635141</v>
      </c>
    </row>
    <row r="241" spans="48:58" hidden="1" x14ac:dyDescent="0.25">
      <c r="AV241">
        <v>211</v>
      </c>
      <c r="AW241" s="94" t="str">
        <f t="shared" ca="1" si="44"/>
        <v/>
      </c>
      <c r="AX241" s="95" t="str">
        <f t="shared" si="48"/>
        <v/>
      </c>
      <c r="AY241" s="98" t="str">
        <f t="shared" ca="1" si="45"/>
        <v/>
      </c>
      <c r="AZ241" s="95" t="str">
        <f t="shared" si="49"/>
        <v/>
      </c>
      <c r="BA241" s="99" t="str">
        <f t="shared" ca="1" si="46"/>
        <v/>
      </c>
      <c r="BB241" s="97" t="str">
        <f t="shared" si="50"/>
        <v/>
      </c>
      <c r="BC241" s="101" t="str">
        <f t="shared" ca="1" si="53"/>
        <v/>
      </c>
      <c r="BD241" s="100" t="str">
        <f t="shared" si="51"/>
        <v/>
      </c>
      <c r="BE241" s="103">
        <f t="shared" ca="1" si="47"/>
        <v>52511</v>
      </c>
      <c r="BF241" s="102">
        <f t="shared" si="52"/>
        <v>-68561.653092635141</v>
      </c>
    </row>
    <row r="242" spans="48:58" hidden="1" x14ac:dyDescent="0.25">
      <c r="AV242">
        <v>212</v>
      </c>
      <c r="AW242" s="94" t="str">
        <f t="shared" ca="1" si="44"/>
        <v/>
      </c>
      <c r="AX242" s="95" t="str">
        <f t="shared" si="48"/>
        <v/>
      </c>
      <c r="AY242" s="98" t="str">
        <f t="shared" ca="1" si="45"/>
        <v/>
      </c>
      <c r="AZ242" s="95" t="str">
        <f t="shared" si="49"/>
        <v/>
      </c>
      <c r="BA242" s="99" t="str">
        <f t="shared" ca="1" si="46"/>
        <v/>
      </c>
      <c r="BB242" s="97" t="str">
        <f t="shared" si="50"/>
        <v/>
      </c>
      <c r="BC242" s="101" t="str">
        <f t="shared" ca="1" si="53"/>
        <v/>
      </c>
      <c r="BD242" s="100" t="str">
        <f t="shared" si="51"/>
        <v/>
      </c>
      <c r="BE242" s="103">
        <f t="shared" ca="1" si="47"/>
        <v>52542</v>
      </c>
      <c r="BF242" s="102">
        <f t="shared" si="52"/>
        <v>-68561.653092635141</v>
      </c>
    </row>
    <row r="243" spans="48:58" hidden="1" x14ac:dyDescent="0.25">
      <c r="AV243">
        <v>213</v>
      </c>
      <c r="AW243" s="94" t="str">
        <f t="shared" ca="1" si="44"/>
        <v/>
      </c>
      <c r="AX243" s="95" t="str">
        <f t="shared" si="48"/>
        <v/>
      </c>
      <c r="AY243" s="98" t="str">
        <f t="shared" ca="1" si="45"/>
        <v/>
      </c>
      <c r="AZ243" s="95" t="str">
        <f t="shared" si="49"/>
        <v/>
      </c>
      <c r="BA243" s="99" t="str">
        <f t="shared" ca="1" si="46"/>
        <v/>
      </c>
      <c r="BB243" s="97" t="str">
        <f t="shared" si="50"/>
        <v/>
      </c>
      <c r="BC243" s="101" t="str">
        <f t="shared" ca="1" si="53"/>
        <v/>
      </c>
      <c r="BD243" s="100" t="str">
        <f t="shared" si="51"/>
        <v/>
      </c>
      <c r="BE243" s="103">
        <f t="shared" ca="1" si="47"/>
        <v>52572</v>
      </c>
      <c r="BF243" s="102">
        <f t="shared" si="52"/>
        <v>-68561.653092635141</v>
      </c>
    </row>
    <row r="244" spans="48:58" hidden="1" x14ac:dyDescent="0.25">
      <c r="AV244">
        <v>214</v>
      </c>
      <c r="AW244" s="94" t="str">
        <f t="shared" ca="1" si="44"/>
        <v/>
      </c>
      <c r="AX244" s="95" t="str">
        <f t="shared" si="48"/>
        <v/>
      </c>
      <c r="AY244" s="98" t="str">
        <f t="shared" ca="1" si="45"/>
        <v/>
      </c>
      <c r="AZ244" s="95" t="str">
        <f t="shared" si="49"/>
        <v/>
      </c>
      <c r="BA244" s="99" t="str">
        <f t="shared" ca="1" si="46"/>
        <v/>
      </c>
      <c r="BB244" s="97" t="str">
        <f t="shared" si="50"/>
        <v/>
      </c>
      <c r="BC244" s="101" t="str">
        <f t="shared" ca="1" si="53"/>
        <v/>
      </c>
      <c r="BD244" s="100" t="str">
        <f t="shared" si="51"/>
        <v/>
      </c>
      <c r="BE244" s="103">
        <f t="shared" ca="1" si="47"/>
        <v>52603</v>
      </c>
      <c r="BF244" s="102">
        <f t="shared" si="52"/>
        <v>-68561.653092635141</v>
      </c>
    </row>
    <row r="245" spans="48:58" hidden="1" x14ac:dyDescent="0.25">
      <c r="AV245">
        <v>215</v>
      </c>
      <c r="AW245" s="94" t="str">
        <f t="shared" ca="1" si="44"/>
        <v/>
      </c>
      <c r="AX245" s="95" t="str">
        <f t="shared" si="48"/>
        <v/>
      </c>
      <c r="AY245" s="98" t="str">
        <f t="shared" ca="1" si="45"/>
        <v/>
      </c>
      <c r="AZ245" s="95" t="str">
        <f t="shared" si="49"/>
        <v/>
      </c>
      <c r="BA245" s="99" t="str">
        <f t="shared" ca="1" si="46"/>
        <v/>
      </c>
      <c r="BB245" s="97" t="str">
        <f t="shared" si="50"/>
        <v/>
      </c>
      <c r="BC245" s="101" t="str">
        <f t="shared" ca="1" si="53"/>
        <v/>
      </c>
      <c r="BD245" s="100" t="str">
        <f t="shared" si="51"/>
        <v/>
      </c>
      <c r="BE245" s="103">
        <f t="shared" ca="1" si="47"/>
        <v>52634</v>
      </c>
      <c r="BF245" s="102">
        <f t="shared" si="52"/>
        <v>-68561.653092635141</v>
      </c>
    </row>
    <row r="246" spans="48:58" hidden="1" x14ac:dyDescent="0.25">
      <c r="AV246">
        <v>216</v>
      </c>
      <c r="AW246" s="94" t="str">
        <f t="shared" ca="1" si="44"/>
        <v/>
      </c>
      <c r="AX246" s="95" t="str">
        <f t="shared" si="48"/>
        <v/>
      </c>
      <c r="AY246" s="98" t="str">
        <f t="shared" ca="1" si="45"/>
        <v/>
      </c>
      <c r="AZ246" s="95" t="str">
        <f t="shared" si="49"/>
        <v/>
      </c>
      <c r="BA246" s="99" t="str">
        <f t="shared" ca="1" si="46"/>
        <v/>
      </c>
      <c r="BB246" s="97" t="str">
        <f t="shared" si="50"/>
        <v/>
      </c>
      <c r="BC246" s="101" t="str">
        <f t="shared" ca="1" si="53"/>
        <v/>
      </c>
      <c r="BD246" s="100" t="str">
        <f t="shared" si="51"/>
        <v/>
      </c>
      <c r="BE246" s="103">
        <f t="shared" ca="1" si="47"/>
        <v>52663</v>
      </c>
      <c r="BF246" s="102">
        <f t="shared" si="52"/>
        <v>-68561.653092635141</v>
      </c>
    </row>
    <row r="247" spans="48:58" hidden="1" x14ac:dyDescent="0.25">
      <c r="AV247">
        <v>217</v>
      </c>
      <c r="AW247" s="94" t="str">
        <f t="shared" ca="1" si="44"/>
        <v/>
      </c>
      <c r="AX247" s="95" t="str">
        <f t="shared" si="48"/>
        <v/>
      </c>
      <c r="AY247" s="98" t="str">
        <f t="shared" ca="1" si="45"/>
        <v/>
      </c>
      <c r="AZ247" s="95" t="str">
        <f t="shared" si="49"/>
        <v/>
      </c>
      <c r="BA247" s="99" t="str">
        <f t="shared" ca="1" si="46"/>
        <v/>
      </c>
      <c r="BB247" s="97" t="str">
        <f t="shared" si="50"/>
        <v/>
      </c>
      <c r="BC247" s="101" t="str">
        <f t="shared" ca="1" si="53"/>
        <v/>
      </c>
      <c r="BD247" s="100" t="str">
        <f t="shared" si="51"/>
        <v/>
      </c>
      <c r="BE247" s="103">
        <f t="shared" ca="1" si="47"/>
        <v>52694</v>
      </c>
      <c r="BF247" s="102">
        <f t="shared" si="52"/>
        <v>-68561.653092635141</v>
      </c>
    </row>
    <row r="248" spans="48:58" hidden="1" x14ac:dyDescent="0.25">
      <c r="AV248">
        <v>218</v>
      </c>
      <c r="AW248" s="94" t="str">
        <f t="shared" ca="1" si="44"/>
        <v/>
      </c>
      <c r="AX248" s="95" t="str">
        <f t="shared" si="48"/>
        <v/>
      </c>
      <c r="AY248" s="98" t="str">
        <f t="shared" ca="1" si="45"/>
        <v/>
      </c>
      <c r="AZ248" s="95" t="str">
        <f t="shared" si="49"/>
        <v/>
      </c>
      <c r="BA248" s="99" t="str">
        <f t="shared" ca="1" si="46"/>
        <v/>
      </c>
      <c r="BB248" s="97" t="str">
        <f t="shared" si="50"/>
        <v/>
      </c>
      <c r="BC248" s="101" t="str">
        <f t="shared" ca="1" si="53"/>
        <v/>
      </c>
      <c r="BD248" s="100" t="str">
        <f t="shared" si="51"/>
        <v/>
      </c>
      <c r="BE248" s="103">
        <f t="shared" ca="1" si="47"/>
        <v>52724</v>
      </c>
      <c r="BF248" s="102">
        <f t="shared" si="52"/>
        <v>-68561.653092635141</v>
      </c>
    </row>
    <row r="249" spans="48:58" hidden="1" x14ac:dyDescent="0.25">
      <c r="AV249">
        <v>219</v>
      </c>
      <c r="AW249" s="94" t="str">
        <f t="shared" ca="1" si="44"/>
        <v/>
      </c>
      <c r="AX249" s="95" t="str">
        <f t="shared" si="48"/>
        <v/>
      </c>
      <c r="AY249" s="98" t="str">
        <f t="shared" ca="1" si="45"/>
        <v/>
      </c>
      <c r="AZ249" s="95" t="str">
        <f t="shared" si="49"/>
        <v/>
      </c>
      <c r="BA249" s="99" t="str">
        <f t="shared" ca="1" si="46"/>
        <v/>
      </c>
      <c r="BB249" s="97" t="str">
        <f t="shared" si="50"/>
        <v/>
      </c>
      <c r="BC249" s="101" t="str">
        <f t="shared" ca="1" si="53"/>
        <v/>
      </c>
      <c r="BD249" s="100" t="str">
        <f t="shared" si="51"/>
        <v/>
      </c>
      <c r="BE249" s="103">
        <f t="shared" ca="1" si="47"/>
        <v>52755</v>
      </c>
      <c r="BF249" s="102">
        <f t="shared" si="52"/>
        <v>-68561.653092635141</v>
      </c>
    </row>
    <row r="250" spans="48:58" hidden="1" x14ac:dyDescent="0.25">
      <c r="AV250">
        <v>220</v>
      </c>
      <c r="AW250" s="94" t="str">
        <f t="shared" ca="1" si="44"/>
        <v/>
      </c>
      <c r="AX250" s="95" t="str">
        <f t="shared" si="48"/>
        <v/>
      </c>
      <c r="AY250" s="98" t="str">
        <f t="shared" ca="1" si="45"/>
        <v/>
      </c>
      <c r="AZ250" s="95" t="str">
        <f t="shared" si="49"/>
        <v/>
      </c>
      <c r="BA250" s="99" t="str">
        <f t="shared" ca="1" si="46"/>
        <v/>
      </c>
      <c r="BB250" s="97" t="str">
        <f t="shared" si="50"/>
        <v/>
      </c>
      <c r="BC250" s="101" t="str">
        <f t="shared" ca="1" si="53"/>
        <v/>
      </c>
      <c r="BD250" s="100" t="str">
        <f t="shared" si="51"/>
        <v/>
      </c>
      <c r="BE250" s="103">
        <f t="shared" ca="1" si="47"/>
        <v>52785</v>
      </c>
      <c r="BF250" s="102">
        <f t="shared" si="52"/>
        <v>-68561.653092635141</v>
      </c>
    </row>
    <row r="251" spans="48:58" hidden="1" x14ac:dyDescent="0.25">
      <c r="AV251">
        <v>221</v>
      </c>
      <c r="AW251" s="94" t="str">
        <f t="shared" ca="1" si="44"/>
        <v/>
      </c>
      <c r="AX251" s="95" t="str">
        <f t="shared" si="48"/>
        <v/>
      </c>
      <c r="AY251" s="98" t="str">
        <f t="shared" ca="1" si="45"/>
        <v/>
      </c>
      <c r="AZ251" s="95" t="str">
        <f t="shared" si="49"/>
        <v/>
      </c>
      <c r="BA251" s="99" t="str">
        <f t="shared" ca="1" si="46"/>
        <v/>
      </c>
      <c r="BB251" s="97" t="str">
        <f t="shared" si="50"/>
        <v/>
      </c>
      <c r="BC251" s="101" t="str">
        <f t="shared" ca="1" si="53"/>
        <v/>
      </c>
      <c r="BD251" s="100" t="str">
        <f t="shared" si="51"/>
        <v/>
      </c>
      <c r="BE251" s="103">
        <f t="shared" ca="1" si="47"/>
        <v>52816</v>
      </c>
      <c r="BF251" s="102">
        <f t="shared" si="52"/>
        <v>-68561.653092635141</v>
      </c>
    </row>
    <row r="252" spans="48:58" hidden="1" x14ac:dyDescent="0.25">
      <c r="AV252">
        <v>222</v>
      </c>
      <c r="AW252" s="94" t="str">
        <f t="shared" ca="1" si="44"/>
        <v/>
      </c>
      <c r="AX252" s="95" t="str">
        <f t="shared" si="48"/>
        <v/>
      </c>
      <c r="AY252" s="98" t="str">
        <f t="shared" ca="1" si="45"/>
        <v/>
      </c>
      <c r="AZ252" s="95" t="str">
        <f t="shared" si="49"/>
        <v/>
      </c>
      <c r="BA252" s="99" t="str">
        <f t="shared" ca="1" si="46"/>
        <v/>
      </c>
      <c r="BB252" s="97" t="str">
        <f t="shared" si="50"/>
        <v/>
      </c>
      <c r="BC252" s="101" t="str">
        <f t="shared" ca="1" si="53"/>
        <v/>
      </c>
      <c r="BD252" s="100" t="str">
        <f t="shared" si="51"/>
        <v/>
      </c>
      <c r="BE252" s="103">
        <f t="shared" ca="1" si="47"/>
        <v>52847</v>
      </c>
      <c r="BF252" s="102">
        <f t="shared" si="52"/>
        <v>-68561.653092635141</v>
      </c>
    </row>
    <row r="253" spans="48:58" hidden="1" x14ac:dyDescent="0.25">
      <c r="AV253">
        <v>223</v>
      </c>
      <c r="AW253" s="94" t="str">
        <f t="shared" ca="1" si="44"/>
        <v/>
      </c>
      <c r="AX253" s="95" t="str">
        <f t="shared" si="48"/>
        <v/>
      </c>
      <c r="AY253" s="98" t="str">
        <f t="shared" ca="1" si="45"/>
        <v/>
      </c>
      <c r="AZ253" s="95" t="str">
        <f t="shared" si="49"/>
        <v/>
      </c>
      <c r="BA253" s="99" t="str">
        <f t="shared" ca="1" si="46"/>
        <v/>
      </c>
      <c r="BB253" s="97" t="str">
        <f t="shared" si="50"/>
        <v/>
      </c>
      <c r="BC253" s="101" t="str">
        <f t="shared" ca="1" si="53"/>
        <v/>
      </c>
      <c r="BD253" s="100" t="str">
        <f t="shared" si="51"/>
        <v/>
      </c>
      <c r="BE253" s="103">
        <f t="shared" ca="1" si="47"/>
        <v>52877</v>
      </c>
      <c r="BF253" s="102">
        <f t="shared" si="52"/>
        <v>-68561.653092635141</v>
      </c>
    </row>
    <row r="254" spans="48:58" hidden="1" x14ac:dyDescent="0.25">
      <c r="AV254">
        <v>224</v>
      </c>
      <c r="AW254" s="94" t="str">
        <f t="shared" ca="1" si="44"/>
        <v/>
      </c>
      <c r="AX254" s="95" t="str">
        <f t="shared" si="48"/>
        <v/>
      </c>
      <c r="AY254" s="98" t="str">
        <f t="shared" ca="1" si="45"/>
        <v/>
      </c>
      <c r="AZ254" s="95" t="str">
        <f t="shared" si="49"/>
        <v/>
      </c>
      <c r="BA254" s="99" t="str">
        <f t="shared" ca="1" si="46"/>
        <v/>
      </c>
      <c r="BB254" s="97" t="str">
        <f t="shared" si="50"/>
        <v/>
      </c>
      <c r="BC254" s="101" t="str">
        <f t="shared" ca="1" si="53"/>
        <v/>
      </c>
      <c r="BD254" s="100" t="str">
        <f t="shared" si="51"/>
        <v/>
      </c>
      <c r="BE254" s="103">
        <f t="shared" ca="1" si="47"/>
        <v>52908</v>
      </c>
      <c r="BF254" s="102">
        <f t="shared" si="52"/>
        <v>-68561.653092635141</v>
      </c>
    </row>
    <row r="255" spans="48:58" hidden="1" x14ac:dyDescent="0.25">
      <c r="AV255">
        <v>225</v>
      </c>
      <c r="AW255" s="94" t="str">
        <f t="shared" ca="1" si="44"/>
        <v/>
      </c>
      <c r="AX255" s="95" t="str">
        <f t="shared" si="48"/>
        <v/>
      </c>
      <c r="AY255" s="98" t="str">
        <f t="shared" ca="1" si="45"/>
        <v/>
      </c>
      <c r="AZ255" s="95" t="str">
        <f t="shared" si="49"/>
        <v/>
      </c>
      <c r="BA255" s="99" t="str">
        <f t="shared" ca="1" si="46"/>
        <v/>
      </c>
      <c r="BB255" s="97" t="str">
        <f t="shared" si="50"/>
        <v/>
      </c>
      <c r="BC255" s="101" t="str">
        <f t="shared" ca="1" si="53"/>
        <v/>
      </c>
      <c r="BD255" s="100" t="str">
        <f t="shared" si="51"/>
        <v/>
      </c>
      <c r="BE255" s="103">
        <f t="shared" ca="1" si="47"/>
        <v>52938</v>
      </c>
      <c r="BF255" s="102">
        <f t="shared" si="52"/>
        <v>-68561.653092635141</v>
      </c>
    </row>
    <row r="256" spans="48:58" hidden="1" x14ac:dyDescent="0.25">
      <c r="AV256">
        <v>226</v>
      </c>
      <c r="AW256" s="94" t="str">
        <f t="shared" ca="1" si="44"/>
        <v/>
      </c>
      <c r="AX256" s="95" t="str">
        <f t="shared" si="48"/>
        <v/>
      </c>
      <c r="AY256" s="98" t="str">
        <f t="shared" ca="1" si="45"/>
        <v/>
      </c>
      <c r="AZ256" s="95" t="str">
        <f t="shared" si="49"/>
        <v/>
      </c>
      <c r="BA256" s="99" t="str">
        <f t="shared" ca="1" si="46"/>
        <v/>
      </c>
      <c r="BB256" s="97" t="str">
        <f t="shared" si="50"/>
        <v/>
      </c>
      <c r="BC256" s="101" t="str">
        <f t="shared" ca="1" si="53"/>
        <v/>
      </c>
      <c r="BD256" s="100" t="str">
        <f t="shared" si="51"/>
        <v/>
      </c>
      <c r="BE256" s="103">
        <f t="shared" ca="1" si="47"/>
        <v>52969</v>
      </c>
      <c r="BF256" s="102">
        <f t="shared" si="52"/>
        <v>-68561.653092635141</v>
      </c>
    </row>
    <row r="257" spans="48:58" hidden="1" x14ac:dyDescent="0.25">
      <c r="AV257">
        <v>227</v>
      </c>
      <c r="AW257" s="94" t="str">
        <f t="shared" ca="1" si="44"/>
        <v/>
      </c>
      <c r="AX257" s="95" t="str">
        <f t="shared" si="48"/>
        <v/>
      </c>
      <c r="AY257" s="98" t="str">
        <f t="shared" ca="1" si="45"/>
        <v/>
      </c>
      <c r="AZ257" s="95" t="str">
        <f t="shared" si="49"/>
        <v/>
      </c>
      <c r="BA257" s="99" t="str">
        <f t="shared" ca="1" si="46"/>
        <v/>
      </c>
      <c r="BB257" s="97" t="str">
        <f t="shared" si="50"/>
        <v/>
      </c>
      <c r="BC257" s="101" t="str">
        <f t="shared" ca="1" si="53"/>
        <v/>
      </c>
      <c r="BD257" s="100" t="str">
        <f t="shared" si="51"/>
        <v/>
      </c>
      <c r="BE257" s="103">
        <f t="shared" ca="1" si="47"/>
        <v>53000</v>
      </c>
      <c r="BF257" s="102">
        <f t="shared" si="52"/>
        <v>-68561.653092635141</v>
      </c>
    </row>
    <row r="258" spans="48:58" hidden="1" x14ac:dyDescent="0.25">
      <c r="AV258">
        <v>228</v>
      </c>
      <c r="AW258" s="94" t="str">
        <f t="shared" ca="1" si="44"/>
        <v/>
      </c>
      <c r="AX258" s="95" t="str">
        <f t="shared" si="48"/>
        <v/>
      </c>
      <c r="AY258" s="98" t="str">
        <f t="shared" ca="1" si="45"/>
        <v/>
      </c>
      <c r="AZ258" s="95" t="str">
        <f t="shared" si="49"/>
        <v/>
      </c>
      <c r="BA258" s="99" t="str">
        <f t="shared" ca="1" si="46"/>
        <v/>
      </c>
      <c r="BB258" s="97" t="str">
        <f t="shared" si="50"/>
        <v/>
      </c>
      <c r="BC258" s="101" t="str">
        <f t="shared" ca="1" si="53"/>
        <v/>
      </c>
      <c r="BD258" s="100" t="str">
        <f t="shared" si="51"/>
        <v/>
      </c>
      <c r="BE258" s="103">
        <f t="shared" ca="1" si="47"/>
        <v>53028</v>
      </c>
      <c r="BF258" s="102">
        <f t="shared" si="52"/>
        <v>-68561.653092635141</v>
      </c>
    </row>
    <row r="259" spans="48:58" hidden="1" x14ac:dyDescent="0.25">
      <c r="AV259">
        <v>229</v>
      </c>
      <c r="AW259" s="94" t="str">
        <f t="shared" ca="1" si="44"/>
        <v/>
      </c>
      <c r="AX259" s="95" t="str">
        <f t="shared" si="48"/>
        <v/>
      </c>
      <c r="AY259" s="98" t="str">
        <f t="shared" ca="1" si="45"/>
        <v/>
      </c>
      <c r="AZ259" s="95" t="str">
        <f t="shared" si="49"/>
        <v/>
      </c>
      <c r="BA259" s="99" t="str">
        <f t="shared" ca="1" si="46"/>
        <v/>
      </c>
      <c r="BB259" s="97" t="str">
        <f t="shared" si="50"/>
        <v/>
      </c>
      <c r="BC259" s="101" t="str">
        <f t="shared" ca="1" si="53"/>
        <v/>
      </c>
      <c r="BD259" s="100" t="str">
        <f t="shared" si="51"/>
        <v/>
      </c>
      <c r="BE259" s="103">
        <f t="shared" ca="1" si="47"/>
        <v>53059</v>
      </c>
      <c r="BF259" s="102">
        <f t="shared" si="52"/>
        <v>-68561.653092635141</v>
      </c>
    </row>
    <row r="260" spans="48:58" hidden="1" x14ac:dyDescent="0.25">
      <c r="AV260">
        <v>230</v>
      </c>
      <c r="AW260" s="94" t="str">
        <f t="shared" ca="1" si="44"/>
        <v/>
      </c>
      <c r="AX260" s="95" t="str">
        <f t="shared" si="48"/>
        <v/>
      </c>
      <c r="AY260" s="98" t="str">
        <f t="shared" ca="1" si="45"/>
        <v/>
      </c>
      <c r="AZ260" s="95" t="str">
        <f t="shared" si="49"/>
        <v/>
      </c>
      <c r="BA260" s="99" t="str">
        <f t="shared" ca="1" si="46"/>
        <v/>
      </c>
      <c r="BB260" s="97" t="str">
        <f t="shared" si="50"/>
        <v/>
      </c>
      <c r="BC260" s="101" t="str">
        <f t="shared" ca="1" si="53"/>
        <v/>
      </c>
      <c r="BD260" s="100" t="str">
        <f t="shared" si="51"/>
        <v/>
      </c>
      <c r="BE260" s="103">
        <f t="shared" ca="1" si="47"/>
        <v>53089</v>
      </c>
      <c r="BF260" s="102">
        <f t="shared" si="52"/>
        <v>-68561.653092635141</v>
      </c>
    </row>
    <row r="261" spans="48:58" hidden="1" x14ac:dyDescent="0.25">
      <c r="AV261">
        <v>231</v>
      </c>
      <c r="AW261" s="94" t="str">
        <f t="shared" ca="1" si="44"/>
        <v/>
      </c>
      <c r="AX261" s="95" t="str">
        <f t="shared" si="48"/>
        <v/>
      </c>
      <c r="AY261" s="98" t="str">
        <f t="shared" ca="1" si="45"/>
        <v/>
      </c>
      <c r="AZ261" s="95" t="str">
        <f t="shared" si="49"/>
        <v/>
      </c>
      <c r="BA261" s="99" t="str">
        <f t="shared" ca="1" si="46"/>
        <v/>
      </c>
      <c r="BB261" s="97" t="str">
        <f t="shared" si="50"/>
        <v/>
      </c>
      <c r="BC261" s="101" t="str">
        <f t="shared" ca="1" si="53"/>
        <v/>
      </c>
      <c r="BD261" s="100" t="str">
        <f t="shared" si="51"/>
        <v/>
      </c>
      <c r="BE261" s="103">
        <f t="shared" ca="1" si="47"/>
        <v>53120</v>
      </c>
      <c r="BF261" s="102">
        <f t="shared" si="52"/>
        <v>-68561.653092635141</v>
      </c>
    </row>
    <row r="262" spans="48:58" hidden="1" x14ac:dyDescent="0.25">
      <c r="AV262">
        <v>232</v>
      </c>
      <c r="AW262" s="94" t="str">
        <f t="shared" ca="1" si="44"/>
        <v/>
      </c>
      <c r="AX262" s="95" t="str">
        <f t="shared" si="48"/>
        <v/>
      </c>
      <c r="AY262" s="98" t="str">
        <f t="shared" ca="1" si="45"/>
        <v/>
      </c>
      <c r="AZ262" s="95" t="str">
        <f t="shared" si="49"/>
        <v/>
      </c>
      <c r="BA262" s="99" t="str">
        <f t="shared" ca="1" si="46"/>
        <v/>
      </c>
      <c r="BB262" s="97" t="str">
        <f t="shared" si="50"/>
        <v/>
      </c>
      <c r="BC262" s="101" t="str">
        <f t="shared" ca="1" si="53"/>
        <v/>
      </c>
      <c r="BD262" s="100" t="str">
        <f t="shared" si="51"/>
        <v/>
      </c>
      <c r="BE262" s="103">
        <f t="shared" ca="1" si="47"/>
        <v>53150</v>
      </c>
      <c r="BF262" s="102">
        <f t="shared" si="52"/>
        <v>-68561.653092635141</v>
      </c>
    </row>
    <row r="263" spans="48:58" hidden="1" x14ac:dyDescent="0.25">
      <c r="AV263">
        <v>233</v>
      </c>
      <c r="AW263" s="94" t="str">
        <f t="shared" ca="1" si="44"/>
        <v/>
      </c>
      <c r="AX263" s="95" t="str">
        <f t="shared" si="48"/>
        <v/>
      </c>
      <c r="AY263" s="98" t="str">
        <f t="shared" ca="1" si="45"/>
        <v/>
      </c>
      <c r="AZ263" s="95" t="str">
        <f t="shared" si="49"/>
        <v/>
      </c>
      <c r="BA263" s="99" t="str">
        <f t="shared" ca="1" si="46"/>
        <v/>
      </c>
      <c r="BB263" s="97" t="str">
        <f t="shared" si="50"/>
        <v/>
      </c>
      <c r="BC263" s="101" t="str">
        <f t="shared" ca="1" si="53"/>
        <v/>
      </c>
      <c r="BD263" s="100" t="str">
        <f t="shared" si="51"/>
        <v/>
      </c>
      <c r="BE263" s="103">
        <f t="shared" ca="1" si="47"/>
        <v>53181</v>
      </c>
      <c r="BF263" s="102">
        <f t="shared" si="52"/>
        <v>-68561.653092635141</v>
      </c>
    </row>
    <row r="264" spans="48:58" hidden="1" x14ac:dyDescent="0.25">
      <c r="AV264">
        <v>234</v>
      </c>
      <c r="AW264" s="94" t="str">
        <f t="shared" ca="1" si="44"/>
        <v/>
      </c>
      <c r="AX264" s="95" t="str">
        <f t="shared" si="48"/>
        <v/>
      </c>
      <c r="AY264" s="98" t="str">
        <f t="shared" ca="1" si="45"/>
        <v/>
      </c>
      <c r="AZ264" s="95" t="str">
        <f t="shared" si="49"/>
        <v/>
      </c>
      <c r="BA264" s="99" t="str">
        <f t="shared" ca="1" si="46"/>
        <v/>
      </c>
      <c r="BB264" s="97" t="str">
        <f t="shared" si="50"/>
        <v/>
      </c>
      <c r="BC264" s="101" t="str">
        <f t="shared" ca="1" si="53"/>
        <v/>
      </c>
      <c r="BD264" s="100" t="str">
        <f t="shared" si="51"/>
        <v/>
      </c>
      <c r="BE264" s="103">
        <f t="shared" ca="1" si="47"/>
        <v>53212</v>
      </c>
      <c r="BF264" s="102">
        <f t="shared" si="52"/>
        <v>-68561.653092635141</v>
      </c>
    </row>
    <row r="265" spans="48:58" hidden="1" x14ac:dyDescent="0.25">
      <c r="AV265">
        <v>235</v>
      </c>
      <c r="AW265" s="94" t="str">
        <f t="shared" ca="1" si="44"/>
        <v/>
      </c>
      <c r="AX265" s="95" t="str">
        <f t="shared" si="48"/>
        <v/>
      </c>
      <c r="AY265" s="98" t="str">
        <f t="shared" ca="1" si="45"/>
        <v/>
      </c>
      <c r="AZ265" s="95" t="str">
        <f t="shared" si="49"/>
        <v/>
      </c>
      <c r="BA265" s="99" t="str">
        <f t="shared" ca="1" si="46"/>
        <v/>
      </c>
      <c r="BB265" s="97" t="str">
        <f t="shared" si="50"/>
        <v/>
      </c>
      <c r="BC265" s="101" t="str">
        <f t="shared" ca="1" si="53"/>
        <v/>
      </c>
      <c r="BD265" s="100" t="str">
        <f t="shared" si="51"/>
        <v/>
      </c>
      <c r="BE265" s="103">
        <f t="shared" ca="1" si="47"/>
        <v>53242</v>
      </c>
      <c r="BF265" s="102">
        <f t="shared" si="52"/>
        <v>-68561.653092635141</v>
      </c>
    </row>
    <row r="266" spans="48:58" hidden="1" x14ac:dyDescent="0.25">
      <c r="AV266">
        <v>236</v>
      </c>
      <c r="AW266" s="94" t="str">
        <f t="shared" ca="1" si="44"/>
        <v/>
      </c>
      <c r="AX266" s="95" t="str">
        <f t="shared" si="48"/>
        <v/>
      </c>
      <c r="AY266" s="98" t="str">
        <f t="shared" ca="1" si="45"/>
        <v/>
      </c>
      <c r="AZ266" s="95" t="str">
        <f t="shared" si="49"/>
        <v/>
      </c>
      <c r="BA266" s="99" t="str">
        <f t="shared" ca="1" si="46"/>
        <v/>
      </c>
      <c r="BB266" s="97" t="str">
        <f t="shared" si="50"/>
        <v/>
      </c>
      <c r="BC266" s="101" t="str">
        <f t="shared" ca="1" si="53"/>
        <v/>
      </c>
      <c r="BD266" s="100" t="str">
        <f t="shared" si="51"/>
        <v/>
      </c>
      <c r="BE266" s="103">
        <f t="shared" ca="1" si="47"/>
        <v>53273</v>
      </c>
      <c r="BF266" s="102">
        <f t="shared" si="52"/>
        <v>-68561.653092635141</v>
      </c>
    </row>
    <row r="267" spans="48:58" hidden="1" x14ac:dyDescent="0.25">
      <c r="AV267">
        <v>237</v>
      </c>
      <c r="AW267" s="94" t="str">
        <f t="shared" ca="1" si="44"/>
        <v/>
      </c>
      <c r="AX267" s="95" t="str">
        <f t="shared" si="48"/>
        <v/>
      </c>
      <c r="AY267" s="98" t="str">
        <f t="shared" ca="1" si="45"/>
        <v/>
      </c>
      <c r="AZ267" s="95" t="str">
        <f t="shared" si="49"/>
        <v/>
      </c>
      <c r="BA267" s="99" t="str">
        <f t="shared" ca="1" si="46"/>
        <v/>
      </c>
      <c r="BB267" s="97" t="str">
        <f t="shared" si="50"/>
        <v/>
      </c>
      <c r="BC267" s="101" t="str">
        <f t="shared" ca="1" si="53"/>
        <v/>
      </c>
      <c r="BD267" s="100" t="str">
        <f t="shared" si="51"/>
        <v/>
      </c>
      <c r="BE267" s="103">
        <f t="shared" ca="1" si="47"/>
        <v>53303</v>
      </c>
      <c r="BF267" s="102">
        <f t="shared" si="52"/>
        <v>-68561.653092635141</v>
      </c>
    </row>
    <row r="268" spans="48:58" hidden="1" x14ac:dyDescent="0.25">
      <c r="AV268">
        <v>238</v>
      </c>
      <c r="AW268" s="94" t="str">
        <f t="shared" ca="1" si="44"/>
        <v/>
      </c>
      <c r="AX268" s="95" t="str">
        <f t="shared" si="48"/>
        <v/>
      </c>
      <c r="AY268" s="98" t="str">
        <f t="shared" ca="1" si="45"/>
        <v/>
      </c>
      <c r="AZ268" s="95" t="str">
        <f t="shared" si="49"/>
        <v/>
      </c>
      <c r="BA268" s="99" t="str">
        <f t="shared" ca="1" si="46"/>
        <v/>
      </c>
      <c r="BB268" s="97" t="str">
        <f t="shared" si="50"/>
        <v/>
      </c>
      <c r="BC268" s="101" t="str">
        <f t="shared" ca="1" si="53"/>
        <v/>
      </c>
      <c r="BD268" s="100" t="str">
        <f t="shared" si="51"/>
        <v/>
      </c>
      <c r="BE268" s="103">
        <f t="shared" ca="1" si="47"/>
        <v>53334</v>
      </c>
      <c r="BF268" s="102">
        <f t="shared" si="52"/>
        <v>-68561.653092635141</v>
      </c>
    </row>
    <row r="269" spans="48:58" hidden="1" x14ac:dyDescent="0.25">
      <c r="AV269">
        <v>239</v>
      </c>
      <c r="AW269" s="94" t="str">
        <f t="shared" ca="1" si="44"/>
        <v/>
      </c>
      <c r="AX269" s="95" t="str">
        <f t="shared" si="48"/>
        <v/>
      </c>
      <c r="AY269" s="98" t="str">
        <f t="shared" ca="1" si="45"/>
        <v/>
      </c>
      <c r="AZ269" s="95" t="str">
        <f t="shared" si="49"/>
        <v/>
      </c>
      <c r="BA269" s="99" t="str">
        <f t="shared" ca="1" si="46"/>
        <v/>
      </c>
      <c r="BB269" s="97" t="str">
        <f t="shared" si="50"/>
        <v/>
      </c>
      <c r="BC269" s="101" t="str">
        <f t="shared" ca="1" si="53"/>
        <v/>
      </c>
      <c r="BD269" s="100" t="str">
        <f t="shared" si="51"/>
        <v/>
      </c>
      <c r="BE269" s="103">
        <f t="shared" ca="1" si="47"/>
        <v>53365</v>
      </c>
      <c r="BF269" s="102">
        <f t="shared" si="52"/>
        <v>-68561.653092635141</v>
      </c>
    </row>
    <row r="270" spans="48:58" hidden="1" x14ac:dyDescent="0.25">
      <c r="AV270">
        <v>240</v>
      </c>
      <c r="AW270" s="94" t="str">
        <f t="shared" ca="1" si="44"/>
        <v/>
      </c>
      <c r="AX270" s="95" t="str">
        <f t="shared" si="48"/>
        <v/>
      </c>
      <c r="AY270" s="98" t="str">
        <f t="shared" ca="1" si="45"/>
        <v/>
      </c>
      <c r="AZ270" s="95" t="str">
        <f t="shared" si="49"/>
        <v/>
      </c>
      <c r="BA270" s="99" t="str">
        <f t="shared" ca="1" si="46"/>
        <v/>
      </c>
      <c r="BB270" s="97" t="str">
        <f t="shared" si="50"/>
        <v/>
      </c>
      <c r="BC270" s="101" t="str">
        <f t="shared" ca="1" si="53"/>
        <v/>
      </c>
      <c r="BD270" s="100" t="str">
        <f t="shared" si="51"/>
        <v/>
      </c>
      <c r="BE270" s="103">
        <f t="shared" ca="1" si="47"/>
        <v>53393</v>
      </c>
      <c r="BF270" s="102">
        <f t="shared" si="52"/>
        <v>-68561.653092635141</v>
      </c>
    </row>
    <row r="271" spans="48:58" hidden="1" x14ac:dyDescent="0.25">
      <c r="AV271">
        <v>241</v>
      </c>
      <c r="AW271" s="94" t="str">
        <f t="shared" ca="1" si="44"/>
        <v/>
      </c>
      <c r="AX271" s="95" t="str">
        <f t="shared" si="48"/>
        <v/>
      </c>
      <c r="AY271" s="98" t="str">
        <f t="shared" ca="1" si="45"/>
        <v/>
      </c>
      <c r="AZ271" s="95" t="str">
        <f t="shared" si="49"/>
        <v/>
      </c>
      <c r="BA271" s="99" t="str">
        <f t="shared" ca="1" si="46"/>
        <v/>
      </c>
      <c r="BB271" s="97" t="str">
        <f t="shared" si="50"/>
        <v/>
      </c>
      <c r="BC271" s="101" t="str">
        <f t="shared" ca="1" si="53"/>
        <v/>
      </c>
      <c r="BD271" s="100" t="str">
        <f t="shared" si="51"/>
        <v/>
      </c>
      <c r="BE271" s="103">
        <f t="shared" ca="1" si="47"/>
        <v>53424</v>
      </c>
      <c r="BF271" s="102">
        <f t="shared" si="52"/>
        <v>-68561.653092635141</v>
      </c>
    </row>
    <row r="272" spans="48:58" hidden="1" x14ac:dyDescent="0.25">
      <c r="AV272">
        <v>242</v>
      </c>
      <c r="AW272" s="94" t="str">
        <f t="shared" ca="1" si="44"/>
        <v/>
      </c>
      <c r="AX272" s="95" t="str">
        <f t="shared" si="48"/>
        <v/>
      </c>
      <c r="AY272" s="98" t="str">
        <f t="shared" ca="1" si="45"/>
        <v/>
      </c>
      <c r="AZ272" s="95" t="str">
        <f t="shared" si="49"/>
        <v/>
      </c>
      <c r="BA272" s="99" t="str">
        <f t="shared" ca="1" si="46"/>
        <v/>
      </c>
      <c r="BB272" s="97" t="str">
        <f t="shared" si="50"/>
        <v/>
      </c>
      <c r="BC272" s="101" t="str">
        <f t="shared" ca="1" si="53"/>
        <v/>
      </c>
      <c r="BD272" s="100" t="str">
        <f t="shared" si="51"/>
        <v/>
      </c>
      <c r="BE272" s="103">
        <f t="shared" ca="1" si="47"/>
        <v>53454</v>
      </c>
      <c r="BF272" s="102">
        <f t="shared" si="52"/>
        <v>-68561.653092635141</v>
      </c>
    </row>
    <row r="273" spans="48:58" hidden="1" x14ac:dyDescent="0.25">
      <c r="AV273">
        <v>243</v>
      </c>
      <c r="AW273" s="94" t="str">
        <f t="shared" ca="1" si="44"/>
        <v/>
      </c>
      <c r="AX273" s="95" t="str">
        <f t="shared" si="48"/>
        <v/>
      </c>
      <c r="AY273" s="98" t="str">
        <f t="shared" ca="1" si="45"/>
        <v/>
      </c>
      <c r="AZ273" s="95" t="str">
        <f t="shared" si="49"/>
        <v/>
      </c>
      <c r="BA273" s="99" t="str">
        <f t="shared" ca="1" si="46"/>
        <v/>
      </c>
      <c r="BB273" s="97" t="str">
        <f t="shared" si="50"/>
        <v/>
      </c>
      <c r="BC273" s="101" t="str">
        <f t="shared" ca="1" si="53"/>
        <v/>
      </c>
      <c r="BD273" s="100" t="str">
        <f t="shared" si="51"/>
        <v/>
      </c>
      <c r="BE273" s="103">
        <f t="shared" ca="1" si="47"/>
        <v>53485</v>
      </c>
      <c r="BF273" s="102">
        <f t="shared" si="52"/>
        <v>-68561.653092635141</v>
      </c>
    </row>
    <row r="274" spans="48:58" hidden="1" x14ac:dyDescent="0.25">
      <c r="AV274">
        <v>244</v>
      </c>
      <c r="AW274" s="94" t="str">
        <f t="shared" ca="1" si="44"/>
        <v/>
      </c>
      <c r="AX274" s="95" t="str">
        <f t="shared" si="48"/>
        <v/>
      </c>
      <c r="AY274" s="98" t="str">
        <f t="shared" ca="1" si="45"/>
        <v/>
      </c>
      <c r="AZ274" s="95" t="str">
        <f t="shared" si="49"/>
        <v/>
      </c>
      <c r="BA274" s="99" t="str">
        <f t="shared" ca="1" si="46"/>
        <v/>
      </c>
      <c r="BB274" s="97" t="str">
        <f t="shared" si="50"/>
        <v/>
      </c>
      <c r="BC274" s="101" t="str">
        <f t="shared" ca="1" si="53"/>
        <v/>
      </c>
      <c r="BD274" s="100" t="str">
        <f t="shared" si="51"/>
        <v/>
      </c>
      <c r="BE274" s="103">
        <f t="shared" ca="1" si="47"/>
        <v>53515</v>
      </c>
      <c r="BF274" s="102">
        <f t="shared" si="52"/>
        <v>-68561.653092635141</v>
      </c>
    </row>
    <row r="275" spans="48:58" hidden="1" x14ac:dyDescent="0.25">
      <c r="AV275">
        <v>245</v>
      </c>
      <c r="AW275" s="94" t="str">
        <f t="shared" ca="1" si="44"/>
        <v/>
      </c>
      <c r="AX275" s="95" t="str">
        <f t="shared" si="48"/>
        <v/>
      </c>
      <c r="AY275" s="98" t="str">
        <f t="shared" ca="1" si="45"/>
        <v/>
      </c>
      <c r="AZ275" s="95" t="str">
        <f t="shared" si="49"/>
        <v/>
      </c>
      <c r="BA275" s="99" t="str">
        <f t="shared" ca="1" si="46"/>
        <v/>
      </c>
      <c r="BB275" s="97" t="str">
        <f t="shared" si="50"/>
        <v/>
      </c>
      <c r="BC275" s="101" t="str">
        <f t="shared" ca="1" si="53"/>
        <v/>
      </c>
      <c r="BD275" s="100" t="str">
        <f t="shared" si="51"/>
        <v/>
      </c>
      <c r="BE275" s="103">
        <f t="shared" ca="1" si="47"/>
        <v>53546</v>
      </c>
      <c r="BF275" s="102">
        <f t="shared" si="52"/>
        <v>-68561.653092635141</v>
      </c>
    </row>
    <row r="276" spans="48:58" hidden="1" x14ac:dyDescent="0.25">
      <c r="AV276">
        <v>246</v>
      </c>
      <c r="AW276" s="94" t="str">
        <f t="shared" ca="1" si="44"/>
        <v/>
      </c>
      <c r="AX276" s="95" t="str">
        <f t="shared" si="48"/>
        <v/>
      </c>
      <c r="AY276" s="98" t="str">
        <f t="shared" ca="1" si="45"/>
        <v/>
      </c>
      <c r="AZ276" s="95" t="str">
        <f t="shared" si="49"/>
        <v/>
      </c>
      <c r="BA276" s="99" t="str">
        <f t="shared" ca="1" si="46"/>
        <v/>
      </c>
      <c r="BB276" s="97" t="str">
        <f t="shared" si="50"/>
        <v/>
      </c>
      <c r="BC276" s="101" t="str">
        <f t="shared" ca="1" si="53"/>
        <v/>
      </c>
      <c r="BD276" s="100" t="str">
        <f t="shared" si="51"/>
        <v/>
      </c>
      <c r="BE276" s="103">
        <f t="shared" ca="1" si="47"/>
        <v>53577</v>
      </c>
      <c r="BF276" s="102">
        <f t="shared" si="52"/>
        <v>-68561.653092635141</v>
      </c>
    </row>
    <row r="277" spans="48:58" hidden="1" x14ac:dyDescent="0.25">
      <c r="AV277">
        <v>247</v>
      </c>
      <c r="AW277" s="94" t="str">
        <f t="shared" ca="1" si="44"/>
        <v/>
      </c>
      <c r="AX277" s="95" t="str">
        <f t="shared" si="48"/>
        <v/>
      </c>
      <c r="AY277" s="98" t="str">
        <f t="shared" ca="1" si="45"/>
        <v/>
      </c>
      <c r="AZ277" s="95" t="str">
        <f t="shared" si="49"/>
        <v/>
      </c>
      <c r="BA277" s="99" t="str">
        <f t="shared" ca="1" si="46"/>
        <v/>
      </c>
      <c r="BB277" s="97" t="str">
        <f t="shared" si="50"/>
        <v/>
      </c>
      <c r="BC277" s="101" t="str">
        <f t="shared" ca="1" si="53"/>
        <v/>
      </c>
      <c r="BD277" s="100" t="str">
        <f t="shared" si="51"/>
        <v/>
      </c>
      <c r="BE277" s="103">
        <f t="shared" ca="1" si="47"/>
        <v>53607</v>
      </c>
      <c r="BF277" s="102">
        <f t="shared" si="52"/>
        <v>-68561.653092635141</v>
      </c>
    </row>
    <row r="278" spans="48:58" hidden="1" x14ac:dyDescent="0.25">
      <c r="AV278">
        <v>248</v>
      </c>
      <c r="AW278" s="94" t="str">
        <f t="shared" ca="1" si="44"/>
        <v/>
      </c>
      <c r="AX278" s="95" t="str">
        <f t="shared" si="48"/>
        <v/>
      </c>
      <c r="AY278" s="98" t="str">
        <f t="shared" ca="1" si="45"/>
        <v/>
      </c>
      <c r="AZ278" s="95" t="str">
        <f t="shared" si="49"/>
        <v/>
      </c>
      <c r="BA278" s="99" t="str">
        <f t="shared" ca="1" si="46"/>
        <v/>
      </c>
      <c r="BB278" s="97" t="str">
        <f t="shared" si="50"/>
        <v/>
      </c>
      <c r="BC278" s="101" t="str">
        <f t="shared" ca="1" si="53"/>
        <v/>
      </c>
      <c r="BD278" s="100" t="str">
        <f t="shared" si="51"/>
        <v/>
      </c>
      <c r="BE278" s="103">
        <f t="shared" ca="1" si="47"/>
        <v>53638</v>
      </c>
      <c r="BF278" s="102">
        <f t="shared" si="52"/>
        <v>-68561.653092635141</v>
      </c>
    </row>
    <row r="279" spans="48:58" hidden="1" x14ac:dyDescent="0.25">
      <c r="AV279">
        <v>249</v>
      </c>
      <c r="AW279" s="94" t="str">
        <f t="shared" ca="1" si="44"/>
        <v/>
      </c>
      <c r="AX279" s="95" t="str">
        <f t="shared" si="48"/>
        <v/>
      </c>
      <c r="AY279" s="98" t="str">
        <f t="shared" ca="1" si="45"/>
        <v/>
      </c>
      <c r="AZ279" s="95" t="str">
        <f t="shared" si="49"/>
        <v/>
      </c>
      <c r="BA279" s="99" t="str">
        <f t="shared" ca="1" si="46"/>
        <v/>
      </c>
      <c r="BB279" s="97" t="str">
        <f t="shared" si="50"/>
        <v/>
      </c>
      <c r="BC279" s="101" t="str">
        <f t="shared" ca="1" si="53"/>
        <v/>
      </c>
      <c r="BD279" s="100" t="str">
        <f t="shared" si="51"/>
        <v/>
      </c>
      <c r="BE279" s="103">
        <f t="shared" ca="1" si="47"/>
        <v>53668</v>
      </c>
      <c r="BF279" s="102">
        <f t="shared" si="52"/>
        <v>-68561.653092635141</v>
      </c>
    </row>
    <row r="280" spans="48:58" hidden="1" x14ac:dyDescent="0.25">
      <c r="AV280">
        <v>250</v>
      </c>
      <c r="AW280" s="94" t="str">
        <f t="shared" ca="1" si="44"/>
        <v/>
      </c>
      <c r="AX280" s="95" t="str">
        <f t="shared" si="48"/>
        <v/>
      </c>
      <c r="AY280" s="98" t="str">
        <f t="shared" ca="1" si="45"/>
        <v/>
      </c>
      <c r="AZ280" s="95" t="str">
        <f t="shared" si="49"/>
        <v/>
      </c>
      <c r="BA280" s="99" t="str">
        <f t="shared" ca="1" si="46"/>
        <v/>
      </c>
      <c r="BB280" s="97" t="str">
        <f t="shared" si="50"/>
        <v/>
      </c>
      <c r="BC280" s="101" t="str">
        <f t="shared" ca="1" si="53"/>
        <v/>
      </c>
      <c r="BD280" s="100" t="str">
        <f t="shared" si="51"/>
        <v/>
      </c>
      <c r="BE280" s="103">
        <f t="shared" ca="1" si="47"/>
        <v>53699</v>
      </c>
      <c r="BF280" s="102">
        <f t="shared" si="52"/>
        <v>-68561.653092635141</v>
      </c>
    </row>
    <row r="281" spans="48:58" hidden="1" x14ac:dyDescent="0.25">
      <c r="AV281">
        <v>251</v>
      </c>
      <c r="AW281" s="94" t="str">
        <f t="shared" ca="1" si="44"/>
        <v/>
      </c>
      <c r="AX281" s="95" t="str">
        <f t="shared" si="48"/>
        <v/>
      </c>
      <c r="AY281" s="98" t="str">
        <f t="shared" ca="1" si="45"/>
        <v/>
      </c>
      <c r="AZ281" s="95" t="str">
        <f t="shared" si="49"/>
        <v/>
      </c>
      <c r="BA281" s="99" t="str">
        <f t="shared" ca="1" si="46"/>
        <v/>
      </c>
      <c r="BB281" s="97" t="str">
        <f t="shared" si="50"/>
        <v/>
      </c>
      <c r="BC281" s="101" t="str">
        <f t="shared" ca="1" si="53"/>
        <v/>
      </c>
      <c r="BD281" s="100" t="str">
        <f t="shared" si="51"/>
        <v/>
      </c>
      <c r="BE281" s="103">
        <f t="shared" ca="1" si="47"/>
        <v>53730</v>
      </c>
      <c r="BF281" s="102">
        <f t="shared" si="52"/>
        <v>-68561.653092635141</v>
      </c>
    </row>
    <row r="282" spans="48:58" hidden="1" x14ac:dyDescent="0.25">
      <c r="AV282">
        <v>252</v>
      </c>
      <c r="AW282" s="94" t="str">
        <f t="shared" ca="1" si="44"/>
        <v/>
      </c>
      <c r="AX282" s="95" t="str">
        <f t="shared" si="48"/>
        <v/>
      </c>
      <c r="AY282" s="98" t="str">
        <f t="shared" ca="1" si="45"/>
        <v/>
      </c>
      <c r="AZ282" s="95" t="str">
        <f t="shared" si="49"/>
        <v/>
      </c>
      <c r="BA282" s="99" t="str">
        <f t="shared" ca="1" si="46"/>
        <v/>
      </c>
      <c r="BB282" s="97" t="str">
        <f t="shared" si="50"/>
        <v/>
      </c>
      <c r="BC282" s="101" t="str">
        <f t="shared" ca="1" si="53"/>
        <v/>
      </c>
      <c r="BD282" s="100" t="str">
        <f t="shared" si="51"/>
        <v/>
      </c>
      <c r="BE282" s="103">
        <f t="shared" ca="1" si="47"/>
        <v>53758</v>
      </c>
      <c r="BF282" s="102">
        <f t="shared" si="52"/>
        <v>-68561.653092635141</v>
      </c>
    </row>
    <row r="283" spans="48:58" hidden="1" x14ac:dyDescent="0.25">
      <c r="AV283">
        <v>253</v>
      </c>
      <c r="AW283" s="94" t="str">
        <f t="shared" ca="1" si="44"/>
        <v/>
      </c>
      <c r="AX283" s="95" t="str">
        <f t="shared" si="48"/>
        <v/>
      </c>
      <c r="AY283" s="98" t="str">
        <f t="shared" ca="1" si="45"/>
        <v/>
      </c>
      <c r="AZ283" s="95" t="str">
        <f t="shared" si="49"/>
        <v/>
      </c>
      <c r="BA283" s="99" t="str">
        <f t="shared" ca="1" si="46"/>
        <v/>
      </c>
      <c r="BB283" s="97" t="str">
        <f t="shared" si="50"/>
        <v/>
      </c>
      <c r="BC283" s="101" t="str">
        <f t="shared" ca="1" si="53"/>
        <v/>
      </c>
      <c r="BD283" s="100" t="str">
        <f t="shared" si="51"/>
        <v/>
      </c>
      <c r="BE283" s="103">
        <f t="shared" ca="1" si="47"/>
        <v>53789</v>
      </c>
      <c r="BF283" s="102">
        <f t="shared" si="52"/>
        <v>-68561.653092635141</v>
      </c>
    </row>
    <row r="284" spans="48:58" hidden="1" x14ac:dyDescent="0.25">
      <c r="AV284">
        <v>254</v>
      </c>
      <c r="AW284" s="94" t="str">
        <f t="shared" ca="1" si="44"/>
        <v/>
      </c>
      <c r="AX284" s="95" t="str">
        <f t="shared" si="48"/>
        <v/>
      </c>
      <c r="AY284" s="98" t="str">
        <f t="shared" ca="1" si="45"/>
        <v/>
      </c>
      <c r="AZ284" s="95" t="str">
        <f t="shared" si="49"/>
        <v/>
      </c>
      <c r="BA284" s="99" t="str">
        <f t="shared" ca="1" si="46"/>
        <v/>
      </c>
      <c r="BB284" s="97" t="str">
        <f t="shared" si="50"/>
        <v/>
      </c>
      <c r="BC284" s="101" t="str">
        <f t="shared" ca="1" si="53"/>
        <v/>
      </c>
      <c r="BD284" s="100" t="str">
        <f t="shared" si="51"/>
        <v/>
      </c>
      <c r="BE284" s="103">
        <f t="shared" ca="1" si="47"/>
        <v>53819</v>
      </c>
      <c r="BF284" s="102">
        <f t="shared" si="52"/>
        <v>-68561.653092635141</v>
      </c>
    </row>
    <row r="285" spans="48:58" hidden="1" x14ac:dyDescent="0.25">
      <c r="AV285">
        <v>255</v>
      </c>
      <c r="AW285" s="94" t="str">
        <f t="shared" ca="1" si="44"/>
        <v/>
      </c>
      <c r="AX285" s="95" t="str">
        <f t="shared" si="48"/>
        <v/>
      </c>
      <c r="AY285" s="98" t="str">
        <f t="shared" ca="1" si="45"/>
        <v/>
      </c>
      <c r="AZ285" s="95" t="str">
        <f t="shared" si="49"/>
        <v/>
      </c>
      <c r="BA285" s="99" t="str">
        <f t="shared" ca="1" si="46"/>
        <v/>
      </c>
      <c r="BB285" s="97" t="str">
        <f t="shared" si="50"/>
        <v/>
      </c>
      <c r="BC285" s="101" t="str">
        <f t="shared" ca="1" si="53"/>
        <v/>
      </c>
      <c r="BD285" s="100" t="str">
        <f t="shared" si="51"/>
        <v/>
      </c>
      <c r="BE285" s="103">
        <f t="shared" ca="1" si="47"/>
        <v>53850</v>
      </c>
      <c r="BF285" s="102">
        <f t="shared" si="52"/>
        <v>-68561.653092635141</v>
      </c>
    </row>
    <row r="286" spans="48:58" hidden="1" x14ac:dyDescent="0.25">
      <c r="AV286">
        <v>256</v>
      </c>
      <c r="AW286" s="94" t="str">
        <f t="shared" ca="1" si="44"/>
        <v/>
      </c>
      <c r="AX286" s="95" t="str">
        <f t="shared" si="48"/>
        <v/>
      </c>
      <c r="AY286" s="98" t="str">
        <f t="shared" ca="1" si="45"/>
        <v/>
      </c>
      <c r="AZ286" s="95" t="str">
        <f t="shared" si="49"/>
        <v/>
      </c>
      <c r="BA286" s="99" t="str">
        <f t="shared" ca="1" si="46"/>
        <v/>
      </c>
      <c r="BB286" s="97" t="str">
        <f t="shared" si="50"/>
        <v/>
      </c>
      <c r="BC286" s="101" t="str">
        <f t="shared" ca="1" si="53"/>
        <v/>
      </c>
      <c r="BD286" s="100" t="str">
        <f t="shared" si="51"/>
        <v/>
      </c>
      <c r="BE286" s="103">
        <f t="shared" ca="1" si="47"/>
        <v>53880</v>
      </c>
      <c r="BF286" s="102">
        <f t="shared" si="52"/>
        <v>-68561.653092635141</v>
      </c>
    </row>
    <row r="287" spans="48:58" hidden="1" x14ac:dyDescent="0.25">
      <c r="AV287">
        <v>257</v>
      </c>
      <c r="AW287" s="94" t="str">
        <f t="shared" ref="AW287:AW350" ca="1" si="54">IF(T_1*12&gt;=AV287,DATE(YEAR(TODAY()),MONTH(TODAY())+AV287-1,DAY(TODAY())),IF(T_1*12+1&gt;=AV287,DATE(YEAR(TODAY()),MONTH(TODAY())+T_1*12,DAY(TODAY())),""))</f>
        <v/>
      </c>
      <c r="AX287" s="95" t="str">
        <f t="shared" si="48"/>
        <v/>
      </c>
      <c r="AY287" s="98" t="str">
        <f t="shared" ref="AY287:AY350" ca="1" si="55">IF(T_2*12&gt;=$AV287,DATE(YEAR(TODAY()),MONTH(TODAY())+$AV287-1,DAY(TODAY())),IF(T_2*12+1&gt;=$AV287,DATE(YEAR(TODAY()),MONTH(TODAY())+T_2*12,DAY(TODAY())),""))</f>
        <v/>
      </c>
      <c r="AZ287" s="95" t="str">
        <f t="shared" si="49"/>
        <v/>
      </c>
      <c r="BA287" s="99" t="str">
        <f t="shared" ref="BA287:BA350" ca="1" si="56">IF(T_3*12&gt;=$AV287,DATE(YEAR(TODAY()),MONTH(TODAY())+$AV287-1,DAY(TODAY())),IF(T_3*12+1&gt;=$AV287,DATE(YEAR(TODAY()),MONTH(TODAY())+T_3*12,DAY(TODAY())),""))</f>
        <v/>
      </c>
      <c r="BB287" s="97" t="str">
        <f t="shared" si="50"/>
        <v/>
      </c>
      <c r="BC287" s="101" t="str">
        <f t="shared" ca="1" si="53"/>
        <v/>
      </c>
      <c r="BD287" s="100" t="str">
        <f t="shared" si="51"/>
        <v/>
      </c>
      <c r="BE287" s="103">
        <f t="shared" ref="BE287:BE350" ca="1" si="57">IF(T_5*12&gt;=$AV287,DATE(YEAR(TODAY()),MONTH(TODAY())+$AV287-1,DAY(TODAY())),IF(T_5*12+1&gt;=$AV287,DATE(YEAR(TODAY()),MONTH(TODAY())+T_5*12,DAY(TODAY())),""))</f>
        <v>53911</v>
      </c>
      <c r="BF287" s="102">
        <f t="shared" si="52"/>
        <v>-68561.653092635141</v>
      </c>
    </row>
    <row r="288" spans="48:58" hidden="1" x14ac:dyDescent="0.25">
      <c r="AV288">
        <v>258</v>
      </c>
      <c r="AW288" s="94" t="str">
        <f t="shared" ca="1" si="54"/>
        <v/>
      </c>
      <c r="AX288" s="95" t="str">
        <f t="shared" ref="AX288:AX351" si="58">IF(T_1*12&gt;=AV288,-1*$I$15,IF(T_1*12+1&gt;=AV288,InfG_1,""))</f>
        <v/>
      </c>
      <c r="AY288" s="98" t="str">
        <f t="shared" ca="1" si="55"/>
        <v/>
      </c>
      <c r="AZ288" s="95" t="str">
        <f t="shared" ref="AZ288:AZ351" si="59">IF(T_2*12&gt;=$AV288,-1*$I$17,IF(T_2*12+1&gt;=$AV288,InfG_2,""))</f>
        <v/>
      </c>
      <c r="BA288" s="99" t="str">
        <f t="shared" ca="1" si="56"/>
        <v/>
      </c>
      <c r="BB288" s="97" t="str">
        <f t="shared" ref="BB288:BB351" si="60">IF(T_3*12&gt;=$AV288,-1*$I$19,IF(T_3*12+1&gt;=$AV288,InfG_3,""))</f>
        <v/>
      </c>
      <c r="BC288" s="101" t="str">
        <f t="shared" ca="1" si="53"/>
        <v/>
      </c>
      <c r="BD288" s="100" t="str">
        <f t="shared" ref="BD288:BD351" si="61">IF(T_4*12&gt;=$AV288,-1*$I$21,IF(T_4*12+1&gt;=$AV288,InfG_4,""))</f>
        <v/>
      </c>
      <c r="BE288" s="103">
        <f t="shared" ca="1" si="57"/>
        <v>53942</v>
      </c>
      <c r="BF288" s="102">
        <f t="shared" ref="BF288:BF351" si="62">IF(T_5*12&gt;=$AV288,-1*$I$23,IF(T_5*12+1&gt;=$AV288,InfG_5,""))</f>
        <v>-68561.653092635141</v>
      </c>
    </row>
    <row r="289" spans="48:58" hidden="1" x14ac:dyDescent="0.25">
      <c r="AV289">
        <v>259</v>
      </c>
      <c r="AW289" s="94" t="str">
        <f t="shared" ca="1" si="54"/>
        <v/>
      </c>
      <c r="AX289" s="95" t="str">
        <f t="shared" si="58"/>
        <v/>
      </c>
      <c r="AY289" s="98" t="str">
        <f t="shared" ca="1" si="55"/>
        <v/>
      </c>
      <c r="AZ289" s="95" t="str">
        <f t="shared" si="59"/>
        <v/>
      </c>
      <c r="BA289" s="99" t="str">
        <f t="shared" ca="1" si="56"/>
        <v/>
      </c>
      <c r="BB289" s="97" t="str">
        <f t="shared" si="60"/>
        <v/>
      </c>
      <c r="BC289" s="101" t="str">
        <f t="shared" ref="BC289:BC352" ca="1" si="63">IF(T_4*12&gt;=AV289,DATE(YEAR(TODAY()),MONTH(TODAY())+AV289-1,DAY(TODAY())),IF(T_4*12+1&gt;=AV289,DATE(YEAR(TODAY()),MONTH(TODAY())+T_4*12,DAY(TODAY())),""))</f>
        <v/>
      </c>
      <c r="BD289" s="100" t="str">
        <f t="shared" si="61"/>
        <v/>
      </c>
      <c r="BE289" s="103">
        <f t="shared" ca="1" si="57"/>
        <v>53972</v>
      </c>
      <c r="BF289" s="102">
        <f t="shared" si="62"/>
        <v>-68561.653092635141</v>
      </c>
    </row>
    <row r="290" spans="48:58" hidden="1" x14ac:dyDescent="0.25">
      <c r="AV290">
        <v>260</v>
      </c>
      <c r="AW290" s="94" t="str">
        <f t="shared" ca="1" si="54"/>
        <v/>
      </c>
      <c r="AX290" s="95" t="str">
        <f t="shared" si="58"/>
        <v/>
      </c>
      <c r="AY290" s="98" t="str">
        <f t="shared" ca="1" si="55"/>
        <v/>
      </c>
      <c r="AZ290" s="95" t="str">
        <f t="shared" si="59"/>
        <v/>
      </c>
      <c r="BA290" s="99" t="str">
        <f t="shared" ca="1" si="56"/>
        <v/>
      </c>
      <c r="BB290" s="97" t="str">
        <f t="shared" si="60"/>
        <v/>
      </c>
      <c r="BC290" s="101" t="str">
        <f t="shared" ca="1" si="63"/>
        <v/>
      </c>
      <c r="BD290" s="100" t="str">
        <f t="shared" si="61"/>
        <v/>
      </c>
      <c r="BE290" s="103">
        <f t="shared" ca="1" si="57"/>
        <v>54003</v>
      </c>
      <c r="BF290" s="102">
        <f t="shared" si="62"/>
        <v>-68561.653092635141</v>
      </c>
    </row>
    <row r="291" spans="48:58" hidden="1" x14ac:dyDescent="0.25">
      <c r="AV291">
        <v>261</v>
      </c>
      <c r="AW291" s="94" t="str">
        <f t="shared" ca="1" si="54"/>
        <v/>
      </c>
      <c r="AX291" s="95" t="str">
        <f t="shared" si="58"/>
        <v/>
      </c>
      <c r="AY291" s="98" t="str">
        <f t="shared" ca="1" si="55"/>
        <v/>
      </c>
      <c r="AZ291" s="95" t="str">
        <f t="shared" si="59"/>
        <v/>
      </c>
      <c r="BA291" s="99" t="str">
        <f t="shared" ca="1" si="56"/>
        <v/>
      </c>
      <c r="BB291" s="97" t="str">
        <f t="shared" si="60"/>
        <v/>
      </c>
      <c r="BC291" s="101" t="str">
        <f t="shared" ca="1" si="63"/>
        <v/>
      </c>
      <c r="BD291" s="100" t="str">
        <f t="shared" si="61"/>
        <v/>
      </c>
      <c r="BE291" s="103">
        <f t="shared" ca="1" si="57"/>
        <v>54033</v>
      </c>
      <c r="BF291" s="102">
        <f t="shared" si="62"/>
        <v>-68561.653092635141</v>
      </c>
    </row>
    <row r="292" spans="48:58" hidden="1" x14ac:dyDescent="0.25">
      <c r="AV292">
        <v>262</v>
      </c>
      <c r="AW292" s="94" t="str">
        <f t="shared" ca="1" si="54"/>
        <v/>
      </c>
      <c r="AX292" s="95" t="str">
        <f t="shared" si="58"/>
        <v/>
      </c>
      <c r="AY292" s="98" t="str">
        <f t="shared" ca="1" si="55"/>
        <v/>
      </c>
      <c r="AZ292" s="95" t="str">
        <f t="shared" si="59"/>
        <v/>
      </c>
      <c r="BA292" s="99" t="str">
        <f t="shared" ca="1" si="56"/>
        <v/>
      </c>
      <c r="BB292" s="97" t="str">
        <f t="shared" si="60"/>
        <v/>
      </c>
      <c r="BC292" s="101" t="str">
        <f t="shared" ca="1" si="63"/>
        <v/>
      </c>
      <c r="BD292" s="100" t="str">
        <f t="shared" si="61"/>
        <v/>
      </c>
      <c r="BE292" s="103">
        <f t="shared" ca="1" si="57"/>
        <v>54064</v>
      </c>
      <c r="BF292" s="102">
        <f t="shared" si="62"/>
        <v>-68561.653092635141</v>
      </c>
    </row>
    <row r="293" spans="48:58" hidden="1" x14ac:dyDescent="0.25">
      <c r="AV293">
        <v>263</v>
      </c>
      <c r="AW293" s="94" t="str">
        <f t="shared" ca="1" si="54"/>
        <v/>
      </c>
      <c r="AX293" s="95" t="str">
        <f t="shared" si="58"/>
        <v/>
      </c>
      <c r="AY293" s="98" t="str">
        <f t="shared" ca="1" si="55"/>
        <v/>
      </c>
      <c r="AZ293" s="95" t="str">
        <f t="shared" si="59"/>
        <v/>
      </c>
      <c r="BA293" s="99" t="str">
        <f t="shared" ca="1" si="56"/>
        <v/>
      </c>
      <c r="BB293" s="97" t="str">
        <f t="shared" si="60"/>
        <v/>
      </c>
      <c r="BC293" s="101" t="str">
        <f t="shared" ca="1" si="63"/>
        <v/>
      </c>
      <c r="BD293" s="100" t="str">
        <f t="shared" si="61"/>
        <v/>
      </c>
      <c r="BE293" s="103">
        <f t="shared" ca="1" si="57"/>
        <v>54095</v>
      </c>
      <c r="BF293" s="102">
        <f t="shared" si="62"/>
        <v>-68561.653092635141</v>
      </c>
    </row>
    <row r="294" spans="48:58" hidden="1" x14ac:dyDescent="0.25">
      <c r="AV294">
        <v>264</v>
      </c>
      <c r="AW294" s="94" t="str">
        <f t="shared" ca="1" si="54"/>
        <v/>
      </c>
      <c r="AX294" s="95" t="str">
        <f t="shared" si="58"/>
        <v/>
      </c>
      <c r="AY294" s="98" t="str">
        <f t="shared" ca="1" si="55"/>
        <v/>
      </c>
      <c r="AZ294" s="95" t="str">
        <f t="shared" si="59"/>
        <v/>
      </c>
      <c r="BA294" s="99" t="str">
        <f t="shared" ca="1" si="56"/>
        <v/>
      </c>
      <c r="BB294" s="97" t="str">
        <f t="shared" si="60"/>
        <v/>
      </c>
      <c r="BC294" s="101" t="str">
        <f t="shared" ca="1" si="63"/>
        <v/>
      </c>
      <c r="BD294" s="100" t="str">
        <f t="shared" si="61"/>
        <v/>
      </c>
      <c r="BE294" s="103">
        <f t="shared" ca="1" si="57"/>
        <v>54124</v>
      </c>
      <c r="BF294" s="102">
        <f t="shared" si="62"/>
        <v>-68561.653092635141</v>
      </c>
    </row>
    <row r="295" spans="48:58" hidden="1" x14ac:dyDescent="0.25">
      <c r="AV295">
        <v>265</v>
      </c>
      <c r="AW295" s="94" t="str">
        <f t="shared" ca="1" si="54"/>
        <v/>
      </c>
      <c r="AX295" s="95" t="str">
        <f t="shared" si="58"/>
        <v/>
      </c>
      <c r="AY295" s="98" t="str">
        <f t="shared" ca="1" si="55"/>
        <v/>
      </c>
      <c r="AZ295" s="95" t="str">
        <f t="shared" si="59"/>
        <v/>
      </c>
      <c r="BA295" s="99" t="str">
        <f t="shared" ca="1" si="56"/>
        <v/>
      </c>
      <c r="BB295" s="97" t="str">
        <f t="shared" si="60"/>
        <v/>
      </c>
      <c r="BC295" s="101" t="str">
        <f t="shared" ca="1" si="63"/>
        <v/>
      </c>
      <c r="BD295" s="100" t="str">
        <f t="shared" si="61"/>
        <v/>
      </c>
      <c r="BE295" s="103">
        <f t="shared" ca="1" si="57"/>
        <v>54155</v>
      </c>
      <c r="BF295" s="102">
        <f t="shared" si="62"/>
        <v>-68561.653092635141</v>
      </c>
    </row>
    <row r="296" spans="48:58" hidden="1" x14ac:dyDescent="0.25">
      <c r="AV296">
        <v>266</v>
      </c>
      <c r="AW296" s="94" t="str">
        <f t="shared" ca="1" si="54"/>
        <v/>
      </c>
      <c r="AX296" s="95" t="str">
        <f t="shared" si="58"/>
        <v/>
      </c>
      <c r="AY296" s="98" t="str">
        <f t="shared" ca="1" si="55"/>
        <v/>
      </c>
      <c r="AZ296" s="95" t="str">
        <f t="shared" si="59"/>
        <v/>
      </c>
      <c r="BA296" s="99" t="str">
        <f t="shared" ca="1" si="56"/>
        <v/>
      </c>
      <c r="BB296" s="97" t="str">
        <f t="shared" si="60"/>
        <v/>
      </c>
      <c r="BC296" s="101" t="str">
        <f t="shared" ca="1" si="63"/>
        <v/>
      </c>
      <c r="BD296" s="100" t="str">
        <f t="shared" si="61"/>
        <v/>
      </c>
      <c r="BE296" s="103">
        <f t="shared" ca="1" si="57"/>
        <v>54185</v>
      </c>
      <c r="BF296" s="102">
        <f t="shared" si="62"/>
        <v>-68561.653092635141</v>
      </c>
    </row>
    <row r="297" spans="48:58" hidden="1" x14ac:dyDescent="0.25">
      <c r="AV297">
        <v>267</v>
      </c>
      <c r="AW297" s="94" t="str">
        <f t="shared" ca="1" si="54"/>
        <v/>
      </c>
      <c r="AX297" s="95" t="str">
        <f t="shared" si="58"/>
        <v/>
      </c>
      <c r="AY297" s="98" t="str">
        <f t="shared" ca="1" si="55"/>
        <v/>
      </c>
      <c r="AZ297" s="95" t="str">
        <f t="shared" si="59"/>
        <v/>
      </c>
      <c r="BA297" s="99" t="str">
        <f t="shared" ca="1" si="56"/>
        <v/>
      </c>
      <c r="BB297" s="97" t="str">
        <f t="shared" si="60"/>
        <v/>
      </c>
      <c r="BC297" s="101" t="str">
        <f t="shared" ca="1" si="63"/>
        <v/>
      </c>
      <c r="BD297" s="100" t="str">
        <f t="shared" si="61"/>
        <v/>
      </c>
      <c r="BE297" s="103">
        <f t="shared" ca="1" si="57"/>
        <v>54216</v>
      </c>
      <c r="BF297" s="102">
        <f t="shared" si="62"/>
        <v>-68561.653092635141</v>
      </c>
    </row>
    <row r="298" spans="48:58" hidden="1" x14ac:dyDescent="0.25">
      <c r="AV298">
        <v>268</v>
      </c>
      <c r="AW298" s="94" t="str">
        <f t="shared" ca="1" si="54"/>
        <v/>
      </c>
      <c r="AX298" s="95" t="str">
        <f t="shared" si="58"/>
        <v/>
      </c>
      <c r="AY298" s="98" t="str">
        <f t="shared" ca="1" si="55"/>
        <v/>
      </c>
      <c r="AZ298" s="95" t="str">
        <f t="shared" si="59"/>
        <v/>
      </c>
      <c r="BA298" s="99" t="str">
        <f t="shared" ca="1" si="56"/>
        <v/>
      </c>
      <c r="BB298" s="97" t="str">
        <f t="shared" si="60"/>
        <v/>
      </c>
      <c r="BC298" s="101" t="str">
        <f t="shared" ca="1" si="63"/>
        <v/>
      </c>
      <c r="BD298" s="100" t="str">
        <f t="shared" si="61"/>
        <v/>
      </c>
      <c r="BE298" s="103">
        <f t="shared" ca="1" si="57"/>
        <v>54246</v>
      </c>
      <c r="BF298" s="102">
        <f t="shared" si="62"/>
        <v>-68561.653092635141</v>
      </c>
    </row>
    <row r="299" spans="48:58" hidden="1" x14ac:dyDescent="0.25">
      <c r="AV299">
        <v>269</v>
      </c>
      <c r="AW299" s="94" t="str">
        <f t="shared" ca="1" si="54"/>
        <v/>
      </c>
      <c r="AX299" s="95" t="str">
        <f t="shared" si="58"/>
        <v/>
      </c>
      <c r="AY299" s="98" t="str">
        <f t="shared" ca="1" si="55"/>
        <v/>
      </c>
      <c r="AZ299" s="95" t="str">
        <f t="shared" si="59"/>
        <v/>
      </c>
      <c r="BA299" s="99" t="str">
        <f t="shared" ca="1" si="56"/>
        <v/>
      </c>
      <c r="BB299" s="97" t="str">
        <f t="shared" si="60"/>
        <v/>
      </c>
      <c r="BC299" s="101" t="str">
        <f t="shared" ca="1" si="63"/>
        <v/>
      </c>
      <c r="BD299" s="100" t="str">
        <f t="shared" si="61"/>
        <v/>
      </c>
      <c r="BE299" s="103">
        <f t="shared" ca="1" si="57"/>
        <v>54277</v>
      </c>
      <c r="BF299" s="102">
        <f t="shared" si="62"/>
        <v>-68561.653092635141</v>
      </c>
    </row>
    <row r="300" spans="48:58" hidden="1" x14ac:dyDescent="0.25">
      <c r="AV300">
        <v>270</v>
      </c>
      <c r="AW300" s="94" t="str">
        <f t="shared" ca="1" si="54"/>
        <v/>
      </c>
      <c r="AX300" s="95" t="str">
        <f t="shared" si="58"/>
        <v/>
      </c>
      <c r="AY300" s="98" t="str">
        <f t="shared" ca="1" si="55"/>
        <v/>
      </c>
      <c r="AZ300" s="95" t="str">
        <f t="shared" si="59"/>
        <v/>
      </c>
      <c r="BA300" s="99" t="str">
        <f t="shared" ca="1" si="56"/>
        <v/>
      </c>
      <c r="BB300" s="97" t="str">
        <f t="shared" si="60"/>
        <v/>
      </c>
      <c r="BC300" s="101" t="str">
        <f t="shared" ca="1" si="63"/>
        <v/>
      </c>
      <c r="BD300" s="100" t="str">
        <f t="shared" si="61"/>
        <v/>
      </c>
      <c r="BE300" s="103">
        <f t="shared" ca="1" si="57"/>
        <v>54308</v>
      </c>
      <c r="BF300" s="102">
        <f t="shared" si="62"/>
        <v>-68561.653092635141</v>
      </c>
    </row>
    <row r="301" spans="48:58" hidden="1" x14ac:dyDescent="0.25">
      <c r="AV301">
        <v>271</v>
      </c>
      <c r="AW301" s="94" t="str">
        <f t="shared" ca="1" si="54"/>
        <v/>
      </c>
      <c r="AX301" s="95" t="str">
        <f t="shared" si="58"/>
        <v/>
      </c>
      <c r="AY301" s="98" t="str">
        <f t="shared" ca="1" si="55"/>
        <v/>
      </c>
      <c r="AZ301" s="95" t="str">
        <f t="shared" si="59"/>
        <v/>
      </c>
      <c r="BA301" s="99" t="str">
        <f t="shared" ca="1" si="56"/>
        <v/>
      </c>
      <c r="BB301" s="97" t="str">
        <f t="shared" si="60"/>
        <v/>
      </c>
      <c r="BC301" s="101" t="str">
        <f t="shared" ca="1" si="63"/>
        <v/>
      </c>
      <c r="BD301" s="100" t="str">
        <f t="shared" si="61"/>
        <v/>
      </c>
      <c r="BE301" s="103">
        <f t="shared" ca="1" si="57"/>
        <v>54338</v>
      </c>
      <c r="BF301" s="102">
        <f t="shared" si="62"/>
        <v>-68561.653092635141</v>
      </c>
    </row>
    <row r="302" spans="48:58" hidden="1" x14ac:dyDescent="0.25">
      <c r="AV302">
        <v>272</v>
      </c>
      <c r="AW302" s="94" t="str">
        <f t="shared" ca="1" si="54"/>
        <v/>
      </c>
      <c r="AX302" s="95" t="str">
        <f t="shared" si="58"/>
        <v/>
      </c>
      <c r="AY302" s="98" t="str">
        <f t="shared" ca="1" si="55"/>
        <v/>
      </c>
      <c r="AZ302" s="95" t="str">
        <f t="shared" si="59"/>
        <v/>
      </c>
      <c r="BA302" s="99" t="str">
        <f t="shared" ca="1" si="56"/>
        <v/>
      </c>
      <c r="BB302" s="97" t="str">
        <f t="shared" si="60"/>
        <v/>
      </c>
      <c r="BC302" s="101" t="str">
        <f t="shared" ca="1" si="63"/>
        <v/>
      </c>
      <c r="BD302" s="100" t="str">
        <f t="shared" si="61"/>
        <v/>
      </c>
      <c r="BE302" s="103">
        <f t="shared" ca="1" si="57"/>
        <v>54369</v>
      </c>
      <c r="BF302" s="102">
        <f t="shared" si="62"/>
        <v>-68561.653092635141</v>
      </c>
    </row>
    <row r="303" spans="48:58" hidden="1" x14ac:dyDescent="0.25">
      <c r="AV303">
        <v>273</v>
      </c>
      <c r="AW303" s="94" t="str">
        <f t="shared" ca="1" si="54"/>
        <v/>
      </c>
      <c r="AX303" s="95" t="str">
        <f t="shared" si="58"/>
        <v/>
      </c>
      <c r="AY303" s="98" t="str">
        <f t="shared" ca="1" si="55"/>
        <v/>
      </c>
      <c r="AZ303" s="95" t="str">
        <f t="shared" si="59"/>
        <v/>
      </c>
      <c r="BA303" s="99" t="str">
        <f t="shared" ca="1" si="56"/>
        <v/>
      </c>
      <c r="BB303" s="97" t="str">
        <f t="shared" si="60"/>
        <v/>
      </c>
      <c r="BC303" s="101" t="str">
        <f t="shared" ca="1" si="63"/>
        <v/>
      </c>
      <c r="BD303" s="100" t="str">
        <f t="shared" si="61"/>
        <v/>
      </c>
      <c r="BE303" s="103">
        <f t="shared" ca="1" si="57"/>
        <v>54399</v>
      </c>
      <c r="BF303" s="102">
        <f t="shared" si="62"/>
        <v>-68561.653092635141</v>
      </c>
    </row>
    <row r="304" spans="48:58" hidden="1" x14ac:dyDescent="0.25">
      <c r="AV304">
        <v>274</v>
      </c>
      <c r="AW304" s="94" t="str">
        <f t="shared" ca="1" si="54"/>
        <v/>
      </c>
      <c r="AX304" s="95" t="str">
        <f t="shared" si="58"/>
        <v/>
      </c>
      <c r="AY304" s="98" t="str">
        <f t="shared" ca="1" si="55"/>
        <v/>
      </c>
      <c r="AZ304" s="95" t="str">
        <f t="shared" si="59"/>
        <v/>
      </c>
      <c r="BA304" s="99" t="str">
        <f t="shared" ca="1" si="56"/>
        <v/>
      </c>
      <c r="BB304" s="97" t="str">
        <f t="shared" si="60"/>
        <v/>
      </c>
      <c r="BC304" s="101" t="str">
        <f t="shared" ca="1" si="63"/>
        <v/>
      </c>
      <c r="BD304" s="100" t="str">
        <f t="shared" si="61"/>
        <v/>
      </c>
      <c r="BE304" s="103">
        <f t="shared" ca="1" si="57"/>
        <v>54430</v>
      </c>
      <c r="BF304" s="102">
        <f t="shared" si="62"/>
        <v>-68561.653092635141</v>
      </c>
    </row>
    <row r="305" spans="48:58" hidden="1" x14ac:dyDescent="0.25">
      <c r="AV305">
        <v>275</v>
      </c>
      <c r="AW305" s="94" t="str">
        <f t="shared" ca="1" si="54"/>
        <v/>
      </c>
      <c r="AX305" s="95" t="str">
        <f t="shared" si="58"/>
        <v/>
      </c>
      <c r="AY305" s="98" t="str">
        <f t="shared" ca="1" si="55"/>
        <v/>
      </c>
      <c r="AZ305" s="95" t="str">
        <f t="shared" si="59"/>
        <v/>
      </c>
      <c r="BA305" s="99" t="str">
        <f t="shared" ca="1" si="56"/>
        <v/>
      </c>
      <c r="BB305" s="97" t="str">
        <f t="shared" si="60"/>
        <v/>
      </c>
      <c r="BC305" s="101" t="str">
        <f t="shared" ca="1" si="63"/>
        <v/>
      </c>
      <c r="BD305" s="100" t="str">
        <f t="shared" si="61"/>
        <v/>
      </c>
      <c r="BE305" s="103">
        <f t="shared" ca="1" si="57"/>
        <v>54461</v>
      </c>
      <c r="BF305" s="102">
        <f t="shared" si="62"/>
        <v>-68561.653092635141</v>
      </c>
    </row>
    <row r="306" spans="48:58" hidden="1" x14ac:dyDescent="0.25">
      <c r="AV306">
        <v>276</v>
      </c>
      <c r="AW306" s="94" t="str">
        <f t="shared" ca="1" si="54"/>
        <v/>
      </c>
      <c r="AX306" s="95" t="str">
        <f t="shared" si="58"/>
        <v/>
      </c>
      <c r="AY306" s="98" t="str">
        <f t="shared" ca="1" si="55"/>
        <v/>
      </c>
      <c r="AZ306" s="95" t="str">
        <f t="shared" si="59"/>
        <v/>
      </c>
      <c r="BA306" s="99" t="str">
        <f t="shared" ca="1" si="56"/>
        <v/>
      </c>
      <c r="BB306" s="97" t="str">
        <f t="shared" si="60"/>
        <v/>
      </c>
      <c r="BC306" s="101" t="str">
        <f t="shared" ca="1" si="63"/>
        <v/>
      </c>
      <c r="BD306" s="100" t="str">
        <f t="shared" si="61"/>
        <v/>
      </c>
      <c r="BE306" s="103">
        <f t="shared" ca="1" si="57"/>
        <v>54489</v>
      </c>
      <c r="BF306" s="102">
        <f t="shared" si="62"/>
        <v>-68561.653092635141</v>
      </c>
    </row>
    <row r="307" spans="48:58" hidden="1" x14ac:dyDescent="0.25">
      <c r="AV307">
        <v>277</v>
      </c>
      <c r="AW307" s="94" t="str">
        <f t="shared" ca="1" si="54"/>
        <v/>
      </c>
      <c r="AX307" s="95" t="str">
        <f t="shared" si="58"/>
        <v/>
      </c>
      <c r="AY307" s="98" t="str">
        <f t="shared" ca="1" si="55"/>
        <v/>
      </c>
      <c r="AZ307" s="95" t="str">
        <f t="shared" si="59"/>
        <v/>
      </c>
      <c r="BA307" s="99" t="str">
        <f t="shared" ca="1" si="56"/>
        <v/>
      </c>
      <c r="BB307" s="97" t="str">
        <f t="shared" si="60"/>
        <v/>
      </c>
      <c r="BC307" s="101" t="str">
        <f t="shared" ca="1" si="63"/>
        <v/>
      </c>
      <c r="BD307" s="100" t="str">
        <f t="shared" si="61"/>
        <v/>
      </c>
      <c r="BE307" s="103">
        <f t="shared" ca="1" si="57"/>
        <v>54520</v>
      </c>
      <c r="BF307" s="102">
        <f t="shared" si="62"/>
        <v>-68561.653092635141</v>
      </c>
    </row>
    <row r="308" spans="48:58" hidden="1" x14ac:dyDescent="0.25">
      <c r="AV308">
        <v>278</v>
      </c>
      <c r="AW308" s="94" t="str">
        <f t="shared" ca="1" si="54"/>
        <v/>
      </c>
      <c r="AX308" s="95" t="str">
        <f t="shared" si="58"/>
        <v/>
      </c>
      <c r="AY308" s="98" t="str">
        <f t="shared" ca="1" si="55"/>
        <v/>
      </c>
      <c r="AZ308" s="95" t="str">
        <f t="shared" si="59"/>
        <v/>
      </c>
      <c r="BA308" s="99" t="str">
        <f t="shared" ca="1" si="56"/>
        <v/>
      </c>
      <c r="BB308" s="97" t="str">
        <f t="shared" si="60"/>
        <v/>
      </c>
      <c r="BC308" s="101" t="str">
        <f t="shared" ca="1" si="63"/>
        <v/>
      </c>
      <c r="BD308" s="100" t="str">
        <f t="shared" si="61"/>
        <v/>
      </c>
      <c r="BE308" s="103">
        <f t="shared" ca="1" si="57"/>
        <v>54550</v>
      </c>
      <c r="BF308" s="102">
        <f t="shared" si="62"/>
        <v>-68561.653092635141</v>
      </c>
    </row>
    <row r="309" spans="48:58" hidden="1" x14ac:dyDescent="0.25">
      <c r="AV309">
        <v>279</v>
      </c>
      <c r="AW309" s="94" t="str">
        <f t="shared" ca="1" si="54"/>
        <v/>
      </c>
      <c r="AX309" s="95" t="str">
        <f t="shared" si="58"/>
        <v/>
      </c>
      <c r="AY309" s="98" t="str">
        <f t="shared" ca="1" si="55"/>
        <v/>
      </c>
      <c r="AZ309" s="95" t="str">
        <f t="shared" si="59"/>
        <v/>
      </c>
      <c r="BA309" s="99" t="str">
        <f t="shared" ca="1" si="56"/>
        <v/>
      </c>
      <c r="BB309" s="97" t="str">
        <f t="shared" si="60"/>
        <v/>
      </c>
      <c r="BC309" s="101" t="str">
        <f t="shared" ca="1" si="63"/>
        <v/>
      </c>
      <c r="BD309" s="100" t="str">
        <f t="shared" si="61"/>
        <v/>
      </c>
      <c r="BE309" s="103">
        <f t="shared" ca="1" si="57"/>
        <v>54581</v>
      </c>
      <c r="BF309" s="102">
        <f t="shared" si="62"/>
        <v>-68561.653092635141</v>
      </c>
    </row>
    <row r="310" spans="48:58" hidden="1" x14ac:dyDescent="0.25">
      <c r="AV310">
        <v>280</v>
      </c>
      <c r="AW310" s="94" t="str">
        <f t="shared" ca="1" si="54"/>
        <v/>
      </c>
      <c r="AX310" s="95" t="str">
        <f t="shared" si="58"/>
        <v/>
      </c>
      <c r="AY310" s="98" t="str">
        <f t="shared" ca="1" si="55"/>
        <v/>
      </c>
      <c r="AZ310" s="95" t="str">
        <f t="shared" si="59"/>
        <v/>
      </c>
      <c r="BA310" s="99" t="str">
        <f t="shared" ca="1" si="56"/>
        <v/>
      </c>
      <c r="BB310" s="97" t="str">
        <f t="shared" si="60"/>
        <v/>
      </c>
      <c r="BC310" s="101" t="str">
        <f t="shared" ca="1" si="63"/>
        <v/>
      </c>
      <c r="BD310" s="100" t="str">
        <f t="shared" si="61"/>
        <v/>
      </c>
      <c r="BE310" s="103">
        <f t="shared" ca="1" si="57"/>
        <v>54611</v>
      </c>
      <c r="BF310" s="102">
        <f t="shared" si="62"/>
        <v>-68561.653092635141</v>
      </c>
    </row>
    <row r="311" spans="48:58" hidden="1" x14ac:dyDescent="0.25">
      <c r="AV311">
        <v>281</v>
      </c>
      <c r="AW311" s="94" t="str">
        <f t="shared" ca="1" si="54"/>
        <v/>
      </c>
      <c r="AX311" s="95" t="str">
        <f t="shared" si="58"/>
        <v/>
      </c>
      <c r="AY311" s="98" t="str">
        <f t="shared" ca="1" si="55"/>
        <v/>
      </c>
      <c r="AZ311" s="95" t="str">
        <f t="shared" si="59"/>
        <v/>
      </c>
      <c r="BA311" s="99" t="str">
        <f t="shared" ca="1" si="56"/>
        <v/>
      </c>
      <c r="BB311" s="97" t="str">
        <f t="shared" si="60"/>
        <v/>
      </c>
      <c r="BC311" s="101" t="str">
        <f t="shared" ca="1" si="63"/>
        <v/>
      </c>
      <c r="BD311" s="100" t="str">
        <f t="shared" si="61"/>
        <v/>
      </c>
      <c r="BE311" s="103">
        <f t="shared" ca="1" si="57"/>
        <v>54642</v>
      </c>
      <c r="BF311" s="102">
        <f t="shared" si="62"/>
        <v>-68561.653092635141</v>
      </c>
    </row>
    <row r="312" spans="48:58" hidden="1" x14ac:dyDescent="0.25">
      <c r="AV312">
        <v>282</v>
      </c>
      <c r="AW312" s="94" t="str">
        <f t="shared" ca="1" si="54"/>
        <v/>
      </c>
      <c r="AX312" s="95" t="str">
        <f t="shared" si="58"/>
        <v/>
      </c>
      <c r="AY312" s="98" t="str">
        <f t="shared" ca="1" si="55"/>
        <v/>
      </c>
      <c r="AZ312" s="95" t="str">
        <f t="shared" si="59"/>
        <v/>
      </c>
      <c r="BA312" s="99" t="str">
        <f t="shared" ca="1" si="56"/>
        <v/>
      </c>
      <c r="BB312" s="97" t="str">
        <f t="shared" si="60"/>
        <v/>
      </c>
      <c r="BC312" s="101" t="str">
        <f t="shared" ca="1" si="63"/>
        <v/>
      </c>
      <c r="BD312" s="100" t="str">
        <f t="shared" si="61"/>
        <v/>
      </c>
      <c r="BE312" s="103">
        <f t="shared" ca="1" si="57"/>
        <v>54673</v>
      </c>
      <c r="BF312" s="102">
        <f t="shared" si="62"/>
        <v>-68561.653092635141</v>
      </c>
    </row>
    <row r="313" spans="48:58" hidden="1" x14ac:dyDescent="0.25">
      <c r="AV313">
        <v>283</v>
      </c>
      <c r="AW313" s="94" t="str">
        <f t="shared" ca="1" si="54"/>
        <v/>
      </c>
      <c r="AX313" s="95" t="str">
        <f t="shared" si="58"/>
        <v/>
      </c>
      <c r="AY313" s="98" t="str">
        <f t="shared" ca="1" si="55"/>
        <v/>
      </c>
      <c r="AZ313" s="95" t="str">
        <f t="shared" si="59"/>
        <v/>
      </c>
      <c r="BA313" s="99" t="str">
        <f t="shared" ca="1" si="56"/>
        <v/>
      </c>
      <c r="BB313" s="97" t="str">
        <f t="shared" si="60"/>
        <v/>
      </c>
      <c r="BC313" s="101" t="str">
        <f t="shared" ca="1" si="63"/>
        <v/>
      </c>
      <c r="BD313" s="100" t="str">
        <f t="shared" si="61"/>
        <v/>
      </c>
      <c r="BE313" s="103">
        <f t="shared" ca="1" si="57"/>
        <v>54703</v>
      </c>
      <c r="BF313" s="102">
        <f t="shared" si="62"/>
        <v>-68561.653092635141</v>
      </c>
    </row>
    <row r="314" spans="48:58" hidden="1" x14ac:dyDescent="0.25">
      <c r="AV314">
        <v>284</v>
      </c>
      <c r="AW314" s="94" t="str">
        <f t="shared" ca="1" si="54"/>
        <v/>
      </c>
      <c r="AX314" s="95" t="str">
        <f t="shared" si="58"/>
        <v/>
      </c>
      <c r="AY314" s="98" t="str">
        <f t="shared" ca="1" si="55"/>
        <v/>
      </c>
      <c r="AZ314" s="95" t="str">
        <f t="shared" si="59"/>
        <v/>
      </c>
      <c r="BA314" s="99" t="str">
        <f t="shared" ca="1" si="56"/>
        <v/>
      </c>
      <c r="BB314" s="97" t="str">
        <f t="shared" si="60"/>
        <v/>
      </c>
      <c r="BC314" s="101" t="str">
        <f t="shared" ca="1" si="63"/>
        <v/>
      </c>
      <c r="BD314" s="100" t="str">
        <f t="shared" si="61"/>
        <v/>
      </c>
      <c r="BE314" s="103">
        <f t="shared" ca="1" si="57"/>
        <v>54734</v>
      </c>
      <c r="BF314" s="102">
        <f t="shared" si="62"/>
        <v>-68561.653092635141</v>
      </c>
    </row>
    <row r="315" spans="48:58" hidden="1" x14ac:dyDescent="0.25">
      <c r="AV315">
        <v>285</v>
      </c>
      <c r="AW315" s="94" t="str">
        <f t="shared" ca="1" si="54"/>
        <v/>
      </c>
      <c r="AX315" s="95" t="str">
        <f t="shared" si="58"/>
        <v/>
      </c>
      <c r="AY315" s="98" t="str">
        <f t="shared" ca="1" si="55"/>
        <v/>
      </c>
      <c r="AZ315" s="95" t="str">
        <f t="shared" si="59"/>
        <v/>
      </c>
      <c r="BA315" s="99" t="str">
        <f t="shared" ca="1" si="56"/>
        <v/>
      </c>
      <c r="BB315" s="97" t="str">
        <f t="shared" si="60"/>
        <v/>
      </c>
      <c r="BC315" s="101" t="str">
        <f t="shared" ca="1" si="63"/>
        <v/>
      </c>
      <c r="BD315" s="100" t="str">
        <f t="shared" si="61"/>
        <v/>
      </c>
      <c r="BE315" s="103">
        <f t="shared" ca="1" si="57"/>
        <v>54764</v>
      </c>
      <c r="BF315" s="102">
        <f t="shared" si="62"/>
        <v>-68561.653092635141</v>
      </c>
    </row>
    <row r="316" spans="48:58" hidden="1" x14ac:dyDescent="0.25">
      <c r="AV316">
        <v>286</v>
      </c>
      <c r="AW316" s="94" t="str">
        <f t="shared" ca="1" si="54"/>
        <v/>
      </c>
      <c r="AX316" s="95" t="str">
        <f t="shared" si="58"/>
        <v/>
      </c>
      <c r="AY316" s="98" t="str">
        <f t="shared" ca="1" si="55"/>
        <v/>
      </c>
      <c r="AZ316" s="95" t="str">
        <f t="shared" si="59"/>
        <v/>
      </c>
      <c r="BA316" s="99" t="str">
        <f t="shared" ca="1" si="56"/>
        <v/>
      </c>
      <c r="BB316" s="97" t="str">
        <f t="shared" si="60"/>
        <v/>
      </c>
      <c r="BC316" s="101" t="str">
        <f t="shared" ca="1" si="63"/>
        <v/>
      </c>
      <c r="BD316" s="100" t="str">
        <f t="shared" si="61"/>
        <v/>
      </c>
      <c r="BE316" s="103">
        <f t="shared" ca="1" si="57"/>
        <v>54795</v>
      </c>
      <c r="BF316" s="102">
        <f t="shared" si="62"/>
        <v>-68561.653092635141</v>
      </c>
    </row>
    <row r="317" spans="48:58" hidden="1" x14ac:dyDescent="0.25">
      <c r="AV317">
        <v>287</v>
      </c>
      <c r="AW317" s="94" t="str">
        <f t="shared" ca="1" si="54"/>
        <v/>
      </c>
      <c r="AX317" s="95" t="str">
        <f t="shared" si="58"/>
        <v/>
      </c>
      <c r="AY317" s="98" t="str">
        <f t="shared" ca="1" si="55"/>
        <v/>
      </c>
      <c r="AZ317" s="95" t="str">
        <f t="shared" si="59"/>
        <v/>
      </c>
      <c r="BA317" s="99" t="str">
        <f t="shared" ca="1" si="56"/>
        <v/>
      </c>
      <c r="BB317" s="97" t="str">
        <f t="shared" si="60"/>
        <v/>
      </c>
      <c r="BC317" s="101" t="str">
        <f t="shared" ca="1" si="63"/>
        <v/>
      </c>
      <c r="BD317" s="100" t="str">
        <f t="shared" si="61"/>
        <v/>
      </c>
      <c r="BE317" s="103">
        <f t="shared" ca="1" si="57"/>
        <v>54826</v>
      </c>
      <c r="BF317" s="102">
        <f t="shared" si="62"/>
        <v>-68561.653092635141</v>
      </c>
    </row>
    <row r="318" spans="48:58" hidden="1" x14ac:dyDescent="0.25">
      <c r="AV318">
        <v>288</v>
      </c>
      <c r="AW318" s="94" t="str">
        <f t="shared" ca="1" si="54"/>
        <v/>
      </c>
      <c r="AX318" s="95" t="str">
        <f t="shared" si="58"/>
        <v/>
      </c>
      <c r="AY318" s="98" t="str">
        <f t="shared" ca="1" si="55"/>
        <v/>
      </c>
      <c r="AZ318" s="95" t="str">
        <f t="shared" si="59"/>
        <v/>
      </c>
      <c r="BA318" s="99" t="str">
        <f t="shared" ca="1" si="56"/>
        <v/>
      </c>
      <c r="BB318" s="97" t="str">
        <f t="shared" si="60"/>
        <v/>
      </c>
      <c r="BC318" s="101" t="str">
        <f t="shared" ca="1" si="63"/>
        <v/>
      </c>
      <c r="BD318" s="100" t="str">
        <f t="shared" si="61"/>
        <v/>
      </c>
      <c r="BE318" s="103">
        <f t="shared" ca="1" si="57"/>
        <v>54854</v>
      </c>
      <c r="BF318" s="102">
        <f t="shared" si="62"/>
        <v>-68561.653092635141</v>
      </c>
    </row>
    <row r="319" spans="48:58" hidden="1" x14ac:dyDescent="0.25">
      <c r="AV319">
        <v>289</v>
      </c>
      <c r="AW319" s="94" t="str">
        <f t="shared" ca="1" si="54"/>
        <v/>
      </c>
      <c r="AX319" s="95" t="str">
        <f t="shared" si="58"/>
        <v/>
      </c>
      <c r="AY319" s="98" t="str">
        <f t="shared" ca="1" si="55"/>
        <v/>
      </c>
      <c r="AZ319" s="95" t="str">
        <f t="shared" si="59"/>
        <v/>
      </c>
      <c r="BA319" s="99" t="str">
        <f t="shared" ca="1" si="56"/>
        <v/>
      </c>
      <c r="BB319" s="97" t="str">
        <f t="shared" si="60"/>
        <v/>
      </c>
      <c r="BC319" s="101" t="str">
        <f t="shared" ca="1" si="63"/>
        <v/>
      </c>
      <c r="BD319" s="100" t="str">
        <f t="shared" si="61"/>
        <v/>
      </c>
      <c r="BE319" s="103">
        <f t="shared" ca="1" si="57"/>
        <v>54885</v>
      </c>
      <c r="BF319" s="102">
        <f t="shared" si="62"/>
        <v>-68561.653092635141</v>
      </c>
    </row>
    <row r="320" spans="48:58" hidden="1" x14ac:dyDescent="0.25">
      <c r="AV320">
        <v>290</v>
      </c>
      <c r="AW320" s="94" t="str">
        <f t="shared" ca="1" si="54"/>
        <v/>
      </c>
      <c r="AX320" s="95" t="str">
        <f t="shared" si="58"/>
        <v/>
      </c>
      <c r="AY320" s="98" t="str">
        <f t="shared" ca="1" si="55"/>
        <v/>
      </c>
      <c r="AZ320" s="95" t="str">
        <f t="shared" si="59"/>
        <v/>
      </c>
      <c r="BA320" s="99" t="str">
        <f t="shared" ca="1" si="56"/>
        <v/>
      </c>
      <c r="BB320" s="97" t="str">
        <f t="shared" si="60"/>
        <v/>
      </c>
      <c r="BC320" s="101" t="str">
        <f t="shared" ca="1" si="63"/>
        <v/>
      </c>
      <c r="BD320" s="100" t="str">
        <f t="shared" si="61"/>
        <v/>
      </c>
      <c r="BE320" s="103">
        <f t="shared" ca="1" si="57"/>
        <v>54915</v>
      </c>
      <c r="BF320" s="102">
        <f t="shared" si="62"/>
        <v>-68561.653092635141</v>
      </c>
    </row>
    <row r="321" spans="48:58" hidden="1" x14ac:dyDescent="0.25">
      <c r="AV321">
        <v>291</v>
      </c>
      <c r="AW321" s="94" t="str">
        <f t="shared" ca="1" si="54"/>
        <v/>
      </c>
      <c r="AX321" s="95" t="str">
        <f t="shared" si="58"/>
        <v/>
      </c>
      <c r="AY321" s="98" t="str">
        <f t="shared" ca="1" si="55"/>
        <v/>
      </c>
      <c r="AZ321" s="95" t="str">
        <f t="shared" si="59"/>
        <v/>
      </c>
      <c r="BA321" s="99" t="str">
        <f t="shared" ca="1" si="56"/>
        <v/>
      </c>
      <c r="BB321" s="97" t="str">
        <f t="shared" si="60"/>
        <v/>
      </c>
      <c r="BC321" s="101" t="str">
        <f t="shared" ca="1" si="63"/>
        <v/>
      </c>
      <c r="BD321" s="100" t="str">
        <f t="shared" si="61"/>
        <v/>
      </c>
      <c r="BE321" s="103">
        <f t="shared" ca="1" si="57"/>
        <v>54946</v>
      </c>
      <c r="BF321" s="102">
        <f t="shared" si="62"/>
        <v>-68561.653092635141</v>
      </c>
    </row>
    <row r="322" spans="48:58" hidden="1" x14ac:dyDescent="0.25">
      <c r="AV322">
        <v>292</v>
      </c>
      <c r="AW322" s="94" t="str">
        <f t="shared" ca="1" si="54"/>
        <v/>
      </c>
      <c r="AX322" s="95" t="str">
        <f t="shared" si="58"/>
        <v/>
      </c>
      <c r="AY322" s="98" t="str">
        <f t="shared" ca="1" si="55"/>
        <v/>
      </c>
      <c r="AZ322" s="95" t="str">
        <f t="shared" si="59"/>
        <v/>
      </c>
      <c r="BA322" s="99" t="str">
        <f t="shared" ca="1" si="56"/>
        <v/>
      </c>
      <c r="BB322" s="97" t="str">
        <f t="shared" si="60"/>
        <v/>
      </c>
      <c r="BC322" s="101" t="str">
        <f t="shared" ca="1" si="63"/>
        <v/>
      </c>
      <c r="BD322" s="100" t="str">
        <f t="shared" si="61"/>
        <v/>
      </c>
      <c r="BE322" s="103">
        <f t="shared" ca="1" si="57"/>
        <v>54976</v>
      </c>
      <c r="BF322" s="102">
        <f t="shared" si="62"/>
        <v>-68561.653092635141</v>
      </c>
    </row>
    <row r="323" spans="48:58" hidden="1" x14ac:dyDescent="0.25">
      <c r="AV323">
        <v>293</v>
      </c>
      <c r="AW323" s="94" t="str">
        <f t="shared" ca="1" si="54"/>
        <v/>
      </c>
      <c r="AX323" s="95" t="str">
        <f t="shared" si="58"/>
        <v/>
      </c>
      <c r="AY323" s="98" t="str">
        <f t="shared" ca="1" si="55"/>
        <v/>
      </c>
      <c r="AZ323" s="95" t="str">
        <f t="shared" si="59"/>
        <v/>
      </c>
      <c r="BA323" s="99" t="str">
        <f t="shared" ca="1" si="56"/>
        <v/>
      </c>
      <c r="BB323" s="97" t="str">
        <f t="shared" si="60"/>
        <v/>
      </c>
      <c r="BC323" s="101" t="str">
        <f t="shared" ca="1" si="63"/>
        <v/>
      </c>
      <c r="BD323" s="100" t="str">
        <f t="shared" si="61"/>
        <v/>
      </c>
      <c r="BE323" s="103">
        <f t="shared" ca="1" si="57"/>
        <v>55007</v>
      </c>
      <c r="BF323" s="102">
        <f t="shared" si="62"/>
        <v>-68561.653092635141</v>
      </c>
    </row>
    <row r="324" spans="48:58" hidden="1" x14ac:dyDescent="0.25">
      <c r="AV324">
        <v>294</v>
      </c>
      <c r="AW324" s="94" t="str">
        <f t="shared" ca="1" si="54"/>
        <v/>
      </c>
      <c r="AX324" s="95" t="str">
        <f t="shared" si="58"/>
        <v/>
      </c>
      <c r="AY324" s="98" t="str">
        <f t="shared" ca="1" si="55"/>
        <v/>
      </c>
      <c r="AZ324" s="95" t="str">
        <f t="shared" si="59"/>
        <v/>
      </c>
      <c r="BA324" s="99" t="str">
        <f t="shared" ca="1" si="56"/>
        <v/>
      </c>
      <c r="BB324" s="97" t="str">
        <f t="shared" si="60"/>
        <v/>
      </c>
      <c r="BC324" s="101" t="str">
        <f t="shared" ca="1" si="63"/>
        <v/>
      </c>
      <c r="BD324" s="100" t="str">
        <f t="shared" si="61"/>
        <v/>
      </c>
      <c r="BE324" s="103">
        <f t="shared" ca="1" si="57"/>
        <v>55038</v>
      </c>
      <c r="BF324" s="102">
        <f t="shared" si="62"/>
        <v>-68561.653092635141</v>
      </c>
    </row>
    <row r="325" spans="48:58" hidden="1" x14ac:dyDescent="0.25">
      <c r="AV325">
        <v>295</v>
      </c>
      <c r="AW325" s="94" t="str">
        <f t="shared" ca="1" si="54"/>
        <v/>
      </c>
      <c r="AX325" s="95" t="str">
        <f t="shared" si="58"/>
        <v/>
      </c>
      <c r="AY325" s="98" t="str">
        <f t="shared" ca="1" si="55"/>
        <v/>
      </c>
      <c r="AZ325" s="95" t="str">
        <f t="shared" si="59"/>
        <v/>
      </c>
      <c r="BA325" s="99" t="str">
        <f t="shared" ca="1" si="56"/>
        <v/>
      </c>
      <c r="BB325" s="97" t="str">
        <f t="shared" si="60"/>
        <v/>
      </c>
      <c r="BC325" s="101" t="str">
        <f t="shared" ca="1" si="63"/>
        <v/>
      </c>
      <c r="BD325" s="100" t="str">
        <f t="shared" si="61"/>
        <v/>
      </c>
      <c r="BE325" s="103">
        <f t="shared" ca="1" si="57"/>
        <v>55068</v>
      </c>
      <c r="BF325" s="102">
        <f t="shared" si="62"/>
        <v>-68561.653092635141</v>
      </c>
    </row>
    <row r="326" spans="48:58" hidden="1" x14ac:dyDescent="0.25">
      <c r="AV326">
        <v>296</v>
      </c>
      <c r="AW326" s="94" t="str">
        <f t="shared" ca="1" si="54"/>
        <v/>
      </c>
      <c r="AX326" s="95" t="str">
        <f t="shared" si="58"/>
        <v/>
      </c>
      <c r="AY326" s="98" t="str">
        <f t="shared" ca="1" si="55"/>
        <v/>
      </c>
      <c r="AZ326" s="95" t="str">
        <f t="shared" si="59"/>
        <v/>
      </c>
      <c r="BA326" s="99" t="str">
        <f t="shared" ca="1" si="56"/>
        <v/>
      </c>
      <c r="BB326" s="97" t="str">
        <f t="shared" si="60"/>
        <v/>
      </c>
      <c r="BC326" s="101" t="str">
        <f t="shared" ca="1" si="63"/>
        <v/>
      </c>
      <c r="BD326" s="100" t="str">
        <f t="shared" si="61"/>
        <v/>
      </c>
      <c r="BE326" s="103">
        <f t="shared" ca="1" si="57"/>
        <v>55099</v>
      </c>
      <c r="BF326" s="102">
        <f t="shared" si="62"/>
        <v>-68561.653092635141</v>
      </c>
    </row>
    <row r="327" spans="48:58" hidden="1" x14ac:dyDescent="0.25">
      <c r="AV327">
        <v>297</v>
      </c>
      <c r="AW327" s="94" t="str">
        <f t="shared" ca="1" si="54"/>
        <v/>
      </c>
      <c r="AX327" s="95" t="str">
        <f t="shared" si="58"/>
        <v/>
      </c>
      <c r="AY327" s="98" t="str">
        <f t="shared" ca="1" si="55"/>
        <v/>
      </c>
      <c r="AZ327" s="95" t="str">
        <f t="shared" si="59"/>
        <v/>
      </c>
      <c r="BA327" s="99" t="str">
        <f t="shared" ca="1" si="56"/>
        <v/>
      </c>
      <c r="BB327" s="97" t="str">
        <f t="shared" si="60"/>
        <v/>
      </c>
      <c r="BC327" s="101" t="str">
        <f t="shared" ca="1" si="63"/>
        <v/>
      </c>
      <c r="BD327" s="100" t="str">
        <f t="shared" si="61"/>
        <v/>
      </c>
      <c r="BE327" s="103">
        <f t="shared" ca="1" si="57"/>
        <v>55129</v>
      </c>
      <c r="BF327" s="102">
        <f t="shared" si="62"/>
        <v>-68561.653092635141</v>
      </c>
    </row>
    <row r="328" spans="48:58" hidden="1" x14ac:dyDescent="0.25">
      <c r="AV328">
        <v>298</v>
      </c>
      <c r="AW328" s="94" t="str">
        <f t="shared" ca="1" si="54"/>
        <v/>
      </c>
      <c r="AX328" s="95" t="str">
        <f t="shared" si="58"/>
        <v/>
      </c>
      <c r="AY328" s="98" t="str">
        <f t="shared" ca="1" si="55"/>
        <v/>
      </c>
      <c r="AZ328" s="95" t="str">
        <f t="shared" si="59"/>
        <v/>
      </c>
      <c r="BA328" s="99" t="str">
        <f t="shared" ca="1" si="56"/>
        <v/>
      </c>
      <c r="BB328" s="97" t="str">
        <f t="shared" si="60"/>
        <v/>
      </c>
      <c r="BC328" s="101" t="str">
        <f t="shared" ca="1" si="63"/>
        <v/>
      </c>
      <c r="BD328" s="100" t="str">
        <f t="shared" si="61"/>
        <v/>
      </c>
      <c r="BE328" s="103">
        <f t="shared" ca="1" si="57"/>
        <v>55160</v>
      </c>
      <c r="BF328" s="102">
        <f t="shared" si="62"/>
        <v>-68561.653092635141</v>
      </c>
    </row>
    <row r="329" spans="48:58" hidden="1" x14ac:dyDescent="0.25">
      <c r="AV329">
        <v>299</v>
      </c>
      <c r="AW329" s="94" t="str">
        <f t="shared" ca="1" si="54"/>
        <v/>
      </c>
      <c r="AX329" s="95" t="str">
        <f t="shared" si="58"/>
        <v/>
      </c>
      <c r="AY329" s="98" t="str">
        <f t="shared" ca="1" si="55"/>
        <v/>
      </c>
      <c r="AZ329" s="95" t="str">
        <f t="shared" si="59"/>
        <v/>
      </c>
      <c r="BA329" s="99" t="str">
        <f t="shared" ca="1" si="56"/>
        <v/>
      </c>
      <c r="BB329" s="97" t="str">
        <f t="shared" si="60"/>
        <v/>
      </c>
      <c r="BC329" s="101" t="str">
        <f t="shared" ca="1" si="63"/>
        <v/>
      </c>
      <c r="BD329" s="100" t="str">
        <f t="shared" si="61"/>
        <v/>
      </c>
      <c r="BE329" s="103">
        <f t="shared" ca="1" si="57"/>
        <v>55191</v>
      </c>
      <c r="BF329" s="102">
        <f t="shared" si="62"/>
        <v>-68561.653092635141</v>
      </c>
    </row>
    <row r="330" spans="48:58" hidden="1" x14ac:dyDescent="0.25">
      <c r="AV330">
        <v>300</v>
      </c>
      <c r="AW330" s="94" t="str">
        <f t="shared" ca="1" si="54"/>
        <v/>
      </c>
      <c r="AX330" s="95" t="str">
        <f t="shared" si="58"/>
        <v/>
      </c>
      <c r="AY330" s="98" t="str">
        <f t="shared" ca="1" si="55"/>
        <v/>
      </c>
      <c r="AZ330" s="95" t="str">
        <f t="shared" si="59"/>
        <v/>
      </c>
      <c r="BA330" s="99" t="str">
        <f t="shared" ca="1" si="56"/>
        <v/>
      </c>
      <c r="BB330" s="97" t="str">
        <f t="shared" si="60"/>
        <v/>
      </c>
      <c r="BC330" s="101" t="str">
        <f t="shared" ca="1" si="63"/>
        <v/>
      </c>
      <c r="BD330" s="100" t="str">
        <f t="shared" si="61"/>
        <v/>
      </c>
      <c r="BE330" s="103">
        <f t="shared" ca="1" si="57"/>
        <v>55219</v>
      </c>
      <c r="BF330" s="102">
        <f t="shared" si="62"/>
        <v>-68561.653092635141</v>
      </c>
    </row>
    <row r="331" spans="48:58" hidden="1" x14ac:dyDescent="0.25">
      <c r="AV331">
        <v>301</v>
      </c>
      <c r="AW331" s="94" t="str">
        <f t="shared" ca="1" si="54"/>
        <v/>
      </c>
      <c r="AX331" s="95" t="str">
        <f t="shared" si="58"/>
        <v/>
      </c>
      <c r="AY331" s="98" t="str">
        <f t="shared" ca="1" si="55"/>
        <v/>
      </c>
      <c r="AZ331" s="95" t="str">
        <f t="shared" si="59"/>
        <v/>
      </c>
      <c r="BA331" s="99" t="str">
        <f t="shared" ca="1" si="56"/>
        <v/>
      </c>
      <c r="BB331" s="97" t="str">
        <f t="shared" si="60"/>
        <v/>
      </c>
      <c r="BC331" s="101" t="str">
        <f t="shared" ca="1" si="63"/>
        <v/>
      </c>
      <c r="BD331" s="100" t="str">
        <f t="shared" si="61"/>
        <v/>
      </c>
      <c r="BE331" s="103">
        <f t="shared" ca="1" si="57"/>
        <v>55250</v>
      </c>
      <c r="BF331" s="102">
        <f t="shared" si="62"/>
        <v>104688896.48271069</v>
      </c>
    </row>
    <row r="332" spans="48:58" hidden="1" x14ac:dyDescent="0.25">
      <c r="AV332">
        <v>302</v>
      </c>
      <c r="AW332" s="94" t="str">
        <f t="shared" ca="1" si="54"/>
        <v/>
      </c>
      <c r="AX332" s="95" t="str">
        <f t="shared" si="58"/>
        <v/>
      </c>
      <c r="AY332" s="98" t="str">
        <f t="shared" ca="1" si="55"/>
        <v/>
      </c>
      <c r="AZ332" s="95" t="str">
        <f t="shared" si="59"/>
        <v/>
      </c>
      <c r="BA332" s="99" t="str">
        <f t="shared" ca="1" si="56"/>
        <v/>
      </c>
      <c r="BB332" s="97" t="str">
        <f t="shared" si="60"/>
        <v/>
      </c>
      <c r="BC332" s="101" t="str">
        <f t="shared" ca="1" si="63"/>
        <v/>
      </c>
      <c r="BD332" s="100" t="str">
        <f t="shared" si="61"/>
        <v/>
      </c>
      <c r="BE332" s="103" t="str">
        <f t="shared" ca="1" si="57"/>
        <v/>
      </c>
      <c r="BF332" s="102" t="str">
        <f t="shared" si="62"/>
        <v/>
      </c>
    </row>
    <row r="333" spans="48:58" hidden="1" x14ac:dyDescent="0.25">
      <c r="AV333">
        <v>303</v>
      </c>
      <c r="AW333" s="94" t="str">
        <f t="shared" ca="1" si="54"/>
        <v/>
      </c>
      <c r="AX333" s="95" t="str">
        <f t="shared" si="58"/>
        <v/>
      </c>
      <c r="AY333" s="98" t="str">
        <f t="shared" ca="1" si="55"/>
        <v/>
      </c>
      <c r="AZ333" s="95" t="str">
        <f t="shared" si="59"/>
        <v/>
      </c>
      <c r="BA333" s="99" t="str">
        <f t="shared" ca="1" si="56"/>
        <v/>
      </c>
      <c r="BB333" s="97" t="str">
        <f t="shared" si="60"/>
        <v/>
      </c>
      <c r="BC333" s="101" t="str">
        <f t="shared" ca="1" si="63"/>
        <v/>
      </c>
      <c r="BD333" s="100" t="str">
        <f t="shared" si="61"/>
        <v/>
      </c>
      <c r="BE333" s="103" t="str">
        <f t="shared" ca="1" si="57"/>
        <v/>
      </c>
      <c r="BF333" s="102" t="str">
        <f t="shared" si="62"/>
        <v/>
      </c>
    </row>
    <row r="334" spans="48:58" hidden="1" x14ac:dyDescent="0.25">
      <c r="AV334">
        <v>304</v>
      </c>
      <c r="AW334" s="94" t="str">
        <f t="shared" ca="1" si="54"/>
        <v/>
      </c>
      <c r="AX334" s="95" t="str">
        <f t="shared" si="58"/>
        <v/>
      </c>
      <c r="AY334" s="98" t="str">
        <f t="shared" ca="1" si="55"/>
        <v/>
      </c>
      <c r="AZ334" s="95" t="str">
        <f t="shared" si="59"/>
        <v/>
      </c>
      <c r="BA334" s="99" t="str">
        <f t="shared" ca="1" si="56"/>
        <v/>
      </c>
      <c r="BB334" s="97" t="str">
        <f t="shared" si="60"/>
        <v/>
      </c>
      <c r="BC334" s="101" t="str">
        <f t="shared" ca="1" si="63"/>
        <v/>
      </c>
      <c r="BD334" s="100" t="str">
        <f t="shared" si="61"/>
        <v/>
      </c>
      <c r="BE334" s="103" t="str">
        <f t="shared" ca="1" si="57"/>
        <v/>
      </c>
      <c r="BF334" s="102" t="str">
        <f t="shared" si="62"/>
        <v/>
      </c>
    </row>
    <row r="335" spans="48:58" hidden="1" x14ac:dyDescent="0.25">
      <c r="AV335">
        <v>305</v>
      </c>
      <c r="AW335" s="94" t="str">
        <f t="shared" ca="1" si="54"/>
        <v/>
      </c>
      <c r="AX335" s="95" t="str">
        <f t="shared" si="58"/>
        <v/>
      </c>
      <c r="AY335" s="98" t="str">
        <f t="shared" ca="1" si="55"/>
        <v/>
      </c>
      <c r="AZ335" s="95" t="str">
        <f t="shared" si="59"/>
        <v/>
      </c>
      <c r="BA335" s="99" t="str">
        <f t="shared" ca="1" si="56"/>
        <v/>
      </c>
      <c r="BB335" s="97" t="str">
        <f t="shared" si="60"/>
        <v/>
      </c>
      <c r="BC335" s="101" t="str">
        <f t="shared" ca="1" si="63"/>
        <v/>
      </c>
      <c r="BD335" s="100" t="str">
        <f t="shared" si="61"/>
        <v/>
      </c>
      <c r="BE335" s="103" t="str">
        <f t="shared" ca="1" si="57"/>
        <v/>
      </c>
      <c r="BF335" s="102" t="str">
        <f t="shared" si="62"/>
        <v/>
      </c>
    </row>
    <row r="336" spans="48:58" hidden="1" x14ac:dyDescent="0.25">
      <c r="AV336">
        <v>306</v>
      </c>
      <c r="AW336" s="94" t="str">
        <f t="shared" ca="1" si="54"/>
        <v/>
      </c>
      <c r="AX336" s="95" t="str">
        <f t="shared" si="58"/>
        <v/>
      </c>
      <c r="AY336" s="98" t="str">
        <f t="shared" ca="1" si="55"/>
        <v/>
      </c>
      <c r="AZ336" s="95" t="str">
        <f t="shared" si="59"/>
        <v/>
      </c>
      <c r="BA336" s="99" t="str">
        <f t="shared" ca="1" si="56"/>
        <v/>
      </c>
      <c r="BB336" s="97" t="str">
        <f t="shared" si="60"/>
        <v/>
      </c>
      <c r="BC336" s="101" t="str">
        <f t="shared" ca="1" si="63"/>
        <v/>
      </c>
      <c r="BD336" s="100" t="str">
        <f t="shared" si="61"/>
        <v/>
      </c>
      <c r="BE336" s="103" t="str">
        <f t="shared" ca="1" si="57"/>
        <v/>
      </c>
      <c r="BF336" s="102" t="str">
        <f t="shared" si="62"/>
        <v/>
      </c>
    </row>
    <row r="337" spans="48:58" hidden="1" x14ac:dyDescent="0.25">
      <c r="AV337">
        <v>307</v>
      </c>
      <c r="AW337" s="94" t="str">
        <f t="shared" ca="1" si="54"/>
        <v/>
      </c>
      <c r="AX337" s="95" t="str">
        <f t="shared" si="58"/>
        <v/>
      </c>
      <c r="AY337" s="98" t="str">
        <f t="shared" ca="1" si="55"/>
        <v/>
      </c>
      <c r="AZ337" s="95" t="str">
        <f t="shared" si="59"/>
        <v/>
      </c>
      <c r="BA337" s="99" t="str">
        <f t="shared" ca="1" si="56"/>
        <v/>
      </c>
      <c r="BB337" s="97" t="str">
        <f t="shared" si="60"/>
        <v/>
      </c>
      <c r="BC337" s="101" t="str">
        <f t="shared" ca="1" si="63"/>
        <v/>
      </c>
      <c r="BD337" s="100" t="str">
        <f t="shared" si="61"/>
        <v/>
      </c>
      <c r="BE337" s="103" t="str">
        <f t="shared" ca="1" si="57"/>
        <v/>
      </c>
      <c r="BF337" s="102" t="str">
        <f t="shared" si="62"/>
        <v/>
      </c>
    </row>
    <row r="338" spans="48:58" hidden="1" x14ac:dyDescent="0.25">
      <c r="AV338">
        <v>308</v>
      </c>
      <c r="AW338" s="94" t="str">
        <f t="shared" ca="1" si="54"/>
        <v/>
      </c>
      <c r="AX338" s="95" t="str">
        <f t="shared" si="58"/>
        <v/>
      </c>
      <c r="AY338" s="98" t="str">
        <f t="shared" ca="1" si="55"/>
        <v/>
      </c>
      <c r="AZ338" s="95" t="str">
        <f t="shared" si="59"/>
        <v/>
      </c>
      <c r="BA338" s="99" t="str">
        <f t="shared" ca="1" si="56"/>
        <v/>
      </c>
      <c r="BB338" s="97" t="str">
        <f t="shared" si="60"/>
        <v/>
      </c>
      <c r="BC338" s="101" t="str">
        <f t="shared" ca="1" si="63"/>
        <v/>
      </c>
      <c r="BD338" s="100" t="str">
        <f t="shared" si="61"/>
        <v/>
      </c>
      <c r="BE338" s="103" t="str">
        <f t="shared" ca="1" si="57"/>
        <v/>
      </c>
      <c r="BF338" s="102" t="str">
        <f t="shared" si="62"/>
        <v/>
      </c>
    </row>
    <row r="339" spans="48:58" hidden="1" x14ac:dyDescent="0.25">
      <c r="AV339">
        <v>309</v>
      </c>
      <c r="AW339" s="94" t="str">
        <f t="shared" ca="1" si="54"/>
        <v/>
      </c>
      <c r="AX339" s="95" t="str">
        <f t="shared" si="58"/>
        <v/>
      </c>
      <c r="AY339" s="98" t="str">
        <f t="shared" ca="1" si="55"/>
        <v/>
      </c>
      <c r="AZ339" s="95" t="str">
        <f t="shared" si="59"/>
        <v/>
      </c>
      <c r="BA339" s="99" t="str">
        <f t="shared" ca="1" si="56"/>
        <v/>
      </c>
      <c r="BB339" s="97" t="str">
        <f t="shared" si="60"/>
        <v/>
      </c>
      <c r="BC339" s="101" t="str">
        <f t="shared" ca="1" si="63"/>
        <v/>
      </c>
      <c r="BD339" s="100" t="str">
        <f t="shared" si="61"/>
        <v/>
      </c>
      <c r="BE339" s="103" t="str">
        <f t="shared" ca="1" si="57"/>
        <v/>
      </c>
      <c r="BF339" s="102" t="str">
        <f t="shared" si="62"/>
        <v/>
      </c>
    </row>
    <row r="340" spans="48:58" hidden="1" x14ac:dyDescent="0.25">
      <c r="AV340">
        <v>310</v>
      </c>
      <c r="AW340" s="94" t="str">
        <f t="shared" ca="1" si="54"/>
        <v/>
      </c>
      <c r="AX340" s="95" t="str">
        <f t="shared" si="58"/>
        <v/>
      </c>
      <c r="AY340" s="98" t="str">
        <f t="shared" ca="1" si="55"/>
        <v/>
      </c>
      <c r="AZ340" s="95" t="str">
        <f t="shared" si="59"/>
        <v/>
      </c>
      <c r="BA340" s="99" t="str">
        <f t="shared" ca="1" si="56"/>
        <v/>
      </c>
      <c r="BB340" s="97" t="str">
        <f t="shared" si="60"/>
        <v/>
      </c>
      <c r="BC340" s="101" t="str">
        <f t="shared" ca="1" si="63"/>
        <v/>
      </c>
      <c r="BD340" s="100" t="str">
        <f t="shared" si="61"/>
        <v/>
      </c>
      <c r="BE340" s="103" t="str">
        <f t="shared" ca="1" si="57"/>
        <v/>
      </c>
      <c r="BF340" s="102" t="str">
        <f t="shared" si="62"/>
        <v/>
      </c>
    </row>
    <row r="341" spans="48:58" hidden="1" x14ac:dyDescent="0.25">
      <c r="AV341">
        <v>311</v>
      </c>
      <c r="AW341" s="94" t="str">
        <f t="shared" ca="1" si="54"/>
        <v/>
      </c>
      <c r="AX341" s="95" t="str">
        <f t="shared" si="58"/>
        <v/>
      </c>
      <c r="AY341" s="98" t="str">
        <f t="shared" ca="1" si="55"/>
        <v/>
      </c>
      <c r="AZ341" s="95" t="str">
        <f t="shared" si="59"/>
        <v/>
      </c>
      <c r="BA341" s="99" t="str">
        <f t="shared" ca="1" si="56"/>
        <v/>
      </c>
      <c r="BB341" s="97" t="str">
        <f t="shared" si="60"/>
        <v/>
      </c>
      <c r="BC341" s="101" t="str">
        <f t="shared" ca="1" si="63"/>
        <v/>
      </c>
      <c r="BD341" s="100" t="str">
        <f t="shared" si="61"/>
        <v/>
      </c>
      <c r="BE341" s="103" t="str">
        <f t="shared" ca="1" si="57"/>
        <v/>
      </c>
      <c r="BF341" s="102" t="str">
        <f t="shared" si="62"/>
        <v/>
      </c>
    </row>
    <row r="342" spans="48:58" hidden="1" x14ac:dyDescent="0.25">
      <c r="AV342">
        <v>312</v>
      </c>
      <c r="AW342" s="94" t="str">
        <f t="shared" ca="1" si="54"/>
        <v/>
      </c>
      <c r="AX342" s="95" t="str">
        <f t="shared" si="58"/>
        <v/>
      </c>
      <c r="AY342" s="98" t="str">
        <f t="shared" ca="1" si="55"/>
        <v/>
      </c>
      <c r="AZ342" s="95" t="str">
        <f t="shared" si="59"/>
        <v/>
      </c>
      <c r="BA342" s="99" t="str">
        <f t="shared" ca="1" si="56"/>
        <v/>
      </c>
      <c r="BB342" s="97" t="str">
        <f t="shared" si="60"/>
        <v/>
      </c>
      <c r="BC342" s="101" t="str">
        <f t="shared" ca="1" si="63"/>
        <v/>
      </c>
      <c r="BD342" s="100" t="str">
        <f t="shared" si="61"/>
        <v/>
      </c>
      <c r="BE342" s="103" t="str">
        <f t="shared" ca="1" si="57"/>
        <v/>
      </c>
      <c r="BF342" s="102" t="str">
        <f t="shared" si="62"/>
        <v/>
      </c>
    </row>
    <row r="343" spans="48:58" hidden="1" x14ac:dyDescent="0.25">
      <c r="AV343">
        <v>313</v>
      </c>
      <c r="AW343" s="94" t="str">
        <f t="shared" ca="1" si="54"/>
        <v/>
      </c>
      <c r="AX343" s="95" t="str">
        <f t="shared" si="58"/>
        <v/>
      </c>
      <c r="AY343" s="98" t="str">
        <f t="shared" ca="1" si="55"/>
        <v/>
      </c>
      <c r="AZ343" s="95" t="str">
        <f t="shared" si="59"/>
        <v/>
      </c>
      <c r="BA343" s="99" t="str">
        <f t="shared" ca="1" si="56"/>
        <v/>
      </c>
      <c r="BB343" s="97" t="str">
        <f t="shared" si="60"/>
        <v/>
      </c>
      <c r="BC343" s="101" t="str">
        <f t="shared" ca="1" si="63"/>
        <v/>
      </c>
      <c r="BD343" s="100" t="str">
        <f t="shared" si="61"/>
        <v/>
      </c>
      <c r="BE343" s="103" t="str">
        <f t="shared" ca="1" si="57"/>
        <v/>
      </c>
      <c r="BF343" s="102" t="str">
        <f t="shared" si="62"/>
        <v/>
      </c>
    </row>
    <row r="344" spans="48:58" hidden="1" x14ac:dyDescent="0.25">
      <c r="AV344">
        <v>314</v>
      </c>
      <c r="AW344" s="94" t="str">
        <f t="shared" ca="1" si="54"/>
        <v/>
      </c>
      <c r="AX344" s="95" t="str">
        <f t="shared" si="58"/>
        <v/>
      </c>
      <c r="AY344" s="98" t="str">
        <f t="shared" ca="1" si="55"/>
        <v/>
      </c>
      <c r="AZ344" s="95" t="str">
        <f t="shared" si="59"/>
        <v/>
      </c>
      <c r="BA344" s="99" t="str">
        <f t="shared" ca="1" si="56"/>
        <v/>
      </c>
      <c r="BB344" s="97" t="str">
        <f t="shared" si="60"/>
        <v/>
      </c>
      <c r="BC344" s="101" t="str">
        <f t="shared" ca="1" si="63"/>
        <v/>
      </c>
      <c r="BD344" s="100" t="str">
        <f t="shared" si="61"/>
        <v/>
      </c>
      <c r="BE344" s="103" t="str">
        <f t="shared" ca="1" si="57"/>
        <v/>
      </c>
      <c r="BF344" s="102" t="str">
        <f t="shared" si="62"/>
        <v/>
      </c>
    </row>
    <row r="345" spans="48:58" hidden="1" x14ac:dyDescent="0.25">
      <c r="AV345">
        <v>315</v>
      </c>
      <c r="AW345" s="94" t="str">
        <f t="shared" ca="1" si="54"/>
        <v/>
      </c>
      <c r="AX345" s="95" t="str">
        <f t="shared" si="58"/>
        <v/>
      </c>
      <c r="AY345" s="98" t="str">
        <f t="shared" ca="1" si="55"/>
        <v/>
      </c>
      <c r="AZ345" s="95" t="str">
        <f t="shared" si="59"/>
        <v/>
      </c>
      <c r="BA345" s="99" t="str">
        <f t="shared" ca="1" si="56"/>
        <v/>
      </c>
      <c r="BB345" s="97" t="str">
        <f t="shared" si="60"/>
        <v/>
      </c>
      <c r="BC345" s="101" t="str">
        <f t="shared" ca="1" si="63"/>
        <v/>
      </c>
      <c r="BD345" s="100" t="str">
        <f t="shared" si="61"/>
        <v/>
      </c>
      <c r="BE345" s="103" t="str">
        <f t="shared" ca="1" si="57"/>
        <v/>
      </c>
      <c r="BF345" s="102" t="str">
        <f t="shared" si="62"/>
        <v/>
      </c>
    </row>
    <row r="346" spans="48:58" hidden="1" x14ac:dyDescent="0.25">
      <c r="AV346">
        <v>316</v>
      </c>
      <c r="AW346" s="94" t="str">
        <f t="shared" ca="1" si="54"/>
        <v/>
      </c>
      <c r="AX346" s="95" t="str">
        <f t="shared" si="58"/>
        <v/>
      </c>
      <c r="AY346" s="98" t="str">
        <f t="shared" ca="1" si="55"/>
        <v/>
      </c>
      <c r="AZ346" s="95" t="str">
        <f t="shared" si="59"/>
        <v/>
      </c>
      <c r="BA346" s="99" t="str">
        <f t="shared" ca="1" si="56"/>
        <v/>
      </c>
      <c r="BB346" s="97" t="str">
        <f t="shared" si="60"/>
        <v/>
      </c>
      <c r="BC346" s="101" t="str">
        <f t="shared" ca="1" si="63"/>
        <v/>
      </c>
      <c r="BD346" s="100" t="str">
        <f t="shared" si="61"/>
        <v/>
      </c>
      <c r="BE346" s="103" t="str">
        <f t="shared" ca="1" si="57"/>
        <v/>
      </c>
      <c r="BF346" s="102" t="str">
        <f t="shared" si="62"/>
        <v/>
      </c>
    </row>
    <row r="347" spans="48:58" hidden="1" x14ac:dyDescent="0.25">
      <c r="AV347">
        <v>317</v>
      </c>
      <c r="AW347" s="94" t="str">
        <f t="shared" ca="1" si="54"/>
        <v/>
      </c>
      <c r="AX347" s="95" t="str">
        <f t="shared" si="58"/>
        <v/>
      </c>
      <c r="AY347" s="98" t="str">
        <f t="shared" ca="1" si="55"/>
        <v/>
      </c>
      <c r="AZ347" s="95" t="str">
        <f t="shared" si="59"/>
        <v/>
      </c>
      <c r="BA347" s="99" t="str">
        <f t="shared" ca="1" si="56"/>
        <v/>
      </c>
      <c r="BB347" s="97" t="str">
        <f t="shared" si="60"/>
        <v/>
      </c>
      <c r="BC347" s="101" t="str">
        <f t="shared" ca="1" si="63"/>
        <v/>
      </c>
      <c r="BD347" s="100" t="str">
        <f t="shared" si="61"/>
        <v/>
      </c>
      <c r="BE347" s="103" t="str">
        <f t="shared" ca="1" si="57"/>
        <v/>
      </c>
      <c r="BF347" s="102" t="str">
        <f t="shared" si="62"/>
        <v/>
      </c>
    </row>
    <row r="348" spans="48:58" hidden="1" x14ac:dyDescent="0.25">
      <c r="AV348">
        <v>318</v>
      </c>
      <c r="AW348" s="94" t="str">
        <f t="shared" ca="1" si="54"/>
        <v/>
      </c>
      <c r="AX348" s="95" t="str">
        <f t="shared" si="58"/>
        <v/>
      </c>
      <c r="AY348" s="98" t="str">
        <f t="shared" ca="1" si="55"/>
        <v/>
      </c>
      <c r="AZ348" s="95" t="str">
        <f t="shared" si="59"/>
        <v/>
      </c>
      <c r="BA348" s="99" t="str">
        <f t="shared" ca="1" si="56"/>
        <v/>
      </c>
      <c r="BB348" s="97" t="str">
        <f t="shared" si="60"/>
        <v/>
      </c>
      <c r="BC348" s="101" t="str">
        <f t="shared" ca="1" si="63"/>
        <v/>
      </c>
      <c r="BD348" s="100" t="str">
        <f t="shared" si="61"/>
        <v/>
      </c>
      <c r="BE348" s="103" t="str">
        <f t="shared" ca="1" si="57"/>
        <v/>
      </c>
      <c r="BF348" s="102" t="str">
        <f t="shared" si="62"/>
        <v/>
      </c>
    </row>
    <row r="349" spans="48:58" hidden="1" x14ac:dyDescent="0.25">
      <c r="AV349">
        <v>319</v>
      </c>
      <c r="AW349" s="94" t="str">
        <f t="shared" ca="1" si="54"/>
        <v/>
      </c>
      <c r="AX349" s="95" t="str">
        <f t="shared" si="58"/>
        <v/>
      </c>
      <c r="AY349" s="98" t="str">
        <f t="shared" ca="1" si="55"/>
        <v/>
      </c>
      <c r="AZ349" s="95" t="str">
        <f t="shared" si="59"/>
        <v/>
      </c>
      <c r="BA349" s="99" t="str">
        <f t="shared" ca="1" si="56"/>
        <v/>
      </c>
      <c r="BB349" s="97" t="str">
        <f t="shared" si="60"/>
        <v/>
      </c>
      <c r="BC349" s="101" t="str">
        <f t="shared" ca="1" si="63"/>
        <v/>
      </c>
      <c r="BD349" s="100" t="str">
        <f t="shared" si="61"/>
        <v/>
      </c>
      <c r="BE349" s="103" t="str">
        <f t="shared" ca="1" si="57"/>
        <v/>
      </c>
      <c r="BF349" s="102" t="str">
        <f t="shared" si="62"/>
        <v/>
      </c>
    </row>
    <row r="350" spans="48:58" hidden="1" x14ac:dyDescent="0.25">
      <c r="AV350">
        <v>320</v>
      </c>
      <c r="AW350" s="94" t="str">
        <f t="shared" ca="1" si="54"/>
        <v/>
      </c>
      <c r="AX350" s="95" t="str">
        <f t="shared" si="58"/>
        <v/>
      </c>
      <c r="AY350" s="98" t="str">
        <f t="shared" ca="1" si="55"/>
        <v/>
      </c>
      <c r="AZ350" s="95" t="str">
        <f t="shared" si="59"/>
        <v/>
      </c>
      <c r="BA350" s="99" t="str">
        <f t="shared" ca="1" si="56"/>
        <v/>
      </c>
      <c r="BB350" s="97" t="str">
        <f t="shared" si="60"/>
        <v/>
      </c>
      <c r="BC350" s="101" t="str">
        <f t="shared" ca="1" si="63"/>
        <v/>
      </c>
      <c r="BD350" s="100" t="str">
        <f t="shared" si="61"/>
        <v/>
      </c>
      <c r="BE350" s="103" t="str">
        <f t="shared" ca="1" si="57"/>
        <v/>
      </c>
      <c r="BF350" s="102" t="str">
        <f t="shared" si="62"/>
        <v/>
      </c>
    </row>
    <row r="351" spans="48:58" hidden="1" x14ac:dyDescent="0.25">
      <c r="AV351">
        <v>321</v>
      </c>
      <c r="AW351" s="94" t="str">
        <f t="shared" ref="AW351:AW414" ca="1" si="64">IF(T_1*12&gt;=AV351,DATE(YEAR(TODAY()),MONTH(TODAY())+AV351-1,DAY(TODAY())),IF(T_1*12+1&gt;=AV351,DATE(YEAR(TODAY()),MONTH(TODAY())+T_1*12,DAY(TODAY())),""))</f>
        <v/>
      </c>
      <c r="AX351" s="95" t="str">
        <f t="shared" si="58"/>
        <v/>
      </c>
      <c r="AY351" s="98" t="str">
        <f t="shared" ref="AY351:AY414" ca="1" si="65">IF(T_2*12&gt;=$AV351,DATE(YEAR(TODAY()),MONTH(TODAY())+$AV351-1,DAY(TODAY())),IF(T_2*12+1&gt;=$AV351,DATE(YEAR(TODAY()),MONTH(TODAY())+T_2*12,DAY(TODAY())),""))</f>
        <v/>
      </c>
      <c r="AZ351" s="95" t="str">
        <f t="shared" si="59"/>
        <v/>
      </c>
      <c r="BA351" s="99" t="str">
        <f t="shared" ref="BA351:BA414" ca="1" si="66">IF(T_3*12&gt;=$AV351,DATE(YEAR(TODAY()),MONTH(TODAY())+$AV351-1,DAY(TODAY())),IF(T_3*12+1&gt;=$AV351,DATE(YEAR(TODAY()),MONTH(TODAY())+T_3*12,DAY(TODAY())),""))</f>
        <v/>
      </c>
      <c r="BB351" s="97" t="str">
        <f t="shared" si="60"/>
        <v/>
      </c>
      <c r="BC351" s="101" t="str">
        <f t="shared" ca="1" si="63"/>
        <v/>
      </c>
      <c r="BD351" s="100" t="str">
        <f t="shared" si="61"/>
        <v/>
      </c>
      <c r="BE351" s="103" t="str">
        <f t="shared" ref="BE351:BE414" ca="1" si="67">IF(T_5*12&gt;=$AV351,DATE(YEAR(TODAY()),MONTH(TODAY())+$AV351-1,DAY(TODAY())),IF(T_5*12+1&gt;=$AV351,DATE(YEAR(TODAY()),MONTH(TODAY())+T_5*12,DAY(TODAY())),""))</f>
        <v/>
      </c>
      <c r="BF351" s="102" t="str">
        <f t="shared" si="62"/>
        <v/>
      </c>
    </row>
    <row r="352" spans="48:58" hidden="1" x14ac:dyDescent="0.25">
      <c r="AV352">
        <v>322</v>
      </c>
      <c r="AW352" s="94" t="str">
        <f t="shared" ca="1" si="64"/>
        <v/>
      </c>
      <c r="AX352" s="95" t="str">
        <f t="shared" ref="AX352:AX415" si="68">IF(T_1*12&gt;=AV352,-1*$I$15,IF(T_1*12+1&gt;=AV352,InfG_1,""))</f>
        <v/>
      </c>
      <c r="AY352" s="98" t="str">
        <f t="shared" ca="1" si="65"/>
        <v/>
      </c>
      <c r="AZ352" s="95" t="str">
        <f t="shared" ref="AZ352:AZ415" si="69">IF(T_2*12&gt;=$AV352,-1*$I$17,IF(T_2*12+1&gt;=$AV352,InfG_2,""))</f>
        <v/>
      </c>
      <c r="BA352" s="99" t="str">
        <f t="shared" ca="1" si="66"/>
        <v/>
      </c>
      <c r="BB352" s="97" t="str">
        <f t="shared" ref="BB352:BB415" si="70">IF(T_3*12&gt;=$AV352,-1*$I$19,IF(T_3*12+1&gt;=$AV352,InfG_3,""))</f>
        <v/>
      </c>
      <c r="BC352" s="101" t="str">
        <f t="shared" ca="1" si="63"/>
        <v/>
      </c>
      <c r="BD352" s="100" t="str">
        <f t="shared" ref="BD352:BD415" si="71">IF(T_4*12&gt;=$AV352,-1*$I$21,IF(T_4*12+1&gt;=$AV352,InfG_4,""))</f>
        <v/>
      </c>
      <c r="BE352" s="103" t="str">
        <f t="shared" ca="1" si="67"/>
        <v/>
      </c>
      <c r="BF352" s="102" t="str">
        <f t="shared" ref="BF352:BF415" si="72">IF(T_5*12&gt;=$AV352,-1*$I$23,IF(T_5*12+1&gt;=$AV352,InfG_5,""))</f>
        <v/>
      </c>
    </row>
    <row r="353" spans="48:58" hidden="1" x14ac:dyDescent="0.25">
      <c r="AV353">
        <v>323</v>
      </c>
      <c r="AW353" s="94" t="str">
        <f t="shared" ca="1" si="64"/>
        <v/>
      </c>
      <c r="AX353" s="95" t="str">
        <f t="shared" si="68"/>
        <v/>
      </c>
      <c r="AY353" s="98" t="str">
        <f t="shared" ca="1" si="65"/>
        <v/>
      </c>
      <c r="AZ353" s="95" t="str">
        <f t="shared" si="69"/>
        <v/>
      </c>
      <c r="BA353" s="99" t="str">
        <f t="shared" ca="1" si="66"/>
        <v/>
      </c>
      <c r="BB353" s="97" t="str">
        <f t="shared" si="70"/>
        <v/>
      </c>
      <c r="BC353" s="101" t="str">
        <f t="shared" ref="BC353:BC416" ca="1" si="73">IF(T_4*12&gt;=AV353,DATE(YEAR(TODAY()),MONTH(TODAY())+AV353-1,DAY(TODAY())),IF(T_4*12+1&gt;=AV353,DATE(YEAR(TODAY()),MONTH(TODAY())+T_4*12,DAY(TODAY())),""))</f>
        <v/>
      </c>
      <c r="BD353" s="100" t="str">
        <f t="shared" si="71"/>
        <v/>
      </c>
      <c r="BE353" s="103" t="str">
        <f t="shared" ca="1" si="67"/>
        <v/>
      </c>
      <c r="BF353" s="102" t="str">
        <f t="shared" si="72"/>
        <v/>
      </c>
    </row>
    <row r="354" spans="48:58" hidden="1" x14ac:dyDescent="0.25">
      <c r="AV354">
        <v>324</v>
      </c>
      <c r="AW354" s="94" t="str">
        <f t="shared" ca="1" si="64"/>
        <v/>
      </c>
      <c r="AX354" s="95" t="str">
        <f t="shared" si="68"/>
        <v/>
      </c>
      <c r="AY354" s="98" t="str">
        <f t="shared" ca="1" si="65"/>
        <v/>
      </c>
      <c r="AZ354" s="95" t="str">
        <f t="shared" si="69"/>
        <v/>
      </c>
      <c r="BA354" s="99" t="str">
        <f t="shared" ca="1" si="66"/>
        <v/>
      </c>
      <c r="BB354" s="97" t="str">
        <f t="shared" si="70"/>
        <v/>
      </c>
      <c r="BC354" s="101" t="str">
        <f t="shared" ca="1" si="73"/>
        <v/>
      </c>
      <c r="BD354" s="100" t="str">
        <f t="shared" si="71"/>
        <v/>
      </c>
      <c r="BE354" s="103" t="str">
        <f t="shared" ca="1" si="67"/>
        <v/>
      </c>
      <c r="BF354" s="102" t="str">
        <f t="shared" si="72"/>
        <v/>
      </c>
    </row>
    <row r="355" spans="48:58" hidden="1" x14ac:dyDescent="0.25">
      <c r="AV355">
        <v>325</v>
      </c>
      <c r="AW355" s="94" t="str">
        <f t="shared" ca="1" si="64"/>
        <v/>
      </c>
      <c r="AX355" s="95" t="str">
        <f t="shared" si="68"/>
        <v/>
      </c>
      <c r="AY355" s="98" t="str">
        <f t="shared" ca="1" si="65"/>
        <v/>
      </c>
      <c r="AZ355" s="95" t="str">
        <f t="shared" si="69"/>
        <v/>
      </c>
      <c r="BA355" s="99" t="str">
        <f t="shared" ca="1" si="66"/>
        <v/>
      </c>
      <c r="BB355" s="97" t="str">
        <f t="shared" si="70"/>
        <v/>
      </c>
      <c r="BC355" s="101" t="str">
        <f t="shared" ca="1" si="73"/>
        <v/>
      </c>
      <c r="BD355" s="100" t="str">
        <f t="shared" si="71"/>
        <v/>
      </c>
      <c r="BE355" s="103" t="str">
        <f t="shared" ca="1" si="67"/>
        <v/>
      </c>
      <c r="BF355" s="102" t="str">
        <f t="shared" si="72"/>
        <v/>
      </c>
    </row>
    <row r="356" spans="48:58" hidden="1" x14ac:dyDescent="0.25">
      <c r="AV356">
        <v>326</v>
      </c>
      <c r="AW356" s="94" t="str">
        <f t="shared" ca="1" si="64"/>
        <v/>
      </c>
      <c r="AX356" s="95" t="str">
        <f t="shared" si="68"/>
        <v/>
      </c>
      <c r="AY356" s="98" t="str">
        <f t="shared" ca="1" si="65"/>
        <v/>
      </c>
      <c r="AZ356" s="95" t="str">
        <f t="shared" si="69"/>
        <v/>
      </c>
      <c r="BA356" s="99" t="str">
        <f t="shared" ca="1" si="66"/>
        <v/>
      </c>
      <c r="BB356" s="97" t="str">
        <f t="shared" si="70"/>
        <v/>
      </c>
      <c r="BC356" s="101" t="str">
        <f t="shared" ca="1" si="73"/>
        <v/>
      </c>
      <c r="BD356" s="100" t="str">
        <f t="shared" si="71"/>
        <v/>
      </c>
      <c r="BE356" s="103" t="str">
        <f t="shared" ca="1" si="67"/>
        <v/>
      </c>
      <c r="BF356" s="102" t="str">
        <f t="shared" si="72"/>
        <v/>
      </c>
    </row>
    <row r="357" spans="48:58" hidden="1" x14ac:dyDescent="0.25">
      <c r="AV357">
        <v>327</v>
      </c>
      <c r="AW357" s="94" t="str">
        <f t="shared" ca="1" si="64"/>
        <v/>
      </c>
      <c r="AX357" s="95" t="str">
        <f t="shared" si="68"/>
        <v/>
      </c>
      <c r="AY357" s="98" t="str">
        <f t="shared" ca="1" si="65"/>
        <v/>
      </c>
      <c r="AZ357" s="95" t="str">
        <f t="shared" si="69"/>
        <v/>
      </c>
      <c r="BA357" s="99" t="str">
        <f t="shared" ca="1" si="66"/>
        <v/>
      </c>
      <c r="BB357" s="97" t="str">
        <f t="shared" si="70"/>
        <v/>
      </c>
      <c r="BC357" s="101" t="str">
        <f t="shared" ca="1" si="73"/>
        <v/>
      </c>
      <c r="BD357" s="100" t="str">
        <f t="shared" si="71"/>
        <v/>
      </c>
      <c r="BE357" s="103" t="str">
        <f t="shared" ca="1" si="67"/>
        <v/>
      </c>
      <c r="BF357" s="102" t="str">
        <f t="shared" si="72"/>
        <v/>
      </c>
    </row>
    <row r="358" spans="48:58" hidden="1" x14ac:dyDescent="0.25">
      <c r="AV358">
        <v>328</v>
      </c>
      <c r="AW358" s="94" t="str">
        <f t="shared" ca="1" si="64"/>
        <v/>
      </c>
      <c r="AX358" s="95" t="str">
        <f t="shared" si="68"/>
        <v/>
      </c>
      <c r="AY358" s="98" t="str">
        <f t="shared" ca="1" si="65"/>
        <v/>
      </c>
      <c r="AZ358" s="95" t="str">
        <f t="shared" si="69"/>
        <v/>
      </c>
      <c r="BA358" s="99" t="str">
        <f t="shared" ca="1" si="66"/>
        <v/>
      </c>
      <c r="BB358" s="97" t="str">
        <f t="shared" si="70"/>
        <v/>
      </c>
      <c r="BC358" s="101" t="str">
        <f t="shared" ca="1" si="73"/>
        <v/>
      </c>
      <c r="BD358" s="100" t="str">
        <f t="shared" si="71"/>
        <v/>
      </c>
      <c r="BE358" s="103" t="str">
        <f t="shared" ca="1" si="67"/>
        <v/>
      </c>
      <c r="BF358" s="102" t="str">
        <f t="shared" si="72"/>
        <v/>
      </c>
    </row>
    <row r="359" spans="48:58" hidden="1" x14ac:dyDescent="0.25">
      <c r="AV359">
        <v>329</v>
      </c>
      <c r="AW359" s="94" t="str">
        <f t="shared" ca="1" si="64"/>
        <v/>
      </c>
      <c r="AX359" s="95" t="str">
        <f t="shared" si="68"/>
        <v/>
      </c>
      <c r="AY359" s="98" t="str">
        <f t="shared" ca="1" si="65"/>
        <v/>
      </c>
      <c r="AZ359" s="95" t="str">
        <f t="shared" si="69"/>
        <v/>
      </c>
      <c r="BA359" s="99" t="str">
        <f t="shared" ca="1" si="66"/>
        <v/>
      </c>
      <c r="BB359" s="97" t="str">
        <f t="shared" si="70"/>
        <v/>
      </c>
      <c r="BC359" s="101" t="str">
        <f t="shared" ca="1" si="73"/>
        <v/>
      </c>
      <c r="BD359" s="100" t="str">
        <f t="shared" si="71"/>
        <v/>
      </c>
      <c r="BE359" s="103" t="str">
        <f t="shared" ca="1" si="67"/>
        <v/>
      </c>
      <c r="BF359" s="102" t="str">
        <f t="shared" si="72"/>
        <v/>
      </c>
    </row>
    <row r="360" spans="48:58" hidden="1" x14ac:dyDescent="0.25">
      <c r="AV360">
        <v>330</v>
      </c>
      <c r="AW360" s="94" t="str">
        <f t="shared" ca="1" si="64"/>
        <v/>
      </c>
      <c r="AX360" s="95" t="str">
        <f t="shared" si="68"/>
        <v/>
      </c>
      <c r="AY360" s="98" t="str">
        <f t="shared" ca="1" si="65"/>
        <v/>
      </c>
      <c r="AZ360" s="95" t="str">
        <f t="shared" si="69"/>
        <v/>
      </c>
      <c r="BA360" s="99" t="str">
        <f t="shared" ca="1" si="66"/>
        <v/>
      </c>
      <c r="BB360" s="97" t="str">
        <f t="shared" si="70"/>
        <v/>
      </c>
      <c r="BC360" s="101" t="str">
        <f t="shared" ca="1" si="73"/>
        <v/>
      </c>
      <c r="BD360" s="100" t="str">
        <f t="shared" si="71"/>
        <v/>
      </c>
      <c r="BE360" s="103" t="str">
        <f t="shared" ca="1" si="67"/>
        <v/>
      </c>
      <c r="BF360" s="102" t="str">
        <f t="shared" si="72"/>
        <v/>
      </c>
    </row>
    <row r="361" spans="48:58" hidden="1" x14ac:dyDescent="0.25">
      <c r="AV361">
        <v>331</v>
      </c>
      <c r="AW361" s="94" t="str">
        <f t="shared" ca="1" si="64"/>
        <v/>
      </c>
      <c r="AX361" s="95" t="str">
        <f t="shared" si="68"/>
        <v/>
      </c>
      <c r="AY361" s="98" t="str">
        <f t="shared" ca="1" si="65"/>
        <v/>
      </c>
      <c r="AZ361" s="95" t="str">
        <f t="shared" si="69"/>
        <v/>
      </c>
      <c r="BA361" s="99" t="str">
        <f t="shared" ca="1" si="66"/>
        <v/>
      </c>
      <c r="BB361" s="97" t="str">
        <f t="shared" si="70"/>
        <v/>
      </c>
      <c r="BC361" s="101" t="str">
        <f t="shared" ca="1" si="73"/>
        <v/>
      </c>
      <c r="BD361" s="100" t="str">
        <f t="shared" si="71"/>
        <v/>
      </c>
      <c r="BE361" s="103" t="str">
        <f t="shared" ca="1" si="67"/>
        <v/>
      </c>
      <c r="BF361" s="102" t="str">
        <f t="shared" si="72"/>
        <v/>
      </c>
    </row>
    <row r="362" spans="48:58" hidden="1" x14ac:dyDescent="0.25">
      <c r="AV362">
        <v>332</v>
      </c>
      <c r="AW362" s="94" t="str">
        <f t="shared" ca="1" si="64"/>
        <v/>
      </c>
      <c r="AX362" s="95" t="str">
        <f t="shared" si="68"/>
        <v/>
      </c>
      <c r="AY362" s="98" t="str">
        <f t="shared" ca="1" si="65"/>
        <v/>
      </c>
      <c r="AZ362" s="95" t="str">
        <f t="shared" si="69"/>
        <v/>
      </c>
      <c r="BA362" s="99" t="str">
        <f t="shared" ca="1" si="66"/>
        <v/>
      </c>
      <c r="BB362" s="97" t="str">
        <f t="shared" si="70"/>
        <v/>
      </c>
      <c r="BC362" s="101" t="str">
        <f t="shared" ca="1" si="73"/>
        <v/>
      </c>
      <c r="BD362" s="100" t="str">
        <f t="shared" si="71"/>
        <v/>
      </c>
      <c r="BE362" s="103" t="str">
        <f t="shared" ca="1" si="67"/>
        <v/>
      </c>
      <c r="BF362" s="102" t="str">
        <f t="shared" si="72"/>
        <v/>
      </c>
    </row>
    <row r="363" spans="48:58" hidden="1" x14ac:dyDescent="0.25">
      <c r="AV363">
        <v>333</v>
      </c>
      <c r="AW363" s="94" t="str">
        <f t="shared" ca="1" si="64"/>
        <v/>
      </c>
      <c r="AX363" s="95" t="str">
        <f t="shared" si="68"/>
        <v/>
      </c>
      <c r="AY363" s="98" t="str">
        <f t="shared" ca="1" si="65"/>
        <v/>
      </c>
      <c r="AZ363" s="95" t="str">
        <f t="shared" si="69"/>
        <v/>
      </c>
      <c r="BA363" s="99" t="str">
        <f t="shared" ca="1" si="66"/>
        <v/>
      </c>
      <c r="BB363" s="97" t="str">
        <f t="shared" si="70"/>
        <v/>
      </c>
      <c r="BC363" s="101" t="str">
        <f t="shared" ca="1" si="73"/>
        <v/>
      </c>
      <c r="BD363" s="100" t="str">
        <f t="shared" si="71"/>
        <v/>
      </c>
      <c r="BE363" s="103" t="str">
        <f t="shared" ca="1" si="67"/>
        <v/>
      </c>
      <c r="BF363" s="102" t="str">
        <f t="shared" si="72"/>
        <v/>
      </c>
    </row>
    <row r="364" spans="48:58" hidden="1" x14ac:dyDescent="0.25">
      <c r="AV364">
        <v>334</v>
      </c>
      <c r="AW364" s="94" t="str">
        <f t="shared" ca="1" si="64"/>
        <v/>
      </c>
      <c r="AX364" s="95" t="str">
        <f t="shared" si="68"/>
        <v/>
      </c>
      <c r="AY364" s="98" t="str">
        <f t="shared" ca="1" si="65"/>
        <v/>
      </c>
      <c r="AZ364" s="95" t="str">
        <f t="shared" si="69"/>
        <v/>
      </c>
      <c r="BA364" s="99" t="str">
        <f t="shared" ca="1" si="66"/>
        <v/>
      </c>
      <c r="BB364" s="97" t="str">
        <f t="shared" si="70"/>
        <v/>
      </c>
      <c r="BC364" s="101" t="str">
        <f t="shared" ca="1" si="73"/>
        <v/>
      </c>
      <c r="BD364" s="100" t="str">
        <f t="shared" si="71"/>
        <v/>
      </c>
      <c r="BE364" s="103" t="str">
        <f t="shared" ca="1" si="67"/>
        <v/>
      </c>
      <c r="BF364" s="102" t="str">
        <f t="shared" si="72"/>
        <v/>
      </c>
    </row>
    <row r="365" spans="48:58" hidden="1" x14ac:dyDescent="0.25">
      <c r="AV365">
        <v>335</v>
      </c>
      <c r="AW365" s="94" t="str">
        <f t="shared" ca="1" si="64"/>
        <v/>
      </c>
      <c r="AX365" s="95" t="str">
        <f t="shared" si="68"/>
        <v/>
      </c>
      <c r="AY365" s="98" t="str">
        <f t="shared" ca="1" si="65"/>
        <v/>
      </c>
      <c r="AZ365" s="95" t="str">
        <f t="shared" si="69"/>
        <v/>
      </c>
      <c r="BA365" s="99" t="str">
        <f t="shared" ca="1" si="66"/>
        <v/>
      </c>
      <c r="BB365" s="97" t="str">
        <f t="shared" si="70"/>
        <v/>
      </c>
      <c r="BC365" s="101" t="str">
        <f t="shared" ca="1" si="73"/>
        <v/>
      </c>
      <c r="BD365" s="100" t="str">
        <f t="shared" si="71"/>
        <v/>
      </c>
      <c r="BE365" s="103" t="str">
        <f t="shared" ca="1" si="67"/>
        <v/>
      </c>
      <c r="BF365" s="102" t="str">
        <f t="shared" si="72"/>
        <v/>
      </c>
    </row>
    <row r="366" spans="48:58" hidden="1" x14ac:dyDescent="0.25">
      <c r="AV366">
        <v>336</v>
      </c>
      <c r="AW366" s="94" t="str">
        <f t="shared" ca="1" si="64"/>
        <v/>
      </c>
      <c r="AX366" s="95" t="str">
        <f t="shared" si="68"/>
        <v/>
      </c>
      <c r="AY366" s="98" t="str">
        <f t="shared" ca="1" si="65"/>
        <v/>
      </c>
      <c r="AZ366" s="95" t="str">
        <f t="shared" si="69"/>
        <v/>
      </c>
      <c r="BA366" s="99" t="str">
        <f t="shared" ca="1" si="66"/>
        <v/>
      </c>
      <c r="BB366" s="97" t="str">
        <f t="shared" si="70"/>
        <v/>
      </c>
      <c r="BC366" s="101" t="str">
        <f t="shared" ca="1" si="73"/>
        <v/>
      </c>
      <c r="BD366" s="100" t="str">
        <f t="shared" si="71"/>
        <v/>
      </c>
      <c r="BE366" s="103" t="str">
        <f t="shared" ca="1" si="67"/>
        <v/>
      </c>
      <c r="BF366" s="102" t="str">
        <f t="shared" si="72"/>
        <v/>
      </c>
    </row>
    <row r="367" spans="48:58" hidden="1" x14ac:dyDescent="0.25">
      <c r="AV367">
        <v>337</v>
      </c>
      <c r="AW367" s="94" t="str">
        <f t="shared" ca="1" si="64"/>
        <v/>
      </c>
      <c r="AX367" s="95" t="str">
        <f t="shared" si="68"/>
        <v/>
      </c>
      <c r="AY367" s="98" t="str">
        <f t="shared" ca="1" si="65"/>
        <v/>
      </c>
      <c r="AZ367" s="95" t="str">
        <f t="shared" si="69"/>
        <v/>
      </c>
      <c r="BA367" s="99" t="str">
        <f t="shared" ca="1" si="66"/>
        <v/>
      </c>
      <c r="BB367" s="97" t="str">
        <f t="shared" si="70"/>
        <v/>
      </c>
      <c r="BC367" s="101" t="str">
        <f t="shared" ca="1" si="73"/>
        <v/>
      </c>
      <c r="BD367" s="100" t="str">
        <f t="shared" si="71"/>
        <v/>
      </c>
      <c r="BE367" s="103" t="str">
        <f t="shared" ca="1" si="67"/>
        <v/>
      </c>
      <c r="BF367" s="102" t="str">
        <f t="shared" si="72"/>
        <v/>
      </c>
    </row>
    <row r="368" spans="48:58" hidden="1" x14ac:dyDescent="0.25">
      <c r="AV368">
        <v>338</v>
      </c>
      <c r="AW368" s="94" t="str">
        <f t="shared" ca="1" si="64"/>
        <v/>
      </c>
      <c r="AX368" s="95" t="str">
        <f t="shared" si="68"/>
        <v/>
      </c>
      <c r="AY368" s="98" t="str">
        <f t="shared" ca="1" si="65"/>
        <v/>
      </c>
      <c r="AZ368" s="95" t="str">
        <f t="shared" si="69"/>
        <v/>
      </c>
      <c r="BA368" s="99" t="str">
        <f t="shared" ca="1" si="66"/>
        <v/>
      </c>
      <c r="BB368" s="97" t="str">
        <f t="shared" si="70"/>
        <v/>
      </c>
      <c r="BC368" s="101" t="str">
        <f t="shared" ca="1" si="73"/>
        <v/>
      </c>
      <c r="BD368" s="100" t="str">
        <f t="shared" si="71"/>
        <v/>
      </c>
      <c r="BE368" s="103" t="str">
        <f t="shared" ca="1" si="67"/>
        <v/>
      </c>
      <c r="BF368" s="102" t="str">
        <f t="shared" si="72"/>
        <v/>
      </c>
    </row>
    <row r="369" spans="48:58" hidden="1" x14ac:dyDescent="0.25">
      <c r="AV369">
        <v>339</v>
      </c>
      <c r="AW369" s="94" t="str">
        <f t="shared" ca="1" si="64"/>
        <v/>
      </c>
      <c r="AX369" s="95" t="str">
        <f t="shared" si="68"/>
        <v/>
      </c>
      <c r="AY369" s="98" t="str">
        <f t="shared" ca="1" si="65"/>
        <v/>
      </c>
      <c r="AZ369" s="95" t="str">
        <f t="shared" si="69"/>
        <v/>
      </c>
      <c r="BA369" s="99" t="str">
        <f t="shared" ca="1" si="66"/>
        <v/>
      </c>
      <c r="BB369" s="97" t="str">
        <f t="shared" si="70"/>
        <v/>
      </c>
      <c r="BC369" s="101" t="str">
        <f t="shared" ca="1" si="73"/>
        <v/>
      </c>
      <c r="BD369" s="100" t="str">
        <f t="shared" si="71"/>
        <v/>
      </c>
      <c r="BE369" s="103" t="str">
        <f t="shared" ca="1" si="67"/>
        <v/>
      </c>
      <c r="BF369" s="102" t="str">
        <f t="shared" si="72"/>
        <v/>
      </c>
    </row>
    <row r="370" spans="48:58" hidden="1" x14ac:dyDescent="0.25">
      <c r="AV370">
        <v>340</v>
      </c>
      <c r="AW370" s="94" t="str">
        <f t="shared" ca="1" si="64"/>
        <v/>
      </c>
      <c r="AX370" s="95" t="str">
        <f t="shared" si="68"/>
        <v/>
      </c>
      <c r="AY370" s="98" t="str">
        <f t="shared" ca="1" si="65"/>
        <v/>
      </c>
      <c r="AZ370" s="95" t="str">
        <f t="shared" si="69"/>
        <v/>
      </c>
      <c r="BA370" s="99" t="str">
        <f t="shared" ca="1" si="66"/>
        <v/>
      </c>
      <c r="BB370" s="97" t="str">
        <f t="shared" si="70"/>
        <v/>
      </c>
      <c r="BC370" s="101" t="str">
        <f t="shared" ca="1" si="73"/>
        <v/>
      </c>
      <c r="BD370" s="100" t="str">
        <f t="shared" si="71"/>
        <v/>
      </c>
      <c r="BE370" s="103" t="str">
        <f t="shared" ca="1" si="67"/>
        <v/>
      </c>
      <c r="BF370" s="102" t="str">
        <f t="shared" si="72"/>
        <v/>
      </c>
    </row>
    <row r="371" spans="48:58" hidden="1" x14ac:dyDescent="0.25">
      <c r="AV371">
        <v>341</v>
      </c>
      <c r="AW371" s="94" t="str">
        <f t="shared" ca="1" si="64"/>
        <v/>
      </c>
      <c r="AX371" s="95" t="str">
        <f t="shared" si="68"/>
        <v/>
      </c>
      <c r="AY371" s="98" t="str">
        <f t="shared" ca="1" si="65"/>
        <v/>
      </c>
      <c r="AZ371" s="95" t="str">
        <f t="shared" si="69"/>
        <v/>
      </c>
      <c r="BA371" s="99" t="str">
        <f t="shared" ca="1" si="66"/>
        <v/>
      </c>
      <c r="BB371" s="97" t="str">
        <f t="shared" si="70"/>
        <v/>
      </c>
      <c r="BC371" s="101" t="str">
        <f t="shared" ca="1" si="73"/>
        <v/>
      </c>
      <c r="BD371" s="100" t="str">
        <f t="shared" si="71"/>
        <v/>
      </c>
      <c r="BE371" s="103" t="str">
        <f t="shared" ca="1" si="67"/>
        <v/>
      </c>
      <c r="BF371" s="102" t="str">
        <f t="shared" si="72"/>
        <v/>
      </c>
    </row>
    <row r="372" spans="48:58" hidden="1" x14ac:dyDescent="0.25">
      <c r="AV372">
        <v>342</v>
      </c>
      <c r="AW372" s="94" t="str">
        <f t="shared" ca="1" si="64"/>
        <v/>
      </c>
      <c r="AX372" s="95" t="str">
        <f t="shared" si="68"/>
        <v/>
      </c>
      <c r="AY372" s="98" t="str">
        <f t="shared" ca="1" si="65"/>
        <v/>
      </c>
      <c r="AZ372" s="95" t="str">
        <f t="shared" si="69"/>
        <v/>
      </c>
      <c r="BA372" s="99" t="str">
        <f t="shared" ca="1" si="66"/>
        <v/>
      </c>
      <c r="BB372" s="97" t="str">
        <f t="shared" si="70"/>
        <v/>
      </c>
      <c r="BC372" s="101" t="str">
        <f t="shared" ca="1" si="73"/>
        <v/>
      </c>
      <c r="BD372" s="100" t="str">
        <f t="shared" si="71"/>
        <v/>
      </c>
      <c r="BE372" s="103" t="str">
        <f t="shared" ca="1" si="67"/>
        <v/>
      </c>
      <c r="BF372" s="102" t="str">
        <f t="shared" si="72"/>
        <v/>
      </c>
    </row>
    <row r="373" spans="48:58" hidden="1" x14ac:dyDescent="0.25">
      <c r="AV373">
        <v>343</v>
      </c>
      <c r="AW373" s="94" t="str">
        <f t="shared" ca="1" si="64"/>
        <v/>
      </c>
      <c r="AX373" s="95" t="str">
        <f t="shared" si="68"/>
        <v/>
      </c>
      <c r="AY373" s="98" t="str">
        <f t="shared" ca="1" si="65"/>
        <v/>
      </c>
      <c r="AZ373" s="95" t="str">
        <f t="shared" si="69"/>
        <v/>
      </c>
      <c r="BA373" s="99" t="str">
        <f t="shared" ca="1" si="66"/>
        <v/>
      </c>
      <c r="BB373" s="97" t="str">
        <f t="shared" si="70"/>
        <v/>
      </c>
      <c r="BC373" s="101" t="str">
        <f t="shared" ca="1" si="73"/>
        <v/>
      </c>
      <c r="BD373" s="100" t="str">
        <f t="shared" si="71"/>
        <v/>
      </c>
      <c r="BE373" s="103" t="str">
        <f t="shared" ca="1" si="67"/>
        <v/>
      </c>
      <c r="BF373" s="102" t="str">
        <f t="shared" si="72"/>
        <v/>
      </c>
    </row>
    <row r="374" spans="48:58" hidden="1" x14ac:dyDescent="0.25">
      <c r="AV374">
        <v>344</v>
      </c>
      <c r="AW374" s="94" t="str">
        <f t="shared" ca="1" si="64"/>
        <v/>
      </c>
      <c r="AX374" s="95" t="str">
        <f t="shared" si="68"/>
        <v/>
      </c>
      <c r="AY374" s="98" t="str">
        <f t="shared" ca="1" si="65"/>
        <v/>
      </c>
      <c r="AZ374" s="95" t="str">
        <f t="shared" si="69"/>
        <v/>
      </c>
      <c r="BA374" s="99" t="str">
        <f t="shared" ca="1" si="66"/>
        <v/>
      </c>
      <c r="BB374" s="97" t="str">
        <f t="shared" si="70"/>
        <v/>
      </c>
      <c r="BC374" s="101" t="str">
        <f t="shared" ca="1" si="73"/>
        <v/>
      </c>
      <c r="BD374" s="100" t="str">
        <f t="shared" si="71"/>
        <v/>
      </c>
      <c r="BE374" s="103" t="str">
        <f t="shared" ca="1" si="67"/>
        <v/>
      </c>
      <c r="BF374" s="102" t="str">
        <f t="shared" si="72"/>
        <v/>
      </c>
    </row>
    <row r="375" spans="48:58" hidden="1" x14ac:dyDescent="0.25">
      <c r="AV375">
        <v>345</v>
      </c>
      <c r="AW375" s="94" t="str">
        <f t="shared" ca="1" si="64"/>
        <v/>
      </c>
      <c r="AX375" s="95" t="str">
        <f t="shared" si="68"/>
        <v/>
      </c>
      <c r="AY375" s="98" t="str">
        <f t="shared" ca="1" si="65"/>
        <v/>
      </c>
      <c r="AZ375" s="95" t="str">
        <f t="shared" si="69"/>
        <v/>
      </c>
      <c r="BA375" s="99" t="str">
        <f t="shared" ca="1" si="66"/>
        <v/>
      </c>
      <c r="BB375" s="97" t="str">
        <f t="shared" si="70"/>
        <v/>
      </c>
      <c r="BC375" s="101" t="str">
        <f t="shared" ca="1" si="73"/>
        <v/>
      </c>
      <c r="BD375" s="100" t="str">
        <f t="shared" si="71"/>
        <v/>
      </c>
      <c r="BE375" s="103" t="str">
        <f t="shared" ca="1" si="67"/>
        <v/>
      </c>
      <c r="BF375" s="102" t="str">
        <f t="shared" si="72"/>
        <v/>
      </c>
    </row>
    <row r="376" spans="48:58" hidden="1" x14ac:dyDescent="0.25">
      <c r="AV376">
        <v>346</v>
      </c>
      <c r="AW376" s="94" t="str">
        <f t="shared" ca="1" si="64"/>
        <v/>
      </c>
      <c r="AX376" s="95" t="str">
        <f t="shared" si="68"/>
        <v/>
      </c>
      <c r="AY376" s="98" t="str">
        <f t="shared" ca="1" si="65"/>
        <v/>
      </c>
      <c r="AZ376" s="95" t="str">
        <f t="shared" si="69"/>
        <v/>
      </c>
      <c r="BA376" s="99" t="str">
        <f t="shared" ca="1" si="66"/>
        <v/>
      </c>
      <c r="BB376" s="97" t="str">
        <f t="shared" si="70"/>
        <v/>
      </c>
      <c r="BC376" s="101" t="str">
        <f t="shared" ca="1" si="73"/>
        <v/>
      </c>
      <c r="BD376" s="100" t="str">
        <f t="shared" si="71"/>
        <v/>
      </c>
      <c r="BE376" s="103" t="str">
        <f t="shared" ca="1" si="67"/>
        <v/>
      </c>
      <c r="BF376" s="102" t="str">
        <f t="shared" si="72"/>
        <v/>
      </c>
    </row>
    <row r="377" spans="48:58" hidden="1" x14ac:dyDescent="0.25">
      <c r="AV377">
        <v>347</v>
      </c>
      <c r="AW377" s="94" t="str">
        <f t="shared" ca="1" si="64"/>
        <v/>
      </c>
      <c r="AX377" s="95" t="str">
        <f t="shared" si="68"/>
        <v/>
      </c>
      <c r="AY377" s="98" t="str">
        <f t="shared" ca="1" si="65"/>
        <v/>
      </c>
      <c r="AZ377" s="95" t="str">
        <f t="shared" si="69"/>
        <v/>
      </c>
      <c r="BA377" s="99" t="str">
        <f t="shared" ca="1" si="66"/>
        <v/>
      </c>
      <c r="BB377" s="97" t="str">
        <f t="shared" si="70"/>
        <v/>
      </c>
      <c r="BC377" s="101" t="str">
        <f t="shared" ca="1" si="73"/>
        <v/>
      </c>
      <c r="BD377" s="100" t="str">
        <f t="shared" si="71"/>
        <v/>
      </c>
      <c r="BE377" s="103" t="str">
        <f t="shared" ca="1" si="67"/>
        <v/>
      </c>
      <c r="BF377" s="102" t="str">
        <f t="shared" si="72"/>
        <v/>
      </c>
    </row>
    <row r="378" spans="48:58" hidden="1" x14ac:dyDescent="0.25">
      <c r="AV378">
        <v>348</v>
      </c>
      <c r="AW378" s="94" t="str">
        <f t="shared" ca="1" si="64"/>
        <v/>
      </c>
      <c r="AX378" s="95" t="str">
        <f t="shared" si="68"/>
        <v/>
      </c>
      <c r="AY378" s="98" t="str">
        <f t="shared" ca="1" si="65"/>
        <v/>
      </c>
      <c r="AZ378" s="95" t="str">
        <f t="shared" si="69"/>
        <v/>
      </c>
      <c r="BA378" s="99" t="str">
        <f t="shared" ca="1" si="66"/>
        <v/>
      </c>
      <c r="BB378" s="97" t="str">
        <f t="shared" si="70"/>
        <v/>
      </c>
      <c r="BC378" s="101" t="str">
        <f t="shared" ca="1" si="73"/>
        <v/>
      </c>
      <c r="BD378" s="100" t="str">
        <f t="shared" si="71"/>
        <v/>
      </c>
      <c r="BE378" s="103" t="str">
        <f t="shared" ca="1" si="67"/>
        <v/>
      </c>
      <c r="BF378" s="102" t="str">
        <f t="shared" si="72"/>
        <v/>
      </c>
    </row>
    <row r="379" spans="48:58" hidden="1" x14ac:dyDescent="0.25">
      <c r="AV379">
        <v>349</v>
      </c>
      <c r="AW379" s="94" t="str">
        <f t="shared" ca="1" si="64"/>
        <v/>
      </c>
      <c r="AX379" s="95" t="str">
        <f t="shared" si="68"/>
        <v/>
      </c>
      <c r="AY379" s="98" t="str">
        <f t="shared" ca="1" si="65"/>
        <v/>
      </c>
      <c r="AZ379" s="95" t="str">
        <f t="shared" si="69"/>
        <v/>
      </c>
      <c r="BA379" s="99" t="str">
        <f t="shared" ca="1" si="66"/>
        <v/>
      </c>
      <c r="BB379" s="97" t="str">
        <f t="shared" si="70"/>
        <v/>
      </c>
      <c r="BC379" s="101" t="str">
        <f t="shared" ca="1" si="73"/>
        <v/>
      </c>
      <c r="BD379" s="100" t="str">
        <f t="shared" si="71"/>
        <v/>
      </c>
      <c r="BE379" s="103" t="str">
        <f t="shared" ca="1" si="67"/>
        <v/>
      </c>
      <c r="BF379" s="102" t="str">
        <f t="shared" si="72"/>
        <v/>
      </c>
    </row>
    <row r="380" spans="48:58" hidden="1" x14ac:dyDescent="0.25">
      <c r="AV380">
        <v>350</v>
      </c>
      <c r="AW380" s="94" t="str">
        <f t="shared" ca="1" si="64"/>
        <v/>
      </c>
      <c r="AX380" s="95" t="str">
        <f t="shared" si="68"/>
        <v/>
      </c>
      <c r="AY380" s="98" t="str">
        <f t="shared" ca="1" si="65"/>
        <v/>
      </c>
      <c r="AZ380" s="95" t="str">
        <f t="shared" si="69"/>
        <v/>
      </c>
      <c r="BA380" s="99" t="str">
        <f t="shared" ca="1" si="66"/>
        <v/>
      </c>
      <c r="BB380" s="97" t="str">
        <f t="shared" si="70"/>
        <v/>
      </c>
      <c r="BC380" s="101" t="str">
        <f t="shared" ca="1" si="73"/>
        <v/>
      </c>
      <c r="BD380" s="100" t="str">
        <f t="shared" si="71"/>
        <v/>
      </c>
      <c r="BE380" s="103" t="str">
        <f t="shared" ca="1" si="67"/>
        <v/>
      </c>
      <c r="BF380" s="102" t="str">
        <f t="shared" si="72"/>
        <v/>
      </c>
    </row>
    <row r="381" spans="48:58" hidden="1" x14ac:dyDescent="0.25">
      <c r="AV381">
        <v>351</v>
      </c>
      <c r="AW381" s="94" t="str">
        <f t="shared" ca="1" si="64"/>
        <v/>
      </c>
      <c r="AX381" s="95" t="str">
        <f t="shared" si="68"/>
        <v/>
      </c>
      <c r="AY381" s="98" t="str">
        <f t="shared" ca="1" si="65"/>
        <v/>
      </c>
      <c r="AZ381" s="95" t="str">
        <f t="shared" si="69"/>
        <v/>
      </c>
      <c r="BA381" s="99" t="str">
        <f t="shared" ca="1" si="66"/>
        <v/>
      </c>
      <c r="BB381" s="97" t="str">
        <f t="shared" si="70"/>
        <v/>
      </c>
      <c r="BC381" s="101" t="str">
        <f t="shared" ca="1" si="73"/>
        <v/>
      </c>
      <c r="BD381" s="100" t="str">
        <f t="shared" si="71"/>
        <v/>
      </c>
      <c r="BE381" s="103" t="str">
        <f t="shared" ca="1" si="67"/>
        <v/>
      </c>
      <c r="BF381" s="102" t="str">
        <f t="shared" si="72"/>
        <v/>
      </c>
    </row>
    <row r="382" spans="48:58" hidden="1" x14ac:dyDescent="0.25">
      <c r="AV382">
        <v>352</v>
      </c>
      <c r="AW382" s="94" t="str">
        <f t="shared" ca="1" si="64"/>
        <v/>
      </c>
      <c r="AX382" s="95" t="str">
        <f t="shared" si="68"/>
        <v/>
      </c>
      <c r="AY382" s="98" t="str">
        <f t="shared" ca="1" si="65"/>
        <v/>
      </c>
      <c r="AZ382" s="95" t="str">
        <f t="shared" si="69"/>
        <v/>
      </c>
      <c r="BA382" s="99" t="str">
        <f t="shared" ca="1" si="66"/>
        <v/>
      </c>
      <c r="BB382" s="97" t="str">
        <f t="shared" si="70"/>
        <v/>
      </c>
      <c r="BC382" s="101" t="str">
        <f t="shared" ca="1" si="73"/>
        <v/>
      </c>
      <c r="BD382" s="100" t="str">
        <f t="shared" si="71"/>
        <v/>
      </c>
      <c r="BE382" s="103" t="str">
        <f t="shared" ca="1" si="67"/>
        <v/>
      </c>
      <c r="BF382" s="102" t="str">
        <f t="shared" si="72"/>
        <v/>
      </c>
    </row>
    <row r="383" spans="48:58" hidden="1" x14ac:dyDescent="0.25">
      <c r="AV383">
        <v>353</v>
      </c>
      <c r="AW383" s="94" t="str">
        <f t="shared" ca="1" si="64"/>
        <v/>
      </c>
      <c r="AX383" s="95" t="str">
        <f t="shared" si="68"/>
        <v/>
      </c>
      <c r="AY383" s="98" t="str">
        <f t="shared" ca="1" si="65"/>
        <v/>
      </c>
      <c r="AZ383" s="95" t="str">
        <f t="shared" si="69"/>
        <v/>
      </c>
      <c r="BA383" s="99" t="str">
        <f t="shared" ca="1" si="66"/>
        <v/>
      </c>
      <c r="BB383" s="97" t="str">
        <f t="shared" si="70"/>
        <v/>
      </c>
      <c r="BC383" s="101" t="str">
        <f t="shared" ca="1" si="73"/>
        <v/>
      </c>
      <c r="BD383" s="100" t="str">
        <f t="shared" si="71"/>
        <v/>
      </c>
      <c r="BE383" s="103" t="str">
        <f t="shared" ca="1" si="67"/>
        <v/>
      </c>
      <c r="BF383" s="102" t="str">
        <f t="shared" si="72"/>
        <v/>
      </c>
    </row>
    <row r="384" spans="48:58" hidden="1" x14ac:dyDescent="0.25">
      <c r="AV384">
        <v>354</v>
      </c>
      <c r="AW384" s="94" t="str">
        <f t="shared" ca="1" si="64"/>
        <v/>
      </c>
      <c r="AX384" s="95" t="str">
        <f t="shared" si="68"/>
        <v/>
      </c>
      <c r="AY384" s="98" t="str">
        <f t="shared" ca="1" si="65"/>
        <v/>
      </c>
      <c r="AZ384" s="95" t="str">
        <f t="shared" si="69"/>
        <v/>
      </c>
      <c r="BA384" s="99" t="str">
        <f t="shared" ca="1" si="66"/>
        <v/>
      </c>
      <c r="BB384" s="97" t="str">
        <f t="shared" si="70"/>
        <v/>
      </c>
      <c r="BC384" s="101" t="str">
        <f t="shared" ca="1" si="73"/>
        <v/>
      </c>
      <c r="BD384" s="100" t="str">
        <f t="shared" si="71"/>
        <v/>
      </c>
      <c r="BE384" s="103" t="str">
        <f t="shared" ca="1" si="67"/>
        <v/>
      </c>
      <c r="BF384" s="102" t="str">
        <f t="shared" si="72"/>
        <v/>
      </c>
    </row>
    <row r="385" spans="48:58" hidden="1" x14ac:dyDescent="0.25">
      <c r="AV385">
        <v>355</v>
      </c>
      <c r="AW385" s="94" t="str">
        <f t="shared" ca="1" si="64"/>
        <v/>
      </c>
      <c r="AX385" s="95" t="str">
        <f t="shared" si="68"/>
        <v/>
      </c>
      <c r="AY385" s="98" t="str">
        <f t="shared" ca="1" si="65"/>
        <v/>
      </c>
      <c r="AZ385" s="95" t="str">
        <f t="shared" si="69"/>
        <v/>
      </c>
      <c r="BA385" s="99" t="str">
        <f t="shared" ca="1" si="66"/>
        <v/>
      </c>
      <c r="BB385" s="97" t="str">
        <f t="shared" si="70"/>
        <v/>
      </c>
      <c r="BC385" s="101" t="str">
        <f t="shared" ca="1" si="73"/>
        <v/>
      </c>
      <c r="BD385" s="100" t="str">
        <f t="shared" si="71"/>
        <v/>
      </c>
      <c r="BE385" s="103" t="str">
        <f t="shared" ca="1" si="67"/>
        <v/>
      </c>
      <c r="BF385" s="102" t="str">
        <f t="shared" si="72"/>
        <v/>
      </c>
    </row>
    <row r="386" spans="48:58" hidden="1" x14ac:dyDescent="0.25">
      <c r="AV386">
        <v>356</v>
      </c>
      <c r="AW386" s="94" t="str">
        <f t="shared" ca="1" si="64"/>
        <v/>
      </c>
      <c r="AX386" s="95" t="str">
        <f t="shared" si="68"/>
        <v/>
      </c>
      <c r="AY386" s="98" t="str">
        <f t="shared" ca="1" si="65"/>
        <v/>
      </c>
      <c r="AZ386" s="95" t="str">
        <f t="shared" si="69"/>
        <v/>
      </c>
      <c r="BA386" s="99" t="str">
        <f t="shared" ca="1" si="66"/>
        <v/>
      </c>
      <c r="BB386" s="97" t="str">
        <f t="shared" si="70"/>
        <v/>
      </c>
      <c r="BC386" s="101" t="str">
        <f t="shared" ca="1" si="73"/>
        <v/>
      </c>
      <c r="BD386" s="100" t="str">
        <f t="shared" si="71"/>
        <v/>
      </c>
      <c r="BE386" s="103" t="str">
        <f t="shared" ca="1" si="67"/>
        <v/>
      </c>
      <c r="BF386" s="102" t="str">
        <f t="shared" si="72"/>
        <v/>
      </c>
    </row>
    <row r="387" spans="48:58" hidden="1" x14ac:dyDescent="0.25">
      <c r="AV387">
        <v>357</v>
      </c>
      <c r="AW387" s="94" t="str">
        <f t="shared" ca="1" si="64"/>
        <v/>
      </c>
      <c r="AX387" s="95" t="str">
        <f t="shared" si="68"/>
        <v/>
      </c>
      <c r="AY387" s="98" t="str">
        <f t="shared" ca="1" si="65"/>
        <v/>
      </c>
      <c r="AZ387" s="95" t="str">
        <f t="shared" si="69"/>
        <v/>
      </c>
      <c r="BA387" s="99" t="str">
        <f t="shared" ca="1" si="66"/>
        <v/>
      </c>
      <c r="BB387" s="97" t="str">
        <f t="shared" si="70"/>
        <v/>
      </c>
      <c r="BC387" s="101" t="str">
        <f t="shared" ca="1" si="73"/>
        <v/>
      </c>
      <c r="BD387" s="100" t="str">
        <f t="shared" si="71"/>
        <v/>
      </c>
      <c r="BE387" s="103" t="str">
        <f t="shared" ca="1" si="67"/>
        <v/>
      </c>
      <c r="BF387" s="102" t="str">
        <f t="shared" si="72"/>
        <v/>
      </c>
    </row>
    <row r="388" spans="48:58" hidden="1" x14ac:dyDescent="0.25">
      <c r="AV388">
        <v>358</v>
      </c>
      <c r="AW388" s="94" t="str">
        <f t="shared" ca="1" si="64"/>
        <v/>
      </c>
      <c r="AX388" s="95" t="str">
        <f t="shared" si="68"/>
        <v/>
      </c>
      <c r="AY388" s="98" t="str">
        <f t="shared" ca="1" si="65"/>
        <v/>
      </c>
      <c r="AZ388" s="95" t="str">
        <f t="shared" si="69"/>
        <v/>
      </c>
      <c r="BA388" s="99" t="str">
        <f t="shared" ca="1" si="66"/>
        <v/>
      </c>
      <c r="BB388" s="97" t="str">
        <f t="shared" si="70"/>
        <v/>
      </c>
      <c r="BC388" s="101" t="str">
        <f t="shared" ca="1" si="73"/>
        <v/>
      </c>
      <c r="BD388" s="100" t="str">
        <f t="shared" si="71"/>
        <v/>
      </c>
      <c r="BE388" s="103" t="str">
        <f t="shared" ca="1" si="67"/>
        <v/>
      </c>
      <c r="BF388" s="102" t="str">
        <f t="shared" si="72"/>
        <v/>
      </c>
    </row>
    <row r="389" spans="48:58" hidden="1" x14ac:dyDescent="0.25">
      <c r="AV389">
        <v>359</v>
      </c>
      <c r="AW389" s="94" t="str">
        <f t="shared" ca="1" si="64"/>
        <v/>
      </c>
      <c r="AX389" s="95" t="str">
        <f t="shared" si="68"/>
        <v/>
      </c>
      <c r="AY389" s="98" t="str">
        <f t="shared" ca="1" si="65"/>
        <v/>
      </c>
      <c r="AZ389" s="95" t="str">
        <f t="shared" si="69"/>
        <v/>
      </c>
      <c r="BA389" s="99" t="str">
        <f t="shared" ca="1" si="66"/>
        <v/>
      </c>
      <c r="BB389" s="97" t="str">
        <f t="shared" si="70"/>
        <v/>
      </c>
      <c r="BC389" s="101" t="str">
        <f t="shared" ca="1" si="73"/>
        <v/>
      </c>
      <c r="BD389" s="100" t="str">
        <f t="shared" si="71"/>
        <v/>
      </c>
      <c r="BE389" s="103" t="str">
        <f t="shared" ca="1" si="67"/>
        <v/>
      </c>
      <c r="BF389" s="102" t="str">
        <f t="shared" si="72"/>
        <v/>
      </c>
    </row>
    <row r="390" spans="48:58" hidden="1" x14ac:dyDescent="0.25">
      <c r="AV390">
        <v>360</v>
      </c>
      <c r="AW390" s="94" t="str">
        <f t="shared" ca="1" si="64"/>
        <v/>
      </c>
      <c r="AX390" s="95" t="str">
        <f t="shared" si="68"/>
        <v/>
      </c>
      <c r="AY390" s="98" t="str">
        <f t="shared" ca="1" si="65"/>
        <v/>
      </c>
      <c r="AZ390" s="95" t="str">
        <f t="shared" si="69"/>
        <v/>
      </c>
      <c r="BA390" s="99" t="str">
        <f t="shared" ca="1" si="66"/>
        <v/>
      </c>
      <c r="BB390" s="97" t="str">
        <f t="shared" si="70"/>
        <v/>
      </c>
      <c r="BC390" s="101" t="str">
        <f t="shared" ca="1" si="73"/>
        <v/>
      </c>
      <c r="BD390" s="100" t="str">
        <f t="shared" si="71"/>
        <v/>
      </c>
      <c r="BE390" s="103" t="str">
        <f t="shared" ca="1" si="67"/>
        <v/>
      </c>
      <c r="BF390" s="102" t="str">
        <f t="shared" si="72"/>
        <v/>
      </c>
    </row>
    <row r="391" spans="48:58" hidden="1" x14ac:dyDescent="0.25">
      <c r="AV391">
        <v>361</v>
      </c>
      <c r="AW391" s="94" t="str">
        <f t="shared" ca="1" si="64"/>
        <v/>
      </c>
      <c r="AX391" s="95" t="str">
        <f t="shared" si="68"/>
        <v/>
      </c>
      <c r="AY391" s="98" t="str">
        <f t="shared" ca="1" si="65"/>
        <v/>
      </c>
      <c r="AZ391" s="95" t="str">
        <f t="shared" si="69"/>
        <v/>
      </c>
      <c r="BA391" s="99" t="str">
        <f t="shared" ca="1" si="66"/>
        <v/>
      </c>
      <c r="BB391" s="97" t="str">
        <f t="shared" si="70"/>
        <v/>
      </c>
      <c r="BC391" s="101" t="str">
        <f t="shared" ca="1" si="73"/>
        <v/>
      </c>
      <c r="BD391" s="100" t="str">
        <f t="shared" si="71"/>
        <v/>
      </c>
      <c r="BE391" s="103" t="str">
        <f t="shared" ca="1" si="67"/>
        <v/>
      </c>
      <c r="BF391" s="102" t="str">
        <f t="shared" si="72"/>
        <v/>
      </c>
    </row>
    <row r="392" spans="48:58" hidden="1" x14ac:dyDescent="0.25">
      <c r="AV392">
        <v>362</v>
      </c>
      <c r="AW392" s="94" t="str">
        <f t="shared" ca="1" si="64"/>
        <v/>
      </c>
      <c r="AX392" s="95" t="str">
        <f t="shared" si="68"/>
        <v/>
      </c>
      <c r="AY392" s="98" t="str">
        <f t="shared" ca="1" si="65"/>
        <v/>
      </c>
      <c r="AZ392" s="95" t="str">
        <f t="shared" si="69"/>
        <v/>
      </c>
      <c r="BA392" s="99" t="str">
        <f t="shared" ca="1" si="66"/>
        <v/>
      </c>
      <c r="BB392" s="97" t="str">
        <f t="shared" si="70"/>
        <v/>
      </c>
      <c r="BC392" s="101" t="str">
        <f t="shared" ca="1" si="73"/>
        <v/>
      </c>
      <c r="BD392" s="100" t="str">
        <f t="shared" si="71"/>
        <v/>
      </c>
      <c r="BE392" s="103" t="str">
        <f t="shared" ca="1" si="67"/>
        <v/>
      </c>
      <c r="BF392" s="102" t="str">
        <f t="shared" si="72"/>
        <v/>
      </c>
    </row>
    <row r="393" spans="48:58" hidden="1" x14ac:dyDescent="0.25">
      <c r="AV393">
        <v>363</v>
      </c>
      <c r="AW393" s="94" t="str">
        <f t="shared" ca="1" si="64"/>
        <v/>
      </c>
      <c r="AX393" s="95" t="str">
        <f t="shared" si="68"/>
        <v/>
      </c>
      <c r="AY393" s="98" t="str">
        <f t="shared" ca="1" si="65"/>
        <v/>
      </c>
      <c r="AZ393" s="95" t="str">
        <f t="shared" si="69"/>
        <v/>
      </c>
      <c r="BA393" s="99" t="str">
        <f t="shared" ca="1" si="66"/>
        <v/>
      </c>
      <c r="BB393" s="97" t="str">
        <f t="shared" si="70"/>
        <v/>
      </c>
      <c r="BC393" s="101" t="str">
        <f t="shared" ca="1" si="73"/>
        <v/>
      </c>
      <c r="BD393" s="100" t="str">
        <f t="shared" si="71"/>
        <v/>
      </c>
      <c r="BE393" s="103" t="str">
        <f t="shared" ca="1" si="67"/>
        <v/>
      </c>
      <c r="BF393" s="102" t="str">
        <f t="shared" si="72"/>
        <v/>
      </c>
    </row>
    <row r="394" spans="48:58" hidden="1" x14ac:dyDescent="0.25">
      <c r="AV394">
        <v>364</v>
      </c>
      <c r="AW394" s="94" t="str">
        <f t="shared" ca="1" si="64"/>
        <v/>
      </c>
      <c r="AX394" s="95" t="str">
        <f t="shared" si="68"/>
        <v/>
      </c>
      <c r="AY394" s="98" t="str">
        <f t="shared" ca="1" si="65"/>
        <v/>
      </c>
      <c r="AZ394" s="95" t="str">
        <f t="shared" si="69"/>
        <v/>
      </c>
      <c r="BA394" s="99" t="str">
        <f t="shared" ca="1" si="66"/>
        <v/>
      </c>
      <c r="BB394" s="97" t="str">
        <f t="shared" si="70"/>
        <v/>
      </c>
      <c r="BC394" s="101" t="str">
        <f t="shared" ca="1" si="73"/>
        <v/>
      </c>
      <c r="BD394" s="100" t="str">
        <f t="shared" si="71"/>
        <v/>
      </c>
      <c r="BE394" s="103" t="str">
        <f t="shared" ca="1" si="67"/>
        <v/>
      </c>
      <c r="BF394" s="102" t="str">
        <f t="shared" si="72"/>
        <v/>
      </c>
    </row>
    <row r="395" spans="48:58" hidden="1" x14ac:dyDescent="0.25">
      <c r="AV395">
        <v>365</v>
      </c>
      <c r="AW395" s="94" t="str">
        <f t="shared" ca="1" si="64"/>
        <v/>
      </c>
      <c r="AX395" s="95" t="str">
        <f t="shared" si="68"/>
        <v/>
      </c>
      <c r="AY395" s="98" t="str">
        <f t="shared" ca="1" si="65"/>
        <v/>
      </c>
      <c r="AZ395" s="95" t="str">
        <f t="shared" si="69"/>
        <v/>
      </c>
      <c r="BA395" s="99" t="str">
        <f t="shared" ca="1" si="66"/>
        <v/>
      </c>
      <c r="BB395" s="97" t="str">
        <f t="shared" si="70"/>
        <v/>
      </c>
      <c r="BC395" s="101" t="str">
        <f t="shared" ca="1" si="73"/>
        <v/>
      </c>
      <c r="BD395" s="100" t="str">
        <f t="shared" si="71"/>
        <v/>
      </c>
      <c r="BE395" s="103" t="str">
        <f t="shared" ca="1" si="67"/>
        <v/>
      </c>
      <c r="BF395" s="102" t="str">
        <f t="shared" si="72"/>
        <v/>
      </c>
    </row>
    <row r="396" spans="48:58" hidden="1" x14ac:dyDescent="0.25">
      <c r="AV396">
        <v>366</v>
      </c>
      <c r="AW396" s="94" t="str">
        <f t="shared" ca="1" si="64"/>
        <v/>
      </c>
      <c r="AX396" s="95" t="str">
        <f t="shared" si="68"/>
        <v/>
      </c>
      <c r="AY396" s="98" t="str">
        <f t="shared" ca="1" si="65"/>
        <v/>
      </c>
      <c r="AZ396" s="95" t="str">
        <f t="shared" si="69"/>
        <v/>
      </c>
      <c r="BA396" s="99" t="str">
        <f t="shared" ca="1" si="66"/>
        <v/>
      </c>
      <c r="BB396" s="97" t="str">
        <f t="shared" si="70"/>
        <v/>
      </c>
      <c r="BC396" s="101" t="str">
        <f t="shared" ca="1" si="73"/>
        <v/>
      </c>
      <c r="BD396" s="100" t="str">
        <f t="shared" si="71"/>
        <v/>
      </c>
      <c r="BE396" s="103" t="str">
        <f t="shared" ca="1" si="67"/>
        <v/>
      </c>
      <c r="BF396" s="102" t="str">
        <f t="shared" si="72"/>
        <v/>
      </c>
    </row>
    <row r="397" spans="48:58" hidden="1" x14ac:dyDescent="0.25">
      <c r="AV397">
        <v>367</v>
      </c>
      <c r="AW397" s="94" t="str">
        <f t="shared" ca="1" si="64"/>
        <v/>
      </c>
      <c r="AX397" s="95" t="str">
        <f t="shared" si="68"/>
        <v/>
      </c>
      <c r="AY397" s="98" t="str">
        <f t="shared" ca="1" si="65"/>
        <v/>
      </c>
      <c r="AZ397" s="95" t="str">
        <f t="shared" si="69"/>
        <v/>
      </c>
      <c r="BA397" s="99" t="str">
        <f t="shared" ca="1" si="66"/>
        <v/>
      </c>
      <c r="BB397" s="97" t="str">
        <f t="shared" si="70"/>
        <v/>
      </c>
      <c r="BC397" s="101" t="str">
        <f t="shared" ca="1" si="73"/>
        <v/>
      </c>
      <c r="BD397" s="100" t="str">
        <f t="shared" si="71"/>
        <v/>
      </c>
      <c r="BE397" s="103" t="str">
        <f t="shared" ca="1" si="67"/>
        <v/>
      </c>
      <c r="BF397" s="102" t="str">
        <f t="shared" si="72"/>
        <v/>
      </c>
    </row>
    <row r="398" spans="48:58" hidden="1" x14ac:dyDescent="0.25">
      <c r="AV398">
        <v>368</v>
      </c>
      <c r="AW398" s="94" t="str">
        <f t="shared" ca="1" si="64"/>
        <v/>
      </c>
      <c r="AX398" s="95" t="str">
        <f t="shared" si="68"/>
        <v/>
      </c>
      <c r="AY398" s="98" t="str">
        <f t="shared" ca="1" si="65"/>
        <v/>
      </c>
      <c r="AZ398" s="95" t="str">
        <f t="shared" si="69"/>
        <v/>
      </c>
      <c r="BA398" s="99" t="str">
        <f t="shared" ca="1" si="66"/>
        <v/>
      </c>
      <c r="BB398" s="97" t="str">
        <f t="shared" si="70"/>
        <v/>
      </c>
      <c r="BC398" s="101" t="str">
        <f t="shared" ca="1" si="73"/>
        <v/>
      </c>
      <c r="BD398" s="100" t="str">
        <f t="shared" si="71"/>
        <v/>
      </c>
      <c r="BE398" s="103" t="str">
        <f t="shared" ca="1" si="67"/>
        <v/>
      </c>
      <c r="BF398" s="102" t="str">
        <f t="shared" si="72"/>
        <v/>
      </c>
    </row>
    <row r="399" spans="48:58" hidden="1" x14ac:dyDescent="0.25">
      <c r="AV399">
        <v>369</v>
      </c>
      <c r="AW399" s="94" t="str">
        <f t="shared" ca="1" si="64"/>
        <v/>
      </c>
      <c r="AX399" s="95" t="str">
        <f t="shared" si="68"/>
        <v/>
      </c>
      <c r="AY399" s="98" t="str">
        <f t="shared" ca="1" si="65"/>
        <v/>
      </c>
      <c r="AZ399" s="95" t="str">
        <f t="shared" si="69"/>
        <v/>
      </c>
      <c r="BA399" s="99" t="str">
        <f t="shared" ca="1" si="66"/>
        <v/>
      </c>
      <c r="BB399" s="97" t="str">
        <f t="shared" si="70"/>
        <v/>
      </c>
      <c r="BC399" s="101" t="str">
        <f t="shared" ca="1" si="73"/>
        <v/>
      </c>
      <c r="BD399" s="100" t="str">
        <f t="shared" si="71"/>
        <v/>
      </c>
      <c r="BE399" s="103" t="str">
        <f t="shared" ca="1" si="67"/>
        <v/>
      </c>
      <c r="BF399" s="102" t="str">
        <f t="shared" si="72"/>
        <v/>
      </c>
    </row>
    <row r="400" spans="48:58" hidden="1" x14ac:dyDescent="0.25">
      <c r="AV400">
        <v>370</v>
      </c>
      <c r="AW400" s="94" t="str">
        <f t="shared" ca="1" si="64"/>
        <v/>
      </c>
      <c r="AX400" s="95" t="str">
        <f t="shared" si="68"/>
        <v/>
      </c>
      <c r="AY400" s="98" t="str">
        <f t="shared" ca="1" si="65"/>
        <v/>
      </c>
      <c r="AZ400" s="95" t="str">
        <f t="shared" si="69"/>
        <v/>
      </c>
      <c r="BA400" s="99" t="str">
        <f t="shared" ca="1" si="66"/>
        <v/>
      </c>
      <c r="BB400" s="97" t="str">
        <f t="shared" si="70"/>
        <v/>
      </c>
      <c r="BC400" s="101" t="str">
        <f t="shared" ca="1" si="73"/>
        <v/>
      </c>
      <c r="BD400" s="100" t="str">
        <f t="shared" si="71"/>
        <v/>
      </c>
      <c r="BE400" s="103" t="str">
        <f t="shared" ca="1" si="67"/>
        <v/>
      </c>
      <c r="BF400" s="102" t="str">
        <f t="shared" si="72"/>
        <v/>
      </c>
    </row>
    <row r="401" spans="48:58" hidden="1" x14ac:dyDescent="0.25">
      <c r="AV401">
        <v>371</v>
      </c>
      <c r="AW401" s="94" t="str">
        <f t="shared" ca="1" si="64"/>
        <v/>
      </c>
      <c r="AX401" s="95" t="str">
        <f t="shared" si="68"/>
        <v/>
      </c>
      <c r="AY401" s="98" t="str">
        <f t="shared" ca="1" si="65"/>
        <v/>
      </c>
      <c r="AZ401" s="95" t="str">
        <f t="shared" si="69"/>
        <v/>
      </c>
      <c r="BA401" s="99" t="str">
        <f t="shared" ca="1" si="66"/>
        <v/>
      </c>
      <c r="BB401" s="97" t="str">
        <f t="shared" si="70"/>
        <v/>
      </c>
      <c r="BC401" s="101" t="str">
        <f t="shared" ca="1" si="73"/>
        <v/>
      </c>
      <c r="BD401" s="100" t="str">
        <f t="shared" si="71"/>
        <v/>
      </c>
      <c r="BE401" s="103" t="str">
        <f t="shared" ca="1" si="67"/>
        <v/>
      </c>
      <c r="BF401" s="102" t="str">
        <f t="shared" si="72"/>
        <v/>
      </c>
    </row>
    <row r="402" spans="48:58" hidden="1" x14ac:dyDescent="0.25">
      <c r="AV402">
        <v>372</v>
      </c>
      <c r="AW402" s="94" t="str">
        <f t="shared" ca="1" si="64"/>
        <v/>
      </c>
      <c r="AX402" s="95" t="str">
        <f t="shared" si="68"/>
        <v/>
      </c>
      <c r="AY402" s="98" t="str">
        <f t="shared" ca="1" si="65"/>
        <v/>
      </c>
      <c r="AZ402" s="95" t="str">
        <f t="shared" si="69"/>
        <v/>
      </c>
      <c r="BA402" s="99" t="str">
        <f t="shared" ca="1" si="66"/>
        <v/>
      </c>
      <c r="BB402" s="97" t="str">
        <f t="shared" si="70"/>
        <v/>
      </c>
      <c r="BC402" s="101" t="str">
        <f t="shared" ca="1" si="73"/>
        <v/>
      </c>
      <c r="BD402" s="100" t="str">
        <f t="shared" si="71"/>
        <v/>
      </c>
      <c r="BE402" s="103" t="str">
        <f t="shared" ca="1" si="67"/>
        <v/>
      </c>
      <c r="BF402" s="102" t="str">
        <f t="shared" si="72"/>
        <v/>
      </c>
    </row>
    <row r="403" spans="48:58" hidden="1" x14ac:dyDescent="0.25">
      <c r="AV403">
        <v>373</v>
      </c>
      <c r="AW403" s="94" t="str">
        <f t="shared" ca="1" si="64"/>
        <v/>
      </c>
      <c r="AX403" s="95" t="str">
        <f t="shared" si="68"/>
        <v/>
      </c>
      <c r="AY403" s="98" t="str">
        <f t="shared" ca="1" si="65"/>
        <v/>
      </c>
      <c r="AZ403" s="95" t="str">
        <f t="shared" si="69"/>
        <v/>
      </c>
      <c r="BA403" s="99" t="str">
        <f t="shared" ca="1" si="66"/>
        <v/>
      </c>
      <c r="BB403" s="97" t="str">
        <f t="shared" si="70"/>
        <v/>
      </c>
      <c r="BC403" s="101" t="str">
        <f t="shared" ca="1" si="73"/>
        <v/>
      </c>
      <c r="BD403" s="100" t="str">
        <f t="shared" si="71"/>
        <v/>
      </c>
      <c r="BE403" s="103" t="str">
        <f t="shared" ca="1" si="67"/>
        <v/>
      </c>
      <c r="BF403" s="102" t="str">
        <f t="shared" si="72"/>
        <v/>
      </c>
    </row>
    <row r="404" spans="48:58" hidden="1" x14ac:dyDescent="0.25">
      <c r="AV404">
        <v>374</v>
      </c>
      <c r="AW404" s="94" t="str">
        <f t="shared" ca="1" si="64"/>
        <v/>
      </c>
      <c r="AX404" s="95" t="str">
        <f t="shared" si="68"/>
        <v/>
      </c>
      <c r="AY404" s="98" t="str">
        <f t="shared" ca="1" si="65"/>
        <v/>
      </c>
      <c r="AZ404" s="95" t="str">
        <f t="shared" si="69"/>
        <v/>
      </c>
      <c r="BA404" s="99" t="str">
        <f t="shared" ca="1" si="66"/>
        <v/>
      </c>
      <c r="BB404" s="97" t="str">
        <f t="shared" si="70"/>
        <v/>
      </c>
      <c r="BC404" s="101" t="str">
        <f t="shared" ca="1" si="73"/>
        <v/>
      </c>
      <c r="BD404" s="100" t="str">
        <f t="shared" si="71"/>
        <v/>
      </c>
      <c r="BE404" s="103" t="str">
        <f t="shared" ca="1" si="67"/>
        <v/>
      </c>
      <c r="BF404" s="102" t="str">
        <f t="shared" si="72"/>
        <v/>
      </c>
    </row>
    <row r="405" spans="48:58" hidden="1" x14ac:dyDescent="0.25">
      <c r="AV405">
        <v>375</v>
      </c>
      <c r="AW405" s="94" t="str">
        <f t="shared" ca="1" si="64"/>
        <v/>
      </c>
      <c r="AX405" s="95" t="str">
        <f t="shared" si="68"/>
        <v/>
      </c>
      <c r="AY405" s="98" t="str">
        <f t="shared" ca="1" si="65"/>
        <v/>
      </c>
      <c r="AZ405" s="95" t="str">
        <f t="shared" si="69"/>
        <v/>
      </c>
      <c r="BA405" s="99" t="str">
        <f t="shared" ca="1" si="66"/>
        <v/>
      </c>
      <c r="BB405" s="97" t="str">
        <f t="shared" si="70"/>
        <v/>
      </c>
      <c r="BC405" s="101" t="str">
        <f t="shared" ca="1" si="73"/>
        <v/>
      </c>
      <c r="BD405" s="100" t="str">
        <f t="shared" si="71"/>
        <v/>
      </c>
      <c r="BE405" s="103" t="str">
        <f t="shared" ca="1" si="67"/>
        <v/>
      </c>
      <c r="BF405" s="102" t="str">
        <f t="shared" si="72"/>
        <v/>
      </c>
    </row>
    <row r="406" spans="48:58" hidden="1" x14ac:dyDescent="0.25">
      <c r="AV406">
        <v>376</v>
      </c>
      <c r="AW406" s="94" t="str">
        <f t="shared" ca="1" si="64"/>
        <v/>
      </c>
      <c r="AX406" s="95" t="str">
        <f t="shared" si="68"/>
        <v/>
      </c>
      <c r="AY406" s="98" t="str">
        <f t="shared" ca="1" si="65"/>
        <v/>
      </c>
      <c r="AZ406" s="95" t="str">
        <f t="shared" si="69"/>
        <v/>
      </c>
      <c r="BA406" s="99" t="str">
        <f t="shared" ca="1" si="66"/>
        <v/>
      </c>
      <c r="BB406" s="97" t="str">
        <f t="shared" si="70"/>
        <v/>
      </c>
      <c r="BC406" s="101" t="str">
        <f t="shared" ca="1" si="73"/>
        <v/>
      </c>
      <c r="BD406" s="100" t="str">
        <f t="shared" si="71"/>
        <v/>
      </c>
      <c r="BE406" s="103" t="str">
        <f t="shared" ca="1" si="67"/>
        <v/>
      </c>
      <c r="BF406" s="102" t="str">
        <f t="shared" si="72"/>
        <v/>
      </c>
    </row>
    <row r="407" spans="48:58" hidden="1" x14ac:dyDescent="0.25">
      <c r="AV407">
        <v>377</v>
      </c>
      <c r="AW407" s="94" t="str">
        <f t="shared" ca="1" si="64"/>
        <v/>
      </c>
      <c r="AX407" s="95" t="str">
        <f t="shared" si="68"/>
        <v/>
      </c>
      <c r="AY407" s="98" t="str">
        <f t="shared" ca="1" si="65"/>
        <v/>
      </c>
      <c r="AZ407" s="95" t="str">
        <f t="shared" si="69"/>
        <v/>
      </c>
      <c r="BA407" s="99" t="str">
        <f t="shared" ca="1" si="66"/>
        <v/>
      </c>
      <c r="BB407" s="97" t="str">
        <f t="shared" si="70"/>
        <v/>
      </c>
      <c r="BC407" s="101" t="str">
        <f t="shared" ca="1" si="73"/>
        <v/>
      </c>
      <c r="BD407" s="100" t="str">
        <f t="shared" si="71"/>
        <v/>
      </c>
      <c r="BE407" s="103" t="str">
        <f t="shared" ca="1" si="67"/>
        <v/>
      </c>
      <c r="BF407" s="102" t="str">
        <f t="shared" si="72"/>
        <v/>
      </c>
    </row>
    <row r="408" spans="48:58" hidden="1" x14ac:dyDescent="0.25">
      <c r="AV408">
        <v>378</v>
      </c>
      <c r="AW408" s="94" t="str">
        <f t="shared" ca="1" si="64"/>
        <v/>
      </c>
      <c r="AX408" s="95" t="str">
        <f t="shared" si="68"/>
        <v/>
      </c>
      <c r="AY408" s="98" t="str">
        <f t="shared" ca="1" si="65"/>
        <v/>
      </c>
      <c r="AZ408" s="95" t="str">
        <f t="shared" si="69"/>
        <v/>
      </c>
      <c r="BA408" s="99" t="str">
        <f t="shared" ca="1" si="66"/>
        <v/>
      </c>
      <c r="BB408" s="97" t="str">
        <f t="shared" si="70"/>
        <v/>
      </c>
      <c r="BC408" s="101" t="str">
        <f t="shared" ca="1" si="73"/>
        <v/>
      </c>
      <c r="BD408" s="100" t="str">
        <f t="shared" si="71"/>
        <v/>
      </c>
      <c r="BE408" s="103" t="str">
        <f t="shared" ca="1" si="67"/>
        <v/>
      </c>
      <c r="BF408" s="102" t="str">
        <f t="shared" si="72"/>
        <v/>
      </c>
    </row>
    <row r="409" spans="48:58" hidden="1" x14ac:dyDescent="0.25">
      <c r="AV409">
        <v>379</v>
      </c>
      <c r="AW409" s="94" t="str">
        <f t="shared" ca="1" si="64"/>
        <v/>
      </c>
      <c r="AX409" s="95" t="str">
        <f t="shared" si="68"/>
        <v/>
      </c>
      <c r="AY409" s="98" t="str">
        <f t="shared" ca="1" si="65"/>
        <v/>
      </c>
      <c r="AZ409" s="95" t="str">
        <f t="shared" si="69"/>
        <v/>
      </c>
      <c r="BA409" s="99" t="str">
        <f t="shared" ca="1" si="66"/>
        <v/>
      </c>
      <c r="BB409" s="97" t="str">
        <f t="shared" si="70"/>
        <v/>
      </c>
      <c r="BC409" s="101" t="str">
        <f t="shared" ca="1" si="73"/>
        <v/>
      </c>
      <c r="BD409" s="100" t="str">
        <f t="shared" si="71"/>
        <v/>
      </c>
      <c r="BE409" s="103" t="str">
        <f t="shared" ca="1" si="67"/>
        <v/>
      </c>
      <c r="BF409" s="102" t="str">
        <f t="shared" si="72"/>
        <v/>
      </c>
    </row>
    <row r="410" spans="48:58" hidden="1" x14ac:dyDescent="0.25">
      <c r="AV410">
        <v>380</v>
      </c>
      <c r="AW410" s="94" t="str">
        <f t="shared" ca="1" si="64"/>
        <v/>
      </c>
      <c r="AX410" s="95" t="str">
        <f t="shared" si="68"/>
        <v/>
      </c>
      <c r="AY410" s="98" t="str">
        <f t="shared" ca="1" si="65"/>
        <v/>
      </c>
      <c r="AZ410" s="95" t="str">
        <f t="shared" si="69"/>
        <v/>
      </c>
      <c r="BA410" s="99" t="str">
        <f t="shared" ca="1" si="66"/>
        <v/>
      </c>
      <c r="BB410" s="97" t="str">
        <f t="shared" si="70"/>
        <v/>
      </c>
      <c r="BC410" s="101" t="str">
        <f t="shared" ca="1" si="73"/>
        <v/>
      </c>
      <c r="BD410" s="100" t="str">
        <f t="shared" si="71"/>
        <v/>
      </c>
      <c r="BE410" s="103" t="str">
        <f t="shared" ca="1" si="67"/>
        <v/>
      </c>
      <c r="BF410" s="102" t="str">
        <f t="shared" si="72"/>
        <v/>
      </c>
    </row>
    <row r="411" spans="48:58" hidden="1" x14ac:dyDescent="0.25">
      <c r="AV411">
        <v>381</v>
      </c>
      <c r="AW411" s="94" t="str">
        <f t="shared" ca="1" si="64"/>
        <v/>
      </c>
      <c r="AX411" s="95" t="str">
        <f t="shared" si="68"/>
        <v/>
      </c>
      <c r="AY411" s="98" t="str">
        <f t="shared" ca="1" si="65"/>
        <v/>
      </c>
      <c r="AZ411" s="95" t="str">
        <f t="shared" si="69"/>
        <v/>
      </c>
      <c r="BA411" s="99" t="str">
        <f t="shared" ca="1" si="66"/>
        <v/>
      </c>
      <c r="BB411" s="97" t="str">
        <f t="shared" si="70"/>
        <v/>
      </c>
      <c r="BC411" s="101" t="str">
        <f t="shared" ca="1" si="73"/>
        <v/>
      </c>
      <c r="BD411" s="100" t="str">
        <f t="shared" si="71"/>
        <v/>
      </c>
      <c r="BE411" s="103" t="str">
        <f t="shared" ca="1" si="67"/>
        <v/>
      </c>
      <c r="BF411" s="102" t="str">
        <f t="shared" si="72"/>
        <v/>
      </c>
    </row>
    <row r="412" spans="48:58" hidden="1" x14ac:dyDescent="0.25">
      <c r="AV412">
        <v>382</v>
      </c>
      <c r="AW412" s="94" t="str">
        <f t="shared" ca="1" si="64"/>
        <v/>
      </c>
      <c r="AX412" s="95" t="str">
        <f t="shared" si="68"/>
        <v/>
      </c>
      <c r="AY412" s="98" t="str">
        <f t="shared" ca="1" si="65"/>
        <v/>
      </c>
      <c r="AZ412" s="95" t="str">
        <f t="shared" si="69"/>
        <v/>
      </c>
      <c r="BA412" s="99" t="str">
        <f t="shared" ca="1" si="66"/>
        <v/>
      </c>
      <c r="BB412" s="97" t="str">
        <f t="shared" si="70"/>
        <v/>
      </c>
      <c r="BC412" s="101" t="str">
        <f t="shared" ca="1" si="73"/>
        <v/>
      </c>
      <c r="BD412" s="100" t="str">
        <f t="shared" si="71"/>
        <v/>
      </c>
      <c r="BE412" s="103" t="str">
        <f t="shared" ca="1" si="67"/>
        <v/>
      </c>
      <c r="BF412" s="102" t="str">
        <f t="shared" si="72"/>
        <v/>
      </c>
    </row>
    <row r="413" spans="48:58" hidden="1" x14ac:dyDescent="0.25">
      <c r="AV413">
        <v>383</v>
      </c>
      <c r="AW413" s="94" t="str">
        <f t="shared" ca="1" si="64"/>
        <v/>
      </c>
      <c r="AX413" s="95" t="str">
        <f t="shared" si="68"/>
        <v/>
      </c>
      <c r="AY413" s="98" t="str">
        <f t="shared" ca="1" si="65"/>
        <v/>
      </c>
      <c r="AZ413" s="95" t="str">
        <f t="shared" si="69"/>
        <v/>
      </c>
      <c r="BA413" s="99" t="str">
        <f t="shared" ca="1" si="66"/>
        <v/>
      </c>
      <c r="BB413" s="97" t="str">
        <f t="shared" si="70"/>
        <v/>
      </c>
      <c r="BC413" s="101" t="str">
        <f t="shared" ca="1" si="73"/>
        <v/>
      </c>
      <c r="BD413" s="100" t="str">
        <f t="shared" si="71"/>
        <v/>
      </c>
      <c r="BE413" s="103" t="str">
        <f t="shared" ca="1" si="67"/>
        <v/>
      </c>
      <c r="BF413" s="102" t="str">
        <f t="shared" si="72"/>
        <v/>
      </c>
    </row>
    <row r="414" spans="48:58" hidden="1" x14ac:dyDescent="0.25">
      <c r="AV414">
        <v>384</v>
      </c>
      <c r="AW414" s="94" t="str">
        <f t="shared" ca="1" si="64"/>
        <v/>
      </c>
      <c r="AX414" s="95" t="str">
        <f t="shared" si="68"/>
        <v/>
      </c>
      <c r="AY414" s="98" t="str">
        <f t="shared" ca="1" si="65"/>
        <v/>
      </c>
      <c r="AZ414" s="95" t="str">
        <f t="shared" si="69"/>
        <v/>
      </c>
      <c r="BA414" s="99" t="str">
        <f t="shared" ca="1" si="66"/>
        <v/>
      </c>
      <c r="BB414" s="97" t="str">
        <f t="shared" si="70"/>
        <v/>
      </c>
      <c r="BC414" s="101" t="str">
        <f t="shared" ca="1" si="73"/>
        <v/>
      </c>
      <c r="BD414" s="100" t="str">
        <f t="shared" si="71"/>
        <v/>
      </c>
      <c r="BE414" s="103" t="str">
        <f t="shared" ca="1" si="67"/>
        <v/>
      </c>
      <c r="BF414" s="102" t="str">
        <f t="shared" si="72"/>
        <v/>
      </c>
    </row>
    <row r="415" spans="48:58" hidden="1" x14ac:dyDescent="0.25">
      <c r="AV415">
        <v>385</v>
      </c>
      <c r="AW415" s="94" t="str">
        <f t="shared" ref="AW415:AW478" ca="1" si="74">IF(T_1*12&gt;=AV415,DATE(YEAR(TODAY()),MONTH(TODAY())+AV415-1,DAY(TODAY())),IF(T_1*12+1&gt;=AV415,DATE(YEAR(TODAY()),MONTH(TODAY())+T_1*12,DAY(TODAY())),""))</f>
        <v/>
      </c>
      <c r="AX415" s="95" t="str">
        <f t="shared" si="68"/>
        <v/>
      </c>
      <c r="AY415" s="98" t="str">
        <f t="shared" ref="AY415:AY478" ca="1" si="75">IF(T_2*12&gt;=$AV415,DATE(YEAR(TODAY()),MONTH(TODAY())+$AV415-1,DAY(TODAY())),IF(T_2*12+1&gt;=$AV415,DATE(YEAR(TODAY()),MONTH(TODAY())+T_2*12,DAY(TODAY())),""))</f>
        <v/>
      </c>
      <c r="AZ415" s="95" t="str">
        <f t="shared" si="69"/>
        <v/>
      </c>
      <c r="BA415" s="99" t="str">
        <f t="shared" ref="BA415:BA478" ca="1" si="76">IF(T_3*12&gt;=$AV415,DATE(YEAR(TODAY()),MONTH(TODAY())+$AV415-1,DAY(TODAY())),IF(T_3*12+1&gt;=$AV415,DATE(YEAR(TODAY()),MONTH(TODAY())+T_3*12,DAY(TODAY())),""))</f>
        <v/>
      </c>
      <c r="BB415" s="97" t="str">
        <f t="shared" si="70"/>
        <v/>
      </c>
      <c r="BC415" s="101" t="str">
        <f t="shared" ca="1" si="73"/>
        <v/>
      </c>
      <c r="BD415" s="100" t="str">
        <f t="shared" si="71"/>
        <v/>
      </c>
      <c r="BE415" s="103" t="str">
        <f t="shared" ref="BE415:BE478" ca="1" si="77">IF(T_5*12&gt;=$AV415,DATE(YEAR(TODAY()),MONTH(TODAY())+$AV415-1,DAY(TODAY())),IF(T_5*12+1&gt;=$AV415,DATE(YEAR(TODAY()),MONTH(TODAY())+T_5*12,DAY(TODAY())),""))</f>
        <v/>
      </c>
      <c r="BF415" s="102" t="str">
        <f t="shared" si="72"/>
        <v/>
      </c>
    </row>
    <row r="416" spans="48:58" hidden="1" x14ac:dyDescent="0.25">
      <c r="AV416">
        <v>386</v>
      </c>
      <c r="AW416" s="94" t="str">
        <f t="shared" ca="1" si="74"/>
        <v/>
      </c>
      <c r="AX416" s="95" t="str">
        <f t="shared" ref="AX416:AX479" si="78">IF(T_1*12&gt;=AV416,-1*$I$15,IF(T_1*12+1&gt;=AV416,InfG_1,""))</f>
        <v/>
      </c>
      <c r="AY416" s="98" t="str">
        <f t="shared" ca="1" si="75"/>
        <v/>
      </c>
      <c r="AZ416" s="95" t="str">
        <f t="shared" ref="AZ416:AZ479" si="79">IF(T_2*12&gt;=$AV416,-1*$I$17,IF(T_2*12+1&gt;=$AV416,InfG_2,""))</f>
        <v/>
      </c>
      <c r="BA416" s="99" t="str">
        <f t="shared" ca="1" si="76"/>
        <v/>
      </c>
      <c r="BB416" s="97" t="str">
        <f t="shared" ref="BB416:BB479" si="80">IF(T_3*12&gt;=$AV416,-1*$I$19,IF(T_3*12+1&gt;=$AV416,InfG_3,""))</f>
        <v/>
      </c>
      <c r="BC416" s="101" t="str">
        <f t="shared" ca="1" si="73"/>
        <v/>
      </c>
      <c r="BD416" s="100" t="str">
        <f t="shared" ref="BD416:BD479" si="81">IF(T_4*12&gt;=$AV416,-1*$I$21,IF(T_4*12+1&gt;=$AV416,InfG_4,""))</f>
        <v/>
      </c>
      <c r="BE416" s="103" t="str">
        <f t="shared" ca="1" si="77"/>
        <v/>
      </c>
      <c r="BF416" s="102" t="str">
        <f t="shared" ref="BF416:BF479" si="82">IF(T_5*12&gt;=$AV416,-1*$I$23,IF(T_5*12+1&gt;=$AV416,InfG_5,""))</f>
        <v/>
      </c>
    </row>
    <row r="417" spans="48:58" hidden="1" x14ac:dyDescent="0.25">
      <c r="AV417">
        <v>387</v>
      </c>
      <c r="AW417" s="94" t="str">
        <f t="shared" ca="1" si="74"/>
        <v/>
      </c>
      <c r="AX417" s="95" t="str">
        <f t="shared" si="78"/>
        <v/>
      </c>
      <c r="AY417" s="98" t="str">
        <f t="shared" ca="1" si="75"/>
        <v/>
      </c>
      <c r="AZ417" s="95" t="str">
        <f t="shared" si="79"/>
        <v/>
      </c>
      <c r="BA417" s="99" t="str">
        <f t="shared" ca="1" si="76"/>
        <v/>
      </c>
      <c r="BB417" s="97" t="str">
        <f t="shared" si="80"/>
        <v/>
      </c>
      <c r="BC417" s="101" t="str">
        <f t="shared" ref="BC417:BC480" ca="1" si="83">IF(T_4*12&gt;=AV417,DATE(YEAR(TODAY()),MONTH(TODAY())+AV417-1,DAY(TODAY())),IF(T_4*12+1&gt;=AV417,DATE(YEAR(TODAY()),MONTH(TODAY())+T_4*12,DAY(TODAY())),""))</f>
        <v/>
      </c>
      <c r="BD417" s="100" t="str">
        <f t="shared" si="81"/>
        <v/>
      </c>
      <c r="BE417" s="103" t="str">
        <f t="shared" ca="1" si="77"/>
        <v/>
      </c>
      <c r="BF417" s="102" t="str">
        <f t="shared" si="82"/>
        <v/>
      </c>
    </row>
    <row r="418" spans="48:58" hidden="1" x14ac:dyDescent="0.25">
      <c r="AV418">
        <v>388</v>
      </c>
      <c r="AW418" s="94" t="str">
        <f t="shared" ca="1" si="74"/>
        <v/>
      </c>
      <c r="AX418" s="95" t="str">
        <f t="shared" si="78"/>
        <v/>
      </c>
      <c r="AY418" s="98" t="str">
        <f t="shared" ca="1" si="75"/>
        <v/>
      </c>
      <c r="AZ418" s="95" t="str">
        <f t="shared" si="79"/>
        <v/>
      </c>
      <c r="BA418" s="99" t="str">
        <f t="shared" ca="1" si="76"/>
        <v/>
      </c>
      <c r="BB418" s="97" t="str">
        <f t="shared" si="80"/>
        <v/>
      </c>
      <c r="BC418" s="101" t="str">
        <f t="shared" ca="1" si="83"/>
        <v/>
      </c>
      <c r="BD418" s="100" t="str">
        <f t="shared" si="81"/>
        <v/>
      </c>
      <c r="BE418" s="103" t="str">
        <f t="shared" ca="1" si="77"/>
        <v/>
      </c>
      <c r="BF418" s="102" t="str">
        <f t="shared" si="82"/>
        <v/>
      </c>
    </row>
    <row r="419" spans="48:58" hidden="1" x14ac:dyDescent="0.25">
      <c r="AV419">
        <v>389</v>
      </c>
      <c r="AW419" s="94" t="str">
        <f t="shared" ca="1" si="74"/>
        <v/>
      </c>
      <c r="AX419" s="95" t="str">
        <f t="shared" si="78"/>
        <v/>
      </c>
      <c r="AY419" s="98" t="str">
        <f t="shared" ca="1" si="75"/>
        <v/>
      </c>
      <c r="AZ419" s="95" t="str">
        <f t="shared" si="79"/>
        <v/>
      </c>
      <c r="BA419" s="99" t="str">
        <f t="shared" ca="1" si="76"/>
        <v/>
      </c>
      <c r="BB419" s="97" t="str">
        <f t="shared" si="80"/>
        <v/>
      </c>
      <c r="BC419" s="101" t="str">
        <f t="shared" ca="1" si="83"/>
        <v/>
      </c>
      <c r="BD419" s="100" t="str">
        <f t="shared" si="81"/>
        <v/>
      </c>
      <c r="BE419" s="103" t="str">
        <f t="shared" ca="1" si="77"/>
        <v/>
      </c>
      <c r="BF419" s="102" t="str">
        <f t="shared" si="82"/>
        <v/>
      </c>
    </row>
    <row r="420" spans="48:58" hidden="1" x14ac:dyDescent="0.25">
      <c r="AV420">
        <v>390</v>
      </c>
      <c r="AW420" s="94" t="str">
        <f t="shared" ca="1" si="74"/>
        <v/>
      </c>
      <c r="AX420" s="95" t="str">
        <f t="shared" si="78"/>
        <v/>
      </c>
      <c r="AY420" s="98" t="str">
        <f t="shared" ca="1" si="75"/>
        <v/>
      </c>
      <c r="AZ420" s="95" t="str">
        <f t="shared" si="79"/>
        <v/>
      </c>
      <c r="BA420" s="99" t="str">
        <f t="shared" ca="1" si="76"/>
        <v/>
      </c>
      <c r="BB420" s="97" t="str">
        <f t="shared" si="80"/>
        <v/>
      </c>
      <c r="BC420" s="101" t="str">
        <f t="shared" ca="1" si="83"/>
        <v/>
      </c>
      <c r="BD420" s="100" t="str">
        <f t="shared" si="81"/>
        <v/>
      </c>
      <c r="BE420" s="103" t="str">
        <f t="shared" ca="1" si="77"/>
        <v/>
      </c>
      <c r="BF420" s="102" t="str">
        <f t="shared" si="82"/>
        <v/>
      </c>
    </row>
    <row r="421" spans="48:58" hidden="1" x14ac:dyDescent="0.25">
      <c r="AV421">
        <v>391</v>
      </c>
      <c r="AW421" s="94" t="str">
        <f t="shared" ca="1" si="74"/>
        <v/>
      </c>
      <c r="AX421" s="95" t="str">
        <f t="shared" si="78"/>
        <v/>
      </c>
      <c r="AY421" s="98" t="str">
        <f t="shared" ca="1" si="75"/>
        <v/>
      </c>
      <c r="AZ421" s="95" t="str">
        <f t="shared" si="79"/>
        <v/>
      </c>
      <c r="BA421" s="99" t="str">
        <f t="shared" ca="1" si="76"/>
        <v/>
      </c>
      <c r="BB421" s="97" t="str">
        <f t="shared" si="80"/>
        <v/>
      </c>
      <c r="BC421" s="101" t="str">
        <f t="shared" ca="1" si="83"/>
        <v/>
      </c>
      <c r="BD421" s="100" t="str">
        <f t="shared" si="81"/>
        <v/>
      </c>
      <c r="BE421" s="103" t="str">
        <f t="shared" ca="1" si="77"/>
        <v/>
      </c>
      <c r="BF421" s="102" t="str">
        <f t="shared" si="82"/>
        <v/>
      </c>
    </row>
    <row r="422" spans="48:58" hidden="1" x14ac:dyDescent="0.25">
      <c r="AV422">
        <v>392</v>
      </c>
      <c r="AW422" s="94" t="str">
        <f t="shared" ca="1" si="74"/>
        <v/>
      </c>
      <c r="AX422" s="95" t="str">
        <f t="shared" si="78"/>
        <v/>
      </c>
      <c r="AY422" s="98" t="str">
        <f t="shared" ca="1" si="75"/>
        <v/>
      </c>
      <c r="AZ422" s="95" t="str">
        <f t="shared" si="79"/>
        <v/>
      </c>
      <c r="BA422" s="99" t="str">
        <f t="shared" ca="1" si="76"/>
        <v/>
      </c>
      <c r="BB422" s="97" t="str">
        <f t="shared" si="80"/>
        <v/>
      </c>
      <c r="BC422" s="101" t="str">
        <f t="shared" ca="1" si="83"/>
        <v/>
      </c>
      <c r="BD422" s="100" t="str">
        <f t="shared" si="81"/>
        <v/>
      </c>
      <c r="BE422" s="103" t="str">
        <f t="shared" ca="1" si="77"/>
        <v/>
      </c>
      <c r="BF422" s="102" t="str">
        <f t="shared" si="82"/>
        <v/>
      </c>
    </row>
    <row r="423" spans="48:58" hidden="1" x14ac:dyDescent="0.25">
      <c r="AV423">
        <v>393</v>
      </c>
      <c r="AW423" s="94" t="str">
        <f t="shared" ca="1" si="74"/>
        <v/>
      </c>
      <c r="AX423" s="95" t="str">
        <f t="shared" si="78"/>
        <v/>
      </c>
      <c r="AY423" s="98" t="str">
        <f t="shared" ca="1" si="75"/>
        <v/>
      </c>
      <c r="AZ423" s="95" t="str">
        <f t="shared" si="79"/>
        <v/>
      </c>
      <c r="BA423" s="99" t="str">
        <f t="shared" ca="1" si="76"/>
        <v/>
      </c>
      <c r="BB423" s="97" t="str">
        <f t="shared" si="80"/>
        <v/>
      </c>
      <c r="BC423" s="101" t="str">
        <f t="shared" ca="1" si="83"/>
        <v/>
      </c>
      <c r="BD423" s="100" t="str">
        <f t="shared" si="81"/>
        <v/>
      </c>
      <c r="BE423" s="103" t="str">
        <f t="shared" ca="1" si="77"/>
        <v/>
      </c>
      <c r="BF423" s="102" t="str">
        <f t="shared" si="82"/>
        <v/>
      </c>
    </row>
    <row r="424" spans="48:58" hidden="1" x14ac:dyDescent="0.25">
      <c r="AV424">
        <v>394</v>
      </c>
      <c r="AW424" s="94" t="str">
        <f t="shared" ca="1" si="74"/>
        <v/>
      </c>
      <c r="AX424" s="95" t="str">
        <f t="shared" si="78"/>
        <v/>
      </c>
      <c r="AY424" s="98" t="str">
        <f t="shared" ca="1" si="75"/>
        <v/>
      </c>
      <c r="AZ424" s="95" t="str">
        <f t="shared" si="79"/>
        <v/>
      </c>
      <c r="BA424" s="99" t="str">
        <f t="shared" ca="1" si="76"/>
        <v/>
      </c>
      <c r="BB424" s="97" t="str">
        <f t="shared" si="80"/>
        <v/>
      </c>
      <c r="BC424" s="101" t="str">
        <f t="shared" ca="1" si="83"/>
        <v/>
      </c>
      <c r="BD424" s="100" t="str">
        <f t="shared" si="81"/>
        <v/>
      </c>
      <c r="BE424" s="103" t="str">
        <f t="shared" ca="1" si="77"/>
        <v/>
      </c>
      <c r="BF424" s="102" t="str">
        <f t="shared" si="82"/>
        <v/>
      </c>
    </row>
    <row r="425" spans="48:58" hidden="1" x14ac:dyDescent="0.25">
      <c r="AV425">
        <v>395</v>
      </c>
      <c r="AW425" s="94" t="str">
        <f t="shared" ca="1" si="74"/>
        <v/>
      </c>
      <c r="AX425" s="95" t="str">
        <f t="shared" si="78"/>
        <v/>
      </c>
      <c r="AY425" s="98" t="str">
        <f t="shared" ca="1" si="75"/>
        <v/>
      </c>
      <c r="AZ425" s="95" t="str">
        <f t="shared" si="79"/>
        <v/>
      </c>
      <c r="BA425" s="99" t="str">
        <f t="shared" ca="1" si="76"/>
        <v/>
      </c>
      <c r="BB425" s="97" t="str">
        <f t="shared" si="80"/>
        <v/>
      </c>
      <c r="BC425" s="101" t="str">
        <f t="shared" ca="1" si="83"/>
        <v/>
      </c>
      <c r="BD425" s="100" t="str">
        <f t="shared" si="81"/>
        <v/>
      </c>
      <c r="BE425" s="103" t="str">
        <f t="shared" ca="1" si="77"/>
        <v/>
      </c>
      <c r="BF425" s="102" t="str">
        <f t="shared" si="82"/>
        <v/>
      </c>
    </row>
    <row r="426" spans="48:58" hidden="1" x14ac:dyDescent="0.25">
      <c r="AV426">
        <v>396</v>
      </c>
      <c r="AW426" s="94" t="str">
        <f t="shared" ca="1" si="74"/>
        <v/>
      </c>
      <c r="AX426" s="95" t="str">
        <f t="shared" si="78"/>
        <v/>
      </c>
      <c r="AY426" s="98" t="str">
        <f t="shared" ca="1" si="75"/>
        <v/>
      </c>
      <c r="AZ426" s="95" t="str">
        <f t="shared" si="79"/>
        <v/>
      </c>
      <c r="BA426" s="99" t="str">
        <f t="shared" ca="1" si="76"/>
        <v/>
      </c>
      <c r="BB426" s="97" t="str">
        <f t="shared" si="80"/>
        <v/>
      </c>
      <c r="BC426" s="101" t="str">
        <f t="shared" ca="1" si="83"/>
        <v/>
      </c>
      <c r="BD426" s="100" t="str">
        <f t="shared" si="81"/>
        <v/>
      </c>
      <c r="BE426" s="103" t="str">
        <f t="shared" ca="1" si="77"/>
        <v/>
      </c>
      <c r="BF426" s="102" t="str">
        <f t="shared" si="82"/>
        <v/>
      </c>
    </row>
    <row r="427" spans="48:58" hidden="1" x14ac:dyDescent="0.25">
      <c r="AV427">
        <v>397</v>
      </c>
      <c r="AW427" s="94" t="str">
        <f t="shared" ca="1" si="74"/>
        <v/>
      </c>
      <c r="AX427" s="95" t="str">
        <f t="shared" si="78"/>
        <v/>
      </c>
      <c r="AY427" s="98" t="str">
        <f t="shared" ca="1" si="75"/>
        <v/>
      </c>
      <c r="AZ427" s="95" t="str">
        <f t="shared" si="79"/>
        <v/>
      </c>
      <c r="BA427" s="99" t="str">
        <f t="shared" ca="1" si="76"/>
        <v/>
      </c>
      <c r="BB427" s="97" t="str">
        <f t="shared" si="80"/>
        <v/>
      </c>
      <c r="BC427" s="101" t="str">
        <f t="shared" ca="1" si="83"/>
        <v/>
      </c>
      <c r="BD427" s="100" t="str">
        <f t="shared" si="81"/>
        <v/>
      </c>
      <c r="BE427" s="103" t="str">
        <f t="shared" ca="1" si="77"/>
        <v/>
      </c>
      <c r="BF427" s="102" t="str">
        <f t="shared" si="82"/>
        <v/>
      </c>
    </row>
    <row r="428" spans="48:58" hidden="1" x14ac:dyDescent="0.25">
      <c r="AV428">
        <v>398</v>
      </c>
      <c r="AW428" s="94" t="str">
        <f t="shared" ca="1" si="74"/>
        <v/>
      </c>
      <c r="AX428" s="95" t="str">
        <f t="shared" si="78"/>
        <v/>
      </c>
      <c r="AY428" s="98" t="str">
        <f t="shared" ca="1" si="75"/>
        <v/>
      </c>
      <c r="AZ428" s="95" t="str">
        <f t="shared" si="79"/>
        <v/>
      </c>
      <c r="BA428" s="99" t="str">
        <f t="shared" ca="1" si="76"/>
        <v/>
      </c>
      <c r="BB428" s="97" t="str">
        <f t="shared" si="80"/>
        <v/>
      </c>
      <c r="BC428" s="101" t="str">
        <f t="shared" ca="1" si="83"/>
        <v/>
      </c>
      <c r="BD428" s="100" t="str">
        <f t="shared" si="81"/>
        <v/>
      </c>
      <c r="BE428" s="103" t="str">
        <f t="shared" ca="1" si="77"/>
        <v/>
      </c>
      <c r="BF428" s="102" t="str">
        <f t="shared" si="82"/>
        <v/>
      </c>
    </row>
    <row r="429" spans="48:58" hidden="1" x14ac:dyDescent="0.25">
      <c r="AV429">
        <v>399</v>
      </c>
      <c r="AW429" s="94" t="str">
        <f t="shared" ca="1" si="74"/>
        <v/>
      </c>
      <c r="AX429" s="95" t="str">
        <f t="shared" si="78"/>
        <v/>
      </c>
      <c r="AY429" s="98" t="str">
        <f t="shared" ca="1" si="75"/>
        <v/>
      </c>
      <c r="AZ429" s="95" t="str">
        <f t="shared" si="79"/>
        <v/>
      </c>
      <c r="BA429" s="99" t="str">
        <f t="shared" ca="1" si="76"/>
        <v/>
      </c>
      <c r="BB429" s="97" t="str">
        <f t="shared" si="80"/>
        <v/>
      </c>
      <c r="BC429" s="101" t="str">
        <f t="shared" ca="1" si="83"/>
        <v/>
      </c>
      <c r="BD429" s="100" t="str">
        <f t="shared" si="81"/>
        <v/>
      </c>
      <c r="BE429" s="103" t="str">
        <f t="shared" ca="1" si="77"/>
        <v/>
      </c>
      <c r="BF429" s="102" t="str">
        <f t="shared" si="82"/>
        <v/>
      </c>
    </row>
    <row r="430" spans="48:58" hidden="1" x14ac:dyDescent="0.25">
      <c r="AV430">
        <v>400</v>
      </c>
      <c r="AW430" s="94" t="str">
        <f t="shared" ca="1" si="74"/>
        <v/>
      </c>
      <c r="AX430" s="95" t="str">
        <f t="shared" si="78"/>
        <v/>
      </c>
      <c r="AY430" s="98" t="str">
        <f t="shared" ca="1" si="75"/>
        <v/>
      </c>
      <c r="AZ430" s="95" t="str">
        <f t="shared" si="79"/>
        <v/>
      </c>
      <c r="BA430" s="99" t="str">
        <f t="shared" ca="1" si="76"/>
        <v/>
      </c>
      <c r="BB430" s="97" t="str">
        <f t="shared" si="80"/>
        <v/>
      </c>
      <c r="BC430" s="101" t="str">
        <f t="shared" ca="1" si="83"/>
        <v/>
      </c>
      <c r="BD430" s="100" t="str">
        <f t="shared" si="81"/>
        <v/>
      </c>
      <c r="BE430" s="103" t="str">
        <f t="shared" ca="1" si="77"/>
        <v/>
      </c>
      <c r="BF430" s="102" t="str">
        <f t="shared" si="82"/>
        <v/>
      </c>
    </row>
    <row r="431" spans="48:58" hidden="1" x14ac:dyDescent="0.25">
      <c r="AV431">
        <v>401</v>
      </c>
      <c r="AW431" s="94" t="str">
        <f t="shared" ca="1" si="74"/>
        <v/>
      </c>
      <c r="AX431" s="95" t="str">
        <f t="shared" si="78"/>
        <v/>
      </c>
      <c r="AY431" s="98" t="str">
        <f t="shared" ca="1" si="75"/>
        <v/>
      </c>
      <c r="AZ431" s="95" t="str">
        <f t="shared" si="79"/>
        <v/>
      </c>
      <c r="BA431" s="99" t="str">
        <f t="shared" ca="1" si="76"/>
        <v/>
      </c>
      <c r="BB431" s="97" t="str">
        <f t="shared" si="80"/>
        <v/>
      </c>
      <c r="BC431" s="101" t="str">
        <f t="shared" ca="1" si="83"/>
        <v/>
      </c>
      <c r="BD431" s="100" t="str">
        <f t="shared" si="81"/>
        <v/>
      </c>
      <c r="BE431" s="103" t="str">
        <f t="shared" ca="1" si="77"/>
        <v/>
      </c>
      <c r="BF431" s="102" t="str">
        <f t="shared" si="82"/>
        <v/>
      </c>
    </row>
    <row r="432" spans="48:58" hidden="1" x14ac:dyDescent="0.25">
      <c r="AV432">
        <v>402</v>
      </c>
      <c r="AW432" s="94" t="str">
        <f t="shared" ca="1" si="74"/>
        <v/>
      </c>
      <c r="AX432" s="95" t="str">
        <f t="shared" si="78"/>
        <v/>
      </c>
      <c r="AY432" s="98" t="str">
        <f t="shared" ca="1" si="75"/>
        <v/>
      </c>
      <c r="AZ432" s="95" t="str">
        <f t="shared" si="79"/>
        <v/>
      </c>
      <c r="BA432" s="99" t="str">
        <f t="shared" ca="1" si="76"/>
        <v/>
      </c>
      <c r="BB432" s="97" t="str">
        <f t="shared" si="80"/>
        <v/>
      </c>
      <c r="BC432" s="101" t="str">
        <f t="shared" ca="1" si="83"/>
        <v/>
      </c>
      <c r="BD432" s="100" t="str">
        <f t="shared" si="81"/>
        <v/>
      </c>
      <c r="BE432" s="103" t="str">
        <f t="shared" ca="1" si="77"/>
        <v/>
      </c>
      <c r="BF432" s="102" t="str">
        <f t="shared" si="82"/>
        <v/>
      </c>
    </row>
    <row r="433" spans="48:58" hidden="1" x14ac:dyDescent="0.25">
      <c r="AV433">
        <v>403</v>
      </c>
      <c r="AW433" s="94" t="str">
        <f t="shared" ca="1" si="74"/>
        <v/>
      </c>
      <c r="AX433" s="95" t="str">
        <f t="shared" si="78"/>
        <v/>
      </c>
      <c r="AY433" s="98" t="str">
        <f t="shared" ca="1" si="75"/>
        <v/>
      </c>
      <c r="AZ433" s="95" t="str">
        <f t="shared" si="79"/>
        <v/>
      </c>
      <c r="BA433" s="99" t="str">
        <f t="shared" ca="1" si="76"/>
        <v/>
      </c>
      <c r="BB433" s="97" t="str">
        <f t="shared" si="80"/>
        <v/>
      </c>
      <c r="BC433" s="101" t="str">
        <f t="shared" ca="1" si="83"/>
        <v/>
      </c>
      <c r="BD433" s="100" t="str">
        <f t="shared" si="81"/>
        <v/>
      </c>
      <c r="BE433" s="103" t="str">
        <f t="shared" ca="1" si="77"/>
        <v/>
      </c>
      <c r="BF433" s="102" t="str">
        <f t="shared" si="82"/>
        <v/>
      </c>
    </row>
    <row r="434" spans="48:58" hidden="1" x14ac:dyDescent="0.25">
      <c r="AV434">
        <v>404</v>
      </c>
      <c r="AW434" s="94" t="str">
        <f t="shared" ca="1" si="74"/>
        <v/>
      </c>
      <c r="AX434" s="95" t="str">
        <f t="shared" si="78"/>
        <v/>
      </c>
      <c r="AY434" s="98" t="str">
        <f t="shared" ca="1" si="75"/>
        <v/>
      </c>
      <c r="AZ434" s="95" t="str">
        <f t="shared" si="79"/>
        <v/>
      </c>
      <c r="BA434" s="99" t="str">
        <f t="shared" ca="1" si="76"/>
        <v/>
      </c>
      <c r="BB434" s="97" t="str">
        <f t="shared" si="80"/>
        <v/>
      </c>
      <c r="BC434" s="101" t="str">
        <f t="shared" ca="1" si="83"/>
        <v/>
      </c>
      <c r="BD434" s="100" t="str">
        <f t="shared" si="81"/>
        <v/>
      </c>
      <c r="BE434" s="103" t="str">
        <f t="shared" ca="1" si="77"/>
        <v/>
      </c>
      <c r="BF434" s="102" t="str">
        <f t="shared" si="82"/>
        <v/>
      </c>
    </row>
    <row r="435" spans="48:58" hidden="1" x14ac:dyDescent="0.25">
      <c r="AV435">
        <v>405</v>
      </c>
      <c r="AW435" s="94" t="str">
        <f t="shared" ca="1" si="74"/>
        <v/>
      </c>
      <c r="AX435" s="95" t="str">
        <f t="shared" si="78"/>
        <v/>
      </c>
      <c r="AY435" s="98" t="str">
        <f t="shared" ca="1" si="75"/>
        <v/>
      </c>
      <c r="AZ435" s="95" t="str">
        <f t="shared" si="79"/>
        <v/>
      </c>
      <c r="BA435" s="99" t="str">
        <f t="shared" ca="1" si="76"/>
        <v/>
      </c>
      <c r="BB435" s="97" t="str">
        <f t="shared" si="80"/>
        <v/>
      </c>
      <c r="BC435" s="101" t="str">
        <f t="shared" ca="1" si="83"/>
        <v/>
      </c>
      <c r="BD435" s="100" t="str">
        <f t="shared" si="81"/>
        <v/>
      </c>
      <c r="BE435" s="103" t="str">
        <f t="shared" ca="1" si="77"/>
        <v/>
      </c>
      <c r="BF435" s="102" t="str">
        <f t="shared" si="82"/>
        <v/>
      </c>
    </row>
    <row r="436" spans="48:58" hidden="1" x14ac:dyDescent="0.25">
      <c r="AV436">
        <v>406</v>
      </c>
      <c r="AW436" s="94" t="str">
        <f t="shared" ca="1" si="74"/>
        <v/>
      </c>
      <c r="AX436" s="95" t="str">
        <f t="shared" si="78"/>
        <v/>
      </c>
      <c r="AY436" s="98" t="str">
        <f t="shared" ca="1" si="75"/>
        <v/>
      </c>
      <c r="AZ436" s="95" t="str">
        <f t="shared" si="79"/>
        <v/>
      </c>
      <c r="BA436" s="99" t="str">
        <f t="shared" ca="1" si="76"/>
        <v/>
      </c>
      <c r="BB436" s="97" t="str">
        <f t="shared" si="80"/>
        <v/>
      </c>
      <c r="BC436" s="101" t="str">
        <f t="shared" ca="1" si="83"/>
        <v/>
      </c>
      <c r="BD436" s="100" t="str">
        <f t="shared" si="81"/>
        <v/>
      </c>
      <c r="BE436" s="103" t="str">
        <f t="shared" ca="1" si="77"/>
        <v/>
      </c>
      <c r="BF436" s="102" t="str">
        <f t="shared" si="82"/>
        <v/>
      </c>
    </row>
    <row r="437" spans="48:58" hidden="1" x14ac:dyDescent="0.25">
      <c r="AV437">
        <v>407</v>
      </c>
      <c r="AW437" s="94" t="str">
        <f t="shared" ca="1" si="74"/>
        <v/>
      </c>
      <c r="AX437" s="95" t="str">
        <f t="shared" si="78"/>
        <v/>
      </c>
      <c r="AY437" s="98" t="str">
        <f t="shared" ca="1" si="75"/>
        <v/>
      </c>
      <c r="AZ437" s="95" t="str">
        <f t="shared" si="79"/>
        <v/>
      </c>
      <c r="BA437" s="99" t="str">
        <f t="shared" ca="1" si="76"/>
        <v/>
      </c>
      <c r="BB437" s="97" t="str">
        <f t="shared" si="80"/>
        <v/>
      </c>
      <c r="BC437" s="101" t="str">
        <f t="shared" ca="1" si="83"/>
        <v/>
      </c>
      <c r="BD437" s="100" t="str">
        <f t="shared" si="81"/>
        <v/>
      </c>
      <c r="BE437" s="103" t="str">
        <f t="shared" ca="1" si="77"/>
        <v/>
      </c>
      <c r="BF437" s="102" t="str">
        <f t="shared" si="82"/>
        <v/>
      </c>
    </row>
    <row r="438" spans="48:58" hidden="1" x14ac:dyDescent="0.25">
      <c r="AV438">
        <v>408</v>
      </c>
      <c r="AW438" s="94" t="str">
        <f t="shared" ca="1" si="74"/>
        <v/>
      </c>
      <c r="AX438" s="95" t="str">
        <f t="shared" si="78"/>
        <v/>
      </c>
      <c r="AY438" s="98" t="str">
        <f t="shared" ca="1" si="75"/>
        <v/>
      </c>
      <c r="AZ438" s="95" t="str">
        <f t="shared" si="79"/>
        <v/>
      </c>
      <c r="BA438" s="99" t="str">
        <f t="shared" ca="1" si="76"/>
        <v/>
      </c>
      <c r="BB438" s="97" t="str">
        <f t="shared" si="80"/>
        <v/>
      </c>
      <c r="BC438" s="101" t="str">
        <f t="shared" ca="1" si="83"/>
        <v/>
      </c>
      <c r="BD438" s="100" t="str">
        <f t="shared" si="81"/>
        <v/>
      </c>
      <c r="BE438" s="103" t="str">
        <f t="shared" ca="1" si="77"/>
        <v/>
      </c>
      <c r="BF438" s="102" t="str">
        <f t="shared" si="82"/>
        <v/>
      </c>
    </row>
    <row r="439" spans="48:58" hidden="1" x14ac:dyDescent="0.25">
      <c r="AV439">
        <v>409</v>
      </c>
      <c r="AW439" s="94" t="str">
        <f t="shared" ca="1" si="74"/>
        <v/>
      </c>
      <c r="AX439" s="95" t="str">
        <f t="shared" si="78"/>
        <v/>
      </c>
      <c r="AY439" s="98" t="str">
        <f t="shared" ca="1" si="75"/>
        <v/>
      </c>
      <c r="AZ439" s="95" t="str">
        <f t="shared" si="79"/>
        <v/>
      </c>
      <c r="BA439" s="99" t="str">
        <f t="shared" ca="1" si="76"/>
        <v/>
      </c>
      <c r="BB439" s="97" t="str">
        <f t="shared" si="80"/>
        <v/>
      </c>
      <c r="BC439" s="101" t="str">
        <f t="shared" ca="1" si="83"/>
        <v/>
      </c>
      <c r="BD439" s="100" t="str">
        <f t="shared" si="81"/>
        <v/>
      </c>
      <c r="BE439" s="103" t="str">
        <f t="shared" ca="1" si="77"/>
        <v/>
      </c>
      <c r="BF439" s="102" t="str">
        <f t="shared" si="82"/>
        <v/>
      </c>
    </row>
    <row r="440" spans="48:58" hidden="1" x14ac:dyDescent="0.25">
      <c r="AV440">
        <v>410</v>
      </c>
      <c r="AW440" s="94" t="str">
        <f t="shared" ca="1" si="74"/>
        <v/>
      </c>
      <c r="AX440" s="95" t="str">
        <f t="shared" si="78"/>
        <v/>
      </c>
      <c r="AY440" s="98" t="str">
        <f t="shared" ca="1" si="75"/>
        <v/>
      </c>
      <c r="AZ440" s="95" t="str">
        <f t="shared" si="79"/>
        <v/>
      </c>
      <c r="BA440" s="99" t="str">
        <f t="shared" ca="1" si="76"/>
        <v/>
      </c>
      <c r="BB440" s="97" t="str">
        <f t="shared" si="80"/>
        <v/>
      </c>
      <c r="BC440" s="101" t="str">
        <f t="shared" ca="1" si="83"/>
        <v/>
      </c>
      <c r="BD440" s="100" t="str">
        <f t="shared" si="81"/>
        <v/>
      </c>
      <c r="BE440" s="103" t="str">
        <f t="shared" ca="1" si="77"/>
        <v/>
      </c>
      <c r="BF440" s="102" t="str">
        <f t="shared" si="82"/>
        <v/>
      </c>
    </row>
    <row r="441" spans="48:58" hidden="1" x14ac:dyDescent="0.25">
      <c r="AV441">
        <v>411</v>
      </c>
      <c r="AW441" s="94" t="str">
        <f t="shared" ca="1" si="74"/>
        <v/>
      </c>
      <c r="AX441" s="95" t="str">
        <f t="shared" si="78"/>
        <v/>
      </c>
      <c r="AY441" s="98" t="str">
        <f t="shared" ca="1" si="75"/>
        <v/>
      </c>
      <c r="AZ441" s="95" t="str">
        <f t="shared" si="79"/>
        <v/>
      </c>
      <c r="BA441" s="99" t="str">
        <f t="shared" ca="1" si="76"/>
        <v/>
      </c>
      <c r="BB441" s="97" t="str">
        <f t="shared" si="80"/>
        <v/>
      </c>
      <c r="BC441" s="101" t="str">
        <f t="shared" ca="1" si="83"/>
        <v/>
      </c>
      <c r="BD441" s="100" t="str">
        <f t="shared" si="81"/>
        <v/>
      </c>
      <c r="BE441" s="103" t="str">
        <f t="shared" ca="1" si="77"/>
        <v/>
      </c>
      <c r="BF441" s="102" t="str">
        <f t="shared" si="82"/>
        <v/>
      </c>
    </row>
    <row r="442" spans="48:58" hidden="1" x14ac:dyDescent="0.25">
      <c r="AV442">
        <v>412</v>
      </c>
      <c r="AW442" s="94" t="str">
        <f t="shared" ca="1" si="74"/>
        <v/>
      </c>
      <c r="AX442" s="95" t="str">
        <f t="shared" si="78"/>
        <v/>
      </c>
      <c r="AY442" s="98" t="str">
        <f t="shared" ca="1" si="75"/>
        <v/>
      </c>
      <c r="AZ442" s="95" t="str">
        <f t="shared" si="79"/>
        <v/>
      </c>
      <c r="BA442" s="99" t="str">
        <f t="shared" ca="1" si="76"/>
        <v/>
      </c>
      <c r="BB442" s="97" t="str">
        <f t="shared" si="80"/>
        <v/>
      </c>
      <c r="BC442" s="101" t="str">
        <f t="shared" ca="1" si="83"/>
        <v/>
      </c>
      <c r="BD442" s="100" t="str">
        <f t="shared" si="81"/>
        <v/>
      </c>
      <c r="BE442" s="103" t="str">
        <f t="shared" ca="1" si="77"/>
        <v/>
      </c>
      <c r="BF442" s="102" t="str">
        <f t="shared" si="82"/>
        <v/>
      </c>
    </row>
    <row r="443" spans="48:58" hidden="1" x14ac:dyDescent="0.25">
      <c r="AV443">
        <v>413</v>
      </c>
      <c r="AW443" s="94" t="str">
        <f t="shared" ca="1" si="74"/>
        <v/>
      </c>
      <c r="AX443" s="95" t="str">
        <f t="shared" si="78"/>
        <v/>
      </c>
      <c r="AY443" s="98" t="str">
        <f t="shared" ca="1" si="75"/>
        <v/>
      </c>
      <c r="AZ443" s="95" t="str">
        <f t="shared" si="79"/>
        <v/>
      </c>
      <c r="BA443" s="99" t="str">
        <f t="shared" ca="1" si="76"/>
        <v/>
      </c>
      <c r="BB443" s="97" t="str">
        <f t="shared" si="80"/>
        <v/>
      </c>
      <c r="BC443" s="101" t="str">
        <f t="shared" ca="1" si="83"/>
        <v/>
      </c>
      <c r="BD443" s="100" t="str">
        <f t="shared" si="81"/>
        <v/>
      </c>
      <c r="BE443" s="103" t="str">
        <f t="shared" ca="1" si="77"/>
        <v/>
      </c>
      <c r="BF443" s="102" t="str">
        <f t="shared" si="82"/>
        <v/>
      </c>
    </row>
    <row r="444" spans="48:58" hidden="1" x14ac:dyDescent="0.25">
      <c r="AV444">
        <v>414</v>
      </c>
      <c r="AW444" s="94" t="str">
        <f t="shared" ca="1" si="74"/>
        <v/>
      </c>
      <c r="AX444" s="95" t="str">
        <f t="shared" si="78"/>
        <v/>
      </c>
      <c r="AY444" s="98" t="str">
        <f t="shared" ca="1" si="75"/>
        <v/>
      </c>
      <c r="AZ444" s="95" t="str">
        <f t="shared" si="79"/>
        <v/>
      </c>
      <c r="BA444" s="99" t="str">
        <f t="shared" ca="1" si="76"/>
        <v/>
      </c>
      <c r="BB444" s="97" t="str">
        <f t="shared" si="80"/>
        <v/>
      </c>
      <c r="BC444" s="101" t="str">
        <f t="shared" ca="1" si="83"/>
        <v/>
      </c>
      <c r="BD444" s="100" t="str">
        <f t="shared" si="81"/>
        <v/>
      </c>
      <c r="BE444" s="103" t="str">
        <f t="shared" ca="1" si="77"/>
        <v/>
      </c>
      <c r="BF444" s="102" t="str">
        <f t="shared" si="82"/>
        <v/>
      </c>
    </row>
    <row r="445" spans="48:58" hidden="1" x14ac:dyDescent="0.25">
      <c r="AV445">
        <v>415</v>
      </c>
      <c r="AW445" s="94" t="str">
        <f t="shared" ca="1" si="74"/>
        <v/>
      </c>
      <c r="AX445" s="95" t="str">
        <f t="shared" si="78"/>
        <v/>
      </c>
      <c r="AY445" s="98" t="str">
        <f t="shared" ca="1" si="75"/>
        <v/>
      </c>
      <c r="AZ445" s="95" t="str">
        <f t="shared" si="79"/>
        <v/>
      </c>
      <c r="BA445" s="99" t="str">
        <f t="shared" ca="1" si="76"/>
        <v/>
      </c>
      <c r="BB445" s="97" t="str">
        <f t="shared" si="80"/>
        <v/>
      </c>
      <c r="BC445" s="101" t="str">
        <f t="shared" ca="1" si="83"/>
        <v/>
      </c>
      <c r="BD445" s="100" t="str">
        <f t="shared" si="81"/>
        <v/>
      </c>
      <c r="BE445" s="103" t="str">
        <f t="shared" ca="1" si="77"/>
        <v/>
      </c>
      <c r="BF445" s="102" t="str">
        <f t="shared" si="82"/>
        <v/>
      </c>
    </row>
    <row r="446" spans="48:58" hidden="1" x14ac:dyDescent="0.25">
      <c r="AV446">
        <v>416</v>
      </c>
      <c r="AW446" s="94" t="str">
        <f t="shared" ca="1" si="74"/>
        <v/>
      </c>
      <c r="AX446" s="95" t="str">
        <f t="shared" si="78"/>
        <v/>
      </c>
      <c r="AY446" s="98" t="str">
        <f t="shared" ca="1" si="75"/>
        <v/>
      </c>
      <c r="AZ446" s="95" t="str">
        <f t="shared" si="79"/>
        <v/>
      </c>
      <c r="BA446" s="99" t="str">
        <f t="shared" ca="1" si="76"/>
        <v/>
      </c>
      <c r="BB446" s="97" t="str">
        <f t="shared" si="80"/>
        <v/>
      </c>
      <c r="BC446" s="101" t="str">
        <f t="shared" ca="1" si="83"/>
        <v/>
      </c>
      <c r="BD446" s="100" t="str">
        <f t="shared" si="81"/>
        <v/>
      </c>
      <c r="BE446" s="103" t="str">
        <f t="shared" ca="1" si="77"/>
        <v/>
      </c>
      <c r="BF446" s="102" t="str">
        <f t="shared" si="82"/>
        <v/>
      </c>
    </row>
    <row r="447" spans="48:58" hidden="1" x14ac:dyDescent="0.25">
      <c r="AV447">
        <v>417</v>
      </c>
      <c r="AW447" s="94" t="str">
        <f t="shared" ca="1" si="74"/>
        <v/>
      </c>
      <c r="AX447" s="95" t="str">
        <f t="shared" si="78"/>
        <v/>
      </c>
      <c r="AY447" s="98" t="str">
        <f t="shared" ca="1" si="75"/>
        <v/>
      </c>
      <c r="AZ447" s="95" t="str">
        <f t="shared" si="79"/>
        <v/>
      </c>
      <c r="BA447" s="99" t="str">
        <f t="shared" ca="1" si="76"/>
        <v/>
      </c>
      <c r="BB447" s="97" t="str">
        <f t="shared" si="80"/>
        <v/>
      </c>
      <c r="BC447" s="101" t="str">
        <f t="shared" ca="1" si="83"/>
        <v/>
      </c>
      <c r="BD447" s="100" t="str">
        <f t="shared" si="81"/>
        <v/>
      </c>
      <c r="BE447" s="103" t="str">
        <f t="shared" ca="1" si="77"/>
        <v/>
      </c>
      <c r="BF447" s="102" t="str">
        <f t="shared" si="82"/>
        <v/>
      </c>
    </row>
    <row r="448" spans="48:58" hidden="1" x14ac:dyDescent="0.25">
      <c r="AV448">
        <v>418</v>
      </c>
      <c r="AW448" s="94" t="str">
        <f t="shared" ca="1" si="74"/>
        <v/>
      </c>
      <c r="AX448" s="95" t="str">
        <f t="shared" si="78"/>
        <v/>
      </c>
      <c r="AY448" s="98" t="str">
        <f t="shared" ca="1" si="75"/>
        <v/>
      </c>
      <c r="AZ448" s="95" t="str">
        <f t="shared" si="79"/>
        <v/>
      </c>
      <c r="BA448" s="99" t="str">
        <f t="shared" ca="1" si="76"/>
        <v/>
      </c>
      <c r="BB448" s="97" t="str">
        <f t="shared" si="80"/>
        <v/>
      </c>
      <c r="BC448" s="101" t="str">
        <f t="shared" ca="1" si="83"/>
        <v/>
      </c>
      <c r="BD448" s="100" t="str">
        <f t="shared" si="81"/>
        <v/>
      </c>
      <c r="BE448" s="103" t="str">
        <f t="shared" ca="1" si="77"/>
        <v/>
      </c>
      <c r="BF448" s="102" t="str">
        <f t="shared" si="82"/>
        <v/>
      </c>
    </row>
    <row r="449" spans="48:58" hidden="1" x14ac:dyDescent="0.25">
      <c r="AV449">
        <v>419</v>
      </c>
      <c r="AW449" s="94" t="str">
        <f t="shared" ca="1" si="74"/>
        <v/>
      </c>
      <c r="AX449" s="95" t="str">
        <f t="shared" si="78"/>
        <v/>
      </c>
      <c r="AY449" s="98" t="str">
        <f t="shared" ca="1" si="75"/>
        <v/>
      </c>
      <c r="AZ449" s="95" t="str">
        <f t="shared" si="79"/>
        <v/>
      </c>
      <c r="BA449" s="99" t="str">
        <f t="shared" ca="1" si="76"/>
        <v/>
      </c>
      <c r="BB449" s="97" t="str">
        <f t="shared" si="80"/>
        <v/>
      </c>
      <c r="BC449" s="101" t="str">
        <f t="shared" ca="1" si="83"/>
        <v/>
      </c>
      <c r="BD449" s="100" t="str">
        <f t="shared" si="81"/>
        <v/>
      </c>
      <c r="BE449" s="103" t="str">
        <f t="shared" ca="1" si="77"/>
        <v/>
      </c>
      <c r="BF449" s="102" t="str">
        <f t="shared" si="82"/>
        <v/>
      </c>
    </row>
    <row r="450" spans="48:58" hidden="1" x14ac:dyDescent="0.25">
      <c r="AV450">
        <v>420</v>
      </c>
      <c r="AW450" s="94" t="str">
        <f t="shared" ca="1" si="74"/>
        <v/>
      </c>
      <c r="AX450" s="95" t="str">
        <f t="shared" si="78"/>
        <v/>
      </c>
      <c r="AY450" s="98" t="str">
        <f t="shared" ca="1" si="75"/>
        <v/>
      </c>
      <c r="AZ450" s="95" t="str">
        <f t="shared" si="79"/>
        <v/>
      </c>
      <c r="BA450" s="99" t="str">
        <f t="shared" ca="1" si="76"/>
        <v/>
      </c>
      <c r="BB450" s="97" t="str">
        <f t="shared" si="80"/>
        <v/>
      </c>
      <c r="BC450" s="101" t="str">
        <f t="shared" ca="1" si="83"/>
        <v/>
      </c>
      <c r="BD450" s="100" t="str">
        <f t="shared" si="81"/>
        <v/>
      </c>
      <c r="BE450" s="103" t="str">
        <f t="shared" ca="1" si="77"/>
        <v/>
      </c>
      <c r="BF450" s="102" t="str">
        <f t="shared" si="82"/>
        <v/>
      </c>
    </row>
    <row r="451" spans="48:58" hidden="1" x14ac:dyDescent="0.25">
      <c r="AV451">
        <v>421</v>
      </c>
      <c r="AW451" s="94" t="str">
        <f t="shared" ca="1" si="74"/>
        <v/>
      </c>
      <c r="AX451" s="95" t="str">
        <f t="shared" si="78"/>
        <v/>
      </c>
      <c r="AY451" s="98" t="str">
        <f t="shared" ca="1" si="75"/>
        <v/>
      </c>
      <c r="AZ451" s="95" t="str">
        <f t="shared" si="79"/>
        <v/>
      </c>
      <c r="BA451" s="99" t="str">
        <f t="shared" ca="1" si="76"/>
        <v/>
      </c>
      <c r="BB451" s="97" t="str">
        <f t="shared" si="80"/>
        <v/>
      </c>
      <c r="BC451" s="101" t="str">
        <f t="shared" ca="1" si="83"/>
        <v/>
      </c>
      <c r="BD451" s="100" t="str">
        <f t="shared" si="81"/>
        <v/>
      </c>
      <c r="BE451" s="103" t="str">
        <f t="shared" ca="1" si="77"/>
        <v/>
      </c>
      <c r="BF451" s="102" t="str">
        <f t="shared" si="82"/>
        <v/>
      </c>
    </row>
    <row r="452" spans="48:58" hidden="1" x14ac:dyDescent="0.25">
      <c r="AV452">
        <v>422</v>
      </c>
      <c r="AW452" s="94" t="str">
        <f t="shared" ca="1" si="74"/>
        <v/>
      </c>
      <c r="AX452" s="95" t="str">
        <f t="shared" si="78"/>
        <v/>
      </c>
      <c r="AY452" s="98" t="str">
        <f t="shared" ca="1" si="75"/>
        <v/>
      </c>
      <c r="AZ452" s="95" t="str">
        <f t="shared" si="79"/>
        <v/>
      </c>
      <c r="BA452" s="99" t="str">
        <f t="shared" ca="1" si="76"/>
        <v/>
      </c>
      <c r="BB452" s="97" t="str">
        <f t="shared" si="80"/>
        <v/>
      </c>
      <c r="BC452" s="101" t="str">
        <f t="shared" ca="1" si="83"/>
        <v/>
      </c>
      <c r="BD452" s="100" t="str">
        <f t="shared" si="81"/>
        <v/>
      </c>
      <c r="BE452" s="103" t="str">
        <f t="shared" ca="1" si="77"/>
        <v/>
      </c>
      <c r="BF452" s="102" t="str">
        <f t="shared" si="82"/>
        <v/>
      </c>
    </row>
    <row r="453" spans="48:58" hidden="1" x14ac:dyDescent="0.25">
      <c r="AV453">
        <v>423</v>
      </c>
      <c r="AW453" s="94" t="str">
        <f t="shared" ca="1" si="74"/>
        <v/>
      </c>
      <c r="AX453" s="95" t="str">
        <f t="shared" si="78"/>
        <v/>
      </c>
      <c r="AY453" s="98" t="str">
        <f t="shared" ca="1" si="75"/>
        <v/>
      </c>
      <c r="AZ453" s="95" t="str">
        <f t="shared" si="79"/>
        <v/>
      </c>
      <c r="BA453" s="99" t="str">
        <f t="shared" ca="1" si="76"/>
        <v/>
      </c>
      <c r="BB453" s="97" t="str">
        <f t="shared" si="80"/>
        <v/>
      </c>
      <c r="BC453" s="101" t="str">
        <f t="shared" ca="1" si="83"/>
        <v/>
      </c>
      <c r="BD453" s="100" t="str">
        <f t="shared" si="81"/>
        <v/>
      </c>
      <c r="BE453" s="103" t="str">
        <f t="shared" ca="1" si="77"/>
        <v/>
      </c>
      <c r="BF453" s="102" t="str">
        <f t="shared" si="82"/>
        <v/>
      </c>
    </row>
    <row r="454" spans="48:58" hidden="1" x14ac:dyDescent="0.25">
      <c r="AV454">
        <v>424</v>
      </c>
      <c r="AW454" s="94" t="str">
        <f t="shared" ca="1" si="74"/>
        <v/>
      </c>
      <c r="AX454" s="95" t="str">
        <f t="shared" si="78"/>
        <v/>
      </c>
      <c r="AY454" s="98" t="str">
        <f t="shared" ca="1" si="75"/>
        <v/>
      </c>
      <c r="AZ454" s="95" t="str">
        <f t="shared" si="79"/>
        <v/>
      </c>
      <c r="BA454" s="99" t="str">
        <f t="shared" ca="1" si="76"/>
        <v/>
      </c>
      <c r="BB454" s="97" t="str">
        <f t="shared" si="80"/>
        <v/>
      </c>
      <c r="BC454" s="101" t="str">
        <f t="shared" ca="1" si="83"/>
        <v/>
      </c>
      <c r="BD454" s="100" t="str">
        <f t="shared" si="81"/>
        <v/>
      </c>
      <c r="BE454" s="103" t="str">
        <f t="shared" ca="1" si="77"/>
        <v/>
      </c>
      <c r="BF454" s="102" t="str">
        <f t="shared" si="82"/>
        <v/>
      </c>
    </row>
    <row r="455" spans="48:58" hidden="1" x14ac:dyDescent="0.25">
      <c r="AV455">
        <v>425</v>
      </c>
      <c r="AW455" s="94" t="str">
        <f t="shared" ca="1" si="74"/>
        <v/>
      </c>
      <c r="AX455" s="95" t="str">
        <f t="shared" si="78"/>
        <v/>
      </c>
      <c r="AY455" s="98" t="str">
        <f t="shared" ca="1" si="75"/>
        <v/>
      </c>
      <c r="AZ455" s="95" t="str">
        <f t="shared" si="79"/>
        <v/>
      </c>
      <c r="BA455" s="99" t="str">
        <f t="shared" ca="1" si="76"/>
        <v/>
      </c>
      <c r="BB455" s="97" t="str">
        <f t="shared" si="80"/>
        <v/>
      </c>
      <c r="BC455" s="101" t="str">
        <f t="shared" ca="1" si="83"/>
        <v/>
      </c>
      <c r="BD455" s="100" t="str">
        <f t="shared" si="81"/>
        <v/>
      </c>
      <c r="BE455" s="103" t="str">
        <f t="shared" ca="1" si="77"/>
        <v/>
      </c>
      <c r="BF455" s="102" t="str">
        <f t="shared" si="82"/>
        <v/>
      </c>
    </row>
    <row r="456" spans="48:58" hidden="1" x14ac:dyDescent="0.25">
      <c r="AV456">
        <v>426</v>
      </c>
      <c r="AW456" s="94" t="str">
        <f t="shared" ca="1" si="74"/>
        <v/>
      </c>
      <c r="AX456" s="95" t="str">
        <f t="shared" si="78"/>
        <v/>
      </c>
      <c r="AY456" s="98" t="str">
        <f t="shared" ca="1" si="75"/>
        <v/>
      </c>
      <c r="AZ456" s="95" t="str">
        <f t="shared" si="79"/>
        <v/>
      </c>
      <c r="BA456" s="99" t="str">
        <f t="shared" ca="1" si="76"/>
        <v/>
      </c>
      <c r="BB456" s="97" t="str">
        <f t="shared" si="80"/>
        <v/>
      </c>
      <c r="BC456" s="101" t="str">
        <f t="shared" ca="1" si="83"/>
        <v/>
      </c>
      <c r="BD456" s="100" t="str">
        <f t="shared" si="81"/>
        <v/>
      </c>
      <c r="BE456" s="103" t="str">
        <f t="shared" ca="1" si="77"/>
        <v/>
      </c>
      <c r="BF456" s="102" t="str">
        <f t="shared" si="82"/>
        <v/>
      </c>
    </row>
    <row r="457" spans="48:58" hidden="1" x14ac:dyDescent="0.25">
      <c r="AV457">
        <v>427</v>
      </c>
      <c r="AW457" s="94" t="str">
        <f t="shared" ca="1" si="74"/>
        <v/>
      </c>
      <c r="AX457" s="95" t="str">
        <f t="shared" si="78"/>
        <v/>
      </c>
      <c r="AY457" s="98" t="str">
        <f t="shared" ca="1" si="75"/>
        <v/>
      </c>
      <c r="AZ457" s="95" t="str">
        <f t="shared" si="79"/>
        <v/>
      </c>
      <c r="BA457" s="99" t="str">
        <f t="shared" ca="1" si="76"/>
        <v/>
      </c>
      <c r="BB457" s="97" t="str">
        <f t="shared" si="80"/>
        <v/>
      </c>
      <c r="BC457" s="101" t="str">
        <f t="shared" ca="1" si="83"/>
        <v/>
      </c>
      <c r="BD457" s="100" t="str">
        <f t="shared" si="81"/>
        <v/>
      </c>
      <c r="BE457" s="103" t="str">
        <f t="shared" ca="1" si="77"/>
        <v/>
      </c>
      <c r="BF457" s="102" t="str">
        <f t="shared" si="82"/>
        <v/>
      </c>
    </row>
    <row r="458" spans="48:58" hidden="1" x14ac:dyDescent="0.25">
      <c r="AV458">
        <v>428</v>
      </c>
      <c r="AW458" s="94" t="str">
        <f t="shared" ca="1" si="74"/>
        <v/>
      </c>
      <c r="AX458" s="95" t="str">
        <f t="shared" si="78"/>
        <v/>
      </c>
      <c r="AY458" s="98" t="str">
        <f t="shared" ca="1" si="75"/>
        <v/>
      </c>
      <c r="AZ458" s="95" t="str">
        <f t="shared" si="79"/>
        <v/>
      </c>
      <c r="BA458" s="99" t="str">
        <f t="shared" ca="1" si="76"/>
        <v/>
      </c>
      <c r="BB458" s="97" t="str">
        <f t="shared" si="80"/>
        <v/>
      </c>
      <c r="BC458" s="101" t="str">
        <f t="shared" ca="1" si="83"/>
        <v/>
      </c>
      <c r="BD458" s="100" t="str">
        <f t="shared" si="81"/>
        <v/>
      </c>
      <c r="BE458" s="103" t="str">
        <f t="shared" ca="1" si="77"/>
        <v/>
      </c>
      <c r="BF458" s="102" t="str">
        <f t="shared" si="82"/>
        <v/>
      </c>
    </row>
    <row r="459" spans="48:58" hidden="1" x14ac:dyDescent="0.25">
      <c r="AV459">
        <v>429</v>
      </c>
      <c r="AW459" s="94" t="str">
        <f t="shared" ca="1" si="74"/>
        <v/>
      </c>
      <c r="AX459" s="95" t="str">
        <f t="shared" si="78"/>
        <v/>
      </c>
      <c r="AY459" s="98" t="str">
        <f t="shared" ca="1" si="75"/>
        <v/>
      </c>
      <c r="AZ459" s="95" t="str">
        <f t="shared" si="79"/>
        <v/>
      </c>
      <c r="BA459" s="99" t="str">
        <f t="shared" ca="1" si="76"/>
        <v/>
      </c>
      <c r="BB459" s="97" t="str">
        <f t="shared" si="80"/>
        <v/>
      </c>
      <c r="BC459" s="101" t="str">
        <f t="shared" ca="1" si="83"/>
        <v/>
      </c>
      <c r="BD459" s="100" t="str">
        <f t="shared" si="81"/>
        <v/>
      </c>
      <c r="BE459" s="103" t="str">
        <f t="shared" ca="1" si="77"/>
        <v/>
      </c>
      <c r="BF459" s="102" t="str">
        <f t="shared" si="82"/>
        <v/>
      </c>
    </row>
    <row r="460" spans="48:58" hidden="1" x14ac:dyDescent="0.25">
      <c r="AV460">
        <v>430</v>
      </c>
      <c r="AW460" s="94" t="str">
        <f t="shared" ca="1" si="74"/>
        <v/>
      </c>
      <c r="AX460" s="95" t="str">
        <f t="shared" si="78"/>
        <v/>
      </c>
      <c r="AY460" s="98" t="str">
        <f t="shared" ca="1" si="75"/>
        <v/>
      </c>
      <c r="AZ460" s="95" t="str">
        <f t="shared" si="79"/>
        <v/>
      </c>
      <c r="BA460" s="99" t="str">
        <f t="shared" ca="1" si="76"/>
        <v/>
      </c>
      <c r="BB460" s="97" t="str">
        <f t="shared" si="80"/>
        <v/>
      </c>
      <c r="BC460" s="101" t="str">
        <f t="shared" ca="1" si="83"/>
        <v/>
      </c>
      <c r="BD460" s="100" t="str">
        <f t="shared" si="81"/>
        <v/>
      </c>
      <c r="BE460" s="103" t="str">
        <f t="shared" ca="1" si="77"/>
        <v/>
      </c>
      <c r="BF460" s="102" t="str">
        <f t="shared" si="82"/>
        <v/>
      </c>
    </row>
    <row r="461" spans="48:58" hidden="1" x14ac:dyDescent="0.25">
      <c r="AV461">
        <v>431</v>
      </c>
      <c r="AW461" s="94" t="str">
        <f t="shared" ca="1" si="74"/>
        <v/>
      </c>
      <c r="AX461" s="95" t="str">
        <f t="shared" si="78"/>
        <v/>
      </c>
      <c r="AY461" s="98" t="str">
        <f t="shared" ca="1" si="75"/>
        <v/>
      </c>
      <c r="AZ461" s="95" t="str">
        <f t="shared" si="79"/>
        <v/>
      </c>
      <c r="BA461" s="99" t="str">
        <f t="shared" ca="1" si="76"/>
        <v/>
      </c>
      <c r="BB461" s="97" t="str">
        <f t="shared" si="80"/>
        <v/>
      </c>
      <c r="BC461" s="101" t="str">
        <f t="shared" ca="1" si="83"/>
        <v/>
      </c>
      <c r="BD461" s="100" t="str">
        <f t="shared" si="81"/>
        <v/>
      </c>
      <c r="BE461" s="103" t="str">
        <f t="shared" ca="1" si="77"/>
        <v/>
      </c>
      <c r="BF461" s="102" t="str">
        <f t="shared" si="82"/>
        <v/>
      </c>
    </row>
    <row r="462" spans="48:58" hidden="1" x14ac:dyDescent="0.25">
      <c r="AV462">
        <v>432</v>
      </c>
      <c r="AW462" s="94" t="str">
        <f t="shared" ca="1" si="74"/>
        <v/>
      </c>
      <c r="AX462" s="95" t="str">
        <f t="shared" si="78"/>
        <v/>
      </c>
      <c r="AY462" s="98" t="str">
        <f t="shared" ca="1" si="75"/>
        <v/>
      </c>
      <c r="AZ462" s="95" t="str">
        <f t="shared" si="79"/>
        <v/>
      </c>
      <c r="BA462" s="99" t="str">
        <f t="shared" ca="1" si="76"/>
        <v/>
      </c>
      <c r="BB462" s="97" t="str">
        <f t="shared" si="80"/>
        <v/>
      </c>
      <c r="BC462" s="101" t="str">
        <f t="shared" ca="1" si="83"/>
        <v/>
      </c>
      <c r="BD462" s="100" t="str">
        <f t="shared" si="81"/>
        <v/>
      </c>
      <c r="BE462" s="103" t="str">
        <f t="shared" ca="1" si="77"/>
        <v/>
      </c>
      <c r="BF462" s="102" t="str">
        <f t="shared" si="82"/>
        <v/>
      </c>
    </row>
    <row r="463" spans="48:58" hidden="1" x14ac:dyDescent="0.25">
      <c r="AV463">
        <v>433</v>
      </c>
      <c r="AW463" s="94" t="str">
        <f t="shared" ca="1" si="74"/>
        <v/>
      </c>
      <c r="AX463" s="95" t="str">
        <f t="shared" si="78"/>
        <v/>
      </c>
      <c r="AY463" s="98" t="str">
        <f t="shared" ca="1" si="75"/>
        <v/>
      </c>
      <c r="AZ463" s="95" t="str">
        <f t="shared" si="79"/>
        <v/>
      </c>
      <c r="BA463" s="99" t="str">
        <f t="shared" ca="1" si="76"/>
        <v/>
      </c>
      <c r="BB463" s="97" t="str">
        <f t="shared" si="80"/>
        <v/>
      </c>
      <c r="BC463" s="101" t="str">
        <f t="shared" ca="1" si="83"/>
        <v/>
      </c>
      <c r="BD463" s="100" t="str">
        <f t="shared" si="81"/>
        <v/>
      </c>
      <c r="BE463" s="103" t="str">
        <f t="shared" ca="1" si="77"/>
        <v/>
      </c>
      <c r="BF463" s="102" t="str">
        <f t="shared" si="82"/>
        <v/>
      </c>
    </row>
    <row r="464" spans="48:58" hidden="1" x14ac:dyDescent="0.25">
      <c r="AV464">
        <v>434</v>
      </c>
      <c r="AW464" s="94" t="str">
        <f t="shared" ca="1" si="74"/>
        <v/>
      </c>
      <c r="AX464" s="95" t="str">
        <f t="shared" si="78"/>
        <v/>
      </c>
      <c r="AY464" s="98" t="str">
        <f t="shared" ca="1" si="75"/>
        <v/>
      </c>
      <c r="AZ464" s="95" t="str">
        <f t="shared" si="79"/>
        <v/>
      </c>
      <c r="BA464" s="99" t="str">
        <f t="shared" ca="1" si="76"/>
        <v/>
      </c>
      <c r="BB464" s="97" t="str">
        <f t="shared" si="80"/>
        <v/>
      </c>
      <c r="BC464" s="101" t="str">
        <f t="shared" ca="1" si="83"/>
        <v/>
      </c>
      <c r="BD464" s="100" t="str">
        <f t="shared" si="81"/>
        <v/>
      </c>
      <c r="BE464" s="103" t="str">
        <f t="shared" ca="1" si="77"/>
        <v/>
      </c>
      <c r="BF464" s="102" t="str">
        <f t="shared" si="82"/>
        <v/>
      </c>
    </row>
    <row r="465" spans="48:58" hidden="1" x14ac:dyDescent="0.25">
      <c r="AV465">
        <v>435</v>
      </c>
      <c r="AW465" s="94" t="str">
        <f t="shared" ca="1" si="74"/>
        <v/>
      </c>
      <c r="AX465" s="95" t="str">
        <f t="shared" si="78"/>
        <v/>
      </c>
      <c r="AY465" s="98" t="str">
        <f t="shared" ca="1" si="75"/>
        <v/>
      </c>
      <c r="AZ465" s="95" t="str">
        <f t="shared" si="79"/>
        <v/>
      </c>
      <c r="BA465" s="99" t="str">
        <f t="shared" ca="1" si="76"/>
        <v/>
      </c>
      <c r="BB465" s="97" t="str">
        <f t="shared" si="80"/>
        <v/>
      </c>
      <c r="BC465" s="101" t="str">
        <f t="shared" ca="1" si="83"/>
        <v/>
      </c>
      <c r="BD465" s="100" t="str">
        <f t="shared" si="81"/>
        <v/>
      </c>
      <c r="BE465" s="103" t="str">
        <f t="shared" ca="1" si="77"/>
        <v/>
      </c>
      <c r="BF465" s="102" t="str">
        <f t="shared" si="82"/>
        <v/>
      </c>
    </row>
    <row r="466" spans="48:58" hidden="1" x14ac:dyDescent="0.25">
      <c r="AV466">
        <v>436</v>
      </c>
      <c r="AW466" s="94" t="str">
        <f t="shared" ca="1" si="74"/>
        <v/>
      </c>
      <c r="AX466" s="95" t="str">
        <f t="shared" si="78"/>
        <v/>
      </c>
      <c r="AY466" s="98" t="str">
        <f t="shared" ca="1" si="75"/>
        <v/>
      </c>
      <c r="AZ466" s="95" t="str">
        <f t="shared" si="79"/>
        <v/>
      </c>
      <c r="BA466" s="99" t="str">
        <f t="shared" ca="1" si="76"/>
        <v/>
      </c>
      <c r="BB466" s="97" t="str">
        <f t="shared" si="80"/>
        <v/>
      </c>
      <c r="BC466" s="101" t="str">
        <f t="shared" ca="1" si="83"/>
        <v/>
      </c>
      <c r="BD466" s="100" t="str">
        <f t="shared" si="81"/>
        <v/>
      </c>
      <c r="BE466" s="103" t="str">
        <f t="shared" ca="1" si="77"/>
        <v/>
      </c>
      <c r="BF466" s="102" t="str">
        <f t="shared" si="82"/>
        <v/>
      </c>
    </row>
    <row r="467" spans="48:58" hidden="1" x14ac:dyDescent="0.25">
      <c r="AV467">
        <v>437</v>
      </c>
      <c r="AW467" s="94" t="str">
        <f t="shared" ca="1" si="74"/>
        <v/>
      </c>
      <c r="AX467" s="95" t="str">
        <f t="shared" si="78"/>
        <v/>
      </c>
      <c r="AY467" s="98" t="str">
        <f t="shared" ca="1" si="75"/>
        <v/>
      </c>
      <c r="AZ467" s="95" t="str">
        <f t="shared" si="79"/>
        <v/>
      </c>
      <c r="BA467" s="99" t="str">
        <f t="shared" ca="1" si="76"/>
        <v/>
      </c>
      <c r="BB467" s="97" t="str">
        <f t="shared" si="80"/>
        <v/>
      </c>
      <c r="BC467" s="101" t="str">
        <f t="shared" ca="1" si="83"/>
        <v/>
      </c>
      <c r="BD467" s="100" t="str">
        <f t="shared" si="81"/>
        <v/>
      </c>
      <c r="BE467" s="103" t="str">
        <f t="shared" ca="1" si="77"/>
        <v/>
      </c>
      <c r="BF467" s="102" t="str">
        <f t="shared" si="82"/>
        <v/>
      </c>
    </row>
    <row r="468" spans="48:58" hidden="1" x14ac:dyDescent="0.25">
      <c r="AV468">
        <v>438</v>
      </c>
      <c r="AW468" s="94" t="str">
        <f t="shared" ca="1" si="74"/>
        <v/>
      </c>
      <c r="AX468" s="95" t="str">
        <f t="shared" si="78"/>
        <v/>
      </c>
      <c r="AY468" s="98" t="str">
        <f t="shared" ca="1" si="75"/>
        <v/>
      </c>
      <c r="AZ468" s="95" t="str">
        <f t="shared" si="79"/>
        <v/>
      </c>
      <c r="BA468" s="99" t="str">
        <f t="shared" ca="1" si="76"/>
        <v/>
      </c>
      <c r="BB468" s="97" t="str">
        <f t="shared" si="80"/>
        <v/>
      </c>
      <c r="BC468" s="101" t="str">
        <f t="shared" ca="1" si="83"/>
        <v/>
      </c>
      <c r="BD468" s="100" t="str">
        <f t="shared" si="81"/>
        <v/>
      </c>
      <c r="BE468" s="103" t="str">
        <f t="shared" ca="1" si="77"/>
        <v/>
      </c>
      <c r="BF468" s="102" t="str">
        <f t="shared" si="82"/>
        <v/>
      </c>
    </row>
    <row r="469" spans="48:58" hidden="1" x14ac:dyDescent="0.25">
      <c r="AV469">
        <v>439</v>
      </c>
      <c r="AW469" s="94" t="str">
        <f t="shared" ca="1" si="74"/>
        <v/>
      </c>
      <c r="AX469" s="95" t="str">
        <f t="shared" si="78"/>
        <v/>
      </c>
      <c r="AY469" s="98" t="str">
        <f t="shared" ca="1" si="75"/>
        <v/>
      </c>
      <c r="AZ469" s="95" t="str">
        <f t="shared" si="79"/>
        <v/>
      </c>
      <c r="BA469" s="99" t="str">
        <f t="shared" ca="1" si="76"/>
        <v/>
      </c>
      <c r="BB469" s="97" t="str">
        <f t="shared" si="80"/>
        <v/>
      </c>
      <c r="BC469" s="101" t="str">
        <f t="shared" ca="1" si="83"/>
        <v/>
      </c>
      <c r="BD469" s="100" t="str">
        <f t="shared" si="81"/>
        <v/>
      </c>
      <c r="BE469" s="103" t="str">
        <f t="shared" ca="1" si="77"/>
        <v/>
      </c>
      <c r="BF469" s="102" t="str">
        <f t="shared" si="82"/>
        <v/>
      </c>
    </row>
    <row r="470" spans="48:58" hidden="1" x14ac:dyDescent="0.25">
      <c r="AV470">
        <v>440</v>
      </c>
      <c r="AW470" s="94" t="str">
        <f t="shared" ca="1" si="74"/>
        <v/>
      </c>
      <c r="AX470" s="95" t="str">
        <f t="shared" si="78"/>
        <v/>
      </c>
      <c r="AY470" s="98" t="str">
        <f t="shared" ca="1" si="75"/>
        <v/>
      </c>
      <c r="AZ470" s="95" t="str">
        <f t="shared" si="79"/>
        <v/>
      </c>
      <c r="BA470" s="99" t="str">
        <f t="shared" ca="1" si="76"/>
        <v/>
      </c>
      <c r="BB470" s="97" t="str">
        <f t="shared" si="80"/>
        <v/>
      </c>
      <c r="BC470" s="101" t="str">
        <f t="shared" ca="1" si="83"/>
        <v/>
      </c>
      <c r="BD470" s="100" t="str">
        <f t="shared" si="81"/>
        <v/>
      </c>
      <c r="BE470" s="103" t="str">
        <f t="shared" ca="1" si="77"/>
        <v/>
      </c>
      <c r="BF470" s="102" t="str">
        <f t="shared" si="82"/>
        <v/>
      </c>
    </row>
    <row r="471" spans="48:58" hidden="1" x14ac:dyDescent="0.25">
      <c r="AV471">
        <v>441</v>
      </c>
      <c r="AW471" s="94" t="str">
        <f t="shared" ca="1" si="74"/>
        <v/>
      </c>
      <c r="AX471" s="95" t="str">
        <f t="shared" si="78"/>
        <v/>
      </c>
      <c r="AY471" s="98" t="str">
        <f t="shared" ca="1" si="75"/>
        <v/>
      </c>
      <c r="AZ471" s="95" t="str">
        <f t="shared" si="79"/>
        <v/>
      </c>
      <c r="BA471" s="99" t="str">
        <f t="shared" ca="1" si="76"/>
        <v/>
      </c>
      <c r="BB471" s="97" t="str">
        <f t="shared" si="80"/>
        <v/>
      </c>
      <c r="BC471" s="101" t="str">
        <f t="shared" ca="1" si="83"/>
        <v/>
      </c>
      <c r="BD471" s="100" t="str">
        <f t="shared" si="81"/>
        <v/>
      </c>
      <c r="BE471" s="103" t="str">
        <f t="shared" ca="1" si="77"/>
        <v/>
      </c>
      <c r="BF471" s="102" t="str">
        <f t="shared" si="82"/>
        <v/>
      </c>
    </row>
    <row r="472" spans="48:58" hidden="1" x14ac:dyDescent="0.25">
      <c r="AV472">
        <v>442</v>
      </c>
      <c r="AW472" s="94" t="str">
        <f t="shared" ca="1" si="74"/>
        <v/>
      </c>
      <c r="AX472" s="95" t="str">
        <f t="shared" si="78"/>
        <v/>
      </c>
      <c r="AY472" s="98" t="str">
        <f t="shared" ca="1" si="75"/>
        <v/>
      </c>
      <c r="AZ472" s="95" t="str">
        <f t="shared" si="79"/>
        <v/>
      </c>
      <c r="BA472" s="99" t="str">
        <f t="shared" ca="1" si="76"/>
        <v/>
      </c>
      <c r="BB472" s="97" t="str">
        <f t="shared" si="80"/>
        <v/>
      </c>
      <c r="BC472" s="101" t="str">
        <f t="shared" ca="1" si="83"/>
        <v/>
      </c>
      <c r="BD472" s="100" t="str">
        <f t="shared" si="81"/>
        <v/>
      </c>
      <c r="BE472" s="103" t="str">
        <f t="shared" ca="1" si="77"/>
        <v/>
      </c>
      <c r="BF472" s="102" t="str">
        <f t="shared" si="82"/>
        <v/>
      </c>
    </row>
    <row r="473" spans="48:58" hidden="1" x14ac:dyDescent="0.25">
      <c r="AV473">
        <v>443</v>
      </c>
      <c r="AW473" s="94" t="str">
        <f t="shared" ca="1" si="74"/>
        <v/>
      </c>
      <c r="AX473" s="95" t="str">
        <f t="shared" si="78"/>
        <v/>
      </c>
      <c r="AY473" s="98" t="str">
        <f t="shared" ca="1" si="75"/>
        <v/>
      </c>
      <c r="AZ473" s="95" t="str">
        <f t="shared" si="79"/>
        <v/>
      </c>
      <c r="BA473" s="99" t="str">
        <f t="shared" ca="1" si="76"/>
        <v/>
      </c>
      <c r="BB473" s="97" t="str">
        <f t="shared" si="80"/>
        <v/>
      </c>
      <c r="BC473" s="101" t="str">
        <f t="shared" ca="1" si="83"/>
        <v/>
      </c>
      <c r="BD473" s="100" t="str">
        <f t="shared" si="81"/>
        <v/>
      </c>
      <c r="BE473" s="103" t="str">
        <f t="shared" ca="1" si="77"/>
        <v/>
      </c>
      <c r="BF473" s="102" t="str">
        <f t="shared" si="82"/>
        <v/>
      </c>
    </row>
    <row r="474" spans="48:58" hidden="1" x14ac:dyDescent="0.25">
      <c r="AV474">
        <v>444</v>
      </c>
      <c r="AW474" s="94" t="str">
        <f t="shared" ca="1" si="74"/>
        <v/>
      </c>
      <c r="AX474" s="95" t="str">
        <f t="shared" si="78"/>
        <v/>
      </c>
      <c r="AY474" s="98" t="str">
        <f t="shared" ca="1" si="75"/>
        <v/>
      </c>
      <c r="AZ474" s="95" t="str">
        <f t="shared" si="79"/>
        <v/>
      </c>
      <c r="BA474" s="99" t="str">
        <f t="shared" ca="1" si="76"/>
        <v/>
      </c>
      <c r="BB474" s="97" t="str">
        <f t="shared" si="80"/>
        <v/>
      </c>
      <c r="BC474" s="101" t="str">
        <f t="shared" ca="1" si="83"/>
        <v/>
      </c>
      <c r="BD474" s="100" t="str">
        <f t="shared" si="81"/>
        <v/>
      </c>
      <c r="BE474" s="103" t="str">
        <f t="shared" ca="1" si="77"/>
        <v/>
      </c>
      <c r="BF474" s="102" t="str">
        <f t="shared" si="82"/>
        <v/>
      </c>
    </row>
    <row r="475" spans="48:58" hidden="1" x14ac:dyDescent="0.25">
      <c r="AV475">
        <v>445</v>
      </c>
      <c r="AW475" s="94" t="str">
        <f t="shared" ca="1" si="74"/>
        <v/>
      </c>
      <c r="AX475" s="95" t="str">
        <f t="shared" si="78"/>
        <v/>
      </c>
      <c r="AY475" s="98" t="str">
        <f t="shared" ca="1" si="75"/>
        <v/>
      </c>
      <c r="AZ475" s="95" t="str">
        <f t="shared" si="79"/>
        <v/>
      </c>
      <c r="BA475" s="99" t="str">
        <f t="shared" ca="1" si="76"/>
        <v/>
      </c>
      <c r="BB475" s="97" t="str">
        <f t="shared" si="80"/>
        <v/>
      </c>
      <c r="BC475" s="101" t="str">
        <f t="shared" ca="1" si="83"/>
        <v/>
      </c>
      <c r="BD475" s="100" t="str">
        <f t="shared" si="81"/>
        <v/>
      </c>
      <c r="BE475" s="103" t="str">
        <f t="shared" ca="1" si="77"/>
        <v/>
      </c>
      <c r="BF475" s="102" t="str">
        <f t="shared" si="82"/>
        <v/>
      </c>
    </row>
    <row r="476" spans="48:58" hidden="1" x14ac:dyDescent="0.25">
      <c r="AV476">
        <v>446</v>
      </c>
      <c r="AW476" s="94" t="str">
        <f t="shared" ca="1" si="74"/>
        <v/>
      </c>
      <c r="AX476" s="95" t="str">
        <f t="shared" si="78"/>
        <v/>
      </c>
      <c r="AY476" s="98" t="str">
        <f t="shared" ca="1" si="75"/>
        <v/>
      </c>
      <c r="AZ476" s="95" t="str">
        <f t="shared" si="79"/>
        <v/>
      </c>
      <c r="BA476" s="99" t="str">
        <f t="shared" ca="1" si="76"/>
        <v/>
      </c>
      <c r="BB476" s="97" t="str">
        <f t="shared" si="80"/>
        <v/>
      </c>
      <c r="BC476" s="101" t="str">
        <f t="shared" ca="1" si="83"/>
        <v/>
      </c>
      <c r="BD476" s="100" t="str">
        <f t="shared" si="81"/>
        <v/>
      </c>
      <c r="BE476" s="103" t="str">
        <f t="shared" ca="1" si="77"/>
        <v/>
      </c>
      <c r="BF476" s="102" t="str">
        <f t="shared" si="82"/>
        <v/>
      </c>
    </row>
    <row r="477" spans="48:58" hidden="1" x14ac:dyDescent="0.25">
      <c r="AV477">
        <v>447</v>
      </c>
      <c r="AW477" s="94" t="str">
        <f t="shared" ca="1" si="74"/>
        <v/>
      </c>
      <c r="AX477" s="95" t="str">
        <f t="shared" si="78"/>
        <v/>
      </c>
      <c r="AY477" s="98" t="str">
        <f t="shared" ca="1" si="75"/>
        <v/>
      </c>
      <c r="AZ477" s="95" t="str">
        <f t="shared" si="79"/>
        <v/>
      </c>
      <c r="BA477" s="99" t="str">
        <f t="shared" ca="1" si="76"/>
        <v/>
      </c>
      <c r="BB477" s="97" t="str">
        <f t="shared" si="80"/>
        <v/>
      </c>
      <c r="BC477" s="101" t="str">
        <f t="shared" ca="1" si="83"/>
        <v/>
      </c>
      <c r="BD477" s="100" t="str">
        <f t="shared" si="81"/>
        <v/>
      </c>
      <c r="BE477" s="103" t="str">
        <f t="shared" ca="1" si="77"/>
        <v/>
      </c>
      <c r="BF477" s="102" t="str">
        <f t="shared" si="82"/>
        <v/>
      </c>
    </row>
    <row r="478" spans="48:58" hidden="1" x14ac:dyDescent="0.25">
      <c r="AV478">
        <v>448</v>
      </c>
      <c r="AW478" s="94" t="str">
        <f t="shared" ca="1" si="74"/>
        <v/>
      </c>
      <c r="AX478" s="95" t="str">
        <f t="shared" si="78"/>
        <v/>
      </c>
      <c r="AY478" s="98" t="str">
        <f t="shared" ca="1" si="75"/>
        <v/>
      </c>
      <c r="AZ478" s="95" t="str">
        <f t="shared" si="79"/>
        <v/>
      </c>
      <c r="BA478" s="99" t="str">
        <f t="shared" ca="1" si="76"/>
        <v/>
      </c>
      <c r="BB478" s="97" t="str">
        <f t="shared" si="80"/>
        <v/>
      </c>
      <c r="BC478" s="101" t="str">
        <f t="shared" ca="1" si="83"/>
        <v/>
      </c>
      <c r="BD478" s="100" t="str">
        <f t="shared" si="81"/>
        <v/>
      </c>
      <c r="BE478" s="103" t="str">
        <f t="shared" ca="1" si="77"/>
        <v/>
      </c>
      <c r="BF478" s="102" t="str">
        <f t="shared" si="82"/>
        <v/>
      </c>
    </row>
    <row r="479" spans="48:58" hidden="1" x14ac:dyDescent="0.25">
      <c r="AV479">
        <v>449</v>
      </c>
      <c r="AW479" s="94" t="str">
        <f t="shared" ref="AW479:AW542" ca="1" si="84">IF(T_1*12&gt;=AV479,DATE(YEAR(TODAY()),MONTH(TODAY())+AV479-1,DAY(TODAY())),IF(T_1*12+1&gt;=AV479,DATE(YEAR(TODAY()),MONTH(TODAY())+T_1*12,DAY(TODAY())),""))</f>
        <v/>
      </c>
      <c r="AX479" s="95" t="str">
        <f t="shared" si="78"/>
        <v/>
      </c>
      <c r="AY479" s="98" t="str">
        <f t="shared" ref="AY479:AY542" ca="1" si="85">IF(T_2*12&gt;=$AV479,DATE(YEAR(TODAY()),MONTH(TODAY())+$AV479-1,DAY(TODAY())),IF(T_2*12+1&gt;=$AV479,DATE(YEAR(TODAY()),MONTH(TODAY())+T_2*12,DAY(TODAY())),""))</f>
        <v/>
      </c>
      <c r="AZ479" s="95" t="str">
        <f t="shared" si="79"/>
        <v/>
      </c>
      <c r="BA479" s="99" t="str">
        <f t="shared" ref="BA479:BA542" ca="1" si="86">IF(T_3*12&gt;=$AV479,DATE(YEAR(TODAY()),MONTH(TODAY())+$AV479-1,DAY(TODAY())),IF(T_3*12+1&gt;=$AV479,DATE(YEAR(TODAY()),MONTH(TODAY())+T_3*12,DAY(TODAY())),""))</f>
        <v/>
      </c>
      <c r="BB479" s="97" t="str">
        <f t="shared" si="80"/>
        <v/>
      </c>
      <c r="BC479" s="101" t="str">
        <f t="shared" ca="1" si="83"/>
        <v/>
      </c>
      <c r="BD479" s="100" t="str">
        <f t="shared" si="81"/>
        <v/>
      </c>
      <c r="BE479" s="103" t="str">
        <f t="shared" ref="BE479:BE542" ca="1" si="87">IF(T_5*12&gt;=$AV479,DATE(YEAR(TODAY()),MONTH(TODAY())+$AV479-1,DAY(TODAY())),IF(T_5*12+1&gt;=$AV479,DATE(YEAR(TODAY()),MONTH(TODAY())+T_5*12,DAY(TODAY())),""))</f>
        <v/>
      </c>
      <c r="BF479" s="102" t="str">
        <f t="shared" si="82"/>
        <v/>
      </c>
    </row>
    <row r="480" spans="48:58" hidden="1" x14ac:dyDescent="0.25">
      <c r="AV480">
        <v>450</v>
      </c>
      <c r="AW480" s="94" t="str">
        <f t="shared" ca="1" si="84"/>
        <v/>
      </c>
      <c r="AX480" s="95" t="str">
        <f t="shared" ref="AX480:AX543" si="88">IF(T_1*12&gt;=AV480,-1*$I$15,IF(T_1*12+1&gt;=AV480,InfG_1,""))</f>
        <v/>
      </c>
      <c r="AY480" s="98" t="str">
        <f t="shared" ca="1" si="85"/>
        <v/>
      </c>
      <c r="AZ480" s="95" t="str">
        <f t="shared" ref="AZ480:AZ543" si="89">IF(T_2*12&gt;=$AV480,-1*$I$17,IF(T_2*12+1&gt;=$AV480,InfG_2,""))</f>
        <v/>
      </c>
      <c r="BA480" s="99" t="str">
        <f t="shared" ca="1" si="86"/>
        <v/>
      </c>
      <c r="BB480" s="97" t="str">
        <f t="shared" ref="BB480:BB543" si="90">IF(T_3*12&gt;=$AV480,-1*$I$19,IF(T_3*12+1&gt;=$AV480,InfG_3,""))</f>
        <v/>
      </c>
      <c r="BC480" s="101" t="str">
        <f t="shared" ca="1" si="83"/>
        <v/>
      </c>
      <c r="BD480" s="100" t="str">
        <f t="shared" ref="BD480:BD543" si="91">IF(T_4*12&gt;=$AV480,-1*$I$21,IF(T_4*12+1&gt;=$AV480,InfG_4,""))</f>
        <v/>
      </c>
      <c r="BE480" s="103" t="str">
        <f t="shared" ca="1" si="87"/>
        <v/>
      </c>
      <c r="BF480" s="102" t="str">
        <f t="shared" ref="BF480:BF543" si="92">IF(T_5*12&gt;=$AV480,-1*$I$23,IF(T_5*12+1&gt;=$AV480,InfG_5,""))</f>
        <v/>
      </c>
    </row>
    <row r="481" spans="48:58" hidden="1" x14ac:dyDescent="0.25">
      <c r="AV481">
        <v>451</v>
      </c>
      <c r="AW481" s="94" t="str">
        <f t="shared" ca="1" si="84"/>
        <v/>
      </c>
      <c r="AX481" s="95" t="str">
        <f t="shared" si="88"/>
        <v/>
      </c>
      <c r="AY481" s="98" t="str">
        <f t="shared" ca="1" si="85"/>
        <v/>
      </c>
      <c r="AZ481" s="95" t="str">
        <f t="shared" si="89"/>
        <v/>
      </c>
      <c r="BA481" s="99" t="str">
        <f t="shared" ca="1" si="86"/>
        <v/>
      </c>
      <c r="BB481" s="97" t="str">
        <f t="shared" si="90"/>
        <v/>
      </c>
      <c r="BC481" s="101" t="str">
        <f t="shared" ref="BC481:BC544" ca="1" si="93">IF(T_4*12&gt;=AV481,DATE(YEAR(TODAY()),MONTH(TODAY())+AV481-1,DAY(TODAY())),IF(T_4*12+1&gt;=AV481,DATE(YEAR(TODAY()),MONTH(TODAY())+T_4*12,DAY(TODAY())),""))</f>
        <v/>
      </c>
      <c r="BD481" s="100" t="str">
        <f t="shared" si="91"/>
        <v/>
      </c>
      <c r="BE481" s="103" t="str">
        <f t="shared" ca="1" si="87"/>
        <v/>
      </c>
      <c r="BF481" s="102" t="str">
        <f t="shared" si="92"/>
        <v/>
      </c>
    </row>
    <row r="482" spans="48:58" hidden="1" x14ac:dyDescent="0.25">
      <c r="AV482">
        <v>452</v>
      </c>
      <c r="AW482" s="94" t="str">
        <f t="shared" ca="1" si="84"/>
        <v/>
      </c>
      <c r="AX482" s="95" t="str">
        <f t="shared" si="88"/>
        <v/>
      </c>
      <c r="AY482" s="98" t="str">
        <f t="shared" ca="1" si="85"/>
        <v/>
      </c>
      <c r="AZ482" s="95" t="str">
        <f t="shared" si="89"/>
        <v/>
      </c>
      <c r="BA482" s="99" t="str">
        <f t="shared" ca="1" si="86"/>
        <v/>
      </c>
      <c r="BB482" s="97" t="str">
        <f t="shared" si="90"/>
        <v/>
      </c>
      <c r="BC482" s="101" t="str">
        <f t="shared" ca="1" si="93"/>
        <v/>
      </c>
      <c r="BD482" s="100" t="str">
        <f t="shared" si="91"/>
        <v/>
      </c>
      <c r="BE482" s="103" t="str">
        <f t="shared" ca="1" si="87"/>
        <v/>
      </c>
      <c r="BF482" s="102" t="str">
        <f t="shared" si="92"/>
        <v/>
      </c>
    </row>
    <row r="483" spans="48:58" hidden="1" x14ac:dyDescent="0.25">
      <c r="AV483">
        <v>453</v>
      </c>
      <c r="AW483" s="94" t="str">
        <f t="shared" ca="1" si="84"/>
        <v/>
      </c>
      <c r="AX483" s="95" t="str">
        <f t="shared" si="88"/>
        <v/>
      </c>
      <c r="AY483" s="98" t="str">
        <f t="shared" ca="1" si="85"/>
        <v/>
      </c>
      <c r="AZ483" s="95" t="str">
        <f t="shared" si="89"/>
        <v/>
      </c>
      <c r="BA483" s="99" t="str">
        <f t="shared" ca="1" si="86"/>
        <v/>
      </c>
      <c r="BB483" s="97" t="str">
        <f t="shared" si="90"/>
        <v/>
      </c>
      <c r="BC483" s="101" t="str">
        <f t="shared" ca="1" si="93"/>
        <v/>
      </c>
      <c r="BD483" s="100" t="str">
        <f t="shared" si="91"/>
        <v/>
      </c>
      <c r="BE483" s="103" t="str">
        <f t="shared" ca="1" si="87"/>
        <v/>
      </c>
      <c r="BF483" s="102" t="str">
        <f t="shared" si="92"/>
        <v/>
      </c>
    </row>
    <row r="484" spans="48:58" hidden="1" x14ac:dyDescent="0.25">
      <c r="AV484">
        <v>454</v>
      </c>
      <c r="AW484" s="94" t="str">
        <f t="shared" ca="1" si="84"/>
        <v/>
      </c>
      <c r="AX484" s="95" t="str">
        <f t="shared" si="88"/>
        <v/>
      </c>
      <c r="AY484" s="98" t="str">
        <f t="shared" ca="1" si="85"/>
        <v/>
      </c>
      <c r="AZ484" s="95" t="str">
        <f t="shared" si="89"/>
        <v/>
      </c>
      <c r="BA484" s="99" t="str">
        <f t="shared" ca="1" si="86"/>
        <v/>
      </c>
      <c r="BB484" s="97" t="str">
        <f t="shared" si="90"/>
        <v/>
      </c>
      <c r="BC484" s="101" t="str">
        <f t="shared" ca="1" si="93"/>
        <v/>
      </c>
      <c r="BD484" s="100" t="str">
        <f t="shared" si="91"/>
        <v/>
      </c>
      <c r="BE484" s="103" t="str">
        <f t="shared" ca="1" si="87"/>
        <v/>
      </c>
      <c r="BF484" s="102" t="str">
        <f t="shared" si="92"/>
        <v/>
      </c>
    </row>
    <row r="485" spans="48:58" hidden="1" x14ac:dyDescent="0.25">
      <c r="AV485">
        <v>455</v>
      </c>
      <c r="AW485" s="94" t="str">
        <f t="shared" ca="1" si="84"/>
        <v/>
      </c>
      <c r="AX485" s="95" t="str">
        <f t="shared" si="88"/>
        <v/>
      </c>
      <c r="AY485" s="98" t="str">
        <f t="shared" ca="1" si="85"/>
        <v/>
      </c>
      <c r="AZ485" s="95" t="str">
        <f t="shared" si="89"/>
        <v/>
      </c>
      <c r="BA485" s="99" t="str">
        <f t="shared" ca="1" si="86"/>
        <v/>
      </c>
      <c r="BB485" s="97" t="str">
        <f t="shared" si="90"/>
        <v/>
      </c>
      <c r="BC485" s="101" t="str">
        <f t="shared" ca="1" si="93"/>
        <v/>
      </c>
      <c r="BD485" s="100" t="str">
        <f t="shared" si="91"/>
        <v/>
      </c>
      <c r="BE485" s="103" t="str">
        <f t="shared" ca="1" si="87"/>
        <v/>
      </c>
      <c r="BF485" s="102" t="str">
        <f t="shared" si="92"/>
        <v/>
      </c>
    </row>
    <row r="486" spans="48:58" hidden="1" x14ac:dyDescent="0.25">
      <c r="AV486">
        <v>456</v>
      </c>
      <c r="AW486" s="94" t="str">
        <f t="shared" ca="1" si="84"/>
        <v/>
      </c>
      <c r="AX486" s="95" t="str">
        <f t="shared" si="88"/>
        <v/>
      </c>
      <c r="AY486" s="98" t="str">
        <f t="shared" ca="1" si="85"/>
        <v/>
      </c>
      <c r="AZ486" s="95" t="str">
        <f t="shared" si="89"/>
        <v/>
      </c>
      <c r="BA486" s="99" t="str">
        <f t="shared" ca="1" si="86"/>
        <v/>
      </c>
      <c r="BB486" s="97" t="str">
        <f t="shared" si="90"/>
        <v/>
      </c>
      <c r="BC486" s="101" t="str">
        <f t="shared" ca="1" si="93"/>
        <v/>
      </c>
      <c r="BD486" s="100" t="str">
        <f t="shared" si="91"/>
        <v/>
      </c>
      <c r="BE486" s="103" t="str">
        <f t="shared" ca="1" si="87"/>
        <v/>
      </c>
      <c r="BF486" s="102" t="str">
        <f t="shared" si="92"/>
        <v/>
      </c>
    </row>
    <row r="487" spans="48:58" hidden="1" x14ac:dyDescent="0.25">
      <c r="AV487">
        <v>457</v>
      </c>
      <c r="AW487" s="94" t="str">
        <f t="shared" ca="1" si="84"/>
        <v/>
      </c>
      <c r="AX487" s="95" t="str">
        <f t="shared" si="88"/>
        <v/>
      </c>
      <c r="AY487" s="98" t="str">
        <f t="shared" ca="1" si="85"/>
        <v/>
      </c>
      <c r="AZ487" s="95" t="str">
        <f t="shared" si="89"/>
        <v/>
      </c>
      <c r="BA487" s="99" t="str">
        <f t="shared" ca="1" si="86"/>
        <v/>
      </c>
      <c r="BB487" s="97" t="str">
        <f t="shared" si="90"/>
        <v/>
      </c>
      <c r="BC487" s="101" t="str">
        <f t="shared" ca="1" si="93"/>
        <v/>
      </c>
      <c r="BD487" s="100" t="str">
        <f t="shared" si="91"/>
        <v/>
      </c>
      <c r="BE487" s="103" t="str">
        <f t="shared" ca="1" si="87"/>
        <v/>
      </c>
      <c r="BF487" s="102" t="str">
        <f t="shared" si="92"/>
        <v/>
      </c>
    </row>
    <row r="488" spans="48:58" hidden="1" x14ac:dyDescent="0.25">
      <c r="AV488">
        <v>458</v>
      </c>
      <c r="AW488" s="94" t="str">
        <f t="shared" ca="1" si="84"/>
        <v/>
      </c>
      <c r="AX488" s="95" t="str">
        <f t="shared" si="88"/>
        <v/>
      </c>
      <c r="AY488" s="98" t="str">
        <f t="shared" ca="1" si="85"/>
        <v/>
      </c>
      <c r="AZ488" s="95" t="str">
        <f t="shared" si="89"/>
        <v/>
      </c>
      <c r="BA488" s="99" t="str">
        <f t="shared" ca="1" si="86"/>
        <v/>
      </c>
      <c r="BB488" s="97" t="str">
        <f t="shared" si="90"/>
        <v/>
      </c>
      <c r="BC488" s="101" t="str">
        <f t="shared" ca="1" si="93"/>
        <v/>
      </c>
      <c r="BD488" s="100" t="str">
        <f t="shared" si="91"/>
        <v/>
      </c>
      <c r="BE488" s="103" t="str">
        <f t="shared" ca="1" si="87"/>
        <v/>
      </c>
      <c r="BF488" s="102" t="str">
        <f t="shared" si="92"/>
        <v/>
      </c>
    </row>
    <row r="489" spans="48:58" hidden="1" x14ac:dyDescent="0.25">
      <c r="AV489">
        <v>459</v>
      </c>
      <c r="AW489" s="94" t="str">
        <f t="shared" ca="1" si="84"/>
        <v/>
      </c>
      <c r="AX489" s="95" t="str">
        <f t="shared" si="88"/>
        <v/>
      </c>
      <c r="AY489" s="98" t="str">
        <f t="shared" ca="1" si="85"/>
        <v/>
      </c>
      <c r="AZ489" s="95" t="str">
        <f t="shared" si="89"/>
        <v/>
      </c>
      <c r="BA489" s="99" t="str">
        <f t="shared" ca="1" si="86"/>
        <v/>
      </c>
      <c r="BB489" s="97" t="str">
        <f t="shared" si="90"/>
        <v/>
      </c>
      <c r="BC489" s="101" t="str">
        <f t="shared" ca="1" si="93"/>
        <v/>
      </c>
      <c r="BD489" s="100" t="str">
        <f t="shared" si="91"/>
        <v/>
      </c>
      <c r="BE489" s="103" t="str">
        <f t="shared" ca="1" si="87"/>
        <v/>
      </c>
      <c r="BF489" s="102" t="str">
        <f t="shared" si="92"/>
        <v/>
      </c>
    </row>
    <row r="490" spans="48:58" hidden="1" x14ac:dyDescent="0.25">
      <c r="AV490">
        <v>460</v>
      </c>
      <c r="AW490" s="94" t="str">
        <f t="shared" ca="1" si="84"/>
        <v/>
      </c>
      <c r="AX490" s="95" t="str">
        <f t="shared" si="88"/>
        <v/>
      </c>
      <c r="AY490" s="98" t="str">
        <f t="shared" ca="1" si="85"/>
        <v/>
      </c>
      <c r="AZ490" s="95" t="str">
        <f t="shared" si="89"/>
        <v/>
      </c>
      <c r="BA490" s="99" t="str">
        <f t="shared" ca="1" si="86"/>
        <v/>
      </c>
      <c r="BB490" s="97" t="str">
        <f t="shared" si="90"/>
        <v/>
      </c>
      <c r="BC490" s="101" t="str">
        <f t="shared" ca="1" si="93"/>
        <v/>
      </c>
      <c r="BD490" s="100" t="str">
        <f t="shared" si="91"/>
        <v/>
      </c>
      <c r="BE490" s="103" t="str">
        <f t="shared" ca="1" si="87"/>
        <v/>
      </c>
      <c r="BF490" s="102" t="str">
        <f t="shared" si="92"/>
        <v/>
      </c>
    </row>
    <row r="491" spans="48:58" hidden="1" x14ac:dyDescent="0.25">
      <c r="AV491">
        <v>461</v>
      </c>
      <c r="AW491" s="94" t="str">
        <f t="shared" ca="1" si="84"/>
        <v/>
      </c>
      <c r="AX491" s="95" t="str">
        <f t="shared" si="88"/>
        <v/>
      </c>
      <c r="AY491" s="98" t="str">
        <f t="shared" ca="1" si="85"/>
        <v/>
      </c>
      <c r="AZ491" s="95" t="str">
        <f t="shared" si="89"/>
        <v/>
      </c>
      <c r="BA491" s="99" t="str">
        <f t="shared" ca="1" si="86"/>
        <v/>
      </c>
      <c r="BB491" s="97" t="str">
        <f t="shared" si="90"/>
        <v/>
      </c>
      <c r="BC491" s="101" t="str">
        <f t="shared" ca="1" si="93"/>
        <v/>
      </c>
      <c r="BD491" s="100" t="str">
        <f t="shared" si="91"/>
        <v/>
      </c>
      <c r="BE491" s="103" t="str">
        <f t="shared" ca="1" si="87"/>
        <v/>
      </c>
      <c r="BF491" s="102" t="str">
        <f t="shared" si="92"/>
        <v/>
      </c>
    </row>
    <row r="492" spans="48:58" hidden="1" x14ac:dyDescent="0.25">
      <c r="AV492">
        <v>462</v>
      </c>
      <c r="AW492" s="94" t="str">
        <f t="shared" ca="1" si="84"/>
        <v/>
      </c>
      <c r="AX492" s="95" t="str">
        <f t="shared" si="88"/>
        <v/>
      </c>
      <c r="AY492" s="98" t="str">
        <f t="shared" ca="1" si="85"/>
        <v/>
      </c>
      <c r="AZ492" s="95" t="str">
        <f t="shared" si="89"/>
        <v/>
      </c>
      <c r="BA492" s="99" t="str">
        <f t="shared" ca="1" si="86"/>
        <v/>
      </c>
      <c r="BB492" s="97" t="str">
        <f t="shared" si="90"/>
        <v/>
      </c>
      <c r="BC492" s="101" t="str">
        <f t="shared" ca="1" si="93"/>
        <v/>
      </c>
      <c r="BD492" s="100" t="str">
        <f t="shared" si="91"/>
        <v/>
      </c>
      <c r="BE492" s="103" t="str">
        <f t="shared" ca="1" si="87"/>
        <v/>
      </c>
      <c r="BF492" s="102" t="str">
        <f t="shared" si="92"/>
        <v/>
      </c>
    </row>
    <row r="493" spans="48:58" hidden="1" x14ac:dyDescent="0.25">
      <c r="AV493">
        <v>463</v>
      </c>
      <c r="AW493" s="94" t="str">
        <f t="shared" ca="1" si="84"/>
        <v/>
      </c>
      <c r="AX493" s="95" t="str">
        <f t="shared" si="88"/>
        <v/>
      </c>
      <c r="AY493" s="98" t="str">
        <f t="shared" ca="1" si="85"/>
        <v/>
      </c>
      <c r="AZ493" s="95" t="str">
        <f t="shared" si="89"/>
        <v/>
      </c>
      <c r="BA493" s="99" t="str">
        <f t="shared" ca="1" si="86"/>
        <v/>
      </c>
      <c r="BB493" s="97" t="str">
        <f t="shared" si="90"/>
        <v/>
      </c>
      <c r="BC493" s="101" t="str">
        <f t="shared" ca="1" si="93"/>
        <v/>
      </c>
      <c r="BD493" s="100" t="str">
        <f t="shared" si="91"/>
        <v/>
      </c>
      <c r="BE493" s="103" t="str">
        <f t="shared" ca="1" si="87"/>
        <v/>
      </c>
      <c r="BF493" s="102" t="str">
        <f t="shared" si="92"/>
        <v/>
      </c>
    </row>
    <row r="494" spans="48:58" hidden="1" x14ac:dyDescent="0.25">
      <c r="AV494">
        <v>464</v>
      </c>
      <c r="AW494" s="94" t="str">
        <f t="shared" ca="1" si="84"/>
        <v/>
      </c>
      <c r="AX494" s="95" t="str">
        <f t="shared" si="88"/>
        <v/>
      </c>
      <c r="AY494" s="98" t="str">
        <f t="shared" ca="1" si="85"/>
        <v/>
      </c>
      <c r="AZ494" s="95" t="str">
        <f t="shared" si="89"/>
        <v/>
      </c>
      <c r="BA494" s="99" t="str">
        <f t="shared" ca="1" si="86"/>
        <v/>
      </c>
      <c r="BB494" s="97" t="str">
        <f t="shared" si="90"/>
        <v/>
      </c>
      <c r="BC494" s="101" t="str">
        <f t="shared" ca="1" si="93"/>
        <v/>
      </c>
      <c r="BD494" s="100" t="str">
        <f t="shared" si="91"/>
        <v/>
      </c>
      <c r="BE494" s="103" t="str">
        <f t="shared" ca="1" si="87"/>
        <v/>
      </c>
      <c r="BF494" s="102" t="str">
        <f t="shared" si="92"/>
        <v/>
      </c>
    </row>
    <row r="495" spans="48:58" hidden="1" x14ac:dyDescent="0.25">
      <c r="AV495">
        <v>465</v>
      </c>
      <c r="AW495" s="94" t="str">
        <f t="shared" ca="1" si="84"/>
        <v/>
      </c>
      <c r="AX495" s="95" t="str">
        <f t="shared" si="88"/>
        <v/>
      </c>
      <c r="AY495" s="98" t="str">
        <f t="shared" ca="1" si="85"/>
        <v/>
      </c>
      <c r="AZ495" s="95" t="str">
        <f t="shared" si="89"/>
        <v/>
      </c>
      <c r="BA495" s="99" t="str">
        <f t="shared" ca="1" si="86"/>
        <v/>
      </c>
      <c r="BB495" s="97" t="str">
        <f t="shared" si="90"/>
        <v/>
      </c>
      <c r="BC495" s="101" t="str">
        <f t="shared" ca="1" si="93"/>
        <v/>
      </c>
      <c r="BD495" s="100" t="str">
        <f t="shared" si="91"/>
        <v/>
      </c>
      <c r="BE495" s="103" t="str">
        <f t="shared" ca="1" si="87"/>
        <v/>
      </c>
      <c r="BF495" s="102" t="str">
        <f t="shared" si="92"/>
        <v/>
      </c>
    </row>
    <row r="496" spans="48:58" hidden="1" x14ac:dyDescent="0.25">
      <c r="AV496">
        <v>466</v>
      </c>
      <c r="AW496" s="94" t="str">
        <f t="shared" ca="1" si="84"/>
        <v/>
      </c>
      <c r="AX496" s="95" t="str">
        <f t="shared" si="88"/>
        <v/>
      </c>
      <c r="AY496" s="98" t="str">
        <f t="shared" ca="1" si="85"/>
        <v/>
      </c>
      <c r="AZ496" s="95" t="str">
        <f t="shared" si="89"/>
        <v/>
      </c>
      <c r="BA496" s="99" t="str">
        <f t="shared" ca="1" si="86"/>
        <v/>
      </c>
      <c r="BB496" s="97" t="str">
        <f t="shared" si="90"/>
        <v/>
      </c>
      <c r="BC496" s="101" t="str">
        <f t="shared" ca="1" si="93"/>
        <v/>
      </c>
      <c r="BD496" s="100" t="str">
        <f t="shared" si="91"/>
        <v/>
      </c>
      <c r="BE496" s="103" t="str">
        <f t="shared" ca="1" si="87"/>
        <v/>
      </c>
      <c r="BF496" s="102" t="str">
        <f t="shared" si="92"/>
        <v/>
      </c>
    </row>
    <row r="497" spans="48:58" hidden="1" x14ac:dyDescent="0.25">
      <c r="AV497">
        <v>467</v>
      </c>
      <c r="AW497" s="94" t="str">
        <f t="shared" ca="1" si="84"/>
        <v/>
      </c>
      <c r="AX497" s="95" t="str">
        <f t="shared" si="88"/>
        <v/>
      </c>
      <c r="AY497" s="98" t="str">
        <f t="shared" ca="1" si="85"/>
        <v/>
      </c>
      <c r="AZ497" s="95" t="str">
        <f t="shared" si="89"/>
        <v/>
      </c>
      <c r="BA497" s="99" t="str">
        <f t="shared" ca="1" si="86"/>
        <v/>
      </c>
      <c r="BB497" s="97" t="str">
        <f t="shared" si="90"/>
        <v/>
      </c>
      <c r="BC497" s="101" t="str">
        <f t="shared" ca="1" si="93"/>
        <v/>
      </c>
      <c r="BD497" s="100" t="str">
        <f t="shared" si="91"/>
        <v/>
      </c>
      <c r="BE497" s="103" t="str">
        <f t="shared" ca="1" si="87"/>
        <v/>
      </c>
      <c r="BF497" s="102" t="str">
        <f t="shared" si="92"/>
        <v/>
      </c>
    </row>
    <row r="498" spans="48:58" hidden="1" x14ac:dyDescent="0.25">
      <c r="AV498">
        <v>468</v>
      </c>
      <c r="AW498" s="94" t="str">
        <f t="shared" ca="1" si="84"/>
        <v/>
      </c>
      <c r="AX498" s="95" t="str">
        <f t="shared" si="88"/>
        <v/>
      </c>
      <c r="AY498" s="98" t="str">
        <f t="shared" ca="1" si="85"/>
        <v/>
      </c>
      <c r="AZ498" s="95" t="str">
        <f t="shared" si="89"/>
        <v/>
      </c>
      <c r="BA498" s="99" t="str">
        <f t="shared" ca="1" si="86"/>
        <v/>
      </c>
      <c r="BB498" s="97" t="str">
        <f t="shared" si="90"/>
        <v/>
      </c>
      <c r="BC498" s="101" t="str">
        <f t="shared" ca="1" si="93"/>
        <v/>
      </c>
      <c r="BD498" s="100" t="str">
        <f t="shared" si="91"/>
        <v/>
      </c>
      <c r="BE498" s="103" t="str">
        <f t="shared" ca="1" si="87"/>
        <v/>
      </c>
      <c r="BF498" s="102" t="str">
        <f t="shared" si="92"/>
        <v/>
      </c>
    </row>
    <row r="499" spans="48:58" hidden="1" x14ac:dyDescent="0.25">
      <c r="AV499">
        <v>469</v>
      </c>
      <c r="AW499" s="94" t="str">
        <f t="shared" ca="1" si="84"/>
        <v/>
      </c>
      <c r="AX499" s="95" t="str">
        <f t="shared" si="88"/>
        <v/>
      </c>
      <c r="AY499" s="98" t="str">
        <f t="shared" ca="1" si="85"/>
        <v/>
      </c>
      <c r="AZ499" s="95" t="str">
        <f t="shared" si="89"/>
        <v/>
      </c>
      <c r="BA499" s="99" t="str">
        <f t="shared" ca="1" si="86"/>
        <v/>
      </c>
      <c r="BB499" s="97" t="str">
        <f t="shared" si="90"/>
        <v/>
      </c>
      <c r="BC499" s="101" t="str">
        <f t="shared" ca="1" si="93"/>
        <v/>
      </c>
      <c r="BD499" s="100" t="str">
        <f t="shared" si="91"/>
        <v/>
      </c>
      <c r="BE499" s="103" t="str">
        <f t="shared" ca="1" si="87"/>
        <v/>
      </c>
      <c r="BF499" s="102" t="str">
        <f t="shared" si="92"/>
        <v/>
      </c>
    </row>
    <row r="500" spans="48:58" hidden="1" x14ac:dyDescent="0.25">
      <c r="AV500">
        <v>470</v>
      </c>
      <c r="AW500" s="94" t="str">
        <f t="shared" ca="1" si="84"/>
        <v/>
      </c>
      <c r="AX500" s="95" t="str">
        <f t="shared" si="88"/>
        <v/>
      </c>
      <c r="AY500" s="98" t="str">
        <f t="shared" ca="1" si="85"/>
        <v/>
      </c>
      <c r="AZ500" s="95" t="str">
        <f t="shared" si="89"/>
        <v/>
      </c>
      <c r="BA500" s="99" t="str">
        <f t="shared" ca="1" si="86"/>
        <v/>
      </c>
      <c r="BB500" s="97" t="str">
        <f t="shared" si="90"/>
        <v/>
      </c>
      <c r="BC500" s="101" t="str">
        <f t="shared" ca="1" si="93"/>
        <v/>
      </c>
      <c r="BD500" s="100" t="str">
        <f t="shared" si="91"/>
        <v/>
      </c>
      <c r="BE500" s="103" t="str">
        <f t="shared" ca="1" si="87"/>
        <v/>
      </c>
      <c r="BF500" s="102" t="str">
        <f t="shared" si="92"/>
        <v/>
      </c>
    </row>
    <row r="501" spans="48:58" hidden="1" x14ac:dyDescent="0.25">
      <c r="AV501">
        <v>471</v>
      </c>
      <c r="AW501" s="94" t="str">
        <f t="shared" ca="1" si="84"/>
        <v/>
      </c>
      <c r="AX501" s="95" t="str">
        <f t="shared" si="88"/>
        <v/>
      </c>
      <c r="AY501" s="98" t="str">
        <f t="shared" ca="1" si="85"/>
        <v/>
      </c>
      <c r="AZ501" s="95" t="str">
        <f t="shared" si="89"/>
        <v/>
      </c>
      <c r="BA501" s="99" t="str">
        <f t="shared" ca="1" si="86"/>
        <v/>
      </c>
      <c r="BB501" s="97" t="str">
        <f t="shared" si="90"/>
        <v/>
      </c>
      <c r="BC501" s="101" t="str">
        <f t="shared" ca="1" si="93"/>
        <v/>
      </c>
      <c r="BD501" s="100" t="str">
        <f t="shared" si="91"/>
        <v/>
      </c>
      <c r="BE501" s="103" t="str">
        <f t="shared" ca="1" si="87"/>
        <v/>
      </c>
      <c r="BF501" s="102" t="str">
        <f t="shared" si="92"/>
        <v/>
      </c>
    </row>
    <row r="502" spans="48:58" hidden="1" x14ac:dyDescent="0.25">
      <c r="AV502">
        <v>472</v>
      </c>
      <c r="AW502" s="94" t="str">
        <f t="shared" ca="1" si="84"/>
        <v/>
      </c>
      <c r="AX502" s="95" t="str">
        <f t="shared" si="88"/>
        <v/>
      </c>
      <c r="AY502" s="98" t="str">
        <f t="shared" ca="1" si="85"/>
        <v/>
      </c>
      <c r="AZ502" s="95" t="str">
        <f t="shared" si="89"/>
        <v/>
      </c>
      <c r="BA502" s="99" t="str">
        <f t="shared" ca="1" si="86"/>
        <v/>
      </c>
      <c r="BB502" s="97" t="str">
        <f t="shared" si="90"/>
        <v/>
      </c>
      <c r="BC502" s="101" t="str">
        <f t="shared" ca="1" si="93"/>
        <v/>
      </c>
      <c r="BD502" s="100" t="str">
        <f t="shared" si="91"/>
        <v/>
      </c>
      <c r="BE502" s="103" t="str">
        <f t="shared" ca="1" si="87"/>
        <v/>
      </c>
      <c r="BF502" s="102" t="str">
        <f t="shared" si="92"/>
        <v/>
      </c>
    </row>
    <row r="503" spans="48:58" hidden="1" x14ac:dyDescent="0.25">
      <c r="AV503">
        <v>473</v>
      </c>
      <c r="AW503" s="94" t="str">
        <f t="shared" ca="1" si="84"/>
        <v/>
      </c>
      <c r="AX503" s="95" t="str">
        <f t="shared" si="88"/>
        <v/>
      </c>
      <c r="AY503" s="98" t="str">
        <f t="shared" ca="1" si="85"/>
        <v/>
      </c>
      <c r="AZ503" s="95" t="str">
        <f t="shared" si="89"/>
        <v/>
      </c>
      <c r="BA503" s="99" t="str">
        <f t="shared" ca="1" si="86"/>
        <v/>
      </c>
      <c r="BB503" s="97" t="str">
        <f t="shared" si="90"/>
        <v/>
      </c>
      <c r="BC503" s="101" t="str">
        <f t="shared" ca="1" si="93"/>
        <v/>
      </c>
      <c r="BD503" s="100" t="str">
        <f t="shared" si="91"/>
        <v/>
      </c>
      <c r="BE503" s="103" t="str">
        <f t="shared" ca="1" si="87"/>
        <v/>
      </c>
      <c r="BF503" s="102" t="str">
        <f t="shared" si="92"/>
        <v/>
      </c>
    </row>
    <row r="504" spans="48:58" hidden="1" x14ac:dyDescent="0.25">
      <c r="AV504">
        <v>474</v>
      </c>
      <c r="AW504" s="94" t="str">
        <f t="shared" ca="1" si="84"/>
        <v/>
      </c>
      <c r="AX504" s="95" t="str">
        <f t="shared" si="88"/>
        <v/>
      </c>
      <c r="AY504" s="98" t="str">
        <f t="shared" ca="1" si="85"/>
        <v/>
      </c>
      <c r="AZ504" s="95" t="str">
        <f t="shared" si="89"/>
        <v/>
      </c>
      <c r="BA504" s="99" t="str">
        <f t="shared" ca="1" si="86"/>
        <v/>
      </c>
      <c r="BB504" s="97" t="str">
        <f t="shared" si="90"/>
        <v/>
      </c>
      <c r="BC504" s="101" t="str">
        <f t="shared" ca="1" si="93"/>
        <v/>
      </c>
      <c r="BD504" s="100" t="str">
        <f t="shared" si="91"/>
        <v/>
      </c>
      <c r="BE504" s="103" t="str">
        <f t="shared" ca="1" si="87"/>
        <v/>
      </c>
      <c r="BF504" s="102" t="str">
        <f t="shared" si="92"/>
        <v/>
      </c>
    </row>
    <row r="505" spans="48:58" hidden="1" x14ac:dyDescent="0.25">
      <c r="AV505">
        <v>475</v>
      </c>
      <c r="AW505" s="94" t="str">
        <f t="shared" ca="1" si="84"/>
        <v/>
      </c>
      <c r="AX505" s="95" t="str">
        <f t="shared" si="88"/>
        <v/>
      </c>
      <c r="AY505" s="98" t="str">
        <f t="shared" ca="1" si="85"/>
        <v/>
      </c>
      <c r="AZ505" s="95" t="str">
        <f t="shared" si="89"/>
        <v/>
      </c>
      <c r="BA505" s="99" t="str">
        <f t="shared" ca="1" si="86"/>
        <v/>
      </c>
      <c r="BB505" s="97" t="str">
        <f t="shared" si="90"/>
        <v/>
      </c>
      <c r="BC505" s="101" t="str">
        <f t="shared" ca="1" si="93"/>
        <v/>
      </c>
      <c r="BD505" s="100" t="str">
        <f t="shared" si="91"/>
        <v/>
      </c>
      <c r="BE505" s="103" t="str">
        <f t="shared" ca="1" si="87"/>
        <v/>
      </c>
      <c r="BF505" s="102" t="str">
        <f t="shared" si="92"/>
        <v/>
      </c>
    </row>
    <row r="506" spans="48:58" hidden="1" x14ac:dyDescent="0.25">
      <c r="AV506">
        <v>476</v>
      </c>
      <c r="AW506" s="94" t="str">
        <f t="shared" ca="1" si="84"/>
        <v/>
      </c>
      <c r="AX506" s="95" t="str">
        <f t="shared" si="88"/>
        <v/>
      </c>
      <c r="AY506" s="98" t="str">
        <f t="shared" ca="1" si="85"/>
        <v/>
      </c>
      <c r="AZ506" s="95" t="str">
        <f t="shared" si="89"/>
        <v/>
      </c>
      <c r="BA506" s="99" t="str">
        <f t="shared" ca="1" si="86"/>
        <v/>
      </c>
      <c r="BB506" s="97" t="str">
        <f t="shared" si="90"/>
        <v/>
      </c>
      <c r="BC506" s="101" t="str">
        <f t="shared" ca="1" si="93"/>
        <v/>
      </c>
      <c r="BD506" s="100" t="str">
        <f t="shared" si="91"/>
        <v/>
      </c>
      <c r="BE506" s="103" t="str">
        <f t="shared" ca="1" si="87"/>
        <v/>
      </c>
      <c r="BF506" s="102" t="str">
        <f t="shared" si="92"/>
        <v/>
      </c>
    </row>
    <row r="507" spans="48:58" hidden="1" x14ac:dyDescent="0.25">
      <c r="AV507">
        <v>477</v>
      </c>
      <c r="AW507" s="94" t="str">
        <f t="shared" ca="1" si="84"/>
        <v/>
      </c>
      <c r="AX507" s="95" t="str">
        <f t="shared" si="88"/>
        <v/>
      </c>
      <c r="AY507" s="98" t="str">
        <f t="shared" ca="1" si="85"/>
        <v/>
      </c>
      <c r="AZ507" s="95" t="str">
        <f t="shared" si="89"/>
        <v/>
      </c>
      <c r="BA507" s="99" t="str">
        <f t="shared" ca="1" si="86"/>
        <v/>
      </c>
      <c r="BB507" s="97" t="str">
        <f t="shared" si="90"/>
        <v/>
      </c>
      <c r="BC507" s="101" t="str">
        <f t="shared" ca="1" si="93"/>
        <v/>
      </c>
      <c r="BD507" s="100" t="str">
        <f t="shared" si="91"/>
        <v/>
      </c>
      <c r="BE507" s="103" t="str">
        <f t="shared" ca="1" si="87"/>
        <v/>
      </c>
      <c r="BF507" s="102" t="str">
        <f t="shared" si="92"/>
        <v/>
      </c>
    </row>
    <row r="508" spans="48:58" hidden="1" x14ac:dyDescent="0.25">
      <c r="AV508">
        <v>478</v>
      </c>
      <c r="AW508" s="94" t="str">
        <f t="shared" ca="1" si="84"/>
        <v/>
      </c>
      <c r="AX508" s="95" t="str">
        <f t="shared" si="88"/>
        <v/>
      </c>
      <c r="AY508" s="98" t="str">
        <f t="shared" ca="1" si="85"/>
        <v/>
      </c>
      <c r="AZ508" s="95" t="str">
        <f t="shared" si="89"/>
        <v/>
      </c>
      <c r="BA508" s="99" t="str">
        <f t="shared" ca="1" si="86"/>
        <v/>
      </c>
      <c r="BB508" s="97" t="str">
        <f t="shared" si="90"/>
        <v/>
      </c>
      <c r="BC508" s="101" t="str">
        <f t="shared" ca="1" si="93"/>
        <v/>
      </c>
      <c r="BD508" s="100" t="str">
        <f t="shared" si="91"/>
        <v/>
      </c>
      <c r="BE508" s="103" t="str">
        <f t="shared" ca="1" si="87"/>
        <v/>
      </c>
      <c r="BF508" s="102" t="str">
        <f t="shared" si="92"/>
        <v/>
      </c>
    </row>
    <row r="509" spans="48:58" hidden="1" x14ac:dyDescent="0.25">
      <c r="AV509">
        <v>479</v>
      </c>
      <c r="AW509" s="94" t="str">
        <f t="shared" ca="1" si="84"/>
        <v/>
      </c>
      <c r="AX509" s="95" t="str">
        <f t="shared" si="88"/>
        <v/>
      </c>
      <c r="AY509" s="98" t="str">
        <f t="shared" ca="1" si="85"/>
        <v/>
      </c>
      <c r="AZ509" s="95" t="str">
        <f t="shared" si="89"/>
        <v/>
      </c>
      <c r="BA509" s="99" t="str">
        <f t="shared" ca="1" si="86"/>
        <v/>
      </c>
      <c r="BB509" s="97" t="str">
        <f t="shared" si="90"/>
        <v/>
      </c>
      <c r="BC509" s="101" t="str">
        <f t="shared" ca="1" si="93"/>
        <v/>
      </c>
      <c r="BD509" s="100" t="str">
        <f t="shared" si="91"/>
        <v/>
      </c>
      <c r="BE509" s="103" t="str">
        <f t="shared" ca="1" si="87"/>
        <v/>
      </c>
      <c r="BF509" s="102" t="str">
        <f t="shared" si="92"/>
        <v/>
      </c>
    </row>
    <row r="510" spans="48:58" hidden="1" x14ac:dyDescent="0.25">
      <c r="AV510">
        <v>480</v>
      </c>
      <c r="AW510" s="94" t="str">
        <f t="shared" ca="1" si="84"/>
        <v/>
      </c>
      <c r="AX510" s="95" t="str">
        <f t="shared" si="88"/>
        <v/>
      </c>
      <c r="AY510" s="98" t="str">
        <f t="shared" ca="1" si="85"/>
        <v/>
      </c>
      <c r="AZ510" s="95" t="str">
        <f t="shared" si="89"/>
        <v/>
      </c>
      <c r="BA510" s="99" t="str">
        <f t="shared" ca="1" si="86"/>
        <v/>
      </c>
      <c r="BB510" s="97" t="str">
        <f t="shared" si="90"/>
        <v/>
      </c>
      <c r="BC510" s="101" t="str">
        <f t="shared" ca="1" si="93"/>
        <v/>
      </c>
      <c r="BD510" s="100" t="str">
        <f t="shared" si="91"/>
        <v/>
      </c>
      <c r="BE510" s="103" t="str">
        <f t="shared" ca="1" si="87"/>
        <v/>
      </c>
      <c r="BF510" s="102" t="str">
        <f t="shared" si="92"/>
        <v/>
      </c>
    </row>
    <row r="511" spans="48:58" hidden="1" x14ac:dyDescent="0.25">
      <c r="AV511">
        <v>481</v>
      </c>
      <c r="AW511" s="94" t="str">
        <f t="shared" ca="1" si="84"/>
        <v/>
      </c>
      <c r="AX511" s="95" t="str">
        <f t="shared" si="88"/>
        <v/>
      </c>
      <c r="AY511" s="98" t="str">
        <f t="shared" ca="1" si="85"/>
        <v/>
      </c>
      <c r="AZ511" s="95" t="str">
        <f t="shared" si="89"/>
        <v/>
      </c>
      <c r="BA511" s="99" t="str">
        <f t="shared" ca="1" si="86"/>
        <v/>
      </c>
      <c r="BB511" s="97" t="str">
        <f t="shared" si="90"/>
        <v/>
      </c>
      <c r="BC511" s="101" t="str">
        <f t="shared" ca="1" si="93"/>
        <v/>
      </c>
      <c r="BD511" s="100" t="str">
        <f t="shared" si="91"/>
        <v/>
      </c>
      <c r="BE511" s="103" t="str">
        <f t="shared" ca="1" si="87"/>
        <v/>
      </c>
      <c r="BF511" s="102" t="str">
        <f t="shared" si="92"/>
        <v/>
      </c>
    </row>
    <row r="512" spans="48:58" hidden="1" x14ac:dyDescent="0.25">
      <c r="AV512">
        <v>482</v>
      </c>
      <c r="AW512" s="94" t="str">
        <f t="shared" ca="1" si="84"/>
        <v/>
      </c>
      <c r="AX512" s="95" t="str">
        <f t="shared" si="88"/>
        <v/>
      </c>
      <c r="AY512" s="98" t="str">
        <f t="shared" ca="1" si="85"/>
        <v/>
      </c>
      <c r="AZ512" s="95" t="str">
        <f t="shared" si="89"/>
        <v/>
      </c>
      <c r="BA512" s="99" t="str">
        <f t="shared" ca="1" si="86"/>
        <v/>
      </c>
      <c r="BB512" s="97" t="str">
        <f t="shared" si="90"/>
        <v/>
      </c>
      <c r="BC512" s="101" t="str">
        <f t="shared" ca="1" si="93"/>
        <v/>
      </c>
      <c r="BD512" s="100" t="str">
        <f t="shared" si="91"/>
        <v/>
      </c>
      <c r="BE512" s="103" t="str">
        <f t="shared" ca="1" si="87"/>
        <v/>
      </c>
      <c r="BF512" s="102" t="str">
        <f t="shared" si="92"/>
        <v/>
      </c>
    </row>
    <row r="513" spans="48:58" hidden="1" x14ac:dyDescent="0.25">
      <c r="AV513">
        <v>483</v>
      </c>
      <c r="AW513" s="94" t="str">
        <f t="shared" ca="1" si="84"/>
        <v/>
      </c>
      <c r="AX513" s="95" t="str">
        <f t="shared" si="88"/>
        <v/>
      </c>
      <c r="AY513" s="98" t="str">
        <f t="shared" ca="1" si="85"/>
        <v/>
      </c>
      <c r="AZ513" s="95" t="str">
        <f t="shared" si="89"/>
        <v/>
      </c>
      <c r="BA513" s="99" t="str">
        <f t="shared" ca="1" si="86"/>
        <v/>
      </c>
      <c r="BB513" s="97" t="str">
        <f t="shared" si="90"/>
        <v/>
      </c>
      <c r="BC513" s="101" t="str">
        <f t="shared" ca="1" si="93"/>
        <v/>
      </c>
      <c r="BD513" s="100" t="str">
        <f t="shared" si="91"/>
        <v/>
      </c>
      <c r="BE513" s="103" t="str">
        <f t="shared" ca="1" si="87"/>
        <v/>
      </c>
      <c r="BF513" s="102" t="str">
        <f t="shared" si="92"/>
        <v/>
      </c>
    </row>
    <row r="514" spans="48:58" hidden="1" x14ac:dyDescent="0.25">
      <c r="AV514">
        <v>484</v>
      </c>
      <c r="AW514" s="94" t="str">
        <f t="shared" ca="1" si="84"/>
        <v/>
      </c>
      <c r="AX514" s="95" t="str">
        <f t="shared" si="88"/>
        <v/>
      </c>
      <c r="AY514" s="98" t="str">
        <f t="shared" ca="1" si="85"/>
        <v/>
      </c>
      <c r="AZ514" s="95" t="str">
        <f t="shared" si="89"/>
        <v/>
      </c>
      <c r="BA514" s="99" t="str">
        <f t="shared" ca="1" si="86"/>
        <v/>
      </c>
      <c r="BB514" s="97" t="str">
        <f t="shared" si="90"/>
        <v/>
      </c>
      <c r="BC514" s="101" t="str">
        <f t="shared" ca="1" si="93"/>
        <v/>
      </c>
      <c r="BD514" s="100" t="str">
        <f t="shared" si="91"/>
        <v/>
      </c>
      <c r="BE514" s="103" t="str">
        <f t="shared" ca="1" si="87"/>
        <v/>
      </c>
      <c r="BF514" s="102" t="str">
        <f t="shared" si="92"/>
        <v/>
      </c>
    </row>
    <row r="515" spans="48:58" hidden="1" x14ac:dyDescent="0.25">
      <c r="AV515">
        <v>485</v>
      </c>
      <c r="AW515" s="94" t="str">
        <f t="shared" ca="1" si="84"/>
        <v/>
      </c>
      <c r="AX515" s="95" t="str">
        <f t="shared" si="88"/>
        <v/>
      </c>
      <c r="AY515" s="98" t="str">
        <f t="shared" ca="1" si="85"/>
        <v/>
      </c>
      <c r="AZ515" s="95" t="str">
        <f t="shared" si="89"/>
        <v/>
      </c>
      <c r="BA515" s="99" t="str">
        <f t="shared" ca="1" si="86"/>
        <v/>
      </c>
      <c r="BB515" s="97" t="str">
        <f t="shared" si="90"/>
        <v/>
      </c>
      <c r="BC515" s="101" t="str">
        <f t="shared" ca="1" si="93"/>
        <v/>
      </c>
      <c r="BD515" s="100" t="str">
        <f t="shared" si="91"/>
        <v/>
      </c>
      <c r="BE515" s="103" t="str">
        <f t="shared" ca="1" si="87"/>
        <v/>
      </c>
      <c r="BF515" s="102" t="str">
        <f t="shared" si="92"/>
        <v/>
      </c>
    </row>
    <row r="516" spans="48:58" hidden="1" x14ac:dyDescent="0.25">
      <c r="AV516">
        <v>486</v>
      </c>
      <c r="AW516" s="94" t="str">
        <f t="shared" ca="1" si="84"/>
        <v/>
      </c>
      <c r="AX516" s="95" t="str">
        <f t="shared" si="88"/>
        <v/>
      </c>
      <c r="AY516" s="98" t="str">
        <f t="shared" ca="1" si="85"/>
        <v/>
      </c>
      <c r="AZ516" s="95" t="str">
        <f t="shared" si="89"/>
        <v/>
      </c>
      <c r="BA516" s="99" t="str">
        <f t="shared" ca="1" si="86"/>
        <v/>
      </c>
      <c r="BB516" s="97" t="str">
        <f t="shared" si="90"/>
        <v/>
      </c>
      <c r="BC516" s="101" t="str">
        <f t="shared" ca="1" si="93"/>
        <v/>
      </c>
      <c r="BD516" s="100" t="str">
        <f t="shared" si="91"/>
        <v/>
      </c>
      <c r="BE516" s="103" t="str">
        <f t="shared" ca="1" si="87"/>
        <v/>
      </c>
      <c r="BF516" s="102" t="str">
        <f t="shared" si="92"/>
        <v/>
      </c>
    </row>
    <row r="517" spans="48:58" hidden="1" x14ac:dyDescent="0.25">
      <c r="AV517">
        <v>487</v>
      </c>
      <c r="AW517" s="94" t="str">
        <f t="shared" ca="1" si="84"/>
        <v/>
      </c>
      <c r="AX517" s="95" t="str">
        <f t="shared" si="88"/>
        <v/>
      </c>
      <c r="AY517" s="98" t="str">
        <f t="shared" ca="1" si="85"/>
        <v/>
      </c>
      <c r="AZ517" s="95" t="str">
        <f t="shared" si="89"/>
        <v/>
      </c>
      <c r="BA517" s="99" t="str">
        <f t="shared" ca="1" si="86"/>
        <v/>
      </c>
      <c r="BB517" s="97" t="str">
        <f t="shared" si="90"/>
        <v/>
      </c>
      <c r="BC517" s="101" t="str">
        <f t="shared" ca="1" si="93"/>
        <v/>
      </c>
      <c r="BD517" s="100" t="str">
        <f t="shared" si="91"/>
        <v/>
      </c>
      <c r="BE517" s="103" t="str">
        <f t="shared" ca="1" si="87"/>
        <v/>
      </c>
      <c r="BF517" s="102" t="str">
        <f t="shared" si="92"/>
        <v/>
      </c>
    </row>
    <row r="518" spans="48:58" hidden="1" x14ac:dyDescent="0.25">
      <c r="AV518">
        <v>488</v>
      </c>
      <c r="AW518" s="94" t="str">
        <f t="shared" ca="1" si="84"/>
        <v/>
      </c>
      <c r="AX518" s="95" t="str">
        <f t="shared" si="88"/>
        <v/>
      </c>
      <c r="AY518" s="98" t="str">
        <f t="shared" ca="1" si="85"/>
        <v/>
      </c>
      <c r="AZ518" s="95" t="str">
        <f t="shared" si="89"/>
        <v/>
      </c>
      <c r="BA518" s="99" t="str">
        <f t="shared" ca="1" si="86"/>
        <v/>
      </c>
      <c r="BB518" s="97" t="str">
        <f t="shared" si="90"/>
        <v/>
      </c>
      <c r="BC518" s="101" t="str">
        <f t="shared" ca="1" si="93"/>
        <v/>
      </c>
      <c r="BD518" s="100" t="str">
        <f t="shared" si="91"/>
        <v/>
      </c>
      <c r="BE518" s="103" t="str">
        <f t="shared" ca="1" si="87"/>
        <v/>
      </c>
      <c r="BF518" s="102" t="str">
        <f t="shared" si="92"/>
        <v/>
      </c>
    </row>
    <row r="519" spans="48:58" hidden="1" x14ac:dyDescent="0.25">
      <c r="AV519">
        <v>489</v>
      </c>
      <c r="AW519" s="94" t="str">
        <f t="shared" ca="1" si="84"/>
        <v/>
      </c>
      <c r="AX519" s="95" t="str">
        <f t="shared" si="88"/>
        <v/>
      </c>
      <c r="AY519" s="98" t="str">
        <f t="shared" ca="1" si="85"/>
        <v/>
      </c>
      <c r="AZ519" s="95" t="str">
        <f t="shared" si="89"/>
        <v/>
      </c>
      <c r="BA519" s="99" t="str">
        <f t="shared" ca="1" si="86"/>
        <v/>
      </c>
      <c r="BB519" s="97" t="str">
        <f t="shared" si="90"/>
        <v/>
      </c>
      <c r="BC519" s="101" t="str">
        <f t="shared" ca="1" si="93"/>
        <v/>
      </c>
      <c r="BD519" s="100" t="str">
        <f t="shared" si="91"/>
        <v/>
      </c>
      <c r="BE519" s="103" t="str">
        <f t="shared" ca="1" si="87"/>
        <v/>
      </c>
      <c r="BF519" s="102" t="str">
        <f t="shared" si="92"/>
        <v/>
      </c>
    </row>
    <row r="520" spans="48:58" hidden="1" x14ac:dyDescent="0.25">
      <c r="AV520">
        <v>490</v>
      </c>
      <c r="AW520" s="94" t="str">
        <f t="shared" ca="1" si="84"/>
        <v/>
      </c>
      <c r="AX520" s="95" t="str">
        <f t="shared" si="88"/>
        <v/>
      </c>
      <c r="AY520" s="98" t="str">
        <f t="shared" ca="1" si="85"/>
        <v/>
      </c>
      <c r="AZ520" s="95" t="str">
        <f t="shared" si="89"/>
        <v/>
      </c>
      <c r="BA520" s="99" t="str">
        <f t="shared" ca="1" si="86"/>
        <v/>
      </c>
      <c r="BB520" s="97" t="str">
        <f t="shared" si="90"/>
        <v/>
      </c>
      <c r="BC520" s="101" t="str">
        <f t="shared" ca="1" si="93"/>
        <v/>
      </c>
      <c r="BD520" s="100" t="str">
        <f t="shared" si="91"/>
        <v/>
      </c>
      <c r="BE520" s="103" t="str">
        <f t="shared" ca="1" si="87"/>
        <v/>
      </c>
      <c r="BF520" s="102" t="str">
        <f t="shared" si="92"/>
        <v/>
      </c>
    </row>
    <row r="521" spans="48:58" hidden="1" x14ac:dyDescent="0.25">
      <c r="AV521">
        <v>491</v>
      </c>
      <c r="AW521" s="94" t="str">
        <f t="shared" ca="1" si="84"/>
        <v/>
      </c>
      <c r="AX521" s="95" t="str">
        <f t="shared" si="88"/>
        <v/>
      </c>
      <c r="AY521" s="98" t="str">
        <f t="shared" ca="1" si="85"/>
        <v/>
      </c>
      <c r="AZ521" s="95" t="str">
        <f t="shared" si="89"/>
        <v/>
      </c>
      <c r="BA521" s="99" t="str">
        <f t="shared" ca="1" si="86"/>
        <v/>
      </c>
      <c r="BB521" s="97" t="str">
        <f t="shared" si="90"/>
        <v/>
      </c>
      <c r="BC521" s="101" t="str">
        <f t="shared" ca="1" si="93"/>
        <v/>
      </c>
      <c r="BD521" s="100" t="str">
        <f t="shared" si="91"/>
        <v/>
      </c>
      <c r="BE521" s="103" t="str">
        <f t="shared" ca="1" si="87"/>
        <v/>
      </c>
      <c r="BF521" s="102" t="str">
        <f t="shared" si="92"/>
        <v/>
      </c>
    </row>
    <row r="522" spans="48:58" hidden="1" x14ac:dyDescent="0.25">
      <c r="AV522">
        <v>492</v>
      </c>
      <c r="AW522" s="94" t="str">
        <f t="shared" ca="1" si="84"/>
        <v/>
      </c>
      <c r="AX522" s="95" t="str">
        <f t="shared" si="88"/>
        <v/>
      </c>
      <c r="AY522" s="98" t="str">
        <f t="shared" ca="1" si="85"/>
        <v/>
      </c>
      <c r="AZ522" s="95" t="str">
        <f t="shared" si="89"/>
        <v/>
      </c>
      <c r="BA522" s="99" t="str">
        <f t="shared" ca="1" si="86"/>
        <v/>
      </c>
      <c r="BB522" s="97" t="str">
        <f t="shared" si="90"/>
        <v/>
      </c>
      <c r="BC522" s="101" t="str">
        <f t="shared" ca="1" si="93"/>
        <v/>
      </c>
      <c r="BD522" s="100" t="str">
        <f t="shared" si="91"/>
        <v/>
      </c>
      <c r="BE522" s="103" t="str">
        <f t="shared" ca="1" si="87"/>
        <v/>
      </c>
      <c r="BF522" s="102" t="str">
        <f t="shared" si="92"/>
        <v/>
      </c>
    </row>
    <row r="523" spans="48:58" hidden="1" x14ac:dyDescent="0.25">
      <c r="AV523">
        <v>493</v>
      </c>
      <c r="AW523" s="94" t="str">
        <f t="shared" ca="1" si="84"/>
        <v/>
      </c>
      <c r="AX523" s="95" t="str">
        <f t="shared" si="88"/>
        <v/>
      </c>
      <c r="AY523" s="98" t="str">
        <f t="shared" ca="1" si="85"/>
        <v/>
      </c>
      <c r="AZ523" s="95" t="str">
        <f t="shared" si="89"/>
        <v/>
      </c>
      <c r="BA523" s="99" t="str">
        <f t="shared" ca="1" si="86"/>
        <v/>
      </c>
      <c r="BB523" s="97" t="str">
        <f t="shared" si="90"/>
        <v/>
      </c>
      <c r="BC523" s="101" t="str">
        <f t="shared" ca="1" si="93"/>
        <v/>
      </c>
      <c r="BD523" s="100" t="str">
        <f t="shared" si="91"/>
        <v/>
      </c>
      <c r="BE523" s="103" t="str">
        <f t="shared" ca="1" si="87"/>
        <v/>
      </c>
      <c r="BF523" s="102" t="str">
        <f t="shared" si="92"/>
        <v/>
      </c>
    </row>
    <row r="524" spans="48:58" hidden="1" x14ac:dyDescent="0.25">
      <c r="AV524">
        <v>494</v>
      </c>
      <c r="AW524" s="94" t="str">
        <f t="shared" ca="1" si="84"/>
        <v/>
      </c>
      <c r="AX524" s="95" t="str">
        <f t="shared" si="88"/>
        <v/>
      </c>
      <c r="AY524" s="98" t="str">
        <f t="shared" ca="1" si="85"/>
        <v/>
      </c>
      <c r="AZ524" s="95" t="str">
        <f t="shared" si="89"/>
        <v/>
      </c>
      <c r="BA524" s="99" t="str">
        <f t="shared" ca="1" si="86"/>
        <v/>
      </c>
      <c r="BB524" s="97" t="str">
        <f t="shared" si="90"/>
        <v/>
      </c>
      <c r="BC524" s="101" t="str">
        <f t="shared" ca="1" si="93"/>
        <v/>
      </c>
      <c r="BD524" s="100" t="str">
        <f t="shared" si="91"/>
        <v/>
      </c>
      <c r="BE524" s="103" t="str">
        <f t="shared" ca="1" si="87"/>
        <v/>
      </c>
      <c r="BF524" s="102" t="str">
        <f t="shared" si="92"/>
        <v/>
      </c>
    </row>
    <row r="525" spans="48:58" hidden="1" x14ac:dyDescent="0.25">
      <c r="AV525">
        <v>495</v>
      </c>
      <c r="AW525" s="94" t="str">
        <f t="shared" ca="1" si="84"/>
        <v/>
      </c>
      <c r="AX525" s="95" t="str">
        <f t="shared" si="88"/>
        <v/>
      </c>
      <c r="AY525" s="98" t="str">
        <f t="shared" ca="1" si="85"/>
        <v/>
      </c>
      <c r="AZ525" s="95" t="str">
        <f t="shared" si="89"/>
        <v/>
      </c>
      <c r="BA525" s="99" t="str">
        <f t="shared" ca="1" si="86"/>
        <v/>
      </c>
      <c r="BB525" s="97" t="str">
        <f t="shared" si="90"/>
        <v/>
      </c>
      <c r="BC525" s="101" t="str">
        <f t="shared" ca="1" si="93"/>
        <v/>
      </c>
      <c r="BD525" s="100" t="str">
        <f t="shared" si="91"/>
        <v/>
      </c>
      <c r="BE525" s="103" t="str">
        <f t="shared" ca="1" si="87"/>
        <v/>
      </c>
      <c r="BF525" s="102" t="str">
        <f t="shared" si="92"/>
        <v/>
      </c>
    </row>
    <row r="526" spans="48:58" hidden="1" x14ac:dyDescent="0.25">
      <c r="AV526">
        <v>496</v>
      </c>
      <c r="AW526" s="94" t="str">
        <f t="shared" ca="1" si="84"/>
        <v/>
      </c>
      <c r="AX526" s="95" t="str">
        <f t="shared" si="88"/>
        <v/>
      </c>
      <c r="AY526" s="98" t="str">
        <f t="shared" ca="1" si="85"/>
        <v/>
      </c>
      <c r="AZ526" s="95" t="str">
        <f t="shared" si="89"/>
        <v/>
      </c>
      <c r="BA526" s="99" t="str">
        <f t="shared" ca="1" si="86"/>
        <v/>
      </c>
      <c r="BB526" s="97" t="str">
        <f t="shared" si="90"/>
        <v/>
      </c>
      <c r="BC526" s="101" t="str">
        <f t="shared" ca="1" si="93"/>
        <v/>
      </c>
      <c r="BD526" s="100" t="str">
        <f t="shared" si="91"/>
        <v/>
      </c>
      <c r="BE526" s="103" t="str">
        <f t="shared" ca="1" si="87"/>
        <v/>
      </c>
      <c r="BF526" s="102" t="str">
        <f t="shared" si="92"/>
        <v/>
      </c>
    </row>
    <row r="527" spans="48:58" hidden="1" x14ac:dyDescent="0.25">
      <c r="AV527">
        <v>497</v>
      </c>
      <c r="AW527" s="94" t="str">
        <f t="shared" ca="1" si="84"/>
        <v/>
      </c>
      <c r="AX527" s="95" t="str">
        <f t="shared" si="88"/>
        <v/>
      </c>
      <c r="AY527" s="98" t="str">
        <f t="shared" ca="1" si="85"/>
        <v/>
      </c>
      <c r="AZ527" s="95" t="str">
        <f t="shared" si="89"/>
        <v/>
      </c>
      <c r="BA527" s="99" t="str">
        <f t="shared" ca="1" si="86"/>
        <v/>
      </c>
      <c r="BB527" s="97" t="str">
        <f t="shared" si="90"/>
        <v/>
      </c>
      <c r="BC527" s="101" t="str">
        <f t="shared" ca="1" si="93"/>
        <v/>
      </c>
      <c r="BD527" s="100" t="str">
        <f t="shared" si="91"/>
        <v/>
      </c>
      <c r="BE527" s="103" t="str">
        <f t="shared" ca="1" si="87"/>
        <v/>
      </c>
      <c r="BF527" s="102" t="str">
        <f t="shared" si="92"/>
        <v/>
      </c>
    </row>
    <row r="528" spans="48:58" hidden="1" x14ac:dyDescent="0.25">
      <c r="AV528">
        <v>498</v>
      </c>
      <c r="AW528" s="94" t="str">
        <f t="shared" ca="1" si="84"/>
        <v/>
      </c>
      <c r="AX528" s="95" t="str">
        <f t="shared" si="88"/>
        <v/>
      </c>
      <c r="AY528" s="98" t="str">
        <f t="shared" ca="1" si="85"/>
        <v/>
      </c>
      <c r="AZ528" s="95" t="str">
        <f t="shared" si="89"/>
        <v/>
      </c>
      <c r="BA528" s="99" t="str">
        <f t="shared" ca="1" si="86"/>
        <v/>
      </c>
      <c r="BB528" s="97" t="str">
        <f t="shared" si="90"/>
        <v/>
      </c>
      <c r="BC528" s="101" t="str">
        <f t="shared" ca="1" si="93"/>
        <v/>
      </c>
      <c r="BD528" s="100" t="str">
        <f t="shared" si="91"/>
        <v/>
      </c>
      <c r="BE528" s="103" t="str">
        <f t="shared" ca="1" si="87"/>
        <v/>
      </c>
      <c r="BF528" s="102" t="str">
        <f t="shared" si="92"/>
        <v/>
      </c>
    </row>
    <row r="529" spans="48:58" hidden="1" x14ac:dyDescent="0.25">
      <c r="AV529">
        <v>499</v>
      </c>
      <c r="AW529" s="94" t="str">
        <f t="shared" ca="1" si="84"/>
        <v/>
      </c>
      <c r="AX529" s="95" t="str">
        <f t="shared" si="88"/>
        <v/>
      </c>
      <c r="AY529" s="98" t="str">
        <f t="shared" ca="1" si="85"/>
        <v/>
      </c>
      <c r="AZ529" s="95" t="str">
        <f t="shared" si="89"/>
        <v/>
      </c>
      <c r="BA529" s="99" t="str">
        <f t="shared" ca="1" si="86"/>
        <v/>
      </c>
      <c r="BB529" s="97" t="str">
        <f t="shared" si="90"/>
        <v/>
      </c>
      <c r="BC529" s="101" t="str">
        <f t="shared" ca="1" si="93"/>
        <v/>
      </c>
      <c r="BD529" s="100" t="str">
        <f t="shared" si="91"/>
        <v/>
      </c>
      <c r="BE529" s="103" t="str">
        <f t="shared" ca="1" si="87"/>
        <v/>
      </c>
      <c r="BF529" s="102" t="str">
        <f t="shared" si="92"/>
        <v/>
      </c>
    </row>
    <row r="530" spans="48:58" hidden="1" x14ac:dyDescent="0.25">
      <c r="AV530">
        <v>500</v>
      </c>
      <c r="AW530" s="94" t="str">
        <f t="shared" ca="1" si="84"/>
        <v/>
      </c>
      <c r="AX530" s="95" t="str">
        <f t="shared" si="88"/>
        <v/>
      </c>
      <c r="AY530" s="98" t="str">
        <f t="shared" ca="1" si="85"/>
        <v/>
      </c>
      <c r="AZ530" s="95" t="str">
        <f t="shared" si="89"/>
        <v/>
      </c>
      <c r="BA530" s="99" t="str">
        <f t="shared" ca="1" si="86"/>
        <v/>
      </c>
      <c r="BB530" s="97" t="str">
        <f t="shared" si="90"/>
        <v/>
      </c>
      <c r="BC530" s="101" t="str">
        <f t="shared" ca="1" si="93"/>
        <v/>
      </c>
      <c r="BD530" s="100" t="str">
        <f t="shared" si="91"/>
        <v/>
      </c>
      <c r="BE530" s="103" t="str">
        <f t="shared" ca="1" si="87"/>
        <v/>
      </c>
      <c r="BF530" s="102" t="str">
        <f t="shared" si="92"/>
        <v/>
      </c>
    </row>
    <row r="531" spans="48:58" hidden="1" x14ac:dyDescent="0.25">
      <c r="AV531">
        <v>501</v>
      </c>
      <c r="AW531" s="94" t="str">
        <f t="shared" ca="1" si="84"/>
        <v/>
      </c>
      <c r="AX531" s="95" t="str">
        <f t="shared" si="88"/>
        <v/>
      </c>
      <c r="AY531" s="98" t="str">
        <f t="shared" ca="1" si="85"/>
        <v/>
      </c>
      <c r="AZ531" s="95" t="str">
        <f t="shared" si="89"/>
        <v/>
      </c>
      <c r="BA531" s="99" t="str">
        <f t="shared" ca="1" si="86"/>
        <v/>
      </c>
      <c r="BB531" s="97" t="str">
        <f t="shared" si="90"/>
        <v/>
      </c>
      <c r="BC531" s="101" t="str">
        <f t="shared" ca="1" si="93"/>
        <v/>
      </c>
      <c r="BD531" s="100" t="str">
        <f t="shared" si="91"/>
        <v/>
      </c>
      <c r="BE531" s="103" t="str">
        <f t="shared" ca="1" si="87"/>
        <v/>
      </c>
      <c r="BF531" s="102" t="str">
        <f t="shared" si="92"/>
        <v/>
      </c>
    </row>
    <row r="532" spans="48:58" hidden="1" x14ac:dyDescent="0.25">
      <c r="AV532">
        <v>502</v>
      </c>
      <c r="AW532" s="94" t="str">
        <f t="shared" ca="1" si="84"/>
        <v/>
      </c>
      <c r="AX532" s="95" t="str">
        <f t="shared" si="88"/>
        <v/>
      </c>
      <c r="AY532" s="98" t="str">
        <f t="shared" ca="1" si="85"/>
        <v/>
      </c>
      <c r="AZ532" s="95" t="str">
        <f t="shared" si="89"/>
        <v/>
      </c>
      <c r="BA532" s="99" t="str">
        <f t="shared" ca="1" si="86"/>
        <v/>
      </c>
      <c r="BB532" s="97" t="str">
        <f t="shared" si="90"/>
        <v/>
      </c>
      <c r="BC532" s="101" t="str">
        <f t="shared" ca="1" si="93"/>
        <v/>
      </c>
      <c r="BD532" s="100" t="str">
        <f t="shared" si="91"/>
        <v/>
      </c>
      <c r="BE532" s="103" t="str">
        <f t="shared" ca="1" si="87"/>
        <v/>
      </c>
      <c r="BF532" s="102" t="str">
        <f t="shared" si="92"/>
        <v/>
      </c>
    </row>
    <row r="533" spans="48:58" hidden="1" x14ac:dyDescent="0.25">
      <c r="AV533">
        <v>503</v>
      </c>
      <c r="AW533" s="94" t="str">
        <f t="shared" ca="1" si="84"/>
        <v/>
      </c>
      <c r="AX533" s="95" t="str">
        <f t="shared" si="88"/>
        <v/>
      </c>
      <c r="AY533" s="98" t="str">
        <f t="shared" ca="1" si="85"/>
        <v/>
      </c>
      <c r="AZ533" s="95" t="str">
        <f t="shared" si="89"/>
        <v/>
      </c>
      <c r="BA533" s="99" t="str">
        <f t="shared" ca="1" si="86"/>
        <v/>
      </c>
      <c r="BB533" s="97" t="str">
        <f t="shared" si="90"/>
        <v/>
      </c>
      <c r="BC533" s="101" t="str">
        <f t="shared" ca="1" si="93"/>
        <v/>
      </c>
      <c r="BD533" s="100" t="str">
        <f t="shared" si="91"/>
        <v/>
      </c>
      <c r="BE533" s="103" t="str">
        <f t="shared" ca="1" si="87"/>
        <v/>
      </c>
      <c r="BF533" s="102" t="str">
        <f t="shared" si="92"/>
        <v/>
      </c>
    </row>
    <row r="534" spans="48:58" hidden="1" x14ac:dyDescent="0.25">
      <c r="AV534">
        <v>504</v>
      </c>
      <c r="AW534" s="94" t="str">
        <f t="shared" ca="1" si="84"/>
        <v/>
      </c>
      <c r="AX534" s="95" t="str">
        <f t="shared" si="88"/>
        <v/>
      </c>
      <c r="AY534" s="98" t="str">
        <f t="shared" ca="1" si="85"/>
        <v/>
      </c>
      <c r="AZ534" s="95" t="str">
        <f t="shared" si="89"/>
        <v/>
      </c>
      <c r="BA534" s="99" t="str">
        <f t="shared" ca="1" si="86"/>
        <v/>
      </c>
      <c r="BB534" s="97" t="str">
        <f t="shared" si="90"/>
        <v/>
      </c>
      <c r="BC534" s="101" t="str">
        <f t="shared" ca="1" si="93"/>
        <v/>
      </c>
      <c r="BD534" s="100" t="str">
        <f t="shared" si="91"/>
        <v/>
      </c>
      <c r="BE534" s="103" t="str">
        <f t="shared" ca="1" si="87"/>
        <v/>
      </c>
      <c r="BF534" s="102" t="str">
        <f t="shared" si="92"/>
        <v/>
      </c>
    </row>
    <row r="535" spans="48:58" hidden="1" x14ac:dyDescent="0.25">
      <c r="AV535">
        <v>505</v>
      </c>
      <c r="AW535" s="94" t="str">
        <f t="shared" ca="1" si="84"/>
        <v/>
      </c>
      <c r="AX535" s="95" t="str">
        <f t="shared" si="88"/>
        <v/>
      </c>
      <c r="AY535" s="98" t="str">
        <f t="shared" ca="1" si="85"/>
        <v/>
      </c>
      <c r="AZ535" s="95" t="str">
        <f t="shared" si="89"/>
        <v/>
      </c>
      <c r="BA535" s="99" t="str">
        <f t="shared" ca="1" si="86"/>
        <v/>
      </c>
      <c r="BB535" s="97" t="str">
        <f t="shared" si="90"/>
        <v/>
      </c>
      <c r="BC535" s="101" t="str">
        <f t="shared" ca="1" si="93"/>
        <v/>
      </c>
      <c r="BD535" s="100" t="str">
        <f t="shared" si="91"/>
        <v/>
      </c>
      <c r="BE535" s="103" t="str">
        <f t="shared" ca="1" si="87"/>
        <v/>
      </c>
      <c r="BF535" s="102" t="str">
        <f t="shared" si="92"/>
        <v/>
      </c>
    </row>
    <row r="536" spans="48:58" hidden="1" x14ac:dyDescent="0.25">
      <c r="AV536">
        <v>506</v>
      </c>
      <c r="AW536" s="94" t="str">
        <f t="shared" ca="1" si="84"/>
        <v/>
      </c>
      <c r="AX536" s="95" t="str">
        <f t="shared" si="88"/>
        <v/>
      </c>
      <c r="AY536" s="98" t="str">
        <f t="shared" ca="1" si="85"/>
        <v/>
      </c>
      <c r="AZ536" s="95" t="str">
        <f t="shared" si="89"/>
        <v/>
      </c>
      <c r="BA536" s="99" t="str">
        <f t="shared" ca="1" si="86"/>
        <v/>
      </c>
      <c r="BB536" s="97" t="str">
        <f t="shared" si="90"/>
        <v/>
      </c>
      <c r="BC536" s="101" t="str">
        <f t="shared" ca="1" si="93"/>
        <v/>
      </c>
      <c r="BD536" s="100" t="str">
        <f t="shared" si="91"/>
        <v/>
      </c>
      <c r="BE536" s="103" t="str">
        <f t="shared" ca="1" si="87"/>
        <v/>
      </c>
      <c r="BF536" s="102" t="str">
        <f t="shared" si="92"/>
        <v/>
      </c>
    </row>
    <row r="537" spans="48:58" hidden="1" x14ac:dyDescent="0.25">
      <c r="AV537">
        <v>507</v>
      </c>
      <c r="AW537" s="94" t="str">
        <f t="shared" ca="1" si="84"/>
        <v/>
      </c>
      <c r="AX537" s="95" t="str">
        <f t="shared" si="88"/>
        <v/>
      </c>
      <c r="AY537" s="98" t="str">
        <f t="shared" ca="1" si="85"/>
        <v/>
      </c>
      <c r="AZ537" s="95" t="str">
        <f t="shared" si="89"/>
        <v/>
      </c>
      <c r="BA537" s="99" t="str">
        <f t="shared" ca="1" si="86"/>
        <v/>
      </c>
      <c r="BB537" s="97" t="str">
        <f t="shared" si="90"/>
        <v/>
      </c>
      <c r="BC537" s="101" t="str">
        <f t="shared" ca="1" si="93"/>
        <v/>
      </c>
      <c r="BD537" s="100" t="str">
        <f t="shared" si="91"/>
        <v/>
      </c>
      <c r="BE537" s="103" t="str">
        <f t="shared" ca="1" si="87"/>
        <v/>
      </c>
      <c r="BF537" s="102" t="str">
        <f t="shared" si="92"/>
        <v/>
      </c>
    </row>
    <row r="538" spans="48:58" hidden="1" x14ac:dyDescent="0.25">
      <c r="AV538">
        <v>508</v>
      </c>
      <c r="AW538" s="94" t="str">
        <f t="shared" ca="1" si="84"/>
        <v/>
      </c>
      <c r="AX538" s="95" t="str">
        <f t="shared" si="88"/>
        <v/>
      </c>
      <c r="AY538" s="98" t="str">
        <f t="shared" ca="1" si="85"/>
        <v/>
      </c>
      <c r="AZ538" s="95" t="str">
        <f t="shared" si="89"/>
        <v/>
      </c>
      <c r="BA538" s="99" t="str">
        <f t="shared" ca="1" si="86"/>
        <v/>
      </c>
      <c r="BB538" s="97" t="str">
        <f t="shared" si="90"/>
        <v/>
      </c>
      <c r="BC538" s="101" t="str">
        <f t="shared" ca="1" si="93"/>
        <v/>
      </c>
      <c r="BD538" s="100" t="str">
        <f t="shared" si="91"/>
        <v/>
      </c>
      <c r="BE538" s="103" t="str">
        <f t="shared" ca="1" si="87"/>
        <v/>
      </c>
      <c r="BF538" s="102" t="str">
        <f t="shared" si="92"/>
        <v/>
      </c>
    </row>
    <row r="539" spans="48:58" hidden="1" x14ac:dyDescent="0.25">
      <c r="AV539">
        <v>509</v>
      </c>
      <c r="AW539" s="94" t="str">
        <f t="shared" ca="1" si="84"/>
        <v/>
      </c>
      <c r="AX539" s="95" t="str">
        <f t="shared" si="88"/>
        <v/>
      </c>
      <c r="AY539" s="98" t="str">
        <f t="shared" ca="1" si="85"/>
        <v/>
      </c>
      <c r="AZ539" s="95" t="str">
        <f t="shared" si="89"/>
        <v/>
      </c>
      <c r="BA539" s="99" t="str">
        <f t="shared" ca="1" si="86"/>
        <v/>
      </c>
      <c r="BB539" s="97" t="str">
        <f t="shared" si="90"/>
        <v/>
      </c>
      <c r="BC539" s="101" t="str">
        <f t="shared" ca="1" si="93"/>
        <v/>
      </c>
      <c r="BD539" s="100" t="str">
        <f t="shared" si="91"/>
        <v/>
      </c>
      <c r="BE539" s="103" t="str">
        <f t="shared" ca="1" si="87"/>
        <v/>
      </c>
      <c r="BF539" s="102" t="str">
        <f t="shared" si="92"/>
        <v/>
      </c>
    </row>
    <row r="540" spans="48:58" hidden="1" x14ac:dyDescent="0.25">
      <c r="AV540">
        <v>510</v>
      </c>
      <c r="AW540" s="94" t="str">
        <f t="shared" ca="1" si="84"/>
        <v/>
      </c>
      <c r="AX540" s="95" t="str">
        <f t="shared" si="88"/>
        <v/>
      </c>
      <c r="AY540" s="98" t="str">
        <f t="shared" ca="1" si="85"/>
        <v/>
      </c>
      <c r="AZ540" s="95" t="str">
        <f t="shared" si="89"/>
        <v/>
      </c>
      <c r="BA540" s="99" t="str">
        <f t="shared" ca="1" si="86"/>
        <v/>
      </c>
      <c r="BB540" s="97" t="str">
        <f t="shared" si="90"/>
        <v/>
      </c>
      <c r="BC540" s="101" t="str">
        <f t="shared" ca="1" si="93"/>
        <v/>
      </c>
      <c r="BD540" s="100" t="str">
        <f t="shared" si="91"/>
        <v/>
      </c>
      <c r="BE540" s="103" t="str">
        <f t="shared" ca="1" si="87"/>
        <v/>
      </c>
      <c r="BF540" s="102" t="str">
        <f t="shared" si="92"/>
        <v/>
      </c>
    </row>
    <row r="541" spans="48:58" hidden="1" x14ac:dyDescent="0.25">
      <c r="AV541">
        <v>511</v>
      </c>
      <c r="AW541" s="94" t="str">
        <f t="shared" ca="1" si="84"/>
        <v/>
      </c>
      <c r="AX541" s="95" t="str">
        <f t="shared" si="88"/>
        <v/>
      </c>
      <c r="AY541" s="98" t="str">
        <f t="shared" ca="1" si="85"/>
        <v/>
      </c>
      <c r="AZ541" s="95" t="str">
        <f t="shared" si="89"/>
        <v/>
      </c>
      <c r="BA541" s="99" t="str">
        <f t="shared" ca="1" si="86"/>
        <v/>
      </c>
      <c r="BB541" s="97" t="str">
        <f t="shared" si="90"/>
        <v/>
      </c>
      <c r="BC541" s="101" t="str">
        <f t="shared" ca="1" si="93"/>
        <v/>
      </c>
      <c r="BD541" s="100" t="str">
        <f t="shared" si="91"/>
        <v/>
      </c>
      <c r="BE541" s="103" t="str">
        <f t="shared" ca="1" si="87"/>
        <v/>
      </c>
      <c r="BF541" s="102" t="str">
        <f t="shared" si="92"/>
        <v/>
      </c>
    </row>
    <row r="542" spans="48:58" hidden="1" x14ac:dyDescent="0.25">
      <c r="AV542">
        <v>512</v>
      </c>
      <c r="AW542" s="94" t="str">
        <f t="shared" ca="1" si="84"/>
        <v/>
      </c>
      <c r="AX542" s="95" t="str">
        <f t="shared" si="88"/>
        <v/>
      </c>
      <c r="AY542" s="98" t="str">
        <f t="shared" ca="1" si="85"/>
        <v/>
      </c>
      <c r="AZ542" s="95" t="str">
        <f t="shared" si="89"/>
        <v/>
      </c>
      <c r="BA542" s="99" t="str">
        <f t="shared" ca="1" si="86"/>
        <v/>
      </c>
      <c r="BB542" s="97" t="str">
        <f t="shared" si="90"/>
        <v/>
      </c>
      <c r="BC542" s="101" t="str">
        <f t="shared" ca="1" si="93"/>
        <v/>
      </c>
      <c r="BD542" s="100" t="str">
        <f t="shared" si="91"/>
        <v/>
      </c>
      <c r="BE542" s="103" t="str">
        <f t="shared" ca="1" si="87"/>
        <v/>
      </c>
      <c r="BF542" s="102" t="str">
        <f t="shared" si="92"/>
        <v/>
      </c>
    </row>
    <row r="543" spans="48:58" hidden="1" x14ac:dyDescent="0.25">
      <c r="AV543">
        <v>513</v>
      </c>
      <c r="AW543" s="94" t="str">
        <f t="shared" ref="AW543:AW606" ca="1" si="94">IF(T_1*12&gt;=AV543,DATE(YEAR(TODAY()),MONTH(TODAY())+AV543-1,DAY(TODAY())),IF(T_1*12+1&gt;=AV543,DATE(YEAR(TODAY()),MONTH(TODAY())+T_1*12,DAY(TODAY())),""))</f>
        <v/>
      </c>
      <c r="AX543" s="95" t="str">
        <f t="shared" si="88"/>
        <v/>
      </c>
      <c r="AY543" s="98" t="str">
        <f t="shared" ref="AY543:AY606" ca="1" si="95">IF(T_2*12&gt;=$AV543,DATE(YEAR(TODAY()),MONTH(TODAY())+$AV543-1,DAY(TODAY())),IF(T_2*12+1&gt;=$AV543,DATE(YEAR(TODAY()),MONTH(TODAY())+T_2*12,DAY(TODAY())),""))</f>
        <v/>
      </c>
      <c r="AZ543" s="95" t="str">
        <f t="shared" si="89"/>
        <v/>
      </c>
      <c r="BA543" s="99" t="str">
        <f t="shared" ref="BA543:BA606" ca="1" si="96">IF(T_3*12&gt;=$AV543,DATE(YEAR(TODAY()),MONTH(TODAY())+$AV543-1,DAY(TODAY())),IF(T_3*12+1&gt;=$AV543,DATE(YEAR(TODAY()),MONTH(TODAY())+T_3*12,DAY(TODAY())),""))</f>
        <v/>
      </c>
      <c r="BB543" s="97" t="str">
        <f t="shared" si="90"/>
        <v/>
      </c>
      <c r="BC543" s="101" t="str">
        <f t="shared" ca="1" si="93"/>
        <v/>
      </c>
      <c r="BD543" s="100" t="str">
        <f t="shared" si="91"/>
        <v/>
      </c>
      <c r="BE543" s="103" t="str">
        <f t="shared" ref="BE543:BE606" ca="1" si="97">IF(T_5*12&gt;=$AV543,DATE(YEAR(TODAY()),MONTH(TODAY())+$AV543-1,DAY(TODAY())),IF(T_5*12+1&gt;=$AV543,DATE(YEAR(TODAY()),MONTH(TODAY())+T_5*12,DAY(TODAY())),""))</f>
        <v/>
      </c>
      <c r="BF543" s="102" t="str">
        <f t="shared" si="92"/>
        <v/>
      </c>
    </row>
    <row r="544" spans="48:58" hidden="1" x14ac:dyDescent="0.25">
      <c r="AV544">
        <v>514</v>
      </c>
      <c r="AW544" s="94" t="str">
        <f t="shared" ca="1" si="94"/>
        <v/>
      </c>
      <c r="AX544" s="95" t="str">
        <f t="shared" ref="AX544:AX607" si="98">IF(T_1*12&gt;=AV544,-1*$I$15,IF(T_1*12+1&gt;=AV544,InfG_1,""))</f>
        <v/>
      </c>
      <c r="AY544" s="98" t="str">
        <f t="shared" ca="1" si="95"/>
        <v/>
      </c>
      <c r="AZ544" s="95" t="str">
        <f t="shared" ref="AZ544:AZ607" si="99">IF(T_2*12&gt;=$AV544,-1*$I$17,IF(T_2*12+1&gt;=$AV544,InfG_2,""))</f>
        <v/>
      </c>
      <c r="BA544" s="99" t="str">
        <f t="shared" ca="1" si="96"/>
        <v/>
      </c>
      <c r="BB544" s="97" t="str">
        <f t="shared" ref="BB544:BB607" si="100">IF(T_3*12&gt;=$AV544,-1*$I$19,IF(T_3*12+1&gt;=$AV544,InfG_3,""))</f>
        <v/>
      </c>
      <c r="BC544" s="101" t="str">
        <f t="shared" ca="1" si="93"/>
        <v/>
      </c>
      <c r="BD544" s="100" t="str">
        <f t="shared" ref="BD544:BD607" si="101">IF(T_4*12&gt;=$AV544,-1*$I$21,IF(T_4*12+1&gt;=$AV544,InfG_4,""))</f>
        <v/>
      </c>
      <c r="BE544" s="103" t="str">
        <f t="shared" ca="1" si="97"/>
        <v/>
      </c>
      <c r="BF544" s="102" t="str">
        <f t="shared" ref="BF544:BF607" si="102">IF(T_5*12&gt;=$AV544,-1*$I$23,IF(T_5*12+1&gt;=$AV544,InfG_5,""))</f>
        <v/>
      </c>
    </row>
    <row r="545" spans="48:58" hidden="1" x14ac:dyDescent="0.25">
      <c r="AV545">
        <v>515</v>
      </c>
      <c r="AW545" s="94" t="str">
        <f t="shared" ca="1" si="94"/>
        <v/>
      </c>
      <c r="AX545" s="95" t="str">
        <f t="shared" si="98"/>
        <v/>
      </c>
      <c r="AY545" s="98" t="str">
        <f t="shared" ca="1" si="95"/>
        <v/>
      </c>
      <c r="AZ545" s="95" t="str">
        <f t="shared" si="99"/>
        <v/>
      </c>
      <c r="BA545" s="99" t="str">
        <f t="shared" ca="1" si="96"/>
        <v/>
      </c>
      <c r="BB545" s="97" t="str">
        <f t="shared" si="100"/>
        <v/>
      </c>
      <c r="BC545" s="101" t="str">
        <f t="shared" ref="BC545:BC608" ca="1" si="103">IF(T_4*12&gt;=AV545,DATE(YEAR(TODAY()),MONTH(TODAY())+AV545-1,DAY(TODAY())),IF(T_4*12+1&gt;=AV545,DATE(YEAR(TODAY()),MONTH(TODAY())+T_4*12,DAY(TODAY())),""))</f>
        <v/>
      </c>
      <c r="BD545" s="100" t="str">
        <f t="shared" si="101"/>
        <v/>
      </c>
      <c r="BE545" s="103" t="str">
        <f t="shared" ca="1" si="97"/>
        <v/>
      </c>
      <c r="BF545" s="102" t="str">
        <f t="shared" si="102"/>
        <v/>
      </c>
    </row>
    <row r="546" spans="48:58" hidden="1" x14ac:dyDescent="0.25">
      <c r="AV546">
        <v>516</v>
      </c>
      <c r="AW546" s="94" t="str">
        <f t="shared" ca="1" si="94"/>
        <v/>
      </c>
      <c r="AX546" s="95" t="str">
        <f t="shared" si="98"/>
        <v/>
      </c>
      <c r="AY546" s="98" t="str">
        <f t="shared" ca="1" si="95"/>
        <v/>
      </c>
      <c r="AZ546" s="95" t="str">
        <f t="shared" si="99"/>
        <v/>
      </c>
      <c r="BA546" s="99" t="str">
        <f t="shared" ca="1" si="96"/>
        <v/>
      </c>
      <c r="BB546" s="97" t="str">
        <f t="shared" si="100"/>
        <v/>
      </c>
      <c r="BC546" s="101" t="str">
        <f t="shared" ca="1" si="103"/>
        <v/>
      </c>
      <c r="BD546" s="100" t="str">
        <f t="shared" si="101"/>
        <v/>
      </c>
      <c r="BE546" s="103" t="str">
        <f t="shared" ca="1" si="97"/>
        <v/>
      </c>
      <c r="BF546" s="102" t="str">
        <f t="shared" si="102"/>
        <v/>
      </c>
    </row>
    <row r="547" spans="48:58" hidden="1" x14ac:dyDescent="0.25">
      <c r="AV547">
        <v>517</v>
      </c>
      <c r="AW547" s="94" t="str">
        <f t="shared" ca="1" si="94"/>
        <v/>
      </c>
      <c r="AX547" s="95" t="str">
        <f t="shared" si="98"/>
        <v/>
      </c>
      <c r="AY547" s="98" t="str">
        <f t="shared" ca="1" si="95"/>
        <v/>
      </c>
      <c r="AZ547" s="95" t="str">
        <f t="shared" si="99"/>
        <v/>
      </c>
      <c r="BA547" s="99" t="str">
        <f t="shared" ca="1" si="96"/>
        <v/>
      </c>
      <c r="BB547" s="97" t="str">
        <f t="shared" si="100"/>
        <v/>
      </c>
      <c r="BC547" s="101" t="str">
        <f t="shared" ca="1" si="103"/>
        <v/>
      </c>
      <c r="BD547" s="100" t="str">
        <f t="shared" si="101"/>
        <v/>
      </c>
      <c r="BE547" s="103" t="str">
        <f t="shared" ca="1" si="97"/>
        <v/>
      </c>
      <c r="BF547" s="102" t="str">
        <f t="shared" si="102"/>
        <v/>
      </c>
    </row>
    <row r="548" spans="48:58" hidden="1" x14ac:dyDescent="0.25">
      <c r="AV548">
        <v>518</v>
      </c>
      <c r="AW548" s="94" t="str">
        <f t="shared" ca="1" si="94"/>
        <v/>
      </c>
      <c r="AX548" s="95" t="str">
        <f t="shared" si="98"/>
        <v/>
      </c>
      <c r="AY548" s="98" t="str">
        <f t="shared" ca="1" si="95"/>
        <v/>
      </c>
      <c r="AZ548" s="95" t="str">
        <f t="shared" si="99"/>
        <v/>
      </c>
      <c r="BA548" s="99" t="str">
        <f t="shared" ca="1" si="96"/>
        <v/>
      </c>
      <c r="BB548" s="97" t="str">
        <f t="shared" si="100"/>
        <v/>
      </c>
      <c r="BC548" s="101" t="str">
        <f t="shared" ca="1" si="103"/>
        <v/>
      </c>
      <c r="BD548" s="100" t="str">
        <f t="shared" si="101"/>
        <v/>
      </c>
      <c r="BE548" s="103" t="str">
        <f t="shared" ca="1" si="97"/>
        <v/>
      </c>
      <c r="BF548" s="102" t="str">
        <f t="shared" si="102"/>
        <v/>
      </c>
    </row>
    <row r="549" spans="48:58" hidden="1" x14ac:dyDescent="0.25">
      <c r="AV549">
        <v>519</v>
      </c>
      <c r="AW549" s="94" t="str">
        <f t="shared" ca="1" si="94"/>
        <v/>
      </c>
      <c r="AX549" s="95" t="str">
        <f t="shared" si="98"/>
        <v/>
      </c>
      <c r="AY549" s="98" t="str">
        <f t="shared" ca="1" si="95"/>
        <v/>
      </c>
      <c r="AZ549" s="95" t="str">
        <f t="shared" si="99"/>
        <v/>
      </c>
      <c r="BA549" s="99" t="str">
        <f t="shared" ca="1" si="96"/>
        <v/>
      </c>
      <c r="BB549" s="97" t="str">
        <f t="shared" si="100"/>
        <v/>
      </c>
      <c r="BC549" s="101" t="str">
        <f t="shared" ca="1" si="103"/>
        <v/>
      </c>
      <c r="BD549" s="100" t="str">
        <f t="shared" si="101"/>
        <v/>
      </c>
      <c r="BE549" s="103" t="str">
        <f t="shared" ca="1" si="97"/>
        <v/>
      </c>
      <c r="BF549" s="102" t="str">
        <f t="shared" si="102"/>
        <v/>
      </c>
    </row>
    <row r="550" spans="48:58" hidden="1" x14ac:dyDescent="0.25">
      <c r="AV550">
        <v>520</v>
      </c>
      <c r="AW550" s="94" t="str">
        <f t="shared" ca="1" si="94"/>
        <v/>
      </c>
      <c r="AX550" s="95" t="str">
        <f t="shared" si="98"/>
        <v/>
      </c>
      <c r="AY550" s="98" t="str">
        <f t="shared" ca="1" si="95"/>
        <v/>
      </c>
      <c r="AZ550" s="95" t="str">
        <f t="shared" si="99"/>
        <v/>
      </c>
      <c r="BA550" s="99" t="str">
        <f t="shared" ca="1" si="96"/>
        <v/>
      </c>
      <c r="BB550" s="97" t="str">
        <f t="shared" si="100"/>
        <v/>
      </c>
      <c r="BC550" s="101" t="str">
        <f t="shared" ca="1" si="103"/>
        <v/>
      </c>
      <c r="BD550" s="100" t="str">
        <f t="shared" si="101"/>
        <v/>
      </c>
      <c r="BE550" s="103" t="str">
        <f t="shared" ca="1" si="97"/>
        <v/>
      </c>
      <c r="BF550" s="102" t="str">
        <f t="shared" si="102"/>
        <v/>
      </c>
    </row>
    <row r="551" spans="48:58" hidden="1" x14ac:dyDescent="0.25">
      <c r="AV551">
        <v>521</v>
      </c>
      <c r="AW551" s="94" t="str">
        <f t="shared" ca="1" si="94"/>
        <v/>
      </c>
      <c r="AX551" s="95" t="str">
        <f t="shared" si="98"/>
        <v/>
      </c>
      <c r="AY551" s="98" t="str">
        <f t="shared" ca="1" si="95"/>
        <v/>
      </c>
      <c r="AZ551" s="95" t="str">
        <f t="shared" si="99"/>
        <v/>
      </c>
      <c r="BA551" s="99" t="str">
        <f t="shared" ca="1" si="96"/>
        <v/>
      </c>
      <c r="BB551" s="97" t="str">
        <f t="shared" si="100"/>
        <v/>
      </c>
      <c r="BC551" s="101" t="str">
        <f t="shared" ca="1" si="103"/>
        <v/>
      </c>
      <c r="BD551" s="100" t="str">
        <f t="shared" si="101"/>
        <v/>
      </c>
      <c r="BE551" s="103" t="str">
        <f t="shared" ca="1" si="97"/>
        <v/>
      </c>
      <c r="BF551" s="102" t="str">
        <f t="shared" si="102"/>
        <v/>
      </c>
    </row>
    <row r="552" spans="48:58" hidden="1" x14ac:dyDescent="0.25">
      <c r="AV552">
        <v>522</v>
      </c>
      <c r="AW552" s="94" t="str">
        <f t="shared" ca="1" si="94"/>
        <v/>
      </c>
      <c r="AX552" s="95" t="str">
        <f t="shared" si="98"/>
        <v/>
      </c>
      <c r="AY552" s="98" t="str">
        <f t="shared" ca="1" si="95"/>
        <v/>
      </c>
      <c r="AZ552" s="95" t="str">
        <f t="shared" si="99"/>
        <v/>
      </c>
      <c r="BA552" s="99" t="str">
        <f t="shared" ca="1" si="96"/>
        <v/>
      </c>
      <c r="BB552" s="97" t="str">
        <f t="shared" si="100"/>
        <v/>
      </c>
      <c r="BC552" s="101" t="str">
        <f t="shared" ca="1" si="103"/>
        <v/>
      </c>
      <c r="BD552" s="100" t="str">
        <f t="shared" si="101"/>
        <v/>
      </c>
      <c r="BE552" s="103" t="str">
        <f t="shared" ca="1" si="97"/>
        <v/>
      </c>
      <c r="BF552" s="102" t="str">
        <f t="shared" si="102"/>
        <v/>
      </c>
    </row>
    <row r="553" spans="48:58" hidden="1" x14ac:dyDescent="0.25">
      <c r="AV553">
        <v>523</v>
      </c>
      <c r="AW553" s="94" t="str">
        <f t="shared" ca="1" si="94"/>
        <v/>
      </c>
      <c r="AX553" s="95" t="str">
        <f t="shared" si="98"/>
        <v/>
      </c>
      <c r="AY553" s="98" t="str">
        <f t="shared" ca="1" si="95"/>
        <v/>
      </c>
      <c r="AZ553" s="95" t="str">
        <f t="shared" si="99"/>
        <v/>
      </c>
      <c r="BA553" s="99" t="str">
        <f t="shared" ca="1" si="96"/>
        <v/>
      </c>
      <c r="BB553" s="97" t="str">
        <f t="shared" si="100"/>
        <v/>
      </c>
      <c r="BC553" s="101" t="str">
        <f t="shared" ca="1" si="103"/>
        <v/>
      </c>
      <c r="BD553" s="100" t="str">
        <f t="shared" si="101"/>
        <v/>
      </c>
      <c r="BE553" s="103" t="str">
        <f t="shared" ca="1" si="97"/>
        <v/>
      </c>
      <c r="BF553" s="102" t="str">
        <f t="shared" si="102"/>
        <v/>
      </c>
    </row>
    <row r="554" spans="48:58" hidden="1" x14ac:dyDescent="0.25">
      <c r="AV554">
        <v>524</v>
      </c>
      <c r="AW554" s="94" t="str">
        <f t="shared" ca="1" si="94"/>
        <v/>
      </c>
      <c r="AX554" s="95" t="str">
        <f t="shared" si="98"/>
        <v/>
      </c>
      <c r="AY554" s="98" t="str">
        <f t="shared" ca="1" si="95"/>
        <v/>
      </c>
      <c r="AZ554" s="95" t="str">
        <f t="shared" si="99"/>
        <v/>
      </c>
      <c r="BA554" s="99" t="str">
        <f t="shared" ca="1" si="96"/>
        <v/>
      </c>
      <c r="BB554" s="97" t="str">
        <f t="shared" si="100"/>
        <v/>
      </c>
      <c r="BC554" s="101" t="str">
        <f t="shared" ca="1" si="103"/>
        <v/>
      </c>
      <c r="BD554" s="100" t="str">
        <f t="shared" si="101"/>
        <v/>
      </c>
      <c r="BE554" s="103" t="str">
        <f t="shared" ca="1" si="97"/>
        <v/>
      </c>
      <c r="BF554" s="102" t="str">
        <f t="shared" si="102"/>
        <v/>
      </c>
    </row>
    <row r="555" spans="48:58" hidden="1" x14ac:dyDescent="0.25">
      <c r="AV555">
        <v>525</v>
      </c>
      <c r="AW555" s="94" t="str">
        <f t="shared" ca="1" si="94"/>
        <v/>
      </c>
      <c r="AX555" s="95" t="str">
        <f t="shared" si="98"/>
        <v/>
      </c>
      <c r="AY555" s="98" t="str">
        <f t="shared" ca="1" si="95"/>
        <v/>
      </c>
      <c r="AZ555" s="95" t="str">
        <f t="shared" si="99"/>
        <v/>
      </c>
      <c r="BA555" s="99" t="str">
        <f t="shared" ca="1" si="96"/>
        <v/>
      </c>
      <c r="BB555" s="97" t="str">
        <f t="shared" si="100"/>
        <v/>
      </c>
      <c r="BC555" s="101" t="str">
        <f t="shared" ca="1" si="103"/>
        <v/>
      </c>
      <c r="BD555" s="100" t="str">
        <f t="shared" si="101"/>
        <v/>
      </c>
      <c r="BE555" s="103" t="str">
        <f t="shared" ca="1" si="97"/>
        <v/>
      </c>
      <c r="BF555" s="102" t="str">
        <f t="shared" si="102"/>
        <v/>
      </c>
    </row>
    <row r="556" spans="48:58" hidden="1" x14ac:dyDescent="0.25">
      <c r="AV556">
        <v>526</v>
      </c>
      <c r="AW556" s="94" t="str">
        <f t="shared" ca="1" si="94"/>
        <v/>
      </c>
      <c r="AX556" s="95" t="str">
        <f t="shared" si="98"/>
        <v/>
      </c>
      <c r="AY556" s="98" t="str">
        <f t="shared" ca="1" si="95"/>
        <v/>
      </c>
      <c r="AZ556" s="95" t="str">
        <f t="shared" si="99"/>
        <v/>
      </c>
      <c r="BA556" s="99" t="str">
        <f t="shared" ca="1" si="96"/>
        <v/>
      </c>
      <c r="BB556" s="97" t="str">
        <f t="shared" si="100"/>
        <v/>
      </c>
      <c r="BC556" s="101" t="str">
        <f t="shared" ca="1" si="103"/>
        <v/>
      </c>
      <c r="BD556" s="100" t="str">
        <f t="shared" si="101"/>
        <v/>
      </c>
      <c r="BE556" s="103" t="str">
        <f t="shared" ca="1" si="97"/>
        <v/>
      </c>
      <c r="BF556" s="102" t="str">
        <f t="shared" si="102"/>
        <v/>
      </c>
    </row>
    <row r="557" spans="48:58" hidden="1" x14ac:dyDescent="0.25">
      <c r="AV557">
        <v>527</v>
      </c>
      <c r="AW557" s="94" t="str">
        <f t="shared" ca="1" si="94"/>
        <v/>
      </c>
      <c r="AX557" s="95" t="str">
        <f t="shared" si="98"/>
        <v/>
      </c>
      <c r="AY557" s="98" t="str">
        <f t="shared" ca="1" si="95"/>
        <v/>
      </c>
      <c r="AZ557" s="95" t="str">
        <f t="shared" si="99"/>
        <v/>
      </c>
      <c r="BA557" s="99" t="str">
        <f t="shared" ca="1" si="96"/>
        <v/>
      </c>
      <c r="BB557" s="97" t="str">
        <f t="shared" si="100"/>
        <v/>
      </c>
      <c r="BC557" s="101" t="str">
        <f t="shared" ca="1" si="103"/>
        <v/>
      </c>
      <c r="BD557" s="100" t="str">
        <f t="shared" si="101"/>
        <v/>
      </c>
      <c r="BE557" s="103" t="str">
        <f t="shared" ca="1" si="97"/>
        <v/>
      </c>
      <c r="BF557" s="102" t="str">
        <f t="shared" si="102"/>
        <v/>
      </c>
    </row>
    <row r="558" spans="48:58" hidden="1" x14ac:dyDescent="0.25">
      <c r="AV558">
        <v>528</v>
      </c>
      <c r="AW558" s="94" t="str">
        <f t="shared" ca="1" si="94"/>
        <v/>
      </c>
      <c r="AX558" s="95" t="str">
        <f t="shared" si="98"/>
        <v/>
      </c>
      <c r="AY558" s="98" t="str">
        <f t="shared" ca="1" si="95"/>
        <v/>
      </c>
      <c r="AZ558" s="95" t="str">
        <f t="shared" si="99"/>
        <v/>
      </c>
      <c r="BA558" s="99" t="str">
        <f t="shared" ca="1" si="96"/>
        <v/>
      </c>
      <c r="BB558" s="97" t="str">
        <f t="shared" si="100"/>
        <v/>
      </c>
      <c r="BC558" s="101" t="str">
        <f t="shared" ca="1" si="103"/>
        <v/>
      </c>
      <c r="BD558" s="100" t="str">
        <f t="shared" si="101"/>
        <v/>
      </c>
      <c r="BE558" s="103" t="str">
        <f t="shared" ca="1" si="97"/>
        <v/>
      </c>
      <c r="BF558" s="102" t="str">
        <f t="shared" si="102"/>
        <v/>
      </c>
    </row>
    <row r="559" spans="48:58" hidden="1" x14ac:dyDescent="0.25">
      <c r="AV559">
        <v>529</v>
      </c>
      <c r="AW559" s="94" t="str">
        <f t="shared" ca="1" si="94"/>
        <v/>
      </c>
      <c r="AX559" s="95" t="str">
        <f t="shared" si="98"/>
        <v/>
      </c>
      <c r="AY559" s="98" t="str">
        <f t="shared" ca="1" si="95"/>
        <v/>
      </c>
      <c r="AZ559" s="95" t="str">
        <f t="shared" si="99"/>
        <v/>
      </c>
      <c r="BA559" s="99" t="str">
        <f t="shared" ca="1" si="96"/>
        <v/>
      </c>
      <c r="BB559" s="97" t="str">
        <f t="shared" si="100"/>
        <v/>
      </c>
      <c r="BC559" s="101" t="str">
        <f t="shared" ca="1" si="103"/>
        <v/>
      </c>
      <c r="BD559" s="100" t="str">
        <f t="shared" si="101"/>
        <v/>
      </c>
      <c r="BE559" s="103" t="str">
        <f t="shared" ca="1" si="97"/>
        <v/>
      </c>
      <c r="BF559" s="102" t="str">
        <f t="shared" si="102"/>
        <v/>
      </c>
    </row>
    <row r="560" spans="48:58" hidden="1" x14ac:dyDescent="0.25">
      <c r="AV560">
        <v>530</v>
      </c>
      <c r="AW560" s="94" t="str">
        <f t="shared" ca="1" si="94"/>
        <v/>
      </c>
      <c r="AX560" s="95" t="str">
        <f t="shared" si="98"/>
        <v/>
      </c>
      <c r="AY560" s="98" t="str">
        <f t="shared" ca="1" si="95"/>
        <v/>
      </c>
      <c r="AZ560" s="95" t="str">
        <f t="shared" si="99"/>
        <v/>
      </c>
      <c r="BA560" s="99" t="str">
        <f t="shared" ca="1" si="96"/>
        <v/>
      </c>
      <c r="BB560" s="97" t="str">
        <f t="shared" si="100"/>
        <v/>
      </c>
      <c r="BC560" s="101" t="str">
        <f t="shared" ca="1" si="103"/>
        <v/>
      </c>
      <c r="BD560" s="100" t="str">
        <f t="shared" si="101"/>
        <v/>
      </c>
      <c r="BE560" s="103" t="str">
        <f t="shared" ca="1" si="97"/>
        <v/>
      </c>
      <c r="BF560" s="102" t="str">
        <f t="shared" si="102"/>
        <v/>
      </c>
    </row>
    <row r="561" spans="48:58" hidden="1" x14ac:dyDescent="0.25">
      <c r="AV561">
        <v>531</v>
      </c>
      <c r="AW561" s="94" t="str">
        <f t="shared" ca="1" si="94"/>
        <v/>
      </c>
      <c r="AX561" s="95" t="str">
        <f t="shared" si="98"/>
        <v/>
      </c>
      <c r="AY561" s="98" t="str">
        <f t="shared" ca="1" si="95"/>
        <v/>
      </c>
      <c r="AZ561" s="95" t="str">
        <f t="shared" si="99"/>
        <v/>
      </c>
      <c r="BA561" s="99" t="str">
        <f t="shared" ca="1" si="96"/>
        <v/>
      </c>
      <c r="BB561" s="97" t="str">
        <f t="shared" si="100"/>
        <v/>
      </c>
      <c r="BC561" s="101" t="str">
        <f t="shared" ca="1" si="103"/>
        <v/>
      </c>
      <c r="BD561" s="100" t="str">
        <f t="shared" si="101"/>
        <v/>
      </c>
      <c r="BE561" s="103" t="str">
        <f t="shared" ca="1" si="97"/>
        <v/>
      </c>
      <c r="BF561" s="102" t="str">
        <f t="shared" si="102"/>
        <v/>
      </c>
    </row>
    <row r="562" spans="48:58" hidden="1" x14ac:dyDescent="0.25">
      <c r="AV562">
        <v>532</v>
      </c>
      <c r="AW562" s="94" t="str">
        <f t="shared" ca="1" si="94"/>
        <v/>
      </c>
      <c r="AX562" s="95" t="str">
        <f t="shared" si="98"/>
        <v/>
      </c>
      <c r="AY562" s="98" t="str">
        <f t="shared" ca="1" si="95"/>
        <v/>
      </c>
      <c r="AZ562" s="95" t="str">
        <f t="shared" si="99"/>
        <v/>
      </c>
      <c r="BA562" s="99" t="str">
        <f t="shared" ca="1" si="96"/>
        <v/>
      </c>
      <c r="BB562" s="97" t="str">
        <f t="shared" si="100"/>
        <v/>
      </c>
      <c r="BC562" s="101" t="str">
        <f t="shared" ca="1" si="103"/>
        <v/>
      </c>
      <c r="BD562" s="100" t="str">
        <f t="shared" si="101"/>
        <v/>
      </c>
      <c r="BE562" s="103" t="str">
        <f t="shared" ca="1" si="97"/>
        <v/>
      </c>
      <c r="BF562" s="102" t="str">
        <f t="shared" si="102"/>
        <v/>
      </c>
    </row>
    <row r="563" spans="48:58" hidden="1" x14ac:dyDescent="0.25">
      <c r="AV563">
        <v>533</v>
      </c>
      <c r="AW563" s="94" t="str">
        <f t="shared" ca="1" si="94"/>
        <v/>
      </c>
      <c r="AX563" s="95" t="str">
        <f t="shared" si="98"/>
        <v/>
      </c>
      <c r="AY563" s="98" t="str">
        <f t="shared" ca="1" si="95"/>
        <v/>
      </c>
      <c r="AZ563" s="95" t="str">
        <f t="shared" si="99"/>
        <v/>
      </c>
      <c r="BA563" s="99" t="str">
        <f t="shared" ca="1" si="96"/>
        <v/>
      </c>
      <c r="BB563" s="97" t="str">
        <f t="shared" si="100"/>
        <v/>
      </c>
      <c r="BC563" s="101" t="str">
        <f t="shared" ca="1" si="103"/>
        <v/>
      </c>
      <c r="BD563" s="100" t="str">
        <f t="shared" si="101"/>
        <v/>
      </c>
      <c r="BE563" s="103" t="str">
        <f t="shared" ca="1" si="97"/>
        <v/>
      </c>
      <c r="BF563" s="102" t="str">
        <f t="shared" si="102"/>
        <v/>
      </c>
    </row>
    <row r="564" spans="48:58" hidden="1" x14ac:dyDescent="0.25">
      <c r="AV564">
        <v>534</v>
      </c>
      <c r="AW564" s="94" t="str">
        <f t="shared" ca="1" si="94"/>
        <v/>
      </c>
      <c r="AX564" s="95" t="str">
        <f t="shared" si="98"/>
        <v/>
      </c>
      <c r="AY564" s="98" t="str">
        <f t="shared" ca="1" si="95"/>
        <v/>
      </c>
      <c r="AZ564" s="95" t="str">
        <f t="shared" si="99"/>
        <v/>
      </c>
      <c r="BA564" s="99" t="str">
        <f t="shared" ca="1" si="96"/>
        <v/>
      </c>
      <c r="BB564" s="97" t="str">
        <f t="shared" si="100"/>
        <v/>
      </c>
      <c r="BC564" s="101" t="str">
        <f t="shared" ca="1" si="103"/>
        <v/>
      </c>
      <c r="BD564" s="100" t="str">
        <f t="shared" si="101"/>
        <v/>
      </c>
      <c r="BE564" s="103" t="str">
        <f t="shared" ca="1" si="97"/>
        <v/>
      </c>
      <c r="BF564" s="102" t="str">
        <f t="shared" si="102"/>
        <v/>
      </c>
    </row>
    <row r="565" spans="48:58" hidden="1" x14ac:dyDescent="0.25">
      <c r="AV565">
        <v>535</v>
      </c>
      <c r="AW565" s="94" t="str">
        <f t="shared" ca="1" si="94"/>
        <v/>
      </c>
      <c r="AX565" s="95" t="str">
        <f t="shared" si="98"/>
        <v/>
      </c>
      <c r="AY565" s="98" t="str">
        <f t="shared" ca="1" si="95"/>
        <v/>
      </c>
      <c r="AZ565" s="95" t="str">
        <f t="shared" si="99"/>
        <v/>
      </c>
      <c r="BA565" s="99" t="str">
        <f t="shared" ca="1" si="96"/>
        <v/>
      </c>
      <c r="BB565" s="97" t="str">
        <f t="shared" si="100"/>
        <v/>
      </c>
      <c r="BC565" s="101" t="str">
        <f t="shared" ca="1" si="103"/>
        <v/>
      </c>
      <c r="BD565" s="100" t="str">
        <f t="shared" si="101"/>
        <v/>
      </c>
      <c r="BE565" s="103" t="str">
        <f t="shared" ca="1" si="97"/>
        <v/>
      </c>
      <c r="BF565" s="102" t="str">
        <f t="shared" si="102"/>
        <v/>
      </c>
    </row>
    <row r="566" spans="48:58" hidden="1" x14ac:dyDescent="0.25">
      <c r="AV566">
        <v>536</v>
      </c>
      <c r="AW566" s="94" t="str">
        <f t="shared" ca="1" si="94"/>
        <v/>
      </c>
      <c r="AX566" s="95" t="str">
        <f t="shared" si="98"/>
        <v/>
      </c>
      <c r="AY566" s="98" t="str">
        <f t="shared" ca="1" si="95"/>
        <v/>
      </c>
      <c r="AZ566" s="95" t="str">
        <f t="shared" si="99"/>
        <v/>
      </c>
      <c r="BA566" s="99" t="str">
        <f t="shared" ca="1" si="96"/>
        <v/>
      </c>
      <c r="BB566" s="97" t="str">
        <f t="shared" si="100"/>
        <v/>
      </c>
      <c r="BC566" s="101" t="str">
        <f t="shared" ca="1" si="103"/>
        <v/>
      </c>
      <c r="BD566" s="100" t="str">
        <f t="shared" si="101"/>
        <v/>
      </c>
      <c r="BE566" s="103" t="str">
        <f t="shared" ca="1" si="97"/>
        <v/>
      </c>
      <c r="BF566" s="102" t="str">
        <f t="shared" si="102"/>
        <v/>
      </c>
    </row>
    <row r="567" spans="48:58" hidden="1" x14ac:dyDescent="0.25">
      <c r="AV567">
        <v>537</v>
      </c>
      <c r="AW567" s="94" t="str">
        <f t="shared" ca="1" si="94"/>
        <v/>
      </c>
      <c r="AX567" s="95" t="str">
        <f t="shared" si="98"/>
        <v/>
      </c>
      <c r="AY567" s="98" t="str">
        <f t="shared" ca="1" si="95"/>
        <v/>
      </c>
      <c r="AZ567" s="95" t="str">
        <f t="shared" si="99"/>
        <v/>
      </c>
      <c r="BA567" s="99" t="str">
        <f t="shared" ca="1" si="96"/>
        <v/>
      </c>
      <c r="BB567" s="97" t="str">
        <f t="shared" si="100"/>
        <v/>
      </c>
      <c r="BC567" s="101" t="str">
        <f t="shared" ca="1" si="103"/>
        <v/>
      </c>
      <c r="BD567" s="100" t="str">
        <f t="shared" si="101"/>
        <v/>
      </c>
      <c r="BE567" s="103" t="str">
        <f t="shared" ca="1" si="97"/>
        <v/>
      </c>
      <c r="BF567" s="102" t="str">
        <f t="shared" si="102"/>
        <v/>
      </c>
    </row>
    <row r="568" spans="48:58" hidden="1" x14ac:dyDescent="0.25">
      <c r="AV568">
        <v>538</v>
      </c>
      <c r="AW568" s="94" t="str">
        <f t="shared" ca="1" si="94"/>
        <v/>
      </c>
      <c r="AX568" s="95" t="str">
        <f t="shared" si="98"/>
        <v/>
      </c>
      <c r="AY568" s="98" t="str">
        <f t="shared" ca="1" si="95"/>
        <v/>
      </c>
      <c r="AZ568" s="95" t="str">
        <f t="shared" si="99"/>
        <v/>
      </c>
      <c r="BA568" s="99" t="str">
        <f t="shared" ca="1" si="96"/>
        <v/>
      </c>
      <c r="BB568" s="97" t="str">
        <f t="shared" si="100"/>
        <v/>
      </c>
      <c r="BC568" s="101" t="str">
        <f t="shared" ca="1" si="103"/>
        <v/>
      </c>
      <c r="BD568" s="100" t="str">
        <f t="shared" si="101"/>
        <v/>
      </c>
      <c r="BE568" s="103" t="str">
        <f t="shared" ca="1" si="97"/>
        <v/>
      </c>
      <c r="BF568" s="102" t="str">
        <f t="shared" si="102"/>
        <v/>
      </c>
    </row>
    <row r="569" spans="48:58" hidden="1" x14ac:dyDescent="0.25">
      <c r="AV569">
        <v>539</v>
      </c>
      <c r="AW569" s="94" t="str">
        <f t="shared" ca="1" si="94"/>
        <v/>
      </c>
      <c r="AX569" s="95" t="str">
        <f t="shared" si="98"/>
        <v/>
      </c>
      <c r="AY569" s="98" t="str">
        <f t="shared" ca="1" si="95"/>
        <v/>
      </c>
      <c r="AZ569" s="95" t="str">
        <f t="shared" si="99"/>
        <v/>
      </c>
      <c r="BA569" s="99" t="str">
        <f t="shared" ca="1" si="96"/>
        <v/>
      </c>
      <c r="BB569" s="97" t="str">
        <f t="shared" si="100"/>
        <v/>
      </c>
      <c r="BC569" s="101" t="str">
        <f t="shared" ca="1" si="103"/>
        <v/>
      </c>
      <c r="BD569" s="100" t="str">
        <f t="shared" si="101"/>
        <v/>
      </c>
      <c r="BE569" s="103" t="str">
        <f t="shared" ca="1" si="97"/>
        <v/>
      </c>
      <c r="BF569" s="102" t="str">
        <f t="shared" si="102"/>
        <v/>
      </c>
    </row>
    <row r="570" spans="48:58" hidden="1" x14ac:dyDescent="0.25">
      <c r="AV570">
        <v>540</v>
      </c>
      <c r="AW570" s="94" t="str">
        <f t="shared" ca="1" si="94"/>
        <v/>
      </c>
      <c r="AX570" s="95" t="str">
        <f t="shared" si="98"/>
        <v/>
      </c>
      <c r="AY570" s="98" t="str">
        <f t="shared" ca="1" si="95"/>
        <v/>
      </c>
      <c r="AZ570" s="95" t="str">
        <f t="shared" si="99"/>
        <v/>
      </c>
      <c r="BA570" s="99" t="str">
        <f t="shared" ca="1" si="96"/>
        <v/>
      </c>
      <c r="BB570" s="97" t="str">
        <f t="shared" si="100"/>
        <v/>
      </c>
      <c r="BC570" s="101" t="str">
        <f t="shared" ca="1" si="103"/>
        <v/>
      </c>
      <c r="BD570" s="100" t="str">
        <f t="shared" si="101"/>
        <v/>
      </c>
      <c r="BE570" s="103" t="str">
        <f t="shared" ca="1" si="97"/>
        <v/>
      </c>
      <c r="BF570" s="102" t="str">
        <f t="shared" si="102"/>
        <v/>
      </c>
    </row>
    <row r="571" spans="48:58" hidden="1" x14ac:dyDescent="0.25">
      <c r="AV571">
        <v>541</v>
      </c>
      <c r="AW571" s="94" t="str">
        <f t="shared" ca="1" si="94"/>
        <v/>
      </c>
      <c r="AX571" s="95" t="str">
        <f t="shared" si="98"/>
        <v/>
      </c>
      <c r="AY571" s="98" t="str">
        <f t="shared" ca="1" si="95"/>
        <v/>
      </c>
      <c r="AZ571" s="95" t="str">
        <f t="shared" si="99"/>
        <v/>
      </c>
      <c r="BA571" s="99" t="str">
        <f t="shared" ca="1" si="96"/>
        <v/>
      </c>
      <c r="BB571" s="97" t="str">
        <f t="shared" si="100"/>
        <v/>
      </c>
      <c r="BC571" s="101" t="str">
        <f t="shared" ca="1" si="103"/>
        <v/>
      </c>
      <c r="BD571" s="100" t="str">
        <f t="shared" si="101"/>
        <v/>
      </c>
      <c r="BE571" s="103" t="str">
        <f t="shared" ca="1" si="97"/>
        <v/>
      </c>
      <c r="BF571" s="102" t="str">
        <f t="shared" si="102"/>
        <v/>
      </c>
    </row>
    <row r="572" spans="48:58" hidden="1" x14ac:dyDescent="0.25">
      <c r="AV572">
        <v>542</v>
      </c>
      <c r="AW572" s="94" t="str">
        <f t="shared" ca="1" si="94"/>
        <v/>
      </c>
      <c r="AX572" s="95" t="str">
        <f t="shared" si="98"/>
        <v/>
      </c>
      <c r="AY572" s="98" t="str">
        <f t="shared" ca="1" si="95"/>
        <v/>
      </c>
      <c r="AZ572" s="95" t="str">
        <f t="shared" si="99"/>
        <v/>
      </c>
      <c r="BA572" s="99" t="str">
        <f t="shared" ca="1" si="96"/>
        <v/>
      </c>
      <c r="BB572" s="97" t="str">
        <f t="shared" si="100"/>
        <v/>
      </c>
      <c r="BC572" s="101" t="str">
        <f t="shared" ca="1" si="103"/>
        <v/>
      </c>
      <c r="BD572" s="100" t="str">
        <f t="shared" si="101"/>
        <v/>
      </c>
      <c r="BE572" s="103" t="str">
        <f t="shared" ca="1" si="97"/>
        <v/>
      </c>
      <c r="BF572" s="102" t="str">
        <f t="shared" si="102"/>
        <v/>
      </c>
    </row>
    <row r="573" spans="48:58" hidden="1" x14ac:dyDescent="0.25">
      <c r="AV573">
        <v>543</v>
      </c>
      <c r="AW573" s="94" t="str">
        <f t="shared" ca="1" si="94"/>
        <v/>
      </c>
      <c r="AX573" s="95" t="str">
        <f t="shared" si="98"/>
        <v/>
      </c>
      <c r="AY573" s="98" t="str">
        <f t="shared" ca="1" si="95"/>
        <v/>
      </c>
      <c r="AZ573" s="95" t="str">
        <f t="shared" si="99"/>
        <v/>
      </c>
      <c r="BA573" s="99" t="str">
        <f t="shared" ca="1" si="96"/>
        <v/>
      </c>
      <c r="BB573" s="97" t="str">
        <f t="shared" si="100"/>
        <v/>
      </c>
      <c r="BC573" s="101" t="str">
        <f t="shared" ca="1" si="103"/>
        <v/>
      </c>
      <c r="BD573" s="100" t="str">
        <f t="shared" si="101"/>
        <v/>
      </c>
      <c r="BE573" s="103" t="str">
        <f t="shared" ca="1" si="97"/>
        <v/>
      </c>
      <c r="BF573" s="102" t="str">
        <f t="shared" si="102"/>
        <v/>
      </c>
    </row>
    <row r="574" spans="48:58" hidden="1" x14ac:dyDescent="0.25">
      <c r="AV574">
        <v>544</v>
      </c>
      <c r="AW574" s="94" t="str">
        <f t="shared" ca="1" si="94"/>
        <v/>
      </c>
      <c r="AX574" s="95" t="str">
        <f t="shared" si="98"/>
        <v/>
      </c>
      <c r="AY574" s="98" t="str">
        <f t="shared" ca="1" si="95"/>
        <v/>
      </c>
      <c r="AZ574" s="95" t="str">
        <f t="shared" si="99"/>
        <v/>
      </c>
      <c r="BA574" s="99" t="str">
        <f t="shared" ca="1" si="96"/>
        <v/>
      </c>
      <c r="BB574" s="97" t="str">
        <f t="shared" si="100"/>
        <v/>
      </c>
      <c r="BC574" s="101" t="str">
        <f t="shared" ca="1" si="103"/>
        <v/>
      </c>
      <c r="BD574" s="100" t="str">
        <f t="shared" si="101"/>
        <v/>
      </c>
      <c r="BE574" s="103" t="str">
        <f t="shared" ca="1" si="97"/>
        <v/>
      </c>
      <c r="BF574" s="102" t="str">
        <f t="shared" si="102"/>
        <v/>
      </c>
    </row>
    <row r="575" spans="48:58" hidden="1" x14ac:dyDescent="0.25">
      <c r="AV575">
        <v>545</v>
      </c>
      <c r="AW575" s="94" t="str">
        <f t="shared" ca="1" si="94"/>
        <v/>
      </c>
      <c r="AX575" s="95" t="str">
        <f t="shared" si="98"/>
        <v/>
      </c>
      <c r="AY575" s="98" t="str">
        <f t="shared" ca="1" si="95"/>
        <v/>
      </c>
      <c r="AZ575" s="95" t="str">
        <f t="shared" si="99"/>
        <v/>
      </c>
      <c r="BA575" s="99" t="str">
        <f t="shared" ca="1" si="96"/>
        <v/>
      </c>
      <c r="BB575" s="97" t="str">
        <f t="shared" si="100"/>
        <v/>
      </c>
      <c r="BC575" s="101" t="str">
        <f t="shared" ca="1" si="103"/>
        <v/>
      </c>
      <c r="BD575" s="100" t="str">
        <f t="shared" si="101"/>
        <v/>
      </c>
      <c r="BE575" s="103" t="str">
        <f t="shared" ca="1" si="97"/>
        <v/>
      </c>
      <c r="BF575" s="102" t="str">
        <f t="shared" si="102"/>
        <v/>
      </c>
    </row>
    <row r="576" spans="48:58" hidden="1" x14ac:dyDescent="0.25">
      <c r="AV576">
        <v>546</v>
      </c>
      <c r="AW576" s="94" t="str">
        <f t="shared" ca="1" si="94"/>
        <v/>
      </c>
      <c r="AX576" s="95" t="str">
        <f t="shared" si="98"/>
        <v/>
      </c>
      <c r="AY576" s="98" t="str">
        <f t="shared" ca="1" si="95"/>
        <v/>
      </c>
      <c r="AZ576" s="95" t="str">
        <f t="shared" si="99"/>
        <v/>
      </c>
      <c r="BA576" s="99" t="str">
        <f t="shared" ca="1" si="96"/>
        <v/>
      </c>
      <c r="BB576" s="97" t="str">
        <f t="shared" si="100"/>
        <v/>
      </c>
      <c r="BC576" s="101" t="str">
        <f t="shared" ca="1" si="103"/>
        <v/>
      </c>
      <c r="BD576" s="100" t="str">
        <f t="shared" si="101"/>
        <v/>
      </c>
      <c r="BE576" s="103" t="str">
        <f t="shared" ca="1" si="97"/>
        <v/>
      </c>
      <c r="BF576" s="102" t="str">
        <f t="shared" si="102"/>
        <v/>
      </c>
    </row>
    <row r="577" spans="48:58" hidden="1" x14ac:dyDescent="0.25">
      <c r="AV577">
        <v>547</v>
      </c>
      <c r="AW577" s="94" t="str">
        <f t="shared" ca="1" si="94"/>
        <v/>
      </c>
      <c r="AX577" s="95" t="str">
        <f t="shared" si="98"/>
        <v/>
      </c>
      <c r="AY577" s="98" t="str">
        <f t="shared" ca="1" si="95"/>
        <v/>
      </c>
      <c r="AZ577" s="95" t="str">
        <f t="shared" si="99"/>
        <v/>
      </c>
      <c r="BA577" s="99" t="str">
        <f t="shared" ca="1" si="96"/>
        <v/>
      </c>
      <c r="BB577" s="97" t="str">
        <f t="shared" si="100"/>
        <v/>
      </c>
      <c r="BC577" s="101" t="str">
        <f t="shared" ca="1" si="103"/>
        <v/>
      </c>
      <c r="BD577" s="100" t="str">
        <f t="shared" si="101"/>
        <v/>
      </c>
      <c r="BE577" s="103" t="str">
        <f t="shared" ca="1" si="97"/>
        <v/>
      </c>
      <c r="BF577" s="102" t="str">
        <f t="shared" si="102"/>
        <v/>
      </c>
    </row>
    <row r="578" spans="48:58" hidden="1" x14ac:dyDescent="0.25">
      <c r="AV578">
        <v>548</v>
      </c>
      <c r="AW578" s="94" t="str">
        <f t="shared" ca="1" si="94"/>
        <v/>
      </c>
      <c r="AX578" s="95" t="str">
        <f t="shared" si="98"/>
        <v/>
      </c>
      <c r="AY578" s="98" t="str">
        <f t="shared" ca="1" si="95"/>
        <v/>
      </c>
      <c r="AZ578" s="95" t="str">
        <f t="shared" si="99"/>
        <v/>
      </c>
      <c r="BA578" s="99" t="str">
        <f t="shared" ca="1" si="96"/>
        <v/>
      </c>
      <c r="BB578" s="97" t="str">
        <f t="shared" si="100"/>
        <v/>
      </c>
      <c r="BC578" s="101" t="str">
        <f t="shared" ca="1" si="103"/>
        <v/>
      </c>
      <c r="BD578" s="100" t="str">
        <f t="shared" si="101"/>
        <v/>
      </c>
      <c r="BE578" s="103" t="str">
        <f t="shared" ca="1" si="97"/>
        <v/>
      </c>
      <c r="BF578" s="102" t="str">
        <f t="shared" si="102"/>
        <v/>
      </c>
    </row>
    <row r="579" spans="48:58" hidden="1" x14ac:dyDescent="0.25">
      <c r="AV579">
        <v>549</v>
      </c>
      <c r="AW579" s="94" t="str">
        <f t="shared" ca="1" si="94"/>
        <v/>
      </c>
      <c r="AX579" s="95" t="str">
        <f t="shared" si="98"/>
        <v/>
      </c>
      <c r="AY579" s="98" t="str">
        <f t="shared" ca="1" si="95"/>
        <v/>
      </c>
      <c r="AZ579" s="95" t="str">
        <f t="shared" si="99"/>
        <v/>
      </c>
      <c r="BA579" s="99" t="str">
        <f t="shared" ca="1" si="96"/>
        <v/>
      </c>
      <c r="BB579" s="97" t="str">
        <f t="shared" si="100"/>
        <v/>
      </c>
      <c r="BC579" s="101" t="str">
        <f t="shared" ca="1" si="103"/>
        <v/>
      </c>
      <c r="BD579" s="100" t="str">
        <f t="shared" si="101"/>
        <v/>
      </c>
      <c r="BE579" s="103" t="str">
        <f t="shared" ca="1" si="97"/>
        <v/>
      </c>
      <c r="BF579" s="102" t="str">
        <f t="shared" si="102"/>
        <v/>
      </c>
    </row>
    <row r="580" spans="48:58" hidden="1" x14ac:dyDescent="0.25">
      <c r="AV580">
        <v>550</v>
      </c>
      <c r="AW580" s="94" t="str">
        <f t="shared" ca="1" si="94"/>
        <v/>
      </c>
      <c r="AX580" s="95" t="str">
        <f t="shared" si="98"/>
        <v/>
      </c>
      <c r="AY580" s="98" t="str">
        <f t="shared" ca="1" si="95"/>
        <v/>
      </c>
      <c r="AZ580" s="95" t="str">
        <f t="shared" si="99"/>
        <v/>
      </c>
      <c r="BA580" s="99" t="str">
        <f t="shared" ca="1" si="96"/>
        <v/>
      </c>
      <c r="BB580" s="97" t="str">
        <f t="shared" si="100"/>
        <v/>
      </c>
      <c r="BC580" s="101" t="str">
        <f t="shared" ca="1" si="103"/>
        <v/>
      </c>
      <c r="BD580" s="100" t="str">
        <f t="shared" si="101"/>
        <v/>
      </c>
      <c r="BE580" s="103" t="str">
        <f t="shared" ca="1" si="97"/>
        <v/>
      </c>
      <c r="BF580" s="102" t="str">
        <f t="shared" si="102"/>
        <v/>
      </c>
    </row>
    <row r="581" spans="48:58" hidden="1" x14ac:dyDescent="0.25">
      <c r="AV581">
        <v>551</v>
      </c>
      <c r="AW581" s="94" t="str">
        <f t="shared" ca="1" si="94"/>
        <v/>
      </c>
      <c r="AX581" s="95" t="str">
        <f t="shared" si="98"/>
        <v/>
      </c>
      <c r="AY581" s="98" t="str">
        <f t="shared" ca="1" si="95"/>
        <v/>
      </c>
      <c r="AZ581" s="95" t="str">
        <f t="shared" si="99"/>
        <v/>
      </c>
      <c r="BA581" s="99" t="str">
        <f t="shared" ca="1" si="96"/>
        <v/>
      </c>
      <c r="BB581" s="97" t="str">
        <f t="shared" si="100"/>
        <v/>
      </c>
      <c r="BC581" s="101" t="str">
        <f t="shared" ca="1" si="103"/>
        <v/>
      </c>
      <c r="BD581" s="100" t="str">
        <f t="shared" si="101"/>
        <v/>
      </c>
      <c r="BE581" s="103" t="str">
        <f t="shared" ca="1" si="97"/>
        <v/>
      </c>
      <c r="BF581" s="102" t="str">
        <f t="shared" si="102"/>
        <v/>
      </c>
    </row>
    <row r="582" spans="48:58" hidden="1" x14ac:dyDescent="0.25">
      <c r="AV582">
        <v>552</v>
      </c>
      <c r="AW582" s="94" t="str">
        <f t="shared" ca="1" si="94"/>
        <v/>
      </c>
      <c r="AX582" s="95" t="str">
        <f t="shared" si="98"/>
        <v/>
      </c>
      <c r="AY582" s="98" t="str">
        <f t="shared" ca="1" si="95"/>
        <v/>
      </c>
      <c r="AZ582" s="95" t="str">
        <f t="shared" si="99"/>
        <v/>
      </c>
      <c r="BA582" s="99" t="str">
        <f t="shared" ca="1" si="96"/>
        <v/>
      </c>
      <c r="BB582" s="97" t="str">
        <f t="shared" si="100"/>
        <v/>
      </c>
      <c r="BC582" s="101" t="str">
        <f t="shared" ca="1" si="103"/>
        <v/>
      </c>
      <c r="BD582" s="100" t="str">
        <f t="shared" si="101"/>
        <v/>
      </c>
      <c r="BE582" s="103" t="str">
        <f t="shared" ca="1" si="97"/>
        <v/>
      </c>
      <c r="BF582" s="102" t="str">
        <f t="shared" si="102"/>
        <v/>
      </c>
    </row>
    <row r="583" spans="48:58" hidden="1" x14ac:dyDescent="0.25">
      <c r="AV583">
        <v>553</v>
      </c>
      <c r="AW583" s="94" t="str">
        <f t="shared" ca="1" si="94"/>
        <v/>
      </c>
      <c r="AX583" s="95" t="str">
        <f t="shared" si="98"/>
        <v/>
      </c>
      <c r="AY583" s="98" t="str">
        <f t="shared" ca="1" si="95"/>
        <v/>
      </c>
      <c r="AZ583" s="95" t="str">
        <f t="shared" si="99"/>
        <v/>
      </c>
      <c r="BA583" s="99" t="str">
        <f t="shared" ca="1" si="96"/>
        <v/>
      </c>
      <c r="BB583" s="97" t="str">
        <f t="shared" si="100"/>
        <v/>
      </c>
      <c r="BC583" s="101" t="str">
        <f t="shared" ca="1" si="103"/>
        <v/>
      </c>
      <c r="BD583" s="100" t="str">
        <f t="shared" si="101"/>
        <v/>
      </c>
      <c r="BE583" s="103" t="str">
        <f t="shared" ca="1" si="97"/>
        <v/>
      </c>
      <c r="BF583" s="102" t="str">
        <f t="shared" si="102"/>
        <v/>
      </c>
    </row>
    <row r="584" spans="48:58" hidden="1" x14ac:dyDescent="0.25">
      <c r="AV584">
        <v>554</v>
      </c>
      <c r="AW584" s="94" t="str">
        <f t="shared" ca="1" si="94"/>
        <v/>
      </c>
      <c r="AX584" s="95" t="str">
        <f t="shared" si="98"/>
        <v/>
      </c>
      <c r="AY584" s="98" t="str">
        <f t="shared" ca="1" si="95"/>
        <v/>
      </c>
      <c r="AZ584" s="95" t="str">
        <f t="shared" si="99"/>
        <v/>
      </c>
      <c r="BA584" s="99" t="str">
        <f t="shared" ca="1" si="96"/>
        <v/>
      </c>
      <c r="BB584" s="97" t="str">
        <f t="shared" si="100"/>
        <v/>
      </c>
      <c r="BC584" s="101" t="str">
        <f t="shared" ca="1" si="103"/>
        <v/>
      </c>
      <c r="BD584" s="100" t="str">
        <f t="shared" si="101"/>
        <v/>
      </c>
      <c r="BE584" s="103" t="str">
        <f t="shared" ca="1" si="97"/>
        <v/>
      </c>
      <c r="BF584" s="102" t="str">
        <f t="shared" si="102"/>
        <v/>
      </c>
    </row>
    <row r="585" spans="48:58" hidden="1" x14ac:dyDescent="0.25">
      <c r="AV585">
        <v>555</v>
      </c>
      <c r="AW585" s="94" t="str">
        <f t="shared" ca="1" si="94"/>
        <v/>
      </c>
      <c r="AX585" s="95" t="str">
        <f t="shared" si="98"/>
        <v/>
      </c>
      <c r="AY585" s="98" t="str">
        <f t="shared" ca="1" si="95"/>
        <v/>
      </c>
      <c r="AZ585" s="95" t="str">
        <f t="shared" si="99"/>
        <v/>
      </c>
      <c r="BA585" s="99" t="str">
        <f t="shared" ca="1" si="96"/>
        <v/>
      </c>
      <c r="BB585" s="97" t="str">
        <f t="shared" si="100"/>
        <v/>
      </c>
      <c r="BC585" s="101" t="str">
        <f t="shared" ca="1" si="103"/>
        <v/>
      </c>
      <c r="BD585" s="100" t="str">
        <f t="shared" si="101"/>
        <v/>
      </c>
      <c r="BE585" s="103" t="str">
        <f t="shared" ca="1" si="97"/>
        <v/>
      </c>
      <c r="BF585" s="102" t="str">
        <f t="shared" si="102"/>
        <v/>
      </c>
    </row>
    <row r="586" spans="48:58" hidden="1" x14ac:dyDescent="0.25">
      <c r="AV586">
        <v>556</v>
      </c>
      <c r="AW586" s="94" t="str">
        <f t="shared" ca="1" si="94"/>
        <v/>
      </c>
      <c r="AX586" s="95" t="str">
        <f t="shared" si="98"/>
        <v/>
      </c>
      <c r="AY586" s="98" t="str">
        <f t="shared" ca="1" si="95"/>
        <v/>
      </c>
      <c r="AZ586" s="95" t="str">
        <f t="shared" si="99"/>
        <v/>
      </c>
      <c r="BA586" s="99" t="str">
        <f t="shared" ca="1" si="96"/>
        <v/>
      </c>
      <c r="BB586" s="97" t="str">
        <f t="shared" si="100"/>
        <v/>
      </c>
      <c r="BC586" s="101" t="str">
        <f t="shared" ca="1" si="103"/>
        <v/>
      </c>
      <c r="BD586" s="100" t="str">
        <f t="shared" si="101"/>
        <v/>
      </c>
      <c r="BE586" s="103" t="str">
        <f t="shared" ca="1" si="97"/>
        <v/>
      </c>
      <c r="BF586" s="102" t="str">
        <f t="shared" si="102"/>
        <v/>
      </c>
    </row>
    <row r="587" spans="48:58" hidden="1" x14ac:dyDescent="0.25">
      <c r="AV587">
        <v>557</v>
      </c>
      <c r="AW587" s="94" t="str">
        <f t="shared" ca="1" si="94"/>
        <v/>
      </c>
      <c r="AX587" s="95" t="str">
        <f t="shared" si="98"/>
        <v/>
      </c>
      <c r="AY587" s="98" t="str">
        <f t="shared" ca="1" si="95"/>
        <v/>
      </c>
      <c r="AZ587" s="95" t="str">
        <f t="shared" si="99"/>
        <v/>
      </c>
      <c r="BA587" s="99" t="str">
        <f t="shared" ca="1" si="96"/>
        <v/>
      </c>
      <c r="BB587" s="97" t="str">
        <f t="shared" si="100"/>
        <v/>
      </c>
      <c r="BC587" s="101" t="str">
        <f t="shared" ca="1" si="103"/>
        <v/>
      </c>
      <c r="BD587" s="100" t="str">
        <f t="shared" si="101"/>
        <v/>
      </c>
      <c r="BE587" s="103" t="str">
        <f t="shared" ca="1" si="97"/>
        <v/>
      </c>
      <c r="BF587" s="102" t="str">
        <f t="shared" si="102"/>
        <v/>
      </c>
    </row>
    <row r="588" spans="48:58" hidden="1" x14ac:dyDescent="0.25">
      <c r="AV588">
        <v>558</v>
      </c>
      <c r="AW588" s="94" t="str">
        <f t="shared" ca="1" si="94"/>
        <v/>
      </c>
      <c r="AX588" s="95" t="str">
        <f t="shared" si="98"/>
        <v/>
      </c>
      <c r="AY588" s="98" t="str">
        <f t="shared" ca="1" si="95"/>
        <v/>
      </c>
      <c r="AZ588" s="95" t="str">
        <f t="shared" si="99"/>
        <v/>
      </c>
      <c r="BA588" s="99" t="str">
        <f t="shared" ca="1" si="96"/>
        <v/>
      </c>
      <c r="BB588" s="97" t="str">
        <f t="shared" si="100"/>
        <v/>
      </c>
      <c r="BC588" s="101" t="str">
        <f t="shared" ca="1" si="103"/>
        <v/>
      </c>
      <c r="BD588" s="100" t="str">
        <f t="shared" si="101"/>
        <v/>
      </c>
      <c r="BE588" s="103" t="str">
        <f t="shared" ca="1" si="97"/>
        <v/>
      </c>
      <c r="BF588" s="102" t="str">
        <f t="shared" si="102"/>
        <v/>
      </c>
    </row>
    <row r="589" spans="48:58" hidden="1" x14ac:dyDescent="0.25">
      <c r="AV589">
        <v>559</v>
      </c>
      <c r="AW589" s="94" t="str">
        <f t="shared" ca="1" si="94"/>
        <v/>
      </c>
      <c r="AX589" s="95" t="str">
        <f t="shared" si="98"/>
        <v/>
      </c>
      <c r="AY589" s="98" t="str">
        <f t="shared" ca="1" si="95"/>
        <v/>
      </c>
      <c r="AZ589" s="95" t="str">
        <f t="shared" si="99"/>
        <v/>
      </c>
      <c r="BA589" s="99" t="str">
        <f t="shared" ca="1" si="96"/>
        <v/>
      </c>
      <c r="BB589" s="97" t="str">
        <f t="shared" si="100"/>
        <v/>
      </c>
      <c r="BC589" s="101" t="str">
        <f t="shared" ca="1" si="103"/>
        <v/>
      </c>
      <c r="BD589" s="100" t="str">
        <f t="shared" si="101"/>
        <v/>
      </c>
      <c r="BE589" s="103" t="str">
        <f t="shared" ca="1" si="97"/>
        <v/>
      </c>
      <c r="BF589" s="102" t="str">
        <f t="shared" si="102"/>
        <v/>
      </c>
    </row>
    <row r="590" spans="48:58" hidden="1" x14ac:dyDescent="0.25">
      <c r="AV590">
        <v>560</v>
      </c>
      <c r="AW590" s="94" t="str">
        <f t="shared" ca="1" si="94"/>
        <v/>
      </c>
      <c r="AX590" s="95" t="str">
        <f t="shared" si="98"/>
        <v/>
      </c>
      <c r="AY590" s="98" t="str">
        <f t="shared" ca="1" si="95"/>
        <v/>
      </c>
      <c r="AZ590" s="95" t="str">
        <f t="shared" si="99"/>
        <v/>
      </c>
      <c r="BA590" s="99" t="str">
        <f t="shared" ca="1" si="96"/>
        <v/>
      </c>
      <c r="BB590" s="97" t="str">
        <f t="shared" si="100"/>
        <v/>
      </c>
      <c r="BC590" s="101" t="str">
        <f t="shared" ca="1" si="103"/>
        <v/>
      </c>
      <c r="BD590" s="100" t="str">
        <f t="shared" si="101"/>
        <v/>
      </c>
      <c r="BE590" s="103" t="str">
        <f t="shared" ca="1" si="97"/>
        <v/>
      </c>
      <c r="BF590" s="102" t="str">
        <f t="shared" si="102"/>
        <v/>
      </c>
    </row>
    <row r="591" spans="48:58" hidden="1" x14ac:dyDescent="0.25">
      <c r="AV591">
        <v>561</v>
      </c>
      <c r="AW591" s="94" t="str">
        <f t="shared" ca="1" si="94"/>
        <v/>
      </c>
      <c r="AX591" s="95" t="str">
        <f t="shared" si="98"/>
        <v/>
      </c>
      <c r="AY591" s="98" t="str">
        <f t="shared" ca="1" si="95"/>
        <v/>
      </c>
      <c r="AZ591" s="95" t="str">
        <f t="shared" si="99"/>
        <v/>
      </c>
      <c r="BA591" s="99" t="str">
        <f t="shared" ca="1" si="96"/>
        <v/>
      </c>
      <c r="BB591" s="97" t="str">
        <f t="shared" si="100"/>
        <v/>
      </c>
      <c r="BC591" s="101" t="str">
        <f t="shared" ca="1" si="103"/>
        <v/>
      </c>
      <c r="BD591" s="100" t="str">
        <f t="shared" si="101"/>
        <v/>
      </c>
      <c r="BE591" s="103" t="str">
        <f t="shared" ca="1" si="97"/>
        <v/>
      </c>
      <c r="BF591" s="102" t="str">
        <f t="shared" si="102"/>
        <v/>
      </c>
    </row>
    <row r="592" spans="48:58" hidden="1" x14ac:dyDescent="0.25">
      <c r="AV592">
        <v>562</v>
      </c>
      <c r="AW592" s="94" t="str">
        <f t="shared" ca="1" si="94"/>
        <v/>
      </c>
      <c r="AX592" s="95" t="str">
        <f t="shared" si="98"/>
        <v/>
      </c>
      <c r="AY592" s="98" t="str">
        <f t="shared" ca="1" si="95"/>
        <v/>
      </c>
      <c r="AZ592" s="95" t="str">
        <f t="shared" si="99"/>
        <v/>
      </c>
      <c r="BA592" s="99" t="str">
        <f t="shared" ca="1" si="96"/>
        <v/>
      </c>
      <c r="BB592" s="97" t="str">
        <f t="shared" si="100"/>
        <v/>
      </c>
      <c r="BC592" s="101" t="str">
        <f t="shared" ca="1" si="103"/>
        <v/>
      </c>
      <c r="BD592" s="100" t="str">
        <f t="shared" si="101"/>
        <v/>
      </c>
      <c r="BE592" s="103" t="str">
        <f t="shared" ca="1" si="97"/>
        <v/>
      </c>
      <c r="BF592" s="102" t="str">
        <f t="shared" si="102"/>
        <v/>
      </c>
    </row>
    <row r="593" spans="48:58" hidden="1" x14ac:dyDescent="0.25">
      <c r="AV593">
        <v>563</v>
      </c>
      <c r="AW593" s="94" t="str">
        <f t="shared" ca="1" si="94"/>
        <v/>
      </c>
      <c r="AX593" s="95" t="str">
        <f t="shared" si="98"/>
        <v/>
      </c>
      <c r="AY593" s="98" t="str">
        <f t="shared" ca="1" si="95"/>
        <v/>
      </c>
      <c r="AZ593" s="95" t="str">
        <f t="shared" si="99"/>
        <v/>
      </c>
      <c r="BA593" s="99" t="str">
        <f t="shared" ca="1" si="96"/>
        <v/>
      </c>
      <c r="BB593" s="97" t="str">
        <f t="shared" si="100"/>
        <v/>
      </c>
      <c r="BC593" s="101" t="str">
        <f t="shared" ca="1" si="103"/>
        <v/>
      </c>
      <c r="BD593" s="100" t="str">
        <f t="shared" si="101"/>
        <v/>
      </c>
      <c r="BE593" s="103" t="str">
        <f t="shared" ca="1" si="97"/>
        <v/>
      </c>
      <c r="BF593" s="102" t="str">
        <f t="shared" si="102"/>
        <v/>
      </c>
    </row>
    <row r="594" spans="48:58" hidden="1" x14ac:dyDescent="0.25">
      <c r="AV594">
        <v>564</v>
      </c>
      <c r="AW594" s="94" t="str">
        <f t="shared" ca="1" si="94"/>
        <v/>
      </c>
      <c r="AX594" s="95" t="str">
        <f t="shared" si="98"/>
        <v/>
      </c>
      <c r="AY594" s="98" t="str">
        <f t="shared" ca="1" si="95"/>
        <v/>
      </c>
      <c r="AZ594" s="95" t="str">
        <f t="shared" si="99"/>
        <v/>
      </c>
      <c r="BA594" s="99" t="str">
        <f t="shared" ca="1" si="96"/>
        <v/>
      </c>
      <c r="BB594" s="97" t="str">
        <f t="shared" si="100"/>
        <v/>
      </c>
      <c r="BC594" s="101" t="str">
        <f t="shared" ca="1" si="103"/>
        <v/>
      </c>
      <c r="BD594" s="100" t="str">
        <f t="shared" si="101"/>
        <v/>
      </c>
      <c r="BE594" s="103" t="str">
        <f t="shared" ca="1" si="97"/>
        <v/>
      </c>
      <c r="BF594" s="102" t="str">
        <f t="shared" si="102"/>
        <v/>
      </c>
    </row>
    <row r="595" spans="48:58" hidden="1" x14ac:dyDescent="0.25">
      <c r="AV595">
        <v>565</v>
      </c>
      <c r="AW595" s="94" t="str">
        <f t="shared" ca="1" si="94"/>
        <v/>
      </c>
      <c r="AX595" s="95" t="str">
        <f t="shared" si="98"/>
        <v/>
      </c>
      <c r="AY595" s="98" t="str">
        <f t="shared" ca="1" si="95"/>
        <v/>
      </c>
      <c r="AZ595" s="95" t="str">
        <f t="shared" si="99"/>
        <v/>
      </c>
      <c r="BA595" s="99" t="str">
        <f t="shared" ca="1" si="96"/>
        <v/>
      </c>
      <c r="BB595" s="97" t="str">
        <f t="shared" si="100"/>
        <v/>
      </c>
      <c r="BC595" s="101" t="str">
        <f t="shared" ca="1" si="103"/>
        <v/>
      </c>
      <c r="BD595" s="100" t="str">
        <f t="shared" si="101"/>
        <v/>
      </c>
      <c r="BE595" s="103" t="str">
        <f t="shared" ca="1" si="97"/>
        <v/>
      </c>
      <c r="BF595" s="102" t="str">
        <f t="shared" si="102"/>
        <v/>
      </c>
    </row>
    <row r="596" spans="48:58" hidden="1" x14ac:dyDescent="0.25">
      <c r="AV596">
        <v>566</v>
      </c>
      <c r="AW596" s="94" t="str">
        <f t="shared" ca="1" si="94"/>
        <v/>
      </c>
      <c r="AX596" s="95" t="str">
        <f t="shared" si="98"/>
        <v/>
      </c>
      <c r="AY596" s="98" t="str">
        <f t="shared" ca="1" si="95"/>
        <v/>
      </c>
      <c r="AZ596" s="95" t="str">
        <f t="shared" si="99"/>
        <v/>
      </c>
      <c r="BA596" s="99" t="str">
        <f t="shared" ca="1" si="96"/>
        <v/>
      </c>
      <c r="BB596" s="97" t="str">
        <f t="shared" si="100"/>
        <v/>
      </c>
      <c r="BC596" s="101" t="str">
        <f t="shared" ca="1" si="103"/>
        <v/>
      </c>
      <c r="BD596" s="100" t="str">
        <f t="shared" si="101"/>
        <v/>
      </c>
      <c r="BE596" s="103" t="str">
        <f t="shared" ca="1" si="97"/>
        <v/>
      </c>
      <c r="BF596" s="102" t="str">
        <f t="shared" si="102"/>
        <v/>
      </c>
    </row>
    <row r="597" spans="48:58" hidden="1" x14ac:dyDescent="0.25">
      <c r="AV597">
        <v>567</v>
      </c>
      <c r="AW597" s="94" t="str">
        <f t="shared" ca="1" si="94"/>
        <v/>
      </c>
      <c r="AX597" s="95" t="str">
        <f t="shared" si="98"/>
        <v/>
      </c>
      <c r="AY597" s="98" t="str">
        <f t="shared" ca="1" si="95"/>
        <v/>
      </c>
      <c r="AZ597" s="95" t="str">
        <f t="shared" si="99"/>
        <v/>
      </c>
      <c r="BA597" s="99" t="str">
        <f t="shared" ca="1" si="96"/>
        <v/>
      </c>
      <c r="BB597" s="97" t="str">
        <f t="shared" si="100"/>
        <v/>
      </c>
      <c r="BC597" s="101" t="str">
        <f t="shared" ca="1" si="103"/>
        <v/>
      </c>
      <c r="BD597" s="100" t="str">
        <f t="shared" si="101"/>
        <v/>
      </c>
      <c r="BE597" s="103" t="str">
        <f t="shared" ca="1" si="97"/>
        <v/>
      </c>
      <c r="BF597" s="102" t="str">
        <f t="shared" si="102"/>
        <v/>
      </c>
    </row>
    <row r="598" spans="48:58" hidden="1" x14ac:dyDescent="0.25">
      <c r="AV598">
        <v>568</v>
      </c>
      <c r="AW598" s="94" t="str">
        <f t="shared" ca="1" si="94"/>
        <v/>
      </c>
      <c r="AX598" s="95" t="str">
        <f t="shared" si="98"/>
        <v/>
      </c>
      <c r="AY598" s="98" t="str">
        <f t="shared" ca="1" si="95"/>
        <v/>
      </c>
      <c r="AZ598" s="95" t="str">
        <f t="shared" si="99"/>
        <v/>
      </c>
      <c r="BA598" s="99" t="str">
        <f t="shared" ca="1" si="96"/>
        <v/>
      </c>
      <c r="BB598" s="97" t="str">
        <f t="shared" si="100"/>
        <v/>
      </c>
      <c r="BC598" s="101" t="str">
        <f t="shared" ca="1" si="103"/>
        <v/>
      </c>
      <c r="BD598" s="100" t="str">
        <f t="shared" si="101"/>
        <v/>
      </c>
      <c r="BE598" s="103" t="str">
        <f t="shared" ca="1" si="97"/>
        <v/>
      </c>
      <c r="BF598" s="102" t="str">
        <f t="shared" si="102"/>
        <v/>
      </c>
    </row>
    <row r="599" spans="48:58" hidden="1" x14ac:dyDescent="0.25">
      <c r="AV599">
        <v>569</v>
      </c>
      <c r="AW599" s="94" t="str">
        <f t="shared" ca="1" si="94"/>
        <v/>
      </c>
      <c r="AX599" s="95" t="str">
        <f t="shared" si="98"/>
        <v/>
      </c>
      <c r="AY599" s="98" t="str">
        <f t="shared" ca="1" si="95"/>
        <v/>
      </c>
      <c r="AZ599" s="95" t="str">
        <f t="shared" si="99"/>
        <v/>
      </c>
      <c r="BA599" s="99" t="str">
        <f t="shared" ca="1" si="96"/>
        <v/>
      </c>
      <c r="BB599" s="97" t="str">
        <f t="shared" si="100"/>
        <v/>
      </c>
      <c r="BC599" s="101" t="str">
        <f t="shared" ca="1" si="103"/>
        <v/>
      </c>
      <c r="BD599" s="100" t="str">
        <f t="shared" si="101"/>
        <v/>
      </c>
      <c r="BE599" s="103" t="str">
        <f t="shared" ca="1" si="97"/>
        <v/>
      </c>
      <c r="BF599" s="102" t="str">
        <f t="shared" si="102"/>
        <v/>
      </c>
    </row>
    <row r="600" spans="48:58" hidden="1" x14ac:dyDescent="0.25">
      <c r="AV600">
        <v>570</v>
      </c>
      <c r="AW600" s="94" t="str">
        <f t="shared" ca="1" si="94"/>
        <v/>
      </c>
      <c r="AX600" s="95" t="str">
        <f t="shared" si="98"/>
        <v/>
      </c>
      <c r="AY600" s="98" t="str">
        <f t="shared" ca="1" si="95"/>
        <v/>
      </c>
      <c r="AZ600" s="95" t="str">
        <f t="shared" si="99"/>
        <v/>
      </c>
      <c r="BA600" s="99" t="str">
        <f t="shared" ca="1" si="96"/>
        <v/>
      </c>
      <c r="BB600" s="97" t="str">
        <f t="shared" si="100"/>
        <v/>
      </c>
      <c r="BC600" s="101" t="str">
        <f t="shared" ca="1" si="103"/>
        <v/>
      </c>
      <c r="BD600" s="100" t="str">
        <f t="shared" si="101"/>
        <v/>
      </c>
      <c r="BE600" s="103" t="str">
        <f t="shared" ca="1" si="97"/>
        <v/>
      </c>
      <c r="BF600" s="102" t="str">
        <f t="shared" si="102"/>
        <v/>
      </c>
    </row>
    <row r="601" spans="48:58" hidden="1" x14ac:dyDescent="0.25">
      <c r="AV601">
        <v>571</v>
      </c>
      <c r="AW601" s="94" t="str">
        <f t="shared" ca="1" si="94"/>
        <v/>
      </c>
      <c r="AX601" s="95" t="str">
        <f t="shared" si="98"/>
        <v/>
      </c>
      <c r="AY601" s="98" t="str">
        <f t="shared" ca="1" si="95"/>
        <v/>
      </c>
      <c r="AZ601" s="95" t="str">
        <f t="shared" si="99"/>
        <v/>
      </c>
      <c r="BA601" s="99" t="str">
        <f t="shared" ca="1" si="96"/>
        <v/>
      </c>
      <c r="BB601" s="97" t="str">
        <f t="shared" si="100"/>
        <v/>
      </c>
      <c r="BC601" s="101" t="str">
        <f t="shared" ca="1" si="103"/>
        <v/>
      </c>
      <c r="BD601" s="100" t="str">
        <f t="shared" si="101"/>
        <v/>
      </c>
      <c r="BE601" s="103" t="str">
        <f t="shared" ca="1" si="97"/>
        <v/>
      </c>
      <c r="BF601" s="102" t="str">
        <f t="shared" si="102"/>
        <v/>
      </c>
    </row>
    <row r="602" spans="48:58" hidden="1" x14ac:dyDescent="0.25">
      <c r="AV602">
        <v>572</v>
      </c>
      <c r="AW602" s="94" t="str">
        <f t="shared" ca="1" si="94"/>
        <v/>
      </c>
      <c r="AX602" s="95" t="str">
        <f t="shared" si="98"/>
        <v/>
      </c>
      <c r="AY602" s="98" t="str">
        <f t="shared" ca="1" si="95"/>
        <v/>
      </c>
      <c r="AZ602" s="95" t="str">
        <f t="shared" si="99"/>
        <v/>
      </c>
      <c r="BA602" s="99" t="str">
        <f t="shared" ca="1" si="96"/>
        <v/>
      </c>
      <c r="BB602" s="97" t="str">
        <f t="shared" si="100"/>
        <v/>
      </c>
      <c r="BC602" s="101" t="str">
        <f t="shared" ca="1" si="103"/>
        <v/>
      </c>
      <c r="BD602" s="100" t="str">
        <f t="shared" si="101"/>
        <v/>
      </c>
      <c r="BE602" s="103" t="str">
        <f t="shared" ca="1" si="97"/>
        <v/>
      </c>
      <c r="BF602" s="102" t="str">
        <f t="shared" si="102"/>
        <v/>
      </c>
    </row>
    <row r="603" spans="48:58" hidden="1" x14ac:dyDescent="0.25">
      <c r="AV603">
        <v>573</v>
      </c>
      <c r="AW603" s="94" t="str">
        <f t="shared" ca="1" si="94"/>
        <v/>
      </c>
      <c r="AX603" s="95" t="str">
        <f t="shared" si="98"/>
        <v/>
      </c>
      <c r="AY603" s="98" t="str">
        <f t="shared" ca="1" si="95"/>
        <v/>
      </c>
      <c r="AZ603" s="95" t="str">
        <f t="shared" si="99"/>
        <v/>
      </c>
      <c r="BA603" s="99" t="str">
        <f t="shared" ca="1" si="96"/>
        <v/>
      </c>
      <c r="BB603" s="97" t="str">
        <f t="shared" si="100"/>
        <v/>
      </c>
      <c r="BC603" s="101" t="str">
        <f t="shared" ca="1" si="103"/>
        <v/>
      </c>
      <c r="BD603" s="100" t="str">
        <f t="shared" si="101"/>
        <v/>
      </c>
      <c r="BE603" s="103" t="str">
        <f t="shared" ca="1" si="97"/>
        <v/>
      </c>
      <c r="BF603" s="102" t="str">
        <f t="shared" si="102"/>
        <v/>
      </c>
    </row>
    <row r="604" spans="48:58" hidden="1" x14ac:dyDescent="0.25">
      <c r="AV604">
        <v>574</v>
      </c>
      <c r="AW604" s="94" t="str">
        <f t="shared" ca="1" si="94"/>
        <v/>
      </c>
      <c r="AX604" s="95" t="str">
        <f t="shared" si="98"/>
        <v/>
      </c>
      <c r="AY604" s="98" t="str">
        <f t="shared" ca="1" si="95"/>
        <v/>
      </c>
      <c r="AZ604" s="95" t="str">
        <f t="shared" si="99"/>
        <v/>
      </c>
      <c r="BA604" s="99" t="str">
        <f t="shared" ca="1" si="96"/>
        <v/>
      </c>
      <c r="BB604" s="97" t="str">
        <f t="shared" si="100"/>
        <v/>
      </c>
      <c r="BC604" s="101" t="str">
        <f t="shared" ca="1" si="103"/>
        <v/>
      </c>
      <c r="BD604" s="100" t="str">
        <f t="shared" si="101"/>
        <v/>
      </c>
      <c r="BE604" s="103" t="str">
        <f t="shared" ca="1" si="97"/>
        <v/>
      </c>
      <c r="BF604" s="102" t="str">
        <f t="shared" si="102"/>
        <v/>
      </c>
    </row>
    <row r="605" spans="48:58" hidden="1" x14ac:dyDescent="0.25">
      <c r="AV605">
        <v>575</v>
      </c>
      <c r="AW605" s="94" t="str">
        <f t="shared" ca="1" si="94"/>
        <v/>
      </c>
      <c r="AX605" s="95" t="str">
        <f t="shared" si="98"/>
        <v/>
      </c>
      <c r="AY605" s="98" t="str">
        <f t="shared" ca="1" si="95"/>
        <v/>
      </c>
      <c r="AZ605" s="95" t="str">
        <f t="shared" si="99"/>
        <v/>
      </c>
      <c r="BA605" s="99" t="str">
        <f t="shared" ca="1" si="96"/>
        <v/>
      </c>
      <c r="BB605" s="97" t="str">
        <f t="shared" si="100"/>
        <v/>
      </c>
      <c r="BC605" s="101" t="str">
        <f t="shared" ca="1" si="103"/>
        <v/>
      </c>
      <c r="BD605" s="100" t="str">
        <f t="shared" si="101"/>
        <v/>
      </c>
      <c r="BE605" s="103" t="str">
        <f t="shared" ca="1" si="97"/>
        <v/>
      </c>
      <c r="BF605" s="102" t="str">
        <f t="shared" si="102"/>
        <v/>
      </c>
    </row>
    <row r="606" spans="48:58" hidden="1" x14ac:dyDescent="0.25">
      <c r="AV606">
        <v>576</v>
      </c>
      <c r="AW606" s="94" t="str">
        <f t="shared" ca="1" si="94"/>
        <v/>
      </c>
      <c r="AX606" s="95" t="str">
        <f t="shared" si="98"/>
        <v/>
      </c>
      <c r="AY606" s="98" t="str">
        <f t="shared" ca="1" si="95"/>
        <v/>
      </c>
      <c r="AZ606" s="95" t="str">
        <f t="shared" si="99"/>
        <v/>
      </c>
      <c r="BA606" s="99" t="str">
        <f t="shared" ca="1" si="96"/>
        <v/>
      </c>
      <c r="BB606" s="97" t="str">
        <f t="shared" si="100"/>
        <v/>
      </c>
      <c r="BC606" s="101" t="str">
        <f t="shared" ca="1" si="103"/>
        <v/>
      </c>
      <c r="BD606" s="100" t="str">
        <f t="shared" si="101"/>
        <v/>
      </c>
      <c r="BE606" s="103" t="str">
        <f t="shared" ca="1" si="97"/>
        <v/>
      </c>
      <c r="BF606" s="102" t="str">
        <f t="shared" si="102"/>
        <v/>
      </c>
    </row>
    <row r="607" spans="48:58" hidden="1" x14ac:dyDescent="0.25">
      <c r="AV607">
        <v>577</v>
      </c>
      <c r="AW607" s="94" t="str">
        <f t="shared" ref="AW607:AW670" ca="1" si="104">IF(T_1*12&gt;=AV607,DATE(YEAR(TODAY()),MONTH(TODAY())+AV607-1,DAY(TODAY())),IF(T_1*12+1&gt;=AV607,DATE(YEAR(TODAY()),MONTH(TODAY())+T_1*12,DAY(TODAY())),""))</f>
        <v/>
      </c>
      <c r="AX607" s="95" t="str">
        <f t="shared" si="98"/>
        <v/>
      </c>
      <c r="AY607" s="98" t="str">
        <f t="shared" ref="AY607:AY670" ca="1" si="105">IF(T_2*12&gt;=$AV607,DATE(YEAR(TODAY()),MONTH(TODAY())+$AV607-1,DAY(TODAY())),IF(T_2*12+1&gt;=$AV607,DATE(YEAR(TODAY()),MONTH(TODAY())+T_2*12,DAY(TODAY())),""))</f>
        <v/>
      </c>
      <c r="AZ607" s="95" t="str">
        <f t="shared" si="99"/>
        <v/>
      </c>
      <c r="BA607" s="99" t="str">
        <f t="shared" ref="BA607:BA670" ca="1" si="106">IF(T_3*12&gt;=$AV607,DATE(YEAR(TODAY()),MONTH(TODAY())+$AV607-1,DAY(TODAY())),IF(T_3*12+1&gt;=$AV607,DATE(YEAR(TODAY()),MONTH(TODAY())+T_3*12,DAY(TODAY())),""))</f>
        <v/>
      </c>
      <c r="BB607" s="97" t="str">
        <f t="shared" si="100"/>
        <v/>
      </c>
      <c r="BC607" s="101" t="str">
        <f t="shared" ca="1" si="103"/>
        <v/>
      </c>
      <c r="BD607" s="100" t="str">
        <f t="shared" si="101"/>
        <v/>
      </c>
      <c r="BE607" s="103" t="str">
        <f t="shared" ref="BE607:BE670" ca="1" si="107">IF(T_5*12&gt;=$AV607,DATE(YEAR(TODAY()),MONTH(TODAY())+$AV607-1,DAY(TODAY())),IF(T_5*12+1&gt;=$AV607,DATE(YEAR(TODAY()),MONTH(TODAY())+T_5*12,DAY(TODAY())),""))</f>
        <v/>
      </c>
      <c r="BF607" s="102" t="str">
        <f t="shared" si="102"/>
        <v/>
      </c>
    </row>
    <row r="608" spans="48:58" hidden="1" x14ac:dyDescent="0.25">
      <c r="AV608">
        <v>578</v>
      </c>
      <c r="AW608" s="94" t="str">
        <f t="shared" ca="1" si="104"/>
        <v/>
      </c>
      <c r="AX608" s="95" t="str">
        <f t="shared" ref="AX608:AX671" si="108">IF(T_1*12&gt;=AV608,-1*$I$15,IF(T_1*12+1&gt;=AV608,InfG_1,""))</f>
        <v/>
      </c>
      <c r="AY608" s="98" t="str">
        <f t="shared" ca="1" si="105"/>
        <v/>
      </c>
      <c r="AZ608" s="95" t="str">
        <f t="shared" ref="AZ608:AZ671" si="109">IF(T_2*12&gt;=$AV608,-1*$I$17,IF(T_2*12+1&gt;=$AV608,InfG_2,""))</f>
        <v/>
      </c>
      <c r="BA608" s="99" t="str">
        <f t="shared" ca="1" si="106"/>
        <v/>
      </c>
      <c r="BB608" s="97" t="str">
        <f t="shared" ref="BB608:BB671" si="110">IF(T_3*12&gt;=$AV608,-1*$I$19,IF(T_3*12+1&gt;=$AV608,InfG_3,""))</f>
        <v/>
      </c>
      <c r="BC608" s="101" t="str">
        <f t="shared" ca="1" si="103"/>
        <v/>
      </c>
      <c r="BD608" s="100" t="str">
        <f t="shared" ref="BD608:BD671" si="111">IF(T_4*12&gt;=$AV608,-1*$I$21,IF(T_4*12+1&gt;=$AV608,InfG_4,""))</f>
        <v/>
      </c>
      <c r="BE608" s="103" t="str">
        <f t="shared" ca="1" si="107"/>
        <v/>
      </c>
      <c r="BF608" s="102" t="str">
        <f t="shared" ref="BF608:BF671" si="112">IF(T_5*12&gt;=$AV608,-1*$I$23,IF(T_5*12+1&gt;=$AV608,InfG_5,""))</f>
        <v/>
      </c>
    </row>
    <row r="609" spans="48:58" hidden="1" x14ac:dyDescent="0.25">
      <c r="AV609">
        <v>579</v>
      </c>
      <c r="AW609" s="94" t="str">
        <f t="shared" ca="1" si="104"/>
        <v/>
      </c>
      <c r="AX609" s="95" t="str">
        <f t="shared" si="108"/>
        <v/>
      </c>
      <c r="AY609" s="98" t="str">
        <f t="shared" ca="1" si="105"/>
        <v/>
      </c>
      <c r="AZ609" s="95" t="str">
        <f t="shared" si="109"/>
        <v/>
      </c>
      <c r="BA609" s="99" t="str">
        <f t="shared" ca="1" si="106"/>
        <v/>
      </c>
      <c r="BB609" s="97" t="str">
        <f t="shared" si="110"/>
        <v/>
      </c>
      <c r="BC609" s="101" t="str">
        <f t="shared" ref="BC609:BC672" ca="1" si="113">IF(T_4*12&gt;=AV609,DATE(YEAR(TODAY()),MONTH(TODAY())+AV609-1,DAY(TODAY())),IF(T_4*12+1&gt;=AV609,DATE(YEAR(TODAY()),MONTH(TODAY())+T_4*12,DAY(TODAY())),""))</f>
        <v/>
      </c>
      <c r="BD609" s="100" t="str">
        <f t="shared" si="111"/>
        <v/>
      </c>
      <c r="BE609" s="103" t="str">
        <f t="shared" ca="1" si="107"/>
        <v/>
      </c>
      <c r="BF609" s="102" t="str">
        <f t="shared" si="112"/>
        <v/>
      </c>
    </row>
    <row r="610" spans="48:58" hidden="1" x14ac:dyDescent="0.25">
      <c r="AV610">
        <v>580</v>
      </c>
      <c r="AW610" s="94" t="str">
        <f t="shared" ca="1" si="104"/>
        <v/>
      </c>
      <c r="AX610" s="95" t="str">
        <f t="shared" si="108"/>
        <v/>
      </c>
      <c r="AY610" s="98" t="str">
        <f t="shared" ca="1" si="105"/>
        <v/>
      </c>
      <c r="AZ610" s="95" t="str">
        <f t="shared" si="109"/>
        <v/>
      </c>
      <c r="BA610" s="99" t="str">
        <f t="shared" ca="1" si="106"/>
        <v/>
      </c>
      <c r="BB610" s="97" t="str">
        <f t="shared" si="110"/>
        <v/>
      </c>
      <c r="BC610" s="101" t="str">
        <f t="shared" ca="1" si="113"/>
        <v/>
      </c>
      <c r="BD610" s="100" t="str">
        <f t="shared" si="111"/>
        <v/>
      </c>
      <c r="BE610" s="103" t="str">
        <f t="shared" ca="1" si="107"/>
        <v/>
      </c>
      <c r="BF610" s="102" t="str">
        <f t="shared" si="112"/>
        <v/>
      </c>
    </row>
    <row r="611" spans="48:58" hidden="1" x14ac:dyDescent="0.25">
      <c r="AV611">
        <v>581</v>
      </c>
      <c r="AW611" s="94" t="str">
        <f t="shared" ca="1" si="104"/>
        <v/>
      </c>
      <c r="AX611" s="95" t="str">
        <f t="shared" si="108"/>
        <v/>
      </c>
      <c r="AY611" s="98" t="str">
        <f t="shared" ca="1" si="105"/>
        <v/>
      </c>
      <c r="AZ611" s="95" t="str">
        <f t="shared" si="109"/>
        <v/>
      </c>
      <c r="BA611" s="99" t="str">
        <f t="shared" ca="1" si="106"/>
        <v/>
      </c>
      <c r="BB611" s="97" t="str">
        <f t="shared" si="110"/>
        <v/>
      </c>
      <c r="BC611" s="101" t="str">
        <f t="shared" ca="1" si="113"/>
        <v/>
      </c>
      <c r="BD611" s="100" t="str">
        <f t="shared" si="111"/>
        <v/>
      </c>
      <c r="BE611" s="103" t="str">
        <f t="shared" ca="1" si="107"/>
        <v/>
      </c>
      <c r="BF611" s="102" t="str">
        <f t="shared" si="112"/>
        <v/>
      </c>
    </row>
    <row r="612" spans="48:58" hidden="1" x14ac:dyDescent="0.25">
      <c r="AV612">
        <v>582</v>
      </c>
      <c r="AW612" s="94" t="str">
        <f t="shared" ca="1" si="104"/>
        <v/>
      </c>
      <c r="AX612" s="95" t="str">
        <f t="shared" si="108"/>
        <v/>
      </c>
      <c r="AY612" s="98" t="str">
        <f t="shared" ca="1" si="105"/>
        <v/>
      </c>
      <c r="AZ612" s="95" t="str">
        <f t="shared" si="109"/>
        <v/>
      </c>
      <c r="BA612" s="99" t="str">
        <f t="shared" ca="1" si="106"/>
        <v/>
      </c>
      <c r="BB612" s="97" t="str">
        <f t="shared" si="110"/>
        <v/>
      </c>
      <c r="BC612" s="101" t="str">
        <f t="shared" ca="1" si="113"/>
        <v/>
      </c>
      <c r="BD612" s="100" t="str">
        <f t="shared" si="111"/>
        <v/>
      </c>
      <c r="BE612" s="103" t="str">
        <f t="shared" ca="1" si="107"/>
        <v/>
      </c>
      <c r="BF612" s="102" t="str">
        <f t="shared" si="112"/>
        <v/>
      </c>
    </row>
    <row r="613" spans="48:58" hidden="1" x14ac:dyDescent="0.25">
      <c r="AV613">
        <v>583</v>
      </c>
      <c r="AW613" s="94" t="str">
        <f t="shared" ca="1" si="104"/>
        <v/>
      </c>
      <c r="AX613" s="95" t="str">
        <f t="shared" si="108"/>
        <v/>
      </c>
      <c r="AY613" s="98" t="str">
        <f t="shared" ca="1" si="105"/>
        <v/>
      </c>
      <c r="AZ613" s="95" t="str">
        <f t="shared" si="109"/>
        <v/>
      </c>
      <c r="BA613" s="99" t="str">
        <f t="shared" ca="1" si="106"/>
        <v/>
      </c>
      <c r="BB613" s="97" t="str">
        <f t="shared" si="110"/>
        <v/>
      </c>
      <c r="BC613" s="101" t="str">
        <f t="shared" ca="1" si="113"/>
        <v/>
      </c>
      <c r="BD613" s="100" t="str">
        <f t="shared" si="111"/>
        <v/>
      </c>
      <c r="BE613" s="103" t="str">
        <f t="shared" ca="1" si="107"/>
        <v/>
      </c>
      <c r="BF613" s="102" t="str">
        <f t="shared" si="112"/>
        <v/>
      </c>
    </row>
    <row r="614" spans="48:58" hidden="1" x14ac:dyDescent="0.25">
      <c r="AV614">
        <v>584</v>
      </c>
      <c r="AW614" s="94" t="str">
        <f t="shared" ca="1" si="104"/>
        <v/>
      </c>
      <c r="AX614" s="95" t="str">
        <f t="shared" si="108"/>
        <v/>
      </c>
      <c r="AY614" s="98" t="str">
        <f t="shared" ca="1" si="105"/>
        <v/>
      </c>
      <c r="AZ614" s="95" t="str">
        <f t="shared" si="109"/>
        <v/>
      </c>
      <c r="BA614" s="99" t="str">
        <f t="shared" ca="1" si="106"/>
        <v/>
      </c>
      <c r="BB614" s="97" t="str">
        <f t="shared" si="110"/>
        <v/>
      </c>
      <c r="BC614" s="101" t="str">
        <f t="shared" ca="1" si="113"/>
        <v/>
      </c>
      <c r="BD614" s="100" t="str">
        <f t="shared" si="111"/>
        <v/>
      </c>
      <c r="BE614" s="103" t="str">
        <f t="shared" ca="1" si="107"/>
        <v/>
      </c>
      <c r="BF614" s="102" t="str">
        <f t="shared" si="112"/>
        <v/>
      </c>
    </row>
    <row r="615" spans="48:58" hidden="1" x14ac:dyDescent="0.25">
      <c r="AV615">
        <v>585</v>
      </c>
      <c r="AW615" s="94" t="str">
        <f t="shared" ca="1" si="104"/>
        <v/>
      </c>
      <c r="AX615" s="95" t="str">
        <f t="shared" si="108"/>
        <v/>
      </c>
      <c r="AY615" s="98" t="str">
        <f t="shared" ca="1" si="105"/>
        <v/>
      </c>
      <c r="AZ615" s="95" t="str">
        <f t="shared" si="109"/>
        <v/>
      </c>
      <c r="BA615" s="99" t="str">
        <f t="shared" ca="1" si="106"/>
        <v/>
      </c>
      <c r="BB615" s="97" t="str">
        <f t="shared" si="110"/>
        <v/>
      </c>
      <c r="BC615" s="101" t="str">
        <f t="shared" ca="1" si="113"/>
        <v/>
      </c>
      <c r="BD615" s="100" t="str">
        <f t="shared" si="111"/>
        <v/>
      </c>
      <c r="BE615" s="103" t="str">
        <f t="shared" ca="1" si="107"/>
        <v/>
      </c>
      <c r="BF615" s="102" t="str">
        <f t="shared" si="112"/>
        <v/>
      </c>
    </row>
    <row r="616" spans="48:58" hidden="1" x14ac:dyDescent="0.25">
      <c r="AV616">
        <v>586</v>
      </c>
      <c r="AW616" s="94" t="str">
        <f t="shared" ca="1" si="104"/>
        <v/>
      </c>
      <c r="AX616" s="95" t="str">
        <f t="shared" si="108"/>
        <v/>
      </c>
      <c r="AY616" s="98" t="str">
        <f t="shared" ca="1" si="105"/>
        <v/>
      </c>
      <c r="AZ616" s="95" t="str">
        <f t="shared" si="109"/>
        <v/>
      </c>
      <c r="BA616" s="99" t="str">
        <f t="shared" ca="1" si="106"/>
        <v/>
      </c>
      <c r="BB616" s="97" t="str">
        <f t="shared" si="110"/>
        <v/>
      </c>
      <c r="BC616" s="101" t="str">
        <f t="shared" ca="1" si="113"/>
        <v/>
      </c>
      <c r="BD616" s="100" t="str">
        <f t="shared" si="111"/>
        <v/>
      </c>
      <c r="BE616" s="103" t="str">
        <f t="shared" ca="1" si="107"/>
        <v/>
      </c>
      <c r="BF616" s="102" t="str">
        <f t="shared" si="112"/>
        <v/>
      </c>
    </row>
    <row r="617" spans="48:58" hidden="1" x14ac:dyDescent="0.25">
      <c r="AV617">
        <v>587</v>
      </c>
      <c r="AW617" s="94" t="str">
        <f t="shared" ca="1" si="104"/>
        <v/>
      </c>
      <c r="AX617" s="95" t="str">
        <f t="shared" si="108"/>
        <v/>
      </c>
      <c r="AY617" s="98" t="str">
        <f t="shared" ca="1" si="105"/>
        <v/>
      </c>
      <c r="AZ617" s="95" t="str">
        <f t="shared" si="109"/>
        <v/>
      </c>
      <c r="BA617" s="99" t="str">
        <f t="shared" ca="1" si="106"/>
        <v/>
      </c>
      <c r="BB617" s="97" t="str">
        <f t="shared" si="110"/>
        <v/>
      </c>
      <c r="BC617" s="101" t="str">
        <f t="shared" ca="1" si="113"/>
        <v/>
      </c>
      <c r="BD617" s="100" t="str">
        <f t="shared" si="111"/>
        <v/>
      </c>
      <c r="BE617" s="103" t="str">
        <f t="shared" ca="1" si="107"/>
        <v/>
      </c>
      <c r="BF617" s="102" t="str">
        <f t="shared" si="112"/>
        <v/>
      </c>
    </row>
    <row r="618" spans="48:58" hidden="1" x14ac:dyDescent="0.25">
      <c r="AV618">
        <v>588</v>
      </c>
      <c r="AW618" s="94" t="str">
        <f t="shared" ca="1" si="104"/>
        <v/>
      </c>
      <c r="AX618" s="95" t="str">
        <f t="shared" si="108"/>
        <v/>
      </c>
      <c r="AY618" s="98" t="str">
        <f t="shared" ca="1" si="105"/>
        <v/>
      </c>
      <c r="AZ618" s="95" t="str">
        <f t="shared" si="109"/>
        <v/>
      </c>
      <c r="BA618" s="99" t="str">
        <f t="shared" ca="1" si="106"/>
        <v/>
      </c>
      <c r="BB618" s="97" t="str">
        <f t="shared" si="110"/>
        <v/>
      </c>
      <c r="BC618" s="101" t="str">
        <f t="shared" ca="1" si="113"/>
        <v/>
      </c>
      <c r="BD618" s="100" t="str">
        <f t="shared" si="111"/>
        <v/>
      </c>
      <c r="BE618" s="103" t="str">
        <f t="shared" ca="1" si="107"/>
        <v/>
      </c>
      <c r="BF618" s="102" t="str">
        <f t="shared" si="112"/>
        <v/>
      </c>
    </row>
    <row r="619" spans="48:58" hidden="1" x14ac:dyDescent="0.25">
      <c r="AV619">
        <v>589</v>
      </c>
      <c r="AW619" s="94" t="str">
        <f t="shared" ca="1" si="104"/>
        <v/>
      </c>
      <c r="AX619" s="95" t="str">
        <f t="shared" si="108"/>
        <v/>
      </c>
      <c r="AY619" s="98" t="str">
        <f t="shared" ca="1" si="105"/>
        <v/>
      </c>
      <c r="AZ619" s="95" t="str">
        <f t="shared" si="109"/>
        <v/>
      </c>
      <c r="BA619" s="99" t="str">
        <f t="shared" ca="1" si="106"/>
        <v/>
      </c>
      <c r="BB619" s="97" t="str">
        <f t="shared" si="110"/>
        <v/>
      </c>
      <c r="BC619" s="101" t="str">
        <f t="shared" ca="1" si="113"/>
        <v/>
      </c>
      <c r="BD619" s="100" t="str">
        <f t="shared" si="111"/>
        <v/>
      </c>
      <c r="BE619" s="103" t="str">
        <f t="shared" ca="1" si="107"/>
        <v/>
      </c>
      <c r="BF619" s="102" t="str">
        <f t="shared" si="112"/>
        <v/>
      </c>
    </row>
    <row r="620" spans="48:58" hidden="1" x14ac:dyDescent="0.25">
      <c r="AV620">
        <v>590</v>
      </c>
      <c r="AW620" s="94" t="str">
        <f t="shared" ca="1" si="104"/>
        <v/>
      </c>
      <c r="AX620" s="95" t="str">
        <f t="shared" si="108"/>
        <v/>
      </c>
      <c r="AY620" s="98" t="str">
        <f t="shared" ca="1" si="105"/>
        <v/>
      </c>
      <c r="AZ620" s="95" t="str">
        <f t="shared" si="109"/>
        <v/>
      </c>
      <c r="BA620" s="99" t="str">
        <f t="shared" ca="1" si="106"/>
        <v/>
      </c>
      <c r="BB620" s="97" t="str">
        <f t="shared" si="110"/>
        <v/>
      </c>
      <c r="BC620" s="101" t="str">
        <f t="shared" ca="1" si="113"/>
        <v/>
      </c>
      <c r="BD620" s="100" t="str">
        <f t="shared" si="111"/>
        <v/>
      </c>
      <c r="BE620" s="103" t="str">
        <f t="shared" ca="1" si="107"/>
        <v/>
      </c>
      <c r="BF620" s="102" t="str">
        <f t="shared" si="112"/>
        <v/>
      </c>
    </row>
    <row r="621" spans="48:58" hidden="1" x14ac:dyDescent="0.25">
      <c r="AV621">
        <v>591</v>
      </c>
      <c r="AW621" s="94" t="str">
        <f t="shared" ca="1" si="104"/>
        <v/>
      </c>
      <c r="AX621" s="95" t="str">
        <f t="shared" si="108"/>
        <v/>
      </c>
      <c r="AY621" s="98" t="str">
        <f t="shared" ca="1" si="105"/>
        <v/>
      </c>
      <c r="AZ621" s="95" t="str">
        <f t="shared" si="109"/>
        <v/>
      </c>
      <c r="BA621" s="99" t="str">
        <f t="shared" ca="1" si="106"/>
        <v/>
      </c>
      <c r="BB621" s="97" t="str">
        <f t="shared" si="110"/>
        <v/>
      </c>
      <c r="BC621" s="101" t="str">
        <f t="shared" ca="1" si="113"/>
        <v/>
      </c>
      <c r="BD621" s="100" t="str">
        <f t="shared" si="111"/>
        <v/>
      </c>
      <c r="BE621" s="103" t="str">
        <f t="shared" ca="1" si="107"/>
        <v/>
      </c>
      <c r="BF621" s="102" t="str">
        <f t="shared" si="112"/>
        <v/>
      </c>
    </row>
    <row r="622" spans="48:58" hidden="1" x14ac:dyDescent="0.25">
      <c r="AV622">
        <v>592</v>
      </c>
      <c r="AW622" s="94" t="str">
        <f t="shared" ca="1" si="104"/>
        <v/>
      </c>
      <c r="AX622" s="95" t="str">
        <f t="shared" si="108"/>
        <v/>
      </c>
      <c r="AY622" s="98" t="str">
        <f t="shared" ca="1" si="105"/>
        <v/>
      </c>
      <c r="AZ622" s="95" t="str">
        <f t="shared" si="109"/>
        <v/>
      </c>
      <c r="BA622" s="99" t="str">
        <f t="shared" ca="1" si="106"/>
        <v/>
      </c>
      <c r="BB622" s="97" t="str">
        <f t="shared" si="110"/>
        <v/>
      </c>
      <c r="BC622" s="101" t="str">
        <f t="shared" ca="1" si="113"/>
        <v/>
      </c>
      <c r="BD622" s="100" t="str">
        <f t="shared" si="111"/>
        <v/>
      </c>
      <c r="BE622" s="103" t="str">
        <f t="shared" ca="1" si="107"/>
        <v/>
      </c>
      <c r="BF622" s="102" t="str">
        <f t="shared" si="112"/>
        <v/>
      </c>
    </row>
    <row r="623" spans="48:58" hidden="1" x14ac:dyDescent="0.25">
      <c r="AV623">
        <v>593</v>
      </c>
      <c r="AW623" s="94" t="str">
        <f t="shared" ca="1" si="104"/>
        <v/>
      </c>
      <c r="AX623" s="95" t="str">
        <f t="shared" si="108"/>
        <v/>
      </c>
      <c r="AY623" s="98" t="str">
        <f t="shared" ca="1" si="105"/>
        <v/>
      </c>
      <c r="AZ623" s="95" t="str">
        <f t="shared" si="109"/>
        <v/>
      </c>
      <c r="BA623" s="99" t="str">
        <f t="shared" ca="1" si="106"/>
        <v/>
      </c>
      <c r="BB623" s="97" t="str">
        <f t="shared" si="110"/>
        <v/>
      </c>
      <c r="BC623" s="101" t="str">
        <f t="shared" ca="1" si="113"/>
        <v/>
      </c>
      <c r="BD623" s="100" t="str">
        <f t="shared" si="111"/>
        <v/>
      </c>
      <c r="BE623" s="103" t="str">
        <f t="shared" ca="1" si="107"/>
        <v/>
      </c>
      <c r="BF623" s="102" t="str">
        <f t="shared" si="112"/>
        <v/>
      </c>
    </row>
    <row r="624" spans="48:58" hidden="1" x14ac:dyDescent="0.25">
      <c r="AV624">
        <v>594</v>
      </c>
      <c r="AW624" s="94" t="str">
        <f t="shared" ca="1" si="104"/>
        <v/>
      </c>
      <c r="AX624" s="95" t="str">
        <f t="shared" si="108"/>
        <v/>
      </c>
      <c r="AY624" s="98" t="str">
        <f t="shared" ca="1" si="105"/>
        <v/>
      </c>
      <c r="AZ624" s="95" t="str">
        <f t="shared" si="109"/>
        <v/>
      </c>
      <c r="BA624" s="99" t="str">
        <f t="shared" ca="1" si="106"/>
        <v/>
      </c>
      <c r="BB624" s="97" t="str">
        <f t="shared" si="110"/>
        <v/>
      </c>
      <c r="BC624" s="101" t="str">
        <f t="shared" ca="1" si="113"/>
        <v/>
      </c>
      <c r="BD624" s="100" t="str">
        <f t="shared" si="111"/>
        <v/>
      </c>
      <c r="BE624" s="103" t="str">
        <f t="shared" ca="1" si="107"/>
        <v/>
      </c>
      <c r="BF624" s="102" t="str">
        <f t="shared" si="112"/>
        <v/>
      </c>
    </row>
    <row r="625" spans="48:58" hidden="1" x14ac:dyDescent="0.25">
      <c r="AV625">
        <v>595</v>
      </c>
      <c r="AW625" s="94" t="str">
        <f t="shared" ca="1" si="104"/>
        <v/>
      </c>
      <c r="AX625" s="95" t="str">
        <f t="shared" si="108"/>
        <v/>
      </c>
      <c r="AY625" s="98" t="str">
        <f t="shared" ca="1" si="105"/>
        <v/>
      </c>
      <c r="AZ625" s="95" t="str">
        <f t="shared" si="109"/>
        <v/>
      </c>
      <c r="BA625" s="99" t="str">
        <f t="shared" ca="1" si="106"/>
        <v/>
      </c>
      <c r="BB625" s="97" t="str">
        <f t="shared" si="110"/>
        <v/>
      </c>
      <c r="BC625" s="101" t="str">
        <f t="shared" ca="1" si="113"/>
        <v/>
      </c>
      <c r="BD625" s="100" t="str">
        <f t="shared" si="111"/>
        <v/>
      </c>
      <c r="BE625" s="103" t="str">
        <f t="shared" ca="1" si="107"/>
        <v/>
      </c>
      <c r="BF625" s="102" t="str">
        <f t="shared" si="112"/>
        <v/>
      </c>
    </row>
    <row r="626" spans="48:58" hidden="1" x14ac:dyDescent="0.25">
      <c r="AV626">
        <v>596</v>
      </c>
      <c r="AW626" s="94" t="str">
        <f t="shared" ca="1" si="104"/>
        <v/>
      </c>
      <c r="AX626" s="95" t="str">
        <f t="shared" si="108"/>
        <v/>
      </c>
      <c r="AY626" s="98" t="str">
        <f t="shared" ca="1" si="105"/>
        <v/>
      </c>
      <c r="AZ626" s="95" t="str">
        <f t="shared" si="109"/>
        <v/>
      </c>
      <c r="BA626" s="99" t="str">
        <f t="shared" ca="1" si="106"/>
        <v/>
      </c>
      <c r="BB626" s="97" t="str">
        <f t="shared" si="110"/>
        <v/>
      </c>
      <c r="BC626" s="101" t="str">
        <f t="shared" ca="1" si="113"/>
        <v/>
      </c>
      <c r="BD626" s="100" t="str">
        <f t="shared" si="111"/>
        <v/>
      </c>
      <c r="BE626" s="103" t="str">
        <f t="shared" ca="1" si="107"/>
        <v/>
      </c>
      <c r="BF626" s="102" t="str">
        <f t="shared" si="112"/>
        <v/>
      </c>
    </row>
    <row r="627" spans="48:58" hidden="1" x14ac:dyDescent="0.25">
      <c r="AV627">
        <v>597</v>
      </c>
      <c r="AW627" s="94" t="str">
        <f t="shared" ca="1" si="104"/>
        <v/>
      </c>
      <c r="AX627" s="95" t="str">
        <f t="shared" si="108"/>
        <v/>
      </c>
      <c r="AY627" s="98" t="str">
        <f t="shared" ca="1" si="105"/>
        <v/>
      </c>
      <c r="AZ627" s="95" t="str">
        <f t="shared" si="109"/>
        <v/>
      </c>
      <c r="BA627" s="99" t="str">
        <f t="shared" ca="1" si="106"/>
        <v/>
      </c>
      <c r="BB627" s="97" t="str">
        <f t="shared" si="110"/>
        <v/>
      </c>
      <c r="BC627" s="101" t="str">
        <f t="shared" ca="1" si="113"/>
        <v/>
      </c>
      <c r="BD627" s="100" t="str">
        <f t="shared" si="111"/>
        <v/>
      </c>
      <c r="BE627" s="103" t="str">
        <f t="shared" ca="1" si="107"/>
        <v/>
      </c>
      <c r="BF627" s="102" t="str">
        <f t="shared" si="112"/>
        <v/>
      </c>
    </row>
    <row r="628" spans="48:58" hidden="1" x14ac:dyDescent="0.25">
      <c r="AV628">
        <v>598</v>
      </c>
      <c r="AW628" s="94" t="str">
        <f t="shared" ca="1" si="104"/>
        <v/>
      </c>
      <c r="AX628" s="95" t="str">
        <f t="shared" si="108"/>
        <v/>
      </c>
      <c r="AY628" s="98" t="str">
        <f t="shared" ca="1" si="105"/>
        <v/>
      </c>
      <c r="AZ628" s="95" t="str">
        <f t="shared" si="109"/>
        <v/>
      </c>
      <c r="BA628" s="99" t="str">
        <f t="shared" ca="1" si="106"/>
        <v/>
      </c>
      <c r="BB628" s="97" t="str">
        <f t="shared" si="110"/>
        <v/>
      </c>
      <c r="BC628" s="101" t="str">
        <f t="shared" ca="1" si="113"/>
        <v/>
      </c>
      <c r="BD628" s="100" t="str">
        <f t="shared" si="111"/>
        <v/>
      </c>
      <c r="BE628" s="103" t="str">
        <f t="shared" ca="1" si="107"/>
        <v/>
      </c>
      <c r="BF628" s="102" t="str">
        <f t="shared" si="112"/>
        <v/>
      </c>
    </row>
    <row r="629" spans="48:58" hidden="1" x14ac:dyDescent="0.25">
      <c r="AV629">
        <v>599</v>
      </c>
      <c r="AW629" s="94" t="str">
        <f t="shared" ca="1" si="104"/>
        <v/>
      </c>
      <c r="AX629" s="95" t="str">
        <f t="shared" si="108"/>
        <v/>
      </c>
      <c r="AY629" s="98" t="str">
        <f t="shared" ca="1" si="105"/>
        <v/>
      </c>
      <c r="AZ629" s="95" t="str">
        <f t="shared" si="109"/>
        <v/>
      </c>
      <c r="BA629" s="99" t="str">
        <f t="shared" ca="1" si="106"/>
        <v/>
      </c>
      <c r="BB629" s="97" t="str">
        <f t="shared" si="110"/>
        <v/>
      </c>
      <c r="BC629" s="101" t="str">
        <f t="shared" ca="1" si="113"/>
        <v/>
      </c>
      <c r="BD629" s="100" t="str">
        <f t="shared" si="111"/>
        <v/>
      </c>
      <c r="BE629" s="103" t="str">
        <f t="shared" ca="1" si="107"/>
        <v/>
      </c>
      <c r="BF629" s="102" t="str">
        <f t="shared" si="112"/>
        <v/>
      </c>
    </row>
    <row r="630" spans="48:58" hidden="1" x14ac:dyDescent="0.25">
      <c r="AV630">
        <v>600</v>
      </c>
      <c r="AW630" s="94" t="str">
        <f t="shared" ca="1" si="104"/>
        <v/>
      </c>
      <c r="AX630" s="95" t="str">
        <f t="shared" si="108"/>
        <v/>
      </c>
      <c r="AY630" s="98" t="str">
        <f t="shared" ca="1" si="105"/>
        <v/>
      </c>
      <c r="AZ630" s="95" t="str">
        <f t="shared" si="109"/>
        <v/>
      </c>
      <c r="BA630" s="99" t="str">
        <f t="shared" ca="1" si="106"/>
        <v/>
      </c>
      <c r="BB630" s="97" t="str">
        <f t="shared" si="110"/>
        <v/>
      </c>
      <c r="BC630" s="101" t="str">
        <f t="shared" ca="1" si="113"/>
        <v/>
      </c>
      <c r="BD630" s="100" t="str">
        <f t="shared" si="111"/>
        <v/>
      </c>
      <c r="BE630" s="103" t="str">
        <f t="shared" ca="1" si="107"/>
        <v/>
      </c>
      <c r="BF630" s="102" t="str">
        <f t="shared" si="112"/>
        <v/>
      </c>
    </row>
    <row r="631" spans="48:58" hidden="1" x14ac:dyDescent="0.25">
      <c r="AV631">
        <v>601</v>
      </c>
      <c r="AW631" s="94" t="str">
        <f t="shared" ca="1" si="104"/>
        <v/>
      </c>
      <c r="AX631" s="95" t="str">
        <f t="shared" si="108"/>
        <v/>
      </c>
      <c r="AY631" s="98" t="str">
        <f t="shared" ca="1" si="105"/>
        <v/>
      </c>
      <c r="AZ631" s="95" t="str">
        <f t="shared" si="109"/>
        <v/>
      </c>
      <c r="BA631" s="99" t="str">
        <f t="shared" ca="1" si="106"/>
        <v/>
      </c>
      <c r="BB631" s="97" t="str">
        <f t="shared" si="110"/>
        <v/>
      </c>
      <c r="BC631" s="101" t="str">
        <f t="shared" ca="1" si="113"/>
        <v/>
      </c>
      <c r="BD631" s="100" t="str">
        <f t="shared" si="111"/>
        <v/>
      </c>
      <c r="BE631" s="103" t="str">
        <f t="shared" ca="1" si="107"/>
        <v/>
      </c>
      <c r="BF631" s="102" t="str">
        <f t="shared" si="112"/>
        <v/>
      </c>
    </row>
    <row r="632" spans="48:58" hidden="1" x14ac:dyDescent="0.25">
      <c r="AV632">
        <v>602</v>
      </c>
      <c r="AW632" s="94" t="str">
        <f t="shared" ca="1" si="104"/>
        <v/>
      </c>
      <c r="AX632" s="95" t="str">
        <f t="shared" si="108"/>
        <v/>
      </c>
      <c r="AY632" s="98" t="str">
        <f t="shared" ca="1" si="105"/>
        <v/>
      </c>
      <c r="AZ632" s="95" t="str">
        <f t="shared" si="109"/>
        <v/>
      </c>
      <c r="BA632" s="99" t="str">
        <f t="shared" ca="1" si="106"/>
        <v/>
      </c>
      <c r="BB632" s="97" t="str">
        <f t="shared" si="110"/>
        <v/>
      </c>
      <c r="BC632" s="101" t="str">
        <f t="shared" ca="1" si="113"/>
        <v/>
      </c>
      <c r="BD632" s="100" t="str">
        <f t="shared" si="111"/>
        <v/>
      </c>
      <c r="BE632" s="103" t="str">
        <f t="shared" ca="1" si="107"/>
        <v/>
      </c>
      <c r="BF632" s="102" t="str">
        <f t="shared" si="112"/>
        <v/>
      </c>
    </row>
    <row r="633" spans="48:58" hidden="1" x14ac:dyDescent="0.25">
      <c r="AV633">
        <v>603</v>
      </c>
      <c r="AW633" s="94" t="str">
        <f t="shared" ca="1" si="104"/>
        <v/>
      </c>
      <c r="AX633" s="95" t="str">
        <f t="shared" si="108"/>
        <v/>
      </c>
      <c r="AY633" s="98" t="str">
        <f t="shared" ca="1" si="105"/>
        <v/>
      </c>
      <c r="AZ633" s="95" t="str">
        <f t="shared" si="109"/>
        <v/>
      </c>
      <c r="BA633" s="99" t="str">
        <f t="shared" ca="1" si="106"/>
        <v/>
      </c>
      <c r="BB633" s="97" t="str">
        <f t="shared" si="110"/>
        <v/>
      </c>
      <c r="BC633" s="101" t="str">
        <f t="shared" ca="1" si="113"/>
        <v/>
      </c>
      <c r="BD633" s="100" t="str">
        <f t="shared" si="111"/>
        <v/>
      </c>
      <c r="BE633" s="103" t="str">
        <f t="shared" ca="1" si="107"/>
        <v/>
      </c>
      <c r="BF633" s="102" t="str">
        <f t="shared" si="112"/>
        <v/>
      </c>
    </row>
    <row r="634" spans="48:58" hidden="1" x14ac:dyDescent="0.25">
      <c r="AV634">
        <v>604</v>
      </c>
      <c r="AW634" s="94" t="str">
        <f t="shared" ca="1" si="104"/>
        <v/>
      </c>
      <c r="AX634" s="95" t="str">
        <f t="shared" si="108"/>
        <v/>
      </c>
      <c r="AY634" s="98" t="str">
        <f t="shared" ca="1" si="105"/>
        <v/>
      </c>
      <c r="AZ634" s="95" t="str">
        <f t="shared" si="109"/>
        <v/>
      </c>
      <c r="BA634" s="99" t="str">
        <f t="shared" ca="1" si="106"/>
        <v/>
      </c>
      <c r="BB634" s="97" t="str">
        <f t="shared" si="110"/>
        <v/>
      </c>
      <c r="BC634" s="101" t="str">
        <f t="shared" ca="1" si="113"/>
        <v/>
      </c>
      <c r="BD634" s="100" t="str">
        <f t="shared" si="111"/>
        <v/>
      </c>
      <c r="BE634" s="103" t="str">
        <f t="shared" ca="1" si="107"/>
        <v/>
      </c>
      <c r="BF634" s="102" t="str">
        <f t="shared" si="112"/>
        <v/>
      </c>
    </row>
    <row r="635" spans="48:58" hidden="1" x14ac:dyDescent="0.25">
      <c r="AV635">
        <v>605</v>
      </c>
      <c r="AW635" s="94" t="str">
        <f t="shared" ca="1" si="104"/>
        <v/>
      </c>
      <c r="AX635" s="95" t="str">
        <f t="shared" si="108"/>
        <v/>
      </c>
      <c r="AY635" s="98" t="str">
        <f t="shared" ca="1" si="105"/>
        <v/>
      </c>
      <c r="AZ635" s="95" t="str">
        <f t="shared" si="109"/>
        <v/>
      </c>
      <c r="BA635" s="99" t="str">
        <f t="shared" ca="1" si="106"/>
        <v/>
      </c>
      <c r="BB635" s="97" t="str">
        <f t="shared" si="110"/>
        <v/>
      </c>
      <c r="BC635" s="101" t="str">
        <f t="shared" ca="1" si="113"/>
        <v/>
      </c>
      <c r="BD635" s="100" t="str">
        <f t="shared" si="111"/>
        <v/>
      </c>
      <c r="BE635" s="103" t="str">
        <f t="shared" ca="1" si="107"/>
        <v/>
      </c>
      <c r="BF635" s="102" t="str">
        <f t="shared" si="112"/>
        <v/>
      </c>
    </row>
    <row r="636" spans="48:58" hidden="1" x14ac:dyDescent="0.25">
      <c r="AV636">
        <v>606</v>
      </c>
      <c r="AW636" s="94" t="str">
        <f t="shared" ca="1" si="104"/>
        <v/>
      </c>
      <c r="AX636" s="95" t="str">
        <f t="shared" si="108"/>
        <v/>
      </c>
      <c r="AY636" s="98" t="str">
        <f t="shared" ca="1" si="105"/>
        <v/>
      </c>
      <c r="AZ636" s="95" t="str">
        <f t="shared" si="109"/>
        <v/>
      </c>
      <c r="BA636" s="99" t="str">
        <f t="shared" ca="1" si="106"/>
        <v/>
      </c>
      <c r="BB636" s="97" t="str">
        <f t="shared" si="110"/>
        <v/>
      </c>
      <c r="BC636" s="101" t="str">
        <f t="shared" ca="1" si="113"/>
        <v/>
      </c>
      <c r="BD636" s="100" t="str">
        <f t="shared" si="111"/>
        <v/>
      </c>
      <c r="BE636" s="103" t="str">
        <f t="shared" ca="1" si="107"/>
        <v/>
      </c>
      <c r="BF636" s="102" t="str">
        <f t="shared" si="112"/>
        <v/>
      </c>
    </row>
    <row r="637" spans="48:58" hidden="1" x14ac:dyDescent="0.25">
      <c r="AV637">
        <v>607</v>
      </c>
      <c r="AW637" s="94" t="str">
        <f t="shared" ca="1" si="104"/>
        <v/>
      </c>
      <c r="AX637" s="95" t="str">
        <f t="shared" si="108"/>
        <v/>
      </c>
      <c r="AY637" s="98" t="str">
        <f t="shared" ca="1" si="105"/>
        <v/>
      </c>
      <c r="AZ637" s="95" t="str">
        <f t="shared" si="109"/>
        <v/>
      </c>
      <c r="BA637" s="99" t="str">
        <f t="shared" ca="1" si="106"/>
        <v/>
      </c>
      <c r="BB637" s="97" t="str">
        <f t="shared" si="110"/>
        <v/>
      </c>
      <c r="BC637" s="101" t="str">
        <f t="shared" ca="1" si="113"/>
        <v/>
      </c>
      <c r="BD637" s="100" t="str">
        <f t="shared" si="111"/>
        <v/>
      </c>
      <c r="BE637" s="103" t="str">
        <f t="shared" ca="1" si="107"/>
        <v/>
      </c>
      <c r="BF637" s="102" t="str">
        <f t="shared" si="112"/>
        <v/>
      </c>
    </row>
    <row r="638" spans="48:58" hidden="1" x14ac:dyDescent="0.25">
      <c r="AV638">
        <v>608</v>
      </c>
      <c r="AW638" s="94" t="str">
        <f t="shared" ca="1" si="104"/>
        <v/>
      </c>
      <c r="AX638" s="95" t="str">
        <f t="shared" si="108"/>
        <v/>
      </c>
      <c r="AY638" s="98" t="str">
        <f t="shared" ca="1" si="105"/>
        <v/>
      </c>
      <c r="AZ638" s="95" t="str">
        <f t="shared" si="109"/>
        <v/>
      </c>
      <c r="BA638" s="99" t="str">
        <f t="shared" ca="1" si="106"/>
        <v/>
      </c>
      <c r="BB638" s="97" t="str">
        <f t="shared" si="110"/>
        <v/>
      </c>
      <c r="BC638" s="101" t="str">
        <f t="shared" ca="1" si="113"/>
        <v/>
      </c>
      <c r="BD638" s="100" t="str">
        <f t="shared" si="111"/>
        <v/>
      </c>
      <c r="BE638" s="103" t="str">
        <f t="shared" ca="1" si="107"/>
        <v/>
      </c>
      <c r="BF638" s="102" t="str">
        <f t="shared" si="112"/>
        <v/>
      </c>
    </row>
    <row r="639" spans="48:58" hidden="1" x14ac:dyDescent="0.25">
      <c r="AV639">
        <v>609</v>
      </c>
      <c r="AW639" s="94" t="str">
        <f t="shared" ca="1" si="104"/>
        <v/>
      </c>
      <c r="AX639" s="95" t="str">
        <f t="shared" si="108"/>
        <v/>
      </c>
      <c r="AY639" s="98" t="str">
        <f t="shared" ca="1" si="105"/>
        <v/>
      </c>
      <c r="AZ639" s="95" t="str">
        <f t="shared" si="109"/>
        <v/>
      </c>
      <c r="BA639" s="99" t="str">
        <f t="shared" ca="1" si="106"/>
        <v/>
      </c>
      <c r="BB639" s="97" t="str">
        <f t="shared" si="110"/>
        <v/>
      </c>
      <c r="BC639" s="101" t="str">
        <f t="shared" ca="1" si="113"/>
        <v/>
      </c>
      <c r="BD639" s="100" t="str">
        <f t="shared" si="111"/>
        <v/>
      </c>
      <c r="BE639" s="103" t="str">
        <f t="shared" ca="1" si="107"/>
        <v/>
      </c>
      <c r="BF639" s="102" t="str">
        <f t="shared" si="112"/>
        <v/>
      </c>
    </row>
    <row r="640" spans="48:58" hidden="1" x14ac:dyDescent="0.25">
      <c r="AV640">
        <v>610</v>
      </c>
      <c r="AW640" s="94" t="str">
        <f t="shared" ca="1" si="104"/>
        <v/>
      </c>
      <c r="AX640" s="95" t="str">
        <f t="shared" si="108"/>
        <v/>
      </c>
      <c r="AY640" s="98" t="str">
        <f t="shared" ca="1" si="105"/>
        <v/>
      </c>
      <c r="AZ640" s="95" t="str">
        <f t="shared" si="109"/>
        <v/>
      </c>
      <c r="BA640" s="99" t="str">
        <f t="shared" ca="1" si="106"/>
        <v/>
      </c>
      <c r="BB640" s="97" t="str">
        <f t="shared" si="110"/>
        <v/>
      </c>
      <c r="BC640" s="101" t="str">
        <f t="shared" ca="1" si="113"/>
        <v/>
      </c>
      <c r="BD640" s="100" t="str">
        <f t="shared" si="111"/>
        <v/>
      </c>
      <c r="BE640" s="103" t="str">
        <f t="shared" ca="1" si="107"/>
        <v/>
      </c>
      <c r="BF640" s="102" t="str">
        <f t="shared" si="112"/>
        <v/>
      </c>
    </row>
    <row r="641" spans="48:58" hidden="1" x14ac:dyDescent="0.25">
      <c r="AV641">
        <v>611</v>
      </c>
      <c r="AW641" s="94" t="str">
        <f t="shared" ca="1" si="104"/>
        <v/>
      </c>
      <c r="AX641" s="95" t="str">
        <f t="shared" si="108"/>
        <v/>
      </c>
      <c r="AY641" s="98" t="str">
        <f t="shared" ca="1" si="105"/>
        <v/>
      </c>
      <c r="AZ641" s="95" t="str">
        <f t="shared" si="109"/>
        <v/>
      </c>
      <c r="BA641" s="99" t="str">
        <f t="shared" ca="1" si="106"/>
        <v/>
      </c>
      <c r="BB641" s="97" t="str">
        <f t="shared" si="110"/>
        <v/>
      </c>
      <c r="BC641" s="101" t="str">
        <f t="shared" ca="1" si="113"/>
        <v/>
      </c>
      <c r="BD641" s="100" t="str">
        <f t="shared" si="111"/>
        <v/>
      </c>
      <c r="BE641" s="103" t="str">
        <f t="shared" ca="1" si="107"/>
        <v/>
      </c>
      <c r="BF641" s="102" t="str">
        <f t="shared" si="112"/>
        <v/>
      </c>
    </row>
    <row r="642" spans="48:58" hidden="1" x14ac:dyDescent="0.25">
      <c r="AV642">
        <v>612</v>
      </c>
      <c r="AW642" s="94" t="str">
        <f t="shared" ca="1" si="104"/>
        <v/>
      </c>
      <c r="AX642" s="95" t="str">
        <f t="shared" si="108"/>
        <v/>
      </c>
      <c r="AY642" s="98" t="str">
        <f t="shared" ca="1" si="105"/>
        <v/>
      </c>
      <c r="AZ642" s="95" t="str">
        <f t="shared" si="109"/>
        <v/>
      </c>
      <c r="BA642" s="99" t="str">
        <f t="shared" ca="1" si="106"/>
        <v/>
      </c>
      <c r="BB642" s="97" t="str">
        <f t="shared" si="110"/>
        <v/>
      </c>
      <c r="BC642" s="101" t="str">
        <f t="shared" ca="1" si="113"/>
        <v/>
      </c>
      <c r="BD642" s="100" t="str">
        <f t="shared" si="111"/>
        <v/>
      </c>
      <c r="BE642" s="103" t="str">
        <f t="shared" ca="1" si="107"/>
        <v/>
      </c>
      <c r="BF642" s="102" t="str">
        <f t="shared" si="112"/>
        <v/>
      </c>
    </row>
    <row r="643" spans="48:58" hidden="1" x14ac:dyDescent="0.25">
      <c r="AV643">
        <v>613</v>
      </c>
      <c r="AW643" s="94" t="str">
        <f t="shared" ca="1" si="104"/>
        <v/>
      </c>
      <c r="AX643" s="95" t="str">
        <f t="shared" si="108"/>
        <v/>
      </c>
      <c r="AY643" s="98" t="str">
        <f t="shared" ca="1" si="105"/>
        <v/>
      </c>
      <c r="AZ643" s="95" t="str">
        <f t="shared" si="109"/>
        <v/>
      </c>
      <c r="BA643" s="99" t="str">
        <f t="shared" ca="1" si="106"/>
        <v/>
      </c>
      <c r="BB643" s="97" t="str">
        <f t="shared" si="110"/>
        <v/>
      </c>
      <c r="BC643" s="101" t="str">
        <f t="shared" ca="1" si="113"/>
        <v/>
      </c>
      <c r="BD643" s="100" t="str">
        <f t="shared" si="111"/>
        <v/>
      </c>
      <c r="BE643" s="103" t="str">
        <f t="shared" ca="1" si="107"/>
        <v/>
      </c>
      <c r="BF643" s="102" t="str">
        <f t="shared" si="112"/>
        <v/>
      </c>
    </row>
    <row r="644" spans="48:58" hidden="1" x14ac:dyDescent="0.25">
      <c r="AV644">
        <v>614</v>
      </c>
      <c r="AW644" s="94" t="str">
        <f t="shared" ca="1" si="104"/>
        <v/>
      </c>
      <c r="AX644" s="95" t="str">
        <f t="shared" si="108"/>
        <v/>
      </c>
      <c r="AY644" s="98" t="str">
        <f t="shared" ca="1" si="105"/>
        <v/>
      </c>
      <c r="AZ644" s="95" t="str">
        <f t="shared" si="109"/>
        <v/>
      </c>
      <c r="BA644" s="99" t="str">
        <f t="shared" ca="1" si="106"/>
        <v/>
      </c>
      <c r="BB644" s="97" t="str">
        <f t="shared" si="110"/>
        <v/>
      </c>
      <c r="BC644" s="101" t="str">
        <f t="shared" ca="1" si="113"/>
        <v/>
      </c>
      <c r="BD644" s="100" t="str">
        <f t="shared" si="111"/>
        <v/>
      </c>
      <c r="BE644" s="103" t="str">
        <f t="shared" ca="1" si="107"/>
        <v/>
      </c>
      <c r="BF644" s="102" t="str">
        <f t="shared" si="112"/>
        <v/>
      </c>
    </row>
    <row r="645" spans="48:58" hidden="1" x14ac:dyDescent="0.25">
      <c r="AV645">
        <v>615</v>
      </c>
      <c r="AW645" s="94" t="str">
        <f t="shared" ca="1" si="104"/>
        <v/>
      </c>
      <c r="AX645" s="95" t="str">
        <f t="shared" si="108"/>
        <v/>
      </c>
      <c r="AY645" s="98" t="str">
        <f t="shared" ca="1" si="105"/>
        <v/>
      </c>
      <c r="AZ645" s="95" t="str">
        <f t="shared" si="109"/>
        <v/>
      </c>
      <c r="BA645" s="99" t="str">
        <f t="shared" ca="1" si="106"/>
        <v/>
      </c>
      <c r="BB645" s="97" t="str">
        <f t="shared" si="110"/>
        <v/>
      </c>
      <c r="BC645" s="101" t="str">
        <f t="shared" ca="1" si="113"/>
        <v/>
      </c>
      <c r="BD645" s="100" t="str">
        <f t="shared" si="111"/>
        <v/>
      </c>
      <c r="BE645" s="103" t="str">
        <f t="shared" ca="1" si="107"/>
        <v/>
      </c>
      <c r="BF645" s="102" t="str">
        <f t="shared" si="112"/>
        <v/>
      </c>
    </row>
    <row r="646" spans="48:58" hidden="1" x14ac:dyDescent="0.25">
      <c r="AV646">
        <v>616</v>
      </c>
      <c r="AW646" s="94" t="str">
        <f t="shared" ca="1" si="104"/>
        <v/>
      </c>
      <c r="AX646" s="95" t="str">
        <f t="shared" si="108"/>
        <v/>
      </c>
      <c r="AY646" s="98" t="str">
        <f t="shared" ca="1" si="105"/>
        <v/>
      </c>
      <c r="AZ646" s="95" t="str">
        <f t="shared" si="109"/>
        <v/>
      </c>
      <c r="BA646" s="99" t="str">
        <f t="shared" ca="1" si="106"/>
        <v/>
      </c>
      <c r="BB646" s="97" t="str">
        <f t="shared" si="110"/>
        <v/>
      </c>
      <c r="BC646" s="101" t="str">
        <f t="shared" ca="1" si="113"/>
        <v/>
      </c>
      <c r="BD646" s="100" t="str">
        <f t="shared" si="111"/>
        <v/>
      </c>
      <c r="BE646" s="103" t="str">
        <f t="shared" ca="1" si="107"/>
        <v/>
      </c>
      <c r="BF646" s="102" t="str">
        <f t="shared" si="112"/>
        <v/>
      </c>
    </row>
    <row r="647" spans="48:58" hidden="1" x14ac:dyDescent="0.25">
      <c r="AV647">
        <v>617</v>
      </c>
      <c r="AW647" s="94" t="str">
        <f t="shared" ca="1" si="104"/>
        <v/>
      </c>
      <c r="AX647" s="95" t="str">
        <f t="shared" si="108"/>
        <v/>
      </c>
      <c r="AY647" s="98" t="str">
        <f t="shared" ca="1" si="105"/>
        <v/>
      </c>
      <c r="AZ647" s="95" t="str">
        <f t="shared" si="109"/>
        <v/>
      </c>
      <c r="BA647" s="99" t="str">
        <f t="shared" ca="1" si="106"/>
        <v/>
      </c>
      <c r="BB647" s="97" t="str">
        <f t="shared" si="110"/>
        <v/>
      </c>
      <c r="BC647" s="101" t="str">
        <f t="shared" ca="1" si="113"/>
        <v/>
      </c>
      <c r="BD647" s="100" t="str">
        <f t="shared" si="111"/>
        <v/>
      </c>
      <c r="BE647" s="103" t="str">
        <f t="shared" ca="1" si="107"/>
        <v/>
      </c>
      <c r="BF647" s="102" t="str">
        <f t="shared" si="112"/>
        <v/>
      </c>
    </row>
    <row r="648" spans="48:58" hidden="1" x14ac:dyDescent="0.25">
      <c r="AV648">
        <v>618</v>
      </c>
      <c r="AW648" s="94" t="str">
        <f t="shared" ca="1" si="104"/>
        <v/>
      </c>
      <c r="AX648" s="95" t="str">
        <f t="shared" si="108"/>
        <v/>
      </c>
      <c r="AY648" s="98" t="str">
        <f t="shared" ca="1" si="105"/>
        <v/>
      </c>
      <c r="AZ648" s="95" t="str">
        <f t="shared" si="109"/>
        <v/>
      </c>
      <c r="BA648" s="99" t="str">
        <f t="shared" ca="1" si="106"/>
        <v/>
      </c>
      <c r="BB648" s="97" t="str">
        <f t="shared" si="110"/>
        <v/>
      </c>
      <c r="BC648" s="101" t="str">
        <f t="shared" ca="1" si="113"/>
        <v/>
      </c>
      <c r="BD648" s="100" t="str">
        <f t="shared" si="111"/>
        <v/>
      </c>
      <c r="BE648" s="103" t="str">
        <f t="shared" ca="1" si="107"/>
        <v/>
      </c>
      <c r="BF648" s="102" t="str">
        <f t="shared" si="112"/>
        <v/>
      </c>
    </row>
    <row r="649" spans="48:58" hidden="1" x14ac:dyDescent="0.25">
      <c r="AV649">
        <v>619</v>
      </c>
      <c r="AW649" s="94" t="str">
        <f t="shared" ca="1" si="104"/>
        <v/>
      </c>
      <c r="AX649" s="95" t="str">
        <f t="shared" si="108"/>
        <v/>
      </c>
      <c r="AY649" s="98" t="str">
        <f t="shared" ca="1" si="105"/>
        <v/>
      </c>
      <c r="AZ649" s="95" t="str">
        <f t="shared" si="109"/>
        <v/>
      </c>
      <c r="BA649" s="99" t="str">
        <f t="shared" ca="1" si="106"/>
        <v/>
      </c>
      <c r="BB649" s="97" t="str">
        <f t="shared" si="110"/>
        <v/>
      </c>
      <c r="BC649" s="101" t="str">
        <f t="shared" ca="1" si="113"/>
        <v/>
      </c>
      <c r="BD649" s="100" t="str">
        <f t="shared" si="111"/>
        <v/>
      </c>
      <c r="BE649" s="103" t="str">
        <f t="shared" ca="1" si="107"/>
        <v/>
      </c>
      <c r="BF649" s="102" t="str">
        <f t="shared" si="112"/>
        <v/>
      </c>
    </row>
    <row r="650" spans="48:58" hidden="1" x14ac:dyDescent="0.25">
      <c r="AV650">
        <v>620</v>
      </c>
      <c r="AW650" s="94" t="str">
        <f t="shared" ca="1" si="104"/>
        <v/>
      </c>
      <c r="AX650" s="95" t="str">
        <f t="shared" si="108"/>
        <v/>
      </c>
      <c r="AY650" s="98" t="str">
        <f t="shared" ca="1" si="105"/>
        <v/>
      </c>
      <c r="AZ650" s="95" t="str">
        <f t="shared" si="109"/>
        <v/>
      </c>
      <c r="BA650" s="99" t="str">
        <f t="shared" ca="1" si="106"/>
        <v/>
      </c>
      <c r="BB650" s="97" t="str">
        <f t="shared" si="110"/>
        <v/>
      </c>
      <c r="BC650" s="101" t="str">
        <f t="shared" ca="1" si="113"/>
        <v/>
      </c>
      <c r="BD650" s="100" t="str">
        <f t="shared" si="111"/>
        <v/>
      </c>
      <c r="BE650" s="103" t="str">
        <f t="shared" ca="1" si="107"/>
        <v/>
      </c>
      <c r="BF650" s="102" t="str">
        <f t="shared" si="112"/>
        <v/>
      </c>
    </row>
    <row r="651" spans="48:58" hidden="1" x14ac:dyDescent="0.25">
      <c r="AV651">
        <v>621</v>
      </c>
      <c r="AW651" s="94" t="str">
        <f t="shared" ca="1" si="104"/>
        <v/>
      </c>
      <c r="AX651" s="95" t="str">
        <f t="shared" si="108"/>
        <v/>
      </c>
      <c r="AY651" s="98" t="str">
        <f t="shared" ca="1" si="105"/>
        <v/>
      </c>
      <c r="AZ651" s="95" t="str">
        <f t="shared" si="109"/>
        <v/>
      </c>
      <c r="BA651" s="99" t="str">
        <f t="shared" ca="1" si="106"/>
        <v/>
      </c>
      <c r="BB651" s="97" t="str">
        <f t="shared" si="110"/>
        <v/>
      </c>
      <c r="BC651" s="101" t="str">
        <f t="shared" ca="1" si="113"/>
        <v/>
      </c>
      <c r="BD651" s="100" t="str">
        <f t="shared" si="111"/>
        <v/>
      </c>
      <c r="BE651" s="103" t="str">
        <f t="shared" ca="1" si="107"/>
        <v/>
      </c>
      <c r="BF651" s="102" t="str">
        <f t="shared" si="112"/>
        <v/>
      </c>
    </row>
    <row r="652" spans="48:58" hidden="1" x14ac:dyDescent="0.25">
      <c r="AV652">
        <v>622</v>
      </c>
      <c r="AW652" s="94" t="str">
        <f t="shared" ca="1" si="104"/>
        <v/>
      </c>
      <c r="AX652" s="95" t="str">
        <f t="shared" si="108"/>
        <v/>
      </c>
      <c r="AY652" s="98" t="str">
        <f t="shared" ca="1" si="105"/>
        <v/>
      </c>
      <c r="AZ652" s="95" t="str">
        <f t="shared" si="109"/>
        <v/>
      </c>
      <c r="BA652" s="99" t="str">
        <f t="shared" ca="1" si="106"/>
        <v/>
      </c>
      <c r="BB652" s="97" t="str">
        <f t="shared" si="110"/>
        <v/>
      </c>
      <c r="BC652" s="101" t="str">
        <f t="shared" ca="1" si="113"/>
        <v/>
      </c>
      <c r="BD652" s="100" t="str">
        <f t="shared" si="111"/>
        <v/>
      </c>
      <c r="BE652" s="103" t="str">
        <f t="shared" ca="1" si="107"/>
        <v/>
      </c>
      <c r="BF652" s="102" t="str">
        <f t="shared" si="112"/>
        <v/>
      </c>
    </row>
    <row r="653" spans="48:58" hidden="1" x14ac:dyDescent="0.25">
      <c r="AV653">
        <v>623</v>
      </c>
      <c r="AW653" s="94" t="str">
        <f t="shared" ca="1" si="104"/>
        <v/>
      </c>
      <c r="AX653" s="95" t="str">
        <f t="shared" si="108"/>
        <v/>
      </c>
      <c r="AY653" s="98" t="str">
        <f t="shared" ca="1" si="105"/>
        <v/>
      </c>
      <c r="AZ653" s="95" t="str">
        <f t="shared" si="109"/>
        <v/>
      </c>
      <c r="BA653" s="99" t="str">
        <f t="shared" ca="1" si="106"/>
        <v/>
      </c>
      <c r="BB653" s="97" t="str">
        <f t="shared" si="110"/>
        <v/>
      </c>
      <c r="BC653" s="101" t="str">
        <f t="shared" ca="1" si="113"/>
        <v/>
      </c>
      <c r="BD653" s="100" t="str">
        <f t="shared" si="111"/>
        <v/>
      </c>
      <c r="BE653" s="103" t="str">
        <f t="shared" ca="1" si="107"/>
        <v/>
      </c>
      <c r="BF653" s="102" t="str">
        <f t="shared" si="112"/>
        <v/>
      </c>
    </row>
    <row r="654" spans="48:58" hidden="1" x14ac:dyDescent="0.25">
      <c r="AV654">
        <v>624</v>
      </c>
      <c r="AW654" s="94" t="str">
        <f t="shared" ca="1" si="104"/>
        <v/>
      </c>
      <c r="AX654" s="95" t="str">
        <f t="shared" si="108"/>
        <v/>
      </c>
      <c r="AY654" s="98" t="str">
        <f t="shared" ca="1" si="105"/>
        <v/>
      </c>
      <c r="AZ654" s="95" t="str">
        <f t="shared" si="109"/>
        <v/>
      </c>
      <c r="BA654" s="99" t="str">
        <f t="shared" ca="1" si="106"/>
        <v/>
      </c>
      <c r="BB654" s="97" t="str">
        <f t="shared" si="110"/>
        <v/>
      </c>
      <c r="BC654" s="101" t="str">
        <f t="shared" ca="1" si="113"/>
        <v/>
      </c>
      <c r="BD654" s="100" t="str">
        <f t="shared" si="111"/>
        <v/>
      </c>
      <c r="BE654" s="103" t="str">
        <f t="shared" ca="1" si="107"/>
        <v/>
      </c>
      <c r="BF654" s="102" t="str">
        <f t="shared" si="112"/>
        <v/>
      </c>
    </row>
    <row r="655" spans="48:58" hidden="1" x14ac:dyDescent="0.25">
      <c r="AV655">
        <v>625</v>
      </c>
      <c r="AW655" s="94" t="str">
        <f t="shared" ca="1" si="104"/>
        <v/>
      </c>
      <c r="AX655" s="95" t="str">
        <f t="shared" si="108"/>
        <v/>
      </c>
      <c r="AY655" s="98" t="str">
        <f t="shared" ca="1" si="105"/>
        <v/>
      </c>
      <c r="AZ655" s="95" t="str">
        <f t="shared" si="109"/>
        <v/>
      </c>
      <c r="BA655" s="99" t="str">
        <f t="shared" ca="1" si="106"/>
        <v/>
      </c>
      <c r="BB655" s="97" t="str">
        <f t="shared" si="110"/>
        <v/>
      </c>
      <c r="BC655" s="101" t="str">
        <f t="shared" ca="1" si="113"/>
        <v/>
      </c>
      <c r="BD655" s="100" t="str">
        <f t="shared" si="111"/>
        <v/>
      </c>
      <c r="BE655" s="103" t="str">
        <f t="shared" ca="1" si="107"/>
        <v/>
      </c>
      <c r="BF655" s="102" t="str">
        <f t="shared" si="112"/>
        <v/>
      </c>
    </row>
    <row r="656" spans="48:58" hidden="1" x14ac:dyDescent="0.25">
      <c r="AV656">
        <v>626</v>
      </c>
      <c r="AW656" s="94" t="str">
        <f t="shared" ca="1" si="104"/>
        <v/>
      </c>
      <c r="AX656" s="95" t="str">
        <f t="shared" si="108"/>
        <v/>
      </c>
      <c r="AY656" s="98" t="str">
        <f t="shared" ca="1" si="105"/>
        <v/>
      </c>
      <c r="AZ656" s="95" t="str">
        <f t="shared" si="109"/>
        <v/>
      </c>
      <c r="BA656" s="99" t="str">
        <f t="shared" ca="1" si="106"/>
        <v/>
      </c>
      <c r="BB656" s="97" t="str">
        <f t="shared" si="110"/>
        <v/>
      </c>
      <c r="BC656" s="101" t="str">
        <f t="shared" ca="1" si="113"/>
        <v/>
      </c>
      <c r="BD656" s="100" t="str">
        <f t="shared" si="111"/>
        <v/>
      </c>
      <c r="BE656" s="103" t="str">
        <f t="shared" ca="1" si="107"/>
        <v/>
      </c>
      <c r="BF656" s="102" t="str">
        <f t="shared" si="112"/>
        <v/>
      </c>
    </row>
    <row r="657" spans="48:58" hidden="1" x14ac:dyDescent="0.25">
      <c r="AV657">
        <v>627</v>
      </c>
      <c r="AW657" s="94" t="str">
        <f t="shared" ca="1" si="104"/>
        <v/>
      </c>
      <c r="AX657" s="95" t="str">
        <f t="shared" si="108"/>
        <v/>
      </c>
      <c r="AY657" s="98" t="str">
        <f t="shared" ca="1" si="105"/>
        <v/>
      </c>
      <c r="AZ657" s="95" t="str">
        <f t="shared" si="109"/>
        <v/>
      </c>
      <c r="BA657" s="99" t="str">
        <f t="shared" ca="1" si="106"/>
        <v/>
      </c>
      <c r="BB657" s="97" t="str">
        <f t="shared" si="110"/>
        <v/>
      </c>
      <c r="BC657" s="101" t="str">
        <f t="shared" ca="1" si="113"/>
        <v/>
      </c>
      <c r="BD657" s="100" t="str">
        <f t="shared" si="111"/>
        <v/>
      </c>
      <c r="BE657" s="103" t="str">
        <f t="shared" ca="1" si="107"/>
        <v/>
      </c>
      <c r="BF657" s="102" t="str">
        <f t="shared" si="112"/>
        <v/>
      </c>
    </row>
    <row r="658" spans="48:58" hidden="1" x14ac:dyDescent="0.25">
      <c r="AV658">
        <v>628</v>
      </c>
      <c r="AW658" s="94" t="str">
        <f t="shared" ca="1" si="104"/>
        <v/>
      </c>
      <c r="AX658" s="95" t="str">
        <f t="shared" si="108"/>
        <v/>
      </c>
      <c r="AY658" s="98" t="str">
        <f t="shared" ca="1" si="105"/>
        <v/>
      </c>
      <c r="AZ658" s="95" t="str">
        <f t="shared" si="109"/>
        <v/>
      </c>
      <c r="BA658" s="99" t="str">
        <f t="shared" ca="1" si="106"/>
        <v/>
      </c>
      <c r="BB658" s="97" t="str">
        <f t="shared" si="110"/>
        <v/>
      </c>
      <c r="BC658" s="101" t="str">
        <f t="shared" ca="1" si="113"/>
        <v/>
      </c>
      <c r="BD658" s="100" t="str">
        <f t="shared" si="111"/>
        <v/>
      </c>
      <c r="BE658" s="103" t="str">
        <f t="shared" ca="1" si="107"/>
        <v/>
      </c>
      <c r="BF658" s="102" t="str">
        <f t="shared" si="112"/>
        <v/>
      </c>
    </row>
    <row r="659" spans="48:58" hidden="1" x14ac:dyDescent="0.25">
      <c r="AV659">
        <v>629</v>
      </c>
      <c r="AW659" s="94" t="str">
        <f t="shared" ca="1" si="104"/>
        <v/>
      </c>
      <c r="AX659" s="95" t="str">
        <f t="shared" si="108"/>
        <v/>
      </c>
      <c r="AY659" s="98" t="str">
        <f t="shared" ca="1" si="105"/>
        <v/>
      </c>
      <c r="AZ659" s="95" t="str">
        <f t="shared" si="109"/>
        <v/>
      </c>
      <c r="BA659" s="99" t="str">
        <f t="shared" ca="1" si="106"/>
        <v/>
      </c>
      <c r="BB659" s="97" t="str">
        <f t="shared" si="110"/>
        <v/>
      </c>
      <c r="BC659" s="101" t="str">
        <f t="shared" ca="1" si="113"/>
        <v/>
      </c>
      <c r="BD659" s="100" t="str">
        <f t="shared" si="111"/>
        <v/>
      </c>
      <c r="BE659" s="103" t="str">
        <f t="shared" ca="1" si="107"/>
        <v/>
      </c>
      <c r="BF659" s="102" t="str">
        <f t="shared" si="112"/>
        <v/>
      </c>
    </row>
    <row r="660" spans="48:58" hidden="1" x14ac:dyDescent="0.25">
      <c r="AV660">
        <v>630</v>
      </c>
      <c r="AW660" s="94" t="str">
        <f t="shared" ca="1" si="104"/>
        <v/>
      </c>
      <c r="AX660" s="95" t="str">
        <f t="shared" si="108"/>
        <v/>
      </c>
      <c r="AY660" s="98" t="str">
        <f t="shared" ca="1" si="105"/>
        <v/>
      </c>
      <c r="AZ660" s="95" t="str">
        <f t="shared" si="109"/>
        <v/>
      </c>
      <c r="BA660" s="99" t="str">
        <f t="shared" ca="1" si="106"/>
        <v/>
      </c>
      <c r="BB660" s="97" t="str">
        <f t="shared" si="110"/>
        <v/>
      </c>
      <c r="BC660" s="101" t="str">
        <f t="shared" ca="1" si="113"/>
        <v/>
      </c>
      <c r="BD660" s="100" t="str">
        <f t="shared" si="111"/>
        <v/>
      </c>
      <c r="BE660" s="103" t="str">
        <f t="shared" ca="1" si="107"/>
        <v/>
      </c>
      <c r="BF660" s="102" t="str">
        <f t="shared" si="112"/>
        <v/>
      </c>
    </row>
    <row r="661" spans="48:58" hidden="1" x14ac:dyDescent="0.25">
      <c r="AV661">
        <v>631</v>
      </c>
      <c r="AW661" s="94" t="str">
        <f t="shared" ca="1" si="104"/>
        <v/>
      </c>
      <c r="AX661" s="95" t="str">
        <f t="shared" si="108"/>
        <v/>
      </c>
      <c r="AY661" s="98" t="str">
        <f t="shared" ca="1" si="105"/>
        <v/>
      </c>
      <c r="AZ661" s="95" t="str">
        <f t="shared" si="109"/>
        <v/>
      </c>
      <c r="BA661" s="99" t="str">
        <f t="shared" ca="1" si="106"/>
        <v/>
      </c>
      <c r="BB661" s="97" t="str">
        <f t="shared" si="110"/>
        <v/>
      </c>
      <c r="BC661" s="101" t="str">
        <f t="shared" ca="1" si="113"/>
        <v/>
      </c>
      <c r="BD661" s="100" t="str">
        <f t="shared" si="111"/>
        <v/>
      </c>
      <c r="BE661" s="103" t="str">
        <f t="shared" ca="1" si="107"/>
        <v/>
      </c>
      <c r="BF661" s="102" t="str">
        <f t="shared" si="112"/>
        <v/>
      </c>
    </row>
    <row r="662" spans="48:58" hidden="1" x14ac:dyDescent="0.25">
      <c r="AV662">
        <v>632</v>
      </c>
      <c r="AW662" s="94" t="str">
        <f t="shared" ca="1" si="104"/>
        <v/>
      </c>
      <c r="AX662" s="95" t="str">
        <f t="shared" si="108"/>
        <v/>
      </c>
      <c r="AY662" s="98" t="str">
        <f t="shared" ca="1" si="105"/>
        <v/>
      </c>
      <c r="AZ662" s="95" t="str">
        <f t="shared" si="109"/>
        <v/>
      </c>
      <c r="BA662" s="99" t="str">
        <f t="shared" ca="1" si="106"/>
        <v/>
      </c>
      <c r="BB662" s="97" t="str">
        <f t="shared" si="110"/>
        <v/>
      </c>
      <c r="BC662" s="101" t="str">
        <f t="shared" ca="1" si="113"/>
        <v/>
      </c>
      <c r="BD662" s="100" t="str">
        <f t="shared" si="111"/>
        <v/>
      </c>
      <c r="BE662" s="103" t="str">
        <f t="shared" ca="1" si="107"/>
        <v/>
      </c>
      <c r="BF662" s="102" t="str">
        <f t="shared" si="112"/>
        <v/>
      </c>
    </row>
    <row r="663" spans="48:58" hidden="1" x14ac:dyDescent="0.25">
      <c r="AV663">
        <v>633</v>
      </c>
      <c r="AW663" s="94" t="str">
        <f t="shared" ca="1" si="104"/>
        <v/>
      </c>
      <c r="AX663" s="95" t="str">
        <f t="shared" si="108"/>
        <v/>
      </c>
      <c r="AY663" s="98" t="str">
        <f t="shared" ca="1" si="105"/>
        <v/>
      </c>
      <c r="AZ663" s="95" t="str">
        <f t="shared" si="109"/>
        <v/>
      </c>
      <c r="BA663" s="99" t="str">
        <f t="shared" ca="1" si="106"/>
        <v/>
      </c>
      <c r="BB663" s="97" t="str">
        <f t="shared" si="110"/>
        <v/>
      </c>
      <c r="BC663" s="101" t="str">
        <f t="shared" ca="1" si="113"/>
        <v/>
      </c>
      <c r="BD663" s="100" t="str">
        <f t="shared" si="111"/>
        <v/>
      </c>
      <c r="BE663" s="103" t="str">
        <f t="shared" ca="1" si="107"/>
        <v/>
      </c>
      <c r="BF663" s="102" t="str">
        <f t="shared" si="112"/>
        <v/>
      </c>
    </row>
    <row r="664" spans="48:58" hidden="1" x14ac:dyDescent="0.25">
      <c r="AV664">
        <v>634</v>
      </c>
      <c r="AW664" s="94" t="str">
        <f t="shared" ca="1" si="104"/>
        <v/>
      </c>
      <c r="AX664" s="95" t="str">
        <f t="shared" si="108"/>
        <v/>
      </c>
      <c r="AY664" s="98" t="str">
        <f t="shared" ca="1" si="105"/>
        <v/>
      </c>
      <c r="AZ664" s="95" t="str">
        <f t="shared" si="109"/>
        <v/>
      </c>
      <c r="BA664" s="99" t="str">
        <f t="shared" ca="1" si="106"/>
        <v/>
      </c>
      <c r="BB664" s="97" t="str">
        <f t="shared" si="110"/>
        <v/>
      </c>
      <c r="BC664" s="101" t="str">
        <f t="shared" ca="1" si="113"/>
        <v/>
      </c>
      <c r="BD664" s="100" t="str">
        <f t="shared" si="111"/>
        <v/>
      </c>
      <c r="BE664" s="103" t="str">
        <f t="shared" ca="1" si="107"/>
        <v/>
      </c>
      <c r="BF664" s="102" t="str">
        <f t="shared" si="112"/>
        <v/>
      </c>
    </row>
    <row r="665" spans="48:58" hidden="1" x14ac:dyDescent="0.25">
      <c r="AV665">
        <v>635</v>
      </c>
      <c r="AW665" s="94" t="str">
        <f t="shared" ca="1" si="104"/>
        <v/>
      </c>
      <c r="AX665" s="95" t="str">
        <f t="shared" si="108"/>
        <v/>
      </c>
      <c r="AY665" s="98" t="str">
        <f t="shared" ca="1" si="105"/>
        <v/>
      </c>
      <c r="AZ665" s="95" t="str">
        <f t="shared" si="109"/>
        <v/>
      </c>
      <c r="BA665" s="99" t="str">
        <f t="shared" ca="1" si="106"/>
        <v/>
      </c>
      <c r="BB665" s="97" t="str">
        <f t="shared" si="110"/>
        <v/>
      </c>
      <c r="BC665" s="101" t="str">
        <f t="shared" ca="1" si="113"/>
        <v/>
      </c>
      <c r="BD665" s="100" t="str">
        <f t="shared" si="111"/>
        <v/>
      </c>
      <c r="BE665" s="103" t="str">
        <f t="shared" ca="1" si="107"/>
        <v/>
      </c>
      <c r="BF665" s="102" t="str">
        <f t="shared" si="112"/>
        <v/>
      </c>
    </row>
    <row r="666" spans="48:58" hidden="1" x14ac:dyDescent="0.25">
      <c r="AV666">
        <v>636</v>
      </c>
      <c r="AW666" s="94" t="str">
        <f t="shared" ca="1" si="104"/>
        <v/>
      </c>
      <c r="AX666" s="95" t="str">
        <f t="shared" si="108"/>
        <v/>
      </c>
      <c r="AY666" s="98" t="str">
        <f t="shared" ca="1" si="105"/>
        <v/>
      </c>
      <c r="AZ666" s="95" t="str">
        <f t="shared" si="109"/>
        <v/>
      </c>
      <c r="BA666" s="99" t="str">
        <f t="shared" ca="1" si="106"/>
        <v/>
      </c>
      <c r="BB666" s="97" t="str">
        <f t="shared" si="110"/>
        <v/>
      </c>
      <c r="BC666" s="101" t="str">
        <f t="shared" ca="1" si="113"/>
        <v/>
      </c>
      <c r="BD666" s="100" t="str">
        <f t="shared" si="111"/>
        <v/>
      </c>
      <c r="BE666" s="103" t="str">
        <f t="shared" ca="1" si="107"/>
        <v/>
      </c>
      <c r="BF666" s="102" t="str">
        <f t="shared" si="112"/>
        <v/>
      </c>
    </row>
    <row r="667" spans="48:58" hidden="1" x14ac:dyDescent="0.25">
      <c r="AV667">
        <v>637</v>
      </c>
      <c r="AW667" s="94" t="str">
        <f t="shared" ca="1" si="104"/>
        <v/>
      </c>
      <c r="AX667" s="95" t="str">
        <f t="shared" si="108"/>
        <v/>
      </c>
      <c r="AY667" s="98" t="str">
        <f t="shared" ca="1" si="105"/>
        <v/>
      </c>
      <c r="AZ667" s="95" t="str">
        <f t="shared" si="109"/>
        <v/>
      </c>
      <c r="BA667" s="99" t="str">
        <f t="shared" ca="1" si="106"/>
        <v/>
      </c>
      <c r="BB667" s="97" t="str">
        <f t="shared" si="110"/>
        <v/>
      </c>
      <c r="BC667" s="101" t="str">
        <f t="shared" ca="1" si="113"/>
        <v/>
      </c>
      <c r="BD667" s="100" t="str">
        <f t="shared" si="111"/>
        <v/>
      </c>
      <c r="BE667" s="103" t="str">
        <f t="shared" ca="1" si="107"/>
        <v/>
      </c>
      <c r="BF667" s="102" t="str">
        <f t="shared" si="112"/>
        <v/>
      </c>
    </row>
    <row r="668" spans="48:58" hidden="1" x14ac:dyDescent="0.25">
      <c r="AV668">
        <v>638</v>
      </c>
      <c r="AW668" s="94" t="str">
        <f t="shared" ca="1" si="104"/>
        <v/>
      </c>
      <c r="AX668" s="95" t="str">
        <f t="shared" si="108"/>
        <v/>
      </c>
      <c r="AY668" s="98" t="str">
        <f t="shared" ca="1" si="105"/>
        <v/>
      </c>
      <c r="AZ668" s="95" t="str">
        <f t="shared" si="109"/>
        <v/>
      </c>
      <c r="BA668" s="99" t="str">
        <f t="shared" ca="1" si="106"/>
        <v/>
      </c>
      <c r="BB668" s="97" t="str">
        <f t="shared" si="110"/>
        <v/>
      </c>
      <c r="BC668" s="101" t="str">
        <f t="shared" ca="1" si="113"/>
        <v/>
      </c>
      <c r="BD668" s="100" t="str">
        <f t="shared" si="111"/>
        <v/>
      </c>
      <c r="BE668" s="103" t="str">
        <f t="shared" ca="1" si="107"/>
        <v/>
      </c>
      <c r="BF668" s="102" t="str">
        <f t="shared" si="112"/>
        <v/>
      </c>
    </row>
    <row r="669" spans="48:58" hidden="1" x14ac:dyDescent="0.25">
      <c r="AV669">
        <v>639</v>
      </c>
      <c r="AW669" s="94" t="str">
        <f t="shared" ca="1" si="104"/>
        <v/>
      </c>
      <c r="AX669" s="95" t="str">
        <f t="shared" si="108"/>
        <v/>
      </c>
      <c r="AY669" s="98" t="str">
        <f t="shared" ca="1" si="105"/>
        <v/>
      </c>
      <c r="AZ669" s="95" t="str">
        <f t="shared" si="109"/>
        <v/>
      </c>
      <c r="BA669" s="99" t="str">
        <f t="shared" ca="1" si="106"/>
        <v/>
      </c>
      <c r="BB669" s="97" t="str">
        <f t="shared" si="110"/>
        <v/>
      </c>
      <c r="BC669" s="101" t="str">
        <f t="shared" ca="1" si="113"/>
        <v/>
      </c>
      <c r="BD669" s="100" t="str">
        <f t="shared" si="111"/>
        <v/>
      </c>
      <c r="BE669" s="103" t="str">
        <f t="shared" ca="1" si="107"/>
        <v/>
      </c>
      <c r="BF669" s="102" t="str">
        <f t="shared" si="112"/>
        <v/>
      </c>
    </row>
    <row r="670" spans="48:58" hidden="1" x14ac:dyDescent="0.25">
      <c r="AV670">
        <v>640</v>
      </c>
      <c r="AW670" s="94" t="str">
        <f t="shared" ca="1" si="104"/>
        <v/>
      </c>
      <c r="AX670" s="95" t="str">
        <f t="shared" si="108"/>
        <v/>
      </c>
      <c r="AY670" s="98" t="str">
        <f t="shared" ca="1" si="105"/>
        <v/>
      </c>
      <c r="AZ670" s="95" t="str">
        <f t="shared" si="109"/>
        <v/>
      </c>
      <c r="BA670" s="99" t="str">
        <f t="shared" ca="1" si="106"/>
        <v/>
      </c>
      <c r="BB670" s="97" t="str">
        <f t="shared" si="110"/>
        <v/>
      </c>
      <c r="BC670" s="101" t="str">
        <f t="shared" ca="1" si="113"/>
        <v/>
      </c>
      <c r="BD670" s="100" t="str">
        <f t="shared" si="111"/>
        <v/>
      </c>
      <c r="BE670" s="103" t="str">
        <f t="shared" ca="1" si="107"/>
        <v/>
      </c>
      <c r="BF670" s="102" t="str">
        <f t="shared" si="112"/>
        <v/>
      </c>
    </row>
    <row r="671" spans="48:58" hidden="1" x14ac:dyDescent="0.25">
      <c r="AV671">
        <v>641</v>
      </c>
      <c r="AW671" s="94" t="str">
        <f t="shared" ref="AW671:AW734" ca="1" si="114">IF(T_1*12&gt;=AV671,DATE(YEAR(TODAY()),MONTH(TODAY())+AV671-1,DAY(TODAY())),IF(T_1*12+1&gt;=AV671,DATE(YEAR(TODAY()),MONTH(TODAY())+T_1*12,DAY(TODAY())),""))</f>
        <v/>
      </c>
      <c r="AX671" s="95" t="str">
        <f t="shared" si="108"/>
        <v/>
      </c>
      <c r="AY671" s="98" t="str">
        <f t="shared" ref="AY671:AY734" ca="1" si="115">IF(T_2*12&gt;=$AV671,DATE(YEAR(TODAY()),MONTH(TODAY())+$AV671-1,DAY(TODAY())),IF(T_2*12+1&gt;=$AV671,DATE(YEAR(TODAY()),MONTH(TODAY())+T_2*12,DAY(TODAY())),""))</f>
        <v/>
      </c>
      <c r="AZ671" s="95" t="str">
        <f t="shared" si="109"/>
        <v/>
      </c>
      <c r="BA671" s="99" t="str">
        <f t="shared" ref="BA671:BA734" ca="1" si="116">IF(T_3*12&gt;=$AV671,DATE(YEAR(TODAY()),MONTH(TODAY())+$AV671-1,DAY(TODAY())),IF(T_3*12+1&gt;=$AV671,DATE(YEAR(TODAY()),MONTH(TODAY())+T_3*12,DAY(TODAY())),""))</f>
        <v/>
      </c>
      <c r="BB671" s="97" t="str">
        <f t="shared" si="110"/>
        <v/>
      </c>
      <c r="BC671" s="101" t="str">
        <f t="shared" ca="1" si="113"/>
        <v/>
      </c>
      <c r="BD671" s="100" t="str">
        <f t="shared" si="111"/>
        <v/>
      </c>
      <c r="BE671" s="103" t="str">
        <f t="shared" ref="BE671:BE734" ca="1" si="117">IF(T_5*12&gt;=$AV671,DATE(YEAR(TODAY()),MONTH(TODAY())+$AV671-1,DAY(TODAY())),IF(T_5*12+1&gt;=$AV671,DATE(YEAR(TODAY()),MONTH(TODAY())+T_5*12,DAY(TODAY())),""))</f>
        <v/>
      </c>
      <c r="BF671" s="102" t="str">
        <f t="shared" si="112"/>
        <v/>
      </c>
    </row>
    <row r="672" spans="48:58" hidden="1" x14ac:dyDescent="0.25">
      <c r="AV672">
        <v>642</v>
      </c>
      <c r="AW672" s="94" t="str">
        <f t="shared" ca="1" si="114"/>
        <v/>
      </c>
      <c r="AX672" s="95" t="str">
        <f t="shared" ref="AX672:AX735" si="118">IF(T_1*12&gt;=AV672,-1*$I$15,IF(T_1*12+1&gt;=AV672,InfG_1,""))</f>
        <v/>
      </c>
      <c r="AY672" s="98" t="str">
        <f t="shared" ca="1" si="115"/>
        <v/>
      </c>
      <c r="AZ672" s="95" t="str">
        <f t="shared" ref="AZ672:AZ735" si="119">IF(T_2*12&gt;=$AV672,-1*$I$17,IF(T_2*12+1&gt;=$AV672,InfG_2,""))</f>
        <v/>
      </c>
      <c r="BA672" s="99" t="str">
        <f t="shared" ca="1" si="116"/>
        <v/>
      </c>
      <c r="BB672" s="97" t="str">
        <f t="shared" ref="BB672:BB735" si="120">IF(T_3*12&gt;=$AV672,-1*$I$19,IF(T_3*12+1&gt;=$AV672,InfG_3,""))</f>
        <v/>
      </c>
      <c r="BC672" s="101" t="str">
        <f t="shared" ca="1" si="113"/>
        <v/>
      </c>
      <c r="BD672" s="100" t="str">
        <f t="shared" ref="BD672:BD735" si="121">IF(T_4*12&gt;=$AV672,-1*$I$21,IF(T_4*12+1&gt;=$AV672,InfG_4,""))</f>
        <v/>
      </c>
      <c r="BE672" s="103" t="str">
        <f t="shared" ca="1" si="117"/>
        <v/>
      </c>
      <c r="BF672" s="102" t="str">
        <f t="shared" ref="BF672:BF735" si="122">IF(T_5*12&gt;=$AV672,-1*$I$23,IF(T_5*12+1&gt;=$AV672,InfG_5,""))</f>
        <v/>
      </c>
    </row>
    <row r="673" spans="48:58" hidden="1" x14ac:dyDescent="0.25">
      <c r="AV673">
        <v>643</v>
      </c>
      <c r="AW673" s="94" t="str">
        <f t="shared" ca="1" si="114"/>
        <v/>
      </c>
      <c r="AX673" s="95" t="str">
        <f t="shared" si="118"/>
        <v/>
      </c>
      <c r="AY673" s="98" t="str">
        <f t="shared" ca="1" si="115"/>
        <v/>
      </c>
      <c r="AZ673" s="95" t="str">
        <f t="shared" si="119"/>
        <v/>
      </c>
      <c r="BA673" s="99" t="str">
        <f t="shared" ca="1" si="116"/>
        <v/>
      </c>
      <c r="BB673" s="97" t="str">
        <f t="shared" si="120"/>
        <v/>
      </c>
      <c r="BC673" s="101" t="str">
        <f t="shared" ref="BC673:BC736" ca="1" si="123">IF(T_4*12&gt;=AV673,DATE(YEAR(TODAY()),MONTH(TODAY())+AV673-1,DAY(TODAY())),IF(T_4*12+1&gt;=AV673,DATE(YEAR(TODAY()),MONTH(TODAY())+T_4*12,DAY(TODAY())),""))</f>
        <v/>
      </c>
      <c r="BD673" s="100" t="str">
        <f t="shared" si="121"/>
        <v/>
      </c>
      <c r="BE673" s="103" t="str">
        <f t="shared" ca="1" si="117"/>
        <v/>
      </c>
      <c r="BF673" s="102" t="str">
        <f t="shared" si="122"/>
        <v/>
      </c>
    </row>
    <row r="674" spans="48:58" hidden="1" x14ac:dyDescent="0.25">
      <c r="AV674">
        <v>644</v>
      </c>
      <c r="AW674" s="94" t="str">
        <f t="shared" ca="1" si="114"/>
        <v/>
      </c>
      <c r="AX674" s="95" t="str">
        <f t="shared" si="118"/>
        <v/>
      </c>
      <c r="AY674" s="98" t="str">
        <f t="shared" ca="1" si="115"/>
        <v/>
      </c>
      <c r="AZ674" s="95" t="str">
        <f t="shared" si="119"/>
        <v/>
      </c>
      <c r="BA674" s="99" t="str">
        <f t="shared" ca="1" si="116"/>
        <v/>
      </c>
      <c r="BB674" s="97" t="str">
        <f t="shared" si="120"/>
        <v/>
      </c>
      <c r="BC674" s="101" t="str">
        <f t="shared" ca="1" si="123"/>
        <v/>
      </c>
      <c r="BD674" s="100" t="str">
        <f t="shared" si="121"/>
        <v/>
      </c>
      <c r="BE674" s="103" t="str">
        <f t="shared" ca="1" si="117"/>
        <v/>
      </c>
      <c r="BF674" s="102" t="str">
        <f t="shared" si="122"/>
        <v/>
      </c>
    </row>
    <row r="675" spans="48:58" hidden="1" x14ac:dyDescent="0.25">
      <c r="AV675">
        <v>645</v>
      </c>
      <c r="AW675" s="94" t="str">
        <f t="shared" ca="1" si="114"/>
        <v/>
      </c>
      <c r="AX675" s="95" t="str">
        <f t="shared" si="118"/>
        <v/>
      </c>
      <c r="AY675" s="98" t="str">
        <f t="shared" ca="1" si="115"/>
        <v/>
      </c>
      <c r="AZ675" s="95" t="str">
        <f t="shared" si="119"/>
        <v/>
      </c>
      <c r="BA675" s="99" t="str">
        <f t="shared" ca="1" si="116"/>
        <v/>
      </c>
      <c r="BB675" s="97" t="str">
        <f t="shared" si="120"/>
        <v/>
      </c>
      <c r="BC675" s="101" t="str">
        <f t="shared" ca="1" si="123"/>
        <v/>
      </c>
      <c r="BD675" s="100" t="str">
        <f t="shared" si="121"/>
        <v/>
      </c>
      <c r="BE675" s="103" t="str">
        <f t="shared" ca="1" si="117"/>
        <v/>
      </c>
      <c r="BF675" s="102" t="str">
        <f t="shared" si="122"/>
        <v/>
      </c>
    </row>
    <row r="676" spans="48:58" hidden="1" x14ac:dyDescent="0.25">
      <c r="AV676">
        <v>646</v>
      </c>
      <c r="AW676" s="94" t="str">
        <f t="shared" ca="1" si="114"/>
        <v/>
      </c>
      <c r="AX676" s="95" t="str">
        <f t="shared" si="118"/>
        <v/>
      </c>
      <c r="AY676" s="98" t="str">
        <f t="shared" ca="1" si="115"/>
        <v/>
      </c>
      <c r="AZ676" s="95" t="str">
        <f t="shared" si="119"/>
        <v/>
      </c>
      <c r="BA676" s="99" t="str">
        <f t="shared" ca="1" si="116"/>
        <v/>
      </c>
      <c r="BB676" s="97" t="str">
        <f t="shared" si="120"/>
        <v/>
      </c>
      <c r="BC676" s="101" t="str">
        <f t="shared" ca="1" si="123"/>
        <v/>
      </c>
      <c r="BD676" s="100" t="str">
        <f t="shared" si="121"/>
        <v/>
      </c>
      <c r="BE676" s="103" t="str">
        <f t="shared" ca="1" si="117"/>
        <v/>
      </c>
      <c r="BF676" s="102" t="str">
        <f t="shared" si="122"/>
        <v/>
      </c>
    </row>
    <row r="677" spans="48:58" hidden="1" x14ac:dyDescent="0.25">
      <c r="AV677">
        <v>647</v>
      </c>
      <c r="AW677" s="94" t="str">
        <f t="shared" ca="1" si="114"/>
        <v/>
      </c>
      <c r="AX677" s="95" t="str">
        <f t="shared" si="118"/>
        <v/>
      </c>
      <c r="AY677" s="98" t="str">
        <f t="shared" ca="1" si="115"/>
        <v/>
      </c>
      <c r="AZ677" s="95" t="str">
        <f t="shared" si="119"/>
        <v/>
      </c>
      <c r="BA677" s="99" t="str">
        <f t="shared" ca="1" si="116"/>
        <v/>
      </c>
      <c r="BB677" s="97" t="str">
        <f t="shared" si="120"/>
        <v/>
      </c>
      <c r="BC677" s="101" t="str">
        <f t="shared" ca="1" si="123"/>
        <v/>
      </c>
      <c r="BD677" s="100" t="str">
        <f t="shared" si="121"/>
        <v/>
      </c>
      <c r="BE677" s="103" t="str">
        <f t="shared" ca="1" si="117"/>
        <v/>
      </c>
      <c r="BF677" s="102" t="str">
        <f t="shared" si="122"/>
        <v/>
      </c>
    </row>
    <row r="678" spans="48:58" hidden="1" x14ac:dyDescent="0.25">
      <c r="AV678">
        <v>648</v>
      </c>
      <c r="AW678" s="94" t="str">
        <f t="shared" ca="1" si="114"/>
        <v/>
      </c>
      <c r="AX678" s="95" t="str">
        <f t="shared" si="118"/>
        <v/>
      </c>
      <c r="AY678" s="98" t="str">
        <f t="shared" ca="1" si="115"/>
        <v/>
      </c>
      <c r="AZ678" s="95" t="str">
        <f t="shared" si="119"/>
        <v/>
      </c>
      <c r="BA678" s="99" t="str">
        <f t="shared" ca="1" si="116"/>
        <v/>
      </c>
      <c r="BB678" s="97" t="str">
        <f t="shared" si="120"/>
        <v/>
      </c>
      <c r="BC678" s="101" t="str">
        <f t="shared" ca="1" si="123"/>
        <v/>
      </c>
      <c r="BD678" s="100" t="str">
        <f t="shared" si="121"/>
        <v/>
      </c>
      <c r="BE678" s="103" t="str">
        <f t="shared" ca="1" si="117"/>
        <v/>
      </c>
      <c r="BF678" s="102" t="str">
        <f t="shared" si="122"/>
        <v/>
      </c>
    </row>
    <row r="679" spans="48:58" hidden="1" x14ac:dyDescent="0.25">
      <c r="AV679">
        <v>649</v>
      </c>
      <c r="AW679" s="94" t="str">
        <f t="shared" ca="1" si="114"/>
        <v/>
      </c>
      <c r="AX679" s="95" t="str">
        <f t="shared" si="118"/>
        <v/>
      </c>
      <c r="AY679" s="98" t="str">
        <f t="shared" ca="1" si="115"/>
        <v/>
      </c>
      <c r="AZ679" s="95" t="str">
        <f t="shared" si="119"/>
        <v/>
      </c>
      <c r="BA679" s="99" t="str">
        <f t="shared" ca="1" si="116"/>
        <v/>
      </c>
      <c r="BB679" s="97" t="str">
        <f t="shared" si="120"/>
        <v/>
      </c>
      <c r="BC679" s="101" t="str">
        <f t="shared" ca="1" si="123"/>
        <v/>
      </c>
      <c r="BD679" s="100" t="str">
        <f t="shared" si="121"/>
        <v/>
      </c>
      <c r="BE679" s="103" t="str">
        <f t="shared" ca="1" si="117"/>
        <v/>
      </c>
      <c r="BF679" s="102" t="str">
        <f t="shared" si="122"/>
        <v/>
      </c>
    </row>
    <row r="680" spans="48:58" hidden="1" x14ac:dyDescent="0.25">
      <c r="AV680">
        <v>650</v>
      </c>
      <c r="AW680" s="94" t="str">
        <f t="shared" ca="1" si="114"/>
        <v/>
      </c>
      <c r="AX680" s="95" t="str">
        <f t="shared" si="118"/>
        <v/>
      </c>
      <c r="AY680" s="98" t="str">
        <f t="shared" ca="1" si="115"/>
        <v/>
      </c>
      <c r="AZ680" s="95" t="str">
        <f t="shared" si="119"/>
        <v/>
      </c>
      <c r="BA680" s="99" t="str">
        <f t="shared" ca="1" si="116"/>
        <v/>
      </c>
      <c r="BB680" s="97" t="str">
        <f t="shared" si="120"/>
        <v/>
      </c>
      <c r="BC680" s="101" t="str">
        <f t="shared" ca="1" si="123"/>
        <v/>
      </c>
      <c r="BD680" s="100" t="str">
        <f t="shared" si="121"/>
        <v/>
      </c>
      <c r="BE680" s="103" t="str">
        <f t="shared" ca="1" si="117"/>
        <v/>
      </c>
      <c r="BF680" s="102" t="str">
        <f t="shared" si="122"/>
        <v/>
      </c>
    </row>
    <row r="681" spans="48:58" hidden="1" x14ac:dyDescent="0.25">
      <c r="AV681">
        <v>651</v>
      </c>
      <c r="AW681" s="94" t="str">
        <f t="shared" ca="1" si="114"/>
        <v/>
      </c>
      <c r="AX681" s="95" t="str">
        <f t="shared" si="118"/>
        <v/>
      </c>
      <c r="AY681" s="98" t="str">
        <f t="shared" ca="1" si="115"/>
        <v/>
      </c>
      <c r="AZ681" s="95" t="str">
        <f t="shared" si="119"/>
        <v/>
      </c>
      <c r="BA681" s="99" t="str">
        <f t="shared" ca="1" si="116"/>
        <v/>
      </c>
      <c r="BB681" s="97" t="str">
        <f t="shared" si="120"/>
        <v/>
      </c>
      <c r="BC681" s="101" t="str">
        <f t="shared" ca="1" si="123"/>
        <v/>
      </c>
      <c r="BD681" s="100" t="str">
        <f t="shared" si="121"/>
        <v/>
      </c>
      <c r="BE681" s="103" t="str">
        <f t="shared" ca="1" si="117"/>
        <v/>
      </c>
      <c r="BF681" s="102" t="str">
        <f t="shared" si="122"/>
        <v/>
      </c>
    </row>
    <row r="682" spans="48:58" hidden="1" x14ac:dyDescent="0.25">
      <c r="AV682">
        <v>652</v>
      </c>
      <c r="AW682" s="94" t="str">
        <f t="shared" ca="1" si="114"/>
        <v/>
      </c>
      <c r="AX682" s="95" t="str">
        <f t="shared" si="118"/>
        <v/>
      </c>
      <c r="AY682" s="98" t="str">
        <f t="shared" ca="1" si="115"/>
        <v/>
      </c>
      <c r="AZ682" s="95" t="str">
        <f t="shared" si="119"/>
        <v/>
      </c>
      <c r="BA682" s="99" t="str">
        <f t="shared" ca="1" si="116"/>
        <v/>
      </c>
      <c r="BB682" s="97" t="str">
        <f t="shared" si="120"/>
        <v/>
      </c>
      <c r="BC682" s="101" t="str">
        <f t="shared" ca="1" si="123"/>
        <v/>
      </c>
      <c r="BD682" s="100" t="str">
        <f t="shared" si="121"/>
        <v/>
      </c>
      <c r="BE682" s="103" t="str">
        <f t="shared" ca="1" si="117"/>
        <v/>
      </c>
      <c r="BF682" s="102" t="str">
        <f t="shared" si="122"/>
        <v/>
      </c>
    </row>
    <row r="683" spans="48:58" hidden="1" x14ac:dyDescent="0.25">
      <c r="AV683">
        <v>653</v>
      </c>
      <c r="AW683" s="94" t="str">
        <f t="shared" ca="1" si="114"/>
        <v/>
      </c>
      <c r="AX683" s="95" t="str">
        <f t="shared" si="118"/>
        <v/>
      </c>
      <c r="AY683" s="98" t="str">
        <f t="shared" ca="1" si="115"/>
        <v/>
      </c>
      <c r="AZ683" s="95" t="str">
        <f t="shared" si="119"/>
        <v/>
      </c>
      <c r="BA683" s="99" t="str">
        <f t="shared" ca="1" si="116"/>
        <v/>
      </c>
      <c r="BB683" s="97" t="str">
        <f t="shared" si="120"/>
        <v/>
      </c>
      <c r="BC683" s="101" t="str">
        <f t="shared" ca="1" si="123"/>
        <v/>
      </c>
      <c r="BD683" s="100" t="str">
        <f t="shared" si="121"/>
        <v/>
      </c>
      <c r="BE683" s="103" t="str">
        <f t="shared" ca="1" si="117"/>
        <v/>
      </c>
      <c r="BF683" s="102" t="str">
        <f t="shared" si="122"/>
        <v/>
      </c>
    </row>
    <row r="684" spans="48:58" hidden="1" x14ac:dyDescent="0.25">
      <c r="AV684">
        <v>654</v>
      </c>
      <c r="AW684" s="94" t="str">
        <f t="shared" ca="1" si="114"/>
        <v/>
      </c>
      <c r="AX684" s="95" t="str">
        <f t="shared" si="118"/>
        <v/>
      </c>
      <c r="AY684" s="98" t="str">
        <f t="shared" ca="1" si="115"/>
        <v/>
      </c>
      <c r="AZ684" s="95" t="str">
        <f t="shared" si="119"/>
        <v/>
      </c>
      <c r="BA684" s="99" t="str">
        <f t="shared" ca="1" si="116"/>
        <v/>
      </c>
      <c r="BB684" s="97" t="str">
        <f t="shared" si="120"/>
        <v/>
      </c>
      <c r="BC684" s="101" t="str">
        <f t="shared" ca="1" si="123"/>
        <v/>
      </c>
      <c r="BD684" s="100" t="str">
        <f t="shared" si="121"/>
        <v/>
      </c>
      <c r="BE684" s="103" t="str">
        <f t="shared" ca="1" si="117"/>
        <v/>
      </c>
      <c r="BF684" s="102" t="str">
        <f t="shared" si="122"/>
        <v/>
      </c>
    </row>
    <row r="685" spans="48:58" hidden="1" x14ac:dyDescent="0.25">
      <c r="AV685">
        <v>655</v>
      </c>
      <c r="AW685" s="94" t="str">
        <f t="shared" ca="1" si="114"/>
        <v/>
      </c>
      <c r="AX685" s="95" t="str">
        <f t="shared" si="118"/>
        <v/>
      </c>
      <c r="AY685" s="98" t="str">
        <f t="shared" ca="1" si="115"/>
        <v/>
      </c>
      <c r="AZ685" s="95" t="str">
        <f t="shared" si="119"/>
        <v/>
      </c>
      <c r="BA685" s="99" t="str">
        <f t="shared" ca="1" si="116"/>
        <v/>
      </c>
      <c r="BB685" s="97" t="str">
        <f t="shared" si="120"/>
        <v/>
      </c>
      <c r="BC685" s="101" t="str">
        <f t="shared" ca="1" si="123"/>
        <v/>
      </c>
      <c r="BD685" s="100" t="str">
        <f t="shared" si="121"/>
        <v/>
      </c>
      <c r="BE685" s="103" t="str">
        <f t="shared" ca="1" si="117"/>
        <v/>
      </c>
      <c r="BF685" s="102" t="str">
        <f t="shared" si="122"/>
        <v/>
      </c>
    </row>
    <row r="686" spans="48:58" hidden="1" x14ac:dyDescent="0.25">
      <c r="AV686">
        <v>656</v>
      </c>
      <c r="AW686" s="94" t="str">
        <f t="shared" ca="1" si="114"/>
        <v/>
      </c>
      <c r="AX686" s="95" t="str">
        <f t="shared" si="118"/>
        <v/>
      </c>
      <c r="AY686" s="98" t="str">
        <f t="shared" ca="1" si="115"/>
        <v/>
      </c>
      <c r="AZ686" s="95" t="str">
        <f t="shared" si="119"/>
        <v/>
      </c>
      <c r="BA686" s="99" t="str">
        <f t="shared" ca="1" si="116"/>
        <v/>
      </c>
      <c r="BB686" s="97" t="str">
        <f t="shared" si="120"/>
        <v/>
      </c>
      <c r="BC686" s="101" t="str">
        <f t="shared" ca="1" si="123"/>
        <v/>
      </c>
      <c r="BD686" s="100" t="str">
        <f t="shared" si="121"/>
        <v/>
      </c>
      <c r="BE686" s="103" t="str">
        <f t="shared" ca="1" si="117"/>
        <v/>
      </c>
      <c r="BF686" s="102" t="str">
        <f t="shared" si="122"/>
        <v/>
      </c>
    </row>
    <row r="687" spans="48:58" hidden="1" x14ac:dyDescent="0.25">
      <c r="AV687">
        <v>657</v>
      </c>
      <c r="AW687" s="94" t="str">
        <f t="shared" ca="1" si="114"/>
        <v/>
      </c>
      <c r="AX687" s="95" t="str">
        <f t="shared" si="118"/>
        <v/>
      </c>
      <c r="AY687" s="98" t="str">
        <f t="shared" ca="1" si="115"/>
        <v/>
      </c>
      <c r="AZ687" s="95" t="str">
        <f t="shared" si="119"/>
        <v/>
      </c>
      <c r="BA687" s="99" t="str">
        <f t="shared" ca="1" si="116"/>
        <v/>
      </c>
      <c r="BB687" s="97" t="str">
        <f t="shared" si="120"/>
        <v/>
      </c>
      <c r="BC687" s="101" t="str">
        <f t="shared" ca="1" si="123"/>
        <v/>
      </c>
      <c r="BD687" s="100" t="str">
        <f t="shared" si="121"/>
        <v/>
      </c>
      <c r="BE687" s="103" t="str">
        <f t="shared" ca="1" si="117"/>
        <v/>
      </c>
      <c r="BF687" s="102" t="str">
        <f t="shared" si="122"/>
        <v/>
      </c>
    </row>
    <row r="688" spans="48:58" hidden="1" x14ac:dyDescent="0.25">
      <c r="AV688">
        <v>658</v>
      </c>
      <c r="AW688" s="94" t="str">
        <f t="shared" ca="1" si="114"/>
        <v/>
      </c>
      <c r="AX688" s="95" t="str">
        <f t="shared" si="118"/>
        <v/>
      </c>
      <c r="AY688" s="98" t="str">
        <f t="shared" ca="1" si="115"/>
        <v/>
      </c>
      <c r="AZ688" s="95" t="str">
        <f t="shared" si="119"/>
        <v/>
      </c>
      <c r="BA688" s="99" t="str">
        <f t="shared" ca="1" si="116"/>
        <v/>
      </c>
      <c r="BB688" s="97" t="str">
        <f t="shared" si="120"/>
        <v/>
      </c>
      <c r="BC688" s="101" t="str">
        <f t="shared" ca="1" si="123"/>
        <v/>
      </c>
      <c r="BD688" s="100" t="str">
        <f t="shared" si="121"/>
        <v/>
      </c>
      <c r="BE688" s="103" t="str">
        <f t="shared" ca="1" si="117"/>
        <v/>
      </c>
      <c r="BF688" s="102" t="str">
        <f t="shared" si="122"/>
        <v/>
      </c>
    </row>
    <row r="689" spans="48:58" hidden="1" x14ac:dyDescent="0.25">
      <c r="AV689">
        <v>659</v>
      </c>
      <c r="AW689" s="94" t="str">
        <f t="shared" ca="1" si="114"/>
        <v/>
      </c>
      <c r="AX689" s="95" t="str">
        <f t="shared" si="118"/>
        <v/>
      </c>
      <c r="AY689" s="98" t="str">
        <f t="shared" ca="1" si="115"/>
        <v/>
      </c>
      <c r="AZ689" s="95" t="str">
        <f t="shared" si="119"/>
        <v/>
      </c>
      <c r="BA689" s="99" t="str">
        <f t="shared" ca="1" si="116"/>
        <v/>
      </c>
      <c r="BB689" s="97" t="str">
        <f t="shared" si="120"/>
        <v/>
      </c>
      <c r="BC689" s="101" t="str">
        <f t="shared" ca="1" si="123"/>
        <v/>
      </c>
      <c r="BD689" s="100" t="str">
        <f t="shared" si="121"/>
        <v/>
      </c>
      <c r="BE689" s="103" t="str">
        <f t="shared" ca="1" si="117"/>
        <v/>
      </c>
      <c r="BF689" s="102" t="str">
        <f t="shared" si="122"/>
        <v/>
      </c>
    </row>
    <row r="690" spans="48:58" hidden="1" x14ac:dyDescent="0.25">
      <c r="AV690">
        <v>660</v>
      </c>
      <c r="AW690" s="94" t="str">
        <f t="shared" ca="1" si="114"/>
        <v/>
      </c>
      <c r="AX690" s="95" t="str">
        <f t="shared" si="118"/>
        <v/>
      </c>
      <c r="AY690" s="98" t="str">
        <f t="shared" ca="1" si="115"/>
        <v/>
      </c>
      <c r="AZ690" s="95" t="str">
        <f t="shared" si="119"/>
        <v/>
      </c>
      <c r="BA690" s="99" t="str">
        <f t="shared" ca="1" si="116"/>
        <v/>
      </c>
      <c r="BB690" s="97" t="str">
        <f t="shared" si="120"/>
        <v/>
      </c>
      <c r="BC690" s="101" t="str">
        <f t="shared" ca="1" si="123"/>
        <v/>
      </c>
      <c r="BD690" s="100" t="str">
        <f t="shared" si="121"/>
        <v/>
      </c>
      <c r="BE690" s="103" t="str">
        <f t="shared" ca="1" si="117"/>
        <v/>
      </c>
      <c r="BF690" s="102" t="str">
        <f t="shared" si="122"/>
        <v/>
      </c>
    </row>
    <row r="691" spans="48:58" hidden="1" x14ac:dyDescent="0.25">
      <c r="AV691">
        <v>661</v>
      </c>
      <c r="AW691" s="94" t="str">
        <f t="shared" ca="1" si="114"/>
        <v/>
      </c>
      <c r="AX691" s="95" t="str">
        <f t="shared" si="118"/>
        <v/>
      </c>
      <c r="AY691" s="98" t="str">
        <f t="shared" ca="1" si="115"/>
        <v/>
      </c>
      <c r="AZ691" s="95" t="str">
        <f t="shared" si="119"/>
        <v/>
      </c>
      <c r="BA691" s="99" t="str">
        <f t="shared" ca="1" si="116"/>
        <v/>
      </c>
      <c r="BB691" s="97" t="str">
        <f t="shared" si="120"/>
        <v/>
      </c>
      <c r="BC691" s="101" t="str">
        <f t="shared" ca="1" si="123"/>
        <v/>
      </c>
      <c r="BD691" s="100" t="str">
        <f t="shared" si="121"/>
        <v/>
      </c>
      <c r="BE691" s="103" t="str">
        <f t="shared" ca="1" si="117"/>
        <v/>
      </c>
      <c r="BF691" s="102" t="str">
        <f t="shared" si="122"/>
        <v/>
      </c>
    </row>
    <row r="692" spans="48:58" hidden="1" x14ac:dyDescent="0.25">
      <c r="AV692">
        <v>662</v>
      </c>
      <c r="AW692" s="94" t="str">
        <f t="shared" ca="1" si="114"/>
        <v/>
      </c>
      <c r="AX692" s="95" t="str">
        <f t="shared" si="118"/>
        <v/>
      </c>
      <c r="AY692" s="98" t="str">
        <f t="shared" ca="1" si="115"/>
        <v/>
      </c>
      <c r="AZ692" s="95" t="str">
        <f t="shared" si="119"/>
        <v/>
      </c>
      <c r="BA692" s="99" t="str">
        <f t="shared" ca="1" si="116"/>
        <v/>
      </c>
      <c r="BB692" s="97" t="str">
        <f t="shared" si="120"/>
        <v/>
      </c>
      <c r="BC692" s="101" t="str">
        <f t="shared" ca="1" si="123"/>
        <v/>
      </c>
      <c r="BD692" s="100" t="str">
        <f t="shared" si="121"/>
        <v/>
      </c>
      <c r="BE692" s="103" t="str">
        <f t="shared" ca="1" si="117"/>
        <v/>
      </c>
      <c r="BF692" s="102" t="str">
        <f t="shared" si="122"/>
        <v/>
      </c>
    </row>
    <row r="693" spans="48:58" hidden="1" x14ac:dyDescent="0.25">
      <c r="AV693">
        <v>663</v>
      </c>
      <c r="AW693" s="94" t="str">
        <f t="shared" ca="1" si="114"/>
        <v/>
      </c>
      <c r="AX693" s="95" t="str">
        <f t="shared" si="118"/>
        <v/>
      </c>
      <c r="AY693" s="98" t="str">
        <f t="shared" ca="1" si="115"/>
        <v/>
      </c>
      <c r="AZ693" s="95" t="str">
        <f t="shared" si="119"/>
        <v/>
      </c>
      <c r="BA693" s="99" t="str">
        <f t="shared" ca="1" si="116"/>
        <v/>
      </c>
      <c r="BB693" s="97" t="str">
        <f t="shared" si="120"/>
        <v/>
      </c>
      <c r="BC693" s="101" t="str">
        <f t="shared" ca="1" si="123"/>
        <v/>
      </c>
      <c r="BD693" s="100" t="str">
        <f t="shared" si="121"/>
        <v/>
      </c>
      <c r="BE693" s="103" t="str">
        <f t="shared" ca="1" si="117"/>
        <v/>
      </c>
      <c r="BF693" s="102" t="str">
        <f t="shared" si="122"/>
        <v/>
      </c>
    </row>
    <row r="694" spans="48:58" hidden="1" x14ac:dyDescent="0.25">
      <c r="AV694">
        <v>664</v>
      </c>
      <c r="AW694" s="94" t="str">
        <f t="shared" ca="1" si="114"/>
        <v/>
      </c>
      <c r="AX694" s="95" t="str">
        <f t="shared" si="118"/>
        <v/>
      </c>
      <c r="AY694" s="98" t="str">
        <f t="shared" ca="1" si="115"/>
        <v/>
      </c>
      <c r="AZ694" s="95" t="str">
        <f t="shared" si="119"/>
        <v/>
      </c>
      <c r="BA694" s="99" t="str">
        <f t="shared" ca="1" si="116"/>
        <v/>
      </c>
      <c r="BB694" s="97" t="str">
        <f t="shared" si="120"/>
        <v/>
      </c>
      <c r="BC694" s="101" t="str">
        <f t="shared" ca="1" si="123"/>
        <v/>
      </c>
      <c r="BD694" s="100" t="str">
        <f t="shared" si="121"/>
        <v/>
      </c>
      <c r="BE694" s="103" t="str">
        <f t="shared" ca="1" si="117"/>
        <v/>
      </c>
      <c r="BF694" s="102" t="str">
        <f t="shared" si="122"/>
        <v/>
      </c>
    </row>
    <row r="695" spans="48:58" hidden="1" x14ac:dyDescent="0.25">
      <c r="AV695">
        <v>665</v>
      </c>
      <c r="AW695" s="94" t="str">
        <f t="shared" ca="1" si="114"/>
        <v/>
      </c>
      <c r="AX695" s="95" t="str">
        <f t="shared" si="118"/>
        <v/>
      </c>
      <c r="AY695" s="98" t="str">
        <f t="shared" ca="1" si="115"/>
        <v/>
      </c>
      <c r="AZ695" s="95" t="str">
        <f t="shared" si="119"/>
        <v/>
      </c>
      <c r="BA695" s="99" t="str">
        <f t="shared" ca="1" si="116"/>
        <v/>
      </c>
      <c r="BB695" s="97" t="str">
        <f t="shared" si="120"/>
        <v/>
      </c>
      <c r="BC695" s="101" t="str">
        <f t="shared" ca="1" si="123"/>
        <v/>
      </c>
      <c r="BD695" s="100" t="str">
        <f t="shared" si="121"/>
        <v/>
      </c>
      <c r="BE695" s="103" t="str">
        <f t="shared" ca="1" si="117"/>
        <v/>
      </c>
      <c r="BF695" s="102" t="str">
        <f t="shared" si="122"/>
        <v/>
      </c>
    </row>
    <row r="696" spans="48:58" hidden="1" x14ac:dyDescent="0.25">
      <c r="AV696">
        <v>666</v>
      </c>
      <c r="AW696" s="94" t="str">
        <f t="shared" ca="1" si="114"/>
        <v/>
      </c>
      <c r="AX696" s="95" t="str">
        <f t="shared" si="118"/>
        <v/>
      </c>
      <c r="AY696" s="98" t="str">
        <f t="shared" ca="1" si="115"/>
        <v/>
      </c>
      <c r="AZ696" s="95" t="str">
        <f t="shared" si="119"/>
        <v/>
      </c>
      <c r="BA696" s="99" t="str">
        <f t="shared" ca="1" si="116"/>
        <v/>
      </c>
      <c r="BB696" s="97" t="str">
        <f t="shared" si="120"/>
        <v/>
      </c>
      <c r="BC696" s="101" t="str">
        <f t="shared" ca="1" si="123"/>
        <v/>
      </c>
      <c r="BD696" s="100" t="str">
        <f t="shared" si="121"/>
        <v/>
      </c>
      <c r="BE696" s="103" t="str">
        <f t="shared" ca="1" si="117"/>
        <v/>
      </c>
      <c r="BF696" s="102" t="str">
        <f t="shared" si="122"/>
        <v/>
      </c>
    </row>
    <row r="697" spans="48:58" hidden="1" x14ac:dyDescent="0.25">
      <c r="AV697">
        <v>667</v>
      </c>
      <c r="AW697" s="94" t="str">
        <f t="shared" ca="1" si="114"/>
        <v/>
      </c>
      <c r="AX697" s="95" t="str">
        <f t="shared" si="118"/>
        <v/>
      </c>
      <c r="AY697" s="98" t="str">
        <f t="shared" ca="1" si="115"/>
        <v/>
      </c>
      <c r="AZ697" s="95" t="str">
        <f t="shared" si="119"/>
        <v/>
      </c>
      <c r="BA697" s="99" t="str">
        <f t="shared" ca="1" si="116"/>
        <v/>
      </c>
      <c r="BB697" s="97" t="str">
        <f t="shared" si="120"/>
        <v/>
      </c>
      <c r="BC697" s="101" t="str">
        <f t="shared" ca="1" si="123"/>
        <v/>
      </c>
      <c r="BD697" s="100" t="str">
        <f t="shared" si="121"/>
        <v/>
      </c>
      <c r="BE697" s="103" t="str">
        <f t="shared" ca="1" si="117"/>
        <v/>
      </c>
      <c r="BF697" s="102" t="str">
        <f t="shared" si="122"/>
        <v/>
      </c>
    </row>
    <row r="698" spans="48:58" hidden="1" x14ac:dyDescent="0.25">
      <c r="AV698">
        <v>668</v>
      </c>
      <c r="AW698" s="94" t="str">
        <f t="shared" ca="1" si="114"/>
        <v/>
      </c>
      <c r="AX698" s="95" t="str">
        <f t="shared" si="118"/>
        <v/>
      </c>
      <c r="AY698" s="98" t="str">
        <f t="shared" ca="1" si="115"/>
        <v/>
      </c>
      <c r="AZ698" s="95" t="str">
        <f t="shared" si="119"/>
        <v/>
      </c>
      <c r="BA698" s="99" t="str">
        <f t="shared" ca="1" si="116"/>
        <v/>
      </c>
      <c r="BB698" s="97" t="str">
        <f t="shared" si="120"/>
        <v/>
      </c>
      <c r="BC698" s="101" t="str">
        <f t="shared" ca="1" si="123"/>
        <v/>
      </c>
      <c r="BD698" s="100" t="str">
        <f t="shared" si="121"/>
        <v/>
      </c>
      <c r="BE698" s="103" t="str">
        <f t="shared" ca="1" si="117"/>
        <v/>
      </c>
      <c r="BF698" s="102" t="str">
        <f t="shared" si="122"/>
        <v/>
      </c>
    </row>
    <row r="699" spans="48:58" hidden="1" x14ac:dyDescent="0.25">
      <c r="AV699">
        <v>669</v>
      </c>
      <c r="AW699" s="94" t="str">
        <f t="shared" ca="1" si="114"/>
        <v/>
      </c>
      <c r="AX699" s="95" t="str">
        <f t="shared" si="118"/>
        <v/>
      </c>
      <c r="AY699" s="98" t="str">
        <f t="shared" ca="1" si="115"/>
        <v/>
      </c>
      <c r="AZ699" s="95" t="str">
        <f t="shared" si="119"/>
        <v/>
      </c>
      <c r="BA699" s="99" t="str">
        <f t="shared" ca="1" si="116"/>
        <v/>
      </c>
      <c r="BB699" s="97" t="str">
        <f t="shared" si="120"/>
        <v/>
      </c>
      <c r="BC699" s="101" t="str">
        <f t="shared" ca="1" si="123"/>
        <v/>
      </c>
      <c r="BD699" s="100" t="str">
        <f t="shared" si="121"/>
        <v/>
      </c>
      <c r="BE699" s="103" t="str">
        <f t="shared" ca="1" si="117"/>
        <v/>
      </c>
      <c r="BF699" s="102" t="str">
        <f t="shared" si="122"/>
        <v/>
      </c>
    </row>
    <row r="700" spans="48:58" hidden="1" x14ac:dyDescent="0.25">
      <c r="AV700">
        <v>670</v>
      </c>
      <c r="AW700" s="94" t="str">
        <f t="shared" ca="1" si="114"/>
        <v/>
      </c>
      <c r="AX700" s="95" t="str">
        <f t="shared" si="118"/>
        <v/>
      </c>
      <c r="AY700" s="98" t="str">
        <f t="shared" ca="1" si="115"/>
        <v/>
      </c>
      <c r="AZ700" s="95" t="str">
        <f t="shared" si="119"/>
        <v/>
      </c>
      <c r="BA700" s="99" t="str">
        <f t="shared" ca="1" si="116"/>
        <v/>
      </c>
      <c r="BB700" s="97" t="str">
        <f t="shared" si="120"/>
        <v/>
      </c>
      <c r="BC700" s="101" t="str">
        <f t="shared" ca="1" si="123"/>
        <v/>
      </c>
      <c r="BD700" s="100" t="str">
        <f t="shared" si="121"/>
        <v/>
      </c>
      <c r="BE700" s="103" t="str">
        <f t="shared" ca="1" si="117"/>
        <v/>
      </c>
      <c r="BF700" s="102" t="str">
        <f t="shared" si="122"/>
        <v/>
      </c>
    </row>
    <row r="701" spans="48:58" hidden="1" x14ac:dyDescent="0.25">
      <c r="AV701">
        <v>671</v>
      </c>
      <c r="AW701" s="94" t="str">
        <f t="shared" ca="1" si="114"/>
        <v/>
      </c>
      <c r="AX701" s="95" t="str">
        <f t="shared" si="118"/>
        <v/>
      </c>
      <c r="AY701" s="98" t="str">
        <f t="shared" ca="1" si="115"/>
        <v/>
      </c>
      <c r="AZ701" s="95" t="str">
        <f t="shared" si="119"/>
        <v/>
      </c>
      <c r="BA701" s="99" t="str">
        <f t="shared" ca="1" si="116"/>
        <v/>
      </c>
      <c r="BB701" s="97" t="str">
        <f t="shared" si="120"/>
        <v/>
      </c>
      <c r="BC701" s="101" t="str">
        <f t="shared" ca="1" si="123"/>
        <v/>
      </c>
      <c r="BD701" s="100" t="str">
        <f t="shared" si="121"/>
        <v/>
      </c>
      <c r="BE701" s="103" t="str">
        <f t="shared" ca="1" si="117"/>
        <v/>
      </c>
      <c r="BF701" s="102" t="str">
        <f t="shared" si="122"/>
        <v/>
      </c>
    </row>
    <row r="702" spans="48:58" hidden="1" x14ac:dyDescent="0.25">
      <c r="AV702">
        <v>672</v>
      </c>
      <c r="AW702" s="94" t="str">
        <f t="shared" ca="1" si="114"/>
        <v/>
      </c>
      <c r="AX702" s="95" t="str">
        <f t="shared" si="118"/>
        <v/>
      </c>
      <c r="AY702" s="98" t="str">
        <f t="shared" ca="1" si="115"/>
        <v/>
      </c>
      <c r="AZ702" s="95" t="str">
        <f t="shared" si="119"/>
        <v/>
      </c>
      <c r="BA702" s="99" t="str">
        <f t="shared" ca="1" si="116"/>
        <v/>
      </c>
      <c r="BB702" s="97" t="str">
        <f t="shared" si="120"/>
        <v/>
      </c>
      <c r="BC702" s="101" t="str">
        <f t="shared" ca="1" si="123"/>
        <v/>
      </c>
      <c r="BD702" s="100" t="str">
        <f t="shared" si="121"/>
        <v/>
      </c>
      <c r="BE702" s="103" t="str">
        <f t="shared" ca="1" si="117"/>
        <v/>
      </c>
      <c r="BF702" s="102" t="str">
        <f t="shared" si="122"/>
        <v/>
      </c>
    </row>
    <row r="703" spans="48:58" hidden="1" x14ac:dyDescent="0.25">
      <c r="AV703">
        <v>673</v>
      </c>
      <c r="AW703" s="94" t="str">
        <f t="shared" ca="1" si="114"/>
        <v/>
      </c>
      <c r="AX703" s="95" t="str">
        <f t="shared" si="118"/>
        <v/>
      </c>
      <c r="AY703" s="98" t="str">
        <f t="shared" ca="1" si="115"/>
        <v/>
      </c>
      <c r="AZ703" s="95" t="str">
        <f t="shared" si="119"/>
        <v/>
      </c>
      <c r="BA703" s="99" t="str">
        <f t="shared" ca="1" si="116"/>
        <v/>
      </c>
      <c r="BB703" s="97" t="str">
        <f t="shared" si="120"/>
        <v/>
      </c>
      <c r="BC703" s="101" t="str">
        <f t="shared" ca="1" si="123"/>
        <v/>
      </c>
      <c r="BD703" s="100" t="str">
        <f t="shared" si="121"/>
        <v/>
      </c>
      <c r="BE703" s="103" t="str">
        <f t="shared" ca="1" si="117"/>
        <v/>
      </c>
      <c r="BF703" s="102" t="str">
        <f t="shared" si="122"/>
        <v/>
      </c>
    </row>
    <row r="704" spans="48:58" hidden="1" x14ac:dyDescent="0.25">
      <c r="AV704">
        <v>674</v>
      </c>
      <c r="AW704" s="94" t="str">
        <f t="shared" ca="1" si="114"/>
        <v/>
      </c>
      <c r="AX704" s="95" t="str">
        <f t="shared" si="118"/>
        <v/>
      </c>
      <c r="AY704" s="98" t="str">
        <f t="shared" ca="1" si="115"/>
        <v/>
      </c>
      <c r="AZ704" s="95" t="str">
        <f t="shared" si="119"/>
        <v/>
      </c>
      <c r="BA704" s="99" t="str">
        <f t="shared" ca="1" si="116"/>
        <v/>
      </c>
      <c r="BB704" s="97" t="str">
        <f t="shared" si="120"/>
        <v/>
      </c>
      <c r="BC704" s="101" t="str">
        <f t="shared" ca="1" si="123"/>
        <v/>
      </c>
      <c r="BD704" s="100" t="str">
        <f t="shared" si="121"/>
        <v/>
      </c>
      <c r="BE704" s="103" t="str">
        <f t="shared" ca="1" si="117"/>
        <v/>
      </c>
      <c r="BF704" s="102" t="str">
        <f t="shared" si="122"/>
        <v/>
      </c>
    </row>
    <row r="705" spans="48:58" hidden="1" x14ac:dyDescent="0.25">
      <c r="AV705">
        <v>675</v>
      </c>
      <c r="AW705" s="94" t="str">
        <f t="shared" ca="1" si="114"/>
        <v/>
      </c>
      <c r="AX705" s="95" t="str">
        <f t="shared" si="118"/>
        <v/>
      </c>
      <c r="AY705" s="98" t="str">
        <f t="shared" ca="1" si="115"/>
        <v/>
      </c>
      <c r="AZ705" s="95" t="str">
        <f t="shared" si="119"/>
        <v/>
      </c>
      <c r="BA705" s="99" t="str">
        <f t="shared" ca="1" si="116"/>
        <v/>
      </c>
      <c r="BB705" s="97" t="str">
        <f t="shared" si="120"/>
        <v/>
      </c>
      <c r="BC705" s="101" t="str">
        <f t="shared" ca="1" si="123"/>
        <v/>
      </c>
      <c r="BD705" s="100" t="str">
        <f t="shared" si="121"/>
        <v/>
      </c>
      <c r="BE705" s="103" t="str">
        <f t="shared" ca="1" si="117"/>
        <v/>
      </c>
      <c r="BF705" s="102" t="str">
        <f t="shared" si="122"/>
        <v/>
      </c>
    </row>
    <row r="706" spans="48:58" hidden="1" x14ac:dyDescent="0.25">
      <c r="AV706">
        <v>676</v>
      </c>
      <c r="AW706" s="94" t="str">
        <f t="shared" ca="1" si="114"/>
        <v/>
      </c>
      <c r="AX706" s="95" t="str">
        <f t="shared" si="118"/>
        <v/>
      </c>
      <c r="AY706" s="98" t="str">
        <f t="shared" ca="1" si="115"/>
        <v/>
      </c>
      <c r="AZ706" s="95" t="str">
        <f t="shared" si="119"/>
        <v/>
      </c>
      <c r="BA706" s="99" t="str">
        <f t="shared" ca="1" si="116"/>
        <v/>
      </c>
      <c r="BB706" s="97" t="str">
        <f t="shared" si="120"/>
        <v/>
      </c>
      <c r="BC706" s="101" t="str">
        <f t="shared" ca="1" si="123"/>
        <v/>
      </c>
      <c r="BD706" s="100" t="str">
        <f t="shared" si="121"/>
        <v/>
      </c>
      <c r="BE706" s="103" t="str">
        <f t="shared" ca="1" si="117"/>
        <v/>
      </c>
      <c r="BF706" s="102" t="str">
        <f t="shared" si="122"/>
        <v/>
      </c>
    </row>
    <row r="707" spans="48:58" hidden="1" x14ac:dyDescent="0.25">
      <c r="AV707">
        <v>677</v>
      </c>
      <c r="AW707" s="94" t="str">
        <f t="shared" ca="1" si="114"/>
        <v/>
      </c>
      <c r="AX707" s="95" t="str">
        <f t="shared" si="118"/>
        <v/>
      </c>
      <c r="AY707" s="98" t="str">
        <f t="shared" ca="1" si="115"/>
        <v/>
      </c>
      <c r="AZ707" s="95" t="str">
        <f t="shared" si="119"/>
        <v/>
      </c>
      <c r="BA707" s="99" t="str">
        <f t="shared" ca="1" si="116"/>
        <v/>
      </c>
      <c r="BB707" s="97" t="str">
        <f t="shared" si="120"/>
        <v/>
      </c>
      <c r="BC707" s="101" t="str">
        <f t="shared" ca="1" si="123"/>
        <v/>
      </c>
      <c r="BD707" s="100" t="str">
        <f t="shared" si="121"/>
        <v/>
      </c>
      <c r="BE707" s="103" t="str">
        <f t="shared" ca="1" si="117"/>
        <v/>
      </c>
      <c r="BF707" s="102" t="str">
        <f t="shared" si="122"/>
        <v/>
      </c>
    </row>
    <row r="708" spans="48:58" hidden="1" x14ac:dyDescent="0.25">
      <c r="AV708">
        <v>678</v>
      </c>
      <c r="AW708" s="94" t="str">
        <f t="shared" ca="1" si="114"/>
        <v/>
      </c>
      <c r="AX708" s="95" t="str">
        <f t="shared" si="118"/>
        <v/>
      </c>
      <c r="AY708" s="98" t="str">
        <f t="shared" ca="1" si="115"/>
        <v/>
      </c>
      <c r="AZ708" s="95" t="str">
        <f t="shared" si="119"/>
        <v/>
      </c>
      <c r="BA708" s="99" t="str">
        <f t="shared" ca="1" si="116"/>
        <v/>
      </c>
      <c r="BB708" s="97" t="str">
        <f t="shared" si="120"/>
        <v/>
      </c>
      <c r="BC708" s="101" t="str">
        <f t="shared" ca="1" si="123"/>
        <v/>
      </c>
      <c r="BD708" s="100" t="str">
        <f t="shared" si="121"/>
        <v/>
      </c>
      <c r="BE708" s="103" t="str">
        <f t="shared" ca="1" si="117"/>
        <v/>
      </c>
      <c r="BF708" s="102" t="str">
        <f t="shared" si="122"/>
        <v/>
      </c>
    </row>
    <row r="709" spans="48:58" hidden="1" x14ac:dyDescent="0.25">
      <c r="AV709">
        <v>679</v>
      </c>
      <c r="AW709" s="94" t="str">
        <f t="shared" ca="1" si="114"/>
        <v/>
      </c>
      <c r="AX709" s="95" t="str">
        <f t="shared" si="118"/>
        <v/>
      </c>
      <c r="AY709" s="98" t="str">
        <f t="shared" ca="1" si="115"/>
        <v/>
      </c>
      <c r="AZ709" s="95" t="str">
        <f t="shared" si="119"/>
        <v/>
      </c>
      <c r="BA709" s="99" t="str">
        <f t="shared" ca="1" si="116"/>
        <v/>
      </c>
      <c r="BB709" s="97" t="str">
        <f t="shared" si="120"/>
        <v/>
      </c>
      <c r="BC709" s="101" t="str">
        <f t="shared" ca="1" si="123"/>
        <v/>
      </c>
      <c r="BD709" s="100" t="str">
        <f t="shared" si="121"/>
        <v/>
      </c>
      <c r="BE709" s="103" t="str">
        <f t="shared" ca="1" si="117"/>
        <v/>
      </c>
      <c r="BF709" s="102" t="str">
        <f t="shared" si="122"/>
        <v/>
      </c>
    </row>
    <row r="710" spans="48:58" hidden="1" x14ac:dyDescent="0.25">
      <c r="AV710">
        <v>680</v>
      </c>
      <c r="AW710" s="94" t="str">
        <f t="shared" ca="1" si="114"/>
        <v/>
      </c>
      <c r="AX710" s="95" t="str">
        <f t="shared" si="118"/>
        <v/>
      </c>
      <c r="AY710" s="98" t="str">
        <f t="shared" ca="1" si="115"/>
        <v/>
      </c>
      <c r="AZ710" s="95" t="str">
        <f t="shared" si="119"/>
        <v/>
      </c>
      <c r="BA710" s="99" t="str">
        <f t="shared" ca="1" si="116"/>
        <v/>
      </c>
      <c r="BB710" s="97" t="str">
        <f t="shared" si="120"/>
        <v/>
      </c>
      <c r="BC710" s="101" t="str">
        <f t="shared" ca="1" si="123"/>
        <v/>
      </c>
      <c r="BD710" s="100" t="str">
        <f t="shared" si="121"/>
        <v/>
      </c>
      <c r="BE710" s="103" t="str">
        <f t="shared" ca="1" si="117"/>
        <v/>
      </c>
      <c r="BF710" s="102" t="str">
        <f t="shared" si="122"/>
        <v/>
      </c>
    </row>
    <row r="711" spans="48:58" hidden="1" x14ac:dyDescent="0.25">
      <c r="AV711">
        <v>681</v>
      </c>
      <c r="AW711" s="94" t="str">
        <f t="shared" ca="1" si="114"/>
        <v/>
      </c>
      <c r="AX711" s="95" t="str">
        <f t="shared" si="118"/>
        <v/>
      </c>
      <c r="AY711" s="98" t="str">
        <f t="shared" ca="1" si="115"/>
        <v/>
      </c>
      <c r="AZ711" s="95" t="str">
        <f t="shared" si="119"/>
        <v/>
      </c>
      <c r="BA711" s="99" t="str">
        <f t="shared" ca="1" si="116"/>
        <v/>
      </c>
      <c r="BB711" s="97" t="str">
        <f t="shared" si="120"/>
        <v/>
      </c>
      <c r="BC711" s="101" t="str">
        <f t="shared" ca="1" si="123"/>
        <v/>
      </c>
      <c r="BD711" s="100" t="str">
        <f t="shared" si="121"/>
        <v/>
      </c>
      <c r="BE711" s="103" t="str">
        <f t="shared" ca="1" si="117"/>
        <v/>
      </c>
      <c r="BF711" s="102" t="str">
        <f t="shared" si="122"/>
        <v/>
      </c>
    </row>
    <row r="712" spans="48:58" hidden="1" x14ac:dyDescent="0.25">
      <c r="AV712">
        <v>682</v>
      </c>
      <c r="AW712" s="94" t="str">
        <f t="shared" ca="1" si="114"/>
        <v/>
      </c>
      <c r="AX712" s="95" t="str">
        <f t="shared" si="118"/>
        <v/>
      </c>
      <c r="AY712" s="98" t="str">
        <f t="shared" ca="1" si="115"/>
        <v/>
      </c>
      <c r="AZ712" s="95" t="str">
        <f t="shared" si="119"/>
        <v/>
      </c>
      <c r="BA712" s="99" t="str">
        <f t="shared" ca="1" si="116"/>
        <v/>
      </c>
      <c r="BB712" s="97" t="str">
        <f t="shared" si="120"/>
        <v/>
      </c>
      <c r="BC712" s="101" t="str">
        <f t="shared" ca="1" si="123"/>
        <v/>
      </c>
      <c r="BD712" s="100" t="str">
        <f t="shared" si="121"/>
        <v/>
      </c>
      <c r="BE712" s="103" t="str">
        <f t="shared" ca="1" si="117"/>
        <v/>
      </c>
      <c r="BF712" s="102" t="str">
        <f t="shared" si="122"/>
        <v/>
      </c>
    </row>
    <row r="713" spans="48:58" hidden="1" x14ac:dyDescent="0.25">
      <c r="AV713">
        <v>683</v>
      </c>
      <c r="AW713" s="94" t="str">
        <f t="shared" ca="1" si="114"/>
        <v/>
      </c>
      <c r="AX713" s="95" t="str">
        <f t="shared" si="118"/>
        <v/>
      </c>
      <c r="AY713" s="98" t="str">
        <f t="shared" ca="1" si="115"/>
        <v/>
      </c>
      <c r="AZ713" s="95" t="str">
        <f t="shared" si="119"/>
        <v/>
      </c>
      <c r="BA713" s="99" t="str">
        <f t="shared" ca="1" si="116"/>
        <v/>
      </c>
      <c r="BB713" s="97" t="str">
        <f t="shared" si="120"/>
        <v/>
      </c>
      <c r="BC713" s="101" t="str">
        <f t="shared" ca="1" si="123"/>
        <v/>
      </c>
      <c r="BD713" s="100" t="str">
        <f t="shared" si="121"/>
        <v/>
      </c>
      <c r="BE713" s="103" t="str">
        <f t="shared" ca="1" si="117"/>
        <v/>
      </c>
      <c r="BF713" s="102" t="str">
        <f t="shared" si="122"/>
        <v/>
      </c>
    </row>
    <row r="714" spans="48:58" hidden="1" x14ac:dyDescent="0.25">
      <c r="AV714">
        <v>684</v>
      </c>
      <c r="AW714" s="94" t="str">
        <f t="shared" ca="1" si="114"/>
        <v/>
      </c>
      <c r="AX714" s="95" t="str">
        <f t="shared" si="118"/>
        <v/>
      </c>
      <c r="AY714" s="98" t="str">
        <f t="shared" ca="1" si="115"/>
        <v/>
      </c>
      <c r="AZ714" s="95" t="str">
        <f t="shared" si="119"/>
        <v/>
      </c>
      <c r="BA714" s="99" t="str">
        <f t="shared" ca="1" si="116"/>
        <v/>
      </c>
      <c r="BB714" s="97" t="str">
        <f t="shared" si="120"/>
        <v/>
      </c>
      <c r="BC714" s="101" t="str">
        <f t="shared" ca="1" si="123"/>
        <v/>
      </c>
      <c r="BD714" s="100" t="str">
        <f t="shared" si="121"/>
        <v/>
      </c>
      <c r="BE714" s="103" t="str">
        <f t="shared" ca="1" si="117"/>
        <v/>
      </c>
      <c r="BF714" s="102" t="str">
        <f t="shared" si="122"/>
        <v/>
      </c>
    </row>
    <row r="715" spans="48:58" hidden="1" x14ac:dyDescent="0.25">
      <c r="AV715">
        <v>685</v>
      </c>
      <c r="AW715" s="94" t="str">
        <f t="shared" ca="1" si="114"/>
        <v/>
      </c>
      <c r="AX715" s="95" t="str">
        <f t="shared" si="118"/>
        <v/>
      </c>
      <c r="AY715" s="98" t="str">
        <f t="shared" ca="1" si="115"/>
        <v/>
      </c>
      <c r="AZ715" s="95" t="str">
        <f t="shared" si="119"/>
        <v/>
      </c>
      <c r="BA715" s="99" t="str">
        <f t="shared" ca="1" si="116"/>
        <v/>
      </c>
      <c r="BB715" s="97" t="str">
        <f t="shared" si="120"/>
        <v/>
      </c>
      <c r="BC715" s="101" t="str">
        <f t="shared" ca="1" si="123"/>
        <v/>
      </c>
      <c r="BD715" s="100" t="str">
        <f t="shared" si="121"/>
        <v/>
      </c>
      <c r="BE715" s="103" t="str">
        <f t="shared" ca="1" si="117"/>
        <v/>
      </c>
      <c r="BF715" s="102" t="str">
        <f t="shared" si="122"/>
        <v/>
      </c>
    </row>
    <row r="716" spans="48:58" hidden="1" x14ac:dyDescent="0.25">
      <c r="AV716">
        <v>686</v>
      </c>
      <c r="AW716" s="94" t="str">
        <f t="shared" ca="1" si="114"/>
        <v/>
      </c>
      <c r="AX716" s="95" t="str">
        <f t="shared" si="118"/>
        <v/>
      </c>
      <c r="AY716" s="98" t="str">
        <f t="shared" ca="1" si="115"/>
        <v/>
      </c>
      <c r="AZ716" s="95" t="str">
        <f t="shared" si="119"/>
        <v/>
      </c>
      <c r="BA716" s="99" t="str">
        <f t="shared" ca="1" si="116"/>
        <v/>
      </c>
      <c r="BB716" s="97" t="str">
        <f t="shared" si="120"/>
        <v/>
      </c>
      <c r="BC716" s="101" t="str">
        <f t="shared" ca="1" si="123"/>
        <v/>
      </c>
      <c r="BD716" s="100" t="str">
        <f t="shared" si="121"/>
        <v/>
      </c>
      <c r="BE716" s="103" t="str">
        <f t="shared" ca="1" si="117"/>
        <v/>
      </c>
      <c r="BF716" s="102" t="str">
        <f t="shared" si="122"/>
        <v/>
      </c>
    </row>
    <row r="717" spans="48:58" hidden="1" x14ac:dyDescent="0.25">
      <c r="AV717">
        <v>687</v>
      </c>
      <c r="AW717" s="94" t="str">
        <f t="shared" ca="1" si="114"/>
        <v/>
      </c>
      <c r="AX717" s="95" t="str">
        <f t="shared" si="118"/>
        <v/>
      </c>
      <c r="AY717" s="98" t="str">
        <f t="shared" ca="1" si="115"/>
        <v/>
      </c>
      <c r="AZ717" s="95" t="str">
        <f t="shared" si="119"/>
        <v/>
      </c>
      <c r="BA717" s="99" t="str">
        <f t="shared" ca="1" si="116"/>
        <v/>
      </c>
      <c r="BB717" s="97" t="str">
        <f t="shared" si="120"/>
        <v/>
      </c>
      <c r="BC717" s="101" t="str">
        <f t="shared" ca="1" si="123"/>
        <v/>
      </c>
      <c r="BD717" s="100" t="str">
        <f t="shared" si="121"/>
        <v/>
      </c>
      <c r="BE717" s="103" t="str">
        <f t="shared" ca="1" si="117"/>
        <v/>
      </c>
      <c r="BF717" s="102" t="str">
        <f t="shared" si="122"/>
        <v/>
      </c>
    </row>
    <row r="718" spans="48:58" hidden="1" x14ac:dyDescent="0.25">
      <c r="AV718">
        <v>688</v>
      </c>
      <c r="AW718" s="94" t="str">
        <f t="shared" ca="1" si="114"/>
        <v/>
      </c>
      <c r="AX718" s="95" t="str">
        <f t="shared" si="118"/>
        <v/>
      </c>
      <c r="AY718" s="98" t="str">
        <f t="shared" ca="1" si="115"/>
        <v/>
      </c>
      <c r="AZ718" s="95" t="str">
        <f t="shared" si="119"/>
        <v/>
      </c>
      <c r="BA718" s="99" t="str">
        <f t="shared" ca="1" si="116"/>
        <v/>
      </c>
      <c r="BB718" s="97" t="str">
        <f t="shared" si="120"/>
        <v/>
      </c>
      <c r="BC718" s="101" t="str">
        <f t="shared" ca="1" si="123"/>
        <v/>
      </c>
      <c r="BD718" s="100" t="str">
        <f t="shared" si="121"/>
        <v/>
      </c>
      <c r="BE718" s="103" t="str">
        <f t="shared" ca="1" si="117"/>
        <v/>
      </c>
      <c r="BF718" s="102" t="str">
        <f t="shared" si="122"/>
        <v/>
      </c>
    </row>
    <row r="719" spans="48:58" hidden="1" x14ac:dyDescent="0.25">
      <c r="AV719">
        <v>689</v>
      </c>
      <c r="AW719" s="94" t="str">
        <f t="shared" ca="1" si="114"/>
        <v/>
      </c>
      <c r="AX719" s="95" t="str">
        <f t="shared" si="118"/>
        <v/>
      </c>
      <c r="AY719" s="98" t="str">
        <f t="shared" ca="1" si="115"/>
        <v/>
      </c>
      <c r="AZ719" s="95" t="str">
        <f t="shared" si="119"/>
        <v/>
      </c>
      <c r="BA719" s="99" t="str">
        <f t="shared" ca="1" si="116"/>
        <v/>
      </c>
      <c r="BB719" s="97" t="str">
        <f t="shared" si="120"/>
        <v/>
      </c>
      <c r="BC719" s="101" t="str">
        <f t="shared" ca="1" si="123"/>
        <v/>
      </c>
      <c r="BD719" s="100" t="str">
        <f t="shared" si="121"/>
        <v/>
      </c>
      <c r="BE719" s="103" t="str">
        <f t="shared" ca="1" si="117"/>
        <v/>
      </c>
      <c r="BF719" s="102" t="str">
        <f t="shared" si="122"/>
        <v/>
      </c>
    </row>
    <row r="720" spans="48:58" hidden="1" x14ac:dyDescent="0.25">
      <c r="AV720">
        <v>690</v>
      </c>
      <c r="AW720" s="94" t="str">
        <f t="shared" ca="1" si="114"/>
        <v/>
      </c>
      <c r="AX720" s="95" t="str">
        <f t="shared" si="118"/>
        <v/>
      </c>
      <c r="AY720" s="98" t="str">
        <f t="shared" ca="1" si="115"/>
        <v/>
      </c>
      <c r="AZ720" s="95" t="str">
        <f t="shared" si="119"/>
        <v/>
      </c>
      <c r="BA720" s="99" t="str">
        <f t="shared" ca="1" si="116"/>
        <v/>
      </c>
      <c r="BB720" s="97" t="str">
        <f t="shared" si="120"/>
        <v/>
      </c>
      <c r="BC720" s="101" t="str">
        <f t="shared" ca="1" si="123"/>
        <v/>
      </c>
      <c r="BD720" s="100" t="str">
        <f t="shared" si="121"/>
        <v/>
      </c>
      <c r="BE720" s="103" t="str">
        <f t="shared" ca="1" si="117"/>
        <v/>
      </c>
      <c r="BF720" s="102" t="str">
        <f t="shared" si="122"/>
        <v/>
      </c>
    </row>
    <row r="721" spans="48:58" hidden="1" x14ac:dyDescent="0.25">
      <c r="AV721">
        <v>691</v>
      </c>
      <c r="AW721" s="94" t="str">
        <f t="shared" ca="1" si="114"/>
        <v/>
      </c>
      <c r="AX721" s="95" t="str">
        <f t="shared" si="118"/>
        <v/>
      </c>
      <c r="AY721" s="98" t="str">
        <f t="shared" ca="1" si="115"/>
        <v/>
      </c>
      <c r="AZ721" s="95" t="str">
        <f t="shared" si="119"/>
        <v/>
      </c>
      <c r="BA721" s="99" t="str">
        <f t="shared" ca="1" si="116"/>
        <v/>
      </c>
      <c r="BB721" s="97" t="str">
        <f t="shared" si="120"/>
        <v/>
      </c>
      <c r="BC721" s="101" t="str">
        <f t="shared" ca="1" si="123"/>
        <v/>
      </c>
      <c r="BD721" s="100" t="str">
        <f t="shared" si="121"/>
        <v/>
      </c>
      <c r="BE721" s="103" t="str">
        <f t="shared" ca="1" si="117"/>
        <v/>
      </c>
      <c r="BF721" s="102" t="str">
        <f t="shared" si="122"/>
        <v/>
      </c>
    </row>
    <row r="722" spans="48:58" hidden="1" x14ac:dyDescent="0.25">
      <c r="AV722">
        <v>692</v>
      </c>
      <c r="AW722" s="94" t="str">
        <f t="shared" ca="1" si="114"/>
        <v/>
      </c>
      <c r="AX722" s="95" t="str">
        <f t="shared" si="118"/>
        <v/>
      </c>
      <c r="AY722" s="98" t="str">
        <f t="shared" ca="1" si="115"/>
        <v/>
      </c>
      <c r="AZ722" s="95" t="str">
        <f t="shared" si="119"/>
        <v/>
      </c>
      <c r="BA722" s="99" t="str">
        <f t="shared" ca="1" si="116"/>
        <v/>
      </c>
      <c r="BB722" s="97" t="str">
        <f t="shared" si="120"/>
        <v/>
      </c>
      <c r="BC722" s="101" t="str">
        <f t="shared" ca="1" si="123"/>
        <v/>
      </c>
      <c r="BD722" s="100" t="str">
        <f t="shared" si="121"/>
        <v/>
      </c>
      <c r="BE722" s="103" t="str">
        <f t="shared" ca="1" si="117"/>
        <v/>
      </c>
      <c r="BF722" s="102" t="str">
        <f t="shared" si="122"/>
        <v/>
      </c>
    </row>
    <row r="723" spans="48:58" hidden="1" x14ac:dyDescent="0.25">
      <c r="AV723">
        <v>693</v>
      </c>
      <c r="AW723" s="94" t="str">
        <f t="shared" ca="1" si="114"/>
        <v/>
      </c>
      <c r="AX723" s="95" t="str">
        <f t="shared" si="118"/>
        <v/>
      </c>
      <c r="AY723" s="98" t="str">
        <f t="shared" ca="1" si="115"/>
        <v/>
      </c>
      <c r="AZ723" s="95" t="str">
        <f t="shared" si="119"/>
        <v/>
      </c>
      <c r="BA723" s="99" t="str">
        <f t="shared" ca="1" si="116"/>
        <v/>
      </c>
      <c r="BB723" s="97" t="str">
        <f t="shared" si="120"/>
        <v/>
      </c>
      <c r="BC723" s="101" t="str">
        <f t="shared" ca="1" si="123"/>
        <v/>
      </c>
      <c r="BD723" s="100" t="str">
        <f t="shared" si="121"/>
        <v/>
      </c>
      <c r="BE723" s="103" t="str">
        <f t="shared" ca="1" si="117"/>
        <v/>
      </c>
      <c r="BF723" s="102" t="str">
        <f t="shared" si="122"/>
        <v/>
      </c>
    </row>
    <row r="724" spans="48:58" hidden="1" x14ac:dyDescent="0.25">
      <c r="AV724">
        <v>694</v>
      </c>
      <c r="AW724" s="94" t="str">
        <f t="shared" ca="1" si="114"/>
        <v/>
      </c>
      <c r="AX724" s="95" t="str">
        <f t="shared" si="118"/>
        <v/>
      </c>
      <c r="AY724" s="98" t="str">
        <f t="shared" ca="1" si="115"/>
        <v/>
      </c>
      <c r="AZ724" s="95" t="str">
        <f t="shared" si="119"/>
        <v/>
      </c>
      <c r="BA724" s="99" t="str">
        <f t="shared" ca="1" si="116"/>
        <v/>
      </c>
      <c r="BB724" s="97" t="str">
        <f t="shared" si="120"/>
        <v/>
      </c>
      <c r="BC724" s="101" t="str">
        <f t="shared" ca="1" si="123"/>
        <v/>
      </c>
      <c r="BD724" s="100" t="str">
        <f t="shared" si="121"/>
        <v/>
      </c>
      <c r="BE724" s="103" t="str">
        <f t="shared" ca="1" si="117"/>
        <v/>
      </c>
      <c r="BF724" s="102" t="str">
        <f t="shared" si="122"/>
        <v/>
      </c>
    </row>
    <row r="725" spans="48:58" hidden="1" x14ac:dyDescent="0.25">
      <c r="AV725">
        <v>695</v>
      </c>
      <c r="AW725" s="94" t="str">
        <f t="shared" ca="1" si="114"/>
        <v/>
      </c>
      <c r="AX725" s="95" t="str">
        <f t="shared" si="118"/>
        <v/>
      </c>
      <c r="AY725" s="98" t="str">
        <f t="shared" ca="1" si="115"/>
        <v/>
      </c>
      <c r="AZ725" s="95" t="str">
        <f t="shared" si="119"/>
        <v/>
      </c>
      <c r="BA725" s="99" t="str">
        <f t="shared" ca="1" si="116"/>
        <v/>
      </c>
      <c r="BB725" s="97" t="str">
        <f t="shared" si="120"/>
        <v/>
      </c>
      <c r="BC725" s="101" t="str">
        <f t="shared" ca="1" si="123"/>
        <v/>
      </c>
      <c r="BD725" s="100" t="str">
        <f t="shared" si="121"/>
        <v/>
      </c>
      <c r="BE725" s="103" t="str">
        <f t="shared" ca="1" si="117"/>
        <v/>
      </c>
      <c r="BF725" s="102" t="str">
        <f t="shared" si="122"/>
        <v/>
      </c>
    </row>
    <row r="726" spans="48:58" hidden="1" x14ac:dyDescent="0.25">
      <c r="AV726">
        <v>696</v>
      </c>
      <c r="AW726" s="94" t="str">
        <f t="shared" ca="1" si="114"/>
        <v/>
      </c>
      <c r="AX726" s="95" t="str">
        <f t="shared" si="118"/>
        <v/>
      </c>
      <c r="AY726" s="98" t="str">
        <f t="shared" ca="1" si="115"/>
        <v/>
      </c>
      <c r="AZ726" s="95" t="str">
        <f t="shared" si="119"/>
        <v/>
      </c>
      <c r="BA726" s="99" t="str">
        <f t="shared" ca="1" si="116"/>
        <v/>
      </c>
      <c r="BB726" s="97" t="str">
        <f t="shared" si="120"/>
        <v/>
      </c>
      <c r="BC726" s="101" t="str">
        <f t="shared" ca="1" si="123"/>
        <v/>
      </c>
      <c r="BD726" s="100" t="str">
        <f t="shared" si="121"/>
        <v/>
      </c>
      <c r="BE726" s="103" t="str">
        <f t="shared" ca="1" si="117"/>
        <v/>
      </c>
      <c r="BF726" s="102" t="str">
        <f t="shared" si="122"/>
        <v/>
      </c>
    </row>
    <row r="727" spans="48:58" hidden="1" x14ac:dyDescent="0.25">
      <c r="AV727">
        <v>697</v>
      </c>
      <c r="AW727" s="94" t="str">
        <f t="shared" ca="1" si="114"/>
        <v/>
      </c>
      <c r="AX727" s="95" t="str">
        <f t="shared" si="118"/>
        <v/>
      </c>
      <c r="AY727" s="98" t="str">
        <f t="shared" ca="1" si="115"/>
        <v/>
      </c>
      <c r="AZ727" s="95" t="str">
        <f t="shared" si="119"/>
        <v/>
      </c>
      <c r="BA727" s="99" t="str">
        <f t="shared" ca="1" si="116"/>
        <v/>
      </c>
      <c r="BB727" s="97" t="str">
        <f t="shared" si="120"/>
        <v/>
      </c>
      <c r="BC727" s="101" t="str">
        <f t="shared" ca="1" si="123"/>
        <v/>
      </c>
      <c r="BD727" s="100" t="str">
        <f t="shared" si="121"/>
        <v/>
      </c>
      <c r="BE727" s="103" t="str">
        <f t="shared" ca="1" si="117"/>
        <v/>
      </c>
      <c r="BF727" s="102" t="str">
        <f t="shared" si="122"/>
        <v/>
      </c>
    </row>
    <row r="728" spans="48:58" hidden="1" x14ac:dyDescent="0.25">
      <c r="AV728">
        <v>698</v>
      </c>
      <c r="AW728" s="94" t="str">
        <f t="shared" ca="1" si="114"/>
        <v/>
      </c>
      <c r="AX728" s="95" t="str">
        <f t="shared" si="118"/>
        <v/>
      </c>
      <c r="AY728" s="98" t="str">
        <f t="shared" ca="1" si="115"/>
        <v/>
      </c>
      <c r="AZ728" s="95" t="str">
        <f t="shared" si="119"/>
        <v/>
      </c>
      <c r="BA728" s="99" t="str">
        <f t="shared" ca="1" si="116"/>
        <v/>
      </c>
      <c r="BB728" s="97" t="str">
        <f t="shared" si="120"/>
        <v/>
      </c>
      <c r="BC728" s="101" t="str">
        <f t="shared" ca="1" si="123"/>
        <v/>
      </c>
      <c r="BD728" s="100" t="str">
        <f t="shared" si="121"/>
        <v/>
      </c>
      <c r="BE728" s="103" t="str">
        <f t="shared" ca="1" si="117"/>
        <v/>
      </c>
      <c r="BF728" s="102" t="str">
        <f t="shared" si="122"/>
        <v/>
      </c>
    </row>
    <row r="729" spans="48:58" hidden="1" x14ac:dyDescent="0.25">
      <c r="AV729">
        <v>699</v>
      </c>
      <c r="AW729" s="94" t="str">
        <f t="shared" ca="1" si="114"/>
        <v/>
      </c>
      <c r="AX729" s="95" t="str">
        <f t="shared" si="118"/>
        <v/>
      </c>
      <c r="AY729" s="98" t="str">
        <f t="shared" ca="1" si="115"/>
        <v/>
      </c>
      <c r="AZ729" s="95" t="str">
        <f t="shared" si="119"/>
        <v/>
      </c>
      <c r="BA729" s="99" t="str">
        <f t="shared" ca="1" si="116"/>
        <v/>
      </c>
      <c r="BB729" s="97" t="str">
        <f t="shared" si="120"/>
        <v/>
      </c>
      <c r="BC729" s="101" t="str">
        <f t="shared" ca="1" si="123"/>
        <v/>
      </c>
      <c r="BD729" s="100" t="str">
        <f t="shared" si="121"/>
        <v/>
      </c>
      <c r="BE729" s="103" t="str">
        <f t="shared" ca="1" si="117"/>
        <v/>
      </c>
      <c r="BF729" s="102" t="str">
        <f t="shared" si="122"/>
        <v/>
      </c>
    </row>
    <row r="730" spans="48:58" hidden="1" x14ac:dyDescent="0.25">
      <c r="AV730">
        <v>700</v>
      </c>
      <c r="AW730" s="94" t="str">
        <f t="shared" ca="1" si="114"/>
        <v/>
      </c>
      <c r="AX730" s="95" t="str">
        <f t="shared" si="118"/>
        <v/>
      </c>
      <c r="AY730" s="98" t="str">
        <f t="shared" ca="1" si="115"/>
        <v/>
      </c>
      <c r="AZ730" s="95" t="str">
        <f t="shared" si="119"/>
        <v/>
      </c>
      <c r="BA730" s="99" t="str">
        <f t="shared" ca="1" si="116"/>
        <v/>
      </c>
      <c r="BB730" s="97" t="str">
        <f t="shared" si="120"/>
        <v/>
      </c>
      <c r="BC730" s="101" t="str">
        <f t="shared" ca="1" si="123"/>
        <v/>
      </c>
      <c r="BD730" s="100" t="str">
        <f t="shared" si="121"/>
        <v/>
      </c>
      <c r="BE730" s="103" t="str">
        <f t="shared" ca="1" si="117"/>
        <v/>
      </c>
      <c r="BF730" s="102" t="str">
        <f t="shared" si="122"/>
        <v/>
      </c>
    </row>
    <row r="731" spans="48:58" hidden="1" x14ac:dyDescent="0.25">
      <c r="AV731">
        <v>701</v>
      </c>
      <c r="AW731" s="94" t="str">
        <f t="shared" ca="1" si="114"/>
        <v/>
      </c>
      <c r="AX731" s="95" t="str">
        <f t="shared" si="118"/>
        <v/>
      </c>
      <c r="AY731" s="98" t="str">
        <f t="shared" ca="1" si="115"/>
        <v/>
      </c>
      <c r="AZ731" s="95" t="str">
        <f t="shared" si="119"/>
        <v/>
      </c>
      <c r="BA731" s="99" t="str">
        <f t="shared" ca="1" si="116"/>
        <v/>
      </c>
      <c r="BB731" s="97" t="str">
        <f t="shared" si="120"/>
        <v/>
      </c>
      <c r="BC731" s="101" t="str">
        <f t="shared" ca="1" si="123"/>
        <v/>
      </c>
      <c r="BD731" s="100" t="str">
        <f t="shared" si="121"/>
        <v/>
      </c>
      <c r="BE731" s="103" t="str">
        <f t="shared" ca="1" si="117"/>
        <v/>
      </c>
      <c r="BF731" s="102" t="str">
        <f t="shared" si="122"/>
        <v/>
      </c>
    </row>
    <row r="732" spans="48:58" hidden="1" x14ac:dyDescent="0.25">
      <c r="AV732">
        <v>702</v>
      </c>
      <c r="AW732" s="94" t="str">
        <f t="shared" ca="1" si="114"/>
        <v/>
      </c>
      <c r="AX732" s="95" t="str">
        <f t="shared" si="118"/>
        <v/>
      </c>
      <c r="AY732" s="98" t="str">
        <f t="shared" ca="1" si="115"/>
        <v/>
      </c>
      <c r="AZ732" s="95" t="str">
        <f t="shared" si="119"/>
        <v/>
      </c>
      <c r="BA732" s="99" t="str">
        <f t="shared" ca="1" si="116"/>
        <v/>
      </c>
      <c r="BB732" s="97" t="str">
        <f t="shared" si="120"/>
        <v/>
      </c>
      <c r="BC732" s="101" t="str">
        <f t="shared" ca="1" si="123"/>
        <v/>
      </c>
      <c r="BD732" s="100" t="str">
        <f t="shared" si="121"/>
        <v/>
      </c>
      <c r="BE732" s="103" t="str">
        <f t="shared" ca="1" si="117"/>
        <v/>
      </c>
      <c r="BF732" s="102" t="str">
        <f t="shared" si="122"/>
        <v/>
      </c>
    </row>
    <row r="733" spans="48:58" hidden="1" x14ac:dyDescent="0.25">
      <c r="AV733">
        <v>703</v>
      </c>
      <c r="AW733" s="94" t="str">
        <f t="shared" ca="1" si="114"/>
        <v/>
      </c>
      <c r="AX733" s="95" t="str">
        <f t="shared" si="118"/>
        <v/>
      </c>
      <c r="AY733" s="98" t="str">
        <f t="shared" ca="1" si="115"/>
        <v/>
      </c>
      <c r="AZ733" s="95" t="str">
        <f t="shared" si="119"/>
        <v/>
      </c>
      <c r="BA733" s="99" t="str">
        <f t="shared" ca="1" si="116"/>
        <v/>
      </c>
      <c r="BB733" s="97" t="str">
        <f t="shared" si="120"/>
        <v/>
      </c>
      <c r="BC733" s="101" t="str">
        <f t="shared" ca="1" si="123"/>
        <v/>
      </c>
      <c r="BD733" s="100" t="str">
        <f t="shared" si="121"/>
        <v/>
      </c>
      <c r="BE733" s="103" t="str">
        <f t="shared" ca="1" si="117"/>
        <v/>
      </c>
      <c r="BF733" s="102" t="str">
        <f t="shared" si="122"/>
        <v/>
      </c>
    </row>
    <row r="734" spans="48:58" hidden="1" x14ac:dyDescent="0.25">
      <c r="AV734">
        <v>704</v>
      </c>
      <c r="AW734" s="94" t="str">
        <f t="shared" ca="1" si="114"/>
        <v/>
      </c>
      <c r="AX734" s="95" t="str">
        <f t="shared" si="118"/>
        <v/>
      </c>
      <c r="AY734" s="98" t="str">
        <f t="shared" ca="1" si="115"/>
        <v/>
      </c>
      <c r="AZ734" s="95" t="str">
        <f t="shared" si="119"/>
        <v/>
      </c>
      <c r="BA734" s="99" t="str">
        <f t="shared" ca="1" si="116"/>
        <v/>
      </c>
      <c r="BB734" s="97" t="str">
        <f t="shared" si="120"/>
        <v/>
      </c>
      <c r="BC734" s="101" t="str">
        <f t="shared" ca="1" si="123"/>
        <v/>
      </c>
      <c r="BD734" s="100" t="str">
        <f t="shared" si="121"/>
        <v/>
      </c>
      <c r="BE734" s="103" t="str">
        <f t="shared" ca="1" si="117"/>
        <v/>
      </c>
      <c r="BF734" s="102" t="str">
        <f t="shared" si="122"/>
        <v/>
      </c>
    </row>
    <row r="735" spans="48:58" hidden="1" x14ac:dyDescent="0.25">
      <c r="AV735">
        <v>705</v>
      </c>
      <c r="AW735" s="94" t="str">
        <f t="shared" ref="AW735:AW798" ca="1" si="124">IF(T_1*12&gt;=AV735,DATE(YEAR(TODAY()),MONTH(TODAY())+AV735-1,DAY(TODAY())),IF(T_1*12+1&gt;=AV735,DATE(YEAR(TODAY()),MONTH(TODAY())+T_1*12,DAY(TODAY())),""))</f>
        <v/>
      </c>
      <c r="AX735" s="95" t="str">
        <f t="shared" si="118"/>
        <v/>
      </c>
      <c r="AY735" s="98" t="str">
        <f t="shared" ref="AY735:AY798" ca="1" si="125">IF(T_2*12&gt;=$AV735,DATE(YEAR(TODAY()),MONTH(TODAY())+$AV735-1,DAY(TODAY())),IF(T_2*12+1&gt;=$AV735,DATE(YEAR(TODAY()),MONTH(TODAY())+T_2*12,DAY(TODAY())),""))</f>
        <v/>
      </c>
      <c r="AZ735" s="95" t="str">
        <f t="shared" si="119"/>
        <v/>
      </c>
      <c r="BA735" s="99" t="str">
        <f t="shared" ref="BA735:BA798" ca="1" si="126">IF(T_3*12&gt;=$AV735,DATE(YEAR(TODAY()),MONTH(TODAY())+$AV735-1,DAY(TODAY())),IF(T_3*12+1&gt;=$AV735,DATE(YEAR(TODAY()),MONTH(TODAY())+T_3*12,DAY(TODAY())),""))</f>
        <v/>
      </c>
      <c r="BB735" s="97" t="str">
        <f t="shared" si="120"/>
        <v/>
      </c>
      <c r="BC735" s="101" t="str">
        <f t="shared" ca="1" si="123"/>
        <v/>
      </c>
      <c r="BD735" s="100" t="str">
        <f t="shared" si="121"/>
        <v/>
      </c>
      <c r="BE735" s="103" t="str">
        <f t="shared" ref="BE735:BE798" ca="1" si="127">IF(T_5*12&gt;=$AV735,DATE(YEAR(TODAY()),MONTH(TODAY())+$AV735-1,DAY(TODAY())),IF(T_5*12+1&gt;=$AV735,DATE(YEAR(TODAY()),MONTH(TODAY())+T_5*12,DAY(TODAY())),""))</f>
        <v/>
      </c>
      <c r="BF735" s="102" t="str">
        <f t="shared" si="122"/>
        <v/>
      </c>
    </row>
    <row r="736" spans="48:58" hidden="1" x14ac:dyDescent="0.25">
      <c r="AV736">
        <v>706</v>
      </c>
      <c r="AW736" s="94" t="str">
        <f t="shared" ca="1" si="124"/>
        <v/>
      </c>
      <c r="AX736" s="95" t="str">
        <f t="shared" ref="AX736:AX799" si="128">IF(T_1*12&gt;=AV736,-1*$I$15,IF(T_1*12+1&gt;=AV736,InfG_1,""))</f>
        <v/>
      </c>
      <c r="AY736" s="98" t="str">
        <f t="shared" ca="1" si="125"/>
        <v/>
      </c>
      <c r="AZ736" s="95" t="str">
        <f t="shared" ref="AZ736:AZ799" si="129">IF(T_2*12&gt;=$AV736,-1*$I$17,IF(T_2*12+1&gt;=$AV736,InfG_2,""))</f>
        <v/>
      </c>
      <c r="BA736" s="99" t="str">
        <f t="shared" ca="1" si="126"/>
        <v/>
      </c>
      <c r="BB736" s="97" t="str">
        <f t="shared" ref="BB736:BB799" si="130">IF(T_3*12&gt;=$AV736,-1*$I$19,IF(T_3*12+1&gt;=$AV736,InfG_3,""))</f>
        <v/>
      </c>
      <c r="BC736" s="101" t="str">
        <f t="shared" ca="1" si="123"/>
        <v/>
      </c>
      <c r="BD736" s="100" t="str">
        <f t="shared" ref="BD736:BD799" si="131">IF(T_4*12&gt;=$AV736,-1*$I$21,IF(T_4*12+1&gt;=$AV736,InfG_4,""))</f>
        <v/>
      </c>
      <c r="BE736" s="103" t="str">
        <f t="shared" ca="1" si="127"/>
        <v/>
      </c>
      <c r="BF736" s="102" t="str">
        <f t="shared" ref="BF736:BF799" si="132">IF(T_5*12&gt;=$AV736,-1*$I$23,IF(T_5*12+1&gt;=$AV736,InfG_5,""))</f>
        <v/>
      </c>
    </row>
    <row r="737" spans="48:58" hidden="1" x14ac:dyDescent="0.25">
      <c r="AV737">
        <v>707</v>
      </c>
      <c r="AW737" s="94" t="str">
        <f t="shared" ca="1" si="124"/>
        <v/>
      </c>
      <c r="AX737" s="95" t="str">
        <f t="shared" si="128"/>
        <v/>
      </c>
      <c r="AY737" s="98" t="str">
        <f t="shared" ca="1" si="125"/>
        <v/>
      </c>
      <c r="AZ737" s="95" t="str">
        <f t="shared" si="129"/>
        <v/>
      </c>
      <c r="BA737" s="99" t="str">
        <f t="shared" ca="1" si="126"/>
        <v/>
      </c>
      <c r="BB737" s="97" t="str">
        <f t="shared" si="130"/>
        <v/>
      </c>
      <c r="BC737" s="101" t="str">
        <f t="shared" ref="BC737:BC800" ca="1" si="133">IF(T_4*12&gt;=AV737,DATE(YEAR(TODAY()),MONTH(TODAY())+AV737-1,DAY(TODAY())),IF(T_4*12+1&gt;=AV737,DATE(YEAR(TODAY()),MONTH(TODAY())+T_4*12,DAY(TODAY())),""))</f>
        <v/>
      </c>
      <c r="BD737" s="100" t="str">
        <f t="shared" si="131"/>
        <v/>
      </c>
      <c r="BE737" s="103" t="str">
        <f t="shared" ca="1" si="127"/>
        <v/>
      </c>
      <c r="BF737" s="102" t="str">
        <f t="shared" si="132"/>
        <v/>
      </c>
    </row>
    <row r="738" spans="48:58" hidden="1" x14ac:dyDescent="0.25">
      <c r="AV738">
        <v>708</v>
      </c>
      <c r="AW738" s="94" t="str">
        <f t="shared" ca="1" si="124"/>
        <v/>
      </c>
      <c r="AX738" s="95" t="str">
        <f t="shared" si="128"/>
        <v/>
      </c>
      <c r="AY738" s="98" t="str">
        <f t="shared" ca="1" si="125"/>
        <v/>
      </c>
      <c r="AZ738" s="95" t="str">
        <f t="shared" si="129"/>
        <v/>
      </c>
      <c r="BA738" s="99" t="str">
        <f t="shared" ca="1" si="126"/>
        <v/>
      </c>
      <c r="BB738" s="97" t="str">
        <f t="shared" si="130"/>
        <v/>
      </c>
      <c r="BC738" s="101" t="str">
        <f t="shared" ca="1" si="133"/>
        <v/>
      </c>
      <c r="BD738" s="100" t="str">
        <f t="shared" si="131"/>
        <v/>
      </c>
      <c r="BE738" s="103" t="str">
        <f t="shared" ca="1" si="127"/>
        <v/>
      </c>
      <c r="BF738" s="102" t="str">
        <f t="shared" si="132"/>
        <v/>
      </c>
    </row>
    <row r="739" spans="48:58" hidden="1" x14ac:dyDescent="0.25">
      <c r="AV739">
        <v>709</v>
      </c>
      <c r="AW739" s="94" t="str">
        <f t="shared" ca="1" si="124"/>
        <v/>
      </c>
      <c r="AX739" s="95" t="str">
        <f t="shared" si="128"/>
        <v/>
      </c>
      <c r="AY739" s="98" t="str">
        <f t="shared" ca="1" si="125"/>
        <v/>
      </c>
      <c r="AZ739" s="95" t="str">
        <f t="shared" si="129"/>
        <v/>
      </c>
      <c r="BA739" s="99" t="str">
        <f t="shared" ca="1" si="126"/>
        <v/>
      </c>
      <c r="BB739" s="97" t="str">
        <f t="shared" si="130"/>
        <v/>
      </c>
      <c r="BC739" s="101" t="str">
        <f t="shared" ca="1" si="133"/>
        <v/>
      </c>
      <c r="BD739" s="100" t="str">
        <f t="shared" si="131"/>
        <v/>
      </c>
      <c r="BE739" s="103" t="str">
        <f t="shared" ca="1" si="127"/>
        <v/>
      </c>
      <c r="BF739" s="102" t="str">
        <f t="shared" si="132"/>
        <v/>
      </c>
    </row>
    <row r="740" spans="48:58" hidden="1" x14ac:dyDescent="0.25">
      <c r="AV740">
        <v>710</v>
      </c>
      <c r="AW740" s="94" t="str">
        <f t="shared" ca="1" si="124"/>
        <v/>
      </c>
      <c r="AX740" s="95" t="str">
        <f t="shared" si="128"/>
        <v/>
      </c>
      <c r="AY740" s="98" t="str">
        <f t="shared" ca="1" si="125"/>
        <v/>
      </c>
      <c r="AZ740" s="95" t="str">
        <f t="shared" si="129"/>
        <v/>
      </c>
      <c r="BA740" s="99" t="str">
        <f t="shared" ca="1" si="126"/>
        <v/>
      </c>
      <c r="BB740" s="97" t="str">
        <f t="shared" si="130"/>
        <v/>
      </c>
      <c r="BC740" s="101" t="str">
        <f t="shared" ca="1" si="133"/>
        <v/>
      </c>
      <c r="BD740" s="100" t="str">
        <f t="shared" si="131"/>
        <v/>
      </c>
      <c r="BE740" s="103" t="str">
        <f t="shared" ca="1" si="127"/>
        <v/>
      </c>
      <c r="BF740" s="102" t="str">
        <f t="shared" si="132"/>
        <v/>
      </c>
    </row>
    <row r="741" spans="48:58" hidden="1" x14ac:dyDescent="0.25">
      <c r="AV741">
        <v>711</v>
      </c>
      <c r="AW741" s="94" t="str">
        <f t="shared" ca="1" si="124"/>
        <v/>
      </c>
      <c r="AX741" s="95" t="str">
        <f t="shared" si="128"/>
        <v/>
      </c>
      <c r="AY741" s="98" t="str">
        <f t="shared" ca="1" si="125"/>
        <v/>
      </c>
      <c r="AZ741" s="95" t="str">
        <f t="shared" si="129"/>
        <v/>
      </c>
      <c r="BA741" s="99" t="str">
        <f t="shared" ca="1" si="126"/>
        <v/>
      </c>
      <c r="BB741" s="97" t="str">
        <f t="shared" si="130"/>
        <v/>
      </c>
      <c r="BC741" s="101" t="str">
        <f t="shared" ca="1" si="133"/>
        <v/>
      </c>
      <c r="BD741" s="100" t="str">
        <f t="shared" si="131"/>
        <v/>
      </c>
      <c r="BE741" s="103" t="str">
        <f t="shared" ca="1" si="127"/>
        <v/>
      </c>
      <c r="BF741" s="102" t="str">
        <f t="shared" si="132"/>
        <v/>
      </c>
    </row>
    <row r="742" spans="48:58" hidden="1" x14ac:dyDescent="0.25">
      <c r="AV742">
        <v>712</v>
      </c>
      <c r="AW742" s="94" t="str">
        <f t="shared" ca="1" si="124"/>
        <v/>
      </c>
      <c r="AX742" s="95" t="str">
        <f t="shared" si="128"/>
        <v/>
      </c>
      <c r="AY742" s="98" t="str">
        <f t="shared" ca="1" si="125"/>
        <v/>
      </c>
      <c r="AZ742" s="95" t="str">
        <f t="shared" si="129"/>
        <v/>
      </c>
      <c r="BA742" s="99" t="str">
        <f t="shared" ca="1" si="126"/>
        <v/>
      </c>
      <c r="BB742" s="97" t="str">
        <f t="shared" si="130"/>
        <v/>
      </c>
      <c r="BC742" s="101" t="str">
        <f t="shared" ca="1" si="133"/>
        <v/>
      </c>
      <c r="BD742" s="100" t="str">
        <f t="shared" si="131"/>
        <v/>
      </c>
      <c r="BE742" s="103" t="str">
        <f t="shared" ca="1" si="127"/>
        <v/>
      </c>
      <c r="BF742" s="102" t="str">
        <f t="shared" si="132"/>
        <v/>
      </c>
    </row>
    <row r="743" spans="48:58" hidden="1" x14ac:dyDescent="0.25">
      <c r="AV743">
        <v>713</v>
      </c>
      <c r="AW743" s="94" t="str">
        <f t="shared" ca="1" si="124"/>
        <v/>
      </c>
      <c r="AX743" s="95" t="str">
        <f t="shared" si="128"/>
        <v/>
      </c>
      <c r="AY743" s="98" t="str">
        <f t="shared" ca="1" si="125"/>
        <v/>
      </c>
      <c r="AZ743" s="95" t="str">
        <f t="shared" si="129"/>
        <v/>
      </c>
      <c r="BA743" s="99" t="str">
        <f t="shared" ca="1" si="126"/>
        <v/>
      </c>
      <c r="BB743" s="97" t="str">
        <f t="shared" si="130"/>
        <v/>
      </c>
      <c r="BC743" s="101" t="str">
        <f t="shared" ca="1" si="133"/>
        <v/>
      </c>
      <c r="BD743" s="100" t="str">
        <f t="shared" si="131"/>
        <v/>
      </c>
      <c r="BE743" s="103" t="str">
        <f t="shared" ca="1" si="127"/>
        <v/>
      </c>
      <c r="BF743" s="102" t="str">
        <f t="shared" si="132"/>
        <v/>
      </c>
    </row>
    <row r="744" spans="48:58" hidden="1" x14ac:dyDescent="0.25">
      <c r="AV744">
        <v>714</v>
      </c>
      <c r="AW744" s="94" t="str">
        <f t="shared" ca="1" si="124"/>
        <v/>
      </c>
      <c r="AX744" s="95" t="str">
        <f t="shared" si="128"/>
        <v/>
      </c>
      <c r="AY744" s="98" t="str">
        <f t="shared" ca="1" si="125"/>
        <v/>
      </c>
      <c r="AZ744" s="95" t="str">
        <f t="shared" si="129"/>
        <v/>
      </c>
      <c r="BA744" s="99" t="str">
        <f t="shared" ca="1" si="126"/>
        <v/>
      </c>
      <c r="BB744" s="97" t="str">
        <f t="shared" si="130"/>
        <v/>
      </c>
      <c r="BC744" s="101" t="str">
        <f t="shared" ca="1" si="133"/>
        <v/>
      </c>
      <c r="BD744" s="100" t="str">
        <f t="shared" si="131"/>
        <v/>
      </c>
      <c r="BE744" s="103" t="str">
        <f t="shared" ca="1" si="127"/>
        <v/>
      </c>
      <c r="BF744" s="102" t="str">
        <f t="shared" si="132"/>
        <v/>
      </c>
    </row>
    <row r="745" spans="48:58" hidden="1" x14ac:dyDescent="0.25">
      <c r="AV745">
        <v>715</v>
      </c>
      <c r="AW745" s="94" t="str">
        <f t="shared" ca="1" si="124"/>
        <v/>
      </c>
      <c r="AX745" s="95" t="str">
        <f t="shared" si="128"/>
        <v/>
      </c>
      <c r="AY745" s="98" t="str">
        <f t="shared" ca="1" si="125"/>
        <v/>
      </c>
      <c r="AZ745" s="95" t="str">
        <f t="shared" si="129"/>
        <v/>
      </c>
      <c r="BA745" s="99" t="str">
        <f t="shared" ca="1" si="126"/>
        <v/>
      </c>
      <c r="BB745" s="97" t="str">
        <f t="shared" si="130"/>
        <v/>
      </c>
      <c r="BC745" s="101" t="str">
        <f t="shared" ca="1" si="133"/>
        <v/>
      </c>
      <c r="BD745" s="100" t="str">
        <f t="shared" si="131"/>
        <v/>
      </c>
      <c r="BE745" s="103" t="str">
        <f t="shared" ca="1" si="127"/>
        <v/>
      </c>
      <c r="BF745" s="102" t="str">
        <f t="shared" si="132"/>
        <v/>
      </c>
    </row>
    <row r="746" spans="48:58" hidden="1" x14ac:dyDescent="0.25">
      <c r="AV746">
        <v>716</v>
      </c>
      <c r="AW746" s="94" t="str">
        <f t="shared" ca="1" si="124"/>
        <v/>
      </c>
      <c r="AX746" s="95" t="str">
        <f t="shared" si="128"/>
        <v/>
      </c>
      <c r="AY746" s="98" t="str">
        <f t="shared" ca="1" si="125"/>
        <v/>
      </c>
      <c r="AZ746" s="95" t="str">
        <f t="shared" si="129"/>
        <v/>
      </c>
      <c r="BA746" s="99" t="str">
        <f t="shared" ca="1" si="126"/>
        <v/>
      </c>
      <c r="BB746" s="97" t="str">
        <f t="shared" si="130"/>
        <v/>
      </c>
      <c r="BC746" s="101" t="str">
        <f t="shared" ca="1" si="133"/>
        <v/>
      </c>
      <c r="BD746" s="100" t="str">
        <f t="shared" si="131"/>
        <v/>
      </c>
      <c r="BE746" s="103" t="str">
        <f t="shared" ca="1" si="127"/>
        <v/>
      </c>
      <c r="BF746" s="102" t="str">
        <f t="shared" si="132"/>
        <v/>
      </c>
    </row>
    <row r="747" spans="48:58" hidden="1" x14ac:dyDescent="0.25">
      <c r="AV747">
        <v>717</v>
      </c>
      <c r="AW747" s="94" t="str">
        <f t="shared" ca="1" si="124"/>
        <v/>
      </c>
      <c r="AX747" s="95" t="str">
        <f t="shared" si="128"/>
        <v/>
      </c>
      <c r="AY747" s="98" t="str">
        <f t="shared" ca="1" si="125"/>
        <v/>
      </c>
      <c r="AZ747" s="95" t="str">
        <f t="shared" si="129"/>
        <v/>
      </c>
      <c r="BA747" s="99" t="str">
        <f t="shared" ca="1" si="126"/>
        <v/>
      </c>
      <c r="BB747" s="97" t="str">
        <f t="shared" si="130"/>
        <v/>
      </c>
      <c r="BC747" s="101" t="str">
        <f t="shared" ca="1" si="133"/>
        <v/>
      </c>
      <c r="BD747" s="100" t="str">
        <f t="shared" si="131"/>
        <v/>
      </c>
      <c r="BE747" s="103" t="str">
        <f t="shared" ca="1" si="127"/>
        <v/>
      </c>
      <c r="BF747" s="102" t="str">
        <f t="shared" si="132"/>
        <v/>
      </c>
    </row>
    <row r="748" spans="48:58" hidden="1" x14ac:dyDescent="0.25">
      <c r="AV748">
        <v>718</v>
      </c>
      <c r="AW748" s="94" t="str">
        <f t="shared" ca="1" si="124"/>
        <v/>
      </c>
      <c r="AX748" s="95" t="str">
        <f t="shared" si="128"/>
        <v/>
      </c>
      <c r="AY748" s="98" t="str">
        <f t="shared" ca="1" si="125"/>
        <v/>
      </c>
      <c r="AZ748" s="95" t="str">
        <f t="shared" si="129"/>
        <v/>
      </c>
      <c r="BA748" s="99" t="str">
        <f t="shared" ca="1" si="126"/>
        <v/>
      </c>
      <c r="BB748" s="97" t="str">
        <f t="shared" si="130"/>
        <v/>
      </c>
      <c r="BC748" s="101" t="str">
        <f t="shared" ca="1" si="133"/>
        <v/>
      </c>
      <c r="BD748" s="100" t="str">
        <f t="shared" si="131"/>
        <v/>
      </c>
      <c r="BE748" s="103" t="str">
        <f t="shared" ca="1" si="127"/>
        <v/>
      </c>
      <c r="BF748" s="102" t="str">
        <f t="shared" si="132"/>
        <v/>
      </c>
    </row>
    <row r="749" spans="48:58" hidden="1" x14ac:dyDescent="0.25">
      <c r="AV749">
        <v>719</v>
      </c>
      <c r="AW749" s="94" t="str">
        <f t="shared" ca="1" si="124"/>
        <v/>
      </c>
      <c r="AX749" s="95" t="str">
        <f t="shared" si="128"/>
        <v/>
      </c>
      <c r="AY749" s="98" t="str">
        <f t="shared" ca="1" si="125"/>
        <v/>
      </c>
      <c r="AZ749" s="95" t="str">
        <f t="shared" si="129"/>
        <v/>
      </c>
      <c r="BA749" s="99" t="str">
        <f t="shared" ca="1" si="126"/>
        <v/>
      </c>
      <c r="BB749" s="97" t="str">
        <f t="shared" si="130"/>
        <v/>
      </c>
      <c r="BC749" s="101" t="str">
        <f t="shared" ca="1" si="133"/>
        <v/>
      </c>
      <c r="BD749" s="100" t="str">
        <f t="shared" si="131"/>
        <v/>
      </c>
      <c r="BE749" s="103" t="str">
        <f t="shared" ca="1" si="127"/>
        <v/>
      </c>
      <c r="BF749" s="102" t="str">
        <f t="shared" si="132"/>
        <v/>
      </c>
    </row>
    <row r="750" spans="48:58" hidden="1" x14ac:dyDescent="0.25">
      <c r="AV750">
        <v>720</v>
      </c>
      <c r="AW750" s="94" t="str">
        <f t="shared" ca="1" si="124"/>
        <v/>
      </c>
      <c r="AX750" s="95" t="str">
        <f t="shared" si="128"/>
        <v/>
      </c>
      <c r="AY750" s="98" t="str">
        <f t="shared" ca="1" si="125"/>
        <v/>
      </c>
      <c r="AZ750" s="95" t="str">
        <f t="shared" si="129"/>
        <v/>
      </c>
      <c r="BA750" s="99" t="str">
        <f t="shared" ca="1" si="126"/>
        <v/>
      </c>
      <c r="BB750" s="97" t="str">
        <f t="shared" si="130"/>
        <v/>
      </c>
      <c r="BC750" s="101" t="str">
        <f t="shared" ca="1" si="133"/>
        <v/>
      </c>
      <c r="BD750" s="100" t="str">
        <f t="shared" si="131"/>
        <v/>
      </c>
      <c r="BE750" s="103" t="str">
        <f t="shared" ca="1" si="127"/>
        <v/>
      </c>
      <c r="BF750" s="102" t="str">
        <f t="shared" si="132"/>
        <v/>
      </c>
    </row>
    <row r="751" spans="48:58" hidden="1" x14ac:dyDescent="0.25">
      <c r="AV751">
        <v>721</v>
      </c>
      <c r="AW751" s="94" t="str">
        <f t="shared" ca="1" si="124"/>
        <v/>
      </c>
      <c r="AX751" s="95" t="str">
        <f t="shared" si="128"/>
        <v/>
      </c>
      <c r="AY751" s="98" t="str">
        <f t="shared" ca="1" si="125"/>
        <v/>
      </c>
      <c r="AZ751" s="95" t="str">
        <f t="shared" si="129"/>
        <v/>
      </c>
      <c r="BA751" s="99" t="str">
        <f t="shared" ca="1" si="126"/>
        <v/>
      </c>
      <c r="BB751" s="97" t="str">
        <f t="shared" si="130"/>
        <v/>
      </c>
      <c r="BC751" s="101" t="str">
        <f t="shared" ca="1" si="133"/>
        <v/>
      </c>
      <c r="BD751" s="100" t="str">
        <f t="shared" si="131"/>
        <v/>
      </c>
      <c r="BE751" s="103" t="str">
        <f t="shared" ca="1" si="127"/>
        <v/>
      </c>
      <c r="BF751" s="102" t="str">
        <f t="shared" si="132"/>
        <v/>
      </c>
    </row>
    <row r="752" spans="48:58" hidden="1" x14ac:dyDescent="0.25">
      <c r="AV752">
        <v>722</v>
      </c>
      <c r="AW752" s="94" t="str">
        <f t="shared" ca="1" si="124"/>
        <v/>
      </c>
      <c r="AX752" s="95" t="str">
        <f t="shared" si="128"/>
        <v/>
      </c>
      <c r="AY752" s="98" t="str">
        <f t="shared" ca="1" si="125"/>
        <v/>
      </c>
      <c r="AZ752" s="95" t="str">
        <f t="shared" si="129"/>
        <v/>
      </c>
      <c r="BA752" s="99" t="str">
        <f t="shared" ca="1" si="126"/>
        <v/>
      </c>
      <c r="BB752" s="97" t="str">
        <f t="shared" si="130"/>
        <v/>
      </c>
      <c r="BC752" s="101" t="str">
        <f t="shared" ca="1" si="133"/>
        <v/>
      </c>
      <c r="BD752" s="100" t="str">
        <f t="shared" si="131"/>
        <v/>
      </c>
      <c r="BE752" s="103" t="str">
        <f t="shared" ca="1" si="127"/>
        <v/>
      </c>
      <c r="BF752" s="102" t="str">
        <f t="shared" si="132"/>
        <v/>
      </c>
    </row>
    <row r="753" spans="48:58" hidden="1" x14ac:dyDescent="0.25">
      <c r="AV753">
        <v>723</v>
      </c>
      <c r="AW753" s="94" t="str">
        <f t="shared" ca="1" si="124"/>
        <v/>
      </c>
      <c r="AX753" s="95" t="str">
        <f t="shared" si="128"/>
        <v/>
      </c>
      <c r="AY753" s="98" t="str">
        <f t="shared" ca="1" si="125"/>
        <v/>
      </c>
      <c r="AZ753" s="95" t="str">
        <f t="shared" si="129"/>
        <v/>
      </c>
      <c r="BA753" s="99" t="str">
        <f t="shared" ca="1" si="126"/>
        <v/>
      </c>
      <c r="BB753" s="97" t="str">
        <f t="shared" si="130"/>
        <v/>
      </c>
      <c r="BC753" s="101" t="str">
        <f t="shared" ca="1" si="133"/>
        <v/>
      </c>
      <c r="BD753" s="100" t="str">
        <f t="shared" si="131"/>
        <v/>
      </c>
      <c r="BE753" s="103" t="str">
        <f t="shared" ca="1" si="127"/>
        <v/>
      </c>
      <c r="BF753" s="102" t="str">
        <f t="shared" si="132"/>
        <v/>
      </c>
    </row>
    <row r="754" spans="48:58" hidden="1" x14ac:dyDescent="0.25">
      <c r="AV754">
        <v>724</v>
      </c>
      <c r="AW754" s="94" t="str">
        <f t="shared" ca="1" si="124"/>
        <v/>
      </c>
      <c r="AX754" s="95" t="str">
        <f t="shared" si="128"/>
        <v/>
      </c>
      <c r="AY754" s="98" t="str">
        <f t="shared" ca="1" si="125"/>
        <v/>
      </c>
      <c r="AZ754" s="95" t="str">
        <f t="shared" si="129"/>
        <v/>
      </c>
      <c r="BA754" s="99" t="str">
        <f t="shared" ca="1" si="126"/>
        <v/>
      </c>
      <c r="BB754" s="97" t="str">
        <f t="shared" si="130"/>
        <v/>
      </c>
      <c r="BC754" s="101" t="str">
        <f t="shared" ca="1" si="133"/>
        <v/>
      </c>
      <c r="BD754" s="100" t="str">
        <f t="shared" si="131"/>
        <v/>
      </c>
      <c r="BE754" s="103" t="str">
        <f t="shared" ca="1" si="127"/>
        <v/>
      </c>
      <c r="BF754" s="102" t="str">
        <f t="shared" si="132"/>
        <v/>
      </c>
    </row>
    <row r="755" spans="48:58" hidden="1" x14ac:dyDescent="0.25">
      <c r="AV755">
        <v>725</v>
      </c>
      <c r="AW755" s="94" t="str">
        <f t="shared" ca="1" si="124"/>
        <v/>
      </c>
      <c r="AX755" s="95" t="str">
        <f t="shared" si="128"/>
        <v/>
      </c>
      <c r="AY755" s="98" t="str">
        <f t="shared" ca="1" si="125"/>
        <v/>
      </c>
      <c r="AZ755" s="95" t="str">
        <f t="shared" si="129"/>
        <v/>
      </c>
      <c r="BA755" s="99" t="str">
        <f t="shared" ca="1" si="126"/>
        <v/>
      </c>
      <c r="BB755" s="97" t="str">
        <f t="shared" si="130"/>
        <v/>
      </c>
      <c r="BC755" s="101" t="str">
        <f t="shared" ca="1" si="133"/>
        <v/>
      </c>
      <c r="BD755" s="100" t="str">
        <f t="shared" si="131"/>
        <v/>
      </c>
      <c r="BE755" s="103" t="str">
        <f t="shared" ca="1" si="127"/>
        <v/>
      </c>
      <c r="BF755" s="102" t="str">
        <f t="shared" si="132"/>
        <v/>
      </c>
    </row>
    <row r="756" spans="48:58" hidden="1" x14ac:dyDescent="0.25">
      <c r="AV756">
        <v>726</v>
      </c>
      <c r="AW756" s="94" t="str">
        <f t="shared" ca="1" si="124"/>
        <v/>
      </c>
      <c r="AX756" s="95" t="str">
        <f t="shared" si="128"/>
        <v/>
      </c>
      <c r="AY756" s="98" t="str">
        <f t="shared" ca="1" si="125"/>
        <v/>
      </c>
      <c r="AZ756" s="95" t="str">
        <f t="shared" si="129"/>
        <v/>
      </c>
      <c r="BA756" s="99" t="str">
        <f t="shared" ca="1" si="126"/>
        <v/>
      </c>
      <c r="BB756" s="97" t="str">
        <f t="shared" si="130"/>
        <v/>
      </c>
      <c r="BC756" s="101" t="str">
        <f t="shared" ca="1" si="133"/>
        <v/>
      </c>
      <c r="BD756" s="100" t="str">
        <f t="shared" si="131"/>
        <v/>
      </c>
      <c r="BE756" s="103" t="str">
        <f t="shared" ca="1" si="127"/>
        <v/>
      </c>
      <c r="BF756" s="102" t="str">
        <f t="shared" si="132"/>
        <v/>
      </c>
    </row>
    <row r="757" spans="48:58" hidden="1" x14ac:dyDescent="0.25">
      <c r="AV757">
        <v>727</v>
      </c>
      <c r="AW757" s="94" t="str">
        <f t="shared" ca="1" si="124"/>
        <v/>
      </c>
      <c r="AX757" s="95" t="str">
        <f t="shared" si="128"/>
        <v/>
      </c>
      <c r="AY757" s="98" t="str">
        <f t="shared" ca="1" si="125"/>
        <v/>
      </c>
      <c r="AZ757" s="95" t="str">
        <f t="shared" si="129"/>
        <v/>
      </c>
      <c r="BA757" s="99" t="str">
        <f t="shared" ca="1" si="126"/>
        <v/>
      </c>
      <c r="BB757" s="97" t="str">
        <f t="shared" si="130"/>
        <v/>
      </c>
      <c r="BC757" s="101" t="str">
        <f t="shared" ca="1" si="133"/>
        <v/>
      </c>
      <c r="BD757" s="100" t="str">
        <f t="shared" si="131"/>
        <v/>
      </c>
      <c r="BE757" s="103" t="str">
        <f t="shared" ca="1" si="127"/>
        <v/>
      </c>
      <c r="BF757" s="102" t="str">
        <f t="shared" si="132"/>
        <v/>
      </c>
    </row>
    <row r="758" spans="48:58" hidden="1" x14ac:dyDescent="0.25">
      <c r="AV758">
        <v>728</v>
      </c>
      <c r="AW758" s="94" t="str">
        <f t="shared" ca="1" si="124"/>
        <v/>
      </c>
      <c r="AX758" s="95" t="str">
        <f t="shared" si="128"/>
        <v/>
      </c>
      <c r="AY758" s="98" t="str">
        <f t="shared" ca="1" si="125"/>
        <v/>
      </c>
      <c r="AZ758" s="95" t="str">
        <f t="shared" si="129"/>
        <v/>
      </c>
      <c r="BA758" s="99" t="str">
        <f t="shared" ca="1" si="126"/>
        <v/>
      </c>
      <c r="BB758" s="97" t="str">
        <f t="shared" si="130"/>
        <v/>
      </c>
      <c r="BC758" s="101" t="str">
        <f t="shared" ca="1" si="133"/>
        <v/>
      </c>
      <c r="BD758" s="100" t="str">
        <f t="shared" si="131"/>
        <v/>
      </c>
      <c r="BE758" s="103" t="str">
        <f t="shared" ca="1" si="127"/>
        <v/>
      </c>
      <c r="BF758" s="102" t="str">
        <f t="shared" si="132"/>
        <v/>
      </c>
    </row>
    <row r="759" spans="48:58" hidden="1" x14ac:dyDescent="0.25">
      <c r="AV759">
        <v>729</v>
      </c>
      <c r="AW759" s="94" t="str">
        <f t="shared" ca="1" si="124"/>
        <v/>
      </c>
      <c r="AX759" s="95" t="str">
        <f t="shared" si="128"/>
        <v/>
      </c>
      <c r="AY759" s="98" t="str">
        <f t="shared" ca="1" si="125"/>
        <v/>
      </c>
      <c r="AZ759" s="95" t="str">
        <f t="shared" si="129"/>
        <v/>
      </c>
      <c r="BA759" s="99" t="str">
        <f t="shared" ca="1" si="126"/>
        <v/>
      </c>
      <c r="BB759" s="97" t="str">
        <f t="shared" si="130"/>
        <v/>
      </c>
      <c r="BC759" s="101" t="str">
        <f t="shared" ca="1" si="133"/>
        <v/>
      </c>
      <c r="BD759" s="100" t="str">
        <f t="shared" si="131"/>
        <v/>
      </c>
      <c r="BE759" s="103" t="str">
        <f t="shared" ca="1" si="127"/>
        <v/>
      </c>
      <c r="BF759" s="102" t="str">
        <f t="shared" si="132"/>
        <v/>
      </c>
    </row>
    <row r="760" spans="48:58" hidden="1" x14ac:dyDescent="0.25">
      <c r="AV760">
        <v>730</v>
      </c>
      <c r="AW760" s="94" t="str">
        <f t="shared" ca="1" si="124"/>
        <v/>
      </c>
      <c r="AX760" s="95" t="str">
        <f t="shared" si="128"/>
        <v/>
      </c>
      <c r="AY760" s="98" t="str">
        <f t="shared" ca="1" si="125"/>
        <v/>
      </c>
      <c r="AZ760" s="95" t="str">
        <f t="shared" si="129"/>
        <v/>
      </c>
      <c r="BA760" s="99" t="str">
        <f t="shared" ca="1" si="126"/>
        <v/>
      </c>
      <c r="BB760" s="97" t="str">
        <f t="shared" si="130"/>
        <v/>
      </c>
      <c r="BC760" s="101" t="str">
        <f t="shared" ca="1" si="133"/>
        <v/>
      </c>
      <c r="BD760" s="100" t="str">
        <f t="shared" si="131"/>
        <v/>
      </c>
      <c r="BE760" s="103" t="str">
        <f t="shared" ca="1" si="127"/>
        <v/>
      </c>
      <c r="BF760" s="102" t="str">
        <f t="shared" si="132"/>
        <v/>
      </c>
    </row>
    <row r="761" spans="48:58" hidden="1" x14ac:dyDescent="0.25">
      <c r="AV761">
        <v>731</v>
      </c>
      <c r="AW761" s="94" t="str">
        <f t="shared" ca="1" si="124"/>
        <v/>
      </c>
      <c r="AX761" s="95" t="str">
        <f t="shared" si="128"/>
        <v/>
      </c>
      <c r="AY761" s="98" t="str">
        <f t="shared" ca="1" si="125"/>
        <v/>
      </c>
      <c r="AZ761" s="95" t="str">
        <f t="shared" si="129"/>
        <v/>
      </c>
      <c r="BA761" s="99" t="str">
        <f t="shared" ca="1" si="126"/>
        <v/>
      </c>
      <c r="BB761" s="97" t="str">
        <f t="shared" si="130"/>
        <v/>
      </c>
      <c r="BC761" s="101" t="str">
        <f t="shared" ca="1" si="133"/>
        <v/>
      </c>
      <c r="BD761" s="100" t="str">
        <f t="shared" si="131"/>
        <v/>
      </c>
      <c r="BE761" s="103" t="str">
        <f t="shared" ca="1" si="127"/>
        <v/>
      </c>
      <c r="BF761" s="102" t="str">
        <f t="shared" si="132"/>
        <v/>
      </c>
    </row>
    <row r="762" spans="48:58" hidden="1" x14ac:dyDescent="0.25">
      <c r="AV762">
        <v>732</v>
      </c>
      <c r="AW762" s="94" t="str">
        <f t="shared" ca="1" si="124"/>
        <v/>
      </c>
      <c r="AX762" s="95" t="str">
        <f t="shared" si="128"/>
        <v/>
      </c>
      <c r="AY762" s="98" t="str">
        <f t="shared" ca="1" si="125"/>
        <v/>
      </c>
      <c r="AZ762" s="95" t="str">
        <f t="shared" si="129"/>
        <v/>
      </c>
      <c r="BA762" s="99" t="str">
        <f t="shared" ca="1" si="126"/>
        <v/>
      </c>
      <c r="BB762" s="97" t="str">
        <f t="shared" si="130"/>
        <v/>
      </c>
      <c r="BC762" s="101" t="str">
        <f t="shared" ca="1" si="133"/>
        <v/>
      </c>
      <c r="BD762" s="100" t="str">
        <f t="shared" si="131"/>
        <v/>
      </c>
      <c r="BE762" s="103" t="str">
        <f t="shared" ca="1" si="127"/>
        <v/>
      </c>
      <c r="BF762" s="102" t="str">
        <f t="shared" si="132"/>
        <v/>
      </c>
    </row>
    <row r="763" spans="48:58" hidden="1" x14ac:dyDescent="0.25">
      <c r="AV763">
        <v>733</v>
      </c>
      <c r="AW763" s="94" t="str">
        <f t="shared" ca="1" si="124"/>
        <v/>
      </c>
      <c r="AX763" s="95" t="str">
        <f t="shared" si="128"/>
        <v/>
      </c>
      <c r="AY763" s="98" t="str">
        <f t="shared" ca="1" si="125"/>
        <v/>
      </c>
      <c r="AZ763" s="95" t="str">
        <f t="shared" si="129"/>
        <v/>
      </c>
      <c r="BA763" s="99" t="str">
        <f t="shared" ca="1" si="126"/>
        <v/>
      </c>
      <c r="BB763" s="97" t="str">
        <f t="shared" si="130"/>
        <v/>
      </c>
      <c r="BC763" s="101" t="str">
        <f t="shared" ca="1" si="133"/>
        <v/>
      </c>
      <c r="BD763" s="100" t="str">
        <f t="shared" si="131"/>
        <v/>
      </c>
      <c r="BE763" s="103" t="str">
        <f t="shared" ca="1" si="127"/>
        <v/>
      </c>
      <c r="BF763" s="102" t="str">
        <f t="shared" si="132"/>
        <v/>
      </c>
    </row>
    <row r="764" spans="48:58" hidden="1" x14ac:dyDescent="0.25">
      <c r="AV764">
        <v>734</v>
      </c>
      <c r="AW764" s="94" t="str">
        <f t="shared" ca="1" si="124"/>
        <v/>
      </c>
      <c r="AX764" s="95" t="str">
        <f t="shared" si="128"/>
        <v/>
      </c>
      <c r="AY764" s="98" t="str">
        <f t="shared" ca="1" si="125"/>
        <v/>
      </c>
      <c r="AZ764" s="95" t="str">
        <f t="shared" si="129"/>
        <v/>
      </c>
      <c r="BA764" s="99" t="str">
        <f t="shared" ca="1" si="126"/>
        <v/>
      </c>
      <c r="BB764" s="97" t="str">
        <f t="shared" si="130"/>
        <v/>
      </c>
      <c r="BC764" s="101" t="str">
        <f t="shared" ca="1" si="133"/>
        <v/>
      </c>
      <c r="BD764" s="100" t="str">
        <f t="shared" si="131"/>
        <v/>
      </c>
      <c r="BE764" s="103" t="str">
        <f t="shared" ca="1" si="127"/>
        <v/>
      </c>
      <c r="BF764" s="102" t="str">
        <f t="shared" si="132"/>
        <v/>
      </c>
    </row>
    <row r="765" spans="48:58" hidden="1" x14ac:dyDescent="0.25">
      <c r="AV765">
        <v>735</v>
      </c>
      <c r="AW765" s="94" t="str">
        <f t="shared" ca="1" si="124"/>
        <v/>
      </c>
      <c r="AX765" s="95" t="str">
        <f t="shared" si="128"/>
        <v/>
      </c>
      <c r="AY765" s="98" t="str">
        <f t="shared" ca="1" si="125"/>
        <v/>
      </c>
      <c r="AZ765" s="95" t="str">
        <f t="shared" si="129"/>
        <v/>
      </c>
      <c r="BA765" s="99" t="str">
        <f t="shared" ca="1" si="126"/>
        <v/>
      </c>
      <c r="BB765" s="97" t="str">
        <f t="shared" si="130"/>
        <v/>
      </c>
      <c r="BC765" s="101" t="str">
        <f t="shared" ca="1" si="133"/>
        <v/>
      </c>
      <c r="BD765" s="100" t="str">
        <f t="shared" si="131"/>
        <v/>
      </c>
      <c r="BE765" s="103" t="str">
        <f t="shared" ca="1" si="127"/>
        <v/>
      </c>
      <c r="BF765" s="102" t="str">
        <f t="shared" si="132"/>
        <v/>
      </c>
    </row>
    <row r="766" spans="48:58" hidden="1" x14ac:dyDescent="0.25">
      <c r="AV766">
        <v>736</v>
      </c>
      <c r="AW766" s="94" t="str">
        <f t="shared" ca="1" si="124"/>
        <v/>
      </c>
      <c r="AX766" s="95" t="str">
        <f t="shared" si="128"/>
        <v/>
      </c>
      <c r="AY766" s="98" t="str">
        <f t="shared" ca="1" si="125"/>
        <v/>
      </c>
      <c r="AZ766" s="95" t="str">
        <f t="shared" si="129"/>
        <v/>
      </c>
      <c r="BA766" s="99" t="str">
        <f t="shared" ca="1" si="126"/>
        <v/>
      </c>
      <c r="BB766" s="97" t="str">
        <f t="shared" si="130"/>
        <v/>
      </c>
      <c r="BC766" s="101" t="str">
        <f t="shared" ca="1" si="133"/>
        <v/>
      </c>
      <c r="BD766" s="100" t="str">
        <f t="shared" si="131"/>
        <v/>
      </c>
      <c r="BE766" s="103" t="str">
        <f t="shared" ca="1" si="127"/>
        <v/>
      </c>
      <c r="BF766" s="102" t="str">
        <f t="shared" si="132"/>
        <v/>
      </c>
    </row>
    <row r="767" spans="48:58" hidden="1" x14ac:dyDescent="0.25">
      <c r="AV767">
        <v>737</v>
      </c>
      <c r="AW767" s="94" t="str">
        <f t="shared" ca="1" si="124"/>
        <v/>
      </c>
      <c r="AX767" s="95" t="str">
        <f t="shared" si="128"/>
        <v/>
      </c>
      <c r="AY767" s="98" t="str">
        <f t="shared" ca="1" si="125"/>
        <v/>
      </c>
      <c r="AZ767" s="95" t="str">
        <f t="shared" si="129"/>
        <v/>
      </c>
      <c r="BA767" s="99" t="str">
        <f t="shared" ca="1" si="126"/>
        <v/>
      </c>
      <c r="BB767" s="97" t="str">
        <f t="shared" si="130"/>
        <v/>
      </c>
      <c r="BC767" s="101" t="str">
        <f t="shared" ca="1" si="133"/>
        <v/>
      </c>
      <c r="BD767" s="100" t="str">
        <f t="shared" si="131"/>
        <v/>
      </c>
      <c r="BE767" s="103" t="str">
        <f t="shared" ca="1" si="127"/>
        <v/>
      </c>
      <c r="BF767" s="102" t="str">
        <f t="shared" si="132"/>
        <v/>
      </c>
    </row>
    <row r="768" spans="48:58" hidden="1" x14ac:dyDescent="0.25">
      <c r="AV768">
        <v>738</v>
      </c>
      <c r="AW768" s="94" t="str">
        <f t="shared" ca="1" si="124"/>
        <v/>
      </c>
      <c r="AX768" s="95" t="str">
        <f t="shared" si="128"/>
        <v/>
      </c>
      <c r="AY768" s="98" t="str">
        <f t="shared" ca="1" si="125"/>
        <v/>
      </c>
      <c r="AZ768" s="95" t="str">
        <f t="shared" si="129"/>
        <v/>
      </c>
      <c r="BA768" s="99" t="str">
        <f t="shared" ca="1" si="126"/>
        <v/>
      </c>
      <c r="BB768" s="97" t="str">
        <f t="shared" si="130"/>
        <v/>
      </c>
      <c r="BC768" s="101" t="str">
        <f t="shared" ca="1" si="133"/>
        <v/>
      </c>
      <c r="BD768" s="100" t="str">
        <f t="shared" si="131"/>
        <v/>
      </c>
      <c r="BE768" s="103" t="str">
        <f t="shared" ca="1" si="127"/>
        <v/>
      </c>
      <c r="BF768" s="102" t="str">
        <f t="shared" si="132"/>
        <v/>
      </c>
    </row>
    <row r="769" spans="48:58" hidden="1" x14ac:dyDescent="0.25">
      <c r="AV769">
        <v>739</v>
      </c>
      <c r="AW769" s="94" t="str">
        <f t="shared" ca="1" si="124"/>
        <v/>
      </c>
      <c r="AX769" s="95" t="str">
        <f t="shared" si="128"/>
        <v/>
      </c>
      <c r="AY769" s="98" t="str">
        <f t="shared" ca="1" si="125"/>
        <v/>
      </c>
      <c r="AZ769" s="95" t="str">
        <f t="shared" si="129"/>
        <v/>
      </c>
      <c r="BA769" s="99" t="str">
        <f t="shared" ca="1" si="126"/>
        <v/>
      </c>
      <c r="BB769" s="97" t="str">
        <f t="shared" si="130"/>
        <v/>
      </c>
      <c r="BC769" s="101" t="str">
        <f t="shared" ca="1" si="133"/>
        <v/>
      </c>
      <c r="BD769" s="100" t="str">
        <f t="shared" si="131"/>
        <v/>
      </c>
      <c r="BE769" s="103" t="str">
        <f t="shared" ca="1" si="127"/>
        <v/>
      </c>
      <c r="BF769" s="102" t="str">
        <f t="shared" si="132"/>
        <v/>
      </c>
    </row>
    <row r="770" spans="48:58" hidden="1" x14ac:dyDescent="0.25">
      <c r="AV770">
        <v>740</v>
      </c>
      <c r="AW770" s="94" t="str">
        <f t="shared" ca="1" si="124"/>
        <v/>
      </c>
      <c r="AX770" s="95" t="str">
        <f t="shared" si="128"/>
        <v/>
      </c>
      <c r="AY770" s="98" t="str">
        <f t="shared" ca="1" si="125"/>
        <v/>
      </c>
      <c r="AZ770" s="95" t="str">
        <f t="shared" si="129"/>
        <v/>
      </c>
      <c r="BA770" s="99" t="str">
        <f t="shared" ca="1" si="126"/>
        <v/>
      </c>
      <c r="BB770" s="97" t="str">
        <f t="shared" si="130"/>
        <v/>
      </c>
      <c r="BC770" s="101" t="str">
        <f t="shared" ca="1" si="133"/>
        <v/>
      </c>
      <c r="BD770" s="100" t="str">
        <f t="shared" si="131"/>
        <v/>
      </c>
      <c r="BE770" s="103" t="str">
        <f t="shared" ca="1" si="127"/>
        <v/>
      </c>
      <c r="BF770" s="102" t="str">
        <f t="shared" si="132"/>
        <v/>
      </c>
    </row>
    <row r="771" spans="48:58" hidden="1" x14ac:dyDescent="0.25">
      <c r="AV771">
        <v>741</v>
      </c>
      <c r="AW771" s="94" t="str">
        <f t="shared" ca="1" si="124"/>
        <v/>
      </c>
      <c r="AX771" s="95" t="str">
        <f t="shared" si="128"/>
        <v/>
      </c>
      <c r="AY771" s="98" t="str">
        <f t="shared" ca="1" si="125"/>
        <v/>
      </c>
      <c r="AZ771" s="95" t="str">
        <f t="shared" si="129"/>
        <v/>
      </c>
      <c r="BA771" s="99" t="str">
        <f t="shared" ca="1" si="126"/>
        <v/>
      </c>
      <c r="BB771" s="97" t="str">
        <f t="shared" si="130"/>
        <v/>
      </c>
      <c r="BC771" s="101" t="str">
        <f t="shared" ca="1" si="133"/>
        <v/>
      </c>
      <c r="BD771" s="100" t="str">
        <f t="shared" si="131"/>
        <v/>
      </c>
      <c r="BE771" s="103" t="str">
        <f t="shared" ca="1" si="127"/>
        <v/>
      </c>
      <c r="BF771" s="102" t="str">
        <f t="shared" si="132"/>
        <v/>
      </c>
    </row>
    <row r="772" spans="48:58" hidden="1" x14ac:dyDescent="0.25">
      <c r="AV772">
        <v>742</v>
      </c>
      <c r="AW772" s="94" t="str">
        <f t="shared" ca="1" si="124"/>
        <v/>
      </c>
      <c r="AX772" s="95" t="str">
        <f t="shared" si="128"/>
        <v/>
      </c>
      <c r="AY772" s="98" t="str">
        <f t="shared" ca="1" si="125"/>
        <v/>
      </c>
      <c r="AZ772" s="95" t="str">
        <f t="shared" si="129"/>
        <v/>
      </c>
      <c r="BA772" s="99" t="str">
        <f t="shared" ca="1" si="126"/>
        <v/>
      </c>
      <c r="BB772" s="97" t="str">
        <f t="shared" si="130"/>
        <v/>
      </c>
      <c r="BC772" s="101" t="str">
        <f t="shared" ca="1" si="133"/>
        <v/>
      </c>
      <c r="BD772" s="100" t="str">
        <f t="shared" si="131"/>
        <v/>
      </c>
      <c r="BE772" s="103" t="str">
        <f t="shared" ca="1" si="127"/>
        <v/>
      </c>
      <c r="BF772" s="102" t="str">
        <f t="shared" si="132"/>
        <v/>
      </c>
    </row>
    <row r="773" spans="48:58" hidden="1" x14ac:dyDescent="0.25">
      <c r="AV773">
        <v>743</v>
      </c>
      <c r="AW773" s="94" t="str">
        <f t="shared" ca="1" si="124"/>
        <v/>
      </c>
      <c r="AX773" s="95" t="str">
        <f t="shared" si="128"/>
        <v/>
      </c>
      <c r="AY773" s="98" t="str">
        <f t="shared" ca="1" si="125"/>
        <v/>
      </c>
      <c r="AZ773" s="95" t="str">
        <f t="shared" si="129"/>
        <v/>
      </c>
      <c r="BA773" s="99" t="str">
        <f t="shared" ca="1" si="126"/>
        <v/>
      </c>
      <c r="BB773" s="97" t="str">
        <f t="shared" si="130"/>
        <v/>
      </c>
      <c r="BC773" s="101" t="str">
        <f t="shared" ca="1" si="133"/>
        <v/>
      </c>
      <c r="BD773" s="100" t="str">
        <f t="shared" si="131"/>
        <v/>
      </c>
      <c r="BE773" s="103" t="str">
        <f t="shared" ca="1" si="127"/>
        <v/>
      </c>
      <c r="BF773" s="102" t="str">
        <f t="shared" si="132"/>
        <v/>
      </c>
    </row>
    <row r="774" spans="48:58" hidden="1" x14ac:dyDescent="0.25">
      <c r="AV774">
        <v>744</v>
      </c>
      <c r="AW774" s="94" t="str">
        <f t="shared" ca="1" si="124"/>
        <v/>
      </c>
      <c r="AX774" s="95" t="str">
        <f t="shared" si="128"/>
        <v/>
      </c>
      <c r="AY774" s="98" t="str">
        <f t="shared" ca="1" si="125"/>
        <v/>
      </c>
      <c r="AZ774" s="95" t="str">
        <f t="shared" si="129"/>
        <v/>
      </c>
      <c r="BA774" s="99" t="str">
        <f t="shared" ca="1" si="126"/>
        <v/>
      </c>
      <c r="BB774" s="97" t="str">
        <f t="shared" si="130"/>
        <v/>
      </c>
      <c r="BC774" s="101" t="str">
        <f t="shared" ca="1" si="133"/>
        <v/>
      </c>
      <c r="BD774" s="100" t="str">
        <f t="shared" si="131"/>
        <v/>
      </c>
      <c r="BE774" s="103" t="str">
        <f t="shared" ca="1" si="127"/>
        <v/>
      </c>
      <c r="BF774" s="102" t="str">
        <f t="shared" si="132"/>
        <v/>
      </c>
    </row>
    <row r="775" spans="48:58" hidden="1" x14ac:dyDescent="0.25">
      <c r="AV775">
        <v>745</v>
      </c>
      <c r="AW775" s="94" t="str">
        <f t="shared" ca="1" si="124"/>
        <v/>
      </c>
      <c r="AX775" s="95" t="str">
        <f t="shared" si="128"/>
        <v/>
      </c>
      <c r="AY775" s="98" t="str">
        <f t="shared" ca="1" si="125"/>
        <v/>
      </c>
      <c r="AZ775" s="95" t="str">
        <f t="shared" si="129"/>
        <v/>
      </c>
      <c r="BA775" s="99" t="str">
        <f t="shared" ca="1" si="126"/>
        <v/>
      </c>
      <c r="BB775" s="97" t="str">
        <f t="shared" si="130"/>
        <v/>
      </c>
      <c r="BC775" s="101" t="str">
        <f t="shared" ca="1" si="133"/>
        <v/>
      </c>
      <c r="BD775" s="100" t="str">
        <f t="shared" si="131"/>
        <v/>
      </c>
      <c r="BE775" s="103" t="str">
        <f t="shared" ca="1" si="127"/>
        <v/>
      </c>
      <c r="BF775" s="102" t="str">
        <f t="shared" si="132"/>
        <v/>
      </c>
    </row>
    <row r="776" spans="48:58" hidden="1" x14ac:dyDescent="0.25">
      <c r="AV776">
        <v>746</v>
      </c>
      <c r="AW776" s="94" t="str">
        <f t="shared" ca="1" si="124"/>
        <v/>
      </c>
      <c r="AX776" s="95" t="str">
        <f t="shared" si="128"/>
        <v/>
      </c>
      <c r="AY776" s="98" t="str">
        <f t="shared" ca="1" si="125"/>
        <v/>
      </c>
      <c r="AZ776" s="95" t="str">
        <f t="shared" si="129"/>
        <v/>
      </c>
      <c r="BA776" s="99" t="str">
        <f t="shared" ca="1" si="126"/>
        <v/>
      </c>
      <c r="BB776" s="97" t="str">
        <f t="shared" si="130"/>
        <v/>
      </c>
      <c r="BC776" s="101" t="str">
        <f t="shared" ca="1" si="133"/>
        <v/>
      </c>
      <c r="BD776" s="100" t="str">
        <f t="shared" si="131"/>
        <v/>
      </c>
      <c r="BE776" s="103" t="str">
        <f t="shared" ca="1" si="127"/>
        <v/>
      </c>
      <c r="BF776" s="102" t="str">
        <f t="shared" si="132"/>
        <v/>
      </c>
    </row>
    <row r="777" spans="48:58" hidden="1" x14ac:dyDescent="0.25">
      <c r="AV777">
        <v>747</v>
      </c>
      <c r="AW777" s="94" t="str">
        <f t="shared" ca="1" si="124"/>
        <v/>
      </c>
      <c r="AX777" s="95" t="str">
        <f t="shared" si="128"/>
        <v/>
      </c>
      <c r="AY777" s="98" t="str">
        <f t="shared" ca="1" si="125"/>
        <v/>
      </c>
      <c r="AZ777" s="95" t="str">
        <f t="shared" si="129"/>
        <v/>
      </c>
      <c r="BA777" s="99" t="str">
        <f t="shared" ca="1" si="126"/>
        <v/>
      </c>
      <c r="BB777" s="97" t="str">
        <f t="shared" si="130"/>
        <v/>
      </c>
      <c r="BC777" s="101" t="str">
        <f t="shared" ca="1" si="133"/>
        <v/>
      </c>
      <c r="BD777" s="100" t="str">
        <f t="shared" si="131"/>
        <v/>
      </c>
      <c r="BE777" s="103" t="str">
        <f t="shared" ca="1" si="127"/>
        <v/>
      </c>
      <c r="BF777" s="102" t="str">
        <f t="shared" si="132"/>
        <v/>
      </c>
    </row>
    <row r="778" spans="48:58" hidden="1" x14ac:dyDescent="0.25">
      <c r="AV778">
        <v>748</v>
      </c>
      <c r="AW778" s="94" t="str">
        <f t="shared" ca="1" si="124"/>
        <v/>
      </c>
      <c r="AX778" s="95" t="str">
        <f t="shared" si="128"/>
        <v/>
      </c>
      <c r="AY778" s="98" t="str">
        <f t="shared" ca="1" si="125"/>
        <v/>
      </c>
      <c r="AZ778" s="95" t="str">
        <f t="shared" si="129"/>
        <v/>
      </c>
      <c r="BA778" s="99" t="str">
        <f t="shared" ca="1" si="126"/>
        <v/>
      </c>
      <c r="BB778" s="97" t="str">
        <f t="shared" si="130"/>
        <v/>
      </c>
      <c r="BC778" s="101" t="str">
        <f t="shared" ca="1" si="133"/>
        <v/>
      </c>
      <c r="BD778" s="100" t="str">
        <f t="shared" si="131"/>
        <v/>
      </c>
      <c r="BE778" s="103" t="str">
        <f t="shared" ca="1" si="127"/>
        <v/>
      </c>
      <c r="BF778" s="102" t="str">
        <f t="shared" si="132"/>
        <v/>
      </c>
    </row>
    <row r="779" spans="48:58" hidden="1" x14ac:dyDescent="0.25">
      <c r="AV779">
        <v>749</v>
      </c>
      <c r="AW779" s="94" t="str">
        <f t="shared" ca="1" si="124"/>
        <v/>
      </c>
      <c r="AX779" s="95" t="str">
        <f t="shared" si="128"/>
        <v/>
      </c>
      <c r="AY779" s="98" t="str">
        <f t="shared" ca="1" si="125"/>
        <v/>
      </c>
      <c r="AZ779" s="95" t="str">
        <f t="shared" si="129"/>
        <v/>
      </c>
      <c r="BA779" s="99" t="str">
        <f t="shared" ca="1" si="126"/>
        <v/>
      </c>
      <c r="BB779" s="97" t="str">
        <f t="shared" si="130"/>
        <v/>
      </c>
      <c r="BC779" s="101" t="str">
        <f t="shared" ca="1" si="133"/>
        <v/>
      </c>
      <c r="BD779" s="100" t="str">
        <f t="shared" si="131"/>
        <v/>
      </c>
      <c r="BE779" s="103" t="str">
        <f t="shared" ca="1" si="127"/>
        <v/>
      </c>
      <c r="BF779" s="102" t="str">
        <f t="shared" si="132"/>
        <v/>
      </c>
    </row>
    <row r="780" spans="48:58" hidden="1" x14ac:dyDescent="0.25">
      <c r="AV780">
        <v>750</v>
      </c>
      <c r="AW780" s="94" t="str">
        <f t="shared" ca="1" si="124"/>
        <v/>
      </c>
      <c r="AX780" s="95" t="str">
        <f t="shared" si="128"/>
        <v/>
      </c>
      <c r="AY780" s="98" t="str">
        <f t="shared" ca="1" si="125"/>
        <v/>
      </c>
      <c r="AZ780" s="95" t="str">
        <f t="shared" si="129"/>
        <v/>
      </c>
      <c r="BA780" s="99" t="str">
        <f t="shared" ca="1" si="126"/>
        <v/>
      </c>
      <c r="BB780" s="97" t="str">
        <f t="shared" si="130"/>
        <v/>
      </c>
      <c r="BC780" s="101" t="str">
        <f t="shared" ca="1" si="133"/>
        <v/>
      </c>
      <c r="BD780" s="100" t="str">
        <f t="shared" si="131"/>
        <v/>
      </c>
      <c r="BE780" s="103" t="str">
        <f t="shared" ca="1" si="127"/>
        <v/>
      </c>
      <c r="BF780" s="102" t="str">
        <f t="shared" si="132"/>
        <v/>
      </c>
    </row>
    <row r="781" spans="48:58" hidden="1" x14ac:dyDescent="0.25">
      <c r="AV781">
        <v>751</v>
      </c>
      <c r="AW781" s="94" t="str">
        <f t="shared" ca="1" si="124"/>
        <v/>
      </c>
      <c r="AX781" s="95" t="str">
        <f t="shared" si="128"/>
        <v/>
      </c>
      <c r="AY781" s="98" t="str">
        <f t="shared" ca="1" si="125"/>
        <v/>
      </c>
      <c r="AZ781" s="95" t="str">
        <f t="shared" si="129"/>
        <v/>
      </c>
      <c r="BA781" s="99" t="str">
        <f t="shared" ca="1" si="126"/>
        <v/>
      </c>
      <c r="BB781" s="97" t="str">
        <f t="shared" si="130"/>
        <v/>
      </c>
      <c r="BC781" s="101" t="str">
        <f t="shared" ca="1" si="133"/>
        <v/>
      </c>
      <c r="BD781" s="100" t="str">
        <f t="shared" si="131"/>
        <v/>
      </c>
      <c r="BE781" s="103" t="str">
        <f t="shared" ca="1" si="127"/>
        <v/>
      </c>
      <c r="BF781" s="102" t="str">
        <f t="shared" si="132"/>
        <v/>
      </c>
    </row>
    <row r="782" spans="48:58" hidden="1" x14ac:dyDescent="0.25">
      <c r="AV782">
        <v>752</v>
      </c>
      <c r="AW782" s="94" t="str">
        <f t="shared" ca="1" si="124"/>
        <v/>
      </c>
      <c r="AX782" s="95" t="str">
        <f t="shared" si="128"/>
        <v/>
      </c>
      <c r="AY782" s="98" t="str">
        <f t="shared" ca="1" si="125"/>
        <v/>
      </c>
      <c r="AZ782" s="95" t="str">
        <f t="shared" si="129"/>
        <v/>
      </c>
      <c r="BA782" s="99" t="str">
        <f t="shared" ca="1" si="126"/>
        <v/>
      </c>
      <c r="BB782" s="97" t="str">
        <f t="shared" si="130"/>
        <v/>
      </c>
      <c r="BC782" s="101" t="str">
        <f t="shared" ca="1" si="133"/>
        <v/>
      </c>
      <c r="BD782" s="100" t="str">
        <f t="shared" si="131"/>
        <v/>
      </c>
      <c r="BE782" s="103" t="str">
        <f t="shared" ca="1" si="127"/>
        <v/>
      </c>
      <c r="BF782" s="102" t="str">
        <f t="shared" si="132"/>
        <v/>
      </c>
    </row>
    <row r="783" spans="48:58" hidden="1" x14ac:dyDescent="0.25">
      <c r="AV783">
        <v>753</v>
      </c>
      <c r="AW783" s="94" t="str">
        <f t="shared" ca="1" si="124"/>
        <v/>
      </c>
      <c r="AX783" s="95" t="str">
        <f t="shared" si="128"/>
        <v/>
      </c>
      <c r="AY783" s="98" t="str">
        <f t="shared" ca="1" si="125"/>
        <v/>
      </c>
      <c r="AZ783" s="95" t="str">
        <f t="shared" si="129"/>
        <v/>
      </c>
      <c r="BA783" s="99" t="str">
        <f t="shared" ca="1" si="126"/>
        <v/>
      </c>
      <c r="BB783" s="97" t="str">
        <f t="shared" si="130"/>
        <v/>
      </c>
      <c r="BC783" s="101" t="str">
        <f t="shared" ca="1" si="133"/>
        <v/>
      </c>
      <c r="BD783" s="100" t="str">
        <f t="shared" si="131"/>
        <v/>
      </c>
      <c r="BE783" s="103" t="str">
        <f t="shared" ca="1" si="127"/>
        <v/>
      </c>
      <c r="BF783" s="102" t="str">
        <f t="shared" si="132"/>
        <v/>
      </c>
    </row>
    <row r="784" spans="48:58" hidden="1" x14ac:dyDescent="0.25">
      <c r="AV784">
        <v>754</v>
      </c>
      <c r="AW784" s="94" t="str">
        <f t="shared" ca="1" si="124"/>
        <v/>
      </c>
      <c r="AX784" s="95" t="str">
        <f t="shared" si="128"/>
        <v/>
      </c>
      <c r="AY784" s="98" t="str">
        <f t="shared" ca="1" si="125"/>
        <v/>
      </c>
      <c r="AZ784" s="95" t="str">
        <f t="shared" si="129"/>
        <v/>
      </c>
      <c r="BA784" s="99" t="str">
        <f t="shared" ca="1" si="126"/>
        <v/>
      </c>
      <c r="BB784" s="97" t="str">
        <f t="shared" si="130"/>
        <v/>
      </c>
      <c r="BC784" s="101" t="str">
        <f t="shared" ca="1" si="133"/>
        <v/>
      </c>
      <c r="BD784" s="100" t="str">
        <f t="shared" si="131"/>
        <v/>
      </c>
      <c r="BE784" s="103" t="str">
        <f t="shared" ca="1" si="127"/>
        <v/>
      </c>
      <c r="BF784" s="102" t="str">
        <f t="shared" si="132"/>
        <v/>
      </c>
    </row>
    <row r="785" spans="48:58" hidden="1" x14ac:dyDescent="0.25">
      <c r="AV785">
        <v>755</v>
      </c>
      <c r="AW785" s="94" t="str">
        <f t="shared" ca="1" si="124"/>
        <v/>
      </c>
      <c r="AX785" s="95" t="str">
        <f t="shared" si="128"/>
        <v/>
      </c>
      <c r="AY785" s="98" t="str">
        <f t="shared" ca="1" si="125"/>
        <v/>
      </c>
      <c r="AZ785" s="95" t="str">
        <f t="shared" si="129"/>
        <v/>
      </c>
      <c r="BA785" s="99" t="str">
        <f t="shared" ca="1" si="126"/>
        <v/>
      </c>
      <c r="BB785" s="97" t="str">
        <f t="shared" si="130"/>
        <v/>
      </c>
      <c r="BC785" s="101" t="str">
        <f t="shared" ca="1" si="133"/>
        <v/>
      </c>
      <c r="BD785" s="100" t="str">
        <f t="shared" si="131"/>
        <v/>
      </c>
      <c r="BE785" s="103" t="str">
        <f t="shared" ca="1" si="127"/>
        <v/>
      </c>
      <c r="BF785" s="102" t="str">
        <f t="shared" si="132"/>
        <v/>
      </c>
    </row>
    <row r="786" spans="48:58" hidden="1" x14ac:dyDescent="0.25">
      <c r="AV786">
        <v>756</v>
      </c>
      <c r="AW786" s="94" t="str">
        <f t="shared" ca="1" si="124"/>
        <v/>
      </c>
      <c r="AX786" s="95" t="str">
        <f t="shared" si="128"/>
        <v/>
      </c>
      <c r="AY786" s="98" t="str">
        <f t="shared" ca="1" si="125"/>
        <v/>
      </c>
      <c r="AZ786" s="95" t="str">
        <f t="shared" si="129"/>
        <v/>
      </c>
      <c r="BA786" s="99" t="str">
        <f t="shared" ca="1" si="126"/>
        <v/>
      </c>
      <c r="BB786" s="97" t="str">
        <f t="shared" si="130"/>
        <v/>
      </c>
      <c r="BC786" s="101" t="str">
        <f t="shared" ca="1" si="133"/>
        <v/>
      </c>
      <c r="BD786" s="100" t="str">
        <f t="shared" si="131"/>
        <v/>
      </c>
      <c r="BE786" s="103" t="str">
        <f t="shared" ca="1" si="127"/>
        <v/>
      </c>
      <c r="BF786" s="102" t="str">
        <f t="shared" si="132"/>
        <v/>
      </c>
    </row>
    <row r="787" spans="48:58" hidden="1" x14ac:dyDescent="0.25">
      <c r="AV787">
        <v>757</v>
      </c>
      <c r="AW787" s="94" t="str">
        <f t="shared" ca="1" si="124"/>
        <v/>
      </c>
      <c r="AX787" s="95" t="str">
        <f t="shared" si="128"/>
        <v/>
      </c>
      <c r="AY787" s="98" t="str">
        <f t="shared" ca="1" si="125"/>
        <v/>
      </c>
      <c r="AZ787" s="95" t="str">
        <f t="shared" si="129"/>
        <v/>
      </c>
      <c r="BA787" s="99" t="str">
        <f t="shared" ca="1" si="126"/>
        <v/>
      </c>
      <c r="BB787" s="97" t="str">
        <f t="shared" si="130"/>
        <v/>
      </c>
      <c r="BC787" s="101" t="str">
        <f t="shared" ca="1" si="133"/>
        <v/>
      </c>
      <c r="BD787" s="100" t="str">
        <f t="shared" si="131"/>
        <v/>
      </c>
      <c r="BE787" s="103" t="str">
        <f t="shared" ca="1" si="127"/>
        <v/>
      </c>
      <c r="BF787" s="102" t="str">
        <f t="shared" si="132"/>
        <v/>
      </c>
    </row>
    <row r="788" spans="48:58" hidden="1" x14ac:dyDescent="0.25">
      <c r="AV788">
        <v>758</v>
      </c>
      <c r="AW788" s="94" t="str">
        <f t="shared" ca="1" si="124"/>
        <v/>
      </c>
      <c r="AX788" s="95" t="str">
        <f t="shared" si="128"/>
        <v/>
      </c>
      <c r="AY788" s="98" t="str">
        <f t="shared" ca="1" si="125"/>
        <v/>
      </c>
      <c r="AZ788" s="95" t="str">
        <f t="shared" si="129"/>
        <v/>
      </c>
      <c r="BA788" s="99" t="str">
        <f t="shared" ca="1" si="126"/>
        <v/>
      </c>
      <c r="BB788" s="97" t="str">
        <f t="shared" si="130"/>
        <v/>
      </c>
      <c r="BC788" s="101" t="str">
        <f t="shared" ca="1" si="133"/>
        <v/>
      </c>
      <c r="BD788" s="100" t="str">
        <f t="shared" si="131"/>
        <v/>
      </c>
      <c r="BE788" s="103" t="str">
        <f t="shared" ca="1" si="127"/>
        <v/>
      </c>
      <c r="BF788" s="102" t="str">
        <f t="shared" si="132"/>
        <v/>
      </c>
    </row>
    <row r="789" spans="48:58" hidden="1" x14ac:dyDescent="0.25">
      <c r="AV789">
        <v>759</v>
      </c>
      <c r="AW789" s="94" t="str">
        <f t="shared" ca="1" si="124"/>
        <v/>
      </c>
      <c r="AX789" s="95" t="str">
        <f t="shared" si="128"/>
        <v/>
      </c>
      <c r="AY789" s="98" t="str">
        <f t="shared" ca="1" si="125"/>
        <v/>
      </c>
      <c r="AZ789" s="95" t="str">
        <f t="shared" si="129"/>
        <v/>
      </c>
      <c r="BA789" s="99" t="str">
        <f t="shared" ca="1" si="126"/>
        <v/>
      </c>
      <c r="BB789" s="97" t="str">
        <f t="shared" si="130"/>
        <v/>
      </c>
      <c r="BC789" s="101" t="str">
        <f t="shared" ca="1" si="133"/>
        <v/>
      </c>
      <c r="BD789" s="100" t="str">
        <f t="shared" si="131"/>
        <v/>
      </c>
      <c r="BE789" s="103" t="str">
        <f t="shared" ca="1" si="127"/>
        <v/>
      </c>
      <c r="BF789" s="102" t="str">
        <f t="shared" si="132"/>
        <v/>
      </c>
    </row>
    <row r="790" spans="48:58" hidden="1" x14ac:dyDescent="0.25">
      <c r="AV790">
        <v>760</v>
      </c>
      <c r="AW790" s="94" t="str">
        <f t="shared" ca="1" si="124"/>
        <v/>
      </c>
      <c r="AX790" s="95" t="str">
        <f t="shared" si="128"/>
        <v/>
      </c>
      <c r="AY790" s="98" t="str">
        <f t="shared" ca="1" si="125"/>
        <v/>
      </c>
      <c r="AZ790" s="95" t="str">
        <f t="shared" si="129"/>
        <v/>
      </c>
      <c r="BA790" s="99" t="str">
        <f t="shared" ca="1" si="126"/>
        <v/>
      </c>
      <c r="BB790" s="97" t="str">
        <f t="shared" si="130"/>
        <v/>
      </c>
      <c r="BC790" s="101" t="str">
        <f t="shared" ca="1" si="133"/>
        <v/>
      </c>
      <c r="BD790" s="100" t="str">
        <f t="shared" si="131"/>
        <v/>
      </c>
      <c r="BE790" s="103" t="str">
        <f t="shared" ca="1" si="127"/>
        <v/>
      </c>
      <c r="BF790" s="102" t="str">
        <f t="shared" si="132"/>
        <v/>
      </c>
    </row>
    <row r="791" spans="48:58" hidden="1" x14ac:dyDescent="0.25">
      <c r="AV791">
        <v>761</v>
      </c>
      <c r="AW791" s="94" t="str">
        <f t="shared" ca="1" si="124"/>
        <v/>
      </c>
      <c r="AX791" s="95" t="str">
        <f t="shared" si="128"/>
        <v/>
      </c>
      <c r="AY791" s="98" t="str">
        <f t="shared" ca="1" si="125"/>
        <v/>
      </c>
      <c r="AZ791" s="95" t="str">
        <f t="shared" si="129"/>
        <v/>
      </c>
      <c r="BA791" s="99" t="str">
        <f t="shared" ca="1" si="126"/>
        <v/>
      </c>
      <c r="BB791" s="97" t="str">
        <f t="shared" si="130"/>
        <v/>
      </c>
      <c r="BC791" s="101" t="str">
        <f t="shared" ca="1" si="133"/>
        <v/>
      </c>
      <c r="BD791" s="100" t="str">
        <f t="shared" si="131"/>
        <v/>
      </c>
      <c r="BE791" s="103" t="str">
        <f t="shared" ca="1" si="127"/>
        <v/>
      </c>
      <c r="BF791" s="102" t="str">
        <f t="shared" si="132"/>
        <v/>
      </c>
    </row>
    <row r="792" spans="48:58" hidden="1" x14ac:dyDescent="0.25">
      <c r="AV792">
        <v>762</v>
      </c>
      <c r="AW792" s="94" t="str">
        <f t="shared" ca="1" si="124"/>
        <v/>
      </c>
      <c r="AX792" s="95" t="str">
        <f t="shared" si="128"/>
        <v/>
      </c>
      <c r="AY792" s="98" t="str">
        <f t="shared" ca="1" si="125"/>
        <v/>
      </c>
      <c r="AZ792" s="95" t="str">
        <f t="shared" si="129"/>
        <v/>
      </c>
      <c r="BA792" s="99" t="str">
        <f t="shared" ca="1" si="126"/>
        <v/>
      </c>
      <c r="BB792" s="97" t="str">
        <f t="shared" si="130"/>
        <v/>
      </c>
      <c r="BC792" s="101" t="str">
        <f t="shared" ca="1" si="133"/>
        <v/>
      </c>
      <c r="BD792" s="100" t="str">
        <f t="shared" si="131"/>
        <v/>
      </c>
      <c r="BE792" s="103" t="str">
        <f t="shared" ca="1" si="127"/>
        <v/>
      </c>
      <c r="BF792" s="102" t="str">
        <f t="shared" si="132"/>
        <v/>
      </c>
    </row>
    <row r="793" spans="48:58" hidden="1" x14ac:dyDescent="0.25">
      <c r="AV793">
        <v>763</v>
      </c>
      <c r="AW793" s="94" t="str">
        <f t="shared" ca="1" si="124"/>
        <v/>
      </c>
      <c r="AX793" s="95" t="str">
        <f t="shared" si="128"/>
        <v/>
      </c>
      <c r="AY793" s="98" t="str">
        <f t="shared" ca="1" si="125"/>
        <v/>
      </c>
      <c r="AZ793" s="95" t="str">
        <f t="shared" si="129"/>
        <v/>
      </c>
      <c r="BA793" s="99" t="str">
        <f t="shared" ca="1" si="126"/>
        <v/>
      </c>
      <c r="BB793" s="97" t="str">
        <f t="shared" si="130"/>
        <v/>
      </c>
      <c r="BC793" s="101" t="str">
        <f t="shared" ca="1" si="133"/>
        <v/>
      </c>
      <c r="BD793" s="100" t="str">
        <f t="shared" si="131"/>
        <v/>
      </c>
      <c r="BE793" s="103" t="str">
        <f t="shared" ca="1" si="127"/>
        <v/>
      </c>
      <c r="BF793" s="102" t="str">
        <f t="shared" si="132"/>
        <v/>
      </c>
    </row>
    <row r="794" spans="48:58" hidden="1" x14ac:dyDescent="0.25">
      <c r="AV794">
        <v>764</v>
      </c>
      <c r="AW794" s="94" t="str">
        <f t="shared" ca="1" si="124"/>
        <v/>
      </c>
      <c r="AX794" s="95" t="str">
        <f t="shared" si="128"/>
        <v/>
      </c>
      <c r="AY794" s="98" t="str">
        <f t="shared" ca="1" si="125"/>
        <v/>
      </c>
      <c r="AZ794" s="95" t="str">
        <f t="shared" si="129"/>
        <v/>
      </c>
      <c r="BA794" s="99" t="str">
        <f t="shared" ca="1" si="126"/>
        <v/>
      </c>
      <c r="BB794" s="97" t="str">
        <f t="shared" si="130"/>
        <v/>
      </c>
      <c r="BC794" s="101" t="str">
        <f t="shared" ca="1" si="133"/>
        <v/>
      </c>
      <c r="BD794" s="100" t="str">
        <f t="shared" si="131"/>
        <v/>
      </c>
      <c r="BE794" s="103" t="str">
        <f t="shared" ca="1" si="127"/>
        <v/>
      </c>
      <c r="BF794" s="102" t="str">
        <f t="shared" si="132"/>
        <v/>
      </c>
    </row>
    <row r="795" spans="48:58" hidden="1" x14ac:dyDescent="0.25">
      <c r="AV795">
        <v>765</v>
      </c>
      <c r="AW795" s="94" t="str">
        <f t="shared" ca="1" si="124"/>
        <v/>
      </c>
      <c r="AX795" s="95" t="str">
        <f t="shared" si="128"/>
        <v/>
      </c>
      <c r="AY795" s="98" t="str">
        <f t="shared" ca="1" si="125"/>
        <v/>
      </c>
      <c r="AZ795" s="95" t="str">
        <f t="shared" si="129"/>
        <v/>
      </c>
      <c r="BA795" s="99" t="str">
        <f t="shared" ca="1" si="126"/>
        <v/>
      </c>
      <c r="BB795" s="97" t="str">
        <f t="shared" si="130"/>
        <v/>
      </c>
      <c r="BC795" s="101" t="str">
        <f t="shared" ca="1" si="133"/>
        <v/>
      </c>
      <c r="BD795" s="100" t="str">
        <f t="shared" si="131"/>
        <v/>
      </c>
      <c r="BE795" s="103" t="str">
        <f t="shared" ca="1" si="127"/>
        <v/>
      </c>
      <c r="BF795" s="102" t="str">
        <f t="shared" si="132"/>
        <v/>
      </c>
    </row>
    <row r="796" spans="48:58" hidden="1" x14ac:dyDescent="0.25">
      <c r="AV796">
        <v>766</v>
      </c>
      <c r="AW796" s="94" t="str">
        <f t="shared" ca="1" si="124"/>
        <v/>
      </c>
      <c r="AX796" s="95" t="str">
        <f t="shared" si="128"/>
        <v/>
      </c>
      <c r="AY796" s="98" t="str">
        <f t="shared" ca="1" si="125"/>
        <v/>
      </c>
      <c r="AZ796" s="95" t="str">
        <f t="shared" si="129"/>
        <v/>
      </c>
      <c r="BA796" s="99" t="str">
        <f t="shared" ca="1" si="126"/>
        <v/>
      </c>
      <c r="BB796" s="97" t="str">
        <f t="shared" si="130"/>
        <v/>
      </c>
      <c r="BC796" s="101" t="str">
        <f t="shared" ca="1" si="133"/>
        <v/>
      </c>
      <c r="BD796" s="100" t="str">
        <f t="shared" si="131"/>
        <v/>
      </c>
      <c r="BE796" s="103" t="str">
        <f t="shared" ca="1" si="127"/>
        <v/>
      </c>
      <c r="BF796" s="102" t="str">
        <f t="shared" si="132"/>
        <v/>
      </c>
    </row>
    <row r="797" spans="48:58" hidden="1" x14ac:dyDescent="0.25">
      <c r="AV797">
        <v>767</v>
      </c>
      <c r="AW797" s="94" t="str">
        <f t="shared" ca="1" si="124"/>
        <v/>
      </c>
      <c r="AX797" s="95" t="str">
        <f t="shared" si="128"/>
        <v/>
      </c>
      <c r="AY797" s="98" t="str">
        <f t="shared" ca="1" si="125"/>
        <v/>
      </c>
      <c r="AZ797" s="95" t="str">
        <f t="shared" si="129"/>
        <v/>
      </c>
      <c r="BA797" s="99" t="str">
        <f t="shared" ca="1" si="126"/>
        <v/>
      </c>
      <c r="BB797" s="97" t="str">
        <f t="shared" si="130"/>
        <v/>
      </c>
      <c r="BC797" s="101" t="str">
        <f t="shared" ca="1" si="133"/>
        <v/>
      </c>
      <c r="BD797" s="100" t="str">
        <f t="shared" si="131"/>
        <v/>
      </c>
      <c r="BE797" s="103" t="str">
        <f t="shared" ca="1" si="127"/>
        <v/>
      </c>
      <c r="BF797" s="102" t="str">
        <f t="shared" si="132"/>
        <v/>
      </c>
    </row>
    <row r="798" spans="48:58" hidden="1" x14ac:dyDescent="0.25">
      <c r="AV798">
        <v>768</v>
      </c>
      <c r="AW798" s="94" t="str">
        <f t="shared" ca="1" si="124"/>
        <v/>
      </c>
      <c r="AX798" s="95" t="str">
        <f t="shared" si="128"/>
        <v/>
      </c>
      <c r="AY798" s="98" t="str">
        <f t="shared" ca="1" si="125"/>
        <v/>
      </c>
      <c r="AZ798" s="95" t="str">
        <f t="shared" si="129"/>
        <v/>
      </c>
      <c r="BA798" s="99" t="str">
        <f t="shared" ca="1" si="126"/>
        <v/>
      </c>
      <c r="BB798" s="97" t="str">
        <f t="shared" si="130"/>
        <v/>
      </c>
      <c r="BC798" s="101" t="str">
        <f t="shared" ca="1" si="133"/>
        <v/>
      </c>
      <c r="BD798" s="100" t="str">
        <f t="shared" si="131"/>
        <v/>
      </c>
      <c r="BE798" s="103" t="str">
        <f t="shared" ca="1" si="127"/>
        <v/>
      </c>
      <c r="BF798" s="102" t="str">
        <f t="shared" si="132"/>
        <v/>
      </c>
    </row>
    <row r="799" spans="48:58" hidden="1" x14ac:dyDescent="0.25">
      <c r="AV799">
        <v>769</v>
      </c>
      <c r="AW799" s="94" t="str">
        <f t="shared" ref="AW799:AW862" ca="1" si="134">IF(T_1*12&gt;=AV799,DATE(YEAR(TODAY()),MONTH(TODAY())+AV799-1,DAY(TODAY())),IF(T_1*12+1&gt;=AV799,DATE(YEAR(TODAY()),MONTH(TODAY())+T_1*12,DAY(TODAY())),""))</f>
        <v/>
      </c>
      <c r="AX799" s="95" t="str">
        <f t="shared" si="128"/>
        <v/>
      </c>
      <c r="AY799" s="98" t="str">
        <f t="shared" ref="AY799:AY862" ca="1" si="135">IF(T_2*12&gt;=$AV799,DATE(YEAR(TODAY()),MONTH(TODAY())+$AV799-1,DAY(TODAY())),IF(T_2*12+1&gt;=$AV799,DATE(YEAR(TODAY()),MONTH(TODAY())+T_2*12,DAY(TODAY())),""))</f>
        <v/>
      </c>
      <c r="AZ799" s="95" t="str">
        <f t="shared" si="129"/>
        <v/>
      </c>
      <c r="BA799" s="99" t="str">
        <f t="shared" ref="BA799:BA862" ca="1" si="136">IF(T_3*12&gt;=$AV799,DATE(YEAR(TODAY()),MONTH(TODAY())+$AV799-1,DAY(TODAY())),IF(T_3*12+1&gt;=$AV799,DATE(YEAR(TODAY()),MONTH(TODAY())+T_3*12,DAY(TODAY())),""))</f>
        <v/>
      </c>
      <c r="BB799" s="97" t="str">
        <f t="shared" si="130"/>
        <v/>
      </c>
      <c r="BC799" s="101" t="str">
        <f t="shared" ca="1" si="133"/>
        <v/>
      </c>
      <c r="BD799" s="100" t="str">
        <f t="shared" si="131"/>
        <v/>
      </c>
      <c r="BE799" s="103" t="str">
        <f t="shared" ref="BE799:BE862" ca="1" si="137">IF(T_5*12&gt;=$AV799,DATE(YEAR(TODAY()),MONTH(TODAY())+$AV799-1,DAY(TODAY())),IF(T_5*12+1&gt;=$AV799,DATE(YEAR(TODAY()),MONTH(TODAY())+T_5*12,DAY(TODAY())),""))</f>
        <v/>
      </c>
      <c r="BF799" s="102" t="str">
        <f t="shared" si="132"/>
        <v/>
      </c>
    </row>
    <row r="800" spans="48:58" hidden="1" x14ac:dyDescent="0.25">
      <c r="AV800">
        <v>770</v>
      </c>
      <c r="AW800" s="94" t="str">
        <f t="shared" ca="1" si="134"/>
        <v/>
      </c>
      <c r="AX800" s="95" t="str">
        <f t="shared" ref="AX800:AX863" si="138">IF(T_1*12&gt;=AV800,-1*$I$15,IF(T_1*12+1&gt;=AV800,InfG_1,""))</f>
        <v/>
      </c>
      <c r="AY800" s="98" t="str">
        <f t="shared" ca="1" si="135"/>
        <v/>
      </c>
      <c r="AZ800" s="95" t="str">
        <f t="shared" ref="AZ800:AZ863" si="139">IF(T_2*12&gt;=$AV800,-1*$I$17,IF(T_2*12+1&gt;=$AV800,InfG_2,""))</f>
        <v/>
      </c>
      <c r="BA800" s="99" t="str">
        <f t="shared" ca="1" si="136"/>
        <v/>
      </c>
      <c r="BB800" s="97" t="str">
        <f t="shared" ref="BB800:BB863" si="140">IF(T_3*12&gt;=$AV800,-1*$I$19,IF(T_3*12+1&gt;=$AV800,InfG_3,""))</f>
        <v/>
      </c>
      <c r="BC800" s="101" t="str">
        <f t="shared" ca="1" si="133"/>
        <v/>
      </c>
      <c r="BD800" s="100" t="str">
        <f t="shared" ref="BD800:BD863" si="141">IF(T_4*12&gt;=$AV800,-1*$I$21,IF(T_4*12+1&gt;=$AV800,InfG_4,""))</f>
        <v/>
      </c>
      <c r="BE800" s="103" t="str">
        <f t="shared" ca="1" si="137"/>
        <v/>
      </c>
      <c r="BF800" s="102" t="str">
        <f t="shared" ref="BF800:BF863" si="142">IF(T_5*12&gt;=$AV800,-1*$I$23,IF(T_5*12+1&gt;=$AV800,InfG_5,""))</f>
        <v/>
      </c>
    </row>
    <row r="801" spans="48:58" hidden="1" x14ac:dyDescent="0.25">
      <c r="AV801">
        <v>771</v>
      </c>
      <c r="AW801" s="94" t="str">
        <f t="shared" ca="1" si="134"/>
        <v/>
      </c>
      <c r="AX801" s="95" t="str">
        <f t="shared" si="138"/>
        <v/>
      </c>
      <c r="AY801" s="98" t="str">
        <f t="shared" ca="1" si="135"/>
        <v/>
      </c>
      <c r="AZ801" s="95" t="str">
        <f t="shared" si="139"/>
        <v/>
      </c>
      <c r="BA801" s="99" t="str">
        <f t="shared" ca="1" si="136"/>
        <v/>
      </c>
      <c r="BB801" s="97" t="str">
        <f t="shared" si="140"/>
        <v/>
      </c>
      <c r="BC801" s="101" t="str">
        <f t="shared" ref="BC801:BC864" ca="1" si="143">IF(T_4*12&gt;=AV801,DATE(YEAR(TODAY()),MONTH(TODAY())+AV801-1,DAY(TODAY())),IF(T_4*12+1&gt;=AV801,DATE(YEAR(TODAY()),MONTH(TODAY())+T_4*12,DAY(TODAY())),""))</f>
        <v/>
      </c>
      <c r="BD801" s="100" t="str">
        <f t="shared" si="141"/>
        <v/>
      </c>
      <c r="BE801" s="103" t="str">
        <f t="shared" ca="1" si="137"/>
        <v/>
      </c>
      <c r="BF801" s="102" t="str">
        <f t="shared" si="142"/>
        <v/>
      </c>
    </row>
    <row r="802" spans="48:58" hidden="1" x14ac:dyDescent="0.25">
      <c r="AV802">
        <v>772</v>
      </c>
      <c r="AW802" s="94" t="str">
        <f t="shared" ca="1" si="134"/>
        <v/>
      </c>
      <c r="AX802" s="95" t="str">
        <f t="shared" si="138"/>
        <v/>
      </c>
      <c r="AY802" s="98" t="str">
        <f t="shared" ca="1" si="135"/>
        <v/>
      </c>
      <c r="AZ802" s="95" t="str">
        <f t="shared" si="139"/>
        <v/>
      </c>
      <c r="BA802" s="99" t="str">
        <f t="shared" ca="1" si="136"/>
        <v/>
      </c>
      <c r="BB802" s="97" t="str">
        <f t="shared" si="140"/>
        <v/>
      </c>
      <c r="BC802" s="101" t="str">
        <f t="shared" ca="1" si="143"/>
        <v/>
      </c>
      <c r="BD802" s="100" t="str">
        <f t="shared" si="141"/>
        <v/>
      </c>
      <c r="BE802" s="103" t="str">
        <f t="shared" ca="1" si="137"/>
        <v/>
      </c>
      <c r="BF802" s="102" t="str">
        <f t="shared" si="142"/>
        <v/>
      </c>
    </row>
    <row r="803" spans="48:58" hidden="1" x14ac:dyDescent="0.25">
      <c r="AV803">
        <v>773</v>
      </c>
      <c r="AW803" s="94" t="str">
        <f t="shared" ca="1" si="134"/>
        <v/>
      </c>
      <c r="AX803" s="95" t="str">
        <f t="shared" si="138"/>
        <v/>
      </c>
      <c r="AY803" s="98" t="str">
        <f t="shared" ca="1" si="135"/>
        <v/>
      </c>
      <c r="AZ803" s="95" t="str">
        <f t="shared" si="139"/>
        <v/>
      </c>
      <c r="BA803" s="99" t="str">
        <f t="shared" ca="1" si="136"/>
        <v/>
      </c>
      <c r="BB803" s="97" t="str">
        <f t="shared" si="140"/>
        <v/>
      </c>
      <c r="BC803" s="101" t="str">
        <f t="shared" ca="1" si="143"/>
        <v/>
      </c>
      <c r="BD803" s="100" t="str">
        <f t="shared" si="141"/>
        <v/>
      </c>
      <c r="BE803" s="103" t="str">
        <f t="shared" ca="1" si="137"/>
        <v/>
      </c>
      <c r="BF803" s="102" t="str">
        <f t="shared" si="142"/>
        <v/>
      </c>
    </row>
    <row r="804" spans="48:58" hidden="1" x14ac:dyDescent="0.25">
      <c r="AV804">
        <v>774</v>
      </c>
      <c r="AW804" s="94" t="str">
        <f t="shared" ca="1" si="134"/>
        <v/>
      </c>
      <c r="AX804" s="95" t="str">
        <f t="shared" si="138"/>
        <v/>
      </c>
      <c r="AY804" s="98" t="str">
        <f t="shared" ca="1" si="135"/>
        <v/>
      </c>
      <c r="AZ804" s="95" t="str">
        <f t="shared" si="139"/>
        <v/>
      </c>
      <c r="BA804" s="99" t="str">
        <f t="shared" ca="1" si="136"/>
        <v/>
      </c>
      <c r="BB804" s="97" t="str">
        <f t="shared" si="140"/>
        <v/>
      </c>
      <c r="BC804" s="101" t="str">
        <f t="shared" ca="1" si="143"/>
        <v/>
      </c>
      <c r="BD804" s="100" t="str">
        <f t="shared" si="141"/>
        <v/>
      </c>
      <c r="BE804" s="103" t="str">
        <f t="shared" ca="1" si="137"/>
        <v/>
      </c>
      <c r="BF804" s="102" t="str">
        <f t="shared" si="142"/>
        <v/>
      </c>
    </row>
    <row r="805" spans="48:58" hidden="1" x14ac:dyDescent="0.25">
      <c r="AV805">
        <v>775</v>
      </c>
      <c r="AW805" s="94" t="str">
        <f t="shared" ca="1" si="134"/>
        <v/>
      </c>
      <c r="AX805" s="95" t="str">
        <f t="shared" si="138"/>
        <v/>
      </c>
      <c r="AY805" s="98" t="str">
        <f t="shared" ca="1" si="135"/>
        <v/>
      </c>
      <c r="AZ805" s="95" t="str">
        <f t="shared" si="139"/>
        <v/>
      </c>
      <c r="BA805" s="99" t="str">
        <f t="shared" ca="1" si="136"/>
        <v/>
      </c>
      <c r="BB805" s="97" t="str">
        <f t="shared" si="140"/>
        <v/>
      </c>
      <c r="BC805" s="101" t="str">
        <f t="shared" ca="1" si="143"/>
        <v/>
      </c>
      <c r="BD805" s="100" t="str">
        <f t="shared" si="141"/>
        <v/>
      </c>
      <c r="BE805" s="103" t="str">
        <f t="shared" ca="1" si="137"/>
        <v/>
      </c>
      <c r="BF805" s="102" t="str">
        <f t="shared" si="142"/>
        <v/>
      </c>
    </row>
    <row r="806" spans="48:58" hidden="1" x14ac:dyDescent="0.25">
      <c r="AV806">
        <v>776</v>
      </c>
      <c r="AW806" s="94" t="str">
        <f t="shared" ca="1" si="134"/>
        <v/>
      </c>
      <c r="AX806" s="95" t="str">
        <f t="shared" si="138"/>
        <v/>
      </c>
      <c r="AY806" s="98" t="str">
        <f t="shared" ca="1" si="135"/>
        <v/>
      </c>
      <c r="AZ806" s="95" t="str">
        <f t="shared" si="139"/>
        <v/>
      </c>
      <c r="BA806" s="99" t="str">
        <f t="shared" ca="1" si="136"/>
        <v/>
      </c>
      <c r="BB806" s="97" t="str">
        <f t="shared" si="140"/>
        <v/>
      </c>
      <c r="BC806" s="101" t="str">
        <f t="shared" ca="1" si="143"/>
        <v/>
      </c>
      <c r="BD806" s="100" t="str">
        <f t="shared" si="141"/>
        <v/>
      </c>
      <c r="BE806" s="103" t="str">
        <f t="shared" ca="1" si="137"/>
        <v/>
      </c>
      <c r="BF806" s="102" t="str">
        <f t="shared" si="142"/>
        <v/>
      </c>
    </row>
    <row r="807" spans="48:58" hidden="1" x14ac:dyDescent="0.25">
      <c r="AV807">
        <v>777</v>
      </c>
      <c r="AW807" s="94" t="str">
        <f t="shared" ca="1" si="134"/>
        <v/>
      </c>
      <c r="AX807" s="95" t="str">
        <f t="shared" si="138"/>
        <v/>
      </c>
      <c r="AY807" s="98" t="str">
        <f t="shared" ca="1" si="135"/>
        <v/>
      </c>
      <c r="AZ807" s="95" t="str">
        <f t="shared" si="139"/>
        <v/>
      </c>
      <c r="BA807" s="99" t="str">
        <f t="shared" ca="1" si="136"/>
        <v/>
      </c>
      <c r="BB807" s="97" t="str">
        <f t="shared" si="140"/>
        <v/>
      </c>
      <c r="BC807" s="101" t="str">
        <f t="shared" ca="1" si="143"/>
        <v/>
      </c>
      <c r="BD807" s="100" t="str">
        <f t="shared" si="141"/>
        <v/>
      </c>
      <c r="BE807" s="103" t="str">
        <f t="shared" ca="1" si="137"/>
        <v/>
      </c>
      <c r="BF807" s="102" t="str">
        <f t="shared" si="142"/>
        <v/>
      </c>
    </row>
    <row r="808" spans="48:58" hidden="1" x14ac:dyDescent="0.25">
      <c r="AV808">
        <v>778</v>
      </c>
      <c r="AW808" s="94" t="str">
        <f t="shared" ca="1" si="134"/>
        <v/>
      </c>
      <c r="AX808" s="95" t="str">
        <f t="shared" si="138"/>
        <v/>
      </c>
      <c r="AY808" s="98" t="str">
        <f t="shared" ca="1" si="135"/>
        <v/>
      </c>
      <c r="AZ808" s="95" t="str">
        <f t="shared" si="139"/>
        <v/>
      </c>
      <c r="BA808" s="99" t="str">
        <f t="shared" ca="1" si="136"/>
        <v/>
      </c>
      <c r="BB808" s="97" t="str">
        <f t="shared" si="140"/>
        <v/>
      </c>
      <c r="BC808" s="101" t="str">
        <f t="shared" ca="1" si="143"/>
        <v/>
      </c>
      <c r="BD808" s="100" t="str">
        <f t="shared" si="141"/>
        <v/>
      </c>
      <c r="BE808" s="103" t="str">
        <f t="shared" ca="1" si="137"/>
        <v/>
      </c>
      <c r="BF808" s="102" t="str">
        <f t="shared" si="142"/>
        <v/>
      </c>
    </row>
    <row r="809" spans="48:58" hidden="1" x14ac:dyDescent="0.25">
      <c r="AV809">
        <v>779</v>
      </c>
      <c r="AW809" s="94" t="str">
        <f t="shared" ca="1" si="134"/>
        <v/>
      </c>
      <c r="AX809" s="95" t="str">
        <f t="shared" si="138"/>
        <v/>
      </c>
      <c r="AY809" s="98" t="str">
        <f t="shared" ca="1" si="135"/>
        <v/>
      </c>
      <c r="AZ809" s="95" t="str">
        <f t="shared" si="139"/>
        <v/>
      </c>
      <c r="BA809" s="99" t="str">
        <f t="shared" ca="1" si="136"/>
        <v/>
      </c>
      <c r="BB809" s="97" t="str">
        <f t="shared" si="140"/>
        <v/>
      </c>
      <c r="BC809" s="101" t="str">
        <f t="shared" ca="1" si="143"/>
        <v/>
      </c>
      <c r="BD809" s="100" t="str">
        <f t="shared" si="141"/>
        <v/>
      </c>
      <c r="BE809" s="103" t="str">
        <f t="shared" ca="1" si="137"/>
        <v/>
      </c>
      <c r="BF809" s="102" t="str">
        <f t="shared" si="142"/>
        <v/>
      </c>
    </row>
    <row r="810" spans="48:58" hidden="1" x14ac:dyDescent="0.25">
      <c r="AV810">
        <v>780</v>
      </c>
      <c r="AW810" s="94" t="str">
        <f t="shared" ca="1" si="134"/>
        <v/>
      </c>
      <c r="AX810" s="95" t="str">
        <f t="shared" si="138"/>
        <v/>
      </c>
      <c r="AY810" s="98" t="str">
        <f t="shared" ca="1" si="135"/>
        <v/>
      </c>
      <c r="AZ810" s="95" t="str">
        <f t="shared" si="139"/>
        <v/>
      </c>
      <c r="BA810" s="99" t="str">
        <f t="shared" ca="1" si="136"/>
        <v/>
      </c>
      <c r="BB810" s="97" t="str">
        <f t="shared" si="140"/>
        <v/>
      </c>
      <c r="BC810" s="101" t="str">
        <f t="shared" ca="1" si="143"/>
        <v/>
      </c>
      <c r="BD810" s="100" t="str">
        <f t="shared" si="141"/>
        <v/>
      </c>
      <c r="BE810" s="103" t="str">
        <f t="shared" ca="1" si="137"/>
        <v/>
      </c>
      <c r="BF810" s="102" t="str">
        <f t="shared" si="142"/>
        <v/>
      </c>
    </row>
    <row r="811" spans="48:58" hidden="1" x14ac:dyDescent="0.25">
      <c r="AV811">
        <v>781</v>
      </c>
      <c r="AW811" s="94" t="str">
        <f t="shared" ca="1" si="134"/>
        <v/>
      </c>
      <c r="AX811" s="95" t="str">
        <f t="shared" si="138"/>
        <v/>
      </c>
      <c r="AY811" s="98" t="str">
        <f t="shared" ca="1" si="135"/>
        <v/>
      </c>
      <c r="AZ811" s="95" t="str">
        <f t="shared" si="139"/>
        <v/>
      </c>
      <c r="BA811" s="99" t="str">
        <f t="shared" ca="1" si="136"/>
        <v/>
      </c>
      <c r="BB811" s="97" t="str">
        <f t="shared" si="140"/>
        <v/>
      </c>
      <c r="BC811" s="101" t="str">
        <f t="shared" ca="1" si="143"/>
        <v/>
      </c>
      <c r="BD811" s="100" t="str">
        <f t="shared" si="141"/>
        <v/>
      </c>
      <c r="BE811" s="103" t="str">
        <f t="shared" ca="1" si="137"/>
        <v/>
      </c>
      <c r="BF811" s="102" t="str">
        <f t="shared" si="142"/>
        <v/>
      </c>
    </row>
    <row r="812" spans="48:58" hidden="1" x14ac:dyDescent="0.25">
      <c r="AV812">
        <v>782</v>
      </c>
      <c r="AW812" s="94" t="str">
        <f t="shared" ca="1" si="134"/>
        <v/>
      </c>
      <c r="AX812" s="95" t="str">
        <f t="shared" si="138"/>
        <v/>
      </c>
      <c r="AY812" s="98" t="str">
        <f t="shared" ca="1" si="135"/>
        <v/>
      </c>
      <c r="AZ812" s="95" t="str">
        <f t="shared" si="139"/>
        <v/>
      </c>
      <c r="BA812" s="99" t="str">
        <f t="shared" ca="1" si="136"/>
        <v/>
      </c>
      <c r="BB812" s="97" t="str">
        <f t="shared" si="140"/>
        <v/>
      </c>
      <c r="BC812" s="101" t="str">
        <f t="shared" ca="1" si="143"/>
        <v/>
      </c>
      <c r="BD812" s="100" t="str">
        <f t="shared" si="141"/>
        <v/>
      </c>
      <c r="BE812" s="103" t="str">
        <f t="shared" ca="1" si="137"/>
        <v/>
      </c>
      <c r="BF812" s="102" t="str">
        <f t="shared" si="142"/>
        <v/>
      </c>
    </row>
    <row r="813" spans="48:58" hidden="1" x14ac:dyDescent="0.25">
      <c r="AV813">
        <v>783</v>
      </c>
      <c r="AW813" s="94" t="str">
        <f t="shared" ca="1" si="134"/>
        <v/>
      </c>
      <c r="AX813" s="95" t="str">
        <f t="shared" si="138"/>
        <v/>
      </c>
      <c r="AY813" s="98" t="str">
        <f t="shared" ca="1" si="135"/>
        <v/>
      </c>
      <c r="AZ813" s="95" t="str">
        <f t="shared" si="139"/>
        <v/>
      </c>
      <c r="BA813" s="99" t="str">
        <f t="shared" ca="1" si="136"/>
        <v/>
      </c>
      <c r="BB813" s="97" t="str">
        <f t="shared" si="140"/>
        <v/>
      </c>
      <c r="BC813" s="101" t="str">
        <f t="shared" ca="1" si="143"/>
        <v/>
      </c>
      <c r="BD813" s="100" t="str">
        <f t="shared" si="141"/>
        <v/>
      </c>
      <c r="BE813" s="103" t="str">
        <f t="shared" ca="1" si="137"/>
        <v/>
      </c>
      <c r="BF813" s="102" t="str">
        <f t="shared" si="142"/>
        <v/>
      </c>
    </row>
    <row r="814" spans="48:58" hidden="1" x14ac:dyDescent="0.25">
      <c r="AV814">
        <v>784</v>
      </c>
      <c r="AW814" s="94" t="str">
        <f t="shared" ca="1" si="134"/>
        <v/>
      </c>
      <c r="AX814" s="95" t="str">
        <f t="shared" si="138"/>
        <v/>
      </c>
      <c r="AY814" s="98" t="str">
        <f t="shared" ca="1" si="135"/>
        <v/>
      </c>
      <c r="AZ814" s="95" t="str">
        <f t="shared" si="139"/>
        <v/>
      </c>
      <c r="BA814" s="99" t="str">
        <f t="shared" ca="1" si="136"/>
        <v/>
      </c>
      <c r="BB814" s="97" t="str">
        <f t="shared" si="140"/>
        <v/>
      </c>
      <c r="BC814" s="101" t="str">
        <f t="shared" ca="1" si="143"/>
        <v/>
      </c>
      <c r="BD814" s="100" t="str">
        <f t="shared" si="141"/>
        <v/>
      </c>
      <c r="BE814" s="103" t="str">
        <f t="shared" ca="1" si="137"/>
        <v/>
      </c>
      <c r="BF814" s="102" t="str">
        <f t="shared" si="142"/>
        <v/>
      </c>
    </row>
    <row r="815" spans="48:58" hidden="1" x14ac:dyDescent="0.25">
      <c r="AV815">
        <v>785</v>
      </c>
      <c r="AW815" s="94" t="str">
        <f t="shared" ca="1" si="134"/>
        <v/>
      </c>
      <c r="AX815" s="95" t="str">
        <f t="shared" si="138"/>
        <v/>
      </c>
      <c r="AY815" s="98" t="str">
        <f t="shared" ca="1" si="135"/>
        <v/>
      </c>
      <c r="AZ815" s="95" t="str">
        <f t="shared" si="139"/>
        <v/>
      </c>
      <c r="BA815" s="99" t="str">
        <f t="shared" ca="1" si="136"/>
        <v/>
      </c>
      <c r="BB815" s="97" t="str">
        <f t="shared" si="140"/>
        <v/>
      </c>
      <c r="BC815" s="101" t="str">
        <f t="shared" ca="1" si="143"/>
        <v/>
      </c>
      <c r="BD815" s="100" t="str">
        <f t="shared" si="141"/>
        <v/>
      </c>
      <c r="BE815" s="103" t="str">
        <f t="shared" ca="1" si="137"/>
        <v/>
      </c>
      <c r="BF815" s="102" t="str">
        <f t="shared" si="142"/>
        <v/>
      </c>
    </row>
    <row r="816" spans="48:58" hidden="1" x14ac:dyDescent="0.25">
      <c r="AV816">
        <v>786</v>
      </c>
      <c r="AW816" s="94" t="str">
        <f t="shared" ca="1" si="134"/>
        <v/>
      </c>
      <c r="AX816" s="95" t="str">
        <f t="shared" si="138"/>
        <v/>
      </c>
      <c r="AY816" s="98" t="str">
        <f t="shared" ca="1" si="135"/>
        <v/>
      </c>
      <c r="AZ816" s="95" t="str">
        <f t="shared" si="139"/>
        <v/>
      </c>
      <c r="BA816" s="99" t="str">
        <f t="shared" ca="1" si="136"/>
        <v/>
      </c>
      <c r="BB816" s="97" t="str">
        <f t="shared" si="140"/>
        <v/>
      </c>
      <c r="BC816" s="101" t="str">
        <f t="shared" ca="1" si="143"/>
        <v/>
      </c>
      <c r="BD816" s="100" t="str">
        <f t="shared" si="141"/>
        <v/>
      </c>
      <c r="BE816" s="103" t="str">
        <f t="shared" ca="1" si="137"/>
        <v/>
      </c>
      <c r="BF816" s="102" t="str">
        <f t="shared" si="142"/>
        <v/>
      </c>
    </row>
    <row r="817" spans="48:58" hidden="1" x14ac:dyDescent="0.25">
      <c r="AV817">
        <v>787</v>
      </c>
      <c r="AW817" s="94" t="str">
        <f t="shared" ca="1" si="134"/>
        <v/>
      </c>
      <c r="AX817" s="95" t="str">
        <f t="shared" si="138"/>
        <v/>
      </c>
      <c r="AY817" s="98" t="str">
        <f t="shared" ca="1" si="135"/>
        <v/>
      </c>
      <c r="AZ817" s="95" t="str">
        <f t="shared" si="139"/>
        <v/>
      </c>
      <c r="BA817" s="99" t="str">
        <f t="shared" ca="1" si="136"/>
        <v/>
      </c>
      <c r="BB817" s="97" t="str">
        <f t="shared" si="140"/>
        <v/>
      </c>
      <c r="BC817" s="101" t="str">
        <f t="shared" ca="1" si="143"/>
        <v/>
      </c>
      <c r="BD817" s="100" t="str">
        <f t="shared" si="141"/>
        <v/>
      </c>
      <c r="BE817" s="103" t="str">
        <f t="shared" ca="1" si="137"/>
        <v/>
      </c>
      <c r="BF817" s="102" t="str">
        <f t="shared" si="142"/>
        <v/>
      </c>
    </row>
    <row r="818" spans="48:58" hidden="1" x14ac:dyDescent="0.25">
      <c r="AV818">
        <v>788</v>
      </c>
      <c r="AW818" s="94" t="str">
        <f t="shared" ca="1" si="134"/>
        <v/>
      </c>
      <c r="AX818" s="95" t="str">
        <f t="shared" si="138"/>
        <v/>
      </c>
      <c r="AY818" s="98" t="str">
        <f t="shared" ca="1" si="135"/>
        <v/>
      </c>
      <c r="AZ818" s="95" t="str">
        <f t="shared" si="139"/>
        <v/>
      </c>
      <c r="BA818" s="99" t="str">
        <f t="shared" ca="1" si="136"/>
        <v/>
      </c>
      <c r="BB818" s="97" t="str">
        <f t="shared" si="140"/>
        <v/>
      </c>
      <c r="BC818" s="101" t="str">
        <f t="shared" ca="1" si="143"/>
        <v/>
      </c>
      <c r="BD818" s="100" t="str">
        <f t="shared" si="141"/>
        <v/>
      </c>
      <c r="BE818" s="103" t="str">
        <f t="shared" ca="1" si="137"/>
        <v/>
      </c>
      <c r="BF818" s="102" t="str">
        <f t="shared" si="142"/>
        <v/>
      </c>
    </row>
    <row r="819" spans="48:58" hidden="1" x14ac:dyDescent="0.25">
      <c r="AV819">
        <v>789</v>
      </c>
      <c r="AW819" s="94" t="str">
        <f t="shared" ca="1" si="134"/>
        <v/>
      </c>
      <c r="AX819" s="95" t="str">
        <f t="shared" si="138"/>
        <v/>
      </c>
      <c r="AY819" s="98" t="str">
        <f t="shared" ca="1" si="135"/>
        <v/>
      </c>
      <c r="AZ819" s="95" t="str">
        <f t="shared" si="139"/>
        <v/>
      </c>
      <c r="BA819" s="99" t="str">
        <f t="shared" ca="1" si="136"/>
        <v/>
      </c>
      <c r="BB819" s="97" t="str">
        <f t="shared" si="140"/>
        <v/>
      </c>
      <c r="BC819" s="101" t="str">
        <f t="shared" ca="1" si="143"/>
        <v/>
      </c>
      <c r="BD819" s="100" t="str">
        <f t="shared" si="141"/>
        <v/>
      </c>
      <c r="BE819" s="103" t="str">
        <f t="shared" ca="1" si="137"/>
        <v/>
      </c>
      <c r="BF819" s="102" t="str">
        <f t="shared" si="142"/>
        <v/>
      </c>
    </row>
    <row r="820" spans="48:58" hidden="1" x14ac:dyDescent="0.25">
      <c r="AV820">
        <v>790</v>
      </c>
      <c r="AW820" s="94" t="str">
        <f t="shared" ca="1" si="134"/>
        <v/>
      </c>
      <c r="AX820" s="95" t="str">
        <f t="shared" si="138"/>
        <v/>
      </c>
      <c r="AY820" s="98" t="str">
        <f t="shared" ca="1" si="135"/>
        <v/>
      </c>
      <c r="AZ820" s="95" t="str">
        <f t="shared" si="139"/>
        <v/>
      </c>
      <c r="BA820" s="99" t="str">
        <f t="shared" ca="1" si="136"/>
        <v/>
      </c>
      <c r="BB820" s="97" t="str">
        <f t="shared" si="140"/>
        <v/>
      </c>
      <c r="BC820" s="101" t="str">
        <f t="shared" ca="1" si="143"/>
        <v/>
      </c>
      <c r="BD820" s="100" t="str">
        <f t="shared" si="141"/>
        <v/>
      </c>
      <c r="BE820" s="103" t="str">
        <f t="shared" ca="1" si="137"/>
        <v/>
      </c>
      <c r="BF820" s="102" t="str">
        <f t="shared" si="142"/>
        <v/>
      </c>
    </row>
    <row r="821" spans="48:58" hidden="1" x14ac:dyDescent="0.25">
      <c r="AV821">
        <v>791</v>
      </c>
      <c r="AW821" s="94" t="str">
        <f t="shared" ca="1" si="134"/>
        <v/>
      </c>
      <c r="AX821" s="95" t="str">
        <f t="shared" si="138"/>
        <v/>
      </c>
      <c r="AY821" s="98" t="str">
        <f t="shared" ca="1" si="135"/>
        <v/>
      </c>
      <c r="AZ821" s="95" t="str">
        <f t="shared" si="139"/>
        <v/>
      </c>
      <c r="BA821" s="99" t="str">
        <f t="shared" ca="1" si="136"/>
        <v/>
      </c>
      <c r="BB821" s="97" t="str">
        <f t="shared" si="140"/>
        <v/>
      </c>
      <c r="BC821" s="101" t="str">
        <f t="shared" ca="1" si="143"/>
        <v/>
      </c>
      <c r="BD821" s="100" t="str">
        <f t="shared" si="141"/>
        <v/>
      </c>
      <c r="BE821" s="103" t="str">
        <f t="shared" ca="1" si="137"/>
        <v/>
      </c>
      <c r="BF821" s="102" t="str">
        <f t="shared" si="142"/>
        <v/>
      </c>
    </row>
    <row r="822" spans="48:58" hidden="1" x14ac:dyDescent="0.25">
      <c r="AV822">
        <v>792</v>
      </c>
      <c r="AW822" s="94" t="str">
        <f t="shared" ca="1" si="134"/>
        <v/>
      </c>
      <c r="AX822" s="95" t="str">
        <f t="shared" si="138"/>
        <v/>
      </c>
      <c r="AY822" s="98" t="str">
        <f t="shared" ca="1" si="135"/>
        <v/>
      </c>
      <c r="AZ822" s="95" t="str">
        <f t="shared" si="139"/>
        <v/>
      </c>
      <c r="BA822" s="99" t="str">
        <f t="shared" ca="1" si="136"/>
        <v/>
      </c>
      <c r="BB822" s="97" t="str">
        <f t="shared" si="140"/>
        <v/>
      </c>
      <c r="BC822" s="101" t="str">
        <f t="shared" ca="1" si="143"/>
        <v/>
      </c>
      <c r="BD822" s="100" t="str">
        <f t="shared" si="141"/>
        <v/>
      </c>
      <c r="BE822" s="103" t="str">
        <f t="shared" ca="1" si="137"/>
        <v/>
      </c>
      <c r="BF822" s="102" t="str">
        <f t="shared" si="142"/>
        <v/>
      </c>
    </row>
    <row r="823" spans="48:58" hidden="1" x14ac:dyDescent="0.25">
      <c r="AV823">
        <v>793</v>
      </c>
      <c r="AW823" s="94" t="str">
        <f t="shared" ca="1" si="134"/>
        <v/>
      </c>
      <c r="AX823" s="95" t="str">
        <f t="shared" si="138"/>
        <v/>
      </c>
      <c r="AY823" s="98" t="str">
        <f t="shared" ca="1" si="135"/>
        <v/>
      </c>
      <c r="AZ823" s="95" t="str">
        <f t="shared" si="139"/>
        <v/>
      </c>
      <c r="BA823" s="99" t="str">
        <f t="shared" ca="1" si="136"/>
        <v/>
      </c>
      <c r="BB823" s="97" t="str">
        <f t="shared" si="140"/>
        <v/>
      </c>
      <c r="BC823" s="101" t="str">
        <f t="shared" ca="1" si="143"/>
        <v/>
      </c>
      <c r="BD823" s="100" t="str">
        <f t="shared" si="141"/>
        <v/>
      </c>
      <c r="BE823" s="103" t="str">
        <f t="shared" ca="1" si="137"/>
        <v/>
      </c>
      <c r="BF823" s="102" t="str">
        <f t="shared" si="142"/>
        <v/>
      </c>
    </row>
    <row r="824" spans="48:58" hidden="1" x14ac:dyDescent="0.25">
      <c r="AV824">
        <v>794</v>
      </c>
      <c r="AW824" s="94" t="str">
        <f t="shared" ca="1" si="134"/>
        <v/>
      </c>
      <c r="AX824" s="95" t="str">
        <f t="shared" si="138"/>
        <v/>
      </c>
      <c r="AY824" s="98" t="str">
        <f t="shared" ca="1" si="135"/>
        <v/>
      </c>
      <c r="AZ824" s="95" t="str">
        <f t="shared" si="139"/>
        <v/>
      </c>
      <c r="BA824" s="99" t="str">
        <f t="shared" ca="1" si="136"/>
        <v/>
      </c>
      <c r="BB824" s="97" t="str">
        <f t="shared" si="140"/>
        <v/>
      </c>
      <c r="BC824" s="101" t="str">
        <f t="shared" ca="1" si="143"/>
        <v/>
      </c>
      <c r="BD824" s="100" t="str">
        <f t="shared" si="141"/>
        <v/>
      </c>
      <c r="BE824" s="103" t="str">
        <f t="shared" ca="1" si="137"/>
        <v/>
      </c>
      <c r="BF824" s="102" t="str">
        <f t="shared" si="142"/>
        <v/>
      </c>
    </row>
    <row r="825" spans="48:58" hidden="1" x14ac:dyDescent="0.25">
      <c r="AV825">
        <v>795</v>
      </c>
      <c r="AW825" s="94" t="str">
        <f t="shared" ca="1" si="134"/>
        <v/>
      </c>
      <c r="AX825" s="95" t="str">
        <f t="shared" si="138"/>
        <v/>
      </c>
      <c r="AY825" s="98" t="str">
        <f t="shared" ca="1" si="135"/>
        <v/>
      </c>
      <c r="AZ825" s="95" t="str">
        <f t="shared" si="139"/>
        <v/>
      </c>
      <c r="BA825" s="99" t="str">
        <f t="shared" ca="1" si="136"/>
        <v/>
      </c>
      <c r="BB825" s="97" t="str">
        <f t="shared" si="140"/>
        <v/>
      </c>
      <c r="BC825" s="101" t="str">
        <f t="shared" ca="1" si="143"/>
        <v/>
      </c>
      <c r="BD825" s="100" t="str">
        <f t="shared" si="141"/>
        <v/>
      </c>
      <c r="BE825" s="103" t="str">
        <f t="shared" ca="1" si="137"/>
        <v/>
      </c>
      <c r="BF825" s="102" t="str">
        <f t="shared" si="142"/>
        <v/>
      </c>
    </row>
    <row r="826" spans="48:58" hidden="1" x14ac:dyDescent="0.25">
      <c r="AV826">
        <v>796</v>
      </c>
      <c r="AW826" s="94" t="str">
        <f t="shared" ca="1" si="134"/>
        <v/>
      </c>
      <c r="AX826" s="95" t="str">
        <f t="shared" si="138"/>
        <v/>
      </c>
      <c r="AY826" s="98" t="str">
        <f t="shared" ca="1" si="135"/>
        <v/>
      </c>
      <c r="AZ826" s="95" t="str">
        <f t="shared" si="139"/>
        <v/>
      </c>
      <c r="BA826" s="99" t="str">
        <f t="shared" ca="1" si="136"/>
        <v/>
      </c>
      <c r="BB826" s="97" t="str">
        <f t="shared" si="140"/>
        <v/>
      </c>
      <c r="BC826" s="101" t="str">
        <f t="shared" ca="1" si="143"/>
        <v/>
      </c>
      <c r="BD826" s="100" t="str">
        <f t="shared" si="141"/>
        <v/>
      </c>
      <c r="BE826" s="103" t="str">
        <f t="shared" ca="1" si="137"/>
        <v/>
      </c>
      <c r="BF826" s="102" t="str">
        <f t="shared" si="142"/>
        <v/>
      </c>
    </row>
    <row r="827" spans="48:58" hidden="1" x14ac:dyDescent="0.25">
      <c r="AV827">
        <v>797</v>
      </c>
      <c r="AW827" s="94" t="str">
        <f t="shared" ca="1" si="134"/>
        <v/>
      </c>
      <c r="AX827" s="95" t="str">
        <f t="shared" si="138"/>
        <v/>
      </c>
      <c r="AY827" s="98" t="str">
        <f t="shared" ca="1" si="135"/>
        <v/>
      </c>
      <c r="AZ827" s="95" t="str">
        <f t="shared" si="139"/>
        <v/>
      </c>
      <c r="BA827" s="99" t="str">
        <f t="shared" ca="1" si="136"/>
        <v/>
      </c>
      <c r="BB827" s="97" t="str">
        <f t="shared" si="140"/>
        <v/>
      </c>
      <c r="BC827" s="101" t="str">
        <f t="shared" ca="1" si="143"/>
        <v/>
      </c>
      <c r="BD827" s="100" t="str">
        <f t="shared" si="141"/>
        <v/>
      </c>
      <c r="BE827" s="103" t="str">
        <f t="shared" ca="1" si="137"/>
        <v/>
      </c>
      <c r="BF827" s="102" t="str">
        <f t="shared" si="142"/>
        <v/>
      </c>
    </row>
    <row r="828" spans="48:58" hidden="1" x14ac:dyDescent="0.25">
      <c r="AV828">
        <v>798</v>
      </c>
      <c r="AW828" s="94" t="str">
        <f t="shared" ca="1" si="134"/>
        <v/>
      </c>
      <c r="AX828" s="95" t="str">
        <f t="shared" si="138"/>
        <v/>
      </c>
      <c r="AY828" s="98" t="str">
        <f t="shared" ca="1" si="135"/>
        <v/>
      </c>
      <c r="AZ828" s="95" t="str">
        <f t="shared" si="139"/>
        <v/>
      </c>
      <c r="BA828" s="99" t="str">
        <f t="shared" ca="1" si="136"/>
        <v/>
      </c>
      <c r="BB828" s="97" t="str">
        <f t="shared" si="140"/>
        <v/>
      </c>
      <c r="BC828" s="101" t="str">
        <f t="shared" ca="1" si="143"/>
        <v/>
      </c>
      <c r="BD828" s="100" t="str">
        <f t="shared" si="141"/>
        <v/>
      </c>
      <c r="BE828" s="103" t="str">
        <f t="shared" ca="1" si="137"/>
        <v/>
      </c>
      <c r="BF828" s="102" t="str">
        <f t="shared" si="142"/>
        <v/>
      </c>
    </row>
    <row r="829" spans="48:58" hidden="1" x14ac:dyDescent="0.25">
      <c r="AV829">
        <v>799</v>
      </c>
      <c r="AW829" s="94" t="str">
        <f t="shared" ca="1" si="134"/>
        <v/>
      </c>
      <c r="AX829" s="95" t="str">
        <f t="shared" si="138"/>
        <v/>
      </c>
      <c r="AY829" s="98" t="str">
        <f t="shared" ca="1" si="135"/>
        <v/>
      </c>
      <c r="AZ829" s="95" t="str">
        <f t="shared" si="139"/>
        <v/>
      </c>
      <c r="BA829" s="99" t="str">
        <f t="shared" ca="1" si="136"/>
        <v/>
      </c>
      <c r="BB829" s="97" t="str">
        <f t="shared" si="140"/>
        <v/>
      </c>
      <c r="BC829" s="101" t="str">
        <f t="shared" ca="1" si="143"/>
        <v/>
      </c>
      <c r="BD829" s="100" t="str">
        <f t="shared" si="141"/>
        <v/>
      </c>
      <c r="BE829" s="103" t="str">
        <f t="shared" ca="1" si="137"/>
        <v/>
      </c>
      <c r="BF829" s="102" t="str">
        <f t="shared" si="142"/>
        <v/>
      </c>
    </row>
    <row r="830" spans="48:58" hidden="1" x14ac:dyDescent="0.25">
      <c r="AV830">
        <v>800</v>
      </c>
      <c r="AW830" s="94" t="str">
        <f t="shared" ca="1" si="134"/>
        <v/>
      </c>
      <c r="AX830" s="95" t="str">
        <f t="shared" si="138"/>
        <v/>
      </c>
      <c r="AY830" s="98" t="str">
        <f t="shared" ca="1" si="135"/>
        <v/>
      </c>
      <c r="AZ830" s="95" t="str">
        <f t="shared" si="139"/>
        <v/>
      </c>
      <c r="BA830" s="99" t="str">
        <f t="shared" ca="1" si="136"/>
        <v/>
      </c>
      <c r="BB830" s="97" t="str">
        <f t="shared" si="140"/>
        <v/>
      </c>
      <c r="BC830" s="101" t="str">
        <f t="shared" ca="1" si="143"/>
        <v/>
      </c>
      <c r="BD830" s="100" t="str">
        <f t="shared" si="141"/>
        <v/>
      </c>
      <c r="BE830" s="103" t="str">
        <f t="shared" ca="1" si="137"/>
        <v/>
      </c>
      <c r="BF830" s="102" t="str">
        <f t="shared" si="142"/>
        <v/>
      </c>
    </row>
    <row r="831" spans="48:58" hidden="1" x14ac:dyDescent="0.25">
      <c r="AV831">
        <v>801</v>
      </c>
      <c r="AW831" s="94" t="str">
        <f t="shared" ca="1" si="134"/>
        <v/>
      </c>
      <c r="AX831" s="95" t="str">
        <f t="shared" si="138"/>
        <v/>
      </c>
      <c r="AY831" s="98" t="str">
        <f t="shared" ca="1" si="135"/>
        <v/>
      </c>
      <c r="AZ831" s="95" t="str">
        <f t="shared" si="139"/>
        <v/>
      </c>
      <c r="BA831" s="99" t="str">
        <f t="shared" ca="1" si="136"/>
        <v/>
      </c>
      <c r="BB831" s="97" t="str">
        <f t="shared" si="140"/>
        <v/>
      </c>
      <c r="BC831" s="101" t="str">
        <f t="shared" ca="1" si="143"/>
        <v/>
      </c>
      <c r="BD831" s="100" t="str">
        <f t="shared" si="141"/>
        <v/>
      </c>
      <c r="BE831" s="103" t="str">
        <f t="shared" ca="1" si="137"/>
        <v/>
      </c>
      <c r="BF831" s="102" t="str">
        <f t="shared" si="142"/>
        <v/>
      </c>
    </row>
    <row r="832" spans="48:58" hidden="1" x14ac:dyDescent="0.25">
      <c r="AV832">
        <v>802</v>
      </c>
      <c r="AW832" s="94" t="str">
        <f t="shared" ca="1" si="134"/>
        <v/>
      </c>
      <c r="AX832" s="95" t="str">
        <f t="shared" si="138"/>
        <v/>
      </c>
      <c r="AY832" s="98" t="str">
        <f t="shared" ca="1" si="135"/>
        <v/>
      </c>
      <c r="AZ832" s="95" t="str">
        <f t="shared" si="139"/>
        <v/>
      </c>
      <c r="BA832" s="99" t="str">
        <f t="shared" ca="1" si="136"/>
        <v/>
      </c>
      <c r="BB832" s="97" t="str">
        <f t="shared" si="140"/>
        <v/>
      </c>
      <c r="BC832" s="101" t="str">
        <f t="shared" ca="1" si="143"/>
        <v/>
      </c>
      <c r="BD832" s="100" t="str">
        <f t="shared" si="141"/>
        <v/>
      </c>
      <c r="BE832" s="103" t="str">
        <f t="shared" ca="1" si="137"/>
        <v/>
      </c>
      <c r="BF832" s="102" t="str">
        <f t="shared" si="142"/>
        <v/>
      </c>
    </row>
    <row r="833" spans="48:58" hidden="1" x14ac:dyDescent="0.25">
      <c r="AV833">
        <v>803</v>
      </c>
      <c r="AW833" s="94" t="str">
        <f t="shared" ca="1" si="134"/>
        <v/>
      </c>
      <c r="AX833" s="95" t="str">
        <f t="shared" si="138"/>
        <v/>
      </c>
      <c r="AY833" s="98" t="str">
        <f t="shared" ca="1" si="135"/>
        <v/>
      </c>
      <c r="AZ833" s="95" t="str">
        <f t="shared" si="139"/>
        <v/>
      </c>
      <c r="BA833" s="99" t="str">
        <f t="shared" ca="1" si="136"/>
        <v/>
      </c>
      <c r="BB833" s="97" t="str">
        <f t="shared" si="140"/>
        <v/>
      </c>
      <c r="BC833" s="101" t="str">
        <f t="shared" ca="1" si="143"/>
        <v/>
      </c>
      <c r="BD833" s="100" t="str">
        <f t="shared" si="141"/>
        <v/>
      </c>
      <c r="BE833" s="103" t="str">
        <f t="shared" ca="1" si="137"/>
        <v/>
      </c>
      <c r="BF833" s="102" t="str">
        <f t="shared" si="142"/>
        <v/>
      </c>
    </row>
    <row r="834" spans="48:58" hidden="1" x14ac:dyDescent="0.25">
      <c r="AV834">
        <v>804</v>
      </c>
      <c r="AW834" s="94" t="str">
        <f t="shared" ca="1" si="134"/>
        <v/>
      </c>
      <c r="AX834" s="95" t="str">
        <f t="shared" si="138"/>
        <v/>
      </c>
      <c r="AY834" s="98" t="str">
        <f t="shared" ca="1" si="135"/>
        <v/>
      </c>
      <c r="AZ834" s="95" t="str">
        <f t="shared" si="139"/>
        <v/>
      </c>
      <c r="BA834" s="99" t="str">
        <f t="shared" ca="1" si="136"/>
        <v/>
      </c>
      <c r="BB834" s="97" t="str">
        <f t="shared" si="140"/>
        <v/>
      </c>
      <c r="BC834" s="101" t="str">
        <f t="shared" ca="1" si="143"/>
        <v/>
      </c>
      <c r="BD834" s="100" t="str">
        <f t="shared" si="141"/>
        <v/>
      </c>
      <c r="BE834" s="103" t="str">
        <f t="shared" ca="1" si="137"/>
        <v/>
      </c>
      <c r="BF834" s="102" t="str">
        <f t="shared" si="142"/>
        <v/>
      </c>
    </row>
    <row r="835" spans="48:58" hidden="1" x14ac:dyDescent="0.25">
      <c r="AV835">
        <v>805</v>
      </c>
      <c r="AW835" s="94" t="str">
        <f t="shared" ca="1" si="134"/>
        <v/>
      </c>
      <c r="AX835" s="95" t="str">
        <f t="shared" si="138"/>
        <v/>
      </c>
      <c r="AY835" s="98" t="str">
        <f t="shared" ca="1" si="135"/>
        <v/>
      </c>
      <c r="AZ835" s="95" t="str">
        <f t="shared" si="139"/>
        <v/>
      </c>
      <c r="BA835" s="99" t="str">
        <f t="shared" ca="1" si="136"/>
        <v/>
      </c>
      <c r="BB835" s="97" t="str">
        <f t="shared" si="140"/>
        <v/>
      </c>
      <c r="BC835" s="101" t="str">
        <f t="shared" ca="1" si="143"/>
        <v/>
      </c>
      <c r="BD835" s="100" t="str">
        <f t="shared" si="141"/>
        <v/>
      </c>
      <c r="BE835" s="103" t="str">
        <f t="shared" ca="1" si="137"/>
        <v/>
      </c>
      <c r="BF835" s="102" t="str">
        <f t="shared" si="142"/>
        <v/>
      </c>
    </row>
    <row r="836" spans="48:58" hidden="1" x14ac:dyDescent="0.25">
      <c r="AV836">
        <v>806</v>
      </c>
      <c r="AW836" s="94" t="str">
        <f t="shared" ca="1" si="134"/>
        <v/>
      </c>
      <c r="AX836" s="95" t="str">
        <f t="shared" si="138"/>
        <v/>
      </c>
      <c r="AY836" s="98" t="str">
        <f t="shared" ca="1" si="135"/>
        <v/>
      </c>
      <c r="AZ836" s="95" t="str">
        <f t="shared" si="139"/>
        <v/>
      </c>
      <c r="BA836" s="99" t="str">
        <f t="shared" ca="1" si="136"/>
        <v/>
      </c>
      <c r="BB836" s="97" t="str">
        <f t="shared" si="140"/>
        <v/>
      </c>
      <c r="BC836" s="101" t="str">
        <f t="shared" ca="1" si="143"/>
        <v/>
      </c>
      <c r="BD836" s="100" t="str">
        <f t="shared" si="141"/>
        <v/>
      </c>
      <c r="BE836" s="103" t="str">
        <f t="shared" ca="1" si="137"/>
        <v/>
      </c>
      <c r="BF836" s="102" t="str">
        <f t="shared" si="142"/>
        <v/>
      </c>
    </row>
    <row r="837" spans="48:58" hidden="1" x14ac:dyDescent="0.25">
      <c r="AV837">
        <v>807</v>
      </c>
      <c r="AW837" s="94" t="str">
        <f t="shared" ca="1" si="134"/>
        <v/>
      </c>
      <c r="AX837" s="95" t="str">
        <f t="shared" si="138"/>
        <v/>
      </c>
      <c r="AY837" s="98" t="str">
        <f t="shared" ca="1" si="135"/>
        <v/>
      </c>
      <c r="AZ837" s="95" t="str">
        <f t="shared" si="139"/>
        <v/>
      </c>
      <c r="BA837" s="99" t="str">
        <f t="shared" ca="1" si="136"/>
        <v/>
      </c>
      <c r="BB837" s="97" t="str">
        <f t="shared" si="140"/>
        <v/>
      </c>
      <c r="BC837" s="101" t="str">
        <f t="shared" ca="1" si="143"/>
        <v/>
      </c>
      <c r="BD837" s="100" t="str">
        <f t="shared" si="141"/>
        <v/>
      </c>
      <c r="BE837" s="103" t="str">
        <f t="shared" ca="1" si="137"/>
        <v/>
      </c>
      <c r="BF837" s="102" t="str">
        <f t="shared" si="142"/>
        <v/>
      </c>
    </row>
    <row r="838" spans="48:58" hidden="1" x14ac:dyDescent="0.25">
      <c r="AV838">
        <v>808</v>
      </c>
      <c r="AW838" s="94" t="str">
        <f t="shared" ca="1" si="134"/>
        <v/>
      </c>
      <c r="AX838" s="95" t="str">
        <f t="shared" si="138"/>
        <v/>
      </c>
      <c r="AY838" s="98" t="str">
        <f t="shared" ca="1" si="135"/>
        <v/>
      </c>
      <c r="AZ838" s="95" t="str">
        <f t="shared" si="139"/>
        <v/>
      </c>
      <c r="BA838" s="99" t="str">
        <f t="shared" ca="1" si="136"/>
        <v/>
      </c>
      <c r="BB838" s="97" t="str">
        <f t="shared" si="140"/>
        <v/>
      </c>
      <c r="BC838" s="101" t="str">
        <f t="shared" ca="1" si="143"/>
        <v/>
      </c>
      <c r="BD838" s="100" t="str">
        <f t="shared" si="141"/>
        <v/>
      </c>
      <c r="BE838" s="103" t="str">
        <f t="shared" ca="1" si="137"/>
        <v/>
      </c>
      <c r="BF838" s="102" t="str">
        <f t="shared" si="142"/>
        <v/>
      </c>
    </row>
    <row r="839" spans="48:58" hidden="1" x14ac:dyDescent="0.25">
      <c r="AV839">
        <v>809</v>
      </c>
      <c r="AW839" s="94" t="str">
        <f t="shared" ca="1" si="134"/>
        <v/>
      </c>
      <c r="AX839" s="95" t="str">
        <f t="shared" si="138"/>
        <v/>
      </c>
      <c r="AY839" s="98" t="str">
        <f t="shared" ca="1" si="135"/>
        <v/>
      </c>
      <c r="AZ839" s="95" t="str">
        <f t="shared" si="139"/>
        <v/>
      </c>
      <c r="BA839" s="99" t="str">
        <f t="shared" ca="1" si="136"/>
        <v/>
      </c>
      <c r="BB839" s="97" t="str">
        <f t="shared" si="140"/>
        <v/>
      </c>
      <c r="BC839" s="101" t="str">
        <f t="shared" ca="1" si="143"/>
        <v/>
      </c>
      <c r="BD839" s="100" t="str">
        <f t="shared" si="141"/>
        <v/>
      </c>
      <c r="BE839" s="103" t="str">
        <f t="shared" ca="1" si="137"/>
        <v/>
      </c>
      <c r="BF839" s="102" t="str">
        <f t="shared" si="142"/>
        <v/>
      </c>
    </row>
    <row r="840" spans="48:58" hidden="1" x14ac:dyDescent="0.25">
      <c r="AV840">
        <v>810</v>
      </c>
      <c r="AW840" s="94" t="str">
        <f t="shared" ca="1" si="134"/>
        <v/>
      </c>
      <c r="AX840" s="95" t="str">
        <f t="shared" si="138"/>
        <v/>
      </c>
      <c r="AY840" s="98" t="str">
        <f t="shared" ca="1" si="135"/>
        <v/>
      </c>
      <c r="AZ840" s="95" t="str">
        <f t="shared" si="139"/>
        <v/>
      </c>
      <c r="BA840" s="99" t="str">
        <f t="shared" ca="1" si="136"/>
        <v/>
      </c>
      <c r="BB840" s="97" t="str">
        <f t="shared" si="140"/>
        <v/>
      </c>
      <c r="BC840" s="101" t="str">
        <f t="shared" ca="1" si="143"/>
        <v/>
      </c>
      <c r="BD840" s="100" t="str">
        <f t="shared" si="141"/>
        <v/>
      </c>
      <c r="BE840" s="103" t="str">
        <f t="shared" ca="1" si="137"/>
        <v/>
      </c>
      <c r="BF840" s="102" t="str">
        <f t="shared" si="142"/>
        <v/>
      </c>
    </row>
    <row r="841" spans="48:58" hidden="1" x14ac:dyDescent="0.25">
      <c r="AV841">
        <v>811</v>
      </c>
      <c r="AW841" s="94" t="str">
        <f t="shared" ca="1" si="134"/>
        <v/>
      </c>
      <c r="AX841" s="95" t="str">
        <f t="shared" si="138"/>
        <v/>
      </c>
      <c r="AY841" s="98" t="str">
        <f t="shared" ca="1" si="135"/>
        <v/>
      </c>
      <c r="AZ841" s="95" t="str">
        <f t="shared" si="139"/>
        <v/>
      </c>
      <c r="BA841" s="99" t="str">
        <f t="shared" ca="1" si="136"/>
        <v/>
      </c>
      <c r="BB841" s="97" t="str">
        <f t="shared" si="140"/>
        <v/>
      </c>
      <c r="BC841" s="101" t="str">
        <f t="shared" ca="1" si="143"/>
        <v/>
      </c>
      <c r="BD841" s="100" t="str">
        <f t="shared" si="141"/>
        <v/>
      </c>
      <c r="BE841" s="103" t="str">
        <f t="shared" ca="1" si="137"/>
        <v/>
      </c>
      <c r="BF841" s="102" t="str">
        <f t="shared" si="142"/>
        <v/>
      </c>
    </row>
    <row r="842" spans="48:58" hidden="1" x14ac:dyDescent="0.25">
      <c r="AV842">
        <v>812</v>
      </c>
      <c r="AW842" s="94" t="str">
        <f t="shared" ca="1" si="134"/>
        <v/>
      </c>
      <c r="AX842" s="95" t="str">
        <f t="shared" si="138"/>
        <v/>
      </c>
      <c r="AY842" s="98" t="str">
        <f t="shared" ca="1" si="135"/>
        <v/>
      </c>
      <c r="AZ842" s="95" t="str">
        <f t="shared" si="139"/>
        <v/>
      </c>
      <c r="BA842" s="99" t="str">
        <f t="shared" ca="1" si="136"/>
        <v/>
      </c>
      <c r="BB842" s="97" t="str">
        <f t="shared" si="140"/>
        <v/>
      </c>
      <c r="BC842" s="101" t="str">
        <f t="shared" ca="1" si="143"/>
        <v/>
      </c>
      <c r="BD842" s="100" t="str">
        <f t="shared" si="141"/>
        <v/>
      </c>
      <c r="BE842" s="103" t="str">
        <f t="shared" ca="1" si="137"/>
        <v/>
      </c>
      <c r="BF842" s="102" t="str">
        <f t="shared" si="142"/>
        <v/>
      </c>
    </row>
    <row r="843" spans="48:58" hidden="1" x14ac:dyDescent="0.25">
      <c r="AV843">
        <v>813</v>
      </c>
      <c r="AW843" s="94" t="str">
        <f t="shared" ca="1" si="134"/>
        <v/>
      </c>
      <c r="AX843" s="95" t="str">
        <f t="shared" si="138"/>
        <v/>
      </c>
      <c r="AY843" s="98" t="str">
        <f t="shared" ca="1" si="135"/>
        <v/>
      </c>
      <c r="AZ843" s="95" t="str">
        <f t="shared" si="139"/>
        <v/>
      </c>
      <c r="BA843" s="99" t="str">
        <f t="shared" ca="1" si="136"/>
        <v/>
      </c>
      <c r="BB843" s="97" t="str">
        <f t="shared" si="140"/>
        <v/>
      </c>
      <c r="BC843" s="101" t="str">
        <f t="shared" ca="1" si="143"/>
        <v/>
      </c>
      <c r="BD843" s="100" t="str">
        <f t="shared" si="141"/>
        <v/>
      </c>
      <c r="BE843" s="103" t="str">
        <f t="shared" ca="1" si="137"/>
        <v/>
      </c>
      <c r="BF843" s="102" t="str">
        <f t="shared" si="142"/>
        <v/>
      </c>
    </row>
    <row r="844" spans="48:58" hidden="1" x14ac:dyDescent="0.25">
      <c r="AV844">
        <v>814</v>
      </c>
      <c r="AW844" s="94" t="str">
        <f t="shared" ca="1" si="134"/>
        <v/>
      </c>
      <c r="AX844" s="95" t="str">
        <f t="shared" si="138"/>
        <v/>
      </c>
      <c r="AY844" s="98" t="str">
        <f t="shared" ca="1" si="135"/>
        <v/>
      </c>
      <c r="AZ844" s="95" t="str">
        <f t="shared" si="139"/>
        <v/>
      </c>
      <c r="BA844" s="99" t="str">
        <f t="shared" ca="1" si="136"/>
        <v/>
      </c>
      <c r="BB844" s="97" t="str">
        <f t="shared" si="140"/>
        <v/>
      </c>
      <c r="BC844" s="101" t="str">
        <f t="shared" ca="1" si="143"/>
        <v/>
      </c>
      <c r="BD844" s="100" t="str">
        <f t="shared" si="141"/>
        <v/>
      </c>
      <c r="BE844" s="103" t="str">
        <f t="shared" ca="1" si="137"/>
        <v/>
      </c>
      <c r="BF844" s="102" t="str">
        <f t="shared" si="142"/>
        <v/>
      </c>
    </row>
    <row r="845" spans="48:58" hidden="1" x14ac:dyDescent="0.25">
      <c r="AV845">
        <v>815</v>
      </c>
      <c r="AW845" s="94" t="str">
        <f t="shared" ca="1" si="134"/>
        <v/>
      </c>
      <c r="AX845" s="95" t="str">
        <f t="shared" si="138"/>
        <v/>
      </c>
      <c r="AY845" s="98" t="str">
        <f t="shared" ca="1" si="135"/>
        <v/>
      </c>
      <c r="AZ845" s="95" t="str">
        <f t="shared" si="139"/>
        <v/>
      </c>
      <c r="BA845" s="99" t="str">
        <f t="shared" ca="1" si="136"/>
        <v/>
      </c>
      <c r="BB845" s="97" t="str">
        <f t="shared" si="140"/>
        <v/>
      </c>
      <c r="BC845" s="101" t="str">
        <f t="shared" ca="1" si="143"/>
        <v/>
      </c>
      <c r="BD845" s="100" t="str">
        <f t="shared" si="141"/>
        <v/>
      </c>
      <c r="BE845" s="103" t="str">
        <f t="shared" ca="1" si="137"/>
        <v/>
      </c>
      <c r="BF845" s="102" t="str">
        <f t="shared" si="142"/>
        <v/>
      </c>
    </row>
    <row r="846" spans="48:58" hidden="1" x14ac:dyDescent="0.25">
      <c r="AV846">
        <v>816</v>
      </c>
      <c r="AW846" s="94" t="str">
        <f t="shared" ca="1" si="134"/>
        <v/>
      </c>
      <c r="AX846" s="95" t="str">
        <f t="shared" si="138"/>
        <v/>
      </c>
      <c r="AY846" s="98" t="str">
        <f t="shared" ca="1" si="135"/>
        <v/>
      </c>
      <c r="AZ846" s="95" t="str">
        <f t="shared" si="139"/>
        <v/>
      </c>
      <c r="BA846" s="99" t="str">
        <f t="shared" ca="1" si="136"/>
        <v/>
      </c>
      <c r="BB846" s="97" t="str">
        <f t="shared" si="140"/>
        <v/>
      </c>
      <c r="BC846" s="101" t="str">
        <f t="shared" ca="1" si="143"/>
        <v/>
      </c>
      <c r="BD846" s="100" t="str">
        <f t="shared" si="141"/>
        <v/>
      </c>
      <c r="BE846" s="103" t="str">
        <f t="shared" ca="1" si="137"/>
        <v/>
      </c>
      <c r="BF846" s="102" t="str">
        <f t="shared" si="142"/>
        <v/>
      </c>
    </row>
    <row r="847" spans="48:58" hidden="1" x14ac:dyDescent="0.25">
      <c r="AV847">
        <v>817</v>
      </c>
      <c r="AW847" s="94" t="str">
        <f t="shared" ca="1" si="134"/>
        <v/>
      </c>
      <c r="AX847" s="95" t="str">
        <f t="shared" si="138"/>
        <v/>
      </c>
      <c r="AY847" s="98" t="str">
        <f t="shared" ca="1" si="135"/>
        <v/>
      </c>
      <c r="AZ847" s="95" t="str">
        <f t="shared" si="139"/>
        <v/>
      </c>
      <c r="BA847" s="99" t="str">
        <f t="shared" ca="1" si="136"/>
        <v/>
      </c>
      <c r="BB847" s="97" t="str">
        <f t="shared" si="140"/>
        <v/>
      </c>
      <c r="BC847" s="101" t="str">
        <f t="shared" ca="1" si="143"/>
        <v/>
      </c>
      <c r="BD847" s="100" t="str">
        <f t="shared" si="141"/>
        <v/>
      </c>
      <c r="BE847" s="103" t="str">
        <f t="shared" ca="1" si="137"/>
        <v/>
      </c>
      <c r="BF847" s="102" t="str">
        <f t="shared" si="142"/>
        <v/>
      </c>
    </row>
    <row r="848" spans="48:58" hidden="1" x14ac:dyDescent="0.25">
      <c r="AV848">
        <v>818</v>
      </c>
      <c r="AW848" s="94" t="str">
        <f t="shared" ca="1" si="134"/>
        <v/>
      </c>
      <c r="AX848" s="95" t="str">
        <f t="shared" si="138"/>
        <v/>
      </c>
      <c r="AY848" s="98" t="str">
        <f t="shared" ca="1" si="135"/>
        <v/>
      </c>
      <c r="AZ848" s="95" t="str">
        <f t="shared" si="139"/>
        <v/>
      </c>
      <c r="BA848" s="99" t="str">
        <f t="shared" ca="1" si="136"/>
        <v/>
      </c>
      <c r="BB848" s="97" t="str">
        <f t="shared" si="140"/>
        <v/>
      </c>
      <c r="BC848" s="101" t="str">
        <f t="shared" ca="1" si="143"/>
        <v/>
      </c>
      <c r="BD848" s="100" t="str">
        <f t="shared" si="141"/>
        <v/>
      </c>
      <c r="BE848" s="103" t="str">
        <f t="shared" ca="1" si="137"/>
        <v/>
      </c>
      <c r="BF848" s="102" t="str">
        <f t="shared" si="142"/>
        <v/>
      </c>
    </row>
    <row r="849" spans="48:58" hidden="1" x14ac:dyDescent="0.25">
      <c r="AV849">
        <v>819</v>
      </c>
      <c r="AW849" s="94" t="str">
        <f t="shared" ca="1" si="134"/>
        <v/>
      </c>
      <c r="AX849" s="95" t="str">
        <f t="shared" si="138"/>
        <v/>
      </c>
      <c r="AY849" s="98" t="str">
        <f t="shared" ca="1" si="135"/>
        <v/>
      </c>
      <c r="AZ849" s="95" t="str">
        <f t="shared" si="139"/>
        <v/>
      </c>
      <c r="BA849" s="99" t="str">
        <f t="shared" ca="1" si="136"/>
        <v/>
      </c>
      <c r="BB849" s="97" t="str">
        <f t="shared" si="140"/>
        <v/>
      </c>
      <c r="BC849" s="101" t="str">
        <f t="shared" ca="1" si="143"/>
        <v/>
      </c>
      <c r="BD849" s="100" t="str">
        <f t="shared" si="141"/>
        <v/>
      </c>
      <c r="BE849" s="103" t="str">
        <f t="shared" ca="1" si="137"/>
        <v/>
      </c>
      <c r="BF849" s="102" t="str">
        <f t="shared" si="142"/>
        <v/>
      </c>
    </row>
    <row r="850" spans="48:58" hidden="1" x14ac:dyDescent="0.25">
      <c r="AV850">
        <v>820</v>
      </c>
      <c r="AW850" s="94" t="str">
        <f t="shared" ca="1" si="134"/>
        <v/>
      </c>
      <c r="AX850" s="95" t="str">
        <f t="shared" si="138"/>
        <v/>
      </c>
      <c r="AY850" s="98" t="str">
        <f t="shared" ca="1" si="135"/>
        <v/>
      </c>
      <c r="AZ850" s="95" t="str">
        <f t="shared" si="139"/>
        <v/>
      </c>
      <c r="BA850" s="99" t="str">
        <f t="shared" ca="1" si="136"/>
        <v/>
      </c>
      <c r="BB850" s="97" t="str">
        <f t="shared" si="140"/>
        <v/>
      </c>
      <c r="BC850" s="101" t="str">
        <f t="shared" ca="1" si="143"/>
        <v/>
      </c>
      <c r="BD850" s="100" t="str">
        <f t="shared" si="141"/>
        <v/>
      </c>
      <c r="BE850" s="103" t="str">
        <f t="shared" ca="1" si="137"/>
        <v/>
      </c>
      <c r="BF850" s="102" t="str">
        <f t="shared" si="142"/>
        <v/>
      </c>
    </row>
    <row r="851" spans="48:58" hidden="1" x14ac:dyDescent="0.25">
      <c r="AV851">
        <v>821</v>
      </c>
      <c r="AW851" s="94" t="str">
        <f t="shared" ca="1" si="134"/>
        <v/>
      </c>
      <c r="AX851" s="95" t="str">
        <f t="shared" si="138"/>
        <v/>
      </c>
      <c r="AY851" s="98" t="str">
        <f t="shared" ca="1" si="135"/>
        <v/>
      </c>
      <c r="AZ851" s="95" t="str">
        <f t="shared" si="139"/>
        <v/>
      </c>
      <c r="BA851" s="99" t="str">
        <f t="shared" ca="1" si="136"/>
        <v/>
      </c>
      <c r="BB851" s="97" t="str">
        <f t="shared" si="140"/>
        <v/>
      </c>
      <c r="BC851" s="101" t="str">
        <f t="shared" ca="1" si="143"/>
        <v/>
      </c>
      <c r="BD851" s="100" t="str">
        <f t="shared" si="141"/>
        <v/>
      </c>
      <c r="BE851" s="103" t="str">
        <f t="shared" ca="1" si="137"/>
        <v/>
      </c>
      <c r="BF851" s="102" t="str">
        <f t="shared" si="142"/>
        <v/>
      </c>
    </row>
    <row r="852" spans="48:58" hidden="1" x14ac:dyDescent="0.25">
      <c r="AV852">
        <v>822</v>
      </c>
      <c r="AW852" s="94" t="str">
        <f t="shared" ca="1" si="134"/>
        <v/>
      </c>
      <c r="AX852" s="95" t="str">
        <f t="shared" si="138"/>
        <v/>
      </c>
      <c r="AY852" s="98" t="str">
        <f t="shared" ca="1" si="135"/>
        <v/>
      </c>
      <c r="AZ852" s="95" t="str">
        <f t="shared" si="139"/>
        <v/>
      </c>
      <c r="BA852" s="99" t="str">
        <f t="shared" ca="1" si="136"/>
        <v/>
      </c>
      <c r="BB852" s="97" t="str">
        <f t="shared" si="140"/>
        <v/>
      </c>
      <c r="BC852" s="101" t="str">
        <f t="shared" ca="1" si="143"/>
        <v/>
      </c>
      <c r="BD852" s="100" t="str">
        <f t="shared" si="141"/>
        <v/>
      </c>
      <c r="BE852" s="103" t="str">
        <f t="shared" ca="1" si="137"/>
        <v/>
      </c>
      <c r="BF852" s="102" t="str">
        <f t="shared" si="142"/>
        <v/>
      </c>
    </row>
    <row r="853" spans="48:58" hidden="1" x14ac:dyDescent="0.25">
      <c r="AV853">
        <v>823</v>
      </c>
      <c r="AW853" s="94" t="str">
        <f t="shared" ca="1" si="134"/>
        <v/>
      </c>
      <c r="AX853" s="95" t="str">
        <f t="shared" si="138"/>
        <v/>
      </c>
      <c r="AY853" s="98" t="str">
        <f t="shared" ca="1" si="135"/>
        <v/>
      </c>
      <c r="AZ853" s="95" t="str">
        <f t="shared" si="139"/>
        <v/>
      </c>
      <c r="BA853" s="99" t="str">
        <f t="shared" ca="1" si="136"/>
        <v/>
      </c>
      <c r="BB853" s="97" t="str">
        <f t="shared" si="140"/>
        <v/>
      </c>
      <c r="BC853" s="101" t="str">
        <f t="shared" ca="1" si="143"/>
        <v/>
      </c>
      <c r="BD853" s="100" t="str">
        <f t="shared" si="141"/>
        <v/>
      </c>
      <c r="BE853" s="103" t="str">
        <f t="shared" ca="1" si="137"/>
        <v/>
      </c>
      <c r="BF853" s="102" t="str">
        <f t="shared" si="142"/>
        <v/>
      </c>
    </row>
    <row r="854" spans="48:58" hidden="1" x14ac:dyDescent="0.25">
      <c r="AV854">
        <v>824</v>
      </c>
      <c r="AW854" s="94" t="str">
        <f t="shared" ca="1" si="134"/>
        <v/>
      </c>
      <c r="AX854" s="95" t="str">
        <f t="shared" si="138"/>
        <v/>
      </c>
      <c r="AY854" s="98" t="str">
        <f t="shared" ca="1" si="135"/>
        <v/>
      </c>
      <c r="AZ854" s="95" t="str">
        <f t="shared" si="139"/>
        <v/>
      </c>
      <c r="BA854" s="99" t="str">
        <f t="shared" ca="1" si="136"/>
        <v/>
      </c>
      <c r="BB854" s="97" t="str">
        <f t="shared" si="140"/>
        <v/>
      </c>
      <c r="BC854" s="101" t="str">
        <f t="shared" ca="1" si="143"/>
        <v/>
      </c>
      <c r="BD854" s="100" t="str">
        <f t="shared" si="141"/>
        <v/>
      </c>
      <c r="BE854" s="103" t="str">
        <f t="shared" ca="1" si="137"/>
        <v/>
      </c>
      <c r="BF854" s="102" t="str">
        <f t="shared" si="142"/>
        <v/>
      </c>
    </row>
    <row r="855" spans="48:58" hidden="1" x14ac:dyDescent="0.25">
      <c r="AV855">
        <v>825</v>
      </c>
      <c r="AW855" s="94" t="str">
        <f t="shared" ca="1" si="134"/>
        <v/>
      </c>
      <c r="AX855" s="95" t="str">
        <f t="shared" si="138"/>
        <v/>
      </c>
      <c r="AY855" s="98" t="str">
        <f t="shared" ca="1" si="135"/>
        <v/>
      </c>
      <c r="AZ855" s="95" t="str">
        <f t="shared" si="139"/>
        <v/>
      </c>
      <c r="BA855" s="99" t="str">
        <f t="shared" ca="1" si="136"/>
        <v/>
      </c>
      <c r="BB855" s="97" t="str">
        <f t="shared" si="140"/>
        <v/>
      </c>
      <c r="BC855" s="101" t="str">
        <f t="shared" ca="1" si="143"/>
        <v/>
      </c>
      <c r="BD855" s="100" t="str">
        <f t="shared" si="141"/>
        <v/>
      </c>
      <c r="BE855" s="103" t="str">
        <f t="shared" ca="1" si="137"/>
        <v/>
      </c>
      <c r="BF855" s="102" t="str">
        <f t="shared" si="142"/>
        <v/>
      </c>
    </row>
    <row r="856" spans="48:58" hidden="1" x14ac:dyDescent="0.25">
      <c r="AV856">
        <v>826</v>
      </c>
      <c r="AW856" s="94" t="str">
        <f t="shared" ca="1" si="134"/>
        <v/>
      </c>
      <c r="AX856" s="95" t="str">
        <f t="shared" si="138"/>
        <v/>
      </c>
      <c r="AY856" s="98" t="str">
        <f t="shared" ca="1" si="135"/>
        <v/>
      </c>
      <c r="AZ856" s="95" t="str">
        <f t="shared" si="139"/>
        <v/>
      </c>
      <c r="BA856" s="99" t="str">
        <f t="shared" ca="1" si="136"/>
        <v/>
      </c>
      <c r="BB856" s="97" t="str">
        <f t="shared" si="140"/>
        <v/>
      </c>
      <c r="BC856" s="101" t="str">
        <f t="shared" ca="1" si="143"/>
        <v/>
      </c>
      <c r="BD856" s="100" t="str">
        <f t="shared" si="141"/>
        <v/>
      </c>
      <c r="BE856" s="103" t="str">
        <f t="shared" ca="1" si="137"/>
        <v/>
      </c>
      <c r="BF856" s="102" t="str">
        <f t="shared" si="142"/>
        <v/>
      </c>
    </row>
    <row r="857" spans="48:58" hidden="1" x14ac:dyDescent="0.25">
      <c r="AV857">
        <v>827</v>
      </c>
      <c r="AW857" s="94" t="str">
        <f t="shared" ca="1" si="134"/>
        <v/>
      </c>
      <c r="AX857" s="95" t="str">
        <f t="shared" si="138"/>
        <v/>
      </c>
      <c r="AY857" s="98" t="str">
        <f t="shared" ca="1" si="135"/>
        <v/>
      </c>
      <c r="AZ857" s="95" t="str">
        <f t="shared" si="139"/>
        <v/>
      </c>
      <c r="BA857" s="99" t="str">
        <f t="shared" ca="1" si="136"/>
        <v/>
      </c>
      <c r="BB857" s="97" t="str">
        <f t="shared" si="140"/>
        <v/>
      </c>
      <c r="BC857" s="101" t="str">
        <f t="shared" ca="1" si="143"/>
        <v/>
      </c>
      <c r="BD857" s="100" t="str">
        <f t="shared" si="141"/>
        <v/>
      </c>
      <c r="BE857" s="103" t="str">
        <f t="shared" ca="1" si="137"/>
        <v/>
      </c>
      <c r="BF857" s="102" t="str">
        <f t="shared" si="142"/>
        <v/>
      </c>
    </row>
    <row r="858" spans="48:58" hidden="1" x14ac:dyDescent="0.25">
      <c r="AV858">
        <v>828</v>
      </c>
      <c r="AW858" s="94" t="str">
        <f t="shared" ca="1" si="134"/>
        <v/>
      </c>
      <c r="AX858" s="95" t="str">
        <f t="shared" si="138"/>
        <v/>
      </c>
      <c r="AY858" s="98" t="str">
        <f t="shared" ca="1" si="135"/>
        <v/>
      </c>
      <c r="AZ858" s="95" t="str">
        <f t="shared" si="139"/>
        <v/>
      </c>
      <c r="BA858" s="99" t="str">
        <f t="shared" ca="1" si="136"/>
        <v/>
      </c>
      <c r="BB858" s="97" t="str">
        <f t="shared" si="140"/>
        <v/>
      </c>
      <c r="BC858" s="101" t="str">
        <f t="shared" ca="1" si="143"/>
        <v/>
      </c>
      <c r="BD858" s="100" t="str">
        <f t="shared" si="141"/>
        <v/>
      </c>
      <c r="BE858" s="103" t="str">
        <f t="shared" ca="1" si="137"/>
        <v/>
      </c>
      <c r="BF858" s="102" t="str">
        <f t="shared" si="142"/>
        <v/>
      </c>
    </row>
    <row r="859" spans="48:58" hidden="1" x14ac:dyDescent="0.25">
      <c r="AV859">
        <v>829</v>
      </c>
      <c r="AW859" s="94" t="str">
        <f t="shared" ca="1" si="134"/>
        <v/>
      </c>
      <c r="AX859" s="95" t="str">
        <f t="shared" si="138"/>
        <v/>
      </c>
      <c r="AY859" s="98" t="str">
        <f t="shared" ca="1" si="135"/>
        <v/>
      </c>
      <c r="AZ859" s="95" t="str">
        <f t="shared" si="139"/>
        <v/>
      </c>
      <c r="BA859" s="99" t="str">
        <f t="shared" ca="1" si="136"/>
        <v/>
      </c>
      <c r="BB859" s="97" t="str">
        <f t="shared" si="140"/>
        <v/>
      </c>
      <c r="BC859" s="101" t="str">
        <f t="shared" ca="1" si="143"/>
        <v/>
      </c>
      <c r="BD859" s="100" t="str">
        <f t="shared" si="141"/>
        <v/>
      </c>
      <c r="BE859" s="103" t="str">
        <f t="shared" ca="1" si="137"/>
        <v/>
      </c>
      <c r="BF859" s="102" t="str">
        <f t="shared" si="142"/>
        <v/>
      </c>
    </row>
    <row r="860" spans="48:58" hidden="1" x14ac:dyDescent="0.25">
      <c r="AV860">
        <v>830</v>
      </c>
      <c r="AW860" s="94" t="str">
        <f t="shared" ca="1" si="134"/>
        <v/>
      </c>
      <c r="AX860" s="95" t="str">
        <f t="shared" si="138"/>
        <v/>
      </c>
      <c r="AY860" s="98" t="str">
        <f t="shared" ca="1" si="135"/>
        <v/>
      </c>
      <c r="AZ860" s="95" t="str">
        <f t="shared" si="139"/>
        <v/>
      </c>
      <c r="BA860" s="99" t="str">
        <f t="shared" ca="1" si="136"/>
        <v/>
      </c>
      <c r="BB860" s="97" t="str">
        <f t="shared" si="140"/>
        <v/>
      </c>
      <c r="BC860" s="101" t="str">
        <f t="shared" ca="1" si="143"/>
        <v/>
      </c>
      <c r="BD860" s="100" t="str">
        <f t="shared" si="141"/>
        <v/>
      </c>
      <c r="BE860" s="103" t="str">
        <f t="shared" ca="1" si="137"/>
        <v/>
      </c>
      <c r="BF860" s="102" t="str">
        <f t="shared" si="142"/>
        <v/>
      </c>
    </row>
    <row r="861" spans="48:58" hidden="1" x14ac:dyDescent="0.25">
      <c r="AV861">
        <v>831</v>
      </c>
      <c r="AW861" s="94" t="str">
        <f t="shared" ca="1" si="134"/>
        <v/>
      </c>
      <c r="AX861" s="95" t="str">
        <f t="shared" si="138"/>
        <v/>
      </c>
      <c r="AY861" s="98" t="str">
        <f t="shared" ca="1" si="135"/>
        <v/>
      </c>
      <c r="AZ861" s="95" t="str">
        <f t="shared" si="139"/>
        <v/>
      </c>
      <c r="BA861" s="99" t="str">
        <f t="shared" ca="1" si="136"/>
        <v/>
      </c>
      <c r="BB861" s="97" t="str">
        <f t="shared" si="140"/>
        <v/>
      </c>
      <c r="BC861" s="101" t="str">
        <f t="shared" ca="1" si="143"/>
        <v/>
      </c>
      <c r="BD861" s="100" t="str">
        <f t="shared" si="141"/>
        <v/>
      </c>
      <c r="BE861" s="103" t="str">
        <f t="shared" ca="1" si="137"/>
        <v/>
      </c>
      <c r="BF861" s="102" t="str">
        <f t="shared" si="142"/>
        <v/>
      </c>
    </row>
    <row r="862" spans="48:58" hidden="1" x14ac:dyDescent="0.25">
      <c r="AV862">
        <v>832</v>
      </c>
      <c r="AW862" s="94" t="str">
        <f t="shared" ca="1" si="134"/>
        <v/>
      </c>
      <c r="AX862" s="95" t="str">
        <f t="shared" si="138"/>
        <v/>
      </c>
      <c r="AY862" s="98" t="str">
        <f t="shared" ca="1" si="135"/>
        <v/>
      </c>
      <c r="AZ862" s="95" t="str">
        <f t="shared" si="139"/>
        <v/>
      </c>
      <c r="BA862" s="99" t="str">
        <f t="shared" ca="1" si="136"/>
        <v/>
      </c>
      <c r="BB862" s="97" t="str">
        <f t="shared" si="140"/>
        <v/>
      </c>
      <c r="BC862" s="101" t="str">
        <f t="shared" ca="1" si="143"/>
        <v/>
      </c>
      <c r="BD862" s="100" t="str">
        <f t="shared" si="141"/>
        <v/>
      </c>
      <c r="BE862" s="103" t="str">
        <f t="shared" ca="1" si="137"/>
        <v/>
      </c>
      <c r="BF862" s="102" t="str">
        <f t="shared" si="142"/>
        <v/>
      </c>
    </row>
    <row r="863" spans="48:58" hidden="1" x14ac:dyDescent="0.25">
      <c r="AV863">
        <v>833</v>
      </c>
      <c r="AW863" s="94" t="str">
        <f t="shared" ref="AW863:AW926" ca="1" si="144">IF(T_1*12&gt;=AV863,DATE(YEAR(TODAY()),MONTH(TODAY())+AV863-1,DAY(TODAY())),IF(T_1*12+1&gt;=AV863,DATE(YEAR(TODAY()),MONTH(TODAY())+T_1*12,DAY(TODAY())),""))</f>
        <v/>
      </c>
      <c r="AX863" s="95" t="str">
        <f t="shared" si="138"/>
        <v/>
      </c>
      <c r="AY863" s="98" t="str">
        <f t="shared" ref="AY863:AY926" ca="1" si="145">IF(T_2*12&gt;=$AV863,DATE(YEAR(TODAY()),MONTH(TODAY())+$AV863-1,DAY(TODAY())),IF(T_2*12+1&gt;=$AV863,DATE(YEAR(TODAY()),MONTH(TODAY())+T_2*12,DAY(TODAY())),""))</f>
        <v/>
      </c>
      <c r="AZ863" s="95" t="str">
        <f t="shared" si="139"/>
        <v/>
      </c>
      <c r="BA863" s="99" t="str">
        <f t="shared" ref="BA863:BA926" ca="1" si="146">IF(T_3*12&gt;=$AV863,DATE(YEAR(TODAY()),MONTH(TODAY())+$AV863-1,DAY(TODAY())),IF(T_3*12+1&gt;=$AV863,DATE(YEAR(TODAY()),MONTH(TODAY())+T_3*12,DAY(TODAY())),""))</f>
        <v/>
      </c>
      <c r="BB863" s="97" t="str">
        <f t="shared" si="140"/>
        <v/>
      </c>
      <c r="BC863" s="101" t="str">
        <f t="shared" ca="1" si="143"/>
        <v/>
      </c>
      <c r="BD863" s="100" t="str">
        <f t="shared" si="141"/>
        <v/>
      </c>
      <c r="BE863" s="103" t="str">
        <f t="shared" ref="BE863:BE926" ca="1" si="147">IF(T_5*12&gt;=$AV863,DATE(YEAR(TODAY()),MONTH(TODAY())+$AV863-1,DAY(TODAY())),IF(T_5*12+1&gt;=$AV863,DATE(YEAR(TODAY()),MONTH(TODAY())+T_5*12,DAY(TODAY())),""))</f>
        <v/>
      </c>
      <c r="BF863" s="102" t="str">
        <f t="shared" si="142"/>
        <v/>
      </c>
    </row>
    <row r="864" spans="48:58" hidden="1" x14ac:dyDescent="0.25">
      <c r="AV864">
        <v>834</v>
      </c>
      <c r="AW864" s="94" t="str">
        <f t="shared" ca="1" si="144"/>
        <v/>
      </c>
      <c r="AX864" s="95" t="str">
        <f t="shared" ref="AX864:AX927" si="148">IF(T_1*12&gt;=AV864,-1*$I$15,IF(T_1*12+1&gt;=AV864,InfG_1,""))</f>
        <v/>
      </c>
      <c r="AY864" s="98" t="str">
        <f t="shared" ca="1" si="145"/>
        <v/>
      </c>
      <c r="AZ864" s="95" t="str">
        <f t="shared" ref="AZ864:AZ927" si="149">IF(T_2*12&gt;=$AV864,-1*$I$17,IF(T_2*12+1&gt;=$AV864,InfG_2,""))</f>
        <v/>
      </c>
      <c r="BA864" s="99" t="str">
        <f t="shared" ca="1" si="146"/>
        <v/>
      </c>
      <c r="BB864" s="97" t="str">
        <f t="shared" ref="BB864:BB927" si="150">IF(T_3*12&gt;=$AV864,-1*$I$19,IF(T_3*12+1&gt;=$AV864,InfG_3,""))</f>
        <v/>
      </c>
      <c r="BC864" s="101" t="str">
        <f t="shared" ca="1" si="143"/>
        <v/>
      </c>
      <c r="BD864" s="100" t="str">
        <f t="shared" ref="BD864:BD927" si="151">IF(T_4*12&gt;=$AV864,-1*$I$21,IF(T_4*12+1&gt;=$AV864,InfG_4,""))</f>
        <v/>
      </c>
      <c r="BE864" s="103" t="str">
        <f t="shared" ca="1" si="147"/>
        <v/>
      </c>
      <c r="BF864" s="102" t="str">
        <f t="shared" ref="BF864:BF927" si="152">IF(T_5*12&gt;=$AV864,-1*$I$23,IF(T_5*12+1&gt;=$AV864,InfG_5,""))</f>
        <v/>
      </c>
    </row>
    <row r="865" spans="48:58" hidden="1" x14ac:dyDescent="0.25">
      <c r="AV865">
        <v>835</v>
      </c>
      <c r="AW865" s="94" t="str">
        <f t="shared" ca="1" si="144"/>
        <v/>
      </c>
      <c r="AX865" s="95" t="str">
        <f t="shared" si="148"/>
        <v/>
      </c>
      <c r="AY865" s="98" t="str">
        <f t="shared" ca="1" si="145"/>
        <v/>
      </c>
      <c r="AZ865" s="95" t="str">
        <f t="shared" si="149"/>
        <v/>
      </c>
      <c r="BA865" s="99" t="str">
        <f t="shared" ca="1" si="146"/>
        <v/>
      </c>
      <c r="BB865" s="97" t="str">
        <f t="shared" si="150"/>
        <v/>
      </c>
      <c r="BC865" s="101" t="str">
        <f t="shared" ref="BC865:BC928" ca="1" si="153">IF(T_4*12&gt;=AV865,DATE(YEAR(TODAY()),MONTH(TODAY())+AV865-1,DAY(TODAY())),IF(T_4*12+1&gt;=AV865,DATE(YEAR(TODAY()),MONTH(TODAY())+T_4*12,DAY(TODAY())),""))</f>
        <v/>
      </c>
      <c r="BD865" s="100" t="str">
        <f t="shared" si="151"/>
        <v/>
      </c>
      <c r="BE865" s="103" t="str">
        <f t="shared" ca="1" si="147"/>
        <v/>
      </c>
      <c r="BF865" s="102" t="str">
        <f t="shared" si="152"/>
        <v/>
      </c>
    </row>
    <row r="866" spans="48:58" hidden="1" x14ac:dyDescent="0.25">
      <c r="AV866">
        <v>836</v>
      </c>
      <c r="AW866" s="94" t="str">
        <f t="shared" ca="1" si="144"/>
        <v/>
      </c>
      <c r="AX866" s="95" t="str">
        <f t="shared" si="148"/>
        <v/>
      </c>
      <c r="AY866" s="98" t="str">
        <f t="shared" ca="1" si="145"/>
        <v/>
      </c>
      <c r="AZ866" s="95" t="str">
        <f t="shared" si="149"/>
        <v/>
      </c>
      <c r="BA866" s="99" t="str">
        <f t="shared" ca="1" si="146"/>
        <v/>
      </c>
      <c r="BB866" s="97" t="str">
        <f t="shared" si="150"/>
        <v/>
      </c>
      <c r="BC866" s="101" t="str">
        <f t="shared" ca="1" si="153"/>
        <v/>
      </c>
      <c r="BD866" s="100" t="str">
        <f t="shared" si="151"/>
        <v/>
      </c>
      <c r="BE866" s="103" t="str">
        <f t="shared" ca="1" si="147"/>
        <v/>
      </c>
      <c r="BF866" s="102" t="str">
        <f t="shared" si="152"/>
        <v/>
      </c>
    </row>
    <row r="867" spans="48:58" hidden="1" x14ac:dyDescent="0.25">
      <c r="AV867">
        <v>837</v>
      </c>
      <c r="AW867" s="94" t="str">
        <f t="shared" ca="1" si="144"/>
        <v/>
      </c>
      <c r="AX867" s="95" t="str">
        <f t="shared" si="148"/>
        <v/>
      </c>
      <c r="AY867" s="98" t="str">
        <f t="shared" ca="1" si="145"/>
        <v/>
      </c>
      <c r="AZ867" s="95" t="str">
        <f t="shared" si="149"/>
        <v/>
      </c>
      <c r="BA867" s="99" t="str">
        <f t="shared" ca="1" si="146"/>
        <v/>
      </c>
      <c r="BB867" s="97" t="str">
        <f t="shared" si="150"/>
        <v/>
      </c>
      <c r="BC867" s="101" t="str">
        <f t="shared" ca="1" si="153"/>
        <v/>
      </c>
      <c r="BD867" s="100" t="str">
        <f t="shared" si="151"/>
        <v/>
      </c>
      <c r="BE867" s="103" t="str">
        <f t="shared" ca="1" si="147"/>
        <v/>
      </c>
      <c r="BF867" s="102" t="str">
        <f t="shared" si="152"/>
        <v/>
      </c>
    </row>
    <row r="868" spans="48:58" hidden="1" x14ac:dyDescent="0.25">
      <c r="AV868">
        <v>838</v>
      </c>
      <c r="AW868" s="94" t="str">
        <f t="shared" ca="1" si="144"/>
        <v/>
      </c>
      <c r="AX868" s="95" t="str">
        <f t="shared" si="148"/>
        <v/>
      </c>
      <c r="AY868" s="98" t="str">
        <f t="shared" ca="1" si="145"/>
        <v/>
      </c>
      <c r="AZ868" s="95" t="str">
        <f t="shared" si="149"/>
        <v/>
      </c>
      <c r="BA868" s="99" t="str">
        <f t="shared" ca="1" si="146"/>
        <v/>
      </c>
      <c r="BB868" s="97" t="str">
        <f t="shared" si="150"/>
        <v/>
      </c>
      <c r="BC868" s="101" t="str">
        <f t="shared" ca="1" si="153"/>
        <v/>
      </c>
      <c r="BD868" s="100" t="str">
        <f t="shared" si="151"/>
        <v/>
      </c>
      <c r="BE868" s="103" t="str">
        <f t="shared" ca="1" si="147"/>
        <v/>
      </c>
      <c r="BF868" s="102" t="str">
        <f t="shared" si="152"/>
        <v/>
      </c>
    </row>
    <row r="869" spans="48:58" hidden="1" x14ac:dyDescent="0.25">
      <c r="AV869">
        <v>839</v>
      </c>
      <c r="AW869" s="94" t="str">
        <f t="shared" ca="1" si="144"/>
        <v/>
      </c>
      <c r="AX869" s="95" t="str">
        <f t="shared" si="148"/>
        <v/>
      </c>
      <c r="AY869" s="98" t="str">
        <f t="shared" ca="1" si="145"/>
        <v/>
      </c>
      <c r="AZ869" s="95" t="str">
        <f t="shared" si="149"/>
        <v/>
      </c>
      <c r="BA869" s="99" t="str">
        <f t="shared" ca="1" si="146"/>
        <v/>
      </c>
      <c r="BB869" s="97" t="str">
        <f t="shared" si="150"/>
        <v/>
      </c>
      <c r="BC869" s="101" t="str">
        <f t="shared" ca="1" si="153"/>
        <v/>
      </c>
      <c r="BD869" s="100" t="str">
        <f t="shared" si="151"/>
        <v/>
      </c>
      <c r="BE869" s="103" t="str">
        <f t="shared" ca="1" si="147"/>
        <v/>
      </c>
      <c r="BF869" s="102" t="str">
        <f t="shared" si="152"/>
        <v/>
      </c>
    </row>
    <row r="870" spans="48:58" hidden="1" x14ac:dyDescent="0.25">
      <c r="AV870">
        <v>840</v>
      </c>
      <c r="AW870" s="94" t="str">
        <f t="shared" ca="1" si="144"/>
        <v/>
      </c>
      <c r="AX870" s="95" t="str">
        <f t="shared" si="148"/>
        <v/>
      </c>
      <c r="AY870" s="98" t="str">
        <f t="shared" ca="1" si="145"/>
        <v/>
      </c>
      <c r="AZ870" s="95" t="str">
        <f t="shared" si="149"/>
        <v/>
      </c>
      <c r="BA870" s="99" t="str">
        <f t="shared" ca="1" si="146"/>
        <v/>
      </c>
      <c r="BB870" s="97" t="str">
        <f t="shared" si="150"/>
        <v/>
      </c>
      <c r="BC870" s="101" t="str">
        <f t="shared" ca="1" si="153"/>
        <v/>
      </c>
      <c r="BD870" s="100" t="str">
        <f t="shared" si="151"/>
        <v/>
      </c>
      <c r="BE870" s="103" t="str">
        <f t="shared" ca="1" si="147"/>
        <v/>
      </c>
      <c r="BF870" s="102" t="str">
        <f t="shared" si="152"/>
        <v/>
      </c>
    </row>
    <row r="871" spans="48:58" hidden="1" x14ac:dyDescent="0.25">
      <c r="AV871">
        <v>841</v>
      </c>
      <c r="AW871" s="94" t="str">
        <f t="shared" ca="1" si="144"/>
        <v/>
      </c>
      <c r="AX871" s="95" t="str">
        <f t="shared" si="148"/>
        <v/>
      </c>
      <c r="AY871" s="98" t="str">
        <f t="shared" ca="1" si="145"/>
        <v/>
      </c>
      <c r="AZ871" s="95" t="str">
        <f t="shared" si="149"/>
        <v/>
      </c>
      <c r="BA871" s="99" t="str">
        <f t="shared" ca="1" si="146"/>
        <v/>
      </c>
      <c r="BB871" s="97" t="str">
        <f t="shared" si="150"/>
        <v/>
      </c>
      <c r="BC871" s="101" t="str">
        <f t="shared" ca="1" si="153"/>
        <v/>
      </c>
      <c r="BD871" s="100" t="str">
        <f t="shared" si="151"/>
        <v/>
      </c>
      <c r="BE871" s="103" t="str">
        <f t="shared" ca="1" si="147"/>
        <v/>
      </c>
      <c r="BF871" s="102" t="str">
        <f t="shared" si="152"/>
        <v/>
      </c>
    </row>
    <row r="872" spans="48:58" hidden="1" x14ac:dyDescent="0.25">
      <c r="AV872">
        <v>842</v>
      </c>
      <c r="AW872" s="94" t="str">
        <f t="shared" ca="1" si="144"/>
        <v/>
      </c>
      <c r="AX872" s="95" t="str">
        <f t="shared" si="148"/>
        <v/>
      </c>
      <c r="AY872" s="98" t="str">
        <f t="shared" ca="1" si="145"/>
        <v/>
      </c>
      <c r="AZ872" s="95" t="str">
        <f t="shared" si="149"/>
        <v/>
      </c>
      <c r="BA872" s="99" t="str">
        <f t="shared" ca="1" si="146"/>
        <v/>
      </c>
      <c r="BB872" s="97" t="str">
        <f t="shared" si="150"/>
        <v/>
      </c>
      <c r="BC872" s="101" t="str">
        <f t="shared" ca="1" si="153"/>
        <v/>
      </c>
      <c r="BD872" s="100" t="str">
        <f t="shared" si="151"/>
        <v/>
      </c>
      <c r="BE872" s="103" t="str">
        <f t="shared" ca="1" si="147"/>
        <v/>
      </c>
      <c r="BF872" s="102" t="str">
        <f t="shared" si="152"/>
        <v/>
      </c>
    </row>
    <row r="873" spans="48:58" hidden="1" x14ac:dyDescent="0.25">
      <c r="AV873">
        <v>843</v>
      </c>
      <c r="AW873" s="94" t="str">
        <f t="shared" ca="1" si="144"/>
        <v/>
      </c>
      <c r="AX873" s="95" t="str">
        <f t="shared" si="148"/>
        <v/>
      </c>
      <c r="AY873" s="98" t="str">
        <f t="shared" ca="1" si="145"/>
        <v/>
      </c>
      <c r="AZ873" s="95" t="str">
        <f t="shared" si="149"/>
        <v/>
      </c>
      <c r="BA873" s="99" t="str">
        <f t="shared" ca="1" si="146"/>
        <v/>
      </c>
      <c r="BB873" s="97" t="str">
        <f t="shared" si="150"/>
        <v/>
      </c>
      <c r="BC873" s="101" t="str">
        <f t="shared" ca="1" si="153"/>
        <v/>
      </c>
      <c r="BD873" s="100" t="str">
        <f t="shared" si="151"/>
        <v/>
      </c>
      <c r="BE873" s="103" t="str">
        <f t="shared" ca="1" si="147"/>
        <v/>
      </c>
      <c r="BF873" s="102" t="str">
        <f t="shared" si="152"/>
        <v/>
      </c>
    </row>
    <row r="874" spans="48:58" hidden="1" x14ac:dyDescent="0.25">
      <c r="AV874">
        <v>844</v>
      </c>
      <c r="AW874" s="94" t="str">
        <f t="shared" ca="1" si="144"/>
        <v/>
      </c>
      <c r="AX874" s="95" t="str">
        <f t="shared" si="148"/>
        <v/>
      </c>
      <c r="AY874" s="98" t="str">
        <f t="shared" ca="1" si="145"/>
        <v/>
      </c>
      <c r="AZ874" s="95" t="str">
        <f t="shared" si="149"/>
        <v/>
      </c>
      <c r="BA874" s="99" t="str">
        <f t="shared" ca="1" si="146"/>
        <v/>
      </c>
      <c r="BB874" s="97" t="str">
        <f t="shared" si="150"/>
        <v/>
      </c>
      <c r="BC874" s="101" t="str">
        <f t="shared" ca="1" si="153"/>
        <v/>
      </c>
      <c r="BD874" s="100" t="str">
        <f t="shared" si="151"/>
        <v/>
      </c>
      <c r="BE874" s="103" t="str">
        <f t="shared" ca="1" si="147"/>
        <v/>
      </c>
      <c r="BF874" s="102" t="str">
        <f t="shared" si="152"/>
        <v/>
      </c>
    </row>
    <row r="875" spans="48:58" hidden="1" x14ac:dyDescent="0.25">
      <c r="AV875">
        <v>845</v>
      </c>
      <c r="AW875" s="94" t="str">
        <f t="shared" ca="1" si="144"/>
        <v/>
      </c>
      <c r="AX875" s="95" t="str">
        <f t="shared" si="148"/>
        <v/>
      </c>
      <c r="AY875" s="98" t="str">
        <f t="shared" ca="1" si="145"/>
        <v/>
      </c>
      <c r="AZ875" s="95" t="str">
        <f t="shared" si="149"/>
        <v/>
      </c>
      <c r="BA875" s="99" t="str">
        <f t="shared" ca="1" si="146"/>
        <v/>
      </c>
      <c r="BB875" s="97" t="str">
        <f t="shared" si="150"/>
        <v/>
      </c>
      <c r="BC875" s="101" t="str">
        <f t="shared" ca="1" si="153"/>
        <v/>
      </c>
      <c r="BD875" s="100" t="str">
        <f t="shared" si="151"/>
        <v/>
      </c>
      <c r="BE875" s="103" t="str">
        <f t="shared" ca="1" si="147"/>
        <v/>
      </c>
      <c r="BF875" s="102" t="str">
        <f t="shared" si="152"/>
        <v/>
      </c>
    </row>
    <row r="876" spans="48:58" hidden="1" x14ac:dyDescent="0.25">
      <c r="AV876">
        <v>846</v>
      </c>
      <c r="AW876" s="94" t="str">
        <f t="shared" ca="1" si="144"/>
        <v/>
      </c>
      <c r="AX876" s="95" t="str">
        <f t="shared" si="148"/>
        <v/>
      </c>
      <c r="AY876" s="98" t="str">
        <f t="shared" ca="1" si="145"/>
        <v/>
      </c>
      <c r="AZ876" s="95" t="str">
        <f t="shared" si="149"/>
        <v/>
      </c>
      <c r="BA876" s="99" t="str">
        <f t="shared" ca="1" si="146"/>
        <v/>
      </c>
      <c r="BB876" s="97" t="str">
        <f t="shared" si="150"/>
        <v/>
      </c>
      <c r="BC876" s="101" t="str">
        <f t="shared" ca="1" si="153"/>
        <v/>
      </c>
      <c r="BD876" s="100" t="str">
        <f t="shared" si="151"/>
        <v/>
      </c>
      <c r="BE876" s="103" t="str">
        <f t="shared" ca="1" si="147"/>
        <v/>
      </c>
      <c r="BF876" s="102" t="str">
        <f t="shared" si="152"/>
        <v/>
      </c>
    </row>
    <row r="877" spans="48:58" hidden="1" x14ac:dyDescent="0.25">
      <c r="AV877">
        <v>847</v>
      </c>
      <c r="AW877" s="94" t="str">
        <f t="shared" ca="1" si="144"/>
        <v/>
      </c>
      <c r="AX877" s="95" t="str">
        <f t="shared" si="148"/>
        <v/>
      </c>
      <c r="AY877" s="98" t="str">
        <f t="shared" ca="1" si="145"/>
        <v/>
      </c>
      <c r="AZ877" s="95" t="str">
        <f t="shared" si="149"/>
        <v/>
      </c>
      <c r="BA877" s="99" t="str">
        <f t="shared" ca="1" si="146"/>
        <v/>
      </c>
      <c r="BB877" s="97" t="str">
        <f t="shared" si="150"/>
        <v/>
      </c>
      <c r="BC877" s="101" t="str">
        <f t="shared" ca="1" si="153"/>
        <v/>
      </c>
      <c r="BD877" s="100" t="str">
        <f t="shared" si="151"/>
        <v/>
      </c>
      <c r="BE877" s="103" t="str">
        <f t="shared" ca="1" si="147"/>
        <v/>
      </c>
      <c r="BF877" s="102" t="str">
        <f t="shared" si="152"/>
        <v/>
      </c>
    </row>
    <row r="878" spans="48:58" hidden="1" x14ac:dyDescent="0.25">
      <c r="AV878">
        <v>848</v>
      </c>
      <c r="AW878" s="94" t="str">
        <f t="shared" ca="1" si="144"/>
        <v/>
      </c>
      <c r="AX878" s="95" t="str">
        <f t="shared" si="148"/>
        <v/>
      </c>
      <c r="AY878" s="98" t="str">
        <f t="shared" ca="1" si="145"/>
        <v/>
      </c>
      <c r="AZ878" s="95" t="str">
        <f t="shared" si="149"/>
        <v/>
      </c>
      <c r="BA878" s="99" t="str">
        <f t="shared" ca="1" si="146"/>
        <v/>
      </c>
      <c r="BB878" s="97" t="str">
        <f t="shared" si="150"/>
        <v/>
      </c>
      <c r="BC878" s="101" t="str">
        <f t="shared" ca="1" si="153"/>
        <v/>
      </c>
      <c r="BD878" s="100" t="str">
        <f t="shared" si="151"/>
        <v/>
      </c>
      <c r="BE878" s="103" t="str">
        <f t="shared" ca="1" si="147"/>
        <v/>
      </c>
      <c r="BF878" s="102" t="str">
        <f t="shared" si="152"/>
        <v/>
      </c>
    </row>
    <row r="879" spans="48:58" hidden="1" x14ac:dyDescent="0.25">
      <c r="AV879">
        <v>849</v>
      </c>
      <c r="AW879" s="94" t="str">
        <f t="shared" ca="1" si="144"/>
        <v/>
      </c>
      <c r="AX879" s="95" t="str">
        <f t="shared" si="148"/>
        <v/>
      </c>
      <c r="AY879" s="98" t="str">
        <f t="shared" ca="1" si="145"/>
        <v/>
      </c>
      <c r="AZ879" s="95" t="str">
        <f t="shared" si="149"/>
        <v/>
      </c>
      <c r="BA879" s="99" t="str">
        <f t="shared" ca="1" si="146"/>
        <v/>
      </c>
      <c r="BB879" s="97" t="str">
        <f t="shared" si="150"/>
        <v/>
      </c>
      <c r="BC879" s="101" t="str">
        <f t="shared" ca="1" si="153"/>
        <v/>
      </c>
      <c r="BD879" s="100" t="str">
        <f t="shared" si="151"/>
        <v/>
      </c>
      <c r="BE879" s="103" t="str">
        <f t="shared" ca="1" si="147"/>
        <v/>
      </c>
      <c r="BF879" s="102" t="str">
        <f t="shared" si="152"/>
        <v/>
      </c>
    </row>
    <row r="880" spans="48:58" hidden="1" x14ac:dyDescent="0.25">
      <c r="AV880">
        <v>850</v>
      </c>
      <c r="AW880" s="94" t="str">
        <f t="shared" ca="1" si="144"/>
        <v/>
      </c>
      <c r="AX880" s="95" t="str">
        <f t="shared" si="148"/>
        <v/>
      </c>
      <c r="AY880" s="98" t="str">
        <f t="shared" ca="1" si="145"/>
        <v/>
      </c>
      <c r="AZ880" s="95" t="str">
        <f t="shared" si="149"/>
        <v/>
      </c>
      <c r="BA880" s="99" t="str">
        <f t="shared" ca="1" si="146"/>
        <v/>
      </c>
      <c r="BB880" s="97" t="str">
        <f t="shared" si="150"/>
        <v/>
      </c>
      <c r="BC880" s="101" t="str">
        <f t="shared" ca="1" si="153"/>
        <v/>
      </c>
      <c r="BD880" s="100" t="str">
        <f t="shared" si="151"/>
        <v/>
      </c>
      <c r="BE880" s="103" t="str">
        <f t="shared" ca="1" si="147"/>
        <v/>
      </c>
      <c r="BF880" s="102" t="str">
        <f t="shared" si="152"/>
        <v/>
      </c>
    </row>
    <row r="881" spans="48:58" hidden="1" x14ac:dyDescent="0.25">
      <c r="AV881">
        <v>851</v>
      </c>
      <c r="AW881" s="94" t="str">
        <f t="shared" ca="1" si="144"/>
        <v/>
      </c>
      <c r="AX881" s="95" t="str">
        <f t="shared" si="148"/>
        <v/>
      </c>
      <c r="AY881" s="98" t="str">
        <f t="shared" ca="1" si="145"/>
        <v/>
      </c>
      <c r="AZ881" s="95" t="str">
        <f t="shared" si="149"/>
        <v/>
      </c>
      <c r="BA881" s="99" t="str">
        <f t="shared" ca="1" si="146"/>
        <v/>
      </c>
      <c r="BB881" s="97" t="str">
        <f t="shared" si="150"/>
        <v/>
      </c>
      <c r="BC881" s="101" t="str">
        <f t="shared" ca="1" si="153"/>
        <v/>
      </c>
      <c r="BD881" s="100" t="str">
        <f t="shared" si="151"/>
        <v/>
      </c>
      <c r="BE881" s="103" t="str">
        <f t="shared" ca="1" si="147"/>
        <v/>
      </c>
      <c r="BF881" s="102" t="str">
        <f t="shared" si="152"/>
        <v/>
      </c>
    </row>
    <row r="882" spans="48:58" hidden="1" x14ac:dyDescent="0.25">
      <c r="AV882">
        <v>852</v>
      </c>
      <c r="AW882" s="94" t="str">
        <f t="shared" ca="1" si="144"/>
        <v/>
      </c>
      <c r="AX882" s="95" t="str">
        <f t="shared" si="148"/>
        <v/>
      </c>
      <c r="AY882" s="98" t="str">
        <f t="shared" ca="1" si="145"/>
        <v/>
      </c>
      <c r="AZ882" s="95" t="str">
        <f t="shared" si="149"/>
        <v/>
      </c>
      <c r="BA882" s="99" t="str">
        <f t="shared" ca="1" si="146"/>
        <v/>
      </c>
      <c r="BB882" s="97" t="str">
        <f t="shared" si="150"/>
        <v/>
      </c>
      <c r="BC882" s="101" t="str">
        <f t="shared" ca="1" si="153"/>
        <v/>
      </c>
      <c r="BD882" s="100" t="str">
        <f t="shared" si="151"/>
        <v/>
      </c>
      <c r="BE882" s="103" t="str">
        <f t="shared" ca="1" si="147"/>
        <v/>
      </c>
      <c r="BF882" s="102" t="str">
        <f t="shared" si="152"/>
        <v/>
      </c>
    </row>
    <row r="883" spans="48:58" hidden="1" x14ac:dyDescent="0.25">
      <c r="AV883">
        <v>853</v>
      </c>
      <c r="AW883" s="94" t="str">
        <f t="shared" ca="1" si="144"/>
        <v/>
      </c>
      <c r="AX883" s="95" t="str">
        <f t="shared" si="148"/>
        <v/>
      </c>
      <c r="AY883" s="98" t="str">
        <f t="shared" ca="1" si="145"/>
        <v/>
      </c>
      <c r="AZ883" s="95" t="str">
        <f t="shared" si="149"/>
        <v/>
      </c>
      <c r="BA883" s="99" t="str">
        <f t="shared" ca="1" si="146"/>
        <v/>
      </c>
      <c r="BB883" s="97" t="str">
        <f t="shared" si="150"/>
        <v/>
      </c>
      <c r="BC883" s="101" t="str">
        <f t="shared" ca="1" si="153"/>
        <v/>
      </c>
      <c r="BD883" s="100" t="str">
        <f t="shared" si="151"/>
        <v/>
      </c>
      <c r="BE883" s="103" t="str">
        <f t="shared" ca="1" si="147"/>
        <v/>
      </c>
      <c r="BF883" s="102" t="str">
        <f t="shared" si="152"/>
        <v/>
      </c>
    </row>
    <row r="884" spans="48:58" hidden="1" x14ac:dyDescent="0.25">
      <c r="AV884">
        <v>854</v>
      </c>
      <c r="AW884" s="94" t="str">
        <f t="shared" ca="1" si="144"/>
        <v/>
      </c>
      <c r="AX884" s="95" t="str">
        <f t="shared" si="148"/>
        <v/>
      </c>
      <c r="AY884" s="98" t="str">
        <f t="shared" ca="1" si="145"/>
        <v/>
      </c>
      <c r="AZ884" s="95" t="str">
        <f t="shared" si="149"/>
        <v/>
      </c>
      <c r="BA884" s="99" t="str">
        <f t="shared" ca="1" si="146"/>
        <v/>
      </c>
      <c r="BB884" s="97" t="str">
        <f t="shared" si="150"/>
        <v/>
      </c>
      <c r="BC884" s="101" t="str">
        <f t="shared" ca="1" si="153"/>
        <v/>
      </c>
      <c r="BD884" s="100" t="str">
        <f t="shared" si="151"/>
        <v/>
      </c>
      <c r="BE884" s="103" t="str">
        <f t="shared" ca="1" si="147"/>
        <v/>
      </c>
      <c r="BF884" s="102" t="str">
        <f t="shared" si="152"/>
        <v/>
      </c>
    </row>
    <row r="885" spans="48:58" hidden="1" x14ac:dyDescent="0.25">
      <c r="AV885">
        <v>855</v>
      </c>
      <c r="AW885" s="94" t="str">
        <f t="shared" ca="1" si="144"/>
        <v/>
      </c>
      <c r="AX885" s="95" t="str">
        <f t="shared" si="148"/>
        <v/>
      </c>
      <c r="AY885" s="98" t="str">
        <f t="shared" ca="1" si="145"/>
        <v/>
      </c>
      <c r="AZ885" s="95" t="str">
        <f t="shared" si="149"/>
        <v/>
      </c>
      <c r="BA885" s="99" t="str">
        <f t="shared" ca="1" si="146"/>
        <v/>
      </c>
      <c r="BB885" s="97" t="str">
        <f t="shared" si="150"/>
        <v/>
      </c>
      <c r="BC885" s="101" t="str">
        <f t="shared" ca="1" si="153"/>
        <v/>
      </c>
      <c r="BD885" s="100" t="str">
        <f t="shared" si="151"/>
        <v/>
      </c>
      <c r="BE885" s="103" t="str">
        <f t="shared" ca="1" si="147"/>
        <v/>
      </c>
      <c r="BF885" s="102" t="str">
        <f t="shared" si="152"/>
        <v/>
      </c>
    </row>
    <row r="886" spans="48:58" hidden="1" x14ac:dyDescent="0.25">
      <c r="AV886">
        <v>856</v>
      </c>
      <c r="AW886" s="94" t="str">
        <f t="shared" ca="1" si="144"/>
        <v/>
      </c>
      <c r="AX886" s="95" t="str">
        <f t="shared" si="148"/>
        <v/>
      </c>
      <c r="AY886" s="98" t="str">
        <f t="shared" ca="1" si="145"/>
        <v/>
      </c>
      <c r="AZ886" s="95" t="str">
        <f t="shared" si="149"/>
        <v/>
      </c>
      <c r="BA886" s="99" t="str">
        <f t="shared" ca="1" si="146"/>
        <v/>
      </c>
      <c r="BB886" s="97" t="str">
        <f t="shared" si="150"/>
        <v/>
      </c>
      <c r="BC886" s="101" t="str">
        <f t="shared" ca="1" si="153"/>
        <v/>
      </c>
      <c r="BD886" s="100" t="str">
        <f t="shared" si="151"/>
        <v/>
      </c>
      <c r="BE886" s="103" t="str">
        <f t="shared" ca="1" si="147"/>
        <v/>
      </c>
      <c r="BF886" s="102" t="str">
        <f t="shared" si="152"/>
        <v/>
      </c>
    </row>
    <row r="887" spans="48:58" hidden="1" x14ac:dyDescent="0.25">
      <c r="AV887">
        <v>857</v>
      </c>
      <c r="AW887" s="94" t="str">
        <f t="shared" ca="1" si="144"/>
        <v/>
      </c>
      <c r="AX887" s="95" t="str">
        <f t="shared" si="148"/>
        <v/>
      </c>
      <c r="AY887" s="98" t="str">
        <f t="shared" ca="1" si="145"/>
        <v/>
      </c>
      <c r="AZ887" s="95" t="str">
        <f t="shared" si="149"/>
        <v/>
      </c>
      <c r="BA887" s="99" t="str">
        <f t="shared" ca="1" si="146"/>
        <v/>
      </c>
      <c r="BB887" s="97" t="str">
        <f t="shared" si="150"/>
        <v/>
      </c>
      <c r="BC887" s="101" t="str">
        <f t="shared" ca="1" si="153"/>
        <v/>
      </c>
      <c r="BD887" s="100" t="str">
        <f t="shared" si="151"/>
        <v/>
      </c>
      <c r="BE887" s="103" t="str">
        <f t="shared" ca="1" si="147"/>
        <v/>
      </c>
      <c r="BF887" s="102" t="str">
        <f t="shared" si="152"/>
        <v/>
      </c>
    </row>
    <row r="888" spans="48:58" hidden="1" x14ac:dyDescent="0.25">
      <c r="AV888">
        <v>858</v>
      </c>
      <c r="AW888" s="94" t="str">
        <f t="shared" ca="1" si="144"/>
        <v/>
      </c>
      <c r="AX888" s="95" t="str">
        <f t="shared" si="148"/>
        <v/>
      </c>
      <c r="AY888" s="98" t="str">
        <f t="shared" ca="1" si="145"/>
        <v/>
      </c>
      <c r="AZ888" s="95" t="str">
        <f t="shared" si="149"/>
        <v/>
      </c>
      <c r="BA888" s="99" t="str">
        <f t="shared" ca="1" si="146"/>
        <v/>
      </c>
      <c r="BB888" s="97" t="str">
        <f t="shared" si="150"/>
        <v/>
      </c>
      <c r="BC888" s="101" t="str">
        <f t="shared" ca="1" si="153"/>
        <v/>
      </c>
      <c r="BD888" s="100" t="str">
        <f t="shared" si="151"/>
        <v/>
      </c>
      <c r="BE888" s="103" t="str">
        <f t="shared" ca="1" si="147"/>
        <v/>
      </c>
      <c r="BF888" s="102" t="str">
        <f t="shared" si="152"/>
        <v/>
      </c>
    </row>
    <row r="889" spans="48:58" hidden="1" x14ac:dyDescent="0.25">
      <c r="AV889">
        <v>859</v>
      </c>
      <c r="AW889" s="94" t="str">
        <f t="shared" ca="1" si="144"/>
        <v/>
      </c>
      <c r="AX889" s="95" t="str">
        <f t="shared" si="148"/>
        <v/>
      </c>
      <c r="AY889" s="98" t="str">
        <f t="shared" ca="1" si="145"/>
        <v/>
      </c>
      <c r="AZ889" s="95" t="str">
        <f t="shared" si="149"/>
        <v/>
      </c>
      <c r="BA889" s="99" t="str">
        <f t="shared" ca="1" si="146"/>
        <v/>
      </c>
      <c r="BB889" s="97" t="str">
        <f t="shared" si="150"/>
        <v/>
      </c>
      <c r="BC889" s="101" t="str">
        <f t="shared" ca="1" si="153"/>
        <v/>
      </c>
      <c r="BD889" s="100" t="str">
        <f t="shared" si="151"/>
        <v/>
      </c>
      <c r="BE889" s="103" t="str">
        <f t="shared" ca="1" si="147"/>
        <v/>
      </c>
      <c r="BF889" s="102" t="str">
        <f t="shared" si="152"/>
        <v/>
      </c>
    </row>
    <row r="890" spans="48:58" hidden="1" x14ac:dyDescent="0.25">
      <c r="AV890">
        <v>860</v>
      </c>
      <c r="AW890" s="94" t="str">
        <f t="shared" ca="1" si="144"/>
        <v/>
      </c>
      <c r="AX890" s="95" t="str">
        <f t="shared" si="148"/>
        <v/>
      </c>
      <c r="AY890" s="98" t="str">
        <f t="shared" ca="1" si="145"/>
        <v/>
      </c>
      <c r="AZ890" s="95" t="str">
        <f t="shared" si="149"/>
        <v/>
      </c>
      <c r="BA890" s="99" t="str">
        <f t="shared" ca="1" si="146"/>
        <v/>
      </c>
      <c r="BB890" s="97" t="str">
        <f t="shared" si="150"/>
        <v/>
      </c>
      <c r="BC890" s="101" t="str">
        <f t="shared" ca="1" si="153"/>
        <v/>
      </c>
      <c r="BD890" s="100" t="str">
        <f t="shared" si="151"/>
        <v/>
      </c>
      <c r="BE890" s="103" t="str">
        <f t="shared" ca="1" si="147"/>
        <v/>
      </c>
      <c r="BF890" s="102" t="str">
        <f t="shared" si="152"/>
        <v/>
      </c>
    </row>
    <row r="891" spans="48:58" hidden="1" x14ac:dyDescent="0.25">
      <c r="AV891">
        <v>861</v>
      </c>
      <c r="AW891" s="94" t="str">
        <f t="shared" ca="1" si="144"/>
        <v/>
      </c>
      <c r="AX891" s="95" t="str">
        <f t="shared" si="148"/>
        <v/>
      </c>
      <c r="AY891" s="98" t="str">
        <f t="shared" ca="1" si="145"/>
        <v/>
      </c>
      <c r="AZ891" s="95" t="str">
        <f t="shared" si="149"/>
        <v/>
      </c>
      <c r="BA891" s="99" t="str">
        <f t="shared" ca="1" si="146"/>
        <v/>
      </c>
      <c r="BB891" s="97" t="str">
        <f t="shared" si="150"/>
        <v/>
      </c>
      <c r="BC891" s="101" t="str">
        <f t="shared" ca="1" si="153"/>
        <v/>
      </c>
      <c r="BD891" s="100" t="str">
        <f t="shared" si="151"/>
        <v/>
      </c>
      <c r="BE891" s="103" t="str">
        <f t="shared" ca="1" si="147"/>
        <v/>
      </c>
      <c r="BF891" s="102" t="str">
        <f t="shared" si="152"/>
        <v/>
      </c>
    </row>
    <row r="892" spans="48:58" hidden="1" x14ac:dyDescent="0.25">
      <c r="AV892">
        <v>862</v>
      </c>
      <c r="AW892" s="94" t="str">
        <f t="shared" ca="1" si="144"/>
        <v/>
      </c>
      <c r="AX892" s="95" t="str">
        <f t="shared" si="148"/>
        <v/>
      </c>
      <c r="AY892" s="98" t="str">
        <f t="shared" ca="1" si="145"/>
        <v/>
      </c>
      <c r="AZ892" s="95" t="str">
        <f t="shared" si="149"/>
        <v/>
      </c>
      <c r="BA892" s="99" t="str">
        <f t="shared" ca="1" si="146"/>
        <v/>
      </c>
      <c r="BB892" s="97" t="str">
        <f t="shared" si="150"/>
        <v/>
      </c>
      <c r="BC892" s="101" t="str">
        <f t="shared" ca="1" si="153"/>
        <v/>
      </c>
      <c r="BD892" s="100" t="str">
        <f t="shared" si="151"/>
        <v/>
      </c>
      <c r="BE892" s="103" t="str">
        <f t="shared" ca="1" si="147"/>
        <v/>
      </c>
      <c r="BF892" s="102" t="str">
        <f t="shared" si="152"/>
        <v/>
      </c>
    </row>
    <row r="893" spans="48:58" hidden="1" x14ac:dyDescent="0.25">
      <c r="AV893">
        <v>863</v>
      </c>
      <c r="AW893" s="94" t="str">
        <f t="shared" ca="1" si="144"/>
        <v/>
      </c>
      <c r="AX893" s="95" t="str">
        <f t="shared" si="148"/>
        <v/>
      </c>
      <c r="AY893" s="98" t="str">
        <f t="shared" ca="1" si="145"/>
        <v/>
      </c>
      <c r="AZ893" s="95" t="str">
        <f t="shared" si="149"/>
        <v/>
      </c>
      <c r="BA893" s="99" t="str">
        <f t="shared" ca="1" si="146"/>
        <v/>
      </c>
      <c r="BB893" s="97" t="str">
        <f t="shared" si="150"/>
        <v/>
      </c>
      <c r="BC893" s="101" t="str">
        <f t="shared" ca="1" si="153"/>
        <v/>
      </c>
      <c r="BD893" s="100" t="str">
        <f t="shared" si="151"/>
        <v/>
      </c>
      <c r="BE893" s="103" t="str">
        <f t="shared" ca="1" si="147"/>
        <v/>
      </c>
      <c r="BF893" s="102" t="str">
        <f t="shared" si="152"/>
        <v/>
      </c>
    </row>
    <row r="894" spans="48:58" hidden="1" x14ac:dyDescent="0.25">
      <c r="AV894">
        <v>864</v>
      </c>
      <c r="AW894" s="94" t="str">
        <f t="shared" ca="1" si="144"/>
        <v/>
      </c>
      <c r="AX894" s="95" t="str">
        <f t="shared" si="148"/>
        <v/>
      </c>
      <c r="AY894" s="98" t="str">
        <f t="shared" ca="1" si="145"/>
        <v/>
      </c>
      <c r="AZ894" s="95" t="str">
        <f t="shared" si="149"/>
        <v/>
      </c>
      <c r="BA894" s="99" t="str">
        <f t="shared" ca="1" si="146"/>
        <v/>
      </c>
      <c r="BB894" s="97" t="str">
        <f t="shared" si="150"/>
        <v/>
      </c>
      <c r="BC894" s="101" t="str">
        <f t="shared" ca="1" si="153"/>
        <v/>
      </c>
      <c r="BD894" s="100" t="str">
        <f t="shared" si="151"/>
        <v/>
      </c>
      <c r="BE894" s="103" t="str">
        <f t="shared" ca="1" si="147"/>
        <v/>
      </c>
      <c r="BF894" s="102" t="str">
        <f t="shared" si="152"/>
        <v/>
      </c>
    </row>
    <row r="895" spans="48:58" hidden="1" x14ac:dyDescent="0.25">
      <c r="AV895">
        <v>865</v>
      </c>
      <c r="AW895" s="94" t="str">
        <f t="shared" ca="1" si="144"/>
        <v/>
      </c>
      <c r="AX895" s="95" t="str">
        <f t="shared" si="148"/>
        <v/>
      </c>
      <c r="AY895" s="98" t="str">
        <f t="shared" ca="1" si="145"/>
        <v/>
      </c>
      <c r="AZ895" s="95" t="str">
        <f t="shared" si="149"/>
        <v/>
      </c>
      <c r="BA895" s="99" t="str">
        <f t="shared" ca="1" si="146"/>
        <v/>
      </c>
      <c r="BB895" s="97" t="str">
        <f t="shared" si="150"/>
        <v/>
      </c>
      <c r="BC895" s="101" t="str">
        <f t="shared" ca="1" si="153"/>
        <v/>
      </c>
      <c r="BD895" s="100" t="str">
        <f t="shared" si="151"/>
        <v/>
      </c>
      <c r="BE895" s="103" t="str">
        <f t="shared" ca="1" si="147"/>
        <v/>
      </c>
      <c r="BF895" s="102" t="str">
        <f t="shared" si="152"/>
        <v/>
      </c>
    </row>
    <row r="896" spans="48:58" hidden="1" x14ac:dyDescent="0.25">
      <c r="AV896">
        <v>866</v>
      </c>
      <c r="AW896" s="94" t="str">
        <f t="shared" ca="1" si="144"/>
        <v/>
      </c>
      <c r="AX896" s="95" t="str">
        <f t="shared" si="148"/>
        <v/>
      </c>
      <c r="AY896" s="98" t="str">
        <f t="shared" ca="1" si="145"/>
        <v/>
      </c>
      <c r="AZ896" s="95" t="str">
        <f t="shared" si="149"/>
        <v/>
      </c>
      <c r="BA896" s="99" t="str">
        <f t="shared" ca="1" si="146"/>
        <v/>
      </c>
      <c r="BB896" s="97" t="str">
        <f t="shared" si="150"/>
        <v/>
      </c>
      <c r="BC896" s="101" t="str">
        <f t="shared" ca="1" si="153"/>
        <v/>
      </c>
      <c r="BD896" s="100" t="str">
        <f t="shared" si="151"/>
        <v/>
      </c>
      <c r="BE896" s="103" t="str">
        <f t="shared" ca="1" si="147"/>
        <v/>
      </c>
      <c r="BF896" s="102" t="str">
        <f t="shared" si="152"/>
        <v/>
      </c>
    </row>
    <row r="897" spans="48:58" hidden="1" x14ac:dyDescent="0.25">
      <c r="AV897">
        <v>867</v>
      </c>
      <c r="AW897" s="94" t="str">
        <f t="shared" ca="1" si="144"/>
        <v/>
      </c>
      <c r="AX897" s="95" t="str">
        <f t="shared" si="148"/>
        <v/>
      </c>
      <c r="AY897" s="98" t="str">
        <f t="shared" ca="1" si="145"/>
        <v/>
      </c>
      <c r="AZ897" s="95" t="str">
        <f t="shared" si="149"/>
        <v/>
      </c>
      <c r="BA897" s="99" t="str">
        <f t="shared" ca="1" si="146"/>
        <v/>
      </c>
      <c r="BB897" s="97" t="str">
        <f t="shared" si="150"/>
        <v/>
      </c>
      <c r="BC897" s="101" t="str">
        <f t="shared" ca="1" si="153"/>
        <v/>
      </c>
      <c r="BD897" s="100" t="str">
        <f t="shared" si="151"/>
        <v/>
      </c>
      <c r="BE897" s="103" t="str">
        <f t="shared" ca="1" si="147"/>
        <v/>
      </c>
      <c r="BF897" s="102" t="str">
        <f t="shared" si="152"/>
        <v/>
      </c>
    </row>
    <row r="898" spans="48:58" hidden="1" x14ac:dyDescent="0.25">
      <c r="AV898">
        <v>868</v>
      </c>
      <c r="AW898" s="94" t="str">
        <f t="shared" ca="1" si="144"/>
        <v/>
      </c>
      <c r="AX898" s="95" t="str">
        <f t="shared" si="148"/>
        <v/>
      </c>
      <c r="AY898" s="98" t="str">
        <f t="shared" ca="1" si="145"/>
        <v/>
      </c>
      <c r="AZ898" s="95" t="str">
        <f t="shared" si="149"/>
        <v/>
      </c>
      <c r="BA898" s="99" t="str">
        <f t="shared" ca="1" si="146"/>
        <v/>
      </c>
      <c r="BB898" s="97" t="str">
        <f t="shared" si="150"/>
        <v/>
      </c>
      <c r="BC898" s="101" t="str">
        <f t="shared" ca="1" si="153"/>
        <v/>
      </c>
      <c r="BD898" s="100" t="str">
        <f t="shared" si="151"/>
        <v/>
      </c>
      <c r="BE898" s="103" t="str">
        <f t="shared" ca="1" si="147"/>
        <v/>
      </c>
      <c r="BF898" s="102" t="str">
        <f t="shared" si="152"/>
        <v/>
      </c>
    </row>
    <row r="899" spans="48:58" hidden="1" x14ac:dyDescent="0.25">
      <c r="AV899">
        <v>869</v>
      </c>
      <c r="AW899" s="94" t="str">
        <f t="shared" ca="1" si="144"/>
        <v/>
      </c>
      <c r="AX899" s="95" t="str">
        <f t="shared" si="148"/>
        <v/>
      </c>
      <c r="AY899" s="98" t="str">
        <f t="shared" ca="1" si="145"/>
        <v/>
      </c>
      <c r="AZ899" s="95" t="str">
        <f t="shared" si="149"/>
        <v/>
      </c>
      <c r="BA899" s="99" t="str">
        <f t="shared" ca="1" si="146"/>
        <v/>
      </c>
      <c r="BB899" s="97" t="str">
        <f t="shared" si="150"/>
        <v/>
      </c>
      <c r="BC899" s="101" t="str">
        <f t="shared" ca="1" si="153"/>
        <v/>
      </c>
      <c r="BD899" s="100" t="str">
        <f t="shared" si="151"/>
        <v/>
      </c>
      <c r="BE899" s="103" t="str">
        <f t="shared" ca="1" si="147"/>
        <v/>
      </c>
      <c r="BF899" s="102" t="str">
        <f t="shared" si="152"/>
        <v/>
      </c>
    </row>
    <row r="900" spans="48:58" hidden="1" x14ac:dyDescent="0.25">
      <c r="AV900">
        <v>870</v>
      </c>
      <c r="AW900" s="94" t="str">
        <f t="shared" ca="1" si="144"/>
        <v/>
      </c>
      <c r="AX900" s="95" t="str">
        <f t="shared" si="148"/>
        <v/>
      </c>
      <c r="AY900" s="98" t="str">
        <f t="shared" ca="1" si="145"/>
        <v/>
      </c>
      <c r="AZ900" s="95" t="str">
        <f t="shared" si="149"/>
        <v/>
      </c>
      <c r="BA900" s="99" t="str">
        <f t="shared" ca="1" si="146"/>
        <v/>
      </c>
      <c r="BB900" s="97" t="str">
        <f t="shared" si="150"/>
        <v/>
      </c>
      <c r="BC900" s="101" t="str">
        <f t="shared" ca="1" si="153"/>
        <v/>
      </c>
      <c r="BD900" s="100" t="str">
        <f t="shared" si="151"/>
        <v/>
      </c>
      <c r="BE900" s="103" t="str">
        <f t="shared" ca="1" si="147"/>
        <v/>
      </c>
      <c r="BF900" s="102" t="str">
        <f t="shared" si="152"/>
        <v/>
      </c>
    </row>
    <row r="901" spans="48:58" hidden="1" x14ac:dyDescent="0.25">
      <c r="AV901">
        <v>871</v>
      </c>
      <c r="AW901" s="94" t="str">
        <f t="shared" ca="1" si="144"/>
        <v/>
      </c>
      <c r="AX901" s="95" t="str">
        <f t="shared" si="148"/>
        <v/>
      </c>
      <c r="AY901" s="98" t="str">
        <f t="shared" ca="1" si="145"/>
        <v/>
      </c>
      <c r="AZ901" s="95" t="str">
        <f t="shared" si="149"/>
        <v/>
      </c>
      <c r="BA901" s="99" t="str">
        <f t="shared" ca="1" si="146"/>
        <v/>
      </c>
      <c r="BB901" s="97" t="str">
        <f t="shared" si="150"/>
        <v/>
      </c>
      <c r="BC901" s="101" t="str">
        <f t="shared" ca="1" si="153"/>
        <v/>
      </c>
      <c r="BD901" s="100" t="str">
        <f t="shared" si="151"/>
        <v/>
      </c>
      <c r="BE901" s="103" t="str">
        <f t="shared" ca="1" si="147"/>
        <v/>
      </c>
      <c r="BF901" s="102" t="str">
        <f t="shared" si="152"/>
        <v/>
      </c>
    </row>
    <row r="902" spans="48:58" hidden="1" x14ac:dyDescent="0.25">
      <c r="AV902">
        <v>872</v>
      </c>
      <c r="AW902" s="94" t="str">
        <f t="shared" ca="1" si="144"/>
        <v/>
      </c>
      <c r="AX902" s="95" t="str">
        <f t="shared" si="148"/>
        <v/>
      </c>
      <c r="AY902" s="98" t="str">
        <f t="shared" ca="1" si="145"/>
        <v/>
      </c>
      <c r="AZ902" s="95" t="str">
        <f t="shared" si="149"/>
        <v/>
      </c>
      <c r="BA902" s="99" t="str">
        <f t="shared" ca="1" si="146"/>
        <v/>
      </c>
      <c r="BB902" s="97" t="str">
        <f t="shared" si="150"/>
        <v/>
      </c>
      <c r="BC902" s="101" t="str">
        <f t="shared" ca="1" si="153"/>
        <v/>
      </c>
      <c r="BD902" s="100" t="str">
        <f t="shared" si="151"/>
        <v/>
      </c>
      <c r="BE902" s="103" t="str">
        <f t="shared" ca="1" si="147"/>
        <v/>
      </c>
      <c r="BF902" s="102" t="str">
        <f t="shared" si="152"/>
        <v/>
      </c>
    </row>
    <row r="903" spans="48:58" hidden="1" x14ac:dyDescent="0.25">
      <c r="AV903">
        <v>873</v>
      </c>
      <c r="AW903" s="94" t="str">
        <f t="shared" ca="1" si="144"/>
        <v/>
      </c>
      <c r="AX903" s="95" t="str">
        <f t="shared" si="148"/>
        <v/>
      </c>
      <c r="AY903" s="98" t="str">
        <f t="shared" ca="1" si="145"/>
        <v/>
      </c>
      <c r="AZ903" s="95" t="str">
        <f t="shared" si="149"/>
        <v/>
      </c>
      <c r="BA903" s="99" t="str">
        <f t="shared" ca="1" si="146"/>
        <v/>
      </c>
      <c r="BB903" s="97" t="str">
        <f t="shared" si="150"/>
        <v/>
      </c>
      <c r="BC903" s="101" t="str">
        <f t="shared" ca="1" si="153"/>
        <v/>
      </c>
      <c r="BD903" s="100" t="str">
        <f t="shared" si="151"/>
        <v/>
      </c>
      <c r="BE903" s="103" t="str">
        <f t="shared" ca="1" si="147"/>
        <v/>
      </c>
      <c r="BF903" s="102" t="str">
        <f t="shared" si="152"/>
        <v/>
      </c>
    </row>
    <row r="904" spans="48:58" hidden="1" x14ac:dyDescent="0.25">
      <c r="AV904">
        <v>874</v>
      </c>
      <c r="AW904" s="94" t="str">
        <f t="shared" ca="1" si="144"/>
        <v/>
      </c>
      <c r="AX904" s="95" t="str">
        <f t="shared" si="148"/>
        <v/>
      </c>
      <c r="AY904" s="98" t="str">
        <f t="shared" ca="1" si="145"/>
        <v/>
      </c>
      <c r="AZ904" s="95" t="str">
        <f t="shared" si="149"/>
        <v/>
      </c>
      <c r="BA904" s="99" t="str">
        <f t="shared" ca="1" si="146"/>
        <v/>
      </c>
      <c r="BB904" s="97" t="str">
        <f t="shared" si="150"/>
        <v/>
      </c>
      <c r="BC904" s="101" t="str">
        <f t="shared" ca="1" si="153"/>
        <v/>
      </c>
      <c r="BD904" s="100" t="str">
        <f t="shared" si="151"/>
        <v/>
      </c>
      <c r="BE904" s="103" t="str">
        <f t="shared" ca="1" si="147"/>
        <v/>
      </c>
      <c r="BF904" s="102" t="str">
        <f t="shared" si="152"/>
        <v/>
      </c>
    </row>
    <row r="905" spans="48:58" hidden="1" x14ac:dyDescent="0.25">
      <c r="AV905">
        <v>875</v>
      </c>
      <c r="AW905" s="94" t="str">
        <f t="shared" ca="1" si="144"/>
        <v/>
      </c>
      <c r="AX905" s="95" t="str">
        <f t="shared" si="148"/>
        <v/>
      </c>
      <c r="AY905" s="98" t="str">
        <f t="shared" ca="1" si="145"/>
        <v/>
      </c>
      <c r="AZ905" s="95" t="str">
        <f t="shared" si="149"/>
        <v/>
      </c>
      <c r="BA905" s="99" t="str">
        <f t="shared" ca="1" si="146"/>
        <v/>
      </c>
      <c r="BB905" s="97" t="str">
        <f t="shared" si="150"/>
        <v/>
      </c>
      <c r="BC905" s="101" t="str">
        <f t="shared" ca="1" si="153"/>
        <v/>
      </c>
      <c r="BD905" s="100" t="str">
        <f t="shared" si="151"/>
        <v/>
      </c>
      <c r="BE905" s="103" t="str">
        <f t="shared" ca="1" si="147"/>
        <v/>
      </c>
      <c r="BF905" s="102" t="str">
        <f t="shared" si="152"/>
        <v/>
      </c>
    </row>
    <row r="906" spans="48:58" hidden="1" x14ac:dyDescent="0.25">
      <c r="AV906">
        <v>876</v>
      </c>
      <c r="AW906" s="94" t="str">
        <f t="shared" ca="1" si="144"/>
        <v/>
      </c>
      <c r="AX906" s="95" t="str">
        <f t="shared" si="148"/>
        <v/>
      </c>
      <c r="AY906" s="98" t="str">
        <f t="shared" ca="1" si="145"/>
        <v/>
      </c>
      <c r="AZ906" s="95" t="str">
        <f t="shared" si="149"/>
        <v/>
      </c>
      <c r="BA906" s="99" t="str">
        <f t="shared" ca="1" si="146"/>
        <v/>
      </c>
      <c r="BB906" s="97" t="str">
        <f t="shared" si="150"/>
        <v/>
      </c>
      <c r="BC906" s="101" t="str">
        <f t="shared" ca="1" si="153"/>
        <v/>
      </c>
      <c r="BD906" s="100" t="str">
        <f t="shared" si="151"/>
        <v/>
      </c>
      <c r="BE906" s="103" t="str">
        <f t="shared" ca="1" si="147"/>
        <v/>
      </c>
      <c r="BF906" s="102" t="str">
        <f t="shared" si="152"/>
        <v/>
      </c>
    </row>
    <row r="907" spans="48:58" hidden="1" x14ac:dyDescent="0.25">
      <c r="AV907">
        <v>877</v>
      </c>
      <c r="AW907" s="94" t="str">
        <f t="shared" ca="1" si="144"/>
        <v/>
      </c>
      <c r="AX907" s="95" t="str">
        <f t="shared" si="148"/>
        <v/>
      </c>
      <c r="AY907" s="98" t="str">
        <f t="shared" ca="1" si="145"/>
        <v/>
      </c>
      <c r="AZ907" s="95" t="str">
        <f t="shared" si="149"/>
        <v/>
      </c>
      <c r="BA907" s="99" t="str">
        <f t="shared" ca="1" si="146"/>
        <v/>
      </c>
      <c r="BB907" s="97" t="str">
        <f t="shared" si="150"/>
        <v/>
      </c>
      <c r="BC907" s="101" t="str">
        <f t="shared" ca="1" si="153"/>
        <v/>
      </c>
      <c r="BD907" s="100" t="str">
        <f t="shared" si="151"/>
        <v/>
      </c>
      <c r="BE907" s="103" t="str">
        <f t="shared" ca="1" si="147"/>
        <v/>
      </c>
      <c r="BF907" s="102" t="str">
        <f t="shared" si="152"/>
        <v/>
      </c>
    </row>
    <row r="908" spans="48:58" hidden="1" x14ac:dyDescent="0.25">
      <c r="AV908">
        <v>878</v>
      </c>
      <c r="AW908" s="94" t="str">
        <f t="shared" ca="1" si="144"/>
        <v/>
      </c>
      <c r="AX908" s="95" t="str">
        <f t="shared" si="148"/>
        <v/>
      </c>
      <c r="AY908" s="98" t="str">
        <f t="shared" ca="1" si="145"/>
        <v/>
      </c>
      <c r="AZ908" s="95" t="str">
        <f t="shared" si="149"/>
        <v/>
      </c>
      <c r="BA908" s="99" t="str">
        <f t="shared" ca="1" si="146"/>
        <v/>
      </c>
      <c r="BB908" s="97" t="str">
        <f t="shared" si="150"/>
        <v/>
      </c>
      <c r="BC908" s="101" t="str">
        <f t="shared" ca="1" si="153"/>
        <v/>
      </c>
      <c r="BD908" s="100" t="str">
        <f t="shared" si="151"/>
        <v/>
      </c>
      <c r="BE908" s="103" t="str">
        <f t="shared" ca="1" si="147"/>
        <v/>
      </c>
      <c r="BF908" s="102" t="str">
        <f t="shared" si="152"/>
        <v/>
      </c>
    </row>
    <row r="909" spans="48:58" hidden="1" x14ac:dyDescent="0.25">
      <c r="AV909">
        <v>879</v>
      </c>
      <c r="AW909" s="94" t="str">
        <f t="shared" ca="1" si="144"/>
        <v/>
      </c>
      <c r="AX909" s="95" t="str">
        <f t="shared" si="148"/>
        <v/>
      </c>
      <c r="AY909" s="98" t="str">
        <f t="shared" ca="1" si="145"/>
        <v/>
      </c>
      <c r="AZ909" s="95" t="str">
        <f t="shared" si="149"/>
        <v/>
      </c>
      <c r="BA909" s="99" t="str">
        <f t="shared" ca="1" si="146"/>
        <v/>
      </c>
      <c r="BB909" s="97" t="str">
        <f t="shared" si="150"/>
        <v/>
      </c>
      <c r="BC909" s="101" t="str">
        <f t="shared" ca="1" si="153"/>
        <v/>
      </c>
      <c r="BD909" s="100" t="str">
        <f t="shared" si="151"/>
        <v/>
      </c>
      <c r="BE909" s="103" t="str">
        <f t="shared" ca="1" si="147"/>
        <v/>
      </c>
      <c r="BF909" s="102" t="str">
        <f t="shared" si="152"/>
        <v/>
      </c>
    </row>
    <row r="910" spans="48:58" hidden="1" x14ac:dyDescent="0.25">
      <c r="AV910">
        <v>880</v>
      </c>
      <c r="AW910" s="94" t="str">
        <f t="shared" ca="1" si="144"/>
        <v/>
      </c>
      <c r="AX910" s="95" t="str">
        <f t="shared" si="148"/>
        <v/>
      </c>
      <c r="AY910" s="98" t="str">
        <f t="shared" ca="1" si="145"/>
        <v/>
      </c>
      <c r="AZ910" s="95" t="str">
        <f t="shared" si="149"/>
        <v/>
      </c>
      <c r="BA910" s="99" t="str">
        <f t="shared" ca="1" si="146"/>
        <v/>
      </c>
      <c r="BB910" s="97" t="str">
        <f t="shared" si="150"/>
        <v/>
      </c>
      <c r="BC910" s="101" t="str">
        <f t="shared" ca="1" si="153"/>
        <v/>
      </c>
      <c r="BD910" s="100" t="str">
        <f t="shared" si="151"/>
        <v/>
      </c>
      <c r="BE910" s="103" t="str">
        <f t="shared" ca="1" si="147"/>
        <v/>
      </c>
      <c r="BF910" s="102" t="str">
        <f t="shared" si="152"/>
        <v/>
      </c>
    </row>
    <row r="911" spans="48:58" hidden="1" x14ac:dyDescent="0.25">
      <c r="AV911">
        <v>881</v>
      </c>
      <c r="AW911" s="94" t="str">
        <f t="shared" ca="1" si="144"/>
        <v/>
      </c>
      <c r="AX911" s="95" t="str">
        <f t="shared" si="148"/>
        <v/>
      </c>
      <c r="AY911" s="98" t="str">
        <f t="shared" ca="1" si="145"/>
        <v/>
      </c>
      <c r="AZ911" s="95" t="str">
        <f t="shared" si="149"/>
        <v/>
      </c>
      <c r="BA911" s="99" t="str">
        <f t="shared" ca="1" si="146"/>
        <v/>
      </c>
      <c r="BB911" s="97" t="str">
        <f t="shared" si="150"/>
        <v/>
      </c>
      <c r="BC911" s="101" t="str">
        <f t="shared" ca="1" si="153"/>
        <v/>
      </c>
      <c r="BD911" s="100" t="str">
        <f t="shared" si="151"/>
        <v/>
      </c>
      <c r="BE911" s="103" t="str">
        <f t="shared" ca="1" si="147"/>
        <v/>
      </c>
      <c r="BF911" s="102" t="str">
        <f t="shared" si="152"/>
        <v/>
      </c>
    </row>
    <row r="912" spans="48:58" hidden="1" x14ac:dyDescent="0.25">
      <c r="AV912">
        <v>882</v>
      </c>
      <c r="AW912" s="94" t="str">
        <f t="shared" ca="1" si="144"/>
        <v/>
      </c>
      <c r="AX912" s="95" t="str">
        <f t="shared" si="148"/>
        <v/>
      </c>
      <c r="AY912" s="98" t="str">
        <f t="shared" ca="1" si="145"/>
        <v/>
      </c>
      <c r="AZ912" s="95" t="str">
        <f t="shared" si="149"/>
        <v/>
      </c>
      <c r="BA912" s="99" t="str">
        <f t="shared" ca="1" si="146"/>
        <v/>
      </c>
      <c r="BB912" s="97" t="str">
        <f t="shared" si="150"/>
        <v/>
      </c>
      <c r="BC912" s="101" t="str">
        <f t="shared" ca="1" si="153"/>
        <v/>
      </c>
      <c r="BD912" s="100" t="str">
        <f t="shared" si="151"/>
        <v/>
      </c>
      <c r="BE912" s="103" t="str">
        <f t="shared" ca="1" si="147"/>
        <v/>
      </c>
      <c r="BF912" s="102" t="str">
        <f t="shared" si="152"/>
        <v/>
      </c>
    </row>
    <row r="913" spans="48:58" hidden="1" x14ac:dyDescent="0.25">
      <c r="AV913">
        <v>883</v>
      </c>
      <c r="AW913" s="94" t="str">
        <f t="shared" ca="1" si="144"/>
        <v/>
      </c>
      <c r="AX913" s="95" t="str">
        <f t="shared" si="148"/>
        <v/>
      </c>
      <c r="AY913" s="98" t="str">
        <f t="shared" ca="1" si="145"/>
        <v/>
      </c>
      <c r="AZ913" s="95" t="str">
        <f t="shared" si="149"/>
        <v/>
      </c>
      <c r="BA913" s="99" t="str">
        <f t="shared" ca="1" si="146"/>
        <v/>
      </c>
      <c r="BB913" s="97" t="str">
        <f t="shared" si="150"/>
        <v/>
      </c>
      <c r="BC913" s="101" t="str">
        <f t="shared" ca="1" si="153"/>
        <v/>
      </c>
      <c r="BD913" s="100" t="str">
        <f t="shared" si="151"/>
        <v/>
      </c>
      <c r="BE913" s="103" t="str">
        <f t="shared" ca="1" si="147"/>
        <v/>
      </c>
      <c r="BF913" s="102" t="str">
        <f t="shared" si="152"/>
        <v/>
      </c>
    </row>
    <row r="914" spans="48:58" hidden="1" x14ac:dyDescent="0.25">
      <c r="AV914">
        <v>884</v>
      </c>
      <c r="AW914" s="94" t="str">
        <f t="shared" ca="1" si="144"/>
        <v/>
      </c>
      <c r="AX914" s="95" t="str">
        <f t="shared" si="148"/>
        <v/>
      </c>
      <c r="AY914" s="98" t="str">
        <f t="shared" ca="1" si="145"/>
        <v/>
      </c>
      <c r="AZ914" s="95" t="str">
        <f t="shared" si="149"/>
        <v/>
      </c>
      <c r="BA914" s="99" t="str">
        <f t="shared" ca="1" si="146"/>
        <v/>
      </c>
      <c r="BB914" s="97" t="str">
        <f t="shared" si="150"/>
        <v/>
      </c>
      <c r="BC914" s="101" t="str">
        <f t="shared" ca="1" si="153"/>
        <v/>
      </c>
      <c r="BD914" s="100" t="str">
        <f t="shared" si="151"/>
        <v/>
      </c>
      <c r="BE914" s="103" t="str">
        <f t="shared" ca="1" si="147"/>
        <v/>
      </c>
      <c r="BF914" s="102" t="str">
        <f t="shared" si="152"/>
        <v/>
      </c>
    </row>
    <row r="915" spans="48:58" hidden="1" x14ac:dyDescent="0.25">
      <c r="AV915">
        <v>885</v>
      </c>
      <c r="AW915" s="94" t="str">
        <f t="shared" ca="1" si="144"/>
        <v/>
      </c>
      <c r="AX915" s="95" t="str">
        <f t="shared" si="148"/>
        <v/>
      </c>
      <c r="AY915" s="98" t="str">
        <f t="shared" ca="1" si="145"/>
        <v/>
      </c>
      <c r="AZ915" s="95" t="str">
        <f t="shared" si="149"/>
        <v/>
      </c>
      <c r="BA915" s="99" t="str">
        <f t="shared" ca="1" si="146"/>
        <v/>
      </c>
      <c r="BB915" s="97" t="str">
        <f t="shared" si="150"/>
        <v/>
      </c>
      <c r="BC915" s="101" t="str">
        <f t="shared" ca="1" si="153"/>
        <v/>
      </c>
      <c r="BD915" s="100" t="str">
        <f t="shared" si="151"/>
        <v/>
      </c>
      <c r="BE915" s="103" t="str">
        <f t="shared" ca="1" si="147"/>
        <v/>
      </c>
      <c r="BF915" s="102" t="str">
        <f t="shared" si="152"/>
        <v/>
      </c>
    </row>
    <row r="916" spans="48:58" hidden="1" x14ac:dyDescent="0.25">
      <c r="AV916">
        <v>886</v>
      </c>
      <c r="AW916" s="94" t="str">
        <f t="shared" ca="1" si="144"/>
        <v/>
      </c>
      <c r="AX916" s="95" t="str">
        <f t="shared" si="148"/>
        <v/>
      </c>
      <c r="AY916" s="98" t="str">
        <f t="shared" ca="1" si="145"/>
        <v/>
      </c>
      <c r="AZ916" s="95" t="str">
        <f t="shared" si="149"/>
        <v/>
      </c>
      <c r="BA916" s="99" t="str">
        <f t="shared" ca="1" si="146"/>
        <v/>
      </c>
      <c r="BB916" s="97" t="str">
        <f t="shared" si="150"/>
        <v/>
      </c>
      <c r="BC916" s="101" t="str">
        <f t="shared" ca="1" si="153"/>
        <v/>
      </c>
      <c r="BD916" s="100" t="str">
        <f t="shared" si="151"/>
        <v/>
      </c>
      <c r="BE916" s="103" t="str">
        <f t="shared" ca="1" si="147"/>
        <v/>
      </c>
      <c r="BF916" s="102" t="str">
        <f t="shared" si="152"/>
        <v/>
      </c>
    </row>
    <row r="917" spans="48:58" hidden="1" x14ac:dyDescent="0.25">
      <c r="AV917">
        <v>887</v>
      </c>
      <c r="AW917" s="94" t="str">
        <f t="shared" ca="1" si="144"/>
        <v/>
      </c>
      <c r="AX917" s="95" t="str">
        <f t="shared" si="148"/>
        <v/>
      </c>
      <c r="AY917" s="98" t="str">
        <f t="shared" ca="1" si="145"/>
        <v/>
      </c>
      <c r="AZ917" s="95" t="str">
        <f t="shared" si="149"/>
        <v/>
      </c>
      <c r="BA917" s="99" t="str">
        <f t="shared" ca="1" si="146"/>
        <v/>
      </c>
      <c r="BB917" s="97" t="str">
        <f t="shared" si="150"/>
        <v/>
      </c>
      <c r="BC917" s="101" t="str">
        <f t="shared" ca="1" si="153"/>
        <v/>
      </c>
      <c r="BD917" s="100" t="str">
        <f t="shared" si="151"/>
        <v/>
      </c>
      <c r="BE917" s="103" t="str">
        <f t="shared" ca="1" si="147"/>
        <v/>
      </c>
      <c r="BF917" s="102" t="str">
        <f t="shared" si="152"/>
        <v/>
      </c>
    </row>
    <row r="918" spans="48:58" hidden="1" x14ac:dyDescent="0.25">
      <c r="AV918">
        <v>888</v>
      </c>
      <c r="AW918" s="94" t="str">
        <f t="shared" ca="1" si="144"/>
        <v/>
      </c>
      <c r="AX918" s="95" t="str">
        <f t="shared" si="148"/>
        <v/>
      </c>
      <c r="AY918" s="98" t="str">
        <f t="shared" ca="1" si="145"/>
        <v/>
      </c>
      <c r="AZ918" s="95" t="str">
        <f t="shared" si="149"/>
        <v/>
      </c>
      <c r="BA918" s="99" t="str">
        <f t="shared" ca="1" si="146"/>
        <v/>
      </c>
      <c r="BB918" s="97" t="str">
        <f t="shared" si="150"/>
        <v/>
      </c>
      <c r="BC918" s="101" t="str">
        <f t="shared" ca="1" si="153"/>
        <v/>
      </c>
      <c r="BD918" s="100" t="str">
        <f t="shared" si="151"/>
        <v/>
      </c>
      <c r="BE918" s="103" t="str">
        <f t="shared" ca="1" si="147"/>
        <v/>
      </c>
      <c r="BF918" s="102" t="str">
        <f t="shared" si="152"/>
        <v/>
      </c>
    </row>
    <row r="919" spans="48:58" hidden="1" x14ac:dyDescent="0.25">
      <c r="AV919">
        <v>889</v>
      </c>
      <c r="AW919" s="94" t="str">
        <f t="shared" ca="1" si="144"/>
        <v/>
      </c>
      <c r="AX919" s="95" t="str">
        <f t="shared" si="148"/>
        <v/>
      </c>
      <c r="AY919" s="98" t="str">
        <f t="shared" ca="1" si="145"/>
        <v/>
      </c>
      <c r="AZ919" s="95" t="str">
        <f t="shared" si="149"/>
        <v/>
      </c>
      <c r="BA919" s="99" t="str">
        <f t="shared" ca="1" si="146"/>
        <v/>
      </c>
      <c r="BB919" s="97" t="str">
        <f t="shared" si="150"/>
        <v/>
      </c>
      <c r="BC919" s="101" t="str">
        <f t="shared" ca="1" si="153"/>
        <v/>
      </c>
      <c r="BD919" s="100" t="str">
        <f t="shared" si="151"/>
        <v/>
      </c>
      <c r="BE919" s="103" t="str">
        <f t="shared" ca="1" si="147"/>
        <v/>
      </c>
      <c r="BF919" s="102" t="str">
        <f t="shared" si="152"/>
        <v/>
      </c>
    </row>
    <row r="920" spans="48:58" hidden="1" x14ac:dyDescent="0.25">
      <c r="AV920">
        <v>890</v>
      </c>
      <c r="AW920" s="94" t="str">
        <f t="shared" ca="1" si="144"/>
        <v/>
      </c>
      <c r="AX920" s="95" t="str">
        <f t="shared" si="148"/>
        <v/>
      </c>
      <c r="AY920" s="98" t="str">
        <f t="shared" ca="1" si="145"/>
        <v/>
      </c>
      <c r="AZ920" s="95" t="str">
        <f t="shared" si="149"/>
        <v/>
      </c>
      <c r="BA920" s="99" t="str">
        <f t="shared" ca="1" si="146"/>
        <v/>
      </c>
      <c r="BB920" s="97" t="str">
        <f t="shared" si="150"/>
        <v/>
      </c>
      <c r="BC920" s="101" t="str">
        <f t="shared" ca="1" si="153"/>
        <v/>
      </c>
      <c r="BD920" s="100" t="str">
        <f t="shared" si="151"/>
        <v/>
      </c>
      <c r="BE920" s="103" t="str">
        <f t="shared" ca="1" si="147"/>
        <v/>
      </c>
      <c r="BF920" s="102" t="str">
        <f t="shared" si="152"/>
        <v/>
      </c>
    </row>
    <row r="921" spans="48:58" hidden="1" x14ac:dyDescent="0.25">
      <c r="AV921">
        <v>891</v>
      </c>
      <c r="AW921" s="94" t="str">
        <f t="shared" ca="1" si="144"/>
        <v/>
      </c>
      <c r="AX921" s="95" t="str">
        <f t="shared" si="148"/>
        <v/>
      </c>
      <c r="AY921" s="98" t="str">
        <f t="shared" ca="1" si="145"/>
        <v/>
      </c>
      <c r="AZ921" s="95" t="str">
        <f t="shared" si="149"/>
        <v/>
      </c>
      <c r="BA921" s="99" t="str">
        <f t="shared" ca="1" si="146"/>
        <v/>
      </c>
      <c r="BB921" s="97" t="str">
        <f t="shared" si="150"/>
        <v/>
      </c>
      <c r="BC921" s="101" t="str">
        <f t="shared" ca="1" si="153"/>
        <v/>
      </c>
      <c r="BD921" s="100" t="str">
        <f t="shared" si="151"/>
        <v/>
      </c>
      <c r="BE921" s="103" t="str">
        <f t="shared" ca="1" si="147"/>
        <v/>
      </c>
      <c r="BF921" s="102" t="str">
        <f t="shared" si="152"/>
        <v/>
      </c>
    </row>
    <row r="922" spans="48:58" hidden="1" x14ac:dyDescent="0.25">
      <c r="AV922">
        <v>892</v>
      </c>
      <c r="AW922" s="94" t="str">
        <f t="shared" ca="1" si="144"/>
        <v/>
      </c>
      <c r="AX922" s="95" t="str">
        <f t="shared" si="148"/>
        <v/>
      </c>
      <c r="AY922" s="98" t="str">
        <f t="shared" ca="1" si="145"/>
        <v/>
      </c>
      <c r="AZ922" s="95" t="str">
        <f t="shared" si="149"/>
        <v/>
      </c>
      <c r="BA922" s="99" t="str">
        <f t="shared" ca="1" si="146"/>
        <v/>
      </c>
      <c r="BB922" s="97" t="str">
        <f t="shared" si="150"/>
        <v/>
      </c>
      <c r="BC922" s="101" t="str">
        <f t="shared" ca="1" si="153"/>
        <v/>
      </c>
      <c r="BD922" s="100" t="str">
        <f t="shared" si="151"/>
        <v/>
      </c>
      <c r="BE922" s="103" t="str">
        <f t="shared" ca="1" si="147"/>
        <v/>
      </c>
      <c r="BF922" s="102" t="str">
        <f t="shared" si="152"/>
        <v/>
      </c>
    </row>
    <row r="923" spans="48:58" hidden="1" x14ac:dyDescent="0.25">
      <c r="AV923">
        <v>893</v>
      </c>
      <c r="AW923" s="94" t="str">
        <f t="shared" ca="1" si="144"/>
        <v/>
      </c>
      <c r="AX923" s="95" t="str">
        <f t="shared" si="148"/>
        <v/>
      </c>
      <c r="AY923" s="98" t="str">
        <f t="shared" ca="1" si="145"/>
        <v/>
      </c>
      <c r="AZ923" s="95" t="str">
        <f t="shared" si="149"/>
        <v/>
      </c>
      <c r="BA923" s="99" t="str">
        <f t="shared" ca="1" si="146"/>
        <v/>
      </c>
      <c r="BB923" s="97" t="str">
        <f t="shared" si="150"/>
        <v/>
      </c>
      <c r="BC923" s="101" t="str">
        <f t="shared" ca="1" si="153"/>
        <v/>
      </c>
      <c r="BD923" s="100" t="str">
        <f t="shared" si="151"/>
        <v/>
      </c>
      <c r="BE923" s="103" t="str">
        <f t="shared" ca="1" si="147"/>
        <v/>
      </c>
      <c r="BF923" s="102" t="str">
        <f t="shared" si="152"/>
        <v/>
      </c>
    </row>
    <row r="924" spans="48:58" hidden="1" x14ac:dyDescent="0.25">
      <c r="AV924">
        <v>894</v>
      </c>
      <c r="AW924" s="94" t="str">
        <f t="shared" ca="1" si="144"/>
        <v/>
      </c>
      <c r="AX924" s="95" t="str">
        <f t="shared" si="148"/>
        <v/>
      </c>
      <c r="AY924" s="98" t="str">
        <f t="shared" ca="1" si="145"/>
        <v/>
      </c>
      <c r="AZ924" s="95" t="str">
        <f t="shared" si="149"/>
        <v/>
      </c>
      <c r="BA924" s="99" t="str">
        <f t="shared" ca="1" si="146"/>
        <v/>
      </c>
      <c r="BB924" s="97" t="str">
        <f t="shared" si="150"/>
        <v/>
      </c>
      <c r="BC924" s="101" t="str">
        <f t="shared" ca="1" si="153"/>
        <v/>
      </c>
      <c r="BD924" s="100" t="str">
        <f t="shared" si="151"/>
        <v/>
      </c>
      <c r="BE924" s="103" t="str">
        <f t="shared" ca="1" si="147"/>
        <v/>
      </c>
      <c r="BF924" s="102" t="str">
        <f t="shared" si="152"/>
        <v/>
      </c>
    </row>
    <row r="925" spans="48:58" hidden="1" x14ac:dyDescent="0.25">
      <c r="AV925">
        <v>895</v>
      </c>
      <c r="AW925" s="94" t="str">
        <f t="shared" ca="1" si="144"/>
        <v/>
      </c>
      <c r="AX925" s="95" t="str">
        <f t="shared" si="148"/>
        <v/>
      </c>
      <c r="AY925" s="98" t="str">
        <f t="shared" ca="1" si="145"/>
        <v/>
      </c>
      <c r="AZ925" s="95" t="str">
        <f t="shared" si="149"/>
        <v/>
      </c>
      <c r="BA925" s="99" t="str">
        <f t="shared" ca="1" si="146"/>
        <v/>
      </c>
      <c r="BB925" s="97" t="str">
        <f t="shared" si="150"/>
        <v/>
      </c>
      <c r="BC925" s="101" t="str">
        <f t="shared" ca="1" si="153"/>
        <v/>
      </c>
      <c r="BD925" s="100" t="str">
        <f t="shared" si="151"/>
        <v/>
      </c>
      <c r="BE925" s="103" t="str">
        <f t="shared" ca="1" si="147"/>
        <v/>
      </c>
      <c r="BF925" s="102" t="str">
        <f t="shared" si="152"/>
        <v/>
      </c>
    </row>
    <row r="926" spans="48:58" hidden="1" x14ac:dyDescent="0.25">
      <c r="AV926">
        <v>896</v>
      </c>
      <c r="AW926" s="94" t="str">
        <f t="shared" ca="1" si="144"/>
        <v/>
      </c>
      <c r="AX926" s="95" t="str">
        <f t="shared" si="148"/>
        <v/>
      </c>
      <c r="AY926" s="98" t="str">
        <f t="shared" ca="1" si="145"/>
        <v/>
      </c>
      <c r="AZ926" s="95" t="str">
        <f t="shared" si="149"/>
        <v/>
      </c>
      <c r="BA926" s="99" t="str">
        <f t="shared" ca="1" si="146"/>
        <v/>
      </c>
      <c r="BB926" s="97" t="str">
        <f t="shared" si="150"/>
        <v/>
      </c>
      <c r="BC926" s="101" t="str">
        <f t="shared" ca="1" si="153"/>
        <v/>
      </c>
      <c r="BD926" s="100" t="str">
        <f t="shared" si="151"/>
        <v/>
      </c>
      <c r="BE926" s="103" t="str">
        <f t="shared" ca="1" si="147"/>
        <v/>
      </c>
      <c r="BF926" s="102" t="str">
        <f t="shared" si="152"/>
        <v/>
      </c>
    </row>
    <row r="927" spans="48:58" hidden="1" x14ac:dyDescent="0.25">
      <c r="AV927">
        <v>897</v>
      </c>
      <c r="AW927" s="94" t="str">
        <f t="shared" ref="AW927:AW990" ca="1" si="154">IF(T_1*12&gt;=AV927,DATE(YEAR(TODAY()),MONTH(TODAY())+AV927-1,DAY(TODAY())),IF(T_1*12+1&gt;=AV927,DATE(YEAR(TODAY()),MONTH(TODAY())+T_1*12,DAY(TODAY())),""))</f>
        <v/>
      </c>
      <c r="AX927" s="95" t="str">
        <f t="shared" si="148"/>
        <v/>
      </c>
      <c r="AY927" s="98" t="str">
        <f t="shared" ref="AY927:AY990" ca="1" si="155">IF(T_2*12&gt;=$AV927,DATE(YEAR(TODAY()),MONTH(TODAY())+$AV927-1,DAY(TODAY())),IF(T_2*12+1&gt;=$AV927,DATE(YEAR(TODAY()),MONTH(TODAY())+T_2*12,DAY(TODAY())),""))</f>
        <v/>
      </c>
      <c r="AZ927" s="95" t="str">
        <f t="shared" si="149"/>
        <v/>
      </c>
      <c r="BA927" s="99" t="str">
        <f t="shared" ref="BA927:BA990" ca="1" si="156">IF(T_3*12&gt;=$AV927,DATE(YEAR(TODAY()),MONTH(TODAY())+$AV927-1,DAY(TODAY())),IF(T_3*12+1&gt;=$AV927,DATE(YEAR(TODAY()),MONTH(TODAY())+T_3*12,DAY(TODAY())),""))</f>
        <v/>
      </c>
      <c r="BB927" s="97" t="str">
        <f t="shared" si="150"/>
        <v/>
      </c>
      <c r="BC927" s="101" t="str">
        <f t="shared" ca="1" si="153"/>
        <v/>
      </c>
      <c r="BD927" s="100" t="str">
        <f t="shared" si="151"/>
        <v/>
      </c>
      <c r="BE927" s="103" t="str">
        <f t="shared" ref="BE927:BE990" ca="1" si="157">IF(T_5*12&gt;=$AV927,DATE(YEAR(TODAY()),MONTH(TODAY())+$AV927-1,DAY(TODAY())),IF(T_5*12+1&gt;=$AV927,DATE(YEAR(TODAY()),MONTH(TODAY())+T_5*12,DAY(TODAY())),""))</f>
        <v/>
      </c>
      <c r="BF927" s="102" t="str">
        <f t="shared" si="152"/>
        <v/>
      </c>
    </row>
    <row r="928" spans="48:58" hidden="1" x14ac:dyDescent="0.25">
      <c r="AV928">
        <v>898</v>
      </c>
      <c r="AW928" s="94" t="str">
        <f t="shared" ca="1" si="154"/>
        <v/>
      </c>
      <c r="AX928" s="95" t="str">
        <f t="shared" ref="AX928:AX991" si="158">IF(T_1*12&gt;=AV928,-1*$I$15,IF(T_1*12+1&gt;=AV928,InfG_1,""))</f>
        <v/>
      </c>
      <c r="AY928" s="98" t="str">
        <f t="shared" ca="1" si="155"/>
        <v/>
      </c>
      <c r="AZ928" s="95" t="str">
        <f t="shared" ref="AZ928:AZ991" si="159">IF(T_2*12&gt;=$AV928,-1*$I$17,IF(T_2*12+1&gt;=$AV928,InfG_2,""))</f>
        <v/>
      </c>
      <c r="BA928" s="99" t="str">
        <f t="shared" ca="1" si="156"/>
        <v/>
      </c>
      <c r="BB928" s="97" t="str">
        <f t="shared" ref="BB928:BB991" si="160">IF(T_3*12&gt;=$AV928,-1*$I$19,IF(T_3*12+1&gt;=$AV928,InfG_3,""))</f>
        <v/>
      </c>
      <c r="BC928" s="101" t="str">
        <f t="shared" ca="1" si="153"/>
        <v/>
      </c>
      <c r="BD928" s="100" t="str">
        <f t="shared" ref="BD928:BD991" si="161">IF(T_4*12&gt;=$AV928,-1*$I$21,IF(T_4*12+1&gt;=$AV928,InfG_4,""))</f>
        <v/>
      </c>
      <c r="BE928" s="103" t="str">
        <f t="shared" ca="1" si="157"/>
        <v/>
      </c>
      <c r="BF928" s="102" t="str">
        <f t="shared" ref="BF928:BF991" si="162">IF(T_5*12&gt;=$AV928,-1*$I$23,IF(T_5*12+1&gt;=$AV928,InfG_5,""))</f>
        <v/>
      </c>
    </row>
    <row r="929" spans="48:58" hidden="1" x14ac:dyDescent="0.25">
      <c r="AV929">
        <v>899</v>
      </c>
      <c r="AW929" s="94" t="str">
        <f t="shared" ca="1" si="154"/>
        <v/>
      </c>
      <c r="AX929" s="95" t="str">
        <f t="shared" si="158"/>
        <v/>
      </c>
      <c r="AY929" s="98" t="str">
        <f t="shared" ca="1" si="155"/>
        <v/>
      </c>
      <c r="AZ929" s="95" t="str">
        <f t="shared" si="159"/>
        <v/>
      </c>
      <c r="BA929" s="99" t="str">
        <f t="shared" ca="1" si="156"/>
        <v/>
      </c>
      <c r="BB929" s="97" t="str">
        <f t="shared" si="160"/>
        <v/>
      </c>
      <c r="BC929" s="101" t="str">
        <f t="shared" ref="BC929:BC992" ca="1" si="163">IF(T_4*12&gt;=AV929,DATE(YEAR(TODAY()),MONTH(TODAY())+AV929-1,DAY(TODAY())),IF(T_4*12+1&gt;=AV929,DATE(YEAR(TODAY()),MONTH(TODAY())+T_4*12,DAY(TODAY())),""))</f>
        <v/>
      </c>
      <c r="BD929" s="100" t="str">
        <f t="shared" si="161"/>
        <v/>
      </c>
      <c r="BE929" s="103" t="str">
        <f t="shared" ca="1" si="157"/>
        <v/>
      </c>
      <c r="BF929" s="102" t="str">
        <f t="shared" si="162"/>
        <v/>
      </c>
    </row>
    <row r="930" spans="48:58" hidden="1" x14ac:dyDescent="0.25">
      <c r="AV930">
        <v>900</v>
      </c>
      <c r="AW930" s="94" t="str">
        <f t="shared" ca="1" si="154"/>
        <v/>
      </c>
      <c r="AX930" s="95" t="str">
        <f t="shared" si="158"/>
        <v/>
      </c>
      <c r="AY930" s="98" t="str">
        <f t="shared" ca="1" si="155"/>
        <v/>
      </c>
      <c r="AZ930" s="95" t="str">
        <f t="shared" si="159"/>
        <v/>
      </c>
      <c r="BA930" s="99" t="str">
        <f t="shared" ca="1" si="156"/>
        <v/>
      </c>
      <c r="BB930" s="97" t="str">
        <f t="shared" si="160"/>
        <v/>
      </c>
      <c r="BC930" s="101" t="str">
        <f t="shared" ca="1" si="163"/>
        <v/>
      </c>
      <c r="BD930" s="100" t="str">
        <f t="shared" si="161"/>
        <v/>
      </c>
      <c r="BE930" s="103" t="str">
        <f t="shared" ca="1" si="157"/>
        <v/>
      </c>
      <c r="BF930" s="102" t="str">
        <f t="shared" si="162"/>
        <v/>
      </c>
    </row>
    <row r="931" spans="48:58" hidden="1" x14ac:dyDescent="0.25">
      <c r="AV931">
        <v>901</v>
      </c>
      <c r="AW931" s="94" t="str">
        <f t="shared" ca="1" si="154"/>
        <v/>
      </c>
      <c r="AX931" s="95" t="str">
        <f t="shared" si="158"/>
        <v/>
      </c>
      <c r="AY931" s="98" t="str">
        <f t="shared" ca="1" si="155"/>
        <v/>
      </c>
      <c r="AZ931" s="95" t="str">
        <f t="shared" si="159"/>
        <v/>
      </c>
      <c r="BA931" s="99" t="str">
        <f t="shared" ca="1" si="156"/>
        <v/>
      </c>
      <c r="BB931" s="97" t="str">
        <f t="shared" si="160"/>
        <v/>
      </c>
      <c r="BC931" s="101" t="str">
        <f t="shared" ca="1" si="163"/>
        <v/>
      </c>
      <c r="BD931" s="100" t="str">
        <f t="shared" si="161"/>
        <v/>
      </c>
      <c r="BE931" s="103" t="str">
        <f t="shared" ca="1" si="157"/>
        <v/>
      </c>
      <c r="BF931" s="102" t="str">
        <f t="shared" si="162"/>
        <v/>
      </c>
    </row>
    <row r="932" spans="48:58" hidden="1" x14ac:dyDescent="0.25">
      <c r="AV932">
        <v>902</v>
      </c>
      <c r="AW932" s="94" t="str">
        <f t="shared" ca="1" si="154"/>
        <v/>
      </c>
      <c r="AX932" s="95" t="str">
        <f t="shared" si="158"/>
        <v/>
      </c>
      <c r="AY932" s="98" t="str">
        <f t="shared" ca="1" si="155"/>
        <v/>
      </c>
      <c r="AZ932" s="95" t="str">
        <f t="shared" si="159"/>
        <v/>
      </c>
      <c r="BA932" s="99" t="str">
        <f t="shared" ca="1" si="156"/>
        <v/>
      </c>
      <c r="BB932" s="97" t="str">
        <f t="shared" si="160"/>
        <v/>
      </c>
      <c r="BC932" s="101" t="str">
        <f t="shared" ca="1" si="163"/>
        <v/>
      </c>
      <c r="BD932" s="100" t="str">
        <f t="shared" si="161"/>
        <v/>
      </c>
      <c r="BE932" s="103" t="str">
        <f t="shared" ca="1" si="157"/>
        <v/>
      </c>
      <c r="BF932" s="102" t="str">
        <f t="shared" si="162"/>
        <v/>
      </c>
    </row>
    <row r="933" spans="48:58" hidden="1" x14ac:dyDescent="0.25">
      <c r="AV933">
        <v>903</v>
      </c>
      <c r="AW933" s="94" t="str">
        <f t="shared" ca="1" si="154"/>
        <v/>
      </c>
      <c r="AX933" s="95" t="str">
        <f t="shared" si="158"/>
        <v/>
      </c>
      <c r="AY933" s="98" t="str">
        <f t="shared" ca="1" si="155"/>
        <v/>
      </c>
      <c r="AZ933" s="95" t="str">
        <f t="shared" si="159"/>
        <v/>
      </c>
      <c r="BA933" s="99" t="str">
        <f t="shared" ca="1" si="156"/>
        <v/>
      </c>
      <c r="BB933" s="97" t="str">
        <f t="shared" si="160"/>
        <v/>
      </c>
      <c r="BC933" s="101" t="str">
        <f t="shared" ca="1" si="163"/>
        <v/>
      </c>
      <c r="BD933" s="100" t="str">
        <f t="shared" si="161"/>
        <v/>
      </c>
      <c r="BE933" s="103" t="str">
        <f t="shared" ca="1" si="157"/>
        <v/>
      </c>
      <c r="BF933" s="102" t="str">
        <f t="shared" si="162"/>
        <v/>
      </c>
    </row>
    <row r="934" spans="48:58" hidden="1" x14ac:dyDescent="0.25">
      <c r="AV934">
        <v>904</v>
      </c>
      <c r="AW934" s="94" t="str">
        <f t="shared" ca="1" si="154"/>
        <v/>
      </c>
      <c r="AX934" s="95" t="str">
        <f t="shared" si="158"/>
        <v/>
      </c>
      <c r="AY934" s="98" t="str">
        <f t="shared" ca="1" si="155"/>
        <v/>
      </c>
      <c r="AZ934" s="95" t="str">
        <f t="shared" si="159"/>
        <v/>
      </c>
      <c r="BA934" s="99" t="str">
        <f t="shared" ca="1" si="156"/>
        <v/>
      </c>
      <c r="BB934" s="97" t="str">
        <f t="shared" si="160"/>
        <v/>
      </c>
      <c r="BC934" s="101" t="str">
        <f t="shared" ca="1" si="163"/>
        <v/>
      </c>
      <c r="BD934" s="100" t="str">
        <f t="shared" si="161"/>
        <v/>
      </c>
      <c r="BE934" s="103" t="str">
        <f t="shared" ca="1" si="157"/>
        <v/>
      </c>
      <c r="BF934" s="102" t="str">
        <f t="shared" si="162"/>
        <v/>
      </c>
    </row>
    <row r="935" spans="48:58" hidden="1" x14ac:dyDescent="0.25">
      <c r="AV935">
        <v>905</v>
      </c>
      <c r="AW935" s="94" t="str">
        <f t="shared" ca="1" si="154"/>
        <v/>
      </c>
      <c r="AX935" s="95" t="str">
        <f t="shared" si="158"/>
        <v/>
      </c>
      <c r="AY935" s="98" t="str">
        <f t="shared" ca="1" si="155"/>
        <v/>
      </c>
      <c r="AZ935" s="95" t="str">
        <f t="shared" si="159"/>
        <v/>
      </c>
      <c r="BA935" s="99" t="str">
        <f t="shared" ca="1" si="156"/>
        <v/>
      </c>
      <c r="BB935" s="97" t="str">
        <f t="shared" si="160"/>
        <v/>
      </c>
      <c r="BC935" s="101" t="str">
        <f t="shared" ca="1" si="163"/>
        <v/>
      </c>
      <c r="BD935" s="100" t="str">
        <f t="shared" si="161"/>
        <v/>
      </c>
      <c r="BE935" s="103" t="str">
        <f t="shared" ca="1" si="157"/>
        <v/>
      </c>
      <c r="BF935" s="102" t="str">
        <f t="shared" si="162"/>
        <v/>
      </c>
    </row>
    <row r="936" spans="48:58" hidden="1" x14ac:dyDescent="0.25">
      <c r="AV936">
        <v>906</v>
      </c>
      <c r="AW936" s="94" t="str">
        <f t="shared" ca="1" si="154"/>
        <v/>
      </c>
      <c r="AX936" s="95" t="str">
        <f t="shared" si="158"/>
        <v/>
      </c>
      <c r="AY936" s="98" t="str">
        <f t="shared" ca="1" si="155"/>
        <v/>
      </c>
      <c r="AZ936" s="95" t="str">
        <f t="shared" si="159"/>
        <v/>
      </c>
      <c r="BA936" s="99" t="str">
        <f t="shared" ca="1" si="156"/>
        <v/>
      </c>
      <c r="BB936" s="97" t="str">
        <f t="shared" si="160"/>
        <v/>
      </c>
      <c r="BC936" s="101" t="str">
        <f t="shared" ca="1" si="163"/>
        <v/>
      </c>
      <c r="BD936" s="100" t="str">
        <f t="shared" si="161"/>
        <v/>
      </c>
      <c r="BE936" s="103" t="str">
        <f t="shared" ca="1" si="157"/>
        <v/>
      </c>
      <c r="BF936" s="102" t="str">
        <f t="shared" si="162"/>
        <v/>
      </c>
    </row>
    <row r="937" spans="48:58" hidden="1" x14ac:dyDescent="0.25">
      <c r="AV937">
        <v>907</v>
      </c>
      <c r="AW937" s="94" t="str">
        <f t="shared" ca="1" si="154"/>
        <v/>
      </c>
      <c r="AX937" s="95" t="str">
        <f t="shared" si="158"/>
        <v/>
      </c>
      <c r="AY937" s="98" t="str">
        <f t="shared" ca="1" si="155"/>
        <v/>
      </c>
      <c r="AZ937" s="95" t="str">
        <f t="shared" si="159"/>
        <v/>
      </c>
      <c r="BA937" s="99" t="str">
        <f t="shared" ca="1" si="156"/>
        <v/>
      </c>
      <c r="BB937" s="97" t="str">
        <f t="shared" si="160"/>
        <v/>
      </c>
      <c r="BC937" s="101" t="str">
        <f t="shared" ca="1" si="163"/>
        <v/>
      </c>
      <c r="BD937" s="100" t="str">
        <f t="shared" si="161"/>
        <v/>
      </c>
      <c r="BE937" s="103" t="str">
        <f t="shared" ca="1" si="157"/>
        <v/>
      </c>
      <c r="BF937" s="102" t="str">
        <f t="shared" si="162"/>
        <v/>
      </c>
    </row>
    <row r="938" spans="48:58" hidden="1" x14ac:dyDescent="0.25">
      <c r="AV938">
        <v>908</v>
      </c>
      <c r="AW938" s="94" t="str">
        <f t="shared" ca="1" si="154"/>
        <v/>
      </c>
      <c r="AX938" s="95" t="str">
        <f t="shared" si="158"/>
        <v/>
      </c>
      <c r="AY938" s="98" t="str">
        <f t="shared" ca="1" si="155"/>
        <v/>
      </c>
      <c r="AZ938" s="95" t="str">
        <f t="shared" si="159"/>
        <v/>
      </c>
      <c r="BA938" s="99" t="str">
        <f t="shared" ca="1" si="156"/>
        <v/>
      </c>
      <c r="BB938" s="97" t="str">
        <f t="shared" si="160"/>
        <v/>
      </c>
      <c r="BC938" s="101" t="str">
        <f t="shared" ca="1" si="163"/>
        <v/>
      </c>
      <c r="BD938" s="100" t="str">
        <f t="shared" si="161"/>
        <v/>
      </c>
      <c r="BE938" s="103" t="str">
        <f t="shared" ca="1" si="157"/>
        <v/>
      </c>
      <c r="BF938" s="102" t="str">
        <f t="shared" si="162"/>
        <v/>
      </c>
    </row>
    <row r="939" spans="48:58" hidden="1" x14ac:dyDescent="0.25">
      <c r="AV939">
        <v>909</v>
      </c>
      <c r="AW939" s="94" t="str">
        <f t="shared" ca="1" si="154"/>
        <v/>
      </c>
      <c r="AX939" s="95" t="str">
        <f t="shared" si="158"/>
        <v/>
      </c>
      <c r="AY939" s="98" t="str">
        <f t="shared" ca="1" si="155"/>
        <v/>
      </c>
      <c r="AZ939" s="95" t="str">
        <f t="shared" si="159"/>
        <v/>
      </c>
      <c r="BA939" s="99" t="str">
        <f t="shared" ca="1" si="156"/>
        <v/>
      </c>
      <c r="BB939" s="97" t="str">
        <f t="shared" si="160"/>
        <v/>
      </c>
      <c r="BC939" s="101" t="str">
        <f t="shared" ca="1" si="163"/>
        <v/>
      </c>
      <c r="BD939" s="100" t="str">
        <f t="shared" si="161"/>
        <v/>
      </c>
      <c r="BE939" s="103" t="str">
        <f t="shared" ca="1" si="157"/>
        <v/>
      </c>
      <c r="BF939" s="102" t="str">
        <f t="shared" si="162"/>
        <v/>
      </c>
    </row>
    <row r="940" spans="48:58" hidden="1" x14ac:dyDescent="0.25">
      <c r="AV940">
        <v>910</v>
      </c>
      <c r="AW940" s="94" t="str">
        <f t="shared" ca="1" si="154"/>
        <v/>
      </c>
      <c r="AX940" s="95" t="str">
        <f t="shared" si="158"/>
        <v/>
      </c>
      <c r="AY940" s="98" t="str">
        <f t="shared" ca="1" si="155"/>
        <v/>
      </c>
      <c r="AZ940" s="95" t="str">
        <f t="shared" si="159"/>
        <v/>
      </c>
      <c r="BA940" s="99" t="str">
        <f t="shared" ca="1" si="156"/>
        <v/>
      </c>
      <c r="BB940" s="97" t="str">
        <f t="shared" si="160"/>
        <v/>
      </c>
      <c r="BC940" s="101" t="str">
        <f t="shared" ca="1" si="163"/>
        <v/>
      </c>
      <c r="BD940" s="100" t="str">
        <f t="shared" si="161"/>
        <v/>
      </c>
      <c r="BE940" s="103" t="str">
        <f t="shared" ca="1" si="157"/>
        <v/>
      </c>
      <c r="BF940" s="102" t="str">
        <f t="shared" si="162"/>
        <v/>
      </c>
    </row>
    <row r="941" spans="48:58" hidden="1" x14ac:dyDescent="0.25">
      <c r="AV941">
        <v>911</v>
      </c>
      <c r="AW941" s="94" t="str">
        <f t="shared" ca="1" si="154"/>
        <v/>
      </c>
      <c r="AX941" s="95" t="str">
        <f t="shared" si="158"/>
        <v/>
      </c>
      <c r="AY941" s="98" t="str">
        <f t="shared" ca="1" si="155"/>
        <v/>
      </c>
      <c r="AZ941" s="95" t="str">
        <f t="shared" si="159"/>
        <v/>
      </c>
      <c r="BA941" s="99" t="str">
        <f t="shared" ca="1" si="156"/>
        <v/>
      </c>
      <c r="BB941" s="97" t="str">
        <f t="shared" si="160"/>
        <v/>
      </c>
      <c r="BC941" s="101" t="str">
        <f t="shared" ca="1" si="163"/>
        <v/>
      </c>
      <c r="BD941" s="100" t="str">
        <f t="shared" si="161"/>
        <v/>
      </c>
      <c r="BE941" s="103" t="str">
        <f t="shared" ca="1" si="157"/>
        <v/>
      </c>
      <c r="BF941" s="102" t="str">
        <f t="shared" si="162"/>
        <v/>
      </c>
    </row>
    <row r="942" spans="48:58" hidden="1" x14ac:dyDescent="0.25">
      <c r="AV942">
        <v>912</v>
      </c>
      <c r="AW942" s="94" t="str">
        <f t="shared" ca="1" si="154"/>
        <v/>
      </c>
      <c r="AX942" s="95" t="str">
        <f t="shared" si="158"/>
        <v/>
      </c>
      <c r="AY942" s="98" t="str">
        <f t="shared" ca="1" si="155"/>
        <v/>
      </c>
      <c r="AZ942" s="95" t="str">
        <f t="shared" si="159"/>
        <v/>
      </c>
      <c r="BA942" s="99" t="str">
        <f t="shared" ca="1" si="156"/>
        <v/>
      </c>
      <c r="BB942" s="97" t="str">
        <f t="shared" si="160"/>
        <v/>
      </c>
      <c r="BC942" s="101" t="str">
        <f t="shared" ca="1" si="163"/>
        <v/>
      </c>
      <c r="BD942" s="100" t="str">
        <f t="shared" si="161"/>
        <v/>
      </c>
      <c r="BE942" s="103" t="str">
        <f t="shared" ca="1" si="157"/>
        <v/>
      </c>
      <c r="BF942" s="102" t="str">
        <f t="shared" si="162"/>
        <v/>
      </c>
    </row>
    <row r="943" spans="48:58" hidden="1" x14ac:dyDescent="0.25">
      <c r="AV943">
        <v>913</v>
      </c>
      <c r="AW943" s="94" t="str">
        <f t="shared" ca="1" si="154"/>
        <v/>
      </c>
      <c r="AX943" s="95" t="str">
        <f t="shared" si="158"/>
        <v/>
      </c>
      <c r="AY943" s="98" t="str">
        <f t="shared" ca="1" si="155"/>
        <v/>
      </c>
      <c r="AZ943" s="95" t="str">
        <f t="shared" si="159"/>
        <v/>
      </c>
      <c r="BA943" s="99" t="str">
        <f t="shared" ca="1" si="156"/>
        <v/>
      </c>
      <c r="BB943" s="97" t="str">
        <f t="shared" si="160"/>
        <v/>
      </c>
      <c r="BC943" s="101" t="str">
        <f t="shared" ca="1" si="163"/>
        <v/>
      </c>
      <c r="BD943" s="100" t="str">
        <f t="shared" si="161"/>
        <v/>
      </c>
      <c r="BE943" s="103" t="str">
        <f t="shared" ca="1" si="157"/>
        <v/>
      </c>
      <c r="BF943" s="102" t="str">
        <f t="shared" si="162"/>
        <v/>
      </c>
    </row>
    <row r="944" spans="48:58" hidden="1" x14ac:dyDescent="0.25">
      <c r="AV944">
        <v>914</v>
      </c>
      <c r="AW944" s="94" t="str">
        <f t="shared" ca="1" si="154"/>
        <v/>
      </c>
      <c r="AX944" s="95" t="str">
        <f t="shared" si="158"/>
        <v/>
      </c>
      <c r="AY944" s="98" t="str">
        <f t="shared" ca="1" si="155"/>
        <v/>
      </c>
      <c r="AZ944" s="95" t="str">
        <f t="shared" si="159"/>
        <v/>
      </c>
      <c r="BA944" s="99" t="str">
        <f t="shared" ca="1" si="156"/>
        <v/>
      </c>
      <c r="BB944" s="97" t="str">
        <f t="shared" si="160"/>
        <v/>
      </c>
      <c r="BC944" s="101" t="str">
        <f t="shared" ca="1" si="163"/>
        <v/>
      </c>
      <c r="BD944" s="100" t="str">
        <f t="shared" si="161"/>
        <v/>
      </c>
      <c r="BE944" s="103" t="str">
        <f t="shared" ca="1" si="157"/>
        <v/>
      </c>
      <c r="BF944" s="102" t="str">
        <f t="shared" si="162"/>
        <v/>
      </c>
    </row>
    <row r="945" spans="48:58" hidden="1" x14ac:dyDescent="0.25">
      <c r="AV945">
        <v>915</v>
      </c>
      <c r="AW945" s="94" t="str">
        <f t="shared" ca="1" si="154"/>
        <v/>
      </c>
      <c r="AX945" s="95" t="str">
        <f t="shared" si="158"/>
        <v/>
      </c>
      <c r="AY945" s="98" t="str">
        <f t="shared" ca="1" si="155"/>
        <v/>
      </c>
      <c r="AZ945" s="95" t="str">
        <f t="shared" si="159"/>
        <v/>
      </c>
      <c r="BA945" s="99" t="str">
        <f t="shared" ca="1" si="156"/>
        <v/>
      </c>
      <c r="BB945" s="97" t="str">
        <f t="shared" si="160"/>
        <v/>
      </c>
      <c r="BC945" s="101" t="str">
        <f t="shared" ca="1" si="163"/>
        <v/>
      </c>
      <c r="BD945" s="100" t="str">
        <f t="shared" si="161"/>
        <v/>
      </c>
      <c r="BE945" s="103" t="str">
        <f t="shared" ca="1" si="157"/>
        <v/>
      </c>
      <c r="BF945" s="102" t="str">
        <f t="shared" si="162"/>
        <v/>
      </c>
    </row>
    <row r="946" spans="48:58" hidden="1" x14ac:dyDescent="0.25">
      <c r="AV946">
        <v>916</v>
      </c>
      <c r="AW946" s="94" t="str">
        <f t="shared" ca="1" si="154"/>
        <v/>
      </c>
      <c r="AX946" s="95" t="str">
        <f t="shared" si="158"/>
        <v/>
      </c>
      <c r="AY946" s="98" t="str">
        <f t="shared" ca="1" si="155"/>
        <v/>
      </c>
      <c r="AZ946" s="95" t="str">
        <f t="shared" si="159"/>
        <v/>
      </c>
      <c r="BA946" s="99" t="str">
        <f t="shared" ca="1" si="156"/>
        <v/>
      </c>
      <c r="BB946" s="97" t="str">
        <f t="shared" si="160"/>
        <v/>
      </c>
      <c r="BC946" s="101" t="str">
        <f t="shared" ca="1" si="163"/>
        <v/>
      </c>
      <c r="BD946" s="100" t="str">
        <f t="shared" si="161"/>
        <v/>
      </c>
      <c r="BE946" s="103" t="str">
        <f t="shared" ca="1" si="157"/>
        <v/>
      </c>
      <c r="BF946" s="102" t="str">
        <f t="shared" si="162"/>
        <v/>
      </c>
    </row>
    <row r="947" spans="48:58" hidden="1" x14ac:dyDescent="0.25">
      <c r="AV947">
        <v>917</v>
      </c>
      <c r="AW947" s="94" t="str">
        <f t="shared" ca="1" si="154"/>
        <v/>
      </c>
      <c r="AX947" s="95" t="str">
        <f t="shared" si="158"/>
        <v/>
      </c>
      <c r="AY947" s="98" t="str">
        <f t="shared" ca="1" si="155"/>
        <v/>
      </c>
      <c r="AZ947" s="95" t="str">
        <f t="shared" si="159"/>
        <v/>
      </c>
      <c r="BA947" s="99" t="str">
        <f t="shared" ca="1" si="156"/>
        <v/>
      </c>
      <c r="BB947" s="97" t="str">
        <f t="shared" si="160"/>
        <v/>
      </c>
      <c r="BC947" s="101" t="str">
        <f t="shared" ca="1" si="163"/>
        <v/>
      </c>
      <c r="BD947" s="100" t="str">
        <f t="shared" si="161"/>
        <v/>
      </c>
      <c r="BE947" s="103" t="str">
        <f t="shared" ca="1" si="157"/>
        <v/>
      </c>
      <c r="BF947" s="102" t="str">
        <f t="shared" si="162"/>
        <v/>
      </c>
    </row>
    <row r="948" spans="48:58" hidden="1" x14ac:dyDescent="0.25">
      <c r="AV948">
        <v>918</v>
      </c>
      <c r="AW948" s="94" t="str">
        <f t="shared" ca="1" si="154"/>
        <v/>
      </c>
      <c r="AX948" s="95" t="str">
        <f t="shared" si="158"/>
        <v/>
      </c>
      <c r="AY948" s="98" t="str">
        <f t="shared" ca="1" si="155"/>
        <v/>
      </c>
      <c r="AZ948" s="95" t="str">
        <f t="shared" si="159"/>
        <v/>
      </c>
      <c r="BA948" s="99" t="str">
        <f t="shared" ca="1" si="156"/>
        <v/>
      </c>
      <c r="BB948" s="97" t="str">
        <f t="shared" si="160"/>
        <v/>
      </c>
      <c r="BC948" s="101" t="str">
        <f t="shared" ca="1" si="163"/>
        <v/>
      </c>
      <c r="BD948" s="100" t="str">
        <f t="shared" si="161"/>
        <v/>
      </c>
      <c r="BE948" s="103" t="str">
        <f t="shared" ca="1" si="157"/>
        <v/>
      </c>
      <c r="BF948" s="102" t="str">
        <f t="shared" si="162"/>
        <v/>
      </c>
    </row>
    <row r="949" spans="48:58" hidden="1" x14ac:dyDescent="0.25">
      <c r="AV949">
        <v>919</v>
      </c>
      <c r="AW949" s="94" t="str">
        <f t="shared" ca="1" si="154"/>
        <v/>
      </c>
      <c r="AX949" s="95" t="str">
        <f t="shared" si="158"/>
        <v/>
      </c>
      <c r="AY949" s="98" t="str">
        <f t="shared" ca="1" si="155"/>
        <v/>
      </c>
      <c r="AZ949" s="95" t="str">
        <f t="shared" si="159"/>
        <v/>
      </c>
      <c r="BA949" s="99" t="str">
        <f t="shared" ca="1" si="156"/>
        <v/>
      </c>
      <c r="BB949" s="97" t="str">
        <f t="shared" si="160"/>
        <v/>
      </c>
      <c r="BC949" s="101" t="str">
        <f t="shared" ca="1" si="163"/>
        <v/>
      </c>
      <c r="BD949" s="100" t="str">
        <f t="shared" si="161"/>
        <v/>
      </c>
      <c r="BE949" s="103" t="str">
        <f t="shared" ca="1" si="157"/>
        <v/>
      </c>
      <c r="BF949" s="102" t="str">
        <f t="shared" si="162"/>
        <v/>
      </c>
    </row>
    <row r="950" spans="48:58" hidden="1" x14ac:dyDescent="0.25">
      <c r="AV950">
        <v>920</v>
      </c>
      <c r="AW950" s="94" t="str">
        <f t="shared" ca="1" si="154"/>
        <v/>
      </c>
      <c r="AX950" s="95" t="str">
        <f t="shared" si="158"/>
        <v/>
      </c>
      <c r="AY950" s="98" t="str">
        <f t="shared" ca="1" si="155"/>
        <v/>
      </c>
      <c r="AZ950" s="95" t="str">
        <f t="shared" si="159"/>
        <v/>
      </c>
      <c r="BA950" s="99" t="str">
        <f t="shared" ca="1" si="156"/>
        <v/>
      </c>
      <c r="BB950" s="97" t="str">
        <f t="shared" si="160"/>
        <v/>
      </c>
      <c r="BC950" s="101" t="str">
        <f t="shared" ca="1" si="163"/>
        <v/>
      </c>
      <c r="BD950" s="100" t="str">
        <f t="shared" si="161"/>
        <v/>
      </c>
      <c r="BE950" s="103" t="str">
        <f t="shared" ca="1" si="157"/>
        <v/>
      </c>
      <c r="BF950" s="102" t="str">
        <f t="shared" si="162"/>
        <v/>
      </c>
    </row>
    <row r="951" spans="48:58" hidden="1" x14ac:dyDescent="0.25">
      <c r="AV951">
        <v>921</v>
      </c>
      <c r="AW951" s="94" t="str">
        <f t="shared" ca="1" si="154"/>
        <v/>
      </c>
      <c r="AX951" s="95" t="str">
        <f t="shared" si="158"/>
        <v/>
      </c>
      <c r="AY951" s="98" t="str">
        <f t="shared" ca="1" si="155"/>
        <v/>
      </c>
      <c r="AZ951" s="95" t="str">
        <f t="shared" si="159"/>
        <v/>
      </c>
      <c r="BA951" s="99" t="str">
        <f t="shared" ca="1" si="156"/>
        <v/>
      </c>
      <c r="BB951" s="97" t="str">
        <f t="shared" si="160"/>
        <v/>
      </c>
      <c r="BC951" s="101" t="str">
        <f t="shared" ca="1" si="163"/>
        <v/>
      </c>
      <c r="BD951" s="100" t="str">
        <f t="shared" si="161"/>
        <v/>
      </c>
      <c r="BE951" s="103" t="str">
        <f t="shared" ca="1" si="157"/>
        <v/>
      </c>
      <c r="BF951" s="102" t="str">
        <f t="shared" si="162"/>
        <v/>
      </c>
    </row>
    <row r="952" spans="48:58" hidden="1" x14ac:dyDescent="0.25">
      <c r="AV952">
        <v>922</v>
      </c>
      <c r="AW952" s="94" t="str">
        <f t="shared" ca="1" si="154"/>
        <v/>
      </c>
      <c r="AX952" s="95" t="str">
        <f t="shared" si="158"/>
        <v/>
      </c>
      <c r="AY952" s="98" t="str">
        <f t="shared" ca="1" si="155"/>
        <v/>
      </c>
      <c r="AZ952" s="95" t="str">
        <f t="shared" si="159"/>
        <v/>
      </c>
      <c r="BA952" s="99" t="str">
        <f t="shared" ca="1" si="156"/>
        <v/>
      </c>
      <c r="BB952" s="97" t="str">
        <f t="shared" si="160"/>
        <v/>
      </c>
      <c r="BC952" s="101" t="str">
        <f t="shared" ca="1" si="163"/>
        <v/>
      </c>
      <c r="BD952" s="100" t="str">
        <f t="shared" si="161"/>
        <v/>
      </c>
      <c r="BE952" s="103" t="str">
        <f t="shared" ca="1" si="157"/>
        <v/>
      </c>
      <c r="BF952" s="102" t="str">
        <f t="shared" si="162"/>
        <v/>
      </c>
    </row>
    <row r="953" spans="48:58" hidden="1" x14ac:dyDescent="0.25">
      <c r="AV953">
        <v>923</v>
      </c>
      <c r="AW953" s="94" t="str">
        <f t="shared" ca="1" si="154"/>
        <v/>
      </c>
      <c r="AX953" s="95" t="str">
        <f t="shared" si="158"/>
        <v/>
      </c>
      <c r="AY953" s="98" t="str">
        <f t="shared" ca="1" si="155"/>
        <v/>
      </c>
      <c r="AZ953" s="95" t="str">
        <f t="shared" si="159"/>
        <v/>
      </c>
      <c r="BA953" s="99" t="str">
        <f t="shared" ca="1" si="156"/>
        <v/>
      </c>
      <c r="BB953" s="97" t="str">
        <f t="shared" si="160"/>
        <v/>
      </c>
      <c r="BC953" s="101" t="str">
        <f t="shared" ca="1" si="163"/>
        <v/>
      </c>
      <c r="BD953" s="100" t="str">
        <f t="shared" si="161"/>
        <v/>
      </c>
      <c r="BE953" s="103" t="str">
        <f t="shared" ca="1" si="157"/>
        <v/>
      </c>
      <c r="BF953" s="102" t="str">
        <f t="shared" si="162"/>
        <v/>
      </c>
    </row>
    <row r="954" spans="48:58" hidden="1" x14ac:dyDescent="0.25">
      <c r="AV954">
        <v>924</v>
      </c>
      <c r="AW954" s="94" t="str">
        <f t="shared" ca="1" si="154"/>
        <v/>
      </c>
      <c r="AX954" s="95" t="str">
        <f t="shared" si="158"/>
        <v/>
      </c>
      <c r="AY954" s="98" t="str">
        <f t="shared" ca="1" si="155"/>
        <v/>
      </c>
      <c r="AZ954" s="95" t="str">
        <f t="shared" si="159"/>
        <v/>
      </c>
      <c r="BA954" s="99" t="str">
        <f t="shared" ca="1" si="156"/>
        <v/>
      </c>
      <c r="BB954" s="97" t="str">
        <f t="shared" si="160"/>
        <v/>
      </c>
      <c r="BC954" s="101" t="str">
        <f t="shared" ca="1" si="163"/>
        <v/>
      </c>
      <c r="BD954" s="100" t="str">
        <f t="shared" si="161"/>
        <v/>
      </c>
      <c r="BE954" s="103" t="str">
        <f t="shared" ca="1" si="157"/>
        <v/>
      </c>
      <c r="BF954" s="102" t="str">
        <f t="shared" si="162"/>
        <v/>
      </c>
    </row>
    <row r="955" spans="48:58" hidden="1" x14ac:dyDescent="0.25">
      <c r="AV955">
        <v>925</v>
      </c>
      <c r="AW955" s="94" t="str">
        <f t="shared" ca="1" si="154"/>
        <v/>
      </c>
      <c r="AX955" s="95" t="str">
        <f t="shared" si="158"/>
        <v/>
      </c>
      <c r="AY955" s="98" t="str">
        <f t="shared" ca="1" si="155"/>
        <v/>
      </c>
      <c r="AZ955" s="95" t="str">
        <f t="shared" si="159"/>
        <v/>
      </c>
      <c r="BA955" s="99" t="str">
        <f t="shared" ca="1" si="156"/>
        <v/>
      </c>
      <c r="BB955" s="97" t="str">
        <f t="shared" si="160"/>
        <v/>
      </c>
      <c r="BC955" s="101" t="str">
        <f t="shared" ca="1" si="163"/>
        <v/>
      </c>
      <c r="BD955" s="100" t="str">
        <f t="shared" si="161"/>
        <v/>
      </c>
      <c r="BE955" s="103" t="str">
        <f t="shared" ca="1" si="157"/>
        <v/>
      </c>
      <c r="BF955" s="102" t="str">
        <f t="shared" si="162"/>
        <v/>
      </c>
    </row>
    <row r="956" spans="48:58" hidden="1" x14ac:dyDescent="0.25">
      <c r="AV956">
        <v>926</v>
      </c>
      <c r="AW956" s="94" t="str">
        <f t="shared" ca="1" si="154"/>
        <v/>
      </c>
      <c r="AX956" s="95" t="str">
        <f t="shared" si="158"/>
        <v/>
      </c>
      <c r="AY956" s="98" t="str">
        <f t="shared" ca="1" si="155"/>
        <v/>
      </c>
      <c r="AZ956" s="95" t="str">
        <f t="shared" si="159"/>
        <v/>
      </c>
      <c r="BA956" s="99" t="str">
        <f t="shared" ca="1" si="156"/>
        <v/>
      </c>
      <c r="BB956" s="97" t="str">
        <f t="shared" si="160"/>
        <v/>
      </c>
      <c r="BC956" s="101" t="str">
        <f t="shared" ca="1" si="163"/>
        <v/>
      </c>
      <c r="BD956" s="100" t="str">
        <f t="shared" si="161"/>
        <v/>
      </c>
      <c r="BE956" s="103" t="str">
        <f t="shared" ca="1" si="157"/>
        <v/>
      </c>
      <c r="BF956" s="102" t="str">
        <f t="shared" si="162"/>
        <v/>
      </c>
    </row>
    <row r="957" spans="48:58" hidden="1" x14ac:dyDescent="0.25">
      <c r="AV957">
        <v>927</v>
      </c>
      <c r="AW957" s="94" t="str">
        <f t="shared" ca="1" si="154"/>
        <v/>
      </c>
      <c r="AX957" s="95" t="str">
        <f t="shared" si="158"/>
        <v/>
      </c>
      <c r="AY957" s="98" t="str">
        <f t="shared" ca="1" si="155"/>
        <v/>
      </c>
      <c r="AZ957" s="95" t="str">
        <f t="shared" si="159"/>
        <v/>
      </c>
      <c r="BA957" s="99" t="str">
        <f t="shared" ca="1" si="156"/>
        <v/>
      </c>
      <c r="BB957" s="97" t="str">
        <f t="shared" si="160"/>
        <v/>
      </c>
      <c r="BC957" s="101" t="str">
        <f t="shared" ca="1" si="163"/>
        <v/>
      </c>
      <c r="BD957" s="100" t="str">
        <f t="shared" si="161"/>
        <v/>
      </c>
      <c r="BE957" s="103" t="str">
        <f t="shared" ca="1" si="157"/>
        <v/>
      </c>
      <c r="BF957" s="102" t="str">
        <f t="shared" si="162"/>
        <v/>
      </c>
    </row>
    <row r="958" spans="48:58" hidden="1" x14ac:dyDescent="0.25">
      <c r="AV958">
        <v>928</v>
      </c>
      <c r="AW958" s="94" t="str">
        <f t="shared" ca="1" si="154"/>
        <v/>
      </c>
      <c r="AX958" s="95" t="str">
        <f t="shared" si="158"/>
        <v/>
      </c>
      <c r="AY958" s="98" t="str">
        <f t="shared" ca="1" si="155"/>
        <v/>
      </c>
      <c r="AZ958" s="95" t="str">
        <f t="shared" si="159"/>
        <v/>
      </c>
      <c r="BA958" s="99" t="str">
        <f t="shared" ca="1" si="156"/>
        <v/>
      </c>
      <c r="BB958" s="97" t="str">
        <f t="shared" si="160"/>
        <v/>
      </c>
      <c r="BC958" s="101" t="str">
        <f t="shared" ca="1" si="163"/>
        <v/>
      </c>
      <c r="BD958" s="100" t="str">
        <f t="shared" si="161"/>
        <v/>
      </c>
      <c r="BE958" s="103" t="str">
        <f t="shared" ca="1" si="157"/>
        <v/>
      </c>
      <c r="BF958" s="102" t="str">
        <f t="shared" si="162"/>
        <v/>
      </c>
    </row>
    <row r="959" spans="48:58" hidden="1" x14ac:dyDescent="0.25">
      <c r="AV959">
        <v>929</v>
      </c>
      <c r="AW959" s="94" t="str">
        <f t="shared" ca="1" si="154"/>
        <v/>
      </c>
      <c r="AX959" s="95" t="str">
        <f t="shared" si="158"/>
        <v/>
      </c>
      <c r="AY959" s="98" t="str">
        <f t="shared" ca="1" si="155"/>
        <v/>
      </c>
      <c r="AZ959" s="95" t="str">
        <f t="shared" si="159"/>
        <v/>
      </c>
      <c r="BA959" s="99" t="str">
        <f t="shared" ca="1" si="156"/>
        <v/>
      </c>
      <c r="BB959" s="97" t="str">
        <f t="shared" si="160"/>
        <v/>
      </c>
      <c r="BC959" s="101" t="str">
        <f t="shared" ca="1" si="163"/>
        <v/>
      </c>
      <c r="BD959" s="100" t="str">
        <f t="shared" si="161"/>
        <v/>
      </c>
      <c r="BE959" s="103" t="str">
        <f t="shared" ca="1" si="157"/>
        <v/>
      </c>
      <c r="BF959" s="102" t="str">
        <f t="shared" si="162"/>
        <v/>
      </c>
    </row>
    <row r="960" spans="48:58" hidden="1" x14ac:dyDescent="0.25">
      <c r="AV960">
        <v>930</v>
      </c>
      <c r="AW960" s="94" t="str">
        <f t="shared" ca="1" si="154"/>
        <v/>
      </c>
      <c r="AX960" s="95" t="str">
        <f t="shared" si="158"/>
        <v/>
      </c>
      <c r="AY960" s="98" t="str">
        <f t="shared" ca="1" si="155"/>
        <v/>
      </c>
      <c r="AZ960" s="95" t="str">
        <f t="shared" si="159"/>
        <v/>
      </c>
      <c r="BA960" s="99" t="str">
        <f t="shared" ca="1" si="156"/>
        <v/>
      </c>
      <c r="BB960" s="97" t="str">
        <f t="shared" si="160"/>
        <v/>
      </c>
      <c r="BC960" s="101" t="str">
        <f t="shared" ca="1" si="163"/>
        <v/>
      </c>
      <c r="BD960" s="100" t="str">
        <f t="shared" si="161"/>
        <v/>
      </c>
      <c r="BE960" s="103" t="str">
        <f t="shared" ca="1" si="157"/>
        <v/>
      </c>
      <c r="BF960" s="102" t="str">
        <f t="shared" si="162"/>
        <v/>
      </c>
    </row>
    <row r="961" spans="48:58" hidden="1" x14ac:dyDescent="0.25">
      <c r="AV961">
        <v>931</v>
      </c>
      <c r="AW961" s="94" t="str">
        <f t="shared" ca="1" si="154"/>
        <v/>
      </c>
      <c r="AX961" s="95" t="str">
        <f t="shared" si="158"/>
        <v/>
      </c>
      <c r="AY961" s="98" t="str">
        <f t="shared" ca="1" si="155"/>
        <v/>
      </c>
      <c r="AZ961" s="95" t="str">
        <f t="shared" si="159"/>
        <v/>
      </c>
      <c r="BA961" s="99" t="str">
        <f t="shared" ca="1" si="156"/>
        <v/>
      </c>
      <c r="BB961" s="97" t="str">
        <f t="shared" si="160"/>
        <v/>
      </c>
      <c r="BC961" s="101" t="str">
        <f t="shared" ca="1" si="163"/>
        <v/>
      </c>
      <c r="BD961" s="100" t="str">
        <f t="shared" si="161"/>
        <v/>
      </c>
      <c r="BE961" s="103" t="str">
        <f t="shared" ca="1" si="157"/>
        <v/>
      </c>
      <c r="BF961" s="102" t="str">
        <f t="shared" si="162"/>
        <v/>
      </c>
    </row>
    <row r="962" spans="48:58" hidden="1" x14ac:dyDescent="0.25">
      <c r="AV962">
        <v>932</v>
      </c>
      <c r="AW962" s="94" t="str">
        <f t="shared" ca="1" si="154"/>
        <v/>
      </c>
      <c r="AX962" s="95" t="str">
        <f t="shared" si="158"/>
        <v/>
      </c>
      <c r="AY962" s="98" t="str">
        <f t="shared" ca="1" si="155"/>
        <v/>
      </c>
      <c r="AZ962" s="95" t="str">
        <f t="shared" si="159"/>
        <v/>
      </c>
      <c r="BA962" s="99" t="str">
        <f t="shared" ca="1" si="156"/>
        <v/>
      </c>
      <c r="BB962" s="97" t="str">
        <f t="shared" si="160"/>
        <v/>
      </c>
      <c r="BC962" s="101" t="str">
        <f t="shared" ca="1" si="163"/>
        <v/>
      </c>
      <c r="BD962" s="100" t="str">
        <f t="shared" si="161"/>
        <v/>
      </c>
      <c r="BE962" s="103" t="str">
        <f t="shared" ca="1" si="157"/>
        <v/>
      </c>
      <c r="BF962" s="102" t="str">
        <f t="shared" si="162"/>
        <v/>
      </c>
    </row>
    <row r="963" spans="48:58" hidden="1" x14ac:dyDescent="0.25">
      <c r="AV963">
        <v>933</v>
      </c>
      <c r="AW963" s="94" t="str">
        <f t="shared" ca="1" si="154"/>
        <v/>
      </c>
      <c r="AX963" s="95" t="str">
        <f t="shared" si="158"/>
        <v/>
      </c>
      <c r="AY963" s="98" t="str">
        <f t="shared" ca="1" si="155"/>
        <v/>
      </c>
      <c r="AZ963" s="95" t="str">
        <f t="shared" si="159"/>
        <v/>
      </c>
      <c r="BA963" s="99" t="str">
        <f t="shared" ca="1" si="156"/>
        <v/>
      </c>
      <c r="BB963" s="97" t="str">
        <f t="shared" si="160"/>
        <v/>
      </c>
      <c r="BC963" s="101" t="str">
        <f t="shared" ca="1" si="163"/>
        <v/>
      </c>
      <c r="BD963" s="100" t="str">
        <f t="shared" si="161"/>
        <v/>
      </c>
      <c r="BE963" s="103" t="str">
        <f t="shared" ca="1" si="157"/>
        <v/>
      </c>
      <c r="BF963" s="102" t="str">
        <f t="shared" si="162"/>
        <v/>
      </c>
    </row>
    <row r="964" spans="48:58" hidden="1" x14ac:dyDescent="0.25">
      <c r="AV964">
        <v>934</v>
      </c>
      <c r="AW964" s="94" t="str">
        <f t="shared" ca="1" si="154"/>
        <v/>
      </c>
      <c r="AX964" s="95" t="str">
        <f t="shared" si="158"/>
        <v/>
      </c>
      <c r="AY964" s="98" t="str">
        <f t="shared" ca="1" si="155"/>
        <v/>
      </c>
      <c r="AZ964" s="95" t="str">
        <f t="shared" si="159"/>
        <v/>
      </c>
      <c r="BA964" s="99" t="str">
        <f t="shared" ca="1" si="156"/>
        <v/>
      </c>
      <c r="BB964" s="97" t="str">
        <f t="shared" si="160"/>
        <v/>
      </c>
      <c r="BC964" s="101" t="str">
        <f t="shared" ca="1" si="163"/>
        <v/>
      </c>
      <c r="BD964" s="100" t="str">
        <f t="shared" si="161"/>
        <v/>
      </c>
      <c r="BE964" s="103" t="str">
        <f t="shared" ca="1" si="157"/>
        <v/>
      </c>
      <c r="BF964" s="102" t="str">
        <f t="shared" si="162"/>
        <v/>
      </c>
    </row>
    <row r="965" spans="48:58" hidden="1" x14ac:dyDescent="0.25">
      <c r="AV965">
        <v>935</v>
      </c>
      <c r="AW965" s="94" t="str">
        <f t="shared" ca="1" si="154"/>
        <v/>
      </c>
      <c r="AX965" s="95" t="str">
        <f t="shared" si="158"/>
        <v/>
      </c>
      <c r="AY965" s="98" t="str">
        <f t="shared" ca="1" si="155"/>
        <v/>
      </c>
      <c r="AZ965" s="95" t="str">
        <f t="shared" si="159"/>
        <v/>
      </c>
      <c r="BA965" s="99" t="str">
        <f t="shared" ca="1" si="156"/>
        <v/>
      </c>
      <c r="BB965" s="97" t="str">
        <f t="shared" si="160"/>
        <v/>
      </c>
      <c r="BC965" s="101" t="str">
        <f t="shared" ca="1" si="163"/>
        <v/>
      </c>
      <c r="BD965" s="100" t="str">
        <f t="shared" si="161"/>
        <v/>
      </c>
      <c r="BE965" s="103" t="str">
        <f t="shared" ca="1" si="157"/>
        <v/>
      </c>
      <c r="BF965" s="102" t="str">
        <f t="shared" si="162"/>
        <v/>
      </c>
    </row>
    <row r="966" spans="48:58" hidden="1" x14ac:dyDescent="0.25">
      <c r="AV966">
        <v>936</v>
      </c>
      <c r="AW966" s="94" t="str">
        <f t="shared" ca="1" si="154"/>
        <v/>
      </c>
      <c r="AX966" s="95" t="str">
        <f t="shared" si="158"/>
        <v/>
      </c>
      <c r="AY966" s="98" t="str">
        <f t="shared" ca="1" si="155"/>
        <v/>
      </c>
      <c r="AZ966" s="95" t="str">
        <f t="shared" si="159"/>
        <v/>
      </c>
      <c r="BA966" s="99" t="str">
        <f t="shared" ca="1" si="156"/>
        <v/>
      </c>
      <c r="BB966" s="97" t="str">
        <f t="shared" si="160"/>
        <v/>
      </c>
      <c r="BC966" s="101" t="str">
        <f t="shared" ca="1" si="163"/>
        <v/>
      </c>
      <c r="BD966" s="100" t="str">
        <f t="shared" si="161"/>
        <v/>
      </c>
      <c r="BE966" s="103" t="str">
        <f t="shared" ca="1" si="157"/>
        <v/>
      </c>
      <c r="BF966" s="102" t="str">
        <f t="shared" si="162"/>
        <v/>
      </c>
    </row>
    <row r="967" spans="48:58" hidden="1" x14ac:dyDescent="0.25">
      <c r="AV967">
        <v>937</v>
      </c>
      <c r="AW967" s="94" t="str">
        <f t="shared" ca="1" si="154"/>
        <v/>
      </c>
      <c r="AX967" s="95" t="str">
        <f t="shared" si="158"/>
        <v/>
      </c>
      <c r="AY967" s="98" t="str">
        <f t="shared" ca="1" si="155"/>
        <v/>
      </c>
      <c r="AZ967" s="95" t="str">
        <f t="shared" si="159"/>
        <v/>
      </c>
      <c r="BA967" s="99" t="str">
        <f t="shared" ca="1" si="156"/>
        <v/>
      </c>
      <c r="BB967" s="97" t="str">
        <f t="shared" si="160"/>
        <v/>
      </c>
      <c r="BC967" s="101" t="str">
        <f t="shared" ca="1" si="163"/>
        <v/>
      </c>
      <c r="BD967" s="100" t="str">
        <f t="shared" si="161"/>
        <v/>
      </c>
      <c r="BE967" s="103" t="str">
        <f t="shared" ca="1" si="157"/>
        <v/>
      </c>
      <c r="BF967" s="102" t="str">
        <f t="shared" si="162"/>
        <v/>
      </c>
    </row>
    <row r="968" spans="48:58" hidden="1" x14ac:dyDescent="0.25">
      <c r="AV968">
        <v>938</v>
      </c>
      <c r="AW968" s="94" t="str">
        <f t="shared" ca="1" si="154"/>
        <v/>
      </c>
      <c r="AX968" s="95" t="str">
        <f t="shared" si="158"/>
        <v/>
      </c>
      <c r="AY968" s="98" t="str">
        <f t="shared" ca="1" si="155"/>
        <v/>
      </c>
      <c r="AZ968" s="95" t="str">
        <f t="shared" si="159"/>
        <v/>
      </c>
      <c r="BA968" s="99" t="str">
        <f t="shared" ca="1" si="156"/>
        <v/>
      </c>
      <c r="BB968" s="97" t="str">
        <f t="shared" si="160"/>
        <v/>
      </c>
      <c r="BC968" s="101" t="str">
        <f t="shared" ca="1" si="163"/>
        <v/>
      </c>
      <c r="BD968" s="100" t="str">
        <f t="shared" si="161"/>
        <v/>
      </c>
      <c r="BE968" s="103" t="str">
        <f t="shared" ca="1" si="157"/>
        <v/>
      </c>
      <c r="BF968" s="102" t="str">
        <f t="shared" si="162"/>
        <v/>
      </c>
    </row>
    <row r="969" spans="48:58" hidden="1" x14ac:dyDescent="0.25">
      <c r="AV969">
        <v>939</v>
      </c>
      <c r="AW969" s="94" t="str">
        <f t="shared" ca="1" si="154"/>
        <v/>
      </c>
      <c r="AX969" s="95" t="str">
        <f t="shared" si="158"/>
        <v/>
      </c>
      <c r="AY969" s="98" t="str">
        <f t="shared" ca="1" si="155"/>
        <v/>
      </c>
      <c r="AZ969" s="95" t="str">
        <f t="shared" si="159"/>
        <v/>
      </c>
      <c r="BA969" s="99" t="str">
        <f t="shared" ca="1" si="156"/>
        <v/>
      </c>
      <c r="BB969" s="97" t="str">
        <f t="shared" si="160"/>
        <v/>
      </c>
      <c r="BC969" s="101" t="str">
        <f t="shared" ca="1" si="163"/>
        <v/>
      </c>
      <c r="BD969" s="100" t="str">
        <f t="shared" si="161"/>
        <v/>
      </c>
      <c r="BE969" s="103" t="str">
        <f t="shared" ca="1" si="157"/>
        <v/>
      </c>
      <c r="BF969" s="102" t="str">
        <f t="shared" si="162"/>
        <v/>
      </c>
    </row>
    <row r="970" spans="48:58" hidden="1" x14ac:dyDescent="0.25">
      <c r="AV970">
        <v>940</v>
      </c>
      <c r="AW970" s="94" t="str">
        <f t="shared" ca="1" si="154"/>
        <v/>
      </c>
      <c r="AX970" s="95" t="str">
        <f t="shared" si="158"/>
        <v/>
      </c>
      <c r="AY970" s="98" t="str">
        <f t="shared" ca="1" si="155"/>
        <v/>
      </c>
      <c r="AZ970" s="95" t="str">
        <f t="shared" si="159"/>
        <v/>
      </c>
      <c r="BA970" s="99" t="str">
        <f t="shared" ca="1" si="156"/>
        <v/>
      </c>
      <c r="BB970" s="97" t="str">
        <f t="shared" si="160"/>
        <v/>
      </c>
      <c r="BC970" s="101" t="str">
        <f t="shared" ca="1" si="163"/>
        <v/>
      </c>
      <c r="BD970" s="100" t="str">
        <f t="shared" si="161"/>
        <v/>
      </c>
      <c r="BE970" s="103" t="str">
        <f t="shared" ca="1" si="157"/>
        <v/>
      </c>
      <c r="BF970" s="102" t="str">
        <f t="shared" si="162"/>
        <v/>
      </c>
    </row>
    <row r="971" spans="48:58" hidden="1" x14ac:dyDescent="0.25">
      <c r="AV971">
        <v>941</v>
      </c>
      <c r="AW971" s="94" t="str">
        <f t="shared" ca="1" si="154"/>
        <v/>
      </c>
      <c r="AX971" s="95" t="str">
        <f t="shared" si="158"/>
        <v/>
      </c>
      <c r="AY971" s="98" t="str">
        <f t="shared" ca="1" si="155"/>
        <v/>
      </c>
      <c r="AZ971" s="95" t="str">
        <f t="shared" si="159"/>
        <v/>
      </c>
      <c r="BA971" s="99" t="str">
        <f t="shared" ca="1" si="156"/>
        <v/>
      </c>
      <c r="BB971" s="97" t="str">
        <f t="shared" si="160"/>
        <v/>
      </c>
      <c r="BC971" s="101" t="str">
        <f t="shared" ca="1" si="163"/>
        <v/>
      </c>
      <c r="BD971" s="100" t="str">
        <f t="shared" si="161"/>
        <v/>
      </c>
      <c r="BE971" s="103" t="str">
        <f t="shared" ca="1" si="157"/>
        <v/>
      </c>
      <c r="BF971" s="102" t="str">
        <f t="shared" si="162"/>
        <v/>
      </c>
    </row>
    <row r="972" spans="48:58" hidden="1" x14ac:dyDescent="0.25">
      <c r="AV972">
        <v>942</v>
      </c>
      <c r="AW972" s="94" t="str">
        <f t="shared" ca="1" si="154"/>
        <v/>
      </c>
      <c r="AX972" s="95" t="str">
        <f t="shared" si="158"/>
        <v/>
      </c>
      <c r="AY972" s="98" t="str">
        <f t="shared" ca="1" si="155"/>
        <v/>
      </c>
      <c r="AZ972" s="95" t="str">
        <f t="shared" si="159"/>
        <v/>
      </c>
      <c r="BA972" s="99" t="str">
        <f t="shared" ca="1" si="156"/>
        <v/>
      </c>
      <c r="BB972" s="97" t="str">
        <f t="shared" si="160"/>
        <v/>
      </c>
      <c r="BC972" s="101" t="str">
        <f t="shared" ca="1" si="163"/>
        <v/>
      </c>
      <c r="BD972" s="100" t="str">
        <f t="shared" si="161"/>
        <v/>
      </c>
      <c r="BE972" s="103" t="str">
        <f t="shared" ca="1" si="157"/>
        <v/>
      </c>
      <c r="BF972" s="102" t="str">
        <f t="shared" si="162"/>
        <v/>
      </c>
    </row>
    <row r="973" spans="48:58" hidden="1" x14ac:dyDescent="0.25">
      <c r="AV973">
        <v>943</v>
      </c>
      <c r="AW973" s="94" t="str">
        <f t="shared" ca="1" si="154"/>
        <v/>
      </c>
      <c r="AX973" s="95" t="str">
        <f t="shared" si="158"/>
        <v/>
      </c>
      <c r="AY973" s="98" t="str">
        <f t="shared" ca="1" si="155"/>
        <v/>
      </c>
      <c r="AZ973" s="95" t="str">
        <f t="shared" si="159"/>
        <v/>
      </c>
      <c r="BA973" s="99" t="str">
        <f t="shared" ca="1" si="156"/>
        <v/>
      </c>
      <c r="BB973" s="97" t="str">
        <f t="shared" si="160"/>
        <v/>
      </c>
      <c r="BC973" s="101" t="str">
        <f t="shared" ca="1" si="163"/>
        <v/>
      </c>
      <c r="BD973" s="100" t="str">
        <f t="shared" si="161"/>
        <v/>
      </c>
      <c r="BE973" s="103" t="str">
        <f t="shared" ca="1" si="157"/>
        <v/>
      </c>
      <c r="BF973" s="102" t="str">
        <f t="shared" si="162"/>
        <v/>
      </c>
    </row>
    <row r="974" spans="48:58" hidden="1" x14ac:dyDescent="0.25">
      <c r="AV974">
        <v>944</v>
      </c>
      <c r="AW974" s="94" t="str">
        <f t="shared" ca="1" si="154"/>
        <v/>
      </c>
      <c r="AX974" s="95" t="str">
        <f t="shared" si="158"/>
        <v/>
      </c>
      <c r="AY974" s="98" t="str">
        <f t="shared" ca="1" si="155"/>
        <v/>
      </c>
      <c r="AZ974" s="95" t="str">
        <f t="shared" si="159"/>
        <v/>
      </c>
      <c r="BA974" s="99" t="str">
        <f t="shared" ca="1" si="156"/>
        <v/>
      </c>
      <c r="BB974" s="97" t="str">
        <f t="shared" si="160"/>
        <v/>
      </c>
      <c r="BC974" s="101" t="str">
        <f t="shared" ca="1" si="163"/>
        <v/>
      </c>
      <c r="BD974" s="100" t="str">
        <f t="shared" si="161"/>
        <v/>
      </c>
      <c r="BE974" s="103" t="str">
        <f t="shared" ca="1" si="157"/>
        <v/>
      </c>
      <c r="BF974" s="102" t="str">
        <f t="shared" si="162"/>
        <v/>
      </c>
    </row>
    <row r="975" spans="48:58" hidden="1" x14ac:dyDescent="0.25">
      <c r="AV975">
        <v>945</v>
      </c>
      <c r="AW975" s="94" t="str">
        <f t="shared" ca="1" si="154"/>
        <v/>
      </c>
      <c r="AX975" s="95" t="str">
        <f t="shared" si="158"/>
        <v/>
      </c>
      <c r="AY975" s="98" t="str">
        <f t="shared" ca="1" si="155"/>
        <v/>
      </c>
      <c r="AZ975" s="95" t="str">
        <f t="shared" si="159"/>
        <v/>
      </c>
      <c r="BA975" s="99" t="str">
        <f t="shared" ca="1" si="156"/>
        <v/>
      </c>
      <c r="BB975" s="97" t="str">
        <f t="shared" si="160"/>
        <v/>
      </c>
      <c r="BC975" s="101" t="str">
        <f t="shared" ca="1" si="163"/>
        <v/>
      </c>
      <c r="BD975" s="100" t="str">
        <f t="shared" si="161"/>
        <v/>
      </c>
      <c r="BE975" s="103" t="str">
        <f t="shared" ca="1" si="157"/>
        <v/>
      </c>
      <c r="BF975" s="102" t="str">
        <f t="shared" si="162"/>
        <v/>
      </c>
    </row>
    <row r="976" spans="48:58" hidden="1" x14ac:dyDescent="0.25">
      <c r="AV976">
        <v>946</v>
      </c>
      <c r="AW976" s="94" t="str">
        <f t="shared" ca="1" si="154"/>
        <v/>
      </c>
      <c r="AX976" s="95" t="str">
        <f t="shared" si="158"/>
        <v/>
      </c>
      <c r="AY976" s="98" t="str">
        <f t="shared" ca="1" si="155"/>
        <v/>
      </c>
      <c r="AZ976" s="95" t="str">
        <f t="shared" si="159"/>
        <v/>
      </c>
      <c r="BA976" s="99" t="str">
        <f t="shared" ca="1" si="156"/>
        <v/>
      </c>
      <c r="BB976" s="97" t="str">
        <f t="shared" si="160"/>
        <v/>
      </c>
      <c r="BC976" s="101" t="str">
        <f t="shared" ca="1" si="163"/>
        <v/>
      </c>
      <c r="BD976" s="100" t="str">
        <f t="shared" si="161"/>
        <v/>
      </c>
      <c r="BE976" s="103" t="str">
        <f t="shared" ca="1" si="157"/>
        <v/>
      </c>
      <c r="BF976" s="102" t="str">
        <f t="shared" si="162"/>
        <v/>
      </c>
    </row>
    <row r="977" spans="48:58" hidden="1" x14ac:dyDescent="0.25">
      <c r="AV977">
        <v>947</v>
      </c>
      <c r="AW977" s="94" t="str">
        <f t="shared" ca="1" si="154"/>
        <v/>
      </c>
      <c r="AX977" s="95" t="str">
        <f t="shared" si="158"/>
        <v/>
      </c>
      <c r="AY977" s="98" t="str">
        <f t="shared" ca="1" si="155"/>
        <v/>
      </c>
      <c r="AZ977" s="95" t="str">
        <f t="shared" si="159"/>
        <v/>
      </c>
      <c r="BA977" s="99" t="str">
        <f t="shared" ca="1" si="156"/>
        <v/>
      </c>
      <c r="BB977" s="97" t="str">
        <f t="shared" si="160"/>
        <v/>
      </c>
      <c r="BC977" s="101" t="str">
        <f t="shared" ca="1" si="163"/>
        <v/>
      </c>
      <c r="BD977" s="100" t="str">
        <f t="shared" si="161"/>
        <v/>
      </c>
      <c r="BE977" s="103" t="str">
        <f t="shared" ca="1" si="157"/>
        <v/>
      </c>
      <c r="BF977" s="102" t="str">
        <f t="shared" si="162"/>
        <v/>
      </c>
    </row>
    <row r="978" spans="48:58" hidden="1" x14ac:dyDescent="0.25">
      <c r="AV978">
        <v>948</v>
      </c>
      <c r="AW978" s="94" t="str">
        <f t="shared" ca="1" si="154"/>
        <v/>
      </c>
      <c r="AX978" s="95" t="str">
        <f t="shared" si="158"/>
        <v/>
      </c>
      <c r="AY978" s="98" t="str">
        <f t="shared" ca="1" si="155"/>
        <v/>
      </c>
      <c r="AZ978" s="95" t="str">
        <f t="shared" si="159"/>
        <v/>
      </c>
      <c r="BA978" s="99" t="str">
        <f t="shared" ca="1" si="156"/>
        <v/>
      </c>
      <c r="BB978" s="97" t="str">
        <f t="shared" si="160"/>
        <v/>
      </c>
      <c r="BC978" s="101" t="str">
        <f t="shared" ca="1" si="163"/>
        <v/>
      </c>
      <c r="BD978" s="100" t="str">
        <f t="shared" si="161"/>
        <v/>
      </c>
      <c r="BE978" s="103" t="str">
        <f t="shared" ca="1" si="157"/>
        <v/>
      </c>
      <c r="BF978" s="102" t="str">
        <f t="shared" si="162"/>
        <v/>
      </c>
    </row>
    <row r="979" spans="48:58" hidden="1" x14ac:dyDescent="0.25">
      <c r="AV979">
        <v>949</v>
      </c>
      <c r="AW979" s="94" t="str">
        <f t="shared" ca="1" si="154"/>
        <v/>
      </c>
      <c r="AX979" s="95" t="str">
        <f t="shared" si="158"/>
        <v/>
      </c>
      <c r="AY979" s="98" t="str">
        <f t="shared" ca="1" si="155"/>
        <v/>
      </c>
      <c r="AZ979" s="95" t="str">
        <f t="shared" si="159"/>
        <v/>
      </c>
      <c r="BA979" s="99" t="str">
        <f t="shared" ca="1" si="156"/>
        <v/>
      </c>
      <c r="BB979" s="97" t="str">
        <f t="shared" si="160"/>
        <v/>
      </c>
      <c r="BC979" s="101" t="str">
        <f t="shared" ca="1" si="163"/>
        <v/>
      </c>
      <c r="BD979" s="100" t="str">
        <f t="shared" si="161"/>
        <v/>
      </c>
      <c r="BE979" s="103" t="str">
        <f t="shared" ca="1" si="157"/>
        <v/>
      </c>
      <c r="BF979" s="102" t="str">
        <f t="shared" si="162"/>
        <v/>
      </c>
    </row>
    <row r="980" spans="48:58" hidden="1" x14ac:dyDescent="0.25">
      <c r="AV980">
        <v>950</v>
      </c>
      <c r="AW980" s="94" t="str">
        <f t="shared" ca="1" si="154"/>
        <v/>
      </c>
      <c r="AX980" s="95" t="str">
        <f t="shared" si="158"/>
        <v/>
      </c>
      <c r="AY980" s="98" t="str">
        <f t="shared" ca="1" si="155"/>
        <v/>
      </c>
      <c r="AZ980" s="95" t="str">
        <f t="shared" si="159"/>
        <v/>
      </c>
      <c r="BA980" s="99" t="str">
        <f t="shared" ca="1" si="156"/>
        <v/>
      </c>
      <c r="BB980" s="97" t="str">
        <f t="shared" si="160"/>
        <v/>
      </c>
      <c r="BC980" s="101" t="str">
        <f t="shared" ca="1" si="163"/>
        <v/>
      </c>
      <c r="BD980" s="100" t="str">
        <f t="shared" si="161"/>
        <v/>
      </c>
      <c r="BE980" s="103" t="str">
        <f t="shared" ca="1" si="157"/>
        <v/>
      </c>
      <c r="BF980" s="102" t="str">
        <f t="shared" si="162"/>
        <v/>
      </c>
    </row>
    <row r="981" spans="48:58" hidden="1" x14ac:dyDescent="0.25">
      <c r="AV981">
        <v>951</v>
      </c>
      <c r="AW981" s="94" t="str">
        <f t="shared" ca="1" si="154"/>
        <v/>
      </c>
      <c r="AX981" s="95" t="str">
        <f t="shared" si="158"/>
        <v/>
      </c>
      <c r="AY981" s="98" t="str">
        <f t="shared" ca="1" si="155"/>
        <v/>
      </c>
      <c r="AZ981" s="95" t="str">
        <f t="shared" si="159"/>
        <v/>
      </c>
      <c r="BA981" s="99" t="str">
        <f t="shared" ca="1" si="156"/>
        <v/>
      </c>
      <c r="BB981" s="97" t="str">
        <f t="shared" si="160"/>
        <v/>
      </c>
      <c r="BC981" s="101" t="str">
        <f t="shared" ca="1" si="163"/>
        <v/>
      </c>
      <c r="BD981" s="100" t="str">
        <f t="shared" si="161"/>
        <v/>
      </c>
      <c r="BE981" s="103" t="str">
        <f t="shared" ca="1" si="157"/>
        <v/>
      </c>
      <c r="BF981" s="102" t="str">
        <f t="shared" si="162"/>
        <v/>
      </c>
    </row>
    <row r="982" spans="48:58" hidden="1" x14ac:dyDescent="0.25">
      <c r="AV982">
        <v>952</v>
      </c>
      <c r="AW982" s="94" t="str">
        <f t="shared" ca="1" si="154"/>
        <v/>
      </c>
      <c r="AX982" s="95" t="str">
        <f t="shared" si="158"/>
        <v/>
      </c>
      <c r="AY982" s="98" t="str">
        <f t="shared" ca="1" si="155"/>
        <v/>
      </c>
      <c r="AZ982" s="95" t="str">
        <f t="shared" si="159"/>
        <v/>
      </c>
      <c r="BA982" s="99" t="str">
        <f t="shared" ca="1" si="156"/>
        <v/>
      </c>
      <c r="BB982" s="97" t="str">
        <f t="shared" si="160"/>
        <v/>
      </c>
      <c r="BC982" s="101" t="str">
        <f t="shared" ca="1" si="163"/>
        <v/>
      </c>
      <c r="BD982" s="100" t="str">
        <f t="shared" si="161"/>
        <v/>
      </c>
      <c r="BE982" s="103" t="str">
        <f t="shared" ca="1" si="157"/>
        <v/>
      </c>
      <c r="BF982" s="102" t="str">
        <f t="shared" si="162"/>
        <v/>
      </c>
    </row>
    <row r="983" spans="48:58" hidden="1" x14ac:dyDescent="0.25">
      <c r="AV983">
        <v>953</v>
      </c>
      <c r="AW983" s="94" t="str">
        <f t="shared" ca="1" si="154"/>
        <v/>
      </c>
      <c r="AX983" s="95" t="str">
        <f t="shared" si="158"/>
        <v/>
      </c>
      <c r="AY983" s="98" t="str">
        <f t="shared" ca="1" si="155"/>
        <v/>
      </c>
      <c r="AZ983" s="95" t="str">
        <f t="shared" si="159"/>
        <v/>
      </c>
      <c r="BA983" s="99" t="str">
        <f t="shared" ca="1" si="156"/>
        <v/>
      </c>
      <c r="BB983" s="97" t="str">
        <f t="shared" si="160"/>
        <v/>
      </c>
      <c r="BC983" s="101" t="str">
        <f t="shared" ca="1" si="163"/>
        <v/>
      </c>
      <c r="BD983" s="100" t="str">
        <f t="shared" si="161"/>
        <v/>
      </c>
      <c r="BE983" s="103" t="str">
        <f t="shared" ca="1" si="157"/>
        <v/>
      </c>
      <c r="BF983" s="102" t="str">
        <f t="shared" si="162"/>
        <v/>
      </c>
    </row>
    <row r="984" spans="48:58" hidden="1" x14ac:dyDescent="0.25">
      <c r="AV984">
        <v>954</v>
      </c>
      <c r="AW984" s="94" t="str">
        <f t="shared" ca="1" si="154"/>
        <v/>
      </c>
      <c r="AX984" s="95" t="str">
        <f t="shared" si="158"/>
        <v/>
      </c>
      <c r="AY984" s="98" t="str">
        <f t="shared" ca="1" si="155"/>
        <v/>
      </c>
      <c r="AZ984" s="95" t="str">
        <f t="shared" si="159"/>
        <v/>
      </c>
      <c r="BA984" s="99" t="str">
        <f t="shared" ca="1" si="156"/>
        <v/>
      </c>
      <c r="BB984" s="97" t="str">
        <f t="shared" si="160"/>
        <v/>
      </c>
      <c r="BC984" s="101" t="str">
        <f t="shared" ca="1" si="163"/>
        <v/>
      </c>
      <c r="BD984" s="100" t="str">
        <f t="shared" si="161"/>
        <v/>
      </c>
      <c r="BE984" s="103" t="str">
        <f t="shared" ca="1" si="157"/>
        <v/>
      </c>
      <c r="BF984" s="102" t="str">
        <f t="shared" si="162"/>
        <v/>
      </c>
    </row>
    <row r="985" spans="48:58" hidden="1" x14ac:dyDescent="0.25">
      <c r="AV985">
        <v>955</v>
      </c>
      <c r="AW985" s="94" t="str">
        <f t="shared" ca="1" si="154"/>
        <v/>
      </c>
      <c r="AX985" s="95" t="str">
        <f t="shared" si="158"/>
        <v/>
      </c>
      <c r="AY985" s="98" t="str">
        <f t="shared" ca="1" si="155"/>
        <v/>
      </c>
      <c r="AZ985" s="95" t="str">
        <f t="shared" si="159"/>
        <v/>
      </c>
      <c r="BA985" s="99" t="str">
        <f t="shared" ca="1" si="156"/>
        <v/>
      </c>
      <c r="BB985" s="97" t="str">
        <f t="shared" si="160"/>
        <v/>
      </c>
      <c r="BC985" s="101" t="str">
        <f t="shared" ca="1" si="163"/>
        <v/>
      </c>
      <c r="BD985" s="100" t="str">
        <f t="shared" si="161"/>
        <v/>
      </c>
      <c r="BE985" s="103" t="str">
        <f t="shared" ca="1" si="157"/>
        <v/>
      </c>
      <c r="BF985" s="102" t="str">
        <f t="shared" si="162"/>
        <v/>
      </c>
    </row>
    <row r="986" spans="48:58" hidden="1" x14ac:dyDescent="0.25">
      <c r="AV986">
        <v>956</v>
      </c>
      <c r="AW986" s="94" t="str">
        <f t="shared" ca="1" si="154"/>
        <v/>
      </c>
      <c r="AX986" s="95" t="str">
        <f t="shared" si="158"/>
        <v/>
      </c>
      <c r="AY986" s="98" t="str">
        <f t="shared" ca="1" si="155"/>
        <v/>
      </c>
      <c r="AZ986" s="95" t="str">
        <f t="shared" si="159"/>
        <v/>
      </c>
      <c r="BA986" s="99" t="str">
        <f t="shared" ca="1" si="156"/>
        <v/>
      </c>
      <c r="BB986" s="97" t="str">
        <f t="shared" si="160"/>
        <v/>
      </c>
      <c r="BC986" s="101" t="str">
        <f t="shared" ca="1" si="163"/>
        <v/>
      </c>
      <c r="BD986" s="100" t="str">
        <f t="shared" si="161"/>
        <v/>
      </c>
      <c r="BE986" s="103" t="str">
        <f t="shared" ca="1" si="157"/>
        <v/>
      </c>
      <c r="BF986" s="102" t="str">
        <f t="shared" si="162"/>
        <v/>
      </c>
    </row>
    <row r="987" spans="48:58" hidden="1" x14ac:dyDescent="0.25">
      <c r="AV987">
        <v>957</v>
      </c>
      <c r="AW987" s="94" t="str">
        <f t="shared" ca="1" si="154"/>
        <v/>
      </c>
      <c r="AX987" s="95" t="str">
        <f t="shared" si="158"/>
        <v/>
      </c>
      <c r="AY987" s="98" t="str">
        <f t="shared" ca="1" si="155"/>
        <v/>
      </c>
      <c r="AZ987" s="95" t="str">
        <f t="shared" si="159"/>
        <v/>
      </c>
      <c r="BA987" s="99" t="str">
        <f t="shared" ca="1" si="156"/>
        <v/>
      </c>
      <c r="BB987" s="97" t="str">
        <f t="shared" si="160"/>
        <v/>
      </c>
      <c r="BC987" s="101" t="str">
        <f t="shared" ca="1" si="163"/>
        <v/>
      </c>
      <c r="BD987" s="100" t="str">
        <f t="shared" si="161"/>
        <v/>
      </c>
      <c r="BE987" s="103" t="str">
        <f t="shared" ca="1" si="157"/>
        <v/>
      </c>
      <c r="BF987" s="102" t="str">
        <f t="shared" si="162"/>
        <v/>
      </c>
    </row>
    <row r="988" spans="48:58" hidden="1" x14ac:dyDescent="0.25">
      <c r="AV988">
        <v>958</v>
      </c>
      <c r="AW988" s="94" t="str">
        <f t="shared" ca="1" si="154"/>
        <v/>
      </c>
      <c r="AX988" s="95" t="str">
        <f t="shared" si="158"/>
        <v/>
      </c>
      <c r="AY988" s="98" t="str">
        <f t="shared" ca="1" si="155"/>
        <v/>
      </c>
      <c r="AZ988" s="95" t="str">
        <f t="shared" si="159"/>
        <v/>
      </c>
      <c r="BA988" s="99" t="str">
        <f t="shared" ca="1" si="156"/>
        <v/>
      </c>
      <c r="BB988" s="97" t="str">
        <f t="shared" si="160"/>
        <v/>
      </c>
      <c r="BC988" s="101" t="str">
        <f t="shared" ca="1" si="163"/>
        <v/>
      </c>
      <c r="BD988" s="100" t="str">
        <f t="shared" si="161"/>
        <v/>
      </c>
      <c r="BE988" s="103" t="str">
        <f t="shared" ca="1" si="157"/>
        <v/>
      </c>
      <c r="BF988" s="102" t="str">
        <f t="shared" si="162"/>
        <v/>
      </c>
    </row>
    <row r="989" spans="48:58" hidden="1" x14ac:dyDescent="0.25">
      <c r="AV989">
        <v>959</v>
      </c>
      <c r="AW989" s="94" t="str">
        <f t="shared" ca="1" si="154"/>
        <v/>
      </c>
      <c r="AX989" s="95" t="str">
        <f t="shared" si="158"/>
        <v/>
      </c>
      <c r="AY989" s="98" t="str">
        <f t="shared" ca="1" si="155"/>
        <v/>
      </c>
      <c r="AZ989" s="95" t="str">
        <f t="shared" si="159"/>
        <v/>
      </c>
      <c r="BA989" s="99" t="str">
        <f t="shared" ca="1" si="156"/>
        <v/>
      </c>
      <c r="BB989" s="97" t="str">
        <f t="shared" si="160"/>
        <v/>
      </c>
      <c r="BC989" s="101" t="str">
        <f t="shared" ca="1" si="163"/>
        <v/>
      </c>
      <c r="BD989" s="100" t="str">
        <f t="shared" si="161"/>
        <v/>
      </c>
      <c r="BE989" s="103" t="str">
        <f t="shared" ca="1" si="157"/>
        <v/>
      </c>
      <c r="BF989" s="102" t="str">
        <f t="shared" si="162"/>
        <v/>
      </c>
    </row>
    <row r="990" spans="48:58" hidden="1" x14ac:dyDescent="0.25">
      <c r="AV990">
        <v>960</v>
      </c>
      <c r="AW990" s="94" t="str">
        <f t="shared" ca="1" si="154"/>
        <v/>
      </c>
      <c r="AX990" s="95" t="str">
        <f t="shared" si="158"/>
        <v/>
      </c>
      <c r="AY990" s="98" t="str">
        <f t="shared" ca="1" si="155"/>
        <v/>
      </c>
      <c r="AZ990" s="95" t="str">
        <f t="shared" si="159"/>
        <v/>
      </c>
      <c r="BA990" s="99" t="str">
        <f t="shared" ca="1" si="156"/>
        <v/>
      </c>
      <c r="BB990" s="97" t="str">
        <f t="shared" si="160"/>
        <v/>
      </c>
      <c r="BC990" s="101" t="str">
        <f t="shared" ca="1" si="163"/>
        <v/>
      </c>
      <c r="BD990" s="100" t="str">
        <f t="shared" si="161"/>
        <v/>
      </c>
      <c r="BE990" s="103" t="str">
        <f t="shared" ca="1" si="157"/>
        <v/>
      </c>
      <c r="BF990" s="102" t="str">
        <f t="shared" si="162"/>
        <v/>
      </c>
    </row>
    <row r="991" spans="48:58" hidden="1" x14ac:dyDescent="0.25">
      <c r="AV991">
        <v>961</v>
      </c>
      <c r="AW991" s="94" t="str">
        <f t="shared" ref="AW991:AW1054" ca="1" si="164">IF(T_1*12&gt;=AV991,DATE(YEAR(TODAY()),MONTH(TODAY())+AV991-1,DAY(TODAY())),IF(T_1*12+1&gt;=AV991,DATE(YEAR(TODAY()),MONTH(TODAY())+T_1*12,DAY(TODAY())),""))</f>
        <v/>
      </c>
      <c r="AX991" s="95" t="str">
        <f t="shared" si="158"/>
        <v/>
      </c>
      <c r="AY991" s="98" t="str">
        <f t="shared" ref="AY991:AY1054" ca="1" si="165">IF(T_2*12&gt;=$AV991,DATE(YEAR(TODAY()),MONTH(TODAY())+$AV991-1,DAY(TODAY())),IF(T_2*12+1&gt;=$AV991,DATE(YEAR(TODAY()),MONTH(TODAY())+T_2*12,DAY(TODAY())),""))</f>
        <v/>
      </c>
      <c r="AZ991" s="95" t="str">
        <f t="shared" si="159"/>
        <v/>
      </c>
      <c r="BA991" s="99" t="str">
        <f t="shared" ref="BA991:BA1054" ca="1" si="166">IF(T_3*12&gt;=$AV991,DATE(YEAR(TODAY()),MONTH(TODAY())+$AV991-1,DAY(TODAY())),IF(T_3*12+1&gt;=$AV991,DATE(YEAR(TODAY()),MONTH(TODAY())+T_3*12,DAY(TODAY())),""))</f>
        <v/>
      </c>
      <c r="BB991" s="97" t="str">
        <f t="shared" si="160"/>
        <v/>
      </c>
      <c r="BC991" s="101" t="str">
        <f t="shared" ca="1" si="163"/>
        <v/>
      </c>
      <c r="BD991" s="100" t="str">
        <f t="shared" si="161"/>
        <v/>
      </c>
      <c r="BE991" s="103" t="str">
        <f t="shared" ref="BE991:BE1054" ca="1" si="167">IF(T_5*12&gt;=$AV991,DATE(YEAR(TODAY()),MONTH(TODAY())+$AV991-1,DAY(TODAY())),IF(T_5*12+1&gt;=$AV991,DATE(YEAR(TODAY()),MONTH(TODAY())+T_5*12,DAY(TODAY())),""))</f>
        <v/>
      </c>
      <c r="BF991" s="102" t="str">
        <f t="shared" si="162"/>
        <v/>
      </c>
    </row>
    <row r="992" spans="48:58" hidden="1" x14ac:dyDescent="0.25">
      <c r="AV992">
        <v>962</v>
      </c>
      <c r="AW992" s="94" t="str">
        <f t="shared" ca="1" si="164"/>
        <v/>
      </c>
      <c r="AX992" s="95" t="str">
        <f t="shared" ref="AX992:AX1055" si="168">IF(T_1*12&gt;=AV992,-1*$I$15,IF(T_1*12+1&gt;=AV992,InfG_1,""))</f>
        <v/>
      </c>
      <c r="AY992" s="98" t="str">
        <f t="shared" ca="1" si="165"/>
        <v/>
      </c>
      <c r="AZ992" s="95" t="str">
        <f t="shared" ref="AZ992:AZ1055" si="169">IF(T_2*12&gt;=$AV992,-1*$I$17,IF(T_2*12+1&gt;=$AV992,InfG_2,""))</f>
        <v/>
      </c>
      <c r="BA992" s="99" t="str">
        <f t="shared" ca="1" si="166"/>
        <v/>
      </c>
      <c r="BB992" s="97" t="str">
        <f t="shared" ref="BB992:BB1055" si="170">IF(T_3*12&gt;=$AV992,-1*$I$19,IF(T_3*12+1&gt;=$AV992,InfG_3,""))</f>
        <v/>
      </c>
      <c r="BC992" s="101" t="str">
        <f t="shared" ca="1" si="163"/>
        <v/>
      </c>
      <c r="BD992" s="100" t="str">
        <f t="shared" ref="BD992:BD1055" si="171">IF(T_4*12&gt;=$AV992,-1*$I$21,IF(T_4*12+1&gt;=$AV992,InfG_4,""))</f>
        <v/>
      </c>
      <c r="BE992" s="103" t="str">
        <f t="shared" ca="1" si="167"/>
        <v/>
      </c>
      <c r="BF992" s="102" t="str">
        <f t="shared" ref="BF992:BF1055" si="172">IF(T_5*12&gt;=$AV992,-1*$I$23,IF(T_5*12+1&gt;=$AV992,InfG_5,""))</f>
        <v/>
      </c>
    </row>
    <row r="993" spans="48:58" hidden="1" x14ac:dyDescent="0.25">
      <c r="AV993">
        <v>963</v>
      </c>
      <c r="AW993" s="94" t="str">
        <f t="shared" ca="1" si="164"/>
        <v/>
      </c>
      <c r="AX993" s="95" t="str">
        <f t="shared" si="168"/>
        <v/>
      </c>
      <c r="AY993" s="98" t="str">
        <f t="shared" ca="1" si="165"/>
        <v/>
      </c>
      <c r="AZ993" s="95" t="str">
        <f t="shared" si="169"/>
        <v/>
      </c>
      <c r="BA993" s="99" t="str">
        <f t="shared" ca="1" si="166"/>
        <v/>
      </c>
      <c r="BB993" s="97" t="str">
        <f t="shared" si="170"/>
        <v/>
      </c>
      <c r="BC993" s="101" t="str">
        <f t="shared" ref="BC993:BC1056" ca="1" si="173">IF(T_4*12&gt;=AV993,DATE(YEAR(TODAY()),MONTH(TODAY())+AV993-1,DAY(TODAY())),IF(T_4*12+1&gt;=AV993,DATE(YEAR(TODAY()),MONTH(TODAY())+T_4*12,DAY(TODAY())),""))</f>
        <v/>
      </c>
      <c r="BD993" s="100" t="str">
        <f t="shared" si="171"/>
        <v/>
      </c>
      <c r="BE993" s="103" t="str">
        <f t="shared" ca="1" si="167"/>
        <v/>
      </c>
      <c r="BF993" s="102" t="str">
        <f t="shared" si="172"/>
        <v/>
      </c>
    </row>
    <row r="994" spans="48:58" hidden="1" x14ac:dyDescent="0.25">
      <c r="AV994">
        <v>964</v>
      </c>
      <c r="AW994" s="94" t="str">
        <f t="shared" ca="1" si="164"/>
        <v/>
      </c>
      <c r="AX994" s="95" t="str">
        <f t="shared" si="168"/>
        <v/>
      </c>
      <c r="AY994" s="98" t="str">
        <f t="shared" ca="1" si="165"/>
        <v/>
      </c>
      <c r="AZ994" s="95" t="str">
        <f t="shared" si="169"/>
        <v/>
      </c>
      <c r="BA994" s="99" t="str">
        <f t="shared" ca="1" si="166"/>
        <v/>
      </c>
      <c r="BB994" s="97" t="str">
        <f t="shared" si="170"/>
        <v/>
      </c>
      <c r="BC994" s="101" t="str">
        <f t="shared" ca="1" si="173"/>
        <v/>
      </c>
      <c r="BD994" s="100" t="str">
        <f t="shared" si="171"/>
        <v/>
      </c>
      <c r="BE994" s="103" t="str">
        <f t="shared" ca="1" si="167"/>
        <v/>
      </c>
      <c r="BF994" s="102" t="str">
        <f t="shared" si="172"/>
        <v/>
      </c>
    </row>
    <row r="995" spans="48:58" hidden="1" x14ac:dyDescent="0.25">
      <c r="AV995">
        <v>965</v>
      </c>
      <c r="AW995" s="94" t="str">
        <f t="shared" ca="1" si="164"/>
        <v/>
      </c>
      <c r="AX995" s="95" t="str">
        <f t="shared" si="168"/>
        <v/>
      </c>
      <c r="AY995" s="98" t="str">
        <f t="shared" ca="1" si="165"/>
        <v/>
      </c>
      <c r="AZ995" s="95" t="str">
        <f t="shared" si="169"/>
        <v/>
      </c>
      <c r="BA995" s="99" t="str">
        <f t="shared" ca="1" si="166"/>
        <v/>
      </c>
      <c r="BB995" s="97" t="str">
        <f t="shared" si="170"/>
        <v/>
      </c>
      <c r="BC995" s="101" t="str">
        <f t="shared" ca="1" si="173"/>
        <v/>
      </c>
      <c r="BD995" s="100" t="str">
        <f t="shared" si="171"/>
        <v/>
      </c>
      <c r="BE995" s="103" t="str">
        <f t="shared" ca="1" si="167"/>
        <v/>
      </c>
      <c r="BF995" s="102" t="str">
        <f t="shared" si="172"/>
        <v/>
      </c>
    </row>
    <row r="996" spans="48:58" hidden="1" x14ac:dyDescent="0.25">
      <c r="AV996">
        <v>966</v>
      </c>
      <c r="AW996" s="94" t="str">
        <f t="shared" ca="1" si="164"/>
        <v/>
      </c>
      <c r="AX996" s="95" t="str">
        <f t="shared" si="168"/>
        <v/>
      </c>
      <c r="AY996" s="98" t="str">
        <f t="shared" ca="1" si="165"/>
        <v/>
      </c>
      <c r="AZ996" s="95" t="str">
        <f t="shared" si="169"/>
        <v/>
      </c>
      <c r="BA996" s="99" t="str">
        <f t="shared" ca="1" si="166"/>
        <v/>
      </c>
      <c r="BB996" s="97" t="str">
        <f t="shared" si="170"/>
        <v/>
      </c>
      <c r="BC996" s="101" t="str">
        <f t="shared" ca="1" si="173"/>
        <v/>
      </c>
      <c r="BD996" s="100" t="str">
        <f t="shared" si="171"/>
        <v/>
      </c>
      <c r="BE996" s="103" t="str">
        <f t="shared" ca="1" si="167"/>
        <v/>
      </c>
      <c r="BF996" s="102" t="str">
        <f t="shared" si="172"/>
        <v/>
      </c>
    </row>
    <row r="997" spans="48:58" hidden="1" x14ac:dyDescent="0.25">
      <c r="AV997">
        <v>967</v>
      </c>
      <c r="AW997" s="94" t="str">
        <f t="shared" ca="1" si="164"/>
        <v/>
      </c>
      <c r="AX997" s="95" t="str">
        <f t="shared" si="168"/>
        <v/>
      </c>
      <c r="AY997" s="98" t="str">
        <f t="shared" ca="1" si="165"/>
        <v/>
      </c>
      <c r="AZ997" s="95" t="str">
        <f t="shared" si="169"/>
        <v/>
      </c>
      <c r="BA997" s="99" t="str">
        <f t="shared" ca="1" si="166"/>
        <v/>
      </c>
      <c r="BB997" s="97" t="str">
        <f t="shared" si="170"/>
        <v/>
      </c>
      <c r="BC997" s="101" t="str">
        <f t="shared" ca="1" si="173"/>
        <v/>
      </c>
      <c r="BD997" s="100" t="str">
        <f t="shared" si="171"/>
        <v/>
      </c>
      <c r="BE997" s="103" t="str">
        <f t="shared" ca="1" si="167"/>
        <v/>
      </c>
      <c r="BF997" s="102" t="str">
        <f t="shared" si="172"/>
        <v/>
      </c>
    </row>
    <row r="998" spans="48:58" hidden="1" x14ac:dyDescent="0.25">
      <c r="AV998">
        <v>968</v>
      </c>
      <c r="AW998" s="94" t="str">
        <f t="shared" ca="1" si="164"/>
        <v/>
      </c>
      <c r="AX998" s="95" t="str">
        <f t="shared" si="168"/>
        <v/>
      </c>
      <c r="AY998" s="98" t="str">
        <f t="shared" ca="1" si="165"/>
        <v/>
      </c>
      <c r="AZ998" s="95" t="str">
        <f t="shared" si="169"/>
        <v/>
      </c>
      <c r="BA998" s="99" t="str">
        <f t="shared" ca="1" si="166"/>
        <v/>
      </c>
      <c r="BB998" s="97" t="str">
        <f t="shared" si="170"/>
        <v/>
      </c>
      <c r="BC998" s="101" t="str">
        <f t="shared" ca="1" si="173"/>
        <v/>
      </c>
      <c r="BD998" s="100" t="str">
        <f t="shared" si="171"/>
        <v/>
      </c>
      <c r="BE998" s="103" t="str">
        <f t="shared" ca="1" si="167"/>
        <v/>
      </c>
      <c r="BF998" s="102" t="str">
        <f t="shared" si="172"/>
        <v/>
      </c>
    </row>
    <row r="999" spans="48:58" hidden="1" x14ac:dyDescent="0.25">
      <c r="AV999">
        <v>969</v>
      </c>
      <c r="AW999" s="94" t="str">
        <f t="shared" ca="1" si="164"/>
        <v/>
      </c>
      <c r="AX999" s="95" t="str">
        <f t="shared" si="168"/>
        <v/>
      </c>
      <c r="AY999" s="98" t="str">
        <f t="shared" ca="1" si="165"/>
        <v/>
      </c>
      <c r="AZ999" s="95" t="str">
        <f t="shared" si="169"/>
        <v/>
      </c>
      <c r="BA999" s="99" t="str">
        <f t="shared" ca="1" si="166"/>
        <v/>
      </c>
      <c r="BB999" s="97" t="str">
        <f t="shared" si="170"/>
        <v/>
      </c>
      <c r="BC999" s="101" t="str">
        <f t="shared" ca="1" si="173"/>
        <v/>
      </c>
      <c r="BD999" s="100" t="str">
        <f t="shared" si="171"/>
        <v/>
      </c>
      <c r="BE999" s="103" t="str">
        <f t="shared" ca="1" si="167"/>
        <v/>
      </c>
      <c r="BF999" s="102" t="str">
        <f t="shared" si="172"/>
        <v/>
      </c>
    </row>
    <row r="1000" spans="48:58" hidden="1" x14ac:dyDescent="0.25">
      <c r="AV1000">
        <v>970</v>
      </c>
      <c r="AW1000" s="94" t="str">
        <f t="shared" ca="1" si="164"/>
        <v/>
      </c>
      <c r="AX1000" s="95" t="str">
        <f t="shared" si="168"/>
        <v/>
      </c>
      <c r="AY1000" s="98" t="str">
        <f t="shared" ca="1" si="165"/>
        <v/>
      </c>
      <c r="AZ1000" s="95" t="str">
        <f t="shared" si="169"/>
        <v/>
      </c>
      <c r="BA1000" s="99" t="str">
        <f t="shared" ca="1" si="166"/>
        <v/>
      </c>
      <c r="BB1000" s="97" t="str">
        <f t="shared" si="170"/>
        <v/>
      </c>
      <c r="BC1000" s="101" t="str">
        <f t="shared" ca="1" si="173"/>
        <v/>
      </c>
      <c r="BD1000" s="100" t="str">
        <f t="shared" si="171"/>
        <v/>
      </c>
      <c r="BE1000" s="103" t="str">
        <f t="shared" ca="1" si="167"/>
        <v/>
      </c>
      <c r="BF1000" s="102" t="str">
        <f t="shared" si="172"/>
        <v/>
      </c>
    </row>
    <row r="1001" spans="48:58" hidden="1" x14ac:dyDescent="0.25">
      <c r="AV1001">
        <v>971</v>
      </c>
      <c r="AW1001" s="94" t="str">
        <f t="shared" ca="1" si="164"/>
        <v/>
      </c>
      <c r="AX1001" s="95" t="str">
        <f t="shared" si="168"/>
        <v/>
      </c>
      <c r="AY1001" s="98" t="str">
        <f t="shared" ca="1" si="165"/>
        <v/>
      </c>
      <c r="AZ1001" s="95" t="str">
        <f t="shared" si="169"/>
        <v/>
      </c>
      <c r="BA1001" s="99" t="str">
        <f t="shared" ca="1" si="166"/>
        <v/>
      </c>
      <c r="BB1001" s="97" t="str">
        <f t="shared" si="170"/>
        <v/>
      </c>
      <c r="BC1001" s="101" t="str">
        <f t="shared" ca="1" si="173"/>
        <v/>
      </c>
      <c r="BD1001" s="100" t="str">
        <f t="shared" si="171"/>
        <v/>
      </c>
      <c r="BE1001" s="103" t="str">
        <f t="shared" ca="1" si="167"/>
        <v/>
      </c>
      <c r="BF1001" s="102" t="str">
        <f t="shared" si="172"/>
        <v/>
      </c>
    </row>
    <row r="1002" spans="48:58" hidden="1" x14ac:dyDescent="0.25">
      <c r="AV1002">
        <v>972</v>
      </c>
      <c r="AW1002" s="94" t="str">
        <f t="shared" ca="1" si="164"/>
        <v/>
      </c>
      <c r="AX1002" s="95" t="str">
        <f t="shared" si="168"/>
        <v/>
      </c>
      <c r="AY1002" s="98" t="str">
        <f t="shared" ca="1" si="165"/>
        <v/>
      </c>
      <c r="AZ1002" s="95" t="str">
        <f t="shared" si="169"/>
        <v/>
      </c>
      <c r="BA1002" s="99" t="str">
        <f t="shared" ca="1" si="166"/>
        <v/>
      </c>
      <c r="BB1002" s="97" t="str">
        <f t="shared" si="170"/>
        <v/>
      </c>
      <c r="BC1002" s="101" t="str">
        <f t="shared" ca="1" si="173"/>
        <v/>
      </c>
      <c r="BD1002" s="100" t="str">
        <f t="shared" si="171"/>
        <v/>
      </c>
      <c r="BE1002" s="103" t="str">
        <f t="shared" ca="1" si="167"/>
        <v/>
      </c>
      <c r="BF1002" s="102" t="str">
        <f t="shared" si="172"/>
        <v/>
      </c>
    </row>
    <row r="1003" spans="48:58" hidden="1" x14ac:dyDescent="0.25">
      <c r="AV1003">
        <v>973</v>
      </c>
      <c r="AW1003" s="94" t="str">
        <f t="shared" ca="1" si="164"/>
        <v/>
      </c>
      <c r="AX1003" s="95" t="str">
        <f t="shared" si="168"/>
        <v/>
      </c>
      <c r="AY1003" s="98" t="str">
        <f t="shared" ca="1" si="165"/>
        <v/>
      </c>
      <c r="AZ1003" s="95" t="str">
        <f t="shared" si="169"/>
        <v/>
      </c>
      <c r="BA1003" s="99" t="str">
        <f t="shared" ca="1" si="166"/>
        <v/>
      </c>
      <c r="BB1003" s="97" t="str">
        <f t="shared" si="170"/>
        <v/>
      </c>
      <c r="BC1003" s="101" t="str">
        <f t="shared" ca="1" si="173"/>
        <v/>
      </c>
      <c r="BD1003" s="100" t="str">
        <f t="shared" si="171"/>
        <v/>
      </c>
      <c r="BE1003" s="103" t="str">
        <f t="shared" ca="1" si="167"/>
        <v/>
      </c>
      <c r="BF1003" s="102" t="str">
        <f t="shared" si="172"/>
        <v/>
      </c>
    </row>
    <row r="1004" spans="48:58" hidden="1" x14ac:dyDescent="0.25">
      <c r="AV1004">
        <v>974</v>
      </c>
      <c r="AW1004" s="94" t="str">
        <f t="shared" ca="1" si="164"/>
        <v/>
      </c>
      <c r="AX1004" s="95" t="str">
        <f t="shared" si="168"/>
        <v/>
      </c>
      <c r="AY1004" s="98" t="str">
        <f t="shared" ca="1" si="165"/>
        <v/>
      </c>
      <c r="AZ1004" s="95" t="str">
        <f t="shared" si="169"/>
        <v/>
      </c>
      <c r="BA1004" s="99" t="str">
        <f t="shared" ca="1" si="166"/>
        <v/>
      </c>
      <c r="BB1004" s="97" t="str">
        <f t="shared" si="170"/>
        <v/>
      </c>
      <c r="BC1004" s="101" t="str">
        <f t="shared" ca="1" si="173"/>
        <v/>
      </c>
      <c r="BD1004" s="100" t="str">
        <f t="shared" si="171"/>
        <v/>
      </c>
      <c r="BE1004" s="103" t="str">
        <f t="shared" ca="1" si="167"/>
        <v/>
      </c>
      <c r="BF1004" s="102" t="str">
        <f t="shared" si="172"/>
        <v/>
      </c>
    </row>
    <row r="1005" spans="48:58" hidden="1" x14ac:dyDescent="0.25">
      <c r="AV1005">
        <v>975</v>
      </c>
      <c r="AW1005" s="94" t="str">
        <f t="shared" ca="1" si="164"/>
        <v/>
      </c>
      <c r="AX1005" s="95" t="str">
        <f t="shared" si="168"/>
        <v/>
      </c>
      <c r="AY1005" s="98" t="str">
        <f t="shared" ca="1" si="165"/>
        <v/>
      </c>
      <c r="AZ1005" s="95" t="str">
        <f t="shared" si="169"/>
        <v/>
      </c>
      <c r="BA1005" s="99" t="str">
        <f t="shared" ca="1" si="166"/>
        <v/>
      </c>
      <c r="BB1005" s="97" t="str">
        <f t="shared" si="170"/>
        <v/>
      </c>
      <c r="BC1005" s="101" t="str">
        <f t="shared" ca="1" si="173"/>
        <v/>
      </c>
      <c r="BD1005" s="100" t="str">
        <f t="shared" si="171"/>
        <v/>
      </c>
      <c r="BE1005" s="103" t="str">
        <f t="shared" ca="1" si="167"/>
        <v/>
      </c>
      <c r="BF1005" s="102" t="str">
        <f t="shared" si="172"/>
        <v/>
      </c>
    </row>
    <row r="1006" spans="48:58" hidden="1" x14ac:dyDescent="0.25">
      <c r="AV1006">
        <v>976</v>
      </c>
      <c r="AW1006" s="94" t="str">
        <f t="shared" ca="1" si="164"/>
        <v/>
      </c>
      <c r="AX1006" s="95" t="str">
        <f t="shared" si="168"/>
        <v/>
      </c>
      <c r="AY1006" s="98" t="str">
        <f t="shared" ca="1" si="165"/>
        <v/>
      </c>
      <c r="AZ1006" s="95" t="str">
        <f t="shared" si="169"/>
        <v/>
      </c>
      <c r="BA1006" s="99" t="str">
        <f t="shared" ca="1" si="166"/>
        <v/>
      </c>
      <c r="BB1006" s="97" t="str">
        <f t="shared" si="170"/>
        <v/>
      </c>
      <c r="BC1006" s="101" t="str">
        <f t="shared" ca="1" si="173"/>
        <v/>
      </c>
      <c r="BD1006" s="100" t="str">
        <f t="shared" si="171"/>
        <v/>
      </c>
      <c r="BE1006" s="103" t="str">
        <f t="shared" ca="1" si="167"/>
        <v/>
      </c>
      <c r="BF1006" s="102" t="str">
        <f t="shared" si="172"/>
        <v/>
      </c>
    </row>
    <row r="1007" spans="48:58" hidden="1" x14ac:dyDescent="0.25">
      <c r="AV1007">
        <v>977</v>
      </c>
      <c r="AW1007" s="94" t="str">
        <f t="shared" ca="1" si="164"/>
        <v/>
      </c>
      <c r="AX1007" s="95" t="str">
        <f t="shared" si="168"/>
        <v/>
      </c>
      <c r="AY1007" s="98" t="str">
        <f t="shared" ca="1" si="165"/>
        <v/>
      </c>
      <c r="AZ1007" s="95" t="str">
        <f t="shared" si="169"/>
        <v/>
      </c>
      <c r="BA1007" s="99" t="str">
        <f t="shared" ca="1" si="166"/>
        <v/>
      </c>
      <c r="BB1007" s="97" t="str">
        <f t="shared" si="170"/>
        <v/>
      </c>
      <c r="BC1007" s="101" t="str">
        <f t="shared" ca="1" si="173"/>
        <v/>
      </c>
      <c r="BD1007" s="100" t="str">
        <f t="shared" si="171"/>
        <v/>
      </c>
      <c r="BE1007" s="103" t="str">
        <f t="shared" ca="1" si="167"/>
        <v/>
      </c>
      <c r="BF1007" s="102" t="str">
        <f t="shared" si="172"/>
        <v/>
      </c>
    </row>
    <row r="1008" spans="48:58" hidden="1" x14ac:dyDescent="0.25">
      <c r="AV1008">
        <v>978</v>
      </c>
      <c r="AW1008" s="94" t="str">
        <f t="shared" ca="1" si="164"/>
        <v/>
      </c>
      <c r="AX1008" s="95" t="str">
        <f t="shared" si="168"/>
        <v/>
      </c>
      <c r="AY1008" s="98" t="str">
        <f t="shared" ca="1" si="165"/>
        <v/>
      </c>
      <c r="AZ1008" s="95" t="str">
        <f t="shared" si="169"/>
        <v/>
      </c>
      <c r="BA1008" s="99" t="str">
        <f t="shared" ca="1" si="166"/>
        <v/>
      </c>
      <c r="BB1008" s="97" t="str">
        <f t="shared" si="170"/>
        <v/>
      </c>
      <c r="BC1008" s="101" t="str">
        <f t="shared" ca="1" si="173"/>
        <v/>
      </c>
      <c r="BD1008" s="100" t="str">
        <f t="shared" si="171"/>
        <v/>
      </c>
      <c r="BE1008" s="103" t="str">
        <f t="shared" ca="1" si="167"/>
        <v/>
      </c>
      <c r="BF1008" s="102" t="str">
        <f t="shared" si="172"/>
        <v/>
      </c>
    </row>
    <row r="1009" spans="48:58" hidden="1" x14ac:dyDescent="0.25">
      <c r="AV1009">
        <v>979</v>
      </c>
      <c r="AW1009" s="94" t="str">
        <f t="shared" ca="1" si="164"/>
        <v/>
      </c>
      <c r="AX1009" s="95" t="str">
        <f t="shared" si="168"/>
        <v/>
      </c>
      <c r="AY1009" s="98" t="str">
        <f t="shared" ca="1" si="165"/>
        <v/>
      </c>
      <c r="AZ1009" s="95" t="str">
        <f t="shared" si="169"/>
        <v/>
      </c>
      <c r="BA1009" s="99" t="str">
        <f t="shared" ca="1" si="166"/>
        <v/>
      </c>
      <c r="BB1009" s="97" t="str">
        <f t="shared" si="170"/>
        <v/>
      </c>
      <c r="BC1009" s="101" t="str">
        <f t="shared" ca="1" si="173"/>
        <v/>
      </c>
      <c r="BD1009" s="100" t="str">
        <f t="shared" si="171"/>
        <v/>
      </c>
      <c r="BE1009" s="103" t="str">
        <f t="shared" ca="1" si="167"/>
        <v/>
      </c>
      <c r="BF1009" s="102" t="str">
        <f t="shared" si="172"/>
        <v/>
      </c>
    </row>
    <row r="1010" spans="48:58" hidden="1" x14ac:dyDescent="0.25">
      <c r="AV1010">
        <v>980</v>
      </c>
      <c r="AW1010" s="94" t="str">
        <f t="shared" ca="1" si="164"/>
        <v/>
      </c>
      <c r="AX1010" s="95" t="str">
        <f t="shared" si="168"/>
        <v/>
      </c>
      <c r="AY1010" s="98" t="str">
        <f t="shared" ca="1" si="165"/>
        <v/>
      </c>
      <c r="AZ1010" s="95" t="str">
        <f t="shared" si="169"/>
        <v/>
      </c>
      <c r="BA1010" s="99" t="str">
        <f t="shared" ca="1" si="166"/>
        <v/>
      </c>
      <c r="BB1010" s="97" t="str">
        <f t="shared" si="170"/>
        <v/>
      </c>
      <c r="BC1010" s="101" t="str">
        <f t="shared" ca="1" si="173"/>
        <v/>
      </c>
      <c r="BD1010" s="100" t="str">
        <f t="shared" si="171"/>
        <v/>
      </c>
      <c r="BE1010" s="103" t="str">
        <f t="shared" ca="1" si="167"/>
        <v/>
      </c>
      <c r="BF1010" s="102" t="str">
        <f t="shared" si="172"/>
        <v/>
      </c>
    </row>
    <row r="1011" spans="48:58" hidden="1" x14ac:dyDescent="0.25">
      <c r="AV1011">
        <v>981</v>
      </c>
      <c r="AW1011" s="94" t="str">
        <f t="shared" ca="1" si="164"/>
        <v/>
      </c>
      <c r="AX1011" s="95" t="str">
        <f t="shared" si="168"/>
        <v/>
      </c>
      <c r="AY1011" s="98" t="str">
        <f t="shared" ca="1" si="165"/>
        <v/>
      </c>
      <c r="AZ1011" s="95" t="str">
        <f t="shared" si="169"/>
        <v/>
      </c>
      <c r="BA1011" s="99" t="str">
        <f t="shared" ca="1" si="166"/>
        <v/>
      </c>
      <c r="BB1011" s="97" t="str">
        <f t="shared" si="170"/>
        <v/>
      </c>
      <c r="BC1011" s="101" t="str">
        <f t="shared" ca="1" si="173"/>
        <v/>
      </c>
      <c r="BD1011" s="100" t="str">
        <f t="shared" si="171"/>
        <v/>
      </c>
      <c r="BE1011" s="103" t="str">
        <f t="shared" ca="1" si="167"/>
        <v/>
      </c>
      <c r="BF1011" s="102" t="str">
        <f t="shared" si="172"/>
        <v/>
      </c>
    </row>
    <row r="1012" spans="48:58" hidden="1" x14ac:dyDescent="0.25">
      <c r="AV1012">
        <v>982</v>
      </c>
      <c r="AW1012" s="94" t="str">
        <f t="shared" ca="1" si="164"/>
        <v/>
      </c>
      <c r="AX1012" s="95" t="str">
        <f t="shared" si="168"/>
        <v/>
      </c>
      <c r="AY1012" s="98" t="str">
        <f t="shared" ca="1" si="165"/>
        <v/>
      </c>
      <c r="AZ1012" s="95" t="str">
        <f t="shared" si="169"/>
        <v/>
      </c>
      <c r="BA1012" s="99" t="str">
        <f t="shared" ca="1" si="166"/>
        <v/>
      </c>
      <c r="BB1012" s="97" t="str">
        <f t="shared" si="170"/>
        <v/>
      </c>
      <c r="BC1012" s="101" t="str">
        <f t="shared" ca="1" si="173"/>
        <v/>
      </c>
      <c r="BD1012" s="100" t="str">
        <f t="shared" si="171"/>
        <v/>
      </c>
      <c r="BE1012" s="103" t="str">
        <f t="shared" ca="1" si="167"/>
        <v/>
      </c>
      <c r="BF1012" s="102" t="str">
        <f t="shared" si="172"/>
        <v/>
      </c>
    </row>
    <row r="1013" spans="48:58" hidden="1" x14ac:dyDescent="0.25">
      <c r="AV1013">
        <v>983</v>
      </c>
      <c r="AW1013" s="94" t="str">
        <f t="shared" ca="1" si="164"/>
        <v/>
      </c>
      <c r="AX1013" s="95" t="str">
        <f t="shared" si="168"/>
        <v/>
      </c>
      <c r="AY1013" s="98" t="str">
        <f t="shared" ca="1" si="165"/>
        <v/>
      </c>
      <c r="AZ1013" s="95" t="str">
        <f t="shared" si="169"/>
        <v/>
      </c>
      <c r="BA1013" s="99" t="str">
        <f t="shared" ca="1" si="166"/>
        <v/>
      </c>
      <c r="BB1013" s="97" t="str">
        <f t="shared" si="170"/>
        <v/>
      </c>
      <c r="BC1013" s="101" t="str">
        <f t="shared" ca="1" si="173"/>
        <v/>
      </c>
      <c r="BD1013" s="100" t="str">
        <f t="shared" si="171"/>
        <v/>
      </c>
      <c r="BE1013" s="103" t="str">
        <f t="shared" ca="1" si="167"/>
        <v/>
      </c>
      <c r="BF1013" s="102" t="str">
        <f t="shared" si="172"/>
        <v/>
      </c>
    </row>
    <row r="1014" spans="48:58" hidden="1" x14ac:dyDescent="0.25">
      <c r="AV1014">
        <v>984</v>
      </c>
      <c r="AW1014" s="94" t="str">
        <f t="shared" ca="1" si="164"/>
        <v/>
      </c>
      <c r="AX1014" s="95" t="str">
        <f t="shared" si="168"/>
        <v/>
      </c>
      <c r="AY1014" s="98" t="str">
        <f t="shared" ca="1" si="165"/>
        <v/>
      </c>
      <c r="AZ1014" s="95" t="str">
        <f t="shared" si="169"/>
        <v/>
      </c>
      <c r="BA1014" s="99" t="str">
        <f t="shared" ca="1" si="166"/>
        <v/>
      </c>
      <c r="BB1014" s="97" t="str">
        <f t="shared" si="170"/>
        <v/>
      </c>
      <c r="BC1014" s="101" t="str">
        <f t="shared" ca="1" si="173"/>
        <v/>
      </c>
      <c r="BD1014" s="100" t="str">
        <f t="shared" si="171"/>
        <v/>
      </c>
      <c r="BE1014" s="103" t="str">
        <f t="shared" ca="1" si="167"/>
        <v/>
      </c>
      <c r="BF1014" s="102" t="str">
        <f t="shared" si="172"/>
        <v/>
      </c>
    </row>
    <row r="1015" spans="48:58" hidden="1" x14ac:dyDescent="0.25">
      <c r="AV1015">
        <v>985</v>
      </c>
      <c r="AW1015" s="94" t="str">
        <f t="shared" ca="1" si="164"/>
        <v/>
      </c>
      <c r="AX1015" s="95" t="str">
        <f t="shared" si="168"/>
        <v/>
      </c>
      <c r="AY1015" s="98" t="str">
        <f t="shared" ca="1" si="165"/>
        <v/>
      </c>
      <c r="AZ1015" s="95" t="str">
        <f t="shared" si="169"/>
        <v/>
      </c>
      <c r="BA1015" s="99" t="str">
        <f t="shared" ca="1" si="166"/>
        <v/>
      </c>
      <c r="BB1015" s="97" t="str">
        <f t="shared" si="170"/>
        <v/>
      </c>
      <c r="BC1015" s="101" t="str">
        <f t="shared" ca="1" si="173"/>
        <v/>
      </c>
      <c r="BD1015" s="100" t="str">
        <f t="shared" si="171"/>
        <v/>
      </c>
      <c r="BE1015" s="103" t="str">
        <f t="shared" ca="1" si="167"/>
        <v/>
      </c>
      <c r="BF1015" s="102" t="str">
        <f t="shared" si="172"/>
        <v/>
      </c>
    </row>
    <row r="1016" spans="48:58" hidden="1" x14ac:dyDescent="0.25">
      <c r="AV1016">
        <v>986</v>
      </c>
      <c r="AW1016" s="94" t="str">
        <f t="shared" ca="1" si="164"/>
        <v/>
      </c>
      <c r="AX1016" s="95" t="str">
        <f t="shared" si="168"/>
        <v/>
      </c>
      <c r="AY1016" s="98" t="str">
        <f t="shared" ca="1" si="165"/>
        <v/>
      </c>
      <c r="AZ1016" s="95" t="str">
        <f t="shared" si="169"/>
        <v/>
      </c>
      <c r="BA1016" s="99" t="str">
        <f t="shared" ca="1" si="166"/>
        <v/>
      </c>
      <c r="BB1016" s="97" t="str">
        <f t="shared" si="170"/>
        <v/>
      </c>
      <c r="BC1016" s="101" t="str">
        <f t="shared" ca="1" si="173"/>
        <v/>
      </c>
      <c r="BD1016" s="100" t="str">
        <f t="shared" si="171"/>
        <v/>
      </c>
      <c r="BE1016" s="103" t="str">
        <f t="shared" ca="1" si="167"/>
        <v/>
      </c>
      <c r="BF1016" s="102" t="str">
        <f t="shared" si="172"/>
        <v/>
      </c>
    </row>
    <row r="1017" spans="48:58" hidden="1" x14ac:dyDescent="0.25">
      <c r="AV1017">
        <v>987</v>
      </c>
      <c r="AW1017" s="94" t="str">
        <f t="shared" ca="1" si="164"/>
        <v/>
      </c>
      <c r="AX1017" s="95" t="str">
        <f t="shared" si="168"/>
        <v/>
      </c>
      <c r="AY1017" s="98" t="str">
        <f t="shared" ca="1" si="165"/>
        <v/>
      </c>
      <c r="AZ1017" s="95" t="str">
        <f t="shared" si="169"/>
        <v/>
      </c>
      <c r="BA1017" s="99" t="str">
        <f t="shared" ca="1" si="166"/>
        <v/>
      </c>
      <c r="BB1017" s="97" t="str">
        <f t="shared" si="170"/>
        <v/>
      </c>
      <c r="BC1017" s="101" t="str">
        <f t="shared" ca="1" si="173"/>
        <v/>
      </c>
      <c r="BD1017" s="100" t="str">
        <f t="shared" si="171"/>
        <v/>
      </c>
      <c r="BE1017" s="103" t="str">
        <f t="shared" ca="1" si="167"/>
        <v/>
      </c>
      <c r="BF1017" s="102" t="str">
        <f t="shared" si="172"/>
        <v/>
      </c>
    </row>
    <row r="1018" spans="48:58" hidden="1" x14ac:dyDescent="0.25">
      <c r="AV1018">
        <v>988</v>
      </c>
      <c r="AW1018" s="94" t="str">
        <f t="shared" ca="1" si="164"/>
        <v/>
      </c>
      <c r="AX1018" s="95" t="str">
        <f t="shared" si="168"/>
        <v/>
      </c>
      <c r="AY1018" s="98" t="str">
        <f t="shared" ca="1" si="165"/>
        <v/>
      </c>
      <c r="AZ1018" s="95" t="str">
        <f t="shared" si="169"/>
        <v/>
      </c>
      <c r="BA1018" s="99" t="str">
        <f t="shared" ca="1" si="166"/>
        <v/>
      </c>
      <c r="BB1018" s="97" t="str">
        <f t="shared" si="170"/>
        <v/>
      </c>
      <c r="BC1018" s="101" t="str">
        <f t="shared" ca="1" si="173"/>
        <v/>
      </c>
      <c r="BD1018" s="100" t="str">
        <f t="shared" si="171"/>
        <v/>
      </c>
      <c r="BE1018" s="103" t="str">
        <f t="shared" ca="1" si="167"/>
        <v/>
      </c>
      <c r="BF1018" s="102" t="str">
        <f t="shared" si="172"/>
        <v/>
      </c>
    </row>
    <row r="1019" spans="48:58" hidden="1" x14ac:dyDescent="0.25">
      <c r="AV1019">
        <v>989</v>
      </c>
      <c r="AW1019" s="94" t="str">
        <f t="shared" ca="1" si="164"/>
        <v/>
      </c>
      <c r="AX1019" s="95" t="str">
        <f t="shared" si="168"/>
        <v/>
      </c>
      <c r="AY1019" s="98" t="str">
        <f t="shared" ca="1" si="165"/>
        <v/>
      </c>
      <c r="AZ1019" s="95" t="str">
        <f t="shared" si="169"/>
        <v/>
      </c>
      <c r="BA1019" s="99" t="str">
        <f t="shared" ca="1" si="166"/>
        <v/>
      </c>
      <c r="BB1019" s="97" t="str">
        <f t="shared" si="170"/>
        <v/>
      </c>
      <c r="BC1019" s="101" t="str">
        <f t="shared" ca="1" si="173"/>
        <v/>
      </c>
      <c r="BD1019" s="100" t="str">
        <f t="shared" si="171"/>
        <v/>
      </c>
      <c r="BE1019" s="103" t="str">
        <f t="shared" ca="1" si="167"/>
        <v/>
      </c>
      <c r="BF1019" s="102" t="str">
        <f t="shared" si="172"/>
        <v/>
      </c>
    </row>
    <row r="1020" spans="48:58" hidden="1" x14ac:dyDescent="0.25">
      <c r="AV1020">
        <v>990</v>
      </c>
      <c r="AW1020" s="94" t="str">
        <f t="shared" ca="1" si="164"/>
        <v/>
      </c>
      <c r="AX1020" s="95" t="str">
        <f t="shared" si="168"/>
        <v/>
      </c>
      <c r="AY1020" s="98" t="str">
        <f t="shared" ca="1" si="165"/>
        <v/>
      </c>
      <c r="AZ1020" s="95" t="str">
        <f t="shared" si="169"/>
        <v/>
      </c>
      <c r="BA1020" s="99" t="str">
        <f t="shared" ca="1" si="166"/>
        <v/>
      </c>
      <c r="BB1020" s="97" t="str">
        <f t="shared" si="170"/>
        <v/>
      </c>
      <c r="BC1020" s="101" t="str">
        <f t="shared" ca="1" si="173"/>
        <v/>
      </c>
      <c r="BD1020" s="100" t="str">
        <f t="shared" si="171"/>
        <v/>
      </c>
      <c r="BE1020" s="103" t="str">
        <f t="shared" ca="1" si="167"/>
        <v/>
      </c>
      <c r="BF1020" s="102" t="str">
        <f t="shared" si="172"/>
        <v/>
      </c>
    </row>
    <row r="1021" spans="48:58" hidden="1" x14ac:dyDescent="0.25">
      <c r="AV1021">
        <v>991</v>
      </c>
      <c r="AW1021" s="94" t="str">
        <f t="shared" ca="1" si="164"/>
        <v/>
      </c>
      <c r="AX1021" s="95" t="str">
        <f t="shared" si="168"/>
        <v/>
      </c>
      <c r="AY1021" s="98" t="str">
        <f t="shared" ca="1" si="165"/>
        <v/>
      </c>
      <c r="AZ1021" s="95" t="str">
        <f t="shared" si="169"/>
        <v/>
      </c>
      <c r="BA1021" s="99" t="str">
        <f t="shared" ca="1" si="166"/>
        <v/>
      </c>
      <c r="BB1021" s="97" t="str">
        <f t="shared" si="170"/>
        <v/>
      </c>
      <c r="BC1021" s="101" t="str">
        <f t="shared" ca="1" si="173"/>
        <v/>
      </c>
      <c r="BD1021" s="100" t="str">
        <f t="shared" si="171"/>
        <v/>
      </c>
      <c r="BE1021" s="103" t="str">
        <f t="shared" ca="1" si="167"/>
        <v/>
      </c>
      <c r="BF1021" s="102" t="str">
        <f t="shared" si="172"/>
        <v/>
      </c>
    </row>
    <row r="1022" spans="48:58" hidden="1" x14ac:dyDescent="0.25">
      <c r="AV1022">
        <v>992</v>
      </c>
      <c r="AW1022" s="94" t="str">
        <f t="shared" ca="1" si="164"/>
        <v/>
      </c>
      <c r="AX1022" s="95" t="str">
        <f t="shared" si="168"/>
        <v/>
      </c>
      <c r="AY1022" s="98" t="str">
        <f t="shared" ca="1" si="165"/>
        <v/>
      </c>
      <c r="AZ1022" s="95" t="str">
        <f t="shared" si="169"/>
        <v/>
      </c>
      <c r="BA1022" s="99" t="str">
        <f t="shared" ca="1" si="166"/>
        <v/>
      </c>
      <c r="BB1022" s="97" t="str">
        <f t="shared" si="170"/>
        <v/>
      </c>
      <c r="BC1022" s="101" t="str">
        <f t="shared" ca="1" si="173"/>
        <v/>
      </c>
      <c r="BD1022" s="100" t="str">
        <f t="shared" si="171"/>
        <v/>
      </c>
      <c r="BE1022" s="103" t="str">
        <f t="shared" ca="1" si="167"/>
        <v/>
      </c>
      <c r="BF1022" s="102" t="str">
        <f t="shared" si="172"/>
        <v/>
      </c>
    </row>
    <row r="1023" spans="48:58" hidden="1" x14ac:dyDescent="0.25">
      <c r="AV1023">
        <v>993</v>
      </c>
      <c r="AW1023" s="94" t="str">
        <f t="shared" ca="1" si="164"/>
        <v/>
      </c>
      <c r="AX1023" s="95" t="str">
        <f t="shared" si="168"/>
        <v/>
      </c>
      <c r="AY1023" s="98" t="str">
        <f t="shared" ca="1" si="165"/>
        <v/>
      </c>
      <c r="AZ1023" s="95" t="str">
        <f t="shared" si="169"/>
        <v/>
      </c>
      <c r="BA1023" s="99" t="str">
        <f t="shared" ca="1" si="166"/>
        <v/>
      </c>
      <c r="BB1023" s="97" t="str">
        <f t="shared" si="170"/>
        <v/>
      </c>
      <c r="BC1023" s="101" t="str">
        <f t="shared" ca="1" si="173"/>
        <v/>
      </c>
      <c r="BD1023" s="100" t="str">
        <f t="shared" si="171"/>
        <v/>
      </c>
      <c r="BE1023" s="103" t="str">
        <f t="shared" ca="1" si="167"/>
        <v/>
      </c>
      <c r="BF1023" s="102" t="str">
        <f t="shared" si="172"/>
        <v/>
      </c>
    </row>
    <row r="1024" spans="48:58" hidden="1" x14ac:dyDescent="0.25">
      <c r="AV1024">
        <v>994</v>
      </c>
      <c r="AW1024" s="94" t="str">
        <f t="shared" ca="1" si="164"/>
        <v/>
      </c>
      <c r="AX1024" s="95" t="str">
        <f t="shared" si="168"/>
        <v/>
      </c>
      <c r="AY1024" s="98" t="str">
        <f t="shared" ca="1" si="165"/>
        <v/>
      </c>
      <c r="AZ1024" s="95" t="str">
        <f t="shared" si="169"/>
        <v/>
      </c>
      <c r="BA1024" s="99" t="str">
        <f t="shared" ca="1" si="166"/>
        <v/>
      </c>
      <c r="BB1024" s="97" t="str">
        <f t="shared" si="170"/>
        <v/>
      </c>
      <c r="BC1024" s="101" t="str">
        <f t="shared" ca="1" si="173"/>
        <v/>
      </c>
      <c r="BD1024" s="100" t="str">
        <f t="shared" si="171"/>
        <v/>
      </c>
      <c r="BE1024" s="103" t="str">
        <f t="shared" ca="1" si="167"/>
        <v/>
      </c>
      <c r="BF1024" s="102" t="str">
        <f t="shared" si="172"/>
        <v/>
      </c>
    </row>
    <row r="1025" spans="48:58" hidden="1" x14ac:dyDescent="0.25">
      <c r="AV1025">
        <v>995</v>
      </c>
      <c r="AW1025" s="94" t="str">
        <f t="shared" ca="1" si="164"/>
        <v/>
      </c>
      <c r="AX1025" s="95" t="str">
        <f t="shared" si="168"/>
        <v/>
      </c>
      <c r="AY1025" s="98" t="str">
        <f t="shared" ca="1" si="165"/>
        <v/>
      </c>
      <c r="AZ1025" s="95" t="str">
        <f t="shared" si="169"/>
        <v/>
      </c>
      <c r="BA1025" s="99" t="str">
        <f t="shared" ca="1" si="166"/>
        <v/>
      </c>
      <c r="BB1025" s="97" t="str">
        <f t="shared" si="170"/>
        <v/>
      </c>
      <c r="BC1025" s="101" t="str">
        <f t="shared" ca="1" si="173"/>
        <v/>
      </c>
      <c r="BD1025" s="100" t="str">
        <f t="shared" si="171"/>
        <v/>
      </c>
      <c r="BE1025" s="103" t="str">
        <f t="shared" ca="1" si="167"/>
        <v/>
      </c>
      <c r="BF1025" s="102" t="str">
        <f t="shared" si="172"/>
        <v/>
      </c>
    </row>
    <row r="1026" spans="48:58" hidden="1" x14ac:dyDescent="0.25">
      <c r="AV1026">
        <v>996</v>
      </c>
      <c r="AW1026" s="94" t="str">
        <f t="shared" ca="1" si="164"/>
        <v/>
      </c>
      <c r="AX1026" s="95" t="str">
        <f t="shared" si="168"/>
        <v/>
      </c>
      <c r="AY1026" s="98" t="str">
        <f t="shared" ca="1" si="165"/>
        <v/>
      </c>
      <c r="AZ1026" s="95" t="str">
        <f t="shared" si="169"/>
        <v/>
      </c>
      <c r="BA1026" s="99" t="str">
        <f t="shared" ca="1" si="166"/>
        <v/>
      </c>
      <c r="BB1026" s="97" t="str">
        <f t="shared" si="170"/>
        <v/>
      </c>
      <c r="BC1026" s="101" t="str">
        <f t="shared" ca="1" si="173"/>
        <v/>
      </c>
      <c r="BD1026" s="100" t="str">
        <f t="shared" si="171"/>
        <v/>
      </c>
      <c r="BE1026" s="103" t="str">
        <f t="shared" ca="1" si="167"/>
        <v/>
      </c>
      <c r="BF1026" s="102" t="str">
        <f t="shared" si="172"/>
        <v/>
      </c>
    </row>
    <row r="1027" spans="48:58" hidden="1" x14ac:dyDescent="0.25">
      <c r="AV1027">
        <v>997</v>
      </c>
      <c r="AW1027" s="94" t="str">
        <f t="shared" ca="1" si="164"/>
        <v/>
      </c>
      <c r="AX1027" s="95" t="str">
        <f t="shared" si="168"/>
        <v/>
      </c>
      <c r="AY1027" s="98" t="str">
        <f t="shared" ca="1" si="165"/>
        <v/>
      </c>
      <c r="AZ1027" s="95" t="str">
        <f t="shared" si="169"/>
        <v/>
      </c>
      <c r="BA1027" s="99" t="str">
        <f t="shared" ca="1" si="166"/>
        <v/>
      </c>
      <c r="BB1027" s="97" t="str">
        <f t="shared" si="170"/>
        <v/>
      </c>
      <c r="BC1027" s="101" t="str">
        <f t="shared" ca="1" si="173"/>
        <v/>
      </c>
      <c r="BD1027" s="100" t="str">
        <f t="shared" si="171"/>
        <v/>
      </c>
      <c r="BE1027" s="103" t="str">
        <f t="shared" ca="1" si="167"/>
        <v/>
      </c>
      <c r="BF1027" s="102" t="str">
        <f t="shared" si="172"/>
        <v/>
      </c>
    </row>
    <row r="1028" spans="48:58" hidden="1" x14ac:dyDescent="0.25">
      <c r="AV1028">
        <v>998</v>
      </c>
      <c r="AW1028" s="94" t="str">
        <f t="shared" ca="1" si="164"/>
        <v/>
      </c>
      <c r="AX1028" s="95" t="str">
        <f t="shared" si="168"/>
        <v/>
      </c>
      <c r="AY1028" s="98" t="str">
        <f t="shared" ca="1" si="165"/>
        <v/>
      </c>
      <c r="AZ1028" s="95" t="str">
        <f t="shared" si="169"/>
        <v/>
      </c>
      <c r="BA1028" s="99" t="str">
        <f t="shared" ca="1" si="166"/>
        <v/>
      </c>
      <c r="BB1028" s="97" t="str">
        <f t="shared" si="170"/>
        <v/>
      </c>
      <c r="BC1028" s="101" t="str">
        <f t="shared" ca="1" si="173"/>
        <v/>
      </c>
      <c r="BD1028" s="100" t="str">
        <f t="shared" si="171"/>
        <v/>
      </c>
      <c r="BE1028" s="103" t="str">
        <f t="shared" ca="1" si="167"/>
        <v/>
      </c>
      <c r="BF1028" s="102" t="str">
        <f t="shared" si="172"/>
        <v/>
      </c>
    </row>
    <row r="1029" spans="48:58" hidden="1" x14ac:dyDescent="0.25">
      <c r="AV1029">
        <v>999</v>
      </c>
      <c r="AW1029" s="94" t="str">
        <f t="shared" ca="1" si="164"/>
        <v/>
      </c>
      <c r="AX1029" s="95" t="str">
        <f t="shared" si="168"/>
        <v/>
      </c>
      <c r="AY1029" s="98" t="str">
        <f t="shared" ca="1" si="165"/>
        <v/>
      </c>
      <c r="AZ1029" s="95" t="str">
        <f t="shared" si="169"/>
        <v/>
      </c>
      <c r="BA1029" s="99" t="str">
        <f t="shared" ca="1" si="166"/>
        <v/>
      </c>
      <c r="BB1029" s="97" t="str">
        <f t="shared" si="170"/>
        <v/>
      </c>
      <c r="BC1029" s="101" t="str">
        <f t="shared" ca="1" si="173"/>
        <v/>
      </c>
      <c r="BD1029" s="100" t="str">
        <f t="shared" si="171"/>
        <v/>
      </c>
      <c r="BE1029" s="103" t="str">
        <f t="shared" ca="1" si="167"/>
        <v/>
      </c>
      <c r="BF1029" s="102" t="str">
        <f t="shared" si="172"/>
        <v/>
      </c>
    </row>
    <row r="1030" spans="48:58" hidden="1" x14ac:dyDescent="0.25">
      <c r="AV1030">
        <v>1000</v>
      </c>
      <c r="AW1030" s="94" t="str">
        <f t="shared" ca="1" si="164"/>
        <v/>
      </c>
      <c r="AX1030" s="95" t="str">
        <f t="shared" si="168"/>
        <v/>
      </c>
      <c r="AY1030" s="98" t="str">
        <f t="shared" ca="1" si="165"/>
        <v/>
      </c>
      <c r="AZ1030" s="95" t="str">
        <f t="shared" si="169"/>
        <v/>
      </c>
      <c r="BA1030" s="99" t="str">
        <f t="shared" ca="1" si="166"/>
        <v/>
      </c>
      <c r="BB1030" s="97" t="str">
        <f t="shared" si="170"/>
        <v/>
      </c>
      <c r="BC1030" s="101" t="str">
        <f t="shared" ca="1" si="173"/>
        <v/>
      </c>
      <c r="BD1030" s="100" t="str">
        <f t="shared" si="171"/>
        <v/>
      </c>
      <c r="BE1030" s="103" t="str">
        <f t="shared" ca="1" si="167"/>
        <v/>
      </c>
      <c r="BF1030" s="102" t="str">
        <f t="shared" si="172"/>
        <v/>
      </c>
    </row>
    <row r="1031" spans="48:58" hidden="1" x14ac:dyDescent="0.25">
      <c r="AV1031">
        <v>1001</v>
      </c>
      <c r="AW1031" s="94" t="str">
        <f t="shared" ca="1" si="164"/>
        <v/>
      </c>
      <c r="AX1031" s="95" t="str">
        <f t="shared" si="168"/>
        <v/>
      </c>
      <c r="AY1031" s="98" t="str">
        <f t="shared" ca="1" si="165"/>
        <v/>
      </c>
      <c r="AZ1031" s="95" t="str">
        <f t="shared" si="169"/>
        <v/>
      </c>
      <c r="BA1031" s="99" t="str">
        <f t="shared" ca="1" si="166"/>
        <v/>
      </c>
      <c r="BB1031" s="97" t="str">
        <f t="shared" si="170"/>
        <v/>
      </c>
      <c r="BC1031" s="101" t="str">
        <f t="shared" ca="1" si="173"/>
        <v/>
      </c>
      <c r="BD1031" s="100" t="str">
        <f t="shared" si="171"/>
        <v/>
      </c>
      <c r="BE1031" s="103" t="str">
        <f t="shared" ca="1" si="167"/>
        <v/>
      </c>
      <c r="BF1031" s="102" t="str">
        <f t="shared" si="172"/>
        <v/>
      </c>
    </row>
    <row r="1032" spans="48:58" hidden="1" x14ac:dyDescent="0.25">
      <c r="AV1032">
        <v>1002</v>
      </c>
      <c r="AW1032" s="94" t="str">
        <f t="shared" ca="1" si="164"/>
        <v/>
      </c>
      <c r="AX1032" s="95" t="str">
        <f t="shared" si="168"/>
        <v/>
      </c>
      <c r="AY1032" s="98" t="str">
        <f t="shared" ca="1" si="165"/>
        <v/>
      </c>
      <c r="AZ1032" s="95" t="str">
        <f t="shared" si="169"/>
        <v/>
      </c>
      <c r="BA1032" s="99" t="str">
        <f t="shared" ca="1" si="166"/>
        <v/>
      </c>
      <c r="BB1032" s="97" t="str">
        <f t="shared" si="170"/>
        <v/>
      </c>
      <c r="BC1032" s="101" t="str">
        <f t="shared" ca="1" si="173"/>
        <v/>
      </c>
      <c r="BD1032" s="100" t="str">
        <f t="shared" si="171"/>
        <v/>
      </c>
      <c r="BE1032" s="103" t="str">
        <f t="shared" ca="1" si="167"/>
        <v/>
      </c>
      <c r="BF1032" s="102" t="str">
        <f t="shared" si="172"/>
        <v/>
      </c>
    </row>
    <row r="1033" spans="48:58" hidden="1" x14ac:dyDescent="0.25">
      <c r="AV1033">
        <v>1003</v>
      </c>
      <c r="AW1033" s="94" t="str">
        <f t="shared" ca="1" si="164"/>
        <v/>
      </c>
      <c r="AX1033" s="95" t="str">
        <f t="shared" si="168"/>
        <v/>
      </c>
      <c r="AY1033" s="98" t="str">
        <f t="shared" ca="1" si="165"/>
        <v/>
      </c>
      <c r="AZ1033" s="95" t="str">
        <f t="shared" si="169"/>
        <v/>
      </c>
      <c r="BA1033" s="99" t="str">
        <f t="shared" ca="1" si="166"/>
        <v/>
      </c>
      <c r="BB1033" s="97" t="str">
        <f t="shared" si="170"/>
        <v/>
      </c>
      <c r="BC1033" s="101" t="str">
        <f t="shared" ca="1" si="173"/>
        <v/>
      </c>
      <c r="BD1033" s="100" t="str">
        <f t="shared" si="171"/>
        <v/>
      </c>
      <c r="BE1033" s="103" t="str">
        <f t="shared" ca="1" si="167"/>
        <v/>
      </c>
      <c r="BF1033" s="102" t="str">
        <f t="shared" si="172"/>
        <v/>
      </c>
    </row>
    <row r="1034" spans="48:58" hidden="1" x14ac:dyDescent="0.25">
      <c r="AV1034">
        <v>1004</v>
      </c>
      <c r="AW1034" s="94" t="str">
        <f t="shared" ca="1" si="164"/>
        <v/>
      </c>
      <c r="AX1034" s="95" t="str">
        <f t="shared" si="168"/>
        <v/>
      </c>
      <c r="AY1034" s="98" t="str">
        <f t="shared" ca="1" si="165"/>
        <v/>
      </c>
      <c r="AZ1034" s="95" t="str">
        <f t="shared" si="169"/>
        <v/>
      </c>
      <c r="BA1034" s="99" t="str">
        <f t="shared" ca="1" si="166"/>
        <v/>
      </c>
      <c r="BB1034" s="97" t="str">
        <f t="shared" si="170"/>
        <v/>
      </c>
      <c r="BC1034" s="101" t="str">
        <f t="shared" ca="1" si="173"/>
        <v/>
      </c>
      <c r="BD1034" s="100" t="str">
        <f t="shared" si="171"/>
        <v/>
      </c>
      <c r="BE1034" s="103" t="str">
        <f t="shared" ca="1" si="167"/>
        <v/>
      </c>
      <c r="BF1034" s="102" t="str">
        <f t="shared" si="172"/>
        <v/>
      </c>
    </row>
    <row r="1035" spans="48:58" hidden="1" x14ac:dyDescent="0.25">
      <c r="AV1035">
        <v>1005</v>
      </c>
      <c r="AW1035" s="94" t="str">
        <f t="shared" ca="1" si="164"/>
        <v/>
      </c>
      <c r="AX1035" s="95" t="str">
        <f t="shared" si="168"/>
        <v/>
      </c>
      <c r="AY1035" s="98" t="str">
        <f t="shared" ca="1" si="165"/>
        <v/>
      </c>
      <c r="AZ1035" s="95" t="str">
        <f t="shared" si="169"/>
        <v/>
      </c>
      <c r="BA1035" s="99" t="str">
        <f t="shared" ca="1" si="166"/>
        <v/>
      </c>
      <c r="BB1035" s="97" t="str">
        <f t="shared" si="170"/>
        <v/>
      </c>
      <c r="BC1035" s="101" t="str">
        <f t="shared" ca="1" si="173"/>
        <v/>
      </c>
      <c r="BD1035" s="100" t="str">
        <f t="shared" si="171"/>
        <v/>
      </c>
      <c r="BE1035" s="103" t="str">
        <f t="shared" ca="1" si="167"/>
        <v/>
      </c>
      <c r="BF1035" s="102" t="str">
        <f t="shared" si="172"/>
        <v/>
      </c>
    </row>
    <row r="1036" spans="48:58" hidden="1" x14ac:dyDescent="0.25">
      <c r="AV1036">
        <v>1006</v>
      </c>
      <c r="AW1036" s="94" t="str">
        <f t="shared" ca="1" si="164"/>
        <v/>
      </c>
      <c r="AX1036" s="95" t="str">
        <f t="shared" si="168"/>
        <v/>
      </c>
      <c r="AY1036" s="98" t="str">
        <f t="shared" ca="1" si="165"/>
        <v/>
      </c>
      <c r="AZ1036" s="95" t="str">
        <f t="shared" si="169"/>
        <v/>
      </c>
      <c r="BA1036" s="99" t="str">
        <f t="shared" ca="1" si="166"/>
        <v/>
      </c>
      <c r="BB1036" s="97" t="str">
        <f t="shared" si="170"/>
        <v/>
      </c>
      <c r="BC1036" s="101" t="str">
        <f t="shared" ca="1" si="173"/>
        <v/>
      </c>
      <c r="BD1036" s="100" t="str">
        <f t="shared" si="171"/>
        <v/>
      </c>
      <c r="BE1036" s="103" t="str">
        <f t="shared" ca="1" si="167"/>
        <v/>
      </c>
      <c r="BF1036" s="102" t="str">
        <f t="shared" si="172"/>
        <v/>
      </c>
    </row>
    <row r="1037" spans="48:58" hidden="1" x14ac:dyDescent="0.25">
      <c r="AV1037">
        <v>1007</v>
      </c>
      <c r="AW1037" s="94" t="str">
        <f t="shared" ca="1" si="164"/>
        <v/>
      </c>
      <c r="AX1037" s="95" t="str">
        <f t="shared" si="168"/>
        <v/>
      </c>
      <c r="AY1037" s="98" t="str">
        <f t="shared" ca="1" si="165"/>
        <v/>
      </c>
      <c r="AZ1037" s="95" t="str">
        <f t="shared" si="169"/>
        <v/>
      </c>
      <c r="BA1037" s="99" t="str">
        <f t="shared" ca="1" si="166"/>
        <v/>
      </c>
      <c r="BB1037" s="97" t="str">
        <f t="shared" si="170"/>
        <v/>
      </c>
      <c r="BC1037" s="101" t="str">
        <f t="shared" ca="1" si="173"/>
        <v/>
      </c>
      <c r="BD1037" s="100" t="str">
        <f t="shared" si="171"/>
        <v/>
      </c>
      <c r="BE1037" s="103" t="str">
        <f t="shared" ca="1" si="167"/>
        <v/>
      </c>
      <c r="BF1037" s="102" t="str">
        <f t="shared" si="172"/>
        <v/>
      </c>
    </row>
    <row r="1038" spans="48:58" hidden="1" x14ac:dyDescent="0.25">
      <c r="AV1038">
        <v>1008</v>
      </c>
      <c r="AW1038" s="94" t="str">
        <f t="shared" ca="1" si="164"/>
        <v/>
      </c>
      <c r="AX1038" s="95" t="str">
        <f t="shared" si="168"/>
        <v/>
      </c>
      <c r="AY1038" s="98" t="str">
        <f t="shared" ca="1" si="165"/>
        <v/>
      </c>
      <c r="AZ1038" s="95" t="str">
        <f t="shared" si="169"/>
        <v/>
      </c>
      <c r="BA1038" s="99" t="str">
        <f t="shared" ca="1" si="166"/>
        <v/>
      </c>
      <c r="BB1038" s="97" t="str">
        <f t="shared" si="170"/>
        <v/>
      </c>
      <c r="BC1038" s="101" t="str">
        <f t="shared" ca="1" si="173"/>
        <v/>
      </c>
      <c r="BD1038" s="100" t="str">
        <f t="shared" si="171"/>
        <v/>
      </c>
      <c r="BE1038" s="103" t="str">
        <f t="shared" ca="1" si="167"/>
        <v/>
      </c>
      <c r="BF1038" s="102" t="str">
        <f t="shared" si="172"/>
        <v/>
      </c>
    </row>
    <row r="1039" spans="48:58" hidden="1" x14ac:dyDescent="0.25">
      <c r="AV1039">
        <v>1009</v>
      </c>
      <c r="AW1039" s="94" t="str">
        <f t="shared" ca="1" si="164"/>
        <v/>
      </c>
      <c r="AX1039" s="95" t="str">
        <f t="shared" si="168"/>
        <v/>
      </c>
      <c r="AY1039" s="98" t="str">
        <f t="shared" ca="1" si="165"/>
        <v/>
      </c>
      <c r="AZ1039" s="95" t="str">
        <f t="shared" si="169"/>
        <v/>
      </c>
      <c r="BA1039" s="99" t="str">
        <f t="shared" ca="1" si="166"/>
        <v/>
      </c>
      <c r="BB1039" s="97" t="str">
        <f t="shared" si="170"/>
        <v/>
      </c>
      <c r="BC1039" s="101" t="str">
        <f t="shared" ca="1" si="173"/>
        <v/>
      </c>
      <c r="BD1039" s="100" t="str">
        <f t="shared" si="171"/>
        <v/>
      </c>
      <c r="BE1039" s="103" t="str">
        <f t="shared" ca="1" si="167"/>
        <v/>
      </c>
      <c r="BF1039" s="102" t="str">
        <f t="shared" si="172"/>
        <v/>
      </c>
    </row>
    <row r="1040" spans="48:58" hidden="1" x14ac:dyDescent="0.25">
      <c r="AV1040">
        <v>1010</v>
      </c>
      <c r="AW1040" s="94" t="str">
        <f t="shared" ca="1" si="164"/>
        <v/>
      </c>
      <c r="AX1040" s="95" t="str">
        <f t="shared" si="168"/>
        <v/>
      </c>
      <c r="AY1040" s="98" t="str">
        <f t="shared" ca="1" si="165"/>
        <v/>
      </c>
      <c r="AZ1040" s="95" t="str">
        <f t="shared" si="169"/>
        <v/>
      </c>
      <c r="BA1040" s="99" t="str">
        <f t="shared" ca="1" si="166"/>
        <v/>
      </c>
      <c r="BB1040" s="97" t="str">
        <f t="shared" si="170"/>
        <v/>
      </c>
      <c r="BC1040" s="101" t="str">
        <f t="shared" ca="1" si="173"/>
        <v/>
      </c>
      <c r="BD1040" s="100" t="str">
        <f t="shared" si="171"/>
        <v/>
      </c>
      <c r="BE1040" s="103" t="str">
        <f t="shared" ca="1" si="167"/>
        <v/>
      </c>
      <c r="BF1040" s="102" t="str">
        <f t="shared" si="172"/>
        <v/>
      </c>
    </row>
    <row r="1041" spans="48:58" hidden="1" x14ac:dyDescent="0.25">
      <c r="AV1041">
        <v>1011</v>
      </c>
      <c r="AW1041" s="94" t="str">
        <f t="shared" ca="1" si="164"/>
        <v/>
      </c>
      <c r="AX1041" s="95" t="str">
        <f t="shared" si="168"/>
        <v/>
      </c>
      <c r="AY1041" s="98" t="str">
        <f t="shared" ca="1" si="165"/>
        <v/>
      </c>
      <c r="AZ1041" s="95" t="str">
        <f t="shared" si="169"/>
        <v/>
      </c>
      <c r="BA1041" s="99" t="str">
        <f t="shared" ca="1" si="166"/>
        <v/>
      </c>
      <c r="BB1041" s="97" t="str">
        <f t="shared" si="170"/>
        <v/>
      </c>
      <c r="BC1041" s="101" t="str">
        <f t="shared" ca="1" si="173"/>
        <v/>
      </c>
      <c r="BD1041" s="100" t="str">
        <f t="shared" si="171"/>
        <v/>
      </c>
      <c r="BE1041" s="103" t="str">
        <f t="shared" ca="1" si="167"/>
        <v/>
      </c>
      <c r="BF1041" s="102" t="str">
        <f t="shared" si="172"/>
        <v/>
      </c>
    </row>
    <row r="1042" spans="48:58" hidden="1" x14ac:dyDescent="0.25">
      <c r="AV1042">
        <v>1012</v>
      </c>
      <c r="AW1042" s="94" t="str">
        <f t="shared" ca="1" si="164"/>
        <v/>
      </c>
      <c r="AX1042" s="95" t="str">
        <f t="shared" si="168"/>
        <v/>
      </c>
      <c r="AY1042" s="98" t="str">
        <f t="shared" ca="1" si="165"/>
        <v/>
      </c>
      <c r="AZ1042" s="95" t="str">
        <f t="shared" si="169"/>
        <v/>
      </c>
      <c r="BA1042" s="99" t="str">
        <f t="shared" ca="1" si="166"/>
        <v/>
      </c>
      <c r="BB1042" s="97" t="str">
        <f t="shared" si="170"/>
        <v/>
      </c>
      <c r="BC1042" s="101" t="str">
        <f t="shared" ca="1" si="173"/>
        <v/>
      </c>
      <c r="BD1042" s="100" t="str">
        <f t="shared" si="171"/>
        <v/>
      </c>
      <c r="BE1042" s="103" t="str">
        <f t="shared" ca="1" si="167"/>
        <v/>
      </c>
      <c r="BF1042" s="102" t="str">
        <f t="shared" si="172"/>
        <v/>
      </c>
    </row>
    <row r="1043" spans="48:58" hidden="1" x14ac:dyDescent="0.25">
      <c r="AV1043">
        <v>1013</v>
      </c>
      <c r="AW1043" s="94" t="str">
        <f t="shared" ca="1" si="164"/>
        <v/>
      </c>
      <c r="AX1043" s="95" t="str">
        <f t="shared" si="168"/>
        <v/>
      </c>
      <c r="AY1043" s="98" t="str">
        <f t="shared" ca="1" si="165"/>
        <v/>
      </c>
      <c r="AZ1043" s="95" t="str">
        <f t="shared" si="169"/>
        <v/>
      </c>
      <c r="BA1043" s="99" t="str">
        <f t="shared" ca="1" si="166"/>
        <v/>
      </c>
      <c r="BB1043" s="97" t="str">
        <f t="shared" si="170"/>
        <v/>
      </c>
      <c r="BC1043" s="101" t="str">
        <f t="shared" ca="1" si="173"/>
        <v/>
      </c>
      <c r="BD1043" s="100" t="str">
        <f t="shared" si="171"/>
        <v/>
      </c>
      <c r="BE1043" s="103" t="str">
        <f t="shared" ca="1" si="167"/>
        <v/>
      </c>
      <c r="BF1043" s="102" t="str">
        <f t="shared" si="172"/>
        <v/>
      </c>
    </row>
    <row r="1044" spans="48:58" hidden="1" x14ac:dyDescent="0.25">
      <c r="AV1044">
        <v>1014</v>
      </c>
      <c r="AW1044" s="94" t="str">
        <f t="shared" ca="1" si="164"/>
        <v/>
      </c>
      <c r="AX1044" s="95" t="str">
        <f t="shared" si="168"/>
        <v/>
      </c>
      <c r="AY1044" s="98" t="str">
        <f t="shared" ca="1" si="165"/>
        <v/>
      </c>
      <c r="AZ1044" s="95" t="str">
        <f t="shared" si="169"/>
        <v/>
      </c>
      <c r="BA1044" s="99" t="str">
        <f t="shared" ca="1" si="166"/>
        <v/>
      </c>
      <c r="BB1044" s="97" t="str">
        <f t="shared" si="170"/>
        <v/>
      </c>
      <c r="BC1044" s="101" t="str">
        <f t="shared" ca="1" si="173"/>
        <v/>
      </c>
      <c r="BD1044" s="100" t="str">
        <f t="shared" si="171"/>
        <v/>
      </c>
      <c r="BE1044" s="103" t="str">
        <f t="shared" ca="1" si="167"/>
        <v/>
      </c>
      <c r="BF1044" s="102" t="str">
        <f t="shared" si="172"/>
        <v/>
      </c>
    </row>
    <row r="1045" spans="48:58" hidden="1" x14ac:dyDescent="0.25">
      <c r="AV1045">
        <v>1015</v>
      </c>
      <c r="AW1045" s="94" t="str">
        <f t="shared" ca="1" si="164"/>
        <v/>
      </c>
      <c r="AX1045" s="95" t="str">
        <f t="shared" si="168"/>
        <v/>
      </c>
      <c r="AY1045" s="98" t="str">
        <f t="shared" ca="1" si="165"/>
        <v/>
      </c>
      <c r="AZ1045" s="95" t="str">
        <f t="shared" si="169"/>
        <v/>
      </c>
      <c r="BA1045" s="99" t="str">
        <f t="shared" ca="1" si="166"/>
        <v/>
      </c>
      <c r="BB1045" s="97" t="str">
        <f t="shared" si="170"/>
        <v/>
      </c>
      <c r="BC1045" s="101" t="str">
        <f t="shared" ca="1" si="173"/>
        <v/>
      </c>
      <c r="BD1045" s="100" t="str">
        <f t="shared" si="171"/>
        <v/>
      </c>
      <c r="BE1045" s="103" t="str">
        <f t="shared" ca="1" si="167"/>
        <v/>
      </c>
      <c r="BF1045" s="102" t="str">
        <f t="shared" si="172"/>
        <v/>
      </c>
    </row>
    <row r="1046" spans="48:58" hidden="1" x14ac:dyDescent="0.25">
      <c r="AV1046">
        <v>1016</v>
      </c>
      <c r="AW1046" s="94" t="str">
        <f t="shared" ca="1" si="164"/>
        <v/>
      </c>
      <c r="AX1046" s="95" t="str">
        <f t="shared" si="168"/>
        <v/>
      </c>
      <c r="AY1046" s="98" t="str">
        <f t="shared" ca="1" si="165"/>
        <v/>
      </c>
      <c r="AZ1046" s="95" t="str">
        <f t="shared" si="169"/>
        <v/>
      </c>
      <c r="BA1046" s="99" t="str">
        <f t="shared" ca="1" si="166"/>
        <v/>
      </c>
      <c r="BB1046" s="97" t="str">
        <f t="shared" si="170"/>
        <v/>
      </c>
      <c r="BC1046" s="101" t="str">
        <f t="shared" ca="1" si="173"/>
        <v/>
      </c>
      <c r="BD1046" s="100" t="str">
        <f t="shared" si="171"/>
        <v/>
      </c>
      <c r="BE1046" s="103" t="str">
        <f t="shared" ca="1" si="167"/>
        <v/>
      </c>
      <c r="BF1046" s="102" t="str">
        <f t="shared" si="172"/>
        <v/>
      </c>
    </row>
    <row r="1047" spans="48:58" hidden="1" x14ac:dyDescent="0.25">
      <c r="AV1047">
        <v>1017</v>
      </c>
      <c r="AW1047" s="94" t="str">
        <f t="shared" ca="1" si="164"/>
        <v/>
      </c>
      <c r="AX1047" s="95" t="str">
        <f t="shared" si="168"/>
        <v/>
      </c>
      <c r="AY1047" s="98" t="str">
        <f t="shared" ca="1" si="165"/>
        <v/>
      </c>
      <c r="AZ1047" s="95" t="str">
        <f t="shared" si="169"/>
        <v/>
      </c>
      <c r="BA1047" s="99" t="str">
        <f t="shared" ca="1" si="166"/>
        <v/>
      </c>
      <c r="BB1047" s="97" t="str">
        <f t="shared" si="170"/>
        <v/>
      </c>
      <c r="BC1047" s="101" t="str">
        <f t="shared" ca="1" si="173"/>
        <v/>
      </c>
      <c r="BD1047" s="100" t="str">
        <f t="shared" si="171"/>
        <v/>
      </c>
      <c r="BE1047" s="103" t="str">
        <f t="shared" ca="1" si="167"/>
        <v/>
      </c>
      <c r="BF1047" s="102" t="str">
        <f t="shared" si="172"/>
        <v/>
      </c>
    </row>
    <row r="1048" spans="48:58" hidden="1" x14ac:dyDescent="0.25">
      <c r="AV1048">
        <v>1018</v>
      </c>
      <c r="AW1048" s="94" t="str">
        <f t="shared" ca="1" si="164"/>
        <v/>
      </c>
      <c r="AX1048" s="95" t="str">
        <f t="shared" si="168"/>
        <v/>
      </c>
      <c r="AY1048" s="98" t="str">
        <f t="shared" ca="1" si="165"/>
        <v/>
      </c>
      <c r="AZ1048" s="95" t="str">
        <f t="shared" si="169"/>
        <v/>
      </c>
      <c r="BA1048" s="99" t="str">
        <f t="shared" ca="1" si="166"/>
        <v/>
      </c>
      <c r="BB1048" s="97" t="str">
        <f t="shared" si="170"/>
        <v/>
      </c>
      <c r="BC1048" s="101" t="str">
        <f t="shared" ca="1" si="173"/>
        <v/>
      </c>
      <c r="BD1048" s="100" t="str">
        <f t="shared" si="171"/>
        <v/>
      </c>
      <c r="BE1048" s="103" t="str">
        <f t="shared" ca="1" si="167"/>
        <v/>
      </c>
      <c r="BF1048" s="102" t="str">
        <f t="shared" si="172"/>
        <v/>
      </c>
    </row>
    <row r="1049" spans="48:58" hidden="1" x14ac:dyDescent="0.25">
      <c r="AV1049">
        <v>1019</v>
      </c>
      <c r="AW1049" s="94" t="str">
        <f t="shared" ca="1" si="164"/>
        <v/>
      </c>
      <c r="AX1049" s="95" t="str">
        <f t="shared" si="168"/>
        <v/>
      </c>
      <c r="AY1049" s="98" t="str">
        <f t="shared" ca="1" si="165"/>
        <v/>
      </c>
      <c r="AZ1049" s="95" t="str">
        <f t="shared" si="169"/>
        <v/>
      </c>
      <c r="BA1049" s="99" t="str">
        <f t="shared" ca="1" si="166"/>
        <v/>
      </c>
      <c r="BB1049" s="97" t="str">
        <f t="shared" si="170"/>
        <v/>
      </c>
      <c r="BC1049" s="101" t="str">
        <f t="shared" ca="1" si="173"/>
        <v/>
      </c>
      <c r="BD1049" s="100" t="str">
        <f t="shared" si="171"/>
        <v/>
      </c>
      <c r="BE1049" s="103" t="str">
        <f t="shared" ca="1" si="167"/>
        <v/>
      </c>
      <c r="BF1049" s="102" t="str">
        <f t="shared" si="172"/>
        <v/>
      </c>
    </row>
    <row r="1050" spans="48:58" hidden="1" x14ac:dyDescent="0.25">
      <c r="AV1050">
        <v>1020</v>
      </c>
      <c r="AW1050" s="94" t="str">
        <f t="shared" ca="1" si="164"/>
        <v/>
      </c>
      <c r="AX1050" s="95" t="str">
        <f t="shared" si="168"/>
        <v/>
      </c>
      <c r="AY1050" s="98" t="str">
        <f t="shared" ca="1" si="165"/>
        <v/>
      </c>
      <c r="AZ1050" s="95" t="str">
        <f t="shared" si="169"/>
        <v/>
      </c>
      <c r="BA1050" s="99" t="str">
        <f t="shared" ca="1" si="166"/>
        <v/>
      </c>
      <c r="BB1050" s="97" t="str">
        <f t="shared" si="170"/>
        <v/>
      </c>
      <c r="BC1050" s="101" t="str">
        <f t="shared" ca="1" si="173"/>
        <v/>
      </c>
      <c r="BD1050" s="100" t="str">
        <f t="shared" si="171"/>
        <v/>
      </c>
      <c r="BE1050" s="103" t="str">
        <f t="shared" ca="1" si="167"/>
        <v/>
      </c>
      <c r="BF1050" s="102" t="str">
        <f t="shared" si="172"/>
        <v/>
      </c>
    </row>
    <row r="1051" spans="48:58" hidden="1" x14ac:dyDescent="0.25">
      <c r="AV1051">
        <v>1021</v>
      </c>
      <c r="AW1051" s="94" t="str">
        <f t="shared" ca="1" si="164"/>
        <v/>
      </c>
      <c r="AX1051" s="95" t="str">
        <f t="shared" si="168"/>
        <v/>
      </c>
      <c r="AY1051" s="98" t="str">
        <f t="shared" ca="1" si="165"/>
        <v/>
      </c>
      <c r="AZ1051" s="95" t="str">
        <f t="shared" si="169"/>
        <v/>
      </c>
      <c r="BA1051" s="99" t="str">
        <f t="shared" ca="1" si="166"/>
        <v/>
      </c>
      <c r="BB1051" s="97" t="str">
        <f t="shared" si="170"/>
        <v/>
      </c>
      <c r="BC1051" s="101" t="str">
        <f t="shared" ca="1" si="173"/>
        <v/>
      </c>
      <c r="BD1051" s="100" t="str">
        <f t="shared" si="171"/>
        <v/>
      </c>
      <c r="BE1051" s="103" t="str">
        <f t="shared" ca="1" si="167"/>
        <v/>
      </c>
      <c r="BF1051" s="102" t="str">
        <f t="shared" si="172"/>
        <v/>
      </c>
    </row>
    <row r="1052" spans="48:58" hidden="1" x14ac:dyDescent="0.25">
      <c r="AV1052">
        <v>1022</v>
      </c>
      <c r="AW1052" s="94" t="str">
        <f t="shared" ca="1" si="164"/>
        <v/>
      </c>
      <c r="AX1052" s="95" t="str">
        <f t="shared" si="168"/>
        <v/>
      </c>
      <c r="AY1052" s="98" t="str">
        <f t="shared" ca="1" si="165"/>
        <v/>
      </c>
      <c r="AZ1052" s="95" t="str">
        <f t="shared" si="169"/>
        <v/>
      </c>
      <c r="BA1052" s="99" t="str">
        <f t="shared" ca="1" si="166"/>
        <v/>
      </c>
      <c r="BB1052" s="97" t="str">
        <f t="shared" si="170"/>
        <v/>
      </c>
      <c r="BC1052" s="101" t="str">
        <f t="shared" ca="1" si="173"/>
        <v/>
      </c>
      <c r="BD1052" s="100" t="str">
        <f t="shared" si="171"/>
        <v/>
      </c>
      <c r="BE1052" s="103" t="str">
        <f t="shared" ca="1" si="167"/>
        <v/>
      </c>
      <c r="BF1052" s="102" t="str">
        <f t="shared" si="172"/>
        <v/>
      </c>
    </row>
    <row r="1053" spans="48:58" hidden="1" x14ac:dyDescent="0.25">
      <c r="AV1053">
        <v>1023</v>
      </c>
      <c r="AW1053" s="94" t="str">
        <f t="shared" ca="1" si="164"/>
        <v/>
      </c>
      <c r="AX1053" s="95" t="str">
        <f t="shared" si="168"/>
        <v/>
      </c>
      <c r="AY1053" s="98" t="str">
        <f t="shared" ca="1" si="165"/>
        <v/>
      </c>
      <c r="AZ1053" s="95" t="str">
        <f t="shared" si="169"/>
        <v/>
      </c>
      <c r="BA1053" s="99" t="str">
        <f t="shared" ca="1" si="166"/>
        <v/>
      </c>
      <c r="BB1053" s="97" t="str">
        <f t="shared" si="170"/>
        <v/>
      </c>
      <c r="BC1053" s="101" t="str">
        <f t="shared" ca="1" si="173"/>
        <v/>
      </c>
      <c r="BD1053" s="100" t="str">
        <f t="shared" si="171"/>
        <v/>
      </c>
      <c r="BE1053" s="103" t="str">
        <f t="shared" ca="1" si="167"/>
        <v/>
      </c>
      <c r="BF1053" s="102" t="str">
        <f t="shared" si="172"/>
        <v/>
      </c>
    </row>
    <row r="1054" spans="48:58" hidden="1" x14ac:dyDescent="0.25">
      <c r="AV1054">
        <v>1024</v>
      </c>
      <c r="AW1054" s="94" t="str">
        <f t="shared" ca="1" si="164"/>
        <v/>
      </c>
      <c r="AX1054" s="95" t="str">
        <f t="shared" si="168"/>
        <v/>
      </c>
      <c r="AY1054" s="98" t="str">
        <f t="shared" ca="1" si="165"/>
        <v/>
      </c>
      <c r="AZ1054" s="95" t="str">
        <f t="shared" si="169"/>
        <v/>
      </c>
      <c r="BA1054" s="99" t="str">
        <f t="shared" ca="1" si="166"/>
        <v/>
      </c>
      <c r="BB1054" s="97" t="str">
        <f t="shared" si="170"/>
        <v/>
      </c>
      <c r="BC1054" s="101" t="str">
        <f t="shared" ca="1" si="173"/>
        <v/>
      </c>
      <c r="BD1054" s="100" t="str">
        <f t="shared" si="171"/>
        <v/>
      </c>
      <c r="BE1054" s="103" t="str">
        <f t="shared" ca="1" si="167"/>
        <v/>
      </c>
      <c r="BF1054" s="102" t="str">
        <f t="shared" si="172"/>
        <v/>
      </c>
    </row>
    <row r="1055" spans="48:58" hidden="1" x14ac:dyDescent="0.25">
      <c r="AV1055">
        <v>1025</v>
      </c>
      <c r="AW1055" s="94" t="str">
        <f t="shared" ref="AW1055:AW1118" ca="1" si="174">IF(T_1*12&gt;=AV1055,DATE(YEAR(TODAY()),MONTH(TODAY())+AV1055-1,DAY(TODAY())),IF(T_1*12+1&gt;=AV1055,DATE(YEAR(TODAY()),MONTH(TODAY())+T_1*12,DAY(TODAY())),""))</f>
        <v/>
      </c>
      <c r="AX1055" s="95" t="str">
        <f t="shared" si="168"/>
        <v/>
      </c>
      <c r="AY1055" s="98" t="str">
        <f t="shared" ref="AY1055:AY1118" ca="1" si="175">IF(T_2*12&gt;=$AV1055,DATE(YEAR(TODAY()),MONTH(TODAY())+$AV1055-1,DAY(TODAY())),IF(T_2*12+1&gt;=$AV1055,DATE(YEAR(TODAY()),MONTH(TODAY())+T_2*12,DAY(TODAY())),""))</f>
        <v/>
      </c>
      <c r="AZ1055" s="95" t="str">
        <f t="shared" si="169"/>
        <v/>
      </c>
      <c r="BA1055" s="99" t="str">
        <f t="shared" ref="BA1055:BA1118" ca="1" si="176">IF(T_3*12&gt;=$AV1055,DATE(YEAR(TODAY()),MONTH(TODAY())+$AV1055-1,DAY(TODAY())),IF(T_3*12+1&gt;=$AV1055,DATE(YEAR(TODAY()),MONTH(TODAY())+T_3*12,DAY(TODAY())),""))</f>
        <v/>
      </c>
      <c r="BB1055" s="97" t="str">
        <f t="shared" si="170"/>
        <v/>
      </c>
      <c r="BC1055" s="101" t="str">
        <f t="shared" ca="1" si="173"/>
        <v/>
      </c>
      <c r="BD1055" s="100" t="str">
        <f t="shared" si="171"/>
        <v/>
      </c>
      <c r="BE1055" s="103" t="str">
        <f t="shared" ref="BE1055:BE1118" ca="1" si="177">IF(T_5*12&gt;=$AV1055,DATE(YEAR(TODAY()),MONTH(TODAY())+$AV1055-1,DAY(TODAY())),IF(T_5*12+1&gt;=$AV1055,DATE(YEAR(TODAY()),MONTH(TODAY())+T_5*12,DAY(TODAY())),""))</f>
        <v/>
      </c>
      <c r="BF1055" s="102" t="str">
        <f t="shared" si="172"/>
        <v/>
      </c>
    </row>
    <row r="1056" spans="48:58" hidden="1" x14ac:dyDescent="0.25">
      <c r="AV1056">
        <v>1026</v>
      </c>
      <c r="AW1056" s="94" t="str">
        <f t="shared" ca="1" si="174"/>
        <v/>
      </c>
      <c r="AX1056" s="95" t="str">
        <f t="shared" ref="AX1056:AX1119" si="178">IF(T_1*12&gt;=AV1056,-1*$I$15,IF(T_1*12+1&gt;=AV1056,InfG_1,""))</f>
        <v/>
      </c>
      <c r="AY1056" s="98" t="str">
        <f t="shared" ca="1" si="175"/>
        <v/>
      </c>
      <c r="AZ1056" s="95" t="str">
        <f t="shared" ref="AZ1056:AZ1119" si="179">IF(T_2*12&gt;=$AV1056,-1*$I$17,IF(T_2*12+1&gt;=$AV1056,InfG_2,""))</f>
        <v/>
      </c>
      <c r="BA1056" s="99" t="str">
        <f t="shared" ca="1" si="176"/>
        <v/>
      </c>
      <c r="BB1056" s="97" t="str">
        <f t="shared" ref="BB1056:BB1119" si="180">IF(T_3*12&gt;=$AV1056,-1*$I$19,IF(T_3*12+1&gt;=$AV1056,InfG_3,""))</f>
        <v/>
      </c>
      <c r="BC1056" s="101" t="str">
        <f t="shared" ca="1" si="173"/>
        <v/>
      </c>
      <c r="BD1056" s="100" t="str">
        <f t="shared" ref="BD1056:BD1119" si="181">IF(T_4*12&gt;=$AV1056,-1*$I$21,IF(T_4*12+1&gt;=$AV1056,InfG_4,""))</f>
        <v/>
      </c>
      <c r="BE1056" s="103" t="str">
        <f t="shared" ca="1" si="177"/>
        <v/>
      </c>
      <c r="BF1056" s="102" t="str">
        <f t="shared" ref="BF1056:BF1119" si="182">IF(T_5*12&gt;=$AV1056,-1*$I$23,IF(T_5*12+1&gt;=$AV1056,InfG_5,""))</f>
        <v/>
      </c>
    </row>
    <row r="1057" spans="48:58" hidden="1" x14ac:dyDescent="0.25">
      <c r="AV1057">
        <v>1027</v>
      </c>
      <c r="AW1057" s="94" t="str">
        <f t="shared" ca="1" si="174"/>
        <v/>
      </c>
      <c r="AX1057" s="95" t="str">
        <f t="shared" si="178"/>
        <v/>
      </c>
      <c r="AY1057" s="98" t="str">
        <f t="shared" ca="1" si="175"/>
        <v/>
      </c>
      <c r="AZ1057" s="95" t="str">
        <f t="shared" si="179"/>
        <v/>
      </c>
      <c r="BA1057" s="99" t="str">
        <f t="shared" ca="1" si="176"/>
        <v/>
      </c>
      <c r="BB1057" s="97" t="str">
        <f t="shared" si="180"/>
        <v/>
      </c>
      <c r="BC1057" s="101" t="str">
        <f t="shared" ref="BC1057:BC1120" ca="1" si="183">IF(T_4*12&gt;=AV1057,DATE(YEAR(TODAY()),MONTH(TODAY())+AV1057-1,DAY(TODAY())),IF(T_4*12+1&gt;=AV1057,DATE(YEAR(TODAY()),MONTH(TODAY())+T_4*12,DAY(TODAY())),""))</f>
        <v/>
      </c>
      <c r="BD1057" s="100" t="str">
        <f t="shared" si="181"/>
        <v/>
      </c>
      <c r="BE1057" s="103" t="str">
        <f t="shared" ca="1" si="177"/>
        <v/>
      </c>
      <c r="BF1057" s="102" t="str">
        <f t="shared" si="182"/>
        <v/>
      </c>
    </row>
    <row r="1058" spans="48:58" hidden="1" x14ac:dyDescent="0.25">
      <c r="AV1058">
        <v>1028</v>
      </c>
      <c r="AW1058" s="94" t="str">
        <f t="shared" ca="1" si="174"/>
        <v/>
      </c>
      <c r="AX1058" s="95" t="str">
        <f t="shared" si="178"/>
        <v/>
      </c>
      <c r="AY1058" s="98" t="str">
        <f t="shared" ca="1" si="175"/>
        <v/>
      </c>
      <c r="AZ1058" s="95" t="str">
        <f t="shared" si="179"/>
        <v/>
      </c>
      <c r="BA1058" s="99" t="str">
        <f t="shared" ca="1" si="176"/>
        <v/>
      </c>
      <c r="BB1058" s="97" t="str">
        <f t="shared" si="180"/>
        <v/>
      </c>
      <c r="BC1058" s="101" t="str">
        <f t="shared" ca="1" si="183"/>
        <v/>
      </c>
      <c r="BD1058" s="100" t="str">
        <f t="shared" si="181"/>
        <v/>
      </c>
      <c r="BE1058" s="103" t="str">
        <f t="shared" ca="1" si="177"/>
        <v/>
      </c>
      <c r="BF1058" s="102" t="str">
        <f t="shared" si="182"/>
        <v/>
      </c>
    </row>
    <row r="1059" spans="48:58" hidden="1" x14ac:dyDescent="0.25">
      <c r="AV1059">
        <v>1029</v>
      </c>
      <c r="AW1059" s="94" t="str">
        <f t="shared" ca="1" si="174"/>
        <v/>
      </c>
      <c r="AX1059" s="95" t="str">
        <f t="shared" si="178"/>
        <v/>
      </c>
      <c r="AY1059" s="98" t="str">
        <f t="shared" ca="1" si="175"/>
        <v/>
      </c>
      <c r="AZ1059" s="95" t="str">
        <f t="shared" si="179"/>
        <v/>
      </c>
      <c r="BA1059" s="99" t="str">
        <f t="shared" ca="1" si="176"/>
        <v/>
      </c>
      <c r="BB1059" s="97" t="str">
        <f t="shared" si="180"/>
        <v/>
      </c>
      <c r="BC1059" s="101" t="str">
        <f t="shared" ca="1" si="183"/>
        <v/>
      </c>
      <c r="BD1059" s="100" t="str">
        <f t="shared" si="181"/>
        <v/>
      </c>
      <c r="BE1059" s="103" t="str">
        <f t="shared" ca="1" si="177"/>
        <v/>
      </c>
      <c r="BF1059" s="102" t="str">
        <f t="shared" si="182"/>
        <v/>
      </c>
    </row>
    <row r="1060" spans="48:58" hidden="1" x14ac:dyDescent="0.25">
      <c r="AV1060">
        <v>1030</v>
      </c>
      <c r="AW1060" s="94" t="str">
        <f t="shared" ca="1" si="174"/>
        <v/>
      </c>
      <c r="AX1060" s="95" t="str">
        <f t="shared" si="178"/>
        <v/>
      </c>
      <c r="AY1060" s="98" t="str">
        <f t="shared" ca="1" si="175"/>
        <v/>
      </c>
      <c r="AZ1060" s="95" t="str">
        <f t="shared" si="179"/>
        <v/>
      </c>
      <c r="BA1060" s="99" t="str">
        <f t="shared" ca="1" si="176"/>
        <v/>
      </c>
      <c r="BB1060" s="97" t="str">
        <f t="shared" si="180"/>
        <v/>
      </c>
      <c r="BC1060" s="101" t="str">
        <f t="shared" ca="1" si="183"/>
        <v/>
      </c>
      <c r="BD1060" s="100" t="str">
        <f t="shared" si="181"/>
        <v/>
      </c>
      <c r="BE1060" s="103" t="str">
        <f t="shared" ca="1" si="177"/>
        <v/>
      </c>
      <c r="BF1060" s="102" t="str">
        <f t="shared" si="182"/>
        <v/>
      </c>
    </row>
    <row r="1061" spans="48:58" hidden="1" x14ac:dyDescent="0.25">
      <c r="AV1061">
        <v>1031</v>
      </c>
      <c r="AW1061" s="94" t="str">
        <f t="shared" ca="1" si="174"/>
        <v/>
      </c>
      <c r="AX1061" s="95" t="str">
        <f t="shared" si="178"/>
        <v/>
      </c>
      <c r="AY1061" s="98" t="str">
        <f t="shared" ca="1" si="175"/>
        <v/>
      </c>
      <c r="AZ1061" s="95" t="str">
        <f t="shared" si="179"/>
        <v/>
      </c>
      <c r="BA1061" s="99" t="str">
        <f t="shared" ca="1" si="176"/>
        <v/>
      </c>
      <c r="BB1061" s="97" t="str">
        <f t="shared" si="180"/>
        <v/>
      </c>
      <c r="BC1061" s="101" t="str">
        <f t="shared" ca="1" si="183"/>
        <v/>
      </c>
      <c r="BD1061" s="100" t="str">
        <f t="shared" si="181"/>
        <v/>
      </c>
      <c r="BE1061" s="103" t="str">
        <f t="shared" ca="1" si="177"/>
        <v/>
      </c>
      <c r="BF1061" s="102" t="str">
        <f t="shared" si="182"/>
        <v/>
      </c>
    </row>
    <row r="1062" spans="48:58" hidden="1" x14ac:dyDescent="0.25">
      <c r="AV1062">
        <v>1032</v>
      </c>
      <c r="AW1062" s="94" t="str">
        <f t="shared" ca="1" si="174"/>
        <v/>
      </c>
      <c r="AX1062" s="95" t="str">
        <f t="shared" si="178"/>
        <v/>
      </c>
      <c r="AY1062" s="98" t="str">
        <f t="shared" ca="1" si="175"/>
        <v/>
      </c>
      <c r="AZ1062" s="95" t="str">
        <f t="shared" si="179"/>
        <v/>
      </c>
      <c r="BA1062" s="99" t="str">
        <f t="shared" ca="1" si="176"/>
        <v/>
      </c>
      <c r="BB1062" s="97" t="str">
        <f t="shared" si="180"/>
        <v/>
      </c>
      <c r="BC1062" s="101" t="str">
        <f t="shared" ca="1" si="183"/>
        <v/>
      </c>
      <c r="BD1062" s="100" t="str">
        <f t="shared" si="181"/>
        <v/>
      </c>
      <c r="BE1062" s="103" t="str">
        <f t="shared" ca="1" si="177"/>
        <v/>
      </c>
      <c r="BF1062" s="102" t="str">
        <f t="shared" si="182"/>
        <v/>
      </c>
    </row>
    <row r="1063" spans="48:58" hidden="1" x14ac:dyDescent="0.25">
      <c r="AV1063">
        <v>1033</v>
      </c>
      <c r="AW1063" s="94" t="str">
        <f t="shared" ca="1" si="174"/>
        <v/>
      </c>
      <c r="AX1063" s="95" t="str">
        <f t="shared" si="178"/>
        <v/>
      </c>
      <c r="AY1063" s="98" t="str">
        <f t="shared" ca="1" si="175"/>
        <v/>
      </c>
      <c r="AZ1063" s="95" t="str">
        <f t="shared" si="179"/>
        <v/>
      </c>
      <c r="BA1063" s="99" t="str">
        <f t="shared" ca="1" si="176"/>
        <v/>
      </c>
      <c r="BB1063" s="97" t="str">
        <f t="shared" si="180"/>
        <v/>
      </c>
      <c r="BC1063" s="101" t="str">
        <f t="shared" ca="1" si="183"/>
        <v/>
      </c>
      <c r="BD1063" s="100" t="str">
        <f t="shared" si="181"/>
        <v/>
      </c>
      <c r="BE1063" s="103" t="str">
        <f t="shared" ca="1" si="177"/>
        <v/>
      </c>
      <c r="BF1063" s="102" t="str">
        <f t="shared" si="182"/>
        <v/>
      </c>
    </row>
    <row r="1064" spans="48:58" hidden="1" x14ac:dyDescent="0.25">
      <c r="AV1064">
        <v>1034</v>
      </c>
      <c r="AW1064" s="94" t="str">
        <f t="shared" ca="1" si="174"/>
        <v/>
      </c>
      <c r="AX1064" s="95" t="str">
        <f t="shared" si="178"/>
        <v/>
      </c>
      <c r="AY1064" s="98" t="str">
        <f t="shared" ca="1" si="175"/>
        <v/>
      </c>
      <c r="AZ1064" s="95" t="str">
        <f t="shared" si="179"/>
        <v/>
      </c>
      <c r="BA1064" s="99" t="str">
        <f t="shared" ca="1" si="176"/>
        <v/>
      </c>
      <c r="BB1064" s="97" t="str">
        <f t="shared" si="180"/>
        <v/>
      </c>
      <c r="BC1064" s="101" t="str">
        <f t="shared" ca="1" si="183"/>
        <v/>
      </c>
      <c r="BD1064" s="100" t="str">
        <f t="shared" si="181"/>
        <v/>
      </c>
      <c r="BE1064" s="103" t="str">
        <f t="shared" ca="1" si="177"/>
        <v/>
      </c>
      <c r="BF1064" s="102" t="str">
        <f t="shared" si="182"/>
        <v/>
      </c>
    </row>
    <row r="1065" spans="48:58" hidden="1" x14ac:dyDescent="0.25">
      <c r="AV1065">
        <v>1035</v>
      </c>
      <c r="AW1065" s="94" t="str">
        <f t="shared" ca="1" si="174"/>
        <v/>
      </c>
      <c r="AX1065" s="95" t="str">
        <f t="shared" si="178"/>
        <v/>
      </c>
      <c r="AY1065" s="98" t="str">
        <f t="shared" ca="1" si="175"/>
        <v/>
      </c>
      <c r="AZ1065" s="95" t="str">
        <f t="shared" si="179"/>
        <v/>
      </c>
      <c r="BA1065" s="99" t="str">
        <f t="shared" ca="1" si="176"/>
        <v/>
      </c>
      <c r="BB1065" s="97" t="str">
        <f t="shared" si="180"/>
        <v/>
      </c>
      <c r="BC1065" s="101" t="str">
        <f t="shared" ca="1" si="183"/>
        <v/>
      </c>
      <c r="BD1065" s="100" t="str">
        <f t="shared" si="181"/>
        <v/>
      </c>
      <c r="BE1065" s="103" t="str">
        <f t="shared" ca="1" si="177"/>
        <v/>
      </c>
      <c r="BF1065" s="102" t="str">
        <f t="shared" si="182"/>
        <v/>
      </c>
    </row>
    <row r="1066" spans="48:58" hidden="1" x14ac:dyDescent="0.25">
      <c r="AV1066">
        <v>1036</v>
      </c>
      <c r="AW1066" s="94" t="str">
        <f t="shared" ca="1" si="174"/>
        <v/>
      </c>
      <c r="AX1066" s="95" t="str">
        <f t="shared" si="178"/>
        <v/>
      </c>
      <c r="AY1066" s="98" t="str">
        <f t="shared" ca="1" si="175"/>
        <v/>
      </c>
      <c r="AZ1066" s="95" t="str">
        <f t="shared" si="179"/>
        <v/>
      </c>
      <c r="BA1066" s="99" t="str">
        <f t="shared" ca="1" si="176"/>
        <v/>
      </c>
      <c r="BB1066" s="97" t="str">
        <f t="shared" si="180"/>
        <v/>
      </c>
      <c r="BC1066" s="101" t="str">
        <f t="shared" ca="1" si="183"/>
        <v/>
      </c>
      <c r="BD1066" s="100" t="str">
        <f t="shared" si="181"/>
        <v/>
      </c>
      <c r="BE1066" s="103" t="str">
        <f t="shared" ca="1" si="177"/>
        <v/>
      </c>
      <c r="BF1066" s="102" t="str">
        <f t="shared" si="182"/>
        <v/>
      </c>
    </row>
    <row r="1067" spans="48:58" hidden="1" x14ac:dyDescent="0.25">
      <c r="AV1067">
        <v>1037</v>
      </c>
      <c r="AW1067" s="94" t="str">
        <f t="shared" ca="1" si="174"/>
        <v/>
      </c>
      <c r="AX1067" s="95" t="str">
        <f t="shared" si="178"/>
        <v/>
      </c>
      <c r="AY1067" s="98" t="str">
        <f t="shared" ca="1" si="175"/>
        <v/>
      </c>
      <c r="AZ1067" s="95" t="str">
        <f t="shared" si="179"/>
        <v/>
      </c>
      <c r="BA1067" s="99" t="str">
        <f t="shared" ca="1" si="176"/>
        <v/>
      </c>
      <c r="BB1067" s="97" t="str">
        <f t="shared" si="180"/>
        <v/>
      </c>
      <c r="BC1067" s="101" t="str">
        <f t="shared" ca="1" si="183"/>
        <v/>
      </c>
      <c r="BD1067" s="100" t="str">
        <f t="shared" si="181"/>
        <v/>
      </c>
      <c r="BE1067" s="103" t="str">
        <f t="shared" ca="1" si="177"/>
        <v/>
      </c>
      <c r="BF1067" s="102" t="str">
        <f t="shared" si="182"/>
        <v/>
      </c>
    </row>
    <row r="1068" spans="48:58" hidden="1" x14ac:dyDescent="0.25">
      <c r="AV1068">
        <v>1038</v>
      </c>
      <c r="AW1068" s="94" t="str">
        <f t="shared" ca="1" si="174"/>
        <v/>
      </c>
      <c r="AX1068" s="95" t="str">
        <f t="shared" si="178"/>
        <v/>
      </c>
      <c r="AY1068" s="98" t="str">
        <f t="shared" ca="1" si="175"/>
        <v/>
      </c>
      <c r="AZ1068" s="95" t="str">
        <f t="shared" si="179"/>
        <v/>
      </c>
      <c r="BA1068" s="99" t="str">
        <f t="shared" ca="1" si="176"/>
        <v/>
      </c>
      <c r="BB1068" s="97" t="str">
        <f t="shared" si="180"/>
        <v/>
      </c>
      <c r="BC1068" s="101" t="str">
        <f t="shared" ca="1" si="183"/>
        <v/>
      </c>
      <c r="BD1068" s="100" t="str">
        <f t="shared" si="181"/>
        <v/>
      </c>
      <c r="BE1068" s="103" t="str">
        <f t="shared" ca="1" si="177"/>
        <v/>
      </c>
      <c r="BF1068" s="102" t="str">
        <f t="shared" si="182"/>
        <v/>
      </c>
    </row>
    <row r="1069" spans="48:58" hidden="1" x14ac:dyDescent="0.25">
      <c r="AV1069">
        <v>1039</v>
      </c>
      <c r="AW1069" s="94" t="str">
        <f t="shared" ca="1" si="174"/>
        <v/>
      </c>
      <c r="AX1069" s="95" t="str">
        <f t="shared" si="178"/>
        <v/>
      </c>
      <c r="AY1069" s="98" t="str">
        <f t="shared" ca="1" si="175"/>
        <v/>
      </c>
      <c r="AZ1069" s="95" t="str">
        <f t="shared" si="179"/>
        <v/>
      </c>
      <c r="BA1069" s="99" t="str">
        <f t="shared" ca="1" si="176"/>
        <v/>
      </c>
      <c r="BB1069" s="97" t="str">
        <f t="shared" si="180"/>
        <v/>
      </c>
      <c r="BC1069" s="101" t="str">
        <f t="shared" ca="1" si="183"/>
        <v/>
      </c>
      <c r="BD1069" s="100" t="str">
        <f t="shared" si="181"/>
        <v/>
      </c>
      <c r="BE1069" s="103" t="str">
        <f t="shared" ca="1" si="177"/>
        <v/>
      </c>
      <c r="BF1069" s="102" t="str">
        <f t="shared" si="182"/>
        <v/>
      </c>
    </row>
    <row r="1070" spans="48:58" hidden="1" x14ac:dyDescent="0.25">
      <c r="AV1070">
        <v>1040</v>
      </c>
      <c r="AW1070" s="94" t="str">
        <f t="shared" ca="1" si="174"/>
        <v/>
      </c>
      <c r="AX1070" s="95" t="str">
        <f t="shared" si="178"/>
        <v/>
      </c>
      <c r="AY1070" s="98" t="str">
        <f t="shared" ca="1" si="175"/>
        <v/>
      </c>
      <c r="AZ1070" s="95" t="str">
        <f t="shared" si="179"/>
        <v/>
      </c>
      <c r="BA1070" s="99" t="str">
        <f t="shared" ca="1" si="176"/>
        <v/>
      </c>
      <c r="BB1070" s="97" t="str">
        <f t="shared" si="180"/>
        <v/>
      </c>
      <c r="BC1070" s="101" t="str">
        <f t="shared" ca="1" si="183"/>
        <v/>
      </c>
      <c r="BD1070" s="100" t="str">
        <f t="shared" si="181"/>
        <v/>
      </c>
      <c r="BE1070" s="103" t="str">
        <f t="shared" ca="1" si="177"/>
        <v/>
      </c>
      <c r="BF1070" s="102" t="str">
        <f t="shared" si="182"/>
        <v/>
      </c>
    </row>
    <row r="1071" spans="48:58" hidden="1" x14ac:dyDescent="0.25">
      <c r="AV1071">
        <v>1041</v>
      </c>
      <c r="AW1071" s="94" t="str">
        <f t="shared" ca="1" si="174"/>
        <v/>
      </c>
      <c r="AX1071" s="95" t="str">
        <f t="shared" si="178"/>
        <v/>
      </c>
      <c r="AY1071" s="98" t="str">
        <f t="shared" ca="1" si="175"/>
        <v/>
      </c>
      <c r="AZ1071" s="95" t="str">
        <f t="shared" si="179"/>
        <v/>
      </c>
      <c r="BA1071" s="99" t="str">
        <f t="shared" ca="1" si="176"/>
        <v/>
      </c>
      <c r="BB1071" s="97" t="str">
        <f t="shared" si="180"/>
        <v/>
      </c>
      <c r="BC1071" s="101" t="str">
        <f t="shared" ca="1" si="183"/>
        <v/>
      </c>
      <c r="BD1071" s="100" t="str">
        <f t="shared" si="181"/>
        <v/>
      </c>
      <c r="BE1071" s="103" t="str">
        <f t="shared" ca="1" si="177"/>
        <v/>
      </c>
      <c r="BF1071" s="102" t="str">
        <f t="shared" si="182"/>
        <v/>
      </c>
    </row>
    <row r="1072" spans="48:58" hidden="1" x14ac:dyDescent="0.25">
      <c r="AV1072">
        <v>1042</v>
      </c>
      <c r="AW1072" s="94" t="str">
        <f t="shared" ca="1" si="174"/>
        <v/>
      </c>
      <c r="AX1072" s="95" t="str">
        <f t="shared" si="178"/>
        <v/>
      </c>
      <c r="AY1072" s="98" t="str">
        <f t="shared" ca="1" si="175"/>
        <v/>
      </c>
      <c r="AZ1072" s="95" t="str">
        <f t="shared" si="179"/>
        <v/>
      </c>
      <c r="BA1072" s="99" t="str">
        <f t="shared" ca="1" si="176"/>
        <v/>
      </c>
      <c r="BB1072" s="97" t="str">
        <f t="shared" si="180"/>
        <v/>
      </c>
      <c r="BC1072" s="101" t="str">
        <f t="shared" ca="1" si="183"/>
        <v/>
      </c>
      <c r="BD1072" s="100" t="str">
        <f t="shared" si="181"/>
        <v/>
      </c>
      <c r="BE1072" s="103" t="str">
        <f t="shared" ca="1" si="177"/>
        <v/>
      </c>
      <c r="BF1072" s="102" t="str">
        <f t="shared" si="182"/>
        <v/>
      </c>
    </row>
    <row r="1073" spans="48:58" hidden="1" x14ac:dyDescent="0.25">
      <c r="AV1073">
        <v>1043</v>
      </c>
      <c r="AW1073" s="94" t="str">
        <f t="shared" ca="1" si="174"/>
        <v/>
      </c>
      <c r="AX1073" s="95" t="str">
        <f t="shared" si="178"/>
        <v/>
      </c>
      <c r="AY1073" s="98" t="str">
        <f t="shared" ca="1" si="175"/>
        <v/>
      </c>
      <c r="AZ1073" s="95" t="str">
        <f t="shared" si="179"/>
        <v/>
      </c>
      <c r="BA1073" s="99" t="str">
        <f t="shared" ca="1" si="176"/>
        <v/>
      </c>
      <c r="BB1073" s="97" t="str">
        <f t="shared" si="180"/>
        <v/>
      </c>
      <c r="BC1073" s="101" t="str">
        <f t="shared" ca="1" si="183"/>
        <v/>
      </c>
      <c r="BD1073" s="100" t="str">
        <f t="shared" si="181"/>
        <v/>
      </c>
      <c r="BE1073" s="103" t="str">
        <f t="shared" ca="1" si="177"/>
        <v/>
      </c>
      <c r="BF1073" s="102" t="str">
        <f t="shared" si="182"/>
        <v/>
      </c>
    </row>
    <row r="1074" spans="48:58" hidden="1" x14ac:dyDescent="0.25">
      <c r="AV1074">
        <v>1044</v>
      </c>
      <c r="AW1074" s="94" t="str">
        <f t="shared" ca="1" si="174"/>
        <v/>
      </c>
      <c r="AX1074" s="95" t="str">
        <f t="shared" si="178"/>
        <v/>
      </c>
      <c r="AY1074" s="98" t="str">
        <f t="shared" ca="1" si="175"/>
        <v/>
      </c>
      <c r="AZ1074" s="95" t="str">
        <f t="shared" si="179"/>
        <v/>
      </c>
      <c r="BA1074" s="99" t="str">
        <f t="shared" ca="1" si="176"/>
        <v/>
      </c>
      <c r="BB1074" s="97" t="str">
        <f t="shared" si="180"/>
        <v/>
      </c>
      <c r="BC1074" s="101" t="str">
        <f t="shared" ca="1" si="183"/>
        <v/>
      </c>
      <c r="BD1074" s="100" t="str">
        <f t="shared" si="181"/>
        <v/>
      </c>
      <c r="BE1074" s="103" t="str">
        <f t="shared" ca="1" si="177"/>
        <v/>
      </c>
      <c r="BF1074" s="102" t="str">
        <f t="shared" si="182"/>
        <v/>
      </c>
    </row>
    <row r="1075" spans="48:58" hidden="1" x14ac:dyDescent="0.25">
      <c r="AV1075">
        <v>1045</v>
      </c>
      <c r="AW1075" s="94" t="str">
        <f t="shared" ca="1" si="174"/>
        <v/>
      </c>
      <c r="AX1075" s="95" t="str">
        <f t="shared" si="178"/>
        <v/>
      </c>
      <c r="AY1075" s="98" t="str">
        <f t="shared" ca="1" si="175"/>
        <v/>
      </c>
      <c r="AZ1075" s="95" t="str">
        <f t="shared" si="179"/>
        <v/>
      </c>
      <c r="BA1075" s="99" t="str">
        <f t="shared" ca="1" si="176"/>
        <v/>
      </c>
      <c r="BB1075" s="97" t="str">
        <f t="shared" si="180"/>
        <v/>
      </c>
      <c r="BC1075" s="101" t="str">
        <f t="shared" ca="1" si="183"/>
        <v/>
      </c>
      <c r="BD1075" s="100" t="str">
        <f t="shared" si="181"/>
        <v/>
      </c>
      <c r="BE1075" s="103" t="str">
        <f t="shared" ca="1" si="177"/>
        <v/>
      </c>
      <c r="BF1075" s="102" t="str">
        <f t="shared" si="182"/>
        <v/>
      </c>
    </row>
    <row r="1076" spans="48:58" hidden="1" x14ac:dyDescent="0.25">
      <c r="AV1076">
        <v>1046</v>
      </c>
      <c r="AW1076" s="94" t="str">
        <f t="shared" ca="1" si="174"/>
        <v/>
      </c>
      <c r="AX1076" s="95" t="str">
        <f t="shared" si="178"/>
        <v/>
      </c>
      <c r="AY1076" s="98" t="str">
        <f t="shared" ca="1" si="175"/>
        <v/>
      </c>
      <c r="AZ1076" s="95" t="str">
        <f t="shared" si="179"/>
        <v/>
      </c>
      <c r="BA1076" s="99" t="str">
        <f t="shared" ca="1" si="176"/>
        <v/>
      </c>
      <c r="BB1076" s="97" t="str">
        <f t="shared" si="180"/>
        <v/>
      </c>
      <c r="BC1076" s="101" t="str">
        <f t="shared" ca="1" si="183"/>
        <v/>
      </c>
      <c r="BD1076" s="100" t="str">
        <f t="shared" si="181"/>
        <v/>
      </c>
      <c r="BE1076" s="103" t="str">
        <f t="shared" ca="1" si="177"/>
        <v/>
      </c>
      <c r="BF1076" s="102" t="str">
        <f t="shared" si="182"/>
        <v/>
      </c>
    </row>
    <row r="1077" spans="48:58" hidden="1" x14ac:dyDescent="0.25">
      <c r="AV1077">
        <v>1047</v>
      </c>
      <c r="AW1077" s="94" t="str">
        <f t="shared" ca="1" si="174"/>
        <v/>
      </c>
      <c r="AX1077" s="95" t="str">
        <f t="shared" si="178"/>
        <v/>
      </c>
      <c r="AY1077" s="98" t="str">
        <f t="shared" ca="1" si="175"/>
        <v/>
      </c>
      <c r="AZ1077" s="95" t="str">
        <f t="shared" si="179"/>
        <v/>
      </c>
      <c r="BA1077" s="99" t="str">
        <f t="shared" ca="1" si="176"/>
        <v/>
      </c>
      <c r="BB1077" s="97" t="str">
        <f t="shared" si="180"/>
        <v/>
      </c>
      <c r="BC1077" s="101" t="str">
        <f t="shared" ca="1" si="183"/>
        <v/>
      </c>
      <c r="BD1077" s="100" t="str">
        <f t="shared" si="181"/>
        <v/>
      </c>
      <c r="BE1077" s="103" t="str">
        <f t="shared" ca="1" si="177"/>
        <v/>
      </c>
      <c r="BF1077" s="102" t="str">
        <f t="shared" si="182"/>
        <v/>
      </c>
    </row>
    <row r="1078" spans="48:58" hidden="1" x14ac:dyDescent="0.25">
      <c r="AV1078">
        <v>1048</v>
      </c>
      <c r="AW1078" s="94" t="str">
        <f t="shared" ca="1" si="174"/>
        <v/>
      </c>
      <c r="AX1078" s="95" t="str">
        <f t="shared" si="178"/>
        <v/>
      </c>
      <c r="AY1078" s="98" t="str">
        <f t="shared" ca="1" si="175"/>
        <v/>
      </c>
      <c r="AZ1078" s="95" t="str">
        <f t="shared" si="179"/>
        <v/>
      </c>
      <c r="BA1078" s="99" t="str">
        <f t="shared" ca="1" si="176"/>
        <v/>
      </c>
      <c r="BB1078" s="97" t="str">
        <f t="shared" si="180"/>
        <v/>
      </c>
      <c r="BC1078" s="101" t="str">
        <f t="shared" ca="1" si="183"/>
        <v/>
      </c>
      <c r="BD1078" s="100" t="str">
        <f t="shared" si="181"/>
        <v/>
      </c>
      <c r="BE1078" s="103" t="str">
        <f t="shared" ca="1" si="177"/>
        <v/>
      </c>
      <c r="BF1078" s="102" t="str">
        <f t="shared" si="182"/>
        <v/>
      </c>
    </row>
    <row r="1079" spans="48:58" hidden="1" x14ac:dyDescent="0.25">
      <c r="AV1079">
        <v>1049</v>
      </c>
      <c r="AW1079" s="94" t="str">
        <f t="shared" ca="1" si="174"/>
        <v/>
      </c>
      <c r="AX1079" s="95" t="str">
        <f t="shared" si="178"/>
        <v/>
      </c>
      <c r="AY1079" s="98" t="str">
        <f t="shared" ca="1" si="175"/>
        <v/>
      </c>
      <c r="AZ1079" s="95" t="str">
        <f t="shared" si="179"/>
        <v/>
      </c>
      <c r="BA1079" s="99" t="str">
        <f t="shared" ca="1" si="176"/>
        <v/>
      </c>
      <c r="BB1079" s="97" t="str">
        <f t="shared" si="180"/>
        <v/>
      </c>
      <c r="BC1079" s="101" t="str">
        <f t="shared" ca="1" si="183"/>
        <v/>
      </c>
      <c r="BD1079" s="100" t="str">
        <f t="shared" si="181"/>
        <v/>
      </c>
      <c r="BE1079" s="103" t="str">
        <f t="shared" ca="1" si="177"/>
        <v/>
      </c>
      <c r="BF1079" s="102" t="str">
        <f t="shared" si="182"/>
        <v/>
      </c>
    </row>
    <row r="1080" spans="48:58" hidden="1" x14ac:dyDescent="0.25">
      <c r="AV1080">
        <v>1050</v>
      </c>
      <c r="AW1080" s="94" t="str">
        <f t="shared" ca="1" si="174"/>
        <v/>
      </c>
      <c r="AX1080" s="95" t="str">
        <f t="shared" si="178"/>
        <v/>
      </c>
      <c r="AY1080" s="98" t="str">
        <f t="shared" ca="1" si="175"/>
        <v/>
      </c>
      <c r="AZ1080" s="95" t="str">
        <f t="shared" si="179"/>
        <v/>
      </c>
      <c r="BA1080" s="99" t="str">
        <f t="shared" ca="1" si="176"/>
        <v/>
      </c>
      <c r="BB1080" s="97" t="str">
        <f t="shared" si="180"/>
        <v/>
      </c>
      <c r="BC1080" s="101" t="str">
        <f t="shared" ca="1" si="183"/>
        <v/>
      </c>
      <c r="BD1080" s="100" t="str">
        <f t="shared" si="181"/>
        <v/>
      </c>
      <c r="BE1080" s="103" t="str">
        <f t="shared" ca="1" si="177"/>
        <v/>
      </c>
      <c r="BF1080" s="102" t="str">
        <f t="shared" si="182"/>
        <v/>
      </c>
    </row>
    <row r="1081" spans="48:58" hidden="1" x14ac:dyDescent="0.25">
      <c r="AV1081">
        <v>1051</v>
      </c>
      <c r="AW1081" s="94" t="str">
        <f t="shared" ca="1" si="174"/>
        <v/>
      </c>
      <c r="AX1081" s="95" t="str">
        <f t="shared" si="178"/>
        <v/>
      </c>
      <c r="AY1081" s="98" t="str">
        <f t="shared" ca="1" si="175"/>
        <v/>
      </c>
      <c r="AZ1081" s="95" t="str">
        <f t="shared" si="179"/>
        <v/>
      </c>
      <c r="BA1081" s="99" t="str">
        <f t="shared" ca="1" si="176"/>
        <v/>
      </c>
      <c r="BB1081" s="97" t="str">
        <f t="shared" si="180"/>
        <v/>
      </c>
      <c r="BC1081" s="101" t="str">
        <f t="shared" ca="1" si="183"/>
        <v/>
      </c>
      <c r="BD1081" s="100" t="str">
        <f t="shared" si="181"/>
        <v/>
      </c>
      <c r="BE1081" s="103" t="str">
        <f t="shared" ca="1" si="177"/>
        <v/>
      </c>
      <c r="BF1081" s="102" t="str">
        <f t="shared" si="182"/>
        <v/>
      </c>
    </row>
    <row r="1082" spans="48:58" hidden="1" x14ac:dyDescent="0.25">
      <c r="AV1082">
        <v>1052</v>
      </c>
      <c r="AW1082" s="94" t="str">
        <f t="shared" ca="1" si="174"/>
        <v/>
      </c>
      <c r="AX1082" s="95" t="str">
        <f t="shared" si="178"/>
        <v/>
      </c>
      <c r="AY1082" s="98" t="str">
        <f t="shared" ca="1" si="175"/>
        <v/>
      </c>
      <c r="AZ1082" s="95" t="str">
        <f t="shared" si="179"/>
        <v/>
      </c>
      <c r="BA1082" s="99" t="str">
        <f t="shared" ca="1" si="176"/>
        <v/>
      </c>
      <c r="BB1082" s="97" t="str">
        <f t="shared" si="180"/>
        <v/>
      </c>
      <c r="BC1082" s="101" t="str">
        <f t="shared" ca="1" si="183"/>
        <v/>
      </c>
      <c r="BD1082" s="100" t="str">
        <f t="shared" si="181"/>
        <v/>
      </c>
      <c r="BE1082" s="103" t="str">
        <f t="shared" ca="1" si="177"/>
        <v/>
      </c>
      <c r="BF1082" s="102" t="str">
        <f t="shared" si="182"/>
        <v/>
      </c>
    </row>
    <row r="1083" spans="48:58" hidden="1" x14ac:dyDescent="0.25">
      <c r="AV1083">
        <v>1053</v>
      </c>
      <c r="AW1083" s="94" t="str">
        <f t="shared" ca="1" si="174"/>
        <v/>
      </c>
      <c r="AX1083" s="95" t="str">
        <f t="shared" si="178"/>
        <v/>
      </c>
      <c r="AY1083" s="98" t="str">
        <f t="shared" ca="1" si="175"/>
        <v/>
      </c>
      <c r="AZ1083" s="95" t="str">
        <f t="shared" si="179"/>
        <v/>
      </c>
      <c r="BA1083" s="99" t="str">
        <f t="shared" ca="1" si="176"/>
        <v/>
      </c>
      <c r="BB1083" s="97" t="str">
        <f t="shared" si="180"/>
        <v/>
      </c>
      <c r="BC1083" s="101" t="str">
        <f t="shared" ca="1" si="183"/>
        <v/>
      </c>
      <c r="BD1083" s="100" t="str">
        <f t="shared" si="181"/>
        <v/>
      </c>
      <c r="BE1083" s="103" t="str">
        <f t="shared" ca="1" si="177"/>
        <v/>
      </c>
      <c r="BF1083" s="102" t="str">
        <f t="shared" si="182"/>
        <v/>
      </c>
    </row>
    <row r="1084" spans="48:58" hidden="1" x14ac:dyDescent="0.25">
      <c r="AV1084">
        <v>1054</v>
      </c>
      <c r="AW1084" s="94" t="str">
        <f t="shared" ca="1" si="174"/>
        <v/>
      </c>
      <c r="AX1084" s="95" t="str">
        <f t="shared" si="178"/>
        <v/>
      </c>
      <c r="AY1084" s="98" t="str">
        <f t="shared" ca="1" si="175"/>
        <v/>
      </c>
      <c r="AZ1084" s="95" t="str">
        <f t="shared" si="179"/>
        <v/>
      </c>
      <c r="BA1084" s="99" t="str">
        <f t="shared" ca="1" si="176"/>
        <v/>
      </c>
      <c r="BB1084" s="97" t="str">
        <f t="shared" si="180"/>
        <v/>
      </c>
      <c r="BC1084" s="101" t="str">
        <f t="shared" ca="1" si="183"/>
        <v/>
      </c>
      <c r="BD1084" s="100" t="str">
        <f t="shared" si="181"/>
        <v/>
      </c>
      <c r="BE1084" s="103" t="str">
        <f t="shared" ca="1" si="177"/>
        <v/>
      </c>
      <c r="BF1084" s="102" t="str">
        <f t="shared" si="182"/>
        <v/>
      </c>
    </row>
    <row r="1085" spans="48:58" hidden="1" x14ac:dyDescent="0.25">
      <c r="AV1085">
        <v>1055</v>
      </c>
      <c r="AW1085" s="94" t="str">
        <f t="shared" ca="1" si="174"/>
        <v/>
      </c>
      <c r="AX1085" s="95" t="str">
        <f t="shared" si="178"/>
        <v/>
      </c>
      <c r="AY1085" s="98" t="str">
        <f t="shared" ca="1" si="175"/>
        <v/>
      </c>
      <c r="AZ1085" s="95" t="str">
        <f t="shared" si="179"/>
        <v/>
      </c>
      <c r="BA1085" s="99" t="str">
        <f t="shared" ca="1" si="176"/>
        <v/>
      </c>
      <c r="BB1085" s="97" t="str">
        <f t="shared" si="180"/>
        <v/>
      </c>
      <c r="BC1085" s="101" t="str">
        <f t="shared" ca="1" si="183"/>
        <v/>
      </c>
      <c r="BD1085" s="100" t="str">
        <f t="shared" si="181"/>
        <v/>
      </c>
      <c r="BE1085" s="103" t="str">
        <f t="shared" ca="1" si="177"/>
        <v/>
      </c>
      <c r="BF1085" s="102" t="str">
        <f t="shared" si="182"/>
        <v/>
      </c>
    </row>
    <row r="1086" spans="48:58" hidden="1" x14ac:dyDescent="0.25">
      <c r="AV1086">
        <v>1056</v>
      </c>
      <c r="AW1086" s="94" t="str">
        <f t="shared" ca="1" si="174"/>
        <v/>
      </c>
      <c r="AX1086" s="95" t="str">
        <f t="shared" si="178"/>
        <v/>
      </c>
      <c r="AY1086" s="98" t="str">
        <f t="shared" ca="1" si="175"/>
        <v/>
      </c>
      <c r="AZ1086" s="95" t="str">
        <f t="shared" si="179"/>
        <v/>
      </c>
      <c r="BA1086" s="99" t="str">
        <f t="shared" ca="1" si="176"/>
        <v/>
      </c>
      <c r="BB1086" s="97" t="str">
        <f t="shared" si="180"/>
        <v/>
      </c>
      <c r="BC1086" s="101" t="str">
        <f t="shared" ca="1" si="183"/>
        <v/>
      </c>
      <c r="BD1086" s="100" t="str">
        <f t="shared" si="181"/>
        <v/>
      </c>
      <c r="BE1086" s="103" t="str">
        <f t="shared" ca="1" si="177"/>
        <v/>
      </c>
      <c r="BF1086" s="102" t="str">
        <f t="shared" si="182"/>
        <v/>
      </c>
    </row>
    <row r="1087" spans="48:58" hidden="1" x14ac:dyDescent="0.25">
      <c r="AV1087">
        <v>1057</v>
      </c>
      <c r="AW1087" s="94" t="str">
        <f t="shared" ca="1" si="174"/>
        <v/>
      </c>
      <c r="AX1087" s="95" t="str">
        <f t="shared" si="178"/>
        <v/>
      </c>
      <c r="AY1087" s="98" t="str">
        <f t="shared" ca="1" si="175"/>
        <v/>
      </c>
      <c r="AZ1087" s="95" t="str">
        <f t="shared" si="179"/>
        <v/>
      </c>
      <c r="BA1087" s="99" t="str">
        <f t="shared" ca="1" si="176"/>
        <v/>
      </c>
      <c r="BB1087" s="97" t="str">
        <f t="shared" si="180"/>
        <v/>
      </c>
      <c r="BC1087" s="101" t="str">
        <f t="shared" ca="1" si="183"/>
        <v/>
      </c>
      <c r="BD1087" s="100" t="str">
        <f t="shared" si="181"/>
        <v/>
      </c>
      <c r="BE1087" s="103" t="str">
        <f t="shared" ca="1" si="177"/>
        <v/>
      </c>
      <c r="BF1087" s="102" t="str">
        <f t="shared" si="182"/>
        <v/>
      </c>
    </row>
    <row r="1088" spans="48:58" hidden="1" x14ac:dyDescent="0.25">
      <c r="AV1088">
        <v>1058</v>
      </c>
      <c r="AW1088" s="94" t="str">
        <f t="shared" ca="1" si="174"/>
        <v/>
      </c>
      <c r="AX1088" s="95" t="str">
        <f t="shared" si="178"/>
        <v/>
      </c>
      <c r="AY1088" s="98" t="str">
        <f t="shared" ca="1" si="175"/>
        <v/>
      </c>
      <c r="AZ1088" s="95" t="str">
        <f t="shared" si="179"/>
        <v/>
      </c>
      <c r="BA1088" s="99" t="str">
        <f t="shared" ca="1" si="176"/>
        <v/>
      </c>
      <c r="BB1088" s="97" t="str">
        <f t="shared" si="180"/>
        <v/>
      </c>
      <c r="BC1088" s="101" t="str">
        <f t="shared" ca="1" si="183"/>
        <v/>
      </c>
      <c r="BD1088" s="100" t="str">
        <f t="shared" si="181"/>
        <v/>
      </c>
      <c r="BE1088" s="103" t="str">
        <f t="shared" ca="1" si="177"/>
        <v/>
      </c>
      <c r="BF1088" s="102" t="str">
        <f t="shared" si="182"/>
        <v/>
      </c>
    </row>
    <row r="1089" spans="48:58" hidden="1" x14ac:dyDescent="0.25">
      <c r="AV1089">
        <v>1059</v>
      </c>
      <c r="AW1089" s="94" t="str">
        <f t="shared" ca="1" si="174"/>
        <v/>
      </c>
      <c r="AX1089" s="95" t="str">
        <f t="shared" si="178"/>
        <v/>
      </c>
      <c r="AY1089" s="98" t="str">
        <f t="shared" ca="1" si="175"/>
        <v/>
      </c>
      <c r="AZ1089" s="95" t="str">
        <f t="shared" si="179"/>
        <v/>
      </c>
      <c r="BA1089" s="99" t="str">
        <f t="shared" ca="1" si="176"/>
        <v/>
      </c>
      <c r="BB1089" s="97" t="str">
        <f t="shared" si="180"/>
        <v/>
      </c>
      <c r="BC1089" s="101" t="str">
        <f t="shared" ca="1" si="183"/>
        <v/>
      </c>
      <c r="BD1089" s="100" t="str">
        <f t="shared" si="181"/>
        <v/>
      </c>
      <c r="BE1089" s="103" t="str">
        <f t="shared" ca="1" si="177"/>
        <v/>
      </c>
      <c r="BF1089" s="102" t="str">
        <f t="shared" si="182"/>
        <v/>
      </c>
    </row>
    <row r="1090" spans="48:58" hidden="1" x14ac:dyDescent="0.25">
      <c r="AV1090">
        <v>1060</v>
      </c>
      <c r="AW1090" s="94" t="str">
        <f t="shared" ca="1" si="174"/>
        <v/>
      </c>
      <c r="AX1090" s="95" t="str">
        <f t="shared" si="178"/>
        <v/>
      </c>
      <c r="AY1090" s="98" t="str">
        <f t="shared" ca="1" si="175"/>
        <v/>
      </c>
      <c r="AZ1090" s="95" t="str">
        <f t="shared" si="179"/>
        <v/>
      </c>
      <c r="BA1090" s="99" t="str">
        <f t="shared" ca="1" si="176"/>
        <v/>
      </c>
      <c r="BB1090" s="97" t="str">
        <f t="shared" si="180"/>
        <v/>
      </c>
      <c r="BC1090" s="101" t="str">
        <f t="shared" ca="1" si="183"/>
        <v/>
      </c>
      <c r="BD1090" s="100" t="str">
        <f t="shared" si="181"/>
        <v/>
      </c>
      <c r="BE1090" s="103" t="str">
        <f t="shared" ca="1" si="177"/>
        <v/>
      </c>
      <c r="BF1090" s="102" t="str">
        <f t="shared" si="182"/>
        <v/>
      </c>
    </row>
    <row r="1091" spans="48:58" hidden="1" x14ac:dyDescent="0.25">
      <c r="AV1091">
        <v>1061</v>
      </c>
      <c r="AW1091" s="94" t="str">
        <f t="shared" ca="1" si="174"/>
        <v/>
      </c>
      <c r="AX1091" s="95" t="str">
        <f t="shared" si="178"/>
        <v/>
      </c>
      <c r="AY1091" s="98" t="str">
        <f t="shared" ca="1" si="175"/>
        <v/>
      </c>
      <c r="AZ1091" s="95" t="str">
        <f t="shared" si="179"/>
        <v/>
      </c>
      <c r="BA1091" s="99" t="str">
        <f t="shared" ca="1" si="176"/>
        <v/>
      </c>
      <c r="BB1091" s="97" t="str">
        <f t="shared" si="180"/>
        <v/>
      </c>
      <c r="BC1091" s="101" t="str">
        <f t="shared" ca="1" si="183"/>
        <v/>
      </c>
      <c r="BD1091" s="100" t="str">
        <f t="shared" si="181"/>
        <v/>
      </c>
      <c r="BE1091" s="103" t="str">
        <f t="shared" ca="1" si="177"/>
        <v/>
      </c>
      <c r="BF1091" s="102" t="str">
        <f t="shared" si="182"/>
        <v/>
      </c>
    </row>
    <row r="1092" spans="48:58" hidden="1" x14ac:dyDescent="0.25">
      <c r="AV1092">
        <v>1062</v>
      </c>
      <c r="AW1092" s="94" t="str">
        <f t="shared" ca="1" si="174"/>
        <v/>
      </c>
      <c r="AX1092" s="95" t="str">
        <f t="shared" si="178"/>
        <v/>
      </c>
      <c r="AY1092" s="98" t="str">
        <f t="shared" ca="1" si="175"/>
        <v/>
      </c>
      <c r="AZ1092" s="95" t="str">
        <f t="shared" si="179"/>
        <v/>
      </c>
      <c r="BA1092" s="99" t="str">
        <f t="shared" ca="1" si="176"/>
        <v/>
      </c>
      <c r="BB1092" s="97" t="str">
        <f t="shared" si="180"/>
        <v/>
      </c>
      <c r="BC1092" s="101" t="str">
        <f t="shared" ca="1" si="183"/>
        <v/>
      </c>
      <c r="BD1092" s="100" t="str">
        <f t="shared" si="181"/>
        <v/>
      </c>
      <c r="BE1092" s="103" t="str">
        <f t="shared" ca="1" si="177"/>
        <v/>
      </c>
      <c r="BF1092" s="102" t="str">
        <f t="shared" si="182"/>
        <v/>
      </c>
    </row>
    <row r="1093" spans="48:58" hidden="1" x14ac:dyDescent="0.25">
      <c r="AV1093">
        <v>1063</v>
      </c>
      <c r="AW1093" s="94" t="str">
        <f t="shared" ca="1" si="174"/>
        <v/>
      </c>
      <c r="AX1093" s="95" t="str">
        <f t="shared" si="178"/>
        <v/>
      </c>
      <c r="AY1093" s="98" t="str">
        <f t="shared" ca="1" si="175"/>
        <v/>
      </c>
      <c r="AZ1093" s="95" t="str">
        <f t="shared" si="179"/>
        <v/>
      </c>
      <c r="BA1093" s="99" t="str">
        <f t="shared" ca="1" si="176"/>
        <v/>
      </c>
      <c r="BB1093" s="97" t="str">
        <f t="shared" si="180"/>
        <v/>
      </c>
      <c r="BC1093" s="101" t="str">
        <f t="shared" ca="1" si="183"/>
        <v/>
      </c>
      <c r="BD1093" s="100" t="str">
        <f t="shared" si="181"/>
        <v/>
      </c>
      <c r="BE1093" s="103" t="str">
        <f t="shared" ca="1" si="177"/>
        <v/>
      </c>
      <c r="BF1093" s="102" t="str">
        <f t="shared" si="182"/>
        <v/>
      </c>
    </row>
    <row r="1094" spans="48:58" hidden="1" x14ac:dyDescent="0.25">
      <c r="AV1094">
        <v>1064</v>
      </c>
      <c r="AW1094" s="94" t="str">
        <f t="shared" ca="1" si="174"/>
        <v/>
      </c>
      <c r="AX1094" s="95" t="str">
        <f t="shared" si="178"/>
        <v/>
      </c>
      <c r="AY1094" s="98" t="str">
        <f t="shared" ca="1" si="175"/>
        <v/>
      </c>
      <c r="AZ1094" s="95" t="str">
        <f t="shared" si="179"/>
        <v/>
      </c>
      <c r="BA1094" s="99" t="str">
        <f t="shared" ca="1" si="176"/>
        <v/>
      </c>
      <c r="BB1094" s="97" t="str">
        <f t="shared" si="180"/>
        <v/>
      </c>
      <c r="BC1094" s="101" t="str">
        <f t="shared" ca="1" si="183"/>
        <v/>
      </c>
      <c r="BD1094" s="100" t="str">
        <f t="shared" si="181"/>
        <v/>
      </c>
      <c r="BE1094" s="103" t="str">
        <f t="shared" ca="1" si="177"/>
        <v/>
      </c>
      <c r="BF1094" s="102" t="str">
        <f t="shared" si="182"/>
        <v/>
      </c>
    </row>
    <row r="1095" spans="48:58" hidden="1" x14ac:dyDescent="0.25">
      <c r="AV1095">
        <v>1065</v>
      </c>
      <c r="AW1095" s="94" t="str">
        <f t="shared" ca="1" si="174"/>
        <v/>
      </c>
      <c r="AX1095" s="95" t="str">
        <f t="shared" si="178"/>
        <v/>
      </c>
      <c r="AY1095" s="98" t="str">
        <f t="shared" ca="1" si="175"/>
        <v/>
      </c>
      <c r="AZ1095" s="95" t="str">
        <f t="shared" si="179"/>
        <v/>
      </c>
      <c r="BA1095" s="99" t="str">
        <f t="shared" ca="1" si="176"/>
        <v/>
      </c>
      <c r="BB1095" s="97" t="str">
        <f t="shared" si="180"/>
        <v/>
      </c>
      <c r="BC1095" s="101" t="str">
        <f t="shared" ca="1" si="183"/>
        <v/>
      </c>
      <c r="BD1095" s="100" t="str">
        <f t="shared" si="181"/>
        <v/>
      </c>
      <c r="BE1095" s="103" t="str">
        <f t="shared" ca="1" si="177"/>
        <v/>
      </c>
      <c r="BF1095" s="102" t="str">
        <f t="shared" si="182"/>
        <v/>
      </c>
    </row>
    <row r="1096" spans="48:58" hidden="1" x14ac:dyDescent="0.25">
      <c r="AV1096">
        <v>1066</v>
      </c>
      <c r="AW1096" s="94" t="str">
        <f t="shared" ca="1" si="174"/>
        <v/>
      </c>
      <c r="AX1096" s="95" t="str">
        <f t="shared" si="178"/>
        <v/>
      </c>
      <c r="AY1096" s="98" t="str">
        <f t="shared" ca="1" si="175"/>
        <v/>
      </c>
      <c r="AZ1096" s="95" t="str">
        <f t="shared" si="179"/>
        <v/>
      </c>
      <c r="BA1096" s="99" t="str">
        <f t="shared" ca="1" si="176"/>
        <v/>
      </c>
      <c r="BB1096" s="97" t="str">
        <f t="shared" si="180"/>
        <v/>
      </c>
      <c r="BC1096" s="101" t="str">
        <f t="shared" ca="1" si="183"/>
        <v/>
      </c>
      <c r="BD1096" s="100" t="str">
        <f t="shared" si="181"/>
        <v/>
      </c>
      <c r="BE1096" s="103" t="str">
        <f t="shared" ca="1" si="177"/>
        <v/>
      </c>
      <c r="BF1096" s="102" t="str">
        <f t="shared" si="182"/>
        <v/>
      </c>
    </row>
    <row r="1097" spans="48:58" hidden="1" x14ac:dyDescent="0.25">
      <c r="AV1097">
        <v>1067</v>
      </c>
      <c r="AW1097" s="94" t="str">
        <f t="shared" ca="1" si="174"/>
        <v/>
      </c>
      <c r="AX1097" s="95" t="str">
        <f t="shared" si="178"/>
        <v/>
      </c>
      <c r="AY1097" s="98" t="str">
        <f t="shared" ca="1" si="175"/>
        <v/>
      </c>
      <c r="AZ1097" s="95" t="str">
        <f t="shared" si="179"/>
        <v/>
      </c>
      <c r="BA1097" s="99" t="str">
        <f t="shared" ca="1" si="176"/>
        <v/>
      </c>
      <c r="BB1097" s="97" t="str">
        <f t="shared" si="180"/>
        <v/>
      </c>
      <c r="BC1097" s="101" t="str">
        <f t="shared" ca="1" si="183"/>
        <v/>
      </c>
      <c r="BD1097" s="100" t="str">
        <f t="shared" si="181"/>
        <v/>
      </c>
      <c r="BE1097" s="103" t="str">
        <f t="shared" ca="1" si="177"/>
        <v/>
      </c>
      <c r="BF1097" s="102" t="str">
        <f t="shared" si="182"/>
        <v/>
      </c>
    </row>
    <row r="1098" spans="48:58" hidden="1" x14ac:dyDescent="0.25">
      <c r="AV1098">
        <v>1068</v>
      </c>
      <c r="AW1098" s="94" t="str">
        <f t="shared" ca="1" si="174"/>
        <v/>
      </c>
      <c r="AX1098" s="95" t="str">
        <f t="shared" si="178"/>
        <v/>
      </c>
      <c r="AY1098" s="98" t="str">
        <f t="shared" ca="1" si="175"/>
        <v/>
      </c>
      <c r="AZ1098" s="95" t="str">
        <f t="shared" si="179"/>
        <v/>
      </c>
      <c r="BA1098" s="99" t="str">
        <f t="shared" ca="1" si="176"/>
        <v/>
      </c>
      <c r="BB1098" s="97" t="str">
        <f t="shared" si="180"/>
        <v/>
      </c>
      <c r="BC1098" s="101" t="str">
        <f t="shared" ca="1" si="183"/>
        <v/>
      </c>
      <c r="BD1098" s="100" t="str">
        <f t="shared" si="181"/>
        <v/>
      </c>
      <c r="BE1098" s="103" t="str">
        <f t="shared" ca="1" si="177"/>
        <v/>
      </c>
      <c r="BF1098" s="102" t="str">
        <f t="shared" si="182"/>
        <v/>
      </c>
    </row>
    <row r="1099" spans="48:58" hidden="1" x14ac:dyDescent="0.25">
      <c r="AV1099">
        <v>1069</v>
      </c>
      <c r="AW1099" s="94" t="str">
        <f t="shared" ca="1" si="174"/>
        <v/>
      </c>
      <c r="AX1099" s="95" t="str">
        <f t="shared" si="178"/>
        <v/>
      </c>
      <c r="AY1099" s="98" t="str">
        <f t="shared" ca="1" si="175"/>
        <v/>
      </c>
      <c r="AZ1099" s="95" t="str">
        <f t="shared" si="179"/>
        <v/>
      </c>
      <c r="BA1099" s="99" t="str">
        <f t="shared" ca="1" si="176"/>
        <v/>
      </c>
      <c r="BB1099" s="97" t="str">
        <f t="shared" si="180"/>
        <v/>
      </c>
      <c r="BC1099" s="101" t="str">
        <f t="shared" ca="1" si="183"/>
        <v/>
      </c>
      <c r="BD1099" s="100" t="str">
        <f t="shared" si="181"/>
        <v/>
      </c>
      <c r="BE1099" s="103" t="str">
        <f t="shared" ca="1" si="177"/>
        <v/>
      </c>
      <c r="BF1099" s="102" t="str">
        <f t="shared" si="182"/>
        <v/>
      </c>
    </row>
    <row r="1100" spans="48:58" hidden="1" x14ac:dyDescent="0.25">
      <c r="AV1100">
        <v>1070</v>
      </c>
      <c r="AW1100" s="94" t="str">
        <f t="shared" ca="1" si="174"/>
        <v/>
      </c>
      <c r="AX1100" s="95" t="str">
        <f t="shared" si="178"/>
        <v/>
      </c>
      <c r="AY1100" s="98" t="str">
        <f t="shared" ca="1" si="175"/>
        <v/>
      </c>
      <c r="AZ1100" s="95" t="str">
        <f t="shared" si="179"/>
        <v/>
      </c>
      <c r="BA1100" s="99" t="str">
        <f t="shared" ca="1" si="176"/>
        <v/>
      </c>
      <c r="BB1100" s="97" t="str">
        <f t="shared" si="180"/>
        <v/>
      </c>
      <c r="BC1100" s="101" t="str">
        <f t="shared" ca="1" si="183"/>
        <v/>
      </c>
      <c r="BD1100" s="100" t="str">
        <f t="shared" si="181"/>
        <v/>
      </c>
      <c r="BE1100" s="103" t="str">
        <f t="shared" ca="1" si="177"/>
        <v/>
      </c>
      <c r="BF1100" s="102" t="str">
        <f t="shared" si="182"/>
        <v/>
      </c>
    </row>
    <row r="1101" spans="48:58" hidden="1" x14ac:dyDescent="0.25">
      <c r="AV1101">
        <v>1071</v>
      </c>
      <c r="AW1101" s="94" t="str">
        <f t="shared" ca="1" si="174"/>
        <v/>
      </c>
      <c r="AX1101" s="95" t="str">
        <f t="shared" si="178"/>
        <v/>
      </c>
      <c r="AY1101" s="98" t="str">
        <f t="shared" ca="1" si="175"/>
        <v/>
      </c>
      <c r="AZ1101" s="95" t="str">
        <f t="shared" si="179"/>
        <v/>
      </c>
      <c r="BA1101" s="99" t="str">
        <f t="shared" ca="1" si="176"/>
        <v/>
      </c>
      <c r="BB1101" s="97" t="str">
        <f t="shared" si="180"/>
        <v/>
      </c>
      <c r="BC1101" s="101" t="str">
        <f t="shared" ca="1" si="183"/>
        <v/>
      </c>
      <c r="BD1101" s="100" t="str">
        <f t="shared" si="181"/>
        <v/>
      </c>
      <c r="BE1101" s="103" t="str">
        <f t="shared" ca="1" si="177"/>
        <v/>
      </c>
      <c r="BF1101" s="102" t="str">
        <f t="shared" si="182"/>
        <v/>
      </c>
    </row>
    <row r="1102" spans="48:58" hidden="1" x14ac:dyDescent="0.25">
      <c r="AV1102">
        <v>1072</v>
      </c>
      <c r="AW1102" s="94" t="str">
        <f t="shared" ca="1" si="174"/>
        <v/>
      </c>
      <c r="AX1102" s="95" t="str">
        <f t="shared" si="178"/>
        <v/>
      </c>
      <c r="AY1102" s="98" t="str">
        <f t="shared" ca="1" si="175"/>
        <v/>
      </c>
      <c r="AZ1102" s="95" t="str">
        <f t="shared" si="179"/>
        <v/>
      </c>
      <c r="BA1102" s="99" t="str">
        <f t="shared" ca="1" si="176"/>
        <v/>
      </c>
      <c r="BB1102" s="97" t="str">
        <f t="shared" si="180"/>
        <v/>
      </c>
      <c r="BC1102" s="101" t="str">
        <f t="shared" ca="1" si="183"/>
        <v/>
      </c>
      <c r="BD1102" s="100" t="str">
        <f t="shared" si="181"/>
        <v/>
      </c>
      <c r="BE1102" s="103" t="str">
        <f t="shared" ca="1" si="177"/>
        <v/>
      </c>
      <c r="BF1102" s="102" t="str">
        <f t="shared" si="182"/>
        <v/>
      </c>
    </row>
    <row r="1103" spans="48:58" hidden="1" x14ac:dyDescent="0.25">
      <c r="AV1103">
        <v>1073</v>
      </c>
      <c r="AW1103" s="94" t="str">
        <f t="shared" ca="1" si="174"/>
        <v/>
      </c>
      <c r="AX1103" s="95" t="str">
        <f t="shared" si="178"/>
        <v/>
      </c>
      <c r="AY1103" s="98" t="str">
        <f t="shared" ca="1" si="175"/>
        <v/>
      </c>
      <c r="AZ1103" s="95" t="str">
        <f t="shared" si="179"/>
        <v/>
      </c>
      <c r="BA1103" s="99" t="str">
        <f t="shared" ca="1" si="176"/>
        <v/>
      </c>
      <c r="BB1103" s="97" t="str">
        <f t="shared" si="180"/>
        <v/>
      </c>
      <c r="BC1103" s="101" t="str">
        <f t="shared" ca="1" si="183"/>
        <v/>
      </c>
      <c r="BD1103" s="100" t="str">
        <f t="shared" si="181"/>
        <v/>
      </c>
      <c r="BE1103" s="103" t="str">
        <f t="shared" ca="1" si="177"/>
        <v/>
      </c>
      <c r="BF1103" s="102" t="str">
        <f t="shared" si="182"/>
        <v/>
      </c>
    </row>
    <row r="1104" spans="48:58" hidden="1" x14ac:dyDescent="0.25">
      <c r="AV1104">
        <v>1074</v>
      </c>
      <c r="AW1104" s="94" t="str">
        <f t="shared" ca="1" si="174"/>
        <v/>
      </c>
      <c r="AX1104" s="95" t="str">
        <f t="shared" si="178"/>
        <v/>
      </c>
      <c r="AY1104" s="98" t="str">
        <f t="shared" ca="1" si="175"/>
        <v/>
      </c>
      <c r="AZ1104" s="95" t="str">
        <f t="shared" si="179"/>
        <v/>
      </c>
      <c r="BA1104" s="99" t="str">
        <f t="shared" ca="1" si="176"/>
        <v/>
      </c>
      <c r="BB1104" s="97" t="str">
        <f t="shared" si="180"/>
        <v/>
      </c>
      <c r="BC1104" s="101" t="str">
        <f t="shared" ca="1" si="183"/>
        <v/>
      </c>
      <c r="BD1104" s="100" t="str">
        <f t="shared" si="181"/>
        <v/>
      </c>
      <c r="BE1104" s="103" t="str">
        <f t="shared" ca="1" si="177"/>
        <v/>
      </c>
      <c r="BF1104" s="102" t="str">
        <f t="shared" si="182"/>
        <v/>
      </c>
    </row>
    <row r="1105" spans="48:58" hidden="1" x14ac:dyDescent="0.25">
      <c r="AV1105">
        <v>1075</v>
      </c>
      <c r="AW1105" s="94" t="str">
        <f t="shared" ca="1" si="174"/>
        <v/>
      </c>
      <c r="AX1105" s="95" t="str">
        <f t="shared" si="178"/>
        <v/>
      </c>
      <c r="AY1105" s="98" t="str">
        <f t="shared" ca="1" si="175"/>
        <v/>
      </c>
      <c r="AZ1105" s="95" t="str">
        <f t="shared" si="179"/>
        <v/>
      </c>
      <c r="BA1105" s="99" t="str">
        <f t="shared" ca="1" si="176"/>
        <v/>
      </c>
      <c r="BB1105" s="97" t="str">
        <f t="shared" si="180"/>
        <v/>
      </c>
      <c r="BC1105" s="101" t="str">
        <f t="shared" ca="1" si="183"/>
        <v/>
      </c>
      <c r="BD1105" s="100" t="str">
        <f t="shared" si="181"/>
        <v/>
      </c>
      <c r="BE1105" s="103" t="str">
        <f t="shared" ca="1" si="177"/>
        <v/>
      </c>
      <c r="BF1105" s="102" t="str">
        <f t="shared" si="182"/>
        <v/>
      </c>
    </row>
    <row r="1106" spans="48:58" hidden="1" x14ac:dyDescent="0.25">
      <c r="AV1106">
        <v>1076</v>
      </c>
      <c r="AW1106" s="94" t="str">
        <f t="shared" ca="1" si="174"/>
        <v/>
      </c>
      <c r="AX1106" s="95" t="str">
        <f t="shared" si="178"/>
        <v/>
      </c>
      <c r="AY1106" s="98" t="str">
        <f t="shared" ca="1" si="175"/>
        <v/>
      </c>
      <c r="AZ1106" s="95" t="str">
        <f t="shared" si="179"/>
        <v/>
      </c>
      <c r="BA1106" s="99" t="str">
        <f t="shared" ca="1" si="176"/>
        <v/>
      </c>
      <c r="BB1106" s="97" t="str">
        <f t="shared" si="180"/>
        <v/>
      </c>
      <c r="BC1106" s="101" t="str">
        <f t="shared" ca="1" si="183"/>
        <v/>
      </c>
      <c r="BD1106" s="100" t="str">
        <f t="shared" si="181"/>
        <v/>
      </c>
      <c r="BE1106" s="103" t="str">
        <f t="shared" ca="1" si="177"/>
        <v/>
      </c>
      <c r="BF1106" s="102" t="str">
        <f t="shared" si="182"/>
        <v/>
      </c>
    </row>
    <row r="1107" spans="48:58" hidden="1" x14ac:dyDescent="0.25">
      <c r="AV1107">
        <v>1077</v>
      </c>
      <c r="AW1107" s="94" t="str">
        <f t="shared" ca="1" si="174"/>
        <v/>
      </c>
      <c r="AX1107" s="95" t="str">
        <f t="shared" si="178"/>
        <v/>
      </c>
      <c r="AY1107" s="98" t="str">
        <f t="shared" ca="1" si="175"/>
        <v/>
      </c>
      <c r="AZ1107" s="95" t="str">
        <f t="shared" si="179"/>
        <v/>
      </c>
      <c r="BA1107" s="99" t="str">
        <f t="shared" ca="1" si="176"/>
        <v/>
      </c>
      <c r="BB1107" s="97" t="str">
        <f t="shared" si="180"/>
        <v/>
      </c>
      <c r="BC1107" s="101" t="str">
        <f t="shared" ca="1" si="183"/>
        <v/>
      </c>
      <c r="BD1107" s="100" t="str">
        <f t="shared" si="181"/>
        <v/>
      </c>
      <c r="BE1107" s="103" t="str">
        <f t="shared" ca="1" si="177"/>
        <v/>
      </c>
      <c r="BF1107" s="102" t="str">
        <f t="shared" si="182"/>
        <v/>
      </c>
    </row>
    <row r="1108" spans="48:58" hidden="1" x14ac:dyDescent="0.25">
      <c r="AV1108">
        <v>1078</v>
      </c>
      <c r="AW1108" s="94" t="str">
        <f t="shared" ca="1" si="174"/>
        <v/>
      </c>
      <c r="AX1108" s="95" t="str">
        <f t="shared" si="178"/>
        <v/>
      </c>
      <c r="AY1108" s="98" t="str">
        <f t="shared" ca="1" si="175"/>
        <v/>
      </c>
      <c r="AZ1108" s="95" t="str">
        <f t="shared" si="179"/>
        <v/>
      </c>
      <c r="BA1108" s="99" t="str">
        <f t="shared" ca="1" si="176"/>
        <v/>
      </c>
      <c r="BB1108" s="97" t="str">
        <f t="shared" si="180"/>
        <v/>
      </c>
      <c r="BC1108" s="101" t="str">
        <f t="shared" ca="1" si="183"/>
        <v/>
      </c>
      <c r="BD1108" s="100" t="str">
        <f t="shared" si="181"/>
        <v/>
      </c>
      <c r="BE1108" s="103" t="str">
        <f t="shared" ca="1" si="177"/>
        <v/>
      </c>
      <c r="BF1108" s="102" t="str">
        <f t="shared" si="182"/>
        <v/>
      </c>
    </row>
    <row r="1109" spans="48:58" hidden="1" x14ac:dyDescent="0.25">
      <c r="AV1109">
        <v>1079</v>
      </c>
      <c r="AW1109" s="94" t="str">
        <f t="shared" ca="1" si="174"/>
        <v/>
      </c>
      <c r="AX1109" s="95" t="str">
        <f t="shared" si="178"/>
        <v/>
      </c>
      <c r="AY1109" s="98" t="str">
        <f t="shared" ca="1" si="175"/>
        <v/>
      </c>
      <c r="AZ1109" s="95" t="str">
        <f t="shared" si="179"/>
        <v/>
      </c>
      <c r="BA1109" s="99" t="str">
        <f t="shared" ca="1" si="176"/>
        <v/>
      </c>
      <c r="BB1109" s="97" t="str">
        <f t="shared" si="180"/>
        <v/>
      </c>
      <c r="BC1109" s="101" t="str">
        <f t="shared" ca="1" si="183"/>
        <v/>
      </c>
      <c r="BD1109" s="100" t="str">
        <f t="shared" si="181"/>
        <v/>
      </c>
      <c r="BE1109" s="103" t="str">
        <f t="shared" ca="1" si="177"/>
        <v/>
      </c>
      <c r="BF1109" s="102" t="str">
        <f t="shared" si="182"/>
        <v/>
      </c>
    </row>
    <row r="1110" spans="48:58" hidden="1" x14ac:dyDescent="0.25">
      <c r="AV1110">
        <v>1080</v>
      </c>
      <c r="AW1110" s="94" t="str">
        <f t="shared" ca="1" si="174"/>
        <v/>
      </c>
      <c r="AX1110" s="95" t="str">
        <f t="shared" si="178"/>
        <v/>
      </c>
      <c r="AY1110" s="98" t="str">
        <f t="shared" ca="1" si="175"/>
        <v/>
      </c>
      <c r="AZ1110" s="95" t="str">
        <f t="shared" si="179"/>
        <v/>
      </c>
      <c r="BA1110" s="99" t="str">
        <f t="shared" ca="1" si="176"/>
        <v/>
      </c>
      <c r="BB1110" s="97" t="str">
        <f t="shared" si="180"/>
        <v/>
      </c>
      <c r="BC1110" s="101" t="str">
        <f t="shared" ca="1" si="183"/>
        <v/>
      </c>
      <c r="BD1110" s="100" t="str">
        <f t="shared" si="181"/>
        <v/>
      </c>
      <c r="BE1110" s="103" t="str">
        <f t="shared" ca="1" si="177"/>
        <v/>
      </c>
      <c r="BF1110" s="102" t="str">
        <f t="shared" si="182"/>
        <v/>
      </c>
    </row>
    <row r="1111" spans="48:58" hidden="1" x14ac:dyDescent="0.25">
      <c r="AV1111">
        <v>1081</v>
      </c>
      <c r="AW1111" s="94" t="str">
        <f t="shared" ca="1" si="174"/>
        <v/>
      </c>
      <c r="AX1111" s="95" t="str">
        <f t="shared" si="178"/>
        <v/>
      </c>
      <c r="AY1111" s="98" t="str">
        <f t="shared" ca="1" si="175"/>
        <v/>
      </c>
      <c r="AZ1111" s="95" t="str">
        <f t="shared" si="179"/>
        <v/>
      </c>
      <c r="BA1111" s="99" t="str">
        <f t="shared" ca="1" si="176"/>
        <v/>
      </c>
      <c r="BB1111" s="97" t="str">
        <f t="shared" si="180"/>
        <v/>
      </c>
      <c r="BC1111" s="101" t="str">
        <f t="shared" ca="1" si="183"/>
        <v/>
      </c>
      <c r="BD1111" s="100" t="str">
        <f t="shared" si="181"/>
        <v/>
      </c>
      <c r="BE1111" s="103" t="str">
        <f t="shared" ca="1" si="177"/>
        <v/>
      </c>
      <c r="BF1111" s="102" t="str">
        <f t="shared" si="182"/>
        <v/>
      </c>
    </row>
    <row r="1112" spans="48:58" hidden="1" x14ac:dyDescent="0.25">
      <c r="AV1112">
        <v>1082</v>
      </c>
      <c r="AW1112" s="94" t="str">
        <f t="shared" ca="1" si="174"/>
        <v/>
      </c>
      <c r="AX1112" s="95" t="str">
        <f t="shared" si="178"/>
        <v/>
      </c>
      <c r="AY1112" s="98" t="str">
        <f t="shared" ca="1" si="175"/>
        <v/>
      </c>
      <c r="AZ1112" s="95" t="str">
        <f t="shared" si="179"/>
        <v/>
      </c>
      <c r="BA1112" s="99" t="str">
        <f t="shared" ca="1" si="176"/>
        <v/>
      </c>
      <c r="BB1112" s="97" t="str">
        <f t="shared" si="180"/>
        <v/>
      </c>
      <c r="BC1112" s="101" t="str">
        <f t="shared" ca="1" si="183"/>
        <v/>
      </c>
      <c r="BD1112" s="100" t="str">
        <f t="shared" si="181"/>
        <v/>
      </c>
      <c r="BE1112" s="103" t="str">
        <f t="shared" ca="1" si="177"/>
        <v/>
      </c>
      <c r="BF1112" s="102" t="str">
        <f t="shared" si="182"/>
        <v/>
      </c>
    </row>
    <row r="1113" spans="48:58" hidden="1" x14ac:dyDescent="0.25">
      <c r="AV1113">
        <v>1083</v>
      </c>
      <c r="AW1113" s="94" t="str">
        <f t="shared" ca="1" si="174"/>
        <v/>
      </c>
      <c r="AX1113" s="95" t="str">
        <f t="shared" si="178"/>
        <v/>
      </c>
      <c r="AY1113" s="98" t="str">
        <f t="shared" ca="1" si="175"/>
        <v/>
      </c>
      <c r="AZ1113" s="95" t="str">
        <f t="shared" si="179"/>
        <v/>
      </c>
      <c r="BA1113" s="99" t="str">
        <f t="shared" ca="1" si="176"/>
        <v/>
      </c>
      <c r="BB1113" s="97" t="str">
        <f t="shared" si="180"/>
        <v/>
      </c>
      <c r="BC1113" s="101" t="str">
        <f t="shared" ca="1" si="183"/>
        <v/>
      </c>
      <c r="BD1113" s="100" t="str">
        <f t="shared" si="181"/>
        <v/>
      </c>
      <c r="BE1113" s="103" t="str">
        <f t="shared" ca="1" si="177"/>
        <v/>
      </c>
      <c r="BF1113" s="102" t="str">
        <f t="shared" si="182"/>
        <v/>
      </c>
    </row>
    <row r="1114" spans="48:58" hidden="1" x14ac:dyDescent="0.25">
      <c r="AV1114">
        <v>1084</v>
      </c>
      <c r="AW1114" s="94" t="str">
        <f t="shared" ca="1" si="174"/>
        <v/>
      </c>
      <c r="AX1114" s="95" t="str">
        <f t="shared" si="178"/>
        <v/>
      </c>
      <c r="AY1114" s="98" t="str">
        <f t="shared" ca="1" si="175"/>
        <v/>
      </c>
      <c r="AZ1114" s="95" t="str">
        <f t="shared" si="179"/>
        <v/>
      </c>
      <c r="BA1114" s="99" t="str">
        <f t="shared" ca="1" si="176"/>
        <v/>
      </c>
      <c r="BB1114" s="97" t="str">
        <f t="shared" si="180"/>
        <v/>
      </c>
      <c r="BC1114" s="101" t="str">
        <f t="shared" ca="1" si="183"/>
        <v/>
      </c>
      <c r="BD1114" s="100" t="str">
        <f t="shared" si="181"/>
        <v/>
      </c>
      <c r="BE1114" s="103" t="str">
        <f t="shared" ca="1" si="177"/>
        <v/>
      </c>
      <c r="BF1114" s="102" t="str">
        <f t="shared" si="182"/>
        <v/>
      </c>
    </row>
    <row r="1115" spans="48:58" hidden="1" x14ac:dyDescent="0.25">
      <c r="AV1115">
        <v>1085</v>
      </c>
      <c r="AW1115" s="94" t="str">
        <f t="shared" ca="1" si="174"/>
        <v/>
      </c>
      <c r="AX1115" s="95" t="str">
        <f t="shared" si="178"/>
        <v/>
      </c>
      <c r="AY1115" s="98" t="str">
        <f t="shared" ca="1" si="175"/>
        <v/>
      </c>
      <c r="AZ1115" s="95" t="str">
        <f t="shared" si="179"/>
        <v/>
      </c>
      <c r="BA1115" s="99" t="str">
        <f t="shared" ca="1" si="176"/>
        <v/>
      </c>
      <c r="BB1115" s="97" t="str">
        <f t="shared" si="180"/>
        <v/>
      </c>
      <c r="BC1115" s="101" t="str">
        <f t="shared" ca="1" si="183"/>
        <v/>
      </c>
      <c r="BD1115" s="100" t="str">
        <f t="shared" si="181"/>
        <v/>
      </c>
      <c r="BE1115" s="103" t="str">
        <f t="shared" ca="1" si="177"/>
        <v/>
      </c>
      <c r="BF1115" s="102" t="str">
        <f t="shared" si="182"/>
        <v/>
      </c>
    </row>
    <row r="1116" spans="48:58" hidden="1" x14ac:dyDescent="0.25">
      <c r="AV1116">
        <v>1086</v>
      </c>
      <c r="AW1116" s="94" t="str">
        <f t="shared" ca="1" si="174"/>
        <v/>
      </c>
      <c r="AX1116" s="95" t="str">
        <f t="shared" si="178"/>
        <v/>
      </c>
      <c r="AY1116" s="98" t="str">
        <f t="shared" ca="1" si="175"/>
        <v/>
      </c>
      <c r="AZ1116" s="95" t="str">
        <f t="shared" si="179"/>
        <v/>
      </c>
      <c r="BA1116" s="99" t="str">
        <f t="shared" ca="1" si="176"/>
        <v/>
      </c>
      <c r="BB1116" s="97" t="str">
        <f t="shared" si="180"/>
        <v/>
      </c>
      <c r="BC1116" s="101" t="str">
        <f t="shared" ca="1" si="183"/>
        <v/>
      </c>
      <c r="BD1116" s="100" t="str">
        <f t="shared" si="181"/>
        <v/>
      </c>
      <c r="BE1116" s="103" t="str">
        <f t="shared" ca="1" si="177"/>
        <v/>
      </c>
      <c r="BF1116" s="102" t="str">
        <f t="shared" si="182"/>
        <v/>
      </c>
    </row>
    <row r="1117" spans="48:58" hidden="1" x14ac:dyDescent="0.25">
      <c r="AV1117">
        <v>1087</v>
      </c>
      <c r="AW1117" s="94" t="str">
        <f t="shared" ca="1" si="174"/>
        <v/>
      </c>
      <c r="AX1117" s="95" t="str">
        <f t="shared" si="178"/>
        <v/>
      </c>
      <c r="AY1117" s="98" t="str">
        <f t="shared" ca="1" si="175"/>
        <v/>
      </c>
      <c r="AZ1117" s="95" t="str">
        <f t="shared" si="179"/>
        <v/>
      </c>
      <c r="BA1117" s="99" t="str">
        <f t="shared" ca="1" si="176"/>
        <v/>
      </c>
      <c r="BB1117" s="97" t="str">
        <f t="shared" si="180"/>
        <v/>
      </c>
      <c r="BC1117" s="101" t="str">
        <f t="shared" ca="1" si="183"/>
        <v/>
      </c>
      <c r="BD1117" s="100" t="str">
        <f t="shared" si="181"/>
        <v/>
      </c>
      <c r="BE1117" s="103" t="str">
        <f t="shared" ca="1" si="177"/>
        <v/>
      </c>
      <c r="BF1117" s="102" t="str">
        <f t="shared" si="182"/>
        <v/>
      </c>
    </row>
    <row r="1118" spans="48:58" hidden="1" x14ac:dyDescent="0.25">
      <c r="AV1118">
        <v>1088</v>
      </c>
      <c r="AW1118" s="94" t="str">
        <f t="shared" ca="1" si="174"/>
        <v/>
      </c>
      <c r="AX1118" s="95" t="str">
        <f t="shared" si="178"/>
        <v/>
      </c>
      <c r="AY1118" s="98" t="str">
        <f t="shared" ca="1" si="175"/>
        <v/>
      </c>
      <c r="AZ1118" s="95" t="str">
        <f t="shared" si="179"/>
        <v/>
      </c>
      <c r="BA1118" s="99" t="str">
        <f t="shared" ca="1" si="176"/>
        <v/>
      </c>
      <c r="BB1118" s="97" t="str">
        <f t="shared" si="180"/>
        <v/>
      </c>
      <c r="BC1118" s="101" t="str">
        <f t="shared" ca="1" si="183"/>
        <v/>
      </c>
      <c r="BD1118" s="100" t="str">
        <f t="shared" si="181"/>
        <v/>
      </c>
      <c r="BE1118" s="103" t="str">
        <f t="shared" ca="1" si="177"/>
        <v/>
      </c>
      <c r="BF1118" s="102" t="str">
        <f t="shared" si="182"/>
        <v/>
      </c>
    </row>
    <row r="1119" spans="48:58" hidden="1" x14ac:dyDescent="0.25">
      <c r="AV1119">
        <v>1089</v>
      </c>
      <c r="AW1119" s="94" t="str">
        <f t="shared" ref="AW1119:AW1182" ca="1" si="184">IF(T_1*12&gt;=AV1119,DATE(YEAR(TODAY()),MONTH(TODAY())+AV1119-1,DAY(TODAY())),IF(T_1*12+1&gt;=AV1119,DATE(YEAR(TODAY()),MONTH(TODAY())+T_1*12,DAY(TODAY())),""))</f>
        <v/>
      </c>
      <c r="AX1119" s="95" t="str">
        <f t="shared" si="178"/>
        <v/>
      </c>
      <c r="AY1119" s="98" t="str">
        <f t="shared" ref="AY1119:AY1182" ca="1" si="185">IF(T_2*12&gt;=$AV1119,DATE(YEAR(TODAY()),MONTH(TODAY())+$AV1119-1,DAY(TODAY())),IF(T_2*12+1&gt;=$AV1119,DATE(YEAR(TODAY()),MONTH(TODAY())+T_2*12,DAY(TODAY())),""))</f>
        <v/>
      </c>
      <c r="AZ1119" s="95" t="str">
        <f t="shared" si="179"/>
        <v/>
      </c>
      <c r="BA1119" s="99" t="str">
        <f t="shared" ref="BA1119:BA1182" ca="1" si="186">IF(T_3*12&gt;=$AV1119,DATE(YEAR(TODAY()),MONTH(TODAY())+$AV1119-1,DAY(TODAY())),IF(T_3*12+1&gt;=$AV1119,DATE(YEAR(TODAY()),MONTH(TODAY())+T_3*12,DAY(TODAY())),""))</f>
        <v/>
      </c>
      <c r="BB1119" s="97" t="str">
        <f t="shared" si="180"/>
        <v/>
      </c>
      <c r="BC1119" s="101" t="str">
        <f t="shared" ca="1" si="183"/>
        <v/>
      </c>
      <c r="BD1119" s="100" t="str">
        <f t="shared" si="181"/>
        <v/>
      </c>
      <c r="BE1119" s="103" t="str">
        <f t="shared" ref="BE1119:BE1182" ca="1" si="187">IF(T_5*12&gt;=$AV1119,DATE(YEAR(TODAY()),MONTH(TODAY())+$AV1119-1,DAY(TODAY())),IF(T_5*12+1&gt;=$AV1119,DATE(YEAR(TODAY()),MONTH(TODAY())+T_5*12,DAY(TODAY())),""))</f>
        <v/>
      </c>
      <c r="BF1119" s="102" t="str">
        <f t="shared" si="182"/>
        <v/>
      </c>
    </row>
    <row r="1120" spans="48:58" hidden="1" x14ac:dyDescent="0.25">
      <c r="AV1120">
        <v>1090</v>
      </c>
      <c r="AW1120" s="94" t="str">
        <f t="shared" ca="1" si="184"/>
        <v/>
      </c>
      <c r="AX1120" s="95" t="str">
        <f t="shared" ref="AX1120:AX1183" si="188">IF(T_1*12&gt;=AV1120,-1*$I$15,IF(T_1*12+1&gt;=AV1120,InfG_1,""))</f>
        <v/>
      </c>
      <c r="AY1120" s="98" t="str">
        <f t="shared" ca="1" si="185"/>
        <v/>
      </c>
      <c r="AZ1120" s="95" t="str">
        <f t="shared" ref="AZ1120:AZ1183" si="189">IF(T_2*12&gt;=$AV1120,-1*$I$17,IF(T_2*12+1&gt;=$AV1120,InfG_2,""))</f>
        <v/>
      </c>
      <c r="BA1120" s="99" t="str">
        <f t="shared" ca="1" si="186"/>
        <v/>
      </c>
      <c r="BB1120" s="97" t="str">
        <f t="shared" ref="BB1120:BB1183" si="190">IF(T_3*12&gt;=$AV1120,-1*$I$19,IF(T_3*12+1&gt;=$AV1120,InfG_3,""))</f>
        <v/>
      </c>
      <c r="BC1120" s="101" t="str">
        <f t="shared" ca="1" si="183"/>
        <v/>
      </c>
      <c r="BD1120" s="100" t="str">
        <f t="shared" ref="BD1120:BD1183" si="191">IF(T_4*12&gt;=$AV1120,-1*$I$21,IF(T_4*12+1&gt;=$AV1120,InfG_4,""))</f>
        <v/>
      </c>
      <c r="BE1120" s="103" t="str">
        <f t="shared" ca="1" si="187"/>
        <v/>
      </c>
      <c r="BF1120" s="102" t="str">
        <f t="shared" ref="BF1120:BF1183" si="192">IF(T_5*12&gt;=$AV1120,-1*$I$23,IF(T_5*12+1&gt;=$AV1120,InfG_5,""))</f>
        <v/>
      </c>
    </row>
    <row r="1121" spans="48:58" hidden="1" x14ac:dyDescent="0.25">
      <c r="AV1121">
        <v>1091</v>
      </c>
      <c r="AW1121" s="94" t="str">
        <f t="shared" ca="1" si="184"/>
        <v/>
      </c>
      <c r="AX1121" s="95" t="str">
        <f t="shared" si="188"/>
        <v/>
      </c>
      <c r="AY1121" s="98" t="str">
        <f t="shared" ca="1" si="185"/>
        <v/>
      </c>
      <c r="AZ1121" s="95" t="str">
        <f t="shared" si="189"/>
        <v/>
      </c>
      <c r="BA1121" s="99" t="str">
        <f t="shared" ca="1" si="186"/>
        <v/>
      </c>
      <c r="BB1121" s="97" t="str">
        <f t="shared" si="190"/>
        <v/>
      </c>
      <c r="BC1121" s="101" t="str">
        <f t="shared" ref="BC1121:BC1184" ca="1" si="193">IF(T_4*12&gt;=AV1121,DATE(YEAR(TODAY()),MONTH(TODAY())+AV1121-1,DAY(TODAY())),IF(T_4*12+1&gt;=AV1121,DATE(YEAR(TODAY()),MONTH(TODAY())+T_4*12,DAY(TODAY())),""))</f>
        <v/>
      </c>
      <c r="BD1121" s="100" t="str">
        <f t="shared" si="191"/>
        <v/>
      </c>
      <c r="BE1121" s="103" t="str">
        <f t="shared" ca="1" si="187"/>
        <v/>
      </c>
      <c r="BF1121" s="102" t="str">
        <f t="shared" si="192"/>
        <v/>
      </c>
    </row>
    <row r="1122" spans="48:58" hidden="1" x14ac:dyDescent="0.25">
      <c r="AV1122">
        <v>1092</v>
      </c>
      <c r="AW1122" s="94" t="str">
        <f t="shared" ca="1" si="184"/>
        <v/>
      </c>
      <c r="AX1122" s="95" t="str">
        <f t="shared" si="188"/>
        <v/>
      </c>
      <c r="AY1122" s="98" t="str">
        <f t="shared" ca="1" si="185"/>
        <v/>
      </c>
      <c r="AZ1122" s="95" t="str">
        <f t="shared" si="189"/>
        <v/>
      </c>
      <c r="BA1122" s="99" t="str">
        <f t="shared" ca="1" si="186"/>
        <v/>
      </c>
      <c r="BB1122" s="97" t="str">
        <f t="shared" si="190"/>
        <v/>
      </c>
      <c r="BC1122" s="101" t="str">
        <f t="shared" ca="1" si="193"/>
        <v/>
      </c>
      <c r="BD1122" s="100" t="str">
        <f t="shared" si="191"/>
        <v/>
      </c>
      <c r="BE1122" s="103" t="str">
        <f t="shared" ca="1" si="187"/>
        <v/>
      </c>
      <c r="BF1122" s="102" t="str">
        <f t="shared" si="192"/>
        <v/>
      </c>
    </row>
    <row r="1123" spans="48:58" hidden="1" x14ac:dyDescent="0.25">
      <c r="AV1123">
        <v>1093</v>
      </c>
      <c r="AW1123" s="94" t="str">
        <f t="shared" ca="1" si="184"/>
        <v/>
      </c>
      <c r="AX1123" s="95" t="str">
        <f t="shared" si="188"/>
        <v/>
      </c>
      <c r="AY1123" s="98" t="str">
        <f t="shared" ca="1" si="185"/>
        <v/>
      </c>
      <c r="AZ1123" s="95" t="str">
        <f t="shared" si="189"/>
        <v/>
      </c>
      <c r="BA1123" s="99" t="str">
        <f t="shared" ca="1" si="186"/>
        <v/>
      </c>
      <c r="BB1123" s="97" t="str">
        <f t="shared" si="190"/>
        <v/>
      </c>
      <c r="BC1123" s="101" t="str">
        <f t="shared" ca="1" si="193"/>
        <v/>
      </c>
      <c r="BD1123" s="100" t="str">
        <f t="shared" si="191"/>
        <v/>
      </c>
      <c r="BE1123" s="103" t="str">
        <f t="shared" ca="1" si="187"/>
        <v/>
      </c>
      <c r="BF1123" s="102" t="str">
        <f t="shared" si="192"/>
        <v/>
      </c>
    </row>
    <row r="1124" spans="48:58" hidden="1" x14ac:dyDescent="0.25">
      <c r="AV1124">
        <v>1094</v>
      </c>
      <c r="AW1124" s="94" t="str">
        <f t="shared" ca="1" si="184"/>
        <v/>
      </c>
      <c r="AX1124" s="95" t="str">
        <f t="shared" si="188"/>
        <v/>
      </c>
      <c r="AY1124" s="98" t="str">
        <f t="shared" ca="1" si="185"/>
        <v/>
      </c>
      <c r="AZ1124" s="95" t="str">
        <f t="shared" si="189"/>
        <v/>
      </c>
      <c r="BA1124" s="99" t="str">
        <f t="shared" ca="1" si="186"/>
        <v/>
      </c>
      <c r="BB1124" s="97" t="str">
        <f t="shared" si="190"/>
        <v/>
      </c>
      <c r="BC1124" s="101" t="str">
        <f t="shared" ca="1" si="193"/>
        <v/>
      </c>
      <c r="BD1124" s="100" t="str">
        <f t="shared" si="191"/>
        <v/>
      </c>
      <c r="BE1124" s="103" t="str">
        <f t="shared" ca="1" si="187"/>
        <v/>
      </c>
      <c r="BF1124" s="102" t="str">
        <f t="shared" si="192"/>
        <v/>
      </c>
    </row>
    <row r="1125" spans="48:58" hidden="1" x14ac:dyDescent="0.25">
      <c r="AV1125">
        <v>1095</v>
      </c>
      <c r="AW1125" s="94" t="str">
        <f t="shared" ca="1" si="184"/>
        <v/>
      </c>
      <c r="AX1125" s="95" t="str">
        <f t="shared" si="188"/>
        <v/>
      </c>
      <c r="AY1125" s="98" t="str">
        <f t="shared" ca="1" si="185"/>
        <v/>
      </c>
      <c r="AZ1125" s="95" t="str">
        <f t="shared" si="189"/>
        <v/>
      </c>
      <c r="BA1125" s="99" t="str">
        <f t="shared" ca="1" si="186"/>
        <v/>
      </c>
      <c r="BB1125" s="97" t="str">
        <f t="shared" si="190"/>
        <v/>
      </c>
      <c r="BC1125" s="101" t="str">
        <f t="shared" ca="1" si="193"/>
        <v/>
      </c>
      <c r="BD1125" s="100" t="str">
        <f t="shared" si="191"/>
        <v/>
      </c>
      <c r="BE1125" s="103" t="str">
        <f t="shared" ca="1" si="187"/>
        <v/>
      </c>
      <c r="BF1125" s="102" t="str">
        <f t="shared" si="192"/>
        <v/>
      </c>
    </row>
    <row r="1126" spans="48:58" hidden="1" x14ac:dyDescent="0.25">
      <c r="AV1126">
        <v>1096</v>
      </c>
      <c r="AW1126" s="94" t="str">
        <f t="shared" ca="1" si="184"/>
        <v/>
      </c>
      <c r="AX1126" s="95" t="str">
        <f t="shared" si="188"/>
        <v/>
      </c>
      <c r="AY1126" s="98" t="str">
        <f t="shared" ca="1" si="185"/>
        <v/>
      </c>
      <c r="AZ1126" s="95" t="str">
        <f t="shared" si="189"/>
        <v/>
      </c>
      <c r="BA1126" s="99" t="str">
        <f t="shared" ca="1" si="186"/>
        <v/>
      </c>
      <c r="BB1126" s="97" t="str">
        <f t="shared" si="190"/>
        <v/>
      </c>
      <c r="BC1126" s="101" t="str">
        <f t="shared" ca="1" si="193"/>
        <v/>
      </c>
      <c r="BD1126" s="100" t="str">
        <f t="shared" si="191"/>
        <v/>
      </c>
      <c r="BE1126" s="103" t="str">
        <f t="shared" ca="1" si="187"/>
        <v/>
      </c>
      <c r="BF1126" s="102" t="str">
        <f t="shared" si="192"/>
        <v/>
      </c>
    </row>
    <row r="1127" spans="48:58" hidden="1" x14ac:dyDescent="0.25">
      <c r="AV1127">
        <v>1097</v>
      </c>
      <c r="AW1127" s="94" t="str">
        <f t="shared" ca="1" si="184"/>
        <v/>
      </c>
      <c r="AX1127" s="95" t="str">
        <f t="shared" si="188"/>
        <v/>
      </c>
      <c r="AY1127" s="98" t="str">
        <f t="shared" ca="1" si="185"/>
        <v/>
      </c>
      <c r="AZ1127" s="95" t="str">
        <f t="shared" si="189"/>
        <v/>
      </c>
      <c r="BA1127" s="99" t="str">
        <f t="shared" ca="1" si="186"/>
        <v/>
      </c>
      <c r="BB1127" s="97" t="str">
        <f t="shared" si="190"/>
        <v/>
      </c>
      <c r="BC1127" s="101" t="str">
        <f t="shared" ca="1" si="193"/>
        <v/>
      </c>
      <c r="BD1127" s="100" t="str">
        <f t="shared" si="191"/>
        <v/>
      </c>
      <c r="BE1127" s="103" t="str">
        <f t="shared" ca="1" si="187"/>
        <v/>
      </c>
      <c r="BF1127" s="102" t="str">
        <f t="shared" si="192"/>
        <v/>
      </c>
    </row>
    <row r="1128" spans="48:58" hidden="1" x14ac:dyDescent="0.25">
      <c r="AV1128">
        <v>1098</v>
      </c>
      <c r="AW1128" s="94" t="str">
        <f t="shared" ca="1" si="184"/>
        <v/>
      </c>
      <c r="AX1128" s="95" t="str">
        <f t="shared" si="188"/>
        <v/>
      </c>
      <c r="AY1128" s="98" t="str">
        <f t="shared" ca="1" si="185"/>
        <v/>
      </c>
      <c r="AZ1128" s="95" t="str">
        <f t="shared" si="189"/>
        <v/>
      </c>
      <c r="BA1128" s="99" t="str">
        <f t="shared" ca="1" si="186"/>
        <v/>
      </c>
      <c r="BB1128" s="97" t="str">
        <f t="shared" si="190"/>
        <v/>
      </c>
      <c r="BC1128" s="101" t="str">
        <f t="shared" ca="1" si="193"/>
        <v/>
      </c>
      <c r="BD1128" s="100" t="str">
        <f t="shared" si="191"/>
        <v/>
      </c>
      <c r="BE1128" s="103" t="str">
        <f t="shared" ca="1" si="187"/>
        <v/>
      </c>
      <c r="BF1128" s="102" t="str">
        <f t="shared" si="192"/>
        <v/>
      </c>
    </row>
    <row r="1129" spans="48:58" hidden="1" x14ac:dyDescent="0.25">
      <c r="AV1129">
        <v>1099</v>
      </c>
      <c r="AW1129" s="94" t="str">
        <f t="shared" ca="1" si="184"/>
        <v/>
      </c>
      <c r="AX1129" s="95" t="str">
        <f t="shared" si="188"/>
        <v/>
      </c>
      <c r="AY1129" s="98" t="str">
        <f t="shared" ca="1" si="185"/>
        <v/>
      </c>
      <c r="AZ1129" s="95" t="str">
        <f t="shared" si="189"/>
        <v/>
      </c>
      <c r="BA1129" s="99" t="str">
        <f t="shared" ca="1" si="186"/>
        <v/>
      </c>
      <c r="BB1129" s="97" t="str">
        <f t="shared" si="190"/>
        <v/>
      </c>
      <c r="BC1129" s="101" t="str">
        <f t="shared" ca="1" si="193"/>
        <v/>
      </c>
      <c r="BD1129" s="100" t="str">
        <f t="shared" si="191"/>
        <v/>
      </c>
      <c r="BE1129" s="103" t="str">
        <f t="shared" ca="1" si="187"/>
        <v/>
      </c>
      <c r="BF1129" s="102" t="str">
        <f t="shared" si="192"/>
        <v/>
      </c>
    </row>
    <row r="1130" spans="48:58" hidden="1" x14ac:dyDescent="0.25">
      <c r="AV1130">
        <v>1100</v>
      </c>
      <c r="AW1130" s="94" t="str">
        <f t="shared" ca="1" si="184"/>
        <v/>
      </c>
      <c r="AX1130" s="95" t="str">
        <f t="shared" si="188"/>
        <v/>
      </c>
      <c r="AY1130" s="98" t="str">
        <f t="shared" ca="1" si="185"/>
        <v/>
      </c>
      <c r="AZ1130" s="95" t="str">
        <f t="shared" si="189"/>
        <v/>
      </c>
      <c r="BA1130" s="99" t="str">
        <f t="shared" ca="1" si="186"/>
        <v/>
      </c>
      <c r="BB1130" s="97" t="str">
        <f t="shared" si="190"/>
        <v/>
      </c>
      <c r="BC1130" s="101" t="str">
        <f t="shared" ca="1" si="193"/>
        <v/>
      </c>
      <c r="BD1130" s="100" t="str">
        <f t="shared" si="191"/>
        <v/>
      </c>
      <c r="BE1130" s="103" t="str">
        <f t="shared" ca="1" si="187"/>
        <v/>
      </c>
      <c r="BF1130" s="102" t="str">
        <f t="shared" si="192"/>
        <v/>
      </c>
    </row>
    <row r="1131" spans="48:58" hidden="1" x14ac:dyDescent="0.25">
      <c r="AV1131">
        <v>1101</v>
      </c>
      <c r="AW1131" s="94" t="str">
        <f t="shared" ca="1" si="184"/>
        <v/>
      </c>
      <c r="AX1131" s="95" t="str">
        <f t="shared" si="188"/>
        <v/>
      </c>
      <c r="AY1131" s="98" t="str">
        <f t="shared" ca="1" si="185"/>
        <v/>
      </c>
      <c r="AZ1131" s="95" t="str">
        <f t="shared" si="189"/>
        <v/>
      </c>
      <c r="BA1131" s="99" t="str">
        <f t="shared" ca="1" si="186"/>
        <v/>
      </c>
      <c r="BB1131" s="97" t="str">
        <f t="shared" si="190"/>
        <v/>
      </c>
      <c r="BC1131" s="101" t="str">
        <f t="shared" ca="1" si="193"/>
        <v/>
      </c>
      <c r="BD1131" s="100" t="str">
        <f t="shared" si="191"/>
        <v/>
      </c>
      <c r="BE1131" s="103" t="str">
        <f t="shared" ca="1" si="187"/>
        <v/>
      </c>
      <c r="BF1131" s="102" t="str">
        <f t="shared" si="192"/>
        <v/>
      </c>
    </row>
    <row r="1132" spans="48:58" hidden="1" x14ac:dyDescent="0.25">
      <c r="AV1132">
        <v>1102</v>
      </c>
      <c r="AW1132" s="94" t="str">
        <f t="shared" ca="1" si="184"/>
        <v/>
      </c>
      <c r="AX1132" s="95" t="str">
        <f t="shared" si="188"/>
        <v/>
      </c>
      <c r="AY1132" s="98" t="str">
        <f t="shared" ca="1" si="185"/>
        <v/>
      </c>
      <c r="AZ1132" s="95" t="str">
        <f t="shared" si="189"/>
        <v/>
      </c>
      <c r="BA1132" s="99" t="str">
        <f t="shared" ca="1" si="186"/>
        <v/>
      </c>
      <c r="BB1132" s="97" t="str">
        <f t="shared" si="190"/>
        <v/>
      </c>
      <c r="BC1132" s="101" t="str">
        <f t="shared" ca="1" si="193"/>
        <v/>
      </c>
      <c r="BD1132" s="100" t="str">
        <f t="shared" si="191"/>
        <v/>
      </c>
      <c r="BE1132" s="103" t="str">
        <f t="shared" ca="1" si="187"/>
        <v/>
      </c>
      <c r="BF1132" s="102" t="str">
        <f t="shared" si="192"/>
        <v/>
      </c>
    </row>
    <row r="1133" spans="48:58" hidden="1" x14ac:dyDescent="0.25">
      <c r="AV1133">
        <v>1103</v>
      </c>
      <c r="AW1133" s="94" t="str">
        <f t="shared" ca="1" si="184"/>
        <v/>
      </c>
      <c r="AX1133" s="95" t="str">
        <f t="shared" si="188"/>
        <v/>
      </c>
      <c r="AY1133" s="98" t="str">
        <f t="shared" ca="1" si="185"/>
        <v/>
      </c>
      <c r="AZ1133" s="95" t="str">
        <f t="shared" si="189"/>
        <v/>
      </c>
      <c r="BA1133" s="99" t="str">
        <f t="shared" ca="1" si="186"/>
        <v/>
      </c>
      <c r="BB1133" s="97" t="str">
        <f t="shared" si="190"/>
        <v/>
      </c>
      <c r="BC1133" s="101" t="str">
        <f t="shared" ca="1" si="193"/>
        <v/>
      </c>
      <c r="BD1133" s="100" t="str">
        <f t="shared" si="191"/>
        <v/>
      </c>
      <c r="BE1133" s="103" t="str">
        <f t="shared" ca="1" si="187"/>
        <v/>
      </c>
      <c r="BF1133" s="102" t="str">
        <f t="shared" si="192"/>
        <v/>
      </c>
    </row>
    <row r="1134" spans="48:58" hidden="1" x14ac:dyDescent="0.25">
      <c r="AV1134">
        <v>1104</v>
      </c>
      <c r="AW1134" s="94" t="str">
        <f t="shared" ca="1" si="184"/>
        <v/>
      </c>
      <c r="AX1134" s="95" t="str">
        <f t="shared" si="188"/>
        <v/>
      </c>
      <c r="AY1134" s="98" t="str">
        <f t="shared" ca="1" si="185"/>
        <v/>
      </c>
      <c r="AZ1134" s="95" t="str">
        <f t="shared" si="189"/>
        <v/>
      </c>
      <c r="BA1134" s="99" t="str">
        <f t="shared" ca="1" si="186"/>
        <v/>
      </c>
      <c r="BB1134" s="97" t="str">
        <f t="shared" si="190"/>
        <v/>
      </c>
      <c r="BC1134" s="101" t="str">
        <f t="shared" ca="1" si="193"/>
        <v/>
      </c>
      <c r="BD1134" s="100" t="str">
        <f t="shared" si="191"/>
        <v/>
      </c>
      <c r="BE1134" s="103" t="str">
        <f t="shared" ca="1" si="187"/>
        <v/>
      </c>
      <c r="BF1134" s="102" t="str">
        <f t="shared" si="192"/>
        <v/>
      </c>
    </row>
    <row r="1135" spans="48:58" hidden="1" x14ac:dyDescent="0.25">
      <c r="AV1135">
        <v>1105</v>
      </c>
      <c r="AW1135" s="94" t="str">
        <f t="shared" ca="1" si="184"/>
        <v/>
      </c>
      <c r="AX1135" s="95" t="str">
        <f t="shared" si="188"/>
        <v/>
      </c>
      <c r="AY1135" s="98" t="str">
        <f t="shared" ca="1" si="185"/>
        <v/>
      </c>
      <c r="AZ1135" s="95" t="str">
        <f t="shared" si="189"/>
        <v/>
      </c>
      <c r="BA1135" s="99" t="str">
        <f t="shared" ca="1" si="186"/>
        <v/>
      </c>
      <c r="BB1135" s="97" t="str">
        <f t="shared" si="190"/>
        <v/>
      </c>
      <c r="BC1135" s="101" t="str">
        <f t="shared" ca="1" si="193"/>
        <v/>
      </c>
      <c r="BD1135" s="100" t="str">
        <f t="shared" si="191"/>
        <v/>
      </c>
      <c r="BE1135" s="103" t="str">
        <f t="shared" ca="1" si="187"/>
        <v/>
      </c>
      <c r="BF1135" s="102" t="str">
        <f t="shared" si="192"/>
        <v/>
      </c>
    </row>
    <row r="1136" spans="48:58" hidden="1" x14ac:dyDescent="0.25">
      <c r="AV1136">
        <v>1106</v>
      </c>
      <c r="AW1136" s="94" t="str">
        <f t="shared" ca="1" si="184"/>
        <v/>
      </c>
      <c r="AX1136" s="95" t="str">
        <f t="shared" si="188"/>
        <v/>
      </c>
      <c r="AY1136" s="98" t="str">
        <f t="shared" ca="1" si="185"/>
        <v/>
      </c>
      <c r="AZ1136" s="95" t="str">
        <f t="shared" si="189"/>
        <v/>
      </c>
      <c r="BA1136" s="99" t="str">
        <f t="shared" ca="1" si="186"/>
        <v/>
      </c>
      <c r="BB1136" s="97" t="str">
        <f t="shared" si="190"/>
        <v/>
      </c>
      <c r="BC1136" s="101" t="str">
        <f t="shared" ca="1" si="193"/>
        <v/>
      </c>
      <c r="BD1136" s="100" t="str">
        <f t="shared" si="191"/>
        <v/>
      </c>
      <c r="BE1136" s="103" t="str">
        <f t="shared" ca="1" si="187"/>
        <v/>
      </c>
      <c r="BF1136" s="102" t="str">
        <f t="shared" si="192"/>
        <v/>
      </c>
    </row>
    <row r="1137" spans="48:58" hidden="1" x14ac:dyDescent="0.25">
      <c r="AV1137">
        <v>1107</v>
      </c>
      <c r="AW1137" s="94" t="str">
        <f t="shared" ca="1" si="184"/>
        <v/>
      </c>
      <c r="AX1137" s="95" t="str">
        <f t="shared" si="188"/>
        <v/>
      </c>
      <c r="AY1137" s="98" t="str">
        <f t="shared" ca="1" si="185"/>
        <v/>
      </c>
      <c r="AZ1137" s="95" t="str">
        <f t="shared" si="189"/>
        <v/>
      </c>
      <c r="BA1137" s="99" t="str">
        <f t="shared" ca="1" si="186"/>
        <v/>
      </c>
      <c r="BB1137" s="97" t="str">
        <f t="shared" si="190"/>
        <v/>
      </c>
      <c r="BC1137" s="101" t="str">
        <f t="shared" ca="1" si="193"/>
        <v/>
      </c>
      <c r="BD1137" s="100" t="str">
        <f t="shared" si="191"/>
        <v/>
      </c>
      <c r="BE1137" s="103" t="str">
        <f t="shared" ca="1" si="187"/>
        <v/>
      </c>
      <c r="BF1137" s="102" t="str">
        <f t="shared" si="192"/>
        <v/>
      </c>
    </row>
    <row r="1138" spans="48:58" hidden="1" x14ac:dyDescent="0.25">
      <c r="AV1138">
        <v>1108</v>
      </c>
      <c r="AW1138" s="94" t="str">
        <f t="shared" ca="1" si="184"/>
        <v/>
      </c>
      <c r="AX1138" s="95" t="str">
        <f t="shared" si="188"/>
        <v/>
      </c>
      <c r="AY1138" s="98" t="str">
        <f t="shared" ca="1" si="185"/>
        <v/>
      </c>
      <c r="AZ1138" s="95" t="str">
        <f t="shared" si="189"/>
        <v/>
      </c>
      <c r="BA1138" s="99" t="str">
        <f t="shared" ca="1" si="186"/>
        <v/>
      </c>
      <c r="BB1138" s="97" t="str">
        <f t="shared" si="190"/>
        <v/>
      </c>
      <c r="BC1138" s="101" t="str">
        <f t="shared" ca="1" si="193"/>
        <v/>
      </c>
      <c r="BD1138" s="100" t="str">
        <f t="shared" si="191"/>
        <v/>
      </c>
      <c r="BE1138" s="103" t="str">
        <f t="shared" ca="1" si="187"/>
        <v/>
      </c>
      <c r="BF1138" s="102" t="str">
        <f t="shared" si="192"/>
        <v/>
      </c>
    </row>
    <row r="1139" spans="48:58" hidden="1" x14ac:dyDescent="0.25">
      <c r="AV1139">
        <v>1109</v>
      </c>
      <c r="AW1139" s="94" t="str">
        <f t="shared" ca="1" si="184"/>
        <v/>
      </c>
      <c r="AX1139" s="95" t="str">
        <f t="shared" si="188"/>
        <v/>
      </c>
      <c r="AY1139" s="98" t="str">
        <f t="shared" ca="1" si="185"/>
        <v/>
      </c>
      <c r="AZ1139" s="95" t="str">
        <f t="shared" si="189"/>
        <v/>
      </c>
      <c r="BA1139" s="99" t="str">
        <f t="shared" ca="1" si="186"/>
        <v/>
      </c>
      <c r="BB1139" s="97" t="str">
        <f t="shared" si="190"/>
        <v/>
      </c>
      <c r="BC1139" s="101" t="str">
        <f t="shared" ca="1" si="193"/>
        <v/>
      </c>
      <c r="BD1139" s="100" t="str">
        <f t="shared" si="191"/>
        <v/>
      </c>
      <c r="BE1139" s="103" t="str">
        <f t="shared" ca="1" si="187"/>
        <v/>
      </c>
      <c r="BF1139" s="102" t="str">
        <f t="shared" si="192"/>
        <v/>
      </c>
    </row>
    <row r="1140" spans="48:58" hidden="1" x14ac:dyDescent="0.25">
      <c r="AV1140">
        <v>1110</v>
      </c>
      <c r="AW1140" s="94" t="str">
        <f t="shared" ca="1" si="184"/>
        <v/>
      </c>
      <c r="AX1140" s="95" t="str">
        <f t="shared" si="188"/>
        <v/>
      </c>
      <c r="AY1140" s="98" t="str">
        <f t="shared" ca="1" si="185"/>
        <v/>
      </c>
      <c r="AZ1140" s="95" t="str">
        <f t="shared" si="189"/>
        <v/>
      </c>
      <c r="BA1140" s="99" t="str">
        <f t="shared" ca="1" si="186"/>
        <v/>
      </c>
      <c r="BB1140" s="97" t="str">
        <f t="shared" si="190"/>
        <v/>
      </c>
      <c r="BC1140" s="101" t="str">
        <f t="shared" ca="1" si="193"/>
        <v/>
      </c>
      <c r="BD1140" s="100" t="str">
        <f t="shared" si="191"/>
        <v/>
      </c>
      <c r="BE1140" s="103" t="str">
        <f t="shared" ca="1" si="187"/>
        <v/>
      </c>
      <c r="BF1140" s="102" t="str">
        <f t="shared" si="192"/>
        <v/>
      </c>
    </row>
    <row r="1141" spans="48:58" hidden="1" x14ac:dyDescent="0.25">
      <c r="AV1141">
        <v>1111</v>
      </c>
      <c r="AW1141" s="94" t="str">
        <f t="shared" ca="1" si="184"/>
        <v/>
      </c>
      <c r="AX1141" s="95" t="str">
        <f t="shared" si="188"/>
        <v/>
      </c>
      <c r="AY1141" s="98" t="str">
        <f t="shared" ca="1" si="185"/>
        <v/>
      </c>
      <c r="AZ1141" s="95" t="str">
        <f t="shared" si="189"/>
        <v/>
      </c>
      <c r="BA1141" s="99" t="str">
        <f t="shared" ca="1" si="186"/>
        <v/>
      </c>
      <c r="BB1141" s="97" t="str">
        <f t="shared" si="190"/>
        <v/>
      </c>
      <c r="BC1141" s="101" t="str">
        <f t="shared" ca="1" si="193"/>
        <v/>
      </c>
      <c r="BD1141" s="100" t="str">
        <f t="shared" si="191"/>
        <v/>
      </c>
      <c r="BE1141" s="103" t="str">
        <f t="shared" ca="1" si="187"/>
        <v/>
      </c>
      <c r="BF1141" s="102" t="str">
        <f t="shared" si="192"/>
        <v/>
      </c>
    </row>
    <row r="1142" spans="48:58" hidden="1" x14ac:dyDescent="0.25">
      <c r="AV1142">
        <v>1112</v>
      </c>
      <c r="AW1142" s="94" t="str">
        <f t="shared" ca="1" si="184"/>
        <v/>
      </c>
      <c r="AX1142" s="95" t="str">
        <f t="shared" si="188"/>
        <v/>
      </c>
      <c r="AY1142" s="98" t="str">
        <f t="shared" ca="1" si="185"/>
        <v/>
      </c>
      <c r="AZ1142" s="95" t="str">
        <f t="shared" si="189"/>
        <v/>
      </c>
      <c r="BA1142" s="99" t="str">
        <f t="shared" ca="1" si="186"/>
        <v/>
      </c>
      <c r="BB1142" s="97" t="str">
        <f t="shared" si="190"/>
        <v/>
      </c>
      <c r="BC1142" s="101" t="str">
        <f t="shared" ca="1" si="193"/>
        <v/>
      </c>
      <c r="BD1142" s="100" t="str">
        <f t="shared" si="191"/>
        <v/>
      </c>
      <c r="BE1142" s="103" t="str">
        <f t="shared" ca="1" si="187"/>
        <v/>
      </c>
      <c r="BF1142" s="102" t="str">
        <f t="shared" si="192"/>
        <v/>
      </c>
    </row>
    <row r="1143" spans="48:58" hidden="1" x14ac:dyDescent="0.25">
      <c r="AV1143">
        <v>1113</v>
      </c>
      <c r="AW1143" s="94" t="str">
        <f t="shared" ca="1" si="184"/>
        <v/>
      </c>
      <c r="AX1143" s="95" t="str">
        <f t="shared" si="188"/>
        <v/>
      </c>
      <c r="AY1143" s="98" t="str">
        <f t="shared" ca="1" si="185"/>
        <v/>
      </c>
      <c r="AZ1143" s="95" t="str">
        <f t="shared" si="189"/>
        <v/>
      </c>
      <c r="BA1143" s="99" t="str">
        <f t="shared" ca="1" si="186"/>
        <v/>
      </c>
      <c r="BB1143" s="97" t="str">
        <f t="shared" si="190"/>
        <v/>
      </c>
      <c r="BC1143" s="101" t="str">
        <f t="shared" ca="1" si="193"/>
        <v/>
      </c>
      <c r="BD1143" s="100" t="str">
        <f t="shared" si="191"/>
        <v/>
      </c>
      <c r="BE1143" s="103" t="str">
        <f t="shared" ca="1" si="187"/>
        <v/>
      </c>
      <c r="BF1143" s="102" t="str">
        <f t="shared" si="192"/>
        <v/>
      </c>
    </row>
    <row r="1144" spans="48:58" hidden="1" x14ac:dyDescent="0.25">
      <c r="AV1144">
        <v>1114</v>
      </c>
      <c r="AW1144" s="94" t="str">
        <f t="shared" ca="1" si="184"/>
        <v/>
      </c>
      <c r="AX1144" s="95" t="str">
        <f t="shared" si="188"/>
        <v/>
      </c>
      <c r="AY1144" s="98" t="str">
        <f t="shared" ca="1" si="185"/>
        <v/>
      </c>
      <c r="AZ1144" s="95" t="str">
        <f t="shared" si="189"/>
        <v/>
      </c>
      <c r="BA1144" s="99" t="str">
        <f t="shared" ca="1" si="186"/>
        <v/>
      </c>
      <c r="BB1144" s="97" t="str">
        <f t="shared" si="190"/>
        <v/>
      </c>
      <c r="BC1144" s="101" t="str">
        <f t="shared" ca="1" si="193"/>
        <v/>
      </c>
      <c r="BD1144" s="100" t="str">
        <f t="shared" si="191"/>
        <v/>
      </c>
      <c r="BE1144" s="103" t="str">
        <f t="shared" ca="1" si="187"/>
        <v/>
      </c>
      <c r="BF1144" s="102" t="str">
        <f t="shared" si="192"/>
        <v/>
      </c>
    </row>
    <row r="1145" spans="48:58" hidden="1" x14ac:dyDescent="0.25">
      <c r="AV1145">
        <v>1115</v>
      </c>
      <c r="AW1145" s="94" t="str">
        <f t="shared" ca="1" si="184"/>
        <v/>
      </c>
      <c r="AX1145" s="95" t="str">
        <f t="shared" si="188"/>
        <v/>
      </c>
      <c r="AY1145" s="98" t="str">
        <f t="shared" ca="1" si="185"/>
        <v/>
      </c>
      <c r="AZ1145" s="95" t="str">
        <f t="shared" si="189"/>
        <v/>
      </c>
      <c r="BA1145" s="99" t="str">
        <f t="shared" ca="1" si="186"/>
        <v/>
      </c>
      <c r="BB1145" s="97" t="str">
        <f t="shared" si="190"/>
        <v/>
      </c>
      <c r="BC1145" s="101" t="str">
        <f t="shared" ca="1" si="193"/>
        <v/>
      </c>
      <c r="BD1145" s="100" t="str">
        <f t="shared" si="191"/>
        <v/>
      </c>
      <c r="BE1145" s="103" t="str">
        <f t="shared" ca="1" si="187"/>
        <v/>
      </c>
      <c r="BF1145" s="102" t="str">
        <f t="shared" si="192"/>
        <v/>
      </c>
    </row>
    <row r="1146" spans="48:58" hidden="1" x14ac:dyDescent="0.25">
      <c r="AV1146">
        <v>1116</v>
      </c>
      <c r="AW1146" s="94" t="str">
        <f t="shared" ca="1" si="184"/>
        <v/>
      </c>
      <c r="AX1146" s="95" t="str">
        <f t="shared" si="188"/>
        <v/>
      </c>
      <c r="AY1146" s="98" t="str">
        <f t="shared" ca="1" si="185"/>
        <v/>
      </c>
      <c r="AZ1146" s="95" t="str">
        <f t="shared" si="189"/>
        <v/>
      </c>
      <c r="BA1146" s="99" t="str">
        <f t="shared" ca="1" si="186"/>
        <v/>
      </c>
      <c r="BB1146" s="97" t="str">
        <f t="shared" si="190"/>
        <v/>
      </c>
      <c r="BC1146" s="101" t="str">
        <f t="shared" ca="1" si="193"/>
        <v/>
      </c>
      <c r="BD1146" s="100" t="str">
        <f t="shared" si="191"/>
        <v/>
      </c>
      <c r="BE1146" s="103" t="str">
        <f t="shared" ca="1" si="187"/>
        <v/>
      </c>
      <c r="BF1146" s="102" t="str">
        <f t="shared" si="192"/>
        <v/>
      </c>
    </row>
    <row r="1147" spans="48:58" hidden="1" x14ac:dyDescent="0.25">
      <c r="AV1147">
        <v>1117</v>
      </c>
      <c r="AW1147" s="94" t="str">
        <f t="shared" ca="1" si="184"/>
        <v/>
      </c>
      <c r="AX1147" s="95" t="str">
        <f t="shared" si="188"/>
        <v/>
      </c>
      <c r="AY1147" s="98" t="str">
        <f t="shared" ca="1" si="185"/>
        <v/>
      </c>
      <c r="AZ1147" s="95" t="str">
        <f t="shared" si="189"/>
        <v/>
      </c>
      <c r="BA1147" s="99" t="str">
        <f t="shared" ca="1" si="186"/>
        <v/>
      </c>
      <c r="BB1147" s="97" t="str">
        <f t="shared" si="190"/>
        <v/>
      </c>
      <c r="BC1147" s="101" t="str">
        <f t="shared" ca="1" si="193"/>
        <v/>
      </c>
      <c r="BD1147" s="100" t="str">
        <f t="shared" si="191"/>
        <v/>
      </c>
      <c r="BE1147" s="103" t="str">
        <f t="shared" ca="1" si="187"/>
        <v/>
      </c>
      <c r="BF1147" s="102" t="str">
        <f t="shared" si="192"/>
        <v/>
      </c>
    </row>
    <row r="1148" spans="48:58" hidden="1" x14ac:dyDescent="0.25">
      <c r="AV1148">
        <v>1118</v>
      </c>
      <c r="AW1148" s="94" t="str">
        <f t="shared" ca="1" si="184"/>
        <v/>
      </c>
      <c r="AX1148" s="95" t="str">
        <f t="shared" si="188"/>
        <v/>
      </c>
      <c r="AY1148" s="98" t="str">
        <f t="shared" ca="1" si="185"/>
        <v/>
      </c>
      <c r="AZ1148" s="95" t="str">
        <f t="shared" si="189"/>
        <v/>
      </c>
      <c r="BA1148" s="99" t="str">
        <f t="shared" ca="1" si="186"/>
        <v/>
      </c>
      <c r="BB1148" s="97" t="str">
        <f t="shared" si="190"/>
        <v/>
      </c>
      <c r="BC1148" s="101" t="str">
        <f t="shared" ca="1" si="193"/>
        <v/>
      </c>
      <c r="BD1148" s="100" t="str">
        <f t="shared" si="191"/>
        <v/>
      </c>
      <c r="BE1148" s="103" t="str">
        <f t="shared" ca="1" si="187"/>
        <v/>
      </c>
      <c r="BF1148" s="102" t="str">
        <f t="shared" si="192"/>
        <v/>
      </c>
    </row>
    <row r="1149" spans="48:58" hidden="1" x14ac:dyDescent="0.25">
      <c r="AV1149">
        <v>1119</v>
      </c>
      <c r="AW1149" s="94" t="str">
        <f t="shared" ca="1" si="184"/>
        <v/>
      </c>
      <c r="AX1149" s="95" t="str">
        <f t="shared" si="188"/>
        <v/>
      </c>
      <c r="AY1149" s="98" t="str">
        <f t="shared" ca="1" si="185"/>
        <v/>
      </c>
      <c r="AZ1149" s="95" t="str">
        <f t="shared" si="189"/>
        <v/>
      </c>
      <c r="BA1149" s="99" t="str">
        <f t="shared" ca="1" si="186"/>
        <v/>
      </c>
      <c r="BB1149" s="97" t="str">
        <f t="shared" si="190"/>
        <v/>
      </c>
      <c r="BC1149" s="101" t="str">
        <f t="shared" ca="1" si="193"/>
        <v/>
      </c>
      <c r="BD1149" s="100" t="str">
        <f t="shared" si="191"/>
        <v/>
      </c>
      <c r="BE1149" s="103" t="str">
        <f t="shared" ca="1" si="187"/>
        <v/>
      </c>
      <c r="BF1149" s="102" t="str">
        <f t="shared" si="192"/>
        <v/>
      </c>
    </row>
    <row r="1150" spans="48:58" hidden="1" x14ac:dyDescent="0.25">
      <c r="AV1150">
        <v>1120</v>
      </c>
      <c r="AW1150" s="94" t="str">
        <f t="shared" ca="1" si="184"/>
        <v/>
      </c>
      <c r="AX1150" s="95" t="str">
        <f t="shared" si="188"/>
        <v/>
      </c>
      <c r="AY1150" s="98" t="str">
        <f t="shared" ca="1" si="185"/>
        <v/>
      </c>
      <c r="AZ1150" s="95" t="str">
        <f t="shared" si="189"/>
        <v/>
      </c>
      <c r="BA1150" s="99" t="str">
        <f t="shared" ca="1" si="186"/>
        <v/>
      </c>
      <c r="BB1150" s="97" t="str">
        <f t="shared" si="190"/>
        <v/>
      </c>
      <c r="BC1150" s="101" t="str">
        <f t="shared" ca="1" si="193"/>
        <v/>
      </c>
      <c r="BD1150" s="100" t="str">
        <f t="shared" si="191"/>
        <v/>
      </c>
      <c r="BE1150" s="103" t="str">
        <f t="shared" ca="1" si="187"/>
        <v/>
      </c>
      <c r="BF1150" s="102" t="str">
        <f t="shared" si="192"/>
        <v/>
      </c>
    </row>
    <row r="1151" spans="48:58" hidden="1" x14ac:dyDescent="0.25">
      <c r="AV1151">
        <v>1121</v>
      </c>
      <c r="AW1151" s="94" t="str">
        <f t="shared" ca="1" si="184"/>
        <v/>
      </c>
      <c r="AX1151" s="95" t="str">
        <f t="shared" si="188"/>
        <v/>
      </c>
      <c r="AY1151" s="98" t="str">
        <f t="shared" ca="1" si="185"/>
        <v/>
      </c>
      <c r="AZ1151" s="95" t="str">
        <f t="shared" si="189"/>
        <v/>
      </c>
      <c r="BA1151" s="99" t="str">
        <f t="shared" ca="1" si="186"/>
        <v/>
      </c>
      <c r="BB1151" s="97" t="str">
        <f t="shared" si="190"/>
        <v/>
      </c>
      <c r="BC1151" s="101" t="str">
        <f t="shared" ca="1" si="193"/>
        <v/>
      </c>
      <c r="BD1151" s="100" t="str">
        <f t="shared" si="191"/>
        <v/>
      </c>
      <c r="BE1151" s="103" t="str">
        <f t="shared" ca="1" si="187"/>
        <v/>
      </c>
      <c r="BF1151" s="102" t="str">
        <f t="shared" si="192"/>
        <v/>
      </c>
    </row>
    <row r="1152" spans="48:58" hidden="1" x14ac:dyDescent="0.25">
      <c r="AV1152">
        <v>1122</v>
      </c>
      <c r="AW1152" s="94" t="str">
        <f t="shared" ca="1" si="184"/>
        <v/>
      </c>
      <c r="AX1152" s="95" t="str">
        <f t="shared" si="188"/>
        <v/>
      </c>
      <c r="AY1152" s="98" t="str">
        <f t="shared" ca="1" si="185"/>
        <v/>
      </c>
      <c r="AZ1152" s="95" t="str">
        <f t="shared" si="189"/>
        <v/>
      </c>
      <c r="BA1152" s="99" t="str">
        <f t="shared" ca="1" si="186"/>
        <v/>
      </c>
      <c r="BB1152" s="97" t="str">
        <f t="shared" si="190"/>
        <v/>
      </c>
      <c r="BC1152" s="101" t="str">
        <f t="shared" ca="1" si="193"/>
        <v/>
      </c>
      <c r="BD1152" s="100" t="str">
        <f t="shared" si="191"/>
        <v/>
      </c>
      <c r="BE1152" s="103" t="str">
        <f t="shared" ca="1" si="187"/>
        <v/>
      </c>
      <c r="BF1152" s="102" t="str">
        <f t="shared" si="192"/>
        <v/>
      </c>
    </row>
    <row r="1153" spans="48:58" hidden="1" x14ac:dyDescent="0.25">
      <c r="AV1153">
        <v>1123</v>
      </c>
      <c r="AW1153" s="94" t="str">
        <f t="shared" ca="1" si="184"/>
        <v/>
      </c>
      <c r="AX1153" s="95" t="str">
        <f t="shared" si="188"/>
        <v/>
      </c>
      <c r="AY1153" s="98" t="str">
        <f t="shared" ca="1" si="185"/>
        <v/>
      </c>
      <c r="AZ1153" s="95" t="str">
        <f t="shared" si="189"/>
        <v/>
      </c>
      <c r="BA1153" s="99" t="str">
        <f t="shared" ca="1" si="186"/>
        <v/>
      </c>
      <c r="BB1153" s="97" t="str">
        <f t="shared" si="190"/>
        <v/>
      </c>
      <c r="BC1153" s="101" t="str">
        <f t="shared" ca="1" si="193"/>
        <v/>
      </c>
      <c r="BD1153" s="100" t="str">
        <f t="shared" si="191"/>
        <v/>
      </c>
      <c r="BE1153" s="103" t="str">
        <f t="shared" ca="1" si="187"/>
        <v/>
      </c>
      <c r="BF1153" s="102" t="str">
        <f t="shared" si="192"/>
        <v/>
      </c>
    </row>
    <row r="1154" spans="48:58" hidden="1" x14ac:dyDescent="0.25">
      <c r="AV1154">
        <v>1124</v>
      </c>
      <c r="AW1154" s="94" t="str">
        <f t="shared" ca="1" si="184"/>
        <v/>
      </c>
      <c r="AX1154" s="95" t="str">
        <f t="shared" si="188"/>
        <v/>
      </c>
      <c r="AY1154" s="98" t="str">
        <f t="shared" ca="1" si="185"/>
        <v/>
      </c>
      <c r="AZ1154" s="95" t="str">
        <f t="shared" si="189"/>
        <v/>
      </c>
      <c r="BA1154" s="99" t="str">
        <f t="shared" ca="1" si="186"/>
        <v/>
      </c>
      <c r="BB1154" s="97" t="str">
        <f t="shared" si="190"/>
        <v/>
      </c>
      <c r="BC1154" s="101" t="str">
        <f t="shared" ca="1" si="193"/>
        <v/>
      </c>
      <c r="BD1154" s="100" t="str">
        <f t="shared" si="191"/>
        <v/>
      </c>
      <c r="BE1154" s="103" t="str">
        <f t="shared" ca="1" si="187"/>
        <v/>
      </c>
      <c r="BF1154" s="102" t="str">
        <f t="shared" si="192"/>
        <v/>
      </c>
    </row>
    <row r="1155" spans="48:58" hidden="1" x14ac:dyDescent="0.25">
      <c r="AV1155">
        <v>1125</v>
      </c>
      <c r="AW1155" s="94" t="str">
        <f t="shared" ca="1" si="184"/>
        <v/>
      </c>
      <c r="AX1155" s="95" t="str">
        <f t="shared" si="188"/>
        <v/>
      </c>
      <c r="AY1155" s="98" t="str">
        <f t="shared" ca="1" si="185"/>
        <v/>
      </c>
      <c r="AZ1155" s="95" t="str">
        <f t="shared" si="189"/>
        <v/>
      </c>
      <c r="BA1155" s="99" t="str">
        <f t="shared" ca="1" si="186"/>
        <v/>
      </c>
      <c r="BB1155" s="97" t="str">
        <f t="shared" si="190"/>
        <v/>
      </c>
      <c r="BC1155" s="101" t="str">
        <f t="shared" ca="1" si="193"/>
        <v/>
      </c>
      <c r="BD1155" s="100" t="str">
        <f t="shared" si="191"/>
        <v/>
      </c>
      <c r="BE1155" s="103" t="str">
        <f t="shared" ca="1" si="187"/>
        <v/>
      </c>
      <c r="BF1155" s="102" t="str">
        <f t="shared" si="192"/>
        <v/>
      </c>
    </row>
    <row r="1156" spans="48:58" hidden="1" x14ac:dyDescent="0.25">
      <c r="AV1156">
        <v>1126</v>
      </c>
      <c r="AW1156" s="94" t="str">
        <f t="shared" ca="1" si="184"/>
        <v/>
      </c>
      <c r="AX1156" s="95" t="str">
        <f t="shared" si="188"/>
        <v/>
      </c>
      <c r="AY1156" s="98" t="str">
        <f t="shared" ca="1" si="185"/>
        <v/>
      </c>
      <c r="AZ1156" s="95" t="str">
        <f t="shared" si="189"/>
        <v/>
      </c>
      <c r="BA1156" s="99" t="str">
        <f t="shared" ca="1" si="186"/>
        <v/>
      </c>
      <c r="BB1156" s="97" t="str">
        <f t="shared" si="190"/>
        <v/>
      </c>
      <c r="BC1156" s="101" t="str">
        <f t="shared" ca="1" si="193"/>
        <v/>
      </c>
      <c r="BD1156" s="100" t="str">
        <f t="shared" si="191"/>
        <v/>
      </c>
      <c r="BE1156" s="103" t="str">
        <f t="shared" ca="1" si="187"/>
        <v/>
      </c>
      <c r="BF1156" s="102" t="str">
        <f t="shared" si="192"/>
        <v/>
      </c>
    </row>
    <row r="1157" spans="48:58" hidden="1" x14ac:dyDescent="0.25">
      <c r="AV1157">
        <v>1127</v>
      </c>
      <c r="AW1157" s="94" t="str">
        <f t="shared" ca="1" si="184"/>
        <v/>
      </c>
      <c r="AX1157" s="95" t="str">
        <f t="shared" si="188"/>
        <v/>
      </c>
      <c r="AY1157" s="98" t="str">
        <f t="shared" ca="1" si="185"/>
        <v/>
      </c>
      <c r="AZ1157" s="95" t="str">
        <f t="shared" si="189"/>
        <v/>
      </c>
      <c r="BA1157" s="99" t="str">
        <f t="shared" ca="1" si="186"/>
        <v/>
      </c>
      <c r="BB1157" s="97" t="str">
        <f t="shared" si="190"/>
        <v/>
      </c>
      <c r="BC1157" s="101" t="str">
        <f t="shared" ca="1" si="193"/>
        <v/>
      </c>
      <c r="BD1157" s="100" t="str">
        <f t="shared" si="191"/>
        <v/>
      </c>
      <c r="BE1157" s="103" t="str">
        <f t="shared" ca="1" si="187"/>
        <v/>
      </c>
      <c r="BF1157" s="102" t="str">
        <f t="shared" si="192"/>
        <v/>
      </c>
    </row>
    <row r="1158" spans="48:58" hidden="1" x14ac:dyDescent="0.25">
      <c r="AV1158">
        <v>1128</v>
      </c>
      <c r="AW1158" s="94" t="str">
        <f t="shared" ca="1" si="184"/>
        <v/>
      </c>
      <c r="AX1158" s="95" t="str">
        <f t="shared" si="188"/>
        <v/>
      </c>
      <c r="AY1158" s="98" t="str">
        <f t="shared" ca="1" si="185"/>
        <v/>
      </c>
      <c r="AZ1158" s="95" t="str">
        <f t="shared" si="189"/>
        <v/>
      </c>
      <c r="BA1158" s="99" t="str">
        <f t="shared" ca="1" si="186"/>
        <v/>
      </c>
      <c r="BB1158" s="97" t="str">
        <f t="shared" si="190"/>
        <v/>
      </c>
      <c r="BC1158" s="101" t="str">
        <f t="shared" ca="1" si="193"/>
        <v/>
      </c>
      <c r="BD1158" s="100" t="str">
        <f t="shared" si="191"/>
        <v/>
      </c>
      <c r="BE1158" s="103" t="str">
        <f t="shared" ca="1" si="187"/>
        <v/>
      </c>
      <c r="BF1158" s="102" t="str">
        <f t="shared" si="192"/>
        <v/>
      </c>
    </row>
    <row r="1159" spans="48:58" hidden="1" x14ac:dyDescent="0.25">
      <c r="AV1159">
        <v>1129</v>
      </c>
      <c r="AW1159" s="94" t="str">
        <f t="shared" ca="1" si="184"/>
        <v/>
      </c>
      <c r="AX1159" s="95" t="str">
        <f t="shared" si="188"/>
        <v/>
      </c>
      <c r="AY1159" s="98" t="str">
        <f t="shared" ca="1" si="185"/>
        <v/>
      </c>
      <c r="AZ1159" s="95" t="str">
        <f t="shared" si="189"/>
        <v/>
      </c>
      <c r="BA1159" s="99" t="str">
        <f t="shared" ca="1" si="186"/>
        <v/>
      </c>
      <c r="BB1159" s="97" t="str">
        <f t="shared" si="190"/>
        <v/>
      </c>
      <c r="BC1159" s="101" t="str">
        <f t="shared" ca="1" si="193"/>
        <v/>
      </c>
      <c r="BD1159" s="100" t="str">
        <f t="shared" si="191"/>
        <v/>
      </c>
      <c r="BE1159" s="103" t="str">
        <f t="shared" ca="1" si="187"/>
        <v/>
      </c>
      <c r="BF1159" s="102" t="str">
        <f t="shared" si="192"/>
        <v/>
      </c>
    </row>
    <row r="1160" spans="48:58" hidden="1" x14ac:dyDescent="0.25">
      <c r="AV1160">
        <v>1130</v>
      </c>
      <c r="AW1160" s="94" t="str">
        <f t="shared" ca="1" si="184"/>
        <v/>
      </c>
      <c r="AX1160" s="95" t="str">
        <f t="shared" si="188"/>
        <v/>
      </c>
      <c r="AY1160" s="98" t="str">
        <f t="shared" ca="1" si="185"/>
        <v/>
      </c>
      <c r="AZ1160" s="95" t="str">
        <f t="shared" si="189"/>
        <v/>
      </c>
      <c r="BA1160" s="99" t="str">
        <f t="shared" ca="1" si="186"/>
        <v/>
      </c>
      <c r="BB1160" s="97" t="str">
        <f t="shared" si="190"/>
        <v/>
      </c>
      <c r="BC1160" s="101" t="str">
        <f t="shared" ca="1" si="193"/>
        <v/>
      </c>
      <c r="BD1160" s="100" t="str">
        <f t="shared" si="191"/>
        <v/>
      </c>
      <c r="BE1160" s="103" t="str">
        <f t="shared" ca="1" si="187"/>
        <v/>
      </c>
      <c r="BF1160" s="102" t="str">
        <f t="shared" si="192"/>
        <v/>
      </c>
    </row>
    <row r="1161" spans="48:58" hidden="1" x14ac:dyDescent="0.25">
      <c r="AV1161">
        <v>1131</v>
      </c>
      <c r="AW1161" s="94" t="str">
        <f t="shared" ca="1" si="184"/>
        <v/>
      </c>
      <c r="AX1161" s="95" t="str">
        <f t="shared" si="188"/>
        <v/>
      </c>
      <c r="AY1161" s="98" t="str">
        <f t="shared" ca="1" si="185"/>
        <v/>
      </c>
      <c r="AZ1161" s="95" t="str">
        <f t="shared" si="189"/>
        <v/>
      </c>
      <c r="BA1161" s="99" t="str">
        <f t="shared" ca="1" si="186"/>
        <v/>
      </c>
      <c r="BB1161" s="97" t="str">
        <f t="shared" si="190"/>
        <v/>
      </c>
      <c r="BC1161" s="101" t="str">
        <f t="shared" ca="1" si="193"/>
        <v/>
      </c>
      <c r="BD1161" s="100" t="str">
        <f t="shared" si="191"/>
        <v/>
      </c>
      <c r="BE1161" s="103" t="str">
        <f t="shared" ca="1" si="187"/>
        <v/>
      </c>
      <c r="BF1161" s="102" t="str">
        <f t="shared" si="192"/>
        <v/>
      </c>
    </row>
    <row r="1162" spans="48:58" hidden="1" x14ac:dyDescent="0.25">
      <c r="AV1162">
        <v>1132</v>
      </c>
      <c r="AW1162" s="94" t="str">
        <f t="shared" ca="1" si="184"/>
        <v/>
      </c>
      <c r="AX1162" s="95" t="str">
        <f t="shared" si="188"/>
        <v/>
      </c>
      <c r="AY1162" s="98" t="str">
        <f t="shared" ca="1" si="185"/>
        <v/>
      </c>
      <c r="AZ1162" s="95" t="str">
        <f t="shared" si="189"/>
        <v/>
      </c>
      <c r="BA1162" s="99" t="str">
        <f t="shared" ca="1" si="186"/>
        <v/>
      </c>
      <c r="BB1162" s="97" t="str">
        <f t="shared" si="190"/>
        <v/>
      </c>
      <c r="BC1162" s="101" t="str">
        <f t="shared" ca="1" si="193"/>
        <v/>
      </c>
      <c r="BD1162" s="100" t="str">
        <f t="shared" si="191"/>
        <v/>
      </c>
      <c r="BE1162" s="103" t="str">
        <f t="shared" ca="1" si="187"/>
        <v/>
      </c>
      <c r="BF1162" s="102" t="str">
        <f t="shared" si="192"/>
        <v/>
      </c>
    </row>
    <row r="1163" spans="48:58" hidden="1" x14ac:dyDescent="0.25">
      <c r="AV1163">
        <v>1133</v>
      </c>
      <c r="AW1163" s="94" t="str">
        <f t="shared" ca="1" si="184"/>
        <v/>
      </c>
      <c r="AX1163" s="95" t="str">
        <f t="shared" si="188"/>
        <v/>
      </c>
      <c r="AY1163" s="98" t="str">
        <f t="shared" ca="1" si="185"/>
        <v/>
      </c>
      <c r="AZ1163" s="95" t="str">
        <f t="shared" si="189"/>
        <v/>
      </c>
      <c r="BA1163" s="99" t="str">
        <f t="shared" ca="1" si="186"/>
        <v/>
      </c>
      <c r="BB1163" s="97" t="str">
        <f t="shared" si="190"/>
        <v/>
      </c>
      <c r="BC1163" s="101" t="str">
        <f t="shared" ca="1" si="193"/>
        <v/>
      </c>
      <c r="BD1163" s="100" t="str">
        <f t="shared" si="191"/>
        <v/>
      </c>
      <c r="BE1163" s="103" t="str">
        <f t="shared" ca="1" si="187"/>
        <v/>
      </c>
      <c r="BF1163" s="102" t="str">
        <f t="shared" si="192"/>
        <v/>
      </c>
    </row>
    <row r="1164" spans="48:58" hidden="1" x14ac:dyDescent="0.25">
      <c r="AV1164">
        <v>1134</v>
      </c>
      <c r="AW1164" s="94" t="str">
        <f t="shared" ca="1" si="184"/>
        <v/>
      </c>
      <c r="AX1164" s="95" t="str">
        <f t="shared" si="188"/>
        <v/>
      </c>
      <c r="AY1164" s="98" t="str">
        <f t="shared" ca="1" si="185"/>
        <v/>
      </c>
      <c r="AZ1164" s="95" t="str">
        <f t="shared" si="189"/>
        <v/>
      </c>
      <c r="BA1164" s="99" t="str">
        <f t="shared" ca="1" si="186"/>
        <v/>
      </c>
      <c r="BB1164" s="97" t="str">
        <f t="shared" si="190"/>
        <v/>
      </c>
      <c r="BC1164" s="101" t="str">
        <f t="shared" ca="1" si="193"/>
        <v/>
      </c>
      <c r="BD1164" s="100" t="str">
        <f t="shared" si="191"/>
        <v/>
      </c>
      <c r="BE1164" s="103" t="str">
        <f t="shared" ca="1" si="187"/>
        <v/>
      </c>
      <c r="BF1164" s="102" t="str">
        <f t="shared" si="192"/>
        <v/>
      </c>
    </row>
    <row r="1165" spans="48:58" hidden="1" x14ac:dyDescent="0.25">
      <c r="AV1165">
        <v>1135</v>
      </c>
      <c r="AW1165" s="94" t="str">
        <f t="shared" ca="1" si="184"/>
        <v/>
      </c>
      <c r="AX1165" s="95" t="str">
        <f t="shared" si="188"/>
        <v/>
      </c>
      <c r="AY1165" s="98" t="str">
        <f t="shared" ca="1" si="185"/>
        <v/>
      </c>
      <c r="AZ1165" s="95" t="str">
        <f t="shared" si="189"/>
        <v/>
      </c>
      <c r="BA1165" s="99" t="str">
        <f t="shared" ca="1" si="186"/>
        <v/>
      </c>
      <c r="BB1165" s="97" t="str">
        <f t="shared" si="190"/>
        <v/>
      </c>
      <c r="BC1165" s="101" t="str">
        <f t="shared" ca="1" si="193"/>
        <v/>
      </c>
      <c r="BD1165" s="100" t="str">
        <f t="shared" si="191"/>
        <v/>
      </c>
      <c r="BE1165" s="103" t="str">
        <f t="shared" ca="1" si="187"/>
        <v/>
      </c>
      <c r="BF1165" s="102" t="str">
        <f t="shared" si="192"/>
        <v/>
      </c>
    </row>
    <row r="1166" spans="48:58" hidden="1" x14ac:dyDescent="0.25">
      <c r="AV1166">
        <v>1136</v>
      </c>
      <c r="AW1166" s="94" t="str">
        <f t="shared" ca="1" si="184"/>
        <v/>
      </c>
      <c r="AX1166" s="95" t="str">
        <f t="shared" si="188"/>
        <v/>
      </c>
      <c r="AY1166" s="98" t="str">
        <f t="shared" ca="1" si="185"/>
        <v/>
      </c>
      <c r="AZ1166" s="95" t="str">
        <f t="shared" si="189"/>
        <v/>
      </c>
      <c r="BA1166" s="99" t="str">
        <f t="shared" ca="1" si="186"/>
        <v/>
      </c>
      <c r="BB1166" s="97" t="str">
        <f t="shared" si="190"/>
        <v/>
      </c>
      <c r="BC1166" s="101" t="str">
        <f t="shared" ca="1" si="193"/>
        <v/>
      </c>
      <c r="BD1166" s="100" t="str">
        <f t="shared" si="191"/>
        <v/>
      </c>
      <c r="BE1166" s="103" t="str">
        <f t="shared" ca="1" si="187"/>
        <v/>
      </c>
      <c r="BF1166" s="102" t="str">
        <f t="shared" si="192"/>
        <v/>
      </c>
    </row>
    <row r="1167" spans="48:58" hidden="1" x14ac:dyDescent="0.25">
      <c r="AV1167">
        <v>1137</v>
      </c>
      <c r="AW1167" s="94" t="str">
        <f t="shared" ca="1" si="184"/>
        <v/>
      </c>
      <c r="AX1167" s="95" t="str">
        <f t="shared" si="188"/>
        <v/>
      </c>
      <c r="AY1167" s="98" t="str">
        <f t="shared" ca="1" si="185"/>
        <v/>
      </c>
      <c r="AZ1167" s="95" t="str">
        <f t="shared" si="189"/>
        <v/>
      </c>
      <c r="BA1167" s="99" t="str">
        <f t="shared" ca="1" si="186"/>
        <v/>
      </c>
      <c r="BB1167" s="97" t="str">
        <f t="shared" si="190"/>
        <v/>
      </c>
      <c r="BC1167" s="101" t="str">
        <f t="shared" ca="1" si="193"/>
        <v/>
      </c>
      <c r="BD1167" s="100" t="str">
        <f t="shared" si="191"/>
        <v/>
      </c>
      <c r="BE1167" s="103" t="str">
        <f t="shared" ca="1" si="187"/>
        <v/>
      </c>
      <c r="BF1167" s="102" t="str">
        <f t="shared" si="192"/>
        <v/>
      </c>
    </row>
    <row r="1168" spans="48:58" hidden="1" x14ac:dyDescent="0.25">
      <c r="AV1168">
        <v>1138</v>
      </c>
      <c r="AW1168" s="94" t="str">
        <f t="shared" ca="1" si="184"/>
        <v/>
      </c>
      <c r="AX1168" s="95" t="str">
        <f t="shared" si="188"/>
        <v/>
      </c>
      <c r="AY1168" s="98" t="str">
        <f t="shared" ca="1" si="185"/>
        <v/>
      </c>
      <c r="AZ1168" s="95" t="str">
        <f t="shared" si="189"/>
        <v/>
      </c>
      <c r="BA1168" s="99" t="str">
        <f t="shared" ca="1" si="186"/>
        <v/>
      </c>
      <c r="BB1168" s="97" t="str">
        <f t="shared" si="190"/>
        <v/>
      </c>
      <c r="BC1168" s="101" t="str">
        <f t="shared" ca="1" si="193"/>
        <v/>
      </c>
      <c r="BD1168" s="100" t="str">
        <f t="shared" si="191"/>
        <v/>
      </c>
      <c r="BE1168" s="103" t="str">
        <f t="shared" ca="1" si="187"/>
        <v/>
      </c>
      <c r="BF1168" s="102" t="str">
        <f t="shared" si="192"/>
        <v/>
      </c>
    </row>
    <row r="1169" spans="48:58" hidden="1" x14ac:dyDescent="0.25">
      <c r="AV1169">
        <v>1139</v>
      </c>
      <c r="AW1169" s="94" t="str">
        <f t="shared" ca="1" si="184"/>
        <v/>
      </c>
      <c r="AX1169" s="95" t="str">
        <f t="shared" si="188"/>
        <v/>
      </c>
      <c r="AY1169" s="98" t="str">
        <f t="shared" ca="1" si="185"/>
        <v/>
      </c>
      <c r="AZ1169" s="95" t="str">
        <f t="shared" si="189"/>
        <v/>
      </c>
      <c r="BA1169" s="99" t="str">
        <f t="shared" ca="1" si="186"/>
        <v/>
      </c>
      <c r="BB1169" s="97" t="str">
        <f t="shared" si="190"/>
        <v/>
      </c>
      <c r="BC1169" s="101" t="str">
        <f t="shared" ca="1" si="193"/>
        <v/>
      </c>
      <c r="BD1169" s="100" t="str">
        <f t="shared" si="191"/>
        <v/>
      </c>
      <c r="BE1169" s="103" t="str">
        <f t="shared" ca="1" si="187"/>
        <v/>
      </c>
      <c r="BF1169" s="102" t="str">
        <f t="shared" si="192"/>
        <v/>
      </c>
    </row>
    <row r="1170" spans="48:58" hidden="1" x14ac:dyDescent="0.25">
      <c r="AV1170">
        <v>1140</v>
      </c>
      <c r="AW1170" s="94" t="str">
        <f t="shared" ca="1" si="184"/>
        <v/>
      </c>
      <c r="AX1170" s="95" t="str">
        <f t="shared" si="188"/>
        <v/>
      </c>
      <c r="AY1170" s="98" t="str">
        <f t="shared" ca="1" si="185"/>
        <v/>
      </c>
      <c r="AZ1170" s="95" t="str">
        <f t="shared" si="189"/>
        <v/>
      </c>
      <c r="BA1170" s="99" t="str">
        <f t="shared" ca="1" si="186"/>
        <v/>
      </c>
      <c r="BB1170" s="97" t="str">
        <f t="shared" si="190"/>
        <v/>
      </c>
      <c r="BC1170" s="101" t="str">
        <f t="shared" ca="1" si="193"/>
        <v/>
      </c>
      <c r="BD1170" s="100" t="str">
        <f t="shared" si="191"/>
        <v/>
      </c>
      <c r="BE1170" s="103" t="str">
        <f t="shared" ca="1" si="187"/>
        <v/>
      </c>
      <c r="BF1170" s="102" t="str">
        <f t="shared" si="192"/>
        <v/>
      </c>
    </row>
    <row r="1171" spans="48:58" hidden="1" x14ac:dyDescent="0.25">
      <c r="AV1171">
        <v>1141</v>
      </c>
      <c r="AW1171" s="94" t="str">
        <f t="shared" ca="1" si="184"/>
        <v/>
      </c>
      <c r="AX1171" s="95" t="str">
        <f t="shared" si="188"/>
        <v/>
      </c>
      <c r="AY1171" s="98" t="str">
        <f t="shared" ca="1" si="185"/>
        <v/>
      </c>
      <c r="AZ1171" s="95" t="str">
        <f t="shared" si="189"/>
        <v/>
      </c>
      <c r="BA1171" s="99" t="str">
        <f t="shared" ca="1" si="186"/>
        <v/>
      </c>
      <c r="BB1171" s="97" t="str">
        <f t="shared" si="190"/>
        <v/>
      </c>
      <c r="BC1171" s="101" t="str">
        <f t="shared" ca="1" si="193"/>
        <v/>
      </c>
      <c r="BD1171" s="100" t="str">
        <f t="shared" si="191"/>
        <v/>
      </c>
      <c r="BE1171" s="103" t="str">
        <f t="shared" ca="1" si="187"/>
        <v/>
      </c>
      <c r="BF1171" s="102" t="str">
        <f t="shared" si="192"/>
        <v/>
      </c>
    </row>
    <row r="1172" spans="48:58" hidden="1" x14ac:dyDescent="0.25">
      <c r="AV1172">
        <v>1142</v>
      </c>
      <c r="AW1172" s="94" t="str">
        <f t="shared" ca="1" si="184"/>
        <v/>
      </c>
      <c r="AX1172" s="95" t="str">
        <f t="shared" si="188"/>
        <v/>
      </c>
      <c r="AY1172" s="98" t="str">
        <f t="shared" ca="1" si="185"/>
        <v/>
      </c>
      <c r="AZ1172" s="95" t="str">
        <f t="shared" si="189"/>
        <v/>
      </c>
      <c r="BA1172" s="99" t="str">
        <f t="shared" ca="1" si="186"/>
        <v/>
      </c>
      <c r="BB1172" s="97" t="str">
        <f t="shared" si="190"/>
        <v/>
      </c>
      <c r="BC1172" s="101" t="str">
        <f t="shared" ca="1" si="193"/>
        <v/>
      </c>
      <c r="BD1172" s="100" t="str">
        <f t="shared" si="191"/>
        <v/>
      </c>
      <c r="BE1172" s="103" t="str">
        <f t="shared" ca="1" si="187"/>
        <v/>
      </c>
      <c r="BF1172" s="102" t="str">
        <f t="shared" si="192"/>
        <v/>
      </c>
    </row>
    <row r="1173" spans="48:58" hidden="1" x14ac:dyDescent="0.25">
      <c r="AV1173">
        <v>1143</v>
      </c>
      <c r="AW1173" s="94" t="str">
        <f t="shared" ca="1" si="184"/>
        <v/>
      </c>
      <c r="AX1173" s="95" t="str">
        <f t="shared" si="188"/>
        <v/>
      </c>
      <c r="AY1173" s="98" t="str">
        <f t="shared" ca="1" si="185"/>
        <v/>
      </c>
      <c r="AZ1173" s="95" t="str">
        <f t="shared" si="189"/>
        <v/>
      </c>
      <c r="BA1173" s="99" t="str">
        <f t="shared" ca="1" si="186"/>
        <v/>
      </c>
      <c r="BB1173" s="97" t="str">
        <f t="shared" si="190"/>
        <v/>
      </c>
      <c r="BC1173" s="101" t="str">
        <f t="shared" ca="1" si="193"/>
        <v/>
      </c>
      <c r="BD1173" s="100" t="str">
        <f t="shared" si="191"/>
        <v/>
      </c>
      <c r="BE1173" s="103" t="str">
        <f t="shared" ca="1" si="187"/>
        <v/>
      </c>
      <c r="BF1173" s="102" t="str">
        <f t="shared" si="192"/>
        <v/>
      </c>
    </row>
    <row r="1174" spans="48:58" hidden="1" x14ac:dyDescent="0.25">
      <c r="AV1174">
        <v>1144</v>
      </c>
      <c r="AW1174" s="94" t="str">
        <f t="shared" ca="1" si="184"/>
        <v/>
      </c>
      <c r="AX1174" s="95" t="str">
        <f t="shared" si="188"/>
        <v/>
      </c>
      <c r="AY1174" s="98" t="str">
        <f t="shared" ca="1" si="185"/>
        <v/>
      </c>
      <c r="AZ1174" s="95" t="str">
        <f t="shared" si="189"/>
        <v/>
      </c>
      <c r="BA1174" s="99" t="str">
        <f t="shared" ca="1" si="186"/>
        <v/>
      </c>
      <c r="BB1174" s="97" t="str">
        <f t="shared" si="190"/>
        <v/>
      </c>
      <c r="BC1174" s="101" t="str">
        <f t="shared" ca="1" si="193"/>
        <v/>
      </c>
      <c r="BD1174" s="100" t="str">
        <f t="shared" si="191"/>
        <v/>
      </c>
      <c r="BE1174" s="103" t="str">
        <f t="shared" ca="1" si="187"/>
        <v/>
      </c>
      <c r="BF1174" s="102" t="str">
        <f t="shared" si="192"/>
        <v/>
      </c>
    </row>
    <row r="1175" spans="48:58" hidden="1" x14ac:dyDescent="0.25">
      <c r="AV1175">
        <v>1145</v>
      </c>
      <c r="AW1175" s="94" t="str">
        <f t="shared" ca="1" si="184"/>
        <v/>
      </c>
      <c r="AX1175" s="95" t="str">
        <f t="shared" si="188"/>
        <v/>
      </c>
      <c r="AY1175" s="98" t="str">
        <f t="shared" ca="1" si="185"/>
        <v/>
      </c>
      <c r="AZ1175" s="95" t="str">
        <f t="shared" si="189"/>
        <v/>
      </c>
      <c r="BA1175" s="99" t="str">
        <f t="shared" ca="1" si="186"/>
        <v/>
      </c>
      <c r="BB1175" s="97" t="str">
        <f t="shared" si="190"/>
        <v/>
      </c>
      <c r="BC1175" s="101" t="str">
        <f t="shared" ca="1" si="193"/>
        <v/>
      </c>
      <c r="BD1175" s="100" t="str">
        <f t="shared" si="191"/>
        <v/>
      </c>
      <c r="BE1175" s="103" t="str">
        <f t="shared" ca="1" si="187"/>
        <v/>
      </c>
      <c r="BF1175" s="102" t="str">
        <f t="shared" si="192"/>
        <v/>
      </c>
    </row>
    <row r="1176" spans="48:58" hidden="1" x14ac:dyDescent="0.25">
      <c r="AV1176">
        <v>1146</v>
      </c>
      <c r="AW1176" s="94" t="str">
        <f t="shared" ca="1" si="184"/>
        <v/>
      </c>
      <c r="AX1176" s="95" t="str">
        <f t="shared" si="188"/>
        <v/>
      </c>
      <c r="AY1176" s="98" t="str">
        <f t="shared" ca="1" si="185"/>
        <v/>
      </c>
      <c r="AZ1176" s="95" t="str">
        <f t="shared" si="189"/>
        <v/>
      </c>
      <c r="BA1176" s="99" t="str">
        <f t="shared" ca="1" si="186"/>
        <v/>
      </c>
      <c r="BB1176" s="97" t="str">
        <f t="shared" si="190"/>
        <v/>
      </c>
      <c r="BC1176" s="101" t="str">
        <f t="shared" ca="1" si="193"/>
        <v/>
      </c>
      <c r="BD1176" s="100" t="str">
        <f t="shared" si="191"/>
        <v/>
      </c>
      <c r="BE1176" s="103" t="str">
        <f t="shared" ca="1" si="187"/>
        <v/>
      </c>
      <c r="BF1176" s="102" t="str">
        <f t="shared" si="192"/>
        <v/>
      </c>
    </row>
    <row r="1177" spans="48:58" hidden="1" x14ac:dyDescent="0.25">
      <c r="AV1177">
        <v>1147</v>
      </c>
      <c r="AW1177" s="94" t="str">
        <f t="shared" ca="1" si="184"/>
        <v/>
      </c>
      <c r="AX1177" s="95" t="str">
        <f t="shared" si="188"/>
        <v/>
      </c>
      <c r="AY1177" s="98" t="str">
        <f t="shared" ca="1" si="185"/>
        <v/>
      </c>
      <c r="AZ1177" s="95" t="str">
        <f t="shared" si="189"/>
        <v/>
      </c>
      <c r="BA1177" s="99" t="str">
        <f t="shared" ca="1" si="186"/>
        <v/>
      </c>
      <c r="BB1177" s="97" t="str">
        <f t="shared" si="190"/>
        <v/>
      </c>
      <c r="BC1177" s="101" t="str">
        <f t="shared" ca="1" si="193"/>
        <v/>
      </c>
      <c r="BD1177" s="100" t="str">
        <f t="shared" si="191"/>
        <v/>
      </c>
      <c r="BE1177" s="103" t="str">
        <f t="shared" ca="1" si="187"/>
        <v/>
      </c>
      <c r="BF1177" s="102" t="str">
        <f t="shared" si="192"/>
        <v/>
      </c>
    </row>
    <row r="1178" spans="48:58" hidden="1" x14ac:dyDescent="0.25">
      <c r="AV1178">
        <v>1148</v>
      </c>
      <c r="AW1178" s="94" t="str">
        <f t="shared" ca="1" si="184"/>
        <v/>
      </c>
      <c r="AX1178" s="95" t="str">
        <f t="shared" si="188"/>
        <v/>
      </c>
      <c r="AY1178" s="98" t="str">
        <f t="shared" ca="1" si="185"/>
        <v/>
      </c>
      <c r="AZ1178" s="95" t="str">
        <f t="shared" si="189"/>
        <v/>
      </c>
      <c r="BA1178" s="99" t="str">
        <f t="shared" ca="1" si="186"/>
        <v/>
      </c>
      <c r="BB1178" s="97" t="str">
        <f t="shared" si="190"/>
        <v/>
      </c>
      <c r="BC1178" s="101" t="str">
        <f t="shared" ca="1" si="193"/>
        <v/>
      </c>
      <c r="BD1178" s="100" t="str">
        <f t="shared" si="191"/>
        <v/>
      </c>
      <c r="BE1178" s="103" t="str">
        <f t="shared" ca="1" si="187"/>
        <v/>
      </c>
      <c r="BF1178" s="102" t="str">
        <f t="shared" si="192"/>
        <v/>
      </c>
    </row>
    <row r="1179" spans="48:58" hidden="1" x14ac:dyDescent="0.25">
      <c r="AV1179">
        <v>1149</v>
      </c>
      <c r="AW1179" s="94" t="str">
        <f t="shared" ca="1" si="184"/>
        <v/>
      </c>
      <c r="AX1179" s="95" t="str">
        <f t="shared" si="188"/>
        <v/>
      </c>
      <c r="AY1179" s="98" t="str">
        <f t="shared" ca="1" si="185"/>
        <v/>
      </c>
      <c r="AZ1179" s="95" t="str">
        <f t="shared" si="189"/>
        <v/>
      </c>
      <c r="BA1179" s="99" t="str">
        <f t="shared" ca="1" si="186"/>
        <v/>
      </c>
      <c r="BB1179" s="97" t="str">
        <f t="shared" si="190"/>
        <v/>
      </c>
      <c r="BC1179" s="101" t="str">
        <f t="shared" ca="1" si="193"/>
        <v/>
      </c>
      <c r="BD1179" s="100" t="str">
        <f t="shared" si="191"/>
        <v/>
      </c>
      <c r="BE1179" s="103" t="str">
        <f t="shared" ca="1" si="187"/>
        <v/>
      </c>
      <c r="BF1179" s="102" t="str">
        <f t="shared" si="192"/>
        <v/>
      </c>
    </row>
    <row r="1180" spans="48:58" hidden="1" x14ac:dyDescent="0.25">
      <c r="AV1180">
        <v>1150</v>
      </c>
      <c r="AW1180" s="94" t="str">
        <f t="shared" ca="1" si="184"/>
        <v/>
      </c>
      <c r="AX1180" s="95" t="str">
        <f t="shared" si="188"/>
        <v/>
      </c>
      <c r="AY1180" s="98" t="str">
        <f t="shared" ca="1" si="185"/>
        <v/>
      </c>
      <c r="AZ1180" s="95" t="str">
        <f t="shared" si="189"/>
        <v/>
      </c>
      <c r="BA1180" s="99" t="str">
        <f t="shared" ca="1" si="186"/>
        <v/>
      </c>
      <c r="BB1180" s="97" t="str">
        <f t="shared" si="190"/>
        <v/>
      </c>
      <c r="BC1180" s="101" t="str">
        <f t="shared" ca="1" si="193"/>
        <v/>
      </c>
      <c r="BD1180" s="100" t="str">
        <f t="shared" si="191"/>
        <v/>
      </c>
      <c r="BE1180" s="103" t="str">
        <f t="shared" ca="1" si="187"/>
        <v/>
      </c>
      <c r="BF1180" s="102" t="str">
        <f t="shared" si="192"/>
        <v/>
      </c>
    </row>
    <row r="1181" spans="48:58" hidden="1" x14ac:dyDescent="0.25">
      <c r="AV1181">
        <v>1151</v>
      </c>
      <c r="AW1181" s="94" t="str">
        <f t="shared" ca="1" si="184"/>
        <v/>
      </c>
      <c r="AX1181" s="95" t="str">
        <f t="shared" si="188"/>
        <v/>
      </c>
      <c r="AY1181" s="98" t="str">
        <f t="shared" ca="1" si="185"/>
        <v/>
      </c>
      <c r="AZ1181" s="95" t="str">
        <f t="shared" si="189"/>
        <v/>
      </c>
      <c r="BA1181" s="99" t="str">
        <f t="shared" ca="1" si="186"/>
        <v/>
      </c>
      <c r="BB1181" s="97" t="str">
        <f t="shared" si="190"/>
        <v/>
      </c>
      <c r="BC1181" s="101" t="str">
        <f t="shared" ca="1" si="193"/>
        <v/>
      </c>
      <c r="BD1181" s="100" t="str">
        <f t="shared" si="191"/>
        <v/>
      </c>
      <c r="BE1181" s="103" t="str">
        <f t="shared" ca="1" si="187"/>
        <v/>
      </c>
      <c r="BF1181" s="102" t="str">
        <f t="shared" si="192"/>
        <v/>
      </c>
    </row>
    <row r="1182" spans="48:58" hidden="1" x14ac:dyDescent="0.25">
      <c r="AV1182">
        <v>1152</v>
      </c>
      <c r="AW1182" s="94" t="str">
        <f t="shared" ca="1" si="184"/>
        <v/>
      </c>
      <c r="AX1182" s="95" t="str">
        <f t="shared" si="188"/>
        <v/>
      </c>
      <c r="AY1182" s="98" t="str">
        <f t="shared" ca="1" si="185"/>
        <v/>
      </c>
      <c r="AZ1182" s="95" t="str">
        <f t="shared" si="189"/>
        <v/>
      </c>
      <c r="BA1182" s="99" t="str">
        <f t="shared" ca="1" si="186"/>
        <v/>
      </c>
      <c r="BB1182" s="97" t="str">
        <f t="shared" si="190"/>
        <v/>
      </c>
      <c r="BC1182" s="101" t="str">
        <f t="shared" ca="1" si="193"/>
        <v/>
      </c>
      <c r="BD1182" s="100" t="str">
        <f t="shared" si="191"/>
        <v/>
      </c>
      <c r="BE1182" s="103" t="str">
        <f t="shared" ca="1" si="187"/>
        <v/>
      </c>
      <c r="BF1182" s="102" t="str">
        <f t="shared" si="192"/>
        <v/>
      </c>
    </row>
    <row r="1183" spans="48:58" hidden="1" x14ac:dyDescent="0.25">
      <c r="AV1183">
        <v>1153</v>
      </c>
      <c r="AW1183" s="94" t="str">
        <f t="shared" ref="AW1183:AW1230" ca="1" si="194">IF(T_1*12&gt;=AV1183,DATE(YEAR(TODAY()),MONTH(TODAY())+AV1183-1,DAY(TODAY())),IF(T_1*12+1&gt;=AV1183,DATE(YEAR(TODAY()),MONTH(TODAY())+T_1*12,DAY(TODAY())),""))</f>
        <v/>
      </c>
      <c r="AX1183" s="95" t="str">
        <f t="shared" si="188"/>
        <v/>
      </c>
      <c r="AY1183" s="98" t="str">
        <f t="shared" ref="AY1183:AY1230" ca="1" si="195">IF(T_2*12&gt;=$AV1183,DATE(YEAR(TODAY()),MONTH(TODAY())+$AV1183-1,DAY(TODAY())),IF(T_2*12+1&gt;=$AV1183,DATE(YEAR(TODAY()),MONTH(TODAY())+T_2*12,DAY(TODAY())),""))</f>
        <v/>
      </c>
      <c r="AZ1183" s="95" t="str">
        <f t="shared" si="189"/>
        <v/>
      </c>
      <c r="BA1183" s="99" t="str">
        <f t="shared" ref="BA1183:BA1230" ca="1" si="196">IF(T_3*12&gt;=$AV1183,DATE(YEAR(TODAY()),MONTH(TODAY())+$AV1183-1,DAY(TODAY())),IF(T_3*12+1&gt;=$AV1183,DATE(YEAR(TODAY()),MONTH(TODAY())+T_3*12,DAY(TODAY())),""))</f>
        <v/>
      </c>
      <c r="BB1183" s="97" t="str">
        <f t="shared" si="190"/>
        <v/>
      </c>
      <c r="BC1183" s="101" t="str">
        <f t="shared" ca="1" si="193"/>
        <v/>
      </c>
      <c r="BD1183" s="100" t="str">
        <f t="shared" si="191"/>
        <v/>
      </c>
      <c r="BE1183" s="103" t="str">
        <f t="shared" ref="BE1183:BE1230" ca="1" si="197">IF(T_5*12&gt;=$AV1183,DATE(YEAR(TODAY()),MONTH(TODAY())+$AV1183-1,DAY(TODAY())),IF(T_5*12+1&gt;=$AV1183,DATE(YEAR(TODAY()),MONTH(TODAY())+T_5*12,DAY(TODAY())),""))</f>
        <v/>
      </c>
      <c r="BF1183" s="102" t="str">
        <f t="shared" si="192"/>
        <v/>
      </c>
    </row>
    <row r="1184" spans="48:58" hidden="1" x14ac:dyDescent="0.25">
      <c r="AV1184">
        <v>1154</v>
      </c>
      <c r="AW1184" s="94" t="str">
        <f t="shared" ca="1" si="194"/>
        <v/>
      </c>
      <c r="AX1184" s="95" t="str">
        <f t="shared" ref="AX1184:AX1230" si="198">IF(T_1*12&gt;=AV1184,-1*$I$15,IF(T_1*12+1&gt;=AV1184,InfG_1,""))</f>
        <v/>
      </c>
      <c r="AY1184" s="98" t="str">
        <f t="shared" ca="1" si="195"/>
        <v/>
      </c>
      <c r="AZ1184" s="95" t="str">
        <f t="shared" ref="AZ1184:AZ1230" si="199">IF(T_2*12&gt;=$AV1184,-1*$I$17,IF(T_2*12+1&gt;=$AV1184,InfG_2,""))</f>
        <v/>
      </c>
      <c r="BA1184" s="99" t="str">
        <f t="shared" ca="1" si="196"/>
        <v/>
      </c>
      <c r="BB1184" s="97" t="str">
        <f t="shared" ref="BB1184:BB1230" si="200">IF(T_3*12&gt;=$AV1184,-1*$I$19,IF(T_3*12+1&gt;=$AV1184,InfG_3,""))</f>
        <v/>
      </c>
      <c r="BC1184" s="101" t="str">
        <f t="shared" ca="1" si="193"/>
        <v/>
      </c>
      <c r="BD1184" s="100" t="str">
        <f t="shared" ref="BD1184:BD1230" si="201">IF(T_4*12&gt;=$AV1184,-1*$I$21,IF(T_4*12+1&gt;=$AV1184,InfG_4,""))</f>
        <v/>
      </c>
      <c r="BE1184" s="103" t="str">
        <f t="shared" ca="1" si="197"/>
        <v/>
      </c>
      <c r="BF1184" s="102" t="str">
        <f t="shared" ref="BF1184:BF1230" si="202">IF(T_5*12&gt;=$AV1184,-1*$I$23,IF(T_5*12+1&gt;=$AV1184,InfG_5,""))</f>
        <v/>
      </c>
    </row>
    <row r="1185" spans="48:58" hidden="1" x14ac:dyDescent="0.25">
      <c r="AV1185">
        <v>1155</v>
      </c>
      <c r="AW1185" s="94" t="str">
        <f t="shared" ca="1" si="194"/>
        <v/>
      </c>
      <c r="AX1185" s="95" t="str">
        <f t="shared" si="198"/>
        <v/>
      </c>
      <c r="AY1185" s="98" t="str">
        <f t="shared" ca="1" si="195"/>
        <v/>
      </c>
      <c r="AZ1185" s="95" t="str">
        <f t="shared" si="199"/>
        <v/>
      </c>
      <c r="BA1185" s="99" t="str">
        <f t="shared" ca="1" si="196"/>
        <v/>
      </c>
      <c r="BB1185" s="97" t="str">
        <f t="shared" si="200"/>
        <v/>
      </c>
      <c r="BC1185" s="101" t="str">
        <f t="shared" ref="BC1185:BC1230" ca="1" si="203">IF(T_4*12&gt;=AV1185,DATE(YEAR(TODAY()),MONTH(TODAY())+AV1185-1,DAY(TODAY())),IF(T_4*12+1&gt;=AV1185,DATE(YEAR(TODAY()),MONTH(TODAY())+T_4*12,DAY(TODAY())),""))</f>
        <v/>
      </c>
      <c r="BD1185" s="100" t="str">
        <f t="shared" si="201"/>
        <v/>
      </c>
      <c r="BE1185" s="103" t="str">
        <f t="shared" ca="1" si="197"/>
        <v/>
      </c>
      <c r="BF1185" s="102" t="str">
        <f t="shared" si="202"/>
        <v/>
      </c>
    </row>
    <row r="1186" spans="48:58" hidden="1" x14ac:dyDescent="0.25">
      <c r="AV1186">
        <v>1156</v>
      </c>
      <c r="AW1186" s="94" t="str">
        <f t="shared" ca="1" si="194"/>
        <v/>
      </c>
      <c r="AX1186" s="95" t="str">
        <f t="shared" si="198"/>
        <v/>
      </c>
      <c r="AY1186" s="98" t="str">
        <f t="shared" ca="1" si="195"/>
        <v/>
      </c>
      <c r="AZ1186" s="95" t="str">
        <f t="shared" si="199"/>
        <v/>
      </c>
      <c r="BA1186" s="99" t="str">
        <f t="shared" ca="1" si="196"/>
        <v/>
      </c>
      <c r="BB1186" s="97" t="str">
        <f t="shared" si="200"/>
        <v/>
      </c>
      <c r="BC1186" s="101" t="str">
        <f t="shared" ca="1" si="203"/>
        <v/>
      </c>
      <c r="BD1186" s="100" t="str">
        <f t="shared" si="201"/>
        <v/>
      </c>
      <c r="BE1186" s="103" t="str">
        <f t="shared" ca="1" si="197"/>
        <v/>
      </c>
      <c r="BF1186" s="102" t="str">
        <f t="shared" si="202"/>
        <v/>
      </c>
    </row>
    <row r="1187" spans="48:58" hidden="1" x14ac:dyDescent="0.25">
      <c r="AV1187">
        <v>1157</v>
      </c>
      <c r="AW1187" s="94" t="str">
        <f t="shared" ca="1" si="194"/>
        <v/>
      </c>
      <c r="AX1187" s="95" t="str">
        <f t="shared" si="198"/>
        <v/>
      </c>
      <c r="AY1187" s="98" t="str">
        <f t="shared" ca="1" si="195"/>
        <v/>
      </c>
      <c r="AZ1187" s="95" t="str">
        <f t="shared" si="199"/>
        <v/>
      </c>
      <c r="BA1187" s="99" t="str">
        <f t="shared" ca="1" si="196"/>
        <v/>
      </c>
      <c r="BB1187" s="97" t="str">
        <f t="shared" si="200"/>
        <v/>
      </c>
      <c r="BC1187" s="101" t="str">
        <f t="shared" ca="1" si="203"/>
        <v/>
      </c>
      <c r="BD1187" s="100" t="str">
        <f t="shared" si="201"/>
        <v/>
      </c>
      <c r="BE1187" s="103" t="str">
        <f t="shared" ca="1" si="197"/>
        <v/>
      </c>
      <c r="BF1187" s="102" t="str">
        <f t="shared" si="202"/>
        <v/>
      </c>
    </row>
    <row r="1188" spans="48:58" hidden="1" x14ac:dyDescent="0.25">
      <c r="AV1188">
        <v>1158</v>
      </c>
      <c r="AW1188" s="94" t="str">
        <f t="shared" ca="1" si="194"/>
        <v/>
      </c>
      <c r="AX1188" s="95" t="str">
        <f t="shared" si="198"/>
        <v/>
      </c>
      <c r="AY1188" s="98" t="str">
        <f t="shared" ca="1" si="195"/>
        <v/>
      </c>
      <c r="AZ1188" s="95" t="str">
        <f t="shared" si="199"/>
        <v/>
      </c>
      <c r="BA1188" s="99" t="str">
        <f t="shared" ca="1" si="196"/>
        <v/>
      </c>
      <c r="BB1188" s="97" t="str">
        <f t="shared" si="200"/>
        <v/>
      </c>
      <c r="BC1188" s="101" t="str">
        <f t="shared" ca="1" si="203"/>
        <v/>
      </c>
      <c r="BD1188" s="100" t="str">
        <f t="shared" si="201"/>
        <v/>
      </c>
      <c r="BE1188" s="103" t="str">
        <f t="shared" ca="1" si="197"/>
        <v/>
      </c>
      <c r="BF1188" s="102" t="str">
        <f t="shared" si="202"/>
        <v/>
      </c>
    </row>
    <row r="1189" spans="48:58" hidden="1" x14ac:dyDescent="0.25">
      <c r="AV1189">
        <v>1159</v>
      </c>
      <c r="AW1189" s="94" t="str">
        <f t="shared" ca="1" si="194"/>
        <v/>
      </c>
      <c r="AX1189" s="95" t="str">
        <f t="shared" si="198"/>
        <v/>
      </c>
      <c r="AY1189" s="98" t="str">
        <f t="shared" ca="1" si="195"/>
        <v/>
      </c>
      <c r="AZ1189" s="95" t="str">
        <f t="shared" si="199"/>
        <v/>
      </c>
      <c r="BA1189" s="99" t="str">
        <f t="shared" ca="1" si="196"/>
        <v/>
      </c>
      <c r="BB1189" s="97" t="str">
        <f t="shared" si="200"/>
        <v/>
      </c>
      <c r="BC1189" s="101" t="str">
        <f t="shared" ca="1" si="203"/>
        <v/>
      </c>
      <c r="BD1189" s="100" t="str">
        <f t="shared" si="201"/>
        <v/>
      </c>
      <c r="BE1189" s="103" t="str">
        <f t="shared" ca="1" si="197"/>
        <v/>
      </c>
      <c r="BF1189" s="102" t="str">
        <f t="shared" si="202"/>
        <v/>
      </c>
    </row>
    <row r="1190" spans="48:58" hidden="1" x14ac:dyDescent="0.25">
      <c r="AV1190">
        <v>1160</v>
      </c>
      <c r="AW1190" s="94" t="str">
        <f t="shared" ca="1" si="194"/>
        <v/>
      </c>
      <c r="AX1190" s="95" t="str">
        <f t="shared" si="198"/>
        <v/>
      </c>
      <c r="AY1190" s="98" t="str">
        <f t="shared" ca="1" si="195"/>
        <v/>
      </c>
      <c r="AZ1190" s="95" t="str">
        <f t="shared" si="199"/>
        <v/>
      </c>
      <c r="BA1190" s="99" t="str">
        <f t="shared" ca="1" si="196"/>
        <v/>
      </c>
      <c r="BB1190" s="97" t="str">
        <f t="shared" si="200"/>
        <v/>
      </c>
      <c r="BC1190" s="101" t="str">
        <f t="shared" ca="1" si="203"/>
        <v/>
      </c>
      <c r="BD1190" s="100" t="str">
        <f t="shared" si="201"/>
        <v/>
      </c>
      <c r="BE1190" s="103" t="str">
        <f t="shared" ca="1" si="197"/>
        <v/>
      </c>
      <c r="BF1190" s="102" t="str">
        <f t="shared" si="202"/>
        <v/>
      </c>
    </row>
    <row r="1191" spans="48:58" hidden="1" x14ac:dyDescent="0.25">
      <c r="AV1191">
        <v>1161</v>
      </c>
      <c r="AW1191" s="94" t="str">
        <f t="shared" ca="1" si="194"/>
        <v/>
      </c>
      <c r="AX1191" s="95" t="str">
        <f t="shared" si="198"/>
        <v/>
      </c>
      <c r="AY1191" s="98" t="str">
        <f t="shared" ca="1" si="195"/>
        <v/>
      </c>
      <c r="AZ1191" s="95" t="str">
        <f t="shared" si="199"/>
        <v/>
      </c>
      <c r="BA1191" s="99" t="str">
        <f t="shared" ca="1" si="196"/>
        <v/>
      </c>
      <c r="BB1191" s="97" t="str">
        <f t="shared" si="200"/>
        <v/>
      </c>
      <c r="BC1191" s="101" t="str">
        <f t="shared" ca="1" si="203"/>
        <v/>
      </c>
      <c r="BD1191" s="100" t="str">
        <f t="shared" si="201"/>
        <v/>
      </c>
      <c r="BE1191" s="103" t="str">
        <f t="shared" ca="1" si="197"/>
        <v/>
      </c>
      <c r="BF1191" s="102" t="str">
        <f t="shared" si="202"/>
        <v/>
      </c>
    </row>
    <row r="1192" spans="48:58" hidden="1" x14ac:dyDescent="0.25">
      <c r="AV1192">
        <v>1162</v>
      </c>
      <c r="AW1192" s="94" t="str">
        <f t="shared" ca="1" si="194"/>
        <v/>
      </c>
      <c r="AX1192" s="95" t="str">
        <f t="shared" si="198"/>
        <v/>
      </c>
      <c r="AY1192" s="98" t="str">
        <f t="shared" ca="1" si="195"/>
        <v/>
      </c>
      <c r="AZ1192" s="95" t="str">
        <f t="shared" si="199"/>
        <v/>
      </c>
      <c r="BA1192" s="99" t="str">
        <f t="shared" ca="1" si="196"/>
        <v/>
      </c>
      <c r="BB1192" s="97" t="str">
        <f t="shared" si="200"/>
        <v/>
      </c>
      <c r="BC1192" s="101" t="str">
        <f t="shared" ca="1" si="203"/>
        <v/>
      </c>
      <c r="BD1192" s="100" t="str">
        <f t="shared" si="201"/>
        <v/>
      </c>
      <c r="BE1192" s="103" t="str">
        <f t="shared" ca="1" si="197"/>
        <v/>
      </c>
      <c r="BF1192" s="102" t="str">
        <f t="shared" si="202"/>
        <v/>
      </c>
    </row>
    <row r="1193" spans="48:58" hidden="1" x14ac:dyDescent="0.25">
      <c r="AV1193">
        <v>1163</v>
      </c>
      <c r="AW1193" s="94" t="str">
        <f t="shared" ca="1" si="194"/>
        <v/>
      </c>
      <c r="AX1193" s="95" t="str">
        <f t="shared" si="198"/>
        <v/>
      </c>
      <c r="AY1193" s="98" t="str">
        <f t="shared" ca="1" si="195"/>
        <v/>
      </c>
      <c r="AZ1193" s="95" t="str">
        <f t="shared" si="199"/>
        <v/>
      </c>
      <c r="BA1193" s="99" t="str">
        <f t="shared" ca="1" si="196"/>
        <v/>
      </c>
      <c r="BB1193" s="97" t="str">
        <f t="shared" si="200"/>
        <v/>
      </c>
      <c r="BC1193" s="101" t="str">
        <f t="shared" ca="1" si="203"/>
        <v/>
      </c>
      <c r="BD1193" s="100" t="str">
        <f t="shared" si="201"/>
        <v/>
      </c>
      <c r="BE1193" s="103" t="str">
        <f t="shared" ca="1" si="197"/>
        <v/>
      </c>
      <c r="BF1193" s="102" t="str">
        <f t="shared" si="202"/>
        <v/>
      </c>
    </row>
    <row r="1194" spans="48:58" hidden="1" x14ac:dyDescent="0.25">
      <c r="AV1194">
        <v>1164</v>
      </c>
      <c r="AW1194" s="94" t="str">
        <f t="shared" ca="1" si="194"/>
        <v/>
      </c>
      <c r="AX1194" s="95" t="str">
        <f t="shared" si="198"/>
        <v/>
      </c>
      <c r="AY1194" s="98" t="str">
        <f t="shared" ca="1" si="195"/>
        <v/>
      </c>
      <c r="AZ1194" s="95" t="str">
        <f t="shared" si="199"/>
        <v/>
      </c>
      <c r="BA1194" s="99" t="str">
        <f t="shared" ca="1" si="196"/>
        <v/>
      </c>
      <c r="BB1194" s="97" t="str">
        <f t="shared" si="200"/>
        <v/>
      </c>
      <c r="BC1194" s="101" t="str">
        <f t="shared" ca="1" si="203"/>
        <v/>
      </c>
      <c r="BD1194" s="100" t="str">
        <f t="shared" si="201"/>
        <v/>
      </c>
      <c r="BE1194" s="103" t="str">
        <f t="shared" ca="1" si="197"/>
        <v/>
      </c>
      <c r="BF1194" s="102" t="str">
        <f t="shared" si="202"/>
        <v/>
      </c>
    </row>
    <row r="1195" spans="48:58" hidden="1" x14ac:dyDescent="0.25">
      <c r="AV1195">
        <v>1165</v>
      </c>
      <c r="AW1195" s="94" t="str">
        <f t="shared" ca="1" si="194"/>
        <v/>
      </c>
      <c r="AX1195" s="95" t="str">
        <f t="shared" si="198"/>
        <v/>
      </c>
      <c r="AY1195" s="98" t="str">
        <f t="shared" ca="1" si="195"/>
        <v/>
      </c>
      <c r="AZ1195" s="95" t="str">
        <f t="shared" si="199"/>
        <v/>
      </c>
      <c r="BA1195" s="99" t="str">
        <f t="shared" ca="1" si="196"/>
        <v/>
      </c>
      <c r="BB1195" s="97" t="str">
        <f t="shared" si="200"/>
        <v/>
      </c>
      <c r="BC1195" s="101" t="str">
        <f t="shared" ca="1" si="203"/>
        <v/>
      </c>
      <c r="BD1195" s="100" t="str">
        <f t="shared" si="201"/>
        <v/>
      </c>
      <c r="BE1195" s="103" t="str">
        <f t="shared" ca="1" si="197"/>
        <v/>
      </c>
      <c r="BF1195" s="102" t="str">
        <f t="shared" si="202"/>
        <v/>
      </c>
    </row>
    <row r="1196" spans="48:58" hidden="1" x14ac:dyDescent="0.25">
      <c r="AV1196">
        <v>1166</v>
      </c>
      <c r="AW1196" s="94" t="str">
        <f t="shared" ca="1" si="194"/>
        <v/>
      </c>
      <c r="AX1196" s="95" t="str">
        <f t="shared" si="198"/>
        <v/>
      </c>
      <c r="AY1196" s="98" t="str">
        <f t="shared" ca="1" si="195"/>
        <v/>
      </c>
      <c r="AZ1196" s="95" t="str">
        <f t="shared" si="199"/>
        <v/>
      </c>
      <c r="BA1196" s="99" t="str">
        <f t="shared" ca="1" si="196"/>
        <v/>
      </c>
      <c r="BB1196" s="97" t="str">
        <f t="shared" si="200"/>
        <v/>
      </c>
      <c r="BC1196" s="101" t="str">
        <f t="shared" ca="1" si="203"/>
        <v/>
      </c>
      <c r="BD1196" s="100" t="str">
        <f t="shared" si="201"/>
        <v/>
      </c>
      <c r="BE1196" s="103" t="str">
        <f t="shared" ca="1" si="197"/>
        <v/>
      </c>
      <c r="BF1196" s="102" t="str">
        <f t="shared" si="202"/>
        <v/>
      </c>
    </row>
    <row r="1197" spans="48:58" hidden="1" x14ac:dyDescent="0.25">
      <c r="AV1197">
        <v>1167</v>
      </c>
      <c r="AW1197" s="94" t="str">
        <f t="shared" ca="1" si="194"/>
        <v/>
      </c>
      <c r="AX1197" s="95" t="str">
        <f t="shared" si="198"/>
        <v/>
      </c>
      <c r="AY1197" s="98" t="str">
        <f t="shared" ca="1" si="195"/>
        <v/>
      </c>
      <c r="AZ1197" s="95" t="str">
        <f t="shared" si="199"/>
        <v/>
      </c>
      <c r="BA1197" s="99" t="str">
        <f t="shared" ca="1" si="196"/>
        <v/>
      </c>
      <c r="BB1197" s="97" t="str">
        <f t="shared" si="200"/>
        <v/>
      </c>
      <c r="BC1197" s="101" t="str">
        <f t="shared" ca="1" si="203"/>
        <v/>
      </c>
      <c r="BD1197" s="100" t="str">
        <f t="shared" si="201"/>
        <v/>
      </c>
      <c r="BE1197" s="103" t="str">
        <f t="shared" ca="1" si="197"/>
        <v/>
      </c>
      <c r="BF1197" s="102" t="str">
        <f t="shared" si="202"/>
        <v/>
      </c>
    </row>
    <row r="1198" spans="48:58" hidden="1" x14ac:dyDescent="0.25">
      <c r="AV1198">
        <v>1168</v>
      </c>
      <c r="AW1198" s="94" t="str">
        <f t="shared" ca="1" si="194"/>
        <v/>
      </c>
      <c r="AX1198" s="95" t="str">
        <f t="shared" si="198"/>
        <v/>
      </c>
      <c r="AY1198" s="98" t="str">
        <f t="shared" ca="1" si="195"/>
        <v/>
      </c>
      <c r="AZ1198" s="95" t="str">
        <f t="shared" si="199"/>
        <v/>
      </c>
      <c r="BA1198" s="99" t="str">
        <f t="shared" ca="1" si="196"/>
        <v/>
      </c>
      <c r="BB1198" s="97" t="str">
        <f t="shared" si="200"/>
        <v/>
      </c>
      <c r="BC1198" s="101" t="str">
        <f t="shared" ca="1" si="203"/>
        <v/>
      </c>
      <c r="BD1198" s="100" t="str">
        <f t="shared" si="201"/>
        <v/>
      </c>
      <c r="BE1198" s="103" t="str">
        <f t="shared" ca="1" si="197"/>
        <v/>
      </c>
      <c r="BF1198" s="102" t="str">
        <f t="shared" si="202"/>
        <v/>
      </c>
    </row>
    <row r="1199" spans="48:58" hidden="1" x14ac:dyDescent="0.25">
      <c r="AV1199">
        <v>1169</v>
      </c>
      <c r="AW1199" s="94" t="str">
        <f t="shared" ca="1" si="194"/>
        <v/>
      </c>
      <c r="AX1199" s="95" t="str">
        <f t="shared" si="198"/>
        <v/>
      </c>
      <c r="AY1199" s="98" t="str">
        <f t="shared" ca="1" si="195"/>
        <v/>
      </c>
      <c r="AZ1199" s="95" t="str">
        <f t="shared" si="199"/>
        <v/>
      </c>
      <c r="BA1199" s="99" t="str">
        <f t="shared" ca="1" si="196"/>
        <v/>
      </c>
      <c r="BB1199" s="97" t="str">
        <f t="shared" si="200"/>
        <v/>
      </c>
      <c r="BC1199" s="101" t="str">
        <f t="shared" ca="1" si="203"/>
        <v/>
      </c>
      <c r="BD1199" s="100" t="str">
        <f t="shared" si="201"/>
        <v/>
      </c>
      <c r="BE1199" s="103" t="str">
        <f t="shared" ca="1" si="197"/>
        <v/>
      </c>
      <c r="BF1199" s="102" t="str">
        <f t="shared" si="202"/>
        <v/>
      </c>
    </row>
    <row r="1200" spans="48:58" hidden="1" x14ac:dyDescent="0.25">
      <c r="AV1200">
        <v>1170</v>
      </c>
      <c r="AW1200" s="94" t="str">
        <f t="shared" ca="1" si="194"/>
        <v/>
      </c>
      <c r="AX1200" s="95" t="str">
        <f t="shared" si="198"/>
        <v/>
      </c>
      <c r="AY1200" s="98" t="str">
        <f t="shared" ca="1" si="195"/>
        <v/>
      </c>
      <c r="AZ1200" s="95" t="str">
        <f t="shared" si="199"/>
        <v/>
      </c>
      <c r="BA1200" s="99" t="str">
        <f t="shared" ca="1" si="196"/>
        <v/>
      </c>
      <c r="BB1200" s="97" t="str">
        <f t="shared" si="200"/>
        <v/>
      </c>
      <c r="BC1200" s="101" t="str">
        <f t="shared" ca="1" si="203"/>
        <v/>
      </c>
      <c r="BD1200" s="100" t="str">
        <f t="shared" si="201"/>
        <v/>
      </c>
      <c r="BE1200" s="103" t="str">
        <f t="shared" ca="1" si="197"/>
        <v/>
      </c>
      <c r="BF1200" s="102" t="str">
        <f t="shared" si="202"/>
        <v/>
      </c>
    </row>
    <row r="1201" spans="48:58" hidden="1" x14ac:dyDescent="0.25">
      <c r="AV1201">
        <v>1171</v>
      </c>
      <c r="AW1201" s="94" t="str">
        <f t="shared" ca="1" si="194"/>
        <v/>
      </c>
      <c r="AX1201" s="95" t="str">
        <f t="shared" si="198"/>
        <v/>
      </c>
      <c r="AY1201" s="98" t="str">
        <f t="shared" ca="1" si="195"/>
        <v/>
      </c>
      <c r="AZ1201" s="95" t="str">
        <f t="shared" si="199"/>
        <v/>
      </c>
      <c r="BA1201" s="99" t="str">
        <f t="shared" ca="1" si="196"/>
        <v/>
      </c>
      <c r="BB1201" s="97" t="str">
        <f t="shared" si="200"/>
        <v/>
      </c>
      <c r="BC1201" s="101" t="str">
        <f t="shared" ca="1" si="203"/>
        <v/>
      </c>
      <c r="BD1201" s="100" t="str">
        <f t="shared" si="201"/>
        <v/>
      </c>
      <c r="BE1201" s="103" t="str">
        <f t="shared" ca="1" si="197"/>
        <v/>
      </c>
      <c r="BF1201" s="102" t="str">
        <f t="shared" si="202"/>
        <v/>
      </c>
    </row>
    <row r="1202" spans="48:58" hidden="1" x14ac:dyDescent="0.25">
      <c r="AV1202">
        <v>1172</v>
      </c>
      <c r="AW1202" s="94" t="str">
        <f t="shared" ca="1" si="194"/>
        <v/>
      </c>
      <c r="AX1202" s="95" t="str">
        <f t="shared" si="198"/>
        <v/>
      </c>
      <c r="AY1202" s="98" t="str">
        <f t="shared" ca="1" si="195"/>
        <v/>
      </c>
      <c r="AZ1202" s="95" t="str">
        <f t="shared" si="199"/>
        <v/>
      </c>
      <c r="BA1202" s="99" t="str">
        <f t="shared" ca="1" si="196"/>
        <v/>
      </c>
      <c r="BB1202" s="97" t="str">
        <f t="shared" si="200"/>
        <v/>
      </c>
      <c r="BC1202" s="101" t="str">
        <f t="shared" ca="1" si="203"/>
        <v/>
      </c>
      <c r="BD1202" s="100" t="str">
        <f t="shared" si="201"/>
        <v/>
      </c>
      <c r="BE1202" s="103" t="str">
        <f t="shared" ca="1" si="197"/>
        <v/>
      </c>
      <c r="BF1202" s="102" t="str">
        <f t="shared" si="202"/>
        <v/>
      </c>
    </row>
    <row r="1203" spans="48:58" hidden="1" x14ac:dyDescent="0.25">
      <c r="AV1203">
        <v>1173</v>
      </c>
      <c r="AW1203" s="94" t="str">
        <f t="shared" ca="1" si="194"/>
        <v/>
      </c>
      <c r="AX1203" s="95" t="str">
        <f t="shared" si="198"/>
        <v/>
      </c>
      <c r="AY1203" s="98" t="str">
        <f t="shared" ca="1" si="195"/>
        <v/>
      </c>
      <c r="AZ1203" s="95" t="str">
        <f t="shared" si="199"/>
        <v/>
      </c>
      <c r="BA1203" s="99" t="str">
        <f t="shared" ca="1" si="196"/>
        <v/>
      </c>
      <c r="BB1203" s="97" t="str">
        <f t="shared" si="200"/>
        <v/>
      </c>
      <c r="BC1203" s="101" t="str">
        <f t="shared" ca="1" si="203"/>
        <v/>
      </c>
      <c r="BD1203" s="100" t="str">
        <f t="shared" si="201"/>
        <v/>
      </c>
      <c r="BE1203" s="103" t="str">
        <f t="shared" ca="1" si="197"/>
        <v/>
      </c>
      <c r="BF1203" s="102" t="str">
        <f t="shared" si="202"/>
        <v/>
      </c>
    </row>
    <row r="1204" spans="48:58" hidden="1" x14ac:dyDescent="0.25">
      <c r="AV1204">
        <v>1174</v>
      </c>
      <c r="AW1204" s="94" t="str">
        <f t="shared" ca="1" si="194"/>
        <v/>
      </c>
      <c r="AX1204" s="95" t="str">
        <f t="shared" si="198"/>
        <v/>
      </c>
      <c r="AY1204" s="98" t="str">
        <f t="shared" ca="1" si="195"/>
        <v/>
      </c>
      <c r="AZ1204" s="95" t="str">
        <f t="shared" si="199"/>
        <v/>
      </c>
      <c r="BA1204" s="99" t="str">
        <f t="shared" ca="1" si="196"/>
        <v/>
      </c>
      <c r="BB1204" s="97" t="str">
        <f t="shared" si="200"/>
        <v/>
      </c>
      <c r="BC1204" s="101" t="str">
        <f t="shared" ca="1" si="203"/>
        <v/>
      </c>
      <c r="BD1204" s="100" t="str">
        <f t="shared" si="201"/>
        <v/>
      </c>
      <c r="BE1204" s="103" t="str">
        <f t="shared" ca="1" si="197"/>
        <v/>
      </c>
      <c r="BF1204" s="102" t="str">
        <f t="shared" si="202"/>
        <v/>
      </c>
    </row>
    <row r="1205" spans="48:58" hidden="1" x14ac:dyDescent="0.25">
      <c r="AV1205">
        <v>1175</v>
      </c>
      <c r="AW1205" s="94" t="str">
        <f t="shared" ca="1" si="194"/>
        <v/>
      </c>
      <c r="AX1205" s="95" t="str">
        <f t="shared" si="198"/>
        <v/>
      </c>
      <c r="AY1205" s="98" t="str">
        <f t="shared" ca="1" si="195"/>
        <v/>
      </c>
      <c r="AZ1205" s="95" t="str">
        <f t="shared" si="199"/>
        <v/>
      </c>
      <c r="BA1205" s="99" t="str">
        <f t="shared" ca="1" si="196"/>
        <v/>
      </c>
      <c r="BB1205" s="97" t="str">
        <f t="shared" si="200"/>
        <v/>
      </c>
      <c r="BC1205" s="101" t="str">
        <f t="shared" ca="1" si="203"/>
        <v/>
      </c>
      <c r="BD1205" s="100" t="str">
        <f t="shared" si="201"/>
        <v/>
      </c>
      <c r="BE1205" s="103" t="str">
        <f t="shared" ca="1" si="197"/>
        <v/>
      </c>
      <c r="BF1205" s="102" t="str">
        <f t="shared" si="202"/>
        <v/>
      </c>
    </row>
    <row r="1206" spans="48:58" hidden="1" x14ac:dyDescent="0.25">
      <c r="AV1206">
        <v>1176</v>
      </c>
      <c r="AW1206" s="94" t="str">
        <f t="shared" ca="1" si="194"/>
        <v/>
      </c>
      <c r="AX1206" s="95" t="str">
        <f t="shared" si="198"/>
        <v/>
      </c>
      <c r="AY1206" s="98" t="str">
        <f t="shared" ca="1" si="195"/>
        <v/>
      </c>
      <c r="AZ1206" s="95" t="str">
        <f t="shared" si="199"/>
        <v/>
      </c>
      <c r="BA1206" s="99" t="str">
        <f t="shared" ca="1" si="196"/>
        <v/>
      </c>
      <c r="BB1206" s="97" t="str">
        <f t="shared" si="200"/>
        <v/>
      </c>
      <c r="BC1206" s="101" t="str">
        <f t="shared" ca="1" si="203"/>
        <v/>
      </c>
      <c r="BD1206" s="100" t="str">
        <f t="shared" si="201"/>
        <v/>
      </c>
      <c r="BE1206" s="103" t="str">
        <f t="shared" ca="1" si="197"/>
        <v/>
      </c>
      <c r="BF1206" s="102" t="str">
        <f t="shared" si="202"/>
        <v/>
      </c>
    </row>
    <row r="1207" spans="48:58" hidden="1" x14ac:dyDescent="0.25">
      <c r="AV1207">
        <v>1177</v>
      </c>
      <c r="AW1207" s="94" t="str">
        <f t="shared" ca="1" si="194"/>
        <v/>
      </c>
      <c r="AX1207" s="95" t="str">
        <f t="shared" si="198"/>
        <v/>
      </c>
      <c r="AY1207" s="98" t="str">
        <f t="shared" ca="1" si="195"/>
        <v/>
      </c>
      <c r="AZ1207" s="95" t="str">
        <f t="shared" si="199"/>
        <v/>
      </c>
      <c r="BA1207" s="99" t="str">
        <f t="shared" ca="1" si="196"/>
        <v/>
      </c>
      <c r="BB1207" s="97" t="str">
        <f t="shared" si="200"/>
        <v/>
      </c>
      <c r="BC1207" s="101" t="str">
        <f t="shared" ca="1" si="203"/>
        <v/>
      </c>
      <c r="BD1207" s="100" t="str">
        <f t="shared" si="201"/>
        <v/>
      </c>
      <c r="BE1207" s="103" t="str">
        <f t="shared" ca="1" si="197"/>
        <v/>
      </c>
      <c r="BF1207" s="102" t="str">
        <f t="shared" si="202"/>
        <v/>
      </c>
    </row>
    <row r="1208" spans="48:58" hidden="1" x14ac:dyDescent="0.25">
      <c r="AV1208">
        <v>1178</v>
      </c>
      <c r="AW1208" s="94" t="str">
        <f t="shared" ca="1" si="194"/>
        <v/>
      </c>
      <c r="AX1208" s="95" t="str">
        <f t="shared" si="198"/>
        <v/>
      </c>
      <c r="AY1208" s="98" t="str">
        <f t="shared" ca="1" si="195"/>
        <v/>
      </c>
      <c r="AZ1208" s="95" t="str">
        <f t="shared" si="199"/>
        <v/>
      </c>
      <c r="BA1208" s="99" t="str">
        <f t="shared" ca="1" si="196"/>
        <v/>
      </c>
      <c r="BB1208" s="97" t="str">
        <f t="shared" si="200"/>
        <v/>
      </c>
      <c r="BC1208" s="101" t="str">
        <f t="shared" ca="1" si="203"/>
        <v/>
      </c>
      <c r="BD1208" s="100" t="str">
        <f t="shared" si="201"/>
        <v/>
      </c>
      <c r="BE1208" s="103" t="str">
        <f t="shared" ca="1" si="197"/>
        <v/>
      </c>
      <c r="BF1208" s="102" t="str">
        <f t="shared" si="202"/>
        <v/>
      </c>
    </row>
    <row r="1209" spans="48:58" hidden="1" x14ac:dyDescent="0.25">
      <c r="AV1209">
        <v>1179</v>
      </c>
      <c r="AW1209" s="94" t="str">
        <f t="shared" ca="1" si="194"/>
        <v/>
      </c>
      <c r="AX1209" s="95" t="str">
        <f t="shared" si="198"/>
        <v/>
      </c>
      <c r="AY1209" s="98" t="str">
        <f t="shared" ca="1" si="195"/>
        <v/>
      </c>
      <c r="AZ1209" s="95" t="str">
        <f t="shared" si="199"/>
        <v/>
      </c>
      <c r="BA1209" s="99" t="str">
        <f t="shared" ca="1" si="196"/>
        <v/>
      </c>
      <c r="BB1209" s="97" t="str">
        <f t="shared" si="200"/>
        <v/>
      </c>
      <c r="BC1209" s="101" t="str">
        <f t="shared" ca="1" si="203"/>
        <v/>
      </c>
      <c r="BD1209" s="100" t="str">
        <f t="shared" si="201"/>
        <v/>
      </c>
      <c r="BE1209" s="103" t="str">
        <f t="shared" ca="1" si="197"/>
        <v/>
      </c>
      <c r="BF1209" s="102" t="str">
        <f t="shared" si="202"/>
        <v/>
      </c>
    </row>
    <row r="1210" spans="48:58" hidden="1" x14ac:dyDescent="0.25">
      <c r="AV1210">
        <v>1180</v>
      </c>
      <c r="AW1210" s="94" t="str">
        <f t="shared" ca="1" si="194"/>
        <v/>
      </c>
      <c r="AX1210" s="95" t="str">
        <f t="shared" si="198"/>
        <v/>
      </c>
      <c r="AY1210" s="98" t="str">
        <f t="shared" ca="1" si="195"/>
        <v/>
      </c>
      <c r="AZ1210" s="95" t="str">
        <f t="shared" si="199"/>
        <v/>
      </c>
      <c r="BA1210" s="99" t="str">
        <f t="shared" ca="1" si="196"/>
        <v/>
      </c>
      <c r="BB1210" s="97" t="str">
        <f t="shared" si="200"/>
        <v/>
      </c>
      <c r="BC1210" s="101" t="str">
        <f t="shared" ca="1" si="203"/>
        <v/>
      </c>
      <c r="BD1210" s="100" t="str">
        <f t="shared" si="201"/>
        <v/>
      </c>
      <c r="BE1210" s="103" t="str">
        <f t="shared" ca="1" si="197"/>
        <v/>
      </c>
      <c r="BF1210" s="102" t="str">
        <f t="shared" si="202"/>
        <v/>
      </c>
    </row>
    <row r="1211" spans="48:58" hidden="1" x14ac:dyDescent="0.25">
      <c r="AV1211">
        <v>1181</v>
      </c>
      <c r="AW1211" s="94" t="str">
        <f t="shared" ca="1" si="194"/>
        <v/>
      </c>
      <c r="AX1211" s="95" t="str">
        <f t="shared" si="198"/>
        <v/>
      </c>
      <c r="AY1211" s="98" t="str">
        <f t="shared" ca="1" si="195"/>
        <v/>
      </c>
      <c r="AZ1211" s="95" t="str">
        <f t="shared" si="199"/>
        <v/>
      </c>
      <c r="BA1211" s="99" t="str">
        <f t="shared" ca="1" si="196"/>
        <v/>
      </c>
      <c r="BB1211" s="97" t="str">
        <f t="shared" si="200"/>
        <v/>
      </c>
      <c r="BC1211" s="101" t="str">
        <f t="shared" ca="1" si="203"/>
        <v/>
      </c>
      <c r="BD1211" s="100" t="str">
        <f t="shared" si="201"/>
        <v/>
      </c>
      <c r="BE1211" s="103" t="str">
        <f t="shared" ca="1" si="197"/>
        <v/>
      </c>
      <c r="BF1211" s="102" t="str">
        <f t="shared" si="202"/>
        <v/>
      </c>
    </row>
    <row r="1212" spans="48:58" hidden="1" x14ac:dyDescent="0.25">
      <c r="AV1212">
        <v>1182</v>
      </c>
      <c r="AW1212" s="94" t="str">
        <f t="shared" ca="1" si="194"/>
        <v/>
      </c>
      <c r="AX1212" s="95" t="str">
        <f t="shared" si="198"/>
        <v/>
      </c>
      <c r="AY1212" s="98" t="str">
        <f t="shared" ca="1" si="195"/>
        <v/>
      </c>
      <c r="AZ1212" s="95" t="str">
        <f t="shared" si="199"/>
        <v/>
      </c>
      <c r="BA1212" s="99" t="str">
        <f t="shared" ca="1" si="196"/>
        <v/>
      </c>
      <c r="BB1212" s="97" t="str">
        <f t="shared" si="200"/>
        <v/>
      </c>
      <c r="BC1212" s="101" t="str">
        <f t="shared" ca="1" si="203"/>
        <v/>
      </c>
      <c r="BD1212" s="100" t="str">
        <f t="shared" si="201"/>
        <v/>
      </c>
      <c r="BE1212" s="103" t="str">
        <f t="shared" ca="1" si="197"/>
        <v/>
      </c>
      <c r="BF1212" s="102" t="str">
        <f t="shared" si="202"/>
        <v/>
      </c>
    </row>
    <row r="1213" spans="48:58" hidden="1" x14ac:dyDescent="0.25">
      <c r="AV1213">
        <v>1183</v>
      </c>
      <c r="AW1213" s="94" t="str">
        <f t="shared" ca="1" si="194"/>
        <v/>
      </c>
      <c r="AX1213" s="95" t="str">
        <f t="shared" si="198"/>
        <v/>
      </c>
      <c r="AY1213" s="98" t="str">
        <f t="shared" ca="1" si="195"/>
        <v/>
      </c>
      <c r="AZ1213" s="95" t="str">
        <f t="shared" si="199"/>
        <v/>
      </c>
      <c r="BA1213" s="99" t="str">
        <f t="shared" ca="1" si="196"/>
        <v/>
      </c>
      <c r="BB1213" s="97" t="str">
        <f t="shared" si="200"/>
        <v/>
      </c>
      <c r="BC1213" s="101" t="str">
        <f t="shared" ca="1" si="203"/>
        <v/>
      </c>
      <c r="BD1213" s="100" t="str">
        <f t="shared" si="201"/>
        <v/>
      </c>
      <c r="BE1213" s="103" t="str">
        <f t="shared" ca="1" si="197"/>
        <v/>
      </c>
      <c r="BF1213" s="102" t="str">
        <f t="shared" si="202"/>
        <v/>
      </c>
    </row>
    <row r="1214" spans="48:58" hidden="1" x14ac:dyDescent="0.25">
      <c r="AV1214">
        <v>1184</v>
      </c>
      <c r="AW1214" s="94" t="str">
        <f t="shared" ca="1" si="194"/>
        <v/>
      </c>
      <c r="AX1214" s="95" t="str">
        <f t="shared" si="198"/>
        <v/>
      </c>
      <c r="AY1214" s="98" t="str">
        <f t="shared" ca="1" si="195"/>
        <v/>
      </c>
      <c r="AZ1214" s="95" t="str">
        <f t="shared" si="199"/>
        <v/>
      </c>
      <c r="BA1214" s="99" t="str">
        <f t="shared" ca="1" si="196"/>
        <v/>
      </c>
      <c r="BB1214" s="97" t="str">
        <f t="shared" si="200"/>
        <v/>
      </c>
      <c r="BC1214" s="101" t="str">
        <f t="shared" ca="1" si="203"/>
        <v/>
      </c>
      <c r="BD1214" s="100" t="str">
        <f t="shared" si="201"/>
        <v/>
      </c>
      <c r="BE1214" s="103" t="str">
        <f t="shared" ca="1" si="197"/>
        <v/>
      </c>
      <c r="BF1214" s="102" t="str">
        <f t="shared" si="202"/>
        <v/>
      </c>
    </row>
    <row r="1215" spans="48:58" hidden="1" x14ac:dyDescent="0.25">
      <c r="AV1215">
        <v>1185</v>
      </c>
      <c r="AW1215" s="94" t="str">
        <f t="shared" ca="1" si="194"/>
        <v/>
      </c>
      <c r="AX1215" s="95" t="str">
        <f t="shared" si="198"/>
        <v/>
      </c>
      <c r="AY1215" s="98" t="str">
        <f t="shared" ca="1" si="195"/>
        <v/>
      </c>
      <c r="AZ1215" s="95" t="str">
        <f t="shared" si="199"/>
        <v/>
      </c>
      <c r="BA1215" s="99" t="str">
        <f t="shared" ca="1" si="196"/>
        <v/>
      </c>
      <c r="BB1215" s="97" t="str">
        <f t="shared" si="200"/>
        <v/>
      </c>
      <c r="BC1215" s="101" t="str">
        <f t="shared" ca="1" si="203"/>
        <v/>
      </c>
      <c r="BD1215" s="100" t="str">
        <f t="shared" si="201"/>
        <v/>
      </c>
      <c r="BE1215" s="103" t="str">
        <f t="shared" ca="1" si="197"/>
        <v/>
      </c>
      <c r="BF1215" s="102" t="str">
        <f t="shared" si="202"/>
        <v/>
      </c>
    </row>
    <row r="1216" spans="48:58" hidden="1" x14ac:dyDescent="0.25">
      <c r="AV1216">
        <v>1186</v>
      </c>
      <c r="AW1216" s="94" t="str">
        <f t="shared" ca="1" si="194"/>
        <v/>
      </c>
      <c r="AX1216" s="95" t="str">
        <f t="shared" si="198"/>
        <v/>
      </c>
      <c r="AY1216" s="98" t="str">
        <f t="shared" ca="1" si="195"/>
        <v/>
      </c>
      <c r="AZ1216" s="95" t="str">
        <f t="shared" si="199"/>
        <v/>
      </c>
      <c r="BA1216" s="99" t="str">
        <f t="shared" ca="1" si="196"/>
        <v/>
      </c>
      <c r="BB1216" s="97" t="str">
        <f t="shared" si="200"/>
        <v/>
      </c>
      <c r="BC1216" s="101" t="str">
        <f t="shared" ca="1" si="203"/>
        <v/>
      </c>
      <c r="BD1216" s="100" t="str">
        <f t="shared" si="201"/>
        <v/>
      </c>
      <c r="BE1216" s="103" t="str">
        <f t="shared" ca="1" si="197"/>
        <v/>
      </c>
      <c r="BF1216" s="102" t="str">
        <f t="shared" si="202"/>
        <v/>
      </c>
    </row>
    <row r="1217" spans="48:58" hidden="1" x14ac:dyDescent="0.25">
      <c r="AV1217">
        <v>1187</v>
      </c>
      <c r="AW1217" s="94" t="str">
        <f t="shared" ca="1" si="194"/>
        <v/>
      </c>
      <c r="AX1217" s="95" t="str">
        <f t="shared" si="198"/>
        <v/>
      </c>
      <c r="AY1217" s="98" t="str">
        <f t="shared" ca="1" si="195"/>
        <v/>
      </c>
      <c r="AZ1217" s="95" t="str">
        <f t="shared" si="199"/>
        <v/>
      </c>
      <c r="BA1217" s="99" t="str">
        <f t="shared" ca="1" si="196"/>
        <v/>
      </c>
      <c r="BB1217" s="97" t="str">
        <f t="shared" si="200"/>
        <v/>
      </c>
      <c r="BC1217" s="101" t="str">
        <f t="shared" ca="1" si="203"/>
        <v/>
      </c>
      <c r="BD1217" s="100" t="str">
        <f t="shared" si="201"/>
        <v/>
      </c>
      <c r="BE1217" s="103" t="str">
        <f t="shared" ca="1" si="197"/>
        <v/>
      </c>
      <c r="BF1217" s="102" t="str">
        <f t="shared" si="202"/>
        <v/>
      </c>
    </row>
    <row r="1218" spans="48:58" hidden="1" x14ac:dyDescent="0.25">
      <c r="AV1218">
        <v>1188</v>
      </c>
      <c r="AW1218" s="94" t="str">
        <f t="shared" ca="1" si="194"/>
        <v/>
      </c>
      <c r="AX1218" s="95" t="str">
        <f t="shared" si="198"/>
        <v/>
      </c>
      <c r="AY1218" s="98" t="str">
        <f t="shared" ca="1" si="195"/>
        <v/>
      </c>
      <c r="AZ1218" s="95" t="str">
        <f t="shared" si="199"/>
        <v/>
      </c>
      <c r="BA1218" s="99" t="str">
        <f t="shared" ca="1" si="196"/>
        <v/>
      </c>
      <c r="BB1218" s="97" t="str">
        <f t="shared" si="200"/>
        <v/>
      </c>
      <c r="BC1218" s="101" t="str">
        <f t="shared" ca="1" si="203"/>
        <v/>
      </c>
      <c r="BD1218" s="100" t="str">
        <f t="shared" si="201"/>
        <v/>
      </c>
      <c r="BE1218" s="103" t="str">
        <f t="shared" ca="1" si="197"/>
        <v/>
      </c>
      <c r="BF1218" s="102" t="str">
        <f t="shared" si="202"/>
        <v/>
      </c>
    </row>
    <row r="1219" spans="48:58" hidden="1" x14ac:dyDescent="0.25">
      <c r="AV1219">
        <v>1189</v>
      </c>
      <c r="AW1219" s="94" t="str">
        <f t="shared" ca="1" si="194"/>
        <v/>
      </c>
      <c r="AX1219" s="95" t="str">
        <f t="shared" si="198"/>
        <v/>
      </c>
      <c r="AY1219" s="98" t="str">
        <f t="shared" ca="1" si="195"/>
        <v/>
      </c>
      <c r="AZ1219" s="95" t="str">
        <f t="shared" si="199"/>
        <v/>
      </c>
      <c r="BA1219" s="99" t="str">
        <f t="shared" ca="1" si="196"/>
        <v/>
      </c>
      <c r="BB1219" s="97" t="str">
        <f t="shared" si="200"/>
        <v/>
      </c>
      <c r="BC1219" s="101" t="str">
        <f t="shared" ca="1" si="203"/>
        <v/>
      </c>
      <c r="BD1219" s="100" t="str">
        <f t="shared" si="201"/>
        <v/>
      </c>
      <c r="BE1219" s="103" t="str">
        <f t="shared" ca="1" si="197"/>
        <v/>
      </c>
      <c r="BF1219" s="102" t="str">
        <f t="shared" si="202"/>
        <v/>
      </c>
    </row>
    <row r="1220" spans="48:58" hidden="1" x14ac:dyDescent="0.25">
      <c r="AV1220">
        <v>1190</v>
      </c>
      <c r="AW1220" s="94" t="str">
        <f t="shared" ca="1" si="194"/>
        <v/>
      </c>
      <c r="AX1220" s="95" t="str">
        <f t="shared" si="198"/>
        <v/>
      </c>
      <c r="AY1220" s="98" t="str">
        <f t="shared" ca="1" si="195"/>
        <v/>
      </c>
      <c r="AZ1220" s="95" t="str">
        <f t="shared" si="199"/>
        <v/>
      </c>
      <c r="BA1220" s="99" t="str">
        <f t="shared" ca="1" si="196"/>
        <v/>
      </c>
      <c r="BB1220" s="97" t="str">
        <f t="shared" si="200"/>
        <v/>
      </c>
      <c r="BC1220" s="101" t="str">
        <f t="shared" ca="1" si="203"/>
        <v/>
      </c>
      <c r="BD1220" s="100" t="str">
        <f t="shared" si="201"/>
        <v/>
      </c>
      <c r="BE1220" s="103" t="str">
        <f t="shared" ca="1" si="197"/>
        <v/>
      </c>
      <c r="BF1220" s="102" t="str">
        <f t="shared" si="202"/>
        <v/>
      </c>
    </row>
    <row r="1221" spans="48:58" hidden="1" x14ac:dyDescent="0.25">
      <c r="AV1221">
        <v>1191</v>
      </c>
      <c r="AW1221" s="94" t="str">
        <f t="shared" ca="1" si="194"/>
        <v/>
      </c>
      <c r="AX1221" s="95" t="str">
        <f t="shared" si="198"/>
        <v/>
      </c>
      <c r="AY1221" s="98" t="str">
        <f t="shared" ca="1" si="195"/>
        <v/>
      </c>
      <c r="AZ1221" s="95" t="str">
        <f t="shared" si="199"/>
        <v/>
      </c>
      <c r="BA1221" s="99" t="str">
        <f t="shared" ca="1" si="196"/>
        <v/>
      </c>
      <c r="BB1221" s="97" t="str">
        <f t="shared" si="200"/>
        <v/>
      </c>
      <c r="BC1221" s="101" t="str">
        <f t="shared" ca="1" si="203"/>
        <v/>
      </c>
      <c r="BD1221" s="100" t="str">
        <f t="shared" si="201"/>
        <v/>
      </c>
      <c r="BE1221" s="103" t="str">
        <f t="shared" ca="1" si="197"/>
        <v/>
      </c>
      <c r="BF1221" s="102" t="str">
        <f t="shared" si="202"/>
        <v/>
      </c>
    </row>
    <row r="1222" spans="48:58" hidden="1" x14ac:dyDescent="0.25">
      <c r="AV1222">
        <v>1192</v>
      </c>
      <c r="AW1222" s="94" t="str">
        <f t="shared" ca="1" si="194"/>
        <v/>
      </c>
      <c r="AX1222" s="95" t="str">
        <f t="shared" si="198"/>
        <v/>
      </c>
      <c r="AY1222" s="98" t="str">
        <f t="shared" ca="1" si="195"/>
        <v/>
      </c>
      <c r="AZ1222" s="95" t="str">
        <f t="shared" si="199"/>
        <v/>
      </c>
      <c r="BA1222" s="99" t="str">
        <f t="shared" ca="1" si="196"/>
        <v/>
      </c>
      <c r="BB1222" s="97" t="str">
        <f t="shared" si="200"/>
        <v/>
      </c>
      <c r="BC1222" s="101" t="str">
        <f t="shared" ca="1" si="203"/>
        <v/>
      </c>
      <c r="BD1222" s="100" t="str">
        <f t="shared" si="201"/>
        <v/>
      </c>
      <c r="BE1222" s="103" t="str">
        <f t="shared" ca="1" si="197"/>
        <v/>
      </c>
      <c r="BF1222" s="102" t="str">
        <f t="shared" si="202"/>
        <v/>
      </c>
    </row>
    <row r="1223" spans="48:58" hidden="1" x14ac:dyDescent="0.25">
      <c r="AV1223">
        <v>1193</v>
      </c>
      <c r="AW1223" s="94" t="str">
        <f t="shared" ca="1" si="194"/>
        <v/>
      </c>
      <c r="AX1223" s="95" t="str">
        <f t="shared" si="198"/>
        <v/>
      </c>
      <c r="AY1223" s="98" t="str">
        <f t="shared" ca="1" si="195"/>
        <v/>
      </c>
      <c r="AZ1223" s="95" t="str">
        <f t="shared" si="199"/>
        <v/>
      </c>
      <c r="BA1223" s="99" t="str">
        <f t="shared" ca="1" si="196"/>
        <v/>
      </c>
      <c r="BB1223" s="97" t="str">
        <f t="shared" si="200"/>
        <v/>
      </c>
      <c r="BC1223" s="101" t="str">
        <f t="shared" ca="1" si="203"/>
        <v/>
      </c>
      <c r="BD1223" s="100" t="str">
        <f t="shared" si="201"/>
        <v/>
      </c>
      <c r="BE1223" s="103" t="str">
        <f t="shared" ca="1" si="197"/>
        <v/>
      </c>
      <c r="BF1223" s="102" t="str">
        <f t="shared" si="202"/>
        <v/>
      </c>
    </row>
    <row r="1224" spans="48:58" hidden="1" x14ac:dyDescent="0.25">
      <c r="AV1224">
        <v>1194</v>
      </c>
      <c r="AW1224" s="94" t="str">
        <f t="shared" ca="1" si="194"/>
        <v/>
      </c>
      <c r="AX1224" s="95" t="str">
        <f t="shared" si="198"/>
        <v/>
      </c>
      <c r="AY1224" s="98" t="str">
        <f t="shared" ca="1" si="195"/>
        <v/>
      </c>
      <c r="AZ1224" s="95" t="str">
        <f t="shared" si="199"/>
        <v/>
      </c>
      <c r="BA1224" s="99" t="str">
        <f t="shared" ca="1" si="196"/>
        <v/>
      </c>
      <c r="BB1224" s="97" t="str">
        <f t="shared" si="200"/>
        <v/>
      </c>
      <c r="BC1224" s="101" t="str">
        <f t="shared" ca="1" si="203"/>
        <v/>
      </c>
      <c r="BD1224" s="100" t="str">
        <f t="shared" si="201"/>
        <v/>
      </c>
      <c r="BE1224" s="103" t="str">
        <f t="shared" ca="1" si="197"/>
        <v/>
      </c>
      <c r="BF1224" s="102" t="str">
        <f t="shared" si="202"/>
        <v/>
      </c>
    </row>
    <row r="1225" spans="48:58" hidden="1" x14ac:dyDescent="0.25">
      <c r="AV1225">
        <v>1195</v>
      </c>
      <c r="AW1225" s="94" t="str">
        <f t="shared" ca="1" si="194"/>
        <v/>
      </c>
      <c r="AX1225" s="95" t="str">
        <f t="shared" si="198"/>
        <v/>
      </c>
      <c r="AY1225" s="98" t="str">
        <f t="shared" ca="1" si="195"/>
        <v/>
      </c>
      <c r="AZ1225" s="95" t="str">
        <f t="shared" si="199"/>
        <v/>
      </c>
      <c r="BA1225" s="99" t="str">
        <f t="shared" ca="1" si="196"/>
        <v/>
      </c>
      <c r="BB1225" s="97" t="str">
        <f t="shared" si="200"/>
        <v/>
      </c>
      <c r="BC1225" s="101" t="str">
        <f t="shared" ca="1" si="203"/>
        <v/>
      </c>
      <c r="BD1225" s="100" t="str">
        <f t="shared" si="201"/>
        <v/>
      </c>
      <c r="BE1225" s="103" t="str">
        <f t="shared" ca="1" si="197"/>
        <v/>
      </c>
      <c r="BF1225" s="102" t="str">
        <f t="shared" si="202"/>
        <v/>
      </c>
    </row>
    <row r="1226" spans="48:58" hidden="1" x14ac:dyDescent="0.25">
      <c r="AV1226">
        <v>1196</v>
      </c>
      <c r="AW1226" s="94" t="str">
        <f t="shared" ca="1" si="194"/>
        <v/>
      </c>
      <c r="AX1226" s="95" t="str">
        <f t="shared" si="198"/>
        <v/>
      </c>
      <c r="AY1226" s="98" t="str">
        <f t="shared" ca="1" si="195"/>
        <v/>
      </c>
      <c r="AZ1226" s="95" t="str">
        <f t="shared" si="199"/>
        <v/>
      </c>
      <c r="BA1226" s="99" t="str">
        <f t="shared" ca="1" si="196"/>
        <v/>
      </c>
      <c r="BB1226" s="97" t="str">
        <f t="shared" si="200"/>
        <v/>
      </c>
      <c r="BC1226" s="101" t="str">
        <f t="shared" ca="1" si="203"/>
        <v/>
      </c>
      <c r="BD1226" s="100" t="str">
        <f t="shared" si="201"/>
        <v/>
      </c>
      <c r="BE1226" s="103" t="str">
        <f t="shared" ca="1" si="197"/>
        <v/>
      </c>
      <c r="BF1226" s="102" t="str">
        <f t="shared" si="202"/>
        <v/>
      </c>
    </row>
    <row r="1227" spans="48:58" hidden="1" x14ac:dyDescent="0.25">
      <c r="AV1227">
        <v>1197</v>
      </c>
      <c r="AW1227" s="94" t="str">
        <f t="shared" ca="1" si="194"/>
        <v/>
      </c>
      <c r="AX1227" s="95" t="str">
        <f t="shared" si="198"/>
        <v/>
      </c>
      <c r="AY1227" s="98" t="str">
        <f t="shared" ca="1" si="195"/>
        <v/>
      </c>
      <c r="AZ1227" s="95" t="str">
        <f t="shared" si="199"/>
        <v/>
      </c>
      <c r="BA1227" s="99" t="str">
        <f t="shared" ca="1" si="196"/>
        <v/>
      </c>
      <c r="BB1227" s="97" t="str">
        <f t="shared" si="200"/>
        <v/>
      </c>
      <c r="BC1227" s="101" t="str">
        <f t="shared" ca="1" si="203"/>
        <v/>
      </c>
      <c r="BD1227" s="100" t="str">
        <f t="shared" si="201"/>
        <v/>
      </c>
      <c r="BE1227" s="103" t="str">
        <f t="shared" ca="1" si="197"/>
        <v/>
      </c>
      <c r="BF1227" s="102" t="str">
        <f t="shared" si="202"/>
        <v/>
      </c>
    </row>
    <row r="1228" spans="48:58" hidden="1" x14ac:dyDescent="0.25">
      <c r="AV1228">
        <v>1198</v>
      </c>
      <c r="AW1228" s="94" t="str">
        <f t="shared" ca="1" si="194"/>
        <v/>
      </c>
      <c r="AX1228" s="95" t="str">
        <f t="shared" si="198"/>
        <v/>
      </c>
      <c r="AY1228" s="98" t="str">
        <f t="shared" ca="1" si="195"/>
        <v/>
      </c>
      <c r="AZ1228" s="95" t="str">
        <f t="shared" si="199"/>
        <v/>
      </c>
      <c r="BA1228" s="99" t="str">
        <f t="shared" ca="1" si="196"/>
        <v/>
      </c>
      <c r="BB1228" s="97" t="str">
        <f t="shared" si="200"/>
        <v/>
      </c>
      <c r="BC1228" s="101" t="str">
        <f t="shared" ca="1" si="203"/>
        <v/>
      </c>
      <c r="BD1228" s="100" t="str">
        <f t="shared" si="201"/>
        <v/>
      </c>
      <c r="BE1228" s="103" t="str">
        <f t="shared" ca="1" si="197"/>
        <v/>
      </c>
      <c r="BF1228" s="102" t="str">
        <f t="shared" si="202"/>
        <v/>
      </c>
    </row>
    <row r="1229" spans="48:58" hidden="1" x14ac:dyDescent="0.25">
      <c r="AV1229">
        <v>1199</v>
      </c>
      <c r="AW1229" s="94" t="str">
        <f t="shared" ca="1" si="194"/>
        <v/>
      </c>
      <c r="AX1229" s="95" t="str">
        <f t="shared" si="198"/>
        <v/>
      </c>
      <c r="AY1229" s="98" t="str">
        <f t="shared" ca="1" si="195"/>
        <v/>
      </c>
      <c r="AZ1229" s="95" t="str">
        <f t="shared" si="199"/>
        <v/>
      </c>
      <c r="BA1229" s="99" t="str">
        <f t="shared" ca="1" si="196"/>
        <v/>
      </c>
      <c r="BB1229" s="97" t="str">
        <f t="shared" si="200"/>
        <v/>
      </c>
      <c r="BC1229" s="101" t="str">
        <f t="shared" ca="1" si="203"/>
        <v/>
      </c>
      <c r="BD1229" s="100" t="str">
        <f t="shared" si="201"/>
        <v/>
      </c>
      <c r="BE1229" s="103" t="str">
        <f t="shared" ca="1" si="197"/>
        <v/>
      </c>
      <c r="BF1229" s="102" t="str">
        <f t="shared" si="202"/>
        <v/>
      </c>
    </row>
    <row r="1230" spans="48:58" hidden="1" x14ac:dyDescent="0.25">
      <c r="AV1230">
        <v>1200</v>
      </c>
      <c r="AW1230" s="94" t="str">
        <f t="shared" ca="1" si="194"/>
        <v/>
      </c>
      <c r="AX1230" s="95" t="str">
        <f t="shared" si="198"/>
        <v/>
      </c>
      <c r="AY1230" s="98" t="str">
        <f t="shared" ca="1" si="195"/>
        <v/>
      </c>
      <c r="AZ1230" s="95" t="str">
        <f t="shared" si="199"/>
        <v/>
      </c>
      <c r="BA1230" s="99" t="str">
        <f t="shared" ca="1" si="196"/>
        <v/>
      </c>
      <c r="BB1230" s="97" t="str">
        <f t="shared" si="200"/>
        <v/>
      </c>
      <c r="BC1230" s="101" t="str">
        <f t="shared" ca="1" si="203"/>
        <v/>
      </c>
      <c r="BD1230" s="100" t="str">
        <f t="shared" si="201"/>
        <v/>
      </c>
      <c r="BE1230" s="103" t="str">
        <f t="shared" ca="1" si="197"/>
        <v/>
      </c>
      <c r="BF1230" s="102" t="str">
        <f t="shared" si="202"/>
        <v/>
      </c>
    </row>
  </sheetData>
  <sheetProtection algorithmName="SHA-512" hashValue="zEJjJ3TkziAqi7eeWSU42P7pLivICLha6q5zuz3ZHFmNM6js4jzPdGP1OF/hGJtwaInMEheqHVhS7eNeXUbrlw==" saltValue="zilmq10kTCrLn/QpFET80w==" spinCount="100000" sheet="1" formatCells="0" selectLockedCells="1" sort="0"/>
  <sortState xmlns:xlrd2="http://schemas.microsoft.com/office/spreadsheetml/2017/richdata2" ref="R3:W7">
    <sortCondition descending="1" ref="R1"/>
  </sortState>
  <mergeCells count="32">
    <mergeCell ref="D29:K29"/>
    <mergeCell ref="F19:G19"/>
    <mergeCell ref="F20:G20"/>
    <mergeCell ref="D28:K28"/>
    <mergeCell ref="M11:M13"/>
    <mergeCell ref="F15:G15"/>
    <mergeCell ref="F21:G21"/>
    <mergeCell ref="F22:G22"/>
    <mergeCell ref="F23:G23"/>
    <mergeCell ref="F16:G16"/>
    <mergeCell ref="F17:G17"/>
    <mergeCell ref="F18:G18"/>
    <mergeCell ref="B25:G25"/>
    <mergeCell ref="B26:G26"/>
    <mergeCell ref="C11:C13"/>
    <mergeCell ref="D11:D13"/>
    <mergeCell ref="I11:I13"/>
    <mergeCell ref="K11:K13"/>
    <mergeCell ref="F14:G14"/>
    <mergeCell ref="F11:G13"/>
    <mergeCell ref="B9:C9"/>
    <mergeCell ref="A2:O2"/>
    <mergeCell ref="B4:C4"/>
    <mergeCell ref="D4:G4"/>
    <mergeCell ref="B7:C7"/>
    <mergeCell ref="B8:C8"/>
    <mergeCell ref="B6:C6"/>
    <mergeCell ref="J6:L6"/>
    <mergeCell ref="J7:L7"/>
    <mergeCell ref="J8:L8"/>
    <mergeCell ref="H6:I6"/>
    <mergeCell ref="H7:I7"/>
  </mergeCells>
  <printOptions horizontalCentered="1"/>
  <pageMargins left="0.35433070866141736" right="0.27559055118110237" top="1.1023622047244095" bottom="0.43307086614173229" header="0.27559055118110237" footer="0.23622047244094491"/>
  <pageSetup paperSize="9" scale="67" orientation="landscape" r:id="rId1"/>
  <headerFooter alignWithMargins="0">
    <oddHeader>&amp;L&amp;G&amp;R&amp;"Arial,Bold"&amp;12Date:  &amp;D</oddHeader>
    <oddFooter>&amp;L&amp;"Arial,Bold Italic"&amp;9&amp;KFF0000Confidential and Proprietary&amp;R&amp;"Arial,Bold"&amp;K0070C0Start Investing Today For Financial Freedom and follow your Passion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9466" r:id="rId5" name="C_Rate">
          <controlPr locked="0" defaultSize="0" print="0" autoLine="0" linkedCell="Q7" r:id="rId6">
            <anchor moveWithCells="1">
              <from>
                <xdr:col>11</xdr:col>
                <xdr:colOff>68580</xdr:colOff>
                <xdr:row>6</xdr:row>
                <xdr:rowOff>15240</xdr:rowOff>
              </from>
              <to>
                <xdr:col>11</xdr:col>
                <xdr:colOff>182880</xdr:colOff>
                <xdr:row>7</xdr:row>
                <xdr:rowOff>0</xdr:rowOff>
              </to>
            </anchor>
          </controlPr>
        </control>
      </mc:Choice>
      <mc:Fallback>
        <control shapeId="19466" r:id="rId5" name="C_Rate"/>
      </mc:Fallback>
    </mc:AlternateContent>
    <mc:AlternateContent xmlns:mc="http://schemas.openxmlformats.org/markup-compatibility/2006">
      <mc:Choice Requires="x14">
        <control shapeId="19465" r:id="rId7" name="G_InfPercent">
          <controlPr locked="0" defaultSize="0" print="0" autoLine="0" linkedCell="P8" r:id="rId8">
            <anchor moveWithCells="1">
              <from>
                <xdr:col>4</xdr:col>
                <xdr:colOff>22860</xdr:colOff>
                <xdr:row>7</xdr:row>
                <xdr:rowOff>60960</xdr:rowOff>
              </from>
              <to>
                <xdr:col>6</xdr:col>
                <xdr:colOff>556260</xdr:colOff>
                <xdr:row>8</xdr:row>
                <xdr:rowOff>7620</xdr:rowOff>
              </to>
            </anchor>
          </controlPr>
        </control>
      </mc:Choice>
      <mc:Fallback>
        <control shapeId="19465" r:id="rId7" name="G_InfPercent"/>
      </mc:Fallback>
    </mc:AlternateContent>
    <mc:AlternateContent xmlns:mc="http://schemas.openxmlformats.org/markup-compatibility/2006">
      <mc:Choice Requires="x14">
        <control shapeId="19464" r:id="rId9" name="G_YieldLT">
          <controlPr locked="0" defaultSize="0" print="0" autoLine="0" linkedCell="P7" r:id="rId8">
            <anchor moveWithCells="1">
              <from>
                <xdr:col>4</xdr:col>
                <xdr:colOff>22860</xdr:colOff>
                <xdr:row>6</xdr:row>
                <xdr:rowOff>45720</xdr:rowOff>
              </from>
              <to>
                <xdr:col>6</xdr:col>
                <xdr:colOff>556260</xdr:colOff>
                <xdr:row>6</xdr:row>
                <xdr:rowOff>190500</xdr:rowOff>
              </to>
            </anchor>
          </controlPr>
        </control>
      </mc:Choice>
      <mc:Fallback>
        <control shapeId="19464" r:id="rId9" name="G_YieldLT"/>
      </mc:Fallback>
    </mc:AlternateContent>
    <mc:AlternateContent xmlns:mc="http://schemas.openxmlformats.org/markup-compatibility/2006">
      <mc:Choice Requires="x14">
        <control shapeId="19468" r:id="rId10" name="G_YieldST">
          <controlPr locked="0" defaultSize="0" print="0" autoLine="0" linkedCell="P6" r:id="rId11">
            <anchor moveWithCells="1">
              <from>
                <xdr:col>4</xdr:col>
                <xdr:colOff>22860</xdr:colOff>
                <xdr:row>5</xdr:row>
                <xdr:rowOff>30480</xdr:rowOff>
              </from>
              <to>
                <xdr:col>6</xdr:col>
                <xdr:colOff>556260</xdr:colOff>
                <xdr:row>5</xdr:row>
                <xdr:rowOff>175260</xdr:rowOff>
              </to>
            </anchor>
          </controlPr>
        </control>
      </mc:Choice>
      <mc:Fallback>
        <control shapeId="19468" r:id="rId10" name="G_YieldST"/>
      </mc:Fallback>
    </mc:AlternateContent>
    <mc:AlternateContent xmlns:mc="http://schemas.openxmlformats.org/markup-compatibility/2006">
      <mc:Choice Requires="x14">
        <control shapeId="19457" r:id="rId12" name="ClrCorpusBtn">
          <controlPr defaultSize="0" print="0" autoFill="0" autoPict="0" macro="[0]!ClearAllCorpus">
            <anchor moveWithCells="1" sizeWithCells="1">
              <from>
                <xdr:col>1</xdr:col>
                <xdr:colOff>68580</xdr:colOff>
                <xdr:row>10</xdr:row>
                <xdr:rowOff>22860</xdr:rowOff>
              </from>
              <to>
                <xdr:col>1</xdr:col>
                <xdr:colOff>670560</xdr:colOff>
                <xdr:row>10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13" name="btnPublish">
          <controlPr defaultSize="0" print="0" autoFill="0" autoPict="0" macro="[0]!G_Report_Click">
            <anchor moveWithCells="1">
              <from>
                <xdr:col>12</xdr:col>
                <xdr:colOff>388620</xdr:colOff>
                <xdr:row>24</xdr:row>
                <xdr:rowOff>137160</xdr:rowOff>
              </from>
              <to>
                <xdr:col>12</xdr:col>
                <xdr:colOff>929640</xdr:colOff>
                <xdr:row>25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9" r:id="rId14" name="G1Chk">
          <controlPr locked="0" defaultSize="0" autoFill="0" autoLine="0" autoPict="0" macro="[0]!G1Chk_Click">
            <anchor moveWithCells="1">
              <from>
                <xdr:col>10</xdr:col>
                <xdr:colOff>1226820</xdr:colOff>
                <xdr:row>14</xdr:row>
                <xdr:rowOff>7620</xdr:rowOff>
              </from>
              <to>
                <xdr:col>12</xdr:col>
                <xdr:colOff>7620</xdr:colOff>
                <xdr:row>15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2" r:id="rId15" name="G4Chk">
          <controlPr locked="0" defaultSize="0" autoFill="0" autoLine="0" autoPict="0" macro="[0]!G4Chk_Click">
            <anchor moveWithCells="1">
              <from>
                <xdr:col>10</xdr:col>
                <xdr:colOff>1234440</xdr:colOff>
                <xdr:row>20</xdr:row>
                <xdr:rowOff>7620</xdr:rowOff>
              </from>
              <to>
                <xdr:col>12</xdr:col>
                <xdr:colOff>0</xdr:colOff>
                <xdr:row>21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3" r:id="rId16" name="G5Chk">
          <controlPr locked="0" defaultSize="0" autoFill="0" autoLine="0" autoPict="0" macro="[0]!G5Chk_Click">
            <anchor moveWithCells="1">
              <from>
                <xdr:col>10</xdr:col>
                <xdr:colOff>1234440</xdr:colOff>
                <xdr:row>22</xdr:row>
                <xdr:rowOff>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7" name="G2Chk">
          <controlPr locked="0" defaultSize="0" autoFill="0" autoLine="0" autoPict="0" macro="[0]!G2Chk_Click">
            <anchor moveWithCells="1">
              <from>
                <xdr:col>10</xdr:col>
                <xdr:colOff>1226820</xdr:colOff>
                <xdr:row>16</xdr:row>
                <xdr:rowOff>7620</xdr:rowOff>
              </from>
              <to>
                <xdr:col>12</xdr:col>
                <xdr:colOff>7620</xdr:colOff>
                <xdr:row>17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1" r:id="rId18" name="G3Chk">
          <controlPr locked="0" defaultSize="0" autoFill="0" autoLine="0" autoPict="0" macro="[0]!G3Chk_Click">
            <anchor moveWithCells="1">
              <from>
                <xdr:col>10</xdr:col>
                <xdr:colOff>1234440</xdr:colOff>
                <xdr:row>18</xdr:row>
                <xdr:rowOff>7620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83" r:id="rId19" name="btnPrint">
          <controlPr defaultSize="0" print="0" autoFill="0" autoPict="0" macro="[0]!printGoalCorpusPlan">
            <anchor moveWithCells="1">
              <from>
                <xdr:col>12</xdr:col>
                <xdr:colOff>388620</xdr:colOff>
                <xdr:row>26</xdr:row>
                <xdr:rowOff>0</xdr:rowOff>
              </from>
              <to>
                <xdr:col>12</xdr:col>
                <xdr:colOff>929640</xdr:colOff>
                <xdr:row>27</xdr:row>
                <xdr:rowOff>15240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105</vt:i4>
      </vt:variant>
    </vt:vector>
  </HeadingPairs>
  <TitlesOfParts>
    <vt:vector size="107" baseType="lpstr">
      <vt:lpstr>Goal Calculator</vt:lpstr>
      <vt:lpstr>GCwithCorpus</vt:lpstr>
      <vt:lpstr>ACorpus1</vt:lpstr>
      <vt:lpstr>ACorpus2</vt:lpstr>
      <vt:lpstr>ACorpus3</vt:lpstr>
      <vt:lpstr>ACorpus4</vt:lpstr>
      <vt:lpstr>ACorpus5</vt:lpstr>
      <vt:lpstr>B_Corpus</vt:lpstr>
      <vt:lpstr>C_EffYld</vt:lpstr>
      <vt:lpstr>C_IntRate</vt:lpstr>
      <vt:lpstr>CCReq_1</vt:lpstr>
      <vt:lpstr>CCReq_2</vt:lpstr>
      <vt:lpstr>CCReq_3</vt:lpstr>
      <vt:lpstr>CCReq_4</vt:lpstr>
      <vt:lpstr>CCReq_5</vt:lpstr>
      <vt:lpstr>Corpus</vt:lpstr>
      <vt:lpstr>CT_1</vt:lpstr>
      <vt:lpstr>CT_2</vt:lpstr>
      <vt:lpstr>CT_3</vt:lpstr>
      <vt:lpstr>CT_4</vt:lpstr>
      <vt:lpstr>CT_5</vt:lpstr>
      <vt:lpstr>CYld1</vt:lpstr>
      <vt:lpstr>CYld2</vt:lpstr>
      <vt:lpstr>CYld3</vt:lpstr>
      <vt:lpstr>CYld4</vt:lpstr>
      <vt:lpstr>CYld5</vt:lpstr>
      <vt:lpstr>DelayMonths</vt:lpstr>
      <vt:lpstr>EffYieldLT</vt:lpstr>
      <vt:lpstr>EffYieldST</vt:lpstr>
      <vt:lpstr>G_1</vt:lpstr>
      <vt:lpstr>G_2</vt:lpstr>
      <vt:lpstr>G_3</vt:lpstr>
      <vt:lpstr>G_4</vt:lpstr>
      <vt:lpstr>G_5</vt:lpstr>
      <vt:lpstr>G_EffYieldLT</vt:lpstr>
      <vt:lpstr>G_EffYieldST</vt:lpstr>
      <vt:lpstr>G_GoalsSet</vt:lpstr>
      <vt:lpstr>G_InfRate</vt:lpstr>
      <vt:lpstr>G_RateLT</vt:lpstr>
      <vt:lpstr>G_RateST</vt:lpstr>
      <vt:lpstr>GInfRate</vt:lpstr>
      <vt:lpstr>GN_1</vt:lpstr>
      <vt:lpstr>GN_2</vt:lpstr>
      <vt:lpstr>GN_3</vt:lpstr>
      <vt:lpstr>GN_4</vt:lpstr>
      <vt:lpstr>GN_5</vt:lpstr>
      <vt:lpstr>Goal1</vt:lpstr>
      <vt:lpstr>Goal2</vt:lpstr>
      <vt:lpstr>Goal3</vt:lpstr>
      <vt:lpstr>Goal4</vt:lpstr>
      <vt:lpstr>Goal5</vt:lpstr>
      <vt:lpstr>'Goal Calculator'!GoalAmt</vt:lpstr>
      <vt:lpstr>GoalsSet</vt:lpstr>
      <vt:lpstr>'Goal Calculator'!GoalYears</vt:lpstr>
      <vt:lpstr>InfG_1</vt:lpstr>
      <vt:lpstr>InfG_2</vt:lpstr>
      <vt:lpstr>InfG_3</vt:lpstr>
      <vt:lpstr>InfG_4</vt:lpstr>
      <vt:lpstr>InfG_5</vt:lpstr>
      <vt:lpstr>InfGoal1</vt:lpstr>
      <vt:lpstr>InfGoal2</vt:lpstr>
      <vt:lpstr>InfGoal3</vt:lpstr>
      <vt:lpstr>InfGoal4</vt:lpstr>
      <vt:lpstr>InfGoal5</vt:lpstr>
      <vt:lpstr>LTSRate</vt:lpstr>
      <vt:lpstr>NoLTGoals</vt:lpstr>
      <vt:lpstr>NoSTGoals</vt:lpstr>
      <vt:lpstr>OT_1</vt:lpstr>
      <vt:lpstr>OT_2</vt:lpstr>
      <vt:lpstr>OT_3</vt:lpstr>
      <vt:lpstr>OT_4</vt:lpstr>
      <vt:lpstr>OT_5</vt:lpstr>
      <vt:lpstr>GCwithCorpus!Print_Area</vt:lpstr>
      <vt:lpstr>'Goal Calculator'!Print_Area</vt:lpstr>
      <vt:lpstr>STSRate</vt:lpstr>
      <vt:lpstr>STTerm</vt:lpstr>
      <vt:lpstr>SYld_1</vt:lpstr>
      <vt:lpstr>SYld_2</vt:lpstr>
      <vt:lpstr>SYld_3</vt:lpstr>
      <vt:lpstr>SYld_4</vt:lpstr>
      <vt:lpstr>SYld_5</vt:lpstr>
      <vt:lpstr>SYldG1</vt:lpstr>
      <vt:lpstr>SYldG2</vt:lpstr>
      <vt:lpstr>SYldG3</vt:lpstr>
      <vt:lpstr>SYldG4</vt:lpstr>
      <vt:lpstr>SYldG5</vt:lpstr>
      <vt:lpstr>T_1</vt:lpstr>
      <vt:lpstr>T_2</vt:lpstr>
      <vt:lpstr>T_3</vt:lpstr>
      <vt:lpstr>T_4</vt:lpstr>
      <vt:lpstr>T_5</vt:lpstr>
      <vt:lpstr>T_Rate</vt:lpstr>
      <vt:lpstr>TaxRate</vt:lpstr>
      <vt:lpstr>Term1</vt:lpstr>
      <vt:lpstr>Term2</vt:lpstr>
      <vt:lpstr>Term3</vt:lpstr>
      <vt:lpstr>Term4</vt:lpstr>
      <vt:lpstr>Term5</vt:lpstr>
      <vt:lpstr>TermTbl</vt:lpstr>
      <vt:lpstr>TotalGoals</vt:lpstr>
      <vt:lpstr>YieldLTRate</vt:lpstr>
      <vt:lpstr>'Goal Calculator'!YieldSTRate</vt:lpstr>
      <vt:lpstr>YldG1</vt:lpstr>
      <vt:lpstr>YldG2</vt:lpstr>
      <vt:lpstr>YldG3</vt:lpstr>
      <vt:lpstr>YldG4</vt:lpstr>
      <vt:lpstr>YldG5</vt:lpstr>
    </vt:vector>
  </TitlesOfParts>
  <Company>FinOptic Capital Services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FinOptic Goal Calculator</dc:title>
  <dc:creator>Sasmith</dc:creator>
  <dc:description>Copyright 2021 - FinOptic Capital Services</dc:description>
  <cp:lastModifiedBy>Sasmith Reddi</cp:lastModifiedBy>
  <cp:lastPrinted>2026-04-07T03:14:37Z</cp:lastPrinted>
  <dcterms:created xsi:type="dcterms:W3CDTF">2021-07-17T08:32:50Z</dcterms:created>
  <dcterms:modified xsi:type="dcterms:W3CDTF">2026-04-07T03:15:31Z</dcterms:modified>
  <cp:contentStatus/>
</cp:coreProperties>
</file>