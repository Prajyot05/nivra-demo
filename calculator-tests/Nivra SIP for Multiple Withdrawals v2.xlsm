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_Personal\Finance\Investments\Nivra FinTech\Tools\Unprotected\"/>
    </mc:Choice>
  </mc:AlternateContent>
  <xr:revisionPtr revIDLastSave="0" documentId="8_{97DA01AD-3F4A-4A07-9C87-4324AD44DE16}" xr6:coauthVersionLast="47" xr6:coauthVersionMax="47" xr10:uidLastSave="{00000000-0000-0000-0000-000000000000}"/>
  <bookViews>
    <workbookView xWindow="-108" yWindow="-108" windowWidth="23256" windowHeight="12456" tabRatio="716" xr2:uid="{00000000-000D-0000-FFFF-FFFF00000000}"/>
  </bookViews>
  <sheets>
    <sheet name="SIP Calculator" sheetId="23" r:id="rId1"/>
  </sheets>
  <functionGroups builtInGroupCount="19"/>
  <definedNames>
    <definedName name="_xleta.IF" hidden="1" xlm="1">#NAME?</definedName>
    <definedName name="_xleta.MATCH" hidden="1" xlm="1">#NAME?</definedName>
    <definedName name="_xleta.T" hidden="1" xlm="1">#NAME?</definedName>
    <definedName name="_xleta.VLOOKUP" hidden="1" xlm="1">#NAME?</definedName>
    <definedName name="Age">'SIP Calculator'!$E$5</definedName>
    <definedName name="AtAge1">'SIP Calculator'!$E$8</definedName>
    <definedName name="AtAge10">'SIP Calculator'!$E$17</definedName>
    <definedName name="AtAge2">'SIP Calculator'!$E$9</definedName>
    <definedName name="AtAge3">'SIP Calculator'!$E$10</definedName>
    <definedName name="AtAge4">'SIP Calculator'!$E$11</definedName>
    <definedName name="AtAge5">'SIP Calculator'!$E$12</definedName>
    <definedName name="AtAge6">'SIP Calculator'!$E$13</definedName>
    <definedName name="AtAge7">'SIP Calculator'!$E$14</definedName>
    <definedName name="AtAge8">'SIP Calculator'!$E$15</definedName>
    <definedName name="AtAge9">'SIP Calculator'!$E$16</definedName>
    <definedName name="ChartAge">OFFSET('SIP Calculator'!$N$6,0,0,'SIP Calculator'!$AA$4-1,1)</definedName>
    <definedName name="ChartCorpus">OFFSET('SIP Calculator'!$Z$6,0,0,'SIP Calculator'!$AA$4-1,1)</definedName>
    <definedName name="ChartLabels">OFFSET('SIP Calculator'!$AA$6,0,0,'SIP Calculator'!$AA$4-1,1)</definedName>
    <definedName name="GAmt1">'SIP Calculator'!$D$8</definedName>
    <definedName name="GAmt10">'SIP Calculator'!$D$17</definedName>
    <definedName name="GAmt2">'SIP Calculator'!$D$9</definedName>
    <definedName name="GAmt3">'SIP Calculator'!$D$10</definedName>
    <definedName name="GAmt4">'SIP Calculator'!$D$11</definedName>
    <definedName name="GAmt5">'SIP Calculator'!$D$12</definedName>
    <definedName name="GAmt6">'SIP Calculator'!$D$13</definedName>
    <definedName name="GAmt7">'SIP Calculator'!$D$14</definedName>
    <definedName name="GAmt8">'SIP Calculator'!$D$15</definedName>
    <definedName name="GAmt9">'SIP Calculator'!$D$16</definedName>
    <definedName name="MaxAge">'SIP Calculator'!$Q$1</definedName>
    <definedName name="SAmt1">'SIP Calculator'!$P$3</definedName>
    <definedName name="SAmt10">'SIP Calculator'!$Y$3</definedName>
    <definedName name="SAmt2">'SIP Calculator'!$Q$3</definedName>
    <definedName name="SAmt3">'SIP Calculator'!$R$3</definedName>
    <definedName name="SAmt4">'SIP Calculator'!$S$3</definedName>
    <definedName name="SAmt5">'SIP Calculator'!$T$3</definedName>
    <definedName name="SAmt6">'SIP Calculator'!$U$3</definedName>
    <definedName name="SAmt7">'SIP Calculator'!$V$3</definedName>
    <definedName name="SAmt8">'SIP Calculator'!$W$3</definedName>
    <definedName name="SAmt9">'SIP Calculator'!$X$3</definedName>
    <definedName name="SIPMonths" localSheetId="0">'SIP Calculator'!$D$19</definedName>
    <definedName name="SIPTax1">'SIP Calculator'!$P$59</definedName>
    <definedName name="SIPTax10">'SIP Calculator'!$Y$59</definedName>
    <definedName name="SIPTax2">'SIP Calculator'!$Q$59</definedName>
    <definedName name="SIPTax3">'SIP Calculator'!$R$59</definedName>
    <definedName name="SIPTax4">'SIP Calculator'!$S$59</definedName>
    <definedName name="SIPTax5">'SIP Calculator'!$T$59</definedName>
    <definedName name="SIPTax6">'SIP Calculator'!$U$59</definedName>
    <definedName name="SIPTax7">'SIP Calculator'!$V$59</definedName>
    <definedName name="SIPTax8">'SIP Calculator'!$W$59</definedName>
    <definedName name="SIPTax9">'SIP Calculator'!$X$59</definedName>
    <definedName name="SIPYield" localSheetId="0">'SIP Calculator'!$D$20</definedName>
    <definedName name="SRate">'SIP Calculator'!$Q$2</definedName>
    <definedName name="TaxRate">'SIP Calculator'!$D$21</definedName>
    <definedName name="ZCalc1">'SIP Calculator'!$P$60</definedName>
    <definedName name="ZCalc10">'SIP Calculator'!$Y$60</definedName>
    <definedName name="ZCalc2">'SIP Calculator'!$Q$60</definedName>
    <definedName name="ZCalc3">'SIP Calculator'!$R$60</definedName>
    <definedName name="ZCalc4">'SIP Calculator'!$S$60</definedName>
    <definedName name="ZCalc5">'SIP Calculator'!$T$60</definedName>
    <definedName name="ZCalc6">'SIP Calculator'!$U$60</definedName>
    <definedName name="ZCalc7">'SIP Calculator'!$V$60</definedName>
    <definedName name="ZCalc8">'SIP Calculator'!$W$60</definedName>
    <definedName name="ZCalc9">'SIP Calculator'!$X$60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23" i="23" l="1"/>
  <c r="AE23" i="23"/>
  <c r="AD23" i="23"/>
  <c r="AC23" i="23"/>
  <c r="AG22" i="23"/>
  <c r="AD22" i="23"/>
  <c r="AC22" i="23"/>
  <c r="AG21" i="23"/>
  <c r="AE21" i="23"/>
  <c r="AD21" i="23"/>
  <c r="AC21" i="23"/>
  <c r="AG20" i="23"/>
  <c r="AE20" i="23"/>
  <c r="AD20" i="23"/>
  <c r="AC20" i="23"/>
  <c r="AG19" i="23"/>
  <c r="AE19" i="23"/>
  <c r="AD19" i="23"/>
  <c r="AC19" i="23"/>
  <c r="AG18" i="23"/>
  <c r="AE18" i="23"/>
  <c r="AD18" i="23"/>
  <c r="AC18" i="23"/>
  <c r="AG17" i="23"/>
  <c r="AE17" i="23"/>
  <c r="AD17" i="23"/>
  <c r="AC17" i="23"/>
  <c r="Y3" i="23"/>
  <c r="X3" i="23"/>
  <c r="W3" i="23"/>
  <c r="V3" i="23"/>
  <c r="V18" i="23" s="1"/>
  <c r="U3" i="23"/>
  <c r="U16" i="23" s="1"/>
  <c r="T3" i="23"/>
  <c r="T14" i="23" s="1"/>
  <c r="S3" i="23"/>
  <c r="S12" i="23" s="1"/>
  <c r="R3" i="23"/>
  <c r="R10" i="23" s="1"/>
  <c r="Q3" i="23"/>
  <c r="Q8" i="23" s="1"/>
  <c r="P3" i="23"/>
  <c r="Y7" i="23"/>
  <c r="Y8" i="23"/>
  <c r="Y9" i="23"/>
  <c r="Y10" i="23"/>
  <c r="Y11" i="23"/>
  <c r="Y12" i="23"/>
  <c r="Y13" i="23"/>
  <c r="Y14" i="23"/>
  <c r="Y15" i="23"/>
  <c r="Y16" i="23"/>
  <c r="Y17" i="23"/>
  <c r="Y18" i="23"/>
  <c r="Y19" i="23"/>
  <c r="Y20" i="23"/>
  <c r="Y21" i="23"/>
  <c r="Y22" i="23"/>
  <c r="Y23" i="23"/>
  <c r="Y24" i="23"/>
  <c r="Y25" i="23"/>
  <c r="Y26" i="23"/>
  <c r="Y27" i="23"/>
  <c r="Y28" i="23"/>
  <c r="Y29" i="23"/>
  <c r="Y30" i="23"/>
  <c r="Y31" i="23"/>
  <c r="Y32" i="23"/>
  <c r="Y33" i="23"/>
  <c r="Y34" i="23"/>
  <c r="Y35" i="23"/>
  <c r="Y36" i="23"/>
  <c r="Y37" i="23"/>
  <c r="Y38" i="23"/>
  <c r="Y39" i="23"/>
  <c r="Y40" i="23"/>
  <c r="Y41" i="23"/>
  <c r="Y42" i="23"/>
  <c r="Y43" i="23"/>
  <c r="Y44" i="23"/>
  <c r="Y45" i="23"/>
  <c r="Y46" i="23"/>
  <c r="Y47" i="23"/>
  <c r="Y48" i="23"/>
  <c r="Y49" i="23"/>
  <c r="Y50" i="23"/>
  <c r="Y51" i="23"/>
  <c r="Y52" i="23"/>
  <c r="Y53" i="23"/>
  <c r="Y54" i="23"/>
  <c r="Y55" i="23"/>
  <c r="Y6" i="23"/>
  <c r="X7" i="23"/>
  <c r="X8" i="23"/>
  <c r="X9" i="23"/>
  <c r="X10" i="23"/>
  <c r="X11" i="23"/>
  <c r="X12" i="23"/>
  <c r="X13" i="23"/>
  <c r="X14" i="23"/>
  <c r="X15" i="23"/>
  <c r="X16" i="23"/>
  <c r="X17" i="23"/>
  <c r="X18" i="23"/>
  <c r="X19" i="23"/>
  <c r="X20" i="23"/>
  <c r="X21" i="23"/>
  <c r="X22" i="23"/>
  <c r="X23" i="23"/>
  <c r="X24" i="23"/>
  <c r="X25" i="23"/>
  <c r="X26" i="23"/>
  <c r="X27" i="23"/>
  <c r="X28" i="23"/>
  <c r="X29" i="23"/>
  <c r="X30" i="23"/>
  <c r="X31" i="23"/>
  <c r="X32" i="23"/>
  <c r="X33" i="23"/>
  <c r="X34" i="23"/>
  <c r="X35" i="23"/>
  <c r="X36" i="23"/>
  <c r="X37" i="23"/>
  <c r="X38" i="23"/>
  <c r="X39" i="23"/>
  <c r="X40" i="23"/>
  <c r="X41" i="23"/>
  <c r="X42" i="23"/>
  <c r="X43" i="23"/>
  <c r="X44" i="23"/>
  <c r="X45" i="23"/>
  <c r="X46" i="23"/>
  <c r="X47" i="23"/>
  <c r="X48" i="23"/>
  <c r="X49" i="23"/>
  <c r="X50" i="23"/>
  <c r="X51" i="23"/>
  <c r="X52" i="23"/>
  <c r="X53" i="23"/>
  <c r="X54" i="23"/>
  <c r="X55" i="23"/>
  <c r="X6" i="23"/>
  <c r="W7" i="23"/>
  <c r="W8" i="23"/>
  <c r="W9" i="23"/>
  <c r="W10" i="23"/>
  <c r="W11" i="23"/>
  <c r="W12" i="23"/>
  <c r="W13" i="23"/>
  <c r="W14" i="23"/>
  <c r="W15" i="23"/>
  <c r="W16" i="23"/>
  <c r="W17" i="23"/>
  <c r="W18" i="23"/>
  <c r="W19" i="23"/>
  <c r="W20" i="23"/>
  <c r="W21" i="23"/>
  <c r="W22" i="23"/>
  <c r="W23" i="23"/>
  <c r="W24" i="23"/>
  <c r="W25" i="23"/>
  <c r="W26" i="23"/>
  <c r="W27" i="23"/>
  <c r="W28" i="23"/>
  <c r="W29" i="23"/>
  <c r="W30" i="23"/>
  <c r="W31" i="23"/>
  <c r="W32" i="23"/>
  <c r="W33" i="23"/>
  <c r="W34" i="23"/>
  <c r="W35" i="23"/>
  <c r="W36" i="23"/>
  <c r="W37" i="23"/>
  <c r="W38" i="23"/>
  <c r="W39" i="23"/>
  <c r="W40" i="23"/>
  <c r="W41" i="23"/>
  <c r="W42" i="23"/>
  <c r="W43" i="23"/>
  <c r="W44" i="23"/>
  <c r="W45" i="23"/>
  <c r="W46" i="23"/>
  <c r="W47" i="23"/>
  <c r="W48" i="23"/>
  <c r="W49" i="23"/>
  <c r="W50" i="23"/>
  <c r="W51" i="23"/>
  <c r="W52" i="23"/>
  <c r="W53" i="23"/>
  <c r="W54" i="23"/>
  <c r="W55" i="23"/>
  <c r="W6" i="23"/>
  <c r="V9" i="23"/>
  <c r="V10" i="23"/>
  <c r="V11" i="23"/>
  <c r="V12" i="23"/>
  <c r="V13" i="23"/>
  <c r="V14" i="23"/>
  <c r="V15" i="23"/>
  <c r="V16" i="23"/>
  <c r="V17" i="23"/>
  <c r="V21" i="23"/>
  <c r="V22" i="23"/>
  <c r="V23" i="23"/>
  <c r="V24" i="23"/>
  <c r="V25" i="23"/>
  <c r="V26" i="23"/>
  <c r="V27" i="23"/>
  <c r="V28" i="23"/>
  <c r="V29" i="23"/>
  <c r="V33" i="23"/>
  <c r="V34" i="23"/>
  <c r="V35" i="23"/>
  <c r="V36" i="23"/>
  <c r="V37" i="23"/>
  <c r="V38" i="23"/>
  <c r="V39" i="23"/>
  <c r="V40" i="23"/>
  <c r="V41" i="23"/>
  <c r="V42" i="23"/>
  <c r="V43" i="23"/>
  <c r="V44" i="23"/>
  <c r="V45" i="23"/>
  <c r="V46" i="23"/>
  <c r="V47" i="23"/>
  <c r="V48" i="23"/>
  <c r="V49" i="23"/>
  <c r="V50" i="23"/>
  <c r="V51" i="23"/>
  <c r="V52" i="23"/>
  <c r="V53" i="23"/>
  <c r="V54" i="23"/>
  <c r="V55" i="23"/>
  <c r="U21" i="23"/>
  <c r="U22" i="23"/>
  <c r="U36" i="23"/>
  <c r="U37" i="23"/>
  <c r="U38" i="23"/>
  <c r="U39" i="23"/>
  <c r="U40" i="23"/>
  <c r="U41" i="23"/>
  <c r="U42" i="23"/>
  <c r="U43" i="23"/>
  <c r="U44" i="23"/>
  <c r="U45" i="23"/>
  <c r="U46" i="23"/>
  <c r="U47" i="23"/>
  <c r="U48" i="23"/>
  <c r="U49" i="23"/>
  <c r="U50" i="23"/>
  <c r="U51" i="23"/>
  <c r="U52" i="23"/>
  <c r="U53" i="23"/>
  <c r="U54" i="23"/>
  <c r="U55" i="23"/>
  <c r="T7" i="23"/>
  <c r="T8" i="23"/>
  <c r="T9" i="23"/>
  <c r="T10" i="23"/>
  <c r="T11" i="23"/>
  <c r="T12" i="23"/>
  <c r="T13" i="23"/>
  <c r="T19" i="23"/>
  <c r="T20" i="23"/>
  <c r="T21" i="23"/>
  <c r="T22" i="23"/>
  <c r="T23" i="23"/>
  <c r="T24" i="23"/>
  <c r="T25" i="23"/>
  <c r="T26" i="23"/>
  <c r="T27" i="23"/>
  <c r="T28" i="23"/>
  <c r="T29" i="23"/>
  <c r="T30" i="23"/>
  <c r="T31" i="23"/>
  <c r="T32" i="23"/>
  <c r="T33" i="23"/>
  <c r="T34" i="23"/>
  <c r="T35" i="23"/>
  <c r="T36" i="23"/>
  <c r="T37" i="23"/>
  <c r="T38" i="23"/>
  <c r="T39" i="23"/>
  <c r="T40" i="23"/>
  <c r="T41" i="23"/>
  <c r="T42" i="23"/>
  <c r="T43" i="23"/>
  <c r="T44" i="23"/>
  <c r="T45" i="23"/>
  <c r="T46" i="23"/>
  <c r="T47" i="23"/>
  <c r="T48" i="23"/>
  <c r="T49" i="23"/>
  <c r="T50" i="23"/>
  <c r="T51" i="23"/>
  <c r="T52" i="23"/>
  <c r="T53" i="23"/>
  <c r="T54" i="23"/>
  <c r="T55" i="23"/>
  <c r="T6" i="23"/>
  <c r="S7" i="23"/>
  <c r="S8" i="23"/>
  <c r="S9" i="23"/>
  <c r="S10" i="23"/>
  <c r="S11" i="23"/>
  <c r="S18" i="23"/>
  <c r="S19" i="23"/>
  <c r="S20" i="23"/>
  <c r="S21" i="23"/>
  <c r="S22" i="23"/>
  <c r="S23" i="23"/>
  <c r="S30" i="23"/>
  <c r="S31" i="23"/>
  <c r="S32" i="23"/>
  <c r="S33" i="23"/>
  <c r="S34" i="23"/>
  <c r="S35" i="23"/>
  <c r="S36" i="23"/>
  <c r="S37" i="23"/>
  <c r="S38" i="23"/>
  <c r="S39" i="23"/>
  <c r="S40" i="23"/>
  <c r="S41" i="23"/>
  <c r="S42" i="23"/>
  <c r="S43" i="23"/>
  <c r="S44" i="23"/>
  <c r="S45" i="23"/>
  <c r="S46" i="23"/>
  <c r="S47" i="23"/>
  <c r="S48" i="23"/>
  <c r="S49" i="23"/>
  <c r="S50" i="23"/>
  <c r="S51" i="23"/>
  <c r="S52" i="23"/>
  <c r="S53" i="23"/>
  <c r="S54" i="23"/>
  <c r="S55" i="23"/>
  <c r="S6" i="23"/>
  <c r="R7" i="23"/>
  <c r="R8" i="23"/>
  <c r="R9" i="23"/>
  <c r="R17" i="23"/>
  <c r="R18" i="23"/>
  <c r="R19" i="23"/>
  <c r="R20" i="23"/>
  <c r="R21" i="23"/>
  <c r="R29" i="23"/>
  <c r="R30" i="23"/>
  <c r="R31" i="23"/>
  <c r="R32" i="23"/>
  <c r="R33" i="23"/>
  <c r="R34" i="23"/>
  <c r="R35" i="23"/>
  <c r="R36" i="23"/>
  <c r="R37" i="23"/>
  <c r="R38" i="23"/>
  <c r="R39" i="23"/>
  <c r="R40" i="23"/>
  <c r="R41" i="23"/>
  <c r="R42" i="23"/>
  <c r="R43" i="23"/>
  <c r="R44" i="23"/>
  <c r="R45" i="23"/>
  <c r="R46" i="23"/>
  <c r="R47" i="23"/>
  <c r="R48" i="23"/>
  <c r="R49" i="23"/>
  <c r="R50" i="23"/>
  <c r="R51" i="23"/>
  <c r="R52" i="23"/>
  <c r="R53" i="23"/>
  <c r="R54" i="23"/>
  <c r="R55" i="23"/>
  <c r="R6" i="23"/>
  <c r="Q7" i="23"/>
  <c r="Q16" i="23"/>
  <c r="Q17" i="23"/>
  <c r="Q18" i="23"/>
  <c r="Q19" i="23"/>
  <c r="Q20" i="23"/>
  <c r="Q21" i="23"/>
  <c r="Q22" i="23"/>
  <c r="Q23" i="23"/>
  <c r="Q24" i="23"/>
  <c r="Q25" i="23"/>
  <c r="Q26" i="23"/>
  <c r="Q27" i="23"/>
  <c r="Q28" i="23"/>
  <c r="Q29" i="23"/>
  <c r="Q30" i="23"/>
  <c r="Q31" i="23"/>
  <c r="Q32" i="23"/>
  <c r="Q33" i="23"/>
  <c r="Q34" i="23"/>
  <c r="Q35" i="23"/>
  <c r="Q36" i="23"/>
  <c r="Q37" i="23"/>
  <c r="Q38" i="23"/>
  <c r="Q39" i="23"/>
  <c r="Q40" i="23"/>
  <c r="Q41" i="23"/>
  <c r="Q42" i="23"/>
  <c r="Q43" i="23"/>
  <c r="Q44" i="23"/>
  <c r="Q45" i="23"/>
  <c r="Q46" i="23"/>
  <c r="Q47" i="23"/>
  <c r="Q48" i="23"/>
  <c r="Q49" i="23"/>
  <c r="Q50" i="23"/>
  <c r="Q51" i="23"/>
  <c r="Q52" i="23"/>
  <c r="Q53" i="23"/>
  <c r="Q54" i="23"/>
  <c r="Q55" i="23"/>
  <c r="U13" i="23" l="1"/>
  <c r="U6" i="23"/>
  <c r="U32" i="23"/>
  <c r="U12" i="23"/>
  <c r="AE22" i="23"/>
  <c r="U27" i="23"/>
  <c r="U11" i="23"/>
  <c r="U20" i="23"/>
  <c r="U15" i="23"/>
  <c r="U14" i="23"/>
  <c r="U25" i="23"/>
  <c r="U9" i="23"/>
  <c r="U33" i="23"/>
  <c r="U10" i="23"/>
  <c r="U24" i="23"/>
  <c r="U8" i="23"/>
  <c r="U35" i="23"/>
  <c r="U34" i="23"/>
  <c r="U26" i="23"/>
  <c r="U23" i="23"/>
  <c r="Q14" i="23"/>
  <c r="R16" i="23"/>
  <c r="Q13" i="23"/>
  <c r="R15" i="23"/>
  <c r="S17" i="23"/>
  <c r="R26" i="23"/>
  <c r="S28" i="23"/>
  <c r="T18" i="23"/>
  <c r="R25" i="23"/>
  <c r="S27" i="23"/>
  <c r="T17" i="23"/>
  <c r="U19" i="23"/>
  <c r="R24" i="23"/>
  <c r="S26" i="23"/>
  <c r="U18" i="23"/>
  <c r="V32" i="23"/>
  <c r="V8" i="23"/>
  <c r="Q9" i="23"/>
  <c r="R23" i="23"/>
  <c r="R11" i="23"/>
  <c r="S25" i="23"/>
  <c r="S13" i="23"/>
  <c r="T15" i="23"/>
  <c r="U29" i="23"/>
  <c r="U17" i="23"/>
  <c r="V31" i="23"/>
  <c r="V19" i="23"/>
  <c r="V7" i="23"/>
  <c r="Q15" i="23"/>
  <c r="R28" i="23"/>
  <c r="R27" i="23"/>
  <c r="S29" i="23"/>
  <c r="Q12" i="23"/>
  <c r="R14" i="23"/>
  <c r="S16" i="23"/>
  <c r="Q11" i="23"/>
  <c r="R13" i="23"/>
  <c r="S15" i="23"/>
  <c r="U31" i="23"/>
  <c r="U7" i="23"/>
  <c r="Q10" i="23"/>
  <c r="R12" i="23"/>
  <c r="S14" i="23"/>
  <c r="T16" i="23"/>
  <c r="U30" i="23"/>
  <c r="V6" i="23"/>
  <c r="V20" i="23"/>
  <c r="Q6" i="23"/>
  <c r="R22" i="23"/>
  <c r="S24" i="23"/>
  <c r="U28" i="23"/>
  <c r="V30" i="23"/>
  <c r="P7" i="23" l="1"/>
  <c r="P8" i="23"/>
  <c r="P9" i="23"/>
  <c r="P10" i="23"/>
  <c r="P11" i="23"/>
  <c r="P12" i="23"/>
  <c r="P13" i="23"/>
  <c r="P14" i="23"/>
  <c r="P15" i="23"/>
  <c r="P16" i="23"/>
  <c r="P17" i="23"/>
  <c r="P18" i="23"/>
  <c r="P19" i="23"/>
  <c r="P20" i="23"/>
  <c r="P21" i="23"/>
  <c r="P22" i="23"/>
  <c r="P23" i="23"/>
  <c r="P24" i="23"/>
  <c r="P25" i="23"/>
  <c r="P26" i="23"/>
  <c r="P27" i="23"/>
  <c r="P28" i="23"/>
  <c r="P29" i="23"/>
  <c r="P30" i="23"/>
  <c r="P31" i="23"/>
  <c r="P32" i="23"/>
  <c r="P33" i="23"/>
  <c r="P34" i="23"/>
  <c r="P35" i="23"/>
  <c r="P36" i="23"/>
  <c r="P37" i="23"/>
  <c r="P38" i="23"/>
  <c r="P39" i="23"/>
  <c r="P40" i="23"/>
  <c r="P41" i="23"/>
  <c r="P42" i="23"/>
  <c r="P43" i="23"/>
  <c r="P44" i="23"/>
  <c r="P45" i="23"/>
  <c r="P46" i="23"/>
  <c r="P47" i="23"/>
  <c r="P48" i="23"/>
  <c r="P49" i="23"/>
  <c r="P50" i="23"/>
  <c r="P51" i="23"/>
  <c r="P52" i="23"/>
  <c r="P53" i="23"/>
  <c r="P54" i="23"/>
  <c r="P55" i="23"/>
  <c r="P6" i="23"/>
  <c r="AL6" i="23" l="1"/>
  <c r="AL7" i="23"/>
  <c r="AL8" i="23"/>
  <c r="AL9" i="23"/>
  <c r="AL10" i="23"/>
  <c r="AL11" i="23"/>
  <c r="AL12" i="23"/>
  <c r="AL13" i="23"/>
  <c r="AL5" i="23"/>
  <c r="AL4" i="23"/>
  <c r="AF24" i="23" l="1"/>
  <c r="AF19" i="23"/>
  <c r="AF23" i="23"/>
  <c r="AF22" i="23"/>
  <c r="AF21" i="23"/>
  <c r="AF20" i="23"/>
  <c r="AF18" i="23"/>
  <c r="AF17" i="23"/>
  <c r="AF26" i="23"/>
  <c r="AF25" i="23"/>
  <c r="G8" i="23"/>
  <c r="G9" i="23"/>
  <c r="V1" i="23" l="1"/>
  <c r="G13" i="23"/>
  <c r="G12" i="23"/>
  <c r="G11" i="23"/>
  <c r="G10" i="23"/>
  <c r="G14" i="23"/>
  <c r="G16" i="23"/>
  <c r="G17" i="23"/>
  <c r="G15" i="23"/>
  <c r="R4" i="23"/>
  <c r="Q4" i="23"/>
  <c r="W4" i="23"/>
  <c r="Y4" i="23"/>
  <c r="X4" i="23"/>
  <c r="AH5" i="23"/>
  <c r="AH6" i="23"/>
  <c r="AH7" i="23"/>
  <c r="AH8" i="23"/>
  <c r="AH9" i="23"/>
  <c r="AH10" i="23"/>
  <c r="AH11" i="23"/>
  <c r="AH12" i="23"/>
  <c r="AH13" i="23"/>
  <c r="AH4" i="23"/>
  <c r="AC12" i="23"/>
  <c r="AC10" i="23"/>
  <c r="AC8" i="23"/>
  <c r="AC9" i="23"/>
  <c r="AC11" i="23"/>
  <c r="AC7" i="23"/>
  <c r="AC5" i="23"/>
  <c r="AC4" i="23"/>
  <c r="AC6" i="23"/>
  <c r="AC13" i="23"/>
  <c r="AD5" i="23"/>
  <c r="AD4" i="23"/>
  <c r="AD6" i="23"/>
  <c r="N7" i="23"/>
  <c r="N8" i="23"/>
  <c r="AA8" i="23" s="1"/>
  <c r="N9" i="23"/>
  <c r="AA9" i="23" s="1"/>
  <c r="N10" i="23"/>
  <c r="N11" i="23"/>
  <c r="AA11" i="23" s="1"/>
  <c r="N12" i="23"/>
  <c r="AA12" i="23" s="1"/>
  <c r="N13" i="23"/>
  <c r="AA13" i="23" s="1"/>
  <c r="N14" i="23"/>
  <c r="AA14" i="23" s="1"/>
  <c r="N15" i="23"/>
  <c r="AA15" i="23" s="1"/>
  <c r="N16" i="23"/>
  <c r="AA16" i="23" s="1"/>
  <c r="N17" i="23"/>
  <c r="AA17" i="23" s="1"/>
  <c r="N18" i="23"/>
  <c r="N19" i="23"/>
  <c r="N20" i="23"/>
  <c r="AA20" i="23" s="1"/>
  <c r="N21" i="23"/>
  <c r="N22" i="23"/>
  <c r="AA22" i="23" s="1"/>
  <c r="N23" i="23"/>
  <c r="AA23" i="23" s="1"/>
  <c r="N24" i="23"/>
  <c r="AA24" i="23" s="1"/>
  <c r="N25" i="23"/>
  <c r="N26" i="23"/>
  <c r="AA26" i="23" s="1"/>
  <c r="N27" i="23"/>
  <c r="AA27" i="23" s="1"/>
  <c r="N28" i="23"/>
  <c r="N29" i="23"/>
  <c r="N30" i="23"/>
  <c r="N31" i="23"/>
  <c r="N32" i="23"/>
  <c r="AA32" i="23" s="1"/>
  <c r="N33" i="23"/>
  <c r="AA33" i="23" s="1"/>
  <c r="N34" i="23"/>
  <c r="AA34" i="23" s="1"/>
  <c r="N35" i="23"/>
  <c r="N36" i="23"/>
  <c r="N37" i="23"/>
  <c r="N38" i="23"/>
  <c r="N39" i="23"/>
  <c r="AA39" i="23" s="1"/>
  <c r="N40" i="23"/>
  <c r="AA40" i="23" s="1"/>
  <c r="N41" i="23"/>
  <c r="AA41" i="23" s="1"/>
  <c r="N42" i="23"/>
  <c r="AA42" i="23" s="1"/>
  <c r="N43" i="23"/>
  <c r="AA43" i="23" s="1"/>
  <c r="N44" i="23"/>
  <c r="AA44" i="23" s="1"/>
  <c r="N45" i="23"/>
  <c r="AA45" i="23" s="1"/>
  <c r="N46" i="23"/>
  <c r="AA46" i="23" s="1"/>
  <c r="N47" i="23"/>
  <c r="AA47" i="23" s="1"/>
  <c r="N48" i="23"/>
  <c r="AA48" i="23" s="1"/>
  <c r="N49" i="23"/>
  <c r="AA49" i="23" s="1"/>
  <c r="N50" i="23"/>
  <c r="AA50" i="23" s="1"/>
  <c r="N51" i="23"/>
  <c r="AA51" i="23" s="1"/>
  <c r="N52" i="23"/>
  <c r="AA52" i="23" s="1"/>
  <c r="N53" i="23"/>
  <c r="AA53" i="23" s="1"/>
  <c r="N54" i="23"/>
  <c r="AA54" i="23" s="1"/>
  <c r="N55" i="23"/>
  <c r="AA55" i="23" s="1"/>
  <c r="N6" i="23"/>
  <c r="Q2" i="23"/>
  <c r="V4" i="23" s="1"/>
  <c r="Q1" i="23"/>
  <c r="AA28" i="23" l="1"/>
  <c r="AA25" i="23"/>
  <c r="AC16" i="23" a="1"/>
  <c r="AA38" i="23"/>
  <c r="AA36" i="23"/>
  <c r="AA18" i="23"/>
  <c r="AA21" i="23"/>
  <c r="AA10" i="23"/>
  <c r="Y59" i="23"/>
  <c r="F17" i="23"/>
  <c r="W59" i="23"/>
  <c r="F15" i="23"/>
  <c r="X59" i="23"/>
  <c r="F16" i="23"/>
  <c r="AA31" i="23"/>
  <c r="V59" i="23"/>
  <c r="F14" i="23"/>
  <c r="F10" i="23"/>
  <c r="F9" i="23"/>
  <c r="AA7" i="23"/>
  <c r="Y58" i="23"/>
  <c r="X58" i="23"/>
  <c r="W58" i="23"/>
  <c r="S4" i="23"/>
  <c r="T4" i="23"/>
  <c r="U4" i="23"/>
  <c r="Z36" i="23"/>
  <c r="AA37" i="23"/>
  <c r="AA30" i="23"/>
  <c r="AA29" i="23"/>
  <c r="AA19" i="23"/>
  <c r="AA6" i="23"/>
  <c r="AA35" i="23"/>
  <c r="Z52" i="23"/>
  <c r="Z40" i="23"/>
  <c r="Z39" i="23"/>
  <c r="Z38" i="23"/>
  <c r="Z47" i="23"/>
  <c r="Z51" i="23"/>
  <c r="Z55" i="23"/>
  <c r="Z50" i="23"/>
  <c r="Z44" i="23"/>
  <c r="Z46" i="23"/>
  <c r="Z45" i="23"/>
  <c r="Z49" i="23"/>
  <c r="Z43" i="23"/>
  <c r="Z54" i="23"/>
  <c r="Z48" i="23"/>
  <c r="Z42" i="23"/>
  <c r="Z53" i="23"/>
  <c r="Z41" i="23"/>
  <c r="E18" i="23"/>
  <c r="T1" i="23" s="1"/>
  <c r="I8" i="23" s="1"/>
  <c r="F13" i="23" l="1"/>
  <c r="F12" i="23"/>
  <c r="F11" i="23"/>
  <c r="I16" i="23"/>
  <c r="I17" i="23"/>
  <c r="I15" i="23"/>
  <c r="I14" i="23"/>
  <c r="AD12" i="23"/>
  <c r="I9" i="23"/>
  <c r="I10" i="23"/>
  <c r="I12" i="23"/>
  <c r="I13" i="23"/>
  <c r="I11" i="23"/>
  <c r="AD13" i="23"/>
  <c r="Z37" i="23"/>
  <c r="Z33" i="23"/>
  <c r="D24" i="23"/>
  <c r="Z35" i="23"/>
  <c r="AD8" i="23"/>
  <c r="AD11" i="23"/>
  <c r="AD10" i="23"/>
  <c r="AD9" i="23"/>
  <c r="Z31" i="23"/>
  <c r="C18" i="23"/>
  <c r="AE13" i="23" l="1"/>
  <c r="AI13" i="23"/>
  <c r="AJ13" i="23" s="1"/>
  <c r="J17" i="23" s="1"/>
  <c r="AI12" i="23"/>
  <c r="AI11" i="23"/>
  <c r="AI10" i="23"/>
  <c r="V58" i="23"/>
  <c r="U58" i="23"/>
  <c r="T58" i="23"/>
  <c r="S58" i="23"/>
  <c r="R58" i="23"/>
  <c r="Q58" i="23"/>
  <c r="Z34" i="23"/>
  <c r="Z32" i="23"/>
  <c r="AI9" i="23"/>
  <c r="Z30" i="23"/>
  <c r="AI5" i="23"/>
  <c r="Z20" i="23"/>
  <c r="AI6" i="23"/>
  <c r="AI8" i="23"/>
  <c r="AI7" i="23"/>
  <c r="AE12" i="23"/>
  <c r="Z21" i="23"/>
  <c r="Z23" i="23"/>
  <c r="Z28" i="23"/>
  <c r="Z25" i="23"/>
  <c r="Z26" i="23"/>
  <c r="Z22" i="23"/>
  <c r="Z15" i="23"/>
  <c r="Z9" i="23"/>
  <c r="AE10" i="23"/>
  <c r="Z12" i="23"/>
  <c r="Z14" i="23"/>
  <c r="Z29" i="23"/>
  <c r="Z11" i="23"/>
  <c r="Z24" i="23"/>
  <c r="Z8" i="23"/>
  <c r="Z10" i="23"/>
  <c r="Z19" i="23"/>
  <c r="Z17" i="23"/>
  <c r="Z27" i="23"/>
  <c r="AE9" i="23"/>
  <c r="Z16" i="23"/>
  <c r="Z18" i="23"/>
  <c r="Z13" i="23"/>
  <c r="AE11" i="23"/>
  <c r="U59" i="23" l="1"/>
  <c r="T59" i="23"/>
  <c r="S59" i="23"/>
  <c r="R59" i="23"/>
  <c r="Q59" i="23"/>
  <c r="AJ12" i="23"/>
  <c r="J16" i="23" s="1"/>
  <c r="AJ11" i="23"/>
  <c r="J15" i="23" s="1"/>
  <c r="AJ10" i="23"/>
  <c r="J14" i="23" s="1"/>
  <c r="AJ9" i="23"/>
  <c r="J13" i="23" s="1"/>
  <c r="AJ8" i="23"/>
  <c r="J12" i="23" s="1"/>
  <c r="AJ7" i="23"/>
  <c r="J11" i="23" s="1"/>
  <c r="AJ6" i="23"/>
  <c r="J10" i="23" s="1"/>
  <c r="AJ5" i="23"/>
  <c r="J9" i="23" s="1"/>
  <c r="AD7" i="23"/>
  <c r="AE4" i="23" s="1"/>
  <c r="Z7" i="23"/>
  <c r="Z6" i="23"/>
  <c r="P4" i="23"/>
  <c r="AE6" i="23" l="1"/>
  <c r="AE5" i="23"/>
  <c r="F8" i="23"/>
  <c r="AI4" i="23"/>
  <c r="AJ4" i="23" s="1"/>
  <c r="AE8" i="23"/>
  <c r="AA4" i="23"/>
  <c r="AE7" i="23"/>
  <c r="P58" i="23"/>
  <c r="P59" i="23" s="1"/>
  <c r="Z59" i="23" s="1"/>
  <c r="D25" i="23" s="1"/>
  <c r="Z4" i="23"/>
  <c r="D23" i="23" s="1"/>
  <c r="J8" i="23" l="1"/>
  <c r="X1" i="2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<sst xmlns="http://schemas.openxmlformats.org/spreadsheetml/2006/main" count="57" uniqueCount="53">
  <si>
    <t>* For Educational Purposes Only</t>
  </si>
  <si>
    <t>Name:</t>
  </si>
  <si>
    <t>Age:</t>
  </si>
  <si>
    <t>Description</t>
  </si>
  <si>
    <t>Amount</t>
  </si>
  <si>
    <t>At Age?</t>
  </si>
  <si>
    <t>Opinder Jain</t>
  </si>
  <si>
    <t>Education 1</t>
  </si>
  <si>
    <t>Education 2</t>
  </si>
  <si>
    <t>Education 3</t>
  </si>
  <si>
    <t>Education 4</t>
  </si>
  <si>
    <t>Marriage</t>
  </si>
  <si>
    <t>Year</t>
  </si>
  <si>
    <t>SIP</t>
  </si>
  <si>
    <t>SIPRate</t>
  </si>
  <si>
    <t>MaxAge</t>
  </si>
  <si>
    <t>Age</t>
  </si>
  <si>
    <t>Amount1</t>
  </si>
  <si>
    <t>Amount2</t>
  </si>
  <si>
    <t>Amount3</t>
  </si>
  <si>
    <t>Amount4</t>
  </si>
  <si>
    <t>Amount5</t>
  </si>
  <si>
    <t>Amount6</t>
  </si>
  <si>
    <t>Amount7</t>
  </si>
  <si>
    <t>Amount8</t>
  </si>
  <si>
    <t>Amount9</t>
  </si>
  <si>
    <t>Amount10</t>
  </si>
  <si>
    <t>Value</t>
  </si>
  <si>
    <t>SIP Amount</t>
  </si>
  <si>
    <t>Total Amt</t>
  </si>
  <si>
    <t>Chart Offset</t>
  </si>
  <si>
    <t>Totals b/Age</t>
  </si>
  <si>
    <t>Labels</t>
  </si>
  <si>
    <t>Invalid State</t>
  </si>
  <si>
    <t>Total</t>
  </si>
  <si>
    <t>Withdrawal Amt</t>
  </si>
  <si>
    <t>Investment Age</t>
  </si>
  <si>
    <t>Expected Rate of Return:</t>
  </si>
  <si>
    <t>Capital Gains Tax Rate:</t>
  </si>
  <si>
    <t>Total SIP Invested:</t>
  </si>
  <si>
    <t>Total Amount Withdrawn:</t>
  </si>
  <si>
    <t>SIP Tax</t>
  </si>
  <si>
    <t>Final Corpus Amt</t>
  </si>
  <si>
    <t>OldAge Home</t>
  </si>
  <si>
    <t>nnxz cx c</t>
  </si>
  <si>
    <t>Goals</t>
  </si>
  <si>
    <t>SIPs</t>
  </si>
  <si>
    <t>Total Capital Gain Tax Paid:</t>
  </si>
  <si>
    <t>SIP Required for Multiple Withdrawals</t>
  </si>
  <si>
    <t>SIP Amt. Invested</t>
  </si>
  <si>
    <t>Car</t>
  </si>
  <si>
    <t>Sort for Document</t>
  </si>
  <si>
    <t>© Copyright Nivra Fintech LLC, India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</si>
</sst>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 * #,##0.00_ ;_ * \-#,##0.00_ ;_ * &quot;-&quot;??_ ;_ @_ "/>
    <numFmt numFmtId="164" formatCode="_ [$₹-4009]\ * #,##0_ ;_ [$₹-4009]\ * \-#,##0_ ;_ [$₹-4009]\ * &quot;-&quot;??_ ;_ @_ "/>
    <numFmt numFmtId="165" formatCode="_ * #,##0_ ;_ * \-#,##0_ ;_ * &quot;-&quot;??_ ;_ @_ "/>
    <numFmt numFmtId="166" formatCode="_ [$₹-4009]\ * #,##0_ ;_ [$₹-4009]\ * \-#,##0_ ;_ [$₹-4009]\ * &quot;-&quot;?_ ;_ @_ "/>
  </numFmts>
  <fonts count="16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rgb="FFFFFF00"/>
      <name val="Arial"/>
      <family val="2"/>
    </font>
    <font>
      <sz val="10"/>
      <color rgb="FFFF0000"/>
      <name val="Arial"/>
      <family val="2"/>
    </font>
    <font>
      <b/>
      <i/>
      <sz val="10"/>
      <color rgb="FFFF000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4"/>
      <color theme="8" tint="-0.499984740745262"/>
      <name val="Arial"/>
      <family val="2"/>
    </font>
    <font>
      <sz val="10"/>
      <color theme="8" tint="-0.499984740745262"/>
      <name val="Arial"/>
      <family val="2"/>
    </font>
    <font>
      <sz val="9"/>
      <name val="Arial"/>
      <family val="2"/>
    </font>
    <font>
      <b/>
      <sz val="10"/>
      <color rgb="FFFFFF00"/>
      <name val="Arial"/>
      <family val="2"/>
    </font>
    <font>
      <b/>
      <sz val="9"/>
      <name val="Arial"/>
      <family val="2"/>
    </font>
    <font>
      <b/>
      <i/>
      <sz val="9"/>
      <color rgb="FFC0000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E9E7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7" tint="-0.24994659260841701"/>
      </top>
      <bottom style="thin">
        <color theme="7" tint="-0.24994659260841701"/>
      </bottom>
      <diagonal/>
    </border>
    <border>
      <left/>
      <right/>
      <top style="thin">
        <color theme="0" tint="-0.34998626667073579"/>
      </top>
      <bottom/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8" tint="-0.24994659260841701"/>
      </top>
      <bottom style="thin">
        <color theme="8" tint="-0.24994659260841701"/>
      </bottom>
      <diagonal/>
    </border>
  </borders>
  <cellStyleXfs count="3">
    <xf numFmtId="0" fontId="0" fillId="0" borderId="0"/>
    <xf numFmtId="0" fontId="1" fillId="0" borderId="0"/>
    <xf numFmtId="43" fontId="8" fillId="0" borderId="0" applyFont="0" applyFill="0" applyBorder="0" applyAlignment="0" applyProtection="0"/>
  </cellStyleXfs>
  <cellXfs count="78">
    <xf numFmtId="0" fontId="0" fillId="0" borderId="0" xfId="0"/>
    <xf numFmtId="0" fontId="3" fillId="3" borderId="0" xfId="0" applyFont="1" applyFill="1" applyAlignment="1" applyProtection="1">
      <alignment vertical="center"/>
      <protection hidden="1"/>
    </xf>
    <xf numFmtId="0" fontId="0" fillId="3" borderId="0" xfId="0" applyFill="1" applyAlignment="1" applyProtection="1">
      <alignment vertical="center"/>
      <protection hidden="1"/>
    </xf>
    <xf numFmtId="1" fontId="0" fillId="3" borderId="0" xfId="0" applyNumberFormat="1" applyFill="1" applyAlignment="1" applyProtection="1">
      <alignment vertical="center"/>
      <protection hidden="1"/>
    </xf>
    <xf numFmtId="1" fontId="3" fillId="3" borderId="0" xfId="0" applyNumberFormat="1" applyFont="1" applyFill="1" applyAlignment="1" applyProtection="1">
      <alignment vertical="center"/>
      <protection hidden="1"/>
    </xf>
    <xf numFmtId="164" fontId="3" fillId="3" borderId="0" xfId="0" quotePrefix="1" applyNumberFormat="1" applyFont="1" applyFill="1" applyAlignment="1" applyProtection="1">
      <alignment vertical="center"/>
      <protection hidden="1"/>
    </xf>
    <xf numFmtId="0" fontId="2" fillId="3" borderId="0" xfId="0" applyFont="1" applyFill="1" applyAlignment="1" applyProtection="1">
      <alignment vertical="center"/>
      <protection hidden="1"/>
    </xf>
    <xf numFmtId="10" fontId="0" fillId="2" borderId="1" xfId="0" applyNumberFormat="1" applyFill="1" applyBorder="1" applyAlignment="1" applyProtection="1">
      <alignment vertical="center"/>
      <protection locked="0"/>
    </xf>
    <xf numFmtId="0" fontId="0" fillId="3" borderId="0" xfId="0" applyFill="1" applyAlignment="1" applyProtection="1">
      <alignment vertical="center"/>
      <protection locked="0"/>
    </xf>
    <xf numFmtId="0" fontId="6" fillId="3" borderId="0" xfId="1" applyFont="1" applyFill="1" applyAlignment="1" applyProtection="1">
      <alignment vertical="center"/>
      <protection hidden="1"/>
    </xf>
    <xf numFmtId="0" fontId="1" fillId="3" borderId="0" xfId="0" applyFont="1" applyFill="1" applyAlignment="1" applyProtection="1">
      <alignment vertical="center"/>
      <protection hidden="1"/>
    </xf>
    <xf numFmtId="14" fontId="0" fillId="3" borderId="0" xfId="0" applyNumberFormat="1" applyFill="1" applyAlignment="1" applyProtection="1">
      <alignment vertical="center"/>
      <protection hidden="1"/>
    </xf>
    <xf numFmtId="0" fontId="7" fillId="3" borderId="0" xfId="0" applyFont="1" applyFill="1" applyAlignment="1" applyProtection="1">
      <alignment vertical="center"/>
      <protection hidden="1"/>
    </xf>
    <xf numFmtId="0" fontId="1" fillId="2" borderId="0" xfId="0" applyFont="1" applyFill="1" applyAlignment="1" applyProtection="1">
      <alignment vertical="center"/>
      <protection locked="0"/>
    </xf>
    <xf numFmtId="0" fontId="0" fillId="2" borderId="0" xfId="0" applyFill="1" applyAlignment="1" applyProtection="1">
      <alignment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3" fillId="3" borderId="0" xfId="0" applyFont="1" applyFill="1" applyAlignment="1" applyProtection="1">
      <alignment horizontal="center" vertical="center"/>
      <protection hidden="1"/>
    </xf>
    <xf numFmtId="165" fontId="0" fillId="3" borderId="0" xfId="2" applyNumberFormat="1" applyFont="1" applyFill="1" applyAlignment="1" applyProtection="1">
      <alignment vertical="center"/>
      <protection hidden="1"/>
    </xf>
    <xf numFmtId="0" fontId="5" fillId="3" borderId="0" xfId="0" applyFont="1" applyFill="1" applyAlignment="1" applyProtection="1">
      <alignment vertical="center"/>
      <protection hidden="1"/>
    </xf>
    <xf numFmtId="1" fontId="3" fillId="3" borderId="0" xfId="0" applyNumberFormat="1" applyFont="1" applyFill="1" applyAlignment="1" applyProtection="1">
      <alignment horizontal="center" vertical="center"/>
      <protection hidden="1"/>
    </xf>
    <xf numFmtId="0" fontId="2" fillId="3" borderId="0" xfId="0" applyFont="1" applyFill="1" applyAlignment="1" applyProtection="1">
      <alignment horizontal="center" vertical="center"/>
      <protection hidden="1"/>
    </xf>
    <xf numFmtId="165" fontId="0" fillId="4" borderId="0" xfId="2" applyNumberFormat="1" applyFont="1" applyFill="1" applyAlignment="1" applyProtection="1">
      <alignment vertical="center"/>
      <protection hidden="1"/>
    </xf>
    <xf numFmtId="0" fontId="0" fillId="4" borderId="0" xfId="0" applyFill="1" applyAlignment="1" applyProtection="1">
      <alignment vertical="center"/>
      <protection hidden="1"/>
    </xf>
    <xf numFmtId="0" fontId="0" fillId="4" borderId="0" xfId="0" applyFill="1" applyAlignment="1" applyProtection="1">
      <alignment vertical="center"/>
      <protection locked="0"/>
    </xf>
    <xf numFmtId="1" fontId="0" fillId="4" borderId="0" xfId="0" applyNumberFormat="1" applyFill="1" applyAlignment="1" applyProtection="1">
      <alignment vertical="center"/>
      <protection locked="0"/>
    </xf>
    <xf numFmtId="1" fontId="1" fillId="3" borderId="0" xfId="0" applyNumberFormat="1" applyFont="1" applyFill="1" applyAlignment="1" applyProtection="1">
      <alignment horizontal="center" vertical="center"/>
      <protection hidden="1"/>
    </xf>
    <xf numFmtId="0" fontId="1" fillId="3" borderId="0" xfId="0" applyFont="1" applyFill="1" applyAlignment="1" applyProtection="1">
      <alignment horizontal="right" vertical="center"/>
      <protection hidden="1"/>
    </xf>
    <xf numFmtId="166" fontId="0" fillId="3" borderId="0" xfId="0" applyNumberFormat="1" applyFill="1" applyAlignment="1" applyProtection="1">
      <alignment vertical="center"/>
      <protection hidden="1"/>
    </xf>
    <xf numFmtId="165" fontId="2" fillId="3" borderId="0" xfId="2" applyNumberFormat="1" applyFont="1" applyFill="1" applyAlignment="1" applyProtection="1">
      <alignment vertical="center"/>
      <protection hidden="1"/>
    </xf>
    <xf numFmtId="0" fontId="0" fillId="5" borderId="0" xfId="0" applyFill="1" applyAlignment="1" applyProtection="1">
      <alignment horizontal="center" vertical="center"/>
      <protection hidden="1"/>
    </xf>
    <xf numFmtId="0" fontId="2" fillId="3" borderId="0" xfId="0" applyFont="1" applyFill="1" applyAlignment="1" applyProtection="1">
      <alignment horizontal="right" vertical="center"/>
      <protection hidden="1"/>
    </xf>
    <xf numFmtId="10" fontId="5" fillId="2" borderId="1" xfId="0" applyNumberFormat="1" applyFont="1" applyFill="1" applyBorder="1" applyAlignment="1" applyProtection="1">
      <alignment vertical="center"/>
      <protection locked="0"/>
    </xf>
    <xf numFmtId="1" fontId="3" fillId="7" borderId="0" xfId="0" applyNumberFormat="1" applyFont="1" applyFill="1" applyAlignment="1" applyProtection="1">
      <alignment vertical="center"/>
      <protection locked="0"/>
    </xf>
    <xf numFmtId="1" fontId="0" fillId="7" borderId="0" xfId="0" applyNumberFormat="1" applyFill="1" applyAlignment="1" applyProtection="1">
      <alignment vertical="center"/>
      <protection locked="0"/>
    </xf>
    <xf numFmtId="0" fontId="6" fillId="3" borderId="0" xfId="0" applyFont="1" applyFill="1" applyAlignment="1" applyProtection="1">
      <alignment horizontal="center" vertical="center"/>
      <protection hidden="1"/>
    </xf>
    <xf numFmtId="1" fontId="0" fillId="3" borderId="5" xfId="0" applyNumberFormat="1" applyFill="1" applyBorder="1" applyAlignment="1" applyProtection="1">
      <alignment vertical="center"/>
      <protection hidden="1"/>
    </xf>
    <xf numFmtId="0" fontId="0" fillId="3" borderId="5" xfId="0" applyFill="1" applyBorder="1" applyAlignment="1" applyProtection="1">
      <alignment vertical="center"/>
      <protection hidden="1"/>
    </xf>
    <xf numFmtId="0" fontId="0" fillId="0" borderId="5" xfId="0" applyBorder="1" applyAlignment="1" applyProtection="1">
      <alignment vertical="center"/>
      <protection locked="0"/>
    </xf>
    <xf numFmtId="0" fontId="11" fillId="6" borderId="2" xfId="0" applyFont="1" applyFill="1" applyBorder="1" applyAlignment="1" applyProtection="1">
      <alignment vertical="center"/>
      <protection hidden="1"/>
    </xf>
    <xf numFmtId="0" fontId="5" fillId="6" borderId="4" xfId="0" applyFont="1" applyFill="1" applyBorder="1" applyAlignment="1" applyProtection="1">
      <alignment vertical="center"/>
      <protection hidden="1"/>
    </xf>
    <xf numFmtId="165" fontId="0" fillId="3" borderId="0" xfId="0" applyNumberFormat="1" applyFill="1" applyAlignment="1" applyProtection="1">
      <alignment vertical="center"/>
      <protection hidden="1"/>
    </xf>
    <xf numFmtId="0" fontId="1" fillId="9" borderId="0" xfId="0" applyFont="1" applyFill="1" applyAlignment="1" applyProtection="1">
      <alignment vertical="center"/>
      <protection hidden="1"/>
    </xf>
    <xf numFmtId="164" fontId="2" fillId="9" borderId="0" xfId="0" applyNumberFormat="1" applyFont="1" applyFill="1" applyAlignment="1" applyProtection="1">
      <alignment vertical="center"/>
      <protection hidden="1"/>
    </xf>
    <xf numFmtId="0" fontId="12" fillId="8" borderId="3" xfId="0" applyFont="1" applyFill="1" applyBorder="1" applyAlignment="1">
      <alignment vertical="center"/>
    </xf>
    <xf numFmtId="0" fontId="4" fillId="10" borderId="0" xfId="0" applyFont="1" applyFill="1" applyAlignment="1" applyProtection="1">
      <alignment vertical="center"/>
      <protection hidden="1"/>
    </xf>
    <xf numFmtId="164" fontId="13" fillId="10" borderId="0" xfId="0" applyNumberFormat="1" applyFont="1" applyFill="1" applyAlignment="1" applyProtection="1">
      <alignment vertical="center"/>
      <protection hidden="1"/>
    </xf>
    <xf numFmtId="0" fontId="0" fillId="11" borderId="0" xfId="0" applyFill="1" applyAlignment="1" applyProtection="1">
      <alignment vertical="center"/>
      <protection hidden="1"/>
    </xf>
    <xf numFmtId="0" fontId="5" fillId="11" borderId="0" xfId="0" applyFont="1" applyFill="1" applyAlignment="1" applyProtection="1">
      <alignment vertical="center"/>
      <protection hidden="1"/>
    </xf>
    <xf numFmtId="164" fontId="5" fillId="11" borderId="0" xfId="0" applyNumberFormat="1" applyFont="1" applyFill="1" applyAlignment="1" applyProtection="1">
      <alignment vertical="center"/>
      <protection hidden="1"/>
    </xf>
    <xf numFmtId="1" fontId="1" fillId="3" borderId="0" xfId="0" applyNumberFormat="1" applyFont="1" applyFill="1" applyAlignment="1" applyProtection="1">
      <alignment vertical="center"/>
      <protection hidden="1"/>
    </xf>
    <xf numFmtId="0" fontId="5" fillId="11" borderId="0" xfId="0" applyFont="1" applyFill="1" applyAlignment="1" applyProtection="1">
      <alignment horizontal="center" vertical="center"/>
      <protection hidden="1"/>
    </xf>
    <xf numFmtId="0" fontId="1" fillId="2" borderId="7" xfId="0" applyFont="1" applyFill="1" applyBorder="1" applyAlignment="1" applyProtection="1">
      <alignment vertical="center"/>
      <protection locked="0"/>
    </xf>
    <xf numFmtId="164" fontId="0" fillId="2" borderId="7" xfId="0" applyNumberFormat="1" applyFill="1" applyBorder="1" applyAlignment="1" applyProtection="1">
      <alignment vertical="center"/>
      <protection locked="0"/>
    </xf>
    <xf numFmtId="0" fontId="0" fillId="2" borderId="7" xfId="0" applyFill="1" applyBorder="1" applyAlignment="1" applyProtection="1">
      <alignment horizontal="center" vertical="center"/>
      <protection locked="0"/>
    </xf>
    <xf numFmtId="164" fontId="0" fillId="2" borderId="6" xfId="0" applyNumberFormat="1" applyFill="1" applyBorder="1" applyAlignment="1" applyProtection="1">
      <alignment vertical="center"/>
      <protection locked="0"/>
    </xf>
    <xf numFmtId="0" fontId="0" fillId="2" borderId="6" xfId="0" applyFill="1" applyBorder="1" applyAlignment="1" applyProtection="1">
      <alignment horizontal="center" vertical="center"/>
      <protection locked="0"/>
    </xf>
    <xf numFmtId="0" fontId="1" fillId="2" borderId="6" xfId="0" applyFont="1" applyFill="1" applyBorder="1" applyAlignment="1" applyProtection="1">
      <alignment vertical="center"/>
      <protection locked="0"/>
    </xf>
    <xf numFmtId="0" fontId="0" fillId="2" borderId="6" xfId="0" applyFill="1" applyBorder="1" applyAlignment="1" applyProtection="1">
      <alignment vertical="center"/>
      <protection locked="0"/>
    </xf>
    <xf numFmtId="0" fontId="0" fillId="0" borderId="0" xfId="0" applyProtection="1">
      <protection locked="0"/>
    </xf>
    <xf numFmtId="0" fontId="1" fillId="12" borderId="6" xfId="0" applyFont="1" applyFill="1" applyBorder="1" applyAlignment="1" applyProtection="1">
      <alignment vertical="center"/>
      <protection locked="0"/>
    </xf>
    <xf numFmtId="164" fontId="0" fillId="12" borderId="6" xfId="0" applyNumberFormat="1" applyFill="1" applyBorder="1" applyAlignment="1" applyProtection="1">
      <alignment vertical="center"/>
      <protection locked="0"/>
    </xf>
    <xf numFmtId="0" fontId="0" fillId="12" borderId="6" xfId="0" applyFill="1" applyBorder="1" applyAlignment="1" applyProtection="1">
      <alignment horizontal="center" vertical="center"/>
      <protection locked="0"/>
    </xf>
    <xf numFmtId="0" fontId="0" fillId="12" borderId="6" xfId="0" applyFill="1" applyBorder="1" applyAlignment="1" applyProtection="1">
      <alignment vertical="center"/>
      <protection locked="0"/>
    </xf>
    <xf numFmtId="0" fontId="0" fillId="12" borderId="8" xfId="0" applyFill="1" applyBorder="1" applyAlignment="1" applyProtection="1">
      <alignment vertical="center"/>
      <protection locked="0"/>
    </xf>
    <xf numFmtId="164" fontId="0" fillId="12" borderId="8" xfId="0" applyNumberFormat="1" applyFill="1" applyBorder="1" applyAlignment="1" applyProtection="1">
      <alignment vertical="center"/>
      <protection locked="0"/>
    </xf>
    <xf numFmtId="0" fontId="0" fillId="12" borderId="8" xfId="0" applyFill="1" applyBorder="1" applyAlignment="1" applyProtection="1">
      <alignment horizontal="center" vertical="center"/>
      <protection locked="0"/>
    </xf>
    <xf numFmtId="0" fontId="12" fillId="13" borderId="3" xfId="0" applyFont="1" applyFill="1" applyBorder="1" applyAlignment="1">
      <alignment vertical="center"/>
    </xf>
    <xf numFmtId="164" fontId="14" fillId="13" borderId="3" xfId="0" applyNumberFormat="1" applyFont="1" applyFill="1" applyBorder="1" applyAlignment="1">
      <alignment vertical="center"/>
    </xf>
    <xf numFmtId="164" fontId="14" fillId="8" borderId="3" xfId="0" applyNumberFormat="1" applyFont="1" applyFill="1" applyBorder="1" applyAlignment="1">
      <alignment vertical="center"/>
    </xf>
    <xf numFmtId="0" fontId="14" fillId="3" borderId="0" xfId="0" applyFont="1" applyFill="1" applyAlignment="1" applyProtection="1">
      <alignment vertical="center"/>
      <protection hidden="1"/>
    </xf>
    <xf numFmtId="164" fontId="15" fillId="8" borderId="9" xfId="0" applyNumberFormat="1" applyFont="1" applyFill="1" applyBorder="1" applyAlignment="1" applyProtection="1">
      <alignment vertical="center"/>
      <protection hidden="1"/>
    </xf>
    <xf numFmtId="0" fontId="0" fillId="11" borderId="0" xfId="0" applyFill="1" applyAlignment="1" applyProtection="1">
      <alignment vertical="center"/>
      <protection locked="0"/>
    </xf>
    <xf numFmtId="165" fontId="0" fillId="11" borderId="0" xfId="2" applyNumberFormat="1" applyFont="1" applyFill="1" applyAlignment="1" applyProtection="1">
      <alignment vertical="center"/>
      <protection locked="0"/>
    </xf>
    <xf numFmtId="165" fontId="0" fillId="11" borderId="0" xfId="0" applyNumberFormat="1" applyFill="1" applyAlignment="1" applyProtection="1">
      <alignment vertical="center"/>
      <protection locked="0"/>
    </xf>
    <xf numFmtId="1" fontId="0" fillId="7" borderId="0" xfId="0" applyNumberFormat="1" applyFill="1" applyAlignment="1" applyProtection="1">
      <alignment vertical="center"/>
      <protection hidden="1"/>
    </xf>
    <xf numFmtId="0" fontId="10" fillId="3" borderId="0" xfId="0" applyFont="1" applyFill="1" applyAlignment="1" applyProtection="1">
      <alignment horizontal="right" vertical="center"/>
      <protection hidden="1"/>
    </xf>
    <xf numFmtId="0" fontId="0" fillId="6" borderId="2" xfId="0" applyFill="1" applyBorder="1" applyAlignment="1" applyProtection="1">
      <alignment vertical="center"/>
      <protection hidden="1"/>
    </xf>
    <xf numFmtId="0" fontId="0" fillId="6" borderId="4" xfId="0" applyFill="1" applyBorder="1" applyAlignment="1" applyProtection="1">
      <alignment vertical="center"/>
      <protection hidden="1"/>
    </xf>
  </cellXfs>
  <cellStyles count="3">
    <cellStyle name="Comma" xfId="2" builtinId="3"/>
    <cellStyle name="Normal" xfId="0" builtinId="0"/>
    <cellStyle name="Normal 2" xfId="1" xr:uid="{00000000-0005-0000-0000-000003000000}"/>
  </cellStyles>
  <dxfs count="0"/>
  <tableStyles count="0" defaultTableStyle="TableStyleMedium9" defaultPivotStyle="PivotStyleLight16"/>
  <colors>
    <mruColors>
      <color rgb="FFFFE9E7"/>
      <color rgb="FFF0FAFE"/>
      <color rgb="FFFFFFFF"/>
      <color rgb="FFFFF6EF"/>
      <color rgb="FF7777E3"/>
      <color rgb="FF8989E7"/>
      <color rgb="FFE6E6FA"/>
      <color rgb="FF2DC8FF"/>
      <color rgb="FFE7F6FD"/>
      <color rgb="FFAEDF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400"/>
              <a:t>Corpus Value with Intermediate Withdrawal</a:t>
            </a:r>
          </a:p>
        </c:rich>
      </c:tx>
      <c:layout>
        <c:manualLayout>
          <c:xMode val="edge"/>
          <c:yMode val="edge"/>
          <c:x val="0.1199354172293542"/>
          <c:y val="5.319148936170212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544335580840007"/>
          <c:y val="0.3079905063291139"/>
          <c:w val="0.82891680713583371"/>
          <c:h val="0.57281761852553237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4">
                    <a:tint val="98000"/>
                    <a:satMod val="110000"/>
                    <a:lumMod val="104000"/>
                  </a:schemeClr>
                </a:gs>
                <a:gs pos="69000">
                  <a:schemeClr val="accent4">
                    <a:shade val="84000"/>
                    <a:satMod val="130000"/>
                    <a:lumMod val="92000"/>
                  </a:schemeClr>
                </a:gs>
                <a:gs pos="100000">
                  <a:schemeClr val="accent4">
                    <a:shade val="76000"/>
                    <a:satMod val="130000"/>
                    <a:lumMod val="8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38100" dist="25400" dir="5400000" rotWithShape="0">
                <a:srgbClr val="000000">
                  <a:alpha val="7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l"/>
            </a:scene3d>
            <a:sp3d>
              <a:bevelT w="0" h="0"/>
            </a:sp3d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D8671296-C7F9-4340-9882-9964EE9CB3F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FD2-471F-8FBF-E4574F4310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A8D11BB-BB7D-4C45-959E-4E840851E2E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FD2-471F-8FBF-E4574F43109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5A453BE-952C-4EC1-BEF0-BE74ABD3981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FD2-471F-8FBF-E4574F43109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8B7E18A-0673-4256-AAD4-6AFBD60AA69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FD2-471F-8FBF-E4574F43109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09C43B8-1E83-4319-A4F6-549CF265CA5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FD2-471F-8FBF-E4574F43109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852532B-1BBB-4D39-8A5D-44934A9788F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FD2-471F-8FBF-E4574F43109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96157E0-8EDA-4895-85D4-B21CFBCEFC0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FD2-471F-8FBF-E4574F43109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737E510-0922-4316-87F9-E2A28A41805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FD2-471F-8FBF-E4574F43109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56F3B34-351F-4DBE-8237-1A4716D3981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FD2-471F-8FBF-E4574F43109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59AF78D-72B7-4C3F-8720-49B3885D8FB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FD2-471F-8FBF-E4574F43109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77CEDF3-B9A7-4449-9320-BC0772DAF4F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FD2-471F-8FBF-E4574F43109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9F398B8-D85D-495A-8783-C25DD2DB05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FD2-471F-8FBF-E4574F43109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B2BBC33-DB62-4E28-9021-9B7B1664C1E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FD2-471F-8FBF-E4574F43109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E2FC06A-280C-43CD-9F14-78889DEC42F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FD2-471F-8FBF-E4574F43109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BE160D1-2C11-491C-9050-3BE91010EB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FD2-471F-8FBF-E4574F43109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CB41726-764B-460C-B6E4-4B18F9FC8A3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FD2-471F-8FBF-E4574F43109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90FB93D-5F0D-4A73-8402-5A135517C99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FD2-471F-8FBF-E4574F43109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FBF110C-4666-4AA9-821B-44DA944A6D6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FD2-471F-8FBF-E4574F43109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9D22999-3072-462F-B75C-F09B8F987E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FD2-471F-8FBF-E4574F43109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A7BF645-FA3A-4B14-9CA0-B5702A25AD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FD2-471F-8FBF-E4574F43109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4E7EA5B-5AE0-4798-BC4D-535EC01FB4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FD2-471F-8FBF-E4574F43109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DE16C8D-810C-4E75-A9EB-794A037EF0E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FD2-471F-8FBF-E4574F43109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C33DC0C-25EF-450D-9F41-013F539967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FD2-471F-8FBF-E4574F43109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F7A09D3-231B-4DA1-BEB9-C4A3306C42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FD2-471F-8FBF-E4574F43109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6E26CC4-3158-4D18-A6B5-54563D074A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FD2-471F-8FBF-E4574F43109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4C31D8B-502A-4EC8-B7E7-A359544F95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FD2-471F-8FBF-E4574F43109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AB05B12-80B0-45AB-B5F6-6D0706D63BC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FD2-471F-8FBF-E4574F43109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4AA630C-6F6B-4850-8778-772FB54F9CE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FD2-471F-8FBF-E4574F43109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39441E4-FEE1-44E5-A87C-2CD74A848C9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FD2-471F-8FBF-E4574F43109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8965166-0E72-414F-A4E6-DA754F7C889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FD2-471F-8FBF-E4574F43109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2E868F5-3EF3-4DFD-9DF7-0A624ECDDD3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FD2-471F-8FBF-E4574F43109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80B5FCC-B498-430C-B305-6AE4D116172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FD2-471F-8FBF-E4574F4310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[0]!ChartAge</c:f>
              <c:numCache>
                <c:formatCode>0</c:formatCode>
                <c:ptCount val="3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</c:numCache>
            </c:numRef>
          </c:cat>
          <c:val>
            <c:numRef>
              <c:f>[0]!ChartCorpus</c:f>
              <c:numCache>
                <c:formatCode>0</c:formatCode>
                <c:ptCount val="32"/>
                <c:pt idx="0">
                  <c:v>610553.71677389555</c:v>
                </c:pt>
                <c:pt idx="1">
                  <c:v>1294373.8795606589</c:v>
                </c:pt>
                <c:pt idx="2">
                  <c:v>2060252.4618818364</c:v>
                </c:pt>
                <c:pt idx="3">
                  <c:v>2918036.4740815549</c:v>
                </c:pt>
                <c:pt idx="4">
                  <c:v>3878754.5677452418</c:v>
                </c:pt>
                <c:pt idx="5">
                  <c:v>2314048.4207477104</c:v>
                </c:pt>
                <c:pt idx="6">
                  <c:v>2876884.5103534539</c:v>
                </c:pt>
                <c:pt idx="7">
                  <c:v>3507260.9307118868</c:v>
                </c:pt>
                <c:pt idx="8">
                  <c:v>4213282.5215133317</c:v>
                </c:pt>
                <c:pt idx="9">
                  <c:v>5004026.7032109518</c:v>
                </c:pt>
                <c:pt idx="10">
                  <c:v>5889660.1867122892</c:v>
                </c:pt>
                <c:pt idx="11">
                  <c:v>6881569.6882337863</c:v>
                </c:pt>
                <c:pt idx="12">
                  <c:v>7992508.3299378641</c:v>
                </c:pt>
                <c:pt idx="13">
                  <c:v>4263402.3255936485</c:v>
                </c:pt>
                <c:pt idx="14">
                  <c:v>4906627.1471143551</c:v>
                </c:pt>
                <c:pt idx="15">
                  <c:v>5627038.9472175501</c:v>
                </c:pt>
                <c:pt idx="16">
                  <c:v>6433900.1633331254</c:v>
                </c:pt>
                <c:pt idx="17">
                  <c:v>7337584.7253825711</c:v>
                </c:pt>
                <c:pt idx="18">
                  <c:v>8349711.4348779544</c:v>
                </c:pt>
                <c:pt idx="19">
                  <c:v>9483293.3495127857</c:v>
                </c:pt>
                <c:pt idx="20">
                  <c:v>10752905.093903793</c:v>
                </c:pt>
                <c:pt idx="21">
                  <c:v>12174870.247621726</c:v>
                </c:pt>
                <c:pt idx="22">
                  <c:v>13767471.219785813</c:v>
                </c:pt>
                <c:pt idx="23">
                  <c:v>15551184.308609596</c:v>
                </c:pt>
                <c:pt idx="24">
                  <c:v>17548942.968092229</c:v>
                </c:pt>
                <c:pt idx="25">
                  <c:v>19786432.666712783</c:v>
                </c:pt>
                <c:pt idx="26">
                  <c:v>11596206.66105729</c:v>
                </c:pt>
                <c:pt idx="27">
                  <c:v>13056216.550713057</c:v>
                </c:pt>
                <c:pt idx="28">
                  <c:v>14691427.627127513</c:v>
                </c:pt>
                <c:pt idx="29">
                  <c:v>16522864.032711713</c:v>
                </c:pt>
                <c:pt idx="30">
                  <c:v>16046787.82354586</c:v>
                </c:pt>
                <c:pt idx="31">
                  <c:v>18031551.736299511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[0]!ChartLabels</c15:f>
                <c15:dlblRangeCache>
                  <c:ptCount val="32"/>
                  <c:pt idx="0">
                    <c:v>  </c:v>
                  </c:pt>
                  <c:pt idx="1">
                    <c:v>  </c:v>
                  </c:pt>
                  <c:pt idx="2">
                    <c:v>  </c:v>
                  </c:pt>
                  <c:pt idx="3">
                    <c:v>  </c:v>
                  </c:pt>
                  <c:pt idx="4">
                    <c:v> ₹ 20,00,000 </c:v>
                  </c:pt>
                  <c:pt idx="5">
                    <c:v>  </c:v>
                  </c:pt>
                  <c:pt idx="6">
                    <c:v>  </c:v>
                  </c:pt>
                  <c:pt idx="7">
                    <c:v>  </c:v>
                  </c:pt>
                  <c:pt idx="8">
                    <c:v>  </c:v>
                  </c:pt>
                  <c:pt idx="9">
                    <c:v>  </c:v>
                  </c:pt>
                  <c:pt idx="10">
                    <c:v>  </c:v>
                  </c:pt>
                  <c:pt idx="11">
                    <c:v>  </c:v>
                  </c:pt>
                  <c:pt idx="12">
                    <c:v> ₹ 40,00,000 </c:v>
                  </c:pt>
                  <c:pt idx="13">
                    <c:v>  </c:v>
                  </c:pt>
                  <c:pt idx="14">
                    <c:v>  </c:v>
                  </c:pt>
                  <c:pt idx="15">
                    <c:v>  </c:v>
                  </c:pt>
                  <c:pt idx="16">
                    <c:v>  </c:v>
                  </c:pt>
                  <c:pt idx="17">
                    <c:v>  </c:v>
                  </c:pt>
                  <c:pt idx="18">
                    <c:v>  </c:v>
                  </c:pt>
                  <c:pt idx="19">
                    <c:v>  </c:v>
                  </c:pt>
                  <c:pt idx="20">
                    <c:v>  </c:v>
                  </c:pt>
                  <c:pt idx="21">
                    <c:v>  </c:v>
                  </c:pt>
                  <c:pt idx="22">
                    <c:v>  </c:v>
                  </c:pt>
                  <c:pt idx="23">
                    <c:v>  </c:v>
                  </c:pt>
                  <c:pt idx="24">
                    <c:v>  </c:v>
                  </c:pt>
                  <c:pt idx="25">
                    <c:v> ₹ 85,00,000 </c:v>
                  </c:pt>
                  <c:pt idx="26">
                    <c:v>  </c:v>
                  </c:pt>
                  <c:pt idx="27">
                    <c:v>  </c:v>
                  </c:pt>
                  <c:pt idx="28">
                    <c:v>  </c:v>
                  </c:pt>
                  <c:pt idx="29">
                    <c:v> ₹ 20,00,000 </c:v>
                  </c:pt>
                  <c:pt idx="30">
                    <c:v>  </c:v>
                  </c:pt>
                  <c:pt idx="31">
                    <c:v> ₹ 1,60,00,000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17A-44EC-B97C-2F7243BDFF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3953040"/>
        <c:axId val="1987103056"/>
      </c:barChart>
      <c:catAx>
        <c:axId val="1303953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7103056"/>
        <c:crosses val="autoZero"/>
        <c:auto val="1"/>
        <c:lblAlgn val="ctr"/>
        <c:lblOffset val="100"/>
        <c:noMultiLvlLbl val="0"/>
      </c:catAx>
      <c:valAx>
        <c:axId val="1987103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Corpus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3953040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0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49000">
          <a:srgbClr val="7777E3">
            <a:lumMod val="82000"/>
          </a:srgbClr>
        </a:gs>
        <a:gs pos="0">
          <a:schemeClr val="accent6">
            <a:lumMod val="50000"/>
          </a:schemeClr>
        </a:gs>
        <a:gs pos="100000">
          <a:schemeClr val="accent6">
            <a:lumMod val="75000"/>
          </a:schemeClr>
        </a:gs>
      </a:gsLst>
      <a:lin ang="5400000" scaled="1"/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19</xdr:row>
          <xdr:rowOff>38100</xdr:rowOff>
        </xdr:from>
        <xdr:to>
          <xdr:col>5</xdr:col>
          <xdr:colOff>502920</xdr:colOff>
          <xdr:row>19</xdr:row>
          <xdr:rowOff>182880</xdr:rowOff>
        </xdr:to>
        <xdr:sp macro="" textlink="">
          <xdr:nvSpPr>
            <xdr:cNvPr id="1026" name="GainPercen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absolute">
    <xdr:from>
      <xdr:col>10</xdr:col>
      <xdr:colOff>146298</xdr:colOff>
      <xdr:row>3</xdr:row>
      <xdr:rowOff>216567</xdr:rowOff>
    </xdr:from>
    <xdr:to>
      <xdr:col>10</xdr:col>
      <xdr:colOff>5841498</xdr:colOff>
      <xdr:row>24</xdr:row>
      <xdr:rowOff>82617</xdr:rowOff>
    </xdr:to>
    <xdr:graphicFrame macro="">
      <xdr:nvGraphicFramePr>
        <xdr:cNvPr id="2" name="CorpusChart">
          <a:extLst>
            <a:ext uri="{FF2B5EF4-FFF2-40B4-BE49-F238E27FC236}">
              <a16:creationId xmlns:a16="http://schemas.microsoft.com/office/drawing/2014/main" id="{B4467991-3709-ABC8-6CA8-5767BA7998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20</xdr:row>
          <xdr:rowOff>38100</xdr:rowOff>
        </xdr:from>
        <xdr:to>
          <xdr:col>5</xdr:col>
          <xdr:colOff>502920</xdr:colOff>
          <xdr:row>20</xdr:row>
          <xdr:rowOff>182880</xdr:rowOff>
        </xdr:to>
        <xdr:sp macro="" textlink="">
          <xdr:nvSpPr>
            <xdr:cNvPr id="1027" name="sbCapGai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</xdr:colOff>
          <xdr:row>22</xdr:row>
          <xdr:rowOff>121920</xdr:rowOff>
        </xdr:from>
        <xdr:to>
          <xdr:col>4</xdr:col>
          <xdr:colOff>342900</xdr:colOff>
          <xdr:row>24</xdr:row>
          <xdr:rowOff>53340</xdr:rowOff>
        </xdr:to>
        <xdr:sp macro="" textlink="">
          <xdr:nvSpPr>
            <xdr:cNvPr id="1028" name="prtPla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1</xdr:col>
      <xdr:colOff>33131</xdr:colOff>
      <xdr:row>0</xdr:row>
      <xdr:rowOff>57978</xdr:rowOff>
    </xdr:from>
    <xdr:to>
      <xdr:col>2</xdr:col>
      <xdr:colOff>1225825</xdr:colOff>
      <xdr:row>2</xdr:row>
      <xdr:rowOff>90527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FF6D8CB-7FA8-4233-AFBA-2733FFB6D557}"/>
            </a:ext>
          </a:extLst>
        </xdr:cNvPr>
        <xdr:cNvGrpSpPr/>
      </xdr:nvGrpSpPr>
      <xdr:grpSpPr>
        <a:xfrm>
          <a:off x="107674" y="57978"/>
          <a:ext cx="1631673" cy="421832"/>
          <a:chOff x="220134" y="42333"/>
          <a:chExt cx="1631673" cy="421832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7F2A1FF7-5B2A-D3B5-234A-D13991524A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0134" y="42333"/>
            <a:ext cx="423333" cy="421832"/>
          </a:xfrm>
          <a:prstGeom prst="rect">
            <a:avLst/>
          </a:prstGeom>
        </xdr:spPr>
      </xdr:pic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1385F79A-FFC8-5CD9-AF9C-A28F83717802}"/>
              </a:ext>
            </a:extLst>
          </xdr:cNvPr>
          <xdr:cNvSpPr/>
        </xdr:nvSpPr>
        <xdr:spPr>
          <a:xfrm>
            <a:off x="567266" y="152399"/>
            <a:ext cx="1284541" cy="27093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 b="1">
                <a:solidFill>
                  <a:srgbClr val="AA9B28"/>
                </a:solidFill>
                <a:latin typeface="Aptos Narrow" panose="020B0004020202020204" pitchFamily="34" charset="0"/>
              </a:rPr>
              <a:t>NIVRA</a:t>
            </a:r>
            <a:r>
              <a:rPr lang="en-US" sz="1100" baseline="0">
                <a:solidFill>
                  <a:srgbClr val="AA9B28"/>
                </a:solidFill>
                <a:latin typeface="Aptos Narrow" panose="020B0004020202020204" pitchFamily="34" charset="0"/>
              </a:rPr>
              <a:t> FINTECH</a:t>
            </a:r>
            <a:endParaRPr lang="en-US" sz="1100">
              <a:solidFill>
                <a:srgbClr val="AA9B28"/>
              </a:solidFill>
              <a:latin typeface="Aptos Narrow" panose="020B0004020202020204" pitchFamily="34" charset="0"/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Atlas">
  <a:themeElements>
    <a:clrScheme name="Atlas">
      <a:dk1>
        <a:sysClr val="windowText" lastClr="000000"/>
      </a:dk1>
      <a:lt1>
        <a:sysClr val="window" lastClr="FFFFFF"/>
      </a:lt1>
      <a:dk2>
        <a:srgbClr val="454545"/>
      </a:dk2>
      <a:lt2>
        <a:srgbClr val="E0E0E0"/>
      </a:lt2>
      <a:accent1>
        <a:srgbClr val="F81B02"/>
      </a:accent1>
      <a:accent2>
        <a:srgbClr val="FC7715"/>
      </a:accent2>
      <a:accent3>
        <a:srgbClr val="AFBF41"/>
      </a:accent3>
      <a:accent4>
        <a:srgbClr val="50C49F"/>
      </a:accent4>
      <a:accent5>
        <a:srgbClr val="3B95C4"/>
      </a:accent5>
      <a:accent6>
        <a:srgbClr val="B560D4"/>
      </a:accent6>
      <a:hlink>
        <a:srgbClr val="FC5A1A"/>
      </a:hlink>
      <a:folHlink>
        <a:srgbClr val="B49E74"/>
      </a:folHlink>
    </a:clrScheme>
    <a:fontScheme name="Atlas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Rockwell" panose="02060603020205020403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Atlas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alpha val="60000"/>
                <a:satMod val="109000"/>
                <a:lumMod val="110000"/>
              </a:schemeClr>
            </a:gs>
            <a:gs pos="100000">
              <a:schemeClr val="phClr">
                <a:tint val="78000"/>
                <a:alpha val="92000"/>
                <a:satMod val="109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satMod val="110000"/>
                <a:lumMod val="104000"/>
              </a:schemeClr>
            </a:gs>
            <a:gs pos="69000">
              <a:schemeClr val="phClr">
                <a:shade val="84000"/>
                <a:satMod val="130000"/>
                <a:lumMod val="92000"/>
              </a:schemeClr>
            </a:gs>
            <a:gs pos="100000">
              <a:schemeClr val="phClr">
                <a:shade val="76000"/>
                <a:satMod val="130000"/>
                <a:lumMod val="88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>
              <a:shade val="90000"/>
            </a:schemeClr>
          </a:solidFill>
          <a:prstDash val="solid"/>
        </a:ln>
        <a:ln w="15875" cap="flat" cmpd="sng" algn="ctr">
          <a:solidFill>
            <a:schemeClr val="phClr">
              <a:shade val="90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38100" dist="25400" dir="5400000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>
            <a:bevelT w="0" h="0"/>
          </a:sp3d>
        </a:effectStyle>
      </a:effectStyleLst>
      <a:bgFillStyleLst>
        <a:solidFill>
          <a:schemeClr val="phClr"/>
        </a:solidFill>
        <a:solidFill>
          <a:schemeClr val="phClr"/>
        </a:solidFill>
        <a:gradFill rotWithShape="1">
          <a:gsLst>
            <a:gs pos="10000">
              <a:schemeClr val="phClr">
                <a:tint val="94000"/>
                <a:lumMod val="116000"/>
              </a:schemeClr>
            </a:gs>
            <a:gs pos="100000">
              <a:schemeClr val="phClr">
                <a:tint val="98000"/>
                <a:shade val="86000"/>
                <a:satMod val="90000"/>
                <a:lumMod val="88000"/>
              </a:schemeClr>
            </a:gs>
          </a:gsLst>
          <a:path path="circle">
            <a:fillToRect l="50000" t="15000" r="50000" b="169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Atlas" id="{5156B0E4-0EB1-49FE-A26B-15F6F698AEC6}" vid="{508F7963-D0B5-43F7-BB2C-FCE3009C08EC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IPCalc">
    <tabColor theme="8" tint="-0.499984740745262"/>
    <pageSetUpPr fitToPage="1"/>
  </sheetPr>
  <dimension ref="A1:AL1205"/>
  <sheetViews>
    <sheetView showGridLines="0" tabSelected="1" zoomScale="92" zoomScaleNormal="92" workbookViewId="0">
      <selection activeCell="C5" sqref="C5"/>
    </sheetView>
  </sheetViews>
  <sheetFormatPr defaultColWidth="0" defaultRowHeight="13.2" zeroHeight="1" x14ac:dyDescent="0.25"/>
  <cols>
    <col min="1" max="1" width="1.109375" style="2" customWidth="1"/>
    <col min="2" max="2" width="6.44140625" style="2" customWidth="1"/>
    <col min="3" max="3" width="26.44140625" style="2" customWidth="1"/>
    <col min="4" max="4" width="15.109375" style="2" customWidth="1"/>
    <col min="5" max="5" width="9.109375" style="2" customWidth="1"/>
    <col min="6" max="6" width="15" style="2" customWidth="1"/>
    <col min="7" max="7" width="7.109375" style="2" customWidth="1"/>
    <col min="8" max="8" width="3.109375" style="2" customWidth="1"/>
    <col min="9" max="9" width="24.33203125" style="2" bestFit="1" customWidth="1"/>
    <col min="10" max="10" width="13.88671875" style="2" customWidth="1"/>
    <col min="11" max="11" width="85.44140625" style="2" customWidth="1"/>
    <col min="12" max="12" width="5.33203125" style="2" customWidth="1"/>
    <col min="13" max="13" width="13.44140625" style="2" hidden="1" customWidth="1"/>
    <col min="14" max="14" width="15" style="3" hidden="1" customWidth="1"/>
    <col min="15" max="15" width="4.88671875" style="15" hidden="1" customWidth="1"/>
    <col min="16" max="16" width="12" style="2" hidden="1" customWidth="1"/>
    <col min="17" max="17" width="13.5546875" style="2" hidden="1" customWidth="1"/>
    <col min="18" max="18" width="12.77734375" style="2" hidden="1" customWidth="1"/>
    <col min="19" max="19" width="10.77734375" style="2" hidden="1" customWidth="1"/>
    <col min="20" max="22" width="13.5546875" style="2" hidden="1" customWidth="1"/>
    <col min="23" max="23" width="12.5546875" style="2" hidden="1" customWidth="1"/>
    <col min="24" max="25" width="9.109375" style="2" hidden="1" customWidth="1"/>
    <col min="26" max="26" width="10.33203125" style="2" hidden="1" customWidth="1"/>
    <col min="27" max="27" width="15" style="2" hidden="1" customWidth="1"/>
    <col min="28" max="28" width="13.44140625" style="2" hidden="1" customWidth="1"/>
    <col min="29" max="29" width="9.109375" style="2" hidden="1" customWidth="1"/>
    <col min="30" max="30" width="11.77734375" style="2" hidden="1" customWidth="1"/>
    <col min="31" max="31" width="12.109375" style="2" hidden="1" customWidth="1"/>
    <col min="32" max="32" width="10.21875" style="2" hidden="1" customWidth="1"/>
    <col min="33" max="34" width="15" style="2" hidden="1" customWidth="1"/>
    <col min="35" max="36" width="7.33203125" style="2" hidden="1" customWidth="1"/>
    <col min="37" max="37" width="12.88671875" style="2" hidden="1" customWidth="1"/>
    <col min="38" max="38" width="9.109375" style="20" hidden="1" customWidth="1"/>
    <col min="39" max="16384" width="9.109375" style="2" hidden="1"/>
  </cols>
  <sheetData>
    <row r="1" spans="2:38" x14ac:dyDescent="0.25">
      <c r="N1" s="32">
        <v>1200</v>
      </c>
      <c r="P1" s="10" t="s">
        <v>15</v>
      </c>
      <c r="Q1" s="2">
        <f>MAX(E8:E17)-E5</f>
        <v>32</v>
      </c>
      <c r="S1" s="10" t="s">
        <v>33</v>
      </c>
      <c r="T1" s="50" t="str">
        <f>IF(OR(COUNTIF(G8:G17,"=Invalid")&gt;0,E18&lt;&gt;""),"Invalid","")</f>
        <v/>
      </c>
      <c r="U1" s="2" t="s">
        <v>45</v>
      </c>
      <c r="V1" s="46">
        <f>COUNTIF($E$8:$E$17,"&gt;0")</f>
        <v>7</v>
      </c>
      <c r="W1" s="10" t="s">
        <v>46</v>
      </c>
      <c r="X1" s="46">
        <f>COUNTIF($J$8:$J$17,"&gt;0")</f>
        <v>7</v>
      </c>
    </row>
    <row r="2" spans="2:38" ht="17.399999999999999" x14ac:dyDescent="0.25">
      <c r="B2" s="75" t="s">
        <v>48</v>
      </c>
      <c r="C2" s="75"/>
      <c r="D2" s="75"/>
      <c r="E2" s="75"/>
      <c r="F2" s="75"/>
      <c r="N2" s="33">
        <v>1250</v>
      </c>
      <c r="P2" s="10" t="s">
        <v>14</v>
      </c>
      <c r="Q2" s="2">
        <f>(1+SIPYield)^(1/12)-1</f>
        <v>9.4887929345830457E-3</v>
      </c>
      <c r="S2" s="10"/>
    </row>
    <row r="3" spans="2:38" x14ac:dyDescent="0.25">
      <c r="M3" s="5"/>
      <c r="O3" s="10" t="s">
        <v>13</v>
      </c>
      <c r="P3" s="74">
        <f>GAmt1/(((((1+SRate)^((AtAge1-Age)*12)-1)/SRate)*(1+SRate))-((((((1+SRate)^((AtAge1-Age)*12)-1)/SRate)*(1+SRate))-((AtAge1-Age)*12))*TaxRate))</f>
        <v>25488.856849689902</v>
      </c>
      <c r="Q3" s="74">
        <f>GAmt2/(((((1+SRate)^((AtAge2-Age)*12)-1)/SRate)*(1+SRate))-((((((1+SRate)^((AtAge2-Age)*12)-1)/SRate)*(1+SRate))-((AtAge2-Age)*12))*TaxRate))</f>
        <v>6013.1501124554043</v>
      </c>
      <c r="R3" s="74">
        <f>GAmt3/(((((1+SRate)^((AtAge3-Age)*12)-1)/SRate)*(1+SRate))-((((((1+SRate)^((AtAge3-Age)*12)-1)/SRate)*(1+SRate))-((AtAge3-Age)*12))*TaxRate))</f>
        <v>2909.7966630147116</v>
      </c>
      <c r="S3" s="74">
        <f>GAmt4/(((((1+SRate)^((AtAge4-Age)*12)-1)/SRate)*(1+SRate))-((((((1+SRate)^((AtAge4-Age)*12)-1)/SRate)*(1+SRate))-((AtAge4-Age)*12))*TaxRate))</f>
        <v>2036.8576641102982</v>
      </c>
      <c r="T3" s="74">
        <f>GAmt5/(((((1+SRate)^((AtAge5-Age)*12)-1)/SRate)*(1+SRate))-((((((1+SRate)^((AtAge5-Age)*12)-1)/SRate)*(1+SRate))-((AtAge5-Age)*12))*TaxRate))</f>
        <v>6013.1501124554043</v>
      </c>
      <c r="U3" s="74">
        <f>GAmt6/(((((1+SRate)^((AtAge6-Age)*12)-1)/SRate)*(1+SRate))-((((((1+SRate)^((AtAge6-Age)*12)-1)/SRate)*(1+SRate))-((AtAge6-Age)*12))*TaxRate))</f>
        <v>729.70022535777343</v>
      </c>
      <c r="V3" s="74">
        <f>GAmt7/(((((1+SRate)^((AtAge7-Age)*12)-1)/SRate)*(1+SRate))-((((((1+SRate)^((AtAge7-Age)*12)-1)/SRate)*(1+SRate))-((AtAge7-Age)*12))*TaxRate))</f>
        <v>4633.171473706795</v>
      </c>
      <c r="W3" s="74">
        <f>GAmt8/(((((1+SRate)^((AtAge8-Age)*12)-1)/SRate)*(1+SRate))-((((((1+SRate)^((AtAge8-Age)*12)-1)/SRate)*(1+SRate))-((AtAge8-Age)*12))*TaxRate))</f>
        <v>0</v>
      </c>
      <c r="X3" s="74">
        <f>GAmt9/(((((1+SRate)^((AtAge9-Age)*12)-1)/SRate)*(1+SRate))-((((((1+SRate)^((AtAge9-Age)*12)-1)/SRate)*(1+SRate))-((AtAge9-Age)*12))*TaxRate))</f>
        <v>0</v>
      </c>
      <c r="Y3" s="74">
        <f>GAmt10/(((((1+SRate)^((AtAge10-Age)*12)-1)/SRate)*(1+SRate))-((((((1+SRate)^((AtAge10-Age)*12)-1)/SRate)*(1+SRate))-((AtAge10-Age)*12))*TaxRate))</f>
        <v>0</v>
      </c>
      <c r="Z3" s="22"/>
      <c r="AA3" s="10" t="s">
        <v>30</v>
      </c>
      <c r="AC3" s="6" t="s">
        <v>16</v>
      </c>
      <c r="AD3" s="6" t="s">
        <v>28</v>
      </c>
      <c r="AE3" s="6" t="s">
        <v>31</v>
      </c>
      <c r="AG3" s="10" t="s">
        <v>16</v>
      </c>
      <c r="AH3" s="10" t="s">
        <v>35</v>
      </c>
      <c r="AI3" s="10" t="s">
        <v>13</v>
      </c>
      <c r="AJ3" s="10" t="s">
        <v>34</v>
      </c>
    </row>
    <row r="4" spans="2:38" ht="19.5" customHeight="1" x14ac:dyDescent="0.25">
      <c r="O4" s="26" t="s">
        <v>29</v>
      </c>
      <c r="P4" s="21">
        <f>SAmt1*(AtAge1-Age)*12</f>
        <v>1529331.4109813944</v>
      </c>
      <c r="Q4" s="21">
        <f>SAmt2*(AtAge2-Age)*12</f>
        <v>938051.41754304303</v>
      </c>
      <c r="R4" s="21">
        <f>SAmt3*(AtAge3-Age)*12</f>
        <v>907856.5588605901</v>
      </c>
      <c r="S4" s="21">
        <f>SAmt4*(AtAge4-Age)*12</f>
        <v>635499.59120241308</v>
      </c>
      <c r="T4" s="21">
        <f>SAmt5*(AtAge5-Age)*12</f>
        <v>938051.41754304303</v>
      </c>
      <c r="U4" s="21">
        <f>SAmt6*(AtAge6-Age)*12</f>
        <v>262692.08112879843</v>
      </c>
      <c r="V4" s="21">
        <f>SAmt7*(AtAge7-Age)*12</f>
        <v>1779137.8459034092</v>
      </c>
      <c r="W4" s="21">
        <f>SAmt8*(AtAge8-Age)*12</f>
        <v>0</v>
      </c>
      <c r="X4" s="21">
        <f>SAmt9*(AtAge9-Age)*12</f>
        <v>0</v>
      </c>
      <c r="Y4" s="21">
        <f>SAmt10*(AtAge10-Age)*12</f>
        <v>0</v>
      </c>
      <c r="Z4" s="21">
        <f>SUM(P4:Y4)</f>
        <v>6990620.3231626917</v>
      </c>
      <c r="AA4" s="29">
        <f>MATCH(0,Z6:Z55,0)</f>
        <v>33</v>
      </c>
      <c r="AC4" s="23">
        <f>AtAge9</f>
        <v>0</v>
      </c>
      <c r="AD4" s="24">
        <f>SAmt9</f>
        <v>0</v>
      </c>
      <c r="AE4" s="3">
        <f>IF(AC4&gt;0,SUM($AD4:AD13),0)</f>
        <v>0</v>
      </c>
      <c r="AG4" s="58">
        <v>33</v>
      </c>
      <c r="AH4" s="37">
        <f>SUMIF($E$8:$E$17,AG4,$D$8:$D$17)</f>
        <v>2000000</v>
      </c>
      <c r="AI4" s="35">
        <f>SUMIF($AC$4:$AC$13,AG4,$AD$4:$AD$13)</f>
        <v>25488.856849689902</v>
      </c>
      <c r="AJ4" s="35">
        <f>IF(AG4&gt;0,SUM($AI4:AI13),0)</f>
        <v>64797.637652826117</v>
      </c>
      <c r="AK4" s="17"/>
      <c r="AL4" s="20">
        <f>IF(AG4&lt;&gt;"",AG4,"")</f>
        <v>33</v>
      </c>
    </row>
    <row r="5" spans="2:38" x14ac:dyDescent="0.25">
      <c r="B5" s="6" t="s">
        <v>1</v>
      </c>
      <c r="C5" s="13" t="s">
        <v>6</v>
      </c>
      <c r="D5" s="30" t="s">
        <v>2</v>
      </c>
      <c r="E5" s="14">
        <v>28</v>
      </c>
      <c r="J5" s="8"/>
      <c r="K5" s="8"/>
      <c r="M5" s="1"/>
      <c r="N5" s="25" t="s">
        <v>16</v>
      </c>
      <c r="O5" s="20" t="s">
        <v>12</v>
      </c>
      <c r="P5" s="20" t="s">
        <v>17</v>
      </c>
      <c r="Q5" s="20" t="s">
        <v>18</v>
      </c>
      <c r="R5" s="20" t="s">
        <v>19</v>
      </c>
      <c r="S5" s="20" t="s">
        <v>20</v>
      </c>
      <c r="T5" s="20" t="s">
        <v>21</v>
      </c>
      <c r="U5" s="20" t="s">
        <v>22</v>
      </c>
      <c r="V5" s="20" t="s">
        <v>23</v>
      </c>
      <c r="W5" s="20" t="s">
        <v>24</v>
      </c>
      <c r="X5" s="20" t="s">
        <v>25</v>
      </c>
      <c r="Y5" s="20" t="s">
        <v>26</v>
      </c>
      <c r="Z5" s="20" t="s">
        <v>27</v>
      </c>
      <c r="AA5" s="28" t="s">
        <v>32</v>
      </c>
      <c r="AC5" s="23">
        <f>AtAge10</f>
        <v>0</v>
      </c>
      <c r="AD5" s="24">
        <f>SAmt10</f>
        <v>0</v>
      </c>
      <c r="AE5" s="3">
        <f>IF(AC5&gt;0,SUM($AD5:AD14),0)</f>
        <v>0</v>
      </c>
      <c r="AG5" s="58">
        <v>41</v>
      </c>
      <c r="AH5" s="37">
        <f t="shared" ref="AH5:AH13" si="0">SUMIF($E$8:$E$17,AG5,$D$8:$D$17)</f>
        <v>4000000</v>
      </c>
      <c r="AI5" s="35">
        <f>SUMIF($AC$4:$AC$13,AG5,$AD$4:$AD$13)</f>
        <v>12026.300224910809</v>
      </c>
      <c r="AJ5" s="35">
        <f>IF(AG5&gt;0,SUM($AI5:AI14),0)</f>
        <v>39308.780803136207</v>
      </c>
      <c r="AL5" s="20" t="str">
        <f>IF(AG5&lt;&gt;"",AG4&amp;" &amp; "&amp;AG5,"")</f>
        <v>33 &amp; 41</v>
      </c>
    </row>
    <row r="6" spans="2:38" ht="19.5" customHeight="1" x14ac:dyDescent="0.25">
      <c r="J6" s="8"/>
      <c r="K6" s="11"/>
      <c r="N6" s="19">
        <f t="shared" ref="N6:N37" si="1">Age+O6</f>
        <v>29</v>
      </c>
      <c r="O6" s="16">
        <v>1</v>
      </c>
      <c r="P6" s="3">
        <f t="shared" ref="P6:P37" si="2">IF(O6&lt;=(AtAge1-Age),FV(SRate,O6*12,-SAmt1,0,1),0)</f>
        <v>325403.43765788118</v>
      </c>
      <c r="Q6" s="3">
        <f t="shared" ref="Q6:Q37" si="3">IF($O6&lt;=(AtAge2-Age),FV(SRate,$O6*12,-SAmt2,0,1),0)</f>
        <v>76766.868333275939</v>
      </c>
      <c r="R6" s="3">
        <f t="shared" ref="R6:R37" si="4">IF($O6&lt;=(AtAge3-Age),FV(SRate,$O6*12,-SAmt3,0,1),0)</f>
        <v>37147.913012110541</v>
      </c>
      <c r="S6" s="3">
        <f t="shared" ref="S6:S37" si="5">IF($O6&lt;=(AtAge4-Age),FV(SRate,$O6*12,-SAmt4,0,1),0)</f>
        <v>26003.53910847738</v>
      </c>
      <c r="T6" s="3">
        <f t="shared" ref="T6:T37" si="6">IF($O6&lt;=(AtAge5-Age),FV(SRate,$O6*12,-SAmt5,0,1),0)</f>
        <v>76766.868333275939</v>
      </c>
      <c r="U6" s="3">
        <f t="shared" ref="U6:U37" si="7">IF($O6&lt;=(AtAge6-Age),FV(SRate,$O6*12,-SAmt6,0,1),0)</f>
        <v>9315.7164007549</v>
      </c>
      <c r="V6" s="3">
        <f t="shared" ref="V6:V37" si="8">IF($O6&lt;=(AtAge7-Age),FV(SRate,$O6*12,-SAmt7,0,1),0)</f>
        <v>59149.373928119676</v>
      </c>
      <c r="W6" s="3">
        <f t="shared" ref="W6:W37" si="9">IF($O6&lt;=(AtAge8-Age),FV(SRate,$O6*12,-SAmt8,0,1),0)</f>
        <v>0</v>
      </c>
      <c r="X6" s="3">
        <f t="shared" ref="X6:X37" si="10">IF($O6&lt;=(AtAge9-Age),FV(SRate,$O6*12,-SAmt9,0,1),0)</f>
        <v>0</v>
      </c>
      <c r="Y6" s="3">
        <f t="shared" ref="Y6:Y37" si="11">IF($O6&lt;=(AtAge10-Age),FV(SRate,$O6*12,-SAmt10,0,1),0)</f>
        <v>0</v>
      </c>
      <c r="Z6" s="19">
        <f>SUM(P6:Y6)</f>
        <v>610553.71677389555</v>
      </c>
      <c r="AA6" s="27" t="str">
        <f>IF(_xlfn.IFNA(MATCH(N6,$AG$4:$AG$13,0),0)&gt;0,INDEX($AH$4:$AH$13,MATCH(N6,$AG$4:$AG$13,0)),"")</f>
        <v/>
      </c>
      <c r="AC6" s="23">
        <f>AtAge8</f>
        <v>0</v>
      </c>
      <c r="AD6" s="24">
        <f>SAmt8</f>
        <v>0</v>
      </c>
      <c r="AE6" s="3">
        <f>IF(AC6&gt;0,SUM($AD6:AD15),0)</f>
        <v>0</v>
      </c>
      <c r="AG6" s="58">
        <v>41</v>
      </c>
      <c r="AH6" s="37">
        <f t="shared" si="0"/>
        <v>4000000</v>
      </c>
      <c r="AI6" s="35">
        <f t="shared" ref="AI6:AI13" si="12">SUMIF($AC$4:$AC$13,AG6,$AD$4:$AD$13)</f>
        <v>12026.300224910809</v>
      </c>
      <c r="AJ6" s="35">
        <f>IF(AG6&gt;0,SUM($AI6:AI15),0)</f>
        <v>27282.480578225397</v>
      </c>
      <c r="AL6" s="20" t="str">
        <f t="shared" ref="AL6:AL13" si="13">IF(AG6&lt;&gt;"",AG5&amp;" &amp; "&amp;AG6,"")</f>
        <v>41 &amp; 41</v>
      </c>
    </row>
    <row r="7" spans="2:38" x14ac:dyDescent="0.25">
      <c r="C7" s="6" t="s">
        <v>3</v>
      </c>
      <c r="D7" s="6" t="s">
        <v>4</v>
      </c>
      <c r="E7" s="6" t="s">
        <v>5</v>
      </c>
      <c r="F7" s="69" t="s">
        <v>49</v>
      </c>
      <c r="I7" s="20" t="s">
        <v>36</v>
      </c>
      <c r="J7" s="20" t="s">
        <v>4</v>
      </c>
      <c r="K7" s="11"/>
      <c r="N7" s="19">
        <f t="shared" si="1"/>
        <v>30</v>
      </c>
      <c r="O7" s="15">
        <v>2</v>
      </c>
      <c r="P7" s="3">
        <f t="shared" si="2"/>
        <v>689855.28783470823</v>
      </c>
      <c r="Q7" s="3">
        <f t="shared" si="3"/>
        <v>162745.76086654502</v>
      </c>
      <c r="R7" s="3">
        <f t="shared" si="4"/>
        <v>78753.575585674364</v>
      </c>
      <c r="S7" s="3">
        <f t="shared" si="5"/>
        <v>55127.502909972049</v>
      </c>
      <c r="T7" s="3">
        <f t="shared" si="6"/>
        <v>162745.76086654502</v>
      </c>
      <c r="U7" s="3">
        <f t="shared" si="7"/>
        <v>19749.318769600388</v>
      </c>
      <c r="V7" s="3">
        <f t="shared" si="8"/>
        <v>125396.67272761374</v>
      </c>
      <c r="W7" s="3">
        <f t="shared" si="9"/>
        <v>0</v>
      </c>
      <c r="X7" s="3">
        <f t="shared" si="10"/>
        <v>0</v>
      </c>
      <c r="Y7" s="3">
        <f t="shared" si="11"/>
        <v>0</v>
      </c>
      <c r="Z7" s="19">
        <f t="shared" ref="Z7:Z55" si="14">SUM(P7:Y7)</f>
        <v>1294373.8795606589</v>
      </c>
      <c r="AA7" s="27" t="str">
        <f t="shared" ref="AA7:AA55" si="15">IF(_xlfn.IFNA(MATCH(N7,$AG$4:$AG$13,0),0)&gt;0,INDEX($AH$4:$AH$13,MATCH(N7,$AG$4:$AG$13,0)),"")</f>
        <v/>
      </c>
      <c r="AC7" s="24">
        <f>AtAge1</f>
        <v>33</v>
      </c>
      <c r="AD7" s="24">
        <f>SAmt1</f>
        <v>25488.856849689902</v>
      </c>
      <c r="AE7" s="3">
        <f>IF(AC7&gt;0,SUM($AD7:AD16),0)</f>
        <v>47824.683100790295</v>
      </c>
      <c r="AG7" s="58">
        <v>54</v>
      </c>
      <c r="AH7" s="37">
        <f t="shared" si="0"/>
        <v>8500000</v>
      </c>
      <c r="AI7" s="35">
        <f t="shared" si="12"/>
        <v>4946.6543271250102</v>
      </c>
      <c r="AJ7" s="35">
        <f>IF(AG7&gt;0,SUM($AI7:AI16),0)</f>
        <v>15256.18035331459</v>
      </c>
      <c r="AL7" s="20" t="str">
        <f t="shared" si="13"/>
        <v>41 &amp; 54</v>
      </c>
    </row>
    <row r="8" spans="2:38" ht="15" customHeight="1" x14ac:dyDescent="0.25">
      <c r="B8" s="20">
        <v>1</v>
      </c>
      <c r="C8" s="51" t="s">
        <v>50</v>
      </c>
      <c r="D8" s="52">
        <v>2000000</v>
      </c>
      <c r="E8" s="53">
        <v>33</v>
      </c>
      <c r="F8" s="70">
        <f>P4</f>
        <v>1529331.4109813944</v>
      </c>
      <c r="G8" s="34" t="str">
        <f>IF(AND(OR(GAmt1&lt;&gt;"",GMT1&lt;&gt;0),OR(AtAge1=0,AtAge1="")),"Invalid",IF(AND(AtAge1&lt;&gt;"",AtAge1&lt;=Age),"Invalid",""))</f>
        <v/>
      </c>
      <c r="I8" s="66" t="str">
        <f>IF($T$1="Invalid","",IF(AG4&lt;&gt;"","SIP Req. till Age " &amp;AG4 &amp; ":",""))</f>
        <v>SIP Req. till Age 33:</v>
      </c>
      <c r="J8" s="67">
        <f t="shared" ref="J8:J17" si="16">IF($T$1="Invalid","",IF(AG4&lt;&gt;"",AJ4,""))</f>
        <v>64797.637652826117</v>
      </c>
      <c r="K8" s="11"/>
      <c r="N8" s="19">
        <f t="shared" si="1"/>
        <v>31</v>
      </c>
      <c r="O8" s="15">
        <v>3</v>
      </c>
      <c r="P8" s="3">
        <f t="shared" si="2"/>
        <v>1098041.3600327561</v>
      </c>
      <c r="Q8" s="3">
        <f t="shared" si="3"/>
        <v>259042.12050380677</v>
      </c>
      <c r="R8" s="3">
        <f t="shared" si="4"/>
        <v>125351.91766806602</v>
      </c>
      <c r="S8" s="3">
        <f t="shared" si="5"/>
        <v>87746.342367646212</v>
      </c>
      <c r="T8" s="3">
        <f t="shared" si="6"/>
        <v>259042.12050380677</v>
      </c>
      <c r="U8" s="3">
        <f t="shared" si="7"/>
        <v>31434.953422707385</v>
      </c>
      <c r="V8" s="3">
        <f t="shared" si="8"/>
        <v>199593.64738304738</v>
      </c>
      <c r="W8" s="3">
        <f t="shared" si="9"/>
        <v>0</v>
      </c>
      <c r="X8" s="3">
        <f t="shared" si="10"/>
        <v>0</v>
      </c>
      <c r="Y8" s="3">
        <f t="shared" si="11"/>
        <v>0</v>
      </c>
      <c r="Z8" s="19">
        <f t="shared" si="14"/>
        <v>2060252.4618818364</v>
      </c>
      <c r="AA8" s="27" t="str">
        <f t="shared" si="15"/>
        <v/>
      </c>
      <c r="AC8" s="24">
        <f>AtAge5</f>
        <v>41</v>
      </c>
      <c r="AD8" s="24">
        <f>SAmt5</f>
        <v>6013.1501124554043</v>
      </c>
      <c r="AE8" s="3">
        <f>IF(AC8&gt;0,SUM($AD8:AD17),0)</f>
        <v>2022335.8262511003</v>
      </c>
      <c r="AG8" s="58">
        <v>54</v>
      </c>
      <c r="AH8" s="37">
        <f t="shared" si="0"/>
        <v>8500000</v>
      </c>
      <c r="AI8" s="35">
        <f t="shared" si="12"/>
        <v>4946.6543271250102</v>
      </c>
      <c r="AJ8" s="35">
        <f>IF(AG8&gt;0,SUM($AI8:AI17),0)</f>
        <v>10309.526026189578</v>
      </c>
      <c r="AL8" s="20" t="str">
        <f t="shared" si="13"/>
        <v>54 &amp; 54</v>
      </c>
    </row>
    <row r="9" spans="2:38" ht="15" customHeight="1" x14ac:dyDescent="0.25">
      <c r="B9" s="20">
        <v>2</v>
      </c>
      <c r="C9" s="59" t="s">
        <v>7</v>
      </c>
      <c r="D9" s="60">
        <v>2000000</v>
      </c>
      <c r="E9" s="61">
        <v>41</v>
      </c>
      <c r="F9" s="70">
        <f>Q4</f>
        <v>938051.41754304303</v>
      </c>
      <c r="G9" s="34" t="str">
        <f>IF(AND(OR(GAmt2&lt;&gt;"",GMT2&lt;&gt;0),OR(AtAge2=0,AtAge2="")),"Invalid",IF(AND(AtAge2&lt;&gt;"",AtAge2&lt;=Age),"Invalid",""))</f>
        <v/>
      </c>
      <c r="I9" s="43" t="str">
        <f t="shared" ref="I9:I17" si="17">IF($T$1="Invalid","",IF(AG5&lt;&gt;"","SIP Req. between Age "&amp;AG4&amp;" &amp; "&amp;AG5&amp;":",""))</f>
        <v>SIP Req. between Age 33 &amp; 41:</v>
      </c>
      <c r="J9" s="68">
        <f t="shared" si="16"/>
        <v>39308.780803136207</v>
      </c>
      <c r="K9" s="11"/>
      <c r="N9" s="19">
        <f t="shared" si="1"/>
        <v>32</v>
      </c>
      <c r="O9" s="15">
        <v>4</v>
      </c>
      <c r="P9" s="3">
        <f t="shared" si="2"/>
        <v>1555209.7608945693</v>
      </c>
      <c r="Q9" s="3">
        <f t="shared" si="3"/>
        <v>366894.04329753987</v>
      </c>
      <c r="R9" s="3">
        <f t="shared" si="4"/>
        <v>177542.06080034463</v>
      </c>
      <c r="S9" s="3">
        <f t="shared" si="5"/>
        <v>124279.44256024125</v>
      </c>
      <c r="T9" s="3">
        <f t="shared" si="6"/>
        <v>366894.04329753987</v>
      </c>
      <c r="U9" s="3">
        <f t="shared" si="7"/>
        <v>44522.864234187211</v>
      </c>
      <c r="V9" s="3">
        <f t="shared" si="8"/>
        <v>282694.258997133</v>
      </c>
      <c r="W9" s="3">
        <f t="shared" si="9"/>
        <v>0</v>
      </c>
      <c r="X9" s="3">
        <f t="shared" si="10"/>
        <v>0</v>
      </c>
      <c r="Y9" s="3">
        <f t="shared" si="11"/>
        <v>0</v>
      </c>
      <c r="Z9" s="19">
        <f t="shared" si="14"/>
        <v>2918036.4740815549</v>
      </c>
      <c r="AA9" s="27" t="str">
        <f t="shared" si="15"/>
        <v/>
      </c>
      <c r="AC9" s="24">
        <f>AtAge2</f>
        <v>41</v>
      </c>
      <c r="AD9" s="24">
        <f>SAmt2</f>
        <v>6013.1501124554043</v>
      </c>
      <c r="AE9" s="3">
        <f>IF(AC9&gt;0,SUM($AD9:AD18),0)</f>
        <v>4016322.676138645</v>
      </c>
      <c r="AG9" s="58">
        <v>58</v>
      </c>
      <c r="AH9" s="37">
        <f t="shared" si="0"/>
        <v>2000000</v>
      </c>
      <c r="AI9" s="36">
        <f t="shared" si="12"/>
        <v>729.70022535777343</v>
      </c>
      <c r="AJ9" s="36">
        <f>IF(AG9&gt;0,SUM($AI9:AI18),0)</f>
        <v>5362.871699064568</v>
      </c>
      <c r="AL9" s="20" t="str">
        <f t="shared" si="13"/>
        <v>54 &amp; 58</v>
      </c>
    </row>
    <row r="10" spans="2:38" ht="15" customHeight="1" x14ac:dyDescent="0.25">
      <c r="B10" s="20">
        <v>3</v>
      </c>
      <c r="C10" s="56" t="s">
        <v>8</v>
      </c>
      <c r="D10" s="54">
        <v>5000000</v>
      </c>
      <c r="E10" s="55">
        <v>54</v>
      </c>
      <c r="F10" s="70">
        <f>R4</f>
        <v>907856.5588605901</v>
      </c>
      <c r="G10" s="34" t="str">
        <f>IF(AND(OR(GAmt3&lt;&gt;"",GMT3&lt;&gt;0),OR(AtAge3=0,AtAge3="")),"Invalid",IF(AND(AtAge3&lt;&gt;"",AtAge3&lt;=Age),"Invalid",""))</f>
        <v/>
      </c>
      <c r="I10" s="66" t="str">
        <f t="shared" si="17"/>
        <v>SIP Req. between Age 41 &amp; 41:</v>
      </c>
      <c r="J10" s="67">
        <f t="shared" si="16"/>
        <v>27282.480578225397</v>
      </c>
      <c r="K10" s="11"/>
      <c r="N10" s="19">
        <f t="shared" si="1"/>
        <v>33</v>
      </c>
      <c r="O10" s="15">
        <v>5</v>
      </c>
      <c r="P10" s="3">
        <f t="shared" si="2"/>
        <v>2067238.3698598011</v>
      </c>
      <c r="Q10" s="3">
        <f t="shared" si="3"/>
        <v>487688.19682652107</v>
      </c>
      <c r="R10" s="3">
        <f t="shared" si="4"/>
        <v>235995.02110849679</v>
      </c>
      <c r="S10" s="3">
        <f t="shared" si="5"/>
        <v>165196.51477594775</v>
      </c>
      <c r="T10" s="3">
        <f t="shared" si="6"/>
        <v>487688.19682652107</v>
      </c>
      <c r="U10" s="3">
        <f t="shared" si="7"/>
        <v>59181.324343044638</v>
      </c>
      <c r="V10" s="3">
        <f t="shared" si="8"/>
        <v>375766.94400490902</v>
      </c>
      <c r="W10" s="3">
        <f t="shared" si="9"/>
        <v>0</v>
      </c>
      <c r="X10" s="3">
        <f t="shared" si="10"/>
        <v>0</v>
      </c>
      <c r="Y10" s="3">
        <f t="shared" si="11"/>
        <v>0</v>
      </c>
      <c r="Z10" s="19">
        <f t="shared" si="14"/>
        <v>3878754.5677452418</v>
      </c>
      <c r="AA10" s="27">
        <f t="shared" si="15"/>
        <v>2000000</v>
      </c>
      <c r="AC10" s="24">
        <f>AtAge3</f>
        <v>54</v>
      </c>
      <c r="AD10" s="24">
        <f>SAmt3</f>
        <v>2909.7966630147116</v>
      </c>
      <c r="AE10" s="3">
        <f>IF(AC10&gt;0,SUM($AD10:AD19),0)</f>
        <v>6010309.5260261893</v>
      </c>
      <c r="AG10" s="58">
        <v>60</v>
      </c>
      <c r="AH10" s="37">
        <f t="shared" si="0"/>
        <v>16000000</v>
      </c>
      <c r="AI10" s="36">
        <f t="shared" si="12"/>
        <v>4633.171473706795</v>
      </c>
      <c r="AJ10" s="36">
        <f>IF(AG10&gt;0,SUM($AI10:AI19),0)</f>
        <v>4633.171473706795</v>
      </c>
      <c r="AL10" s="20" t="str">
        <f t="shared" si="13"/>
        <v>58 &amp; 60</v>
      </c>
    </row>
    <row r="11" spans="2:38" ht="15" customHeight="1" x14ac:dyDescent="0.25">
      <c r="B11" s="20">
        <v>4</v>
      </c>
      <c r="C11" s="59" t="s">
        <v>9</v>
      </c>
      <c r="D11" s="60">
        <v>3500000</v>
      </c>
      <c r="E11" s="61">
        <v>54</v>
      </c>
      <c r="F11" s="70">
        <f>S4</f>
        <v>635499.59120241308</v>
      </c>
      <c r="G11" s="34" t="str">
        <f>IF(AND(OR(GAmt4&lt;&gt;"",GMT4&lt;&gt;0),OR(AtAge4=0,AtAge4="")),"Invalid",IF(AND(AtAge4&lt;&gt;"",AtAge4&lt;=Age),"Invalid",""))</f>
        <v/>
      </c>
      <c r="I11" s="43" t="str">
        <f t="shared" si="17"/>
        <v>SIP Req. between Age 41 &amp; 54:</v>
      </c>
      <c r="J11" s="68">
        <f t="shared" si="16"/>
        <v>15256.18035331459</v>
      </c>
      <c r="K11" s="11"/>
      <c r="N11" s="19">
        <f t="shared" si="1"/>
        <v>34</v>
      </c>
      <c r="O11" s="15">
        <v>6</v>
      </c>
      <c r="P11" s="3">
        <f t="shared" si="2"/>
        <v>0</v>
      </c>
      <c r="Q11" s="3">
        <f t="shared" si="3"/>
        <v>622977.64877898037</v>
      </c>
      <c r="R11" s="3">
        <f t="shared" si="4"/>
        <v>301462.33665362728</v>
      </c>
      <c r="S11" s="3">
        <f t="shared" si="5"/>
        <v>211023.63565753913</v>
      </c>
      <c r="T11" s="3">
        <f t="shared" si="6"/>
        <v>622977.64877898037</v>
      </c>
      <c r="U11" s="3">
        <f t="shared" si="7"/>
        <v>75598.799664964987</v>
      </c>
      <c r="V11" s="3">
        <f t="shared" si="8"/>
        <v>480008.35121361836</v>
      </c>
      <c r="W11" s="3">
        <f t="shared" si="9"/>
        <v>0</v>
      </c>
      <c r="X11" s="3">
        <f t="shared" si="10"/>
        <v>0</v>
      </c>
      <c r="Y11" s="3">
        <f t="shared" si="11"/>
        <v>0</v>
      </c>
      <c r="Z11" s="19">
        <f t="shared" si="14"/>
        <v>2314048.4207477104</v>
      </c>
      <c r="AA11" s="27" t="str">
        <f t="shared" si="15"/>
        <v/>
      </c>
      <c r="AC11" s="24">
        <f>AtAge4</f>
        <v>54</v>
      </c>
      <c r="AD11" s="24">
        <f>SAmt4</f>
        <v>2036.8576641102982</v>
      </c>
      <c r="AE11" s="3">
        <f>IF(AC11&gt;0,SUM($AD11:AD20),0)</f>
        <v>11007399.729363175</v>
      </c>
      <c r="AG11" s="58"/>
      <c r="AH11" s="37">
        <f t="shared" si="0"/>
        <v>0</v>
      </c>
      <c r="AI11" s="36">
        <f t="shared" si="12"/>
        <v>0</v>
      </c>
      <c r="AJ11" s="36">
        <f>IF(AG11&gt;0,SUM($AI11:AI20),0)</f>
        <v>0</v>
      </c>
      <c r="AL11" s="20" t="str">
        <f t="shared" si="13"/>
        <v/>
      </c>
    </row>
    <row r="12" spans="2:38" ht="15" customHeight="1" x14ac:dyDescent="0.25">
      <c r="B12" s="20">
        <v>5</v>
      </c>
      <c r="C12" s="56" t="s">
        <v>10</v>
      </c>
      <c r="D12" s="54">
        <v>2000000</v>
      </c>
      <c r="E12" s="55">
        <v>41</v>
      </c>
      <c r="F12" s="70">
        <f>T4</f>
        <v>938051.41754304303</v>
      </c>
      <c r="G12" s="34" t="str">
        <f>IF(AND(OR(GAmt5&lt;&gt;"",GMT5&lt;&gt;0),OR(AtAge5=0,AtAge5="")),"Invalid",IF(AND(AtAge5&lt;&gt;"",AtAge5&lt;=Age),"Invalid",""))</f>
        <v/>
      </c>
      <c r="I12" s="66" t="str">
        <f t="shared" si="17"/>
        <v>SIP Req. between Age 54 &amp; 54:</v>
      </c>
      <c r="J12" s="67">
        <f t="shared" si="16"/>
        <v>10309.526026189578</v>
      </c>
      <c r="K12" s="11"/>
      <c r="N12" s="19">
        <f t="shared" si="1"/>
        <v>35</v>
      </c>
      <c r="O12" s="15">
        <v>7</v>
      </c>
      <c r="P12" s="3">
        <f t="shared" si="2"/>
        <v>0</v>
      </c>
      <c r="Q12" s="3">
        <f t="shared" si="3"/>
        <v>774501.83496573498</v>
      </c>
      <c r="R12" s="3">
        <f t="shared" si="4"/>
        <v>374785.73006417364</v>
      </c>
      <c r="S12" s="3">
        <f t="shared" si="5"/>
        <v>262350.01104492153</v>
      </c>
      <c r="T12" s="3">
        <f t="shared" si="6"/>
        <v>774501.83496573498</v>
      </c>
      <c r="U12" s="3">
        <f t="shared" si="7"/>
        <v>93986.372025515811</v>
      </c>
      <c r="V12" s="3">
        <f t="shared" si="8"/>
        <v>596758.72728737304</v>
      </c>
      <c r="W12" s="3">
        <f t="shared" si="9"/>
        <v>0</v>
      </c>
      <c r="X12" s="3">
        <f t="shared" si="10"/>
        <v>0</v>
      </c>
      <c r="Y12" s="3">
        <f t="shared" si="11"/>
        <v>0</v>
      </c>
      <c r="Z12" s="19">
        <f t="shared" si="14"/>
        <v>2876884.5103534539</v>
      </c>
      <c r="AA12" s="27" t="str">
        <f t="shared" si="15"/>
        <v/>
      </c>
      <c r="AC12" s="24">
        <f>AtAge6</f>
        <v>58</v>
      </c>
      <c r="AD12" s="24">
        <f>SAmt6</f>
        <v>729.70022535777343</v>
      </c>
      <c r="AE12" s="3">
        <f>IF(AC12&gt;0,SUM($AD12:AD21),0)</f>
        <v>14505362.871699065</v>
      </c>
      <c r="AG12" s="58"/>
      <c r="AH12" s="37">
        <f t="shared" si="0"/>
        <v>0</v>
      </c>
      <c r="AI12" s="36">
        <f t="shared" si="12"/>
        <v>0</v>
      </c>
      <c r="AJ12" s="36">
        <f>IF(AG12&gt;0,SUM($AI12:AI21),0)</f>
        <v>0</v>
      </c>
      <c r="AL12" s="20" t="str">
        <f t="shared" si="13"/>
        <v/>
      </c>
    </row>
    <row r="13" spans="2:38" ht="15" customHeight="1" x14ac:dyDescent="0.25">
      <c r="B13" s="20">
        <v>6</v>
      </c>
      <c r="C13" s="59" t="s">
        <v>11</v>
      </c>
      <c r="D13" s="60">
        <v>2000000</v>
      </c>
      <c r="E13" s="61">
        <v>58</v>
      </c>
      <c r="F13" s="70">
        <f>U4</f>
        <v>262692.08112879843</v>
      </c>
      <c r="G13" s="34" t="str">
        <f>IF(AND(OR(GAmt6&lt;&gt;"",GMT6&lt;&gt;0),OR(AtAge6=0,AtAge6="")),"Invalid",IF(AND(AtAge6&lt;&gt;"",AtAge6&lt;=Age),"Invalid",""))</f>
        <v/>
      </c>
      <c r="I13" s="43" t="str">
        <f t="shared" si="17"/>
        <v>SIP Req. between Age 54 &amp; 58:</v>
      </c>
      <c r="J13" s="68">
        <f t="shared" si="16"/>
        <v>5362.871699064568</v>
      </c>
      <c r="K13" s="11"/>
      <c r="N13" s="19">
        <f t="shared" si="1"/>
        <v>36</v>
      </c>
      <c r="O13" s="15">
        <v>8</v>
      </c>
      <c r="P13" s="3">
        <f t="shared" si="2"/>
        <v>0</v>
      </c>
      <c r="Q13" s="3">
        <f t="shared" si="3"/>
        <v>944208.92349490023</v>
      </c>
      <c r="R13" s="3">
        <f t="shared" si="4"/>
        <v>456907.93068398553</v>
      </c>
      <c r="S13" s="3">
        <f t="shared" si="5"/>
        <v>319835.55147878989</v>
      </c>
      <c r="T13" s="3">
        <f t="shared" si="6"/>
        <v>944208.92349490023</v>
      </c>
      <c r="U13" s="3">
        <f t="shared" si="7"/>
        <v>114580.45306933274</v>
      </c>
      <c r="V13" s="3">
        <f t="shared" si="8"/>
        <v>727519.1484899784</v>
      </c>
      <c r="W13" s="3">
        <f t="shared" si="9"/>
        <v>0</v>
      </c>
      <c r="X13" s="3">
        <f t="shared" si="10"/>
        <v>0</v>
      </c>
      <c r="Y13" s="3">
        <f t="shared" si="11"/>
        <v>0</v>
      </c>
      <c r="Z13" s="19">
        <f t="shared" si="14"/>
        <v>3507260.9307118868</v>
      </c>
      <c r="AA13" s="27" t="str">
        <f t="shared" si="15"/>
        <v/>
      </c>
      <c r="AC13" s="23">
        <f>AtAge7</f>
        <v>60</v>
      </c>
      <c r="AD13" s="24">
        <f>SAmt7</f>
        <v>4633.171473706795</v>
      </c>
      <c r="AE13" s="3">
        <f>IF(AC13&gt;0,SUM($AD13:AD22),0)</f>
        <v>16504633.171473708</v>
      </c>
      <c r="AG13" s="58"/>
      <c r="AH13" s="37">
        <f t="shared" si="0"/>
        <v>0</v>
      </c>
      <c r="AI13" s="36">
        <f t="shared" si="12"/>
        <v>0</v>
      </c>
      <c r="AJ13" s="36">
        <f>IF(AG13&gt;0,SUM($AI13:AI22),0)</f>
        <v>0</v>
      </c>
      <c r="AL13" s="20" t="str">
        <f t="shared" si="13"/>
        <v/>
      </c>
    </row>
    <row r="14" spans="2:38" ht="15" customHeight="1" x14ac:dyDescent="0.25">
      <c r="B14" s="20">
        <v>7</v>
      </c>
      <c r="C14" s="56" t="s">
        <v>43</v>
      </c>
      <c r="D14" s="54">
        <v>16000000</v>
      </c>
      <c r="E14" s="55">
        <v>60</v>
      </c>
      <c r="F14" s="70">
        <f>V4</f>
        <v>1779137.8459034092</v>
      </c>
      <c r="G14" s="34" t="str">
        <f>IF(AND(OR(GAmt7&lt;&gt;"",GMT7&lt;&gt;0),OR(AtAge7=0,AtAge7="")),"Invalid",IF(AND(AtAge7&lt;&gt;"",AtAge7&lt;=Age),"Invalid",""))</f>
        <v/>
      </c>
      <c r="I14" s="66" t="str">
        <f t="shared" si="17"/>
        <v>SIP Req. between Age 58 &amp; 60:</v>
      </c>
      <c r="J14" s="67">
        <f t="shared" si="16"/>
        <v>4633.171473706795</v>
      </c>
      <c r="K14" s="11"/>
      <c r="N14" s="19">
        <f t="shared" si="1"/>
        <v>37</v>
      </c>
      <c r="O14" s="15">
        <v>9</v>
      </c>
      <c r="P14" s="3">
        <f t="shared" si="2"/>
        <v>0</v>
      </c>
      <c r="Q14" s="3">
        <f t="shared" si="3"/>
        <v>1134280.8626475651</v>
      </c>
      <c r="R14" s="3">
        <f t="shared" si="4"/>
        <v>548884.79537817487</v>
      </c>
      <c r="S14" s="3">
        <f t="shared" si="5"/>
        <v>384219.35676472238</v>
      </c>
      <c r="T14" s="3">
        <f t="shared" si="6"/>
        <v>1134280.8626475651</v>
      </c>
      <c r="U14" s="3">
        <f t="shared" si="7"/>
        <v>137645.8238384077</v>
      </c>
      <c r="V14" s="3">
        <f t="shared" si="8"/>
        <v>873970.82023689616</v>
      </c>
      <c r="W14" s="3">
        <f t="shared" si="9"/>
        <v>0</v>
      </c>
      <c r="X14" s="3">
        <f t="shared" si="10"/>
        <v>0</v>
      </c>
      <c r="Y14" s="3">
        <f t="shared" si="11"/>
        <v>0</v>
      </c>
      <c r="Z14" s="19">
        <f t="shared" si="14"/>
        <v>4213282.5215133317</v>
      </c>
      <c r="AA14" s="27" t="str">
        <f t="shared" si="15"/>
        <v/>
      </c>
      <c r="AD14" s="17"/>
    </row>
    <row r="15" spans="2:38" ht="15" customHeight="1" x14ac:dyDescent="0.25">
      <c r="B15" s="20">
        <v>8</v>
      </c>
      <c r="C15" s="62"/>
      <c r="D15" s="60"/>
      <c r="E15" s="61"/>
      <c r="F15" s="70">
        <f>W4</f>
        <v>0</v>
      </c>
      <c r="G15" s="34" t="str">
        <f>IF(AND(OR(GAmt8&lt;&gt;"",GMT8&lt;&gt;0),AtAge8=0),"Invalid",IF(AND(AtAge8&lt;&gt;"",AtAge8&lt;=Age),"Invalid",""))</f>
        <v/>
      </c>
      <c r="I15" s="43" t="str">
        <f t="shared" si="17"/>
        <v/>
      </c>
      <c r="J15" s="68" t="str">
        <f t="shared" si="16"/>
        <v/>
      </c>
      <c r="K15" s="11"/>
      <c r="N15" s="19">
        <f t="shared" si="1"/>
        <v>38</v>
      </c>
      <c r="O15" s="15">
        <v>10</v>
      </c>
      <c r="P15" s="3">
        <f t="shared" si="2"/>
        <v>0</v>
      </c>
      <c r="Q15" s="3">
        <f t="shared" si="3"/>
        <v>1347161.4344985506</v>
      </c>
      <c r="R15" s="3">
        <f t="shared" si="4"/>
        <v>651898.88383566716</v>
      </c>
      <c r="S15" s="3">
        <f t="shared" si="5"/>
        <v>456329.21868496703</v>
      </c>
      <c r="T15" s="3">
        <f t="shared" si="6"/>
        <v>1347161.4344985506</v>
      </c>
      <c r="U15" s="3">
        <f t="shared" si="7"/>
        <v>163479.0390997717</v>
      </c>
      <c r="V15" s="3">
        <f t="shared" si="8"/>
        <v>1037996.6925934446</v>
      </c>
      <c r="W15" s="3">
        <f t="shared" si="9"/>
        <v>0</v>
      </c>
      <c r="X15" s="3">
        <f t="shared" si="10"/>
        <v>0</v>
      </c>
      <c r="Y15" s="3">
        <f t="shared" si="11"/>
        <v>0</v>
      </c>
      <c r="Z15" s="19">
        <f t="shared" si="14"/>
        <v>5004026.7032109518</v>
      </c>
      <c r="AA15" s="27" t="str">
        <f t="shared" si="15"/>
        <v/>
      </c>
      <c r="AC15" s="10" t="s">
        <v>51</v>
      </c>
      <c r="AD15" s="17"/>
    </row>
    <row r="16" spans="2:38" s="6" customFormat="1" ht="15" customHeight="1" x14ac:dyDescent="0.25">
      <c r="B16" s="20">
        <v>9</v>
      </c>
      <c r="C16" s="57"/>
      <c r="D16" s="54"/>
      <c r="E16" s="55"/>
      <c r="F16" s="70">
        <f>X4</f>
        <v>0</v>
      </c>
      <c r="G16" s="34" t="str">
        <f>IF(AND(OR(GAmt8&lt;&gt;"",GMT9&lt;&gt;0),AtAge8=0),"Invalid",IF(AND(AtAge8&lt;&gt;"",AtAge8&lt;=Age),"Invalid",""))</f>
        <v/>
      </c>
      <c r="I16" s="66" t="str">
        <f t="shared" si="17"/>
        <v/>
      </c>
      <c r="J16" s="67" t="str">
        <f t="shared" si="16"/>
        <v/>
      </c>
      <c r="K16" s="11"/>
      <c r="L16" s="2"/>
      <c r="M16" s="2"/>
      <c r="N16" s="19">
        <f t="shared" si="1"/>
        <v>39</v>
      </c>
      <c r="O16" s="15">
        <v>11</v>
      </c>
      <c r="P16" s="3">
        <f t="shared" si="2"/>
        <v>0</v>
      </c>
      <c r="Q16" s="3">
        <f t="shared" si="3"/>
        <v>1585587.6749716548</v>
      </c>
      <c r="R16" s="3">
        <f t="shared" si="4"/>
        <v>767274.66290805873</v>
      </c>
      <c r="S16" s="3">
        <f t="shared" si="5"/>
        <v>537092.2640356411</v>
      </c>
      <c r="T16" s="3">
        <f t="shared" si="6"/>
        <v>1585587.6749716548</v>
      </c>
      <c r="U16" s="3">
        <f t="shared" si="7"/>
        <v>192412.24019249948</v>
      </c>
      <c r="V16" s="3">
        <f t="shared" si="8"/>
        <v>1221705.6696327794</v>
      </c>
      <c r="W16" s="3">
        <f t="shared" si="9"/>
        <v>0</v>
      </c>
      <c r="X16" s="3">
        <f t="shared" si="10"/>
        <v>0</v>
      </c>
      <c r="Y16" s="3">
        <f t="shared" si="11"/>
        <v>0</v>
      </c>
      <c r="Z16" s="19">
        <f t="shared" si="14"/>
        <v>5889660.1867122892</v>
      </c>
      <c r="AA16" s="27" t="str">
        <f t="shared" si="15"/>
        <v/>
      </c>
      <c r="AC16" s="2" cm="1">
        <f t="array" ref="AC16">MIN(IF(AC4:AC13&lt;=0,100,ROW(AC4:AC13)))</f>
        <v>7</v>
      </c>
      <c r="AD16" s="17"/>
      <c r="AL16" s="20"/>
    </row>
    <row r="17" spans="2:33" ht="15" customHeight="1" x14ac:dyDescent="0.25">
      <c r="B17" s="20">
        <v>10</v>
      </c>
      <c r="C17" s="63"/>
      <c r="D17" s="64"/>
      <c r="E17" s="65"/>
      <c r="F17" s="70">
        <f>Y4</f>
        <v>0</v>
      </c>
      <c r="G17" s="34" t="str">
        <f>IF(AND(OR(GAmt8&lt;&gt;"",GMT10&lt;&gt;0),AtAge8=0),"Invalid",IF(AND(AtAge8&lt;&gt;"",AtAge8&lt;=Age),"Invalid",""))</f>
        <v/>
      </c>
      <c r="I17" s="43" t="str">
        <f t="shared" si="17"/>
        <v/>
      </c>
      <c r="J17" s="68" t="str">
        <f t="shared" si="16"/>
        <v/>
      </c>
      <c r="K17" s="11"/>
      <c r="N17" s="19">
        <f t="shared" si="1"/>
        <v>40</v>
      </c>
      <c r="O17" s="15">
        <v>12</v>
      </c>
      <c r="P17" s="3">
        <f t="shared" si="2"/>
        <v>0</v>
      </c>
      <c r="Q17" s="3">
        <f t="shared" si="3"/>
        <v>1852625.0643015318</v>
      </c>
      <c r="R17" s="3">
        <f t="shared" si="4"/>
        <v>896495.5354691376</v>
      </c>
      <c r="S17" s="3">
        <f t="shared" si="5"/>
        <v>627546.87482839637</v>
      </c>
      <c r="T17" s="3">
        <f t="shared" si="6"/>
        <v>1852625.0643015318</v>
      </c>
      <c r="U17" s="3">
        <f t="shared" si="7"/>
        <v>224817.42541635461</v>
      </c>
      <c r="V17" s="3">
        <f t="shared" si="8"/>
        <v>1427459.7239168345</v>
      </c>
      <c r="W17" s="3">
        <f t="shared" si="9"/>
        <v>0</v>
      </c>
      <c r="X17" s="3">
        <f t="shared" si="10"/>
        <v>0</v>
      </c>
      <c r="Y17" s="3">
        <f t="shared" si="11"/>
        <v>0</v>
      </c>
      <c r="Z17" s="19">
        <f t="shared" si="14"/>
        <v>6881569.6882337863</v>
      </c>
      <c r="AA17" s="27" t="str">
        <f t="shared" si="15"/>
        <v/>
      </c>
      <c r="AB17" s="2">
        <v>1</v>
      </c>
      <c r="AC17" s="71">
        <f>AtAge1</f>
        <v>33</v>
      </c>
      <c r="AD17" s="72">
        <f>GAmt1</f>
        <v>2000000</v>
      </c>
      <c r="AE17" s="73">
        <f>SAmt1</f>
        <v>25488.856849689902</v>
      </c>
      <c r="AF17" s="40">
        <f t="shared" ref="AF17:AF26" si="18">AE17*(AC17-Age)*12</f>
        <v>1529331.4109813944</v>
      </c>
      <c r="AG17" s="71" t="str">
        <f>C8</f>
        <v>Car</v>
      </c>
    </row>
    <row r="18" spans="2:33" x14ac:dyDescent="0.25">
      <c r="C18" s="18" t="str">
        <f>IF(R2&gt;1,"Withdrawal diff. is very high.","")</f>
        <v/>
      </c>
      <c r="E18" s="18" t="str">
        <f>IF(MaxAge&gt;50,"Max. Age allowed " &amp;E5+50 &amp;".",IF(OR(E5=0,E5=""),"Age not entered.",""))</f>
        <v/>
      </c>
      <c r="H18" s="6"/>
      <c r="J18" s="3"/>
      <c r="K18" s="11"/>
      <c r="N18" s="19">
        <f t="shared" si="1"/>
        <v>41</v>
      </c>
      <c r="O18" s="15">
        <v>13</v>
      </c>
      <c r="P18" s="3">
        <f t="shared" si="2"/>
        <v>0</v>
      </c>
      <c r="Q18" s="3">
        <f t="shared" si="3"/>
        <v>2151706.940350994</v>
      </c>
      <c r="R18" s="3">
        <f t="shared" si="4"/>
        <v>1041222.9127375459</v>
      </c>
      <c r="S18" s="3">
        <f t="shared" si="5"/>
        <v>728856.03891628212</v>
      </c>
      <c r="T18" s="3">
        <f t="shared" si="6"/>
        <v>2151706.940350994</v>
      </c>
      <c r="U18" s="3">
        <f t="shared" si="7"/>
        <v>261111.23286707237</v>
      </c>
      <c r="V18" s="3">
        <f t="shared" si="8"/>
        <v>1657904.2647149763</v>
      </c>
      <c r="W18" s="3">
        <f t="shared" si="9"/>
        <v>0</v>
      </c>
      <c r="X18" s="3">
        <f t="shared" si="10"/>
        <v>0</v>
      </c>
      <c r="Y18" s="3">
        <f t="shared" si="11"/>
        <v>0</v>
      </c>
      <c r="Z18" s="19">
        <f t="shared" si="14"/>
        <v>7992508.3299378641</v>
      </c>
      <c r="AA18" s="27">
        <f t="shared" si="15"/>
        <v>4000000</v>
      </c>
      <c r="AB18" s="2">
        <v>2</v>
      </c>
      <c r="AC18" s="71">
        <f>AtAge5</f>
        <v>41</v>
      </c>
      <c r="AD18" s="72">
        <f>GAmt5</f>
        <v>2000000</v>
      </c>
      <c r="AE18" s="73">
        <f>SAmt5</f>
        <v>6013.1501124554043</v>
      </c>
      <c r="AF18" s="40">
        <f t="shared" si="18"/>
        <v>938051.41754304303</v>
      </c>
      <c r="AG18" s="71" t="str">
        <f>C12</f>
        <v>Education 4</v>
      </c>
    </row>
    <row r="19" spans="2:33" ht="17.25" customHeight="1" x14ac:dyDescent="0.25">
      <c r="K19" s="11"/>
      <c r="N19" s="19">
        <f t="shared" si="1"/>
        <v>42</v>
      </c>
      <c r="O19" s="15">
        <v>14</v>
      </c>
      <c r="P19" s="3">
        <f t="shared" si="2"/>
        <v>0</v>
      </c>
      <c r="Q19" s="3">
        <f t="shared" si="3"/>
        <v>0</v>
      </c>
      <c r="R19" s="3">
        <f t="shared" si="4"/>
        <v>1203317.5752781632</v>
      </c>
      <c r="S19" s="3">
        <f t="shared" si="5"/>
        <v>842322.30269471428</v>
      </c>
      <c r="T19" s="3">
        <f t="shared" si="6"/>
        <v>0</v>
      </c>
      <c r="U19" s="3">
        <f t="shared" si="7"/>
        <v>301760.29721187631</v>
      </c>
      <c r="V19" s="3">
        <f t="shared" si="8"/>
        <v>1916002.1504088952</v>
      </c>
      <c r="W19" s="3">
        <f t="shared" si="9"/>
        <v>0</v>
      </c>
      <c r="X19" s="3">
        <f t="shared" si="10"/>
        <v>0</v>
      </c>
      <c r="Y19" s="3">
        <f t="shared" si="11"/>
        <v>0</v>
      </c>
      <c r="Z19" s="19">
        <f t="shared" si="14"/>
        <v>4263402.3255936485</v>
      </c>
      <c r="AA19" s="27" t="str">
        <f t="shared" si="15"/>
        <v/>
      </c>
      <c r="AB19" s="2">
        <v>3</v>
      </c>
      <c r="AC19" s="71">
        <f>AtAge2</f>
        <v>41</v>
      </c>
      <c r="AD19" s="72">
        <f>GAmt2</f>
        <v>2000000</v>
      </c>
      <c r="AE19" s="73">
        <f>SAmt2</f>
        <v>6013.1501124554043</v>
      </c>
      <c r="AF19" s="40">
        <f t="shared" si="18"/>
        <v>938051.41754304303</v>
      </c>
      <c r="AG19" s="71" t="str">
        <f>C9</f>
        <v>Education 1</v>
      </c>
    </row>
    <row r="20" spans="2:33" ht="17.25" customHeight="1" x14ac:dyDescent="0.25">
      <c r="C20" s="38" t="s">
        <v>37</v>
      </c>
      <c r="D20" s="7">
        <v>0.12</v>
      </c>
      <c r="E20" s="76" t="s">
        <v>44</v>
      </c>
      <c r="F20" s="76"/>
      <c r="K20" s="11"/>
      <c r="N20" s="19">
        <f t="shared" si="1"/>
        <v>43</v>
      </c>
      <c r="O20" s="15">
        <v>15</v>
      </c>
      <c r="P20" s="3">
        <f t="shared" si="2"/>
        <v>0</v>
      </c>
      <c r="Q20" s="3">
        <f t="shared" si="3"/>
        <v>0</v>
      </c>
      <c r="R20" s="3">
        <f t="shared" si="4"/>
        <v>1384863.5973236552</v>
      </c>
      <c r="S20" s="3">
        <f t="shared" si="5"/>
        <v>969404.51812655851</v>
      </c>
      <c r="T20" s="3">
        <f t="shared" si="6"/>
        <v>0</v>
      </c>
      <c r="U20" s="3">
        <f t="shared" si="7"/>
        <v>347287.24927805678</v>
      </c>
      <c r="V20" s="3">
        <f t="shared" si="8"/>
        <v>2205071.782386085</v>
      </c>
      <c r="W20" s="3">
        <f t="shared" si="9"/>
        <v>0</v>
      </c>
      <c r="X20" s="3">
        <f t="shared" si="10"/>
        <v>0</v>
      </c>
      <c r="Y20" s="3">
        <f t="shared" si="11"/>
        <v>0</v>
      </c>
      <c r="Z20" s="19">
        <f t="shared" si="14"/>
        <v>4906627.1471143551</v>
      </c>
      <c r="AA20" s="27" t="str">
        <f t="shared" si="15"/>
        <v/>
      </c>
      <c r="AB20" s="2">
        <v>4</v>
      </c>
      <c r="AC20" s="71">
        <f>AtAge3</f>
        <v>54</v>
      </c>
      <c r="AD20" s="72">
        <f>GAmt3</f>
        <v>5000000</v>
      </c>
      <c r="AE20" s="73">
        <f>SAmt3</f>
        <v>2909.7966630147116</v>
      </c>
      <c r="AF20" s="40">
        <f t="shared" si="18"/>
        <v>907856.5588605901</v>
      </c>
      <c r="AG20" s="71" t="str">
        <f>C10</f>
        <v>Education 2</v>
      </c>
    </row>
    <row r="21" spans="2:33" ht="17.25" customHeight="1" x14ac:dyDescent="0.25">
      <c r="C21" s="39" t="s">
        <v>38</v>
      </c>
      <c r="D21" s="31">
        <v>0.125</v>
      </c>
      <c r="E21" s="77"/>
      <c r="F21" s="77"/>
      <c r="K21" s="11"/>
      <c r="N21" s="19">
        <f t="shared" si="1"/>
        <v>44</v>
      </c>
      <c r="O21" s="15">
        <v>16</v>
      </c>
      <c r="P21" s="3">
        <f t="shared" si="2"/>
        <v>0</v>
      </c>
      <c r="Q21" s="3">
        <f t="shared" si="3"/>
        <v>0</v>
      </c>
      <c r="R21" s="3">
        <f t="shared" si="4"/>
        <v>1588195.1420146066</v>
      </c>
      <c r="S21" s="3">
        <f t="shared" si="5"/>
        <v>1111736.5994102247</v>
      </c>
      <c r="T21" s="3">
        <f t="shared" si="6"/>
        <v>0</v>
      </c>
      <c r="U21" s="3">
        <f t="shared" si="7"/>
        <v>398277.43559217907</v>
      </c>
      <c r="V21" s="3">
        <f t="shared" si="8"/>
        <v>2528829.7702005389</v>
      </c>
      <c r="W21" s="3">
        <f t="shared" si="9"/>
        <v>0</v>
      </c>
      <c r="X21" s="3">
        <f t="shared" si="10"/>
        <v>0</v>
      </c>
      <c r="Y21" s="3">
        <f t="shared" si="11"/>
        <v>0</v>
      </c>
      <c r="Z21" s="19">
        <f t="shared" si="14"/>
        <v>5627038.9472175501</v>
      </c>
      <c r="AA21" s="27" t="str">
        <f t="shared" si="15"/>
        <v/>
      </c>
      <c r="AB21" s="2">
        <v>5</v>
      </c>
      <c r="AC21" s="71">
        <f>AtAge4</f>
        <v>54</v>
      </c>
      <c r="AD21" s="72">
        <f>GAmt4</f>
        <v>3500000</v>
      </c>
      <c r="AE21" s="73">
        <f>SAmt4</f>
        <v>2036.8576641102982</v>
      </c>
      <c r="AF21" s="40">
        <f t="shared" si="18"/>
        <v>635499.59120241308</v>
      </c>
      <c r="AG21" s="71" t="str">
        <f>C11</f>
        <v>Education 3</v>
      </c>
    </row>
    <row r="22" spans="2:33" x14ac:dyDescent="0.25">
      <c r="K22" s="11"/>
      <c r="N22" s="19">
        <f t="shared" si="1"/>
        <v>45</v>
      </c>
      <c r="O22" s="15">
        <v>17</v>
      </c>
      <c r="P22" s="3">
        <f t="shared" si="2"/>
        <v>0</v>
      </c>
      <c r="Q22" s="3">
        <f t="shared" si="3"/>
        <v>0</v>
      </c>
      <c r="R22" s="3">
        <f t="shared" si="4"/>
        <v>1815926.4720684723</v>
      </c>
      <c r="S22" s="3">
        <f t="shared" si="5"/>
        <v>1271148.5304479306</v>
      </c>
      <c r="T22" s="3">
        <f t="shared" si="6"/>
        <v>0</v>
      </c>
      <c r="U22" s="3">
        <f t="shared" si="7"/>
        <v>455386.44426399609</v>
      </c>
      <c r="V22" s="3">
        <f t="shared" si="8"/>
        <v>2891438.7165527269</v>
      </c>
      <c r="W22" s="3">
        <f t="shared" si="9"/>
        <v>0</v>
      </c>
      <c r="X22" s="3">
        <f t="shared" si="10"/>
        <v>0</v>
      </c>
      <c r="Y22" s="3">
        <f t="shared" si="11"/>
        <v>0</v>
      </c>
      <c r="Z22" s="19">
        <f t="shared" si="14"/>
        <v>6433900.1633331254</v>
      </c>
      <c r="AA22" s="27" t="str">
        <f t="shared" si="15"/>
        <v/>
      </c>
      <c r="AB22" s="2">
        <v>6</v>
      </c>
      <c r="AC22" s="71">
        <f>AtAge6</f>
        <v>58</v>
      </c>
      <c r="AD22" s="72">
        <f>GAmt6</f>
        <v>2000000</v>
      </c>
      <c r="AE22" s="73">
        <f>SAmt6</f>
        <v>729.70022535777343</v>
      </c>
      <c r="AF22" s="40">
        <f t="shared" si="18"/>
        <v>262692.08112879843</v>
      </c>
      <c r="AG22" s="71" t="str">
        <f>C13</f>
        <v>Marriage</v>
      </c>
    </row>
    <row r="23" spans="2:33" x14ac:dyDescent="0.25">
      <c r="C23" s="41" t="s">
        <v>39</v>
      </c>
      <c r="D23" s="42">
        <f>IF(T1&lt;&gt;"Invalid",Z4,"")</f>
        <v>6990620.3231626917</v>
      </c>
      <c r="K23" s="11"/>
      <c r="N23" s="19">
        <f t="shared" si="1"/>
        <v>46</v>
      </c>
      <c r="O23" s="15">
        <v>18</v>
      </c>
      <c r="P23" s="3">
        <f t="shared" si="2"/>
        <v>0</v>
      </c>
      <c r="Q23" s="3">
        <f t="shared" si="3"/>
        <v>0</v>
      </c>
      <c r="R23" s="3">
        <f t="shared" si="4"/>
        <v>2070985.5617288016</v>
      </c>
      <c r="S23" s="3">
        <f t="shared" si="5"/>
        <v>1449689.8932101612</v>
      </c>
      <c r="T23" s="3">
        <f t="shared" si="6"/>
        <v>0</v>
      </c>
      <c r="U23" s="3">
        <f t="shared" si="7"/>
        <v>519348.533976431</v>
      </c>
      <c r="V23" s="3">
        <f t="shared" si="8"/>
        <v>3297560.736467177</v>
      </c>
      <c r="W23" s="3">
        <f t="shared" si="9"/>
        <v>0</v>
      </c>
      <c r="X23" s="3">
        <f t="shared" si="10"/>
        <v>0</v>
      </c>
      <c r="Y23" s="3">
        <f t="shared" si="11"/>
        <v>0</v>
      </c>
      <c r="Z23" s="19">
        <f t="shared" si="14"/>
        <v>7337584.7253825711</v>
      </c>
      <c r="AA23" s="27" t="str">
        <f t="shared" si="15"/>
        <v/>
      </c>
      <c r="AB23" s="2">
        <v>7</v>
      </c>
      <c r="AC23" s="71">
        <f>AtAge7</f>
        <v>60</v>
      </c>
      <c r="AD23" s="72">
        <f>GAmt7</f>
        <v>16000000</v>
      </c>
      <c r="AE23" s="73">
        <f>SAmt7</f>
        <v>4633.171473706795</v>
      </c>
      <c r="AF23" s="40">
        <f t="shared" si="18"/>
        <v>1779137.8459034092</v>
      </c>
      <c r="AG23" s="71" t="str">
        <f>C14</f>
        <v>OldAge Home</v>
      </c>
    </row>
    <row r="24" spans="2:33" x14ac:dyDescent="0.25">
      <c r="C24" s="44" t="s">
        <v>40</v>
      </c>
      <c r="D24" s="45">
        <f>IF(T1&lt;&gt;"Invalid",SUM(D8:D17),"")</f>
        <v>32500000</v>
      </c>
      <c r="K24" s="11"/>
      <c r="N24" s="19">
        <f t="shared" si="1"/>
        <v>47</v>
      </c>
      <c r="O24" s="15">
        <v>19</v>
      </c>
      <c r="P24" s="3">
        <f t="shared" si="2"/>
        <v>0</v>
      </c>
      <c r="Q24" s="3">
        <f t="shared" si="3"/>
        <v>0</v>
      </c>
      <c r="R24" s="3">
        <f t="shared" si="4"/>
        <v>2356651.7421483719</v>
      </c>
      <c r="S24" s="3">
        <f t="shared" si="5"/>
        <v>1649656.2195038605</v>
      </c>
      <c r="T24" s="3">
        <f t="shared" si="6"/>
        <v>0</v>
      </c>
      <c r="U24" s="3">
        <f t="shared" si="7"/>
        <v>590986.07445435855</v>
      </c>
      <c r="V24" s="3">
        <f t="shared" si="8"/>
        <v>3752417.3987713638</v>
      </c>
      <c r="W24" s="3">
        <f t="shared" si="9"/>
        <v>0</v>
      </c>
      <c r="X24" s="3">
        <f t="shared" si="10"/>
        <v>0</v>
      </c>
      <c r="Y24" s="3">
        <f t="shared" si="11"/>
        <v>0</v>
      </c>
      <c r="Z24" s="19">
        <f t="shared" si="14"/>
        <v>8349711.4348779544</v>
      </c>
      <c r="AA24" s="27" t="str">
        <f t="shared" si="15"/>
        <v/>
      </c>
      <c r="AB24" s="2">
        <v>8</v>
      </c>
      <c r="AC24" s="71"/>
      <c r="AD24" s="72"/>
      <c r="AE24" s="73"/>
      <c r="AF24" s="40">
        <f t="shared" si="18"/>
        <v>0</v>
      </c>
      <c r="AG24" s="71"/>
    </row>
    <row r="25" spans="2:33" x14ac:dyDescent="0.25">
      <c r="C25" s="47" t="s">
        <v>47</v>
      </c>
      <c r="D25" s="48">
        <f>IF(T1="Invalid","",Z59)</f>
        <v>3390253.1296536047</v>
      </c>
      <c r="K25" s="11"/>
      <c r="N25" s="19">
        <f t="shared" si="1"/>
        <v>48</v>
      </c>
      <c r="O25" s="15">
        <v>20</v>
      </c>
      <c r="P25" s="3">
        <f t="shared" si="2"/>
        <v>0</v>
      </c>
      <c r="Q25" s="3">
        <f t="shared" si="3"/>
        <v>0</v>
      </c>
      <c r="R25" s="3">
        <f t="shared" si="4"/>
        <v>2676597.8642182909</v>
      </c>
      <c r="S25" s="3">
        <f t="shared" si="5"/>
        <v>1873618.5049528037</v>
      </c>
      <c r="T25" s="3">
        <f t="shared" si="6"/>
        <v>0</v>
      </c>
      <c r="U25" s="3">
        <f t="shared" si="7"/>
        <v>671220.11978963739</v>
      </c>
      <c r="V25" s="3">
        <f t="shared" si="8"/>
        <v>4261856.860552053</v>
      </c>
      <c r="W25" s="3">
        <f t="shared" si="9"/>
        <v>0</v>
      </c>
      <c r="X25" s="3">
        <f t="shared" si="10"/>
        <v>0</v>
      </c>
      <c r="Y25" s="3">
        <f t="shared" si="11"/>
        <v>0</v>
      </c>
      <c r="Z25" s="19">
        <f t="shared" si="14"/>
        <v>9483293.3495127857</v>
      </c>
      <c r="AA25" s="27" t="str">
        <f t="shared" si="15"/>
        <v/>
      </c>
      <c r="AB25" s="2">
        <v>9</v>
      </c>
      <c r="AC25" s="71"/>
      <c r="AD25" s="72"/>
      <c r="AE25" s="73"/>
      <c r="AF25" s="40">
        <f t="shared" si="18"/>
        <v>0</v>
      </c>
      <c r="AG25" s="71"/>
    </row>
    <row r="26" spans="2:33" x14ac:dyDescent="0.25">
      <c r="K26" s="11"/>
      <c r="N26" s="19">
        <f t="shared" si="1"/>
        <v>49</v>
      </c>
      <c r="O26" s="15">
        <v>21</v>
      </c>
      <c r="P26" s="3">
        <f t="shared" si="2"/>
        <v>0</v>
      </c>
      <c r="Q26" s="3">
        <f t="shared" si="3"/>
        <v>0</v>
      </c>
      <c r="R26" s="3">
        <f t="shared" si="4"/>
        <v>3034937.5209365995</v>
      </c>
      <c r="S26" s="3">
        <f t="shared" si="5"/>
        <v>2124456.2646556199</v>
      </c>
      <c r="T26" s="3">
        <f t="shared" si="6"/>
        <v>0</v>
      </c>
      <c r="U26" s="3">
        <f t="shared" si="7"/>
        <v>761082.25056514959</v>
      </c>
      <c r="V26" s="3">
        <f t="shared" si="8"/>
        <v>4832429.0577464243</v>
      </c>
      <c r="W26" s="3">
        <f t="shared" si="9"/>
        <v>0</v>
      </c>
      <c r="X26" s="3">
        <f t="shared" si="10"/>
        <v>0</v>
      </c>
      <c r="Y26" s="3">
        <f t="shared" si="11"/>
        <v>0</v>
      </c>
      <c r="Z26" s="19">
        <f t="shared" si="14"/>
        <v>10752905.093903793</v>
      </c>
      <c r="AA26" s="27" t="str">
        <f t="shared" si="15"/>
        <v/>
      </c>
      <c r="AB26" s="2">
        <v>10</v>
      </c>
      <c r="AC26" s="71"/>
      <c r="AD26" s="72"/>
      <c r="AE26" s="73"/>
      <c r="AF26" s="40">
        <f t="shared" si="18"/>
        <v>0</v>
      </c>
      <c r="AG26" s="71"/>
    </row>
    <row r="27" spans="2:33" x14ac:dyDescent="0.25">
      <c r="K27" s="11"/>
      <c r="N27" s="19">
        <f t="shared" si="1"/>
        <v>50</v>
      </c>
      <c r="O27" s="15">
        <v>22</v>
      </c>
      <c r="P27" s="3">
        <f t="shared" si="2"/>
        <v>0</v>
      </c>
      <c r="Q27" s="3">
        <f t="shared" si="3"/>
        <v>0</v>
      </c>
      <c r="R27" s="3">
        <f t="shared" si="4"/>
        <v>3436277.9364611069</v>
      </c>
      <c r="S27" s="3">
        <f t="shared" si="5"/>
        <v>2405394.5555227748</v>
      </c>
      <c r="T27" s="3">
        <f t="shared" si="6"/>
        <v>0</v>
      </c>
      <c r="U27" s="3">
        <f t="shared" si="7"/>
        <v>861727.83703372371</v>
      </c>
      <c r="V27" s="3">
        <f t="shared" si="8"/>
        <v>5471469.9186041225</v>
      </c>
      <c r="W27" s="3">
        <f t="shared" si="9"/>
        <v>0</v>
      </c>
      <c r="X27" s="3">
        <f t="shared" si="10"/>
        <v>0</v>
      </c>
      <c r="Y27" s="3">
        <f t="shared" si="11"/>
        <v>0</v>
      </c>
      <c r="Z27" s="19">
        <f t="shared" si="14"/>
        <v>12174870.247621726</v>
      </c>
      <c r="AA27" s="27" t="str">
        <f t="shared" si="15"/>
        <v/>
      </c>
      <c r="AD27" s="17"/>
    </row>
    <row r="28" spans="2:33" x14ac:dyDescent="0.25">
      <c r="B28" s="9" t="s">
        <v>0</v>
      </c>
      <c r="J28" s="12" t="s">
        <v>52</v>
      </c>
      <c r="K28" s="11"/>
      <c r="N28" s="19">
        <f t="shared" si="1"/>
        <v>51</v>
      </c>
      <c r="O28" s="15">
        <v>23</v>
      </c>
      <c r="P28" s="3">
        <f t="shared" si="2"/>
        <v>0</v>
      </c>
      <c r="Q28" s="3">
        <f t="shared" si="3"/>
        <v>0</v>
      </c>
      <c r="R28" s="3">
        <f t="shared" si="4"/>
        <v>3885779.2018485544</v>
      </c>
      <c r="S28" s="3">
        <f t="shared" si="5"/>
        <v>2720045.4412939884</v>
      </c>
      <c r="T28" s="3">
        <f t="shared" si="6"/>
        <v>0</v>
      </c>
      <c r="U28" s="3">
        <f t="shared" si="7"/>
        <v>974450.89387852652</v>
      </c>
      <c r="V28" s="3">
        <f t="shared" si="8"/>
        <v>6187195.6827647435</v>
      </c>
      <c r="W28" s="3">
        <f t="shared" si="9"/>
        <v>0</v>
      </c>
      <c r="X28" s="3">
        <f t="shared" si="10"/>
        <v>0</v>
      </c>
      <c r="Y28" s="3">
        <f t="shared" si="11"/>
        <v>0</v>
      </c>
      <c r="Z28" s="19">
        <f t="shared" si="14"/>
        <v>13767471.219785813</v>
      </c>
      <c r="AA28" s="27" t="str">
        <f t="shared" si="15"/>
        <v/>
      </c>
      <c r="AD28" s="17"/>
    </row>
    <row r="29" spans="2:33" x14ac:dyDescent="0.25">
      <c r="C29" s="9"/>
      <c r="K29" s="11"/>
      <c r="N29" s="19">
        <f t="shared" si="1"/>
        <v>52</v>
      </c>
      <c r="O29" s="15">
        <v>24</v>
      </c>
      <c r="P29" s="3">
        <f t="shared" si="2"/>
        <v>0</v>
      </c>
      <c r="Q29" s="3">
        <f t="shared" si="3"/>
        <v>0</v>
      </c>
      <c r="R29" s="3">
        <f t="shared" si="4"/>
        <v>4389220.6190824984</v>
      </c>
      <c r="S29" s="3">
        <f t="shared" si="5"/>
        <v>3072454.4333577487</v>
      </c>
      <c r="T29" s="3">
        <f t="shared" si="6"/>
        <v>0</v>
      </c>
      <c r="U29" s="3">
        <f t="shared" si="7"/>
        <v>1100700.7175447061</v>
      </c>
      <c r="V29" s="3">
        <f t="shared" si="8"/>
        <v>6988808.5386246424</v>
      </c>
      <c r="W29" s="3">
        <f t="shared" si="9"/>
        <v>0</v>
      </c>
      <c r="X29" s="3">
        <f t="shared" si="10"/>
        <v>0</v>
      </c>
      <c r="Y29" s="3">
        <f t="shared" si="11"/>
        <v>0</v>
      </c>
      <c r="Z29" s="19">
        <f t="shared" si="14"/>
        <v>15551184.308609596</v>
      </c>
      <c r="AA29" s="27" t="str">
        <f t="shared" si="15"/>
        <v/>
      </c>
      <c r="AD29" s="17"/>
    </row>
    <row r="30" spans="2:33" hidden="1" x14ac:dyDescent="0.25">
      <c r="K30" s="11"/>
      <c r="N30" s="19">
        <f t="shared" si="1"/>
        <v>53</v>
      </c>
      <c r="O30" s="15">
        <v>25</v>
      </c>
      <c r="P30" s="3">
        <f t="shared" si="2"/>
        <v>0</v>
      </c>
      <c r="Q30" s="3">
        <f t="shared" si="3"/>
        <v>0</v>
      </c>
      <c r="R30" s="3">
        <f t="shared" si="4"/>
        <v>4953075.0063845143</v>
      </c>
      <c r="S30" s="3">
        <f t="shared" si="5"/>
        <v>3467152.50446916</v>
      </c>
      <c r="T30" s="3">
        <f t="shared" si="6"/>
        <v>0</v>
      </c>
      <c r="U30" s="3">
        <f t="shared" si="7"/>
        <v>1242100.5200508272</v>
      </c>
      <c r="V30" s="3">
        <f t="shared" si="8"/>
        <v>7886614.9371877285</v>
      </c>
      <c r="W30" s="3">
        <f t="shared" si="9"/>
        <v>0</v>
      </c>
      <c r="X30" s="3">
        <f t="shared" si="10"/>
        <v>0</v>
      </c>
      <c r="Y30" s="3">
        <f t="shared" si="11"/>
        <v>0</v>
      </c>
      <c r="Z30" s="19">
        <f t="shared" si="14"/>
        <v>17548942.968092229</v>
      </c>
      <c r="AA30" s="27" t="str">
        <f t="shared" si="15"/>
        <v/>
      </c>
      <c r="AD30" s="17"/>
    </row>
    <row r="31" spans="2:33" hidden="1" x14ac:dyDescent="0.25">
      <c r="K31" s="11"/>
      <c r="N31" s="19">
        <f t="shared" si="1"/>
        <v>54</v>
      </c>
      <c r="O31" s="15">
        <v>26</v>
      </c>
      <c r="P31" s="3">
        <f t="shared" si="2"/>
        <v>0</v>
      </c>
      <c r="Q31" s="3">
        <f t="shared" si="3"/>
        <v>0</v>
      </c>
      <c r="R31" s="3">
        <f t="shared" si="4"/>
        <v>5584591.9201627718</v>
      </c>
      <c r="S31" s="3">
        <f t="shared" si="5"/>
        <v>3909214.3441139408</v>
      </c>
      <c r="T31" s="3">
        <f t="shared" si="6"/>
        <v>0</v>
      </c>
      <c r="U31" s="3">
        <f t="shared" si="7"/>
        <v>1400468.2988576829</v>
      </c>
      <c r="V31" s="3">
        <f t="shared" si="8"/>
        <v>8892158.103578385</v>
      </c>
      <c r="W31" s="3">
        <f t="shared" si="9"/>
        <v>0</v>
      </c>
      <c r="X31" s="3">
        <f t="shared" si="10"/>
        <v>0</v>
      </c>
      <c r="Y31" s="3">
        <f t="shared" si="11"/>
        <v>0</v>
      </c>
      <c r="Z31" s="19">
        <f t="shared" si="14"/>
        <v>19786432.666712783</v>
      </c>
      <c r="AA31" s="27">
        <f t="shared" si="15"/>
        <v>8500000</v>
      </c>
      <c r="AD31" s="17"/>
    </row>
    <row r="32" spans="2:33" hidden="1" x14ac:dyDescent="0.25">
      <c r="K32" s="11"/>
      <c r="N32" s="19">
        <f t="shared" si="1"/>
        <v>55</v>
      </c>
      <c r="O32" s="15">
        <v>27</v>
      </c>
      <c r="P32" s="3">
        <f t="shared" si="2"/>
        <v>0</v>
      </c>
      <c r="Q32" s="3">
        <f t="shared" si="3"/>
        <v>0</v>
      </c>
      <c r="R32" s="3">
        <f t="shared" si="4"/>
        <v>0</v>
      </c>
      <c r="S32" s="3">
        <f t="shared" si="5"/>
        <v>0</v>
      </c>
      <c r="T32" s="3">
        <f t="shared" si="6"/>
        <v>0</v>
      </c>
      <c r="U32" s="3">
        <f t="shared" si="7"/>
        <v>1577840.2111213624</v>
      </c>
      <c r="V32" s="3">
        <f t="shared" si="8"/>
        <v>10018366.449935928</v>
      </c>
      <c r="W32" s="3">
        <f t="shared" si="9"/>
        <v>0</v>
      </c>
      <c r="X32" s="3">
        <f t="shared" si="10"/>
        <v>0</v>
      </c>
      <c r="Y32" s="3">
        <f t="shared" si="11"/>
        <v>0</v>
      </c>
      <c r="Z32" s="19">
        <f t="shared" si="14"/>
        <v>11596206.66105729</v>
      </c>
      <c r="AA32" s="27" t="str">
        <f t="shared" si="15"/>
        <v/>
      </c>
      <c r="AD32" s="17"/>
    </row>
    <row r="33" spans="11:30" hidden="1" x14ac:dyDescent="0.25">
      <c r="K33" s="11"/>
      <c r="N33" s="19">
        <f t="shared" si="1"/>
        <v>56</v>
      </c>
      <c r="O33" s="15">
        <v>28</v>
      </c>
      <c r="P33" s="3">
        <f t="shared" si="2"/>
        <v>0</v>
      </c>
      <c r="Q33" s="3">
        <f t="shared" si="3"/>
        <v>0</v>
      </c>
      <c r="R33" s="3">
        <f t="shared" si="4"/>
        <v>0</v>
      </c>
      <c r="S33" s="3">
        <f t="shared" si="5"/>
        <v>0</v>
      </c>
      <c r="T33" s="3">
        <f t="shared" si="6"/>
        <v>0</v>
      </c>
      <c r="U33" s="3">
        <f t="shared" si="7"/>
        <v>1776496.752856683</v>
      </c>
      <c r="V33" s="3">
        <f t="shared" si="8"/>
        <v>11279719.797856374</v>
      </c>
      <c r="W33" s="3">
        <f t="shared" si="9"/>
        <v>0</v>
      </c>
      <c r="X33" s="3">
        <f t="shared" si="10"/>
        <v>0</v>
      </c>
      <c r="Y33" s="3">
        <f t="shared" si="11"/>
        <v>0</v>
      </c>
      <c r="Z33" s="19">
        <f t="shared" si="14"/>
        <v>13056216.550713057</v>
      </c>
      <c r="AA33" s="27" t="str">
        <f t="shared" si="15"/>
        <v/>
      </c>
      <c r="AD33" s="17"/>
    </row>
    <row r="34" spans="11:30" hidden="1" x14ac:dyDescent="0.25">
      <c r="K34" s="11"/>
      <c r="N34" s="19">
        <f t="shared" si="1"/>
        <v>57</v>
      </c>
      <c r="O34" s="15">
        <v>29</v>
      </c>
      <c r="P34" s="3">
        <f t="shared" si="2"/>
        <v>0</v>
      </c>
      <c r="Q34" s="3">
        <f t="shared" si="3"/>
        <v>0</v>
      </c>
      <c r="R34" s="3">
        <f t="shared" si="4"/>
        <v>0</v>
      </c>
      <c r="S34" s="3">
        <f t="shared" si="5"/>
        <v>0</v>
      </c>
      <c r="T34" s="3">
        <f t="shared" si="6"/>
        <v>0</v>
      </c>
      <c r="U34" s="3">
        <f t="shared" si="7"/>
        <v>1998992.079600242</v>
      </c>
      <c r="V34" s="3">
        <f t="shared" si="8"/>
        <v>12692435.54752727</v>
      </c>
      <c r="W34" s="3">
        <f t="shared" si="9"/>
        <v>0</v>
      </c>
      <c r="X34" s="3">
        <f t="shared" si="10"/>
        <v>0</v>
      </c>
      <c r="Y34" s="3">
        <f t="shared" si="11"/>
        <v>0</v>
      </c>
      <c r="Z34" s="19">
        <f t="shared" si="14"/>
        <v>14691427.627127513</v>
      </c>
      <c r="AA34" s="27" t="str">
        <f t="shared" si="15"/>
        <v/>
      </c>
      <c r="AD34" s="17"/>
    </row>
    <row r="35" spans="11:30" hidden="1" x14ac:dyDescent="0.25">
      <c r="K35" s="11"/>
      <c r="N35" s="19">
        <f t="shared" si="1"/>
        <v>58</v>
      </c>
      <c r="O35" s="15">
        <v>30</v>
      </c>
      <c r="P35" s="3">
        <f t="shared" si="2"/>
        <v>0</v>
      </c>
      <c r="Q35" s="3">
        <f t="shared" si="3"/>
        <v>0</v>
      </c>
      <c r="R35" s="3">
        <f t="shared" si="4"/>
        <v>0</v>
      </c>
      <c r="S35" s="3">
        <f t="shared" si="5"/>
        <v>0</v>
      </c>
      <c r="T35" s="3">
        <f t="shared" si="6"/>
        <v>0</v>
      </c>
      <c r="U35" s="3">
        <f t="shared" si="7"/>
        <v>2248186.8455530289</v>
      </c>
      <c r="V35" s="3">
        <f t="shared" si="8"/>
        <v>14274677.187158683</v>
      </c>
      <c r="W35" s="3">
        <f t="shared" si="9"/>
        <v>0</v>
      </c>
      <c r="X35" s="3">
        <f t="shared" si="10"/>
        <v>0</v>
      </c>
      <c r="Y35" s="3">
        <f t="shared" si="11"/>
        <v>0</v>
      </c>
      <c r="Z35" s="19">
        <f t="shared" si="14"/>
        <v>16522864.032711713</v>
      </c>
      <c r="AA35" s="27">
        <f t="shared" si="15"/>
        <v>2000000</v>
      </c>
      <c r="AD35" s="17"/>
    </row>
    <row r="36" spans="11:30" hidden="1" x14ac:dyDescent="0.25">
      <c r="K36" s="11"/>
      <c r="N36" s="19">
        <f t="shared" si="1"/>
        <v>59</v>
      </c>
      <c r="O36" s="15">
        <v>31</v>
      </c>
      <c r="P36" s="3">
        <f t="shared" si="2"/>
        <v>0</v>
      </c>
      <c r="Q36" s="3">
        <f t="shared" si="3"/>
        <v>0</v>
      </c>
      <c r="R36" s="3">
        <f t="shared" si="4"/>
        <v>0</v>
      </c>
      <c r="S36" s="3">
        <f t="shared" si="5"/>
        <v>0</v>
      </c>
      <c r="T36" s="3">
        <f t="shared" si="6"/>
        <v>0</v>
      </c>
      <c r="U36" s="3">
        <f t="shared" si="7"/>
        <v>0</v>
      </c>
      <c r="V36" s="3">
        <f t="shared" si="8"/>
        <v>16046787.82354586</v>
      </c>
      <c r="W36" s="3">
        <f t="shared" si="9"/>
        <v>0</v>
      </c>
      <c r="X36" s="3">
        <f t="shared" si="10"/>
        <v>0</v>
      </c>
      <c r="Y36" s="3">
        <f t="shared" si="11"/>
        <v>0</v>
      </c>
      <c r="Z36" s="19">
        <f t="shared" si="14"/>
        <v>16046787.82354586</v>
      </c>
      <c r="AA36" s="27" t="str">
        <f t="shared" si="15"/>
        <v/>
      </c>
      <c r="AD36" s="17"/>
    </row>
    <row r="37" spans="11:30" hidden="1" x14ac:dyDescent="0.25">
      <c r="K37" s="11"/>
      <c r="N37" s="19">
        <f t="shared" si="1"/>
        <v>60</v>
      </c>
      <c r="O37" s="15">
        <v>32</v>
      </c>
      <c r="P37" s="3">
        <f t="shared" si="2"/>
        <v>0</v>
      </c>
      <c r="Q37" s="3">
        <f t="shared" si="3"/>
        <v>0</v>
      </c>
      <c r="R37" s="3">
        <f t="shared" si="4"/>
        <v>0</v>
      </c>
      <c r="S37" s="3">
        <f t="shared" si="5"/>
        <v>0</v>
      </c>
      <c r="T37" s="3">
        <f t="shared" si="6"/>
        <v>0</v>
      </c>
      <c r="U37" s="3">
        <f t="shared" si="7"/>
        <v>0</v>
      </c>
      <c r="V37" s="3">
        <f t="shared" si="8"/>
        <v>18031551.736299511</v>
      </c>
      <c r="W37" s="3">
        <f t="shared" si="9"/>
        <v>0</v>
      </c>
      <c r="X37" s="3">
        <f t="shared" si="10"/>
        <v>0</v>
      </c>
      <c r="Y37" s="3">
        <f t="shared" si="11"/>
        <v>0</v>
      </c>
      <c r="Z37" s="19">
        <f t="shared" si="14"/>
        <v>18031551.736299511</v>
      </c>
      <c r="AA37" s="27">
        <f t="shared" si="15"/>
        <v>16000000</v>
      </c>
      <c r="AD37" s="17"/>
    </row>
    <row r="38" spans="11:30" hidden="1" x14ac:dyDescent="0.25">
      <c r="K38" s="11"/>
      <c r="N38" s="19">
        <f t="shared" ref="N38:N55" si="19">Age+O38</f>
        <v>61</v>
      </c>
      <c r="O38" s="15">
        <v>33</v>
      </c>
      <c r="P38" s="3">
        <f t="shared" ref="P38:P55" si="20">IF(O38&lt;=(AtAge1-Age),FV(SRate,O38*12,-SAmt1,0,1),0)</f>
        <v>0</v>
      </c>
      <c r="Q38" s="3">
        <f t="shared" ref="Q38:Q55" si="21">IF($O38&lt;=(AtAge2-Age),FV(SRate,$O38*12,-SAmt2,0,1),0)</f>
        <v>0</v>
      </c>
      <c r="R38" s="3">
        <f t="shared" ref="R38:R55" si="22">IF($O38&lt;=(AtAge3-Age),FV(SRate,$O38*12,-SAmt3,0,1),0)</f>
        <v>0</v>
      </c>
      <c r="S38" s="3">
        <f t="shared" ref="S38:S55" si="23">IF($O38&lt;=(AtAge4-Age),FV(SRate,$O38*12,-SAmt4,0,1),0)</f>
        <v>0</v>
      </c>
      <c r="T38" s="3">
        <f t="shared" ref="T38:T55" si="24">IF($O38&lt;=(AtAge5-Age),FV(SRate,$O38*12,-SAmt5,0,1),0)</f>
        <v>0</v>
      </c>
      <c r="U38" s="3">
        <f t="shared" ref="U38:U55" si="25">IF($O38&lt;=(AtAge6-Age),FV(SRate,$O38*12,-SAmt6,0,1),0)</f>
        <v>0</v>
      </c>
      <c r="V38" s="3">
        <f t="shared" ref="V38:V55" si="26">IF($O38&lt;=(AtAge7-Age),FV(SRate,$O38*12,-SAmt7,0,1),0)</f>
        <v>0</v>
      </c>
      <c r="W38" s="3">
        <f t="shared" ref="W38:W55" si="27">IF($O38&lt;=(AtAge8-Age),FV(SRate,$O38*12,-SAmt8,0,1),0)</f>
        <v>0</v>
      </c>
      <c r="X38" s="3">
        <f t="shared" ref="X38:X55" si="28">IF($O38&lt;=(AtAge9-Age),FV(SRate,$O38*12,-SAmt9,0,1),0)</f>
        <v>0</v>
      </c>
      <c r="Y38" s="3">
        <f t="shared" ref="Y38:Y55" si="29">IF($O38&lt;=(AtAge10-Age),FV(SRate,$O38*12,-SAmt10,0,1),0)</f>
        <v>0</v>
      </c>
      <c r="Z38" s="19">
        <f t="shared" si="14"/>
        <v>0</v>
      </c>
      <c r="AA38" s="27" t="str">
        <f t="shared" si="15"/>
        <v/>
      </c>
      <c r="AD38" s="17"/>
    </row>
    <row r="39" spans="11:30" hidden="1" x14ac:dyDescent="0.25">
      <c r="K39" s="11"/>
      <c r="N39" s="19">
        <f t="shared" si="19"/>
        <v>62</v>
      </c>
      <c r="O39" s="15">
        <v>34</v>
      </c>
      <c r="P39" s="3">
        <f t="shared" si="20"/>
        <v>0</v>
      </c>
      <c r="Q39" s="3">
        <f t="shared" si="21"/>
        <v>0</v>
      </c>
      <c r="R39" s="3">
        <f t="shared" si="22"/>
        <v>0</v>
      </c>
      <c r="S39" s="3">
        <f t="shared" si="23"/>
        <v>0</v>
      </c>
      <c r="T39" s="3">
        <f t="shared" si="24"/>
        <v>0</v>
      </c>
      <c r="U39" s="3">
        <f t="shared" si="25"/>
        <v>0</v>
      </c>
      <c r="V39" s="3">
        <f t="shared" si="26"/>
        <v>0</v>
      </c>
      <c r="W39" s="3">
        <f t="shared" si="27"/>
        <v>0</v>
      </c>
      <c r="X39" s="3">
        <f t="shared" si="28"/>
        <v>0</v>
      </c>
      <c r="Y39" s="3">
        <f t="shared" si="29"/>
        <v>0</v>
      </c>
      <c r="Z39" s="19">
        <f t="shared" si="14"/>
        <v>0</v>
      </c>
      <c r="AA39" s="27" t="str">
        <f t="shared" si="15"/>
        <v/>
      </c>
      <c r="AD39" s="17"/>
    </row>
    <row r="40" spans="11:30" hidden="1" x14ac:dyDescent="0.25">
      <c r="K40" s="11"/>
      <c r="N40" s="19">
        <f t="shared" si="19"/>
        <v>63</v>
      </c>
      <c r="O40" s="15">
        <v>35</v>
      </c>
      <c r="P40" s="3">
        <f t="shared" si="20"/>
        <v>0</v>
      </c>
      <c r="Q40" s="3">
        <f t="shared" si="21"/>
        <v>0</v>
      </c>
      <c r="R40" s="3">
        <f t="shared" si="22"/>
        <v>0</v>
      </c>
      <c r="S40" s="3">
        <f t="shared" si="23"/>
        <v>0</v>
      </c>
      <c r="T40" s="3">
        <f t="shared" si="24"/>
        <v>0</v>
      </c>
      <c r="U40" s="3">
        <f t="shared" si="25"/>
        <v>0</v>
      </c>
      <c r="V40" s="3">
        <f t="shared" si="26"/>
        <v>0</v>
      </c>
      <c r="W40" s="3">
        <f t="shared" si="27"/>
        <v>0</v>
      </c>
      <c r="X40" s="3">
        <f t="shared" si="28"/>
        <v>0</v>
      </c>
      <c r="Y40" s="3">
        <f t="shared" si="29"/>
        <v>0</v>
      </c>
      <c r="Z40" s="19">
        <f t="shared" si="14"/>
        <v>0</v>
      </c>
      <c r="AA40" s="27" t="str">
        <f t="shared" si="15"/>
        <v/>
      </c>
      <c r="AD40" s="17"/>
    </row>
    <row r="41" spans="11:30" hidden="1" x14ac:dyDescent="0.25">
      <c r="K41" s="11"/>
      <c r="N41" s="19">
        <f t="shared" si="19"/>
        <v>64</v>
      </c>
      <c r="O41" s="15">
        <v>36</v>
      </c>
      <c r="P41" s="3">
        <f t="shared" si="20"/>
        <v>0</v>
      </c>
      <c r="Q41" s="3">
        <f t="shared" si="21"/>
        <v>0</v>
      </c>
      <c r="R41" s="3">
        <f t="shared" si="22"/>
        <v>0</v>
      </c>
      <c r="S41" s="3">
        <f t="shared" si="23"/>
        <v>0</v>
      </c>
      <c r="T41" s="3">
        <f t="shared" si="24"/>
        <v>0</v>
      </c>
      <c r="U41" s="3">
        <f t="shared" si="25"/>
        <v>0</v>
      </c>
      <c r="V41" s="3">
        <f t="shared" si="26"/>
        <v>0</v>
      </c>
      <c r="W41" s="3">
        <f t="shared" si="27"/>
        <v>0</v>
      </c>
      <c r="X41" s="3">
        <f t="shared" si="28"/>
        <v>0</v>
      </c>
      <c r="Y41" s="3">
        <f t="shared" si="29"/>
        <v>0</v>
      </c>
      <c r="Z41" s="19">
        <f t="shared" si="14"/>
        <v>0</v>
      </c>
      <c r="AA41" s="27" t="str">
        <f t="shared" si="15"/>
        <v/>
      </c>
      <c r="AD41" s="17"/>
    </row>
    <row r="42" spans="11:30" hidden="1" x14ac:dyDescent="0.25">
      <c r="K42" s="11"/>
      <c r="N42" s="19">
        <f t="shared" si="19"/>
        <v>65</v>
      </c>
      <c r="O42" s="15">
        <v>37</v>
      </c>
      <c r="P42" s="3">
        <f t="shared" si="20"/>
        <v>0</v>
      </c>
      <c r="Q42" s="3">
        <f t="shared" si="21"/>
        <v>0</v>
      </c>
      <c r="R42" s="3">
        <f t="shared" si="22"/>
        <v>0</v>
      </c>
      <c r="S42" s="3">
        <f t="shared" si="23"/>
        <v>0</v>
      </c>
      <c r="T42" s="3">
        <f t="shared" si="24"/>
        <v>0</v>
      </c>
      <c r="U42" s="3">
        <f t="shared" si="25"/>
        <v>0</v>
      </c>
      <c r="V42" s="3">
        <f t="shared" si="26"/>
        <v>0</v>
      </c>
      <c r="W42" s="3">
        <f t="shared" si="27"/>
        <v>0</v>
      </c>
      <c r="X42" s="3">
        <f t="shared" si="28"/>
        <v>0</v>
      </c>
      <c r="Y42" s="3">
        <f t="shared" si="29"/>
        <v>0</v>
      </c>
      <c r="Z42" s="19">
        <f t="shared" si="14"/>
        <v>0</v>
      </c>
      <c r="AA42" s="27" t="str">
        <f t="shared" si="15"/>
        <v/>
      </c>
      <c r="AD42" s="17"/>
    </row>
    <row r="43" spans="11:30" hidden="1" x14ac:dyDescent="0.25">
      <c r="K43" s="11"/>
      <c r="N43" s="19">
        <f t="shared" si="19"/>
        <v>66</v>
      </c>
      <c r="O43" s="15">
        <v>38</v>
      </c>
      <c r="P43" s="3">
        <f t="shared" si="20"/>
        <v>0</v>
      </c>
      <c r="Q43" s="3">
        <f t="shared" si="21"/>
        <v>0</v>
      </c>
      <c r="R43" s="3">
        <f t="shared" si="22"/>
        <v>0</v>
      </c>
      <c r="S43" s="3">
        <f t="shared" si="23"/>
        <v>0</v>
      </c>
      <c r="T43" s="3">
        <f t="shared" si="24"/>
        <v>0</v>
      </c>
      <c r="U43" s="3">
        <f t="shared" si="25"/>
        <v>0</v>
      </c>
      <c r="V43" s="3">
        <f t="shared" si="26"/>
        <v>0</v>
      </c>
      <c r="W43" s="3">
        <f t="shared" si="27"/>
        <v>0</v>
      </c>
      <c r="X43" s="3">
        <f t="shared" si="28"/>
        <v>0</v>
      </c>
      <c r="Y43" s="3">
        <f t="shared" si="29"/>
        <v>0</v>
      </c>
      <c r="Z43" s="19">
        <f t="shared" si="14"/>
        <v>0</v>
      </c>
      <c r="AA43" s="27" t="str">
        <f t="shared" si="15"/>
        <v/>
      </c>
      <c r="AD43" s="17"/>
    </row>
    <row r="44" spans="11:30" hidden="1" x14ac:dyDescent="0.25">
      <c r="K44" s="11"/>
      <c r="N44" s="19">
        <f t="shared" si="19"/>
        <v>67</v>
      </c>
      <c r="O44" s="15">
        <v>39</v>
      </c>
      <c r="P44" s="3">
        <f t="shared" si="20"/>
        <v>0</v>
      </c>
      <c r="Q44" s="3">
        <f t="shared" si="21"/>
        <v>0</v>
      </c>
      <c r="R44" s="3">
        <f t="shared" si="22"/>
        <v>0</v>
      </c>
      <c r="S44" s="3">
        <f t="shared" si="23"/>
        <v>0</v>
      </c>
      <c r="T44" s="3">
        <f t="shared" si="24"/>
        <v>0</v>
      </c>
      <c r="U44" s="3">
        <f t="shared" si="25"/>
        <v>0</v>
      </c>
      <c r="V44" s="3">
        <f t="shared" si="26"/>
        <v>0</v>
      </c>
      <c r="W44" s="3">
        <f t="shared" si="27"/>
        <v>0</v>
      </c>
      <c r="X44" s="3">
        <f t="shared" si="28"/>
        <v>0</v>
      </c>
      <c r="Y44" s="3">
        <f t="shared" si="29"/>
        <v>0</v>
      </c>
      <c r="Z44" s="19">
        <f t="shared" si="14"/>
        <v>0</v>
      </c>
      <c r="AA44" s="27" t="str">
        <f t="shared" si="15"/>
        <v/>
      </c>
      <c r="AD44" s="17"/>
    </row>
    <row r="45" spans="11:30" hidden="1" x14ac:dyDescent="0.25">
      <c r="K45" s="11"/>
      <c r="N45" s="19">
        <f t="shared" si="19"/>
        <v>68</v>
      </c>
      <c r="O45" s="15">
        <v>40</v>
      </c>
      <c r="P45" s="3">
        <f t="shared" si="20"/>
        <v>0</v>
      </c>
      <c r="Q45" s="3">
        <f t="shared" si="21"/>
        <v>0</v>
      </c>
      <c r="R45" s="3">
        <f t="shared" si="22"/>
        <v>0</v>
      </c>
      <c r="S45" s="3">
        <f t="shared" si="23"/>
        <v>0</v>
      </c>
      <c r="T45" s="3">
        <f t="shared" si="24"/>
        <v>0</v>
      </c>
      <c r="U45" s="3">
        <f t="shared" si="25"/>
        <v>0</v>
      </c>
      <c r="V45" s="3">
        <f t="shared" si="26"/>
        <v>0</v>
      </c>
      <c r="W45" s="3">
        <f t="shared" si="27"/>
        <v>0</v>
      </c>
      <c r="X45" s="3">
        <f t="shared" si="28"/>
        <v>0</v>
      </c>
      <c r="Y45" s="3">
        <f t="shared" si="29"/>
        <v>0</v>
      </c>
      <c r="Z45" s="19">
        <f t="shared" si="14"/>
        <v>0</v>
      </c>
      <c r="AA45" s="27" t="str">
        <f t="shared" si="15"/>
        <v/>
      </c>
      <c r="AD45" s="17"/>
    </row>
    <row r="46" spans="11:30" hidden="1" x14ac:dyDescent="0.25">
      <c r="K46" s="11"/>
      <c r="N46" s="19">
        <f t="shared" si="19"/>
        <v>69</v>
      </c>
      <c r="O46" s="15">
        <v>41</v>
      </c>
      <c r="P46" s="3">
        <f t="shared" si="20"/>
        <v>0</v>
      </c>
      <c r="Q46" s="3">
        <f t="shared" si="21"/>
        <v>0</v>
      </c>
      <c r="R46" s="3">
        <f t="shared" si="22"/>
        <v>0</v>
      </c>
      <c r="S46" s="3">
        <f t="shared" si="23"/>
        <v>0</v>
      </c>
      <c r="T46" s="3">
        <f t="shared" si="24"/>
        <v>0</v>
      </c>
      <c r="U46" s="3">
        <f t="shared" si="25"/>
        <v>0</v>
      </c>
      <c r="V46" s="3">
        <f t="shared" si="26"/>
        <v>0</v>
      </c>
      <c r="W46" s="3">
        <f t="shared" si="27"/>
        <v>0</v>
      </c>
      <c r="X46" s="3">
        <f t="shared" si="28"/>
        <v>0</v>
      </c>
      <c r="Y46" s="3">
        <f t="shared" si="29"/>
        <v>0</v>
      </c>
      <c r="Z46" s="19">
        <f t="shared" si="14"/>
        <v>0</v>
      </c>
      <c r="AA46" s="27" t="str">
        <f t="shared" si="15"/>
        <v/>
      </c>
      <c r="AD46" s="17"/>
    </row>
    <row r="47" spans="11:30" hidden="1" x14ac:dyDescent="0.25">
      <c r="K47" s="11"/>
      <c r="N47" s="19">
        <f t="shared" si="19"/>
        <v>70</v>
      </c>
      <c r="O47" s="15">
        <v>42</v>
      </c>
      <c r="P47" s="3">
        <f t="shared" si="20"/>
        <v>0</v>
      </c>
      <c r="Q47" s="3">
        <f t="shared" si="21"/>
        <v>0</v>
      </c>
      <c r="R47" s="3">
        <f t="shared" si="22"/>
        <v>0</v>
      </c>
      <c r="S47" s="3">
        <f t="shared" si="23"/>
        <v>0</v>
      </c>
      <c r="T47" s="3">
        <f t="shared" si="24"/>
        <v>0</v>
      </c>
      <c r="U47" s="3">
        <f t="shared" si="25"/>
        <v>0</v>
      </c>
      <c r="V47" s="3">
        <f t="shared" si="26"/>
        <v>0</v>
      </c>
      <c r="W47" s="3">
        <f t="shared" si="27"/>
        <v>0</v>
      </c>
      <c r="X47" s="3">
        <f t="shared" si="28"/>
        <v>0</v>
      </c>
      <c r="Y47" s="3">
        <f t="shared" si="29"/>
        <v>0</v>
      </c>
      <c r="Z47" s="19">
        <f t="shared" si="14"/>
        <v>0</v>
      </c>
      <c r="AA47" s="27" t="str">
        <f t="shared" si="15"/>
        <v/>
      </c>
      <c r="AD47" s="17"/>
    </row>
    <row r="48" spans="11:30" hidden="1" x14ac:dyDescent="0.25">
      <c r="K48" s="11"/>
      <c r="N48" s="19">
        <f t="shared" si="19"/>
        <v>71</v>
      </c>
      <c r="O48" s="15">
        <v>43</v>
      </c>
      <c r="P48" s="3">
        <f t="shared" si="20"/>
        <v>0</v>
      </c>
      <c r="Q48" s="3">
        <f t="shared" si="21"/>
        <v>0</v>
      </c>
      <c r="R48" s="3">
        <f t="shared" si="22"/>
        <v>0</v>
      </c>
      <c r="S48" s="3">
        <f t="shared" si="23"/>
        <v>0</v>
      </c>
      <c r="T48" s="3">
        <f t="shared" si="24"/>
        <v>0</v>
      </c>
      <c r="U48" s="3">
        <f t="shared" si="25"/>
        <v>0</v>
      </c>
      <c r="V48" s="3">
        <f t="shared" si="26"/>
        <v>0</v>
      </c>
      <c r="W48" s="3">
        <f t="shared" si="27"/>
        <v>0</v>
      </c>
      <c r="X48" s="3">
        <f t="shared" si="28"/>
        <v>0</v>
      </c>
      <c r="Y48" s="3">
        <f t="shared" si="29"/>
        <v>0</v>
      </c>
      <c r="Z48" s="19">
        <f t="shared" si="14"/>
        <v>0</v>
      </c>
      <c r="AA48" s="27" t="str">
        <f t="shared" si="15"/>
        <v/>
      </c>
      <c r="AD48" s="17"/>
    </row>
    <row r="49" spans="11:30" hidden="1" x14ac:dyDescent="0.25">
      <c r="K49" s="11"/>
      <c r="N49" s="19">
        <f t="shared" si="19"/>
        <v>72</v>
      </c>
      <c r="O49" s="15">
        <v>44</v>
      </c>
      <c r="P49" s="3">
        <f t="shared" si="20"/>
        <v>0</v>
      </c>
      <c r="Q49" s="3">
        <f t="shared" si="21"/>
        <v>0</v>
      </c>
      <c r="R49" s="3">
        <f t="shared" si="22"/>
        <v>0</v>
      </c>
      <c r="S49" s="3">
        <f t="shared" si="23"/>
        <v>0</v>
      </c>
      <c r="T49" s="3">
        <f t="shared" si="24"/>
        <v>0</v>
      </c>
      <c r="U49" s="3">
        <f t="shared" si="25"/>
        <v>0</v>
      </c>
      <c r="V49" s="3">
        <f t="shared" si="26"/>
        <v>0</v>
      </c>
      <c r="W49" s="3">
        <f t="shared" si="27"/>
        <v>0</v>
      </c>
      <c r="X49" s="3">
        <f t="shared" si="28"/>
        <v>0</v>
      </c>
      <c r="Y49" s="3">
        <f t="shared" si="29"/>
        <v>0</v>
      </c>
      <c r="Z49" s="19">
        <f t="shared" si="14"/>
        <v>0</v>
      </c>
      <c r="AA49" s="27" t="str">
        <f t="shared" si="15"/>
        <v/>
      </c>
      <c r="AD49" s="17"/>
    </row>
    <row r="50" spans="11:30" hidden="1" x14ac:dyDescent="0.25">
      <c r="K50" s="11"/>
      <c r="N50" s="19">
        <f t="shared" si="19"/>
        <v>73</v>
      </c>
      <c r="O50" s="15">
        <v>45</v>
      </c>
      <c r="P50" s="3">
        <f t="shared" si="20"/>
        <v>0</v>
      </c>
      <c r="Q50" s="3">
        <f t="shared" si="21"/>
        <v>0</v>
      </c>
      <c r="R50" s="3">
        <f t="shared" si="22"/>
        <v>0</v>
      </c>
      <c r="S50" s="3">
        <f t="shared" si="23"/>
        <v>0</v>
      </c>
      <c r="T50" s="3">
        <f t="shared" si="24"/>
        <v>0</v>
      </c>
      <c r="U50" s="3">
        <f t="shared" si="25"/>
        <v>0</v>
      </c>
      <c r="V50" s="3">
        <f t="shared" si="26"/>
        <v>0</v>
      </c>
      <c r="W50" s="3">
        <f t="shared" si="27"/>
        <v>0</v>
      </c>
      <c r="X50" s="3">
        <f t="shared" si="28"/>
        <v>0</v>
      </c>
      <c r="Y50" s="3">
        <f t="shared" si="29"/>
        <v>0</v>
      </c>
      <c r="Z50" s="19">
        <f t="shared" si="14"/>
        <v>0</v>
      </c>
      <c r="AA50" s="27" t="str">
        <f t="shared" si="15"/>
        <v/>
      </c>
      <c r="AD50" s="17"/>
    </row>
    <row r="51" spans="11:30" hidden="1" x14ac:dyDescent="0.25">
      <c r="K51" s="11"/>
      <c r="N51" s="19">
        <f t="shared" si="19"/>
        <v>74</v>
      </c>
      <c r="O51" s="15">
        <v>46</v>
      </c>
      <c r="P51" s="3">
        <f t="shared" si="20"/>
        <v>0</v>
      </c>
      <c r="Q51" s="3">
        <f t="shared" si="21"/>
        <v>0</v>
      </c>
      <c r="R51" s="3">
        <f t="shared" si="22"/>
        <v>0</v>
      </c>
      <c r="S51" s="3">
        <f t="shared" si="23"/>
        <v>0</v>
      </c>
      <c r="T51" s="3">
        <f t="shared" si="24"/>
        <v>0</v>
      </c>
      <c r="U51" s="3">
        <f t="shared" si="25"/>
        <v>0</v>
      </c>
      <c r="V51" s="3">
        <f t="shared" si="26"/>
        <v>0</v>
      </c>
      <c r="W51" s="3">
        <f t="shared" si="27"/>
        <v>0</v>
      </c>
      <c r="X51" s="3">
        <f t="shared" si="28"/>
        <v>0</v>
      </c>
      <c r="Y51" s="3">
        <f t="shared" si="29"/>
        <v>0</v>
      </c>
      <c r="Z51" s="19">
        <f t="shared" si="14"/>
        <v>0</v>
      </c>
      <c r="AA51" s="27" t="str">
        <f t="shared" si="15"/>
        <v/>
      </c>
      <c r="AD51" s="17"/>
    </row>
    <row r="52" spans="11:30" hidden="1" x14ac:dyDescent="0.25">
      <c r="K52" s="11"/>
      <c r="N52" s="19">
        <f t="shared" si="19"/>
        <v>75</v>
      </c>
      <c r="O52" s="15">
        <v>47</v>
      </c>
      <c r="P52" s="3">
        <f t="shared" si="20"/>
        <v>0</v>
      </c>
      <c r="Q52" s="3">
        <f t="shared" si="21"/>
        <v>0</v>
      </c>
      <c r="R52" s="3">
        <f t="shared" si="22"/>
        <v>0</v>
      </c>
      <c r="S52" s="3">
        <f t="shared" si="23"/>
        <v>0</v>
      </c>
      <c r="T52" s="3">
        <f t="shared" si="24"/>
        <v>0</v>
      </c>
      <c r="U52" s="3">
        <f t="shared" si="25"/>
        <v>0</v>
      </c>
      <c r="V52" s="3">
        <f t="shared" si="26"/>
        <v>0</v>
      </c>
      <c r="W52" s="3">
        <f t="shared" si="27"/>
        <v>0</v>
      </c>
      <c r="X52" s="3">
        <f t="shared" si="28"/>
        <v>0</v>
      </c>
      <c r="Y52" s="3">
        <f t="shared" si="29"/>
        <v>0</v>
      </c>
      <c r="Z52" s="19">
        <f t="shared" si="14"/>
        <v>0</v>
      </c>
      <c r="AA52" s="27" t="str">
        <f t="shared" si="15"/>
        <v/>
      </c>
      <c r="AD52" s="17"/>
    </row>
    <row r="53" spans="11:30" hidden="1" x14ac:dyDescent="0.25">
      <c r="K53" s="11"/>
      <c r="N53" s="19">
        <f t="shared" si="19"/>
        <v>76</v>
      </c>
      <c r="O53" s="15">
        <v>48</v>
      </c>
      <c r="P53" s="3">
        <f t="shared" si="20"/>
        <v>0</v>
      </c>
      <c r="Q53" s="3">
        <f t="shared" si="21"/>
        <v>0</v>
      </c>
      <c r="R53" s="3">
        <f t="shared" si="22"/>
        <v>0</v>
      </c>
      <c r="S53" s="3">
        <f t="shared" si="23"/>
        <v>0</v>
      </c>
      <c r="T53" s="3">
        <f t="shared" si="24"/>
        <v>0</v>
      </c>
      <c r="U53" s="3">
        <f t="shared" si="25"/>
        <v>0</v>
      </c>
      <c r="V53" s="3">
        <f t="shared" si="26"/>
        <v>0</v>
      </c>
      <c r="W53" s="3">
        <f t="shared" si="27"/>
        <v>0</v>
      </c>
      <c r="X53" s="3">
        <f t="shared" si="28"/>
        <v>0</v>
      </c>
      <c r="Y53" s="3">
        <f t="shared" si="29"/>
        <v>0</v>
      </c>
      <c r="Z53" s="19">
        <f t="shared" si="14"/>
        <v>0</v>
      </c>
      <c r="AA53" s="27" t="str">
        <f t="shared" si="15"/>
        <v/>
      </c>
      <c r="AD53" s="17"/>
    </row>
    <row r="54" spans="11:30" hidden="1" x14ac:dyDescent="0.25">
      <c r="K54" s="11"/>
      <c r="N54" s="19">
        <f t="shared" si="19"/>
        <v>77</v>
      </c>
      <c r="O54" s="15">
        <v>49</v>
      </c>
      <c r="P54" s="3">
        <f t="shared" si="20"/>
        <v>0</v>
      </c>
      <c r="Q54" s="3">
        <f t="shared" si="21"/>
        <v>0</v>
      </c>
      <c r="R54" s="3">
        <f t="shared" si="22"/>
        <v>0</v>
      </c>
      <c r="S54" s="3">
        <f t="shared" si="23"/>
        <v>0</v>
      </c>
      <c r="T54" s="3">
        <f t="shared" si="24"/>
        <v>0</v>
      </c>
      <c r="U54" s="3">
        <f t="shared" si="25"/>
        <v>0</v>
      </c>
      <c r="V54" s="3">
        <f t="shared" si="26"/>
        <v>0</v>
      </c>
      <c r="W54" s="3">
        <f t="shared" si="27"/>
        <v>0</v>
      </c>
      <c r="X54" s="3">
        <f t="shared" si="28"/>
        <v>0</v>
      </c>
      <c r="Y54" s="3">
        <f t="shared" si="29"/>
        <v>0</v>
      </c>
      <c r="Z54" s="19">
        <f t="shared" si="14"/>
        <v>0</v>
      </c>
      <c r="AA54" s="27" t="str">
        <f t="shared" si="15"/>
        <v/>
      </c>
      <c r="AD54" s="17"/>
    </row>
    <row r="55" spans="11:30" hidden="1" x14ac:dyDescent="0.25">
      <c r="K55" s="11"/>
      <c r="N55" s="19">
        <f t="shared" si="19"/>
        <v>78</v>
      </c>
      <c r="O55" s="15">
        <v>50</v>
      </c>
      <c r="P55" s="3">
        <f t="shared" si="20"/>
        <v>0</v>
      </c>
      <c r="Q55" s="3">
        <f t="shared" si="21"/>
        <v>0</v>
      </c>
      <c r="R55" s="3">
        <f t="shared" si="22"/>
        <v>0</v>
      </c>
      <c r="S55" s="3">
        <f t="shared" si="23"/>
        <v>0</v>
      </c>
      <c r="T55" s="3">
        <f t="shared" si="24"/>
        <v>0</v>
      </c>
      <c r="U55" s="3">
        <f t="shared" si="25"/>
        <v>0</v>
      </c>
      <c r="V55" s="3">
        <f t="shared" si="26"/>
        <v>0</v>
      </c>
      <c r="W55" s="3">
        <f t="shared" si="27"/>
        <v>0</v>
      </c>
      <c r="X55" s="3">
        <f t="shared" si="28"/>
        <v>0</v>
      </c>
      <c r="Y55" s="3">
        <f t="shared" si="29"/>
        <v>0</v>
      </c>
      <c r="Z55" s="19">
        <f t="shared" si="14"/>
        <v>0</v>
      </c>
      <c r="AA55" s="27" t="str">
        <f t="shared" si="15"/>
        <v/>
      </c>
      <c r="AD55" s="17"/>
    </row>
    <row r="56" spans="11:30" hidden="1" x14ac:dyDescent="0.25">
      <c r="K56" s="11"/>
      <c r="N56" s="4"/>
      <c r="Q56" s="17"/>
      <c r="R56" s="3"/>
      <c r="S56" s="11"/>
      <c r="U56" s="3"/>
      <c r="V56" s="3"/>
      <c r="W56" s="3"/>
      <c r="X56" s="3"/>
      <c r="Y56" s="3"/>
      <c r="Z56" s="19"/>
      <c r="AB56" s="17"/>
      <c r="AD56" s="17"/>
    </row>
    <row r="57" spans="11:30" hidden="1" x14ac:dyDescent="0.25">
      <c r="K57" s="11"/>
      <c r="Q57" s="17"/>
      <c r="R57" s="3"/>
      <c r="S57" s="11"/>
      <c r="U57" s="3"/>
      <c r="V57" s="3"/>
      <c r="W57" s="3"/>
      <c r="X57" s="3"/>
      <c r="Y57" s="3"/>
      <c r="Z57" s="19"/>
      <c r="AB57" s="17"/>
      <c r="AD57" s="17"/>
    </row>
    <row r="58" spans="11:30" hidden="1" x14ac:dyDescent="0.25">
      <c r="K58" s="11"/>
      <c r="N58" s="3" t="s">
        <v>42</v>
      </c>
      <c r="P58" s="3">
        <f>MAX(P6:P55)</f>
        <v>2067238.3698598011</v>
      </c>
      <c r="Q58" s="3">
        <f>MAX(Q6:Q55)</f>
        <v>2151706.940350994</v>
      </c>
      <c r="R58" s="3">
        <f>MAX(R6:R55)</f>
        <v>5584591.9201627718</v>
      </c>
      <c r="S58" s="3">
        <f t="shared" ref="S58:Y58" si="30">MAX(S6:S55)</f>
        <v>3909214.3441139408</v>
      </c>
      <c r="T58" s="3">
        <f t="shared" si="30"/>
        <v>2151706.940350994</v>
      </c>
      <c r="U58" s="3">
        <f t="shared" si="30"/>
        <v>2248186.8455530289</v>
      </c>
      <c r="V58" s="3">
        <f t="shared" si="30"/>
        <v>18031551.736299511</v>
      </c>
      <c r="W58" s="3">
        <f t="shared" si="30"/>
        <v>0</v>
      </c>
      <c r="X58" s="3">
        <f t="shared" si="30"/>
        <v>0</v>
      </c>
      <c r="Y58" s="3">
        <f t="shared" si="30"/>
        <v>0</v>
      </c>
      <c r="Z58" s="19"/>
      <c r="AB58" s="17"/>
      <c r="AD58" s="17"/>
    </row>
    <row r="59" spans="11:30" hidden="1" x14ac:dyDescent="0.25">
      <c r="K59" s="11"/>
      <c r="N59" s="49" t="s">
        <v>41</v>
      </c>
      <c r="P59" s="40">
        <f t="shared" ref="P59:U59" si="31">(P58-P4)*(TaxRate)</f>
        <v>67238.369859800849</v>
      </c>
      <c r="Q59" s="40">
        <f t="shared" si="31"/>
        <v>151706.94035099389</v>
      </c>
      <c r="R59" s="40">
        <f t="shared" si="31"/>
        <v>584591.92016277276</v>
      </c>
      <c r="S59" s="40">
        <f t="shared" si="31"/>
        <v>409214.34411394096</v>
      </c>
      <c r="T59" s="40">
        <f t="shared" si="31"/>
        <v>151706.94035099389</v>
      </c>
      <c r="U59" s="40">
        <f t="shared" si="31"/>
        <v>248186.8455530288</v>
      </c>
      <c r="V59" s="40">
        <f>(GAmt7-V4)*(TaxRate)</f>
        <v>1777607.7692620738</v>
      </c>
      <c r="W59" s="40">
        <f>(GAmt8-W4)*(TaxRate)</f>
        <v>0</v>
      </c>
      <c r="X59" s="40">
        <f>(GAmt9-X4)*(TaxRate)</f>
        <v>0</v>
      </c>
      <c r="Y59" s="40">
        <f>(GAmt10-Y4)*(TaxRate)</f>
        <v>0</v>
      </c>
      <c r="Z59" s="21">
        <f>SUM(P59:Y59)</f>
        <v>3390253.1296536047</v>
      </c>
      <c r="AB59" s="17"/>
      <c r="AD59" s="17"/>
    </row>
    <row r="60" spans="11:30" hidden="1" x14ac:dyDescent="0.25">
      <c r="K60" s="11"/>
      <c r="N60" s="2"/>
      <c r="O60" s="2"/>
      <c r="Z60" s="19"/>
      <c r="AB60" s="17"/>
      <c r="AD60" s="17"/>
    </row>
    <row r="61" spans="11:30" hidden="1" x14ac:dyDescent="0.25">
      <c r="K61" s="11"/>
      <c r="N61" s="4"/>
      <c r="Q61" s="17"/>
      <c r="R61" s="3"/>
      <c r="S61" s="11"/>
      <c r="U61" s="3"/>
      <c r="V61" s="3"/>
      <c r="W61" s="3"/>
      <c r="X61" s="3"/>
      <c r="Y61" s="3"/>
      <c r="Z61" s="19"/>
      <c r="AB61" s="17"/>
      <c r="AD61" s="17"/>
    </row>
    <row r="62" spans="11:30" hidden="1" x14ac:dyDescent="0.25">
      <c r="K62" s="11"/>
      <c r="N62" s="4"/>
      <c r="Q62" s="17"/>
      <c r="R62" s="17"/>
      <c r="S62" s="17"/>
      <c r="T62" s="17"/>
      <c r="U62" s="17"/>
      <c r="V62" s="17"/>
      <c r="W62" s="3"/>
      <c r="X62" s="3"/>
      <c r="Y62" s="3"/>
      <c r="Z62" s="19"/>
      <c r="AB62" s="17"/>
      <c r="AD62" s="17"/>
    </row>
    <row r="63" spans="11:30" hidden="1" x14ac:dyDescent="0.25">
      <c r="K63" s="11"/>
      <c r="N63" s="4"/>
      <c r="Z63" s="19"/>
      <c r="AB63" s="17"/>
      <c r="AD63" s="17"/>
    </row>
    <row r="64" spans="11:30" hidden="1" x14ac:dyDescent="0.25">
      <c r="K64" s="11"/>
      <c r="N64" s="4"/>
      <c r="Q64" s="17"/>
      <c r="R64" s="3"/>
      <c r="S64" s="11"/>
      <c r="U64" s="3"/>
      <c r="V64" s="3"/>
      <c r="W64" s="3"/>
      <c r="X64" s="3"/>
      <c r="Y64" s="3"/>
      <c r="Z64" s="19"/>
      <c r="AB64" s="17"/>
      <c r="AD64" s="17"/>
    </row>
    <row r="65" spans="11:30" hidden="1" x14ac:dyDescent="0.25">
      <c r="K65" s="11"/>
      <c r="N65" s="4"/>
      <c r="Q65" s="17"/>
      <c r="R65" s="3"/>
      <c r="S65" s="11"/>
      <c r="U65" s="3"/>
      <c r="V65" s="3"/>
      <c r="W65" s="3"/>
      <c r="X65" s="3"/>
      <c r="Y65" s="3"/>
      <c r="Z65" s="19"/>
      <c r="AB65" s="17"/>
      <c r="AD65" s="17"/>
    </row>
    <row r="66" spans="11:30" hidden="1" x14ac:dyDescent="0.25">
      <c r="K66" s="11"/>
      <c r="N66" s="4"/>
      <c r="Q66" s="17"/>
      <c r="R66" s="3"/>
      <c r="S66" s="11"/>
      <c r="U66" s="3"/>
      <c r="V66" s="3"/>
      <c r="W66" s="3"/>
      <c r="X66" s="3"/>
      <c r="Y66" s="3"/>
      <c r="Z66" s="19"/>
      <c r="AB66" s="17"/>
      <c r="AD66" s="17"/>
    </row>
    <row r="67" spans="11:30" hidden="1" x14ac:dyDescent="0.25">
      <c r="K67" s="11"/>
      <c r="N67" s="4"/>
      <c r="Q67" s="17"/>
      <c r="R67" s="3"/>
      <c r="S67" s="11"/>
      <c r="U67" s="3"/>
      <c r="V67" s="3"/>
      <c r="W67" s="3"/>
      <c r="X67" s="3"/>
      <c r="Y67" s="3"/>
      <c r="Z67" s="19"/>
      <c r="AB67" s="17"/>
      <c r="AD67" s="17"/>
    </row>
    <row r="68" spans="11:30" hidden="1" x14ac:dyDescent="0.25">
      <c r="K68" s="11"/>
      <c r="N68" s="4"/>
      <c r="Q68" s="17"/>
      <c r="R68" s="3"/>
      <c r="S68" s="11"/>
      <c r="U68" s="3"/>
      <c r="V68" s="3"/>
      <c r="W68" s="3"/>
      <c r="X68" s="3"/>
      <c r="Y68" s="3"/>
      <c r="Z68" s="19"/>
      <c r="AB68" s="17"/>
      <c r="AD68" s="17"/>
    </row>
    <row r="69" spans="11:30" hidden="1" x14ac:dyDescent="0.25">
      <c r="K69" s="11"/>
      <c r="N69" s="4"/>
      <c r="Q69" s="17"/>
      <c r="R69" s="3"/>
      <c r="S69" s="11"/>
      <c r="U69" s="3"/>
      <c r="V69" s="3"/>
      <c r="W69" s="3"/>
      <c r="X69" s="3"/>
      <c r="Y69" s="3"/>
      <c r="Z69" s="19"/>
      <c r="AB69" s="17"/>
      <c r="AD69" s="17"/>
    </row>
    <row r="70" spans="11:30" hidden="1" x14ac:dyDescent="0.25">
      <c r="K70" s="11"/>
      <c r="N70" s="4"/>
      <c r="Q70" s="17"/>
      <c r="R70" s="3"/>
      <c r="S70" s="11"/>
      <c r="U70" s="3"/>
      <c r="V70" s="3"/>
      <c r="W70" s="3"/>
      <c r="X70" s="3"/>
      <c r="Y70" s="3"/>
      <c r="Z70" s="19"/>
      <c r="AB70" s="17"/>
      <c r="AD70" s="17"/>
    </row>
    <row r="71" spans="11:30" hidden="1" x14ac:dyDescent="0.25">
      <c r="K71" s="11"/>
      <c r="N71" s="4"/>
      <c r="Q71" s="17"/>
      <c r="R71" s="3"/>
      <c r="S71" s="11"/>
      <c r="U71" s="3"/>
      <c r="V71" s="3"/>
      <c r="W71" s="3"/>
      <c r="X71" s="3"/>
      <c r="Y71" s="3"/>
      <c r="Z71" s="19"/>
      <c r="AB71" s="17"/>
      <c r="AD71" s="17"/>
    </row>
    <row r="72" spans="11:30" hidden="1" x14ac:dyDescent="0.25">
      <c r="K72" s="11"/>
      <c r="N72" s="4"/>
      <c r="Q72" s="17"/>
      <c r="R72" s="3"/>
      <c r="S72" s="11"/>
      <c r="U72" s="3"/>
      <c r="V72" s="3"/>
      <c r="W72" s="3"/>
      <c r="X72" s="3"/>
      <c r="Y72" s="3"/>
      <c r="Z72" s="19"/>
      <c r="AB72" s="17"/>
      <c r="AD72" s="17"/>
    </row>
    <row r="73" spans="11:30" hidden="1" x14ac:dyDescent="0.25">
      <c r="K73" s="11"/>
      <c r="N73" s="4"/>
      <c r="Q73" s="17"/>
      <c r="R73" s="3"/>
      <c r="S73" s="11"/>
      <c r="U73" s="3"/>
      <c r="V73" s="3"/>
      <c r="W73" s="3"/>
      <c r="X73" s="3"/>
      <c r="Y73" s="3"/>
      <c r="Z73" s="19"/>
      <c r="AB73" s="17"/>
      <c r="AD73" s="17"/>
    </row>
    <row r="74" spans="11:30" hidden="1" x14ac:dyDescent="0.25">
      <c r="K74" s="11"/>
      <c r="N74" s="4"/>
      <c r="Q74" s="17"/>
      <c r="R74" s="3"/>
      <c r="S74" s="11"/>
      <c r="U74" s="3"/>
      <c r="V74" s="3"/>
      <c r="W74" s="3"/>
      <c r="X74" s="3"/>
      <c r="Y74" s="3"/>
      <c r="Z74" s="19"/>
      <c r="AB74" s="17"/>
      <c r="AD74" s="17"/>
    </row>
    <row r="75" spans="11:30" hidden="1" x14ac:dyDescent="0.25">
      <c r="K75" s="11"/>
      <c r="N75" s="4"/>
      <c r="Q75" s="17"/>
      <c r="R75" s="3"/>
      <c r="S75" s="11"/>
      <c r="U75" s="3"/>
      <c r="V75" s="3"/>
      <c r="W75" s="3"/>
      <c r="X75" s="3"/>
      <c r="Y75" s="3"/>
      <c r="Z75" s="19"/>
      <c r="AB75" s="17"/>
      <c r="AD75" s="17"/>
    </row>
    <row r="76" spans="11:30" hidden="1" x14ac:dyDescent="0.25">
      <c r="K76" s="11"/>
      <c r="N76" s="4"/>
      <c r="Q76" s="17"/>
      <c r="R76" s="3"/>
      <c r="S76" s="11"/>
      <c r="U76" s="3"/>
      <c r="V76" s="3"/>
      <c r="W76" s="3"/>
      <c r="X76" s="3"/>
      <c r="Y76" s="3"/>
      <c r="Z76" s="19"/>
      <c r="AB76" s="17"/>
      <c r="AD76" s="17"/>
    </row>
    <row r="77" spans="11:30" hidden="1" x14ac:dyDescent="0.25">
      <c r="K77" s="11"/>
      <c r="N77" s="4"/>
      <c r="Q77" s="17"/>
      <c r="R77" s="3"/>
      <c r="S77" s="11"/>
      <c r="U77" s="3"/>
      <c r="V77" s="3"/>
      <c r="W77" s="3"/>
      <c r="X77" s="3"/>
      <c r="Y77" s="3"/>
      <c r="Z77" s="19"/>
      <c r="AB77" s="17"/>
      <c r="AD77" s="17"/>
    </row>
    <row r="78" spans="11:30" hidden="1" x14ac:dyDescent="0.25">
      <c r="K78" s="11"/>
      <c r="N78" s="4"/>
      <c r="Q78" s="17"/>
      <c r="R78" s="3"/>
      <c r="S78" s="11"/>
      <c r="U78" s="3"/>
      <c r="V78" s="3"/>
      <c r="W78" s="3"/>
      <c r="X78" s="3"/>
      <c r="Y78" s="3"/>
      <c r="Z78" s="19"/>
      <c r="AB78" s="17"/>
      <c r="AD78" s="17"/>
    </row>
    <row r="79" spans="11:30" hidden="1" x14ac:dyDescent="0.25">
      <c r="K79" s="11"/>
      <c r="N79" s="4"/>
      <c r="Q79" s="17"/>
      <c r="R79" s="3"/>
      <c r="S79" s="11"/>
      <c r="U79" s="3"/>
      <c r="V79" s="3"/>
      <c r="W79" s="3"/>
      <c r="X79" s="3"/>
      <c r="Y79" s="3"/>
      <c r="Z79" s="19"/>
      <c r="AB79" s="17"/>
      <c r="AD79" s="17"/>
    </row>
    <row r="80" spans="11:30" hidden="1" x14ac:dyDescent="0.25">
      <c r="K80" s="11"/>
      <c r="N80" s="4"/>
      <c r="Q80" s="17"/>
      <c r="R80" s="3"/>
      <c r="S80" s="11"/>
      <c r="U80" s="3"/>
      <c r="V80" s="3"/>
      <c r="W80" s="3"/>
      <c r="X80" s="3"/>
      <c r="Y80" s="3"/>
      <c r="Z80" s="19"/>
      <c r="AB80" s="17"/>
      <c r="AD80" s="17"/>
    </row>
    <row r="81" spans="11:30" hidden="1" x14ac:dyDescent="0.25">
      <c r="K81" s="11"/>
      <c r="N81" s="4"/>
      <c r="Q81" s="17"/>
      <c r="R81" s="3"/>
      <c r="S81" s="11"/>
      <c r="U81" s="3"/>
      <c r="V81" s="3"/>
      <c r="W81" s="3"/>
      <c r="X81" s="3"/>
      <c r="Y81" s="3"/>
      <c r="Z81" s="19"/>
      <c r="AB81" s="17"/>
      <c r="AD81" s="17"/>
    </row>
    <row r="82" spans="11:30" hidden="1" x14ac:dyDescent="0.25">
      <c r="K82" s="11"/>
      <c r="N82" s="4"/>
      <c r="Q82" s="17"/>
      <c r="R82" s="3"/>
      <c r="S82" s="11"/>
      <c r="U82" s="3"/>
      <c r="V82" s="3"/>
      <c r="W82" s="3"/>
      <c r="X82" s="3"/>
      <c r="Y82" s="3"/>
      <c r="Z82" s="19"/>
      <c r="AB82" s="17"/>
      <c r="AD82" s="17"/>
    </row>
    <row r="83" spans="11:30" hidden="1" x14ac:dyDescent="0.25">
      <c r="K83" s="11"/>
      <c r="N83" s="4"/>
      <c r="Q83" s="17"/>
      <c r="R83" s="3"/>
      <c r="S83" s="11"/>
      <c r="U83" s="3"/>
      <c r="V83" s="3"/>
      <c r="W83" s="3"/>
      <c r="X83" s="3"/>
      <c r="Y83" s="3"/>
      <c r="Z83" s="19"/>
      <c r="AB83" s="17"/>
      <c r="AD83" s="17"/>
    </row>
    <row r="84" spans="11:30" hidden="1" x14ac:dyDescent="0.25">
      <c r="K84" s="11"/>
      <c r="N84" s="4"/>
      <c r="Q84" s="17"/>
      <c r="R84" s="3"/>
      <c r="S84" s="11"/>
      <c r="U84" s="3"/>
      <c r="V84" s="3"/>
      <c r="W84" s="3"/>
      <c r="X84" s="3"/>
      <c r="Y84" s="3"/>
      <c r="Z84" s="19"/>
      <c r="AB84" s="17"/>
      <c r="AD84" s="17"/>
    </row>
    <row r="85" spans="11:30" hidden="1" x14ac:dyDescent="0.25">
      <c r="K85" s="11"/>
      <c r="N85" s="4"/>
      <c r="Q85" s="17"/>
      <c r="R85" s="3"/>
      <c r="S85" s="11"/>
      <c r="U85" s="3"/>
      <c r="V85" s="3"/>
      <c r="W85" s="3"/>
      <c r="X85" s="3"/>
      <c r="Y85" s="3"/>
      <c r="Z85" s="19"/>
      <c r="AB85" s="17"/>
      <c r="AD85" s="17"/>
    </row>
    <row r="86" spans="11:30" hidden="1" x14ac:dyDescent="0.25">
      <c r="K86" s="11"/>
      <c r="N86" s="4"/>
      <c r="Q86" s="17"/>
      <c r="R86" s="3"/>
      <c r="S86" s="11"/>
      <c r="U86" s="3"/>
      <c r="V86" s="3"/>
      <c r="W86" s="3"/>
      <c r="X86" s="3"/>
      <c r="Y86" s="3"/>
      <c r="Z86" s="19"/>
      <c r="AB86" s="17"/>
      <c r="AD86" s="17"/>
    </row>
    <row r="87" spans="11:30" hidden="1" x14ac:dyDescent="0.25">
      <c r="K87" s="11"/>
      <c r="N87" s="4"/>
      <c r="Q87" s="17"/>
      <c r="R87" s="3"/>
      <c r="S87" s="11"/>
      <c r="U87" s="3"/>
      <c r="V87" s="3"/>
      <c r="W87" s="3"/>
      <c r="X87" s="3"/>
      <c r="Y87" s="3"/>
      <c r="Z87" s="19"/>
      <c r="AB87" s="17"/>
      <c r="AD87" s="17"/>
    </row>
    <row r="88" spans="11:30" hidden="1" x14ac:dyDescent="0.25">
      <c r="K88" s="11"/>
      <c r="N88" s="4"/>
      <c r="Q88" s="17"/>
      <c r="R88" s="3"/>
      <c r="S88" s="11"/>
      <c r="U88" s="3"/>
      <c r="V88" s="3"/>
      <c r="W88" s="3"/>
      <c r="X88" s="3"/>
      <c r="Y88" s="3"/>
      <c r="Z88" s="19"/>
      <c r="AB88" s="17"/>
      <c r="AD88" s="17"/>
    </row>
    <row r="89" spans="11:30" hidden="1" x14ac:dyDescent="0.25">
      <c r="K89" s="11"/>
      <c r="N89" s="4"/>
      <c r="Q89" s="17"/>
      <c r="R89" s="3"/>
      <c r="S89" s="11"/>
      <c r="U89" s="3"/>
      <c r="V89" s="3"/>
      <c r="W89" s="3"/>
      <c r="X89" s="3"/>
      <c r="Y89" s="3"/>
      <c r="Z89" s="19"/>
      <c r="AB89" s="17"/>
      <c r="AD89" s="17"/>
    </row>
    <row r="90" spans="11:30" hidden="1" x14ac:dyDescent="0.25">
      <c r="K90" s="11"/>
      <c r="N90" s="4"/>
      <c r="Q90" s="17"/>
      <c r="R90" s="3"/>
      <c r="S90" s="11"/>
      <c r="U90" s="3"/>
      <c r="V90" s="3"/>
      <c r="W90" s="3"/>
      <c r="X90" s="3"/>
      <c r="Y90" s="3"/>
      <c r="Z90" s="19"/>
      <c r="AB90" s="17"/>
      <c r="AD90" s="17"/>
    </row>
    <row r="91" spans="11:30" hidden="1" x14ac:dyDescent="0.25">
      <c r="K91" s="11"/>
      <c r="N91" s="4"/>
      <c r="Q91" s="17"/>
      <c r="R91" s="3"/>
      <c r="S91" s="11"/>
      <c r="U91" s="3"/>
      <c r="V91" s="3"/>
      <c r="W91" s="3"/>
      <c r="X91" s="3"/>
      <c r="Y91" s="3"/>
      <c r="Z91" s="19"/>
      <c r="AB91" s="17"/>
      <c r="AD91" s="17"/>
    </row>
    <row r="92" spans="11:30" hidden="1" x14ac:dyDescent="0.25">
      <c r="K92" s="11"/>
      <c r="N92" s="4"/>
      <c r="Q92" s="17"/>
      <c r="R92" s="3"/>
      <c r="S92" s="11"/>
      <c r="U92" s="3"/>
      <c r="V92" s="3"/>
      <c r="W92" s="3"/>
      <c r="X92" s="3"/>
      <c r="Y92" s="3"/>
      <c r="Z92" s="19"/>
      <c r="AB92" s="17"/>
      <c r="AD92" s="17"/>
    </row>
    <row r="93" spans="11:30" hidden="1" x14ac:dyDescent="0.25">
      <c r="K93" s="11"/>
      <c r="N93" s="4"/>
      <c r="Q93" s="17"/>
      <c r="R93" s="3"/>
      <c r="S93" s="11"/>
      <c r="U93" s="3"/>
      <c r="V93" s="3"/>
      <c r="W93" s="3"/>
      <c r="X93" s="3"/>
      <c r="Y93" s="3"/>
      <c r="Z93" s="19"/>
      <c r="AB93" s="17"/>
      <c r="AD93" s="17"/>
    </row>
    <row r="94" spans="11:30" hidden="1" x14ac:dyDescent="0.25">
      <c r="K94" s="11"/>
      <c r="N94" s="4"/>
      <c r="Q94" s="17"/>
      <c r="R94" s="3"/>
      <c r="S94" s="11"/>
      <c r="U94" s="3"/>
      <c r="V94" s="3"/>
      <c r="W94" s="3"/>
      <c r="X94" s="3"/>
      <c r="Y94" s="3"/>
      <c r="Z94" s="19"/>
      <c r="AB94" s="17"/>
      <c r="AD94" s="17"/>
    </row>
    <row r="95" spans="11:30" hidden="1" x14ac:dyDescent="0.25">
      <c r="K95" s="11"/>
      <c r="N95" s="4"/>
      <c r="Q95" s="17"/>
      <c r="R95" s="3"/>
      <c r="S95" s="11"/>
      <c r="U95" s="3"/>
      <c r="V95" s="3"/>
      <c r="W95" s="3"/>
      <c r="X95" s="3"/>
      <c r="Y95" s="3"/>
      <c r="Z95" s="19"/>
      <c r="AB95" s="17"/>
      <c r="AD95" s="17"/>
    </row>
    <row r="96" spans="11:30" hidden="1" x14ac:dyDescent="0.25">
      <c r="K96" s="11"/>
      <c r="N96" s="4"/>
      <c r="Q96" s="17"/>
      <c r="R96" s="3"/>
      <c r="S96" s="11"/>
      <c r="U96" s="3"/>
      <c r="V96" s="3"/>
      <c r="W96" s="3"/>
      <c r="X96" s="3"/>
      <c r="Y96" s="3"/>
      <c r="Z96" s="19"/>
      <c r="AB96" s="17"/>
      <c r="AD96" s="17"/>
    </row>
    <row r="97" spans="11:30" hidden="1" x14ac:dyDescent="0.25">
      <c r="K97" s="11"/>
      <c r="N97" s="4"/>
      <c r="Q97" s="17"/>
      <c r="R97" s="3"/>
      <c r="S97" s="11"/>
      <c r="U97" s="3"/>
      <c r="V97" s="3"/>
      <c r="W97" s="3"/>
      <c r="X97" s="3"/>
      <c r="Y97" s="3"/>
      <c r="Z97" s="19"/>
      <c r="AB97" s="17"/>
      <c r="AD97" s="17"/>
    </row>
    <row r="98" spans="11:30" hidden="1" x14ac:dyDescent="0.25">
      <c r="K98" s="11"/>
      <c r="N98" s="4"/>
      <c r="Q98" s="17"/>
      <c r="R98" s="3"/>
      <c r="S98" s="11"/>
      <c r="U98" s="3"/>
      <c r="V98" s="3"/>
      <c r="W98" s="3"/>
      <c r="X98" s="3"/>
      <c r="Y98" s="3"/>
      <c r="Z98" s="19"/>
      <c r="AB98" s="17"/>
      <c r="AD98" s="17"/>
    </row>
    <row r="99" spans="11:30" hidden="1" x14ac:dyDescent="0.25">
      <c r="K99" s="11"/>
      <c r="N99" s="4"/>
      <c r="Q99" s="17"/>
      <c r="R99" s="3"/>
      <c r="S99" s="11"/>
      <c r="U99" s="3"/>
      <c r="V99" s="3"/>
      <c r="W99" s="3"/>
      <c r="X99" s="3"/>
      <c r="Y99" s="3"/>
      <c r="Z99" s="19"/>
      <c r="AB99" s="17"/>
      <c r="AD99" s="17"/>
    </row>
    <row r="100" spans="11:30" hidden="1" x14ac:dyDescent="0.25">
      <c r="K100" s="11"/>
      <c r="N100" s="4"/>
      <c r="Q100" s="17"/>
      <c r="R100" s="3"/>
      <c r="S100" s="11"/>
      <c r="U100" s="3"/>
      <c r="V100" s="3"/>
      <c r="W100" s="3"/>
      <c r="X100" s="3"/>
      <c r="Y100" s="3"/>
      <c r="Z100" s="19"/>
      <c r="AB100" s="17"/>
      <c r="AD100" s="17"/>
    </row>
    <row r="101" spans="11:30" hidden="1" x14ac:dyDescent="0.25">
      <c r="K101" s="11"/>
      <c r="N101" s="4"/>
      <c r="Q101" s="17"/>
      <c r="R101" s="3"/>
      <c r="S101" s="11"/>
      <c r="U101" s="3"/>
      <c r="V101" s="3"/>
      <c r="W101" s="3"/>
      <c r="X101" s="3"/>
      <c r="Y101" s="3"/>
      <c r="Z101" s="19"/>
      <c r="AB101" s="17"/>
      <c r="AD101" s="17"/>
    </row>
    <row r="102" spans="11:30" hidden="1" x14ac:dyDescent="0.25">
      <c r="K102" s="11"/>
      <c r="N102" s="4"/>
      <c r="Q102" s="17"/>
      <c r="R102" s="3"/>
      <c r="S102" s="11"/>
      <c r="U102" s="3"/>
      <c r="V102" s="3"/>
      <c r="W102" s="3"/>
      <c r="X102" s="3"/>
      <c r="Y102" s="3"/>
      <c r="Z102" s="19"/>
      <c r="AB102" s="17"/>
      <c r="AD102" s="17"/>
    </row>
    <row r="103" spans="11:30" hidden="1" x14ac:dyDescent="0.25">
      <c r="K103" s="11"/>
      <c r="N103" s="4"/>
      <c r="Q103" s="17"/>
      <c r="R103" s="3"/>
      <c r="S103" s="11"/>
      <c r="U103" s="3"/>
      <c r="V103" s="3"/>
      <c r="W103" s="3"/>
      <c r="X103" s="3"/>
      <c r="Y103" s="3"/>
      <c r="Z103" s="19"/>
      <c r="AB103" s="17"/>
      <c r="AD103" s="17"/>
    </row>
    <row r="104" spans="11:30" hidden="1" x14ac:dyDescent="0.25">
      <c r="K104" s="11"/>
      <c r="N104" s="4"/>
      <c r="Q104" s="17"/>
      <c r="R104" s="3"/>
      <c r="S104" s="11"/>
      <c r="U104" s="3"/>
      <c r="V104" s="3"/>
      <c r="W104" s="3"/>
      <c r="X104" s="3"/>
      <c r="Y104" s="3"/>
      <c r="Z104" s="19"/>
      <c r="AB104" s="17"/>
      <c r="AD104" s="17"/>
    </row>
    <row r="105" spans="11:30" hidden="1" x14ac:dyDescent="0.25">
      <c r="K105" s="11"/>
      <c r="N105" s="4"/>
      <c r="Q105" s="17"/>
      <c r="R105" s="3"/>
      <c r="S105" s="11"/>
      <c r="U105" s="3"/>
      <c r="V105" s="3"/>
      <c r="W105" s="3"/>
      <c r="X105" s="3"/>
      <c r="Y105" s="3"/>
      <c r="Z105" s="19"/>
      <c r="AB105" s="17"/>
      <c r="AD105" s="17"/>
    </row>
    <row r="106" spans="11:30" hidden="1" x14ac:dyDescent="0.25">
      <c r="K106" s="11"/>
      <c r="N106" s="4"/>
      <c r="Q106" s="17"/>
      <c r="R106" s="3"/>
      <c r="S106" s="11"/>
      <c r="U106" s="3"/>
      <c r="V106" s="3"/>
      <c r="W106" s="3"/>
      <c r="X106" s="3"/>
      <c r="Y106" s="3"/>
      <c r="Z106" s="19"/>
      <c r="AB106" s="17"/>
      <c r="AD106" s="17"/>
    </row>
    <row r="107" spans="11:30" hidden="1" x14ac:dyDescent="0.25">
      <c r="K107" s="11"/>
      <c r="N107" s="4"/>
      <c r="Q107" s="17"/>
      <c r="R107" s="3"/>
      <c r="S107" s="11"/>
      <c r="U107" s="3"/>
      <c r="V107" s="3"/>
      <c r="W107" s="3"/>
      <c r="X107" s="3"/>
      <c r="Y107" s="3"/>
      <c r="Z107" s="19"/>
      <c r="AB107" s="17"/>
      <c r="AD107" s="17"/>
    </row>
    <row r="108" spans="11:30" hidden="1" x14ac:dyDescent="0.25">
      <c r="K108" s="11"/>
      <c r="N108" s="4"/>
      <c r="Q108" s="17"/>
      <c r="R108" s="3"/>
      <c r="S108" s="11"/>
      <c r="U108" s="3"/>
      <c r="V108" s="3"/>
      <c r="W108" s="3"/>
      <c r="X108" s="3"/>
      <c r="Y108" s="3"/>
      <c r="Z108" s="19"/>
      <c r="AB108" s="17"/>
      <c r="AD108" s="17"/>
    </row>
    <row r="109" spans="11:30" hidden="1" x14ac:dyDescent="0.25">
      <c r="K109" s="11"/>
      <c r="N109" s="4"/>
      <c r="Q109" s="17"/>
      <c r="R109" s="3"/>
      <c r="S109" s="11"/>
      <c r="U109" s="3"/>
      <c r="V109" s="3"/>
      <c r="W109" s="3"/>
      <c r="X109" s="3"/>
      <c r="Y109" s="3"/>
      <c r="Z109" s="19"/>
      <c r="AB109" s="17"/>
      <c r="AD109" s="17"/>
    </row>
    <row r="110" spans="11:30" hidden="1" x14ac:dyDescent="0.25">
      <c r="K110" s="11"/>
      <c r="N110" s="4"/>
      <c r="Q110" s="17"/>
      <c r="R110" s="3"/>
      <c r="S110" s="11"/>
      <c r="U110" s="3"/>
      <c r="V110" s="3"/>
      <c r="W110" s="3"/>
      <c r="X110" s="3"/>
      <c r="Y110" s="3"/>
      <c r="Z110" s="19"/>
      <c r="AB110" s="17"/>
      <c r="AD110" s="17"/>
    </row>
    <row r="111" spans="11:30" hidden="1" x14ac:dyDescent="0.25">
      <c r="K111" s="11"/>
      <c r="N111" s="4"/>
      <c r="Q111" s="17"/>
      <c r="R111" s="3"/>
      <c r="S111" s="11"/>
      <c r="U111" s="3"/>
      <c r="V111" s="3"/>
      <c r="W111" s="3"/>
      <c r="X111" s="3"/>
      <c r="Y111" s="3"/>
      <c r="Z111" s="19"/>
      <c r="AB111" s="17"/>
      <c r="AD111" s="17"/>
    </row>
    <row r="112" spans="11:30" hidden="1" x14ac:dyDescent="0.25">
      <c r="K112" s="11"/>
      <c r="N112" s="4"/>
      <c r="Q112" s="17"/>
      <c r="R112" s="3"/>
      <c r="S112" s="11"/>
      <c r="U112" s="3"/>
      <c r="V112" s="3"/>
      <c r="W112" s="3"/>
      <c r="X112" s="3"/>
      <c r="Y112" s="3"/>
      <c r="Z112" s="19"/>
      <c r="AB112" s="17"/>
      <c r="AD112" s="17"/>
    </row>
    <row r="113" spans="11:30" hidden="1" x14ac:dyDescent="0.25">
      <c r="K113" s="11"/>
      <c r="N113" s="4"/>
      <c r="Q113" s="17"/>
      <c r="R113" s="3"/>
      <c r="S113" s="11"/>
      <c r="U113" s="3"/>
      <c r="V113" s="3"/>
      <c r="W113" s="3"/>
      <c r="X113" s="3"/>
      <c r="Y113" s="3"/>
      <c r="Z113" s="19"/>
      <c r="AB113" s="17"/>
      <c r="AD113" s="17"/>
    </row>
    <row r="114" spans="11:30" hidden="1" x14ac:dyDescent="0.25">
      <c r="K114" s="11"/>
      <c r="N114" s="4"/>
      <c r="Q114" s="17"/>
      <c r="R114" s="3"/>
      <c r="S114" s="11"/>
      <c r="U114" s="3"/>
      <c r="V114" s="3"/>
      <c r="W114" s="3"/>
      <c r="X114" s="3"/>
      <c r="Y114" s="3"/>
      <c r="Z114" s="19"/>
      <c r="AB114" s="17"/>
      <c r="AD114" s="17"/>
    </row>
    <row r="115" spans="11:30" hidden="1" x14ac:dyDescent="0.25">
      <c r="K115" s="11"/>
      <c r="N115" s="4"/>
      <c r="Q115" s="17"/>
      <c r="R115" s="3"/>
      <c r="S115" s="11"/>
      <c r="U115" s="3"/>
      <c r="V115" s="3"/>
      <c r="W115" s="3"/>
      <c r="X115" s="3"/>
      <c r="Y115" s="3"/>
      <c r="Z115" s="19"/>
      <c r="AB115" s="17"/>
      <c r="AD115" s="17"/>
    </row>
    <row r="116" spans="11:30" hidden="1" x14ac:dyDescent="0.25">
      <c r="K116" s="11"/>
      <c r="N116" s="4"/>
      <c r="Q116" s="17"/>
      <c r="R116" s="3"/>
      <c r="S116" s="11"/>
      <c r="U116" s="3"/>
      <c r="V116" s="3"/>
      <c r="W116" s="3"/>
      <c r="X116" s="3"/>
      <c r="Y116" s="3"/>
      <c r="Z116" s="19"/>
      <c r="AB116" s="17"/>
      <c r="AD116" s="17"/>
    </row>
    <row r="117" spans="11:30" hidden="1" x14ac:dyDescent="0.25">
      <c r="K117" s="11"/>
      <c r="N117" s="4"/>
      <c r="Q117" s="17"/>
      <c r="R117" s="3"/>
      <c r="S117" s="11"/>
      <c r="U117" s="3"/>
      <c r="V117" s="3"/>
      <c r="W117" s="3"/>
      <c r="X117" s="3"/>
      <c r="Y117" s="3"/>
      <c r="Z117" s="19"/>
      <c r="AB117" s="17"/>
      <c r="AD117" s="17"/>
    </row>
    <row r="118" spans="11:30" hidden="1" x14ac:dyDescent="0.25">
      <c r="K118" s="11"/>
      <c r="N118" s="4"/>
      <c r="Q118" s="17"/>
      <c r="R118" s="3"/>
      <c r="S118" s="11"/>
      <c r="U118" s="3"/>
      <c r="V118" s="3"/>
      <c r="W118" s="3"/>
      <c r="X118" s="3"/>
      <c r="Y118" s="3"/>
      <c r="Z118" s="19"/>
      <c r="AB118" s="17"/>
      <c r="AD118" s="17"/>
    </row>
    <row r="119" spans="11:30" hidden="1" x14ac:dyDescent="0.25">
      <c r="K119" s="11"/>
      <c r="N119" s="4"/>
      <c r="Q119" s="17"/>
      <c r="R119" s="3"/>
      <c r="S119" s="11"/>
      <c r="U119" s="3"/>
      <c r="V119" s="3"/>
      <c r="W119" s="3"/>
      <c r="X119" s="3"/>
      <c r="Y119" s="3"/>
      <c r="Z119" s="19"/>
      <c r="AB119" s="17"/>
      <c r="AD119" s="17"/>
    </row>
    <row r="120" spans="11:30" hidden="1" x14ac:dyDescent="0.25">
      <c r="K120" s="11"/>
      <c r="N120" s="4"/>
      <c r="Q120" s="17"/>
      <c r="R120" s="3"/>
      <c r="S120" s="11"/>
      <c r="U120" s="3"/>
      <c r="V120" s="3"/>
      <c r="W120" s="3"/>
      <c r="X120" s="3"/>
      <c r="Y120" s="3"/>
      <c r="Z120" s="19"/>
      <c r="AB120" s="17"/>
      <c r="AD120" s="17"/>
    </row>
    <row r="121" spans="11:30" hidden="1" x14ac:dyDescent="0.25">
      <c r="K121" s="11"/>
      <c r="N121" s="4"/>
      <c r="Q121" s="17"/>
      <c r="R121" s="3"/>
      <c r="S121" s="11"/>
      <c r="U121" s="3"/>
      <c r="V121" s="3"/>
      <c r="W121" s="3"/>
      <c r="X121" s="3"/>
      <c r="Y121" s="3"/>
      <c r="Z121" s="19"/>
      <c r="AB121" s="17"/>
      <c r="AD121" s="17"/>
    </row>
    <row r="122" spans="11:30" hidden="1" x14ac:dyDescent="0.25">
      <c r="K122" s="11"/>
      <c r="N122" s="4"/>
      <c r="Q122" s="17"/>
      <c r="R122" s="3"/>
      <c r="S122" s="11"/>
      <c r="U122" s="3"/>
      <c r="V122" s="3"/>
      <c r="W122" s="3"/>
      <c r="X122" s="3"/>
      <c r="Y122" s="3"/>
      <c r="Z122" s="19"/>
      <c r="AB122" s="17"/>
      <c r="AD122" s="17"/>
    </row>
    <row r="123" spans="11:30" hidden="1" x14ac:dyDescent="0.25">
      <c r="K123" s="11"/>
      <c r="N123" s="4"/>
      <c r="Q123" s="17"/>
      <c r="R123" s="3"/>
      <c r="S123" s="11"/>
      <c r="U123" s="3"/>
      <c r="V123" s="3"/>
      <c r="W123" s="3"/>
      <c r="X123" s="3"/>
      <c r="Y123" s="3"/>
      <c r="Z123" s="19"/>
      <c r="AB123" s="17"/>
      <c r="AD123" s="17"/>
    </row>
    <row r="124" spans="11:30" hidden="1" x14ac:dyDescent="0.25">
      <c r="K124" s="11"/>
      <c r="N124" s="4"/>
      <c r="Q124" s="17"/>
      <c r="R124" s="3"/>
      <c r="S124" s="11"/>
      <c r="U124" s="3"/>
      <c r="V124" s="3"/>
      <c r="W124" s="3"/>
      <c r="X124" s="3"/>
      <c r="Y124" s="3"/>
      <c r="Z124" s="19"/>
      <c r="AB124" s="17"/>
      <c r="AD124" s="17"/>
    </row>
    <row r="125" spans="11:30" hidden="1" x14ac:dyDescent="0.25">
      <c r="K125" s="11"/>
      <c r="N125" s="4"/>
      <c r="Q125" s="17"/>
      <c r="R125" s="3"/>
      <c r="S125" s="11"/>
      <c r="U125" s="3"/>
      <c r="V125" s="3"/>
      <c r="W125" s="3"/>
      <c r="X125" s="3"/>
      <c r="Y125" s="3"/>
      <c r="Z125" s="19"/>
      <c r="AB125" s="17"/>
      <c r="AD125" s="17"/>
    </row>
    <row r="126" spans="11:30" hidden="1" x14ac:dyDescent="0.25">
      <c r="K126" s="11"/>
      <c r="N126" s="4"/>
      <c r="Q126" s="17"/>
      <c r="R126" s="3"/>
      <c r="S126" s="11"/>
      <c r="U126" s="3"/>
      <c r="V126" s="3"/>
      <c r="W126" s="3"/>
      <c r="X126" s="3"/>
      <c r="Y126" s="3"/>
      <c r="Z126" s="19"/>
      <c r="AB126" s="17"/>
      <c r="AD126" s="17"/>
    </row>
    <row r="127" spans="11:30" hidden="1" x14ac:dyDescent="0.25">
      <c r="K127" s="11"/>
      <c r="N127" s="4"/>
      <c r="Q127" s="17"/>
      <c r="R127" s="3"/>
      <c r="S127" s="11"/>
      <c r="U127" s="3"/>
      <c r="V127" s="3"/>
      <c r="W127" s="3"/>
      <c r="X127" s="3"/>
      <c r="Y127" s="3"/>
      <c r="Z127" s="19"/>
      <c r="AB127" s="17"/>
      <c r="AD127" s="17"/>
    </row>
    <row r="128" spans="11:30" hidden="1" x14ac:dyDescent="0.25">
      <c r="K128" s="11"/>
      <c r="N128" s="4"/>
      <c r="Q128" s="17"/>
      <c r="R128" s="3"/>
      <c r="S128" s="11"/>
      <c r="U128" s="3"/>
      <c r="V128" s="3"/>
      <c r="W128" s="3"/>
      <c r="X128" s="3"/>
      <c r="Y128" s="3"/>
      <c r="Z128" s="19"/>
      <c r="AB128" s="17"/>
      <c r="AD128" s="17"/>
    </row>
    <row r="129" spans="11:30" hidden="1" x14ac:dyDescent="0.25">
      <c r="K129" s="11"/>
      <c r="N129" s="4"/>
      <c r="Q129" s="17"/>
      <c r="R129" s="3"/>
      <c r="S129" s="11"/>
      <c r="U129" s="3"/>
      <c r="V129" s="3"/>
      <c r="W129" s="3"/>
      <c r="X129" s="3"/>
      <c r="Y129" s="3"/>
      <c r="Z129" s="19"/>
      <c r="AB129" s="17"/>
      <c r="AD129" s="17"/>
    </row>
    <row r="130" spans="11:30" hidden="1" x14ac:dyDescent="0.25">
      <c r="K130" s="11"/>
      <c r="N130" s="4"/>
      <c r="Q130" s="17"/>
      <c r="R130" s="3"/>
      <c r="S130" s="11"/>
      <c r="U130" s="3"/>
      <c r="V130" s="3"/>
      <c r="W130" s="3"/>
      <c r="X130" s="3"/>
      <c r="Y130" s="3"/>
      <c r="Z130" s="19"/>
      <c r="AB130" s="17"/>
      <c r="AD130" s="17"/>
    </row>
    <row r="131" spans="11:30" hidden="1" x14ac:dyDescent="0.25">
      <c r="K131" s="11"/>
      <c r="N131" s="4"/>
      <c r="Q131" s="17"/>
      <c r="R131" s="3"/>
      <c r="S131" s="11"/>
      <c r="U131" s="3"/>
      <c r="V131" s="3"/>
      <c r="W131" s="3"/>
      <c r="X131" s="3"/>
      <c r="Y131" s="3"/>
      <c r="Z131" s="19"/>
      <c r="AB131" s="17"/>
      <c r="AD131" s="17"/>
    </row>
    <row r="132" spans="11:30" hidden="1" x14ac:dyDescent="0.25">
      <c r="K132" s="11"/>
      <c r="N132" s="4"/>
      <c r="Q132" s="17"/>
      <c r="R132" s="3"/>
      <c r="S132" s="11"/>
      <c r="U132" s="3"/>
      <c r="V132" s="3"/>
      <c r="W132" s="3"/>
      <c r="X132" s="3"/>
      <c r="Y132" s="3"/>
      <c r="Z132" s="19"/>
      <c r="AB132" s="17"/>
      <c r="AD132" s="17"/>
    </row>
    <row r="133" spans="11:30" hidden="1" x14ac:dyDescent="0.25">
      <c r="K133" s="11"/>
      <c r="N133" s="4"/>
      <c r="Q133" s="17"/>
      <c r="R133" s="3"/>
      <c r="S133" s="11"/>
      <c r="U133" s="3"/>
      <c r="V133" s="3"/>
      <c r="W133" s="3"/>
      <c r="X133" s="3"/>
      <c r="Y133" s="3"/>
      <c r="Z133" s="19"/>
      <c r="AB133" s="17"/>
      <c r="AD133" s="17"/>
    </row>
    <row r="134" spans="11:30" hidden="1" x14ac:dyDescent="0.25">
      <c r="K134" s="11"/>
      <c r="N134" s="4"/>
      <c r="Q134" s="17"/>
      <c r="R134" s="3"/>
      <c r="S134" s="11"/>
      <c r="U134" s="3"/>
      <c r="V134" s="3"/>
      <c r="W134" s="3"/>
      <c r="X134" s="3"/>
      <c r="Y134" s="3"/>
      <c r="Z134" s="19"/>
      <c r="AB134" s="17"/>
      <c r="AD134" s="17"/>
    </row>
    <row r="135" spans="11:30" hidden="1" x14ac:dyDescent="0.25">
      <c r="K135" s="11"/>
      <c r="N135" s="4"/>
      <c r="Q135" s="17"/>
      <c r="R135" s="3"/>
      <c r="S135" s="11"/>
      <c r="U135" s="3"/>
      <c r="V135" s="3"/>
      <c r="W135" s="3"/>
      <c r="X135" s="3"/>
      <c r="Y135" s="3"/>
      <c r="Z135" s="19"/>
      <c r="AB135" s="17"/>
      <c r="AD135" s="17"/>
    </row>
    <row r="136" spans="11:30" hidden="1" x14ac:dyDescent="0.25">
      <c r="K136" s="11"/>
      <c r="N136" s="4"/>
      <c r="Q136" s="17"/>
      <c r="R136" s="3"/>
      <c r="S136" s="11"/>
      <c r="U136" s="3"/>
      <c r="V136" s="3"/>
      <c r="W136" s="3"/>
      <c r="X136" s="3"/>
      <c r="Y136" s="3"/>
      <c r="Z136" s="19"/>
      <c r="AB136" s="17"/>
      <c r="AD136" s="17"/>
    </row>
    <row r="137" spans="11:30" hidden="1" x14ac:dyDescent="0.25">
      <c r="K137" s="11"/>
      <c r="N137" s="4"/>
      <c r="Q137" s="17"/>
      <c r="R137" s="3"/>
      <c r="S137" s="11"/>
      <c r="U137" s="3"/>
      <c r="V137" s="3"/>
      <c r="W137" s="3"/>
      <c r="X137" s="3"/>
      <c r="Y137" s="3"/>
      <c r="Z137" s="19"/>
      <c r="AB137" s="17"/>
      <c r="AD137" s="17"/>
    </row>
    <row r="138" spans="11:30" hidden="1" x14ac:dyDescent="0.25">
      <c r="K138" s="11"/>
      <c r="N138" s="4"/>
      <c r="Q138" s="17"/>
      <c r="R138" s="3"/>
      <c r="S138" s="11"/>
      <c r="U138" s="3"/>
      <c r="V138" s="3"/>
      <c r="W138" s="3"/>
      <c r="X138" s="3"/>
      <c r="Y138" s="3"/>
      <c r="Z138" s="19"/>
      <c r="AB138" s="17"/>
      <c r="AD138" s="17"/>
    </row>
    <row r="139" spans="11:30" hidden="1" x14ac:dyDescent="0.25">
      <c r="K139" s="11"/>
      <c r="N139" s="4"/>
      <c r="Q139" s="17"/>
      <c r="R139" s="3"/>
      <c r="S139" s="11"/>
      <c r="U139" s="3"/>
      <c r="V139" s="3"/>
      <c r="W139" s="3"/>
      <c r="X139" s="3"/>
      <c r="Y139" s="3"/>
      <c r="Z139" s="19"/>
      <c r="AB139" s="17"/>
      <c r="AD139" s="17"/>
    </row>
    <row r="140" spans="11:30" hidden="1" x14ac:dyDescent="0.25">
      <c r="K140" s="11"/>
      <c r="N140" s="4"/>
      <c r="Q140" s="17"/>
      <c r="R140" s="3"/>
      <c r="S140" s="11"/>
      <c r="U140" s="3"/>
      <c r="V140" s="3"/>
      <c r="W140" s="3"/>
      <c r="X140" s="3"/>
      <c r="Y140" s="3"/>
      <c r="Z140" s="19"/>
      <c r="AB140" s="17"/>
      <c r="AD140" s="17"/>
    </row>
    <row r="141" spans="11:30" hidden="1" x14ac:dyDescent="0.25">
      <c r="K141" s="11"/>
      <c r="N141" s="4"/>
      <c r="Q141" s="17"/>
      <c r="R141" s="3"/>
      <c r="S141" s="11"/>
      <c r="U141" s="3"/>
      <c r="V141" s="3"/>
      <c r="W141" s="3"/>
      <c r="X141" s="3"/>
      <c r="Y141" s="3"/>
      <c r="Z141" s="19"/>
      <c r="AB141" s="17"/>
      <c r="AD141" s="17"/>
    </row>
    <row r="142" spans="11:30" hidden="1" x14ac:dyDescent="0.25">
      <c r="K142" s="11"/>
      <c r="N142" s="4"/>
      <c r="Q142" s="17"/>
      <c r="R142" s="3"/>
      <c r="S142" s="11"/>
      <c r="U142" s="3"/>
      <c r="V142" s="3"/>
      <c r="W142" s="3"/>
      <c r="X142" s="3"/>
      <c r="Y142" s="3"/>
      <c r="Z142" s="19"/>
      <c r="AB142" s="17"/>
      <c r="AD142" s="17"/>
    </row>
    <row r="143" spans="11:30" hidden="1" x14ac:dyDescent="0.25">
      <c r="K143" s="11"/>
      <c r="N143" s="4"/>
      <c r="Q143" s="17"/>
      <c r="R143" s="3"/>
      <c r="S143" s="11"/>
      <c r="U143" s="3"/>
      <c r="V143" s="3"/>
      <c r="W143" s="3"/>
      <c r="X143" s="3"/>
      <c r="Y143" s="3"/>
      <c r="Z143" s="19"/>
      <c r="AB143" s="17"/>
      <c r="AD143" s="17"/>
    </row>
    <row r="144" spans="11:30" hidden="1" x14ac:dyDescent="0.25">
      <c r="K144" s="11"/>
      <c r="N144" s="4"/>
      <c r="Q144" s="17"/>
      <c r="R144" s="3"/>
      <c r="S144" s="11"/>
      <c r="U144" s="3"/>
      <c r="V144" s="3"/>
      <c r="W144" s="3"/>
      <c r="X144" s="3"/>
      <c r="Y144" s="3"/>
      <c r="Z144" s="19"/>
      <c r="AB144" s="17"/>
      <c r="AD144" s="17"/>
    </row>
    <row r="145" spans="11:30" hidden="1" x14ac:dyDescent="0.25">
      <c r="K145" s="11"/>
      <c r="N145" s="4"/>
      <c r="Q145" s="17"/>
      <c r="R145" s="3"/>
      <c r="S145" s="11"/>
      <c r="U145" s="3"/>
      <c r="V145" s="3"/>
      <c r="W145" s="3"/>
      <c r="X145" s="3"/>
      <c r="Y145" s="3"/>
      <c r="Z145" s="19"/>
      <c r="AB145" s="17"/>
      <c r="AD145" s="17"/>
    </row>
    <row r="146" spans="11:30" hidden="1" x14ac:dyDescent="0.25">
      <c r="K146" s="11"/>
      <c r="N146" s="4"/>
      <c r="Q146" s="17"/>
      <c r="R146" s="3"/>
      <c r="S146" s="11"/>
      <c r="U146" s="3"/>
      <c r="V146" s="3"/>
      <c r="W146" s="3"/>
      <c r="X146" s="3"/>
      <c r="Y146" s="3"/>
      <c r="Z146" s="19"/>
      <c r="AB146" s="17"/>
      <c r="AD146" s="17"/>
    </row>
    <row r="147" spans="11:30" hidden="1" x14ac:dyDescent="0.25">
      <c r="K147" s="11"/>
      <c r="N147" s="4"/>
      <c r="Q147" s="17"/>
      <c r="R147" s="3"/>
      <c r="S147" s="11"/>
      <c r="U147" s="3"/>
      <c r="V147" s="3"/>
      <c r="W147" s="3"/>
      <c r="X147" s="3"/>
      <c r="Y147" s="3"/>
      <c r="Z147" s="19"/>
      <c r="AB147" s="17"/>
      <c r="AD147" s="17"/>
    </row>
    <row r="148" spans="11:30" hidden="1" x14ac:dyDescent="0.25">
      <c r="K148" s="11"/>
      <c r="N148" s="4"/>
      <c r="Q148" s="17"/>
      <c r="R148" s="3"/>
      <c r="S148" s="11"/>
      <c r="U148" s="3"/>
      <c r="V148" s="3"/>
      <c r="W148" s="3"/>
      <c r="X148" s="3"/>
      <c r="Y148" s="3"/>
      <c r="Z148" s="19"/>
      <c r="AB148" s="17"/>
      <c r="AD148" s="17"/>
    </row>
    <row r="149" spans="11:30" hidden="1" x14ac:dyDescent="0.25">
      <c r="K149" s="11"/>
      <c r="N149" s="4"/>
      <c r="Q149" s="17"/>
      <c r="R149" s="3"/>
      <c r="S149" s="11"/>
      <c r="U149" s="3"/>
      <c r="V149" s="3"/>
      <c r="W149" s="3"/>
      <c r="X149" s="3"/>
      <c r="Y149" s="3"/>
      <c r="Z149" s="19"/>
      <c r="AB149" s="17"/>
      <c r="AD149" s="17"/>
    </row>
    <row r="150" spans="11:30" hidden="1" x14ac:dyDescent="0.25">
      <c r="K150" s="11"/>
      <c r="N150" s="4"/>
      <c r="Q150" s="17"/>
      <c r="R150" s="3"/>
      <c r="S150" s="11"/>
      <c r="U150" s="3"/>
      <c r="V150" s="3"/>
      <c r="W150" s="3"/>
      <c r="X150" s="3"/>
      <c r="Y150" s="3"/>
      <c r="Z150" s="19"/>
      <c r="AB150" s="17"/>
      <c r="AD150" s="17"/>
    </row>
    <row r="151" spans="11:30" hidden="1" x14ac:dyDescent="0.25">
      <c r="K151" s="11"/>
      <c r="N151" s="4"/>
      <c r="Q151" s="17"/>
      <c r="R151" s="3"/>
      <c r="S151" s="11"/>
      <c r="U151" s="3"/>
      <c r="V151" s="3"/>
      <c r="W151" s="3"/>
      <c r="X151" s="3"/>
      <c r="Y151" s="3"/>
      <c r="Z151" s="19"/>
      <c r="AB151" s="17"/>
      <c r="AD151" s="17"/>
    </row>
    <row r="152" spans="11:30" hidden="1" x14ac:dyDescent="0.25">
      <c r="K152" s="11"/>
      <c r="N152" s="4"/>
      <c r="Q152" s="17"/>
      <c r="R152" s="3"/>
      <c r="S152" s="11"/>
      <c r="U152" s="3"/>
      <c r="V152" s="3"/>
      <c r="W152" s="3"/>
      <c r="X152" s="3"/>
      <c r="Y152" s="3"/>
      <c r="Z152" s="19"/>
      <c r="AB152" s="17"/>
      <c r="AD152" s="17"/>
    </row>
    <row r="153" spans="11:30" hidden="1" x14ac:dyDescent="0.25">
      <c r="K153" s="11"/>
      <c r="N153" s="4"/>
      <c r="Q153" s="17"/>
      <c r="R153" s="3"/>
      <c r="S153" s="11"/>
      <c r="U153" s="3"/>
      <c r="V153" s="3"/>
      <c r="W153" s="3"/>
      <c r="X153" s="3"/>
      <c r="Y153" s="3"/>
      <c r="Z153" s="19"/>
      <c r="AB153" s="17"/>
      <c r="AD153" s="17"/>
    </row>
    <row r="154" spans="11:30" hidden="1" x14ac:dyDescent="0.25">
      <c r="K154" s="11"/>
      <c r="N154" s="4"/>
      <c r="Q154" s="17"/>
      <c r="R154" s="3"/>
      <c r="S154" s="11"/>
      <c r="U154" s="3"/>
      <c r="V154" s="3"/>
      <c r="W154" s="3"/>
      <c r="X154" s="3"/>
      <c r="Y154" s="3"/>
      <c r="Z154" s="19"/>
      <c r="AB154" s="17"/>
      <c r="AD154" s="17"/>
    </row>
    <row r="155" spans="11:30" hidden="1" x14ac:dyDescent="0.25">
      <c r="K155" s="11"/>
      <c r="N155" s="4"/>
      <c r="Q155" s="17"/>
      <c r="R155" s="3"/>
      <c r="S155" s="11"/>
      <c r="U155" s="3"/>
      <c r="V155" s="3"/>
      <c r="W155" s="3"/>
      <c r="X155" s="3"/>
      <c r="Y155" s="3"/>
      <c r="Z155" s="19"/>
      <c r="AB155" s="17"/>
      <c r="AD155" s="17"/>
    </row>
    <row r="156" spans="11:30" hidden="1" x14ac:dyDescent="0.25">
      <c r="K156" s="11"/>
      <c r="N156" s="4"/>
      <c r="Q156" s="17"/>
      <c r="R156" s="3"/>
      <c r="S156" s="11"/>
      <c r="U156" s="3"/>
      <c r="V156" s="3"/>
      <c r="W156" s="3"/>
      <c r="X156" s="3"/>
      <c r="Y156" s="3"/>
      <c r="Z156" s="19"/>
      <c r="AB156" s="17"/>
      <c r="AD156" s="17"/>
    </row>
    <row r="157" spans="11:30" hidden="1" x14ac:dyDescent="0.25">
      <c r="K157" s="11"/>
      <c r="N157" s="4"/>
      <c r="Q157" s="17"/>
      <c r="R157" s="3"/>
      <c r="S157" s="11"/>
      <c r="U157" s="3"/>
      <c r="V157" s="3"/>
      <c r="W157" s="3"/>
      <c r="X157" s="3"/>
      <c r="Y157" s="3"/>
      <c r="Z157" s="19"/>
      <c r="AB157" s="17"/>
      <c r="AD157" s="17"/>
    </row>
    <row r="158" spans="11:30" hidden="1" x14ac:dyDescent="0.25">
      <c r="K158" s="11"/>
      <c r="N158" s="4"/>
      <c r="Q158" s="17"/>
      <c r="R158" s="3"/>
      <c r="S158" s="11"/>
      <c r="U158" s="3"/>
      <c r="V158" s="3"/>
      <c r="W158" s="3"/>
      <c r="X158" s="3"/>
      <c r="Y158" s="3"/>
      <c r="Z158" s="19"/>
      <c r="AB158" s="17"/>
      <c r="AD158" s="17"/>
    </row>
    <row r="159" spans="11:30" hidden="1" x14ac:dyDescent="0.25">
      <c r="K159" s="11"/>
      <c r="N159" s="4"/>
      <c r="Q159" s="17"/>
      <c r="R159" s="3"/>
      <c r="S159" s="11"/>
      <c r="U159" s="3"/>
      <c r="V159" s="3"/>
      <c r="W159" s="3"/>
      <c r="X159" s="3"/>
      <c r="Y159" s="3"/>
      <c r="Z159" s="19"/>
      <c r="AB159" s="17"/>
      <c r="AD159" s="17"/>
    </row>
    <row r="160" spans="11:30" hidden="1" x14ac:dyDescent="0.25">
      <c r="K160" s="11"/>
      <c r="N160" s="4"/>
      <c r="Q160" s="17"/>
      <c r="R160" s="3"/>
      <c r="S160" s="11"/>
      <c r="U160" s="3"/>
      <c r="V160" s="3"/>
      <c r="W160" s="3"/>
      <c r="X160" s="3"/>
      <c r="Y160" s="3"/>
      <c r="Z160" s="19"/>
      <c r="AB160" s="17"/>
      <c r="AD160" s="17"/>
    </row>
    <row r="161" spans="11:30" hidden="1" x14ac:dyDescent="0.25">
      <c r="K161" s="11"/>
      <c r="N161" s="4"/>
      <c r="Q161" s="17"/>
      <c r="R161" s="3"/>
      <c r="S161" s="11"/>
      <c r="U161" s="3"/>
      <c r="V161" s="3"/>
      <c r="W161" s="3"/>
      <c r="X161" s="3"/>
      <c r="Y161" s="3"/>
      <c r="Z161" s="19"/>
      <c r="AB161" s="17"/>
      <c r="AD161" s="17"/>
    </row>
    <row r="162" spans="11:30" hidden="1" x14ac:dyDescent="0.25">
      <c r="K162" s="11"/>
      <c r="N162" s="4"/>
      <c r="Q162" s="17"/>
      <c r="R162" s="3"/>
      <c r="S162" s="11"/>
      <c r="U162" s="3"/>
      <c r="V162" s="3"/>
      <c r="W162" s="3"/>
      <c r="X162" s="3"/>
      <c r="Y162" s="3"/>
      <c r="Z162" s="19"/>
      <c r="AB162" s="17"/>
      <c r="AD162" s="17"/>
    </row>
    <row r="163" spans="11:30" hidden="1" x14ac:dyDescent="0.25">
      <c r="K163" s="11"/>
      <c r="N163" s="4"/>
      <c r="Q163" s="17"/>
      <c r="R163" s="3"/>
      <c r="S163" s="11"/>
      <c r="U163" s="3"/>
      <c r="V163" s="3"/>
      <c r="W163" s="3"/>
      <c r="X163" s="3"/>
      <c r="Y163" s="3"/>
      <c r="Z163" s="19"/>
      <c r="AB163" s="17"/>
      <c r="AD163" s="17"/>
    </row>
    <row r="164" spans="11:30" hidden="1" x14ac:dyDescent="0.25">
      <c r="K164" s="11"/>
      <c r="N164" s="4"/>
      <c r="Q164" s="17"/>
      <c r="R164" s="3"/>
      <c r="S164" s="11"/>
      <c r="U164" s="3"/>
      <c r="V164" s="3"/>
      <c r="W164" s="3"/>
      <c r="X164" s="3"/>
      <c r="Y164" s="3"/>
      <c r="Z164" s="19"/>
      <c r="AB164" s="17"/>
      <c r="AD164" s="17"/>
    </row>
    <row r="165" spans="11:30" hidden="1" x14ac:dyDescent="0.25">
      <c r="K165" s="11"/>
      <c r="N165" s="4"/>
      <c r="Q165" s="17"/>
      <c r="R165" s="3"/>
      <c r="S165" s="11"/>
      <c r="U165" s="3"/>
      <c r="V165" s="3"/>
      <c r="W165" s="3"/>
      <c r="X165" s="3"/>
      <c r="Y165" s="3"/>
      <c r="Z165" s="19"/>
      <c r="AB165" s="17"/>
      <c r="AD165" s="17"/>
    </row>
    <row r="166" spans="11:30" hidden="1" x14ac:dyDescent="0.25">
      <c r="K166" s="11"/>
      <c r="N166" s="4"/>
      <c r="Q166" s="17"/>
      <c r="R166" s="3"/>
      <c r="S166" s="11"/>
      <c r="U166" s="3"/>
      <c r="V166" s="3"/>
      <c r="W166" s="3"/>
      <c r="X166" s="3"/>
      <c r="Y166" s="3"/>
      <c r="Z166" s="19"/>
      <c r="AB166" s="17"/>
      <c r="AD166" s="17"/>
    </row>
    <row r="167" spans="11:30" hidden="1" x14ac:dyDescent="0.25">
      <c r="K167" s="11"/>
      <c r="N167" s="4"/>
      <c r="Q167" s="17"/>
      <c r="R167" s="3"/>
      <c r="S167" s="11"/>
      <c r="U167" s="3"/>
      <c r="V167" s="3"/>
      <c r="W167" s="3"/>
      <c r="X167" s="3"/>
      <c r="Y167" s="3"/>
      <c r="Z167" s="19"/>
      <c r="AB167" s="17"/>
      <c r="AD167" s="17"/>
    </row>
    <row r="168" spans="11:30" hidden="1" x14ac:dyDescent="0.25">
      <c r="K168" s="11"/>
      <c r="N168" s="4"/>
      <c r="Q168" s="17"/>
      <c r="R168" s="3"/>
      <c r="S168" s="11"/>
      <c r="U168" s="3"/>
      <c r="V168" s="3"/>
      <c r="W168" s="3"/>
      <c r="X168" s="3"/>
      <c r="Y168" s="3"/>
      <c r="Z168" s="19"/>
      <c r="AB168" s="17"/>
      <c r="AD168" s="17"/>
    </row>
    <row r="169" spans="11:30" hidden="1" x14ac:dyDescent="0.25">
      <c r="K169" s="11"/>
      <c r="N169" s="4"/>
      <c r="Q169" s="17"/>
      <c r="R169" s="3"/>
      <c r="S169" s="11"/>
      <c r="U169" s="3"/>
      <c r="V169" s="3"/>
      <c r="W169" s="3"/>
      <c r="X169" s="3"/>
      <c r="Y169" s="3"/>
      <c r="Z169" s="19"/>
      <c r="AB169" s="17"/>
      <c r="AD169" s="17"/>
    </row>
    <row r="170" spans="11:30" hidden="1" x14ac:dyDescent="0.25">
      <c r="K170" s="11"/>
      <c r="N170" s="4"/>
      <c r="Q170" s="17"/>
      <c r="R170" s="3"/>
      <c r="S170" s="11"/>
      <c r="U170" s="3"/>
      <c r="V170" s="3"/>
      <c r="W170" s="3"/>
      <c r="X170" s="3"/>
      <c r="Y170" s="3"/>
      <c r="Z170" s="19"/>
      <c r="AB170" s="17"/>
      <c r="AD170" s="17"/>
    </row>
    <row r="171" spans="11:30" hidden="1" x14ac:dyDescent="0.25">
      <c r="K171" s="11"/>
      <c r="N171" s="4"/>
      <c r="Q171" s="17"/>
      <c r="R171" s="3"/>
      <c r="S171" s="11"/>
      <c r="U171" s="3"/>
      <c r="V171" s="3"/>
      <c r="W171" s="3"/>
      <c r="X171" s="3"/>
      <c r="Y171" s="3"/>
      <c r="Z171" s="19"/>
      <c r="AB171" s="17"/>
      <c r="AD171" s="17"/>
    </row>
    <row r="172" spans="11:30" hidden="1" x14ac:dyDescent="0.25">
      <c r="K172" s="11"/>
      <c r="N172" s="4"/>
      <c r="Q172" s="17"/>
      <c r="R172" s="3"/>
      <c r="S172" s="11"/>
      <c r="U172" s="3"/>
      <c r="V172" s="3"/>
      <c r="W172" s="3"/>
      <c r="X172" s="3"/>
      <c r="Y172" s="3"/>
      <c r="Z172" s="19"/>
      <c r="AB172" s="17"/>
      <c r="AD172" s="17"/>
    </row>
    <row r="173" spans="11:30" hidden="1" x14ac:dyDescent="0.25">
      <c r="K173" s="11"/>
      <c r="N173" s="4"/>
      <c r="Q173" s="17"/>
      <c r="R173" s="3"/>
      <c r="S173" s="11"/>
      <c r="U173" s="3"/>
      <c r="V173" s="3"/>
      <c r="W173" s="3"/>
      <c r="X173" s="3"/>
      <c r="Y173" s="3"/>
      <c r="Z173" s="19"/>
      <c r="AB173" s="17"/>
      <c r="AD173" s="17"/>
    </row>
    <row r="174" spans="11:30" hidden="1" x14ac:dyDescent="0.25">
      <c r="K174" s="11"/>
      <c r="N174" s="4"/>
      <c r="Q174" s="17"/>
      <c r="R174" s="3"/>
      <c r="S174" s="11"/>
      <c r="U174" s="3"/>
      <c r="V174" s="3"/>
      <c r="W174" s="3"/>
      <c r="X174" s="3"/>
      <c r="Y174" s="3"/>
      <c r="Z174" s="19"/>
      <c r="AB174" s="17"/>
      <c r="AD174" s="17"/>
    </row>
    <row r="175" spans="11:30" hidden="1" x14ac:dyDescent="0.25">
      <c r="K175" s="11"/>
      <c r="N175" s="4"/>
      <c r="Q175" s="17"/>
      <c r="R175" s="3"/>
      <c r="S175" s="11"/>
      <c r="U175" s="3"/>
      <c r="V175" s="3"/>
      <c r="W175" s="3"/>
      <c r="X175" s="3"/>
      <c r="Y175" s="3"/>
      <c r="Z175" s="19"/>
      <c r="AB175" s="17"/>
      <c r="AD175" s="17"/>
    </row>
    <row r="176" spans="11:30" hidden="1" x14ac:dyDescent="0.25">
      <c r="K176" s="11"/>
      <c r="N176" s="4"/>
      <c r="Q176" s="17"/>
      <c r="R176" s="3"/>
      <c r="S176" s="11"/>
      <c r="U176" s="3"/>
      <c r="V176" s="3"/>
      <c r="W176" s="3"/>
      <c r="X176" s="3"/>
      <c r="Y176" s="3"/>
      <c r="Z176" s="19"/>
      <c r="AB176" s="17"/>
      <c r="AD176" s="17"/>
    </row>
    <row r="177" spans="11:30" hidden="1" x14ac:dyDescent="0.25">
      <c r="K177" s="11"/>
      <c r="N177" s="4"/>
      <c r="Q177" s="17"/>
      <c r="R177" s="3"/>
      <c r="S177" s="11"/>
      <c r="U177" s="3"/>
      <c r="V177" s="3"/>
      <c r="W177" s="3"/>
      <c r="X177" s="3"/>
      <c r="Y177" s="3"/>
      <c r="Z177" s="19"/>
      <c r="AB177" s="17"/>
      <c r="AD177" s="17"/>
    </row>
    <row r="178" spans="11:30" hidden="1" x14ac:dyDescent="0.25">
      <c r="K178" s="11"/>
      <c r="N178" s="4"/>
      <c r="Q178" s="17"/>
      <c r="R178" s="3"/>
      <c r="S178" s="11"/>
      <c r="U178" s="3"/>
      <c r="V178" s="3"/>
      <c r="W178" s="3"/>
      <c r="X178" s="3"/>
      <c r="Y178" s="3"/>
      <c r="Z178" s="19"/>
      <c r="AB178" s="17"/>
      <c r="AD178" s="17"/>
    </row>
    <row r="179" spans="11:30" hidden="1" x14ac:dyDescent="0.25">
      <c r="K179" s="11"/>
      <c r="N179" s="4"/>
      <c r="Q179" s="17"/>
      <c r="R179" s="3"/>
      <c r="S179" s="11"/>
      <c r="U179" s="3"/>
      <c r="V179" s="3"/>
      <c r="W179" s="3"/>
      <c r="X179" s="3"/>
      <c r="Y179" s="3"/>
      <c r="Z179" s="19"/>
      <c r="AB179" s="17"/>
      <c r="AD179" s="17"/>
    </row>
    <row r="180" spans="11:30" hidden="1" x14ac:dyDescent="0.25">
      <c r="K180" s="11"/>
      <c r="N180" s="4"/>
      <c r="Q180" s="17"/>
      <c r="R180" s="3"/>
      <c r="S180" s="11"/>
      <c r="U180" s="3"/>
      <c r="V180" s="3"/>
      <c r="W180" s="3"/>
      <c r="X180" s="3"/>
      <c r="Y180" s="3"/>
      <c r="Z180" s="19"/>
      <c r="AB180" s="17"/>
      <c r="AD180" s="17"/>
    </row>
    <row r="181" spans="11:30" hidden="1" x14ac:dyDescent="0.25">
      <c r="K181" s="11"/>
      <c r="N181" s="4"/>
      <c r="Q181" s="17"/>
      <c r="R181" s="3"/>
      <c r="S181" s="11"/>
      <c r="U181" s="3"/>
      <c r="V181" s="3"/>
      <c r="W181" s="3"/>
      <c r="X181" s="3"/>
      <c r="Y181" s="3"/>
      <c r="Z181" s="19"/>
      <c r="AB181" s="17"/>
      <c r="AD181" s="17"/>
    </row>
    <row r="182" spans="11:30" hidden="1" x14ac:dyDescent="0.25">
      <c r="K182" s="11"/>
      <c r="N182" s="4"/>
      <c r="Q182" s="17"/>
      <c r="R182" s="3"/>
      <c r="S182" s="11"/>
      <c r="U182" s="3"/>
      <c r="V182" s="3"/>
      <c r="W182" s="3"/>
      <c r="X182" s="3"/>
      <c r="Y182" s="3"/>
      <c r="Z182" s="19"/>
      <c r="AB182" s="17"/>
      <c r="AD182" s="17"/>
    </row>
    <row r="183" spans="11:30" hidden="1" x14ac:dyDescent="0.25">
      <c r="K183" s="11"/>
      <c r="N183" s="4"/>
      <c r="Q183" s="17"/>
      <c r="R183" s="3"/>
      <c r="S183" s="11"/>
      <c r="U183" s="3"/>
      <c r="V183" s="3"/>
      <c r="W183" s="3"/>
      <c r="X183" s="3"/>
      <c r="Y183" s="3"/>
      <c r="Z183" s="19"/>
      <c r="AB183" s="17"/>
      <c r="AD183" s="17"/>
    </row>
    <row r="184" spans="11:30" hidden="1" x14ac:dyDescent="0.25">
      <c r="K184" s="11"/>
      <c r="N184" s="4"/>
      <c r="Q184" s="17"/>
      <c r="R184" s="3"/>
      <c r="S184" s="11"/>
      <c r="U184" s="3"/>
      <c r="V184" s="3"/>
      <c r="W184" s="3"/>
      <c r="X184" s="3"/>
      <c r="Y184" s="3"/>
      <c r="Z184" s="19"/>
      <c r="AB184" s="17"/>
      <c r="AD184" s="17"/>
    </row>
    <row r="185" spans="11:30" hidden="1" x14ac:dyDescent="0.25">
      <c r="K185" s="11"/>
      <c r="N185" s="4"/>
      <c r="Q185" s="17"/>
      <c r="R185" s="3"/>
      <c r="S185" s="11"/>
      <c r="U185" s="3"/>
      <c r="V185" s="3"/>
      <c r="W185" s="3"/>
      <c r="X185" s="3"/>
      <c r="Y185" s="3"/>
      <c r="Z185" s="19"/>
      <c r="AB185" s="17"/>
      <c r="AD185" s="17"/>
    </row>
    <row r="186" spans="11:30" hidden="1" x14ac:dyDescent="0.25">
      <c r="K186" s="11"/>
      <c r="N186" s="4"/>
      <c r="Q186" s="17"/>
      <c r="R186" s="3"/>
      <c r="S186" s="11"/>
      <c r="U186" s="3"/>
      <c r="V186" s="3"/>
      <c r="W186" s="3"/>
      <c r="X186" s="3"/>
      <c r="Y186" s="3"/>
      <c r="Z186" s="19"/>
      <c r="AB186" s="17"/>
      <c r="AD186" s="17"/>
    </row>
    <row r="187" spans="11:30" hidden="1" x14ac:dyDescent="0.25">
      <c r="K187" s="11"/>
      <c r="N187" s="4"/>
      <c r="Q187" s="17"/>
      <c r="R187" s="3"/>
      <c r="S187" s="11"/>
      <c r="U187" s="3"/>
      <c r="V187" s="3"/>
      <c r="W187" s="3"/>
      <c r="X187" s="3"/>
      <c r="Y187" s="3"/>
      <c r="Z187" s="19"/>
      <c r="AB187" s="17"/>
      <c r="AD187" s="17"/>
    </row>
    <row r="188" spans="11:30" hidden="1" x14ac:dyDescent="0.25">
      <c r="K188" s="11"/>
      <c r="N188" s="4"/>
      <c r="Q188" s="17"/>
      <c r="R188" s="3"/>
      <c r="S188" s="11"/>
      <c r="U188" s="3"/>
      <c r="V188" s="3"/>
      <c r="W188" s="3"/>
      <c r="X188" s="3"/>
      <c r="Y188" s="3"/>
      <c r="Z188" s="19"/>
      <c r="AB188" s="17"/>
      <c r="AD188" s="17"/>
    </row>
    <row r="189" spans="11:30" hidden="1" x14ac:dyDescent="0.25">
      <c r="K189" s="11"/>
      <c r="N189" s="4"/>
      <c r="Q189" s="17"/>
      <c r="R189" s="3"/>
      <c r="S189" s="11"/>
      <c r="U189" s="3"/>
      <c r="V189" s="3"/>
      <c r="W189" s="3"/>
      <c r="X189" s="3"/>
      <c r="Y189" s="3"/>
      <c r="Z189" s="19"/>
      <c r="AB189" s="17"/>
      <c r="AD189" s="17"/>
    </row>
    <row r="190" spans="11:30" hidden="1" x14ac:dyDescent="0.25">
      <c r="K190" s="11"/>
      <c r="N190" s="4"/>
      <c r="Q190" s="17"/>
      <c r="R190" s="3"/>
      <c r="S190" s="11"/>
      <c r="U190" s="3"/>
      <c r="V190" s="3"/>
      <c r="W190" s="3"/>
      <c r="X190" s="3"/>
      <c r="Y190" s="3"/>
      <c r="Z190" s="19"/>
      <c r="AB190" s="17"/>
      <c r="AD190" s="17"/>
    </row>
    <row r="191" spans="11:30" hidden="1" x14ac:dyDescent="0.25">
      <c r="K191" s="11"/>
      <c r="N191" s="4"/>
      <c r="Q191" s="17"/>
      <c r="R191" s="3"/>
      <c r="S191" s="11"/>
      <c r="U191" s="3"/>
      <c r="V191" s="3"/>
      <c r="W191" s="3"/>
      <c r="X191" s="3"/>
      <c r="Y191" s="3"/>
      <c r="Z191" s="19"/>
      <c r="AB191" s="17"/>
      <c r="AD191" s="17"/>
    </row>
    <row r="192" spans="11:30" hidden="1" x14ac:dyDescent="0.25">
      <c r="K192" s="11"/>
      <c r="N192" s="4"/>
      <c r="Q192" s="17"/>
      <c r="R192" s="3"/>
      <c r="S192" s="11"/>
      <c r="U192" s="3"/>
      <c r="V192" s="3"/>
      <c r="W192" s="3"/>
      <c r="X192" s="3"/>
      <c r="Y192" s="3"/>
      <c r="Z192" s="19"/>
      <c r="AB192" s="17"/>
      <c r="AD192" s="17"/>
    </row>
    <row r="193" spans="11:30" hidden="1" x14ac:dyDescent="0.25">
      <c r="K193" s="11"/>
      <c r="N193" s="4"/>
      <c r="Q193" s="17"/>
      <c r="R193" s="3"/>
      <c r="S193" s="11"/>
      <c r="U193" s="3"/>
      <c r="V193" s="3"/>
      <c r="W193" s="3"/>
      <c r="X193" s="3"/>
      <c r="Y193" s="3"/>
      <c r="Z193" s="19"/>
      <c r="AB193" s="17"/>
      <c r="AD193" s="17"/>
    </row>
    <row r="194" spans="11:30" hidden="1" x14ac:dyDescent="0.25">
      <c r="K194" s="11"/>
      <c r="N194" s="4"/>
      <c r="Q194" s="17"/>
      <c r="R194" s="3"/>
      <c r="S194" s="11"/>
      <c r="U194" s="3"/>
      <c r="V194" s="3"/>
      <c r="W194" s="3"/>
      <c r="X194" s="3"/>
      <c r="Y194" s="3"/>
      <c r="Z194" s="19"/>
      <c r="AB194" s="17"/>
      <c r="AD194" s="17"/>
    </row>
    <row r="195" spans="11:30" hidden="1" x14ac:dyDescent="0.25">
      <c r="K195" s="11"/>
      <c r="N195" s="4"/>
      <c r="Q195" s="17"/>
      <c r="R195" s="3"/>
      <c r="S195" s="11"/>
      <c r="U195" s="3"/>
      <c r="V195" s="3"/>
      <c r="W195" s="3"/>
      <c r="X195" s="3"/>
      <c r="Y195" s="3"/>
      <c r="Z195" s="19"/>
      <c r="AB195" s="17"/>
      <c r="AD195" s="17"/>
    </row>
    <row r="196" spans="11:30" hidden="1" x14ac:dyDescent="0.25">
      <c r="K196" s="11"/>
      <c r="N196" s="4"/>
      <c r="Q196" s="17"/>
      <c r="R196" s="3"/>
      <c r="S196" s="11"/>
      <c r="U196" s="3"/>
      <c r="V196" s="3"/>
      <c r="W196" s="3"/>
      <c r="X196" s="3"/>
      <c r="Y196" s="3"/>
      <c r="Z196" s="19"/>
      <c r="AB196" s="17"/>
      <c r="AD196" s="17"/>
    </row>
    <row r="197" spans="11:30" hidden="1" x14ac:dyDescent="0.25">
      <c r="K197" s="11"/>
      <c r="N197" s="4"/>
      <c r="Q197" s="17"/>
      <c r="R197" s="3"/>
      <c r="S197" s="11"/>
      <c r="U197" s="3"/>
      <c r="V197" s="3"/>
      <c r="W197" s="3"/>
      <c r="X197" s="3"/>
      <c r="Y197" s="3"/>
      <c r="Z197" s="19"/>
      <c r="AB197" s="17"/>
      <c r="AD197" s="17"/>
    </row>
    <row r="198" spans="11:30" hidden="1" x14ac:dyDescent="0.25">
      <c r="K198" s="11"/>
      <c r="N198" s="4"/>
      <c r="Q198" s="17"/>
      <c r="R198" s="3"/>
      <c r="S198" s="11"/>
      <c r="U198" s="3"/>
      <c r="V198" s="3"/>
      <c r="W198" s="3"/>
      <c r="X198" s="3"/>
      <c r="Y198" s="3"/>
      <c r="Z198" s="19"/>
      <c r="AB198" s="17"/>
      <c r="AD198" s="17"/>
    </row>
    <row r="199" spans="11:30" hidden="1" x14ac:dyDescent="0.25">
      <c r="K199" s="11"/>
      <c r="N199" s="4"/>
      <c r="Q199" s="17"/>
      <c r="R199" s="3"/>
      <c r="S199" s="11"/>
      <c r="U199" s="3"/>
      <c r="V199" s="3"/>
      <c r="W199" s="3"/>
      <c r="X199" s="3"/>
      <c r="Y199" s="3"/>
      <c r="Z199" s="19"/>
      <c r="AB199" s="17"/>
      <c r="AD199" s="17"/>
    </row>
    <row r="200" spans="11:30" hidden="1" x14ac:dyDescent="0.25">
      <c r="K200" s="11"/>
      <c r="N200" s="4"/>
      <c r="Q200" s="17"/>
      <c r="R200" s="3"/>
      <c r="S200" s="11"/>
      <c r="U200" s="3"/>
      <c r="V200" s="3"/>
      <c r="W200" s="3"/>
      <c r="X200" s="3"/>
      <c r="Y200" s="3"/>
      <c r="Z200" s="19"/>
      <c r="AB200" s="17"/>
      <c r="AD200" s="17"/>
    </row>
    <row r="201" spans="11:30" hidden="1" x14ac:dyDescent="0.25">
      <c r="K201" s="11"/>
      <c r="N201" s="4"/>
      <c r="Q201" s="17"/>
      <c r="R201" s="3"/>
      <c r="S201" s="11"/>
      <c r="U201" s="3"/>
      <c r="V201" s="3"/>
      <c r="W201" s="3"/>
      <c r="X201" s="3"/>
      <c r="Y201" s="3"/>
      <c r="Z201" s="19"/>
      <c r="AB201" s="17"/>
      <c r="AD201" s="17"/>
    </row>
    <row r="202" spans="11:30" hidden="1" x14ac:dyDescent="0.25">
      <c r="K202" s="11"/>
      <c r="N202" s="4"/>
      <c r="Q202" s="17"/>
      <c r="R202" s="3"/>
      <c r="S202" s="11"/>
      <c r="U202" s="3"/>
      <c r="V202" s="3"/>
      <c r="W202" s="3"/>
      <c r="X202" s="3"/>
      <c r="Y202" s="3"/>
      <c r="Z202" s="19"/>
      <c r="AB202" s="17"/>
      <c r="AD202" s="17"/>
    </row>
    <row r="203" spans="11:30" hidden="1" x14ac:dyDescent="0.25">
      <c r="K203" s="11"/>
      <c r="N203" s="4"/>
      <c r="Q203" s="17"/>
      <c r="R203" s="3"/>
      <c r="S203" s="11"/>
      <c r="U203" s="3"/>
      <c r="V203" s="3"/>
      <c r="W203" s="3"/>
      <c r="X203" s="3"/>
      <c r="Y203" s="3"/>
      <c r="Z203" s="19"/>
      <c r="AB203" s="17"/>
      <c r="AD203" s="17"/>
    </row>
    <row r="204" spans="11:30" hidden="1" x14ac:dyDescent="0.25">
      <c r="K204" s="11"/>
      <c r="N204" s="4"/>
      <c r="Q204" s="17"/>
      <c r="R204" s="3"/>
      <c r="S204" s="11"/>
      <c r="U204" s="3"/>
      <c r="V204" s="3"/>
      <c r="W204" s="3"/>
      <c r="X204" s="3"/>
      <c r="Y204" s="3"/>
      <c r="Z204" s="19"/>
      <c r="AB204" s="17"/>
      <c r="AD204" s="17"/>
    </row>
    <row r="205" spans="11:30" hidden="1" x14ac:dyDescent="0.25">
      <c r="K205" s="11"/>
      <c r="N205" s="4"/>
      <c r="Q205" s="17"/>
      <c r="R205" s="3"/>
      <c r="S205" s="11"/>
      <c r="U205" s="3"/>
      <c r="V205" s="3"/>
      <c r="W205" s="3"/>
      <c r="X205" s="3"/>
      <c r="Y205" s="3"/>
      <c r="Z205" s="19"/>
      <c r="AB205" s="17"/>
      <c r="AD205" s="17"/>
    </row>
    <row r="206" spans="11:30" hidden="1" x14ac:dyDescent="0.25">
      <c r="K206" s="11"/>
      <c r="N206" s="4"/>
      <c r="Q206" s="17"/>
      <c r="R206" s="3"/>
      <c r="S206" s="11"/>
      <c r="U206" s="3"/>
      <c r="V206" s="3"/>
      <c r="W206" s="3"/>
      <c r="X206" s="3"/>
      <c r="Y206" s="3"/>
      <c r="Z206" s="19"/>
      <c r="AB206" s="17"/>
      <c r="AD206" s="17"/>
    </row>
    <row r="207" spans="11:30" hidden="1" x14ac:dyDescent="0.25">
      <c r="K207" s="11"/>
      <c r="N207" s="4"/>
      <c r="Q207" s="17"/>
      <c r="R207" s="3"/>
      <c r="S207" s="11"/>
      <c r="U207" s="3"/>
      <c r="V207" s="3"/>
      <c r="W207" s="3"/>
      <c r="X207" s="3"/>
      <c r="Y207" s="3"/>
      <c r="Z207" s="19"/>
      <c r="AB207" s="17"/>
      <c r="AD207" s="17"/>
    </row>
    <row r="208" spans="11:30" hidden="1" x14ac:dyDescent="0.25">
      <c r="K208" s="11"/>
      <c r="N208" s="4"/>
      <c r="Q208" s="17"/>
      <c r="R208" s="3"/>
      <c r="S208" s="11"/>
      <c r="U208" s="3"/>
      <c r="V208" s="3"/>
      <c r="W208" s="3"/>
      <c r="X208" s="3"/>
      <c r="Y208" s="3"/>
      <c r="Z208" s="19"/>
      <c r="AB208" s="17"/>
      <c r="AD208" s="17"/>
    </row>
    <row r="209" spans="11:30" hidden="1" x14ac:dyDescent="0.25">
      <c r="K209" s="11"/>
      <c r="N209" s="4"/>
      <c r="Q209" s="17"/>
      <c r="R209" s="3"/>
      <c r="S209" s="11"/>
      <c r="U209" s="3"/>
      <c r="V209" s="3"/>
      <c r="W209" s="3"/>
      <c r="X209" s="3"/>
      <c r="Y209" s="3"/>
      <c r="Z209" s="19"/>
      <c r="AB209" s="17"/>
      <c r="AD209" s="17"/>
    </row>
    <row r="210" spans="11:30" hidden="1" x14ac:dyDescent="0.25">
      <c r="K210" s="11"/>
      <c r="N210" s="4"/>
      <c r="Q210" s="17"/>
      <c r="R210" s="3"/>
      <c r="S210" s="11"/>
      <c r="U210" s="3"/>
      <c r="V210" s="3"/>
      <c r="W210" s="3"/>
      <c r="X210" s="3"/>
      <c r="Y210" s="3"/>
      <c r="Z210" s="19"/>
      <c r="AB210" s="17"/>
      <c r="AD210" s="17"/>
    </row>
    <row r="211" spans="11:30" hidden="1" x14ac:dyDescent="0.25">
      <c r="K211" s="11"/>
      <c r="N211" s="4"/>
      <c r="Q211" s="17"/>
      <c r="R211" s="3"/>
      <c r="S211" s="11"/>
      <c r="U211" s="3"/>
      <c r="V211" s="3"/>
      <c r="W211" s="3"/>
      <c r="X211" s="3"/>
      <c r="Y211" s="3"/>
      <c r="Z211" s="19"/>
      <c r="AB211" s="17"/>
      <c r="AD211" s="17"/>
    </row>
    <row r="212" spans="11:30" hidden="1" x14ac:dyDescent="0.25">
      <c r="K212" s="11"/>
      <c r="N212" s="4"/>
      <c r="Q212" s="17"/>
      <c r="R212" s="3"/>
      <c r="S212" s="11"/>
      <c r="U212" s="3"/>
      <c r="V212" s="3"/>
      <c r="W212" s="3"/>
      <c r="X212" s="3"/>
      <c r="Y212" s="3"/>
      <c r="Z212" s="19"/>
      <c r="AB212" s="17"/>
      <c r="AD212" s="17"/>
    </row>
    <row r="213" spans="11:30" hidden="1" x14ac:dyDescent="0.25">
      <c r="K213" s="11"/>
      <c r="N213" s="4"/>
      <c r="Q213" s="17"/>
      <c r="R213" s="3"/>
      <c r="S213" s="11"/>
      <c r="U213" s="3"/>
      <c r="V213" s="3"/>
      <c r="W213" s="3"/>
      <c r="X213" s="3"/>
      <c r="Y213" s="3"/>
      <c r="Z213" s="19"/>
      <c r="AB213" s="17"/>
      <c r="AD213" s="17"/>
    </row>
    <row r="214" spans="11:30" hidden="1" x14ac:dyDescent="0.25">
      <c r="K214" s="11"/>
      <c r="N214" s="4"/>
      <c r="Q214" s="17"/>
      <c r="R214" s="3"/>
      <c r="S214" s="11"/>
      <c r="U214" s="3"/>
      <c r="V214" s="3"/>
      <c r="W214" s="3"/>
      <c r="X214" s="3"/>
      <c r="Y214" s="3"/>
      <c r="Z214" s="19"/>
      <c r="AB214" s="17"/>
      <c r="AD214" s="17"/>
    </row>
    <row r="215" spans="11:30" hidden="1" x14ac:dyDescent="0.25">
      <c r="K215" s="11"/>
      <c r="N215" s="4"/>
      <c r="Q215" s="17"/>
      <c r="R215" s="3"/>
      <c r="S215" s="11"/>
      <c r="U215" s="3"/>
      <c r="V215" s="3"/>
      <c r="W215" s="3"/>
      <c r="X215" s="3"/>
      <c r="Y215" s="3"/>
      <c r="Z215" s="19"/>
      <c r="AB215" s="17"/>
      <c r="AD215" s="17"/>
    </row>
    <row r="216" spans="11:30" hidden="1" x14ac:dyDescent="0.25">
      <c r="K216" s="11"/>
      <c r="N216" s="4"/>
      <c r="Q216" s="17"/>
      <c r="R216" s="3"/>
      <c r="S216" s="11"/>
      <c r="U216" s="3"/>
      <c r="V216" s="3"/>
      <c r="W216" s="3"/>
      <c r="X216" s="3"/>
      <c r="Y216" s="3"/>
      <c r="Z216" s="19"/>
      <c r="AB216" s="17"/>
      <c r="AD216" s="17"/>
    </row>
    <row r="217" spans="11:30" hidden="1" x14ac:dyDescent="0.25">
      <c r="K217" s="11"/>
      <c r="N217" s="4"/>
      <c r="Q217" s="17"/>
      <c r="R217" s="3"/>
      <c r="S217" s="11"/>
      <c r="U217" s="3"/>
      <c r="V217" s="3"/>
      <c r="W217" s="3"/>
      <c r="X217" s="3"/>
      <c r="Y217" s="3"/>
      <c r="Z217" s="19"/>
      <c r="AB217" s="17"/>
      <c r="AD217" s="17"/>
    </row>
    <row r="218" spans="11:30" hidden="1" x14ac:dyDescent="0.25">
      <c r="K218" s="11"/>
      <c r="N218" s="4"/>
      <c r="Q218" s="17"/>
      <c r="R218" s="3"/>
      <c r="S218" s="11"/>
      <c r="U218" s="3"/>
      <c r="V218" s="3"/>
      <c r="W218" s="3"/>
      <c r="X218" s="3"/>
      <c r="Y218" s="3"/>
      <c r="Z218" s="19"/>
      <c r="AB218" s="17"/>
      <c r="AD218" s="17"/>
    </row>
    <row r="219" spans="11:30" hidden="1" x14ac:dyDescent="0.25">
      <c r="K219" s="11"/>
      <c r="N219" s="4"/>
      <c r="Q219" s="17"/>
      <c r="R219" s="3"/>
      <c r="S219" s="11"/>
      <c r="U219" s="3"/>
      <c r="V219" s="3"/>
      <c r="W219" s="3"/>
      <c r="X219" s="3"/>
      <c r="Y219" s="3"/>
      <c r="Z219" s="19"/>
      <c r="AB219" s="17"/>
      <c r="AD219" s="17"/>
    </row>
    <row r="220" spans="11:30" hidden="1" x14ac:dyDescent="0.25">
      <c r="K220" s="11"/>
      <c r="N220" s="4"/>
      <c r="Q220" s="17"/>
      <c r="R220" s="3"/>
      <c r="S220" s="11"/>
      <c r="U220" s="3"/>
      <c r="V220" s="3"/>
      <c r="W220" s="3"/>
      <c r="X220" s="3"/>
      <c r="Y220" s="3"/>
      <c r="Z220" s="19"/>
      <c r="AB220" s="17"/>
      <c r="AD220" s="17"/>
    </row>
    <row r="221" spans="11:30" hidden="1" x14ac:dyDescent="0.25">
      <c r="K221" s="11"/>
      <c r="N221" s="4"/>
      <c r="Q221" s="17"/>
      <c r="R221" s="3"/>
      <c r="S221" s="11"/>
      <c r="U221" s="3"/>
      <c r="V221" s="3"/>
      <c r="W221" s="3"/>
      <c r="X221" s="3"/>
      <c r="Y221" s="3"/>
      <c r="Z221" s="19"/>
      <c r="AB221" s="17"/>
      <c r="AD221" s="17"/>
    </row>
    <row r="222" spans="11:30" hidden="1" x14ac:dyDescent="0.25">
      <c r="K222" s="11"/>
      <c r="N222" s="4"/>
      <c r="Q222" s="17"/>
      <c r="R222" s="3"/>
      <c r="S222" s="11"/>
      <c r="U222" s="3"/>
      <c r="V222" s="3"/>
      <c r="W222" s="3"/>
      <c r="X222" s="3"/>
      <c r="Y222" s="3"/>
      <c r="Z222" s="19"/>
      <c r="AB222" s="17"/>
      <c r="AD222" s="17"/>
    </row>
    <row r="223" spans="11:30" hidden="1" x14ac:dyDescent="0.25">
      <c r="K223" s="11"/>
      <c r="N223" s="4"/>
      <c r="Q223" s="17"/>
      <c r="R223" s="3"/>
      <c r="S223" s="11"/>
      <c r="U223" s="3"/>
      <c r="V223" s="3"/>
      <c r="W223" s="3"/>
      <c r="X223" s="3"/>
      <c r="Y223" s="3"/>
      <c r="Z223" s="19"/>
      <c r="AB223" s="17"/>
      <c r="AD223" s="17"/>
    </row>
    <row r="224" spans="11:30" hidden="1" x14ac:dyDescent="0.25">
      <c r="K224" s="11"/>
      <c r="N224" s="4"/>
      <c r="Q224" s="17"/>
      <c r="R224" s="3"/>
      <c r="S224" s="11"/>
      <c r="U224" s="3"/>
      <c r="V224" s="3"/>
      <c r="W224" s="3"/>
      <c r="X224" s="3"/>
      <c r="Y224" s="3"/>
      <c r="Z224" s="19"/>
      <c r="AB224" s="17"/>
      <c r="AD224" s="17"/>
    </row>
    <row r="225" spans="11:30" hidden="1" x14ac:dyDescent="0.25">
      <c r="K225" s="11"/>
      <c r="N225" s="4"/>
      <c r="Q225" s="17"/>
      <c r="R225" s="3"/>
      <c r="S225" s="11"/>
      <c r="U225" s="3"/>
      <c r="V225" s="3"/>
      <c r="W225" s="3"/>
      <c r="X225" s="3"/>
      <c r="Y225" s="3"/>
      <c r="Z225" s="19"/>
      <c r="AB225" s="17"/>
      <c r="AD225" s="17"/>
    </row>
    <row r="226" spans="11:30" hidden="1" x14ac:dyDescent="0.25">
      <c r="K226" s="11"/>
      <c r="N226" s="4"/>
      <c r="Q226" s="17"/>
      <c r="R226" s="3"/>
      <c r="S226" s="11"/>
      <c r="U226" s="3"/>
      <c r="V226" s="3"/>
      <c r="W226" s="3"/>
      <c r="X226" s="3"/>
      <c r="Y226" s="3"/>
      <c r="Z226" s="19"/>
      <c r="AB226" s="17"/>
      <c r="AD226" s="17"/>
    </row>
    <row r="227" spans="11:30" hidden="1" x14ac:dyDescent="0.25">
      <c r="K227" s="11"/>
      <c r="N227" s="4"/>
      <c r="Q227" s="17"/>
      <c r="R227" s="3"/>
      <c r="S227" s="11"/>
      <c r="U227" s="3"/>
      <c r="V227" s="3"/>
      <c r="W227" s="3"/>
      <c r="X227" s="3"/>
      <c r="Y227" s="3"/>
      <c r="Z227" s="19"/>
      <c r="AB227" s="17"/>
      <c r="AD227" s="17"/>
    </row>
    <row r="228" spans="11:30" hidden="1" x14ac:dyDescent="0.25">
      <c r="K228" s="11"/>
      <c r="N228" s="4"/>
      <c r="Q228" s="17"/>
      <c r="R228" s="3"/>
      <c r="S228" s="11"/>
      <c r="U228" s="3"/>
      <c r="V228" s="3"/>
      <c r="W228" s="3"/>
      <c r="X228" s="3"/>
      <c r="Y228" s="3"/>
      <c r="Z228" s="19"/>
      <c r="AB228" s="17"/>
      <c r="AD228" s="17"/>
    </row>
    <row r="229" spans="11:30" hidden="1" x14ac:dyDescent="0.25">
      <c r="K229" s="11"/>
      <c r="N229" s="4"/>
      <c r="Q229" s="17"/>
      <c r="R229" s="3"/>
      <c r="S229" s="11"/>
      <c r="U229" s="3"/>
      <c r="V229" s="3"/>
      <c r="W229" s="3"/>
      <c r="X229" s="3"/>
      <c r="Y229" s="3"/>
      <c r="Z229" s="19"/>
      <c r="AB229" s="17"/>
      <c r="AD229" s="17"/>
    </row>
    <row r="230" spans="11:30" hidden="1" x14ac:dyDescent="0.25">
      <c r="K230" s="11"/>
      <c r="N230" s="4"/>
      <c r="Q230" s="17"/>
      <c r="R230" s="3"/>
      <c r="S230" s="11"/>
      <c r="U230" s="3"/>
      <c r="V230" s="3"/>
      <c r="W230" s="3"/>
      <c r="X230" s="3"/>
      <c r="Y230" s="3"/>
      <c r="Z230" s="19"/>
      <c r="AB230" s="17"/>
      <c r="AD230" s="17"/>
    </row>
    <row r="231" spans="11:30" hidden="1" x14ac:dyDescent="0.25">
      <c r="K231" s="11"/>
      <c r="N231" s="4"/>
      <c r="Q231" s="17"/>
      <c r="R231" s="3"/>
      <c r="S231" s="11"/>
      <c r="U231" s="3"/>
      <c r="V231" s="3"/>
      <c r="W231" s="3"/>
      <c r="X231" s="3"/>
      <c r="Y231" s="3"/>
      <c r="Z231" s="19"/>
      <c r="AB231" s="17"/>
      <c r="AD231" s="17"/>
    </row>
    <row r="232" spans="11:30" hidden="1" x14ac:dyDescent="0.25">
      <c r="K232" s="11"/>
      <c r="N232" s="4"/>
      <c r="Q232" s="17"/>
      <c r="R232" s="3"/>
      <c r="S232" s="11"/>
      <c r="U232" s="3"/>
      <c r="V232" s="3"/>
      <c r="W232" s="3"/>
      <c r="X232" s="3"/>
      <c r="Y232" s="3"/>
      <c r="Z232" s="19"/>
      <c r="AB232" s="17"/>
      <c r="AD232" s="17"/>
    </row>
    <row r="233" spans="11:30" hidden="1" x14ac:dyDescent="0.25">
      <c r="K233" s="11"/>
      <c r="N233" s="4"/>
      <c r="Q233" s="17"/>
      <c r="R233" s="3"/>
      <c r="S233" s="11"/>
      <c r="U233" s="3"/>
      <c r="V233" s="3"/>
      <c r="W233" s="3"/>
      <c r="X233" s="3"/>
      <c r="Y233" s="3"/>
      <c r="Z233" s="19"/>
      <c r="AB233" s="17"/>
      <c r="AD233" s="17"/>
    </row>
    <row r="234" spans="11:30" hidden="1" x14ac:dyDescent="0.25">
      <c r="K234" s="11"/>
      <c r="N234" s="4"/>
      <c r="Q234" s="17"/>
      <c r="R234" s="3"/>
      <c r="S234" s="11"/>
      <c r="U234" s="3"/>
      <c r="V234" s="3"/>
      <c r="W234" s="3"/>
      <c r="X234" s="3"/>
      <c r="Y234" s="3"/>
      <c r="Z234" s="19"/>
      <c r="AB234" s="17"/>
      <c r="AD234" s="17"/>
    </row>
    <row r="235" spans="11:30" hidden="1" x14ac:dyDescent="0.25">
      <c r="K235" s="11"/>
      <c r="N235" s="4"/>
      <c r="Q235" s="17"/>
      <c r="R235" s="3"/>
      <c r="S235" s="11"/>
      <c r="U235" s="3"/>
      <c r="V235" s="3"/>
      <c r="W235" s="3"/>
      <c r="X235" s="3"/>
      <c r="Y235" s="3"/>
      <c r="Z235" s="19"/>
      <c r="AB235" s="17"/>
      <c r="AD235" s="17"/>
    </row>
    <row r="236" spans="11:30" hidden="1" x14ac:dyDescent="0.25">
      <c r="K236" s="11"/>
      <c r="N236" s="4"/>
      <c r="Q236" s="17"/>
      <c r="R236" s="3"/>
      <c r="S236" s="11"/>
      <c r="U236" s="3"/>
      <c r="V236" s="3"/>
      <c r="W236" s="3"/>
      <c r="X236" s="3"/>
      <c r="Y236" s="3"/>
      <c r="Z236" s="19"/>
      <c r="AB236" s="17"/>
      <c r="AD236" s="17"/>
    </row>
    <row r="237" spans="11:30" hidden="1" x14ac:dyDescent="0.25">
      <c r="K237" s="11"/>
      <c r="N237" s="4"/>
      <c r="Q237" s="17"/>
      <c r="R237" s="3"/>
      <c r="S237" s="11"/>
      <c r="U237" s="3"/>
      <c r="V237" s="3"/>
      <c r="W237" s="3"/>
      <c r="X237" s="3"/>
      <c r="Y237" s="3"/>
      <c r="Z237" s="19"/>
      <c r="AB237" s="17"/>
      <c r="AD237" s="17"/>
    </row>
    <row r="238" spans="11:30" hidden="1" x14ac:dyDescent="0.25">
      <c r="K238" s="11"/>
      <c r="N238" s="4"/>
      <c r="Q238" s="17"/>
      <c r="R238" s="3"/>
      <c r="S238" s="11"/>
      <c r="U238" s="3"/>
      <c r="V238" s="3"/>
      <c r="W238" s="3"/>
      <c r="X238" s="3"/>
      <c r="Y238" s="3"/>
      <c r="Z238" s="19"/>
      <c r="AB238" s="17"/>
      <c r="AD238" s="17"/>
    </row>
    <row r="239" spans="11:30" hidden="1" x14ac:dyDescent="0.25">
      <c r="K239" s="11"/>
      <c r="N239" s="4"/>
      <c r="Q239" s="17"/>
      <c r="R239" s="3"/>
      <c r="S239" s="11"/>
      <c r="U239" s="3"/>
      <c r="V239" s="3"/>
      <c r="W239" s="3"/>
      <c r="X239" s="3"/>
      <c r="Y239" s="3"/>
      <c r="Z239" s="19"/>
      <c r="AB239" s="17"/>
      <c r="AD239" s="17"/>
    </row>
    <row r="240" spans="11:30" hidden="1" x14ac:dyDescent="0.25">
      <c r="K240" s="11"/>
      <c r="N240" s="4"/>
      <c r="Q240" s="17"/>
      <c r="R240" s="3"/>
      <c r="S240" s="11"/>
      <c r="U240" s="3"/>
      <c r="V240" s="3"/>
      <c r="W240" s="3"/>
      <c r="X240" s="3"/>
      <c r="Y240" s="3"/>
      <c r="Z240" s="19"/>
      <c r="AB240" s="17"/>
      <c r="AD240" s="17"/>
    </row>
    <row r="241" spans="11:30" hidden="1" x14ac:dyDescent="0.25">
      <c r="K241" s="11"/>
      <c r="N241" s="4"/>
      <c r="Q241" s="17"/>
      <c r="R241" s="3"/>
      <c r="S241" s="11"/>
      <c r="U241" s="3"/>
      <c r="V241" s="3"/>
      <c r="W241" s="3"/>
      <c r="X241" s="3"/>
      <c r="Y241" s="3"/>
      <c r="Z241" s="19"/>
      <c r="AB241" s="17"/>
      <c r="AD241" s="17"/>
    </row>
    <row r="242" spans="11:30" hidden="1" x14ac:dyDescent="0.25">
      <c r="K242" s="11"/>
      <c r="N242" s="4"/>
      <c r="Q242" s="17"/>
      <c r="R242" s="3"/>
      <c r="S242" s="11"/>
      <c r="U242" s="3"/>
      <c r="V242" s="3"/>
      <c r="W242" s="3"/>
      <c r="X242" s="3"/>
      <c r="Y242" s="3"/>
      <c r="Z242" s="19"/>
      <c r="AB242" s="17"/>
      <c r="AD242" s="17"/>
    </row>
    <row r="243" spans="11:30" hidden="1" x14ac:dyDescent="0.25">
      <c r="K243" s="11"/>
      <c r="N243" s="4"/>
      <c r="Q243" s="17"/>
      <c r="R243" s="3"/>
      <c r="S243" s="11"/>
      <c r="U243" s="3"/>
      <c r="V243" s="3"/>
      <c r="W243" s="3"/>
      <c r="X243" s="3"/>
      <c r="Y243" s="3"/>
      <c r="Z243" s="19"/>
      <c r="AB243" s="17"/>
      <c r="AD243" s="17"/>
    </row>
    <row r="244" spans="11:30" hidden="1" x14ac:dyDescent="0.25">
      <c r="K244" s="11"/>
      <c r="N244" s="4"/>
      <c r="Q244" s="17"/>
      <c r="R244" s="3"/>
      <c r="S244" s="11"/>
      <c r="U244" s="3"/>
      <c r="V244" s="3"/>
      <c r="W244" s="3"/>
      <c r="X244" s="3"/>
      <c r="Y244" s="3"/>
      <c r="Z244" s="19"/>
      <c r="AB244" s="17"/>
      <c r="AD244" s="17"/>
    </row>
    <row r="245" spans="11:30" hidden="1" x14ac:dyDescent="0.25">
      <c r="K245" s="11"/>
      <c r="N245" s="4"/>
      <c r="Q245" s="17"/>
      <c r="R245" s="3"/>
      <c r="S245" s="11"/>
      <c r="U245" s="3"/>
      <c r="V245" s="3"/>
      <c r="W245" s="3"/>
      <c r="X245" s="3"/>
      <c r="Y245" s="3"/>
      <c r="Z245" s="19"/>
      <c r="AB245" s="17"/>
      <c r="AD245" s="17"/>
    </row>
    <row r="246" spans="11:30" hidden="1" x14ac:dyDescent="0.25">
      <c r="K246" s="11"/>
      <c r="N246" s="4"/>
      <c r="Q246" s="17"/>
      <c r="R246" s="3"/>
      <c r="S246" s="11"/>
      <c r="U246" s="3"/>
      <c r="V246" s="3"/>
      <c r="W246" s="3"/>
      <c r="X246" s="3"/>
      <c r="Y246" s="3"/>
      <c r="Z246" s="19"/>
      <c r="AB246" s="17"/>
      <c r="AD246" s="17"/>
    </row>
    <row r="247" spans="11:30" hidden="1" x14ac:dyDescent="0.25">
      <c r="K247" s="11"/>
      <c r="N247" s="4"/>
      <c r="Q247" s="17"/>
      <c r="R247" s="3"/>
      <c r="S247" s="11"/>
      <c r="U247" s="3"/>
      <c r="V247" s="3"/>
      <c r="W247" s="3"/>
      <c r="X247" s="3"/>
      <c r="Y247" s="3"/>
      <c r="Z247" s="19"/>
      <c r="AB247" s="17"/>
      <c r="AD247" s="17"/>
    </row>
    <row r="248" spans="11:30" hidden="1" x14ac:dyDescent="0.25">
      <c r="K248" s="11"/>
      <c r="N248" s="4"/>
      <c r="Q248" s="17"/>
      <c r="R248" s="3"/>
      <c r="S248" s="11"/>
      <c r="U248" s="3"/>
      <c r="V248" s="3"/>
      <c r="W248" s="3"/>
      <c r="X248" s="3"/>
      <c r="Y248" s="3"/>
      <c r="Z248" s="19"/>
      <c r="AB248" s="17"/>
      <c r="AD248" s="17"/>
    </row>
    <row r="249" spans="11:30" hidden="1" x14ac:dyDescent="0.25">
      <c r="K249" s="11"/>
      <c r="N249" s="4"/>
      <c r="Q249" s="17"/>
      <c r="R249" s="3"/>
      <c r="S249" s="11"/>
      <c r="U249" s="3"/>
      <c r="V249" s="3"/>
      <c r="W249" s="3"/>
      <c r="X249" s="3"/>
      <c r="Y249" s="3"/>
      <c r="Z249" s="19"/>
      <c r="AB249" s="17"/>
      <c r="AD249" s="17"/>
    </row>
    <row r="250" spans="11:30" hidden="1" x14ac:dyDescent="0.25">
      <c r="K250" s="11"/>
      <c r="N250" s="4"/>
      <c r="Q250" s="17"/>
      <c r="R250" s="3"/>
      <c r="S250" s="11"/>
      <c r="U250" s="3"/>
      <c r="V250" s="3"/>
      <c r="W250" s="3"/>
      <c r="X250" s="3"/>
      <c r="Y250" s="3"/>
      <c r="Z250" s="19"/>
      <c r="AB250" s="17"/>
      <c r="AD250" s="17"/>
    </row>
    <row r="251" spans="11:30" hidden="1" x14ac:dyDescent="0.25">
      <c r="K251" s="11"/>
      <c r="N251" s="4"/>
      <c r="Q251" s="17"/>
      <c r="R251" s="3"/>
      <c r="S251" s="11"/>
      <c r="U251" s="3"/>
      <c r="V251" s="3"/>
      <c r="W251" s="3"/>
      <c r="X251" s="3"/>
      <c r="Y251" s="3"/>
      <c r="Z251" s="19"/>
      <c r="AB251" s="17"/>
      <c r="AD251" s="17"/>
    </row>
    <row r="252" spans="11:30" hidden="1" x14ac:dyDescent="0.25">
      <c r="K252" s="11"/>
      <c r="N252" s="4"/>
      <c r="Q252" s="17"/>
      <c r="R252" s="3"/>
      <c r="S252" s="11"/>
      <c r="U252" s="3"/>
      <c r="V252" s="3"/>
      <c r="W252" s="3"/>
      <c r="X252" s="3"/>
      <c r="Y252" s="3"/>
      <c r="Z252" s="19"/>
      <c r="AB252" s="17"/>
      <c r="AD252" s="17"/>
    </row>
    <row r="253" spans="11:30" hidden="1" x14ac:dyDescent="0.25">
      <c r="K253" s="11"/>
      <c r="N253" s="4"/>
      <c r="Q253" s="17"/>
      <c r="R253" s="3"/>
      <c r="S253" s="11"/>
      <c r="U253" s="3"/>
      <c r="V253" s="3"/>
      <c r="W253" s="3"/>
      <c r="X253" s="3"/>
      <c r="Y253" s="3"/>
      <c r="Z253" s="19"/>
      <c r="AB253" s="17"/>
      <c r="AD253" s="17"/>
    </row>
    <row r="254" spans="11:30" hidden="1" x14ac:dyDescent="0.25">
      <c r="K254" s="11"/>
      <c r="N254" s="4"/>
      <c r="Q254" s="17"/>
      <c r="R254" s="3"/>
      <c r="S254" s="11"/>
      <c r="U254" s="3"/>
      <c r="V254" s="3"/>
      <c r="W254" s="3"/>
      <c r="X254" s="3"/>
      <c r="Y254" s="3"/>
      <c r="Z254" s="19"/>
      <c r="AB254" s="17"/>
      <c r="AD254" s="17"/>
    </row>
    <row r="255" spans="11:30" hidden="1" x14ac:dyDescent="0.25">
      <c r="K255" s="11"/>
      <c r="N255" s="4"/>
      <c r="Q255" s="17"/>
      <c r="R255" s="3"/>
      <c r="S255" s="11"/>
      <c r="U255" s="3"/>
      <c r="V255" s="3"/>
      <c r="W255" s="3"/>
      <c r="X255" s="3"/>
      <c r="Y255" s="3"/>
      <c r="Z255" s="19"/>
      <c r="AB255" s="17"/>
      <c r="AD255" s="17"/>
    </row>
    <row r="256" spans="11:30" hidden="1" x14ac:dyDescent="0.25">
      <c r="K256" s="11"/>
      <c r="N256" s="4"/>
      <c r="Q256" s="17"/>
      <c r="R256" s="3"/>
      <c r="S256" s="11"/>
      <c r="U256" s="3"/>
      <c r="V256" s="3"/>
      <c r="W256" s="3"/>
      <c r="X256" s="3"/>
      <c r="Y256" s="3"/>
      <c r="Z256" s="19"/>
      <c r="AB256" s="17"/>
      <c r="AD256" s="17"/>
    </row>
    <row r="257" spans="11:30" hidden="1" x14ac:dyDescent="0.25">
      <c r="K257" s="11"/>
      <c r="N257" s="4"/>
      <c r="Q257" s="17"/>
      <c r="R257" s="3"/>
      <c r="S257" s="11"/>
      <c r="U257" s="3"/>
      <c r="V257" s="3"/>
      <c r="W257" s="3"/>
      <c r="X257" s="3"/>
      <c r="Y257" s="3"/>
      <c r="Z257" s="19"/>
      <c r="AB257" s="17"/>
      <c r="AD257" s="17"/>
    </row>
    <row r="258" spans="11:30" hidden="1" x14ac:dyDescent="0.25">
      <c r="K258" s="11"/>
      <c r="N258" s="4"/>
      <c r="Q258" s="17"/>
      <c r="R258" s="3"/>
      <c r="S258" s="11"/>
      <c r="U258" s="3"/>
      <c r="V258" s="3"/>
      <c r="W258" s="3"/>
      <c r="X258" s="3"/>
      <c r="Y258" s="3"/>
      <c r="Z258" s="19"/>
      <c r="AB258" s="17"/>
      <c r="AD258" s="17"/>
    </row>
    <row r="259" spans="11:30" hidden="1" x14ac:dyDescent="0.25">
      <c r="K259" s="11"/>
      <c r="N259" s="4"/>
      <c r="Q259" s="17"/>
      <c r="R259" s="3"/>
      <c r="S259" s="11"/>
      <c r="U259" s="3"/>
      <c r="V259" s="3"/>
      <c r="W259" s="3"/>
      <c r="X259" s="3"/>
      <c r="Y259" s="3"/>
      <c r="Z259" s="19"/>
      <c r="AB259" s="17"/>
      <c r="AD259" s="17"/>
    </row>
    <row r="260" spans="11:30" hidden="1" x14ac:dyDescent="0.25">
      <c r="K260" s="11"/>
      <c r="N260" s="4"/>
      <c r="Q260" s="17"/>
      <c r="R260" s="3"/>
      <c r="S260" s="11"/>
      <c r="U260" s="3"/>
      <c r="V260" s="3"/>
      <c r="W260" s="3"/>
      <c r="X260" s="3"/>
      <c r="Y260" s="3"/>
      <c r="Z260" s="19"/>
      <c r="AB260" s="17"/>
      <c r="AD260" s="17"/>
    </row>
    <row r="261" spans="11:30" hidden="1" x14ac:dyDescent="0.25">
      <c r="K261" s="11"/>
      <c r="N261" s="4"/>
      <c r="Q261" s="17"/>
      <c r="R261" s="3"/>
      <c r="S261" s="11"/>
      <c r="U261" s="3"/>
      <c r="V261" s="3"/>
      <c r="W261" s="3"/>
      <c r="X261" s="3"/>
      <c r="Y261" s="3"/>
      <c r="Z261" s="19"/>
      <c r="AB261" s="17"/>
      <c r="AD261" s="17"/>
    </row>
    <row r="262" spans="11:30" hidden="1" x14ac:dyDescent="0.25">
      <c r="K262" s="11"/>
      <c r="N262" s="4"/>
      <c r="Q262" s="17"/>
      <c r="R262" s="3"/>
      <c r="S262" s="11"/>
      <c r="U262" s="3"/>
      <c r="V262" s="3"/>
      <c r="W262" s="3"/>
      <c r="X262" s="3"/>
      <c r="Y262" s="3"/>
      <c r="Z262" s="19"/>
      <c r="AB262" s="17"/>
      <c r="AD262" s="17"/>
    </row>
    <row r="263" spans="11:30" hidden="1" x14ac:dyDescent="0.25">
      <c r="K263" s="11"/>
      <c r="N263" s="4"/>
      <c r="Q263" s="17"/>
      <c r="R263" s="3"/>
      <c r="S263" s="11"/>
      <c r="U263" s="3"/>
      <c r="V263" s="3"/>
      <c r="W263" s="3"/>
      <c r="X263" s="3"/>
      <c r="Y263" s="3"/>
      <c r="Z263" s="19"/>
      <c r="AB263" s="17"/>
      <c r="AD263" s="17"/>
    </row>
    <row r="264" spans="11:30" hidden="1" x14ac:dyDescent="0.25">
      <c r="K264" s="11"/>
      <c r="N264" s="4"/>
      <c r="Q264" s="17"/>
      <c r="R264" s="3"/>
      <c r="S264" s="11"/>
      <c r="U264" s="3"/>
      <c r="V264" s="3"/>
      <c r="W264" s="3"/>
      <c r="X264" s="3"/>
      <c r="Y264" s="3"/>
      <c r="Z264" s="19"/>
      <c r="AB264" s="17"/>
      <c r="AD264" s="17"/>
    </row>
    <row r="265" spans="11:30" hidden="1" x14ac:dyDescent="0.25">
      <c r="K265" s="11"/>
      <c r="N265" s="4"/>
      <c r="Q265" s="17"/>
      <c r="R265" s="3"/>
      <c r="S265" s="11"/>
      <c r="U265" s="3"/>
      <c r="V265" s="3"/>
      <c r="W265" s="3"/>
      <c r="X265" s="3"/>
      <c r="Y265" s="3"/>
      <c r="Z265" s="19"/>
      <c r="AB265" s="17"/>
      <c r="AD265" s="17"/>
    </row>
    <row r="266" spans="11:30" hidden="1" x14ac:dyDescent="0.25">
      <c r="K266" s="11"/>
      <c r="N266" s="4"/>
      <c r="Q266" s="17"/>
      <c r="R266" s="3"/>
      <c r="S266" s="11"/>
      <c r="U266" s="3"/>
      <c r="V266" s="3"/>
      <c r="W266" s="3"/>
      <c r="X266" s="3"/>
      <c r="Y266" s="3"/>
      <c r="Z266" s="19"/>
      <c r="AB266" s="17"/>
      <c r="AD266" s="17"/>
    </row>
    <row r="267" spans="11:30" hidden="1" x14ac:dyDescent="0.25">
      <c r="K267" s="11"/>
      <c r="N267" s="4"/>
      <c r="Q267" s="17"/>
      <c r="R267" s="3"/>
      <c r="S267" s="11"/>
      <c r="U267" s="3"/>
      <c r="V267" s="3"/>
      <c r="W267" s="3"/>
      <c r="X267" s="3"/>
      <c r="Y267" s="3"/>
      <c r="Z267" s="19"/>
      <c r="AB267" s="17"/>
      <c r="AD267" s="17"/>
    </row>
    <row r="268" spans="11:30" hidden="1" x14ac:dyDescent="0.25">
      <c r="K268" s="11"/>
      <c r="N268" s="4"/>
      <c r="Q268" s="17"/>
      <c r="R268" s="3"/>
      <c r="S268" s="11"/>
      <c r="U268" s="3"/>
      <c r="V268" s="3"/>
      <c r="W268" s="3"/>
      <c r="X268" s="3"/>
      <c r="Y268" s="3"/>
      <c r="Z268" s="19"/>
      <c r="AB268" s="17"/>
      <c r="AD268" s="17"/>
    </row>
    <row r="269" spans="11:30" hidden="1" x14ac:dyDescent="0.25">
      <c r="K269" s="11"/>
      <c r="N269" s="4"/>
      <c r="Q269" s="17"/>
      <c r="R269" s="3"/>
      <c r="S269" s="11"/>
      <c r="U269" s="3"/>
      <c r="V269" s="3"/>
      <c r="W269" s="3"/>
      <c r="X269" s="3"/>
      <c r="Y269" s="3"/>
      <c r="Z269" s="19"/>
      <c r="AB269" s="17"/>
      <c r="AD269" s="17"/>
    </row>
    <row r="270" spans="11:30" hidden="1" x14ac:dyDescent="0.25">
      <c r="K270" s="11"/>
      <c r="N270" s="4"/>
      <c r="Q270" s="17"/>
      <c r="R270" s="3"/>
      <c r="S270" s="11"/>
      <c r="U270" s="3"/>
      <c r="V270" s="3"/>
      <c r="W270" s="3"/>
      <c r="X270" s="3"/>
      <c r="Y270" s="3"/>
      <c r="Z270" s="19"/>
      <c r="AB270" s="17"/>
      <c r="AD270" s="17"/>
    </row>
    <row r="271" spans="11:30" hidden="1" x14ac:dyDescent="0.25">
      <c r="K271" s="11"/>
      <c r="N271" s="4"/>
      <c r="Q271" s="17"/>
      <c r="R271" s="3"/>
      <c r="S271" s="11"/>
      <c r="U271" s="3"/>
      <c r="V271" s="3"/>
      <c r="W271" s="3"/>
      <c r="X271" s="3"/>
      <c r="Y271" s="3"/>
      <c r="Z271" s="19"/>
      <c r="AB271" s="17"/>
      <c r="AD271" s="17"/>
    </row>
    <row r="272" spans="11:30" hidden="1" x14ac:dyDescent="0.25">
      <c r="K272" s="11"/>
      <c r="N272" s="4"/>
      <c r="Q272" s="17"/>
      <c r="R272" s="3"/>
      <c r="S272" s="11"/>
      <c r="U272" s="3"/>
      <c r="V272" s="3"/>
      <c r="W272" s="3"/>
      <c r="X272" s="3"/>
      <c r="Y272" s="3"/>
      <c r="Z272" s="19"/>
      <c r="AB272" s="17"/>
      <c r="AD272" s="17"/>
    </row>
    <row r="273" spans="11:30" hidden="1" x14ac:dyDescent="0.25">
      <c r="K273" s="11"/>
      <c r="N273" s="4"/>
      <c r="Q273" s="17"/>
      <c r="R273" s="3"/>
      <c r="S273" s="11"/>
      <c r="U273" s="3"/>
      <c r="V273" s="3"/>
      <c r="W273" s="3"/>
      <c r="X273" s="3"/>
      <c r="Y273" s="3"/>
      <c r="Z273" s="19"/>
      <c r="AB273" s="17"/>
      <c r="AD273" s="17"/>
    </row>
    <row r="274" spans="11:30" hidden="1" x14ac:dyDescent="0.25">
      <c r="K274" s="11"/>
      <c r="N274" s="4"/>
      <c r="Q274" s="17"/>
      <c r="R274" s="3"/>
      <c r="S274" s="11"/>
      <c r="U274" s="3"/>
      <c r="V274" s="3"/>
      <c r="W274" s="3"/>
      <c r="X274" s="3"/>
      <c r="Y274" s="3"/>
      <c r="Z274" s="19"/>
      <c r="AB274" s="17"/>
      <c r="AD274" s="17"/>
    </row>
    <row r="275" spans="11:30" hidden="1" x14ac:dyDescent="0.25">
      <c r="K275" s="11"/>
      <c r="N275" s="4"/>
      <c r="Q275" s="17"/>
      <c r="R275" s="3"/>
      <c r="S275" s="11"/>
      <c r="U275" s="3"/>
      <c r="V275" s="3"/>
      <c r="W275" s="3"/>
      <c r="X275" s="3"/>
      <c r="Y275" s="3"/>
      <c r="Z275" s="19"/>
      <c r="AB275" s="17"/>
      <c r="AD275" s="17"/>
    </row>
    <row r="276" spans="11:30" hidden="1" x14ac:dyDescent="0.25">
      <c r="K276" s="11"/>
      <c r="N276" s="4"/>
      <c r="Q276" s="17"/>
      <c r="R276" s="3"/>
      <c r="S276" s="11"/>
      <c r="U276" s="3"/>
      <c r="V276" s="3"/>
      <c r="W276" s="3"/>
      <c r="X276" s="3"/>
      <c r="Y276" s="3"/>
      <c r="Z276" s="19"/>
      <c r="AB276" s="17"/>
      <c r="AD276" s="17"/>
    </row>
    <row r="277" spans="11:30" hidden="1" x14ac:dyDescent="0.25">
      <c r="K277" s="11"/>
      <c r="N277" s="4"/>
      <c r="Q277" s="17"/>
      <c r="R277" s="3"/>
      <c r="S277" s="11"/>
      <c r="U277" s="3"/>
      <c r="V277" s="3"/>
      <c r="W277" s="3"/>
      <c r="X277" s="3"/>
      <c r="Y277" s="3"/>
      <c r="Z277" s="19"/>
      <c r="AB277" s="17"/>
      <c r="AD277" s="17"/>
    </row>
    <row r="278" spans="11:30" hidden="1" x14ac:dyDescent="0.25">
      <c r="K278" s="11"/>
      <c r="N278" s="4"/>
      <c r="Q278" s="17"/>
      <c r="R278" s="3"/>
      <c r="S278" s="11"/>
      <c r="U278" s="3"/>
      <c r="V278" s="3"/>
      <c r="W278" s="3"/>
      <c r="X278" s="3"/>
      <c r="Y278" s="3"/>
      <c r="Z278" s="19"/>
      <c r="AB278" s="17"/>
      <c r="AD278" s="17"/>
    </row>
    <row r="279" spans="11:30" hidden="1" x14ac:dyDescent="0.25">
      <c r="K279" s="11"/>
      <c r="N279" s="4"/>
      <c r="Q279" s="17"/>
      <c r="R279" s="3"/>
      <c r="S279" s="11"/>
      <c r="U279" s="3"/>
      <c r="V279" s="3"/>
      <c r="W279" s="3"/>
      <c r="X279" s="3"/>
      <c r="Y279" s="3"/>
      <c r="Z279" s="19"/>
      <c r="AB279" s="17"/>
      <c r="AD279" s="17"/>
    </row>
    <row r="280" spans="11:30" hidden="1" x14ac:dyDescent="0.25">
      <c r="K280" s="11"/>
      <c r="N280" s="4"/>
      <c r="Q280" s="17"/>
      <c r="R280" s="3"/>
      <c r="S280" s="11"/>
      <c r="U280" s="3"/>
      <c r="V280" s="3"/>
      <c r="W280" s="3"/>
      <c r="X280" s="3"/>
      <c r="Y280" s="3"/>
      <c r="Z280" s="19"/>
      <c r="AB280" s="17"/>
      <c r="AD280" s="17"/>
    </row>
    <row r="281" spans="11:30" hidden="1" x14ac:dyDescent="0.25">
      <c r="K281" s="11"/>
      <c r="N281" s="4"/>
      <c r="Q281" s="17"/>
      <c r="R281" s="3"/>
      <c r="S281" s="11"/>
      <c r="U281" s="3"/>
      <c r="V281" s="3"/>
      <c r="W281" s="3"/>
      <c r="X281" s="3"/>
      <c r="Y281" s="3"/>
      <c r="Z281" s="19"/>
      <c r="AB281" s="17"/>
      <c r="AD281" s="17"/>
    </row>
    <row r="282" spans="11:30" hidden="1" x14ac:dyDescent="0.25">
      <c r="K282" s="11"/>
      <c r="N282" s="4"/>
      <c r="Q282" s="17"/>
      <c r="R282" s="3"/>
      <c r="S282" s="11"/>
      <c r="U282" s="3"/>
      <c r="V282" s="3"/>
      <c r="W282" s="3"/>
      <c r="X282" s="3"/>
      <c r="Y282" s="3"/>
      <c r="Z282" s="19"/>
      <c r="AB282" s="17"/>
      <c r="AD282" s="17"/>
    </row>
    <row r="283" spans="11:30" hidden="1" x14ac:dyDescent="0.25">
      <c r="K283" s="11"/>
      <c r="N283" s="4"/>
      <c r="Q283" s="17"/>
      <c r="R283" s="3"/>
      <c r="S283" s="11"/>
      <c r="U283" s="3"/>
      <c r="V283" s="3"/>
      <c r="W283" s="3"/>
      <c r="X283" s="3"/>
      <c r="Y283" s="3"/>
      <c r="Z283" s="19"/>
      <c r="AB283" s="17"/>
      <c r="AD283" s="17"/>
    </row>
    <row r="284" spans="11:30" hidden="1" x14ac:dyDescent="0.25">
      <c r="K284" s="11"/>
      <c r="N284" s="4"/>
      <c r="Q284" s="17"/>
      <c r="R284" s="3"/>
      <c r="S284" s="11"/>
      <c r="U284" s="3"/>
      <c r="V284" s="3"/>
      <c r="W284" s="3"/>
      <c r="X284" s="3"/>
      <c r="Y284" s="3"/>
      <c r="Z284" s="19"/>
      <c r="AB284" s="17"/>
      <c r="AD284" s="17"/>
    </row>
    <row r="285" spans="11:30" hidden="1" x14ac:dyDescent="0.25">
      <c r="K285" s="11"/>
      <c r="N285" s="4"/>
      <c r="Q285" s="17"/>
      <c r="R285" s="3"/>
      <c r="S285" s="11"/>
      <c r="U285" s="3"/>
      <c r="V285" s="3"/>
      <c r="W285" s="3"/>
      <c r="X285" s="3"/>
      <c r="Y285" s="3"/>
      <c r="Z285" s="19"/>
      <c r="AB285" s="17"/>
      <c r="AD285" s="17"/>
    </row>
    <row r="286" spans="11:30" hidden="1" x14ac:dyDescent="0.25">
      <c r="K286" s="11"/>
      <c r="N286" s="4"/>
      <c r="Q286" s="17"/>
      <c r="R286" s="3"/>
      <c r="S286" s="11"/>
      <c r="U286" s="3"/>
      <c r="V286" s="3"/>
      <c r="W286" s="3"/>
      <c r="X286" s="3"/>
      <c r="Y286" s="3"/>
      <c r="Z286" s="19"/>
      <c r="AB286" s="17"/>
      <c r="AD286" s="17"/>
    </row>
    <row r="287" spans="11:30" hidden="1" x14ac:dyDescent="0.25">
      <c r="K287" s="11"/>
      <c r="N287" s="4"/>
      <c r="Q287" s="17"/>
      <c r="R287" s="3"/>
      <c r="S287" s="11"/>
      <c r="U287" s="3"/>
      <c r="V287" s="3"/>
      <c r="W287" s="3"/>
      <c r="X287" s="3"/>
      <c r="Y287" s="3"/>
      <c r="Z287" s="19"/>
      <c r="AB287" s="17"/>
      <c r="AD287" s="17"/>
    </row>
    <row r="288" spans="11:30" hidden="1" x14ac:dyDescent="0.25">
      <c r="K288" s="11"/>
      <c r="N288" s="4"/>
      <c r="Q288" s="17"/>
      <c r="R288" s="3"/>
      <c r="S288" s="11"/>
      <c r="U288" s="3"/>
      <c r="V288" s="3"/>
      <c r="W288" s="3"/>
      <c r="X288" s="3"/>
      <c r="Y288" s="3"/>
      <c r="Z288" s="19"/>
      <c r="AB288" s="17"/>
      <c r="AD288" s="17"/>
    </row>
    <row r="289" spans="11:30" hidden="1" x14ac:dyDescent="0.25">
      <c r="K289" s="11"/>
      <c r="N289" s="4"/>
      <c r="Q289" s="17"/>
      <c r="R289" s="3"/>
      <c r="S289" s="11"/>
      <c r="U289" s="3"/>
      <c r="V289" s="3"/>
      <c r="W289" s="3"/>
      <c r="X289" s="3"/>
      <c r="Y289" s="3"/>
      <c r="Z289" s="19"/>
      <c r="AB289" s="17"/>
      <c r="AD289" s="17"/>
    </row>
    <row r="290" spans="11:30" hidden="1" x14ac:dyDescent="0.25">
      <c r="K290" s="11"/>
      <c r="N290" s="4"/>
      <c r="Q290" s="17"/>
      <c r="R290" s="3"/>
      <c r="S290" s="11"/>
      <c r="U290" s="3"/>
      <c r="V290" s="3"/>
      <c r="W290" s="3"/>
      <c r="X290" s="3"/>
      <c r="Y290" s="3"/>
      <c r="Z290" s="19"/>
      <c r="AB290" s="17"/>
      <c r="AD290" s="17"/>
    </row>
    <row r="291" spans="11:30" hidden="1" x14ac:dyDescent="0.25">
      <c r="K291" s="11"/>
      <c r="N291" s="4"/>
      <c r="Q291" s="17"/>
      <c r="R291" s="3"/>
      <c r="S291" s="11"/>
      <c r="U291" s="3"/>
      <c r="V291" s="3"/>
      <c r="W291" s="3"/>
      <c r="X291" s="3"/>
      <c r="Y291" s="3"/>
      <c r="Z291" s="19"/>
      <c r="AB291" s="17"/>
      <c r="AD291" s="17"/>
    </row>
    <row r="292" spans="11:30" hidden="1" x14ac:dyDescent="0.25">
      <c r="K292" s="11"/>
      <c r="N292" s="4"/>
      <c r="Q292" s="17"/>
      <c r="R292" s="3"/>
      <c r="S292" s="11"/>
      <c r="U292" s="3"/>
      <c r="V292" s="3"/>
      <c r="W292" s="3"/>
      <c r="X292" s="3"/>
      <c r="Y292" s="3"/>
      <c r="Z292" s="19"/>
      <c r="AB292" s="17"/>
      <c r="AD292" s="17"/>
    </row>
    <row r="293" spans="11:30" hidden="1" x14ac:dyDescent="0.25">
      <c r="K293" s="11"/>
      <c r="N293" s="4"/>
      <c r="Q293" s="17"/>
      <c r="R293" s="3"/>
      <c r="S293" s="11"/>
      <c r="U293" s="3"/>
      <c r="V293" s="3"/>
      <c r="W293" s="3"/>
      <c r="X293" s="3"/>
      <c r="Y293" s="3"/>
      <c r="Z293" s="19"/>
      <c r="AB293" s="17"/>
      <c r="AD293" s="17"/>
    </row>
    <row r="294" spans="11:30" hidden="1" x14ac:dyDescent="0.25">
      <c r="K294" s="11"/>
      <c r="N294" s="4"/>
      <c r="Q294" s="17"/>
      <c r="R294" s="3"/>
      <c r="S294" s="11"/>
      <c r="U294" s="3"/>
      <c r="V294" s="3"/>
      <c r="W294" s="3"/>
      <c r="X294" s="3"/>
      <c r="Y294" s="3"/>
      <c r="Z294" s="19"/>
      <c r="AB294" s="17"/>
      <c r="AD294" s="17"/>
    </row>
    <row r="295" spans="11:30" hidden="1" x14ac:dyDescent="0.25">
      <c r="K295" s="11"/>
      <c r="N295" s="4"/>
      <c r="Q295" s="17"/>
      <c r="R295" s="3"/>
      <c r="S295" s="11"/>
      <c r="U295" s="3"/>
      <c r="V295" s="3"/>
      <c r="W295" s="3"/>
      <c r="X295" s="3"/>
      <c r="Y295" s="3"/>
      <c r="Z295" s="19"/>
      <c r="AB295" s="17"/>
      <c r="AD295" s="17"/>
    </row>
    <row r="296" spans="11:30" hidden="1" x14ac:dyDescent="0.25">
      <c r="K296" s="11"/>
      <c r="N296" s="4"/>
      <c r="Q296" s="17"/>
      <c r="R296" s="3"/>
      <c r="S296" s="11"/>
      <c r="U296" s="3"/>
      <c r="V296" s="3"/>
      <c r="W296" s="3"/>
      <c r="X296" s="3"/>
      <c r="Y296" s="3"/>
      <c r="Z296" s="19"/>
      <c r="AB296" s="17"/>
      <c r="AD296" s="17"/>
    </row>
    <row r="297" spans="11:30" hidden="1" x14ac:dyDescent="0.25">
      <c r="K297" s="11"/>
      <c r="N297" s="4"/>
      <c r="Q297" s="17"/>
      <c r="R297" s="3"/>
      <c r="S297" s="11"/>
      <c r="U297" s="3"/>
      <c r="V297" s="3"/>
      <c r="W297" s="3"/>
      <c r="X297" s="3"/>
      <c r="Y297" s="3"/>
      <c r="Z297" s="19"/>
      <c r="AB297" s="17"/>
      <c r="AD297" s="17"/>
    </row>
    <row r="298" spans="11:30" hidden="1" x14ac:dyDescent="0.25">
      <c r="K298" s="11"/>
      <c r="N298" s="4"/>
      <c r="Q298" s="17"/>
      <c r="R298" s="3"/>
      <c r="S298" s="11"/>
      <c r="U298" s="3"/>
      <c r="V298" s="3"/>
      <c r="W298" s="3"/>
      <c r="X298" s="3"/>
      <c r="Y298" s="3"/>
      <c r="Z298" s="19"/>
      <c r="AB298" s="17"/>
      <c r="AD298" s="17"/>
    </row>
    <row r="299" spans="11:30" hidden="1" x14ac:dyDescent="0.25">
      <c r="K299" s="11"/>
      <c r="N299" s="4"/>
      <c r="Q299" s="17"/>
      <c r="R299" s="3"/>
      <c r="S299" s="11"/>
      <c r="U299" s="3"/>
      <c r="V299" s="3"/>
      <c r="W299" s="3"/>
      <c r="X299" s="3"/>
      <c r="Y299" s="3"/>
      <c r="Z299" s="19"/>
      <c r="AB299" s="17"/>
      <c r="AD299" s="17"/>
    </row>
    <row r="300" spans="11:30" hidden="1" x14ac:dyDescent="0.25">
      <c r="K300" s="11"/>
      <c r="N300" s="4"/>
      <c r="Q300" s="17"/>
      <c r="R300" s="3"/>
      <c r="S300" s="11"/>
      <c r="U300" s="3"/>
      <c r="V300" s="3"/>
      <c r="W300" s="3"/>
      <c r="X300" s="3"/>
      <c r="Y300" s="3"/>
      <c r="Z300" s="19"/>
      <c r="AB300" s="17"/>
      <c r="AD300" s="17"/>
    </row>
    <row r="301" spans="11:30" hidden="1" x14ac:dyDescent="0.25">
      <c r="K301" s="11"/>
      <c r="N301" s="4"/>
      <c r="Q301" s="17"/>
      <c r="R301" s="3"/>
      <c r="S301" s="11"/>
      <c r="U301" s="3"/>
      <c r="V301" s="3"/>
      <c r="W301" s="3"/>
      <c r="X301" s="3"/>
      <c r="Y301" s="3"/>
      <c r="Z301" s="19"/>
      <c r="AB301" s="17"/>
      <c r="AD301" s="17"/>
    </row>
    <row r="302" spans="11:30" hidden="1" x14ac:dyDescent="0.25">
      <c r="K302" s="11"/>
      <c r="N302" s="4"/>
      <c r="Q302" s="17"/>
      <c r="R302" s="3"/>
      <c r="S302" s="11"/>
      <c r="U302" s="3"/>
      <c r="V302" s="3"/>
      <c r="W302" s="3"/>
      <c r="X302" s="3"/>
      <c r="Y302" s="3"/>
      <c r="Z302" s="19"/>
      <c r="AB302" s="17"/>
      <c r="AD302" s="17"/>
    </row>
    <row r="303" spans="11:30" hidden="1" x14ac:dyDescent="0.25">
      <c r="K303" s="11"/>
      <c r="N303" s="4"/>
      <c r="Q303" s="17"/>
      <c r="R303" s="3"/>
      <c r="S303" s="11"/>
      <c r="U303" s="3"/>
      <c r="V303" s="3"/>
      <c r="W303" s="3"/>
      <c r="X303" s="3"/>
      <c r="Y303" s="3"/>
      <c r="Z303" s="19"/>
      <c r="AB303" s="17"/>
      <c r="AD303" s="17"/>
    </row>
    <row r="304" spans="11:30" hidden="1" x14ac:dyDescent="0.25">
      <c r="K304" s="11"/>
      <c r="N304" s="4"/>
      <c r="Q304" s="17"/>
      <c r="R304" s="3"/>
      <c r="S304" s="11"/>
      <c r="U304" s="3"/>
      <c r="V304" s="3"/>
      <c r="W304" s="3"/>
      <c r="X304" s="3"/>
      <c r="Y304" s="3"/>
      <c r="Z304" s="19"/>
      <c r="AB304" s="17"/>
      <c r="AD304" s="17"/>
    </row>
    <row r="305" spans="11:30" hidden="1" x14ac:dyDescent="0.25">
      <c r="K305" s="11"/>
      <c r="N305" s="4"/>
      <c r="Q305" s="17"/>
      <c r="R305" s="3"/>
      <c r="S305" s="11"/>
      <c r="U305" s="3"/>
      <c r="V305" s="3"/>
      <c r="W305" s="3"/>
      <c r="X305" s="3"/>
      <c r="Y305" s="3"/>
      <c r="Z305" s="19"/>
      <c r="AB305" s="17"/>
      <c r="AD305" s="17"/>
    </row>
    <row r="306" spans="11:30" hidden="1" x14ac:dyDescent="0.25">
      <c r="K306" s="11"/>
      <c r="N306" s="4"/>
      <c r="Q306" s="17"/>
      <c r="R306" s="3"/>
      <c r="S306" s="11"/>
      <c r="U306" s="3"/>
      <c r="V306" s="3"/>
      <c r="W306" s="3"/>
      <c r="X306" s="3"/>
      <c r="Y306" s="3"/>
      <c r="Z306" s="19"/>
      <c r="AB306" s="17"/>
      <c r="AD306" s="17"/>
    </row>
    <row r="307" spans="11:30" hidden="1" x14ac:dyDescent="0.25">
      <c r="K307" s="11"/>
      <c r="N307" s="4"/>
      <c r="Q307" s="17"/>
      <c r="R307" s="3"/>
      <c r="S307" s="11"/>
      <c r="U307" s="3"/>
      <c r="V307" s="3"/>
      <c r="W307" s="3"/>
      <c r="X307" s="3"/>
      <c r="Y307" s="3"/>
      <c r="Z307" s="19"/>
      <c r="AB307" s="17"/>
      <c r="AD307" s="17"/>
    </row>
    <row r="308" spans="11:30" hidden="1" x14ac:dyDescent="0.25">
      <c r="K308" s="11"/>
      <c r="N308" s="4"/>
      <c r="Q308" s="17"/>
      <c r="R308" s="3"/>
      <c r="S308" s="11"/>
      <c r="U308" s="3"/>
      <c r="V308" s="3"/>
      <c r="W308" s="3"/>
      <c r="X308" s="3"/>
      <c r="Y308" s="3"/>
      <c r="Z308" s="19"/>
      <c r="AB308" s="17"/>
      <c r="AD308" s="17"/>
    </row>
    <row r="309" spans="11:30" hidden="1" x14ac:dyDescent="0.25">
      <c r="K309" s="11"/>
      <c r="N309" s="4"/>
      <c r="Q309" s="17"/>
      <c r="R309" s="3"/>
      <c r="S309" s="11"/>
      <c r="U309" s="3"/>
      <c r="V309" s="3"/>
      <c r="W309" s="3"/>
      <c r="X309" s="3"/>
      <c r="Y309" s="3"/>
      <c r="Z309" s="19"/>
      <c r="AB309" s="17"/>
      <c r="AD309" s="17"/>
    </row>
    <row r="310" spans="11:30" hidden="1" x14ac:dyDescent="0.25">
      <c r="K310" s="11"/>
      <c r="N310" s="4"/>
      <c r="Q310" s="17"/>
      <c r="R310" s="3"/>
      <c r="S310" s="11"/>
      <c r="U310" s="3"/>
      <c r="V310" s="3"/>
      <c r="W310" s="3"/>
      <c r="X310" s="3"/>
      <c r="Y310" s="3"/>
      <c r="Z310" s="19"/>
      <c r="AB310" s="17"/>
      <c r="AD310" s="17"/>
    </row>
    <row r="311" spans="11:30" hidden="1" x14ac:dyDescent="0.25">
      <c r="K311" s="11"/>
      <c r="N311" s="4"/>
      <c r="Q311" s="17"/>
      <c r="R311" s="3"/>
      <c r="S311" s="11"/>
      <c r="U311" s="3"/>
      <c r="V311" s="3"/>
      <c r="W311" s="3"/>
      <c r="X311" s="3"/>
      <c r="Y311" s="3"/>
      <c r="Z311" s="19"/>
      <c r="AB311" s="17"/>
      <c r="AD311" s="17"/>
    </row>
    <row r="312" spans="11:30" hidden="1" x14ac:dyDescent="0.25">
      <c r="K312" s="11"/>
      <c r="N312" s="4"/>
      <c r="Q312" s="17"/>
      <c r="R312" s="3"/>
      <c r="S312" s="11"/>
      <c r="U312" s="3"/>
      <c r="V312" s="3"/>
      <c r="W312" s="3"/>
      <c r="X312" s="3"/>
      <c r="Y312" s="3"/>
      <c r="Z312" s="19"/>
      <c r="AB312" s="17"/>
      <c r="AD312" s="17"/>
    </row>
    <row r="313" spans="11:30" hidden="1" x14ac:dyDescent="0.25">
      <c r="K313" s="11"/>
      <c r="N313" s="4"/>
      <c r="Q313" s="17"/>
      <c r="R313" s="3"/>
      <c r="S313" s="11"/>
      <c r="U313" s="3"/>
      <c r="V313" s="3"/>
      <c r="W313" s="3"/>
      <c r="X313" s="3"/>
      <c r="Y313" s="3"/>
      <c r="Z313" s="19"/>
      <c r="AB313" s="17"/>
      <c r="AD313" s="17"/>
    </row>
    <row r="314" spans="11:30" hidden="1" x14ac:dyDescent="0.25">
      <c r="K314" s="11"/>
      <c r="N314" s="4"/>
      <c r="Q314" s="17"/>
      <c r="R314" s="3"/>
      <c r="S314" s="11"/>
      <c r="U314" s="3"/>
      <c r="V314" s="3"/>
      <c r="W314" s="3"/>
      <c r="X314" s="3"/>
      <c r="Y314" s="3"/>
      <c r="Z314" s="19"/>
      <c r="AB314" s="17"/>
      <c r="AD314" s="17"/>
    </row>
    <row r="315" spans="11:30" hidden="1" x14ac:dyDescent="0.25">
      <c r="K315" s="11"/>
      <c r="N315" s="4"/>
      <c r="Q315" s="17"/>
      <c r="R315" s="3"/>
      <c r="S315" s="11"/>
      <c r="U315" s="3"/>
      <c r="V315" s="3"/>
      <c r="W315" s="3"/>
      <c r="X315" s="3"/>
      <c r="Y315" s="3"/>
      <c r="Z315" s="19"/>
      <c r="AB315" s="17"/>
      <c r="AD315" s="17"/>
    </row>
    <row r="316" spans="11:30" hidden="1" x14ac:dyDescent="0.25">
      <c r="K316" s="11"/>
      <c r="N316" s="4"/>
      <c r="Q316" s="17"/>
      <c r="R316" s="3"/>
      <c r="S316" s="11"/>
      <c r="U316" s="3"/>
      <c r="V316" s="3"/>
      <c r="W316" s="3"/>
      <c r="X316" s="3"/>
      <c r="Y316" s="3"/>
      <c r="Z316" s="19"/>
      <c r="AB316" s="17"/>
      <c r="AD316" s="17"/>
    </row>
    <row r="317" spans="11:30" hidden="1" x14ac:dyDescent="0.25">
      <c r="K317" s="11"/>
      <c r="N317" s="4"/>
      <c r="Q317" s="17"/>
      <c r="R317" s="3"/>
      <c r="S317" s="11"/>
      <c r="U317" s="3"/>
      <c r="V317" s="3"/>
      <c r="W317" s="3"/>
      <c r="X317" s="3"/>
      <c r="Y317" s="3"/>
      <c r="Z317" s="19"/>
      <c r="AB317" s="17"/>
      <c r="AD317" s="17"/>
    </row>
    <row r="318" spans="11:30" hidden="1" x14ac:dyDescent="0.25">
      <c r="K318" s="11"/>
      <c r="N318" s="4"/>
      <c r="Q318" s="17"/>
      <c r="R318" s="3"/>
      <c r="S318" s="11"/>
      <c r="U318" s="3"/>
      <c r="V318" s="3"/>
      <c r="W318" s="3"/>
      <c r="X318" s="3"/>
      <c r="Y318" s="3"/>
      <c r="Z318" s="19"/>
      <c r="AB318" s="17"/>
      <c r="AD318" s="17"/>
    </row>
    <row r="319" spans="11:30" hidden="1" x14ac:dyDescent="0.25">
      <c r="K319" s="11"/>
      <c r="N319" s="4"/>
      <c r="Q319" s="17"/>
      <c r="R319" s="3"/>
      <c r="S319" s="11"/>
      <c r="U319" s="3"/>
      <c r="V319" s="3"/>
      <c r="W319" s="3"/>
      <c r="X319" s="3"/>
      <c r="Y319" s="3"/>
      <c r="Z319" s="19"/>
      <c r="AB319" s="17"/>
      <c r="AD319" s="17"/>
    </row>
    <row r="320" spans="11:30" hidden="1" x14ac:dyDescent="0.25">
      <c r="K320" s="11"/>
      <c r="N320" s="4"/>
      <c r="Q320" s="17"/>
      <c r="R320" s="3"/>
      <c r="S320" s="11"/>
      <c r="U320" s="3"/>
      <c r="V320" s="3"/>
      <c r="W320" s="3"/>
      <c r="X320" s="3"/>
      <c r="Y320" s="3"/>
      <c r="Z320" s="19"/>
      <c r="AB320" s="17"/>
      <c r="AD320" s="17"/>
    </row>
    <row r="321" spans="11:30" hidden="1" x14ac:dyDescent="0.25">
      <c r="K321" s="11"/>
      <c r="N321" s="4"/>
      <c r="Q321" s="17"/>
      <c r="R321" s="3"/>
      <c r="S321" s="11"/>
      <c r="U321" s="3"/>
      <c r="V321" s="3"/>
      <c r="W321" s="3"/>
      <c r="X321" s="3"/>
      <c r="Y321" s="3"/>
      <c r="Z321" s="19"/>
      <c r="AB321" s="17"/>
      <c r="AD321" s="17"/>
    </row>
    <row r="322" spans="11:30" hidden="1" x14ac:dyDescent="0.25">
      <c r="K322" s="11"/>
      <c r="N322" s="4"/>
      <c r="Q322" s="17"/>
      <c r="R322" s="3"/>
      <c r="S322" s="11"/>
      <c r="U322" s="3"/>
      <c r="V322" s="3"/>
      <c r="W322" s="3"/>
      <c r="X322" s="3"/>
      <c r="Y322" s="3"/>
      <c r="Z322" s="19"/>
      <c r="AB322" s="17"/>
      <c r="AD322" s="17"/>
    </row>
    <row r="323" spans="11:30" hidden="1" x14ac:dyDescent="0.25">
      <c r="K323" s="11"/>
      <c r="N323" s="4"/>
      <c r="Q323" s="17"/>
      <c r="R323" s="3"/>
      <c r="S323" s="11"/>
      <c r="U323" s="3"/>
      <c r="V323" s="3"/>
      <c r="W323" s="3"/>
      <c r="X323" s="3"/>
      <c r="Y323" s="3"/>
      <c r="Z323" s="19"/>
      <c r="AB323" s="17"/>
      <c r="AD323" s="17"/>
    </row>
    <row r="324" spans="11:30" hidden="1" x14ac:dyDescent="0.25">
      <c r="K324" s="11"/>
      <c r="N324" s="4"/>
      <c r="Q324" s="17"/>
      <c r="R324" s="3"/>
      <c r="S324" s="11"/>
      <c r="U324" s="3"/>
      <c r="V324" s="3"/>
      <c r="W324" s="3"/>
      <c r="X324" s="3"/>
      <c r="Y324" s="3"/>
      <c r="Z324" s="19"/>
      <c r="AB324" s="17"/>
      <c r="AD324" s="17"/>
    </row>
    <row r="325" spans="11:30" hidden="1" x14ac:dyDescent="0.25">
      <c r="K325" s="11"/>
      <c r="N325" s="4"/>
      <c r="Q325" s="17"/>
      <c r="R325" s="3"/>
      <c r="S325" s="11"/>
      <c r="U325" s="3"/>
      <c r="V325" s="3"/>
      <c r="W325" s="3"/>
      <c r="X325" s="3"/>
      <c r="Y325" s="3"/>
      <c r="Z325" s="19"/>
      <c r="AB325" s="17"/>
      <c r="AD325" s="17"/>
    </row>
    <row r="326" spans="11:30" hidden="1" x14ac:dyDescent="0.25">
      <c r="K326" s="11"/>
      <c r="N326" s="4"/>
      <c r="Q326" s="17"/>
      <c r="R326" s="3"/>
      <c r="S326" s="11"/>
      <c r="U326" s="3"/>
      <c r="V326" s="3"/>
      <c r="W326" s="3"/>
      <c r="X326" s="3"/>
      <c r="Y326" s="3"/>
      <c r="Z326" s="19"/>
      <c r="AB326" s="17"/>
      <c r="AD326" s="17"/>
    </row>
    <row r="327" spans="11:30" hidden="1" x14ac:dyDescent="0.25">
      <c r="K327" s="11"/>
      <c r="N327" s="4"/>
      <c r="Q327" s="17"/>
      <c r="R327" s="3"/>
      <c r="S327" s="11"/>
      <c r="U327" s="3"/>
      <c r="V327" s="3"/>
      <c r="W327" s="3"/>
      <c r="X327" s="3"/>
      <c r="Y327" s="3"/>
      <c r="Z327" s="19"/>
      <c r="AB327" s="17"/>
      <c r="AD327" s="17"/>
    </row>
    <row r="328" spans="11:30" hidden="1" x14ac:dyDescent="0.25">
      <c r="K328" s="11"/>
      <c r="N328" s="4"/>
      <c r="Q328" s="17"/>
      <c r="R328" s="3"/>
      <c r="S328" s="11"/>
      <c r="U328" s="3"/>
      <c r="V328" s="3"/>
      <c r="W328" s="3"/>
      <c r="X328" s="3"/>
      <c r="Y328" s="3"/>
      <c r="Z328" s="19"/>
      <c r="AB328" s="17"/>
      <c r="AD328" s="17"/>
    </row>
    <row r="329" spans="11:30" hidden="1" x14ac:dyDescent="0.25">
      <c r="K329" s="11"/>
      <c r="N329" s="4"/>
      <c r="Q329" s="17"/>
      <c r="R329" s="3"/>
      <c r="S329" s="11"/>
      <c r="U329" s="3"/>
      <c r="V329" s="3"/>
      <c r="W329" s="3"/>
      <c r="X329" s="3"/>
      <c r="Y329" s="3"/>
      <c r="Z329" s="19"/>
      <c r="AB329" s="17"/>
      <c r="AD329" s="17"/>
    </row>
    <row r="330" spans="11:30" hidden="1" x14ac:dyDescent="0.25">
      <c r="K330" s="11"/>
      <c r="N330" s="4"/>
      <c r="Q330" s="17"/>
      <c r="R330" s="3"/>
      <c r="S330" s="11"/>
      <c r="U330" s="3"/>
      <c r="V330" s="3"/>
      <c r="W330" s="3"/>
      <c r="X330" s="3"/>
      <c r="Y330" s="3"/>
      <c r="Z330" s="19"/>
      <c r="AB330" s="17"/>
      <c r="AD330" s="17"/>
    </row>
    <row r="331" spans="11:30" hidden="1" x14ac:dyDescent="0.25">
      <c r="K331" s="11"/>
      <c r="N331" s="4"/>
      <c r="Q331" s="17"/>
      <c r="R331" s="3"/>
      <c r="S331" s="11"/>
      <c r="U331" s="3"/>
      <c r="V331" s="3"/>
      <c r="W331" s="3"/>
      <c r="X331" s="3"/>
      <c r="Y331" s="3"/>
      <c r="Z331" s="19"/>
      <c r="AB331" s="17"/>
      <c r="AD331" s="17"/>
    </row>
    <row r="332" spans="11:30" hidden="1" x14ac:dyDescent="0.25">
      <c r="K332" s="11"/>
      <c r="N332" s="4"/>
      <c r="Q332" s="17"/>
      <c r="R332" s="3"/>
      <c r="S332" s="11"/>
      <c r="U332" s="3"/>
      <c r="V332" s="3"/>
      <c r="W332" s="3"/>
      <c r="X332" s="3"/>
      <c r="Y332" s="3"/>
      <c r="Z332" s="19"/>
      <c r="AB332" s="17"/>
      <c r="AD332" s="17"/>
    </row>
    <row r="333" spans="11:30" hidden="1" x14ac:dyDescent="0.25">
      <c r="K333" s="11"/>
      <c r="N333" s="4"/>
      <c r="Q333" s="17"/>
      <c r="R333" s="3"/>
      <c r="S333" s="11"/>
      <c r="U333" s="3"/>
      <c r="V333" s="3"/>
      <c r="W333" s="3"/>
      <c r="X333" s="3"/>
      <c r="Y333" s="3"/>
      <c r="Z333" s="19"/>
      <c r="AB333" s="17"/>
      <c r="AD333" s="17"/>
    </row>
    <row r="334" spans="11:30" hidden="1" x14ac:dyDescent="0.25">
      <c r="K334" s="11"/>
      <c r="N334" s="4"/>
      <c r="Q334" s="17"/>
      <c r="R334" s="3"/>
      <c r="S334" s="11"/>
      <c r="U334" s="3"/>
      <c r="V334" s="3"/>
      <c r="W334" s="3"/>
      <c r="X334" s="3"/>
      <c r="Y334" s="3"/>
      <c r="Z334" s="19"/>
      <c r="AB334" s="17"/>
      <c r="AD334" s="17"/>
    </row>
    <row r="335" spans="11:30" hidden="1" x14ac:dyDescent="0.25">
      <c r="K335" s="11"/>
      <c r="N335" s="4"/>
      <c r="Q335" s="17"/>
      <c r="R335" s="3"/>
      <c r="S335" s="11"/>
      <c r="U335" s="3"/>
      <c r="V335" s="3"/>
      <c r="W335" s="3"/>
      <c r="X335" s="3"/>
      <c r="Y335" s="3"/>
      <c r="Z335" s="19"/>
      <c r="AB335" s="17"/>
      <c r="AD335" s="17"/>
    </row>
    <row r="336" spans="11:30" hidden="1" x14ac:dyDescent="0.25">
      <c r="K336" s="11"/>
      <c r="N336" s="4"/>
      <c r="Q336" s="17"/>
      <c r="R336" s="3"/>
      <c r="S336" s="11"/>
      <c r="U336" s="3"/>
      <c r="V336" s="3"/>
      <c r="W336" s="3"/>
      <c r="X336" s="3"/>
      <c r="Y336" s="3"/>
      <c r="Z336" s="19"/>
      <c r="AB336" s="17"/>
      <c r="AD336" s="17"/>
    </row>
    <row r="337" spans="11:30" hidden="1" x14ac:dyDescent="0.25">
      <c r="K337" s="11"/>
      <c r="N337" s="4"/>
      <c r="Q337" s="17"/>
      <c r="R337" s="3"/>
      <c r="S337" s="11"/>
      <c r="U337" s="3"/>
      <c r="V337" s="3"/>
      <c r="W337" s="3"/>
      <c r="X337" s="3"/>
      <c r="Y337" s="3"/>
      <c r="Z337" s="19"/>
      <c r="AB337" s="17"/>
      <c r="AD337" s="17"/>
    </row>
    <row r="338" spans="11:30" hidden="1" x14ac:dyDescent="0.25">
      <c r="K338" s="11"/>
      <c r="N338" s="4"/>
      <c r="Q338" s="17"/>
      <c r="R338" s="3"/>
      <c r="S338" s="11"/>
      <c r="U338" s="3"/>
      <c r="V338" s="3"/>
      <c r="W338" s="3"/>
      <c r="X338" s="3"/>
      <c r="Y338" s="3"/>
      <c r="Z338" s="19"/>
      <c r="AB338" s="17"/>
      <c r="AD338" s="17"/>
    </row>
    <row r="339" spans="11:30" hidden="1" x14ac:dyDescent="0.25">
      <c r="K339" s="11"/>
      <c r="N339" s="4"/>
      <c r="Q339" s="17"/>
      <c r="R339" s="3"/>
      <c r="S339" s="11"/>
      <c r="U339" s="3"/>
      <c r="V339" s="3"/>
      <c r="W339" s="3"/>
      <c r="X339" s="3"/>
      <c r="Y339" s="3"/>
      <c r="Z339" s="19"/>
      <c r="AB339" s="17"/>
      <c r="AD339" s="17"/>
    </row>
    <row r="340" spans="11:30" hidden="1" x14ac:dyDescent="0.25">
      <c r="K340" s="11"/>
      <c r="N340" s="4"/>
      <c r="Q340" s="17"/>
      <c r="R340" s="3"/>
      <c r="S340" s="11"/>
      <c r="U340" s="3"/>
      <c r="V340" s="3"/>
      <c r="W340" s="3"/>
      <c r="X340" s="3"/>
      <c r="Y340" s="3"/>
      <c r="Z340" s="19"/>
      <c r="AB340" s="17"/>
      <c r="AD340" s="17"/>
    </row>
    <row r="341" spans="11:30" hidden="1" x14ac:dyDescent="0.25">
      <c r="K341" s="11"/>
      <c r="N341" s="4"/>
      <c r="Q341" s="17"/>
      <c r="R341" s="3"/>
      <c r="S341" s="11"/>
      <c r="U341" s="3"/>
      <c r="V341" s="3"/>
      <c r="W341" s="3"/>
      <c r="X341" s="3"/>
      <c r="Y341" s="3"/>
      <c r="Z341" s="19"/>
      <c r="AB341" s="17"/>
      <c r="AD341" s="17"/>
    </row>
    <row r="342" spans="11:30" hidden="1" x14ac:dyDescent="0.25">
      <c r="K342" s="11"/>
      <c r="N342" s="4"/>
      <c r="Q342" s="17"/>
      <c r="R342" s="3"/>
      <c r="S342" s="11"/>
      <c r="U342" s="3"/>
      <c r="V342" s="3"/>
      <c r="W342" s="3"/>
      <c r="X342" s="3"/>
      <c r="Y342" s="3"/>
      <c r="Z342" s="19"/>
      <c r="AB342" s="17"/>
      <c r="AD342" s="17"/>
    </row>
    <row r="343" spans="11:30" hidden="1" x14ac:dyDescent="0.25">
      <c r="K343" s="11"/>
      <c r="N343" s="4"/>
      <c r="Q343" s="17"/>
      <c r="R343" s="3"/>
      <c r="S343" s="11"/>
      <c r="U343" s="3"/>
      <c r="V343" s="3"/>
      <c r="W343" s="3"/>
      <c r="X343" s="3"/>
      <c r="Y343" s="3"/>
      <c r="Z343" s="19"/>
      <c r="AB343" s="17"/>
      <c r="AD343" s="17"/>
    </row>
    <row r="344" spans="11:30" hidden="1" x14ac:dyDescent="0.25">
      <c r="K344" s="11"/>
      <c r="N344" s="4"/>
      <c r="Q344" s="17"/>
      <c r="R344" s="3"/>
      <c r="S344" s="11"/>
      <c r="U344" s="3"/>
      <c r="V344" s="3"/>
      <c r="W344" s="3"/>
      <c r="X344" s="3"/>
      <c r="Y344" s="3"/>
      <c r="Z344" s="19"/>
      <c r="AB344" s="17"/>
      <c r="AD344" s="17"/>
    </row>
    <row r="345" spans="11:30" hidden="1" x14ac:dyDescent="0.25">
      <c r="K345" s="11"/>
      <c r="N345" s="4"/>
      <c r="Q345" s="17"/>
      <c r="R345" s="3"/>
      <c r="S345" s="11"/>
      <c r="U345" s="3"/>
      <c r="V345" s="3"/>
      <c r="W345" s="3"/>
      <c r="X345" s="3"/>
      <c r="Y345" s="3"/>
      <c r="Z345" s="19"/>
      <c r="AB345" s="17"/>
      <c r="AD345" s="17"/>
    </row>
    <row r="346" spans="11:30" hidden="1" x14ac:dyDescent="0.25">
      <c r="K346" s="11"/>
      <c r="N346" s="4"/>
      <c r="Q346" s="17"/>
      <c r="R346" s="3"/>
      <c r="S346" s="11"/>
      <c r="U346" s="3"/>
      <c r="V346" s="3"/>
      <c r="W346" s="3"/>
      <c r="X346" s="3"/>
      <c r="Y346" s="3"/>
      <c r="Z346" s="19"/>
      <c r="AB346" s="17"/>
      <c r="AD346" s="17"/>
    </row>
    <row r="347" spans="11:30" hidden="1" x14ac:dyDescent="0.25">
      <c r="K347" s="11"/>
      <c r="N347" s="4"/>
      <c r="Q347" s="17"/>
      <c r="R347" s="3"/>
      <c r="S347" s="11"/>
      <c r="U347" s="3"/>
      <c r="V347" s="3"/>
      <c r="W347" s="3"/>
      <c r="X347" s="3"/>
      <c r="Y347" s="3"/>
      <c r="Z347" s="19"/>
      <c r="AB347" s="17"/>
      <c r="AD347" s="17"/>
    </row>
    <row r="348" spans="11:30" hidden="1" x14ac:dyDescent="0.25">
      <c r="K348" s="11"/>
      <c r="N348" s="4"/>
      <c r="Q348" s="17"/>
      <c r="R348" s="3"/>
      <c r="S348" s="11"/>
      <c r="U348" s="3"/>
      <c r="V348" s="3"/>
      <c r="W348" s="3"/>
      <c r="X348" s="3"/>
      <c r="Y348" s="3"/>
      <c r="Z348" s="19"/>
      <c r="AB348" s="17"/>
      <c r="AD348" s="17"/>
    </row>
    <row r="349" spans="11:30" hidden="1" x14ac:dyDescent="0.25">
      <c r="K349" s="11"/>
      <c r="N349" s="4"/>
      <c r="Q349" s="17"/>
      <c r="R349" s="3"/>
      <c r="S349" s="11"/>
      <c r="U349" s="3"/>
      <c r="V349" s="3"/>
      <c r="W349" s="3"/>
      <c r="X349" s="3"/>
      <c r="Y349" s="3"/>
      <c r="Z349" s="19"/>
      <c r="AB349" s="17"/>
      <c r="AD349" s="17"/>
    </row>
    <row r="350" spans="11:30" hidden="1" x14ac:dyDescent="0.25">
      <c r="K350" s="11"/>
      <c r="N350" s="4"/>
      <c r="Q350" s="17"/>
      <c r="R350" s="3"/>
      <c r="S350" s="11"/>
      <c r="U350" s="3"/>
      <c r="V350" s="3"/>
      <c r="W350" s="3"/>
      <c r="X350" s="3"/>
      <c r="Y350" s="3"/>
      <c r="Z350" s="19"/>
      <c r="AB350" s="17"/>
      <c r="AD350" s="17"/>
    </row>
    <row r="351" spans="11:30" hidden="1" x14ac:dyDescent="0.25">
      <c r="K351" s="11"/>
      <c r="N351" s="4"/>
      <c r="Q351" s="17"/>
      <c r="R351" s="3"/>
      <c r="S351" s="11"/>
      <c r="U351" s="3"/>
      <c r="V351" s="3"/>
      <c r="W351" s="3"/>
      <c r="X351" s="3"/>
      <c r="Y351" s="3"/>
      <c r="Z351" s="19"/>
      <c r="AB351" s="17"/>
      <c r="AD351" s="17"/>
    </row>
    <row r="352" spans="11:30" hidden="1" x14ac:dyDescent="0.25">
      <c r="K352" s="11"/>
      <c r="N352" s="4"/>
      <c r="Q352" s="17"/>
      <c r="R352" s="3"/>
      <c r="S352" s="11"/>
      <c r="U352" s="3"/>
      <c r="V352" s="3"/>
      <c r="W352" s="3"/>
      <c r="X352" s="3"/>
      <c r="Y352" s="3"/>
      <c r="Z352" s="19"/>
      <c r="AB352" s="17"/>
      <c r="AD352" s="17"/>
    </row>
    <row r="353" spans="11:30" hidden="1" x14ac:dyDescent="0.25">
      <c r="K353" s="11"/>
      <c r="N353" s="4"/>
      <c r="Q353" s="17"/>
      <c r="R353" s="3"/>
      <c r="S353" s="11"/>
      <c r="U353" s="3"/>
      <c r="V353" s="3"/>
      <c r="W353" s="3"/>
      <c r="X353" s="3"/>
      <c r="Y353" s="3"/>
      <c r="Z353" s="19"/>
      <c r="AB353" s="17"/>
      <c r="AD353" s="17"/>
    </row>
    <row r="354" spans="11:30" hidden="1" x14ac:dyDescent="0.25">
      <c r="K354" s="11"/>
      <c r="N354" s="4"/>
      <c r="Q354" s="17"/>
      <c r="R354" s="3"/>
      <c r="S354" s="11"/>
      <c r="U354" s="3"/>
      <c r="V354" s="3"/>
      <c r="W354" s="3"/>
      <c r="X354" s="3"/>
      <c r="Y354" s="3"/>
      <c r="Z354" s="19"/>
      <c r="AB354" s="17"/>
      <c r="AD354" s="17"/>
    </row>
    <row r="355" spans="11:30" hidden="1" x14ac:dyDescent="0.25">
      <c r="K355" s="11"/>
      <c r="N355" s="4"/>
      <c r="Q355" s="17"/>
      <c r="R355" s="3"/>
      <c r="S355" s="11"/>
      <c r="U355" s="3"/>
      <c r="V355" s="3"/>
      <c r="W355" s="3"/>
      <c r="X355" s="3"/>
      <c r="Y355" s="3"/>
      <c r="Z355" s="19"/>
      <c r="AB355" s="17"/>
      <c r="AD355" s="17"/>
    </row>
    <row r="356" spans="11:30" hidden="1" x14ac:dyDescent="0.25">
      <c r="K356" s="11"/>
      <c r="N356" s="4"/>
      <c r="Q356" s="17"/>
      <c r="R356" s="3"/>
      <c r="S356" s="11"/>
      <c r="U356" s="3"/>
      <c r="V356" s="3"/>
      <c r="W356" s="3"/>
      <c r="X356" s="3"/>
      <c r="Y356" s="3"/>
      <c r="Z356" s="19"/>
      <c r="AB356" s="17"/>
      <c r="AD356" s="17"/>
    </row>
    <row r="357" spans="11:30" hidden="1" x14ac:dyDescent="0.25">
      <c r="K357" s="11"/>
      <c r="N357" s="4"/>
      <c r="Q357" s="17"/>
      <c r="R357" s="3"/>
      <c r="S357" s="11"/>
      <c r="U357" s="3"/>
      <c r="V357" s="3"/>
      <c r="W357" s="3"/>
      <c r="X357" s="3"/>
      <c r="Y357" s="3"/>
      <c r="Z357" s="19"/>
      <c r="AB357" s="17"/>
      <c r="AD357" s="17"/>
    </row>
    <row r="358" spans="11:30" hidden="1" x14ac:dyDescent="0.25">
      <c r="K358" s="11"/>
      <c r="N358" s="4"/>
      <c r="Q358" s="17"/>
      <c r="R358" s="3"/>
      <c r="S358" s="11"/>
      <c r="U358" s="3"/>
      <c r="V358" s="3"/>
      <c r="W358" s="3"/>
      <c r="X358" s="3"/>
      <c r="Y358" s="3"/>
      <c r="Z358" s="19"/>
      <c r="AB358" s="17"/>
      <c r="AD358" s="17"/>
    </row>
    <row r="359" spans="11:30" hidden="1" x14ac:dyDescent="0.25">
      <c r="K359" s="11"/>
      <c r="N359" s="4"/>
      <c r="Q359" s="17"/>
      <c r="R359" s="3"/>
      <c r="S359" s="11"/>
      <c r="U359" s="3"/>
      <c r="V359" s="3"/>
      <c r="W359" s="3"/>
      <c r="X359" s="3"/>
      <c r="Y359" s="3"/>
      <c r="Z359" s="19"/>
      <c r="AB359" s="17"/>
      <c r="AD359" s="17"/>
    </row>
    <row r="360" spans="11:30" hidden="1" x14ac:dyDescent="0.25">
      <c r="K360" s="11"/>
      <c r="N360" s="4"/>
      <c r="Q360" s="17"/>
      <c r="R360" s="3"/>
      <c r="S360" s="11"/>
      <c r="U360" s="3"/>
      <c r="V360" s="3"/>
      <c r="W360" s="3"/>
      <c r="X360" s="3"/>
      <c r="Y360" s="3"/>
      <c r="Z360" s="19"/>
      <c r="AB360" s="17"/>
      <c r="AD360" s="17"/>
    </row>
    <row r="361" spans="11:30" hidden="1" x14ac:dyDescent="0.25">
      <c r="K361" s="11"/>
      <c r="N361" s="4"/>
      <c r="Q361" s="17"/>
      <c r="R361" s="3"/>
      <c r="S361" s="11"/>
      <c r="U361" s="3"/>
      <c r="V361" s="3"/>
      <c r="W361" s="3"/>
      <c r="X361" s="3"/>
      <c r="Y361" s="3"/>
      <c r="Z361" s="19"/>
      <c r="AB361" s="17"/>
      <c r="AD361" s="17"/>
    </row>
    <row r="362" spans="11:30" hidden="1" x14ac:dyDescent="0.25">
      <c r="K362" s="11"/>
      <c r="N362" s="4"/>
      <c r="Q362" s="17"/>
      <c r="R362" s="3"/>
      <c r="S362" s="11"/>
      <c r="U362" s="3"/>
      <c r="V362" s="3"/>
      <c r="W362" s="3"/>
      <c r="X362" s="3"/>
      <c r="Y362" s="3"/>
      <c r="Z362" s="19"/>
      <c r="AB362" s="17"/>
      <c r="AD362" s="17"/>
    </row>
    <row r="363" spans="11:30" hidden="1" x14ac:dyDescent="0.25">
      <c r="K363" s="11"/>
      <c r="N363" s="4"/>
      <c r="Q363" s="17"/>
      <c r="R363" s="3"/>
      <c r="S363" s="11"/>
      <c r="U363" s="3"/>
      <c r="V363" s="3"/>
      <c r="W363" s="3"/>
      <c r="X363" s="3"/>
      <c r="Y363" s="3"/>
      <c r="Z363" s="19"/>
      <c r="AB363" s="17"/>
      <c r="AD363" s="17"/>
    </row>
    <row r="364" spans="11:30" hidden="1" x14ac:dyDescent="0.25">
      <c r="K364" s="11"/>
      <c r="N364" s="4"/>
      <c r="Q364" s="17"/>
      <c r="R364" s="3"/>
      <c r="S364" s="11"/>
      <c r="U364" s="3"/>
      <c r="V364" s="3"/>
      <c r="W364" s="3"/>
      <c r="X364" s="3"/>
      <c r="Y364" s="3"/>
      <c r="Z364" s="19"/>
      <c r="AB364" s="17"/>
      <c r="AD364" s="17"/>
    </row>
    <row r="365" spans="11:30" hidden="1" x14ac:dyDescent="0.25">
      <c r="K365" s="11"/>
      <c r="N365" s="4"/>
      <c r="Q365" s="17"/>
      <c r="R365" s="3"/>
      <c r="S365" s="11"/>
      <c r="U365" s="3"/>
      <c r="V365" s="3"/>
      <c r="W365" s="3"/>
      <c r="X365" s="3"/>
      <c r="Y365" s="3"/>
      <c r="Z365" s="19"/>
      <c r="AB365" s="17"/>
      <c r="AD365" s="17"/>
    </row>
    <row r="366" spans="11:30" hidden="1" x14ac:dyDescent="0.25">
      <c r="K366" s="11"/>
      <c r="N366" s="4"/>
      <c r="Q366" s="17"/>
      <c r="R366" s="3"/>
      <c r="S366" s="11"/>
      <c r="U366" s="3"/>
      <c r="V366" s="3"/>
      <c r="W366" s="3"/>
      <c r="X366" s="3"/>
      <c r="Y366" s="3"/>
      <c r="Z366" s="19"/>
      <c r="AB366" s="17"/>
      <c r="AD366" s="17"/>
    </row>
    <row r="367" spans="11:30" hidden="1" x14ac:dyDescent="0.25">
      <c r="K367" s="11"/>
      <c r="N367" s="4"/>
      <c r="Q367" s="17"/>
      <c r="R367" s="3"/>
      <c r="S367" s="11"/>
      <c r="U367" s="3"/>
      <c r="V367" s="3"/>
      <c r="W367" s="3"/>
      <c r="X367" s="3"/>
      <c r="Y367" s="3"/>
      <c r="Z367" s="19"/>
      <c r="AB367" s="17"/>
      <c r="AD367" s="17"/>
    </row>
    <row r="368" spans="11:30" hidden="1" x14ac:dyDescent="0.25">
      <c r="K368" s="11"/>
      <c r="N368" s="4"/>
      <c r="Q368" s="17"/>
      <c r="R368" s="3"/>
      <c r="S368" s="11"/>
      <c r="U368" s="3"/>
      <c r="V368" s="3"/>
      <c r="W368" s="3"/>
      <c r="X368" s="3"/>
      <c r="Y368" s="3"/>
      <c r="Z368" s="19"/>
      <c r="AB368" s="17"/>
      <c r="AD368" s="17"/>
    </row>
    <row r="369" spans="11:30" hidden="1" x14ac:dyDescent="0.25">
      <c r="K369" s="11"/>
      <c r="N369" s="4"/>
      <c r="Q369" s="17"/>
      <c r="R369" s="3"/>
      <c r="S369" s="11"/>
      <c r="U369" s="3"/>
      <c r="V369" s="3"/>
      <c r="W369" s="3"/>
      <c r="X369" s="3"/>
      <c r="Y369" s="3"/>
      <c r="Z369" s="19"/>
      <c r="AB369" s="17"/>
      <c r="AD369" s="17"/>
    </row>
    <row r="370" spans="11:30" hidden="1" x14ac:dyDescent="0.25">
      <c r="K370" s="11"/>
      <c r="N370" s="4"/>
      <c r="Q370" s="17"/>
      <c r="R370" s="3"/>
      <c r="S370" s="11"/>
      <c r="U370" s="3"/>
      <c r="V370" s="3"/>
      <c r="W370" s="3"/>
      <c r="X370" s="3"/>
      <c r="Y370" s="3"/>
      <c r="Z370" s="19"/>
      <c r="AB370" s="17"/>
      <c r="AD370" s="17"/>
    </row>
    <row r="371" spans="11:30" hidden="1" x14ac:dyDescent="0.25">
      <c r="K371" s="11"/>
      <c r="N371" s="4"/>
      <c r="Q371" s="17"/>
      <c r="R371" s="3"/>
      <c r="S371" s="11"/>
      <c r="U371" s="3"/>
      <c r="V371" s="3"/>
      <c r="W371" s="3"/>
      <c r="X371" s="3"/>
      <c r="Y371" s="3"/>
      <c r="Z371" s="19"/>
      <c r="AB371" s="17"/>
      <c r="AD371" s="17"/>
    </row>
    <row r="372" spans="11:30" hidden="1" x14ac:dyDescent="0.25">
      <c r="K372" s="11"/>
      <c r="N372" s="4"/>
      <c r="Q372" s="17"/>
      <c r="R372" s="3"/>
      <c r="S372" s="11"/>
      <c r="U372" s="3"/>
      <c r="V372" s="3"/>
      <c r="W372" s="3"/>
      <c r="X372" s="3"/>
      <c r="Y372" s="3"/>
      <c r="Z372" s="19"/>
      <c r="AB372" s="17"/>
      <c r="AD372" s="17"/>
    </row>
    <row r="373" spans="11:30" hidden="1" x14ac:dyDescent="0.25">
      <c r="K373" s="11"/>
      <c r="N373" s="4"/>
      <c r="Q373" s="17"/>
      <c r="R373" s="3"/>
      <c r="S373" s="11"/>
      <c r="U373" s="3"/>
      <c r="V373" s="3"/>
      <c r="W373" s="3"/>
      <c r="X373" s="3"/>
      <c r="Y373" s="3"/>
      <c r="Z373" s="19"/>
      <c r="AB373" s="17"/>
      <c r="AD373" s="17"/>
    </row>
    <row r="374" spans="11:30" hidden="1" x14ac:dyDescent="0.25">
      <c r="K374" s="11"/>
      <c r="N374" s="4"/>
      <c r="Q374" s="17"/>
      <c r="R374" s="3"/>
      <c r="S374" s="11"/>
      <c r="U374" s="3"/>
      <c r="V374" s="3"/>
      <c r="W374" s="3"/>
      <c r="X374" s="3"/>
      <c r="Y374" s="3"/>
      <c r="Z374" s="19"/>
      <c r="AB374" s="17"/>
      <c r="AD374" s="17"/>
    </row>
    <row r="375" spans="11:30" hidden="1" x14ac:dyDescent="0.25">
      <c r="K375" s="11"/>
      <c r="N375" s="4"/>
      <c r="Q375" s="17"/>
      <c r="R375" s="3"/>
      <c r="S375" s="11"/>
      <c r="U375" s="3"/>
      <c r="V375" s="3"/>
      <c r="W375" s="3"/>
      <c r="X375" s="3"/>
      <c r="Y375" s="3"/>
      <c r="Z375" s="19"/>
      <c r="AB375" s="17"/>
      <c r="AD375" s="17"/>
    </row>
    <row r="376" spans="11:30" hidden="1" x14ac:dyDescent="0.25">
      <c r="K376" s="11"/>
      <c r="N376" s="4"/>
      <c r="Q376" s="17"/>
      <c r="R376" s="3"/>
      <c r="S376" s="11"/>
      <c r="U376" s="3"/>
      <c r="V376" s="3"/>
      <c r="W376" s="3"/>
      <c r="X376" s="3"/>
      <c r="Y376" s="3"/>
      <c r="Z376" s="19"/>
      <c r="AB376" s="17"/>
      <c r="AD376" s="17"/>
    </row>
    <row r="377" spans="11:30" hidden="1" x14ac:dyDescent="0.25">
      <c r="K377" s="11"/>
      <c r="N377" s="4"/>
      <c r="Q377" s="17"/>
      <c r="R377" s="3"/>
      <c r="S377" s="11"/>
      <c r="U377" s="3"/>
      <c r="V377" s="3"/>
      <c r="W377" s="3"/>
      <c r="X377" s="3"/>
      <c r="Y377" s="3"/>
      <c r="Z377" s="19"/>
      <c r="AB377" s="17"/>
      <c r="AD377" s="17"/>
    </row>
    <row r="378" spans="11:30" hidden="1" x14ac:dyDescent="0.25">
      <c r="K378" s="11"/>
      <c r="N378" s="4"/>
      <c r="Q378" s="17"/>
      <c r="R378" s="3"/>
      <c r="S378" s="11"/>
      <c r="U378" s="3"/>
      <c r="V378" s="3"/>
      <c r="W378" s="3"/>
      <c r="X378" s="3"/>
      <c r="Y378" s="3"/>
      <c r="Z378" s="19"/>
      <c r="AB378" s="17"/>
      <c r="AD378" s="17"/>
    </row>
    <row r="379" spans="11:30" hidden="1" x14ac:dyDescent="0.25">
      <c r="K379" s="11"/>
      <c r="N379" s="4"/>
      <c r="Q379" s="17"/>
      <c r="R379" s="3"/>
      <c r="S379" s="11"/>
      <c r="U379" s="3"/>
      <c r="V379" s="3"/>
      <c r="W379" s="3"/>
      <c r="X379" s="3"/>
      <c r="Y379" s="3"/>
      <c r="Z379" s="19"/>
      <c r="AB379" s="17"/>
      <c r="AD379" s="17"/>
    </row>
    <row r="380" spans="11:30" hidden="1" x14ac:dyDescent="0.25">
      <c r="K380" s="11"/>
      <c r="N380" s="4"/>
      <c r="Q380" s="17"/>
      <c r="R380" s="3"/>
      <c r="S380" s="11"/>
      <c r="U380" s="3"/>
      <c r="V380" s="3"/>
      <c r="W380" s="3"/>
      <c r="X380" s="3"/>
      <c r="Y380" s="3"/>
      <c r="Z380" s="19"/>
      <c r="AB380" s="17"/>
      <c r="AD380" s="17"/>
    </row>
    <row r="381" spans="11:30" hidden="1" x14ac:dyDescent="0.25">
      <c r="K381" s="11"/>
      <c r="N381" s="4"/>
      <c r="Q381" s="17"/>
      <c r="R381" s="3"/>
      <c r="S381" s="11"/>
      <c r="U381" s="3"/>
      <c r="V381" s="3"/>
      <c r="W381" s="3"/>
      <c r="X381" s="3"/>
      <c r="Y381" s="3"/>
      <c r="Z381" s="19"/>
      <c r="AB381" s="17"/>
      <c r="AD381" s="17"/>
    </row>
    <row r="382" spans="11:30" hidden="1" x14ac:dyDescent="0.25">
      <c r="K382" s="11"/>
      <c r="N382" s="4"/>
      <c r="Q382" s="17"/>
      <c r="R382" s="3"/>
      <c r="S382" s="11"/>
      <c r="U382" s="3"/>
      <c r="V382" s="3"/>
      <c r="W382" s="3"/>
      <c r="X382" s="3"/>
      <c r="Y382" s="3"/>
      <c r="Z382" s="19"/>
      <c r="AB382" s="17"/>
      <c r="AD382" s="17"/>
    </row>
    <row r="383" spans="11:30" hidden="1" x14ac:dyDescent="0.25">
      <c r="K383" s="11"/>
      <c r="N383" s="4"/>
      <c r="Q383" s="17"/>
      <c r="R383" s="3"/>
      <c r="S383" s="11"/>
      <c r="U383" s="3"/>
      <c r="V383" s="3"/>
      <c r="W383" s="3"/>
      <c r="X383" s="3"/>
      <c r="Y383" s="3"/>
      <c r="Z383" s="19"/>
      <c r="AB383" s="17"/>
      <c r="AD383" s="17"/>
    </row>
    <row r="384" spans="11:30" hidden="1" x14ac:dyDescent="0.25">
      <c r="K384" s="11"/>
      <c r="N384" s="4"/>
      <c r="Q384" s="17"/>
      <c r="R384" s="3"/>
      <c r="S384" s="11"/>
      <c r="U384" s="3"/>
      <c r="V384" s="3"/>
      <c r="W384" s="3"/>
      <c r="X384" s="3"/>
      <c r="Y384" s="3"/>
      <c r="Z384" s="19"/>
      <c r="AB384" s="17"/>
      <c r="AD384" s="17"/>
    </row>
    <row r="385" spans="11:30" hidden="1" x14ac:dyDescent="0.25">
      <c r="K385" s="11"/>
      <c r="N385" s="4"/>
      <c r="Q385" s="17"/>
      <c r="R385" s="3"/>
      <c r="S385" s="11"/>
      <c r="U385" s="3"/>
      <c r="V385" s="3"/>
      <c r="W385" s="3"/>
      <c r="X385" s="3"/>
      <c r="Y385" s="3"/>
      <c r="Z385" s="19"/>
      <c r="AB385" s="17"/>
      <c r="AD385" s="17"/>
    </row>
    <row r="386" spans="11:30" hidden="1" x14ac:dyDescent="0.25">
      <c r="K386" s="11"/>
      <c r="N386" s="4"/>
      <c r="Q386" s="17"/>
      <c r="R386" s="3"/>
      <c r="S386" s="11"/>
      <c r="U386" s="3"/>
      <c r="V386" s="3"/>
      <c r="W386" s="3"/>
      <c r="X386" s="3"/>
      <c r="Y386" s="3"/>
      <c r="Z386" s="19"/>
      <c r="AB386" s="17"/>
      <c r="AD386" s="17"/>
    </row>
    <row r="387" spans="11:30" hidden="1" x14ac:dyDescent="0.25">
      <c r="K387" s="11"/>
      <c r="N387" s="4"/>
      <c r="Q387" s="17"/>
      <c r="R387" s="3"/>
      <c r="S387" s="11"/>
      <c r="U387" s="3"/>
      <c r="V387" s="3"/>
      <c r="W387" s="3"/>
      <c r="X387" s="3"/>
      <c r="Y387" s="3"/>
      <c r="Z387" s="19"/>
      <c r="AB387" s="17"/>
      <c r="AD387" s="17"/>
    </row>
    <row r="388" spans="11:30" hidden="1" x14ac:dyDescent="0.25">
      <c r="K388" s="11"/>
      <c r="N388" s="4"/>
      <c r="Q388" s="17"/>
      <c r="R388" s="3"/>
      <c r="S388" s="11"/>
      <c r="U388" s="3"/>
      <c r="V388" s="3"/>
      <c r="W388" s="3"/>
      <c r="X388" s="3"/>
      <c r="Y388" s="3"/>
      <c r="Z388" s="19"/>
      <c r="AB388" s="17"/>
      <c r="AD388" s="17"/>
    </row>
    <row r="389" spans="11:30" hidden="1" x14ac:dyDescent="0.25">
      <c r="K389" s="11"/>
      <c r="N389" s="4"/>
      <c r="Q389" s="17"/>
      <c r="R389" s="3"/>
      <c r="S389" s="11"/>
      <c r="U389" s="3"/>
      <c r="V389" s="3"/>
      <c r="W389" s="3"/>
      <c r="X389" s="3"/>
      <c r="Y389" s="3"/>
      <c r="Z389" s="19"/>
      <c r="AB389" s="17"/>
      <c r="AD389" s="17"/>
    </row>
    <row r="390" spans="11:30" hidden="1" x14ac:dyDescent="0.25">
      <c r="K390" s="11"/>
      <c r="N390" s="4"/>
      <c r="Q390" s="17"/>
      <c r="R390" s="3"/>
      <c r="S390" s="11"/>
      <c r="U390" s="3"/>
      <c r="V390" s="3"/>
      <c r="W390" s="3"/>
      <c r="X390" s="3"/>
      <c r="Y390" s="3"/>
      <c r="Z390" s="19"/>
      <c r="AB390" s="17"/>
      <c r="AD390" s="17"/>
    </row>
    <row r="391" spans="11:30" hidden="1" x14ac:dyDescent="0.25">
      <c r="K391" s="11"/>
      <c r="N391" s="4"/>
      <c r="Q391" s="17"/>
      <c r="R391" s="3"/>
      <c r="S391" s="11"/>
      <c r="U391" s="3"/>
      <c r="V391" s="3"/>
      <c r="W391" s="3"/>
      <c r="X391" s="3"/>
      <c r="Y391" s="3"/>
      <c r="Z391" s="19"/>
      <c r="AB391" s="17"/>
      <c r="AD391" s="17"/>
    </row>
    <row r="392" spans="11:30" hidden="1" x14ac:dyDescent="0.25">
      <c r="K392" s="11"/>
      <c r="N392" s="4"/>
      <c r="Q392" s="17"/>
      <c r="R392" s="3"/>
      <c r="S392" s="11"/>
      <c r="U392" s="3"/>
      <c r="V392" s="3"/>
      <c r="W392" s="3"/>
      <c r="X392" s="3"/>
      <c r="Y392" s="3"/>
      <c r="Z392" s="19"/>
      <c r="AB392" s="17"/>
      <c r="AD392" s="17"/>
    </row>
    <row r="393" spans="11:30" hidden="1" x14ac:dyDescent="0.25">
      <c r="K393" s="11"/>
      <c r="N393" s="4"/>
      <c r="Q393" s="17"/>
      <c r="R393" s="3"/>
      <c r="S393" s="11"/>
      <c r="U393" s="3"/>
      <c r="V393" s="3"/>
      <c r="W393" s="3"/>
      <c r="X393" s="3"/>
      <c r="Y393" s="3"/>
      <c r="Z393" s="19"/>
      <c r="AB393" s="17"/>
      <c r="AD393" s="17"/>
    </row>
    <row r="394" spans="11:30" hidden="1" x14ac:dyDescent="0.25">
      <c r="K394" s="11"/>
      <c r="N394" s="4"/>
      <c r="Q394" s="17"/>
      <c r="R394" s="3"/>
      <c r="S394" s="11"/>
      <c r="U394" s="3"/>
      <c r="V394" s="3"/>
      <c r="W394" s="3"/>
      <c r="X394" s="3"/>
      <c r="Y394" s="3"/>
      <c r="Z394" s="19"/>
      <c r="AB394" s="17"/>
      <c r="AD394" s="17"/>
    </row>
    <row r="395" spans="11:30" hidden="1" x14ac:dyDescent="0.25">
      <c r="K395" s="11"/>
      <c r="N395" s="4"/>
      <c r="Q395" s="17"/>
      <c r="R395" s="3"/>
      <c r="S395" s="11"/>
      <c r="U395" s="3"/>
      <c r="V395" s="3"/>
      <c r="W395" s="3"/>
      <c r="X395" s="3"/>
      <c r="Y395" s="3"/>
      <c r="Z395" s="19"/>
      <c r="AB395" s="17"/>
      <c r="AD395" s="17"/>
    </row>
    <row r="396" spans="11:30" hidden="1" x14ac:dyDescent="0.25">
      <c r="K396" s="11"/>
      <c r="N396" s="4"/>
      <c r="Q396" s="17"/>
      <c r="R396" s="3"/>
      <c r="S396" s="11"/>
      <c r="U396" s="3"/>
      <c r="V396" s="3"/>
      <c r="W396" s="3"/>
      <c r="X396" s="3"/>
      <c r="Y396" s="3"/>
      <c r="Z396" s="19"/>
      <c r="AB396" s="17"/>
      <c r="AD396" s="17"/>
    </row>
    <row r="397" spans="11:30" hidden="1" x14ac:dyDescent="0.25">
      <c r="K397" s="11"/>
      <c r="N397" s="4"/>
      <c r="Q397" s="17"/>
      <c r="R397" s="3"/>
      <c r="S397" s="11"/>
      <c r="U397" s="3"/>
      <c r="V397" s="3"/>
      <c r="W397" s="3"/>
      <c r="X397" s="3"/>
      <c r="Y397" s="3"/>
      <c r="Z397" s="19"/>
      <c r="AB397" s="17"/>
      <c r="AD397" s="17"/>
    </row>
    <row r="398" spans="11:30" hidden="1" x14ac:dyDescent="0.25">
      <c r="K398" s="11"/>
      <c r="N398" s="4"/>
      <c r="Q398" s="17"/>
      <c r="R398" s="3"/>
      <c r="S398" s="11"/>
      <c r="U398" s="3"/>
      <c r="V398" s="3"/>
      <c r="W398" s="3"/>
      <c r="X398" s="3"/>
      <c r="Y398" s="3"/>
      <c r="Z398" s="19"/>
      <c r="AB398" s="17"/>
      <c r="AD398" s="17"/>
    </row>
    <row r="399" spans="11:30" hidden="1" x14ac:dyDescent="0.25">
      <c r="K399" s="11"/>
      <c r="N399" s="4"/>
      <c r="Q399" s="17"/>
      <c r="R399" s="3"/>
      <c r="S399" s="11"/>
      <c r="U399" s="3"/>
      <c r="V399" s="3"/>
      <c r="W399" s="3"/>
      <c r="X399" s="3"/>
      <c r="Y399" s="3"/>
      <c r="Z399" s="19"/>
      <c r="AB399" s="17"/>
      <c r="AD399" s="17"/>
    </row>
    <row r="400" spans="11:30" hidden="1" x14ac:dyDescent="0.25">
      <c r="K400" s="11"/>
      <c r="N400" s="4"/>
      <c r="Q400" s="17"/>
      <c r="R400" s="3"/>
      <c r="S400" s="11"/>
      <c r="U400" s="3"/>
      <c r="V400" s="3"/>
      <c r="W400" s="3"/>
      <c r="X400" s="3"/>
      <c r="Y400" s="3"/>
      <c r="Z400" s="19"/>
      <c r="AB400" s="17"/>
      <c r="AD400" s="17"/>
    </row>
    <row r="401" spans="11:30" hidden="1" x14ac:dyDescent="0.25">
      <c r="K401" s="11"/>
      <c r="N401" s="4"/>
      <c r="Q401" s="17"/>
      <c r="R401" s="3"/>
      <c r="S401" s="11"/>
      <c r="U401" s="3"/>
      <c r="V401" s="3"/>
      <c r="W401" s="3"/>
      <c r="X401" s="3"/>
      <c r="Y401" s="3"/>
      <c r="Z401" s="19"/>
      <c r="AB401" s="17"/>
      <c r="AD401" s="17"/>
    </row>
    <row r="402" spans="11:30" hidden="1" x14ac:dyDescent="0.25">
      <c r="K402" s="11"/>
      <c r="N402" s="4"/>
      <c r="Q402" s="17"/>
      <c r="R402" s="3"/>
      <c r="S402" s="11"/>
      <c r="U402" s="3"/>
      <c r="V402" s="3"/>
      <c r="W402" s="3"/>
      <c r="X402" s="3"/>
      <c r="Y402" s="3"/>
      <c r="Z402" s="19"/>
      <c r="AB402" s="17"/>
      <c r="AD402" s="17"/>
    </row>
    <row r="403" spans="11:30" hidden="1" x14ac:dyDescent="0.25">
      <c r="K403" s="11"/>
      <c r="N403" s="4"/>
      <c r="Q403" s="17"/>
      <c r="R403" s="3"/>
      <c r="S403" s="11"/>
      <c r="U403" s="3"/>
      <c r="V403" s="3"/>
      <c r="W403" s="3"/>
      <c r="X403" s="3"/>
      <c r="Y403" s="3"/>
      <c r="Z403" s="19"/>
      <c r="AB403" s="17"/>
      <c r="AD403" s="17"/>
    </row>
    <row r="404" spans="11:30" hidden="1" x14ac:dyDescent="0.25">
      <c r="K404" s="11"/>
      <c r="N404" s="4"/>
      <c r="Q404" s="17"/>
      <c r="R404" s="3"/>
      <c r="S404" s="11"/>
      <c r="U404" s="3"/>
      <c r="V404" s="3"/>
      <c r="W404" s="3"/>
      <c r="X404" s="3"/>
      <c r="Y404" s="3"/>
      <c r="Z404" s="19"/>
      <c r="AB404" s="17"/>
      <c r="AD404" s="17"/>
    </row>
    <row r="405" spans="11:30" hidden="1" x14ac:dyDescent="0.25">
      <c r="K405" s="11"/>
      <c r="N405" s="4"/>
      <c r="Q405" s="17"/>
      <c r="R405" s="3"/>
      <c r="S405" s="11"/>
      <c r="U405" s="3"/>
      <c r="V405" s="3"/>
      <c r="W405" s="3"/>
      <c r="X405" s="3"/>
      <c r="Y405" s="3"/>
      <c r="Z405" s="19"/>
      <c r="AB405" s="17"/>
      <c r="AD405" s="17"/>
    </row>
    <row r="406" spans="11:30" hidden="1" x14ac:dyDescent="0.25">
      <c r="K406" s="11"/>
      <c r="N406" s="4"/>
      <c r="Q406" s="17"/>
      <c r="R406" s="3"/>
      <c r="S406" s="11"/>
      <c r="U406" s="3"/>
      <c r="V406" s="3"/>
      <c r="W406" s="3"/>
      <c r="X406" s="3"/>
      <c r="Y406" s="3"/>
      <c r="Z406" s="19"/>
      <c r="AB406" s="17"/>
      <c r="AD406" s="17"/>
    </row>
    <row r="407" spans="11:30" hidden="1" x14ac:dyDescent="0.25">
      <c r="K407" s="11"/>
      <c r="N407" s="4"/>
      <c r="Q407" s="17"/>
      <c r="R407" s="3"/>
      <c r="S407" s="11"/>
      <c r="U407" s="3"/>
      <c r="V407" s="3"/>
      <c r="W407" s="3"/>
      <c r="X407" s="3"/>
      <c r="Y407" s="3"/>
      <c r="Z407" s="19"/>
      <c r="AB407" s="17"/>
      <c r="AD407" s="17"/>
    </row>
    <row r="408" spans="11:30" hidden="1" x14ac:dyDescent="0.25">
      <c r="K408" s="11"/>
      <c r="N408" s="4"/>
      <c r="Q408" s="17"/>
      <c r="R408" s="3"/>
      <c r="S408" s="11"/>
      <c r="U408" s="3"/>
      <c r="V408" s="3"/>
      <c r="W408" s="3"/>
      <c r="X408" s="3"/>
      <c r="Y408" s="3"/>
      <c r="Z408" s="19"/>
      <c r="AB408" s="17"/>
      <c r="AD408" s="17"/>
    </row>
    <row r="409" spans="11:30" hidden="1" x14ac:dyDescent="0.25">
      <c r="K409" s="11"/>
      <c r="N409" s="4"/>
      <c r="Q409" s="17"/>
      <c r="R409" s="3"/>
      <c r="S409" s="11"/>
      <c r="U409" s="3"/>
      <c r="V409" s="3"/>
      <c r="W409" s="3"/>
      <c r="X409" s="3"/>
      <c r="Y409" s="3"/>
      <c r="Z409" s="19"/>
      <c r="AB409" s="17"/>
      <c r="AD409" s="17"/>
    </row>
    <row r="410" spans="11:30" hidden="1" x14ac:dyDescent="0.25">
      <c r="K410" s="11"/>
      <c r="N410" s="4"/>
      <c r="Q410" s="17"/>
      <c r="R410" s="3"/>
      <c r="S410" s="11"/>
      <c r="U410" s="3"/>
      <c r="V410" s="3"/>
      <c r="W410" s="3"/>
      <c r="X410" s="3"/>
      <c r="Y410" s="3"/>
      <c r="Z410" s="19"/>
      <c r="AB410" s="17"/>
      <c r="AD410" s="17"/>
    </row>
    <row r="411" spans="11:30" hidden="1" x14ac:dyDescent="0.25">
      <c r="K411" s="11"/>
      <c r="N411" s="4"/>
      <c r="Q411" s="17"/>
      <c r="R411" s="3"/>
      <c r="S411" s="11"/>
      <c r="U411" s="3"/>
      <c r="V411" s="3"/>
      <c r="W411" s="3"/>
      <c r="X411" s="3"/>
      <c r="Y411" s="3"/>
      <c r="Z411" s="19"/>
      <c r="AB411" s="17"/>
      <c r="AD411" s="17"/>
    </row>
    <row r="412" spans="11:30" hidden="1" x14ac:dyDescent="0.25">
      <c r="K412" s="11"/>
      <c r="N412" s="4"/>
      <c r="Q412" s="17"/>
      <c r="R412" s="3"/>
      <c r="S412" s="11"/>
      <c r="U412" s="3"/>
      <c r="V412" s="3"/>
      <c r="W412" s="3"/>
      <c r="X412" s="3"/>
      <c r="Y412" s="3"/>
      <c r="Z412" s="19"/>
      <c r="AB412" s="17"/>
      <c r="AD412" s="17"/>
    </row>
    <row r="413" spans="11:30" hidden="1" x14ac:dyDescent="0.25">
      <c r="K413" s="11"/>
      <c r="N413" s="4"/>
      <c r="Q413" s="17"/>
      <c r="R413" s="3"/>
      <c r="S413" s="11"/>
      <c r="U413" s="3"/>
      <c r="V413" s="3"/>
      <c r="W413" s="3"/>
      <c r="X413" s="3"/>
      <c r="Y413" s="3"/>
      <c r="Z413" s="19"/>
      <c r="AB413" s="17"/>
      <c r="AD413" s="17"/>
    </row>
    <row r="414" spans="11:30" hidden="1" x14ac:dyDescent="0.25">
      <c r="K414" s="11"/>
      <c r="N414" s="4"/>
      <c r="Q414" s="17"/>
      <c r="R414" s="3"/>
      <c r="S414" s="11"/>
      <c r="U414" s="3"/>
      <c r="V414" s="3"/>
      <c r="W414" s="3"/>
      <c r="X414" s="3"/>
      <c r="Y414" s="3"/>
      <c r="Z414" s="19"/>
      <c r="AB414" s="17"/>
      <c r="AD414" s="17"/>
    </row>
    <row r="415" spans="11:30" hidden="1" x14ac:dyDescent="0.25">
      <c r="K415" s="11"/>
      <c r="N415" s="4"/>
      <c r="Q415" s="17"/>
      <c r="R415" s="3"/>
      <c r="S415" s="11"/>
      <c r="U415" s="3"/>
      <c r="V415" s="3"/>
      <c r="W415" s="3"/>
      <c r="X415" s="3"/>
      <c r="Y415" s="3"/>
      <c r="Z415" s="19"/>
      <c r="AB415" s="17"/>
      <c r="AD415" s="17"/>
    </row>
    <row r="416" spans="11:30" hidden="1" x14ac:dyDescent="0.25">
      <c r="K416" s="11"/>
      <c r="N416" s="4"/>
      <c r="Q416" s="17"/>
      <c r="R416" s="3"/>
      <c r="S416" s="11"/>
      <c r="U416" s="3"/>
      <c r="V416" s="3"/>
      <c r="W416" s="3"/>
      <c r="X416" s="3"/>
      <c r="Y416" s="3"/>
      <c r="Z416" s="19"/>
      <c r="AB416" s="17"/>
      <c r="AD416" s="17"/>
    </row>
    <row r="417" spans="11:30" hidden="1" x14ac:dyDescent="0.25">
      <c r="K417" s="11"/>
      <c r="N417" s="4"/>
      <c r="Q417" s="17"/>
      <c r="R417" s="3"/>
      <c r="S417" s="11"/>
      <c r="U417" s="3"/>
      <c r="V417" s="3"/>
      <c r="W417" s="3"/>
      <c r="X417" s="3"/>
      <c r="Y417" s="3"/>
      <c r="Z417" s="19"/>
      <c r="AB417" s="17"/>
      <c r="AD417" s="17"/>
    </row>
    <row r="418" spans="11:30" hidden="1" x14ac:dyDescent="0.25">
      <c r="K418" s="11"/>
      <c r="N418" s="4"/>
      <c r="Q418" s="17"/>
      <c r="R418" s="3"/>
      <c r="S418" s="11"/>
      <c r="U418" s="3"/>
      <c r="V418" s="3"/>
      <c r="W418" s="3"/>
      <c r="X418" s="3"/>
      <c r="Y418" s="3"/>
      <c r="Z418" s="19"/>
      <c r="AB418" s="17"/>
      <c r="AD418" s="17"/>
    </row>
    <row r="419" spans="11:30" hidden="1" x14ac:dyDescent="0.25">
      <c r="K419" s="11"/>
      <c r="N419" s="4"/>
      <c r="Q419" s="17"/>
      <c r="R419" s="3"/>
      <c r="S419" s="11"/>
      <c r="U419" s="3"/>
      <c r="V419" s="3"/>
      <c r="W419" s="3"/>
      <c r="X419" s="3"/>
      <c r="Y419" s="3"/>
      <c r="Z419" s="19"/>
      <c r="AB419" s="17"/>
      <c r="AD419" s="17"/>
    </row>
    <row r="420" spans="11:30" hidden="1" x14ac:dyDescent="0.25">
      <c r="K420" s="11"/>
      <c r="N420" s="4"/>
      <c r="Q420" s="17"/>
      <c r="R420" s="3"/>
      <c r="S420" s="11"/>
      <c r="U420" s="3"/>
      <c r="V420" s="3"/>
      <c r="W420" s="3"/>
      <c r="X420" s="3"/>
      <c r="Y420" s="3"/>
      <c r="Z420" s="19"/>
      <c r="AB420" s="17"/>
      <c r="AD420" s="17"/>
    </row>
    <row r="421" spans="11:30" hidden="1" x14ac:dyDescent="0.25">
      <c r="K421" s="11"/>
      <c r="N421" s="4"/>
      <c r="Q421" s="17"/>
      <c r="R421" s="3"/>
      <c r="S421" s="11"/>
      <c r="U421" s="3"/>
      <c r="V421" s="3"/>
      <c r="W421" s="3"/>
      <c r="X421" s="3"/>
      <c r="Y421" s="3"/>
      <c r="Z421" s="19"/>
      <c r="AB421" s="17"/>
      <c r="AD421" s="17"/>
    </row>
    <row r="422" spans="11:30" hidden="1" x14ac:dyDescent="0.25">
      <c r="K422" s="11"/>
      <c r="N422" s="4"/>
      <c r="Q422" s="17"/>
      <c r="R422" s="3"/>
      <c r="S422" s="11"/>
      <c r="U422" s="3"/>
      <c r="V422" s="3"/>
      <c r="W422" s="3"/>
      <c r="X422" s="3"/>
      <c r="Y422" s="3"/>
      <c r="Z422" s="19"/>
      <c r="AB422" s="17"/>
      <c r="AD422" s="17"/>
    </row>
    <row r="423" spans="11:30" hidden="1" x14ac:dyDescent="0.25">
      <c r="K423" s="11"/>
      <c r="N423" s="4"/>
      <c r="Q423" s="17"/>
      <c r="R423" s="3"/>
      <c r="S423" s="11"/>
      <c r="U423" s="3"/>
      <c r="V423" s="3"/>
      <c r="W423" s="3"/>
      <c r="X423" s="3"/>
      <c r="Y423" s="3"/>
      <c r="Z423" s="19"/>
      <c r="AB423" s="17"/>
      <c r="AD423" s="17"/>
    </row>
    <row r="424" spans="11:30" hidden="1" x14ac:dyDescent="0.25">
      <c r="K424" s="11"/>
      <c r="N424" s="4"/>
      <c r="Q424" s="17"/>
      <c r="R424" s="3"/>
      <c r="S424" s="11"/>
      <c r="U424" s="3"/>
      <c r="V424" s="3"/>
      <c r="W424" s="3"/>
      <c r="X424" s="3"/>
      <c r="Y424" s="3"/>
      <c r="Z424" s="19"/>
      <c r="AB424" s="17"/>
      <c r="AD424" s="17"/>
    </row>
    <row r="425" spans="11:30" hidden="1" x14ac:dyDescent="0.25">
      <c r="K425" s="11"/>
      <c r="N425" s="4"/>
      <c r="Q425" s="17"/>
      <c r="R425" s="3"/>
      <c r="S425" s="11"/>
      <c r="U425" s="3"/>
      <c r="V425" s="3"/>
      <c r="W425" s="3"/>
      <c r="X425" s="3"/>
      <c r="Y425" s="3"/>
      <c r="Z425" s="19"/>
      <c r="AB425" s="17"/>
      <c r="AD425" s="17"/>
    </row>
    <row r="426" spans="11:30" hidden="1" x14ac:dyDescent="0.25">
      <c r="K426" s="11"/>
      <c r="N426" s="4"/>
      <c r="Q426" s="17"/>
      <c r="R426" s="3"/>
      <c r="S426" s="11"/>
      <c r="U426" s="3"/>
      <c r="V426" s="3"/>
      <c r="W426" s="3"/>
      <c r="X426" s="3"/>
      <c r="Y426" s="3"/>
      <c r="Z426" s="19"/>
      <c r="AB426" s="17"/>
      <c r="AD426" s="17"/>
    </row>
    <row r="427" spans="11:30" hidden="1" x14ac:dyDescent="0.25">
      <c r="K427" s="11"/>
      <c r="N427" s="4"/>
      <c r="Q427" s="17"/>
      <c r="R427" s="3"/>
      <c r="S427" s="11"/>
      <c r="U427" s="3"/>
      <c r="V427" s="3"/>
      <c r="W427" s="3"/>
      <c r="X427" s="3"/>
      <c r="Y427" s="3"/>
      <c r="Z427" s="19"/>
      <c r="AB427" s="17"/>
      <c r="AD427" s="17"/>
    </row>
    <row r="428" spans="11:30" hidden="1" x14ac:dyDescent="0.25">
      <c r="K428" s="11"/>
      <c r="N428" s="4"/>
      <c r="Q428" s="17"/>
      <c r="R428" s="3"/>
      <c r="S428" s="11"/>
      <c r="U428" s="3"/>
      <c r="V428" s="3"/>
      <c r="W428" s="3"/>
      <c r="X428" s="3"/>
      <c r="Y428" s="3"/>
      <c r="Z428" s="19"/>
      <c r="AB428" s="17"/>
      <c r="AD428" s="17"/>
    </row>
    <row r="429" spans="11:30" hidden="1" x14ac:dyDescent="0.25">
      <c r="K429" s="11"/>
      <c r="N429" s="4"/>
      <c r="Q429" s="17"/>
      <c r="R429" s="3"/>
      <c r="S429" s="11"/>
      <c r="U429" s="3"/>
      <c r="V429" s="3"/>
      <c r="W429" s="3"/>
      <c r="X429" s="3"/>
      <c r="Y429" s="3"/>
      <c r="Z429" s="19"/>
      <c r="AB429" s="17"/>
      <c r="AD429" s="17"/>
    </row>
    <row r="430" spans="11:30" hidden="1" x14ac:dyDescent="0.25">
      <c r="K430" s="11"/>
      <c r="N430" s="4"/>
      <c r="Q430" s="17"/>
      <c r="R430" s="3"/>
      <c r="S430" s="11"/>
      <c r="U430" s="3"/>
      <c r="V430" s="3"/>
      <c r="W430" s="3"/>
      <c r="X430" s="3"/>
      <c r="Y430" s="3"/>
      <c r="Z430" s="19"/>
      <c r="AB430" s="17"/>
      <c r="AD430" s="17"/>
    </row>
    <row r="431" spans="11:30" hidden="1" x14ac:dyDescent="0.25">
      <c r="K431" s="11"/>
      <c r="N431" s="4"/>
      <c r="Q431" s="17"/>
      <c r="R431" s="3"/>
      <c r="S431" s="11"/>
      <c r="U431" s="3"/>
      <c r="V431" s="3"/>
      <c r="W431" s="3"/>
      <c r="X431" s="3"/>
      <c r="Y431" s="3"/>
      <c r="Z431" s="19"/>
      <c r="AB431" s="17"/>
      <c r="AD431" s="17"/>
    </row>
    <row r="432" spans="11:30" hidden="1" x14ac:dyDescent="0.25">
      <c r="K432" s="11"/>
      <c r="N432" s="4"/>
      <c r="Q432" s="17"/>
      <c r="R432" s="3"/>
      <c r="S432" s="11"/>
      <c r="U432" s="3"/>
      <c r="V432" s="3"/>
      <c r="W432" s="3"/>
      <c r="X432" s="3"/>
      <c r="Y432" s="3"/>
      <c r="Z432" s="19"/>
      <c r="AB432" s="17"/>
      <c r="AD432" s="17"/>
    </row>
    <row r="433" spans="11:30" hidden="1" x14ac:dyDescent="0.25">
      <c r="K433" s="11"/>
      <c r="N433" s="4"/>
      <c r="Q433" s="17"/>
      <c r="R433" s="3"/>
      <c r="S433" s="11"/>
      <c r="U433" s="3"/>
      <c r="V433" s="3"/>
      <c r="W433" s="3"/>
      <c r="X433" s="3"/>
      <c r="Y433" s="3"/>
      <c r="Z433" s="19"/>
      <c r="AB433" s="17"/>
      <c r="AD433" s="17"/>
    </row>
    <row r="434" spans="11:30" hidden="1" x14ac:dyDescent="0.25">
      <c r="K434" s="11"/>
      <c r="N434" s="4"/>
      <c r="Q434" s="17"/>
      <c r="R434" s="3"/>
      <c r="S434" s="11"/>
      <c r="U434" s="3"/>
      <c r="V434" s="3"/>
      <c r="W434" s="3"/>
      <c r="X434" s="3"/>
      <c r="Y434" s="3"/>
      <c r="Z434" s="19"/>
      <c r="AB434" s="17"/>
      <c r="AD434" s="17"/>
    </row>
    <row r="435" spans="11:30" hidden="1" x14ac:dyDescent="0.25">
      <c r="K435" s="11"/>
      <c r="N435" s="4"/>
      <c r="Q435" s="17"/>
      <c r="R435" s="3"/>
      <c r="S435" s="11"/>
      <c r="U435" s="3"/>
      <c r="V435" s="3"/>
      <c r="W435" s="3"/>
      <c r="X435" s="3"/>
      <c r="Y435" s="3"/>
      <c r="Z435" s="19"/>
      <c r="AB435" s="17"/>
      <c r="AD435" s="17"/>
    </row>
    <row r="436" spans="11:30" hidden="1" x14ac:dyDescent="0.25">
      <c r="K436" s="11"/>
      <c r="N436" s="4"/>
      <c r="Q436" s="17"/>
      <c r="R436" s="3"/>
      <c r="S436" s="11"/>
      <c r="U436" s="3"/>
      <c r="V436" s="3"/>
      <c r="W436" s="3"/>
      <c r="X436" s="3"/>
      <c r="Y436" s="3"/>
      <c r="Z436" s="19"/>
      <c r="AB436" s="17"/>
      <c r="AD436" s="17"/>
    </row>
    <row r="437" spans="11:30" hidden="1" x14ac:dyDescent="0.25">
      <c r="K437" s="11"/>
      <c r="N437" s="4"/>
      <c r="Q437" s="17"/>
      <c r="R437" s="3"/>
      <c r="S437" s="11"/>
      <c r="U437" s="3"/>
      <c r="V437" s="3"/>
      <c r="W437" s="3"/>
      <c r="X437" s="3"/>
      <c r="Y437" s="3"/>
      <c r="Z437" s="19"/>
      <c r="AB437" s="17"/>
      <c r="AD437" s="17"/>
    </row>
    <row r="438" spans="11:30" hidden="1" x14ac:dyDescent="0.25">
      <c r="K438" s="11"/>
      <c r="N438" s="4"/>
      <c r="Q438" s="17"/>
      <c r="R438" s="3"/>
      <c r="S438" s="11"/>
      <c r="U438" s="3"/>
      <c r="V438" s="3"/>
      <c r="W438" s="3"/>
      <c r="X438" s="3"/>
      <c r="Y438" s="3"/>
      <c r="Z438" s="19"/>
      <c r="AB438" s="17"/>
      <c r="AD438" s="17"/>
    </row>
    <row r="439" spans="11:30" hidden="1" x14ac:dyDescent="0.25">
      <c r="K439" s="11"/>
      <c r="N439" s="4"/>
      <c r="Q439" s="17"/>
      <c r="R439" s="3"/>
      <c r="S439" s="11"/>
      <c r="U439" s="3"/>
      <c r="V439" s="3"/>
      <c r="W439" s="3"/>
      <c r="X439" s="3"/>
      <c r="Y439" s="3"/>
      <c r="Z439" s="19"/>
      <c r="AB439" s="17"/>
      <c r="AD439" s="17"/>
    </row>
    <row r="440" spans="11:30" hidden="1" x14ac:dyDescent="0.25">
      <c r="K440" s="11"/>
      <c r="N440" s="4"/>
      <c r="Q440" s="17"/>
      <c r="R440" s="3"/>
      <c r="S440" s="11"/>
      <c r="U440" s="3"/>
      <c r="V440" s="3"/>
      <c r="W440" s="3"/>
      <c r="X440" s="3"/>
      <c r="Y440" s="3"/>
      <c r="Z440" s="19"/>
      <c r="AB440" s="17"/>
      <c r="AD440" s="17"/>
    </row>
    <row r="441" spans="11:30" hidden="1" x14ac:dyDescent="0.25">
      <c r="K441" s="11"/>
      <c r="N441" s="4"/>
      <c r="Q441" s="17"/>
      <c r="R441" s="3"/>
      <c r="S441" s="11"/>
      <c r="U441" s="3"/>
      <c r="V441" s="3"/>
      <c r="W441" s="3"/>
      <c r="X441" s="3"/>
      <c r="Y441" s="3"/>
      <c r="Z441" s="19"/>
      <c r="AB441" s="17"/>
      <c r="AD441" s="17"/>
    </row>
    <row r="442" spans="11:30" hidden="1" x14ac:dyDescent="0.25">
      <c r="K442" s="11"/>
      <c r="N442" s="4"/>
      <c r="Q442" s="17"/>
      <c r="R442" s="3"/>
      <c r="S442" s="11"/>
      <c r="U442" s="3"/>
      <c r="V442" s="3"/>
      <c r="W442" s="3"/>
      <c r="X442" s="3"/>
      <c r="Y442" s="3"/>
      <c r="Z442" s="19"/>
      <c r="AB442" s="17"/>
      <c r="AD442" s="17"/>
    </row>
    <row r="443" spans="11:30" hidden="1" x14ac:dyDescent="0.25">
      <c r="K443" s="11"/>
      <c r="N443" s="4"/>
      <c r="Q443" s="17"/>
      <c r="R443" s="3"/>
      <c r="S443" s="11"/>
      <c r="U443" s="3"/>
      <c r="V443" s="3"/>
      <c r="W443" s="3"/>
      <c r="X443" s="3"/>
      <c r="Y443" s="3"/>
      <c r="Z443" s="19"/>
      <c r="AB443" s="17"/>
      <c r="AD443" s="17"/>
    </row>
    <row r="444" spans="11:30" hidden="1" x14ac:dyDescent="0.25">
      <c r="K444" s="11"/>
      <c r="N444" s="4"/>
      <c r="Q444" s="17"/>
      <c r="R444" s="3"/>
      <c r="S444" s="11"/>
      <c r="U444" s="3"/>
      <c r="V444" s="3"/>
      <c r="W444" s="3"/>
      <c r="X444" s="3"/>
      <c r="Y444" s="3"/>
      <c r="Z444" s="19"/>
      <c r="AB444" s="17"/>
      <c r="AD444" s="17"/>
    </row>
    <row r="445" spans="11:30" hidden="1" x14ac:dyDescent="0.25">
      <c r="K445" s="11"/>
      <c r="N445" s="4"/>
      <c r="Q445" s="17"/>
      <c r="R445" s="3"/>
      <c r="S445" s="11"/>
      <c r="U445" s="3"/>
      <c r="V445" s="3"/>
      <c r="W445" s="3"/>
      <c r="X445" s="3"/>
      <c r="Y445" s="3"/>
      <c r="Z445" s="19"/>
      <c r="AB445" s="17"/>
      <c r="AD445" s="17"/>
    </row>
    <row r="446" spans="11:30" hidden="1" x14ac:dyDescent="0.25">
      <c r="K446" s="11"/>
      <c r="N446" s="4"/>
      <c r="Q446" s="17"/>
      <c r="R446" s="3"/>
      <c r="S446" s="11"/>
      <c r="U446" s="3"/>
      <c r="V446" s="3"/>
      <c r="W446" s="3"/>
      <c r="X446" s="3"/>
      <c r="Y446" s="3"/>
      <c r="Z446" s="19"/>
      <c r="AB446" s="17"/>
      <c r="AD446" s="17"/>
    </row>
    <row r="447" spans="11:30" hidden="1" x14ac:dyDescent="0.25">
      <c r="K447" s="11"/>
      <c r="N447" s="4"/>
      <c r="Q447" s="17"/>
      <c r="R447" s="3"/>
      <c r="S447" s="11"/>
      <c r="U447" s="3"/>
      <c r="V447" s="3"/>
      <c r="W447" s="3"/>
      <c r="X447" s="3"/>
      <c r="Y447" s="3"/>
      <c r="Z447" s="19"/>
      <c r="AB447" s="17"/>
      <c r="AD447" s="17"/>
    </row>
    <row r="448" spans="11:30" hidden="1" x14ac:dyDescent="0.25">
      <c r="K448" s="11"/>
      <c r="N448" s="4"/>
      <c r="Q448" s="17"/>
      <c r="R448" s="3"/>
      <c r="S448" s="11"/>
      <c r="U448" s="3"/>
      <c r="V448" s="3"/>
      <c r="W448" s="3"/>
      <c r="X448" s="3"/>
      <c r="Y448" s="3"/>
      <c r="Z448" s="19"/>
      <c r="AB448" s="17"/>
      <c r="AD448" s="17"/>
    </row>
    <row r="449" spans="11:30" hidden="1" x14ac:dyDescent="0.25">
      <c r="K449" s="11"/>
      <c r="N449" s="4"/>
      <c r="Q449" s="17"/>
      <c r="R449" s="3"/>
      <c r="S449" s="11"/>
      <c r="U449" s="3"/>
      <c r="V449" s="3"/>
      <c r="W449" s="3"/>
      <c r="X449" s="3"/>
      <c r="Y449" s="3"/>
      <c r="Z449" s="19"/>
      <c r="AB449" s="17"/>
      <c r="AD449" s="17"/>
    </row>
    <row r="450" spans="11:30" hidden="1" x14ac:dyDescent="0.25">
      <c r="K450" s="11"/>
      <c r="N450" s="4"/>
      <c r="Q450" s="17"/>
      <c r="R450" s="3"/>
      <c r="S450" s="11"/>
      <c r="U450" s="3"/>
      <c r="V450" s="3"/>
      <c r="W450" s="3"/>
      <c r="X450" s="3"/>
      <c r="Y450" s="3"/>
      <c r="Z450" s="19"/>
      <c r="AB450" s="17"/>
      <c r="AD450" s="17"/>
    </row>
    <row r="451" spans="11:30" hidden="1" x14ac:dyDescent="0.25">
      <c r="K451" s="11"/>
      <c r="N451" s="4"/>
      <c r="Q451" s="17"/>
      <c r="R451" s="3"/>
      <c r="S451" s="11"/>
      <c r="U451" s="3"/>
      <c r="V451" s="3"/>
      <c r="W451" s="3"/>
      <c r="X451" s="3"/>
      <c r="Y451" s="3"/>
      <c r="Z451" s="19"/>
      <c r="AB451" s="17"/>
      <c r="AD451" s="17"/>
    </row>
    <row r="452" spans="11:30" hidden="1" x14ac:dyDescent="0.25">
      <c r="K452" s="11"/>
      <c r="N452" s="4"/>
      <c r="Q452" s="17"/>
      <c r="R452" s="3"/>
      <c r="S452" s="11"/>
      <c r="U452" s="3"/>
      <c r="V452" s="3"/>
      <c r="W452" s="3"/>
      <c r="X452" s="3"/>
      <c r="Y452" s="3"/>
      <c r="Z452" s="19"/>
      <c r="AB452" s="17"/>
      <c r="AD452" s="17"/>
    </row>
    <row r="453" spans="11:30" hidden="1" x14ac:dyDescent="0.25">
      <c r="K453" s="11"/>
      <c r="N453" s="4"/>
      <c r="Q453" s="17"/>
      <c r="R453" s="3"/>
      <c r="S453" s="11"/>
      <c r="U453" s="3"/>
      <c r="V453" s="3"/>
      <c r="W453" s="3"/>
      <c r="X453" s="3"/>
      <c r="Y453" s="3"/>
      <c r="Z453" s="19"/>
      <c r="AB453" s="17"/>
      <c r="AD453" s="17"/>
    </row>
    <row r="454" spans="11:30" hidden="1" x14ac:dyDescent="0.25">
      <c r="K454" s="11"/>
      <c r="N454" s="4"/>
      <c r="Q454" s="17"/>
      <c r="R454" s="3"/>
      <c r="S454" s="11"/>
      <c r="U454" s="3"/>
      <c r="V454" s="3"/>
      <c r="W454" s="3"/>
      <c r="X454" s="3"/>
      <c r="Y454" s="3"/>
      <c r="Z454" s="19"/>
      <c r="AB454" s="17"/>
      <c r="AD454" s="17"/>
    </row>
    <row r="455" spans="11:30" hidden="1" x14ac:dyDescent="0.25">
      <c r="K455" s="11"/>
      <c r="N455" s="4"/>
      <c r="Q455" s="17"/>
      <c r="R455" s="3"/>
      <c r="S455" s="11"/>
      <c r="U455" s="3"/>
      <c r="V455" s="3"/>
      <c r="W455" s="3"/>
      <c r="X455" s="3"/>
      <c r="Y455" s="3"/>
      <c r="Z455" s="19"/>
      <c r="AB455" s="17"/>
      <c r="AD455" s="17"/>
    </row>
    <row r="456" spans="11:30" hidden="1" x14ac:dyDescent="0.25">
      <c r="K456" s="11"/>
      <c r="N456" s="4"/>
      <c r="Q456" s="17"/>
      <c r="R456" s="3"/>
      <c r="S456" s="11"/>
      <c r="U456" s="3"/>
      <c r="V456" s="3"/>
      <c r="W456" s="3"/>
      <c r="X456" s="3"/>
      <c r="Y456" s="3"/>
      <c r="Z456" s="19"/>
      <c r="AB456" s="17"/>
      <c r="AD456" s="17"/>
    </row>
    <row r="457" spans="11:30" hidden="1" x14ac:dyDescent="0.25">
      <c r="K457" s="11"/>
      <c r="N457" s="4"/>
      <c r="Q457" s="17"/>
      <c r="R457" s="3"/>
      <c r="S457" s="11"/>
      <c r="U457" s="3"/>
      <c r="V457" s="3"/>
      <c r="W457" s="3"/>
      <c r="X457" s="3"/>
      <c r="Y457" s="3"/>
      <c r="Z457" s="19"/>
      <c r="AB457" s="17"/>
      <c r="AD457" s="17"/>
    </row>
    <row r="458" spans="11:30" hidden="1" x14ac:dyDescent="0.25">
      <c r="K458" s="11"/>
      <c r="N458" s="4"/>
      <c r="Q458" s="17"/>
      <c r="R458" s="3"/>
      <c r="S458" s="11"/>
      <c r="U458" s="3"/>
      <c r="V458" s="3"/>
      <c r="W458" s="3"/>
      <c r="X458" s="3"/>
      <c r="Y458" s="3"/>
      <c r="Z458" s="19"/>
      <c r="AB458" s="17"/>
      <c r="AD458" s="17"/>
    </row>
    <row r="459" spans="11:30" hidden="1" x14ac:dyDescent="0.25">
      <c r="K459" s="11"/>
      <c r="N459" s="4"/>
      <c r="Q459" s="17"/>
      <c r="R459" s="3"/>
      <c r="S459" s="11"/>
      <c r="U459" s="3"/>
      <c r="V459" s="3"/>
      <c r="W459" s="3"/>
      <c r="X459" s="3"/>
      <c r="Y459" s="3"/>
      <c r="Z459" s="19"/>
      <c r="AB459" s="17"/>
      <c r="AD459" s="17"/>
    </row>
    <row r="460" spans="11:30" hidden="1" x14ac:dyDescent="0.25">
      <c r="K460" s="11"/>
      <c r="N460" s="4"/>
      <c r="Q460" s="17"/>
      <c r="R460" s="3"/>
      <c r="S460" s="11"/>
      <c r="U460" s="3"/>
      <c r="V460" s="3"/>
      <c r="W460" s="3"/>
      <c r="X460" s="3"/>
      <c r="Y460" s="3"/>
      <c r="Z460" s="19"/>
      <c r="AB460" s="17"/>
      <c r="AD460" s="17"/>
    </row>
    <row r="461" spans="11:30" hidden="1" x14ac:dyDescent="0.25">
      <c r="K461" s="11"/>
      <c r="N461" s="4"/>
      <c r="Q461" s="17"/>
      <c r="R461" s="3"/>
      <c r="S461" s="11"/>
      <c r="U461" s="3"/>
      <c r="V461" s="3"/>
      <c r="W461" s="3"/>
      <c r="X461" s="3"/>
      <c r="Y461" s="3"/>
      <c r="Z461" s="19"/>
      <c r="AB461" s="17"/>
      <c r="AD461" s="17"/>
    </row>
    <row r="462" spans="11:30" hidden="1" x14ac:dyDescent="0.25">
      <c r="K462" s="11"/>
      <c r="N462" s="4"/>
      <c r="Q462" s="17"/>
      <c r="R462" s="3"/>
      <c r="S462" s="11"/>
      <c r="U462" s="3"/>
      <c r="V462" s="3"/>
      <c r="W462" s="3"/>
      <c r="X462" s="3"/>
      <c r="Y462" s="3"/>
      <c r="Z462" s="19"/>
      <c r="AB462" s="17"/>
      <c r="AD462" s="17"/>
    </row>
    <row r="463" spans="11:30" hidden="1" x14ac:dyDescent="0.25">
      <c r="K463" s="11"/>
      <c r="N463" s="4"/>
      <c r="Q463" s="17"/>
      <c r="R463" s="3"/>
      <c r="S463" s="11"/>
      <c r="U463" s="3"/>
      <c r="V463" s="3"/>
      <c r="W463" s="3"/>
      <c r="X463" s="3"/>
      <c r="Y463" s="3"/>
      <c r="Z463" s="19"/>
      <c r="AB463" s="17"/>
      <c r="AD463" s="17"/>
    </row>
    <row r="464" spans="11:30" hidden="1" x14ac:dyDescent="0.25">
      <c r="K464" s="11"/>
      <c r="N464" s="4"/>
      <c r="Q464" s="17"/>
      <c r="R464" s="3"/>
      <c r="S464" s="11"/>
      <c r="U464" s="3"/>
      <c r="V464" s="3"/>
      <c r="W464" s="3"/>
      <c r="X464" s="3"/>
      <c r="Y464" s="3"/>
      <c r="Z464" s="19"/>
      <c r="AB464" s="17"/>
      <c r="AD464" s="17"/>
    </row>
    <row r="465" spans="11:30" hidden="1" x14ac:dyDescent="0.25">
      <c r="K465" s="11"/>
      <c r="N465" s="4"/>
      <c r="Q465" s="17"/>
      <c r="R465" s="3"/>
      <c r="S465" s="11"/>
      <c r="U465" s="3"/>
      <c r="V465" s="3"/>
      <c r="W465" s="3"/>
      <c r="X465" s="3"/>
      <c r="Y465" s="3"/>
      <c r="Z465" s="19"/>
      <c r="AB465" s="17"/>
      <c r="AD465" s="17"/>
    </row>
    <row r="466" spans="11:30" hidden="1" x14ac:dyDescent="0.25">
      <c r="K466" s="11"/>
      <c r="N466" s="4"/>
      <c r="Q466" s="17"/>
      <c r="R466" s="3"/>
      <c r="S466" s="11"/>
      <c r="U466" s="3"/>
      <c r="V466" s="3"/>
      <c r="W466" s="3"/>
      <c r="X466" s="3"/>
      <c r="Y466" s="3"/>
      <c r="Z466" s="19"/>
      <c r="AB466" s="17"/>
      <c r="AD466" s="17"/>
    </row>
    <row r="467" spans="11:30" hidden="1" x14ac:dyDescent="0.25">
      <c r="K467" s="11"/>
      <c r="N467" s="4"/>
      <c r="Q467" s="17"/>
      <c r="R467" s="3"/>
      <c r="S467" s="11"/>
      <c r="U467" s="3"/>
      <c r="V467" s="3"/>
      <c r="W467" s="3"/>
      <c r="X467" s="3"/>
      <c r="Y467" s="3"/>
      <c r="Z467" s="19"/>
      <c r="AB467" s="17"/>
      <c r="AD467" s="17"/>
    </row>
    <row r="468" spans="11:30" hidden="1" x14ac:dyDescent="0.25">
      <c r="K468" s="11"/>
      <c r="N468" s="4"/>
      <c r="Q468" s="17"/>
      <c r="R468" s="3"/>
      <c r="S468" s="11"/>
      <c r="U468" s="3"/>
      <c r="V468" s="3"/>
      <c r="W468" s="3"/>
      <c r="X468" s="3"/>
      <c r="Y468" s="3"/>
      <c r="Z468" s="19"/>
      <c r="AB468" s="17"/>
      <c r="AD468" s="17"/>
    </row>
    <row r="469" spans="11:30" hidden="1" x14ac:dyDescent="0.25">
      <c r="K469" s="11"/>
      <c r="N469" s="4"/>
      <c r="Q469" s="17"/>
      <c r="R469" s="3"/>
      <c r="S469" s="11"/>
      <c r="U469" s="3"/>
      <c r="V469" s="3"/>
      <c r="W469" s="3"/>
      <c r="X469" s="3"/>
      <c r="Y469" s="3"/>
      <c r="Z469" s="19"/>
      <c r="AB469" s="17"/>
      <c r="AD469" s="17"/>
    </row>
    <row r="470" spans="11:30" hidden="1" x14ac:dyDescent="0.25">
      <c r="K470" s="11"/>
      <c r="N470" s="4"/>
      <c r="Q470" s="17"/>
      <c r="R470" s="3"/>
      <c r="S470" s="11"/>
      <c r="U470" s="3"/>
      <c r="V470" s="3"/>
      <c r="W470" s="3"/>
      <c r="X470" s="3"/>
      <c r="Y470" s="3"/>
      <c r="Z470" s="19"/>
      <c r="AB470" s="17"/>
      <c r="AD470" s="17"/>
    </row>
    <row r="471" spans="11:30" hidden="1" x14ac:dyDescent="0.25">
      <c r="K471" s="11"/>
      <c r="N471" s="4"/>
      <c r="Q471" s="17"/>
      <c r="R471" s="3"/>
      <c r="S471" s="11"/>
      <c r="U471" s="3"/>
      <c r="V471" s="3"/>
      <c r="W471" s="3"/>
      <c r="X471" s="3"/>
      <c r="Y471" s="3"/>
      <c r="Z471" s="19"/>
      <c r="AB471" s="17"/>
      <c r="AD471" s="17"/>
    </row>
    <row r="472" spans="11:30" hidden="1" x14ac:dyDescent="0.25">
      <c r="K472" s="11"/>
      <c r="N472" s="4"/>
      <c r="Q472" s="17"/>
      <c r="R472" s="3"/>
      <c r="S472" s="11"/>
      <c r="U472" s="3"/>
      <c r="V472" s="3"/>
      <c r="W472" s="3"/>
      <c r="X472" s="3"/>
      <c r="Y472" s="3"/>
      <c r="Z472" s="19"/>
      <c r="AB472" s="17"/>
      <c r="AD472" s="17"/>
    </row>
    <row r="473" spans="11:30" hidden="1" x14ac:dyDescent="0.25">
      <c r="K473" s="11"/>
      <c r="N473" s="4"/>
      <c r="Q473" s="17"/>
      <c r="R473" s="3"/>
      <c r="S473" s="11"/>
      <c r="U473" s="3"/>
      <c r="V473" s="3"/>
      <c r="W473" s="3"/>
      <c r="X473" s="3"/>
      <c r="Y473" s="3"/>
      <c r="Z473" s="19"/>
      <c r="AB473" s="17"/>
      <c r="AD473" s="17"/>
    </row>
    <row r="474" spans="11:30" hidden="1" x14ac:dyDescent="0.25">
      <c r="K474" s="11"/>
      <c r="N474" s="4"/>
      <c r="Q474" s="17"/>
      <c r="R474" s="3"/>
      <c r="S474" s="11"/>
      <c r="U474" s="3"/>
      <c r="V474" s="3"/>
      <c r="W474" s="3"/>
      <c r="X474" s="3"/>
      <c r="Y474" s="3"/>
      <c r="Z474" s="19"/>
      <c r="AB474" s="17"/>
      <c r="AD474" s="17"/>
    </row>
    <row r="475" spans="11:30" hidden="1" x14ac:dyDescent="0.25">
      <c r="K475" s="11"/>
      <c r="N475" s="4"/>
      <c r="Q475" s="17"/>
      <c r="R475" s="3"/>
      <c r="S475" s="11"/>
      <c r="U475" s="3"/>
      <c r="V475" s="3"/>
      <c r="W475" s="3"/>
      <c r="X475" s="3"/>
      <c r="Y475" s="3"/>
      <c r="Z475" s="19"/>
      <c r="AB475" s="17"/>
      <c r="AD475" s="17"/>
    </row>
    <row r="476" spans="11:30" hidden="1" x14ac:dyDescent="0.25">
      <c r="K476" s="11"/>
      <c r="N476" s="4"/>
      <c r="Q476" s="17"/>
      <c r="R476" s="3"/>
      <c r="S476" s="11"/>
      <c r="U476" s="3"/>
      <c r="V476" s="3"/>
      <c r="W476" s="3"/>
      <c r="X476" s="3"/>
      <c r="Y476" s="3"/>
      <c r="Z476" s="19"/>
      <c r="AB476" s="17"/>
      <c r="AD476" s="17"/>
    </row>
    <row r="477" spans="11:30" hidden="1" x14ac:dyDescent="0.25">
      <c r="K477" s="11"/>
      <c r="N477" s="4"/>
      <c r="Q477" s="17"/>
      <c r="R477" s="3"/>
      <c r="S477" s="11"/>
      <c r="U477" s="3"/>
      <c r="V477" s="3"/>
      <c r="W477" s="3"/>
      <c r="X477" s="3"/>
      <c r="Y477" s="3"/>
      <c r="Z477" s="19"/>
      <c r="AB477" s="17"/>
      <c r="AD477" s="17"/>
    </row>
    <row r="478" spans="11:30" hidden="1" x14ac:dyDescent="0.25">
      <c r="K478" s="11"/>
      <c r="N478" s="4"/>
      <c r="Q478" s="17"/>
      <c r="R478" s="3"/>
      <c r="S478" s="11"/>
      <c r="U478" s="3"/>
      <c r="V478" s="3"/>
      <c r="W478" s="3"/>
      <c r="X478" s="3"/>
      <c r="Y478" s="3"/>
      <c r="Z478" s="19"/>
      <c r="AB478" s="17"/>
      <c r="AD478" s="17"/>
    </row>
    <row r="479" spans="11:30" hidden="1" x14ac:dyDescent="0.25">
      <c r="K479" s="11"/>
      <c r="N479" s="4"/>
      <c r="Q479" s="17"/>
      <c r="R479" s="3"/>
      <c r="S479" s="11"/>
      <c r="U479" s="3"/>
      <c r="V479" s="3"/>
      <c r="W479" s="3"/>
      <c r="X479" s="3"/>
      <c r="Y479" s="3"/>
      <c r="Z479" s="19"/>
      <c r="AB479" s="17"/>
      <c r="AD479" s="17"/>
    </row>
    <row r="480" spans="11:30" hidden="1" x14ac:dyDescent="0.25">
      <c r="K480" s="11"/>
      <c r="N480" s="4"/>
      <c r="Q480" s="17"/>
      <c r="R480" s="3"/>
      <c r="S480" s="11"/>
      <c r="U480" s="3"/>
      <c r="V480" s="3"/>
      <c r="W480" s="3"/>
      <c r="X480" s="3"/>
      <c r="Y480" s="3"/>
      <c r="Z480" s="19"/>
      <c r="AB480" s="17"/>
      <c r="AD480" s="17"/>
    </row>
    <row r="481" spans="11:30" hidden="1" x14ac:dyDescent="0.25">
      <c r="K481" s="11"/>
      <c r="N481" s="4"/>
      <c r="Q481" s="17"/>
      <c r="R481" s="3"/>
      <c r="S481" s="11"/>
      <c r="U481" s="3"/>
      <c r="V481" s="3"/>
      <c r="W481" s="3"/>
      <c r="X481" s="3"/>
      <c r="Y481" s="3"/>
      <c r="Z481" s="19"/>
      <c r="AB481" s="17"/>
      <c r="AD481" s="17"/>
    </row>
    <row r="482" spans="11:30" hidden="1" x14ac:dyDescent="0.25">
      <c r="K482" s="11"/>
      <c r="N482" s="4"/>
      <c r="Q482" s="17"/>
      <c r="R482" s="3"/>
      <c r="S482" s="11"/>
      <c r="U482" s="3"/>
      <c r="V482" s="3"/>
      <c r="W482" s="3"/>
      <c r="X482" s="3"/>
      <c r="Y482" s="3"/>
      <c r="Z482" s="19"/>
      <c r="AB482" s="17"/>
      <c r="AD482" s="17"/>
    </row>
    <row r="483" spans="11:30" hidden="1" x14ac:dyDescent="0.25">
      <c r="K483" s="11"/>
      <c r="N483" s="4"/>
      <c r="Q483" s="17"/>
      <c r="R483" s="3"/>
      <c r="S483" s="11"/>
      <c r="U483" s="3"/>
      <c r="V483" s="3"/>
      <c r="W483" s="3"/>
      <c r="X483" s="3"/>
      <c r="Y483" s="3"/>
      <c r="Z483" s="19"/>
      <c r="AB483" s="17"/>
      <c r="AD483" s="17"/>
    </row>
    <row r="484" spans="11:30" hidden="1" x14ac:dyDescent="0.25">
      <c r="K484" s="11"/>
      <c r="N484" s="4"/>
      <c r="Q484" s="17"/>
      <c r="R484" s="3"/>
      <c r="S484" s="11"/>
      <c r="U484" s="3"/>
      <c r="V484" s="3"/>
      <c r="W484" s="3"/>
      <c r="X484" s="3"/>
      <c r="Y484" s="3"/>
      <c r="Z484" s="19"/>
      <c r="AB484" s="17"/>
      <c r="AD484" s="17"/>
    </row>
    <row r="485" spans="11:30" hidden="1" x14ac:dyDescent="0.25">
      <c r="K485" s="11"/>
      <c r="N485" s="4"/>
      <c r="Q485" s="17"/>
      <c r="R485" s="3"/>
      <c r="S485" s="11"/>
      <c r="U485" s="3"/>
      <c r="V485" s="3"/>
      <c r="W485" s="3"/>
      <c r="X485" s="3"/>
      <c r="Y485" s="3"/>
      <c r="Z485" s="19"/>
      <c r="AB485" s="17"/>
      <c r="AD485" s="17"/>
    </row>
    <row r="486" spans="11:30" hidden="1" x14ac:dyDescent="0.25">
      <c r="K486" s="11"/>
      <c r="N486" s="4"/>
      <c r="Q486" s="17"/>
      <c r="R486" s="3"/>
      <c r="S486" s="11"/>
      <c r="U486" s="3"/>
      <c r="V486" s="3"/>
      <c r="W486" s="3"/>
      <c r="X486" s="3"/>
      <c r="Y486" s="3"/>
      <c r="Z486" s="19"/>
      <c r="AB486" s="17"/>
      <c r="AD486" s="17"/>
    </row>
    <row r="487" spans="11:30" hidden="1" x14ac:dyDescent="0.25">
      <c r="K487" s="11"/>
      <c r="N487" s="4"/>
      <c r="Q487" s="17"/>
      <c r="R487" s="3"/>
      <c r="S487" s="11"/>
      <c r="U487" s="3"/>
      <c r="V487" s="3"/>
      <c r="W487" s="3"/>
      <c r="X487" s="3"/>
      <c r="Y487" s="3"/>
      <c r="Z487" s="19"/>
      <c r="AB487" s="17"/>
      <c r="AD487" s="17"/>
    </row>
    <row r="488" spans="11:30" hidden="1" x14ac:dyDescent="0.25">
      <c r="K488" s="11"/>
      <c r="N488" s="4"/>
      <c r="Q488" s="17"/>
      <c r="R488" s="3"/>
      <c r="S488" s="11"/>
      <c r="U488" s="3"/>
      <c r="V488" s="3"/>
      <c r="W488" s="3"/>
      <c r="X488" s="3"/>
      <c r="Y488" s="3"/>
      <c r="Z488" s="19"/>
      <c r="AB488" s="17"/>
      <c r="AD488" s="17"/>
    </row>
    <row r="489" spans="11:30" hidden="1" x14ac:dyDescent="0.25">
      <c r="K489" s="11"/>
      <c r="N489" s="4"/>
      <c r="Q489" s="17"/>
      <c r="R489" s="3"/>
      <c r="S489" s="11"/>
      <c r="U489" s="3"/>
      <c r="V489" s="3"/>
      <c r="W489" s="3"/>
      <c r="X489" s="3"/>
      <c r="Y489" s="3"/>
      <c r="Z489" s="19"/>
      <c r="AB489" s="17"/>
      <c r="AD489" s="17"/>
    </row>
    <row r="490" spans="11:30" hidden="1" x14ac:dyDescent="0.25">
      <c r="K490" s="11"/>
      <c r="N490" s="4"/>
      <c r="Q490" s="17"/>
      <c r="R490" s="3"/>
      <c r="S490" s="11"/>
      <c r="U490" s="3"/>
      <c r="V490" s="3"/>
      <c r="W490" s="3"/>
      <c r="X490" s="3"/>
      <c r="Y490" s="3"/>
      <c r="Z490" s="19"/>
      <c r="AB490" s="17"/>
      <c r="AD490" s="17"/>
    </row>
    <row r="491" spans="11:30" hidden="1" x14ac:dyDescent="0.25">
      <c r="K491" s="11"/>
      <c r="N491" s="4"/>
      <c r="Q491" s="17"/>
      <c r="R491" s="3"/>
      <c r="S491" s="11"/>
      <c r="U491" s="3"/>
      <c r="V491" s="3"/>
      <c r="W491" s="3"/>
      <c r="X491" s="3"/>
      <c r="Y491" s="3"/>
      <c r="Z491" s="19"/>
      <c r="AB491" s="17"/>
      <c r="AD491" s="17"/>
    </row>
    <row r="492" spans="11:30" hidden="1" x14ac:dyDescent="0.25">
      <c r="K492" s="11"/>
      <c r="N492" s="4"/>
      <c r="Q492" s="17"/>
      <c r="R492" s="3"/>
      <c r="S492" s="11"/>
      <c r="U492" s="3"/>
      <c r="V492" s="3"/>
      <c r="W492" s="3"/>
      <c r="X492" s="3"/>
      <c r="Y492" s="3"/>
      <c r="Z492" s="19"/>
      <c r="AB492" s="17"/>
      <c r="AD492" s="17"/>
    </row>
    <row r="493" spans="11:30" hidden="1" x14ac:dyDescent="0.25">
      <c r="K493" s="11"/>
      <c r="N493" s="4"/>
      <c r="Q493" s="17"/>
      <c r="R493" s="3"/>
      <c r="S493" s="11"/>
      <c r="U493" s="3"/>
      <c r="V493" s="3"/>
      <c r="W493" s="3"/>
      <c r="X493" s="3"/>
      <c r="Y493" s="3"/>
      <c r="Z493" s="19"/>
      <c r="AB493" s="17"/>
      <c r="AD493" s="17"/>
    </row>
    <row r="494" spans="11:30" hidden="1" x14ac:dyDescent="0.25">
      <c r="K494" s="11"/>
      <c r="N494" s="4"/>
      <c r="Q494" s="17"/>
      <c r="R494" s="3"/>
      <c r="S494" s="11"/>
      <c r="U494" s="3"/>
      <c r="V494" s="3"/>
      <c r="W494" s="3"/>
      <c r="X494" s="3"/>
      <c r="Y494" s="3"/>
      <c r="Z494" s="19"/>
      <c r="AB494" s="17"/>
      <c r="AD494" s="17"/>
    </row>
    <row r="495" spans="11:30" hidden="1" x14ac:dyDescent="0.25">
      <c r="K495" s="11"/>
      <c r="N495" s="4"/>
      <c r="Q495" s="17"/>
      <c r="R495" s="3"/>
      <c r="S495" s="11"/>
      <c r="U495" s="3"/>
      <c r="V495" s="3"/>
      <c r="W495" s="3"/>
      <c r="X495" s="3"/>
      <c r="Y495" s="3"/>
      <c r="Z495" s="19"/>
      <c r="AB495" s="17"/>
      <c r="AD495" s="17"/>
    </row>
    <row r="496" spans="11:30" hidden="1" x14ac:dyDescent="0.25">
      <c r="K496" s="11"/>
      <c r="N496" s="4"/>
      <c r="Q496" s="17"/>
      <c r="R496" s="3"/>
      <c r="S496" s="11"/>
      <c r="U496" s="3"/>
      <c r="V496" s="3"/>
      <c r="W496" s="3"/>
      <c r="X496" s="3"/>
      <c r="Y496" s="3"/>
      <c r="Z496" s="19"/>
      <c r="AB496" s="17"/>
      <c r="AD496" s="17"/>
    </row>
    <row r="497" spans="11:30" hidden="1" x14ac:dyDescent="0.25">
      <c r="K497" s="11"/>
      <c r="N497" s="4"/>
      <c r="Q497" s="17"/>
      <c r="R497" s="3"/>
      <c r="S497" s="11"/>
      <c r="U497" s="3"/>
      <c r="V497" s="3"/>
      <c r="W497" s="3"/>
      <c r="X497" s="3"/>
      <c r="Y497" s="3"/>
      <c r="Z497" s="19"/>
      <c r="AB497" s="17"/>
      <c r="AD497" s="17"/>
    </row>
    <row r="498" spans="11:30" hidden="1" x14ac:dyDescent="0.25">
      <c r="K498" s="11"/>
      <c r="N498" s="4"/>
      <c r="Q498" s="17"/>
      <c r="R498" s="3"/>
      <c r="S498" s="11"/>
      <c r="U498" s="3"/>
      <c r="V498" s="3"/>
      <c r="W498" s="3"/>
      <c r="X498" s="3"/>
      <c r="Y498" s="3"/>
      <c r="Z498" s="19"/>
      <c r="AB498" s="17"/>
      <c r="AD498" s="17"/>
    </row>
    <row r="499" spans="11:30" hidden="1" x14ac:dyDescent="0.25">
      <c r="K499" s="11"/>
      <c r="N499" s="4"/>
      <c r="Q499" s="17"/>
      <c r="R499" s="3"/>
      <c r="S499" s="11"/>
      <c r="U499" s="3"/>
      <c r="V499" s="3"/>
      <c r="W499" s="3"/>
      <c r="X499" s="3"/>
      <c r="Y499" s="3"/>
      <c r="Z499" s="19"/>
      <c r="AB499" s="17"/>
      <c r="AD499" s="17"/>
    </row>
    <row r="500" spans="11:30" hidden="1" x14ac:dyDescent="0.25">
      <c r="K500" s="11"/>
      <c r="N500" s="4"/>
      <c r="Q500" s="17"/>
      <c r="R500" s="3"/>
      <c r="S500" s="11"/>
      <c r="U500" s="3"/>
      <c r="V500" s="3"/>
      <c r="W500" s="3"/>
      <c r="X500" s="3"/>
      <c r="Y500" s="3"/>
      <c r="Z500" s="19"/>
      <c r="AB500" s="17"/>
      <c r="AD500" s="17"/>
    </row>
    <row r="501" spans="11:30" hidden="1" x14ac:dyDescent="0.25">
      <c r="K501" s="11"/>
      <c r="N501" s="4"/>
      <c r="Q501" s="17"/>
      <c r="R501" s="3"/>
      <c r="S501" s="11"/>
      <c r="U501" s="3"/>
      <c r="V501" s="3"/>
      <c r="W501" s="3"/>
      <c r="X501" s="3"/>
      <c r="Y501" s="3"/>
      <c r="Z501" s="19"/>
      <c r="AB501" s="17"/>
      <c r="AD501" s="17"/>
    </row>
    <row r="502" spans="11:30" hidden="1" x14ac:dyDescent="0.25">
      <c r="K502" s="11"/>
      <c r="N502" s="4"/>
      <c r="Q502" s="17"/>
      <c r="R502" s="3"/>
      <c r="S502" s="11"/>
      <c r="U502" s="3"/>
      <c r="V502" s="3"/>
      <c r="W502" s="3"/>
      <c r="X502" s="3"/>
      <c r="Y502" s="3"/>
      <c r="Z502" s="19"/>
      <c r="AB502" s="17"/>
      <c r="AD502" s="17"/>
    </row>
    <row r="503" spans="11:30" hidden="1" x14ac:dyDescent="0.25">
      <c r="K503" s="11"/>
      <c r="N503" s="4"/>
      <c r="Q503" s="17"/>
      <c r="R503" s="3"/>
      <c r="S503" s="11"/>
      <c r="U503" s="3"/>
      <c r="V503" s="3"/>
      <c r="W503" s="3"/>
      <c r="X503" s="3"/>
      <c r="Y503" s="3"/>
      <c r="Z503" s="19"/>
      <c r="AB503" s="17"/>
      <c r="AD503" s="17"/>
    </row>
    <row r="504" spans="11:30" hidden="1" x14ac:dyDescent="0.25">
      <c r="K504" s="11"/>
      <c r="N504" s="4"/>
      <c r="Q504" s="17"/>
      <c r="R504" s="3"/>
      <c r="S504" s="11"/>
      <c r="U504" s="3"/>
      <c r="V504" s="3"/>
      <c r="W504" s="3"/>
      <c r="X504" s="3"/>
      <c r="Y504" s="3"/>
      <c r="Z504" s="19"/>
      <c r="AB504" s="17"/>
      <c r="AD504" s="17"/>
    </row>
    <row r="505" spans="11:30" hidden="1" x14ac:dyDescent="0.25">
      <c r="K505" s="11"/>
      <c r="N505" s="4"/>
      <c r="Q505" s="17"/>
      <c r="R505" s="3"/>
      <c r="S505" s="11"/>
      <c r="U505" s="3"/>
      <c r="V505" s="3"/>
      <c r="W505" s="3"/>
      <c r="X505" s="3"/>
      <c r="Y505" s="3"/>
      <c r="Z505" s="19"/>
      <c r="AB505" s="17"/>
      <c r="AD505" s="17"/>
    </row>
    <row r="506" spans="11:30" hidden="1" x14ac:dyDescent="0.25">
      <c r="K506" s="11"/>
      <c r="N506" s="4"/>
      <c r="Q506" s="17"/>
      <c r="R506" s="3"/>
      <c r="S506" s="11"/>
      <c r="U506" s="3"/>
      <c r="V506" s="3"/>
      <c r="W506" s="3"/>
      <c r="X506" s="3"/>
      <c r="Y506" s="3"/>
      <c r="Z506" s="19"/>
      <c r="AB506" s="17"/>
      <c r="AD506" s="17"/>
    </row>
    <row r="507" spans="11:30" hidden="1" x14ac:dyDescent="0.25">
      <c r="K507" s="11"/>
      <c r="N507" s="4"/>
      <c r="Q507" s="17"/>
      <c r="R507" s="3"/>
      <c r="S507" s="11"/>
      <c r="U507" s="3"/>
      <c r="V507" s="3"/>
      <c r="W507" s="3"/>
      <c r="X507" s="3"/>
      <c r="Y507" s="3"/>
      <c r="Z507" s="19"/>
      <c r="AB507" s="17"/>
      <c r="AD507" s="17"/>
    </row>
    <row r="508" spans="11:30" hidden="1" x14ac:dyDescent="0.25">
      <c r="K508" s="11"/>
      <c r="N508" s="4"/>
      <c r="Q508" s="17"/>
      <c r="R508" s="3"/>
      <c r="S508" s="11"/>
      <c r="U508" s="3"/>
      <c r="V508" s="3"/>
      <c r="W508" s="3"/>
      <c r="X508" s="3"/>
      <c r="Y508" s="3"/>
      <c r="Z508" s="19"/>
      <c r="AB508" s="17"/>
      <c r="AD508" s="17"/>
    </row>
    <row r="509" spans="11:30" hidden="1" x14ac:dyDescent="0.25">
      <c r="K509" s="11"/>
      <c r="N509" s="4"/>
      <c r="Q509" s="17"/>
      <c r="R509" s="3"/>
      <c r="S509" s="11"/>
      <c r="U509" s="3"/>
      <c r="V509" s="3"/>
      <c r="W509" s="3"/>
      <c r="X509" s="3"/>
      <c r="Y509" s="3"/>
      <c r="Z509" s="19"/>
      <c r="AB509" s="17"/>
      <c r="AD509" s="17"/>
    </row>
    <row r="510" spans="11:30" hidden="1" x14ac:dyDescent="0.25">
      <c r="K510" s="11"/>
      <c r="N510" s="4"/>
      <c r="Q510" s="17"/>
      <c r="R510" s="3"/>
      <c r="S510" s="11"/>
      <c r="U510" s="3"/>
      <c r="V510" s="3"/>
      <c r="W510" s="3"/>
      <c r="X510" s="3"/>
      <c r="Y510" s="3"/>
      <c r="Z510" s="19"/>
      <c r="AB510" s="17"/>
      <c r="AD510" s="17"/>
    </row>
    <row r="511" spans="11:30" hidden="1" x14ac:dyDescent="0.25">
      <c r="K511" s="11"/>
      <c r="N511" s="4"/>
      <c r="Q511" s="17"/>
      <c r="R511" s="3"/>
      <c r="S511" s="11"/>
      <c r="U511" s="3"/>
      <c r="V511" s="3"/>
      <c r="W511" s="3"/>
      <c r="X511" s="3"/>
      <c r="Y511" s="3"/>
      <c r="Z511" s="19"/>
      <c r="AB511" s="17"/>
      <c r="AD511" s="17"/>
    </row>
    <row r="512" spans="11:30" hidden="1" x14ac:dyDescent="0.25">
      <c r="K512" s="11"/>
      <c r="N512" s="4"/>
      <c r="Q512" s="17"/>
      <c r="R512" s="3"/>
      <c r="S512" s="11"/>
      <c r="U512" s="3"/>
      <c r="V512" s="3"/>
      <c r="W512" s="3"/>
      <c r="X512" s="3"/>
      <c r="Y512" s="3"/>
      <c r="Z512" s="19"/>
      <c r="AB512" s="17"/>
      <c r="AD512" s="17"/>
    </row>
    <row r="513" spans="11:30" hidden="1" x14ac:dyDescent="0.25">
      <c r="K513" s="11"/>
      <c r="N513" s="4"/>
      <c r="Q513" s="17"/>
      <c r="R513" s="3"/>
      <c r="S513" s="11"/>
      <c r="U513" s="3"/>
      <c r="V513" s="3"/>
      <c r="W513" s="3"/>
      <c r="X513" s="3"/>
      <c r="Y513" s="3"/>
      <c r="Z513" s="19"/>
      <c r="AB513" s="17"/>
      <c r="AD513" s="17"/>
    </row>
    <row r="514" spans="11:30" hidden="1" x14ac:dyDescent="0.25">
      <c r="K514" s="11"/>
      <c r="N514" s="4"/>
      <c r="Q514" s="17"/>
      <c r="R514" s="3"/>
      <c r="S514" s="11"/>
      <c r="U514" s="3"/>
      <c r="V514" s="3"/>
      <c r="W514" s="3"/>
      <c r="X514" s="3"/>
      <c r="Y514" s="3"/>
      <c r="Z514" s="19"/>
      <c r="AB514" s="17"/>
      <c r="AD514" s="17"/>
    </row>
    <row r="515" spans="11:30" hidden="1" x14ac:dyDescent="0.25">
      <c r="K515" s="11"/>
      <c r="N515" s="4"/>
      <c r="Q515" s="17"/>
      <c r="R515" s="3"/>
      <c r="S515" s="11"/>
      <c r="U515" s="3"/>
      <c r="V515" s="3"/>
      <c r="W515" s="3"/>
      <c r="X515" s="3"/>
      <c r="Y515" s="3"/>
      <c r="Z515" s="19"/>
      <c r="AB515" s="17"/>
      <c r="AD515" s="17"/>
    </row>
    <row r="516" spans="11:30" hidden="1" x14ac:dyDescent="0.25">
      <c r="K516" s="11"/>
      <c r="N516" s="4"/>
      <c r="Q516" s="17"/>
      <c r="R516" s="3"/>
      <c r="S516" s="11"/>
      <c r="U516" s="3"/>
      <c r="V516" s="3"/>
      <c r="W516" s="3"/>
      <c r="X516" s="3"/>
      <c r="Y516" s="3"/>
      <c r="Z516" s="19"/>
      <c r="AB516" s="17"/>
      <c r="AD516" s="17"/>
    </row>
    <row r="517" spans="11:30" hidden="1" x14ac:dyDescent="0.25">
      <c r="K517" s="11"/>
      <c r="N517" s="4"/>
      <c r="Q517" s="17"/>
      <c r="R517" s="3"/>
      <c r="S517" s="11"/>
      <c r="U517" s="3"/>
      <c r="V517" s="3"/>
      <c r="W517" s="3"/>
      <c r="X517" s="3"/>
      <c r="Y517" s="3"/>
      <c r="Z517" s="19"/>
      <c r="AB517" s="17"/>
      <c r="AD517" s="17"/>
    </row>
    <row r="518" spans="11:30" hidden="1" x14ac:dyDescent="0.25">
      <c r="K518" s="11"/>
      <c r="N518" s="4"/>
      <c r="Q518" s="17"/>
      <c r="R518" s="3"/>
      <c r="S518" s="11"/>
      <c r="U518" s="3"/>
      <c r="V518" s="3"/>
      <c r="W518" s="3"/>
      <c r="X518" s="3"/>
      <c r="Y518" s="3"/>
      <c r="Z518" s="19"/>
      <c r="AB518" s="17"/>
      <c r="AD518" s="17"/>
    </row>
    <row r="519" spans="11:30" hidden="1" x14ac:dyDescent="0.25">
      <c r="K519" s="11"/>
      <c r="N519" s="4"/>
      <c r="Q519" s="17"/>
      <c r="R519" s="3"/>
      <c r="S519" s="11"/>
      <c r="U519" s="3"/>
      <c r="V519" s="3"/>
      <c r="W519" s="3"/>
      <c r="X519" s="3"/>
      <c r="Y519" s="3"/>
      <c r="Z519" s="19"/>
      <c r="AB519" s="17"/>
      <c r="AD519" s="17"/>
    </row>
    <row r="520" spans="11:30" hidden="1" x14ac:dyDescent="0.25">
      <c r="K520" s="11"/>
      <c r="N520" s="4"/>
      <c r="Q520" s="17"/>
      <c r="R520" s="3"/>
      <c r="S520" s="11"/>
      <c r="U520" s="3"/>
      <c r="V520" s="3"/>
      <c r="W520" s="3"/>
      <c r="X520" s="3"/>
      <c r="Y520" s="3"/>
      <c r="Z520" s="19"/>
      <c r="AB520" s="17"/>
      <c r="AD520" s="17"/>
    </row>
    <row r="521" spans="11:30" hidden="1" x14ac:dyDescent="0.25">
      <c r="K521" s="11"/>
      <c r="N521" s="4"/>
      <c r="Q521" s="17"/>
      <c r="R521" s="3"/>
      <c r="S521" s="11"/>
      <c r="U521" s="3"/>
      <c r="V521" s="3"/>
      <c r="W521" s="3"/>
      <c r="X521" s="3"/>
      <c r="Y521" s="3"/>
      <c r="Z521" s="19"/>
      <c r="AB521" s="17"/>
      <c r="AD521" s="17"/>
    </row>
    <row r="522" spans="11:30" hidden="1" x14ac:dyDescent="0.25">
      <c r="K522" s="11"/>
      <c r="N522" s="4"/>
      <c r="Q522" s="17"/>
      <c r="R522" s="3"/>
      <c r="S522" s="11"/>
      <c r="U522" s="3"/>
      <c r="V522" s="3"/>
      <c r="W522" s="3"/>
      <c r="X522" s="3"/>
      <c r="Y522" s="3"/>
      <c r="Z522" s="19"/>
      <c r="AB522" s="17"/>
      <c r="AD522" s="17"/>
    </row>
    <row r="523" spans="11:30" hidden="1" x14ac:dyDescent="0.25">
      <c r="K523" s="11"/>
      <c r="N523" s="4"/>
      <c r="Q523" s="17"/>
      <c r="R523" s="3"/>
      <c r="S523" s="11"/>
      <c r="U523" s="3"/>
      <c r="V523" s="3"/>
      <c r="W523" s="3"/>
      <c r="X523" s="3"/>
      <c r="Y523" s="3"/>
      <c r="Z523" s="19"/>
      <c r="AB523" s="17"/>
      <c r="AD523" s="17"/>
    </row>
    <row r="524" spans="11:30" hidden="1" x14ac:dyDescent="0.25">
      <c r="K524" s="11"/>
      <c r="N524" s="4"/>
      <c r="Q524" s="17"/>
      <c r="R524" s="3"/>
      <c r="S524" s="11"/>
      <c r="U524" s="3"/>
      <c r="V524" s="3"/>
      <c r="W524" s="3"/>
      <c r="X524" s="3"/>
      <c r="Y524" s="3"/>
      <c r="Z524" s="19"/>
      <c r="AB524" s="17"/>
      <c r="AD524" s="17"/>
    </row>
    <row r="525" spans="11:30" hidden="1" x14ac:dyDescent="0.25">
      <c r="K525" s="11"/>
      <c r="N525" s="4"/>
      <c r="Q525" s="17"/>
      <c r="R525" s="3"/>
      <c r="S525" s="11"/>
      <c r="U525" s="3"/>
      <c r="V525" s="3"/>
      <c r="W525" s="3"/>
      <c r="X525" s="3"/>
      <c r="Y525" s="3"/>
      <c r="Z525" s="19"/>
      <c r="AB525" s="17"/>
      <c r="AD525" s="17"/>
    </row>
    <row r="526" spans="11:30" hidden="1" x14ac:dyDescent="0.25">
      <c r="K526" s="11"/>
      <c r="N526" s="4"/>
      <c r="Q526" s="17"/>
      <c r="R526" s="3"/>
      <c r="S526" s="11"/>
      <c r="U526" s="3"/>
      <c r="V526" s="3"/>
      <c r="W526" s="3"/>
      <c r="X526" s="3"/>
      <c r="Y526" s="3"/>
      <c r="Z526" s="19"/>
      <c r="AB526" s="17"/>
      <c r="AD526" s="17"/>
    </row>
    <row r="527" spans="11:30" hidden="1" x14ac:dyDescent="0.25">
      <c r="K527" s="11"/>
      <c r="N527" s="4"/>
      <c r="Q527" s="17"/>
      <c r="R527" s="3"/>
      <c r="S527" s="11"/>
      <c r="U527" s="3"/>
      <c r="V527" s="3"/>
      <c r="W527" s="3"/>
      <c r="X527" s="3"/>
      <c r="Y527" s="3"/>
      <c r="Z527" s="19"/>
      <c r="AB527" s="17"/>
      <c r="AD527" s="17"/>
    </row>
    <row r="528" spans="11:30" hidden="1" x14ac:dyDescent="0.25">
      <c r="K528" s="11"/>
      <c r="N528" s="4"/>
      <c r="Q528" s="17"/>
      <c r="R528" s="3"/>
      <c r="S528" s="11"/>
      <c r="U528" s="3"/>
      <c r="V528" s="3"/>
      <c r="W528" s="3"/>
      <c r="X528" s="3"/>
      <c r="Y528" s="3"/>
      <c r="Z528" s="19"/>
      <c r="AB528" s="17"/>
      <c r="AD528" s="17"/>
    </row>
    <row r="529" spans="11:30" hidden="1" x14ac:dyDescent="0.25">
      <c r="K529" s="11"/>
      <c r="N529" s="4"/>
      <c r="Q529" s="17"/>
      <c r="R529" s="3"/>
      <c r="S529" s="11"/>
      <c r="U529" s="3"/>
      <c r="V529" s="3"/>
      <c r="W529" s="3"/>
      <c r="X529" s="3"/>
      <c r="Y529" s="3"/>
      <c r="Z529" s="19"/>
      <c r="AB529" s="17"/>
      <c r="AD529" s="17"/>
    </row>
    <row r="530" spans="11:30" hidden="1" x14ac:dyDescent="0.25">
      <c r="K530" s="11"/>
      <c r="N530" s="4"/>
      <c r="Q530" s="17"/>
      <c r="R530" s="3"/>
      <c r="S530" s="11"/>
      <c r="U530" s="3"/>
      <c r="V530" s="3"/>
      <c r="W530" s="3"/>
      <c r="X530" s="3"/>
      <c r="Y530" s="3"/>
      <c r="Z530" s="19"/>
      <c r="AB530" s="17"/>
      <c r="AD530" s="17"/>
    </row>
    <row r="531" spans="11:30" hidden="1" x14ac:dyDescent="0.25">
      <c r="K531" s="11"/>
      <c r="N531" s="4"/>
      <c r="Q531" s="17"/>
      <c r="R531" s="3"/>
      <c r="S531" s="11"/>
      <c r="U531" s="3"/>
      <c r="V531" s="3"/>
      <c r="W531" s="3"/>
      <c r="X531" s="3"/>
      <c r="Y531" s="3"/>
      <c r="Z531" s="19"/>
      <c r="AB531" s="17"/>
      <c r="AD531" s="17"/>
    </row>
    <row r="532" spans="11:30" hidden="1" x14ac:dyDescent="0.25">
      <c r="K532" s="11"/>
      <c r="N532" s="4"/>
      <c r="Q532" s="17"/>
      <c r="R532" s="3"/>
      <c r="S532" s="11"/>
      <c r="U532" s="3"/>
      <c r="V532" s="3"/>
      <c r="W532" s="3"/>
      <c r="X532" s="3"/>
      <c r="Y532" s="3"/>
      <c r="Z532" s="19"/>
      <c r="AB532" s="17"/>
      <c r="AD532" s="17"/>
    </row>
    <row r="533" spans="11:30" hidden="1" x14ac:dyDescent="0.25">
      <c r="K533" s="11"/>
      <c r="N533" s="4"/>
      <c r="Q533" s="17"/>
      <c r="R533" s="3"/>
      <c r="S533" s="11"/>
      <c r="U533" s="3"/>
      <c r="V533" s="3"/>
      <c r="W533" s="3"/>
      <c r="X533" s="3"/>
      <c r="Y533" s="3"/>
      <c r="Z533" s="19"/>
      <c r="AB533" s="17"/>
      <c r="AD533" s="17"/>
    </row>
    <row r="534" spans="11:30" hidden="1" x14ac:dyDescent="0.25">
      <c r="K534" s="11"/>
      <c r="N534" s="4"/>
      <c r="Q534" s="17"/>
      <c r="R534" s="3"/>
      <c r="S534" s="11"/>
      <c r="U534" s="3"/>
      <c r="V534" s="3"/>
      <c r="W534" s="3"/>
      <c r="X534" s="3"/>
      <c r="Y534" s="3"/>
      <c r="Z534" s="19"/>
      <c r="AB534" s="17"/>
      <c r="AD534" s="17"/>
    </row>
    <row r="535" spans="11:30" hidden="1" x14ac:dyDescent="0.25">
      <c r="K535" s="11"/>
      <c r="N535" s="4"/>
      <c r="Q535" s="17"/>
      <c r="R535" s="3"/>
      <c r="S535" s="11"/>
      <c r="U535" s="3"/>
      <c r="V535" s="3"/>
      <c r="W535" s="3"/>
      <c r="X535" s="3"/>
      <c r="Y535" s="3"/>
      <c r="Z535" s="19"/>
      <c r="AB535" s="17"/>
      <c r="AD535" s="17"/>
    </row>
    <row r="536" spans="11:30" hidden="1" x14ac:dyDescent="0.25">
      <c r="K536" s="11"/>
      <c r="N536" s="4"/>
      <c r="Q536" s="17"/>
      <c r="R536" s="3"/>
      <c r="S536" s="11"/>
      <c r="U536" s="3"/>
      <c r="V536" s="3"/>
      <c r="W536" s="3"/>
      <c r="X536" s="3"/>
      <c r="Y536" s="3"/>
      <c r="Z536" s="19"/>
      <c r="AB536" s="17"/>
      <c r="AD536" s="17"/>
    </row>
    <row r="537" spans="11:30" hidden="1" x14ac:dyDescent="0.25">
      <c r="K537" s="11"/>
      <c r="N537" s="4"/>
      <c r="Q537" s="17"/>
      <c r="R537" s="3"/>
      <c r="S537" s="11"/>
      <c r="U537" s="3"/>
      <c r="V537" s="3"/>
      <c r="W537" s="3"/>
      <c r="X537" s="3"/>
      <c r="Y537" s="3"/>
      <c r="Z537" s="19"/>
      <c r="AB537" s="17"/>
      <c r="AD537" s="17"/>
    </row>
    <row r="538" spans="11:30" hidden="1" x14ac:dyDescent="0.25">
      <c r="K538" s="11"/>
      <c r="N538" s="4"/>
      <c r="Q538" s="17"/>
      <c r="R538" s="3"/>
      <c r="S538" s="11"/>
      <c r="U538" s="3"/>
      <c r="V538" s="3"/>
      <c r="W538" s="3"/>
      <c r="X538" s="3"/>
      <c r="Y538" s="3"/>
      <c r="Z538" s="19"/>
      <c r="AB538" s="17"/>
      <c r="AD538" s="17"/>
    </row>
    <row r="539" spans="11:30" hidden="1" x14ac:dyDescent="0.25">
      <c r="K539" s="11"/>
      <c r="N539" s="4"/>
      <c r="Q539" s="17"/>
      <c r="R539" s="3"/>
      <c r="S539" s="11"/>
      <c r="U539" s="3"/>
      <c r="V539" s="3"/>
      <c r="W539" s="3"/>
      <c r="X539" s="3"/>
      <c r="Y539" s="3"/>
      <c r="Z539" s="19"/>
      <c r="AB539" s="17"/>
      <c r="AD539" s="17"/>
    </row>
    <row r="540" spans="11:30" hidden="1" x14ac:dyDescent="0.25">
      <c r="K540" s="11"/>
      <c r="N540" s="4"/>
      <c r="Q540" s="17"/>
      <c r="R540" s="3"/>
      <c r="S540" s="11"/>
      <c r="U540" s="3"/>
      <c r="V540" s="3"/>
      <c r="W540" s="3"/>
      <c r="X540" s="3"/>
      <c r="Y540" s="3"/>
      <c r="Z540" s="19"/>
      <c r="AB540" s="17"/>
      <c r="AD540" s="17"/>
    </row>
    <row r="541" spans="11:30" hidden="1" x14ac:dyDescent="0.25">
      <c r="K541" s="11"/>
      <c r="N541" s="4"/>
      <c r="Q541" s="17"/>
      <c r="R541" s="3"/>
      <c r="S541" s="11"/>
      <c r="U541" s="3"/>
      <c r="V541" s="3"/>
      <c r="W541" s="3"/>
      <c r="X541" s="3"/>
      <c r="Y541" s="3"/>
      <c r="Z541" s="19"/>
      <c r="AB541" s="17"/>
      <c r="AD541" s="17"/>
    </row>
    <row r="542" spans="11:30" hidden="1" x14ac:dyDescent="0.25">
      <c r="K542" s="11"/>
      <c r="N542" s="4"/>
      <c r="Q542" s="17"/>
      <c r="R542" s="3"/>
      <c r="S542" s="11"/>
      <c r="U542" s="3"/>
      <c r="V542" s="3"/>
      <c r="W542" s="3"/>
      <c r="X542" s="3"/>
      <c r="Y542" s="3"/>
      <c r="Z542" s="19"/>
      <c r="AB542" s="17"/>
      <c r="AD542" s="17"/>
    </row>
    <row r="543" spans="11:30" hidden="1" x14ac:dyDescent="0.25">
      <c r="K543" s="11"/>
      <c r="N543" s="4"/>
      <c r="Q543" s="17"/>
      <c r="R543" s="3"/>
      <c r="S543" s="11"/>
      <c r="U543" s="3"/>
      <c r="V543" s="3"/>
      <c r="W543" s="3"/>
      <c r="X543" s="3"/>
      <c r="Y543" s="3"/>
      <c r="Z543" s="19"/>
      <c r="AB543" s="17"/>
      <c r="AD543" s="17"/>
    </row>
    <row r="544" spans="11:30" hidden="1" x14ac:dyDescent="0.25">
      <c r="K544" s="11"/>
      <c r="N544" s="4"/>
      <c r="Q544" s="17"/>
      <c r="R544" s="3"/>
      <c r="S544" s="11"/>
      <c r="U544" s="3"/>
      <c r="V544" s="3"/>
      <c r="W544" s="3"/>
      <c r="X544" s="3"/>
      <c r="Y544" s="3"/>
      <c r="Z544" s="19"/>
      <c r="AB544" s="17"/>
      <c r="AD544" s="17"/>
    </row>
    <row r="545" spans="11:30" hidden="1" x14ac:dyDescent="0.25">
      <c r="K545" s="11"/>
      <c r="N545" s="4"/>
      <c r="Q545" s="17"/>
      <c r="R545" s="3"/>
      <c r="S545" s="11"/>
      <c r="U545" s="3"/>
      <c r="V545" s="3"/>
      <c r="W545" s="3"/>
      <c r="X545" s="3"/>
      <c r="Y545" s="3"/>
      <c r="Z545" s="19"/>
      <c r="AB545" s="17"/>
      <c r="AD545" s="17"/>
    </row>
    <row r="546" spans="11:30" hidden="1" x14ac:dyDescent="0.25">
      <c r="K546" s="11"/>
      <c r="N546" s="4"/>
      <c r="Q546" s="17"/>
      <c r="R546" s="3"/>
      <c r="S546" s="11"/>
      <c r="U546" s="3"/>
      <c r="V546" s="3"/>
      <c r="W546" s="3"/>
      <c r="X546" s="3"/>
      <c r="Y546" s="3"/>
      <c r="Z546" s="19"/>
      <c r="AB546" s="17"/>
      <c r="AD546" s="17"/>
    </row>
    <row r="547" spans="11:30" hidden="1" x14ac:dyDescent="0.25">
      <c r="K547" s="11"/>
      <c r="N547" s="4"/>
      <c r="Q547" s="17"/>
      <c r="R547" s="3"/>
      <c r="S547" s="11"/>
      <c r="U547" s="3"/>
      <c r="V547" s="3"/>
      <c r="W547" s="3"/>
      <c r="X547" s="3"/>
      <c r="Y547" s="3"/>
      <c r="Z547" s="19"/>
      <c r="AB547" s="17"/>
      <c r="AD547" s="17"/>
    </row>
    <row r="548" spans="11:30" hidden="1" x14ac:dyDescent="0.25">
      <c r="K548" s="11"/>
      <c r="N548" s="4"/>
      <c r="Q548" s="17"/>
      <c r="R548" s="3"/>
      <c r="S548" s="11"/>
      <c r="U548" s="3"/>
      <c r="V548" s="3"/>
      <c r="W548" s="3"/>
      <c r="X548" s="3"/>
      <c r="Y548" s="3"/>
      <c r="Z548" s="19"/>
      <c r="AB548" s="17"/>
      <c r="AD548" s="17"/>
    </row>
    <row r="549" spans="11:30" hidden="1" x14ac:dyDescent="0.25">
      <c r="K549" s="11"/>
      <c r="N549" s="4"/>
      <c r="Q549" s="17"/>
      <c r="R549" s="3"/>
      <c r="S549" s="11"/>
      <c r="U549" s="3"/>
      <c r="V549" s="3"/>
      <c r="W549" s="3"/>
      <c r="X549" s="3"/>
      <c r="Y549" s="3"/>
      <c r="Z549" s="19"/>
      <c r="AB549" s="17"/>
      <c r="AD549" s="17"/>
    </row>
    <row r="550" spans="11:30" hidden="1" x14ac:dyDescent="0.25">
      <c r="K550" s="11"/>
      <c r="N550" s="4"/>
      <c r="Q550" s="17"/>
      <c r="R550" s="3"/>
      <c r="S550" s="11"/>
      <c r="U550" s="3"/>
      <c r="V550" s="3"/>
      <c r="W550" s="3"/>
      <c r="X550" s="3"/>
      <c r="Y550" s="3"/>
      <c r="Z550" s="19"/>
      <c r="AB550" s="17"/>
      <c r="AD550" s="17"/>
    </row>
    <row r="551" spans="11:30" hidden="1" x14ac:dyDescent="0.25">
      <c r="K551" s="11"/>
      <c r="N551" s="4"/>
      <c r="Q551" s="17"/>
      <c r="R551" s="3"/>
      <c r="S551" s="11"/>
      <c r="U551" s="3"/>
      <c r="V551" s="3"/>
      <c r="W551" s="3"/>
      <c r="X551" s="3"/>
      <c r="Y551" s="3"/>
      <c r="Z551" s="19"/>
      <c r="AB551" s="17"/>
      <c r="AD551" s="17"/>
    </row>
    <row r="552" spans="11:30" hidden="1" x14ac:dyDescent="0.25">
      <c r="K552" s="11"/>
      <c r="N552" s="4"/>
      <c r="Q552" s="17"/>
      <c r="R552" s="3"/>
      <c r="S552" s="11"/>
      <c r="U552" s="3"/>
      <c r="V552" s="3"/>
      <c r="W552" s="3"/>
      <c r="X552" s="3"/>
      <c r="Y552" s="3"/>
      <c r="Z552" s="19"/>
      <c r="AB552" s="17"/>
      <c r="AD552" s="17"/>
    </row>
    <row r="553" spans="11:30" hidden="1" x14ac:dyDescent="0.25">
      <c r="K553" s="11"/>
      <c r="N553" s="4"/>
      <c r="Q553" s="17"/>
      <c r="R553" s="3"/>
      <c r="S553" s="11"/>
      <c r="U553" s="3"/>
      <c r="V553" s="3"/>
      <c r="W553" s="3"/>
      <c r="X553" s="3"/>
      <c r="Y553" s="3"/>
      <c r="Z553" s="19"/>
      <c r="AB553" s="17"/>
      <c r="AD553" s="17"/>
    </row>
    <row r="554" spans="11:30" hidden="1" x14ac:dyDescent="0.25">
      <c r="K554" s="11"/>
      <c r="N554" s="4"/>
      <c r="Q554" s="17"/>
      <c r="R554" s="3"/>
      <c r="S554" s="11"/>
      <c r="U554" s="3"/>
      <c r="V554" s="3"/>
      <c r="W554" s="3"/>
      <c r="X554" s="3"/>
      <c r="Y554" s="3"/>
      <c r="Z554" s="19"/>
      <c r="AB554" s="17"/>
      <c r="AD554" s="17"/>
    </row>
    <row r="555" spans="11:30" hidden="1" x14ac:dyDescent="0.25">
      <c r="K555" s="11"/>
      <c r="N555" s="4"/>
      <c r="Q555" s="17"/>
      <c r="R555" s="3"/>
      <c r="S555" s="11"/>
      <c r="U555" s="3"/>
      <c r="V555" s="3"/>
      <c r="W555" s="3"/>
      <c r="X555" s="3"/>
      <c r="Y555" s="3"/>
      <c r="Z555" s="19"/>
      <c r="AB555" s="17"/>
      <c r="AD555" s="17"/>
    </row>
    <row r="556" spans="11:30" hidden="1" x14ac:dyDescent="0.25">
      <c r="K556" s="11"/>
      <c r="N556" s="4"/>
      <c r="Q556" s="17"/>
      <c r="R556" s="3"/>
      <c r="S556" s="11"/>
      <c r="U556" s="3"/>
      <c r="V556" s="3"/>
      <c r="W556" s="3"/>
      <c r="X556" s="3"/>
      <c r="Y556" s="3"/>
      <c r="Z556" s="19"/>
      <c r="AB556" s="17"/>
      <c r="AD556" s="17"/>
    </row>
    <row r="557" spans="11:30" hidden="1" x14ac:dyDescent="0.25">
      <c r="K557" s="11"/>
      <c r="N557" s="4"/>
      <c r="Q557" s="17"/>
      <c r="R557" s="3"/>
      <c r="S557" s="11"/>
      <c r="U557" s="3"/>
      <c r="V557" s="3"/>
      <c r="W557" s="3"/>
      <c r="X557" s="3"/>
      <c r="Y557" s="3"/>
      <c r="Z557" s="19"/>
      <c r="AB557" s="17"/>
      <c r="AD557" s="17"/>
    </row>
    <row r="558" spans="11:30" hidden="1" x14ac:dyDescent="0.25">
      <c r="K558" s="11"/>
      <c r="N558" s="4"/>
      <c r="Q558" s="17"/>
      <c r="R558" s="3"/>
      <c r="S558" s="11"/>
      <c r="U558" s="3"/>
      <c r="V558" s="3"/>
      <c r="W558" s="3"/>
      <c r="X558" s="3"/>
      <c r="Y558" s="3"/>
      <c r="Z558" s="19"/>
      <c r="AB558" s="17"/>
      <c r="AD558" s="17"/>
    </row>
    <row r="559" spans="11:30" hidden="1" x14ac:dyDescent="0.25">
      <c r="K559" s="11"/>
      <c r="N559" s="4"/>
      <c r="Q559" s="17"/>
      <c r="R559" s="3"/>
      <c r="S559" s="11"/>
      <c r="U559" s="3"/>
      <c r="V559" s="3"/>
      <c r="W559" s="3"/>
      <c r="X559" s="3"/>
      <c r="Y559" s="3"/>
      <c r="Z559" s="19"/>
      <c r="AB559" s="17"/>
      <c r="AD559" s="17"/>
    </row>
    <row r="560" spans="11:30" hidden="1" x14ac:dyDescent="0.25">
      <c r="K560" s="11"/>
      <c r="N560" s="4"/>
      <c r="Q560" s="17"/>
      <c r="R560" s="3"/>
      <c r="S560" s="11"/>
      <c r="U560" s="3"/>
      <c r="V560" s="3"/>
      <c r="W560" s="3"/>
      <c r="X560" s="3"/>
      <c r="Y560" s="3"/>
      <c r="Z560" s="19"/>
      <c r="AB560" s="17"/>
      <c r="AD560" s="17"/>
    </row>
    <row r="561" spans="11:30" hidden="1" x14ac:dyDescent="0.25">
      <c r="K561" s="11"/>
      <c r="N561" s="4"/>
      <c r="Q561" s="17"/>
      <c r="R561" s="3"/>
      <c r="S561" s="11"/>
      <c r="U561" s="3"/>
      <c r="V561" s="3"/>
      <c r="W561" s="3"/>
      <c r="X561" s="3"/>
      <c r="Y561" s="3"/>
      <c r="Z561" s="19"/>
      <c r="AB561" s="17"/>
      <c r="AD561" s="17"/>
    </row>
    <row r="562" spans="11:30" hidden="1" x14ac:dyDescent="0.25">
      <c r="K562" s="11"/>
      <c r="N562" s="4"/>
      <c r="Q562" s="17"/>
      <c r="R562" s="3"/>
      <c r="S562" s="11"/>
      <c r="U562" s="3"/>
      <c r="V562" s="3"/>
      <c r="W562" s="3"/>
      <c r="X562" s="3"/>
      <c r="Y562" s="3"/>
      <c r="Z562" s="19"/>
      <c r="AB562" s="17"/>
      <c r="AD562" s="17"/>
    </row>
    <row r="563" spans="11:30" hidden="1" x14ac:dyDescent="0.25">
      <c r="K563" s="11"/>
      <c r="N563" s="4"/>
      <c r="Q563" s="17"/>
      <c r="R563" s="3"/>
      <c r="S563" s="11"/>
      <c r="U563" s="3"/>
      <c r="V563" s="3"/>
      <c r="W563" s="3"/>
      <c r="X563" s="3"/>
      <c r="Y563" s="3"/>
      <c r="Z563" s="19"/>
      <c r="AB563" s="17"/>
      <c r="AD563" s="17"/>
    </row>
    <row r="564" spans="11:30" hidden="1" x14ac:dyDescent="0.25">
      <c r="K564" s="11"/>
      <c r="N564" s="4"/>
      <c r="Q564" s="17"/>
      <c r="R564" s="3"/>
      <c r="S564" s="11"/>
      <c r="U564" s="3"/>
      <c r="V564" s="3"/>
      <c r="W564" s="3"/>
      <c r="X564" s="3"/>
      <c r="Y564" s="3"/>
      <c r="Z564" s="19"/>
      <c r="AB564" s="17"/>
      <c r="AD564" s="17"/>
    </row>
    <row r="565" spans="11:30" hidden="1" x14ac:dyDescent="0.25">
      <c r="K565" s="11"/>
      <c r="N565" s="4"/>
      <c r="Q565" s="17"/>
      <c r="R565" s="3"/>
      <c r="S565" s="11"/>
      <c r="U565" s="3"/>
      <c r="V565" s="3"/>
      <c r="W565" s="3"/>
      <c r="X565" s="3"/>
      <c r="Y565" s="3"/>
      <c r="Z565" s="19"/>
      <c r="AB565" s="17"/>
      <c r="AD565" s="17"/>
    </row>
    <row r="566" spans="11:30" hidden="1" x14ac:dyDescent="0.25">
      <c r="K566" s="11"/>
      <c r="N566" s="4"/>
      <c r="Q566" s="17"/>
      <c r="R566" s="3"/>
      <c r="S566" s="11"/>
      <c r="U566" s="3"/>
      <c r="V566" s="3"/>
      <c r="W566" s="3"/>
      <c r="X566" s="3"/>
      <c r="Y566" s="3"/>
      <c r="Z566" s="19"/>
      <c r="AB566" s="17"/>
      <c r="AD566" s="17"/>
    </row>
    <row r="567" spans="11:30" hidden="1" x14ac:dyDescent="0.25">
      <c r="K567" s="11"/>
      <c r="N567" s="4"/>
      <c r="Q567" s="17"/>
      <c r="R567" s="3"/>
      <c r="S567" s="11"/>
      <c r="U567" s="3"/>
      <c r="V567" s="3"/>
      <c r="W567" s="3"/>
      <c r="X567" s="3"/>
      <c r="Y567" s="3"/>
      <c r="Z567" s="19"/>
      <c r="AB567" s="17"/>
      <c r="AD567" s="17"/>
    </row>
    <row r="568" spans="11:30" hidden="1" x14ac:dyDescent="0.25">
      <c r="K568" s="11"/>
      <c r="N568" s="4"/>
      <c r="Q568" s="17"/>
      <c r="R568" s="3"/>
      <c r="S568" s="11"/>
      <c r="U568" s="3"/>
      <c r="V568" s="3"/>
      <c r="W568" s="3"/>
      <c r="X568" s="3"/>
      <c r="Y568" s="3"/>
      <c r="Z568" s="19"/>
      <c r="AB568" s="17"/>
      <c r="AD568" s="17"/>
    </row>
    <row r="569" spans="11:30" hidden="1" x14ac:dyDescent="0.25">
      <c r="K569" s="11"/>
      <c r="N569" s="4"/>
      <c r="Q569" s="17"/>
      <c r="R569" s="3"/>
      <c r="S569" s="11"/>
      <c r="U569" s="3"/>
      <c r="V569" s="3"/>
      <c r="W569" s="3"/>
      <c r="X569" s="3"/>
      <c r="Y569" s="3"/>
      <c r="Z569" s="19"/>
      <c r="AB569" s="17"/>
      <c r="AD569" s="17"/>
    </row>
    <row r="570" spans="11:30" hidden="1" x14ac:dyDescent="0.25">
      <c r="K570" s="11"/>
      <c r="N570" s="4"/>
      <c r="Q570" s="17"/>
      <c r="R570" s="3"/>
      <c r="S570" s="11"/>
      <c r="U570" s="3"/>
      <c r="V570" s="3"/>
      <c r="W570" s="3"/>
      <c r="X570" s="3"/>
      <c r="Y570" s="3"/>
      <c r="Z570" s="19"/>
      <c r="AB570" s="17"/>
      <c r="AD570" s="17"/>
    </row>
    <row r="571" spans="11:30" hidden="1" x14ac:dyDescent="0.25">
      <c r="K571" s="11"/>
      <c r="N571" s="4"/>
      <c r="Q571" s="17"/>
      <c r="R571" s="3"/>
      <c r="S571" s="11"/>
      <c r="U571" s="3"/>
      <c r="V571" s="3"/>
      <c r="W571" s="3"/>
      <c r="X571" s="3"/>
      <c r="Y571" s="3"/>
      <c r="Z571" s="19"/>
      <c r="AB571" s="17"/>
      <c r="AD571" s="17"/>
    </row>
    <row r="572" spans="11:30" hidden="1" x14ac:dyDescent="0.25">
      <c r="K572" s="11"/>
      <c r="N572" s="4"/>
      <c r="Q572" s="17"/>
      <c r="R572" s="3"/>
      <c r="S572" s="11"/>
      <c r="U572" s="3"/>
      <c r="V572" s="3"/>
      <c r="W572" s="3"/>
      <c r="X572" s="3"/>
      <c r="Y572" s="3"/>
      <c r="Z572" s="19"/>
      <c r="AB572" s="17"/>
      <c r="AD572" s="17"/>
    </row>
    <row r="573" spans="11:30" hidden="1" x14ac:dyDescent="0.25">
      <c r="K573" s="11"/>
      <c r="N573" s="4"/>
      <c r="Q573" s="17"/>
      <c r="R573" s="3"/>
      <c r="S573" s="11"/>
      <c r="U573" s="3"/>
      <c r="V573" s="3"/>
      <c r="W573" s="3"/>
      <c r="X573" s="3"/>
      <c r="Y573" s="3"/>
      <c r="Z573" s="19"/>
      <c r="AB573" s="17"/>
      <c r="AD573" s="17"/>
    </row>
    <row r="574" spans="11:30" hidden="1" x14ac:dyDescent="0.25">
      <c r="K574" s="11"/>
      <c r="N574" s="4"/>
      <c r="Q574" s="17"/>
      <c r="R574" s="3"/>
      <c r="S574" s="11"/>
      <c r="U574" s="3"/>
      <c r="V574" s="3"/>
      <c r="W574" s="3"/>
      <c r="X574" s="3"/>
      <c r="Y574" s="3"/>
      <c r="Z574" s="19"/>
      <c r="AB574" s="17"/>
      <c r="AD574" s="17"/>
    </row>
    <row r="575" spans="11:30" hidden="1" x14ac:dyDescent="0.25">
      <c r="K575" s="11"/>
      <c r="N575" s="4"/>
      <c r="Q575" s="17"/>
      <c r="R575" s="3"/>
      <c r="S575" s="11"/>
      <c r="U575" s="3"/>
      <c r="V575" s="3"/>
      <c r="W575" s="3"/>
      <c r="X575" s="3"/>
      <c r="Y575" s="3"/>
      <c r="Z575" s="19"/>
      <c r="AB575" s="17"/>
      <c r="AD575" s="17"/>
    </row>
    <row r="576" spans="11:30" hidden="1" x14ac:dyDescent="0.25">
      <c r="K576" s="11"/>
      <c r="N576" s="4"/>
      <c r="Q576" s="17"/>
      <c r="R576" s="3"/>
      <c r="S576" s="11"/>
      <c r="U576" s="3"/>
      <c r="V576" s="3"/>
      <c r="W576" s="3"/>
      <c r="X576" s="3"/>
      <c r="Y576" s="3"/>
      <c r="Z576" s="19"/>
      <c r="AB576" s="17"/>
      <c r="AD576" s="17"/>
    </row>
    <row r="577" spans="11:30" hidden="1" x14ac:dyDescent="0.25">
      <c r="K577" s="11"/>
      <c r="N577" s="4"/>
      <c r="Q577" s="17"/>
      <c r="R577" s="3"/>
      <c r="S577" s="11"/>
      <c r="U577" s="3"/>
      <c r="V577" s="3"/>
      <c r="W577" s="3"/>
      <c r="X577" s="3"/>
      <c r="Y577" s="3"/>
      <c r="Z577" s="19"/>
      <c r="AB577" s="17"/>
      <c r="AD577" s="17"/>
    </row>
    <row r="578" spans="11:30" hidden="1" x14ac:dyDescent="0.25">
      <c r="K578" s="11"/>
      <c r="N578" s="4"/>
      <c r="Q578" s="17"/>
      <c r="R578" s="3"/>
      <c r="S578" s="11"/>
      <c r="U578" s="3"/>
      <c r="V578" s="3"/>
      <c r="W578" s="3"/>
      <c r="X578" s="3"/>
      <c r="Y578" s="3"/>
      <c r="Z578" s="19"/>
      <c r="AB578" s="17"/>
      <c r="AD578" s="17"/>
    </row>
    <row r="579" spans="11:30" hidden="1" x14ac:dyDescent="0.25">
      <c r="K579" s="11"/>
      <c r="N579" s="4"/>
      <c r="Q579" s="17"/>
      <c r="R579" s="3"/>
      <c r="S579" s="11"/>
      <c r="U579" s="3"/>
      <c r="V579" s="3"/>
      <c r="W579" s="3"/>
      <c r="X579" s="3"/>
      <c r="Y579" s="3"/>
      <c r="Z579" s="19"/>
      <c r="AB579" s="17"/>
      <c r="AD579" s="17"/>
    </row>
    <row r="580" spans="11:30" hidden="1" x14ac:dyDescent="0.25">
      <c r="K580" s="11"/>
      <c r="N580" s="4"/>
      <c r="Q580" s="17"/>
      <c r="R580" s="3"/>
      <c r="S580" s="11"/>
      <c r="U580" s="3"/>
      <c r="V580" s="3"/>
      <c r="W580" s="3"/>
      <c r="X580" s="3"/>
      <c r="Y580" s="3"/>
      <c r="Z580" s="19"/>
      <c r="AB580" s="17"/>
      <c r="AD580" s="17"/>
    </row>
    <row r="581" spans="11:30" hidden="1" x14ac:dyDescent="0.25">
      <c r="K581" s="11"/>
      <c r="N581" s="4"/>
      <c r="Q581" s="17"/>
      <c r="R581" s="3"/>
      <c r="S581" s="11"/>
      <c r="U581" s="3"/>
      <c r="V581" s="3"/>
      <c r="W581" s="3"/>
      <c r="X581" s="3"/>
      <c r="Y581" s="3"/>
      <c r="Z581" s="19"/>
      <c r="AB581" s="17"/>
      <c r="AD581" s="17"/>
    </row>
    <row r="582" spans="11:30" hidden="1" x14ac:dyDescent="0.25">
      <c r="K582" s="11"/>
      <c r="N582" s="4"/>
      <c r="Q582" s="17"/>
      <c r="R582" s="3"/>
      <c r="S582" s="11"/>
      <c r="U582" s="3"/>
      <c r="V582" s="3"/>
      <c r="W582" s="3"/>
      <c r="X582" s="3"/>
      <c r="Y582" s="3"/>
      <c r="Z582" s="19"/>
      <c r="AB582" s="17"/>
      <c r="AD582" s="17"/>
    </row>
    <row r="583" spans="11:30" hidden="1" x14ac:dyDescent="0.25">
      <c r="K583" s="11"/>
      <c r="N583" s="4"/>
      <c r="Q583" s="17"/>
      <c r="R583" s="3"/>
      <c r="S583" s="11"/>
      <c r="U583" s="3"/>
      <c r="V583" s="3"/>
      <c r="W583" s="3"/>
      <c r="X583" s="3"/>
      <c r="Y583" s="3"/>
      <c r="Z583" s="19"/>
      <c r="AB583" s="17"/>
      <c r="AD583" s="17"/>
    </row>
    <row r="584" spans="11:30" hidden="1" x14ac:dyDescent="0.25">
      <c r="K584" s="11"/>
      <c r="N584" s="4"/>
      <c r="Q584" s="17"/>
      <c r="R584" s="3"/>
      <c r="S584" s="11"/>
      <c r="U584" s="3"/>
      <c r="V584" s="3"/>
      <c r="W584" s="3"/>
      <c r="X584" s="3"/>
      <c r="Y584" s="3"/>
      <c r="Z584" s="19"/>
      <c r="AB584" s="17"/>
      <c r="AD584" s="17"/>
    </row>
    <row r="585" spans="11:30" hidden="1" x14ac:dyDescent="0.25">
      <c r="K585" s="11"/>
      <c r="N585" s="4"/>
      <c r="Q585" s="17"/>
      <c r="R585" s="3"/>
      <c r="S585" s="11"/>
      <c r="U585" s="3"/>
      <c r="V585" s="3"/>
      <c r="W585" s="3"/>
      <c r="X585" s="3"/>
      <c r="Y585" s="3"/>
      <c r="Z585" s="19"/>
      <c r="AB585" s="17"/>
      <c r="AD585" s="17"/>
    </row>
    <row r="586" spans="11:30" hidden="1" x14ac:dyDescent="0.25">
      <c r="K586" s="11"/>
      <c r="N586" s="4"/>
      <c r="Q586" s="17"/>
      <c r="R586" s="3"/>
      <c r="S586" s="11"/>
      <c r="U586" s="3"/>
      <c r="V586" s="3"/>
      <c r="W586" s="3"/>
      <c r="X586" s="3"/>
      <c r="Y586" s="3"/>
      <c r="Z586" s="19"/>
      <c r="AB586" s="17"/>
      <c r="AD586" s="17"/>
    </row>
    <row r="587" spans="11:30" hidden="1" x14ac:dyDescent="0.25">
      <c r="K587" s="11"/>
      <c r="N587" s="4"/>
      <c r="Q587" s="17"/>
      <c r="R587" s="3"/>
      <c r="S587" s="11"/>
      <c r="U587" s="3"/>
      <c r="V587" s="3"/>
      <c r="W587" s="3"/>
      <c r="X587" s="3"/>
      <c r="Y587" s="3"/>
      <c r="Z587" s="19"/>
      <c r="AB587" s="17"/>
      <c r="AD587" s="17"/>
    </row>
    <row r="588" spans="11:30" hidden="1" x14ac:dyDescent="0.25">
      <c r="K588" s="11"/>
      <c r="N588" s="4"/>
      <c r="Q588" s="17"/>
      <c r="R588" s="3"/>
      <c r="S588" s="11"/>
      <c r="U588" s="3"/>
      <c r="V588" s="3"/>
      <c r="W588" s="3"/>
      <c r="X588" s="3"/>
      <c r="Y588" s="3"/>
      <c r="Z588" s="19"/>
      <c r="AB588" s="17"/>
      <c r="AD588" s="17"/>
    </row>
    <row r="589" spans="11:30" hidden="1" x14ac:dyDescent="0.25">
      <c r="K589" s="11"/>
      <c r="N589" s="4"/>
      <c r="Q589" s="17"/>
      <c r="R589" s="3"/>
      <c r="S589" s="11"/>
      <c r="U589" s="3"/>
      <c r="V589" s="3"/>
      <c r="W589" s="3"/>
      <c r="X589" s="3"/>
      <c r="Y589" s="3"/>
      <c r="Z589" s="19"/>
      <c r="AB589" s="17"/>
      <c r="AD589" s="17"/>
    </row>
    <row r="590" spans="11:30" hidden="1" x14ac:dyDescent="0.25">
      <c r="K590" s="11"/>
      <c r="N590" s="4"/>
      <c r="Q590" s="17"/>
      <c r="R590" s="3"/>
      <c r="S590" s="11"/>
      <c r="U590" s="3"/>
      <c r="V590" s="3"/>
      <c r="W590" s="3"/>
      <c r="X590" s="3"/>
      <c r="Y590" s="3"/>
      <c r="Z590" s="19"/>
      <c r="AB590" s="17"/>
      <c r="AD590" s="17"/>
    </row>
    <row r="591" spans="11:30" hidden="1" x14ac:dyDescent="0.25">
      <c r="K591" s="11"/>
      <c r="N591" s="4"/>
      <c r="Q591" s="17"/>
      <c r="R591" s="3"/>
      <c r="S591" s="11"/>
      <c r="U591" s="3"/>
      <c r="V591" s="3"/>
      <c r="W591" s="3"/>
      <c r="X591" s="3"/>
      <c r="Y591" s="3"/>
      <c r="Z591" s="19"/>
      <c r="AB591" s="17"/>
      <c r="AD591" s="17"/>
    </row>
    <row r="592" spans="11:30" hidden="1" x14ac:dyDescent="0.25">
      <c r="K592" s="11"/>
      <c r="N592" s="4"/>
      <c r="Q592" s="17"/>
      <c r="R592" s="3"/>
      <c r="S592" s="11"/>
      <c r="U592" s="3"/>
      <c r="V592" s="3"/>
      <c r="W592" s="3"/>
      <c r="X592" s="3"/>
      <c r="Y592" s="3"/>
      <c r="Z592" s="19"/>
      <c r="AB592" s="17"/>
      <c r="AD592" s="17"/>
    </row>
    <row r="593" spans="11:30" hidden="1" x14ac:dyDescent="0.25">
      <c r="K593" s="11"/>
      <c r="N593" s="4"/>
      <c r="Q593" s="17"/>
      <c r="R593" s="3"/>
      <c r="S593" s="11"/>
      <c r="U593" s="3"/>
      <c r="V593" s="3"/>
      <c r="W593" s="3"/>
      <c r="X593" s="3"/>
      <c r="Y593" s="3"/>
      <c r="Z593" s="19"/>
      <c r="AB593" s="17"/>
      <c r="AD593" s="17"/>
    </row>
    <row r="594" spans="11:30" hidden="1" x14ac:dyDescent="0.25">
      <c r="K594" s="11"/>
      <c r="N594" s="4"/>
      <c r="Q594" s="17"/>
      <c r="R594" s="3"/>
      <c r="S594" s="11"/>
      <c r="U594" s="3"/>
      <c r="V594" s="3"/>
      <c r="W594" s="3"/>
      <c r="X594" s="3"/>
      <c r="Y594" s="3"/>
      <c r="Z594" s="19"/>
      <c r="AB594" s="17"/>
      <c r="AD594" s="17"/>
    </row>
    <row r="595" spans="11:30" hidden="1" x14ac:dyDescent="0.25">
      <c r="K595" s="11"/>
      <c r="N595" s="4"/>
      <c r="Q595" s="17"/>
      <c r="R595" s="3"/>
      <c r="S595" s="11"/>
      <c r="U595" s="3"/>
      <c r="V595" s="3"/>
      <c r="W595" s="3"/>
      <c r="X595" s="3"/>
      <c r="Y595" s="3"/>
      <c r="Z595" s="19"/>
      <c r="AB595" s="17"/>
      <c r="AD595" s="17"/>
    </row>
    <row r="596" spans="11:30" hidden="1" x14ac:dyDescent="0.25">
      <c r="K596" s="11"/>
      <c r="N596" s="4"/>
      <c r="Q596" s="17"/>
      <c r="R596" s="3"/>
      <c r="S596" s="11"/>
      <c r="U596" s="3"/>
      <c r="V596" s="3"/>
      <c r="W596" s="3"/>
      <c r="X596" s="3"/>
      <c r="Y596" s="3"/>
      <c r="Z596" s="19"/>
      <c r="AB596" s="17"/>
      <c r="AD596" s="17"/>
    </row>
    <row r="597" spans="11:30" hidden="1" x14ac:dyDescent="0.25">
      <c r="K597" s="11"/>
      <c r="N597" s="4"/>
      <c r="Q597" s="17"/>
      <c r="R597" s="3"/>
      <c r="S597" s="11"/>
      <c r="U597" s="3"/>
      <c r="V597" s="3"/>
      <c r="W597" s="3"/>
      <c r="X597" s="3"/>
      <c r="Y597" s="3"/>
      <c r="Z597" s="19"/>
      <c r="AB597" s="17"/>
      <c r="AD597" s="17"/>
    </row>
    <row r="598" spans="11:30" hidden="1" x14ac:dyDescent="0.25">
      <c r="K598" s="11"/>
      <c r="N598" s="4"/>
      <c r="Q598" s="17"/>
      <c r="R598" s="3"/>
      <c r="S598" s="11"/>
      <c r="U598" s="3"/>
      <c r="V598" s="3"/>
      <c r="W598" s="3"/>
      <c r="X598" s="3"/>
      <c r="Y598" s="3"/>
      <c r="Z598" s="19"/>
      <c r="AB598" s="17"/>
      <c r="AD598" s="17"/>
    </row>
    <row r="599" spans="11:30" hidden="1" x14ac:dyDescent="0.25">
      <c r="K599" s="11"/>
      <c r="N599" s="4"/>
      <c r="Q599" s="17"/>
      <c r="R599" s="3"/>
      <c r="S599" s="11"/>
      <c r="U599" s="3"/>
      <c r="V599" s="3"/>
      <c r="W599" s="3"/>
      <c r="X599" s="3"/>
      <c r="Y599" s="3"/>
      <c r="Z599" s="19"/>
      <c r="AB599" s="17"/>
      <c r="AD599" s="17"/>
    </row>
    <row r="600" spans="11:30" hidden="1" x14ac:dyDescent="0.25">
      <c r="K600" s="11"/>
      <c r="N600" s="4"/>
      <c r="Q600" s="17"/>
      <c r="R600" s="3"/>
      <c r="S600" s="11"/>
      <c r="U600" s="3"/>
      <c r="V600" s="3"/>
      <c r="W600" s="3"/>
      <c r="X600" s="3"/>
      <c r="Y600" s="3"/>
      <c r="Z600" s="19"/>
      <c r="AB600" s="17"/>
      <c r="AD600" s="17"/>
    </row>
    <row r="601" spans="11:30" hidden="1" x14ac:dyDescent="0.25">
      <c r="K601" s="11"/>
      <c r="N601" s="4"/>
      <c r="Q601" s="17"/>
      <c r="R601" s="3"/>
      <c r="S601" s="11"/>
      <c r="U601" s="3"/>
      <c r="V601" s="3"/>
      <c r="W601" s="3"/>
      <c r="X601" s="3"/>
      <c r="Y601" s="3"/>
      <c r="Z601" s="19"/>
      <c r="AB601" s="17"/>
      <c r="AD601" s="17"/>
    </row>
    <row r="602" spans="11:30" hidden="1" x14ac:dyDescent="0.25">
      <c r="K602" s="11"/>
      <c r="N602" s="4"/>
      <c r="Q602" s="17"/>
      <c r="R602" s="3"/>
      <c r="S602" s="11"/>
      <c r="U602" s="3"/>
      <c r="V602" s="3"/>
      <c r="W602" s="3"/>
      <c r="X602" s="3"/>
      <c r="Y602" s="3"/>
      <c r="Z602" s="19"/>
      <c r="AB602" s="17"/>
      <c r="AD602" s="17"/>
    </row>
    <row r="603" spans="11:30" hidden="1" x14ac:dyDescent="0.25">
      <c r="K603" s="11"/>
      <c r="N603" s="4"/>
      <c r="Q603" s="17"/>
      <c r="R603" s="3"/>
      <c r="S603" s="11"/>
      <c r="U603" s="3"/>
      <c r="V603" s="3"/>
      <c r="W603" s="3"/>
      <c r="X603" s="3"/>
      <c r="Y603" s="3"/>
      <c r="Z603" s="19"/>
      <c r="AB603" s="17"/>
      <c r="AD603" s="17"/>
    </row>
    <row r="604" spans="11:30" hidden="1" x14ac:dyDescent="0.25">
      <c r="K604" s="11"/>
      <c r="N604" s="4"/>
      <c r="Q604" s="17"/>
      <c r="R604" s="3"/>
      <c r="S604" s="11"/>
      <c r="U604" s="3"/>
      <c r="V604" s="3"/>
      <c r="W604" s="3"/>
      <c r="X604" s="3"/>
      <c r="Y604" s="3"/>
      <c r="Z604" s="19"/>
      <c r="AB604" s="17"/>
      <c r="AD604" s="17"/>
    </row>
    <row r="605" spans="11:30" hidden="1" x14ac:dyDescent="0.25">
      <c r="K605" s="11"/>
      <c r="N605" s="4"/>
      <c r="P605" s="3"/>
      <c r="Q605" s="3"/>
      <c r="S605" s="11"/>
      <c r="U605" s="3"/>
      <c r="V605" s="3"/>
      <c r="W605" s="3"/>
      <c r="X605" s="3"/>
      <c r="Y605" s="3"/>
    </row>
    <row r="606" spans="11:30" hidden="1" x14ac:dyDescent="0.25">
      <c r="K606" s="11"/>
      <c r="N606" s="4"/>
      <c r="P606" s="3"/>
      <c r="Q606" s="3"/>
      <c r="S606" s="11"/>
      <c r="U606" s="3"/>
      <c r="V606" s="3"/>
      <c r="W606" s="3"/>
      <c r="X606" s="3"/>
      <c r="Y606" s="3"/>
    </row>
    <row r="607" spans="11:30" hidden="1" x14ac:dyDescent="0.25">
      <c r="K607" s="11"/>
      <c r="N607" s="4"/>
      <c r="P607" s="3"/>
      <c r="Q607" s="3"/>
      <c r="S607" s="11"/>
      <c r="U607" s="3"/>
      <c r="V607" s="3"/>
      <c r="W607" s="3"/>
      <c r="X607" s="3"/>
      <c r="Y607" s="3"/>
    </row>
    <row r="608" spans="11:30" hidden="1" x14ac:dyDescent="0.25">
      <c r="K608" s="11"/>
      <c r="N608" s="4"/>
      <c r="P608" s="3"/>
      <c r="Q608" s="3"/>
      <c r="S608" s="11"/>
      <c r="U608" s="3"/>
      <c r="V608" s="3"/>
      <c r="W608" s="3"/>
      <c r="X608" s="3"/>
      <c r="Y608" s="3"/>
    </row>
    <row r="609" spans="11:25" hidden="1" x14ac:dyDescent="0.25">
      <c r="K609" s="11"/>
      <c r="N609" s="4"/>
      <c r="P609" s="3"/>
      <c r="Q609" s="3"/>
      <c r="S609" s="11"/>
      <c r="U609" s="3"/>
      <c r="V609" s="3"/>
      <c r="W609" s="3"/>
      <c r="X609" s="3"/>
      <c r="Y609" s="3"/>
    </row>
    <row r="610" spans="11:25" hidden="1" x14ac:dyDescent="0.25">
      <c r="K610" s="11"/>
      <c r="N610" s="4"/>
      <c r="P610" s="3"/>
      <c r="Q610" s="3"/>
      <c r="S610" s="11"/>
      <c r="U610" s="3"/>
      <c r="V610" s="3"/>
      <c r="W610" s="3"/>
      <c r="X610" s="3"/>
      <c r="Y610" s="3"/>
    </row>
    <row r="611" spans="11:25" hidden="1" x14ac:dyDescent="0.25">
      <c r="K611" s="11"/>
      <c r="N611" s="4"/>
      <c r="P611" s="3"/>
      <c r="Q611" s="3"/>
      <c r="S611" s="11"/>
      <c r="U611" s="3"/>
      <c r="V611" s="3"/>
      <c r="W611" s="3"/>
      <c r="X611" s="3"/>
      <c r="Y611" s="3"/>
    </row>
    <row r="612" spans="11:25" hidden="1" x14ac:dyDescent="0.25">
      <c r="K612" s="11"/>
      <c r="N612" s="4"/>
      <c r="P612" s="3"/>
      <c r="Q612" s="3"/>
      <c r="S612" s="11"/>
      <c r="U612" s="3"/>
      <c r="V612" s="3"/>
      <c r="W612" s="3"/>
      <c r="X612" s="3"/>
      <c r="Y612" s="3"/>
    </row>
    <row r="613" spans="11:25" hidden="1" x14ac:dyDescent="0.25">
      <c r="K613" s="11"/>
      <c r="N613" s="4"/>
      <c r="P613" s="3"/>
      <c r="Q613" s="3"/>
      <c r="S613" s="11"/>
      <c r="U613" s="3"/>
      <c r="V613" s="3"/>
      <c r="W613" s="3"/>
      <c r="X613" s="3"/>
      <c r="Y613" s="3"/>
    </row>
    <row r="614" spans="11:25" hidden="1" x14ac:dyDescent="0.25">
      <c r="K614" s="11"/>
      <c r="N614" s="4"/>
      <c r="P614" s="3"/>
      <c r="Q614" s="3"/>
      <c r="S614" s="11"/>
      <c r="U614" s="3"/>
      <c r="V614" s="3"/>
      <c r="W614" s="3"/>
      <c r="X614" s="3"/>
      <c r="Y614" s="3"/>
    </row>
    <row r="615" spans="11:25" hidden="1" x14ac:dyDescent="0.25">
      <c r="K615" s="11"/>
      <c r="N615" s="4"/>
      <c r="P615" s="3"/>
      <c r="Q615" s="3"/>
      <c r="S615" s="11"/>
      <c r="U615" s="3"/>
      <c r="V615" s="3"/>
      <c r="W615" s="3"/>
      <c r="X615" s="3"/>
      <c r="Y615" s="3"/>
    </row>
    <row r="616" spans="11:25" hidden="1" x14ac:dyDescent="0.25">
      <c r="K616" s="11"/>
      <c r="N616" s="4"/>
      <c r="P616" s="3"/>
      <c r="Q616" s="3"/>
      <c r="S616" s="11"/>
      <c r="U616" s="3"/>
      <c r="V616" s="3"/>
      <c r="W616" s="3"/>
      <c r="X616" s="3"/>
      <c r="Y616" s="3"/>
    </row>
    <row r="617" spans="11:25" hidden="1" x14ac:dyDescent="0.25">
      <c r="K617" s="11"/>
      <c r="N617" s="4"/>
      <c r="P617" s="3"/>
      <c r="Q617" s="3"/>
      <c r="S617" s="11"/>
      <c r="U617" s="3"/>
      <c r="V617" s="3"/>
      <c r="W617" s="3"/>
      <c r="X617" s="3"/>
      <c r="Y617" s="3"/>
    </row>
    <row r="618" spans="11:25" hidden="1" x14ac:dyDescent="0.25">
      <c r="K618" s="11"/>
      <c r="N618" s="4"/>
      <c r="P618" s="3"/>
      <c r="Q618" s="3"/>
      <c r="S618" s="11"/>
      <c r="U618" s="3"/>
      <c r="V618" s="3"/>
      <c r="W618" s="3"/>
      <c r="X618" s="3"/>
      <c r="Y618" s="3"/>
    </row>
    <row r="619" spans="11:25" hidden="1" x14ac:dyDescent="0.25">
      <c r="K619" s="11"/>
      <c r="N619" s="4"/>
      <c r="P619" s="3"/>
      <c r="Q619" s="3"/>
      <c r="S619" s="11"/>
      <c r="U619" s="3"/>
      <c r="V619" s="3"/>
      <c r="W619" s="3"/>
      <c r="X619" s="3"/>
      <c r="Y619" s="3"/>
    </row>
    <row r="620" spans="11:25" hidden="1" x14ac:dyDescent="0.25">
      <c r="K620" s="11"/>
      <c r="N620" s="4"/>
      <c r="P620" s="3"/>
      <c r="Q620" s="3"/>
      <c r="S620" s="11"/>
      <c r="U620" s="3"/>
      <c r="V620" s="3"/>
      <c r="W620" s="3"/>
      <c r="X620" s="3"/>
      <c r="Y620" s="3"/>
    </row>
    <row r="621" spans="11:25" hidden="1" x14ac:dyDescent="0.25">
      <c r="K621" s="11"/>
      <c r="N621" s="4"/>
      <c r="P621" s="3"/>
      <c r="Q621" s="3"/>
      <c r="S621" s="11"/>
      <c r="U621" s="3"/>
      <c r="V621" s="3"/>
      <c r="W621" s="3"/>
      <c r="X621" s="3"/>
      <c r="Y621" s="3"/>
    </row>
    <row r="622" spans="11:25" hidden="1" x14ac:dyDescent="0.25">
      <c r="K622" s="11"/>
      <c r="N622" s="4"/>
      <c r="P622" s="3"/>
      <c r="Q622" s="3"/>
      <c r="S622" s="11"/>
      <c r="U622" s="3"/>
      <c r="V622" s="3"/>
      <c r="W622" s="3"/>
      <c r="X622" s="3"/>
      <c r="Y622" s="3"/>
    </row>
    <row r="623" spans="11:25" hidden="1" x14ac:dyDescent="0.25">
      <c r="K623" s="11"/>
      <c r="N623" s="4"/>
      <c r="P623" s="3"/>
      <c r="Q623" s="3"/>
      <c r="S623" s="11"/>
      <c r="U623" s="3"/>
      <c r="V623" s="3"/>
      <c r="W623" s="3"/>
      <c r="X623" s="3"/>
      <c r="Y623" s="3"/>
    </row>
    <row r="624" spans="11:25" hidden="1" x14ac:dyDescent="0.25">
      <c r="K624" s="11"/>
      <c r="N624" s="4"/>
      <c r="P624" s="3"/>
      <c r="Q624" s="3"/>
      <c r="S624" s="11"/>
      <c r="U624" s="3"/>
      <c r="V624" s="3"/>
      <c r="W624" s="3"/>
      <c r="X624" s="3"/>
      <c r="Y624" s="3"/>
    </row>
    <row r="625" spans="11:25" hidden="1" x14ac:dyDescent="0.25">
      <c r="K625" s="11"/>
      <c r="N625" s="4"/>
      <c r="P625" s="3"/>
      <c r="Q625" s="3"/>
      <c r="S625" s="11"/>
      <c r="U625" s="3"/>
      <c r="V625" s="3"/>
      <c r="W625" s="3"/>
      <c r="X625" s="3"/>
      <c r="Y625" s="3"/>
    </row>
    <row r="626" spans="11:25" hidden="1" x14ac:dyDescent="0.25">
      <c r="K626" s="11"/>
      <c r="N626" s="4"/>
      <c r="P626" s="3"/>
      <c r="Q626" s="3"/>
      <c r="S626" s="11"/>
      <c r="U626" s="3"/>
      <c r="V626" s="3"/>
      <c r="W626" s="3"/>
      <c r="X626" s="3"/>
      <c r="Y626" s="3"/>
    </row>
    <row r="627" spans="11:25" hidden="1" x14ac:dyDescent="0.25">
      <c r="K627" s="11"/>
      <c r="N627" s="4"/>
      <c r="P627" s="3"/>
      <c r="Q627" s="3"/>
      <c r="S627" s="11"/>
      <c r="U627" s="3"/>
      <c r="V627" s="3"/>
      <c r="W627" s="3"/>
      <c r="X627" s="3"/>
      <c r="Y627" s="3"/>
    </row>
    <row r="628" spans="11:25" hidden="1" x14ac:dyDescent="0.25">
      <c r="K628" s="11"/>
      <c r="N628" s="4"/>
      <c r="P628" s="3"/>
      <c r="Q628" s="3"/>
      <c r="S628" s="11"/>
      <c r="U628" s="3"/>
      <c r="V628" s="3"/>
      <c r="W628" s="3"/>
      <c r="X628" s="3"/>
      <c r="Y628" s="3"/>
    </row>
    <row r="629" spans="11:25" hidden="1" x14ac:dyDescent="0.25">
      <c r="K629" s="11"/>
      <c r="N629" s="4"/>
      <c r="P629" s="3"/>
      <c r="Q629" s="3"/>
      <c r="S629" s="11"/>
      <c r="U629" s="3"/>
      <c r="V629" s="3"/>
      <c r="W629" s="3"/>
      <c r="X629" s="3"/>
      <c r="Y629" s="3"/>
    </row>
    <row r="630" spans="11:25" hidden="1" x14ac:dyDescent="0.25">
      <c r="K630" s="11"/>
      <c r="N630" s="4"/>
      <c r="P630" s="3"/>
      <c r="Q630" s="3"/>
      <c r="S630" s="11"/>
      <c r="U630" s="3"/>
      <c r="V630" s="3"/>
      <c r="W630" s="3"/>
      <c r="X630" s="3"/>
      <c r="Y630" s="3"/>
    </row>
    <row r="631" spans="11:25" hidden="1" x14ac:dyDescent="0.25">
      <c r="K631" s="11"/>
      <c r="N631" s="4"/>
      <c r="P631" s="3"/>
      <c r="Q631" s="3"/>
      <c r="S631" s="11"/>
      <c r="U631" s="3"/>
      <c r="V631" s="3"/>
      <c r="W631" s="3"/>
      <c r="X631" s="3"/>
      <c r="Y631" s="3"/>
    </row>
    <row r="632" spans="11:25" hidden="1" x14ac:dyDescent="0.25">
      <c r="K632" s="11"/>
      <c r="N632" s="4"/>
      <c r="P632" s="3"/>
      <c r="Q632" s="3"/>
      <c r="S632" s="11"/>
      <c r="U632" s="3"/>
      <c r="V632" s="3"/>
      <c r="W632" s="3"/>
      <c r="X632" s="3"/>
      <c r="Y632" s="3"/>
    </row>
    <row r="633" spans="11:25" hidden="1" x14ac:dyDescent="0.25">
      <c r="K633" s="11"/>
      <c r="N633" s="4"/>
      <c r="P633" s="3"/>
      <c r="Q633" s="3"/>
      <c r="S633" s="11"/>
      <c r="U633" s="3"/>
      <c r="V633" s="3"/>
      <c r="W633" s="3"/>
      <c r="X633" s="3"/>
      <c r="Y633" s="3"/>
    </row>
    <row r="634" spans="11:25" hidden="1" x14ac:dyDescent="0.25">
      <c r="K634" s="11"/>
      <c r="N634" s="4"/>
      <c r="P634" s="3"/>
      <c r="Q634" s="3"/>
      <c r="S634" s="11"/>
      <c r="U634" s="3"/>
      <c r="V634" s="3"/>
      <c r="W634" s="3"/>
      <c r="X634" s="3"/>
      <c r="Y634" s="3"/>
    </row>
    <row r="635" spans="11:25" hidden="1" x14ac:dyDescent="0.25">
      <c r="K635" s="11"/>
      <c r="N635" s="4"/>
      <c r="P635" s="3"/>
      <c r="Q635" s="3"/>
      <c r="S635" s="11"/>
      <c r="U635" s="3"/>
      <c r="V635" s="3"/>
      <c r="W635" s="3"/>
      <c r="X635" s="3"/>
      <c r="Y635" s="3"/>
    </row>
    <row r="636" spans="11:25" hidden="1" x14ac:dyDescent="0.25">
      <c r="K636" s="11"/>
      <c r="N636" s="4"/>
      <c r="P636" s="3"/>
      <c r="Q636" s="3"/>
      <c r="S636" s="11"/>
      <c r="U636" s="3"/>
      <c r="V636" s="3"/>
      <c r="W636" s="3"/>
      <c r="X636" s="3"/>
      <c r="Y636" s="3"/>
    </row>
    <row r="637" spans="11:25" hidden="1" x14ac:dyDescent="0.25">
      <c r="K637" s="11"/>
      <c r="N637" s="4"/>
      <c r="P637" s="3"/>
      <c r="Q637" s="3"/>
      <c r="S637" s="11"/>
      <c r="U637" s="3"/>
      <c r="V637" s="3"/>
      <c r="W637" s="3"/>
      <c r="X637" s="3"/>
      <c r="Y637" s="3"/>
    </row>
    <row r="638" spans="11:25" hidden="1" x14ac:dyDescent="0.25">
      <c r="K638" s="11"/>
      <c r="N638" s="4"/>
      <c r="P638" s="3"/>
      <c r="Q638" s="3"/>
      <c r="S638" s="11"/>
      <c r="U638" s="3"/>
      <c r="V638" s="3"/>
      <c r="W638" s="3"/>
      <c r="X638" s="3"/>
      <c r="Y638" s="3"/>
    </row>
    <row r="639" spans="11:25" hidden="1" x14ac:dyDescent="0.25">
      <c r="K639" s="11"/>
      <c r="N639" s="4"/>
      <c r="P639" s="3"/>
      <c r="Q639" s="3"/>
      <c r="S639" s="11"/>
      <c r="U639" s="3"/>
      <c r="V639" s="3"/>
      <c r="W639" s="3"/>
      <c r="X639" s="3"/>
      <c r="Y639" s="3"/>
    </row>
    <row r="640" spans="11:25" hidden="1" x14ac:dyDescent="0.25">
      <c r="K640" s="11"/>
      <c r="N640" s="4"/>
      <c r="P640" s="3"/>
      <c r="Q640" s="3"/>
      <c r="S640" s="11"/>
      <c r="U640" s="3"/>
      <c r="V640" s="3"/>
      <c r="W640" s="3"/>
      <c r="X640" s="3"/>
      <c r="Y640" s="3"/>
    </row>
    <row r="641" spans="11:25" hidden="1" x14ac:dyDescent="0.25">
      <c r="K641" s="11"/>
      <c r="N641" s="4"/>
      <c r="P641" s="3"/>
      <c r="Q641" s="3"/>
      <c r="S641" s="11"/>
      <c r="U641" s="3"/>
      <c r="V641" s="3"/>
      <c r="W641" s="3"/>
      <c r="X641" s="3"/>
      <c r="Y641" s="3"/>
    </row>
    <row r="642" spans="11:25" hidden="1" x14ac:dyDescent="0.25">
      <c r="K642" s="11"/>
      <c r="N642" s="4"/>
      <c r="P642" s="3"/>
      <c r="Q642" s="3"/>
      <c r="S642" s="11"/>
      <c r="U642" s="3"/>
      <c r="V642" s="3"/>
      <c r="W642" s="3"/>
      <c r="X642" s="3"/>
      <c r="Y642" s="3"/>
    </row>
    <row r="643" spans="11:25" hidden="1" x14ac:dyDescent="0.25">
      <c r="K643" s="11"/>
      <c r="N643" s="4"/>
      <c r="P643" s="3"/>
      <c r="Q643" s="3"/>
      <c r="S643" s="11"/>
      <c r="U643" s="3"/>
      <c r="V643" s="3"/>
      <c r="W643" s="3"/>
      <c r="X643" s="3"/>
      <c r="Y643" s="3"/>
    </row>
    <row r="644" spans="11:25" hidden="1" x14ac:dyDescent="0.25">
      <c r="K644" s="11"/>
      <c r="N644" s="4"/>
      <c r="P644" s="3"/>
      <c r="Q644" s="3"/>
      <c r="S644" s="11"/>
      <c r="U644" s="3"/>
      <c r="V644" s="3"/>
      <c r="W644" s="3"/>
      <c r="X644" s="3"/>
      <c r="Y644" s="3"/>
    </row>
    <row r="645" spans="11:25" hidden="1" x14ac:dyDescent="0.25">
      <c r="K645" s="11"/>
      <c r="N645" s="4"/>
      <c r="P645" s="3"/>
      <c r="Q645" s="3"/>
      <c r="S645" s="11"/>
      <c r="U645" s="3"/>
      <c r="V645" s="3"/>
      <c r="W645" s="3"/>
      <c r="X645" s="3"/>
      <c r="Y645" s="3"/>
    </row>
    <row r="646" spans="11:25" hidden="1" x14ac:dyDescent="0.25">
      <c r="K646" s="11"/>
      <c r="N646" s="4"/>
      <c r="P646" s="3"/>
      <c r="Q646" s="3"/>
      <c r="S646" s="11"/>
      <c r="U646" s="3"/>
      <c r="V646" s="3"/>
      <c r="W646" s="3"/>
      <c r="X646" s="3"/>
      <c r="Y646" s="3"/>
    </row>
    <row r="647" spans="11:25" hidden="1" x14ac:dyDescent="0.25">
      <c r="K647" s="11"/>
      <c r="N647" s="4"/>
      <c r="P647" s="3"/>
      <c r="Q647" s="3"/>
      <c r="S647" s="11"/>
      <c r="U647" s="3"/>
      <c r="V647" s="3"/>
      <c r="W647" s="3"/>
      <c r="X647" s="3"/>
      <c r="Y647" s="3"/>
    </row>
    <row r="648" spans="11:25" hidden="1" x14ac:dyDescent="0.25">
      <c r="K648" s="11"/>
      <c r="N648" s="4"/>
      <c r="P648" s="3"/>
      <c r="Q648" s="3"/>
      <c r="S648" s="11"/>
      <c r="U648" s="3"/>
      <c r="V648" s="3"/>
      <c r="W648" s="3"/>
      <c r="X648" s="3"/>
      <c r="Y648" s="3"/>
    </row>
    <row r="649" spans="11:25" hidden="1" x14ac:dyDescent="0.25">
      <c r="K649" s="11"/>
      <c r="N649" s="4"/>
      <c r="P649" s="3"/>
      <c r="Q649" s="3"/>
      <c r="S649" s="11"/>
      <c r="U649" s="3"/>
      <c r="V649" s="3"/>
      <c r="W649" s="3"/>
      <c r="X649" s="3"/>
      <c r="Y649" s="3"/>
    </row>
    <row r="650" spans="11:25" hidden="1" x14ac:dyDescent="0.25">
      <c r="K650" s="11"/>
      <c r="N650" s="4"/>
      <c r="P650" s="3"/>
      <c r="Q650" s="3"/>
      <c r="S650" s="11"/>
      <c r="U650" s="3"/>
      <c r="V650" s="3"/>
      <c r="W650" s="3"/>
      <c r="X650" s="3"/>
      <c r="Y650" s="3"/>
    </row>
    <row r="651" spans="11:25" hidden="1" x14ac:dyDescent="0.25">
      <c r="K651" s="11"/>
      <c r="N651" s="4"/>
      <c r="P651" s="3"/>
      <c r="Q651" s="3"/>
      <c r="S651" s="11"/>
      <c r="U651" s="3"/>
      <c r="V651" s="3"/>
      <c r="W651" s="3"/>
      <c r="X651" s="3"/>
      <c r="Y651" s="3"/>
    </row>
    <row r="652" spans="11:25" hidden="1" x14ac:dyDescent="0.25">
      <c r="K652" s="11"/>
      <c r="N652" s="4"/>
      <c r="P652" s="3"/>
      <c r="Q652" s="3"/>
      <c r="S652" s="11"/>
      <c r="U652" s="3"/>
      <c r="V652" s="3"/>
      <c r="W652" s="3"/>
      <c r="X652" s="3"/>
      <c r="Y652" s="3"/>
    </row>
    <row r="653" spans="11:25" hidden="1" x14ac:dyDescent="0.25">
      <c r="K653" s="11"/>
      <c r="N653" s="4"/>
      <c r="P653" s="3"/>
      <c r="Q653" s="3"/>
      <c r="S653" s="11"/>
      <c r="U653" s="3"/>
      <c r="V653" s="3"/>
      <c r="W653" s="3"/>
      <c r="X653" s="3"/>
      <c r="Y653" s="3"/>
    </row>
    <row r="654" spans="11:25" hidden="1" x14ac:dyDescent="0.25">
      <c r="K654" s="11"/>
      <c r="P654" s="3"/>
      <c r="Q654" s="3"/>
      <c r="S654" s="11"/>
    </row>
    <row r="655" spans="11:25" hidden="1" x14ac:dyDescent="0.25">
      <c r="K655" s="11"/>
      <c r="P655" s="3"/>
      <c r="Q655" s="3"/>
      <c r="S655" s="11"/>
    </row>
    <row r="656" spans="11:25" hidden="1" x14ac:dyDescent="0.25">
      <c r="K656" s="11"/>
      <c r="P656" s="3"/>
      <c r="Q656" s="3"/>
      <c r="S656" s="11"/>
    </row>
    <row r="657" spans="11:19" hidden="1" x14ac:dyDescent="0.25">
      <c r="K657" s="11"/>
      <c r="P657" s="3"/>
      <c r="Q657" s="3"/>
      <c r="S657" s="11"/>
    </row>
    <row r="658" spans="11:19" hidden="1" x14ac:dyDescent="0.25">
      <c r="K658" s="11"/>
      <c r="P658" s="3"/>
      <c r="Q658" s="3"/>
      <c r="S658" s="11"/>
    </row>
    <row r="659" spans="11:19" hidden="1" x14ac:dyDescent="0.25">
      <c r="K659" s="11"/>
      <c r="P659" s="3"/>
      <c r="Q659" s="3"/>
      <c r="S659" s="11"/>
    </row>
    <row r="660" spans="11:19" hidden="1" x14ac:dyDescent="0.25">
      <c r="K660" s="11"/>
      <c r="P660" s="3"/>
      <c r="Q660" s="3"/>
      <c r="S660" s="11"/>
    </row>
    <row r="661" spans="11:19" hidden="1" x14ac:dyDescent="0.25">
      <c r="K661" s="11"/>
      <c r="P661" s="3"/>
      <c r="Q661" s="3"/>
      <c r="S661" s="11"/>
    </row>
    <row r="662" spans="11:19" hidden="1" x14ac:dyDescent="0.25">
      <c r="K662" s="11"/>
      <c r="P662" s="3"/>
      <c r="Q662" s="3"/>
      <c r="S662" s="11"/>
    </row>
    <row r="663" spans="11:19" hidden="1" x14ac:dyDescent="0.25">
      <c r="K663" s="11"/>
      <c r="P663" s="3"/>
      <c r="Q663" s="3"/>
      <c r="S663" s="11"/>
    </row>
    <row r="664" spans="11:19" hidden="1" x14ac:dyDescent="0.25">
      <c r="K664" s="11"/>
      <c r="P664" s="3"/>
      <c r="Q664" s="3"/>
      <c r="S664" s="11"/>
    </row>
    <row r="665" spans="11:19" hidden="1" x14ac:dyDescent="0.25">
      <c r="K665" s="11"/>
      <c r="P665" s="3"/>
      <c r="Q665" s="3"/>
      <c r="S665" s="11"/>
    </row>
    <row r="666" spans="11:19" hidden="1" x14ac:dyDescent="0.25">
      <c r="K666" s="11"/>
      <c r="P666" s="3"/>
      <c r="Q666" s="3"/>
      <c r="S666" s="11"/>
    </row>
    <row r="667" spans="11:19" hidden="1" x14ac:dyDescent="0.25">
      <c r="K667" s="11"/>
      <c r="P667" s="3"/>
      <c r="Q667" s="3"/>
      <c r="S667" s="11"/>
    </row>
    <row r="668" spans="11:19" hidden="1" x14ac:dyDescent="0.25">
      <c r="K668" s="11"/>
      <c r="P668" s="3"/>
      <c r="Q668" s="3"/>
      <c r="S668" s="11"/>
    </row>
    <row r="669" spans="11:19" hidden="1" x14ac:dyDescent="0.25">
      <c r="K669" s="11"/>
      <c r="P669" s="3"/>
      <c r="Q669" s="3"/>
      <c r="S669" s="11"/>
    </row>
    <row r="670" spans="11:19" hidden="1" x14ac:dyDescent="0.25">
      <c r="K670" s="11"/>
      <c r="P670" s="3"/>
      <c r="Q670" s="3"/>
      <c r="S670" s="11"/>
    </row>
    <row r="671" spans="11:19" hidden="1" x14ac:dyDescent="0.25">
      <c r="K671" s="11"/>
      <c r="P671" s="3"/>
      <c r="Q671" s="3"/>
      <c r="S671" s="11"/>
    </row>
    <row r="672" spans="11:19" hidden="1" x14ac:dyDescent="0.25">
      <c r="K672" s="11"/>
      <c r="P672" s="3"/>
      <c r="Q672" s="3"/>
      <c r="S672" s="11"/>
    </row>
    <row r="673" spans="11:19" hidden="1" x14ac:dyDescent="0.25">
      <c r="K673" s="11"/>
      <c r="P673" s="3"/>
      <c r="Q673" s="3"/>
      <c r="S673" s="11"/>
    </row>
    <row r="674" spans="11:19" hidden="1" x14ac:dyDescent="0.25">
      <c r="K674" s="11"/>
      <c r="P674" s="3"/>
      <c r="Q674" s="3"/>
      <c r="S674" s="11"/>
    </row>
    <row r="675" spans="11:19" hidden="1" x14ac:dyDescent="0.25">
      <c r="K675" s="11"/>
      <c r="P675" s="3"/>
      <c r="Q675" s="3"/>
      <c r="S675" s="11"/>
    </row>
    <row r="676" spans="11:19" hidden="1" x14ac:dyDescent="0.25">
      <c r="K676" s="11"/>
      <c r="P676" s="3"/>
      <c r="Q676" s="3"/>
      <c r="S676" s="11"/>
    </row>
    <row r="677" spans="11:19" hidden="1" x14ac:dyDescent="0.25">
      <c r="K677" s="11"/>
      <c r="P677" s="3"/>
      <c r="Q677" s="3"/>
      <c r="S677" s="11"/>
    </row>
    <row r="678" spans="11:19" hidden="1" x14ac:dyDescent="0.25">
      <c r="K678" s="11"/>
      <c r="P678" s="3"/>
      <c r="Q678" s="3"/>
      <c r="S678" s="11"/>
    </row>
    <row r="679" spans="11:19" hidden="1" x14ac:dyDescent="0.25">
      <c r="K679" s="11"/>
      <c r="P679" s="3"/>
      <c r="Q679" s="3"/>
      <c r="S679" s="11"/>
    </row>
    <row r="680" spans="11:19" hidden="1" x14ac:dyDescent="0.25">
      <c r="K680" s="11"/>
      <c r="P680" s="3"/>
      <c r="Q680" s="3"/>
      <c r="S680" s="11"/>
    </row>
    <row r="681" spans="11:19" hidden="1" x14ac:dyDescent="0.25">
      <c r="K681" s="11"/>
      <c r="P681" s="3"/>
      <c r="Q681" s="3"/>
      <c r="S681" s="11"/>
    </row>
    <row r="682" spans="11:19" hidden="1" x14ac:dyDescent="0.25">
      <c r="K682" s="11"/>
      <c r="P682" s="3"/>
      <c r="Q682" s="3"/>
      <c r="S682" s="11"/>
    </row>
    <row r="683" spans="11:19" hidden="1" x14ac:dyDescent="0.25">
      <c r="K683" s="11"/>
      <c r="P683" s="3"/>
      <c r="Q683" s="3"/>
      <c r="S683" s="11"/>
    </row>
    <row r="684" spans="11:19" hidden="1" x14ac:dyDescent="0.25">
      <c r="K684" s="11"/>
      <c r="P684" s="3"/>
      <c r="Q684" s="3"/>
      <c r="S684" s="11"/>
    </row>
    <row r="685" spans="11:19" hidden="1" x14ac:dyDescent="0.25">
      <c r="K685" s="11"/>
      <c r="P685" s="3"/>
      <c r="Q685" s="3"/>
      <c r="S685" s="11"/>
    </row>
    <row r="686" spans="11:19" hidden="1" x14ac:dyDescent="0.25">
      <c r="K686" s="11"/>
      <c r="P686" s="3"/>
      <c r="Q686" s="3"/>
      <c r="S686" s="11"/>
    </row>
    <row r="687" spans="11:19" hidden="1" x14ac:dyDescent="0.25">
      <c r="K687" s="11"/>
      <c r="P687" s="3"/>
      <c r="Q687" s="3"/>
      <c r="S687" s="11"/>
    </row>
    <row r="688" spans="11:19" hidden="1" x14ac:dyDescent="0.25">
      <c r="K688" s="11"/>
      <c r="P688" s="3"/>
      <c r="Q688" s="3"/>
      <c r="S688" s="11"/>
    </row>
    <row r="689" spans="11:19" hidden="1" x14ac:dyDescent="0.25">
      <c r="K689" s="11"/>
      <c r="P689" s="3"/>
      <c r="Q689" s="3"/>
      <c r="S689" s="11"/>
    </row>
    <row r="690" spans="11:19" hidden="1" x14ac:dyDescent="0.25">
      <c r="K690" s="11"/>
      <c r="P690" s="3"/>
      <c r="Q690" s="3"/>
      <c r="S690" s="11"/>
    </row>
    <row r="691" spans="11:19" hidden="1" x14ac:dyDescent="0.25">
      <c r="K691" s="11"/>
      <c r="P691" s="3"/>
      <c r="Q691" s="3"/>
      <c r="S691" s="11"/>
    </row>
    <row r="692" spans="11:19" hidden="1" x14ac:dyDescent="0.25">
      <c r="K692" s="11"/>
      <c r="P692" s="3"/>
      <c r="Q692" s="3"/>
      <c r="S692" s="11"/>
    </row>
    <row r="693" spans="11:19" hidden="1" x14ac:dyDescent="0.25">
      <c r="K693" s="11"/>
      <c r="P693" s="3"/>
      <c r="Q693" s="3"/>
      <c r="S693" s="11"/>
    </row>
    <row r="694" spans="11:19" hidden="1" x14ac:dyDescent="0.25">
      <c r="K694" s="11"/>
      <c r="P694" s="3"/>
      <c r="Q694" s="3"/>
      <c r="S694" s="11"/>
    </row>
    <row r="695" spans="11:19" hidden="1" x14ac:dyDescent="0.25">
      <c r="K695" s="11"/>
      <c r="P695" s="3"/>
      <c r="Q695" s="3"/>
      <c r="S695" s="11"/>
    </row>
    <row r="696" spans="11:19" hidden="1" x14ac:dyDescent="0.25">
      <c r="K696" s="11"/>
      <c r="P696" s="3"/>
      <c r="Q696" s="3"/>
      <c r="S696" s="11"/>
    </row>
    <row r="697" spans="11:19" hidden="1" x14ac:dyDescent="0.25">
      <c r="K697" s="11"/>
      <c r="P697" s="3"/>
      <c r="Q697" s="3"/>
      <c r="S697" s="11"/>
    </row>
    <row r="698" spans="11:19" hidden="1" x14ac:dyDescent="0.25">
      <c r="K698" s="11"/>
      <c r="P698" s="3"/>
      <c r="Q698" s="3"/>
      <c r="S698" s="11"/>
    </row>
    <row r="699" spans="11:19" hidden="1" x14ac:dyDescent="0.25">
      <c r="K699" s="11"/>
      <c r="P699" s="3"/>
      <c r="Q699" s="3"/>
      <c r="S699" s="11"/>
    </row>
    <row r="700" spans="11:19" hidden="1" x14ac:dyDescent="0.25">
      <c r="K700" s="11"/>
      <c r="P700" s="3"/>
      <c r="Q700" s="3"/>
      <c r="S700" s="11"/>
    </row>
    <row r="701" spans="11:19" hidden="1" x14ac:dyDescent="0.25">
      <c r="K701" s="11"/>
      <c r="P701" s="3"/>
      <c r="Q701" s="3"/>
      <c r="S701" s="11"/>
    </row>
    <row r="702" spans="11:19" hidden="1" x14ac:dyDescent="0.25">
      <c r="K702" s="11"/>
      <c r="P702" s="3"/>
      <c r="Q702" s="3"/>
      <c r="S702" s="11"/>
    </row>
    <row r="703" spans="11:19" hidden="1" x14ac:dyDescent="0.25">
      <c r="K703" s="11"/>
      <c r="P703" s="3"/>
      <c r="Q703" s="3"/>
      <c r="S703" s="11"/>
    </row>
    <row r="704" spans="11:19" hidden="1" x14ac:dyDescent="0.25">
      <c r="K704" s="11"/>
      <c r="P704" s="3"/>
      <c r="Q704" s="3"/>
      <c r="S704" s="11"/>
    </row>
    <row r="705" spans="11:19" hidden="1" x14ac:dyDescent="0.25">
      <c r="K705" s="11"/>
      <c r="P705" s="3"/>
      <c r="Q705" s="3"/>
      <c r="S705" s="11"/>
    </row>
    <row r="706" spans="11:19" hidden="1" x14ac:dyDescent="0.25">
      <c r="K706" s="11"/>
      <c r="P706" s="3"/>
      <c r="Q706" s="3"/>
      <c r="S706" s="11"/>
    </row>
    <row r="707" spans="11:19" hidden="1" x14ac:dyDescent="0.25">
      <c r="K707" s="11"/>
      <c r="P707" s="3"/>
      <c r="Q707" s="3"/>
      <c r="S707" s="11"/>
    </row>
    <row r="708" spans="11:19" hidden="1" x14ac:dyDescent="0.25">
      <c r="K708" s="11"/>
      <c r="P708" s="3"/>
      <c r="Q708" s="3"/>
      <c r="S708" s="11"/>
    </row>
    <row r="709" spans="11:19" hidden="1" x14ac:dyDescent="0.25">
      <c r="K709" s="11"/>
      <c r="P709" s="3"/>
      <c r="Q709" s="3"/>
      <c r="S709" s="11"/>
    </row>
    <row r="710" spans="11:19" hidden="1" x14ac:dyDescent="0.25">
      <c r="K710" s="11"/>
      <c r="P710" s="3"/>
      <c r="Q710" s="3"/>
      <c r="S710" s="11"/>
    </row>
    <row r="711" spans="11:19" hidden="1" x14ac:dyDescent="0.25">
      <c r="K711" s="11"/>
      <c r="P711" s="3"/>
      <c r="Q711" s="3"/>
      <c r="S711" s="11"/>
    </row>
    <row r="712" spans="11:19" hidden="1" x14ac:dyDescent="0.25">
      <c r="K712" s="11"/>
      <c r="P712" s="3"/>
      <c r="Q712" s="3"/>
      <c r="S712" s="11"/>
    </row>
    <row r="713" spans="11:19" hidden="1" x14ac:dyDescent="0.25">
      <c r="K713" s="11"/>
      <c r="P713" s="3"/>
      <c r="Q713" s="3"/>
      <c r="S713" s="11"/>
    </row>
    <row r="714" spans="11:19" hidden="1" x14ac:dyDescent="0.25">
      <c r="K714" s="11"/>
      <c r="P714" s="3"/>
      <c r="Q714" s="3"/>
      <c r="S714" s="11"/>
    </row>
    <row r="715" spans="11:19" hidden="1" x14ac:dyDescent="0.25">
      <c r="K715" s="11"/>
      <c r="P715" s="3"/>
      <c r="Q715" s="3"/>
      <c r="S715" s="11"/>
    </row>
    <row r="716" spans="11:19" hidden="1" x14ac:dyDescent="0.25">
      <c r="K716" s="11"/>
      <c r="P716" s="3"/>
      <c r="Q716" s="3"/>
      <c r="S716" s="11"/>
    </row>
    <row r="717" spans="11:19" hidden="1" x14ac:dyDescent="0.25">
      <c r="K717" s="11"/>
      <c r="P717" s="3"/>
      <c r="Q717" s="3"/>
      <c r="S717" s="11"/>
    </row>
    <row r="718" spans="11:19" hidden="1" x14ac:dyDescent="0.25">
      <c r="K718" s="11"/>
      <c r="P718" s="3"/>
      <c r="Q718" s="3"/>
      <c r="S718" s="11"/>
    </row>
    <row r="719" spans="11:19" hidden="1" x14ac:dyDescent="0.25">
      <c r="K719" s="11"/>
      <c r="P719" s="3"/>
      <c r="Q719" s="3"/>
      <c r="S719" s="11"/>
    </row>
    <row r="720" spans="11:19" hidden="1" x14ac:dyDescent="0.25">
      <c r="K720" s="11"/>
      <c r="P720" s="3"/>
      <c r="Q720" s="3"/>
      <c r="S720" s="11"/>
    </row>
    <row r="721" spans="11:19" hidden="1" x14ac:dyDescent="0.25">
      <c r="K721" s="11"/>
      <c r="P721" s="3"/>
      <c r="Q721" s="3"/>
      <c r="S721" s="11"/>
    </row>
    <row r="722" spans="11:19" hidden="1" x14ac:dyDescent="0.25">
      <c r="K722" s="11"/>
      <c r="P722" s="3"/>
      <c r="Q722" s="3"/>
      <c r="S722" s="11"/>
    </row>
    <row r="723" spans="11:19" hidden="1" x14ac:dyDescent="0.25">
      <c r="K723" s="11"/>
      <c r="P723" s="3"/>
      <c r="Q723" s="3"/>
      <c r="S723" s="11"/>
    </row>
    <row r="724" spans="11:19" hidden="1" x14ac:dyDescent="0.25">
      <c r="K724" s="11"/>
      <c r="P724" s="3"/>
      <c r="Q724" s="3"/>
      <c r="S724" s="11"/>
    </row>
    <row r="725" spans="11:19" hidden="1" x14ac:dyDescent="0.25">
      <c r="K725" s="11"/>
      <c r="P725" s="3"/>
      <c r="Q725" s="3"/>
      <c r="S725" s="11"/>
    </row>
    <row r="726" spans="11:19" hidden="1" x14ac:dyDescent="0.25">
      <c r="K726" s="11"/>
      <c r="P726" s="3"/>
      <c r="Q726" s="3"/>
      <c r="S726" s="11"/>
    </row>
    <row r="727" spans="11:19" hidden="1" x14ac:dyDescent="0.25">
      <c r="K727" s="11"/>
      <c r="P727" s="3"/>
      <c r="Q727" s="3"/>
      <c r="S727" s="11"/>
    </row>
    <row r="728" spans="11:19" hidden="1" x14ac:dyDescent="0.25">
      <c r="K728" s="11"/>
      <c r="P728" s="3"/>
      <c r="Q728" s="3"/>
      <c r="S728" s="11"/>
    </row>
    <row r="729" spans="11:19" hidden="1" x14ac:dyDescent="0.25">
      <c r="K729" s="11"/>
      <c r="P729" s="3"/>
      <c r="Q729" s="3"/>
      <c r="S729" s="11"/>
    </row>
    <row r="730" spans="11:19" hidden="1" x14ac:dyDescent="0.25">
      <c r="K730" s="11"/>
      <c r="P730" s="3"/>
      <c r="Q730" s="3"/>
      <c r="S730" s="11"/>
    </row>
    <row r="731" spans="11:19" hidden="1" x14ac:dyDescent="0.25">
      <c r="K731" s="11"/>
      <c r="P731" s="3"/>
      <c r="Q731" s="3"/>
      <c r="S731" s="11"/>
    </row>
    <row r="732" spans="11:19" hidden="1" x14ac:dyDescent="0.25">
      <c r="K732" s="11"/>
      <c r="P732" s="3"/>
      <c r="Q732" s="3"/>
      <c r="S732" s="11"/>
    </row>
    <row r="733" spans="11:19" hidden="1" x14ac:dyDescent="0.25">
      <c r="K733" s="11"/>
      <c r="P733" s="3"/>
      <c r="Q733" s="3"/>
      <c r="S733" s="11"/>
    </row>
    <row r="734" spans="11:19" hidden="1" x14ac:dyDescent="0.25">
      <c r="K734" s="11"/>
      <c r="P734" s="3"/>
      <c r="Q734" s="3"/>
      <c r="S734" s="11"/>
    </row>
    <row r="735" spans="11:19" hidden="1" x14ac:dyDescent="0.25">
      <c r="K735" s="11"/>
      <c r="P735" s="3"/>
      <c r="Q735" s="3"/>
      <c r="S735" s="11"/>
    </row>
    <row r="736" spans="11:19" hidden="1" x14ac:dyDescent="0.25">
      <c r="K736" s="11"/>
      <c r="P736" s="3"/>
      <c r="Q736" s="3"/>
      <c r="S736" s="11"/>
    </row>
    <row r="737" spans="11:19" hidden="1" x14ac:dyDescent="0.25">
      <c r="K737" s="11"/>
      <c r="P737" s="3"/>
      <c r="Q737" s="3"/>
      <c r="S737" s="11"/>
    </row>
    <row r="738" spans="11:19" hidden="1" x14ac:dyDescent="0.25">
      <c r="K738" s="11"/>
      <c r="P738" s="3"/>
      <c r="Q738" s="3"/>
      <c r="S738" s="11"/>
    </row>
    <row r="739" spans="11:19" hidden="1" x14ac:dyDescent="0.25">
      <c r="K739" s="11"/>
      <c r="P739" s="3"/>
      <c r="Q739" s="3"/>
      <c r="S739" s="11"/>
    </row>
    <row r="740" spans="11:19" hidden="1" x14ac:dyDescent="0.25">
      <c r="K740" s="11"/>
      <c r="P740" s="3"/>
      <c r="Q740" s="3"/>
      <c r="S740" s="11"/>
    </row>
    <row r="741" spans="11:19" hidden="1" x14ac:dyDescent="0.25">
      <c r="K741" s="11"/>
      <c r="P741" s="3"/>
      <c r="Q741" s="3"/>
      <c r="S741" s="11"/>
    </row>
    <row r="742" spans="11:19" hidden="1" x14ac:dyDescent="0.25">
      <c r="K742" s="11"/>
      <c r="P742" s="3"/>
      <c r="Q742" s="3"/>
      <c r="S742" s="11"/>
    </row>
    <row r="743" spans="11:19" hidden="1" x14ac:dyDescent="0.25">
      <c r="K743" s="11"/>
      <c r="P743" s="3"/>
      <c r="Q743" s="3"/>
      <c r="S743" s="11"/>
    </row>
    <row r="744" spans="11:19" hidden="1" x14ac:dyDescent="0.25">
      <c r="K744" s="11"/>
      <c r="P744" s="3"/>
      <c r="Q744" s="3"/>
      <c r="S744" s="11"/>
    </row>
    <row r="745" spans="11:19" hidden="1" x14ac:dyDescent="0.25">
      <c r="K745" s="11"/>
      <c r="P745" s="3"/>
      <c r="Q745" s="3"/>
      <c r="S745" s="11"/>
    </row>
    <row r="746" spans="11:19" hidden="1" x14ac:dyDescent="0.25">
      <c r="K746" s="11"/>
      <c r="P746" s="3"/>
      <c r="Q746" s="3"/>
      <c r="S746" s="11"/>
    </row>
    <row r="747" spans="11:19" hidden="1" x14ac:dyDescent="0.25">
      <c r="K747" s="11"/>
      <c r="P747" s="3"/>
      <c r="Q747" s="3"/>
      <c r="S747" s="11"/>
    </row>
    <row r="748" spans="11:19" hidden="1" x14ac:dyDescent="0.25">
      <c r="K748" s="11"/>
      <c r="P748" s="3"/>
      <c r="Q748" s="3"/>
      <c r="S748" s="11"/>
    </row>
    <row r="749" spans="11:19" hidden="1" x14ac:dyDescent="0.25">
      <c r="K749" s="11"/>
      <c r="P749" s="3"/>
      <c r="Q749" s="3"/>
      <c r="S749" s="11"/>
    </row>
    <row r="750" spans="11:19" hidden="1" x14ac:dyDescent="0.25">
      <c r="K750" s="11"/>
      <c r="P750" s="3"/>
      <c r="Q750" s="3"/>
      <c r="S750" s="11"/>
    </row>
    <row r="751" spans="11:19" hidden="1" x14ac:dyDescent="0.25">
      <c r="K751" s="11"/>
      <c r="P751" s="3"/>
      <c r="Q751" s="3"/>
      <c r="S751" s="11"/>
    </row>
    <row r="752" spans="11:19" hidden="1" x14ac:dyDescent="0.25">
      <c r="K752" s="11"/>
      <c r="P752" s="3"/>
      <c r="Q752" s="3"/>
      <c r="S752" s="11"/>
    </row>
    <row r="753" spans="11:19" hidden="1" x14ac:dyDescent="0.25">
      <c r="K753" s="11"/>
      <c r="P753" s="3"/>
      <c r="Q753" s="3"/>
      <c r="S753" s="11"/>
    </row>
    <row r="754" spans="11:19" hidden="1" x14ac:dyDescent="0.25">
      <c r="K754" s="11"/>
      <c r="P754" s="3"/>
      <c r="Q754" s="3"/>
      <c r="S754" s="11"/>
    </row>
    <row r="755" spans="11:19" hidden="1" x14ac:dyDescent="0.25">
      <c r="K755" s="11"/>
      <c r="P755" s="3"/>
      <c r="Q755" s="3"/>
      <c r="S755" s="11"/>
    </row>
    <row r="756" spans="11:19" hidden="1" x14ac:dyDescent="0.25">
      <c r="K756" s="11"/>
      <c r="P756" s="3"/>
      <c r="Q756" s="3"/>
      <c r="S756" s="11"/>
    </row>
    <row r="757" spans="11:19" hidden="1" x14ac:dyDescent="0.25">
      <c r="K757" s="11"/>
      <c r="P757" s="3"/>
      <c r="Q757" s="3"/>
      <c r="S757" s="11"/>
    </row>
    <row r="758" spans="11:19" hidden="1" x14ac:dyDescent="0.25">
      <c r="K758" s="11"/>
      <c r="P758" s="3"/>
      <c r="Q758" s="3"/>
      <c r="S758" s="11"/>
    </row>
    <row r="759" spans="11:19" hidden="1" x14ac:dyDescent="0.25">
      <c r="K759" s="11"/>
      <c r="P759" s="3"/>
      <c r="Q759" s="3"/>
      <c r="S759" s="11"/>
    </row>
    <row r="760" spans="11:19" hidden="1" x14ac:dyDescent="0.25">
      <c r="K760" s="11"/>
      <c r="P760" s="3"/>
      <c r="Q760" s="3"/>
      <c r="S760" s="11"/>
    </row>
    <row r="761" spans="11:19" hidden="1" x14ac:dyDescent="0.25">
      <c r="K761" s="11"/>
      <c r="P761" s="3"/>
      <c r="Q761" s="3"/>
      <c r="S761" s="11"/>
    </row>
    <row r="762" spans="11:19" hidden="1" x14ac:dyDescent="0.25">
      <c r="K762" s="11"/>
      <c r="P762" s="3"/>
      <c r="Q762" s="3"/>
      <c r="S762" s="11"/>
    </row>
    <row r="763" spans="11:19" hidden="1" x14ac:dyDescent="0.25">
      <c r="K763" s="11"/>
      <c r="P763" s="3"/>
      <c r="Q763" s="3"/>
      <c r="S763" s="11"/>
    </row>
    <row r="764" spans="11:19" hidden="1" x14ac:dyDescent="0.25">
      <c r="K764" s="11"/>
      <c r="P764" s="3"/>
      <c r="Q764" s="3"/>
      <c r="S764" s="11"/>
    </row>
    <row r="765" spans="11:19" hidden="1" x14ac:dyDescent="0.25">
      <c r="K765" s="11"/>
      <c r="P765" s="3"/>
      <c r="Q765" s="3"/>
      <c r="S765" s="11"/>
    </row>
    <row r="766" spans="11:19" hidden="1" x14ac:dyDescent="0.25">
      <c r="K766" s="11"/>
      <c r="P766" s="3"/>
      <c r="Q766" s="3"/>
      <c r="S766" s="11"/>
    </row>
    <row r="767" spans="11:19" hidden="1" x14ac:dyDescent="0.25">
      <c r="K767" s="11"/>
      <c r="P767" s="3"/>
      <c r="Q767" s="3"/>
      <c r="S767" s="11"/>
    </row>
    <row r="768" spans="11:19" hidden="1" x14ac:dyDescent="0.25">
      <c r="K768" s="11"/>
      <c r="P768" s="3"/>
      <c r="Q768" s="3"/>
      <c r="S768" s="11"/>
    </row>
    <row r="769" spans="11:19" hidden="1" x14ac:dyDescent="0.25">
      <c r="K769" s="11"/>
      <c r="P769" s="3"/>
      <c r="Q769" s="3"/>
      <c r="S769" s="11"/>
    </row>
    <row r="770" spans="11:19" hidden="1" x14ac:dyDescent="0.25">
      <c r="K770" s="11"/>
      <c r="P770" s="3"/>
      <c r="Q770" s="3"/>
      <c r="S770" s="11"/>
    </row>
    <row r="771" spans="11:19" hidden="1" x14ac:dyDescent="0.25">
      <c r="K771" s="11"/>
      <c r="P771" s="3"/>
      <c r="Q771" s="3"/>
      <c r="S771" s="11"/>
    </row>
    <row r="772" spans="11:19" hidden="1" x14ac:dyDescent="0.25">
      <c r="K772" s="11"/>
      <c r="P772" s="3"/>
      <c r="Q772" s="3"/>
      <c r="S772" s="11"/>
    </row>
    <row r="773" spans="11:19" hidden="1" x14ac:dyDescent="0.25">
      <c r="K773" s="11"/>
      <c r="P773" s="3"/>
      <c r="Q773" s="3"/>
      <c r="S773" s="11"/>
    </row>
    <row r="774" spans="11:19" hidden="1" x14ac:dyDescent="0.25">
      <c r="K774" s="11"/>
      <c r="P774" s="3"/>
      <c r="Q774" s="3"/>
      <c r="S774" s="11"/>
    </row>
    <row r="775" spans="11:19" hidden="1" x14ac:dyDescent="0.25">
      <c r="K775" s="11"/>
      <c r="P775" s="3"/>
      <c r="Q775" s="3"/>
      <c r="S775" s="11"/>
    </row>
    <row r="776" spans="11:19" hidden="1" x14ac:dyDescent="0.25">
      <c r="K776" s="11"/>
      <c r="P776" s="3"/>
      <c r="Q776" s="3"/>
      <c r="S776" s="11"/>
    </row>
    <row r="777" spans="11:19" hidden="1" x14ac:dyDescent="0.25">
      <c r="K777" s="11"/>
      <c r="P777" s="3"/>
      <c r="Q777" s="3"/>
      <c r="S777" s="11"/>
    </row>
    <row r="778" spans="11:19" hidden="1" x14ac:dyDescent="0.25">
      <c r="K778" s="11"/>
      <c r="P778" s="3"/>
      <c r="Q778" s="3"/>
      <c r="S778" s="11"/>
    </row>
    <row r="779" spans="11:19" hidden="1" x14ac:dyDescent="0.25">
      <c r="K779" s="11"/>
      <c r="P779" s="3"/>
      <c r="Q779" s="3"/>
      <c r="S779" s="11"/>
    </row>
    <row r="780" spans="11:19" hidden="1" x14ac:dyDescent="0.25">
      <c r="K780" s="11"/>
      <c r="P780" s="3"/>
      <c r="Q780" s="3"/>
      <c r="S780" s="11"/>
    </row>
    <row r="781" spans="11:19" hidden="1" x14ac:dyDescent="0.25">
      <c r="K781" s="11"/>
      <c r="P781" s="3"/>
      <c r="Q781" s="3"/>
      <c r="S781" s="11"/>
    </row>
    <row r="782" spans="11:19" hidden="1" x14ac:dyDescent="0.25">
      <c r="K782" s="11"/>
      <c r="P782" s="3"/>
      <c r="Q782" s="3"/>
      <c r="S782" s="11"/>
    </row>
    <row r="783" spans="11:19" hidden="1" x14ac:dyDescent="0.25">
      <c r="K783" s="11"/>
      <c r="P783" s="3"/>
      <c r="Q783" s="3"/>
      <c r="S783" s="11"/>
    </row>
    <row r="784" spans="11:19" hidden="1" x14ac:dyDescent="0.25">
      <c r="K784" s="11"/>
      <c r="P784" s="3"/>
      <c r="Q784" s="3"/>
      <c r="S784" s="11"/>
    </row>
    <row r="785" spans="11:19" hidden="1" x14ac:dyDescent="0.25">
      <c r="K785" s="11"/>
      <c r="P785" s="3"/>
      <c r="Q785" s="3"/>
      <c r="S785" s="11"/>
    </row>
    <row r="786" spans="11:19" hidden="1" x14ac:dyDescent="0.25">
      <c r="K786" s="11"/>
      <c r="P786" s="3"/>
      <c r="Q786" s="3"/>
      <c r="S786" s="11"/>
    </row>
    <row r="787" spans="11:19" hidden="1" x14ac:dyDescent="0.25">
      <c r="K787" s="11"/>
      <c r="P787" s="3"/>
      <c r="Q787" s="3"/>
      <c r="S787" s="11"/>
    </row>
    <row r="788" spans="11:19" hidden="1" x14ac:dyDescent="0.25">
      <c r="K788" s="11"/>
      <c r="P788" s="3"/>
      <c r="Q788" s="3"/>
      <c r="S788" s="11"/>
    </row>
    <row r="789" spans="11:19" hidden="1" x14ac:dyDescent="0.25">
      <c r="K789" s="11"/>
      <c r="P789" s="3"/>
      <c r="Q789" s="3"/>
      <c r="S789" s="11"/>
    </row>
    <row r="790" spans="11:19" hidden="1" x14ac:dyDescent="0.25">
      <c r="K790" s="11"/>
      <c r="P790" s="3"/>
      <c r="Q790" s="3"/>
      <c r="S790" s="11"/>
    </row>
    <row r="791" spans="11:19" hidden="1" x14ac:dyDescent="0.25">
      <c r="K791" s="11"/>
      <c r="P791" s="3"/>
      <c r="Q791" s="3"/>
      <c r="S791" s="11"/>
    </row>
    <row r="792" spans="11:19" hidden="1" x14ac:dyDescent="0.25">
      <c r="K792" s="11"/>
      <c r="P792" s="3"/>
      <c r="Q792" s="3"/>
      <c r="S792" s="11"/>
    </row>
    <row r="793" spans="11:19" hidden="1" x14ac:dyDescent="0.25">
      <c r="K793" s="11"/>
      <c r="P793" s="3"/>
      <c r="Q793" s="3"/>
      <c r="S793" s="11"/>
    </row>
    <row r="794" spans="11:19" hidden="1" x14ac:dyDescent="0.25">
      <c r="K794" s="11"/>
      <c r="P794" s="3"/>
      <c r="Q794" s="3"/>
      <c r="S794" s="11"/>
    </row>
    <row r="795" spans="11:19" hidden="1" x14ac:dyDescent="0.25">
      <c r="K795" s="11"/>
      <c r="P795" s="3"/>
      <c r="Q795" s="3"/>
      <c r="S795" s="11"/>
    </row>
    <row r="796" spans="11:19" hidden="1" x14ac:dyDescent="0.25">
      <c r="K796" s="11"/>
      <c r="P796" s="3"/>
      <c r="Q796" s="3"/>
      <c r="S796" s="11"/>
    </row>
    <row r="797" spans="11:19" hidden="1" x14ac:dyDescent="0.25">
      <c r="K797" s="11"/>
      <c r="P797" s="3"/>
      <c r="Q797" s="3"/>
      <c r="S797" s="11"/>
    </row>
    <row r="798" spans="11:19" hidden="1" x14ac:dyDescent="0.25">
      <c r="K798" s="11"/>
      <c r="P798" s="3"/>
      <c r="Q798" s="3"/>
      <c r="S798" s="11"/>
    </row>
    <row r="799" spans="11:19" hidden="1" x14ac:dyDescent="0.25">
      <c r="K799" s="11"/>
      <c r="P799" s="3"/>
      <c r="Q799" s="3"/>
      <c r="S799" s="11"/>
    </row>
    <row r="800" spans="11:19" hidden="1" x14ac:dyDescent="0.25">
      <c r="K800" s="11"/>
      <c r="P800" s="3"/>
      <c r="Q800" s="3"/>
      <c r="S800" s="11"/>
    </row>
    <row r="801" spans="11:19" hidden="1" x14ac:dyDescent="0.25">
      <c r="K801" s="11"/>
      <c r="P801" s="3"/>
      <c r="Q801" s="3"/>
      <c r="S801" s="11"/>
    </row>
    <row r="802" spans="11:19" hidden="1" x14ac:dyDescent="0.25">
      <c r="K802" s="11"/>
      <c r="P802" s="3"/>
      <c r="Q802" s="3"/>
      <c r="S802" s="11"/>
    </row>
    <row r="803" spans="11:19" hidden="1" x14ac:dyDescent="0.25">
      <c r="K803" s="11"/>
      <c r="P803" s="3"/>
      <c r="Q803" s="3"/>
      <c r="S803" s="11"/>
    </row>
    <row r="804" spans="11:19" hidden="1" x14ac:dyDescent="0.25">
      <c r="K804" s="11"/>
      <c r="P804" s="3"/>
      <c r="Q804" s="3"/>
      <c r="S804" s="11"/>
    </row>
    <row r="805" spans="11:19" hidden="1" x14ac:dyDescent="0.25">
      <c r="K805" s="11"/>
      <c r="P805" s="3"/>
      <c r="Q805" s="3"/>
      <c r="S805" s="11"/>
    </row>
    <row r="806" spans="11:19" hidden="1" x14ac:dyDescent="0.25">
      <c r="K806" s="11"/>
      <c r="P806" s="3"/>
      <c r="Q806" s="3"/>
      <c r="S806" s="11"/>
    </row>
    <row r="807" spans="11:19" hidden="1" x14ac:dyDescent="0.25">
      <c r="K807" s="11"/>
      <c r="P807" s="3"/>
      <c r="Q807" s="3"/>
      <c r="S807" s="11"/>
    </row>
    <row r="808" spans="11:19" hidden="1" x14ac:dyDescent="0.25">
      <c r="K808" s="11"/>
      <c r="P808" s="3"/>
      <c r="Q808" s="3"/>
      <c r="S808" s="11"/>
    </row>
    <row r="809" spans="11:19" hidden="1" x14ac:dyDescent="0.25">
      <c r="K809" s="11"/>
      <c r="P809" s="3"/>
      <c r="Q809" s="3"/>
      <c r="S809" s="11"/>
    </row>
    <row r="810" spans="11:19" hidden="1" x14ac:dyDescent="0.25">
      <c r="K810" s="11"/>
      <c r="P810" s="3"/>
      <c r="Q810" s="3"/>
      <c r="S810" s="11"/>
    </row>
    <row r="811" spans="11:19" hidden="1" x14ac:dyDescent="0.25">
      <c r="K811" s="11"/>
      <c r="P811" s="3"/>
      <c r="Q811" s="3"/>
      <c r="S811" s="11"/>
    </row>
    <row r="812" spans="11:19" hidden="1" x14ac:dyDescent="0.25">
      <c r="K812" s="11"/>
      <c r="P812" s="3"/>
      <c r="Q812" s="3"/>
      <c r="S812" s="11"/>
    </row>
    <row r="813" spans="11:19" hidden="1" x14ac:dyDescent="0.25">
      <c r="K813" s="11"/>
      <c r="P813" s="3"/>
      <c r="Q813" s="3"/>
      <c r="S813" s="11"/>
    </row>
    <row r="814" spans="11:19" hidden="1" x14ac:dyDescent="0.25">
      <c r="K814" s="11"/>
      <c r="P814" s="3"/>
      <c r="Q814" s="3"/>
      <c r="S814" s="11"/>
    </row>
    <row r="815" spans="11:19" hidden="1" x14ac:dyDescent="0.25">
      <c r="K815" s="11"/>
      <c r="P815" s="3"/>
      <c r="Q815" s="3"/>
      <c r="S815" s="11"/>
    </row>
    <row r="816" spans="11:19" hidden="1" x14ac:dyDescent="0.25">
      <c r="K816" s="11"/>
      <c r="P816" s="3"/>
      <c r="Q816" s="3"/>
      <c r="S816" s="11"/>
    </row>
    <row r="817" spans="11:19" hidden="1" x14ac:dyDescent="0.25">
      <c r="K817" s="11"/>
      <c r="P817" s="3"/>
      <c r="Q817" s="3"/>
      <c r="S817" s="11"/>
    </row>
    <row r="818" spans="11:19" hidden="1" x14ac:dyDescent="0.25">
      <c r="K818" s="11"/>
      <c r="P818" s="3"/>
      <c r="Q818" s="3"/>
      <c r="S818" s="11"/>
    </row>
    <row r="819" spans="11:19" hidden="1" x14ac:dyDescent="0.25">
      <c r="K819" s="11"/>
      <c r="P819" s="3"/>
      <c r="Q819" s="3"/>
      <c r="S819" s="11"/>
    </row>
    <row r="820" spans="11:19" hidden="1" x14ac:dyDescent="0.25">
      <c r="K820" s="11"/>
      <c r="P820" s="3"/>
      <c r="Q820" s="3"/>
      <c r="S820" s="11"/>
    </row>
    <row r="821" spans="11:19" hidden="1" x14ac:dyDescent="0.25">
      <c r="K821" s="11"/>
      <c r="P821" s="3"/>
      <c r="Q821" s="3"/>
      <c r="S821" s="11"/>
    </row>
    <row r="822" spans="11:19" hidden="1" x14ac:dyDescent="0.25">
      <c r="K822" s="11"/>
      <c r="P822" s="3"/>
      <c r="Q822" s="3"/>
      <c r="S822" s="11"/>
    </row>
    <row r="823" spans="11:19" hidden="1" x14ac:dyDescent="0.25">
      <c r="K823" s="11"/>
      <c r="P823" s="3"/>
      <c r="Q823" s="3"/>
      <c r="S823" s="11"/>
    </row>
    <row r="824" spans="11:19" hidden="1" x14ac:dyDescent="0.25">
      <c r="K824" s="11"/>
      <c r="P824" s="3"/>
      <c r="Q824" s="3"/>
      <c r="S824" s="11"/>
    </row>
    <row r="825" spans="11:19" hidden="1" x14ac:dyDescent="0.25">
      <c r="K825" s="11"/>
      <c r="P825" s="3"/>
      <c r="Q825" s="3"/>
      <c r="S825" s="11"/>
    </row>
    <row r="826" spans="11:19" hidden="1" x14ac:dyDescent="0.25">
      <c r="K826" s="11"/>
      <c r="P826" s="3"/>
      <c r="Q826" s="3"/>
      <c r="S826" s="11"/>
    </row>
    <row r="827" spans="11:19" hidden="1" x14ac:dyDescent="0.25">
      <c r="K827" s="11"/>
      <c r="P827" s="3"/>
      <c r="Q827" s="3"/>
      <c r="S827" s="11"/>
    </row>
    <row r="828" spans="11:19" hidden="1" x14ac:dyDescent="0.25">
      <c r="K828" s="11"/>
      <c r="P828" s="3"/>
      <c r="Q828" s="3"/>
      <c r="S828" s="11"/>
    </row>
    <row r="829" spans="11:19" hidden="1" x14ac:dyDescent="0.25">
      <c r="K829" s="11"/>
      <c r="P829" s="3"/>
      <c r="Q829" s="3"/>
      <c r="S829" s="11"/>
    </row>
    <row r="830" spans="11:19" hidden="1" x14ac:dyDescent="0.25">
      <c r="K830" s="11"/>
      <c r="P830" s="3"/>
      <c r="Q830" s="3"/>
      <c r="S830" s="11"/>
    </row>
    <row r="831" spans="11:19" hidden="1" x14ac:dyDescent="0.25">
      <c r="K831" s="11"/>
      <c r="P831" s="3"/>
      <c r="Q831" s="3"/>
      <c r="S831" s="11"/>
    </row>
    <row r="832" spans="11:19" hidden="1" x14ac:dyDescent="0.25">
      <c r="K832" s="11"/>
      <c r="P832" s="3"/>
      <c r="Q832" s="3"/>
      <c r="S832" s="11"/>
    </row>
    <row r="833" spans="11:19" hidden="1" x14ac:dyDescent="0.25">
      <c r="K833" s="11"/>
      <c r="P833" s="3"/>
      <c r="Q833" s="3"/>
      <c r="S833" s="11"/>
    </row>
    <row r="834" spans="11:19" hidden="1" x14ac:dyDescent="0.25">
      <c r="K834" s="11"/>
      <c r="P834" s="3"/>
      <c r="Q834" s="3"/>
      <c r="S834" s="11"/>
    </row>
    <row r="835" spans="11:19" hidden="1" x14ac:dyDescent="0.25">
      <c r="K835" s="11"/>
      <c r="P835" s="3"/>
      <c r="Q835" s="3"/>
      <c r="S835" s="11"/>
    </row>
    <row r="836" spans="11:19" hidden="1" x14ac:dyDescent="0.25">
      <c r="K836" s="11"/>
      <c r="P836" s="3"/>
      <c r="Q836" s="3"/>
      <c r="S836" s="11"/>
    </row>
    <row r="837" spans="11:19" hidden="1" x14ac:dyDescent="0.25">
      <c r="K837" s="11"/>
      <c r="P837" s="3"/>
      <c r="Q837" s="3"/>
      <c r="S837" s="11"/>
    </row>
    <row r="838" spans="11:19" hidden="1" x14ac:dyDescent="0.25">
      <c r="K838" s="11"/>
      <c r="P838" s="3"/>
      <c r="Q838" s="3"/>
      <c r="S838" s="11"/>
    </row>
    <row r="839" spans="11:19" hidden="1" x14ac:dyDescent="0.25">
      <c r="K839" s="11"/>
      <c r="P839" s="3"/>
      <c r="Q839" s="3"/>
      <c r="S839" s="11"/>
    </row>
    <row r="840" spans="11:19" hidden="1" x14ac:dyDescent="0.25">
      <c r="K840" s="11"/>
      <c r="P840" s="3"/>
      <c r="Q840" s="3"/>
      <c r="S840" s="11"/>
    </row>
    <row r="841" spans="11:19" hidden="1" x14ac:dyDescent="0.25">
      <c r="K841" s="11"/>
      <c r="P841" s="3"/>
      <c r="Q841" s="3"/>
      <c r="S841" s="11"/>
    </row>
    <row r="842" spans="11:19" hidden="1" x14ac:dyDescent="0.25">
      <c r="K842" s="11"/>
      <c r="P842" s="3"/>
      <c r="Q842" s="3"/>
      <c r="S842" s="11"/>
    </row>
    <row r="843" spans="11:19" hidden="1" x14ac:dyDescent="0.25">
      <c r="K843" s="11"/>
      <c r="P843" s="3"/>
      <c r="Q843" s="3"/>
      <c r="S843" s="11"/>
    </row>
    <row r="844" spans="11:19" hidden="1" x14ac:dyDescent="0.25">
      <c r="K844" s="11"/>
      <c r="P844" s="3"/>
      <c r="Q844" s="3"/>
      <c r="S844" s="11"/>
    </row>
    <row r="845" spans="11:19" hidden="1" x14ac:dyDescent="0.25">
      <c r="K845" s="11"/>
      <c r="P845" s="3"/>
      <c r="Q845" s="3"/>
      <c r="S845" s="11"/>
    </row>
    <row r="846" spans="11:19" hidden="1" x14ac:dyDescent="0.25">
      <c r="K846" s="11"/>
      <c r="P846" s="3"/>
      <c r="Q846" s="3"/>
      <c r="S846" s="11"/>
    </row>
    <row r="847" spans="11:19" hidden="1" x14ac:dyDescent="0.25">
      <c r="K847" s="11"/>
      <c r="P847" s="3"/>
      <c r="Q847" s="3"/>
      <c r="S847" s="11"/>
    </row>
    <row r="848" spans="11:19" hidden="1" x14ac:dyDescent="0.25">
      <c r="K848" s="11"/>
      <c r="P848" s="3"/>
      <c r="Q848" s="3"/>
      <c r="S848" s="11"/>
    </row>
    <row r="849" spans="11:19" hidden="1" x14ac:dyDescent="0.25">
      <c r="K849" s="11"/>
      <c r="P849" s="3"/>
      <c r="Q849" s="3"/>
      <c r="S849" s="11"/>
    </row>
    <row r="850" spans="11:19" hidden="1" x14ac:dyDescent="0.25">
      <c r="K850" s="11"/>
      <c r="P850" s="3"/>
      <c r="Q850" s="3"/>
      <c r="S850" s="11"/>
    </row>
    <row r="851" spans="11:19" hidden="1" x14ac:dyDescent="0.25">
      <c r="K851" s="11"/>
      <c r="P851" s="3"/>
      <c r="Q851" s="3"/>
      <c r="S851" s="11"/>
    </row>
    <row r="852" spans="11:19" hidden="1" x14ac:dyDescent="0.25">
      <c r="K852" s="11"/>
      <c r="P852" s="3"/>
      <c r="Q852" s="3"/>
      <c r="S852" s="11"/>
    </row>
    <row r="853" spans="11:19" hidden="1" x14ac:dyDescent="0.25">
      <c r="K853" s="11"/>
      <c r="P853" s="3"/>
      <c r="Q853" s="3"/>
      <c r="S853" s="11"/>
    </row>
    <row r="854" spans="11:19" hidden="1" x14ac:dyDescent="0.25">
      <c r="K854" s="11"/>
      <c r="P854" s="3"/>
      <c r="Q854" s="3"/>
      <c r="S854" s="11"/>
    </row>
    <row r="855" spans="11:19" hidden="1" x14ac:dyDescent="0.25">
      <c r="K855" s="11"/>
      <c r="P855" s="3"/>
      <c r="Q855" s="3"/>
      <c r="S855" s="11"/>
    </row>
    <row r="856" spans="11:19" hidden="1" x14ac:dyDescent="0.25">
      <c r="K856" s="11"/>
      <c r="P856" s="3"/>
      <c r="Q856" s="3"/>
      <c r="S856" s="11"/>
    </row>
    <row r="857" spans="11:19" hidden="1" x14ac:dyDescent="0.25">
      <c r="K857" s="11"/>
      <c r="P857" s="3"/>
      <c r="Q857" s="3"/>
      <c r="S857" s="11"/>
    </row>
    <row r="858" spans="11:19" hidden="1" x14ac:dyDescent="0.25">
      <c r="K858" s="11"/>
      <c r="P858" s="3"/>
      <c r="Q858" s="3"/>
      <c r="S858" s="11"/>
    </row>
    <row r="859" spans="11:19" hidden="1" x14ac:dyDescent="0.25">
      <c r="K859" s="11"/>
      <c r="P859" s="3"/>
      <c r="Q859" s="3"/>
      <c r="S859" s="11"/>
    </row>
    <row r="860" spans="11:19" hidden="1" x14ac:dyDescent="0.25">
      <c r="K860" s="11"/>
      <c r="P860" s="3"/>
      <c r="Q860" s="3"/>
      <c r="S860" s="11"/>
    </row>
    <row r="861" spans="11:19" hidden="1" x14ac:dyDescent="0.25">
      <c r="K861" s="11"/>
      <c r="P861" s="3"/>
      <c r="Q861" s="3"/>
      <c r="S861" s="11"/>
    </row>
    <row r="862" spans="11:19" hidden="1" x14ac:dyDescent="0.25">
      <c r="K862" s="11"/>
      <c r="P862" s="3"/>
      <c r="Q862" s="3"/>
      <c r="S862" s="11"/>
    </row>
    <row r="863" spans="11:19" hidden="1" x14ac:dyDescent="0.25">
      <c r="K863" s="11"/>
      <c r="P863" s="3"/>
      <c r="Q863" s="3"/>
      <c r="S863" s="11"/>
    </row>
    <row r="864" spans="11:19" hidden="1" x14ac:dyDescent="0.25">
      <c r="K864" s="11"/>
      <c r="P864" s="3"/>
      <c r="Q864" s="3"/>
      <c r="S864" s="11"/>
    </row>
    <row r="865" spans="11:19" hidden="1" x14ac:dyDescent="0.25">
      <c r="K865" s="11"/>
      <c r="P865" s="3"/>
      <c r="Q865" s="3"/>
      <c r="S865" s="11"/>
    </row>
    <row r="866" spans="11:19" hidden="1" x14ac:dyDescent="0.25">
      <c r="K866" s="11"/>
      <c r="P866" s="3"/>
      <c r="Q866" s="3"/>
      <c r="S866" s="11"/>
    </row>
    <row r="867" spans="11:19" hidden="1" x14ac:dyDescent="0.25">
      <c r="K867" s="11"/>
      <c r="P867" s="3"/>
      <c r="Q867" s="3"/>
      <c r="S867" s="11"/>
    </row>
    <row r="868" spans="11:19" hidden="1" x14ac:dyDescent="0.25">
      <c r="K868" s="11"/>
      <c r="P868" s="3"/>
      <c r="Q868" s="3"/>
      <c r="S868" s="11"/>
    </row>
    <row r="869" spans="11:19" hidden="1" x14ac:dyDescent="0.25">
      <c r="K869" s="11"/>
      <c r="P869" s="3"/>
      <c r="Q869" s="3"/>
      <c r="S869" s="11"/>
    </row>
    <row r="870" spans="11:19" hidden="1" x14ac:dyDescent="0.25">
      <c r="K870" s="11"/>
      <c r="P870" s="3"/>
      <c r="Q870" s="3"/>
      <c r="S870" s="11"/>
    </row>
    <row r="871" spans="11:19" hidden="1" x14ac:dyDescent="0.25">
      <c r="K871" s="11"/>
      <c r="P871" s="3"/>
      <c r="Q871" s="3"/>
      <c r="S871" s="11"/>
    </row>
    <row r="872" spans="11:19" hidden="1" x14ac:dyDescent="0.25">
      <c r="K872" s="11"/>
      <c r="P872" s="3"/>
      <c r="Q872" s="3"/>
      <c r="S872" s="11"/>
    </row>
    <row r="873" spans="11:19" hidden="1" x14ac:dyDescent="0.25">
      <c r="K873" s="11"/>
      <c r="P873" s="3"/>
      <c r="Q873" s="3"/>
      <c r="S873" s="11"/>
    </row>
    <row r="874" spans="11:19" hidden="1" x14ac:dyDescent="0.25">
      <c r="K874" s="11"/>
      <c r="P874" s="3"/>
      <c r="Q874" s="3"/>
      <c r="S874" s="11"/>
    </row>
    <row r="875" spans="11:19" hidden="1" x14ac:dyDescent="0.25">
      <c r="K875" s="11"/>
      <c r="P875" s="3"/>
      <c r="Q875" s="3"/>
      <c r="S875" s="11"/>
    </row>
    <row r="876" spans="11:19" hidden="1" x14ac:dyDescent="0.25">
      <c r="K876" s="11"/>
      <c r="P876" s="3"/>
      <c r="Q876" s="3"/>
      <c r="S876" s="11"/>
    </row>
    <row r="877" spans="11:19" hidden="1" x14ac:dyDescent="0.25">
      <c r="K877" s="11"/>
      <c r="P877" s="3"/>
      <c r="Q877" s="3"/>
      <c r="S877" s="11"/>
    </row>
    <row r="878" spans="11:19" hidden="1" x14ac:dyDescent="0.25">
      <c r="K878" s="11"/>
      <c r="P878" s="3"/>
      <c r="Q878" s="3"/>
      <c r="S878" s="11"/>
    </row>
    <row r="879" spans="11:19" hidden="1" x14ac:dyDescent="0.25">
      <c r="K879" s="11"/>
      <c r="P879" s="3"/>
      <c r="Q879" s="3"/>
      <c r="S879" s="11"/>
    </row>
    <row r="880" spans="11:19" hidden="1" x14ac:dyDescent="0.25">
      <c r="K880" s="11"/>
      <c r="P880" s="3"/>
      <c r="Q880" s="3"/>
      <c r="S880" s="11"/>
    </row>
    <row r="881" spans="11:19" hidden="1" x14ac:dyDescent="0.25">
      <c r="K881" s="11"/>
      <c r="P881" s="3"/>
      <c r="Q881" s="3"/>
      <c r="S881" s="11"/>
    </row>
    <row r="882" spans="11:19" hidden="1" x14ac:dyDescent="0.25">
      <c r="K882" s="11"/>
      <c r="P882" s="3"/>
      <c r="Q882" s="3"/>
      <c r="S882" s="11"/>
    </row>
    <row r="883" spans="11:19" hidden="1" x14ac:dyDescent="0.25">
      <c r="K883" s="11"/>
      <c r="P883" s="3"/>
      <c r="Q883" s="3"/>
      <c r="S883" s="11"/>
    </row>
    <row r="884" spans="11:19" hidden="1" x14ac:dyDescent="0.25">
      <c r="K884" s="11"/>
      <c r="P884" s="3"/>
      <c r="Q884" s="3"/>
      <c r="S884" s="11"/>
    </row>
    <row r="885" spans="11:19" hidden="1" x14ac:dyDescent="0.25">
      <c r="K885" s="11"/>
      <c r="P885" s="3"/>
      <c r="Q885" s="3"/>
      <c r="S885" s="11"/>
    </row>
    <row r="886" spans="11:19" hidden="1" x14ac:dyDescent="0.25">
      <c r="K886" s="11"/>
      <c r="P886" s="3"/>
      <c r="Q886" s="3"/>
      <c r="S886" s="11"/>
    </row>
    <row r="887" spans="11:19" hidden="1" x14ac:dyDescent="0.25">
      <c r="K887" s="11"/>
      <c r="P887" s="3"/>
      <c r="Q887" s="3"/>
      <c r="S887" s="11"/>
    </row>
    <row r="888" spans="11:19" hidden="1" x14ac:dyDescent="0.25">
      <c r="K888" s="11"/>
      <c r="P888" s="3"/>
      <c r="Q888" s="3"/>
      <c r="S888" s="11"/>
    </row>
    <row r="889" spans="11:19" hidden="1" x14ac:dyDescent="0.25">
      <c r="K889" s="11"/>
      <c r="P889" s="3"/>
      <c r="Q889" s="3"/>
      <c r="S889" s="11"/>
    </row>
    <row r="890" spans="11:19" hidden="1" x14ac:dyDescent="0.25">
      <c r="K890" s="11"/>
      <c r="P890" s="3"/>
      <c r="Q890" s="3"/>
      <c r="S890" s="11"/>
    </row>
    <row r="891" spans="11:19" hidden="1" x14ac:dyDescent="0.25">
      <c r="K891" s="11"/>
      <c r="P891" s="3"/>
      <c r="Q891" s="3"/>
      <c r="S891" s="11"/>
    </row>
    <row r="892" spans="11:19" hidden="1" x14ac:dyDescent="0.25">
      <c r="K892" s="11"/>
      <c r="P892" s="3"/>
      <c r="Q892" s="3"/>
      <c r="S892" s="11"/>
    </row>
    <row r="893" spans="11:19" hidden="1" x14ac:dyDescent="0.25">
      <c r="K893" s="11"/>
      <c r="P893" s="3"/>
      <c r="Q893" s="3"/>
      <c r="S893" s="11"/>
    </row>
    <row r="894" spans="11:19" hidden="1" x14ac:dyDescent="0.25">
      <c r="K894" s="11"/>
      <c r="P894" s="3"/>
      <c r="Q894" s="3"/>
      <c r="S894" s="11"/>
    </row>
    <row r="895" spans="11:19" hidden="1" x14ac:dyDescent="0.25">
      <c r="K895" s="11"/>
      <c r="P895" s="3"/>
      <c r="Q895" s="3"/>
      <c r="S895" s="11"/>
    </row>
    <row r="896" spans="11:19" hidden="1" x14ac:dyDescent="0.25">
      <c r="K896" s="11"/>
      <c r="P896" s="3"/>
      <c r="Q896" s="3"/>
      <c r="S896" s="11"/>
    </row>
    <row r="897" spans="11:19" hidden="1" x14ac:dyDescent="0.25">
      <c r="K897" s="11"/>
      <c r="P897" s="3"/>
      <c r="Q897" s="3"/>
      <c r="S897" s="11"/>
    </row>
    <row r="898" spans="11:19" hidden="1" x14ac:dyDescent="0.25">
      <c r="K898" s="11"/>
      <c r="P898" s="3"/>
      <c r="Q898" s="3"/>
      <c r="S898" s="11"/>
    </row>
    <row r="899" spans="11:19" hidden="1" x14ac:dyDescent="0.25">
      <c r="K899" s="11"/>
      <c r="P899" s="3"/>
      <c r="Q899" s="3"/>
      <c r="S899" s="11"/>
    </row>
    <row r="900" spans="11:19" hidden="1" x14ac:dyDescent="0.25">
      <c r="K900" s="11"/>
      <c r="P900" s="3"/>
      <c r="Q900" s="3"/>
      <c r="S900" s="11"/>
    </row>
    <row r="901" spans="11:19" hidden="1" x14ac:dyDescent="0.25">
      <c r="K901" s="11"/>
      <c r="P901" s="3"/>
      <c r="Q901" s="3"/>
      <c r="S901" s="11"/>
    </row>
    <row r="902" spans="11:19" hidden="1" x14ac:dyDescent="0.25">
      <c r="K902" s="11"/>
      <c r="P902" s="3"/>
      <c r="Q902" s="3"/>
      <c r="S902" s="11"/>
    </row>
    <row r="903" spans="11:19" hidden="1" x14ac:dyDescent="0.25">
      <c r="K903" s="11"/>
      <c r="P903" s="3"/>
      <c r="Q903" s="3"/>
      <c r="S903" s="11"/>
    </row>
    <row r="904" spans="11:19" hidden="1" x14ac:dyDescent="0.25">
      <c r="K904" s="11"/>
      <c r="P904" s="3"/>
      <c r="Q904" s="3"/>
      <c r="S904" s="11"/>
    </row>
    <row r="905" spans="11:19" hidden="1" x14ac:dyDescent="0.25">
      <c r="K905" s="11"/>
      <c r="P905" s="3"/>
      <c r="Q905" s="3"/>
      <c r="S905" s="11"/>
    </row>
    <row r="906" spans="11:19" hidden="1" x14ac:dyDescent="0.25">
      <c r="K906" s="11"/>
      <c r="P906" s="3"/>
      <c r="Q906" s="3"/>
      <c r="S906" s="11"/>
    </row>
    <row r="907" spans="11:19" hidden="1" x14ac:dyDescent="0.25">
      <c r="K907" s="11"/>
      <c r="P907" s="3"/>
      <c r="Q907" s="3"/>
      <c r="S907" s="11"/>
    </row>
    <row r="908" spans="11:19" hidden="1" x14ac:dyDescent="0.25">
      <c r="K908" s="11"/>
      <c r="P908" s="3"/>
      <c r="Q908" s="3"/>
      <c r="S908" s="11"/>
    </row>
    <row r="909" spans="11:19" hidden="1" x14ac:dyDescent="0.25">
      <c r="K909" s="11"/>
      <c r="P909" s="3"/>
      <c r="Q909" s="3"/>
      <c r="S909" s="11"/>
    </row>
    <row r="910" spans="11:19" hidden="1" x14ac:dyDescent="0.25">
      <c r="K910" s="11"/>
      <c r="P910" s="3"/>
      <c r="Q910" s="3"/>
      <c r="S910" s="11"/>
    </row>
    <row r="911" spans="11:19" hidden="1" x14ac:dyDescent="0.25">
      <c r="K911" s="11"/>
      <c r="P911" s="3"/>
      <c r="Q911" s="3"/>
      <c r="S911" s="11"/>
    </row>
    <row r="912" spans="11:19" hidden="1" x14ac:dyDescent="0.25">
      <c r="K912" s="11"/>
      <c r="P912" s="3"/>
      <c r="Q912" s="3"/>
      <c r="S912" s="11"/>
    </row>
    <row r="913" spans="11:19" hidden="1" x14ac:dyDescent="0.25">
      <c r="K913" s="11"/>
      <c r="P913" s="3"/>
      <c r="Q913" s="3"/>
      <c r="S913" s="11"/>
    </row>
    <row r="914" spans="11:19" hidden="1" x14ac:dyDescent="0.25">
      <c r="K914" s="11"/>
      <c r="P914" s="3"/>
      <c r="Q914" s="3"/>
      <c r="S914" s="11"/>
    </row>
    <row r="915" spans="11:19" hidden="1" x14ac:dyDescent="0.25">
      <c r="K915" s="11"/>
      <c r="P915" s="3"/>
      <c r="Q915" s="3"/>
      <c r="S915" s="11"/>
    </row>
    <row r="916" spans="11:19" hidden="1" x14ac:dyDescent="0.25">
      <c r="K916" s="11"/>
      <c r="P916" s="3"/>
      <c r="Q916" s="3"/>
      <c r="S916" s="11"/>
    </row>
    <row r="917" spans="11:19" hidden="1" x14ac:dyDescent="0.25">
      <c r="K917" s="11"/>
      <c r="P917" s="3"/>
      <c r="Q917" s="3"/>
      <c r="S917" s="11"/>
    </row>
    <row r="918" spans="11:19" hidden="1" x14ac:dyDescent="0.25">
      <c r="K918" s="11"/>
      <c r="P918" s="3"/>
      <c r="Q918" s="3"/>
      <c r="S918" s="11"/>
    </row>
    <row r="919" spans="11:19" hidden="1" x14ac:dyDescent="0.25">
      <c r="K919" s="11"/>
      <c r="P919" s="3"/>
      <c r="Q919" s="3"/>
      <c r="S919" s="11"/>
    </row>
    <row r="920" spans="11:19" hidden="1" x14ac:dyDescent="0.25">
      <c r="K920" s="11"/>
      <c r="P920" s="3"/>
      <c r="Q920" s="3"/>
      <c r="S920" s="11"/>
    </row>
    <row r="921" spans="11:19" hidden="1" x14ac:dyDescent="0.25">
      <c r="K921" s="11"/>
      <c r="P921" s="3"/>
      <c r="Q921" s="3"/>
      <c r="S921" s="11"/>
    </row>
    <row r="922" spans="11:19" hidden="1" x14ac:dyDescent="0.25">
      <c r="K922" s="11"/>
      <c r="P922" s="3"/>
      <c r="Q922" s="3"/>
      <c r="S922" s="11"/>
    </row>
    <row r="923" spans="11:19" hidden="1" x14ac:dyDescent="0.25">
      <c r="K923" s="11"/>
      <c r="P923" s="3"/>
      <c r="Q923" s="3"/>
      <c r="S923" s="11"/>
    </row>
    <row r="924" spans="11:19" hidden="1" x14ac:dyDescent="0.25">
      <c r="K924" s="11"/>
      <c r="P924" s="3"/>
      <c r="Q924" s="3"/>
      <c r="S924" s="11"/>
    </row>
    <row r="925" spans="11:19" hidden="1" x14ac:dyDescent="0.25">
      <c r="K925" s="11"/>
      <c r="P925" s="3"/>
      <c r="Q925" s="3"/>
      <c r="S925" s="11"/>
    </row>
    <row r="926" spans="11:19" hidden="1" x14ac:dyDescent="0.25">
      <c r="K926" s="11"/>
      <c r="P926" s="3"/>
      <c r="Q926" s="3"/>
      <c r="S926" s="11"/>
    </row>
    <row r="927" spans="11:19" hidden="1" x14ac:dyDescent="0.25">
      <c r="K927" s="11"/>
      <c r="P927" s="3"/>
      <c r="Q927" s="3"/>
      <c r="S927" s="11"/>
    </row>
    <row r="928" spans="11:19" hidden="1" x14ac:dyDescent="0.25">
      <c r="K928" s="11"/>
      <c r="P928" s="3"/>
      <c r="Q928" s="3"/>
      <c r="S928" s="11"/>
    </row>
    <row r="929" spans="11:19" hidden="1" x14ac:dyDescent="0.25">
      <c r="K929" s="11"/>
      <c r="P929" s="3"/>
      <c r="Q929" s="3"/>
      <c r="S929" s="11"/>
    </row>
    <row r="930" spans="11:19" hidden="1" x14ac:dyDescent="0.25">
      <c r="K930" s="11"/>
      <c r="P930" s="3"/>
      <c r="Q930" s="3"/>
      <c r="S930" s="11"/>
    </row>
    <row r="931" spans="11:19" hidden="1" x14ac:dyDescent="0.25">
      <c r="K931" s="11"/>
      <c r="P931" s="3"/>
      <c r="Q931" s="3"/>
      <c r="S931" s="11"/>
    </row>
    <row r="932" spans="11:19" hidden="1" x14ac:dyDescent="0.25">
      <c r="K932" s="11"/>
      <c r="P932" s="3"/>
      <c r="Q932" s="3"/>
      <c r="S932" s="11"/>
    </row>
    <row r="933" spans="11:19" hidden="1" x14ac:dyDescent="0.25">
      <c r="K933" s="11"/>
      <c r="P933" s="3"/>
      <c r="Q933" s="3"/>
      <c r="S933" s="11"/>
    </row>
    <row r="934" spans="11:19" hidden="1" x14ac:dyDescent="0.25">
      <c r="K934" s="11"/>
      <c r="P934" s="3"/>
      <c r="Q934" s="3"/>
      <c r="S934" s="11"/>
    </row>
    <row r="935" spans="11:19" hidden="1" x14ac:dyDescent="0.25">
      <c r="K935" s="11"/>
      <c r="P935" s="3"/>
      <c r="Q935" s="3"/>
      <c r="S935" s="11"/>
    </row>
    <row r="936" spans="11:19" hidden="1" x14ac:dyDescent="0.25">
      <c r="K936" s="11"/>
      <c r="P936" s="3"/>
      <c r="Q936" s="3"/>
      <c r="S936" s="11"/>
    </row>
    <row r="937" spans="11:19" hidden="1" x14ac:dyDescent="0.25">
      <c r="K937" s="11"/>
      <c r="P937" s="3"/>
      <c r="Q937" s="3"/>
      <c r="S937" s="11"/>
    </row>
    <row r="938" spans="11:19" hidden="1" x14ac:dyDescent="0.25">
      <c r="K938" s="11"/>
      <c r="P938" s="3"/>
      <c r="Q938" s="3"/>
      <c r="S938" s="11"/>
    </row>
    <row r="939" spans="11:19" hidden="1" x14ac:dyDescent="0.25">
      <c r="K939" s="11"/>
      <c r="P939" s="3"/>
      <c r="Q939" s="3"/>
      <c r="S939" s="11"/>
    </row>
    <row r="940" spans="11:19" hidden="1" x14ac:dyDescent="0.25">
      <c r="K940" s="11"/>
      <c r="P940" s="3"/>
      <c r="Q940" s="3"/>
      <c r="S940" s="11"/>
    </row>
    <row r="941" spans="11:19" hidden="1" x14ac:dyDescent="0.25">
      <c r="K941" s="11"/>
      <c r="P941" s="3"/>
      <c r="Q941" s="3"/>
      <c r="S941" s="11"/>
    </row>
    <row r="942" spans="11:19" hidden="1" x14ac:dyDescent="0.25">
      <c r="K942" s="11"/>
      <c r="P942" s="3"/>
      <c r="Q942" s="3"/>
      <c r="S942" s="11"/>
    </row>
    <row r="943" spans="11:19" hidden="1" x14ac:dyDescent="0.25">
      <c r="K943" s="11"/>
      <c r="P943" s="3"/>
      <c r="Q943" s="3"/>
      <c r="S943" s="11"/>
    </row>
    <row r="944" spans="11:19" hidden="1" x14ac:dyDescent="0.25">
      <c r="K944" s="11"/>
      <c r="P944" s="3"/>
      <c r="Q944" s="3"/>
      <c r="S944" s="11"/>
    </row>
    <row r="945" spans="11:19" hidden="1" x14ac:dyDescent="0.25">
      <c r="K945" s="11"/>
      <c r="P945" s="3"/>
      <c r="Q945" s="3"/>
      <c r="S945" s="11"/>
    </row>
    <row r="946" spans="11:19" hidden="1" x14ac:dyDescent="0.25">
      <c r="K946" s="11"/>
      <c r="P946" s="3"/>
      <c r="Q946" s="3"/>
      <c r="S946" s="11"/>
    </row>
    <row r="947" spans="11:19" hidden="1" x14ac:dyDescent="0.25">
      <c r="K947" s="11"/>
      <c r="P947" s="3"/>
      <c r="Q947" s="3"/>
      <c r="S947" s="11"/>
    </row>
    <row r="948" spans="11:19" hidden="1" x14ac:dyDescent="0.25">
      <c r="K948" s="11"/>
      <c r="P948" s="3"/>
      <c r="Q948" s="3"/>
      <c r="S948" s="11"/>
    </row>
    <row r="949" spans="11:19" hidden="1" x14ac:dyDescent="0.25">
      <c r="K949" s="11"/>
      <c r="P949" s="3"/>
      <c r="Q949" s="3"/>
      <c r="S949" s="11"/>
    </row>
    <row r="950" spans="11:19" hidden="1" x14ac:dyDescent="0.25">
      <c r="K950" s="11"/>
      <c r="P950" s="3"/>
      <c r="Q950" s="3"/>
      <c r="S950" s="11"/>
    </row>
    <row r="951" spans="11:19" hidden="1" x14ac:dyDescent="0.25">
      <c r="K951" s="11"/>
      <c r="P951" s="3"/>
      <c r="Q951" s="3"/>
      <c r="S951" s="11"/>
    </row>
    <row r="952" spans="11:19" hidden="1" x14ac:dyDescent="0.25">
      <c r="K952" s="11"/>
      <c r="P952" s="3"/>
      <c r="Q952" s="3"/>
      <c r="S952" s="11"/>
    </row>
    <row r="953" spans="11:19" hidden="1" x14ac:dyDescent="0.25">
      <c r="K953" s="11"/>
      <c r="P953" s="3"/>
      <c r="Q953" s="3"/>
      <c r="S953" s="11"/>
    </row>
    <row r="954" spans="11:19" hidden="1" x14ac:dyDescent="0.25">
      <c r="K954" s="11"/>
      <c r="P954" s="3"/>
      <c r="Q954" s="3"/>
      <c r="S954" s="11"/>
    </row>
    <row r="955" spans="11:19" hidden="1" x14ac:dyDescent="0.25">
      <c r="K955" s="11"/>
      <c r="P955" s="3"/>
      <c r="Q955" s="3"/>
      <c r="S955" s="11"/>
    </row>
    <row r="956" spans="11:19" hidden="1" x14ac:dyDescent="0.25">
      <c r="K956" s="11"/>
      <c r="P956" s="3"/>
      <c r="Q956" s="3"/>
      <c r="S956" s="11"/>
    </row>
    <row r="957" spans="11:19" hidden="1" x14ac:dyDescent="0.25">
      <c r="K957" s="11"/>
      <c r="P957" s="3"/>
      <c r="Q957" s="3"/>
      <c r="S957" s="11"/>
    </row>
    <row r="958" spans="11:19" hidden="1" x14ac:dyDescent="0.25">
      <c r="K958" s="11"/>
      <c r="P958" s="3"/>
      <c r="Q958" s="3"/>
      <c r="S958" s="11"/>
    </row>
    <row r="959" spans="11:19" hidden="1" x14ac:dyDescent="0.25">
      <c r="K959" s="11"/>
      <c r="P959" s="3"/>
      <c r="Q959" s="3"/>
      <c r="S959" s="11"/>
    </row>
    <row r="960" spans="11:19" hidden="1" x14ac:dyDescent="0.25">
      <c r="K960" s="11"/>
      <c r="P960" s="3"/>
      <c r="Q960" s="3"/>
      <c r="S960" s="11"/>
    </row>
    <row r="961" spans="11:19" hidden="1" x14ac:dyDescent="0.25">
      <c r="K961" s="11"/>
      <c r="P961" s="3"/>
      <c r="Q961" s="3"/>
      <c r="S961" s="11"/>
    </row>
    <row r="962" spans="11:19" hidden="1" x14ac:dyDescent="0.25">
      <c r="K962" s="11"/>
      <c r="P962" s="3"/>
      <c r="Q962" s="3"/>
      <c r="S962" s="11"/>
    </row>
    <row r="963" spans="11:19" hidden="1" x14ac:dyDescent="0.25">
      <c r="K963" s="11"/>
      <c r="P963" s="3"/>
      <c r="Q963" s="3"/>
      <c r="S963" s="11"/>
    </row>
    <row r="964" spans="11:19" hidden="1" x14ac:dyDescent="0.25">
      <c r="K964" s="11"/>
      <c r="P964" s="3"/>
      <c r="Q964" s="3"/>
      <c r="S964" s="11"/>
    </row>
    <row r="965" spans="11:19" hidden="1" x14ac:dyDescent="0.25">
      <c r="K965" s="11"/>
      <c r="P965" s="3"/>
      <c r="Q965" s="3"/>
      <c r="S965" s="11"/>
    </row>
    <row r="966" spans="11:19" hidden="1" x14ac:dyDescent="0.25">
      <c r="K966" s="11"/>
      <c r="P966" s="3"/>
      <c r="Q966" s="3"/>
      <c r="S966" s="11"/>
    </row>
    <row r="967" spans="11:19" hidden="1" x14ac:dyDescent="0.25">
      <c r="K967" s="11"/>
      <c r="P967" s="3"/>
      <c r="Q967" s="3"/>
      <c r="S967" s="11"/>
    </row>
    <row r="968" spans="11:19" hidden="1" x14ac:dyDescent="0.25">
      <c r="K968" s="11"/>
      <c r="P968" s="3"/>
      <c r="Q968" s="3"/>
      <c r="S968" s="11"/>
    </row>
    <row r="969" spans="11:19" hidden="1" x14ac:dyDescent="0.25">
      <c r="K969" s="11"/>
      <c r="P969" s="3"/>
      <c r="Q969" s="3"/>
      <c r="S969" s="11"/>
    </row>
    <row r="970" spans="11:19" hidden="1" x14ac:dyDescent="0.25">
      <c r="K970" s="11"/>
      <c r="P970" s="3"/>
      <c r="Q970" s="3"/>
      <c r="S970" s="11"/>
    </row>
    <row r="971" spans="11:19" hidden="1" x14ac:dyDescent="0.25">
      <c r="K971" s="11"/>
      <c r="P971" s="3"/>
      <c r="Q971" s="3"/>
      <c r="S971" s="11"/>
    </row>
    <row r="972" spans="11:19" hidden="1" x14ac:dyDescent="0.25">
      <c r="K972" s="11"/>
      <c r="P972" s="3"/>
      <c r="Q972" s="3"/>
      <c r="S972" s="11"/>
    </row>
    <row r="973" spans="11:19" hidden="1" x14ac:dyDescent="0.25">
      <c r="K973" s="11"/>
      <c r="P973" s="3"/>
      <c r="Q973" s="3"/>
      <c r="S973" s="11"/>
    </row>
    <row r="974" spans="11:19" hidden="1" x14ac:dyDescent="0.25">
      <c r="K974" s="11"/>
      <c r="P974" s="3"/>
      <c r="Q974" s="3"/>
      <c r="S974" s="11"/>
    </row>
    <row r="975" spans="11:19" hidden="1" x14ac:dyDescent="0.25">
      <c r="K975" s="11"/>
      <c r="P975" s="3"/>
      <c r="Q975" s="3"/>
      <c r="S975" s="11"/>
    </row>
    <row r="976" spans="11:19" hidden="1" x14ac:dyDescent="0.25">
      <c r="K976" s="11"/>
      <c r="P976" s="3"/>
      <c r="Q976" s="3"/>
      <c r="S976" s="11"/>
    </row>
    <row r="977" spans="11:19" hidden="1" x14ac:dyDescent="0.25">
      <c r="K977" s="11"/>
      <c r="P977" s="3"/>
      <c r="Q977" s="3"/>
      <c r="S977" s="11"/>
    </row>
    <row r="978" spans="11:19" hidden="1" x14ac:dyDescent="0.25">
      <c r="K978" s="11"/>
      <c r="P978" s="3"/>
      <c r="Q978" s="3"/>
      <c r="S978" s="11"/>
    </row>
    <row r="979" spans="11:19" hidden="1" x14ac:dyDescent="0.25">
      <c r="K979" s="11"/>
      <c r="P979" s="3"/>
      <c r="Q979" s="3"/>
      <c r="S979" s="11"/>
    </row>
    <row r="980" spans="11:19" hidden="1" x14ac:dyDescent="0.25">
      <c r="K980" s="11"/>
      <c r="P980" s="3"/>
      <c r="Q980" s="3"/>
      <c r="S980" s="11"/>
    </row>
    <row r="981" spans="11:19" hidden="1" x14ac:dyDescent="0.25">
      <c r="K981" s="11"/>
      <c r="P981" s="3"/>
      <c r="Q981" s="3"/>
      <c r="S981" s="11"/>
    </row>
    <row r="982" spans="11:19" hidden="1" x14ac:dyDescent="0.25">
      <c r="K982" s="11"/>
      <c r="P982" s="3"/>
      <c r="Q982" s="3"/>
      <c r="S982" s="11"/>
    </row>
    <row r="983" spans="11:19" hidden="1" x14ac:dyDescent="0.25">
      <c r="K983" s="11"/>
      <c r="P983" s="3"/>
      <c r="Q983" s="3"/>
      <c r="S983" s="11"/>
    </row>
    <row r="984" spans="11:19" hidden="1" x14ac:dyDescent="0.25">
      <c r="K984" s="11"/>
      <c r="P984" s="3"/>
      <c r="Q984" s="3"/>
      <c r="S984" s="11"/>
    </row>
    <row r="985" spans="11:19" hidden="1" x14ac:dyDescent="0.25">
      <c r="K985" s="11"/>
      <c r="P985" s="3"/>
      <c r="Q985" s="3"/>
      <c r="S985" s="11"/>
    </row>
    <row r="986" spans="11:19" hidden="1" x14ac:dyDescent="0.25">
      <c r="K986" s="11"/>
      <c r="P986" s="3"/>
      <c r="Q986" s="3"/>
      <c r="S986" s="11"/>
    </row>
    <row r="987" spans="11:19" hidden="1" x14ac:dyDescent="0.25">
      <c r="K987" s="11"/>
      <c r="P987" s="3"/>
      <c r="Q987" s="3"/>
      <c r="S987" s="11"/>
    </row>
    <row r="988" spans="11:19" hidden="1" x14ac:dyDescent="0.25">
      <c r="K988" s="11"/>
      <c r="P988" s="3"/>
      <c r="Q988" s="3"/>
      <c r="S988" s="11"/>
    </row>
    <row r="989" spans="11:19" hidden="1" x14ac:dyDescent="0.25">
      <c r="K989" s="11"/>
      <c r="P989" s="3"/>
      <c r="Q989" s="3"/>
      <c r="S989" s="11"/>
    </row>
    <row r="990" spans="11:19" hidden="1" x14ac:dyDescent="0.25">
      <c r="K990" s="11"/>
      <c r="P990" s="3"/>
      <c r="Q990" s="3"/>
      <c r="S990" s="11"/>
    </row>
    <row r="991" spans="11:19" hidden="1" x14ac:dyDescent="0.25">
      <c r="K991" s="11"/>
      <c r="P991" s="3"/>
      <c r="Q991" s="3"/>
      <c r="S991" s="11"/>
    </row>
    <row r="992" spans="11:19" hidden="1" x14ac:dyDescent="0.25">
      <c r="K992" s="11"/>
      <c r="P992" s="3"/>
      <c r="Q992" s="3"/>
      <c r="S992" s="11"/>
    </row>
    <row r="993" spans="11:19" hidden="1" x14ac:dyDescent="0.25">
      <c r="K993" s="11"/>
      <c r="P993" s="3"/>
      <c r="Q993" s="3"/>
      <c r="S993" s="11"/>
    </row>
    <row r="994" spans="11:19" hidden="1" x14ac:dyDescent="0.25">
      <c r="K994" s="11"/>
      <c r="P994" s="3"/>
      <c r="Q994" s="3"/>
      <c r="S994" s="11"/>
    </row>
    <row r="995" spans="11:19" hidden="1" x14ac:dyDescent="0.25">
      <c r="K995" s="11"/>
      <c r="P995" s="3"/>
      <c r="Q995" s="3"/>
      <c r="S995" s="11"/>
    </row>
    <row r="996" spans="11:19" hidden="1" x14ac:dyDescent="0.25">
      <c r="K996" s="11"/>
      <c r="P996" s="3"/>
      <c r="Q996" s="3"/>
      <c r="S996" s="11"/>
    </row>
    <row r="997" spans="11:19" hidden="1" x14ac:dyDescent="0.25">
      <c r="K997" s="11"/>
      <c r="P997" s="3"/>
      <c r="Q997" s="3"/>
      <c r="S997" s="11"/>
    </row>
    <row r="998" spans="11:19" hidden="1" x14ac:dyDescent="0.25">
      <c r="K998" s="11"/>
      <c r="P998" s="3"/>
      <c r="Q998" s="3"/>
      <c r="S998" s="11"/>
    </row>
    <row r="999" spans="11:19" hidden="1" x14ac:dyDescent="0.25">
      <c r="K999" s="11"/>
      <c r="P999" s="3"/>
      <c r="Q999" s="3"/>
      <c r="S999" s="11"/>
    </row>
    <row r="1000" spans="11:19" hidden="1" x14ac:dyDescent="0.25">
      <c r="K1000" s="11"/>
      <c r="P1000" s="3"/>
      <c r="Q1000" s="3"/>
      <c r="S1000" s="11"/>
    </row>
    <row r="1001" spans="11:19" hidden="1" x14ac:dyDescent="0.25">
      <c r="K1001" s="11"/>
      <c r="P1001" s="3"/>
      <c r="Q1001" s="3"/>
      <c r="S1001" s="11"/>
    </row>
    <row r="1002" spans="11:19" hidden="1" x14ac:dyDescent="0.25">
      <c r="K1002" s="11"/>
      <c r="P1002" s="3"/>
      <c r="Q1002" s="3"/>
      <c r="S1002" s="11"/>
    </row>
    <row r="1003" spans="11:19" hidden="1" x14ac:dyDescent="0.25">
      <c r="K1003" s="11"/>
      <c r="P1003" s="3"/>
      <c r="Q1003" s="3"/>
      <c r="S1003" s="11"/>
    </row>
    <row r="1004" spans="11:19" hidden="1" x14ac:dyDescent="0.25">
      <c r="K1004" s="11"/>
      <c r="P1004" s="3"/>
      <c r="Q1004" s="3"/>
      <c r="S1004" s="11"/>
    </row>
    <row r="1005" spans="11:19" hidden="1" x14ac:dyDescent="0.25">
      <c r="K1005" s="11"/>
      <c r="P1005" s="3"/>
      <c r="Q1005" s="3"/>
      <c r="S1005" s="11"/>
    </row>
    <row r="1006" spans="11:19" hidden="1" x14ac:dyDescent="0.25">
      <c r="K1006" s="11"/>
      <c r="P1006" s="3"/>
      <c r="Q1006" s="3"/>
      <c r="S1006" s="11"/>
    </row>
    <row r="1007" spans="11:19" hidden="1" x14ac:dyDescent="0.25">
      <c r="K1007" s="11"/>
      <c r="P1007" s="3"/>
      <c r="Q1007" s="3"/>
      <c r="S1007" s="11"/>
    </row>
    <row r="1008" spans="11:19" hidden="1" x14ac:dyDescent="0.25">
      <c r="K1008" s="11"/>
      <c r="P1008" s="3"/>
      <c r="Q1008" s="3"/>
      <c r="S1008" s="11"/>
    </row>
    <row r="1009" spans="11:19" hidden="1" x14ac:dyDescent="0.25">
      <c r="K1009" s="11"/>
      <c r="P1009" s="3"/>
      <c r="Q1009" s="3"/>
      <c r="S1009" s="11"/>
    </row>
    <row r="1010" spans="11:19" hidden="1" x14ac:dyDescent="0.25">
      <c r="K1010" s="11"/>
      <c r="P1010" s="3"/>
      <c r="Q1010" s="3"/>
      <c r="S1010" s="11"/>
    </row>
    <row r="1011" spans="11:19" hidden="1" x14ac:dyDescent="0.25">
      <c r="K1011" s="11"/>
      <c r="P1011" s="3"/>
      <c r="Q1011" s="3"/>
      <c r="S1011" s="11"/>
    </row>
    <row r="1012" spans="11:19" hidden="1" x14ac:dyDescent="0.25">
      <c r="K1012" s="11"/>
      <c r="P1012" s="3"/>
      <c r="Q1012" s="3"/>
      <c r="S1012" s="11"/>
    </row>
    <row r="1013" spans="11:19" hidden="1" x14ac:dyDescent="0.25">
      <c r="K1013" s="11"/>
      <c r="P1013" s="3"/>
      <c r="Q1013" s="3"/>
      <c r="S1013" s="11"/>
    </row>
    <row r="1014" spans="11:19" hidden="1" x14ac:dyDescent="0.25">
      <c r="K1014" s="11"/>
      <c r="P1014" s="3"/>
      <c r="Q1014" s="3"/>
      <c r="S1014" s="11"/>
    </row>
    <row r="1015" spans="11:19" hidden="1" x14ac:dyDescent="0.25">
      <c r="K1015" s="11"/>
      <c r="P1015" s="3"/>
      <c r="Q1015" s="3"/>
      <c r="S1015" s="11"/>
    </row>
    <row r="1016" spans="11:19" hidden="1" x14ac:dyDescent="0.25">
      <c r="K1016" s="11"/>
      <c r="P1016" s="3"/>
      <c r="Q1016" s="3"/>
      <c r="S1016" s="11"/>
    </row>
    <row r="1017" spans="11:19" hidden="1" x14ac:dyDescent="0.25">
      <c r="K1017" s="11"/>
      <c r="P1017" s="3"/>
      <c r="Q1017" s="3"/>
      <c r="S1017" s="11"/>
    </row>
    <row r="1018" spans="11:19" hidden="1" x14ac:dyDescent="0.25">
      <c r="K1018" s="11"/>
      <c r="P1018" s="3"/>
      <c r="Q1018" s="3"/>
      <c r="S1018" s="11"/>
    </row>
    <row r="1019" spans="11:19" hidden="1" x14ac:dyDescent="0.25">
      <c r="K1019" s="11"/>
      <c r="P1019" s="3"/>
      <c r="Q1019" s="3"/>
      <c r="S1019" s="11"/>
    </row>
    <row r="1020" spans="11:19" hidden="1" x14ac:dyDescent="0.25">
      <c r="K1020" s="11"/>
      <c r="P1020" s="3"/>
      <c r="Q1020" s="3"/>
      <c r="S1020" s="11"/>
    </row>
    <row r="1021" spans="11:19" hidden="1" x14ac:dyDescent="0.25">
      <c r="K1021" s="11"/>
      <c r="P1021" s="3"/>
      <c r="Q1021" s="3"/>
      <c r="S1021" s="11"/>
    </row>
    <row r="1022" spans="11:19" hidden="1" x14ac:dyDescent="0.25">
      <c r="K1022" s="11"/>
      <c r="P1022" s="3"/>
      <c r="Q1022" s="3"/>
      <c r="S1022" s="11"/>
    </row>
    <row r="1023" spans="11:19" hidden="1" x14ac:dyDescent="0.25">
      <c r="K1023" s="11"/>
      <c r="P1023" s="3"/>
      <c r="Q1023" s="3"/>
      <c r="S1023" s="11"/>
    </row>
    <row r="1024" spans="11:19" hidden="1" x14ac:dyDescent="0.25">
      <c r="K1024" s="11"/>
      <c r="P1024" s="3"/>
      <c r="Q1024" s="3"/>
      <c r="S1024" s="11"/>
    </row>
    <row r="1025" spans="11:19" hidden="1" x14ac:dyDescent="0.25">
      <c r="K1025" s="11"/>
      <c r="P1025" s="3"/>
      <c r="Q1025" s="3"/>
      <c r="S1025" s="11"/>
    </row>
    <row r="1026" spans="11:19" hidden="1" x14ac:dyDescent="0.25">
      <c r="K1026" s="11"/>
      <c r="P1026" s="3"/>
      <c r="Q1026" s="3"/>
      <c r="S1026" s="11"/>
    </row>
    <row r="1027" spans="11:19" hidden="1" x14ac:dyDescent="0.25">
      <c r="K1027" s="11"/>
      <c r="P1027" s="3"/>
      <c r="Q1027" s="3"/>
      <c r="S1027" s="11"/>
    </row>
    <row r="1028" spans="11:19" hidden="1" x14ac:dyDescent="0.25">
      <c r="K1028" s="11"/>
      <c r="P1028" s="3"/>
      <c r="Q1028" s="3"/>
      <c r="S1028" s="11"/>
    </row>
    <row r="1029" spans="11:19" hidden="1" x14ac:dyDescent="0.25">
      <c r="K1029" s="11"/>
      <c r="P1029" s="3"/>
      <c r="Q1029" s="3"/>
      <c r="S1029" s="11"/>
    </row>
    <row r="1030" spans="11:19" hidden="1" x14ac:dyDescent="0.25">
      <c r="K1030" s="11"/>
      <c r="P1030" s="3"/>
      <c r="Q1030" s="3"/>
      <c r="S1030" s="11"/>
    </row>
    <row r="1031" spans="11:19" hidden="1" x14ac:dyDescent="0.25">
      <c r="K1031" s="11"/>
      <c r="P1031" s="3"/>
      <c r="Q1031" s="3"/>
      <c r="S1031" s="11"/>
    </row>
    <row r="1032" spans="11:19" hidden="1" x14ac:dyDescent="0.25">
      <c r="K1032" s="11"/>
      <c r="P1032" s="3"/>
      <c r="Q1032" s="3"/>
      <c r="S1032" s="11"/>
    </row>
    <row r="1033" spans="11:19" hidden="1" x14ac:dyDescent="0.25">
      <c r="K1033" s="11"/>
      <c r="P1033" s="3"/>
      <c r="Q1033" s="3"/>
      <c r="S1033" s="11"/>
    </row>
    <row r="1034" spans="11:19" hidden="1" x14ac:dyDescent="0.25">
      <c r="K1034" s="11"/>
      <c r="P1034" s="3"/>
      <c r="Q1034" s="3"/>
      <c r="S1034" s="11"/>
    </row>
    <row r="1035" spans="11:19" hidden="1" x14ac:dyDescent="0.25">
      <c r="K1035" s="11"/>
      <c r="P1035" s="3"/>
      <c r="Q1035" s="3"/>
      <c r="S1035" s="11"/>
    </row>
    <row r="1036" spans="11:19" hidden="1" x14ac:dyDescent="0.25">
      <c r="K1036" s="11"/>
      <c r="P1036" s="3"/>
      <c r="Q1036" s="3"/>
      <c r="S1036" s="11"/>
    </row>
    <row r="1037" spans="11:19" hidden="1" x14ac:dyDescent="0.25">
      <c r="K1037" s="11"/>
      <c r="P1037" s="3"/>
      <c r="Q1037" s="3"/>
      <c r="S1037" s="11"/>
    </row>
    <row r="1038" spans="11:19" hidden="1" x14ac:dyDescent="0.25">
      <c r="K1038" s="11"/>
      <c r="P1038" s="3"/>
      <c r="Q1038" s="3"/>
      <c r="S1038" s="11"/>
    </row>
    <row r="1039" spans="11:19" hidden="1" x14ac:dyDescent="0.25">
      <c r="K1039" s="11"/>
      <c r="P1039" s="3"/>
      <c r="Q1039" s="3"/>
      <c r="S1039" s="11"/>
    </row>
    <row r="1040" spans="11:19" hidden="1" x14ac:dyDescent="0.25">
      <c r="K1040" s="11"/>
      <c r="P1040" s="3"/>
      <c r="Q1040" s="3"/>
      <c r="S1040" s="11"/>
    </row>
    <row r="1041" spans="11:19" hidden="1" x14ac:dyDescent="0.25">
      <c r="K1041" s="11"/>
      <c r="P1041" s="3"/>
      <c r="Q1041" s="3"/>
      <c r="S1041" s="11"/>
    </row>
    <row r="1042" spans="11:19" hidden="1" x14ac:dyDescent="0.25">
      <c r="K1042" s="11"/>
      <c r="P1042" s="3"/>
      <c r="Q1042" s="3"/>
      <c r="S1042" s="11"/>
    </row>
    <row r="1043" spans="11:19" hidden="1" x14ac:dyDescent="0.25">
      <c r="K1043" s="11"/>
      <c r="P1043" s="3"/>
      <c r="Q1043" s="3"/>
      <c r="S1043" s="11"/>
    </row>
    <row r="1044" spans="11:19" hidden="1" x14ac:dyDescent="0.25">
      <c r="K1044" s="11"/>
      <c r="P1044" s="3"/>
      <c r="Q1044" s="3"/>
      <c r="S1044" s="11"/>
    </row>
    <row r="1045" spans="11:19" hidden="1" x14ac:dyDescent="0.25">
      <c r="K1045" s="11"/>
      <c r="P1045" s="3"/>
      <c r="Q1045" s="3"/>
      <c r="S1045" s="11"/>
    </row>
    <row r="1046" spans="11:19" hidden="1" x14ac:dyDescent="0.25">
      <c r="K1046" s="11"/>
      <c r="P1046" s="3"/>
      <c r="Q1046" s="3"/>
      <c r="S1046" s="11"/>
    </row>
    <row r="1047" spans="11:19" hidden="1" x14ac:dyDescent="0.25">
      <c r="K1047" s="11"/>
      <c r="P1047" s="3"/>
      <c r="Q1047" s="3"/>
      <c r="S1047" s="11"/>
    </row>
    <row r="1048" spans="11:19" hidden="1" x14ac:dyDescent="0.25">
      <c r="K1048" s="11"/>
      <c r="P1048" s="3"/>
      <c r="Q1048" s="3"/>
      <c r="S1048" s="11"/>
    </row>
    <row r="1049" spans="11:19" hidden="1" x14ac:dyDescent="0.25">
      <c r="K1049" s="11"/>
      <c r="P1049" s="3"/>
      <c r="Q1049" s="3"/>
      <c r="S1049" s="11"/>
    </row>
    <row r="1050" spans="11:19" hidden="1" x14ac:dyDescent="0.25">
      <c r="K1050" s="11"/>
      <c r="P1050" s="3"/>
      <c r="Q1050" s="3"/>
      <c r="S1050" s="11"/>
    </row>
    <row r="1051" spans="11:19" hidden="1" x14ac:dyDescent="0.25">
      <c r="K1051" s="11"/>
      <c r="P1051" s="3"/>
      <c r="Q1051" s="3"/>
      <c r="S1051" s="11"/>
    </row>
    <row r="1052" spans="11:19" hidden="1" x14ac:dyDescent="0.25">
      <c r="K1052" s="11"/>
      <c r="P1052" s="3"/>
      <c r="Q1052" s="3"/>
      <c r="S1052" s="11"/>
    </row>
    <row r="1053" spans="11:19" hidden="1" x14ac:dyDescent="0.25">
      <c r="K1053" s="11"/>
      <c r="P1053" s="3"/>
      <c r="Q1053" s="3"/>
      <c r="S1053" s="11"/>
    </row>
    <row r="1054" spans="11:19" hidden="1" x14ac:dyDescent="0.25">
      <c r="K1054" s="11"/>
      <c r="P1054" s="3"/>
      <c r="Q1054" s="3"/>
      <c r="S1054" s="11"/>
    </row>
    <row r="1055" spans="11:19" hidden="1" x14ac:dyDescent="0.25">
      <c r="K1055" s="11"/>
      <c r="P1055" s="3"/>
      <c r="Q1055" s="3"/>
      <c r="S1055" s="11"/>
    </row>
    <row r="1056" spans="11:19" hidden="1" x14ac:dyDescent="0.25">
      <c r="K1056" s="11"/>
      <c r="P1056" s="3"/>
      <c r="Q1056" s="3"/>
      <c r="S1056" s="11"/>
    </row>
    <row r="1057" spans="11:19" hidden="1" x14ac:dyDescent="0.25">
      <c r="K1057" s="11"/>
      <c r="P1057" s="3"/>
      <c r="Q1057" s="3"/>
      <c r="S1057" s="11"/>
    </row>
    <row r="1058" spans="11:19" hidden="1" x14ac:dyDescent="0.25">
      <c r="K1058" s="11"/>
      <c r="P1058" s="3"/>
      <c r="Q1058" s="3"/>
      <c r="S1058" s="11"/>
    </row>
    <row r="1059" spans="11:19" hidden="1" x14ac:dyDescent="0.25">
      <c r="K1059" s="11"/>
      <c r="P1059" s="3"/>
      <c r="Q1059" s="3"/>
      <c r="S1059" s="11"/>
    </row>
    <row r="1060" spans="11:19" hidden="1" x14ac:dyDescent="0.25">
      <c r="K1060" s="11"/>
      <c r="P1060" s="3"/>
      <c r="Q1060" s="3"/>
      <c r="S1060" s="11"/>
    </row>
    <row r="1061" spans="11:19" hidden="1" x14ac:dyDescent="0.25">
      <c r="K1061" s="11"/>
      <c r="P1061" s="3"/>
      <c r="Q1061" s="3"/>
      <c r="S1061" s="11"/>
    </row>
    <row r="1062" spans="11:19" hidden="1" x14ac:dyDescent="0.25">
      <c r="K1062" s="11"/>
      <c r="P1062" s="3"/>
      <c r="Q1062" s="3"/>
      <c r="S1062" s="11"/>
    </row>
    <row r="1063" spans="11:19" hidden="1" x14ac:dyDescent="0.25">
      <c r="K1063" s="11"/>
      <c r="P1063" s="3"/>
      <c r="Q1063" s="3"/>
      <c r="S1063" s="11"/>
    </row>
    <row r="1064" spans="11:19" hidden="1" x14ac:dyDescent="0.25">
      <c r="K1064" s="11"/>
      <c r="P1064" s="3"/>
      <c r="Q1064" s="3"/>
      <c r="S1064" s="11"/>
    </row>
    <row r="1065" spans="11:19" hidden="1" x14ac:dyDescent="0.25">
      <c r="K1065" s="11"/>
      <c r="P1065" s="3"/>
      <c r="Q1065" s="3"/>
      <c r="S1065" s="11"/>
    </row>
    <row r="1066" spans="11:19" hidden="1" x14ac:dyDescent="0.25">
      <c r="K1066" s="11"/>
      <c r="P1066" s="3"/>
      <c r="Q1066" s="3"/>
      <c r="S1066" s="11"/>
    </row>
    <row r="1067" spans="11:19" hidden="1" x14ac:dyDescent="0.25">
      <c r="K1067" s="11"/>
      <c r="P1067" s="3"/>
      <c r="Q1067" s="3"/>
      <c r="S1067" s="11"/>
    </row>
    <row r="1068" spans="11:19" hidden="1" x14ac:dyDescent="0.25">
      <c r="K1068" s="11"/>
      <c r="P1068" s="3"/>
      <c r="Q1068" s="3"/>
      <c r="S1068" s="11"/>
    </row>
    <row r="1069" spans="11:19" hidden="1" x14ac:dyDescent="0.25">
      <c r="K1069" s="11"/>
      <c r="P1069" s="3"/>
      <c r="Q1069" s="3"/>
      <c r="S1069" s="11"/>
    </row>
    <row r="1070" spans="11:19" hidden="1" x14ac:dyDescent="0.25">
      <c r="K1070" s="11"/>
      <c r="P1070" s="3"/>
      <c r="Q1070" s="3"/>
      <c r="S1070" s="11"/>
    </row>
    <row r="1071" spans="11:19" hidden="1" x14ac:dyDescent="0.25">
      <c r="K1071" s="11"/>
      <c r="P1071" s="3"/>
      <c r="Q1071" s="3"/>
      <c r="S1071" s="11"/>
    </row>
    <row r="1072" spans="11:19" hidden="1" x14ac:dyDescent="0.25">
      <c r="K1072" s="11"/>
      <c r="P1072" s="3"/>
      <c r="Q1072" s="3"/>
      <c r="S1072" s="11"/>
    </row>
    <row r="1073" spans="11:19" hidden="1" x14ac:dyDescent="0.25">
      <c r="K1073" s="11"/>
      <c r="P1073" s="3"/>
      <c r="Q1073" s="3"/>
      <c r="S1073" s="11"/>
    </row>
    <row r="1074" spans="11:19" hidden="1" x14ac:dyDescent="0.25">
      <c r="K1074" s="11"/>
      <c r="P1074" s="3"/>
      <c r="Q1074" s="3"/>
      <c r="S1074" s="11"/>
    </row>
    <row r="1075" spans="11:19" hidden="1" x14ac:dyDescent="0.25">
      <c r="K1075" s="11"/>
      <c r="P1075" s="3"/>
      <c r="Q1075" s="3"/>
      <c r="S1075" s="11"/>
    </row>
    <row r="1076" spans="11:19" hidden="1" x14ac:dyDescent="0.25">
      <c r="K1076" s="11"/>
      <c r="P1076" s="3"/>
      <c r="Q1076" s="3"/>
      <c r="S1076" s="11"/>
    </row>
    <row r="1077" spans="11:19" hidden="1" x14ac:dyDescent="0.25">
      <c r="K1077" s="11"/>
      <c r="P1077" s="3"/>
      <c r="Q1077" s="3"/>
      <c r="S1077" s="11"/>
    </row>
    <row r="1078" spans="11:19" hidden="1" x14ac:dyDescent="0.25">
      <c r="K1078" s="11"/>
      <c r="P1078" s="3"/>
      <c r="Q1078" s="3"/>
      <c r="S1078" s="11"/>
    </row>
    <row r="1079" spans="11:19" hidden="1" x14ac:dyDescent="0.25">
      <c r="K1079" s="11"/>
      <c r="P1079" s="3"/>
      <c r="Q1079" s="3"/>
      <c r="S1079" s="11"/>
    </row>
    <row r="1080" spans="11:19" hidden="1" x14ac:dyDescent="0.25">
      <c r="K1080" s="11"/>
      <c r="P1080" s="3"/>
      <c r="Q1080" s="3"/>
      <c r="S1080" s="11"/>
    </row>
    <row r="1081" spans="11:19" hidden="1" x14ac:dyDescent="0.25">
      <c r="K1081" s="11"/>
      <c r="P1081" s="3"/>
      <c r="Q1081" s="3"/>
      <c r="S1081" s="11"/>
    </row>
    <row r="1082" spans="11:19" hidden="1" x14ac:dyDescent="0.25">
      <c r="K1082" s="11"/>
      <c r="P1082" s="3"/>
      <c r="Q1082" s="3"/>
      <c r="S1082" s="11"/>
    </row>
    <row r="1083" spans="11:19" hidden="1" x14ac:dyDescent="0.25">
      <c r="K1083" s="11"/>
      <c r="P1083" s="3"/>
      <c r="Q1083" s="3"/>
      <c r="S1083" s="11"/>
    </row>
    <row r="1084" spans="11:19" hidden="1" x14ac:dyDescent="0.25">
      <c r="K1084" s="11"/>
      <c r="P1084" s="3"/>
      <c r="Q1084" s="3"/>
      <c r="S1084" s="11"/>
    </row>
    <row r="1085" spans="11:19" hidden="1" x14ac:dyDescent="0.25">
      <c r="K1085" s="11"/>
      <c r="P1085" s="3"/>
      <c r="Q1085" s="3"/>
      <c r="S1085" s="11"/>
    </row>
    <row r="1086" spans="11:19" hidden="1" x14ac:dyDescent="0.25">
      <c r="K1086" s="11"/>
      <c r="P1086" s="3"/>
      <c r="Q1086" s="3"/>
      <c r="S1086" s="11"/>
    </row>
    <row r="1087" spans="11:19" hidden="1" x14ac:dyDescent="0.25">
      <c r="K1087" s="11"/>
      <c r="P1087" s="3"/>
      <c r="Q1087" s="3"/>
      <c r="S1087" s="11"/>
    </row>
    <row r="1088" spans="11:19" hidden="1" x14ac:dyDescent="0.25">
      <c r="K1088" s="11"/>
      <c r="P1088" s="3"/>
      <c r="Q1088" s="3"/>
      <c r="S1088" s="11"/>
    </row>
    <row r="1089" spans="11:19" hidden="1" x14ac:dyDescent="0.25">
      <c r="K1089" s="11"/>
      <c r="P1089" s="3"/>
      <c r="Q1089" s="3"/>
      <c r="S1089" s="11"/>
    </row>
    <row r="1090" spans="11:19" hidden="1" x14ac:dyDescent="0.25">
      <c r="K1090" s="11"/>
      <c r="P1090" s="3"/>
      <c r="Q1090" s="3"/>
      <c r="S1090" s="11"/>
    </row>
    <row r="1091" spans="11:19" hidden="1" x14ac:dyDescent="0.25">
      <c r="K1091" s="11"/>
      <c r="P1091" s="3"/>
      <c r="Q1091" s="3"/>
      <c r="S1091" s="11"/>
    </row>
    <row r="1092" spans="11:19" hidden="1" x14ac:dyDescent="0.25">
      <c r="K1092" s="11"/>
      <c r="P1092" s="3"/>
      <c r="Q1092" s="3"/>
      <c r="S1092" s="11"/>
    </row>
    <row r="1093" spans="11:19" hidden="1" x14ac:dyDescent="0.25">
      <c r="K1093" s="11"/>
      <c r="P1093" s="3"/>
      <c r="Q1093" s="3"/>
      <c r="S1093" s="11"/>
    </row>
    <row r="1094" spans="11:19" hidden="1" x14ac:dyDescent="0.25">
      <c r="K1094" s="11"/>
      <c r="P1094" s="3"/>
      <c r="Q1094" s="3"/>
      <c r="S1094" s="11"/>
    </row>
    <row r="1095" spans="11:19" hidden="1" x14ac:dyDescent="0.25">
      <c r="K1095" s="11"/>
      <c r="P1095" s="3"/>
      <c r="Q1095" s="3"/>
      <c r="S1095" s="11"/>
    </row>
    <row r="1096" spans="11:19" hidden="1" x14ac:dyDescent="0.25">
      <c r="K1096" s="11"/>
      <c r="P1096" s="3"/>
      <c r="Q1096" s="3"/>
      <c r="S1096" s="11"/>
    </row>
    <row r="1097" spans="11:19" hidden="1" x14ac:dyDescent="0.25">
      <c r="K1097" s="11"/>
      <c r="P1097" s="3"/>
      <c r="Q1097" s="3"/>
      <c r="S1097" s="11"/>
    </row>
    <row r="1098" spans="11:19" hidden="1" x14ac:dyDescent="0.25">
      <c r="K1098" s="11"/>
      <c r="P1098" s="3"/>
      <c r="Q1098" s="3"/>
      <c r="S1098" s="11"/>
    </row>
    <row r="1099" spans="11:19" hidden="1" x14ac:dyDescent="0.25">
      <c r="K1099" s="11"/>
      <c r="P1099" s="3"/>
      <c r="Q1099" s="3"/>
      <c r="S1099" s="11"/>
    </row>
    <row r="1100" spans="11:19" hidden="1" x14ac:dyDescent="0.25">
      <c r="K1100" s="11"/>
      <c r="P1100" s="3"/>
      <c r="Q1100" s="3"/>
      <c r="S1100" s="11"/>
    </row>
    <row r="1101" spans="11:19" hidden="1" x14ac:dyDescent="0.25">
      <c r="K1101" s="11"/>
      <c r="P1101" s="3"/>
      <c r="Q1101" s="3"/>
      <c r="S1101" s="11"/>
    </row>
    <row r="1102" spans="11:19" hidden="1" x14ac:dyDescent="0.25">
      <c r="K1102" s="11"/>
      <c r="P1102" s="3"/>
      <c r="Q1102" s="3"/>
      <c r="S1102" s="11"/>
    </row>
    <row r="1103" spans="11:19" hidden="1" x14ac:dyDescent="0.25">
      <c r="K1103" s="11"/>
      <c r="P1103" s="3"/>
      <c r="Q1103" s="3"/>
      <c r="S1103" s="11"/>
    </row>
    <row r="1104" spans="11:19" hidden="1" x14ac:dyDescent="0.25">
      <c r="K1104" s="11"/>
      <c r="P1104" s="3"/>
      <c r="Q1104" s="3"/>
      <c r="S1104" s="11"/>
    </row>
    <row r="1105" spans="11:19" hidden="1" x14ac:dyDescent="0.25">
      <c r="K1105" s="11"/>
      <c r="P1105" s="3"/>
      <c r="Q1105" s="3"/>
      <c r="S1105" s="11"/>
    </row>
    <row r="1106" spans="11:19" hidden="1" x14ac:dyDescent="0.25">
      <c r="K1106" s="11"/>
      <c r="P1106" s="3"/>
      <c r="Q1106" s="3"/>
      <c r="S1106" s="11"/>
    </row>
    <row r="1107" spans="11:19" hidden="1" x14ac:dyDescent="0.25">
      <c r="K1107" s="11"/>
      <c r="P1107" s="3"/>
      <c r="Q1107" s="3"/>
      <c r="S1107" s="11"/>
    </row>
    <row r="1108" spans="11:19" hidden="1" x14ac:dyDescent="0.25">
      <c r="K1108" s="11"/>
      <c r="P1108" s="3"/>
      <c r="Q1108" s="3"/>
      <c r="S1108" s="11"/>
    </row>
    <row r="1109" spans="11:19" hidden="1" x14ac:dyDescent="0.25">
      <c r="K1109" s="11"/>
      <c r="P1109" s="3"/>
      <c r="Q1109" s="3"/>
      <c r="S1109" s="11"/>
    </row>
    <row r="1110" spans="11:19" hidden="1" x14ac:dyDescent="0.25">
      <c r="K1110" s="11"/>
      <c r="P1110" s="3"/>
      <c r="Q1110" s="3"/>
      <c r="S1110" s="11"/>
    </row>
    <row r="1111" spans="11:19" hidden="1" x14ac:dyDescent="0.25">
      <c r="K1111" s="11"/>
      <c r="P1111" s="3"/>
      <c r="Q1111" s="3"/>
      <c r="S1111" s="11"/>
    </row>
    <row r="1112" spans="11:19" hidden="1" x14ac:dyDescent="0.25">
      <c r="K1112" s="11"/>
      <c r="P1112" s="3"/>
      <c r="Q1112" s="3"/>
      <c r="S1112" s="11"/>
    </row>
    <row r="1113" spans="11:19" hidden="1" x14ac:dyDescent="0.25">
      <c r="K1113" s="11"/>
      <c r="P1113" s="3"/>
      <c r="Q1113" s="3"/>
      <c r="S1113" s="11"/>
    </row>
    <row r="1114" spans="11:19" hidden="1" x14ac:dyDescent="0.25">
      <c r="K1114" s="11"/>
      <c r="P1114" s="3"/>
      <c r="Q1114" s="3"/>
      <c r="S1114" s="11"/>
    </row>
    <row r="1115" spans="11:19" hidden="1" x14ac:dyDescent="0.25">
      <c r="K1115" s="11"/>
      <c r="P1115" s="3"/>
      <c r="Q1115" s="3"/>
      <c r="S1115" s="11"/>
    </row>
    <row r="1116" spans="11:19" hidden="1" x14ac:dyDescent="0.25">
      <c r="K1116" s="11"/>
      <c r="P1116" s="3"/>
      <c r="Q1116" s="3"/>
      <c r="S1116" s="11"/>
    </row>
    <row r="1117" spans="11:19" hidden="1" x14ac:dyDescent="0.25">
      <c r="K1117" s="11"/>
      <c r="P1117" s="3"/>
      <c r="Q1117" s="3"/>
      <c r="S1117" s="11"/>
    </row>
    <row r="1118" spans="11:19" hidden="1" x14ac:dyDescent="0.25">
      <c r="K1118" s="11"/>
      <c r="P1118" s="3"/>
      <c r="Q1118" s="3"/>
      <c r="S1118" s="11"/>
    </row>
    <row r="1119" spans="11:19" hidden="1" x14ac:dyDescent="0.25">
      <c r="K1119" s="11"/>
      <c r="P1119" s="3"/>
      <c r="Q1119" s="3"/>
      <c r="S1119" s="11"/>
    </row>
    <row r="1120" spans="11:19" hidden="1" x14ac:dyDescent="0.25">
      <c r="K1120" s="11"/>
      <c r="P1120" s="3"/>
      <c r="Q1120" s="3"/>
      <c r="S1120" s="11"/>
    </row>
    <row r="1121" spans="11:19" hidden="1" x14ac:dyDescent="0.25">
      <c r="K1121" s="11"/>
      <c r="P1121" s="3"/>
      <c r="Q1121" s="3"/>
      <c r="S1121" s="11"/>
    </row>
    <row r="1122" spans="11:19" hidden="1" x14ac:dyDescent="0.25">
      <c r="K1122" s="11"/>
      <c r="P1122" s="3"/>
      <c r="Q1122" s="3"/>
      <c r="S1122" s="11"/>
    </row>
    <row r="1123" spans="11:19" hidden="1" x14ac:dyDescent="0.25">
      <c r="K1123" s="11"/>
      <c r="P1123" s="3"/>
      <c r="Q1123" s="3"/>
      <c r="S1123" s="11"/>
    </row>
    <row r="1124" spans="11:19" hidden="1" x14ac:dyDescent="0.25">
      <c r="K1124" s="11"/>
      <c r="P1124" s="3"/>
      <c r="Q1124" s="3"/>
      <c r="S1124" s="11"/>
    </row>
    <row r="1125" spans="11:19" hidden="1" x14ac:dyDescent="0.25">
      <c r="K1125" s="11"/>
      <c r="P1125" s="3"/>
      <c r="Q1125" s="3"/>
      <c r="S1125" s="11"/>
    </row>
    <row r="1126" spans="11:19" hidden="1" x14ac:dyDescent="0.25">
      <c r="K1126" s="11"/>
      <c r="P1126" s="3"/>
      <c r="Q1126" s="3"/>
      <c r="S1126" s="11"/>
    </row>
    <row r="1127" spans="11:19" hidden="1" x14ac:dyDescent="0.25">
      <c r="K1127" s="11"/>
      <c r="P1127" s="3"/>
      <c r="Q1127" s="3"/>
      <c r="S1127" s="11"/>
    </row>
    <row r="1128" spans="11:19" hidden="1" x14ac:dyDescent="0.25">
      <c r="K1128" s="11"/>
      <c r="P1128" s="3"/>
      <c r="Q1128" s="3"/>
      <c r="S1128" s="11"/>
    </row>
    <row r="1129" spans="11:19" hidden="1" x14ac:dyDescent="0.25">
      <c r="K1129" s="11"/>
      <c r="P1129" s="3"/>
      <c r="Q1129" s="3"/>
      <c r="S1129" s="11"/>
    </row>
    <row r="1130" spans="11:19" hidden="1" x14ac:dyDescent="0.25">
      <c r="K1130" s="11"/>
      <c r="P1130" s="3"/>
      <c r="Q1130" s="3"/>
      <c r="S1130" s="11"/>
    </row>
    <row r="1131" spans="11:19" hidden="1" x14ac:dyDescent="0.25">
      <c r="K1131" s="11"/>
      <c r="P1131" s="3"/>
      <c r="Q1131" s="3"/>
      <c r="S1131" s="11"/>
    </row>
    <row r="1132" spans="11:19" hidden="1" x14ac:dyDescent="0.25">
      <c r="K1132" s="11"/>
      <c r="P1132" s="3"/>
      <c r="Q1132" s="3"/>
      <c r="S1132" s="11"/>
    </row>
    <row r="1133" spans="11:19" hidden="1" x14ac:dyDescent="0.25">
      <c r="K1133" s="11"/>
      <c r="P1133" s="3"/>
      <c r="Q1133" s="3"/>
      <c r="S1133" s="11"/>
    </row>
    <row r="1134" spans="11:19" hidden="1" x14ac:dyDescent="0.25">
      <c r="K1134" s="11"/>
      <c r="P1134" s="3"/>
      <c r="Q1134" s="3"/>
      <c r="S1134" s="11"/>
    </row>
    <row r="1135" spans="11:19" hidden="1" x14ac:dyDescent="0.25">
      <c r="K1135" s="11"/>
      <c r="P1135" s="3"/>
      <c r="Q1135" s="3"/>
      <c r="S1135" s="11"/>
    </row>
    <row r="1136" spans="11:19" hidden="1" x14ac:dyDescent="0.25">
      <c r="K1136" s="11"/>
      <c r="P1136" s="3"/>
      <c r="Q1136" s="3"/>
      <c r="S1136" s="11"/>
    </row>
    <row r="1137" spans="11:19" hidden="1" x14ac:dyDescent="0.25">
      <c r="K1137" s="11"/>
      <c r="P1137" s="3"/>
      <c r="Q1137" s="3"/>
      <c r="S1137" s="11"/>
    </row>
    <row r="1138" spans="11:19" hidden="1" x14ac:dyDescent="0.25">
      <c r="K1138" s="11"/>
      <c r="P1138" s="3"/>
      <c r="Q1138" s="3"/>
      <c r="S1138" s="11"/>
    </row>
    <row r="1139" spans="11:19" hidden="1" x14ac:dyDescent="0.25">
      <c r="K1139" s="11"/>
      <c r="P1139" s="3"/>
      <c r="Q1139" s="3"/>
      <c r="S1139" s="11"/>
    </row>
    <row r="1140" spans="11:19" hidden="1" x14ac:dyDescent="0.25">
      <c r="K1140" s="11"/>
      <c r="P1140" s="3"/>
      <c r="Q1140" s="3"/>
      <c r="S1140" s="11"/>
    </row>
    <row r="1141" spans="11:19" hidden="1" x14ac:dyDescent="0.25">
      <c r="K1141" s="11"/>
      <c r="P1141" s="3"/>
      <c r="Q1141" s="3"/>
      <c r="S1141" s="11"/>
    </row>
    <row r="1142" spans="11:19" hidden="1" x14ac:dyDescent="0.25">
      <c r="K1142" s="11"/>
      <c r="P1142" s="3"/>
      <c r="Q1142" s="3"/>
      <c r="S1142" s="11"/>
    </row>
    <row r="1143" spans="11:19" hidden="1" x14ac:dyDescent="0.25">
      <c r="K1143" s="11"/>
      <c r="P1143" s="3"/>
      <c r="Q1143" s="3"/>
      <c r="S1143" s="11"/>
    </row>
    <row r="1144" spans="11:19" hidden="1" x14ac:dyDescent="0.25">
      <c r="K1144" s="11"/>
      <c r="P1144" s="3"/>
      <c r="Q1144" s="3"/>
      <c r="S1144" s="11"/>
    </row>
    <row r="1145" spans="11:19" hidden="1" x14ac:dyDescent="0.25">
      <c r="K1145" s="11"/>
      <c r="P1145" s="3"/>
      <c r="Q1145" s="3"/>
      <c r="S1145" s="11"/>
    </row>
    <row r="1146" spans="11:19" hidden="1" x14ac:dyDescent="0.25">
      <c r="K1146" s="11"/>
      <c r="P1146" s="3"/>
      <c r="Q1146" s="3"/>
      <c r="S1146" s="11"/>
    </row>
    <row r="1147" spans="11:19" hidden="1" x14ac:dyDescent="0.25">
      <c r="K1147" s="11"/>
      <c r="P1147" s="3"/>
      <c r="Q1147" s="3"/>
      <c r="S1147" s="11"/>
    </row>
    <row r="1148" spans="11:19" hidden="1" x14ac:dyDescent="0.25">
      <c r="K1148" s="11"/>
      <c r="P1148" s="3"/>
      <c r="Q1148" s="3"/>
      <c r="S1148" s="11"/>
    </row>
    <row r="1149" spans="11:19" hidden="1" x14ac:dyDescent="0.25">
      <c r="K1149" s="11"/>
      <c r="P1149" s="3"/>
      <c r="Q1149" s="3"/>
      <c r="S1149" s="11"/>
    </row>
    <row r="1150" spans="11:19" hidden="1" x14ac:dyDescent="0.25">
      <c r="K1150" s="11"/>
      <c r="P1150" s="3"/>
      <c r="Q1150" s="3"/>
      <c r="S1150" s="11"/>
    </row>
    <row r="1151" spans="11:19" hidden="1" x14ac:dyDescent="0.25">
      <c r="K1151" s="11"/>
      <c r="P1151" s="3"/>
      <c r="Q1151" s="3"/>
      <c r="S1151" s="11"/>
    </row>
    <row r="1152" spans="11:19" hidden="1" x14ac:dyDescent="0.25">
      <c r="K1152" s="11"/>
      <c r="P1152" s="3"/>
      <c r="Q1152" s="3"/>
      <c r="S1152" s="11"/>
    </row>
    <row r="1153" spans="11:19" hidden="1" x14ac:dyDescent="0.25">
      <c r="K1153" s="11"/>
      <c r="P1153" s="3"/>
      <c r="Q1153" s="3"/>
      <c r="S1153" s="11"/>
    </row>
    <row r="1154" spans="11:19" hidden="1" x14ac:dyDescent="0.25">
      <c r="K1154" s="11"/>
      <c r="P1154" s="3"/>
      <c r="Q1154" s="3"/>
      <c r="S1154" s="11"/>
    </row>
    <row r="1155" spans="11:19" hidden="1" x14ac:dyDescent="0.25">
      <c r="K1155" s="11"/>
      <c r="P1155" s="3"/>
      <c r="Q1155" s="3"/>
      <c r="S1155" s="11"/>
    </row>
    <row r="1156" spans="11:19" hidden="1" x14ac:dyDescent="0.25">
      <c r="K1156" s="11"/>
      <c r="P1156" s="3"/>
      <c r="Q1156" s="3"/>
      <c r="S1156" s="11"/>
    </row>
    <row r="1157" spans="11:19" hidden="1" x14ac:dyDescent="0.25">
      <c r="K1157" s="11"/>
      <c r="P1157" s="3"/>
      <c r="Q1157" s="3"/>
      <c r="S1157" s="11"/>
    </row>
    <row r="1158" spans="11:19" hidden="1" x14ac:dyDescent="0.25">
      <c r="K1158" s="11"/>
      <c r="P1158" s="3"/>
      <c r="Q1158" s="3"/>
      <c r="S1158" s="11"/>
    </row>
    <row r="1159" spans="11:19" hidden="1" x14ac:dyDescent="0.25">
      <c r="K1159" s="11"/>
      <c r="P1159" s="3"/>
      <c r="Q1159" s="3"/>
      <c r="S1159" s="11"/>
    </row>
    <row r="1160" spans="11:19" hidden="1" x14ac:dyDescent="0.25">
      <c r="K1160" s="11"/>
      <c r="P1160" s="3"/>
      <c r="Q1160" s="3"/>
      <c r="S1160" s="11"/>
    </row>
    <row r="1161" spans="11:19" hidden="1" x14ac:dyDescent="0.25">
      <c r="K1161" s="11"/>
      <c r="P1161" s="3"/>
      <c r="Q1161" s="3"/>
      <c r="S1161" s="11"/>
    </row>
    <row r="1162" spans="11:19" hidden="1" x14ac:dyDescent="0.25">
      <c r="K1162" s="11"/>
      <c r="P1162" s="3"/>
      <c r="Q1162" s="3"/>
      <c r="S1162" s="11"/>
    </row>
    <row r="1163" spans="11:19" hidden="1" x14ac:dyDescent="0.25">
      <c r="K1163" s="11"/>
      <c r="P1163" s="3"/>
      <c r="Q1163" s="3"/>
      <c r="S1163" s="11"/>
    </row>
    <row r="1164" spans="11:19" hidden="1" x14ac:dyDescent="0.25">
      <c r="K1164" s="11"/>
      <c r="P1164" s="3"/>
      <c r="Q1164" s="3"/>
      <c r="S1164" s="11"/>
    </row>
    <row r="1165" spans="11:19" hidden="1" x14ac:dyDescent="0.25">
      <c r="K1165" s="11"/>
      <c r="P1165" s="3"/>
      <c r="Q1165" s="3"/>
      <c r="S1165" s="11"/>
    </row>
    <row r="1166" spans="11:19" hidden="1" x14ac:dyDescent="0.25">
      <c r="K1166" s="11"/>
      <c r="P1166" s="3"/>
      <c r="Q1166" s="3"/>
      <c r="S1166" s="11"/>
    </row>
    <row r="1167" spans="11:19" hidden="1" x14ac:dyDescent="0.25">
      <c r="K1167" s="11"/>
      <c r="P1167" s="3"/>
      <c r="Q1167" s="3"/>
      <c r="S1167" s="11"/>
    </row>
    <row r="1168" spans="11:19" hidden="1" x14ac:dyDescent="0.25">
      <c r="K1168" s="11"/>
      <c r="P1168" s="3"/>
      <c r="Q1168" s="3"/>
      <c r="S1168" s="11"/>
    </row>
    <row r="1169" spans="11:19" hidden="1" x14ac:dyDescent="0.25">
      <c r="K1169" s="11"/>
      <c r="P1169" s="3"/>
      <c r="Q1169" s="3"/>
      <c r="S1169" s="11"/>
    </row>
    <row r="1170" spans="11:19" hidden="1" x14ac:dyDescent="0.25">
      <c r="K1170" s="11"/>
      <c r="P1170" s="3"/>
      <c r="Q1170" s="3"/>
      <c r="S1170" s="11"/>
    </row>
    <row r="1171" spans="11:19" hidden="1" x14ac:dyDescent="0.25">
      <c r="K1171" s="11"/>
      <c r="P1171" s="3"/>
      <c r="Q1171" s="3"/>
      <c r="S1171" s="11"/>
    </row>
    <row r="1172" spans="11:19" hidden="1" x14ac:dyDescent="0.25">
      <c r="K1172" s="11"/>
      <c r="P1172" s="3"/>
      <c r="Q1172" s="3"/>
      <c r="S1172" s="11"/>
    </row>
    <row r="1173" spans="11:19" hidden="1" x14ac:dyDescent="0.25">
      <c r="K1173" s="11"/>
      <c r="P1173" s="3"/>
      <c r="Q1173" s="3"/>
      <c r="S1173" s="11"/>
    </row>
    <row r="1174" spans="11:19" hidden="1" x14ac:dyDescent="0.25">
      <c r="K1174" s="11"/>
      <c r="P1174" s="3"/>
      <c r="Q1174" s="3"/>
      <c r="S1174" s="11"/>
    </row>
    <row r="1175" spans="11:19" hidden="1" x14ac:dyDescent="0.25">
      <c r="K1175" s="11"/>
      <c r="P1175" s="3"/>
      <c r="Q1175" s="3"/>
      <c r="S1175" s="11"/>
    </row>
    <row r="1176" spans="11:19" hidden="1" x14ac:dyDescent="0.25">
      <c r="K1176" s="11"/>
      <c r="P1176" s="3"/>
      <c r="Q1176" s="3"/>
      <c r="S1176" s="11"/>
    </row>
    <row r="1177" spans="11:19" hidden="1" x14ac:dyDescent="0.25">
      <c r="K1177" s="11"/>
      <c r="P1177" s="3"/>
      <c r="Q1177" s="3"/>
      <c r="S1177" s="11"/>
    </row>
    <row r="1178" spans="11:19" hidden="1" x14ac:dyDescent="0.25">
      <c r="K1178" s="11"/>
      <c r="P1178" s="3"/>
      <c r="Q1178" s="3"/>
      <c r="S1178" s="11"/>
    </row>
    <row r="1179" spans="11:19" hidden="1" x14ac:dyDescent="0.25">
      <c r="K1179" s="11"/>
      <c r="P1179" s="3"/>
      <c r="Q1179" s="3"/>
      <c r="S1179" s="11"/>
    </row>
    <row r="1180" spans="11:19" hidden="1" x14ac:dyDescent="0.25">
      <c r="K1180" s="11"/>
      <c r="P1180" s="3"/>
      <c r="Q1180" s="3"/>
      <c r="S1180" s="11"/>
    </row>
    <row r="1181" spans="11:19" hidden="1" x14ac:dyDescent="0.25">
      <c r="K1181" s="11"/>
      <c r="P1181" s="3"/>
      <c r="Q1181" s="3"/>
      <c r="S1181" s="11"/>
    </row>
    <row r="1182" spans="11:19" hidden="1" x14ac:dyDescent="0.25">
      <c r="K1182" s="11"/>
      <c r="P1182" s="3"/>
      <c r="Q1182" s="3"/>
      <c r="S1182" s="11"/>
    </row>
    <row r="1183" spans="11:19" hidden="1" x14ac:dyDescent="0.25">
      <c r="K1183" s="11"/>
      <c r="P1183" s="3"/>
      <c r="Q1183" s="3"/>
      <c r="S1183" s="11"/>
    </row>
    <row r="1184" spans="11:19" hidden="1" x14ac:dyDescent="0.25">
      <c r="K1184" s="11"/>
      <c r="P1184" s="3"/>
      <c r="Q1184" s="3"/>
      <c r="S1184" s="11"/>
    </row>
    <row r="1185" spans="11:19" hidden="1" x14ac:dyDescent="0.25">
      <c r="K1185" s="11"/>
      <c r="P1185" s="3"/>
      <c r="Q1185" s="3"/>
      <c r="S1185" s="11"/>
    </row>
    <row r="1186" spans="11:19" hidden="1" x14ac:dyDescent="0.25">
      <c r="K1186" s="11"/>
      <c r="P1186" s="3"/>
      <c r="Q1186" s="3"/>
      <c r="S1186" s="11"/>
    </row>
    <row r="1187" spans="11:19" hidden="1" x14ac:dyDescent="0.25">
      <c r="K1187" s="11"/>
      <c r="P1187" s="3"/>
      <c r="Q1187" s="3"/>
      <c r="S1187" s="11"/>
    </row>
    <row r="1188" spans="11:19" hidden="1" x14ac:dyDescent="0.25">
      <c r="K1188" s="11"/>
      <c r="P1188" s="3"/>
      <c r="Q1188" s="3"/>
      <c r="S1188" s="11"/>
    </row>
    <row r="1189" spans="11:19" hidden="1" x14ac:dyDescent="0.25">
      <c r="K1189" s="11"/>
      <c r="P1189" s="3"/>
      <c r="Q1189" s="3"/>
      <c r="S1189" s="11"/>
    </row>
    <row r="1190" spans="11:19" hidden="1" x14ac:dyDescent="0.25">
      <c r="K1190" s="11"/>
      <c r="P1190" s="3"/>
      <c r="Q1190" s="3"/>
      <c r="S1190" s="11"/>
    </row>
    <row r="1191" spans="11:19" hidden="1" x14ac:dyDescent="0.25">
      <c r="K1191" s="11"/>
      <c r="P1191" s="3"/>
      <c r="Q1191" s="3"/>
      <c r="S1191" s="11"/>
    </row>
    <row r="1192" spans="11:19" hidden="1" x14ac:dyDescent="0.25">
      <c r="K1192" s="11"/>
      <c r="P1192" s="3"/>
      <c r="Q1192" s="3"/>
      <c r="S1192" s="11"/>
    </row>
    <row r="1193" spans="11:19" hidden="1" x14ac:dyDescent="0.25">
      <c r="K1193" s="11"/>
      <c r="P1193" s="3"/>
      <c r="Q1193" s="3"/>
      <c r="S1193" s="11"/>
    </row>
    <row r="1194" spans="11:19" hidden="1" x14ac:dyDescent="0.25">
      <c r="K1194" s="11"/>
      <c r="P1194" s="3"/>
      <c r="Q1194" s="3"/>
      <c r="S1194" s="11"/>
    </row>
    <row r="1195" spans="11:19" hidden="1" x14ac:dyDescent="0.25">
      <c r="K1195" s="11"/>
      <c r="P1195" s="3"/>
      <c r="Q1195" s="3"/>
      <c r="S1195" s="11"/>
    </row>
    <row r="1196" spans="11:19" hidden="1" x14ac:dyDescent="0.25">
      <c r="K1196" s="11"/>
      <c r="P1196" s="3"/>
      <c r="Q1196" s="3"/>
      <c r="S1196" s="11"/>
    </row>
    <row r="1197" spans="11:19" hidden="1" x14ac:dyDescent="0.25">
      <c r="K1197" s="11"/>
      <c r="P1197" s="3"/>
      <c r="Q1197" s="3"/>
      <c r="S1197" s="11"/>
    </row>
    <row r="1198" spans="11:19" hidden="1" x14ac:dyDescent="0.25">
      <c r="K1198" s="11"/>
      <c r="P1198" s="3"/>
      <c r="Q1198" s="3"/>
      <c r="S1198" s="11"/>
    </row>
    <row r="1199" spans="11:19" hidden="1" x14ac:dyDescent="0.25">
      <c r="K1199" s="11"/>
      <c r="P1199" s="3"/>
      <c r="Q1199" s="3"/>
      <c r="S1199" s="11"/>
    </row>
    <row r="1200" spans="11:19" hidden="1" x14ac:dyDescent="0.25">
      <c r="K1200" s="11"/>
      <c r="P1200" s="3"/>
      <c r="Q1200" s="3"/>
      <c r="S1200" s="11"/>
    </row>
    <row r="1201" spans="11:19" hidden="1" x14ac:dyDescent="0.25">
      <c r="K1201" s="11"/>
      <c r="P1201" s="3"/>
      <c r="Q1201" s="3"/>
      <c r="S1201" s="11"/>
    </row>
    <row r="1202" spans="11:19" hidden="1" x14ac:dyDescent="0.25">
      <c r="K1202" s="11"/>
      <c r="P1202" s="3"/>
      <c r="Q1202" s="3"/>
      <c r="S1202" s="11"/>
    </row>
    <row r="1203" spans="11:19" hidden="1" x14ac:dyDescent="0.25">
      <c r="K1203" s="11"/>
      <c r="P1203" s="3"/>
      <c r="Q1203" s="3"/>
      <c r="S1203" s="11"/>
    </row>
    <row r="1204" spans="11:19" hidden="1" x14ac:dyDescent="0.25">
      <c r="K1204" s="11"/>
      <c r="P1204" s="3"/>
      <c r="Q1204" s="3"/>
      <c r="S1204" s="11"/>
    </row>
    <row r="1205" spans="11:19" hidden="1" x14ac:dyDescent="0.25">
      <c r="K1205" s="11"/>
      <c r="P1205" s="3"/>
      <c r="Q1205" s="3"/>
      <c r="S1205" s="11"/>
    </row>
  </sheetData>
  <sheetProtection selectLockedCells="1" sort="0"/>
  <sortState xmlns:xlrd2="http://schemas.microsoft.com/office/spreadsheetml/2017/richdata2" ref="AC4:AD13">
    <sortCondition ref="AC4"/>
  </sortState>
  <mergeCells count="3">
    <mergeCell ref="B2:F2"/>
    <mergeCell ref="E20:F20"/>
    <mergeCell ref="E21:F21"/>
  </mergeCells>
  <phoneticPr fontId="9" type="noConversion"/>
  <pageMargins left="0.7" right="0.7" top="0.75" bottom="0.75" header="0.3" footer="0.3"/>
  <pageSetup paperSize="9" scale="65" orientation="landscape" r:id="rId1"/>
  <drawing r:id="rId2"/>
  <legacyDrawing r:id="rId3"/>
  <controls>
    <mc:AlternateContent xmlns:mc="http://schemas.openxmlformats.org/markup-compatibility/2006">
      <mc:Choice Requires="x14">
        <control shapeId="1027" r:id="rId4" name="sbCapGain">
          <controlPr locked="0" defaultSize="0" autoLine="0" linkedCell="N2" r:id="rId5">
            <anchor moveWithCells="1" sizeWithCells="1">
              <from>
                <xdr:col>4</xdr:col>
                <xdr:colOff>45720</xdr:colOff>
                <xdr:row>20</xdr:row>
                <xdr:rowOff>38100</xdr:rowOff>
              </from>
              <to>
                <xdr:col>5</xdr:col>
                <xdr:colOff>502920</xdr:colOff>
                <xdr:row>20</xdr:row>
                <xdr:rowOff>182880</xdr:rowOff>
              </to>
            </anchor>
          </controlPr>
        </control>
      </mc:Choice>
      <mc:Fallback>
        <control shapeId="1027" r:id="rId4" name="sbCapGain"/>
      </mc:Fallback>
    </mc:AlternateContent>
    <mc:AlternateContent xmlns:mc="http://schemas.openxmlformats.org/markup-compatibility/2006">
      <mc:Choice Requires="x14">
        <control shapeId="1026" r:id="rId6" name="GainPercent">
          <controlPr locked="0" defaultSize="0" autoLine="0" autoPict="0" linkedCell="N1" r:id="rId7">
            <anchor moveWithCells="1" sizeWithCells="1">
              <from>
                <xdr:col>4</xdr:col>
                <xdr:colOff>45720</xdr:colOff>
                <xdr:row>19</xdr:row>
                <xdr:rowOff>38100</xdr:rowOff>
              </from>
              <to>
                <xdr:col>5</xdr:col>
                <xdr:colOff>502920</xdr:colOff>
                <xdr:row>19</xdr:row>
                <xdr:rowOff>182880</xdr:rowOff>
              </to>
            </anchor>
          </controlPr>
        </control>
      </mc:Choice>
      <mc:Fallback>
        <control shapeId="1026" r:id="rId6" name="GainPercent"/>
      </mc:Fallback>
    </mc:AlternateContent>
    <mc:AlternateContent xmlns:mc="http://schemas.openxmlformats.org/markup-compatibility/2006">
      <mc:Choice Requires="x14">
        <control shapeId="1028" r:id="rId8" name="prtPlan">
          <controlPr defaultSize="0" print="0" autoLine="0" r:id="rId9">
            <anchor moveWithCells="1">
              <from>
                <xdr:col>4</xdr:col>
                <xdr:colOff>53340</xdr:colOff>
                <xdr:row>22</xdr:row>
                <xdr:rowOff>121920</xdr:rowOff>
              </from>
              <to>
                <xdr:col>4</xdr:col>
                <xdr:colOff>342900</xdr:colOff>
                <xdr:row>24</xdr:row>
                <xdr:rowOff>53340</xdr:rowOff>
              </to>
            </anchor>
          </controlPr>
        </control>
      </mc:Choice>
      <mc:Fallback>
        <control shapeId="1028" r:id="rId8" name="prtPla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56</vt:i4>
      </vt:variant>
    </vt:vector>
  </HeadingPairs>
  <TitlesOfParts>
    <vt:vector size="57" baseType="lpstr">
      <vt:lpstr>SIP Calculator</vt:lpstr>
      <vt:lpstr>Age</vt:lpstr>
      <vt:lpstr>AtAge1</vt:lpstr>
      <vt:lpstr>AtAge10</vt:lpstr>
      <vt:lpstr>AtAge2</vt:lpstr>
      <vt:lpstr>AtAge3</vt:lpstr>
      <vt:lpstr>AtAge4</vt:lpstr>
      <vt:lpstr>AtAge5</vt:lpstr>
      <vt:lpstr>AtAge6</vt:lpstr>
      <vt:lpstr>AtAge7</vt:lpstr>
      <vt:lpstr>AtAge8</vt:lpstr>
      <vt:lpstr>AtAge9</vt:lpstr>
      <vt:lpstr>GAmt1</vt:lpstr>
      <vt:lpstr>GAmt10</vt:lpstr>
      <vt:lpstr>GAmt2</vt:lpstr>
      <vt:lpstr>GAmt3</vt:lpstr>
      <vt:lpstr>GAmt4</vt:lpstr>
      <vt:lpstr>GAmt5</vt:lpstr>
      <vt:lpstr>GAmt6</vt:lpstr>
      <vt:lpstr>GAmt7</vt:lpstr>
      <vt:lpstr>GAmt8</vt:lpstr>
      <vt:lpstr>GAmt9</vt:lpstr>
      <vt:lpstr>MaxAge</vt:lpstr>
      <vt:lpstr>SAmt1</vt:lpstr>
      <vt:lpstr>SAmt10</vt:lpstr>
      <vt:lpstr>SAmt2</vt:lpstr>
      <vt:lpstr>SAmt3</vt:lpstr>
      <vt:lpstr>SAmt4</vt:lpstr>
      <vt:lpstr>SAmt5</vt:lpstr>
      <vt:lpstr>SAmt6</vt:lpstr>
      <vt:lpstr>SAmt7</vt:lpstr>
      <vt:lpstr>SAmt8</vt:lpstr>
      <vt:lpstr>SAmt9</vt:lpstr>
      <vt:lpstr>'SIP Calculator'!SIPMonths</vt:lpstr>
      <vt:lpstr>SIPTax1</vt:lpstr>
      <vt:lpstr>SIPTax10</vt:lpstr>
      <vt:lpstr>SIPTax2</vt:lpstr>
      <vt:lpstr>SIPTax3</vt:lpstr>
      <vt:lpstr>SIPTax4</vt:lpstr>
      <vt:lpstr>SIPTax5</vt:lpstr>
      <vt:lpstr>SIPTax6</vt:lpstr>
      <vt:lpstr>SIPTax7</vt:lpstr>
      <vt:lpstr>SIPTax8</vt:lpstr>
      <vt:lpstr>SIPTax9</vt:lpstr>
      <vt:lpstr>'SIP Calculator'!SIPYield</vt:lpstr>
      <vt:lpstr>SRate</vt:lpstr>
      <vt:lpstr>TaxRate</vt:lpstr>
      <vt:lpstr>ZCalc1</vt:lpstr>
      <vt:lpstr>ZCalc10</vt:lpstr>
      <vt:lpstr>ZCalc2</vt:lpstr>
      <vt:lpstr>ZCalc3</vt:lpstr>
      <vt:lpstr>ZCalc4</vt:lpstr>
      <vt:lpstr>ZCalc5</vt:lpstr>
      <vt:lpstr>ZCalc6</vt:lpstr>
      <vt:lpstr>ZCalc7</vt:lpstr>
      <vt:lpstr>ZCalc8</vt:lpstr>
      <vt:lpstr>ZCalc9</vt:lpstr>
    </vt:vector>
  </TitlesOfParts>
  <Company>Jain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FinOptic SIP with Multiple Withdrawals</dc:title>
  <dc:creator>Reddi, Sasmith</dc:creator>
  <dc:description>COPYRIGHT PROTECTED - FinOptic Financial Services, Hyderabad, India</dc:description>
  <cp:lastModifiedBy>Sasmith Reddi</cp:lastModifiedBy>
  <cp:lastPrinted>2025-07-06T06:24:52Z</cp:lastPrinted>
  <dcterms:created xsi:type="dcterms:W3CDTF">1996-10-14T23:33:28Z</dcterms:created>
  <dcterms:modified xsi:type="dcterms:W3CDTF">2026-08-10T04:52:16Z</dcterms:modified>
  <cp:contentStatus>Jul 4 2017</cp:contentStatus>
</cp:coreProperties>
</file>